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george/Downloads/Unilever_dataset/"/>
    </mc:Choice>
  </mc:AlternateContent>
  <xr:revisionPtr revIDLastSave="0" documentId="13_ncr:1_{3820B2B0-6597-004C-BB1C-530638F82995}" xr6:coauthVersionLast="47" xr6:coauthVersionMax="47" xr10:uidLastSave="{00000000-0000-0000-0000-000000000000}"/>
  <bookViews>
    <workbookView xWindow="0" yWindow="680" windowWidth="17300" windowHeight="20040" activeTab="1" xr2:uid="{B6F5C954-44E7-FF4A-9096-50E1E66888C5}"/>
  </bookViews>
  <sheets>
    <sheet name="Unilever_products1" sheetId="9" r:id="rId1"/>
    <sheet name="Pivot tables" sheetId="10" r:id="rId2"/>
    <sheet name="Statistics" sheetId="12" r:id="rId3"/>
    <sheet name="Dashboard" sheetId="11" r:id="rId4"/>
    <sheet name="Unilever_products" sheetId="1" r:id="rId5"/>
    <sheet name="Price limits" sheetId="3" r:id="rId6"/>
  </sheets>
  <externalReferences>
    <externalReference r:id="rId7"/>
  </externalReferences>
  <definedNames>
    <definedName name="_xlchart.v1.0" hidden="1">Unilever_products!$H$1</definedName>
    <definedName name="_xlchart.v1.1" hidden="1">Unilever_products!$H$2:$H$5001</definedName>
    <definedName name="ExternalData_1" localSheetId="0" hidden="1">Unilever_products1!$A$1:$J$5001</definedName>
  </definedName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8" i="1" l="1" a="1"/>
  <c r="G358" i="1" s="1"/>
  <c r="G359" i="1" a="1"/>
  <c r="G359" i="1" s="1"/>
  <c r="G384" i="1" a="1"/>
  <c r="G384" i="1" s="1"/>
  <c r="G439" i="1" a="1"/>
  <c r="G439" i="1" s="1"/>
  <c r="G416" i="1" a="1"/>
  <c r="G416" i="1" s="1"/>
  <c r="G415" i="1" a="1"/>
  <c r="G415" i="1" s="1"/>
  <c r="G417" i="1" a="1"/>
  <c r="G417" i="1" s="1"/>
  <c r="G420" i="1" a="1"/>
  <c r="G420" i="1" s="1"/>
  <c r="G413" i="1" a="1"/>
  <c r="G413" i="1" s="1"/>
  <c r="G418" i="1" a="1"/>
  <c r="G418" i="1" s="1"/>
  <c r="G414" i="1" a="1"/>
  <c r="G414" i="1" s="1"/>
  <c r="G419" i="1" a="1"/>
  <c r="G419" i="1" s="1"/>
  <c r="G421" i="1" a="1"/>
  <c r="G421" i="1" s="1"/>
  <c r="G407" i="1" a="1"/>
  <c r="G407" i="1" s="1"/>
  <c r="G409" i="1" a="1"/>
  <c r="G409" i="1" s="1"/>
  <c r="G408" i="1" a="1"/>
  <c r="G408" i="1" s="1"/>
  <c r="G410" i="1" a="1"/>
  <c r="G410" i="1" s="1"/>
  <c r="G422" i="1" a="1"/>
  <c r="G422" i="1" s="1"/>
  <c r="G405" i="1" a="1"/>
  <c r="G405" i="1" s="1"/>
  <c r="G411" i="1" a="1"/>
  <c r="G411" i="1" s="1"/>
  <c r="G406" i="1" a="1"/>
  <c r="G406" i="1" s="1"/>
  <c r="G412" i="1" a="1"/>
  <c r="G412" i="1" s="1"/>
  <c r="G423" i="1" a="1"/>
  <c r="G423" i="1" s="1"/>
  <c r="G399" i="1" a="1"/>
  <c r="G399" i="1" s="1"/>
  <c r="G401" i="1" a="1"/>
  <c r="G401" i="1" s="1"/>
  <c r="G400" i="1" a="1"/>
  <c r="G400" i="1" s="1"/>
  <c r="G402" i="1" a="1"/>
  <c r="G402" i="1" s="1"/>
  <c r="G424" i="1" a="1"/>
  <c r="G424" i="1" s="1"/>
  <c r="G397" i="1" a="1"/>
  <c r="G397" i="1" s="1"/>
  <c r="G403" i="1" a="1"/>
  <c r="G403" i="1" s="1"/>
  <c r="G398" i="1" a="1"/>
  <c r="G398" i="1" s="1"/>
  <c r="G404" i="1" a="1"/>
  <c r="G404" i="1" s="1"/>
  <c r="G425" i="1" a="1"/>
  <c r="G425" i="1" s="1"/>
  <c r="G391" i="1" a="1"/>
  <c r="G391" i="1" s="1"/>
  <c r="G393" i="1" a="1"/>
  <c r="G393" i="1" s="1"/>
  <c r="G392" i="1" a="1"/>
  <c r="G392" i="1" s="1"/>
  <c r="G394" i="1" a="1"/>
  <c r="G394" i="1" s="1"/>
  <c r="G426" i="1" a="1"/>
  <c r="G426" i="1" s="1"/>
  <c r="G389" i="1" a="1"/>
  <c r="G389" i="1" s="1"/>
  <c r="G395" i="1" a="1"/>
  <c r="G395" i="1" s="1"/>
  <c r="G390" i="1" a="1"/>
  <c r="G390" i="1" s="1"/>
  <c r="G396" i="1" a="1"/>
  <c r="G396" i="1" s="1"/>
  <c r="G427" i="1" a="1"/>
  <c r="G427" i="1" s="1"/>
  <c r="G387" i="1" a="1"/>
  <c r="G387" i="1" s="1"/>
  <c r="G428" i="1" a="1"/>
  <c r="G428" i="1" s="1"/>
  <c r="G386" i="1" a="1"/>
  <c r="G386" i="1" s="1"/>
  <c r="G388" i="1" a="1"/>
  <c r="G388" i="1" s="1"/>
  <c r="G468" i="1" a="1"/>
  <c r="G468" i="1" s="1"/>
  <c r="G349" i="1" a="1"/>
  <c r="G349" i="1" s="1"/>
  <c r="G356" i="1" a="1"/>
  <c r="G356" i="1" s="1"/>
  <c r="G357" i="1" a="1"/>
  <c r="G357" i="1" s="1"/>
  <c r="G429" i="1" a="1"/>
  <c r="G429" i="1" s="1"/>
  <c r="G355" i="1" a="1"/>
  <c r="G355" i="1" s="1"/>
  <c r="G354" i="1" a="1"/>
  <c r="G354" i="1" s="1"/>
  <c r="G520" i="1" a="1"/>
  <c r="G520" i="1" s="1"/>
  <c r="G521" i="1" a="1"/>
  <c r="G521" i="1" s="1"/>
  <c r="G469" i="1" a="1"/>
  <c r="G469" i="1" s="1"/>
  <c r="G350" i="1" a="1"/>
  <c r="G350" i="1" s="1"/>
  <c r="G519" i="1" a="1"/>
  <c r="G519" i="1" s="1"/>
  <c r="G441" i="1" a="1"/>
  <c r="G441" i="1" s="1"/>
  <c r="G381" i="1" a="1"/>
  <c r="G381" i="1" s="1"/>
  <c r="G517" i="1" a="1"/>
  <c r="G517" i="1" s="1"/>
  <c r="G351" i="1" a="1"/>
  <c r="G351" i="1" s="1"/>
  <c r="G518" i="1" a="1"/>
  <c r="G518" i="1" s="1"/>
  <c r="G380" i="1" a="1"/>
  <c r="G380" i="1" s="1"/>
  <c r="G382" i="1" a="1"/>
  <c r="G382" i="1" s="1"/>
  <c r="G379" i="1" a="1"/>
  <c r="G379" i="1" s="1"/>
  <c r="G470" i="1" a="1"/>
  <c r="G470" i="1" s="1"/>
  <c r="H470" i="1" s="1"/>
  <c r="I470" i="1" s="1"/>
  <c r="J471" i="1" s="1"/>
  <c r="G377" i="1" a="1"/>
  <c r="G377" i="1" s="1"/>
  <c r="G378" i="1" a="1"/>
  <c r="G378" i="1" s="1"/>
  <c r="G374" i="1" a="1"/>
  <c r="G374" i="1" s="1"/>
  <c r="G442" i="1" a="1"/>
  <c r="G442" i="1" s="1"/>
  <c r="G375" i="1" a="1"/>
  <c r="G375" i="1" s="1"/>
  <c r="G376" i="1" a="1"/>
  <c r="G376" i="1" s="1"/>
  <c r="G372" i="1" a="1"/>
  <c r="G372" i="1" s="1"/>
  <c r="G370" i="1" a="1"/>
  <c r="G370" i="1" s="1"/>
  <c r="G371" i="1" a="1"/>
  <c r="G371" i="1" s="1"/>
  <c r="G369" i="1" a="1"/>
  <c r="G369" i="1" s="1"/>
  <c r="G367" i="1" a="1"/>
  <c r="G367" i="1" s="1"/>
  <c r="G368" i="1" a="1"/>
  <c r="G368" i="1" s="1"/>
  <c r="G346" i="1" a="1"/>
  <c r="G346" i="1" s="1"/>
  <c r="G366" i="1" a="1"/>
  <c r="G366" i="1" s="1"/>
  <c r="G459" i="1" a="1"/>
  <c r="G459" i="1" s="1"/>
  <c r="G443" i="1" a="1"/>
  <c r="G443" i="1" s="1"/>
  <c r="G365" i="1" a="1"/>
  <c r="G365" i="1" s="1"/>
  <c r="G373" i="1" a="1"/>
  <c r="G373" i="1" s="1"/>
  <c r="G436" i="1" a="1"/>
  <c r="G436" i="1" s="1"/>
  <c r="G437" i="1" a="1"/>
  <c r="G437" i="1" s="1"/>
  <c r="G433" i="1" a="1"/>
  <c r="G433" i="1" s="1"/>
  <c r="G434" i="1" a="1"/>
  <c r="G434" i="1" s="1"/>
  <c r="G440" i="1" a="1"/>
  <c r="G440" i="1" s="1"/>
  <c r="G430" i="1" a="1"/>
  <c r="G430" i="1" s="1"/>
  <c r="G481" i="1" a="1"/>
  <c r="G481" i="1" s="1"/>
  <c r="G479" i="1" a="1"/>
  <c r="G479" i="1" s="1"/>
  <c r="G480" i="1" a="1"/>
  <c r="G480" i="1" s="1"/>
  <c r="G478" i="1" a="1"/>
  <c r="G478" i="1" s="1"/>
  <c r="G477" i="1" a="1"/>
  <c r="G477" i="1" s="1"/>
  <c r="G484" i="1" a="1"/>
  <c r="G484" i="1" s="1"/>
  <c r="G488" i="1" a="1"/>
  <c r="G488" i="1" s="1"/>
  <c r="G487" i="1" a="1"/>
  <c r="G487" i="1" s="1"/>
  <c r="G486" i="1" a="1"/>
  <c r="G486" i="1" s="1"/>
  <c r="G485" i="1" a="1"/>
  <c r="G485" i="1" s="1"/>
  <c r="G483" i="1" a="1"/>
  <c r="G483" i="1" s="1"/>
  <c r="G489" i="1" a="1"/>
  <c r="G489" i="1" s="1"/>
  <c r="G482" i="1" a="1"/>
  <c r="G482" i="1" s="1"/>
  <c r="G476" i="1" a="1"/>
  <c r="G476" i="1" s="1"/>
  <c r="G347" i="1" a="1"/>
  <c r="G347" i="1"/>
  <c r="G494" i="1" a="1"/>
  <c r="G494" i="1" s="1"/>
  <c r="G493" i="1" a="1"/>
  <c r="G493" i="1" s="1"/>
  <c r="G492" i="1" a="1"/>
  <c r="G492" i="1" s="1"/>
  <c r="G491" i="1" a="1"/>
  <c r="G491" i="1" s="1"/>
  <c r="G447" i="1" a="1"/>
  <c r="G447" i="1" s="1"/>
  <c r="G453" i="1" a="1"/>
  <c r="G453" i="1" s="1"/>
  <c r="G446" i="1" a="1"/>
  <c r="G446" i="1" s="1"/>
  <c r="G348" i="1" a="1"/>
  <c r="G348" i="1" s="1"/>
  <c r="G497" i="1" a="1"/>
  <c r="G497" i="1" s="1"/>
  <c r="G449" i="1" a="1"/>
  <c r="G449" i="1" s="1"/>
  <c r="G448" i="1" a="1"/>
  <c r="G448" i="1"/>
  <c r="G499" i="1" a="1"/>
  <c r="G499" i="1" s="1"/>
  <c r="G498" i="1" a="1"/>
  <c r="G498" i="1" s="1"/>
  <c r="G496" i="1" a="1"/>
  <c r="G496" i="1" s="1"/>
  <c r="G353" i="1" a="1"/>
  <c r="G353" i="1" s="1"/>
  <c r="G495" i="1" a="1"/>
  <c r="G495" i="1" s="1"/>
  <c r="G490" i="1" a="1"/>
  <c r="G490" i="1" s="1"/>
  <c r="G344" i="1" a="1"/>
  <c r="G344" i="1" s="1"/>
  <c r="G451" i="1" a="1"/>
  <c r="G451" i="1" s="1"/>
  <c r="G345" i="1" a="1"/>
  <c r="G345" i="1" s="1"/>
  <c r="G343" i="1" a="1"/>
  <c r="G343" i="1" s="1"/>
  <c r="G467" i="1" a="1"/>
  <c r="G467" i="1" s="1"/>
  <c r="G501" i="1" a="1"/>
  <c r="G501" i="1" s="1"/>
  <c r="G454" i="1" a="1"/>
  <c r="G454" i="1" s="1"/>
  <c r="G502" i="1" a="1"/>
  <c r="G502" i="1" s="1"/>
  <c r="G450" i="1" a="1"/>
  <c r="G450" i="1" s="1"/>
  <c r="G500" i="1" a="1"/>
  <c r="G500" i="1" s="1"/>
  <c r="G504" i="1" a="1"/>
  <c r="G504" i="1" s="1"/>
  <c r="G506" i="1" a="1"/>
  <c r="G506" i="1" s="1"/>
  <c r="G531" i="1" a="1"/>
  <c r="G531" i="1" s="1"/>
  <c r="G530" i="1" a="1"/>
  <c r="G530" i="1" s="1"/>
  <c r="G529" i="1" a="1"/>
  <c r="G529" i="1" s="1"/>
  <c r="G527" i="1" a="1"/>
  <c r="G527" i="1" s="1"/>
  <c r="G526" i="1" a="1"/>
  <c r="G526" i="1" s="1"/>
  <c r="G525" i="1" a="1"/>
  <c r="G525" i="1"/>
  <c r="G528" i="1" a="1"/>
  <c r="G528" i="1"/>
  <c r="G524" i="1" a="1"/>
  <c r="G524" i="1" s="1"/>
  <c r="G505" i="1" a="1"/>
  <c r="G505" i="1" s="1"/>
  <c r="G455" i="1" a="1"/>
  <c r="G455" i="1" s="1"/>
  <c r="G466" i="1" a="1"/>
  <c r="G466" i="1" s="1"/>
  <c r="G532" i="1" a="1"/>
  <c r="G532" i="1" s="1"/>
  <c r="G342" i="1" a="1"/>
  <c r="G342" i="1" s="1"/>
  <c r="G511" i="1" a="1"/>
  <c r="G511" i="1" s="1"/>
  <c r="G522" i="1" a="1"/>
  <c r="G522" i="1" s="1"/>
  <c r="G458" i="1" a="1"/>
  <c r="G458" i="1" s="1"/>
  <c r="G513" i="1" a="1"/>
  <c r="G513" i="1"/>
  <c r="G512" i="1" a="1"/>
  <c r="G512" i="1" s="1"/>
  <c r="G510" i="1" a="1"/>
  <c r="G510" i="1" s="1"/>
  <c r="G461" i="1" a="1"/>
  <c r="G461" i="1" s="1"/>
  <c r="G503" i="1" a="1"/>
  <c r="G503" i="1" s="1"/>
  <c r="G465" i="1" a="1"/>
  <c r="G465" i="1" s="1"/>
  <c r="G523" i="1" a="1"/>
  <c r="G523" i="1" s="1"/>
  <c r="G509" i="1" a="1"/>
  <c r="G509" i="1" s="1"/>
  <c r="G462" i="1" a="1"/>
  <c r="G462" i="1" s="1"/>
  <c r="G463" i="1" a="1"/>
  <c r="G463" i="1" s="1"/>
  <c r="G514" i="1" a="1"/>
  <c r="G514" i="1" s="1"/>
  <c r="G452" i="1" a="1"/>
  <c r="G452" i="1" s="1"/>
  <c r="G460" i="1" a="1"/>
  <c r="G460" i="1" s="1"/>
  <c r="H460" i="1" s="1"/>
  <c r="I460" i="1" s="1"/>
  <c r="J461" i="1" s="1"/>
  <c r="G456" i="1" a="1"/>
  <c r="G456" i="1" s="1"/>
  <c r="G507" i="1" a="1"/>
  <c r="G507" i="1" s="1"/>
  <c r="G457" i="1" a="1"/>
  <c r="G457" i="1" s="1"/>
  <c r="G515" i="1" a="1"/>
  <c r="G515" i="1" s="1"/>
  <c r="G362" i="1" a="1"/>
  <c r="G362" i="1" s="1"/>
  <c r="G363" i="1" a="1"/>
  <c r="G363" i="1" s="1"/>
  <c r="G516" i="1" a="1"/>
  <c r="G516" i="1" s="1"/>
  <c r="G471" i="1" a="1"/>
  <c r="G471" i="1" s="1"/>
  <c r="G472" i="1" a="1"/>
  <c r="G472" i="1" s="1"/>
  <c r="G508" i="1" a="1"/>
  <c r="G508" i="1" s="1"/>
  <c r="G464" i="1" a="1"/>
  <c r="G464" i="1" s="1"/>
  <c r="G473" i="1" a="1"/>
  <c r="G473" i="1" s="1"/>
  <c r="G444" i="1" a="1"/>
  <c r="G444" i="1" s="1"/>
  <c r="G432" i="1" a="1"/>
  <c r="G432" i="1" s="1"/>
  <c r="G435" i="1" a="1"/>
  <c r="G435" i="1" s="1"/>
  <c r="G361" i="1" a="1"/>
  <c r="G361" i="1" s="1"/>
  <c r="G474" i="1" a="1"/>
  <c r="G474" i="1" s="1"/>
  <c r="G431" i="1" a="1"/>
  <c r="G431" i="1" s="1"/>
  <c r="G385" i="1" a="1"/>
  <c r="G385" i="1" s="1"/>
  <c r="G475" i="1" a="1"/>
  <c r="G475" i="1" s="1"/>
  <c r="G352" i="1" a="1"/>
  <c r="G352" i="1" s="1"/>
  <c r="G383" i="1" a="1"/>
  <c r="G383" i="1" s="1"/>
  <c r="G445" i="1" a="1"/>
  <c r="G445" i="1" s="1"/>
  <c r="G360" i="1" a="1"/>
  <c r="G360" i="1"/>
  <c r="G438" i="1" a="1"/>
  <c r="G438" i="1" s="1"/>
  <c r="G364" i="1" a="1"/>
  <c r="G364" i="1" s="1"/>
  <c r="G341" i="1" a="1"/>
  <c r="G341" i="1" s="1"/>
  <c r="G3385" i="1" a="1"/>
  <c r="G3385" i="1"/>
  <c r="G138" i="1" a="1"/>
  <c r="G138" i="1" s="1"/>
  <c r="G135" i="1" a="1"/>
  <c r="G135" i="1" s="1"/>
  <c r="G136" i="1" a="1"/>
  <c r="G136" i="1" s="1"/>
  <c r="G139" i="1" a="1"/>
  <c r="G139" i="1" s="1"/>
  <c r="G137" i="1" a="1"/>
  <c r="G137" i="1" s="1"/>
  <c r="G152" i="1" a="1"/>
  <c r="G152" i="1" s="1"/>
  <c r="G151" i="1" a="1"/>
  <c r="G151" i="1" s="1"/>
  <c r="G165" i="1" a="1"/>
  <c r="G165" i="1" s="1"/>
  <c r="G162" i="1" a="1"/>
  <c r="G162" i="1" s="1"/>
  <c r="G167" i="1" a="1"/>
  <c r="G167" i="1" s="1"/>
  <c r="G161" i="1" a="1"/>
  <c r="G161" i="1" s="1"/>
  <c r="G146" i="1" a="1"/>
  <c r="G146" i="1" s="1"/>
  <c r="G154" i="1" a="1"/>
  <c r="G154" i="1" s="1"/>
  <c r="G166" i="1" a="1"/>
  <c r="G166" i="1" s="1"/>
  <c r="G150" i="1" a="1"/>
  <c r="G150" i="1" s="1"/>
  <c r="G153" i="1" a="1"/>
  <c r="G153" i="1" s="1"/>
  <c r="G155" i="1" a="1"/>
  <c r="G155" i="1" s="1"/>
  <c r="G171" i="1" a="1"/>
  <c r="G171" i="1" s="1"/>
  <c r="G147" i="1" a="1"/>
  <c r="G147" i="1" s="1"/>
  <c r="G149" i="1" a="1"/>
  <c r="G149" i="1" s="1"/>
  <c r="G148" i="1" a="1"/>
  <c r="G148" i="1" s="1"/>
  <c r="G156" i="1" a="1"/>
  <c r="G156" i="1" s="1"/>
  <c r="G159" i="1" a="1"/>
  <c r="G159" i="1" s="1"/>
  <c r="G160" i="1" a="1"/>
  <c r="G160" i="1" s="1"/>
  <c r="H160" i="1" s="1"/>
  <c r="I160" i="1" s="1"/>
  <c r="J161" i="1" s="1"/>
  <c r="G170" i="1" a="1"/>
  <c r="G170" i="1" s="1"/>
  <c r="H170" i="1" s="1"/>
  <c r="I170" i="1" s="1"/>
  <c r="J171" i="1" s="1"/>
  <c r="G168" i="1" a="1"/>
  <c r="G168" i="1" s="1"/>
  <c r="G157" i="1" a="1"/>
  <c r="G157" i="1" s="1"/>
  <c r="G145" i="1" a="1"/>
  <c r="G145" i="1" s="1"/>
  <c r="G164" i="1" a="1"/>
  <c r="G164" i="1" s="1"/>
  <c r="G169" i="1" a="1"/>
  <c r="G169" i="1" s="1"/>
  <c r="G144" i="1" a="1"/>
  <c r="G144" i="1" s="1"/>
  <c r="G163" i="1" a="1"/>
  <c r="G163" i="1" s="1"/>
  <c r="G158" i="1" a="1"/>
  <c r="G158" i="1" s="1"/>
  <c r="G37" i="1" a="1"/>
  <c r="G37" i="1" s="1"/>
  <c r="G45" i="1" a="1"/>
  <c r="G45" i="1"/>
  <c r="G131" i="1" a="1"/>
  <c r="G131" i="1" s="1"/>
  <c r="G126" i="1" a="1"/>
  <c r="G126" i="1" s="1"/>
  <c r="G130" i="1" a="1"/>
  <c r="G130" i="1" s="1"/>
  <c r="G44" i="1" a="1"/>
  <c r="G44" i="1" s="1"/>
  <c r="G121" i="1" a="1"/>
  <c r="G121" i="1" s="1"/>
  <c r="G21" i="1" a="1"/>
  <c r="G21" i="1" s="1"/>
  <c r="G22" i="1" a="1"/>
  <c r="G22" i="1" s="1"/>
  <c r="G49" i="1" a="1"/>
  <c r="G49" i="1" s="1"/>
  <c r="G23" i="1" a="1"/>
  <c r="G23" i="1" s="1"/>
  <c r="G24" i="1" a="1"/>
  <c r="G24" i="1" s="1"/>
  <c r="G25" i="1" a="1"/>
  <c r="G25" i="1"/>
  <c r="G48" i="1" a="1"/>
  <c r="G48" i="1" s="1"/>
  <c r="G122" i="1" a="1"/>
  <c r="G122" i="1" s="1"/>
  <c r="G127" i="1" a="1"/>
  <c r="G127" i="1" s="1"/>
  <c r="G47" i="1" a="1"/>
  <c r="G47" i="1" s="1"/>
  <c r="G43" i="1" a="1"/>
  <c r="G43" i="1" s="1"/>
  <c r="G19" i="1" a="1"/>
  <c r="G19" i="1" s="1"/>
  <c r="G20" i="1" a="1"/>
  <c r="G20" i="1" s="1"/>
  <c r="G50" i="1" a="1"/>
  <c r="G50" i="1" s="1"/>
  <c r="G26" i="1" a="1"/>
  <c r="G26" i="1" s="1"/>
  <c r="G27" i="1" a="1"/>
  <c r="G27" i="1" s="1"/>
  <c r="G28" i="1" a="1"/>
  <c r="G28" i="1" s="1"/>
  <c r="G123" i="1" a="1"/>
  <c r="G123" i="1" s="1"/>
  <c r="G51" i="1" a="1"/>
  <c r="G51" i="1" s="1"/>
  <c r="G29" i="1" a="1"/>
  <c r="G29" i="1" s="1"/>
  <c r="G30" i="1" a="1"/>
  <c r="G30" i="1" s="1"/>
  <c r="G31" i="1" a="1"/>
  <c r="G31" i="1" s="1"/>
  <c r="G46" i="1" a="1"/>
  <c r="G46" i="1" s="1"/>
  <c r="G124" i="1" a="1"/>
  <c r="G124" i="1" s="1"/>
  <c r="G32" i="1" a="1"/>
  <c r="G32" i="1" s="1"/>
  <c r="G33" i="1" a="1"/>
  <c r="G33" i="1" s="1"/>
  <c r="G34" i="1" a="1"/>
  <c r="G34" i="1" s="1"/>
  <c r="G133" i="1" a="1"/>
  <c r="G133" i="1" s="1"/>
  <c r="G125" i="1" a="1"/>
  <c r="G125" i="1" s="1"/>
  <c r="G35" i="1" a="1"/>
  <c r="G35" i="1" s="1"/>
  <c r="G17" i="1" a="1"/>
  <c r="G17" i="1" s="1"/>
  <c r="G129" i="1" a="1"/>
  <c r="G129" i="1"/>
  <c r="G39" i="1" a="1"/>
  <c r="G39" i="1" s="1"/>
  <c r="G38" i="1" a="1"/>
  <c r="G38" i="1" s="1"/>
  <c r="G132" i="1" a="1"/>
  <c r="G132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1" i="1" a="1"/>
  <c r="G11" i="1" s="1"/>
  <c r="G10" i="1" a="1"/>
  <c r="G10" i="1"/>
  <c r="G9" i="1" a="1"/>
  <c r="G9" i="1" s="1"/>
  <c r="G8" i="1" a="1"/>
  <c r="G8" i="1" s="1"/>
  <c r="G7" i="1" a="1"/>
  <c r="G7" i="1" s="1"/>
  <c r="G6" i="1" a="1"/>
  <c r="G6" i="1" s="1"/>
  <c r="G5" i="1" a="1"/>
  <c r="G5" i="1" s="1"/>
  <c r="G4" i="1" a="1"/>
  <c r="G4" i="1" s="1"/>
  <c r="G3" i="1" a="1"/>
  <c r="G3" i="1" s="1"/>
  <c r="G2" i="1" a="1"/>
  <c r="G2" i="1" s="1"/>
  <c r="G40" i="1" a="1"/>
  <c r="G40" i="1" s="1"/>
  <c r="G41" i="1" a="1"/>
  <c r="G41" i="1" s="1"/>
  <c r="G119" i="1" a="1"/>
  <c r="G119" i="1" s="1"/>
  <c r="G118" i="1" a="1"/>
  <c r="G118" i="1" s="1"/>
  <c r="G117" i="1" a="1"/>
  <c r="G117" i="1" s="1"/>
  <c r="G120" i="1" a="1"/>
  <c r="G120" i="1" s="1"/>
  <c r="H120" i="1" s="1"/>
  <c r="I120" i="1" s="1"/>
  <c r="J121" i="1" s="1"/>
  <c r="G116" i="1" a="1"/>
  <c r="G116" i="1" s="1"/>
  <c r="G115" i="1" a="1"/>
  <c r="G115" i="1" s="1"/>
  <c r="G113" i="1" a="1"/>
  <c r="G113" i="1" s="1"/>
  <c r="G112" i="1" a="1"/>
  <c r="G112" i="1" s="1"/>
  <c r="G111" i="1" a="1"/>
  <c r="G111" i="1" s="1"/>
  <c r="G110" i="1" a="1"/>
  <c r="G110" i="1" s="1"/>
  <c r="G108" i="1" a="1"/>
  <c r="G108" i="1" s="1"/>
  <c r="G107" i="1" a="1"/>
  <c r="G107" i="1" s="1"/>
  <c r="G106" i="1" a="1"/>
  <c r="G106" i="1" s="1"/>
  <c r="G103" i="1" a="1"/>
  <c r="G103" i="1" s="1"/>
  <c r="G102" i="1" a="1"/>
  <c r="G102" i="1"/>
  <c r="G104" i="1" a="1"/>
  <c r="G104" i="1" s="1"/>
  <c r="G99" i="1" a="1"/>
  <c r="G99" i="1" s="1"/>
  <c r="G98" i="1" a="1"/>
  <c r="G98" i="1" s="1"/>
  <c r="G97" i="1" a="1"/>
  <c r="G97" i="1" s="1"/>
  <c r="G96" i="1" a="1"/>
  <c r="G96" i="1" s="1"/>
  <c r="G95" i="1" a="1"/>
  <c r="G95" i="1" s="1"/>
  <c r="G94" i="1" a="1"/>
  <c r="G94" i="1" s="1"/>
  <c r="G93" i="1" a="1"/>
  <c r="G93" i="1" s="1"/>
  <c r="G90" i="1" a="1"/>
  <c r="G90" i="1" s="1"/>
  <c r="G89" i="1" a="1"/>
  <c r="G89" i="1" s="1"/>
  <c r="G88" i="1" a="1"/>
  <c r="G88" i="1" s="1"/>
  <c r="G87" i="1" a="1"/>
  <c r="G87" i="1" s="1"/>
  <c r="G91" i="1" a="1"/>
  <c r="G91" i="1" s="1"/>
  <c r="G85" i="1" a="1"/>
  <c r="G85" i="1" s="1"/>
  <c r="G84" i="1" a="1"/>
  <c r="G84" i="1" s="1"/>
  <c r="G83" i="1" a="1"/>
  <c r="G83" i="1" s="1"/>
  <c r="G82" i="1" a="1"/>
  <c r="G82" i="1" s="1"/>
  <c r="G81" i="1" a="1"/>
  <c r="G81" i="1" s="1"/>
  <c r="G80" i="1" a="1"/>
  <c r="G80" i="1" s="1"/>
  <c r="G79" i="1" a="1"/>
  <c r="G79" i="1" s="1"/>
  <c r="G86" i="1" a="1"/>
  <c r="G86" i="1" s="1"/>
  <c r="G128" i="1" a="1"/>
  <c r="G128" i="1" s="1"/>
  <c r="G78" i="1" a="1"/>
  <c r="G78" i="1" s="1"/>
  <c r="G76" i="1" a="1"/>
  <c r="G76" i="1" s="1"/>
  <c r="G75" i="1" a="1"/>
  <c r="G75" i="1" s="1"/>
  <c r="G73" i="1" a="1"/>
  <c r="G73" i="1" s="1"/>
  <c r="G72" i="1" a="1"/>
  <c r="G72" i="1" s="1"/>
  <c r="G71" i="1" a="1"/>
  <c r="G71" i="1" s="1"/>
  <c r="G70" i="1" a="1"/>
  <c r="G70" i="1" s="1"/>
  <c r="G69" i="1" a="1"/>
  <c r="G69" i="1" s="1"/>
  <c r="G66" i="1" a="1"/>
  <c r="G66" i="1" s="1"/>
  <c r="G65" i="1" a="1"/>
  <c r="G65" i="1" s="1"/>
  <c r="G64" i="1" a="1"/>
  <c r="G64" i="1" s="1"/>
  <c r="G63" i="1" a="1"/>
  <c r="G63" i="1" s="1"/>
  <c r="G62" i="1" a="1"/>
  <c r="G62" i="1" s="1"/>
  <c r="G61" i="1" a="1"/>
  <c r="G61" i="1" s="1"/>
  <c r="G59" i="1" a="1"/>
  <c r="G59" i="1" s="1"/>
  <c r="G60" i="1" a="1"/>
  <c r="G60" i="1" s="1"/>
  <c r="G57" i="1" a="1"/>
  <c r="G57" i="1" s="1"/>
  <c r="G58" i="1" a="1"/>
  <c r="G58" i="1" s="1"/>
  <c r="G42" i="1" a="1"/>
  <c r="G42" i="1" s="1"/>
  <c r="G55" i="1" a="1"/>
  <c r="G55" i="1" s="1"/>
  <c r="G56" i="1" a="1"/>
  <c r="G56" i="1" s="1"/>
  <c r="G53" i="1" a="1"/>
  <c r="G53" i="1" s="1"/>
  <c r="G52" i="1" a="1"/>
  <c r="G52" i="1" s="1"/>
  <c r="G54" i="1" a="1"/>
  <c r="G54" i="1" s="1"/>
  <c r="G134" i="1" a="1"/>
  <c r="G134" i="1" s="1"/>
  <c r="G36" i="1" a="1"/>
  <c r="G36" i="1" s="1"/>
  <c r="G100" i="1" a="1"/>
  <c r="G100" i="1" s="1"/>
  <c r="G114" i="1" a="1"/>
  <c r="G114" i="1" s="1"/>
  <c r="G109" i="1" a="1"/>
  <c r="G109" i="1" s="1"/>
  <c r="G105" i="1" a="1"/>
  <c r="G105" i="1" s="1"/>
  <c r="G101" i="1" a="1"/>
  <c r="G101" i="1" s="1"/>
  <c r="G92" i="1" a="1"/>
  <c r="G92" i="1" s="1"/>
  <c r="G18" i="1" a="1"/>
  <c r="G18" i="1" s="1"/>
  <c r="G77" i="1" a="1"/>
  <c r="G77" i="1" s="1"/>
  <c r="G74" i="1" a="1"/>
  <c r="G74" i="1" s="1"/>
  <c r="G68" i="1" a="1"/>
  <c r="G68" i="1" s="1"/>
  <c r="G67" i="1" a="1"/>
  <c r="G67" i="1" s="1"/>
  <c r="G272" i="1" a="1"/>
  <c r="G272" i="1" s="1"/>
  <c r="G266" i="1" a="1"/>
  <c r="G266" i="1" s="1"/>
  <c r="G268" i="1" a="1"/>
  <c r="G268" i="1" s="1"/>
  <c r="G276" i="1" a="1"/>
  <c r="G276" i="1" s="1"/>
  <c r="G264" i="1" a="1"/>
  <c r="G264" i="1" s="1"/>
  <c r="G265" i="1" a="1"/>
  <c r="G265" i="1" s="1"/>
  <c r="G277" i="1" a="1"/>
  <c r="G277" i="1" s="1"/>
  <c r="G262" i="1" a="1"/>
  <c r="G262" i="1" s="1"/>
  <c r="G263" i="1" a="1"/>
  <c r="G263" i="1" s="1"/>
  <c r="G261" i="1" a="1"/>
  <c r="G261" i="1" s="1"/>
  <c r="G316" i="1" a="1"/>
  <c r="G316" i="1" s="1"/>
  <c r="G326" i="1" a="1"/>
  <c r="G326" i="1" s="1"/>
  <c r="G252" i="1" a="1"/>
  <c r="G252" i="1" s="1"/>
  <c r="G259" i="1" a="1"/>
  <c r="G259" i="1" s="1"/>
  <c r="G258" i="1" a="1"/>
  <c r="G258" i="1" s="1"/>
  <c r="G248" i="1" a="1"/>
  <c r="G248" i="1" s="1"/>
  <c r="G227" i="1" a="1"/>
  <c r="G227" i="1" s="1"/>
  <c r="G257" i="1" a="1"/>
  <c r="G257" i="1" s="1"/>
  <c r="G328" i="1" a="1"/>
  <c r="G328" i="1" s="1"/>
  <c r="G219" i="1" a="1"/>
  <c r="G219" i="1" s="1"/>
  <c r="G173" i="1" a="1"/>
  <c r="G173" i="1" s="1"/>
  <c r="G256" i="1" a="1"/>
  <c r="G256" i="1" s="1"/>
  <c r="G245" i="1" a="1"/>
  <c r="G245" i="1" s="1"/>
  <c r="G246" i="1" a="1"/>
  <c r="G246" i="1" s="1"/>
  <c r="G249" i="1" a="1"/>
  <c r="G249" i="1" s="1"/>
  <c r="G243" i="1" a="1"/>
  <c r="G243" i="1" s="1"/>
  <c r="G188" i="1" a="1"/>
  <c r="G188" i="1" s="1"/>
  <c r="G242" i="1" a="1"/>
  <c r="G242" i="1" s="1"/>
  <c r="G185" i="1" a="1"/>
  <c r="G185" i="1" s="1"/>
  <c r="G241" i="1" a="1"/>
  <c r="G241" i="1" s="1"/>
  <c r="G319" i="1" a="1"/>
  <c r="G319" i="1" s="1"/>
  <c r="G240" i="1" a="1"/>
  <c r="G240" i="1" s="1"/>
  <c r="G244" i="1" a="1"/>
  <c r="G244" i="1" s="1"/>
  <c r="G254" i="1" a="1"/>
  <c r="G254" i="1" s="1"/>
  <c r="G267" i="1" a="1"/>
  <c r="G267" i="1" s="1"/>
  <c r="G226" i="1" a="1"/>
  <c r="G226" i="1" s="1"/>
  <c r="G317" i="1" a="1"/>
  <c r="G317" i="1" s="1"/>
  <c r="G340" i="1" a="1"/>
  <c r="G340" i="1" s="1"/>
  <c r="G279" i="1" a="1"/>
  <c r="G279" i="1" s="1"/>
  <c r="G225" i="1" a="1"/>
  <c r="G225" i="1" s="1"/>
  <c r="G228" i="1" a="1"/>
  <c r="G228" i="1" s="1"/>
  <c r="G223" i="1" a="1"/>
  <c r="G223" i="1" s="1"/>
  <c r="G222" i="1" a="1"/>
  <c r="G222" i="1" s="1"/>
  <c r="G221" i="1" a="1"/>
  <c r="G221" i="1" s="1"/>
  <c r="G224" i="1" a="1"/>
  <c r="G224" i="1" s="1"/>
  <c r="G218" i="1" a="1"/>
  <c r="G218" i="1" s="1"/>
  <c r="G318" i="1" a="1"/>
  <c r="G318" i="1" s="1"/>
  <c r="G186" i="1" a="1"/>
  <c r="G186" i="1" s="1"/>
  <c r="G194" i="1" a="1"/>
  <c r="G194" i="1" s="1"/>
  <c r="G205" i="1" a="1"/>
  <c r="G205" i="1" s="1"/>
  <c r="G206" i="1" a="1"/>
  <c r="G206" i="1" s="1"/>
  <c r="G177" i="1" a="1"/>
  <c r="G177" i="1" s="1"/>
  <c r="G269" i="1" a="1"/>
  <c r="G269" i="1" s="1"/>
  <c r="G280" i="1" a="1"/>
  <c r="G280" i="1" s="1"/>
  <c r="G217" i="1" a="1"/>
  <c r="G217" i="1" s="1"/>
  <c r="G220" i="1" a="1"/>
  <c r="G220" i="1" s="1"/>
  <c r="G215" i="1" a="1"/>
  <c r="G215" i="1" s="1"/>
  <c r="G323" i="1" a="1"/>
  <c r="G323" i="1" s="1"/>
  <c r="G281" i="1" a="1"/>
  <c r="G281" i="1" s="1"/>
  <c r="G214" i="1" a="1"/>
  <c r="G214" i="1" s="1"/>
  <c r="G213" i="1" a="1"/>
  <c r="G213" i="1" s="1"/>
  <c r="G212" i="1" a="1"/>
  <c r="G212" i="1" s="1"/>
  <c r="G216" i="1" a="1"/>
  <c r="G216" i="1" s="1"/>
  <c r="G229" i="1" a="1"/>
  <c r="G229" i="1" s="1"/>
  <c r="G181" i="1" a="1"/>
  <c r="G181" i="1" s="1"/>
  <c r="G329" i="1" a="1"/>
  <c r="G329" i="1" s="1"/>
  <c r="G199" i="1" a="1"/>
  <c r="G199" i="1" s="1"/>
  <c r="G180" i="1" a="1"/>
  <c r="G180" i="1"/>
  <c r="G179" i="1" a="1"/>
  <c r="G179" i="1" s="1"/>
  <c r="G182" i="1" a="1"/>
  <c r="G182" i="1"/>
  <c r="G273" i="1" a="1"/>
  <c r="G273" i="1" s="1"/>
  <c r="G282" i="1" a="1"/>
  <c r="G282" i="1" s="1"/>
  <c r="G204" i="1" a="1"/>
  <c r="G204" i="1" s="1"/>
  <c r="G207" i="1" a="1"/>
  <c r="G207" i="1" s="1"/>
  <c r="G270" i="1" a="1"/>
  <c r="G270" i="1" s="1"/>
  <c r="G209" i="1" a="1"/>
  <c r="G209" i="1" s="1"/>
  <c r="G208" i="1" a="1"/>
  <c r="G208" i="1" s="1"/>
  <c r="G210" i="1" a="1"/>
  <c r="G210" i="1" s="1"/>
  <c r="G202" i="1" a="1"/>
  <c r="G202" i="1" s="1"/>
  <c r="G331" i="1" a="1"/>
  <c r="G331" i="1" s="1"/>
  <c r="G201" i="1" a="1"/>
  <c r="G201" i="1" s="1"/>
  <c r="G203" i="1" a="1"/>
  <c r="G203" i="1" s="1"/>
  <c r="G178" i="1" a="1"/>
  <c r="G178" i="1" s="1"/>
  <c r="G193" i="1" a="1"/>
  <c r="G193" i="1" s="1"/>
  <c r="G197" i="1" a="1"/>
  <c r="G197" i="1" s="1"/>
  <c r="G195" i="1" a="1"/>
  <c r="G195" i="1" s="1"/>
  <c r="G198" i="1" a="1"/>
  <c r="G198" i="1" s="1"/>
  <c r="G200" i="1" a="1"/>
  <c r="G200" i="1" s="1"/>
  <c r="G196" i="1" a="1"/>
  <c r="G196" i="1" s="1"/>
  <c r="G260" i="1" a="1"/>
  <c r="G260" i="1" s="1"/>
  <c r="G251" i="1" a="1"/>
  <c r="G251" i="1" s="1"/>
  <c r="G255" i="1" a="1"/>
  <c r="G255" i="1" s="1"/>
  <c r="G278" i="1" a="1"/>
  <c r="G278" i="1" s="1"/>
  <c r="G191" i="1" a="1"/>
  <c r="G191" i="1" s="1"/>
  <c r="G330" i="1" a="1"/>
  <c r="G330" i="1" s="1"/>
  <c r="G190" i="1" a="1"/>
  <c r="G190" i="1" s="1"/>
  <c r="G183" i="1" a="1"/>
  <c r="G183" i="1"/>
  <c r="G184" i="1" a="1"/>
  <c r="G184" i="1" s="1"/>
  <c r="G189" i="1" a="1"/>
  <c r="G189" i="1" s="1"/>
  <c r="G187" i="1" a="1"/>
  <c r="G187" i="1" s="1"/>
  <c r="G192" i="1" a="1"/>
  <c r="G192" i="1" s="1"/>
  <c r="G211" i="1" a="1"/>
  <c r="G211" i="1" s="1"/>
  <c r="G230" i="1" a="1"/>
  <c r="G230" i="1" s="1"/>
  <c r="G283" i="1" a="1"/>
  <c r="G283" i="1" s="1"/>
  <c r="G237" i="1" a="1"/>
  <c r="G237" i="1" s="1"/>
  <c r="G238" i="1" a="1"/>
  <c r="G238" i="1" s="1"/>
  <c r="G284" i="1" a="1"/>
  <c r="G284" i="1" s="1"/>
  <c r="G235" i="1" a="1"/>
  <c r="G235" i="1"/>
  <c r="G233" i="1" a="1"/>
  <c r="G233" i="1" s="1"/>
  <c r="G236" i="1" a="1"/>
  <c r="G236" i="1" s="1"/>
  <c r="G234" i="1" a="1"/>
  <c r="G234" i="1" s="1"/>
  <c r="G231" i="1" a="1"/>
  <c r="G231" i="1" s="1"/>
  <c r="G232" i="1" a="1"/>
  <c r="G232" i="1" s="1"/>
  <c r="G239" i="1" a="1"/>
  <c r="G239" i="1" s="1"/>
  <c r="G253" i="1" a="1"/>
  <c r="G253" i="1" s="1"/>
  <c r="G247" i="1" a="1"/>
  <c r="G247" i="1" s="1"/>
  <c r="G250" i="1" a="1"/>
  <c r="G250" i="1" s="1"/>
  <c r="G172" i="1" a="1"/>
  <c r="G172" i="1" s="1"/>
  <c r="G320" i="1" a="1"/>
  <c r="G320" i="1" s="1"/>
  <c r="G321" i="1" a="1"/>
  <c r="G321" i="1" s="1"/>
  <c r="G274" i="1" a="1"/>
  <c r="G274" i="1" s="1"/>
  <c r="G176" i="1" a="1"/>
  <c r="G176" i="1" s="1"/>
  <c r="G311" i="1" a="1"/>
  <c r="G311" i="1" s="1"/>
  <c r="G312" i="1" a="1"/>
  <c r="G312" i="1" s="1"/>
  <c r="G275" i="1" a="1"/>
  <c r="G275" i="1" s="1"/>
  <c r="G271" i="1" a="1"/>
  <c r="G271" i="1" s="1"/>
  <c r="G314" i="1" a="1"/>
  <c r="G314" i="1" s="1"/>
  <c r="G339" i="1" a="1"/>
  <c r="G339" i="1" s="1"/>
  <c r="G322" i="1" a="1"/>
  <c r="G322" i="1" s="1"/>
  <c r="G324" i="1" a="1"/>
  <c r="G324" i="1"/>
  <c r="G315" i="1" a="1"/>
  <c r="G315" i="1" s="1"/>
  <c r="G310" i="1" a="1"/>
  <c r="G310" i="1" s="1"/>
  <c r="G309" i="1" a="1"/>
  <c r="G309" i="1" s="1"/>
  <c r="G308" i="1" a="1"/>
  <c r="G308" i="1" s="1"/>
  <c r="G307" i="1" a="1"/>
  <c r="G307" i="1" s="1"/>
  <c r="G306" i="1" a="1"/>
  <c r="G306" i="1" s="1"/>
  <c r="G305" i="1" a="1"/>
  <c r="G305" i="1"/>
  <c r="G304" i="1" a="1"/>
  <c r="G304" i="1" s="1"/>
  <c r="G303" i="1" a="1"/>
  <c r="G303" i="1" s="1"/>
  <c r="G302" i="1" a="1"/>
  <c r="G302" i="1" s="1"/>
  <c r="G301" i="1" a="1"/>
  <c r="G301" i="1" s="1"/>
  <c r="G300" i="1" a="1"/>
  <c r="G300" i="1" s="1"/>
  <c r="G299" i="1" a="1"/>
  <c r="G299" i="1" s="1"/>
  <c r="G298" i="1" a="1"/>
  <c r="G298" i="1" s="1"/>
  <c r="G297" i="1" a="1"/>
  <c r="G297" i="1" s="1"/>
  <c r="G296" i="1" a="1"/>
  <c r="G296" i="1" s="1"/>
  <c r="G295" i="1" a="1"/>
  <c r="G295" i="1"/>
  <c r="G294" i="1" a="1"/>
  <c r="G294" i="1" s="1"/>
  <c r="G293" i="1" a="1"/>
  <c r="G293" i="1" s="1"/>
  <c r="G292" i="1" a="1"/>
  <c r="G292" i="1" s="1"/>
  <c r="G291" i="1" a="1"/>
  <c r="G291" i="1" s="1"/>
  <c r="G290" i="1" a="1"/>
  <c r="G290" i="1" s="1"/>
  <c r="G289" i="1" a="1"/>
  <c r="G289" i="1" s="1"/>
  <c r="G288" i="1" a="1"/>
  <c r="G288" i="1" s="1"/>
  <c r="G287" i="1" a="1"/>
  <c r="G287" i="1" s="1"/>
  <c r="G286" i="1" a="1"/>
  <c r="G286" i="1" s="1"/>
  <c r="G332" i="1" a="1"/>
  <c r="G332" i="1" s="1"/>
  <c r="G333" i="1" a="1"/>
  <c r="G333" i="1" s="1"/>
  <c r="G334" i="1" a="1"/>
  <c r="G334" i="1" s="1"/>
  <c r="G335" i="1" a="1"/>
  <c r="G335" i="1" s="1"/>
  <c r="G174" i="1" a="1"/>
  <c r="G174" i="1" s="1"/>
  <c r="G336" i="1" a="1"/>
  <c r="G336" i="1" s="1"/>
  <c r="G337" i="1" a="1"/>
  <c r="G337" i="1" s="1"/>
  <c r="G175" i="1" a="1"/>
  <c r="G175" i="1" s="1"/>
  <c r="G338" i="1" a="1"/>
  <c r="G338" i="1" s="1"/>
  <c r="G285" i="1" a="1"/>
  <c r="G285" i="1" s="1"/>
  <c r="G327" i="1" a="1"/>
  <c r="G327" i="1" s="1"/>
  <c r="G313" i="1" a="1"/>
  <c r="G313" i="1" s="1"/>
  <c r="G325" i="1" a="1"/>
  <c r="G325" i="1" s="1"/>
  <c r="G1245" i="1" a="1"/>
  <c r="G1245" i="1" s="1"/>
  <c r="G1244" i="1" a="1"/>
  <c r="G1244" i="1" s="1"/>
  <c r="G1243" i="1" a="1"/>
  <c r="G1243" i="1" s="1"/>
  <c r="G1242" i="1" a="1"/>
  <c r="G1242" i="1" s="1"/>
  <c r="G1241" i="1" a="1"/>
  <c r="G1241" i="1" s="1"/>
  <c r="G1240" i="1" a="1"/>
  <c r="G1240" i="1" s="1"/>
  <c r="G1239" i="1" a="1"/>
  <c r="G1239" i="1" s="1"/>
  <c r="G1238" i="1" a="1"/>
  <c r="G1238" i="1" s="1"/>
  <c r="G1237" i="1" a="1"/>
  <c r="G1237" i="1" s="1"/>
  <c r="G1236" i="1" a="1"/>
  <c r="G1236" i="1"/>
  <c r="G1235" i="1" a="1"/>
  <c r="G1235" i="1"/>
  <c r="G1234" i="1" a="1"/>
  <c r="G1234" i="1" s="1"/>
  <c r="G1233" i="1" a="1"/>
  <c r="G1233" i="1" s="1"/>
  <c r="G1232" i="1" a="1"/>
  <c r="G1232" i="1" s="1"/>
  <c r="G1231" i="1" a="1"/>
  <c r="G1231" i="1" s="1"/>
  <c r="G1230" i="1" a="1"/>
  <c r="G1230" i="1" s="1"/>
  <c r="G1229" i="1" a="1"/>
  <c r="G1229" i="1" s="1"/>
  <c r="G1228" i="1" a="1"/>
  <c r="G1228" i="1"/>
  <c r="G1227" i="1" a="1"/>
  <c r="G1227" i="1" s="1"/>
  <c r="G1226" i="1" a="1"/>
  <c r="G1226" i="1" s="1"/>
  <c r="G1225" i="1" a="1"/>
  <c r="G1225" i="1" s="1"/>
  <c r="G1224" i="1" a="1"/>
  <c r="G1224" i="1" s="1"/>
  <c r="G1223" i="1" a="1"/>
  <c r="G1223" i="1" s="1"/>
  <c r="G1222" i="1" a="1"/>
  <c r="G1222" i="1" s="1"/>
  <c r="G1221" i="1" a="1"/>
  <c r="G1221" i="1" s="1"/>
  <c r="G1220" i="1" a="1"/>
  <c r="G1220" i="1" s="1"/>
  <c r="G1219" i="1" a="1"/>
  <c r="G1219" i="1" s="1"/>
  <c r="G1218" i="1" a="1"/>
  <c r="G1218" i="1" s="1"/>
  <c r="G1217" i="1" a="1"/>
  <c r="G1217" i="1" s="1"/>
  <c r="G1216" i="1" a="1"/>
  <c r="G1216" i="1" s="1"/>
  <c r="G1215" i="1" a="1"/>
  <c r="G1215" i="1" s="1"/>
  <c r="G1214" i="1" a="1"/>
  <c r="G1214" i="1" s="1"/>
  <c r="G1213" i="1" a="1"/>
  <c r="G1213" i="1" s="1"/>
  <c r="G1212" i="1" a="1"/>
  <c r="G1212" i="1" s="1"/>
  <c r="G1211" i="1" a="1"/>
  <c r="G1211" i="1" s="1"/>
  <c r="G1210" i="1" a="1"/>
  <c r="G1210" i="1" s="1"/>
  <c r="G1209" i="1" a="1"/>
  <c r="G1209" i="1" s="1"/>
  <c r="G1208" i="1" a="1"/>
  <c r="G1208" i="1" s="1"/>
  <c r="G1207" i="1" a="1"/>
  <c r="G1207" i="1"/>
  <c r="G1206" i="1" a="1"/>
  <c r="G1206" i="1" s="1"/>
  <c r="G1205" i="1" a="1"/>
  <c r="G1205" i="1" s="1"/>
  <c r="G1204" i="1" a="1"/>
  <c r="G1204" i="1" s="1"/>
  <c r="G1203" i="1" a="1"/>
  <c r="G1203" i="1" s="1"/>
  <c r="G1202" i="1" a="1"/>
  <c r="G1202" i="1" s="1"/>
  <c r="G1201" i="1" a="1"/>
  <c r="G1201" i="1" s="1"/>
  <c r="G1200" i="1" a="1"/>
  <c r="G1200" i="1" s="1"/>
  <c r="G1199" i="1" a="1"/>
  <c r="G1199" i="1" s="1"/>
  <c r="G1198" i="1" a="1"/>
  <c r="G1198" i="1" s="1"/>
  <c r="G1197" i="1" a="1"/>
  <c r="G1197" i="1" s="1"/>
  <c r="G1196" i="1" a="1"/>
  <c r="G1196" i="1" s="1"/>
  <c r="G1195" i="1" a="1"/>
  <c r="G1195" i="1" s="1"/>
  <c r="G1194" i="1" a="1"/>
  <c r="G1194" i="1" s="1"/>
  <c r="G1193" i="1" a="1"/>
  <c r="G1193" i="1"/>
  <c r="G1192" i="1" a="1"/>
  <c r="G1192" i="1"/>
  <c r="G1191" i="1" a="1"/>
  <c r="G1191" i="1" s="1"/>
  <c r="G1190" i="1" a="1"/>
  <c r="G1190" i="1" s="1"/>
  <c r="G1189" i="1" a="1"/>
  <c r="G1189" i="1" s="1"/>
  <c r="G1188" i="1" a="1"/>
  <c r="G1188" i="1" s="1"/>
  <c r="G1187" i="1" a="1"/>
  <c r="G1187" i="1" s="1"/>
  <c r="G1186" i="1" a="1"/>
  <c r="G1186" i="1" s="1"/>
  <c r="G1185" i="1" a="1"/>
  <c r="G1185" i="1" s="1"/>
  <c r="G1184" i="1" a="1"/>
  <c r="G1184" i="1" s="1"/>
  <c r="G1183" i="1" a="1"/>
  <c r="G1183" i="1" s="1"/>
  <c r="G1182" i="1" a="1"/>
  <c r="G1182" i="1" s="1"/>
  <c r="G1181" i="1" a="1"/>
  <c r="G1181" i="1" s="1"/>
  <c r="G1180" i="1" a="1"/>
  <c r="G1180" i="1" s="1"/>
  <c r="G1179" i="1" a="1"/>
  <c r="G1179" i="1" s="1"/>
  <c r="G1178" i="1" a="1"/>
  <c r="G1178" i="1" s="1"/>
  <c r="G1177" i="1" a="1"/>
  <c r="G1177" i="1" s="1"/>
  <c r="G1176" i="1" a="1"/>
  <c r="G1176" i="1" s="1"/>
  <c r="G1175" i="1" a="1"/>
  <c r="G1175" i="1" s="1"/>
  <c r="G1174" i="1" a="1"/>
  <c r="G1174" i="1" s="1"/>
  <c r="G1173" i="1" a="1"/>
  <c r="G1173" i="1" s="1"/>
  <c r="G1172" i="1" a="1"/>
  <c r="G1172" i="1" s="1"/>
  <c r="G1171" i="1" a="1"/>
  <c r="G1171" i="1" s="1"/>
  <c r="G1170" i="1" a="1"/>
  <c r="G1170" i="1" s="1"/>
  <c r="H1170" i="1" s="1"/>
  <c r="I1170" i="1" s="1"/>
  <c r="J1171" i="1" s="1"/>
  <c r="G1169" i="1" a="1"/>
  <c r="G1169" i="1" s="1"/>
  <c r="G1168" i="1" a="1"/>
  <c r="G1168" i="1" s="1"/>
  <c r="G1167" i="1" a="1"/>
  <c r="G1167" i="1" s="1"/>
  <c r="G1166" i="1" a="1"/>
  <c r="G1166" i="1" s="1"/>
  <c r="G1165" i="1" a="1"/>
  <c r="G1165" i="1" s="1"/>
  <c r="G1164" i="1" a="1"/>
  <c r="G1164" i="1" s="1"/>
  <c r="G1163" i="1" a="1"/>
  <c r="G1163" i="1" s="1"/>
  <c r="G1162" i="1" a="1"/>
  <c r="G1162" i="1" s="1"/>
  <c r="G1161" i="1" a="1"/>
  <c r="G1161" i="1" s="1"/>
  <c r="G1160" i="1" a="1"/>
  <c r="G1160" i="1"/>
  <c r="G1159" i="1" a="1"/>
  <c r="G1159" i="1" s="1"/>
  <c r="G1158" i="1" a="1"/>
  <c r="G1158" i="1" s="1"/>
  <c r="G1157" i="1" a="1"/>
  <c r="G1157" i="1"/>
  <c r="G1156" i="1" a="1"/>
  <c r="G1156" i="1"/>
  <c r="G1155" i="1" a="1"/>
  <c r="G1155" i="1" s="1"/>
  <c r="G1154" i="1" a="1"/>
  <c r="G1154" i="1" s="1"/>
  <c r="G1153" i="1" a="1"/>
  <c r="G1153" i="1" s="1"/>
  <c r="G1152" i="1" a="1"/>
  <c r="G1152" i="1" s="1"/>
  <c r="G1151" i="1" a="1"/>
  <c r="G1151" i="1" s="1"/>
  <c r="G1150" i="1" a="1"/>
  <c r="G1150" i="1" s="1"/>
  <c r="G1149" i="1" a="1"/>
  <c r="G1149" i="1" s="1"/>
  <c r="G1148" i="1" a="1"/>
  <c r="G1148" i="1" s="1"/>
  <c r="G1147" i="1" a="1"/>
  <c r="G1147" i="1" s="1"/>
  <c r="G1146" i="1" a="1"/>
  <c r="G1146" i="1" s="1"/>
  <c r="G1145" i="1" a="1"/>
  <c r="G1145" i="1" s="1"/>
  <c r="G1144" i="1" a="1"/>
  <c r="G1144" i="1" s="1"/>
  <c r="G1143" i="1" a="1"/>
  <c r="G1143" i="1" s="1"/>
  <c r="G1142" i="1" a="1"/>
  <c r="G1142" i="1" s="1"/>
  <c r="G1141" i="1" a="1"/>
  <c r="G1141" i="1" s="1"/>
  <c r="G1140" i="1" a="1"/>
  <c r="G1140" i="1" s="1"/>
  <c r="G1139" i="1" a="1"/>
  <c r="G1139" i="1" s="1"/>
  <c r="G1138" i="1" a="1"/>
  <c r="G1138" i="1" s="1"/>
  <c r="G1137" i="1" a="1"/>
  <c r="G1137" i="1" s="1"/>
  <c r="G1136" i="1" a="1"/>
  <c r="G1136" i="1" s="1"/>
  <c r="G1135" i="1" a="1"/>
  <c r="G1135" i="1" s="1"/>
  <c r="G1134" i="1" a="1"/>
  <c r="G1134" i="1" s="1"/>
  <c r="G1133" i="1" a="1"/>
  <c r="G1133" i="1" s="1"/>
  <c r="G1132" i="1" a="1"/>
  <c r="G1132" i="1"/>
  <c r="G1131" i="1" a="1"/>
  <c r="G1131" i="1" s="1"/>
  <c r="G1130" i="1" a="1"/>
  <c r="G1130" i="1" s="1"/>
  <c r="G1129" i="1" a="1"/>
  <c r="G1129" i="1" s="1"/>
  <c r="G1128" i="1" a="1"/>
  <c r="G1128" i="1" s="1"/>
  <c r="G1127" i="1" a="1"/>
  <c r="G1127" i="1" s="1"/>
  <c r="G1126" i="1" a="1"/>
  <c r="G1126" i="1" s="1"/>
  <c r="G1125" i="1" a="1"/>
  <c r="G1125" i="1" s="1"/>
  <c r="G1124" i="1" a="1"/>
  <c r="G1124" i="1" s="1"/>
  <c r="G1123" i="1" a="1"/>
  <c r="G1123" i="1" s="1"/>
  <c r="G1122" i="1" a="1"/>
  <c r="G1122" i="1" s="1"/>
  <c r="G1121" i="1" a="1"/>
  <c r="G1121" i="1" s="1"/>
  <c r="G1120" i="1" a="1"/>
  <c r="G1120" i="1"/>
  <c r="G1119" i="1" a="1"/>
  <c r="G1119" i="1" s="1"/>
  <c r="G1118" i="1" a="1"/>
  <c r="G1118" i="1" s="1"/>
  <c r="G1117" i="1" a="1"/>
  <c r="G1117" i="1" s="1"/>
  <c r="G1116" i="1" a="1"/>
  <c r="G1116" i="1" s="1"/>
  <c r="G1115" i="1" a="1"/>
  <c r="G1115" i="1" s="1"/>
  <c r="G1114" i="1" a="1"/>
  <c r="G1114" i="1" s="1"/>
  <c r="G1113" i="1" a="1"/>
  <c r="G1113" i="1" s="1"/>
  <c r="G1112" i="1" a="1"/>
  <c r="G1112" i="1" s="1"/>
  <c r="G1111" i="1" a="1"/>
  <c r="G1111" i="1" s="1"/>
  <c r="G1110" i="1" a="1"/>
  <c r="G1110" i="1" s="1"/>
  <c r="G1109" i="1" a="1"/>
  <c r="G1109" i="1" s="1"/>
  <c r="G1108" i="1" a="1"/>
  <c r="G1108" i="1" s="1"/>
  <c r="G1107" i="1" a="1"/>
  <c r="G1107" i="1" s="1"/>
  <c r="G1106" i="1" a="1"/>
  <c r="G1106" i="1" s="1"/>
  <c r="G1105" i="1" a="1"/>
  <c r="G1105" i="1" s="1"/>
  <c r="G1104" i="1" a="1"/>
  <c r="G1104" i="1" s="1"/>
  <c r="G1103" i="1" a="1"/>
  <c r="G1103" i="1"/>
  <c r="G1102" i="1" a="1"/>
  <c r="G1102" i="1"/>
  <c r="G1101" i="1" a="1"/>
  <c r="G1101" i="1" s="1"/>
  <c r="G1100" i="1" a="1"/>
  <c r="G1100" i="1" s="1"/>
  <c r="G1099" i="1" a="1"/>
  <c r="G1099" i="1" s="1"/>
  <c r="G1098" i="1" a="1"/>
  <c r="G1098" i="1" s="1"/>
  <c r="G1097" i="1" a="1"/>
  <c r="G1097" i="1" s="1"/>
  <c r="G1096" i="1" a="1"/>
  <c r="G1096" i="1" s="1"/>
  <c r="G1095" i="1" a="1"/>
  <c r="G1095" i="1" s="1"/>
  <c r="G1094" i="1" a="1"/>
  <c r="G1094" i="1" s="1"/>
  <c r="G1093" i="1" a="1"/>
  <c r="G1093" i="1" s="1"/>
  <c r="G1092" i="1" a="1"/>
  <c r="G1092" i="1" s="1"/>
  <c r="G1091" i="1" a="1"/>
  <c r="G1091" i="1" s="1"/>
  <c r="G1090" i="1" a="1"/>
  <c r="G1090" i="1" s="1"/>
  <c r="G1089" i="1" a="1"/>
  <c r="G1089" i="1" s="1"/>
  <c r="G1088" i="1" a="1"/>
  <c r="G1088" i="1" s="1"/>
  <c r="G1087" i="1" a="1"/>
  <c r="G1087" i="1" s="1"/>
  <c r="G1086" i="1" a="1"/>
  <c r="G1086" i="1" s="1"/>
  <c r="G1085" i="1" a="1"/>
  <c r="G1085" i="1" s="1"/>
  <c r="G1084" i="1" a="1"/>
  <c r="G1084" i="1" s="1"/>
  <c r="G1083" i="1" a="1"/>
  <c r="G1083" i="1" s="1"/>
  <c r="G1082" i="1" a="1"/>
  <c r="G1082" i="1" s="1"/>
  <c r="G1081" i="1" a="1"/>
  <c r="G1081" i="1" s="1"/>
  <c r="G1080" i="1" a="1"/>
  <c r="G1080" i="1" s="1"/>
  <c r="H1080" i="1" s="1"/>
  <c r="I1080" i="1" s="1"/>
  <c r="J1081" i="1" s="1"/>
  <c r="G1079" i="1" a="1"/>
  <c r="G1079" i="1" s="1"/>
  <c r="G1078" i="1" a="1"/>
  <c r="G1078" i="1" s="1"/>
  <c r="G1077" i="1" a="1"/>
  <c r="G1077" i="1" s="1"/>
  <c r="G1076" i="1" a="1"/>
  <c r="G1076" i="1" s="1"/>
  <c r="G1075" i="1" a="1"/>
  <c r="G1075" i="1" s="1"/>
  <c r="G1074" i="1" a="1"/>
  <c r="G1074" i="1" s="1"/>
  <c r="G1073" i="1" a="1"/>
  <c r="G1073" i="1" s="1"/>
  <c r="G1072" i="1" a="1"/>
  <c r="G1072" i="1" s="1"/>
  <c r="G1071" i="1" a="1"/>
  <c r="G1071" i="1" s="1"/>
  <c r="G1070" i="1" a="1"/>
  <c r="G1070" i="1" s="1"/>
  <c r="H1070" i="1" s="1"/>
  <c r="I1070" i="1" s="1"/>
  <c r="J1071" i="1" s="1"/>
  <c r="G1069" i="1" a="1"/>
  <c r="G1069" i="1" s="1"/>
  <c r="G1068" i="1" a="1"/>
  <c r="G1068" i="1"/>
  <c r="G1067" i="1" a="1"/>
  <c r="G1067" i="1" s="1"/>
  <c r="G1066" i="1" a="1"/>
  <c r="G1066" i="1" s="1"/>
  <c r="G1065" i="1" a="1"/>
  <c r="G1065" i="1" s="1"/>
  <c r="G1064" i="1" a="1"/>
  <c r="G1064" i="1" s="1"/>
  <c r="G1063" i="1" a="1"/>
  <c r="G1063" i="1" s="1"/>
  <c r="G1062" i="1" a="1"/>
  <c r="G1062" i="1" s="1"/>
  <c r="G1061" i="1" a="1"/>
  <c r="G1061" i="1" s="1"/>
  <c r="G1060" i="1" a="1"/>
  <c r="G1060" i="1" s="1"/>
  <c r="G1059" i="1" a="1"/>
  <c r="G1059" i="1" s="1"/>
  <c r="G1058" i="1" a="1"/>
  <c r="G1058" i="1" s="1"/>
  <c r="G1057" i="1" a="1"/>
  <c r="G1057" i="1" s="1"/>
  <c r="G1056" i="1" a="1"/>
  <c r="G1056" i="1" s="1"/>
  <c r="G1055" i="1" a="1"/>
  <c r="G1055" i="1" s="1"/>
  <c r="G1054" i="1" a="1"/>
  <c r="G1054" i="1" s="1"/>
  <c r="G1053" i="1" a="1"/>
  <c r="G1053" i="1" s="1"/>
  <c r="G1052" i="1" a="1"/>
  <c r="G1052" i="1" s="1"/>
  <c r="G1051" i="1" a="1"/>
  <c r="G1051" i="1"/>
  <c r="G1050" i="1" a="1"/>
  <c r="G1050" i="1" s="1"/>
  <c r="G1049" i="1" a="1"/>
  <c r="G1049" i="1" s="1"/>
  <c r="G1048" i="1" a="1"/>
  <c r="G1048" i="1" s="1"/>
  <c r="G1047" i="1" a="1"/>
  <c r="G1047" i="1" s="1"/>
  <c r="G1046" i="1" a="1"/>
  <c r="G1046" i="1" s="1"/>
  <c r="G1045" i="1" a="1"/>
  <c r="G1045" i="1" s="1"/>
  <c r="G1044" i="1" a="1"/>
  <c r="G1044" i="1" s="1"/>
  <c r="G1043" i="1" a="1"/>
  <c r="G1043" i="1" s="1"/>
  <c r="G1042" i="1" a="1"/>
  <c r="G1042" i="1" s="1"/>
  <c r="G1041" i="1" a="1"/>
  <c r="G1041" i="1" s="1"/>
  <c r="G1040" i="1" a="1"/>
  <c r="G1040" i="1" s="1"/>
  <c r="G1039" i="1" a="1"/>
  <c r="G1039" i="1" s="1"/>
  <c r="G1038" i="1" a="1"/>
  <c r="G1038" i="1" s="1"/>
  <c r="G1037" i="1" a="1"/>
  <c r="G1037" i="1" s="1"/>
  <c r="G1036" i="1" a="1"/>
  <c r="G1036" i="1" s="1"/>
  <c r="G1035" i="1" a="1"/>
  <c r="G1035" i="1" s="1"/>
  <c r="G1034" i="1" a="1"/>
  <c r="G1034" i="1" s="1"/>
  <c r="G1033" i="1" a="1"/>
  <c r="G1033" i="1" s="1"/>
  <c r="G1032" i="1" a="1"/>
  <c r="G1032" i="1" s="1"/>
  <c r="G1031" i="1" a="1"/>
  <c r="G1031" i="1" s="1"/>
  <c r="G1030" i="1" a="1"/>
  <c r="G1030" i="1" s="1"/>
  <c r="H1030" i="1" s="1"/>
  <c r="I1030" i="1" s="1"/>
  <c r="J1031" i="1" s="1"/>
  <c r="G1029" i="1" a="1"/>
  <c r="G1029" i="1" s="1"/>
  <c r="G1028" i="1" a="1"/>
  <c r="G1028" i="1" s="1"/>
  <c r="G1027" i="1" a="1"/>
  <c r="G1027" i="1" s="1"/>
  <c r="G1026" i="1" a="1"/>
  <c r="G1026" i="1" s="1"/>
  <c r="G1025" i="1" a="1"/>
  <c r="G1025" i="1" s="1"/>
  <c r="G1024" i="1" a="1"/>
  <c r="G1024" i="1" s="1"/>
  <c r="G1023" i="1" a="1"/>
  <c r="G1023" i="1" s="1"/>
  <c r="G1022" i="1" a="1"/>
  <c r="G1022" i="1" s="1"/>
  <c r="G1021" i="1" a="1"/>
  <c r="G1021" i="1" s="1"/>
  <c r="G1020" i="1" a="1"/>
  <c r="G1020" i="1" s="1"/>
  <c r="G1019" i="1" a="1"/>
  <c r="G1019" i="1" s="1"/>
  <c r="G1018" i="1" a="1"/>
  <c r="G1018" i="1" s="1"/>
  <c r="G1017" i="1" a="1"/>
  <c r="G1017" i="1" s="1"/>
  <c r="G1016" i="1" a="1"/>
  <c r="G1016" i="1"/>
  <c r="G1015" i="1" a="1"/>
  <c r="G1015" i="1" s="1"/>
  <c r="G1014" i="1" a="1"/>
  <c r="G1014" i="1" s="1"/>
  <c r="G1013" i="1" a="1"/>
  <c r="G1013" i="1" s="1"/>
  <c r="G1012" i="1" a="1"/>
  <c r="G1012" i="1" s="1"/>
  <c r="G1011" i="1" a="1"/>
  <c r="G1011" i="1" s="1"/>
  <c r="G1010" i="1" a="1"/>
  <c r="G1010" i="1" s="1"/>
  <c r="G1009" i="1" a="1"/>
  <c r="G1009" i="1" s="1"/>
  <c r="G1008" i="1" a="1"/>
  <c r="G1008" i="1" s="1"/>
  <c r="G1007" i="1" a="1"/>
  <c r="G1007" i="1" s="1"/>
  <c r="G1006" i="1" a="1"/>
  <c r="G1006" i="1" s="1"/>
  <c r="G1005" i="1" a="1"/>
  <c r="G1005" i="1" s="1"/>
  <c r="G1004" i="1" a="1"/>
  <c r="G1004" i="1" s="1"/>
  <c r="G1003" i="1" a="1"/>
  <c r="G1003" i="1" s="1"/>
  <c r="G1002" i="1" a="1"/>
  <c r="G1002" i="1" s="1"/>
  <c r="G1001" i="1" a="1"/>
  <c r="G1001" i="1" s="1"/>
  <c r="G1000" i="1" a="1"/>
  <c r="G1000" i="1" s="1"/>
  <c r="G999" i="1" a="1"/>
  <c r="G999" i="1" s="1"/>
  <c r="G998" i="1" a="1"/>
  <c r="G998" i="1" s="1"/>
  <c r="G997" i="1" a="1"/>
  <c r="G997" i="1" s="1"/>
  <c r="G996" i="1" a="1"/>
  <c r="G996" i="1" s="1"/>
  <c r="G995" i="1" a="1"/>
  <c r="G995" i="1" s="1"/>
  <c r="G994" i="1" a="1"/>
  <c r="G994" i="1" s="1"/>
  <c r="G993" i="1" a="1"/>
  <c r="G993" i="1"/>
  <c r="G992" i="1" a="1"/>
  <c r="G992" i="1" s="1"/>
  <c r="G991" i="1" a="1"/>
  <c r="G991" i="1"/>
  <c r="G990" i="1" a="1"/>
  <c r="G990" i="1" s="1"/>
  <c r="G989" i="1" a="1"/>
  <c r="G989" i="1" s="1"/>
  <c r="G988" i="1" a="1"/>
  <c r="G988" i="1" s="1"/>
  <c r="G987" i="1" a="1"/>
  <c r="G987" i="1" s="1"/>
  <c r="G986" i="1" a="1"/>
  <c r="G986" i="1" s="1"/>
  <c r="G985" i="1" a="1"/>
  <c r="G985" i="1" s="1"/>
  <c r="G984" i="1" a="1"/>
  <c r="G984" i="1" s="1"/>
  <c r="G983" i="1" a="1"/>
  <c r="G983" i="1" s="1"/>
  <c r="G982" i="1" a="1"/>
  <c r="G982" i="1" s="1"/>
  <c r="G981" i="1" a="1"/>
  <c r="G981" i="1" s="1"/>
  <c r="G980" i="1" a="1"/>
  <c r="G980" i="1"/>
  <c r="G979" i="1" a="1"/>
  <c r="G979" i="1" s="1"/>
  <c r="G978" i="1" a="1"/>
  <c r="G978" i="1" s="1"/>
  <c r="G977" i="1" a="1"/>
  <c r="G977" i="1" s="1"/>
  <c r="G976" i="1" a="1"/>
  <c r="G976" i="1"/>
  <c r="G975" i="1" a="1"/>
  <c r="G975" i="1" s="1"/>
  <c r="G974" i="1" a="1"/>
  <c r="G974" i="1" s="1"/>
  <c r="G973" i="1" a="1"/>
  <c r="G973" i="1" s="1"/>
  <c r="G972" i="1" a="1"/>
  <c r="G972" i="1" s="1"/>
  <c r="G971" i="1" a="1"/>
  <c r="G971" i="1" s="1"/>
  <c r="G970" i="1" a="1"/>
  <c r="G970" i="1" s="1"/>
  <c r="G969" i="1" a="1"/>
  <c r="G969" i="1" s="1"/>
  <c r="G968" i="1" a="1"/>
  <c r="G968" i="1" s="1"/>
  <c r="G967" i="1" a="1"/>
  <c r="G967" i="1" s="1"/>
  <c r="G966" i="1" a="1"/>
  <c r="G966" i="1" s="1"/>
  <c r="G965" i="1" a="1"/>
  <c r="G965" i="1" s="1"/>
  <c r="G964" i="1" a="1"/>
  <c r="G964" i="1" s="1"/>
  <c r="G963" i="1" a="1"/>
  <c r="G963" i="1" s="1"/>
  <c r="G962" i="1" a="1"/>
  <c r="G962" i="1" s="1"/>
  <c r="G961" i="1" a="1"/>
  <c r="G961" i="1" s="1"/>
  <c r="G960" i="1" a="1"/>
  <c r="G960" i="1" s="1"/>
  <c r="G959" i="1" a="1"/>
  <c r="G959" i="1" s="1"/>
  <c r="G958" i="1" a="1"/>
  <c r="G958" i="1" s="1"/>
  <c r="G957" i="1" a="1"/>
  <c r="G957" i="1" s="1"/>
  <c r="G956" i="1" a="1"/>
  <c r="G956" i="1" s="1"/>
  <c r="G955" i="1" a="1"/>
  <c r="G955" i="1"/>
  <c r="G954" i="1" a="1"/>
  <c r="G954" i="1" s="1"/>
  <c r="G953" i="1" a="1"/>
  <c r="G953" i="1" s="1"/>
  <c r="G952" i="1" a="1"/>
  <c r="G952" i="1" s="1"/>
  <c r="G951" i="1" a="1"/>
  <c r="G951" i="1" s="1"/>
  <c r="G950" i="1" a="1"/>
  <c r="G950" i="1" s="1"/>
  <c r="G949" i="1" a="1"/>
  <c r="G949" i="1" s="1"/>
  <c r="G948" i="1" a="1"/>
  <c r="G948" i="1" s="1"/>
  <c r="G947" i="1" a="1"/>
  <c r="G947" i="1" s="1"/>
  <c r="G946" i="1" a="1"/>
  <c r="G946" i="1" s="1"/>
  <c r="G945" i="1" a="1"/>
  <c r="G945" i="1" s="1"/>
  <c r="G944" i="1" a="1"/>
  <c r="G944" i="1" s="1"/>
  <c r="G943" i="1" a="1"/>
  <c r="G943" i="1" s="1"/>
  <c r="G942" i="1" a="1"/>
  <c r="G942" i="1" s="1"/>
  <c r="G941" i="1" a="1"/>
  <c r="G941" i="1" s="1"/>
  <c r="G940" i="1" a="1"/>
  <c r="G940" i="1" s="1"/>
  <c r="G939" i="1" a="1"/>
  <c r="G939" i="1" s="1"/>
  <c r="G938" i="1" a="1"/>
  <c r="G938" i="1" s="1"/>
  <c r="G937" i="1" a="1"/>
  <c r="G937" i="1" s="1"/>
  <c r="G936" i="1" a="1"/>
  <c r="G936" i="1" s="1"/>
  <c r="G935" i="1" a="1"/>
  <c r="G935" i="1" s="1"/>
  <c r="G934" i="1" a="1"/>
  <c r="G934" i="1" s="1"/>
  <c r="G933" i="1" a="1"/>
  <c r="G933" i="1" s="1"/>
  <c r="G932" i="1" a="1"/>
  <c r="G932" i="1" s="1"/>
  <c r="G931" i="1" a="1"/>
  <c r="G931" i="1" s="1"/>
  <c r="G930" i="1" a="1"/>
  <c r="G930" i="1"/>
  <c r="G929" i="1" a="1"/>
  <c r="G929" i="1" s="1"/>
  <c r="G928" i="1" a="1"/>
  <c r="G928" i="1" s="1"/>
  <c r="G927" i="1" a="1"/>
  <c r="G927" i="1" s="1"/>
  <c r="G926" i="1" a="1"/>
  <c r="G926" i="1" s="1"/>
  <c r="G925" i="1" a="1"/>
  <c r="G925" i="1" s="1"/>
  <c r="G924" i="1" a="1"/>
  <c r="G924" i="1" s="1"/>
  <c r="G923" i="1" a="1"/>
  <c r="G923" i="1" s="1"/>
  <c r="G922" i="1" a="1"/>
  <c r="G922" i="1" s="1"/>
  <c r="G921" i="1" a="1"/>
  <c r="G921" i="1" s="1"/>
  <c r="G920" i="1" a="1"/>
  <c r="G920" i="1" s="1"/>
  <c r="G919" i="1" a="1"/>
  <c r="G919" i="1" s="1"/>
  <c r="G918" i="1" a="1"/>
  <c r="G918" i="1" s="1"/>
  <c r="G917" i="1" a="1"/>
  <c r="G917" i="1" s="1"/>
  <c r="G916" i="1" a="1"/>
  <c r="G916" i="1"/>
  <c r="G915" i="1" a="1"/>
  <c r="G915" i="1" s="1"/>
  <c r="G914" i="1" a="1"/>
  <c r="G914" i="1" s="1"/>
  <c r="G913" i="1" a="1"/>
  <c r="G913" i="1" s="1"/>
  <c r="G912" i="1" a="1"/>
  <c r="G912" i="1" s="1"/>
  <c r="G911" i="1" a="1"/>
  <c r="G911" i="1" s="1"/>
  <c r="G910" i="1" a="1"/>
  <c r="G910" i="1" s="1"/>
  <c r="G909" i="1" a="1"/>
  <c r="G909" i="1" s="1"/>
  <c r="G908" i="1" a="1"/>
  <c r="G908" i="1" s="1"/>
  <c r="G907" i="1" a="1"/>
  <c r="G907" i="1" s="1"/>
  <c r="G906" i="1" a="1"/>
  <c r="G906" i="1" s="1"/>
  <c r="G905" i="1" a="1"/>
  <c r="G905" i="1" s="1"/>
  <c r="G904" i="1" a="1"/>
  <c r="G904" i="1" s="1"/>
  <c r="G903" i="1" a="1"/>
  <c r="G903" i="1" s="1"/>
  <c r="G902" i="1" a="1"/>
  <c r="G902" i="1" s="1"/>
  <c r="G901" i="1" a="1"/>
  <c r="G901" i="1" s="1"/>
  <c r="G900" i="1" a="1"/>
  <c r="G900" i="1" s="1"/>
  <c r="G899" i="1" a="1"/>
  <c r="G899" i="1" s="1"/>
  <c r="G898" i="1" a="1"/>
  <c r="G898" i="1" s="1"/>
  <c r="G897" i="1" a="1"/>
  <c r="G897" i="1" s="1"/>
  <c r="G896" i="1" a="1"/>
  <c r="G896" i="1" s="1"/>
  <c r="G895" i="1" a="1"/>
  <c r="G895" i="1" s="1"/>
  <c r="G894" i="1" a="1"/>
  <c r="G894" i="1" s="1"/>
  <c r="G893" i="1" a="1"/>
  <c r="G893" i="1"/>
  <c r="G892" i="1" a="1"/>
  <c r="G892" i="1" s="1"/>
  <c r="G891" i="1" a="1"/>
  <c r="G891" i="1"/>
  <c r="G890" i="1" a="1"/>
  <c r="G890" i="1" s="1"/>
  <c r="G889" i="1" a="1"/>
  <c r="G889" i="1" s="1"/>
  <c r="G888" i="1" a="1"/>
  <c r="G888" i="1" s="1"/>
  <c r="G887" i="1" a="1"/>
  <c r="G887" i="1" s="1"/>
  <c r="G886" i="1" a="1"/>
  <c r="G886" i="1" s="1"/>
  <c r="G885" i="1" a="1"/>
  <c r="G885" i="1" s="1"/>
  <c r="G884" i="1" a="1"/>
  <c r="G884" i="1" s="1"/>
  <c r="G883" i="1" a="1"/>
  <c r="G883" i="1"/>
  <c r="G882" i="1" a="1"/>
  <c r="G882" i="1" s="1"/>
  <c r="G881" i="1" a="1"/>
  <c r="G881" i="1" s="1"/>
  <c r="G880" i="1" a="1"/>
  <c r="G880" i="1" s="1"/>
  <c r="G879" i="1" a="1"/>
  <c r="G879" i="1" s="1"/>
  <c r="G878" i="1" a="1"/>
  <c r="G878" i="1" s="1"/>
  <c r="G877" i="1" a="1"/>
  <c r="G877" i="1" s="1"/>
  <c r="G876" i="1" a="1"/>
  <c r="G876" i="1" s="1"/>
  <c r="G875" i="1" a="1"/>
  <c r="G875" i="1" s="1"/>
  <c r="G874" i="1" a="1"/>
  <c r="G874" i="1" s="1"/>
  <c r="G873" i="1" a="1"/>
  <c r="G873" i="1" s="1"/>
  <c r="G872" i="1" a="1"/>
  <c r="G872" i="1" s="1"/>
  <c r="G871" i="1" a="1"/>
  <c r="G871" i="1" s="1"/>
  <c r="G870" i="1" a="1"/>
  <c r="G870" i="1" s="1"/>
  <c r="G869" i="1" a="1"/>
  <c r="G869" i="1" s="1"/>
  <c r="G868" i="1" a="1"/>
  <c r="G868" i="1" s="1"/>
  <c r="G867" i="1" a="1"/>
  <c r="G867" i="1" s="1"/>
  <c r="G866" i="1" a="1"/>
  <c r="G866" i="1" s="1"/>
  <c r="G865" i="1" a="1"/>
  <c r="G865" i="1" s="1"/>
  <c r="G864" i="1" a="1"/>
  <c r="G864" i="1" s="1"/>
  <c r="G863" i="1" a="1"/>
  <c r="G863" i="1" s="1"/>
  <c r="G862" i="1" a="1"/>
  <c r="G862" i="1" s="1"/>
  <c r="G861" i="1" a="1"/>
  <c r="G861" i="1" s="1"/>
  <c r="G860" i="1" a="1"/>
  <c r="G860" i="1" s="1"/>
  <c r="G859" i="1" a="1"/>
  <c r="G859" i="1" s="1"/>
  <c r="G858" i="1" a="1"/>
  <c r="G858" i="1" s="1"/>
  <c r="G857" i="1" a="1"/>
  <c r="G857" i="1" s="1"/>
  <c r="G856" i="1" a="1"/>
  <c r="G856" i="1" s="1"/>
  <c r="G855" i="1" a="1"/>
  <c r="G855" i="1" s="1"/>
  <c r="G854" i="1" a="1"/>
  <c r="G854" i="1" s="1"/>
  <c r="G853" i="1" a="1"/>
  <c r="G853" i="1" s="1"/>
  <c r="G852" i="1" a="1"/>
  <c r="G852" i="1" s="1"/>
  <c r="G851" i="1" a="1"/>
  <c r="G851" i="1" s="1"/>
  <c r="G850" i="1" a="1"/>
  <c r="G850" i="1" s="1"/>
  <c r="G849" i="1" a="1"/>
  <c r="G849" i="1" s="1"/>
  <c r="G848" i="1" a="1"/>
  <c r="G848" i="1" s="1"/>
  <c r="G847" i="1" a="1"/>
  <c r="G847" i="1" s="1"/>
  <c r="G846" i="1" a="1"/>
  <c r="G846" i="1" s="1"/>
  <c r="G845" i="1" a="1"/>
  <c r="G845" i="1" s="1"/>
  <c r="G844" i="1" a="1"/>
  <c r="G844" i="1" s="1"/>
  <c r="G843" i="1" a="1"/>
  <c r="G843" i="1"/>
  <c r="G842" i="1" a="1"/>
  <c r="G842" i="1" s="1"/>
  <c r="G841" i="1" a="1"/>
  <c r="G841" i="1" s="1"/>
  <c r="G840" i="1" a="1"/>
  <c r="G840" i="1" s="1"/>
  <c r="G839" i="1" a="1"/>
  <c r="G839" i="1" s="1"/>
  <c r="G838" i="1" a="1"/>
  <c r="G838" i="1" s="1"/>
  <c r="G837" i="1" a="1"/>
  <c r="G837" i="1" s="1"/>
  <c r="G836" i="1" a="1"/>
  <c r="G836" i="1" s="1"/>
  <c r="G835" i="1" a="1"/>
  <c r="G835" i="1" s="1"/>
  <c r="G834" i="1" a="1"/>
  <c r="G834" i="1" s="1"/>
  <c r="G833" i="1" a="1"/>
  <c r="G833" i="1" s="1"/>
  <c r="G832" i="1" a="1"/>
  <c r="G832" i="1" s="1"/>
  <c r="G831" i="1" a="1"/>
  <c r="G831" i="1" s="1"/>
  <c r="G830" i="1" a="1"/>
  <c r="G830" i="1" s="1"/>
  <c r="G829" i="1" a="1"/>
  <c r="G829" i="1" s="1"/>
  <c r="G828" i="1" a="1"/>
  <c r="G828" i="1" s="1"/>
  <c r="G827" i="1" a="1"/>
  <c r="G827" i="1" s="1"/>
  <c r="G826" i="1" a="1"/>
  <c r="G826" i="1" s="1"/>
  <c r="G825" i="1" a="1"/>
  <c r="G825" i="1" s="1"/>
  <c r="G824" i="1" a="1"/>
  <c r="G824" i="1" s="1"/>
  <c r="G823" i="1" a="1"/>
  <c r="G823" i="1" s="1"/>
  <c r="G822" i="1" a="1"/>
  <c r="G822" i="1" s="1"/>
  <c r="G821" i="1" a="1"/>
  <c r="G821" i="1" s="1"/>
  <c r="G820" i="1" a="1"/>
  <c r="G820" i="1" s="1"/>
  <c r="G819" i="1" a="1"/>
  <c r="G819" i="1"/>
  <c r="G818" i="1" a="1"/>
  <c r="G818" i="1" s="1"/>
  <c r="G817" i="1" a="1"/>
  <c r="G817" i="1" s="1"/>
  <c r="G816" i="1" a="1"/>
  <c r="G816" i="1" s="1"/>
  <c r="G815" i="1" a="1"/>
  <c r="G815" i="1"/>
  <c r="G814" i="1" a="1"/>
  <c r="G814" i="1" s="1"/>
  <c r="G813" i="1" a="1"/>
  <c r="G813" i="1" s="1"/>
  <c r="G812" i="1" a="1"/>
  <c r="G812" i="1" s="1"/>
  <c r="G811" i="1" a="1"/>
  <c r="G811" i="1" s="1"/>
  <c r="G810" i="1" a="1"/>
  <c r="G810" i="1" s="1"/>
  <c r="G809" i="1" a="1"/>
  <c r="G809" i="1" s="1"/>
  <c r="G808" i="1" a="1"/>
  <c r="G808" i="1" s="1"/>
  <c r="G807" i="1" a="1"/>
  <c r="G807" i="1" s="1"/>
  <c r="G806" i="1" a="1"/>
  <c r="G806" i="1" s="1"/>
  <c r="G805" i="1" a="1"/>
  <c r="G805" i="1" s="1"/>
  <c r="G804" i="1" a="1"/>
  <c r="G804" i="1" s="1"/>
  <c r="G803" i="1" a="1"/>
  <c r="G803" i="1" s="1"/>
  <c r="G802" i="1" a="1"/>
  <c r="G802" i="1" s="1"/>
  <c r="G801" i="1" a="1"/>
  <c r="G801" i="1" s="1"/>
  <c r="G800" i="1" a="1"/>
  <c r="G800" i="1" s="1"/>
  <c r="G799" i="1" a="1"/>
  <c r="G799" i="1" s="1"/>
  <c r="G798" i="1" a="1"/>
  <c r="G798" i="1" s="1"/>
  <c r="G797" i="1" a="1"/>
  <c r="G797" i="1" s="1"/>
  <c r="G796" i="1" a="1"/>
  <c r="G796" i="1" s="1"/>
  <c r="G795" i="1" a="1"/>
  <c r="G795" i="1" s="1"/>
  <c r="G794" i="1" a="1"/>
  <c r="G794" i="1" s="1"/>
  <c r="G793" i="1" a="1"/>
  <c r="G793" i="1" s="1"/>
  <c r="G792" i="1" a="1"/>
  <c r="G792" i="1" s="1"/>
  <c r="G791" i="1" a="1"/>
  <c r="G791" i="1" s="1"/>
  <c r="G790" i="1" a="1"/>
  <c r="G790" i="1" s="1"/>
  <c r="G789" i="1" a="1"/>
  <c r="G789" i="1" s="1"/>
  <c r="G788" i="1" a="1"/>
  <c r="G788" i="1" s="1"/>
  <c r="G787" i="1" a="1"/>
  <c r="G787" i="1" s="1"/>
  <c r="G786" i="1" a="1"/>
  <c r="G786" i="1" s="1"/>
  <c r="G785" i="1" a="1"/>
  <c r="G785" i="1" s="1"/>
  <c r="G784" i="1" a="1"/>
  <c r="G784" i="1" s="1"/>
  <c r="G783" i="1" a="1"/>
  <c r="G783" i="1" s="1"/>
  <c r="G782" i="1" a="1"/>
  <c r="G782" i="1" s="1"/>
  <c r="G781" i="1" a="1"/>
  <c r="G781" i="1" s="1"/>
  <c r="G780" i="1" a="1"/>
  <c r="G780" i="1" s="1"/>
  <c r="G779" i="1" a="1"/>
  <c r="G779" i="1" s="1"/>
  <c r="G778" i="1" a="1"/>
  <c r="G778" i="1" s="1"/>
  <c r="G777" i="1" a="1"/>
  <c r="G777" i="1" s="1"/>
  <c r="G776" i="1" a="1"/>
  <c r="G776" i="1" s="1"/>
  <c r="G775" i="1" a="1"/>
  <c r="G775" i="1" s="1"/>
  <c r="G774" i="1" a="1"/>
  <c r="G774" i="1" s="1"/>
  <c r="G773" i="1" a="1"/>
  <c r="G773" i="1" s="1"/>
  <c r="G772" i="1" a="1"/>
  <c r="G772" i="1" s="1"/>
  <c r="G771" i="1" a="1"/>
  <c r="G771" i="1" s="1"/>
  <c r="G770" i="1" a="1"/>
  <c r="G770" i="1" s="1"/>
  <c r="G769" i="1" a="1"/>
  <c r="G769" i="1" s="1"/>
  <c r="G768" i="1" a="1"/>
  <c r="G768" i="1" s="1"/>
  <c r="G767" i="1" a="1"/>
  <c r="G767" i="1" s="1"/>
  <c r="G766" i="1" a="1"/>
  <c r="G766" i="1" s="1"/>
  <c r="G765" i="1" a="1"/>
  <c r="G765" i="1" s="1"/>
  <c r="G764" i="1" a="1"/>
  <c r="G764" i="1" s="1"/>
  <c r="G763" i="1" a="1"/>
  <c r="G763" i="1" s="1"/>
  <c r="G762" i="1" a="1"/>
  <c r="G762" i="1" s="1"/>
  <c r="G761" i="1" a="1"/>
  <c r="G761" i="1" s="1"/>
  <c r="G760" i="1" a="1"/>
  <c r="G760" i="1" s="1"/>
  <c r="G759" i="1" a="1"/>
  <c r="G759" i="1" s="1"/>
  <c r="G758" i="1" a="1"/>
  <c r="G758" i="1" s="1"/>
  <c r="G757" i="1" a="1"/>
  <c r="G757" i="1" s="1"/>
  <c r="G756" i="1" a="1"/>
  <c r="G756" i="1" s="1"/>
  <c r="G755" i="1" a="1"/>
  <c r="G755" i="1" s="1"/>
  <c r="G754" i="1" a="1"/>
  <c r="G754" i="1" s="1"/>
  <c r="G753" i="1" a="1"/>
  <c r="G753" i="1" s="1"/>
  <c r="G752" i="1" a="1"/>
  <c r="G752" i="1" s="1"/>
  <c r="G751" i="1" a="1"/>
  <c r="G751" i="1" s="1"/>
  <c r="G750" i="1" a="1"/>
  <c r="G750" i="1" s="1"/>
  <c r="G749" i="1" a="1"/>
  <c r="G749" i="1" s="1"/>
  <c r="G748" i="1" a="1"/>
  <c r="G748" i="1" s="1"/>
  <c r="G747" i="1" a="1"/>
  <c r="G747" i="1" s="1"/>
  <c r="G746" i="1" a="1"/>
  <c r="G746" i="1" s="1"/>
  <c r="G745" i="1" a="1"/>
  <c r="G745" i="1" s="1"/>
  <c r="G744" i="1" a="1"/>
  <c r="G744" i="1" s="1"/>
  <c r="G743" i="1" a="1"/>
  <c r="G743" i="1" s="1"/>
  <c r="G742" i="1" a="1"/>
  <c r="G742" i="1" s="1"/>
  <c r="G741" i="1" a="1"/>
  <c r="G741" i="1"/>
  <c r="G740" i="1" a="1"/>
  <c r="G740" i="1" s="1"/>
  <c r="G739" i="1" a="1"/>
  <c r="G739" i="1" s="1"/>
  <c r="G738" i="1" a="1"/>
  <c r="G738" i="1" s="1"/>
  <c r="G737" i="1" a="1"/>
  <c r="G737" i="1" s="1"/>
  <c r="G736" i="1" a="1"/>
  <c r="G736" i="1"/>
  <c r="G735" i="1" a="1"/>
  <c r="G735" i="1" s="1"/>
  <c r="G734" i="1" a="1"/>
  <c r="G734" i="1" s="1"/>
  <c r="G733" i="1" a="1"/>
  <c r="G733" i="1" s="1"/>
  <c r="G732" i="1" a="1"/>
  <c r="G732" i="1" s="1"/>
  <c r="G731" i="1" a="1"/>
  <c r="G731" i="1" s="1"/>
  <c r="G730" i="1" a="1"/>
  <c r="G730" i="1" s="1"/>
  <c r="H730" i="1" s="1"/>
  <c r="I730" i="1" s="1"/>
  <c r="J731" i="1" s="1"/>
  <c r="G729" i="1" a="1"/>
  <c r="G729" i="1"/>
  <c r="G728" i="1" a="1"/>
  <c r="G728" i="1" s="1"/>
  <c r="G727" i="1" a="1"/>
  <c r="G727" i="1" s="1"/>
  <c r="G726" i="1" a="1"/>
  <c r="G726" i="1" s="1"/>
  <c r="G725" i="1" a="1"/>
  <c r="G725" i="1" s="1"/>
  <c r="G724" i="1" a="1"/>
  <c r="G724" i="1" s="1"/>
  <c r="G723" i="1" a="1"/>
  <c r="G723" i="1" s="1"/>
  <c r="G722" i="1" a="1"/>
  <c r="G722" i="1" s="1"/>
  <c r="G721" i="1" a="1"/>
  <c r="G721" i="1" s="1"/>
  <c r="G720" i="1" a="1"/>
  <c r="G720" i="1" s="1"/>
  <c r="G719" i="1" a="1"/>
  <c r="G719" i="1" s="1"/>
  <c r="G718" i="1" a="1"/>
  <c r="G718" i="1" s="1"/>
  <c r="G717" i="1" a="1"/>
  <c r="G717" i="1" s="1"/>
  <c r="G716" i="1" a="1"/>
  <c r="G716" i="1" s="1"/>
  <c r="G715" i="1" a="1"/>
  <c r="G715" i="1" s="1"/>
  <c r="G714" i="1" a="1"/>
  <c r="G714" i="1" s="1"/>
  <c r="G713" i="1" a="1"/>
  <c r="G713" i="1" s="1"/>
  <c r="G712" i="1" a="1"/>
  <c r="G712" i="1" s="1"/>
  <c r="G711" i="1" a="1"/>
  <c r="G711" i="1" s="1"/>
  <c r="G710" i="1" a="1"/>
  <c r="G710" i="1" s="1"/>
  <c r="G709" i="1" a="1"/>
  <c r="G709" i="1" s="1"/>
  <c r="G708" i="1" a="1"/>
  <c r="G708" i="1" s="1"/>
  <c r="G707" i="1" a="1"/>
  <c r="G707" i="1" s="1"/>
  <c r="G706" i="1" a="1"/>
  <c r="G706" i="1" s="1"/>
  <c r="G705" i="1" a="1"/>
  <c r="G705" i="1" s="1"/>
  <c r="G704" i="1" a="1"/>
  <c r="G704" i="1" s="1"/>
  <c r="G703" i="1" a="1"/>
  <c r="G703" i="1" s="1"/>
  <c r="G702" i="1" a="1"/>
  <c r="G702" i="1"/>
  <c r="G701" i="1" a="1"/>
  <c r="G701" i="1" s="1"/>
  <c r="G700" i="1" a="1"/>
  <c r="G700" i="1"/>
  <c r="G699" i="1" a="1"/>
  <c r="G699" i="1" s="1"/>
  <c r="G698" i="1" a="1"/>
  <c r="G698" i="1" s="1"/>
  <c r="G697" i="1" a="1"/>
  <c r="G697" i="1" s="1"/>
  <c r="G696" i="1" a="1"/>
  <c r="G696" i="1" s="1"/>
  <c r="G695" i="1" a="1"/>
  <c r="G695" i="1" s="1"/>
  <c r="G694" i="1" a="1"/>
  <c r="G694" i="1" s="1"/>
  <c r="G693" i="1" a="1"/>
  <c r="G693" i="1" s="1"/>
  <c r="G692" i="1" a="1"/>
  <c r="G692" i="1" s="1"/>
  <c r="G691" i="1" a="1"/>
  <c r="G691" i="1" s="1"/>
  <c r="G690" i="1" a="1"/>
  <c r="G690" i="1" s="1"/>
  <c r="G689" i="1" a="1"/>
  <c r="G689" i="1" s="1"/>
  <c r="G688" i="1" a="1"/>
  <c r="G688" i="1" s="1"/>
  <c r="G687" i="1" a="1"/>
  <c r="G687" i="1" s="1"/>
  <c r="G686" i="1" a="1"/>
  <c r="G686" i="1" s="1"/>
  <c r="G685" i="1" a="1"/>
  <c r="G685" i="1" s="1"/>
  <c r="G684" i="1" a="1"/>
  <c r="G684" i="1" s="1"/>
  <c r="G683" i="1" a="1"/>
  <c r="G683" i="1" s="1"/>
  <c r="G682" i="1" a="1"/>
  <c r="G682" i="1" s="1"/>
  <c r="G681" i="1" a="1"/>
  <c r="G681" i="1" s="1"/>
  <c r="G680" i="1" a="1"/>
  <c r="G680" i="1" s="1"/>
  <c r="H680" i="1" s="1"/>
  <c r="I680" i="1" s="1"/>
  <c r="J681" i="1" s="1"/>
  <c r="G679" i="1" a="1"/>
  <c r="G679" i="1"/>
  <c r="G678" i="1" a="1"/>
  <c r="G678" i="1" s="1"/>
  <c r="G677" i="1" a="1"/>
  <c r="G677" i="1" s="1"/>
  <c r="G676" i="1" a="1"/>
  <c r="G676" i="1" s="1"/>
  <c r="G675" i="1" a="1"/>
  <c r="G675" i="1" s="1"/>
  <c r="G674" i="1" a="1"/>
  <c r="G674" i="1" s="1"/>
  <c r="G673" i="1" a="1"/>
  <c r="G673" i="1" s="1"/>
  <c r="G672" i="1" a="1"/>
  <c r="G672" i="1" s="1"/>
  <c r="G671" i="1" a="1"/>
  <c r="G671" i="1"/>
  <c r="G670" i="1" a="1"/>
  <c r="G670" i="1" s="1"/>
  <c r="G669" i="1" a="1"/>
  <c r="G669" i="1" s="1"/>
  <c r="G668" i="1" a="1"/>
  <c r="G668" i="1" s="1"/>
  <c r="G667" i="1" a="1"/>
  <c r="G667" i="1" s="1"/>
  <c r="G666" i="1" a="1"/>
  <c r="G666" i="1" s="1"/>
  <c r="G665" i="1" a="1"/>
  <c r="G665" i="1" s="1"/>
  <c r="G664" i="1" a="1"/>
  <c r="G664" i="1" s="1"/>
  <c r="G663" i="1" a="1"/>
  <c r="G663" i="1" s="1"/>
  <c r="G662" i="1" a="1"/>
  <c r="G662" i="1" s="1"/>
  <c r="G661" i="1" a="1"/>
  <c r="G661" i="1" s="1"/>
  <c r="G660" i="1" a="1"/>
  <c r="G660" i="1" s="1"/>
  <c r="G659" i="1" a="1"/>
  <c r="G659" i="1" s="1"/>
  <c r="G658" i="1" a="1"/>
  <c r="G658" i="1" s="1"/>
  <c r="G657" i="1" a="1"/>
  <c r="G657" i="1" s="1"/>
  <c r="G656" i="1" a="1"/>
  <c r="G656" i="1" s="1"/>
  <c r="G655" i="1" a="1"/>
  <c r="G655" i="1" s="1"/>
  <c r="G654" i="1" a="1"/>
  <c r="G654" i="1" s="1"/>
  <c r="G653" i="1" a="1"/>
  <c r="G653" i="1" s="1"/>
  <c r="G652" i="1" a="1"/>
  <c r="G652" i="1"/>
  <c r="G651" i="1" a="1"/>
  <c r="G651" i="1" s="1"/>
  <c r="G650" i="1" a="1"/>
  <c r="G650" i="1" s="1"/>
  <c r="G649" i="1" a="1"/>
  <c r="G649" i="1" s="1"/>
  <c r="G648" i="1" a="1"/>
  <c r="G648" i="1" s="1"/>
  <c r="G647" i="1" a="1"/>
  <c r="G647" i="1" s="1"/>
  <c r="G646" i="1" a="1"/>
  <c r="G646" i="1" s="1"/>
  <c r="G645" i="1" a="1"/>
  <c r="G645" i="1" s="1"/>
  <c r="G644" i="1" a="1"/>
  <c r="G644" i="1" s="1"/>
  <c r="G643" i="1" a="1"/>
  <c r="G643" i="1" s="1"/>
  <c r="G642" i="1" a="1"/>
  <c r="G642" i="1" s="1"/>
  <c r="G641" i="1" a="1"/>
  <c r="G641" i="1" s="1"/>
  <c r="G640" i="1" a="1"/>
  <c r="G640" i="1" s="1"/>
  <c r="G639" i="1" a="1"/>
  <c r="G639" i="1" s="1"/>
  <c r="G638" i="1" a="1"/>
  <c r="G638" i="1" s="1"/>
  <c r="G637" i="1" a="1"/>
  <c r="G637" i="1" s="1"/>
  <c r="G636" i="1" a="1"/>
  <c r="G636" i="1" s="1"/>
  <c r="G635" i="1" a="1"/>
  <c r="G635" i="1" s="1"/>
  <c r="G634" i="1" a="1"/>
  <c r="G634" i="1" s="1"/>
  <c r="G633" i="1" a="1"/>
  <c r="G633" i="1" s="1"/>
  <c r="G632" i="1" a="1"/>
  <c r="G632" i="1" s="1"/>
  <c r="G631" i="1" a="1"/>
  <c r="G631" i="1" s="1"/>
  <c r="G630" i="1" a="1"/>
  <c r="G630" i="1" s="1"/>
  <c r="G629" i="1" a="1"/>
  <c r="G629" i="1" s="1"/>
  <c r="G628" i="1" a="1"/>
  <c r="G628" i="1" s="1"/>
  <c r="G627" i="1" a="1"/>
  <c r="G627" i="1" s="1"/>
  <c r="G626" i="1" a="1"/>
  <c r="G626" i="1" s="1"/>
  <c r="G625" i="1" a="1"/>
  <c r="G625" i="1" s="1"/>
  <c r="G624" i="1" a="1"/>
  <c r="G624" i="1" s="1"/>
  <c r="G623" i="1" a="1"/>
  <c r="G623" i="1" s="1"/>
  <c r="G622" i="1" a="1"/>
  <c r="G622" i="1" s="1"/>
  <c r="G621" i="1" a="1"/>
  <c r="G621" i="1" s="1"/>
  <c r="G620" i="1" a="1"/>
  <c r="G620" i="1" s="1"/>
  <c r="G619" i="1" a="1"/>
  <c r="G619" i="1"/>
  <c r="G618" i="1" a="1"/>
  <c r="G618" i="1" s="1"/>
  <c r="G617" i="1" a="1"/>
  <c r="G617" i="1" s="1"/>
  <c r="G616" i="1" a="1"/>
  <c r="G616" i="1" s="1"/>
  <c r="G615" i="1" a="1"/>
  <c r="G615" i="1" s="1"/>
  <c r="G614" i="1" a="1"/>
  <c r="G614" i="1" s="1"/>
  <c r="G613" i="1" a="1"/>
  <c r="G613" i="1" s="1"/>
  <c r="G612" i="1" a="1"/>
  <c r="G612" i="1" s="1"/>
  <c r="G611" i="1" a="1"/>
  <c r="G611" i="1" s="1"/>
  <c r="G610" i="1" a="1"/>
  <c r="G610" i="1" s="1"/>
  <c r="G609" i="1" a="1"/>
  <c r="G609" i="1" s="1"/>
  <c r="G608" i="1" a="1"/>
  <c r="G608" i="1" s="1"/>
  <c r="G607" i="1" a="1"/>
  <c r="G607" i="1" s="1"/>
  <c r="G606" i="1" a="1"/>
  <c r="G606" i="1" s="1"/>
  <c r="G605" i="1" a="1"/>
  <c r="G605" i="1" s="1"/>
  <c r="G604" i="1" a="1"/>
  <c r="G604" i="1" s="1"/>
  <c r="G603" i="1" a="1"/>
  <c r="G603" i="1" s="1"/>
  <c r="G602" i="1" a="1"/>
  <c r="G602" i="1" s="1"/>
  <c r="G601" i="1" a="1"/>
  <c r="G601" i="1" s="1"/>
  <c r="G600" i="1" a="1"/>
  <c r="G600" i="1" s="1"/>
  <c r="G599" i="1" a="1"/>
  <c r="G599" i="1" s="1"/>
  <c r="G598" i="1" a="1"/>
  <c r="G598" i="1" s="1"/>
  <c r="G597" i="1" a="1"/>
  <c r="G597" i="1" s="1"/>
  <c r="G596" i="1" a="1"/>
  <c r="G596" i="1" s="1"/>
  <c r="G595" i="1" a="1"/>
  <c r="G595" i="1" s="1"/>
  <c r="G594" i="1" a="1"/>
  <c r="G594" i="1" s="1"/>
  <c r="G593" i="1" a="1"/>
  <c r="G593" i="1" s="1"/>
  <c r="G592" i="1" a="1"/>
  <c r="G592" i="1" s="1"/>
  <c r="G591" i="1" a="1"/>
  <c r="G591" i="1" s="1"/>
  <c r="G590" i="1" a="1"/>
  <c r="G590" i="1" s="1"/>
  <c r="H590" i="1" s="1"/>
  <c r="I590" i="1" s="1"/>
  <c r="J591" i="1" s="1"/>
  <c r="G589" i="1" a="1"/>
  <c r="G589" i="1" s="1"/>
  <c r="G588" i="1" a="1"/>
  <c r="G588" i="1" s="1"/>
  <c r="G587" i="1" a="1"/>
  <c r="G587" i="1" s="1"/>
  <c r="G586" i="1" a="1"/>
  <c r="G586" i="1" s="1"/>
  <c r="G585" i="1" a="1"/>
  <c r="G585" i="1" s="1"/>
  <c r="G584" i="1" a="1"/>
  <c r="G584" i="1" s="1"/>
  <c r="G583" i="1" a="1"/>
  <c r="G583" i="1" s="1"/>
  <c r="G582" i="1" a="1"/>
  <c r="G582" i="1" s="1"/>
  <c r="G581" i="1" a="1"/>
  <c r="G581" i="1" s="1"/>
  <c r="G580" i="1" a="1"/>
  <c r="G580" i="1" s="1"/>
  <c r="G579" i="1" a="1"/>
  <c r="G579" i="1" s="1"/>
  <c r="G578" i="1" a="1"/>
  <c r="G578" i="1" s="1"/>
  <c r="G577" i="1" a="1"/>
  <c r="G577" i="1" s="1"/>
  <c r="G576" i="1" a="1"/>
  <c r="G576" i="1" s="1"/>
  <c r="G575" i="1" a="1"/>
  <c r="G575" i="1" s="1"/>
  <c r="G574" i="1" a="1"/>
  <c r="G574" i="1" s="1"/>
  <c r="G573" i="1" a="1"/>
  <c r="G573" i="1" s="1"/>
  <c r="G572" i="1" a="1"/>
  <c r="G572" i="1" s="1"/>
  <c r="G571" i="1" a="1"/>
  <c r="G571" i="1" s="1"/>
  <c r="G570" i="1" a="1"/>
  <c r="G570" i="1" s="1"/>
  <c r="G569" i="1" a="1"/>
  <c r="G569" i="1" s="1"/>
  <c r="G568" i="1" a="1"/>
  <c r="G568" i="1" s="1"/>
  <c r="G567" i="1" a="1"/>
  <c r="G567" i="1" s="1"/>
  <c r="G566" i="1" a="1"/>
  <c r="G566" i="1" s="1"/>
  <c r="G565" i="1" a="1"/>
  <c r="G565" i="1" s="1"/>
  <c r="G564" i="1" a="1"/>
  <c r="G564" i="1" s="1"/>
  <c r="G563" i="1" a="1"/>
  <c r="G563" i="1" s="1"/>
  <c r="G562" i="1" a="1"/>
  <c r="G562" i="1"/>
  <c r="G561" i="1" a="1"/>
  <c r="G561" i="1" s="1"/>
  <c r="G560" i="1" a="1"/>
  <c r="G560" i="1" s="1"/>
  <c r="G559" i="1" a="1"/>
  <c r="G559" i="1" s="1"/>
  <c r="G558" i="1" a="1"/>
  <c r="G558" i="1" s="1"/>
  <c r="G557" i="1" a="1"/>
  <c r="G557" i="1" s="1"/>
  <c r="G556" i="1" a="1"/>
  <c r="G556" i="1" s="1"/>
  <c r="G555" i="1" a="1"/>
  <c r="G555" i="1" s="1"/>
  <c r="G554" i="1" a="1"/>
  <c r="G554" i="1" s="1"/>
  <c r="G553" i="1" a="1"/>
  <c r="G553" i="1" s="1"/>
  <c r="G552" i="1" a="1"/>
  <c r="G552" i="1" s="1"/>
  <c r="G551" i="1" a="1"/>
  <c r="G551" i="1" s="1"/>
  <c r="G550" i="1" a="1"/>
  <c r="G550" i="1" s="1"/>
  <c r="G549" i="1" a="1"/>
  <c r="G549" i="1" s="1"/>
  <c r="G548" i="1" a="1"/>
  <c r="G548" i="1" s="1"/>
  <c r="G547" i="1" a="1"/>
  <c r="G547" i="1"/>
  <c r="G546" i="1" a="1"/>
  <c r="G546" i="1" s="1"/>
  <c r="G545" i="1" a="1"/>
  <c r="G545" i="1" s="1"/>
  <c r="G544" i="1" a="1"/>
  <c r="G544" i="1" s="1"/>
  <c r="G543" i="1" a="1"/>
  <c r="G543" i="1" s="1"/>
  <c r="G542" i="1" a="1"/>
  <c r="G542" i="1" s="1"/>
  <c r="G541" i="1" a="1"/>
  <c r="G541" i="1" s="1"/>
  <c r="G540" i="1" a="1"/>
  <c r="G540" i="1" s="1"/>
  <c r="H540" i="1" s="1"/>
  <c r="I540" i="1" s="1"/>
  <c r="J541" i="1" s="1"/>
  <c r="G539" i="1" a="1"/>
  <c r="G539" i="1" s="1"/>
  <c r="G538" i="1" a="1"/>
  <c r="G538" i="1" s="1"/>
  <c r="G537" i="1" a="1"/>
  <c r="G537" i="1" s="1"/>
  <c r="G536" i="1" a="1"/>
  <c r="G536" i="1" s="1"/>
  <c r="G535" i="1" a="1"/>
  <c r="G535" i="1" s="1"/>
  <c r="G534" i="1" a="1"/>
  <c r="G534" i="1" s="1"/>
  <c r="G533" i="1" a="1"/>
  <c r="G533" i="1" s="1"/>
  <c r="G142" i="1" a="1"/>
  <c r="G142" i="1" s="1"/>
  <c r="G140" i="1" a="1"/>
  <c r="G140" i="1" s="1"/>
  <c r="G143" i="1" a="1"/>
  <c r="G143" i="1" s="1"/>
  <c r="G141" i="1" a="1"/>
  <c r="G141" i="1" s="1"/>
  <c r="G3857" i="1" a="1"/>
  <c r="G3857" i="1" s="1"/>
  <c r="G3856" i="1" a="1"/>
  <c r="G3856" i="1" s="1"/>
  <c r="G3855" i="1" a="1"/>
  <c r="G3855" i="1" s="1"/>
  <c r="G3854" i="1" a="1"/>
  <c r="G3854" i="1" s="1"/>
  <c r="G3853" i="1" a="1"/>
  <c r="G3853" i="1" s="1"/>
  <c r="G3852" i="1" a="1"/>
  <c r="G3852" i="1" s="1"/>
  <c r="G3851" i="1" a="1"/>
  <c r="G3851" i="1" s="1"/>
  <c r="G3850" i="1" a="1"/>
  <c r="G3850" i="1" s="1"/>
  <c r="G3849" i="1" a="1"/>
  <c r="G3849" i="1" s="1"/>
  <c r="G3848" i="1" a="1"/>
  <c r="G3848" i="1" s="1"/>
  <c r="G3847" i="1" a="1"/>
  <c r="G3847" i="1" s="1"/>
  <c r="G3846" i="1" a="1"/>
  <c r="G3846" i="1" s="1"/>
  <c r="G3845" i="1" a="1"/>
  <c r="G3845" i="1" s="1"/>
  <c r="G3844" i="1" a="1"/>
  <c r="G3844" i="1" s="1"/>
  <c r="G3843" i="1" a="1"/>
  <c r="G3843" i="1" s="1"/>
  <c r="G3842" i="1" a="1"/>
  <c r="G3842" i="1" s="1"/>
  <c r="G3841" i="1" a="1"/>
  <c r="G3841" i="1"/>
  <c r="G3840" i="1" a="1"/>
  <c r="G3840" i="1" s="1"/>
  <c r="G3839" i="1" a="1"/>
  <c r="G3839" i="1" s="1"/>
  <c r="G3838" i="1" a="1"/>
  <c r="G3838" i="1" s="1"/>
  <c r="G3837" i="1" a="1"/>
  <c r="G3837" i="1" s="1"/>
  <c r="G3836" i="1" a="1"/>
  <c r="G3836" i="1" s="1"/>
  <c r="G3835" i="1" a="1"/>
  <c r="G3835" i="1" s="1"/>
  <c r="G3834" i="1" a="1"/>
  <c r="G3834" i="1" s="1"/>
  <c r="G3833" i="1" a="1"/>
  <c r="G3833" i="1" s="1"/>
  <c r="G3832" i="1" a="1"/>
  <c r="G3832" i="1" s="1"/>
  <c r="G3831" i="1" a="1"/>
  <c r="G3831" i="1" s="1"/>
  <c r="G3830" i="1" a="1"/>
  <c r="G3830" i="1" s="1"/>
  <c r="G3829" i="1" a="1"/>
  <c r="G3829" i="1" s="1"/>
  <c r="G3828" i="1" a="1"/>
  <c r="G3828" i="1" s="1"/>
  <c r="G3827" i="1" a="1"/>
  <c r="G3827" i="1" s="1"/>
  <c r="G3826" i="1" a="1"/>
  <c r="G3826" i="1"/>
  <c r="G3825" i="1" a="1"/>
  <c r="G3825" i="1" s="1"/>
  <c r="G3824" i="1" a="1"/>
  <c r="G3824" i="1" s="1"/>
  <c r="G3823" i="1" a="1"/>
  <c r="G3823" i="1" s="1"/>
  <c r="G3822" i="1" a="1"/>
  <c r="G3822" i="1" s="1"/>
  <c r="G3821" i="1" a="1"/>
  <c r="G3821" i="1" s="1"/>
  <c r="G3820" i="1" a="1"/>
  <c r="G3820" i="1" s="1"/>
  <c r="G3819" i="1" a="1"/>
  <c r="G3819" i="1" s="1"/>
  <c r="G3818" i="1" a="1"/>
  <c r="G3818" i="1" s="1"/>
  <c r="G3817" i="1" a="1"/>
  <c r="G3817" i="1" s="1"/>
  <c r="G3816" i="1" a="1"/>
  <c r="G3816" i="1" s="1"/>
  <c r="G3815" i="1" a="1"/>
  <c r="G3815" i="1" s="1"/>
  <c r="G3814" i="1" a="1"/>
  <c r="G3814" i="1" s="1"/>
  <c r="G3813" i="1" a="1"/>
  <c r="G3813" i="1" s="1"/>
  <c r="G3812" i="1" a="1"/>
  <c r="G3812" i="1" s="1"/>
  <c r="G3811" i="1" a="1"/>
  <c r="G3811" i="1" s="1"/>
  <c r="G3810" i="1" a="1"/>
  <c r="G3810" i="1" s="1"/>
  <c r="G3809" i="1" a="1"/>
  <c r="G3809" i="1" s="1"/>
  <c r="G3808" i="1" a="1"/>
  <c r="G3808" i="1" s="1"/>
  <c r="G3807" i="1" a="1"/>
  <c r="G3807" i="1" s="1"/>
  <c r="G3806" i="1" a="1"/>
  <c r="G3806" i="1" s="1"/>
  <c r="G3805" i="1" a="1"/>
  <c r="G3805" i="1" s="1"/>
  <c r="G3804" i="1" a="1"/>
  <c r="G3804" i="1"/>
  <c r="G3803" i="1" a="1"/>
  <c r="G3803" i="1" s="1"/>
  <c r="G3802" i="1" a="1"/>
  <c r="G3802" i="1" s="1"/>
  <c r="G3801" i="1" a="1"/>
  <c r="G3801" i="1" s="1"/>
  <c r="G3800" i="1" a="1"/>
  <c r="G3800" i="1" s="1"/>
  <c r="G3799" i="1" a="1"/>
  <c r="G3799" i="1" s="1"/>
  <c r="G3798" i="1" a="1"/>
  <c r="G3798" i="1" s="1"/>
  <c r="G3797" i="1" a="1"/>
  <c r="G3797" i="1" s="1"/>
  <c r="G3796" i="1" a="1"/>
  <c r="G3796" i="1" s="1"/>
  <c r="G3795" i="1" a="1"/>
  <c r="G3795" i="1" s="1"/>
  <c r="G3794" i="1" a="1"/>
  <c r="G3794" i="1" s="1"/>
  <c r="G3793" i="1" a="1"/>
  <c r="G3793" i="1" s="1"/>
  <c r="G3792" i="1" a="1"/>
  <c r="G3792" i="1" s="1"/>
  <c r="G3791" i="1" a="1"/>
  <c r="G3791" i="1" s="1"/>
  <c r="G3790" i="1" a="1"/>
  <c r="G3790" i="1"/>
  <c r="G3789" i="1" a="1"/>
  <c r="G3789" i="1" s="1"/>
  <c r="G3788" i="1" a="1"/>
  <c r="G3788" i="1" s="1"/>
  <c r="G3787" i="1" a="1"/>
  <c r="G3787" i="1" s="1"/>
  <c r="G3786" i="1" a="1"/>
  <c r="G3786" i="1" s="1"/>
  <c r="G3785" i="1" a="1"/>
  <c r="G3785" i="1" s="1"/>
  <c r="G3784" i="1" a="1"/>
  <c r="G3784" i="1" s="1"/>
  <c r="G3783" i="1" a="1"/>
  <c r="G3783" i="1" s="1"/>
  <c r="G3782" i="1" a="1"/>
  <c r="G3782" i="1" s="1"/>
  <c r="G3781" i="1" a="1"/>
  <c r="G3781" i="1" s="1"/>
  <c r="G3780" i="1" a="1"/>
  <c r="G3780" i="1" s="1"/>
  <c r="G3779" i="1" a="1"/>
  <c r="G3779" i="1" s="1"/>
  <c r="G3778" i="1" a="1"/>
  <c r="G3778" i="1" s="1"/>
  <c r="G3777" i="1" a="1"/>
  <c r="G3777" i="1" s="1"/>
  <c r="G3776" i="1" a="1"/>
  <c r="G3776" i="1" s="1"/>
  <c r="G3775" i="1" a="1"/>
  <c r="G3775" i="1" s="1"/>
  <c r="G3774" i="1" a="1"/>
  <c r="G3774" i="1" s="1"/>
  <c r="G3773" i="1" a="1"/>
  <c r="G3773" i="1" s="1"/>
  <c r="G3772" i="1" a="1"/>
  <c r="G3772" i="1" s="1"/>
  <c r="G3771" i="1" a="1"/>
  <c r="G3771" i="1" s="1"/>
  <c r="G3770" i="1" a="1"/>
  <c r="G3770" i="1" s="1"/>
  <c r="G3769" i="1" a="1"/>
  <c r="G3769" i="1" s="1"/>
  <c r="G3768" i="1" a="1"/>
  <c r="G3768" i="1" s="1"/>
  <c r="G3767" i="1" a="1"/>
  <c r="G3767" i="1" s="1"/>
  <c r="G3766" i="1" a="1"/>
  <c r="G3766" i="1" s="1"/>
  <c r="G3765" i="1" a="1"/>
  <c r="G3765" i="1" s="1"/>
  <c r="G3764" i="1" a="1"/>
  <c r="G3764" i="1" s="1"/>
  <c r="G3763" i="1" a="1"/>
  <c r="G3763" i="1" s="1"/>
  <c r="G3762" i="1" a="1"/>
  <c r="G3762" i="1" s="1"/>
  <c r="G3761" i="1" a="1"/>
  <c r="G3761" i="1" s="1"/>
  <c r="G3760" i="1" a="1"/>
  <c r="G3760" i="1" s="1"/>
  <c r="G3759" i="1" a="1"/>
  <c r="G3759" i="1" s="1"/>
  <c r="G3758" i="1" a="1"/>
  <c r="G3758" i="1" s="1"/>
  <c r="G3757" i="1" a="1"/>
  <c r="G3757" i="1" s="1"/>
  <c r="G3756" i="1" a="1"/>
  <c r="G3756" i="1" s="1"/>
  <c r="G3755" i="1" a="1"/>
  <c r="G3755" i="1" s="1"/>
  <c r="G3754" i="1" a="1"/>
  <c r="G3754" i="1"/>
  <c r="G3753" i="1" a="1"/>
  <c r="G3753" i="1" s="1"/>
  <c r="G3752" i="1" a="1"/>
  <c r="G3752" i="1" s="1"/>
  <c r="G3751" i="1" a="1"/>
  <c r="G3751" i="1" s="1"/>
  <c r="G3750" i="1" a="1"/>
  <c r="G3750" i="1" s="1"/>
  <c r="G3749" i="1" a="1"/>
  <c r="G3749" i="1" s="1"/>
  <c r="G3748" i="1" a="1"/>
  <c r="G3748" i="1" s="1"/>
  <c r="G3747" i="1" a="1"/>
  <c r="G3747" i="1" s="1"/>
  <c r="G3746" i="1" a="1"/>
  <c r="G3746" i="1" s="1"/>
  <c r="G3745" i="1" a="1"/>
  <c r="G3745" i="1" s="1"/>
  <c r="G3744" i="1" a="1"/>
  <c r="G3744" i="1" s="1"/>
  <c r="G3743" i="1" a="1"/>
  <c r="G3743" i="1" s="1"/>
  <c r="G3742" i="1" a="1"/>
  <c r="G3742" i="1" s="1"/>
  <c r="G3741" i="1" a="1"/>
  <c r="G3741" i="1" s="1"/>
  <c r="G3740" i="1" a="1"/>
  <c r="G3740" i="1"/>
  <c r="G3739" i="1" a="1"/>
  <c r="G3739" i="1" s="1"/>
  <c r="G3738" i="1" a="1"/>
  <c r="G3738" i="1" s="1"/>
  <c r="G3737" i="1" a="1"/>
  <c r="G3737" i="1" s="1"/>
  <c r="G3736" i="1" a="1"/>
  <c r="G3736" i="1" s="1"/>
  <c r="G3735" i="1" a="1"/>
  <c r="G3735" i="1" s="1"/>
  <c r="G3734" i="1" a="1"/>
  <c r="G3734" i="1" s="1"/>
  <c r="G3733" i="1" a="1"/>
  <c r="G3733" i="1" s="1"/>
  <c r="G3732" i="1" a="1"/>
  <c r="G3732" i="1" s="1"/>
  <c r="G3731" i="1" a="1"/>
  <c r="G3731" i="1" s="1"/>
  <c r="G3730" i="1" a="1"/>
  <c r="G3730" i="1" s="1"/>
  <c r="G3729" i="1" a="1"/>
  <c r="G3729" i="1" s="1"/>
  <c r="G3728" i="1" a="1"/>
  <c r="G3728" i="1" s="1"/>
  <c r="G3727" i="1" a="1"/>
  <c r="G3727" i="1" s="1"/>
  <c r="G3726" i="1" a="1"/>
  <c r="G3726" i="1" s="1"/>
  <c r="G3725" i="1" a="1"/>
  <c r="G3725" i="1" s="1"/>
  <c r="G3724" i="1" a="1"/>
  <c r="G3724" i="1" s="1"/>
  <c r="G3723" i="1" a="1"/>
  <c r="G3723" i="1" s="1"/>
  <c r="G3722" i="1" a="1"/>
  <c r="G3722" i="1" s="1"/>
  <c r="G3721" i="1" a="1"/>
  <c r="G3721" i="1" s="1"/>
  <c r="G3720" i="1" a="1"/>
  <c r="G3720" i="1" s="1"/>
  <c r="G3719" i="1" a="1"/>
  <c r="G3719" i="1" s="1"/>
  <c r="G3718" i="1" a="1"/>
  <c r="G3718" i="1" s="1"/>
  <c r="G3717" i="1" a="1"/>
  <c r="G3717" i="1" s="1"/>
  <c r="G3716" i="1" a="1"/>
  <c r="G3716" i="1" s="1"/>
  <c r="G3715" i="1" a="1"/>
  <c r="G3715" i="1" s="1"/>
  <c r="G3714" i="1" a="1"/>
  <c r="G3714" i="1" s="1"/>
  <c r="G3713" i="1" a="1"/>
  <c r="G3713" i="1" s="1"/>
  <c r="G3712" i="1" a="1"/>
  <c r="G3712" i="1" s="1"/>
  <c r="G3711" i="1" a="1"/>
  <c r="G3711" i="1" s="1"/>
  <c r="G3710" i="1" a="1"/>
  <c r="G3710" i="1" s="1"/>
  <c r="G3709" i="1" a="1"/>
  <c r="G3709" i="1" s="1"/>
  <c r="G3708" i="1" a="1"/>
  <c r="G3708" i="1" s="1"/>
  <c r="G3707" i="1" a="1"/>
  <c r="G3707" i="1" s="1"/>
  <c r="G3706" i="1" a="1"/>
  <c r="G3706" i="1" s="1"/>
  <c r="G3705" i="1" a="1"/>
  <c r="G3705" i="1" s="1"/>
  <c r="G3704" i="1" a="1"/>
  <c r="G3704" i="1" s="1"/>
  <c r="G3703" i="1" a="1"/>
  <c r="G3703" i="1"/>
  <c r="G3702" i="1" a="1"/>
  <c r="G3702" i="1" s="1"/>
  <c r="G3701" i="1" a="1"/>
  <c r="G3701" i="1" s="1"/>
  <c r="G3700" i="1" a="1"/>
  <c r="G3700" i="1" s="1"/>
  <c r="G3699" i="1" a="1"/>
  <c r="G3699" i="1" s="1"/>
  <c r="G3698" i="1" a="1"/>
  <c r="G3698" i="1" s="1"/>
  <c r="G3697" i="1" a="1"/>
  <c r="G3697" i="1" s="1"/>
  <c r="G3696" i="1" a="1"/>
  <c r="G3696" i="1" s="1"/>
  <c r="G3695" i="1" a="1"/>
  <c r="G3695" i="1" s="1"/>
  <c r="G3694" i="1" a="1"/>
  <c r="G3694" i="1" s="1"/>
  <c r="G3693" i="1" a="1"/>
  <c r="G3693" i="1" s="1"/>
  <c r="G3692" i="1" a="1"/>
  <c r="G3692" i="1" s="1"/>
  <c r="G3691" i="1" a="1"/>
  <c r="G3691" i="1" s="1"/>
  <c r="G3690" i="1" a="1"/>
  <c r="G3690" i="1" s="1"/>
  <c r="G3689" i="1" a="1"/>
  <c r="G3689" i="1" s="1"/>
  <c r="G3688" i="1" a="1"/>
  <c r="G3688" i="1" s="1"/>
  <c r="G3687" i="1" a="1"/>
  <c r="G3687" i="1" s="1"/>
  <c r="G3686" i="1" a="1"/>
  <c r="G3686" i="1" s="1"/>
  <c r="G3685" i="1" a="1"/>
  <c r="G3685" i="1" s="1"/>
  <c r="G3684" i="1" a="1"/>
  <c r="G3684" i="1" s="1"/>
  <c r="G3683" i="1" a="1"/>
  <c r="G3683" i="1" s="1"/>
  <c r="G3682" i="1" a="1"/>
  <c r="G3682" i="1" s="1"/>
  <c r="G3681" i="1" a="1"/>
  <c r="G3681" i="1" s="1"/>
  <c r="G3680" i="1" a="1"/>
  <c r="G3680" i="1" s="1"/>
  <c r="G3679" i="1" a="1"/>
  <c r="G3679" i="1" s="1"/>
  <c r="G3678" i="1" a="1"/>
  <c r="G3678" i="1" s="1"/>
  <c r="G3677" i="1" a="1"/>
  <c r="G3677" i="1" s="1"/>
  <c r="G3676" i="1" a="1"/>
  <c r="G3676" i="1" s="1"/>
  <c r="G3675" i="1" a="1"/>
  <c r="G3675" i="1" s="1"/>
  <c r="G3674" i="1" a="1"/>
  <c r="G3674" i="1" s="1"/>
  <c r="G3673" i="1" a="1"/>
  <c r="G3673" i="1" s="1"/>
  <c r="G3672" i="1" a="1"/>
  <c r="G3672" i="1" s="1"/>
  <c r="G3671" i="1" a="1"/>
  <c r="G3671" i="1" s="1"/>
  <c r="G3670" i="1" a="1"/>
  <c r="G3670" i="1" s="1"/>
  <c r="G3669" i="1" a="1"/>
  <c r="G3669" i="1" s="1"/>
  <c r="G3668" i="1" a="1"/>
  <c r="G3668" i="1" s="1"/>
  <c r="G3667" i="1" a="1"/>
  <c r="G3667" i="1" s="1"/>
  <c r="G3666" i="1" a="1"/>
  <c r="G3666" i="1" s="1"/>
  <c r="G3665" i="1" a="1"/>
  <c r="G3665" i="1" s="1"/>
  <c r="G3664" i="1" a="1"/>
  <c r="G3664" i="1" s="1"/>
  <c r="G3663" i="1" a="1"/>
  <c r="G3663" i="1" s="1"/>
  <c r="G3662" i="1" a="1"/>
  <c r="G3662" i="1" s="1"/>
  <c r="G3661" i="1" a="1"/>
  <c r="G3661" i="1" s="1"/>
  <c r="G3660" i="1" a="1"/>
  <c r="G3660" i="1" s="1"/>
  <c r="G3659" i="1" a="1"/>
  <c r="G3659" i="1" s="1"/>
  <c r="G3658" i="1" a="1"/>
  <c r="G3658" i="1" s="1"/>
  <c r="G3657" i="1" a="1"/>
  <c r="G3657" i="1" s="1"/>
  <c r="G3656" i="1" a="1"/>
  <c r="G3656" i="1" s="1"/>
  <c r="G3655" i="1" a="1"/>
  <c r="G3655" i="1" s="1"/>
  <c r="G3654" i="1" a="1"/>
  <c r="G3654" i="1" s="1"/>
  <c r="G3653" i="1" a="1"/>
  <c r="G3653" i="1"/>
  <c r="G3652" i="1" a="1"/>
  <c r="G3652" i="1" s="1"/>
  <c r="G3651" i="1" a="1"/>
  <c r="G3651" i="1" s="1"/>
  <c r="G3650" i="1" a="1"/>
  <c r="G3650" i="1" s="1"/>
  <c r="G3649" i="1" a="1"/>
  <c r="G3649" i="1" s="1"/>
  <c r="G3648" i="1" a="1"/>
  <c r="G3648" i="1" s="1"/>
  <c r="G3647" i="1" a="1"/>
  <c r="G3647" i="1" s="1"/>
  <c r="G3646" i="1" a="1"/>
  <c r="G3646" i="1" s="1"/>
  <c r="G3645" i="1" a="1"/>
  <c r="G3645" i="1" s="1"/>
  <c r="G3644" i="1" a="1"/>
  <c r="G3644" i="1" s="1"/>
  <c r="G3643" i="1" a="1"/>
  <c r="G3643" i="1" s="1"/>
  <c r="G3642" i="1" a="1"/>
  <c r="G3642" i="1" s="1"/>
  <c r="G3641" i="1" a="1"/>
  <c r="G3641" i="1" s="1"/>
  <c r="G3640" i="1" a="1"/>
  <c r="G3640" i="1" s="1"/>
  <c r="G3639" i="1" a="1"/>
  <c r="G3639" i="1" s="1"/>
  <c r="G3638" i="1" a="1"/>
  <c r="G3638" i="1" s="1"/>
  <c r="G3637" i="1" a="1"/>
  <c r="G3637" i="1" s="1"/>
  <c r="G3636" i="1" a="1"/>
  <c r="G3636" i="1" s="1"/>
  <c r="G3635" i="1" a="1"/>
  <c r="G3635" i="1" s="1"/>
  <c r="G3634" i="1" a="1"/>
  <c r="G3634" i="1" s="1"/>
  <c r="G3633" i="1" a="1"/>
  <c r="G3633" i="1" s="1"/>
  <c r="G3632" i="1" a="1"/>
  <c r="G3632" i="1" s="1"/>
  <c r="G3631" i="1" a="1"/>
  <c r="G3631" i="1" s="1"/>
  <c r="G3630" i="1" a="1"/>
  <c r="G3630" i="1" s="1"/>
  <c r="G3629" i="1" a="1"/>
  <c r="G3629" i="1" s="1"/>
  <c r="G3628" i="1" a="1"/>
  <c r="G3628" i="1" s="1"/>
  <c r="G3627" i="1" a="1"/>
  <c r="G3627" i="1" s="1"/>
  <c r="G3626" i="1" a="1"/>
  <c r="G3626" i="1" s="1"/>
  <c r="G3625" i="1" a="1"/>
  <c r="G3625" i="1" s="1"/>
  <c r="G3624" i="1" a="1"/>
  <c r="G3624" i="1" s="1"/>
  <c r="G3623" i="1" a="1"/>
  <c r="G3623" i="1" s="1"/>
  <c r="G3622" i="1" a="1"/>
  <c r="G3622" i="1" s="1"/>
  <c r="G3621" i="1" a="1"/>
  <c r="G3621" i="1" s="1"/>
  <c r="G3620" i="1" a="1"/>
  <c r="G3620" i="1" s="1"/>
  <c r="G3619" i="1" a="1"/>
  <c r="G3619" i="1" s="1"/>
  <c r="G3618" i="1" a="1"/>
  <c r="G3618" i="1" s="1"/>
  <c r="G3617" i="1" a="1"/>
  <c r="G3617" i="1" s="1"/>
  <c r="G3616" i="1" a="1"/>
  <c r="G3616" i="1" s="1"/>
  <c r="G3615" i="1" a="1"/>
  <c r="G3615" i="1" s="1"/>
  <c r="G3614" i="1" a="1"/>
  <c r="G3614" i="1" s="1"/>
  <c r="G3613" i="1" a="1"/>
  <c r="G3613" i="1" s="1"/>
  <c r="G3612" i="1" a="1"/>
  <c r="G3612" i="1" s="1"/>
  <c r="G3611" i="1" a="1"/>
  <c r="G3611" i="1" s="1"/>
  <c r="G3610" i="1" a="1"/>
  <c r="G3610" i="1" s="1"/>
  <c r="G3609" i="1" a="1"/>
  <c r="G3609" i="1"/>
  <c r="G3608" i="1" a="1"/>
  <c r="G3608" i="1" s="1"/>
  <c r="G3607" i="1" a="1"/>
  <c r="G3607" i="1" s="1"/>
  <c r="G3606" i="1" a="1"/>
  <c r="G3606" i="1" s="1"/>
  <c r="G3605" i="1" a="1"/>
  <c r="G3605" i="1" s="1"/>
  <c r="G3604" i="1" a="1"/>
  <c r="G3604" i="1"/>
  <c r="G3603" i="1" a="1"/>
  <c r="G3603" i="1" s="1"/>
  <c r="G3602" i="1" a="1"/>
  <c r="G3602" i="1" s="1"/>
  <c r="G3601" i="1" a="1"/>
  <c r="G3601" i="1" s="1"/>
  <c r="G3600" i="1" a="1"/>
  <c r="G3600" i="1" s="1"/>
  <c r="G3599" i="1" a="1"/>
  <c r="G3599" i="1" s="1"/>
  <c r="G3598" i="1" a="1"/>
  <c r="G3598" i="1" s="1"/>
  <c r="G3597" i="1" a="1"/>
  <c r="G3597" i="1" s="1"/>
  <c r="G3596" i="1" a="1"/>
  <c r="G3596" i="1" s="1"/>
  <c r="G3595" i="1" a="1"/>
  <c r="G3595" i="1" s="1"/>
  <c r="G3594" i="1" a="1"/>
  <c r="G3594" i="1" s="1"/>
  <c r="G3593" i="1" a="1"/>
  <c r="G3593" i="1" s="1"/>
  <c r="G3592" i="1" a="1"/>
  <c r="G3592" i="1" s="1"/>
  <c r="G3591" i="1" a="1"/>
  <c r="G3591" i="1" s="1"/>
  <c r="G3590" i="1" a="1"/>
  <c r="G3590" i="1" s="1"/>
  <c r="G3589" i="1" a="1"/>
  <c r="G3589" i="1" s="1"/>
  <c r="G3588" i="1" a="1"/>
  <c r="G3588" i="1" s="1"/>
  <c r="G3587" i="1" a="1"/>
  <c r="G3587" i="1" s="1"/>
  <c r="G3586" i="1" a="1"/>
  <c r="G3586" i="1"/>
  <c r="G3585" i="1" a="1"/>
  <c r="G3585" i="1" s="1"/>
  <c r="G3584" i="1" a="1"/>
  <c r="G3584" i="1" s="1"/>
  <c r="G3583" i="1" a="1"/>
  <c r="G3583" i="1" s="1"/>
  <c r="G3582" i="1" a="1"/>
  <c r="G3582" i="1" s="1"/>
  <c r="G3581" i="1" a="1"/>
  <c r="G3581" i="1" s="1"/>
  <c r="G3580" i="1" a="1"/>
  <c r="G3580" i="1" s="1"/>
  <c r="G3579" i="1" a="1"/>
  <c r="G3579" i="1" s="1"/>
  <c r="G3578" i="1" a="1"/>
  <c r="G3578" i="1" s="1"/>
  <c r="G3577" i="1" a="1"/>
  <c r="G3577" i="1" s="1"/>
  <c r="G3576" i="1" a="1"/>
  <c r="G3576" i="1" s="1"/>
  <c r="G3575" i="1" a="1"/>
  <c r="G3575" i="1" s="1"/>
  <c r="G3574" i="1" a="1"/>
  <c r="G3574" i="1" s="1"/>
  <c r="G3573" i="1" a="1"/>
  <c r="G3573" i="1" s="1"/>
  <c r="G3572" i="1" a="1"/>
  <c r="G3572" i="1" s="1"/>
  <c r="G3571" i="1" a="1"/>
  <c r="G3571" i="1" s="1"/>
  <c r="G3570" i="1" a="1"/>
  <c r="G3570" i="1" s="1"/>
  <c r="G3569" i="1" a="1"/>
  <c r="G3569" i="1" s="1"/>
  <c r="G3568" i="1" a="1"/>
  <c r="G3568" i="1"/>
  <c r="G3567" i="1" a="1"/>
  <c r="G3567" i="1" s="1"/>
  <c r="G3566" i="1" a="1"/>
  <c r="G3566" i="1" s="1"/>
  <c r="G3565" i="1" a="1"/>
  <c r="G3565" i="1"/>
  <c r="G3564" i="1" a="1"/>
  <c r="G3564" i="1" s="1"/>
  <c r="G3563" i="1" a="1"/>
  <c r="G3563" i="1" s="1"/>
  <c r="G3562" i="1" a="1"/>
  <c r="G3562" i="1" s="1"/>
  <c r="G3561" i="1" a="1"/>
  <c r="G3561" i="1" s="1"/>
  <c r="G3560" i="1" a="1"/>
  <c r="G3560" i="1" s="1"/>
  <c r="G3559" i="1" a="1"/>
  <c r="G3559" i="1" s="1"/>
  <c r="G3558" i="1" a="1"/>
  <c r="G3558" i="1" s="1"/>
  <c r="G3557" i="1" a="1"/>
  <c r="G3557" i="1" s="1"/>
  <c r="G3556" i="1" a="1"/>
  <c r="G3556" i="1" s="1"/>
  <c r="G3555" i="1" a="1"/>
  <c r="G3555" i="1" s="1"/>
  <c r="G3554" i="1" a="1"/>
  <c r="G3554" i="1" s="1"/>
  <c r="G3553" i="1" a="1"/>
  <c r="G3553" i="1"/>
  <c r="G3552" i="1" a="1"/>
  <c r="G3552" i="1" s="1"/>
  <c r="G3551" i="1" a="1"/>
  <c r="G3551" i="1" s="1"/>
  <c r="G3550" i="1" a="1"/>
  <c r="G3550" i="1" s="1"/>
  <c r="G3549" i="1" a="1"/>
  <c r="G3549" i="1" s="1"/>
  <c r="G3548" i="1" a="1"/>
  <c r="G3548" i="1" s="1"/>
  <c r="G3547" i="1" a="1"/>
  <c r="G3547" i="1" s="1"/>
  <c r="G3546" i="1" a="1"/>
  <c r="G3546" i="1" s="1"/>
  <c r="G3545" i="1" a="1"/>
  <c r="G3545" i="1" s="1"/>
  <c r="G3544" i="1" a="1"/>
  <c r="G3544" i="1" s="1"/>
  <c r="G3543" i="1" a="1"/>
  <c r="G3543" i="1" s="1"/>
  <c r="G3542" i="1" a="1"/>
  <c r="G3542" i="1" s="1"/>
  <c r="G3541" i="1" a="1"/>
  <c r="G3541" i="1" s="1"/>
  <c r="G3540" i="1" a="1"/>
  <c r="G3540" i="1" s="1"/>
  <c r="G3539" i="1" a="1"/>
  <c r="G3539" i="1" s="1"/>
  <c r="G3538" i="1" a="1"/>
  <c r="G3538" i="1" s="1"/>
  <c r="G3537" i="1" a="1"/>
  <c r="G3537" i="1" s="1"/>
  <c r="G3536" i="1" a="1"/>
  <c r="G3536" i="1" s="1"/>
  <c r="G3535" i="1" a="1"/>
  <c r="G3535" i="1" s="1"/>
  <c r="G3534" i="1" a="1"/>
  <c r="G3534" i="1" s="1"/>
  <c r="G3533" i="1" a="1"/>
  <c r="G3533" i="1" s="1"/>
  <c r="G3532" i="1" a="1"/>
  <c r="G3532" i="1" s="1"/>
  <c r="G3531" i="1" a="1"/>
  <c r="G3531" i="1"/>
  <c r="G3530" i="1" a="1"/>
  <c r="G3530" i="1" s="1"/>
  <c r="G3529" i="1" a="1"/>
  <c r="G3529" i="1" s="1"/>
  <c r="G3528" i="1" a="1"/>
  <c r="G3528" i="1" s="1"/>
  <c r="G3527" i="1" a="1"/>
  <c r="G3527" i="1" s="1"/>
  <c r="G3526" i="1" a="1"/>
  <c r="G3526" i="1" s="1"/>
  <c r="G3525" i="1" a="1"/>
  <c r="G3525" i="1" s="1"/>
  <c r="G3524" i="1" a="1"/>
  <c r="G3524" i="1" s="1"/>
  <c r="G3523" i="1" a="1"/>
  <c r="G3523" i="1" s="1"/>
  <c r="G3522" i="1" a="1"/>
  <c r="G3522" i="1" s="1"/>
  <c r="G3521" i="1" a="1"/>
  <c r="G3521" i="1" s="1"/>
  <c r="G3520" i="1" a="1"/>
  <c r="G3520" i="1" s="1"/>
  <c r="G3519" i="1" a="1"/>
  <c r="G3519" i="1" s="1"/>
  <c r="G3518" i="1" a="1"/>
  <c r="G3518" i="1" s="1"/>
  <c r="G3517" i="1" a="1"/>
  <c r="G3517" i="1" s="1"/>
  <c r="G3516" i="1" a="1"/>
  <c r="G3516" i="1" s="1"/>
  <c r="G3515" i="1" a="1"/>
  <c r="G3515" i="1" s="1"/>
  <c r="G3514" i="1" a="1"/>
  <c r="G3514" i="1"/>
  <c r="G3513" i="1" a="1"/>
  <c r="G3513" i="1" s="1"/>
  <c r="G3512" i="1" a="1"/>
  <c r="G3512" i="1" s="1"/>
  <c r="G3511" i="1" a="1"/>
  <c r="G3511" i="1" s="1"/>
  <c r="G3510" i="1" a="1"/>
  <c r="G3510" i="1" s="1"/>
  <c r="G3509" i="1" a="1"/>
  <c r="G3509" i="1"/>
  <c r="G3508" i="1" a="1"/>
  <c r="G3508" i="1" s="1"/>
  <c r="G3507" i="1" a="1"/>
  <c r="G3507" i="1" s="1"/>
  <c r="G3506" i="1" a="1"/>
  <c r="G3506" i="1" s="1"/>
  <c r="G3505" i="1" a="1"/>
  <c r="G3505" i="1" s="1"/>
  <c r="G3504" i="1" a="1"/>
  <c r="G3504" i="1" s="1"/>
  <c r="G3503" i="1" a="1"/>
  <c r="G3503" i="1" s="1"/>
  <c r="G3502" i="1" a="1"/>
  <c r="G3502" i="1" s="1"/>
  <c r="G3501" i="1" a="1"/>
  <c r="G3501" i="1" s="1"/>
  <c r="G3500" i="1" a="1"/>
  <c r="G3500" i="1" s="1"/>
  <c r="G3499" i="1" a="1"/>
  <c r="G3499" i="1" s="1"/>
  <c r="G3498" i="1" a="1"/>
  <c r="G3498" i="1" s="1"/>
  <c r="G3497" i="1" a="1"/>
  <c r="G3497" i="1" s="1"/>
  <c r="G3496" i="1" a="1"/>
  <c r="G3496" i="1" s="1"/>
  <c r="G3495" i="1" a="1"/>
  <c r="G3495" i="1" s="1"/>
  <c r="G3494" i="1" a="1"/>
  <c r="G3494" i="1" s="1"/>
  <c r="G3493" i="1" a="1"/>
  <c r="G3493" i="1" s="1"/>
  <c r="G3492" i="1" a="1"/>
  <c r="G3492" i="1" s="1"/>
  <c r="G3491" i="1" a="1"/>
  <c r="G3491" i="1" s="1"/>
  <c r="G3490" i="1" a="1"/>
  <c r="G3490" i="1" s="1"/>
  <c r="G3489" i="1" a="1"/>
  <c r="G3489" i="1" s="1"/>
  <c r="G3488" i="1" a="1"/>
  <c r="G3488" i="1" s="1"/>
  <c r="G3487" i="1" a="1"/>
  <c r="G3487" i="1" s="1"/>
  <c r="G3486" i="1" a="1"/>
  <c r="G3486" i="1" s="1"/>
  <c r="G3485" i="1" a="1"/>
  <c r="G3485" i="1" s="1"/>
  <c r="G3484" i="1" a="1"/>
  <c r="G3484" i="1" s="1"/>
  <c r="G3483" i="1" a="1"/>
  <c r="G3483" i="1" s="1"/>
  <c r="G3482" i="1" a="1"/>
  <c r="G3482" i="1" s="1"/>
  <c r="G3481" i="1" a="1"/>
  <c r="G3481" i="1" s="1"/>
  <c r="G3480" i="1" a="1"/>
  <c r="G3480" i="1" s="1"/>
  <c r="G3479" i="1" a="1"/>
  <c r="G3479" i="1" s="1"/>
  <c r="G3478" i="1" a="1"/>
  <c r="G3478" i="1" s="1"/>
  <c r="G3477" i="1" a="1"/>
  <c r="G3477" i="1" s="1"/>
  <c r="G3476" i="1" a="1"/>
  <c r="G3476" i="1" s="1"/>
  <c r="G3475" i="1" a="1"/>
  <c r="G3475" i="1" s="1"/>
  <c r="G3474" i="1" a="1"/>
  <c r="G3474" i="1" s="1"/>
  <c r="G3473" i="1" a="1"/>
  <c r="G3473" i="1" s="1"/>
  <c r="G3472" i="1" a="1"/>
  <c r="G3472" i="1" s="1"/>
  <c r="G3471" i="1" a="1"/>
  <c r="G3471" i="1" s="1"/>
  <c r="G3470" i="1" a="1"/>
  <c r="G3470" i="1" s="1"/>
  <c r="G3469" i="1" a="1"/>
  <c r="G3469" i="1" s="1"/>
  <c r="G3468" i="1" a="1"/>
  <c r="G3468" i="1" s="1"/>
  <c r="G3467" i="1" a="1"/>
  <c r="G3467" i="1" s="1"/>
  <c r="G3466" i="1" a="1"/>
  <c r="G3466" i="1" s="1"/>
  <c r="G3465" i="1" a="1"/>
  <c r="G3465" i="1" s="1"/>
  <c r="G3464" i="1" a="1"/>
  <c r="G3464" i="1" s="1"/>
  <c r="G3463" i="1" a="1"/>
  <c r="G3463" i="1" s="1"/>
  <c r="G3462" i="1" a="1"/>
  <c r="G3462" i="1" s="1"/>
  <c r="G3461" i="1" a="1"/>
  <c r="G3461" i="1" s="1"/>
  <c r="G3460" i="1" a="1"/>
  <c r="G3460" i="1" s="1"/>
  <c r="G3459" i="1" a="1"/>
  <c r="G3459" i="1" s="1"/>
  <c r="G3458" i="1" a="1"/>
  <c r="G3458" i="1" s="1"/>
  <c r="G3457" i="1" a="1"/>
  <c r="G3457" i="1" s="1"/>
  <c r="G3456" i="1" a="1"/>
  <c r="G3456" i="1" s="1"/>
  <c r="G3455" i="1" a="1"/>
  <c r="G3455" i="1" s="1"/>
  <c r="G3454" i="1" a="1"/>
  <c r="G3454" i="1" s="1"/>
  <c r="G3453" i="1" a="1"/>
  <c r="G3453" i="1" s="1"/>
  <c r="G3452" i="1" a="1"/>
  <c r="G3452" i="1" s="1"/>
  <c r="G3451" i="1" a="1"/>
  <c r="G3451" i="1"/>
  <c r="G3450" i="1" a="1"/>
  <c r="G3450" i="1" s="1"/>
  <c r="G3449" i="1" a="1"/>
  <c r="G3449" i="1" s="1"/>
  <c r="G3448" i="1" a="1"/>
  <c r="G3448" i="1" s="1"/>
  <c r="G3447" i="1" a="1"/>
  <c r="G3447" i="1" s="1"/>
  <c r="G3446" i="1" a="1"/>
  <c r="G3446" i="1" s="1"/>
  <c r="G3445" i="1" a="1"/>
  <c r="G3445" i="1" s="1"/>
  <c r="G3444" i="1" a="1"/>
  <c r="G3444" i="1" s="1"/>
  <c r="G3443" i="1" a="1"/>
  <c r="G3443" i="1"/>
  <c r="G3442" i="1" a="1"/>
  <c r="G3442" i="1" s="1"/>
  <c r="G3441" i="1" a="1"/>
  <c r="G3441" i="1" s="1"/>
  <c r="G3440" i="1" a="1"/>
  <c r="G3440" i="1" s="1"/>
  <c r="G3439" i="1" a="1"/>
  <c r="G3439" i="1" s="1"/>
  <c r="G3438" i="1" a="1"/>
  <c r="G3438" i="1" s="1"/>
  <c r="G3437" i="1" a="1"/>
  <c r="G3437" i="1" s="1"/>
  <c r="G3436" i="1" a="1"/>
  <c r="G3436" i="1" s="1"/>
  <c r="G3435" i="1" a="1"/>
  <c r="G3435" i="1" s="1"/>
  <c r="G3434" i="1" a="1"/>
  <c r="G3434" i="1" s="1"/>
  <c r="G3433" i="1" a="1"/>
  <c r="G3433" i="1" s="1"/>
  <c r="G3432" i="1" a="1"/>
  <c r="G3432" i="1" s="1"/>
  <c r="G3431" i="1" a="1"/>
  <c r="G3431" i="1" s="1"/>
  <c r="G3430" i="1" a="1"/>
  <c r="G3430" i="1" s="1"/>
  <c r="G3429" i="1" a="1"/>
  <c r="G3429" i="1" s="1"/>
  <c r="G3428" i="1" a="1"/>
  <c r="G3428" i="1"/>
  <c r="G3427" i="1" a="1"/>
  <c r="G3427" i="1" s="1"/>
  <c r="G3426" i="1" a="1"/>
  <c r="G3426" i="1" s="1"/>
  <c r="G3425" i="1" a="1"/>
  <c r="G3425" i="1" s="1"/>
  <c r="G3424" i="1" a="1"/>
  <c r="G3424" i="1" s="1"/>
  <c r="G3423" i="1" a="1"/>
  <c r="G3423" i="1" s="1"/>
  <c r="G3422" i="1" a="1"/>
  <c r="G3422" i="1" s="1"/>
  <c r="G3421" i="1" a="1"/>
  <c r="G3421" i="1" s="1"/>
  <c r="G3420" i="1" a="1"/>
  <c r="G3420" i="1" s="1"/>
  <c r="G3419" i="1" a="1"/>
  <c r="G3419" i="1" s="1"/>
  <c r="G3418" i="1" a="1"/>
  <c r="G3418" i="1" s="1"/>
  <c r="G3417" i="1" a="1"/>
  <c r="G3417" i="1" s="1"/>
  <c r="G3416" i="1" a="1"/>
  <c r="G3416" i="1" s="1"/>
  <c r="G3415" i="1" a="1"/>
  <c r="G3415" i="1" s="1"/>
  <c r="G3414" i="1" a="1"/>
  <c r="G3414" i="1" s="1"/>
  <c r="G3413" i="1" a="1"/>
  <c r="G3413" i="1" s="1"/>
  <c r="G3412" i="1" a="1"/>
  <c r="G3412" i="1" s="1"/>
  <c r="G3411" i="1" a="1"/>
  <c r="G3411" i="1" s="1"/>
  <c r="G3410" i="1" a="1"/>
  <c r="G3410" i="1" s="1"/>
  <c r="G3409" i="1" a="1"/>
  <c r="G3409" i="1" s="1"/>
  <c r="G3408" i="1" a="1"/>
  <c r="G3408" i="1" s="1"/>
  <c r="G3407" i="1" a="1"/>
  <c r="G3407" i="1" s="1"/>
  <c r="G3406" i="1" a="1"/>
  <c r="G3406" i="1" s="1"/>
  <c r="G3405" i="1" a="1"/>
  <c r="G3405" i="1" s="1"/>
  <c r="G3404" i="1" a="1"/>
  <c r="G3404" i="1" s="1"/>
  <c r="G3403" i="1" a="1"/>
  <c r="G3403" i="1"/>
  <c r="G3402" i="1" a="1"/>
  <c r="G3402" i="1" s="1"/>
  <c r="G3401" i="1" a="1"/>
  <c r="G3401" i="1" s="1"/>
  <c r="G3400" i="1" a="1"/>
  <c r="G3400" i="1" s="1"/>
  <c r="G3399" i="1" a="1"/>
  <c r="G3399" i="1" s="1"/>
  <c r="G3398" i="1" a="1"/>
  <c r="G3398" i="1"/>
  <c r="G3397" i="1" a="1"/>
  <c r="G3397" i="1" s="1"/>
  <c r="G3396" i="1" a="1"/>
  <c r="G3396" i="1" s="1"/>
  <c r="G3395" i="1" a="1"/>
  <c r="G3395" i="1" s="1"/>
  <c r="G3394" i="1" a="1"/>
  <c r="G3394" i="1" s="1"/>
  <c r="G3393" i="1" a="1"/>
  <c r="G3393" i="1" s="1"/>
  <c r="G3392" i="1" a="1"/>
  <c r="G3392" i="1" s="1"/>
  <c r="G3391" i="1" a="1"/>
  <c r="G3391" i="1" s="1"/>
  <c r="G3390" i="1" a="1"/>
  <c r="G3390" i="1" s="1"/>
  <c r="G3389" i="1" a="1"/>
  <c r="G3389" i="1" s="1"/>
  <c r="G3388" i="1" a="1"/>
  <c r="G3388" i="1" s="1"/>
  <c r="G3387" i="1" a="1"/>
  <c r="G3387" i="1" s="1"/>
  <c r="G3386" i="1" a="1"/>
  <c r="G3386" i="1" s="1"/>
  <c r="G3384" i="1" a="1"/>
  <c r="G3384" i="1" s="1"/>
  <c r="G3383" i="1" a="1"/>
  <c r="G3383" i="1" s="1"/>
  <c r="G3382" i="1" a="1"/>
  <c r="G3382" i="1" s="1"/>
  <c r="G3381" i="1" a="1"/>
  <c r="G3381" i="1" s="1"/>
  <c r="G3380" i="1" a="1"/>
  <c r="G3380" i="1" s="1"/>
  <c r="G3379" i="1" a="1"/>
  <c r="G3379" i="1" s="1"/>
  <c r="G3378" i="1" a="1"/>
  <c r="G3378" i="1" s="1"/>
  <c r="G3377" i="1" a="1"/>
  <c r="G3377" i="1" s="1"/>
  <c r="G3376" i="1" a="1"/>
  <c r="G3376" i="1" s="1"/>
  <c r="G3375" i="1" a="1"/>
  <c r="G3375" i="1" s="1"/>
  <c r="G3374" i="1" a="1"/>
  <c r="G3374" i="1" s="1"/>
  <c r="G3373" i="1" a="1"/>
  <c r="G3373" i="1" s="1"/>
  <c r="G3372" i="1" a="1"/>
  <c r="G3372" i="1"/>
  <c r="G3371" i="1" a="1"/>
  <c r="G3371" i="1" s="1"/>
  <c r="G3370" i="1" a="1"/>
  <c r="G3370" i="1" s="1"/>
  <c r="G3369" i="1" a="1"/>
  <c r="G3369" i="1" s="1"/>
  <c r="G3368" i="1" a="1"/>
  <c r="G3368" i="1" s="1"/>
  <c r="G3367" i="1" a="1"/>
  <c r="G3367" i="1" s="1"/>
  <c r="G3366" i="1" a="1"/>
  <c r="G3366" i="1" s="1"/>
  <c r="G3365" i="1" a="1"/>
  <c r="G3365" i="1" s="1"/>
  <c r="G3364" i="1" a="1"/>
  <c r="G3364" i="1" s="1"/>
  <c r="G3363" i="1" a="1"/>
  <c r="G3363" i="1" s="1"/>
  <c r="G3362" i="1" a="1"/>
  <c r="G3362" i="1" s="1"/>
  <c r="G3361" i="1" a="1"/>
  <c r="G3361" i="1" s="1"/>
  <c r="G3360" i="1" a="1"/>
  <c r="G3360" i="1" s="1"/>
  <c r="G3359" i="1" a="1"/>
  <c r="G3359" i="1" s="1"/>
  <c r="G3358" i="1" a="1"/>
  <c r="G3358" i="1" s="1"/>
  <c r="G3357" i="1" a="1"/>
  <c r="G3357" i="1" s="1"/>
  <c r="G3356" i="1" a="1"/>
  <c r="G3356" i="1" s="1"/>
  <c r="G3355" i="1" a="1"/>
  <c r="G3355" i="1" s="1"/>
  <c r="G3354" i="1" a="1"/>
  <c r="G3354" i="1" s="1"/>
  <c r="G3353" i="1" a="1"/>
  <c r="G3353" i="1" s="1"/>
  <c r="G3352" i="1" a="1"/>
  <c r="G3352" i="1" s="1"/>
  <c r="G3351" i="1" a="1"/>
  <c r="G3351" i="1" s="1"/>
  <c r="G3350" i="1" a="1"/>
  <c r="G3350" i="1" s="1"/>
  <c r="G3349" i="1" a="1"/>
  <c r="G3349" i="1" s="1"/>
  <c r="G3348" i="1" a="1"/>
  <c r="G3348" i="1" s="1"/>
  <c r="G3347" i="1" a="1"/>
  <c r="G3347" i="1" s="1"/>
  <c r="G3346" i="1" a="1"/>
  <c r="G3346" i="1" s="1"/>
  <c r="G3345" i="1" a="1"/>
  <c r="G3345" i="1" s="1"/>
  <c r="G3344" i="1" a="1"/>
  <c r="G3344" i="1" s="1"/>
  <c r="G3343" i="1" a="1"/>
  <c r="G3343" i="1" s="1"/>
  <c r="G3342" i="1" a="1"/>
  <c r="G3342" i="1"/>
  <c r="G3341" i="1" a="1"/>
  <c r="G3341" i="1" s="1"/>
  <c r="G3340" i="1" a="1"/>
  <c r="G3340" i="1" s="1"/>
  <c r="G3339" i="1" a="1"/>
  <c r="G3339" i="1"/>
  <c r="G3338" i="1" a="1"/>
  <c r="G3338" i="1" s="1"/>
  <c r="G3337" i="1" a="1"/>
  <c r="G3337" i="1" s="1"/>
  <c r="G3336" i="1" a="1"/>
  <c r="G3336" i="1" s="1"/>
  <c r="G3335" i="1" a="1"/>
  <c r="G3335" i="1" s="1"/>
  <c r="G3334" i="1" a="1"/>
  <c r="G3334" i="1" s="1"/>
  <c r="G3333" i="1" a="1"/>
  <c r="G3333" i="1" s="1"/>
  <c r="G3332" i="1" a="1"/>
  <c r="G3332" i="1" s="1"/>
  <c r="G3331" i="1" a="1"/>
  <c r="G3331" i="1"/>
  <c r="G3330" i="1" a="1"/>
  <c r="G3330" i="1" s="1"/>
  <c r="G3329" i="1" a="1"/>
  <c r="G3329" i="1"/>
  <c r="G3328" i="1" a="1"/>
  <c r="G3328" i="1" s="1"/>
  <c r="G3327" i="1" a="1"/>
  <c r="G3327" i="1" s="1"/>
  <c r="G3326" i="1" a="1"/>
  <c r="G3326" i="1" s="1"/>
  <c r="G3325" i="1" a="1"/>
  <c r="G3325" i="1" s="1"/>
  <c r="G3324" i="1" a="1"/>
  <c r="G3324" i="1" s="1"/>
  <c r="G3323" i="1" a="1"/>
  <c r="G3323" i="1" s="1"/>
  <c r="G3322" i="1" a="1"/>
  <c r="G3322" i="1" s="1"/>
  <c r="G3321" i="1" a="1"/>
  <c r="G3321" i="1"/>
  <c r="G3320" i="1" a="1"/>
  <c r="G3320" i="1" s="1"/>
  <c r="G3319" i="1" a="1"/>
  <c r="G3319" i="1" s="1"/>
  <c r="G3318" i="1" a="1"/>
  <c r="G3318" i="1" s="1"/>
  <c r="G3317" i="1" a="1"/>
  <c r="G3317" i="1" s="1"/>
  <c r="G3316" i="1" a="1"/>
  <c r="G3316" i="1" s="1"/>
  <c r="G3315" i="1" a="1"/>
  <c r="G3315" i="1" s="1"/>
  <c r="G3314" i="1" a="1"/>
  <c r="G3314" i="1" s="1"/>
  <c r="G3313" i="1" a="1"/>
  <c r="G3313" i="1" s="1"/>
  <c r="G3312" i="1" a="1"/>
  <c r="G3312" i="1" s="1"/>
  <c r="G3311" i="1" a="1"/>
  <c r="G3311" i="1" s="1"/>
  <c r="G3310" i="1" a="1"/>
  <c r="G3310" i="1"/>
  <c r="G3309" i="1" a="1"/>
  <c r="G3309" i="1" s="1"/>
  <c r="G3308" i="1" a="1"/>
  <c r="G3308" i="1" s="1"/>
  <c r="G3307" i="1" a="1"/>
  <c r="G3307" i="1" s="1"/>
  <c r="G3306" i="1" a="1"/>
  <c r="G3306" i="1" s="1"/>
  <c r="G3305" i="1" a="1"/>
  <c r="G3305" i="1" s="1"/>
  <c r="G3304" i="1" a="1"/>
  <c r="G3304" i="1" s="1"/>
  <c r="G3303" i="1" a="1"/>
  <c r="G3303" i="1" s="1"/>
  <c r="G3302" i="1" a="1"/>
  <c r="G3302" i="1"/>
  <c r="G3301" i="1" a="1"/>
  <c r="G3301" i="1" s="1"/>
  <c r="G3300" i="1" a="1"/>
  <c r="G3300" i="1"/>
  <c r="G3299" i="1" a="1"/>
  <c r="G3299" i="1" s="1"/>
  <c r="G3298" i="1" a="1"/>
  <c r="G3298" i="1" s="1"/>
  <c r="G3297" i="1" a="1"/>
  <c r="G3297" i="1" s="1"/>
  <c r="G3296" i="1" a="1"/>
  <c r="G3296" i="1" s="1"/>
  <c r="G3295" i="1" a="1"/>
  <c r="G3295" i="1" s="1"/>
  <c r="G3294" i="1" a="1"/>
  <c r="G3294" i="1" s="1"/>
  <c r="G3293" i="1" a="1"/>
  <c r="G3293" i="1" s="1"/>
  <c r="G3292" i="1" a="1"/>
  <c r="G3292" i="1"/>
  <c r="G3291" i="1" a="1"/>
  <c r="G3291" i="1" s="1"/>
  <c r="G3290" i="1" a="1"/>
  <c r="G3290" i="1" s="1"/>
  <c r="G3289" i="1" a="1"/>
  <c r="G3289" i="1"/>
  <c r="G3288" i="1" a="1"/>
  <c r="G3288" i="1" s="1"/>
  <c r="G3287" i="1" a="1"/>
  <c r="G3287" i="1" s="1"/>
  <c r="G3286" i="1" a="1"/>
  <c r="G3286" i="1" s="1"/>
  <c r="G3285" i="1" a="1"/>
  <c r="G3285" i="1" s="1"/>
  <c r="G3284" i="1" a="1"/>
  <c r="G3284" i="1" s="1"/>
  <c r="G3283" i="1" a="1"/>
  <c r="G3283" i="1" s="1"/>
  <c r="G3282" i="1" a="1"/>
  <c r="G3282" i="1" s="1"/>
  <c r="G3281" i="1" a="1"/>
  <c r="G3281" i="1"/>
  <c r="G3280" i="1" a="1"/>
  <c r="G3280" i="1" s="1"/>
  <c r="G3279" i="1" a="1"/>
  <c r="G3279" i="1"/>
  <c r="G3278" i="1" a="1"/>
  <c r="G3278" i="1" s="1"/>
  <c r="G3277" i="1" a="1"/>
  <c r="G3277" i="1" s="1"/>
  <c r="G3276" i="1" a="1"/>
  <c r="G3276" i="1" s="1"/>
  <c r="G3275" i="1" a="1"/>
  <c r="G3275" i="1" s="1"/>
  <c r="G3274" i="1" a="1"/>
  <c r="G3274" i="1" s="1"/>
  <c r="G3273" i="1" a="1"/>
  <c r="G3273" i="1" s="1"/>
  <c r="G3272" i="1" a="1"/>
  <c r="G3272" i="1" s="1"/>
  <c r="G3271" i="1" a="1"/>
  <c r="G3271" i="1"/>
  <c r="G3270" i="1" a="1"/>
  <c r="G3270" i="1" s="1"/>
  <c r="G3269" i="1" a="1"/>
  <c r="G3269" i="1" s="1"/>
  <c r="G3268" i="1" a="1"/>
  <c r="G3268" i="1" s="1"/>
  <c r="G3267" i="1" a="1"/>
  <c r="G3267" i="1" s="1"/>
  <c r="G3266" i="1" a="1"/>
  <c r="G3266" i="1" s="1"/>
  <c r="G3265" i="1" a="1"/>
  <c r="G3265" i="1" s="1"/>
  <c r="G3264" i="1" a="1"/>
  <c r="G3264" i="1" s="1"/>
  <c r="G3263" i="1" a="1"/>
  <c r="G3263" i="1" s="1"/>
  <c r="G3262" i="1" a="1"/>
  <c r="G3262" i="1" s="1"/>
  <c r="G3261" i="1" a="1"/>
  <c r="G3261" i="1" s="1"/>
  <c r="G3260" i="1" a="1"/>
  <c r="G3260" i="1" s="1"/>
  <c r="G3259" i="1" a="1"/>
  <c r="G3259" i="1" s="1"/>
  <c r="G3258" i="1" a="1"/>
  <c r="G3258" i="1" s="1"/>
  <c r="G3257" i="1" a="1"/>
  <c r="G3257" i="1" s="1"/>
  <c r="G3256" i="1" a="1"/>
  <c r="G3256" i="1" s="1"/>
  <c r="G3255" i="1" a="1"/>
  <c r="G3255" i="1" s="1"/>
  <c r="G3254" i="1" a="1"/>
  <c r="G3254" i="1" s="1"/>
  <c r="G3253" i="1" a="1"/>
  <c r="G3253" i="1" s="1"/>
  <c r="G3252" i="1" a="1"/>
  <c r="G3252" i="1" s="1"/>
  <c r="H3252" i="1" s="1"/>
  <c r="I3252" i="1" s="1"/>
  <c r="J3253" i="1" s="1"/>
  <c r="G3251" i="1" a="1"/>
  <c r="G3251" i="1" s="1"/>
  <c r="G3250" i="1" a="1"/>
  <c r="G3250" i="1"/>
  <c r="G3249" i="1" a="1"/>
  <c r="G3249" i="1" s="1"/>
  <c r="G3248" i="1" a="1"/>
  <c r="G3248" i="1" s="1"/>
  <c r="G3247" i="1" a="1"/>
  <c r="G3247" i="1" s="1"/>
  <c r="G3246" i="1" a="1"/>
  <c r="G3246" i="1" s="1"/>
  <c r="G3245" i="1" a="1"/>
  <c r="G3245" i="1" s="1"/>
  <c r="G3244" i="1" a="1"/>
  <c r="G3244" i="1" s="1"/>
  <c r="G3243" i="1" a="1"/>
  <c r="G3243" i="1" s="1"/>
  <c r="G3242" i="1" a="1"/>
  <c r="G3242" i="1"/>
  <c r="G3241" i="1" a="1"/>
  <c r="G3241" i="1" s="1"/>
  <c r="G3240" i="1" a="1"/>
  <c r="G3240" i="1" s="1"/>
  <c r="G3239" i="1" a="1"/>
  <c r="G3239" i="1" s="1"/>
  <c r="G3238" i="1" a="1"/>
  <c r="G3238" i="1" s="1"/>
  <c r="G3237" i="1" a="1"/>
  <c r="G3237" i="1" s="1"/>
  <c r="G3236" i="1" a="1"/>
  <c r="G3236" i="1" s="1"/>
  <c r="G3235" i="1" a="1"/>
  <c r="G3235" i="1" s="1"/>
  <c r="G3234" i="1" a="1"/>
  <c r="G3234" i="1" s="1"/>
  <c r="G3233" i="1" a="1"/>
  <c r="G3233" i="1" s="1"/>
  <c r="G3232" i="1" a="1"/>
  <c r="G3232" i="1"/>
  <c r="G3231" i="1" a="1"/>
  <c r="G3231" i="1" s="1"/>
  <c r="G3230" i="1" a="1"/>
  <c r="G3230" i="1" s="1"/>
  <c r="G3229" i="1" a="1"/>
  <c r="G3229" i="1" s="1"/>
  <c r="G3228" i="1" a="1"/>
  <c r="G3228" i="1" s="1"/>
  <c r="G3227" i="1" a="1"/>
  <c r="G3227" i="1" s="1"/>
  <c r="G3226" i="1" a="1"/>
  <c r="G3226" i="1" s="1"/>
  <c r="G3225" i="1" a="1"/>
  <c r="G3225" i="1" s="1"/>
  <c r="G3224" i="1" a="1"/>
  <c r="G3224" i="1" s="1"/>
  <c r="G3223" i="1" a="1"/>
  <c r="G3223" i="1" s="1"/>
  <c r="G3222" i="1" a="1"/>
  <c r="G3222" i="1" s="1"/>
  <c r="G3221" i="1" a="1"/>
  <c r="G3221" i="1" s="1"/>
  <c r="G3220" i="1" a="1"/>
  <c r="G3220" i="1" s="1"/>
  <c r="G3219" i="1" a="1"/>
  <c r="G3219" i="1" s="1"/>
  <c r="G3218" i="1" a="1"/>
  <c r="G3218" i="1" s="1"/>
  <c r="G3217" i="1" a="1"/>
  <c r="G3217" i="1" s="1"/>
  <c r="G3216" i="1" a="1"/>
  <c r="G3216" i="1" s="1"/>
  <c r="G3215" i="1" a="1"/>
  <c r="G3215" i="1" s="1"/>
  <c r="G3214" i="1" a="1"/>
  <c r="G3214" i="1" s="1"/>
  <c r="G3213" i="1" a="1"/>
  <c r="G3213" i="1" s="1"/>
  <c r="G3212" i="1" a="1"/>
  <c r="G3212" i="1"/>
  <c r="G3211" i="1" a="1"/>
  <c r="G3211" i="1" s="1"/>
  <c r="G3210" i="1" a="1"/>
  <c r="G3210" i="1" s="1"/>
  <c r="G3209" i="1" a="1"/>
  <c r="G3209" i="1" s="1"/>
  <c r="G3208" i="1" a="1"/>
  <c r="G3208" i="1" s="1"/>
  <c r="G3207" i="1" a="1"/>
  <c r="G3207" i="1" s="1"/>
  <c r="G3206" i="1" a="1"/>
  <c r="G3206" i="1" s="1"/>
  <c r="G3205" i="1" a="1"/>
  <c r="G3205" i="1" s="1"/>
  <c r="G3204" i="1" a="1"/>
  <c r="G3204" i="1" s="1"/>
  <c r="G3203" i="1" a="1"/>
  <c r="G3203" i="1" s="1"/>
  <c r="G3202" i="1" a="1"/>
  <c r="G3202" i="1" s="1"/>
  <c r="G3201" i="1" a="1"/>
  <c r="G3201" i="1" s="1"/>
  <c r="G3200" i="1" a="1"/>
  <c r="G3200" i="1" s="1"/>
  <c r="H3200" i="1" s="1"/>
  <c r="I3200" i="1" s="1"/>
  <c r="J3201" i="1" s="1"/>
  <c r="G3199" i="1" a="1"/>
  <c r="G3199" i="1" s="1"/>
  <c r="G3198" i="1" a="1"/>
  <c r="G3198" i="1" s="1"/>
  <c r="G3197" i="1" a="1"/>
  <c r="G3197" i="1" s="1"/>
  <c r="G3196" i="1" a="1"/>
  <c r="G3196" i="1" s="1"/>
  <c r="G3195" i="1" a="1"/>
  <c r="G3195" i="1" s="1"/>
  <c r="G3194" i="1" a="1"/>
  <c r="G3194" i="1" s="1"/>
  <c r="G3193" i="1" a="1"/>
  <c r="G3193" i="1" s="1"/>
  <c r="G3192" i="1" a="1"/>
  <c r="G3192" i="1" s="1"/>
  <c r="G3191" i="1" a="1"/>
  <c r="G3191" i="1" s="1"/>
  <c r="G3190" i="1" a="1"/>
  <c r="G3190" i="1" s="1"/>
  <c r="G3189" i="1" a="1"/>
  <c r="G3189" i="1" s="1"/>
  <c r="G3188" i="1" a="1"/>
  <c r="G3188" i="1" s="1"/>
  <c r="G3187" i="1" a="1"/>
  <c r="G3187" i="1" s="1"/>
  <c r="G3186" i="1" a="1"/>
  <c r="G3186" i="1" s="1"/>
  <c r="G3185" i="1" a="1"/>
  <c r="G3185" i="1" s="1"/>
  <c r="G3184" i="1" a="1"/>
  <c r="G3184" i="1" s="1"/>
  <c r="G3183" i="1" a="1"/>
  <c r="G3183" i="1" s="1"/>
  <c r="G3182" i="1" a="1"/>
  <c r="G3182" i="1" s="1"/>
  <c r="G3181" i="1" a="1"/>
  <c r="G3181" i="1" s="1"/>
  <c r="H3181" i="1" s="1"/>
  <c r="I3181" i="1" s="1"/>
  <c r="J3182" i="1" s="1"/>
  <c r="G3180" i="1" a="1"/>
  <c r="G3180" i="1"/>
  <c r="G3179" i="1" a="1"/>
  <c r="G3179" i="1"/>
  <c r="G3178" i="1" a="1"/>
  <c r="G3178" i="1" s="1"/>
  <c r="G3177" i="1" a="1"/>
  <c r="G3177" i="1" s="1"/>
  <c r="G3176" i="1" a="1"/>
  <c r="G3176" i="1" s="1"/>
  <c r="G3175" i="1" a="1"/>
  <c r="G3175" i="1" s="1"/>
  <c r="G3174" i="1" a="1"/>
  <c r="G3174" i="1" s="1"/>
  <c r="G3173" i="1" a="1"/>
  <c r="G3173" i="1" s="1"/>
  <c r="G3172" i="1" a="1"/>
  <c r="G3172" i="1" s="1"/>
  <c r="G3171" i="1" a="1"/>
  <c r="G3171" i="1" s="1"/>
  <c r="H3171" i="1" s="1"/>
  <c r="I3171" i="1" s="1"/>
  <c r="J3172" i="1" s="1"/>
  <c r="G3170" i="1" a="1"/>
  <c r="G3170" i="1" s="1"/>
  <c r="G3169" i="1" a="1"/>
  <c r="G3169" i="1" s="1"/>
  <c r="G3168" i="1" a="1"/>
  <c r="G3168" i="1" s="1"/>
  <c r="G3167" i="1" a="1"/>
  <c r="G3167" i="1" s="1"/>
  <c r="G3166" i="1" a="1"/>
  <c r="G3166" i="1" s="1"/>
  <c r="G3165" i="1" a="1"/>
  <c r="G3165" i="1" s="1"/>
  <c r="G3164" i="1" a="1"/>
  <c r="G3164" i="1" s="1"/>
  <c r="G3163" i="1" a="1"/>
  <c r="G3163" i="1" s="1"/>
  <c r="G3162" i="1" a="1"/>
  <c r="G3162" i="1" s="1"/>
  <c r="G3161" i="1" a="1"/>
  <c r="G3161" i="1" s="1"/>
  <c r="G3160" i="1" a="1"/>
  <c r="G3160" i="1" s="1"/>
  <c r="G3159" i="1" a="1"/>
  <c r="G3159" i="1"/>
  <c r="G3158" i="1" a="1"/>
  <c r="G3158" i="1" s="1"/>
  <c r="G3157" i="1" a="1"/>
  <c r="G3157" i="1" s="1"/>
  <c r="G3156" i="1" a="1"/>
  <c r="G3156" i="1" s="1"/>
  <c r="G3155" i="1" a="1"/>
  <c r="G3155" i="1" s="1"/>
  <c r="G3154" i="1" a="1"/>
  <c r="G3154" i="1" s="1"/>
  <c r="G3153" i="1" a="1"/>
  <c r="G3153" i="1" s="1"/>
  <c r="G3152" i="1" a="1"/>
  <c r="G3152" i="1" s="1"/>
  <c r="G3151" i="1" a="1"/>
  <c r="G3151" i="1" s="1"/>
  <c r="G3150" i="1" a="1"/>
  <c r="G3150" i="1" s="1"/>
  <c r="H3150" i="1" s="1"/>
  <c r="I3150" i="1" s="1"/>
  <c r="J3151" i="1" s="1"/>
  <c r="G3149" i="1" a="1"/>
  <c r="G3149" i="1" s="1"/>
  <c r="G3148" i="1" a="1"/>
  <c r="G3148" i="1" s="1"/>
  <c r="G3147" i="1" a="1"/>
  <c r="G3147" i="1" s="1"/>
  <c r="G3146" i="1" a="1"/>
  <c r="G3146" i="1" s="1"/>
  <c r="G3145" i="1" a="1"/>
  <c r="G3145" i="1" s="1"/>
  <c r="G3144" i="1" a="1"/>
  <c r="G3144" i="1"/>
  <c r="G3143" i="1" a="1"/>
  <c r="G3143" i="1" s="1"/>
  <c r="G3142" i="1" a="1"/>
  <c r="G3142" i="1" s="1"/>
  <c r="G3141" i="1" a="1"/>
  <c r="G3141" i="1"/>
  <c r="G3140" i="1" a="1"/>
  <c r="G3140" i="1"/>
  <c r="G3139" i="1" a="1"/>
  <c r="G3139" i="1" s="1"/>
  <c r="G3138" i="1" a="1"/>
  <c r="G3138" i="1" s="1"/>
  <c r="G3137" i="1" a="1"/>
  <c r="G3137" i="1" s="1"/>
  <c r="G3136" i="1" a="1"/>
  <c r="G3136" i="1" s="1"/>
  <c r="G3135" i="1" a="1"/>
  <c r="G3135" i="1" s="1"/>
  <c r="G3134" i="1" a="1"/>
  <c r="G3134" i="1" s="1"/>
  <c r="G3133" i="1" a="1"/>
  <c r="G3133" i="1" s="1"/>
  <c r="G3132" i="1" a="1"/>
  <c r="G3132" i="1"/>
  <c r="G3131" i="1" a="1"/>
  <c r="G3131" i="1" s="1"/>
  <c r="G3130" i="1" a="1"/>
  <c r="G3130" i="1" s="1"/>
  <c r="H3130" i="1" s="1"/>
  <c r="I3130" i="1" s="1"/>
  <c r="J3131" i="1" s="1"/>
  <c r="G3129" i="1" a="1"/>
  <c r="G3129" i="1" s="1"/>
  <c r="G3128" i="1" a="1"/>
  <c r="G3128" i="1" s="1"/>
  <c r="G3127" i="1" a="1"/>
  <c r="G3127" i="1" s="1"/>
  <c r="G3126" i="1" a="1"/>
  <c r="G3126" i="1" s="1"/>
  <c r="G3125" i="1" a="1"/>
  <c r="G3125" i="1" s="1"/>
  <c r="G3124" i="1" a="1"/>
  <c r="G3124" i="1" s="1"/>
  <c r="G3123" i="1" a="1"/>
  <c r="G3123" i="1" s="1"/>
  <c r="G3122" i="1" a="1"/>
  <c r="G3122" i="1" s="1"/>
  <c r="G3121" i="1" a="1"/>
  <c r="G3121" i="1" s="1"/>
  <c r="G3120" i="1" a="1"/>
  <c r="G3120" i="1" s="1"/>
  <c r="G3119" i="1" a="1"/>
  <c r="G3119" i="1" s="1"/>
  <c r="H3119" i="1" s="1"/>
  <c r="I3119" i="1" s="1"/>
  <c r="J3120" i="1" s="1"/>
  <c r="G3118" i="1" a="1"/>
  <c r="G3118" i="1" s="1"/>
  <c r="G3117" i="1" a="1"/>
  <c r="G3117" i="1" s="1"/>
  <c r="G3116" i="1" a="1"/>
  <c r="G3116" i="1" s="1"/>
  <c r="G3115" i="1" a="1"/>
  <c r="G3115" i="1" s="1"/>
  <c r="G3114" i="1" a="1"/>
  <c r="G3114" i="1" s="1"/>
  <c r="G3113" i="1" a="1"/>
  <c r="G3113" i="1" s="1"/>
  <c r="G3112" i="1" a="1"/>
  <c r="G3112" i="1" s="1"/>
  <c r="G3111" i="1" a="1"/>
  <c r="G3111" i="1" s="1"/>
  <c r="G3110" i="1" a="1"/>
  <c r="G3110" i="1" s="1"/>
  <c r="H3110" i="1" s="1"/>
  <c r="I3110" i="1" s="1"/>
  <c r="J3111" i="1" s="1"/>
  <c r="G3109" i="1" a="1"/>
  <c r="G3109" i="1" s="1"/>
  <c r="G3108" i="1" a="1"/>
  <c r="G3108" i="1" s="1"/>
  <c r="G3107" i="1" a="1"/>
  <c r="G3107" i="1" s="1"/>
  <c r="G3106" i="1" a="1"/>
  <c r="G3106" i="1" s="1"/>
  <c r="G3105" i="1" a="1"/>
  <c r="G3105" i="1" s="1"/>
  <c r="G3104" i="1" a="1"/>
  <c r="G3104" i="1" s="1"/>
  <c r="G3103" i="1" a="1"/>
  <c r="G3103" i="1" s="1"/>
  <c r="G3102" i="1" a="1"/>
  <c r="G3102" i="1"/>
  <c r="G3101" i="1" a="1"/>
  <c r="G3101" i="1"/>
  <c r="G3100" i="1" a="1"/>
  <c r="G3100" i="1"/>
  <c r="G3099" i="1" a="1"/>
  <c r="G3099" i="1" s="1"/>
  <c r="G3098" i="1" a="1"/>
  <c r="G3098" i="1" s="1"/>
  <c r="G3097" i="1" a="1"/>
  <c r="G3097" i="1" s="1"/>
  <c r="G3096" i="1" a="1"/>
  <c r="G3096" i="1" s="1"/>
  <c r="G3095" i="1" a="1"/>
  <c r="G3095" i="1" s="1"/>
  <c r="G3094" i="1" a="1"/>
  <c r="G3094" i="1"/>
  <c r="G3093" i="1" a="1"/>
  <c r="G3093" i="1" s="1"/>
  <c r="G3092" i="1" a="1"/>
  <c r="G3092" i="1" s="1"/>
  <c r="G3091" i="1" a="1"/>
  <c r="G3091" i="1" s="1"/>
  <c r="G3090" i="1" a="1"/>
  <c r="G3090" i="1" s="1"/>
  <c r="H3090" i="1" s="1"/>
  <c r="I3090" i="1" s="1"/>
  <c r="J3091" i="1" s="1"/>
  <c r="G3089" i="1" a="1"/>
  <c r="G3089" i="1" s="1"/>
  <c r="G3088" i="1" a="1"/>
  <c r="G3088" i="1" s="1"/>
  <c r="G3087" i="1" a="1"/>
  <c r="G3087" i="1" s="1"/>
  <c r="G3086" i="1" a="1"/>
  <c r="G3086" i="1" s="1"/>
  <c r="G3085" i="1" a="1"/>
  <c r="G3085" i="1" s="1"/>
  <c r="G3084" i="1" a="1"/>
  <c r="G3084" i="1" s="1"/>
  <c r="G3083" i="1" a="1"/>
  <c r="G3083" i="1" s="1"/>
  <c r="G3082" i="1" a="1"/>
  <c r="G3082" i="1" s="1"/>
  <c r="G3081" i="1" a="1"/>
  <c r="G3081" i="1" s="1"/>
  <c r="G3080" i="1" a="1"/>
  <c r="G3080" i="1" s="1"/>
  <c r="G3079" i="1" a="1"/>
  <c r="G3079" i="1" s="1"/>
  <c r="G3078" i="1" a="1"/>
  <c r="G3078" i="1" s="1"/>
  <c r="G3077" i="1" a="1"/>
  <c r="G3077" i="1" s="1"/>
  <c r="H3077" i="1" s="1"/>
  <c r="I3077" i="1" s="1"/>
  <c r="J3078" i="1" s="1"/>
  <c r="G3076" i="1" a="1"/>
  <c r="G3076" i="1" s="1"/>
  <c r="G3075" i="1" a="1"/>
  <c r="G3075" i="1" s="1"/>
  <c r="G3074" i="1" a="1"/>
  <c r="G3074" i="1" s="1"/>
  <c r="G3073" i="1" a="1"/>
  <c r="G3073" i="1" s="1"/>
  <c r="G3072" i="1" a="1"/>
  <c r="G3072" i="1" s="1"/>
  <c r="G3071" i="1" a="1"/>
  <c r="G3071" i="1"/>
  <c r="G3070" i="1" a="1"/>
  <c r="G3070" i="1"/>
  <c r="G3069" i="1" a="1"/>
  <c r="G3069" i="1" s="1"/>
  <c r="G3068" i="1" a="1"/>
  <c r="G3068" i="1" s="1"/>
  <c r="G3067" i="1" a="1"/>
  <c r="G3067" i="1" s="1"/>
  <c r="G3066" i="1" a="1"/>
  <c r="G3066" i="1" s="1"/>
  <c r="G3065" i="1" a="1"/>
  <c r="G3065" i="1" s="1"/>
  <c r="G3064" i="1" a="1"/>
  <c r="G3064" i="1" s="1"/>
  <c r="G3063" i="1" a="1"/>
  <c r="G3063" i="1" s="1"/>
  <c r="G3062" i="1" a="1"/>
  <c r="G3062" i="1" s="1"/>
  <c r="G3061" i="1" a="1"/>
  <c r="G3061" i="1" s="1"/>
  <c r="G3060" i="1" a="1"/>
  <c r="G3060" i="1" s="1"/>
  <c r="G3059" i="1" a="1"/>
  <c r="G3059" i="1" s="1"/>
  <c r="G3058" i="1" a="1"/>
  <c r="G3058" i="1" s="1"/>
  <c r="G3057" i="1" a="1"/>
  <c r="G3057" i="1" s="1"/>
  <c r="G3056" i="1" a="1"/>
  <c r="G3056" i="1" s="1"/>
  <c r="G3055" i="1" a="1"/>
  <c r="G3055" i="1" s="1"/>
  <c r="G3054" i="1" a="1"/>
  <c r="G3054" i="1" s="1"/>
  <c r="G3053" i="1" a="1"/>
  <c r="G3053" i="1" s="1"/>
  <c r="G3052" i="1" a="1"/>
  <c r="G3052" i="1" s="1"/>
  <c r="G3051" i="1" a="1"/>
  <c r="G3051" i="1"/>
  <c r="G3050" i="1" a="1"/>
  <c r="G3050" i="1" s="1"/>
  <c r="G3049" i="1" a="1"/>
  <c r="G3049" i="1" s="1"/>
  <c r="G3048" i="1" a="1"/>
  <c r="G3048" i="1" s="1"/>
  <c r="G3047" i="1" a="1"/>
  <c r="G3047" i="1" s="1"/>
  <c r="G3046" i="1" a="1"/>
  <c r="G3046" i="1" s="1"/>
  <c r="G3045" i="1" a="1"/>
  <c r="G3045" i="1" s="1"/>
  <c r="G3044" i="1" a="1"/>
  <c r="G3044" i="1"/>
  <c r="G3043" i="1" a="1"/>
  <c r="G3043" i="1" s="1"/>
  <c r="G3042" i="1" a="1"/>
  <c r="G3042" i="1" s="1"/>
  <c r="G3041" i="1" a="1"/>
  <c r="G3041" i="1" s="1"/>
  <c r="G3040" i="1" a="1"/>
  <c r="G3040" i="1" s="1"/>
  <c r="H3040" i="1" s="1"/>
  <c r="I3040" i="1" s="1"/>
  <c r="J3041" i="1" s="1"/>
  <c r="G3039" i="1" a="1"/>
  <c r="G3039" i="1" s="1"/>
  <c r="G3038" i="1" a="1"/>
  <c r="G3038" i="1" s="1"/>
  <c r="G3037" i="1" a="1"/>
  <c r="G3037" i="1" s="1"/>
  <c r="G3036" i="1" a="1"/>
  <c r="G3036" i="1" s="1"/>
  <c r="G3035" i="1" a="1"/>
  <c r="G3035" i="1" s="1"/>
  <c r="G3034" i="1" a="1"/>
  <c r="G3034" i="1" s="1"/>
  <c r="G3033" i="1" a="1"/>
  <c r="G3033" i="1" s="1"/>
  <c r="G3032" i="1" a="1"/>
  <c r="G3032" i="1"/>
  <c r="G3031" i="1" a="1"/>
  <c r="G3031" i="1" s="1"/>
  <c r="G3030" i="1" a="1"/>
  <c r="G3030" i="1" s="1"/>
  <c r="G3029" i="1" a="1"/>
  <c r="G3029" i="1"/>
  <c r="G3028" i="1" a="1"/>
  <c r="G3028" i="1" s="1"/>
  <c r="G3027" i="1" a="1"/>
  <c r="G3027" i="1" s="1"/>
  <c r="G3026" i="1" a="1"/>
  <c r="G3026" i="1" s="1"/>
  <c r="G3025" i="1" a="1"/>
  <c r="G3025" i="1" s="1"/>
  <c r="G3024" i="1" a="1"/>
  <c r="G3024" i="1" s="1"/>
  <c r="G3023" i="1" a="1"/>
  <c r="G3023" i="1" s="1"/>
  <c r="G3022" i="1" a="1"/>
  <c r="G3022" i="1"/>
  <c r="G3021" i="1" a="1"/>
  <c r="G3021" i="1" s="1"/>
  <c r="G3020" i="1" a="1"/>
  <c r="G3020" i="1" s="1"/>
  <c r="H3020" i="1" s="1"/>
  <c r="I3020" i="1" s="1"/>
  <c r="J3021" i="1" s="1"/>
  <c r="G3019" i="1" a="1"/>
  <c r="G3019" i="1" s="1"/>
  <c r="G3018" i="1" a="1"/>
  <c r="G3018" i="1" s="1"/>
  <c r="G3017" i="1" a="1"/>
  <c r="G3017" i="1" s="1"/>
  <c r="G3016" i="1" a="1"/>
  <c r="G3016" i="1" s="1"/>
  <c r="G3015" i="1" a="1"/>
  <c r="G3015" i="1" s="1"/>
  <c r="G3014" i="1" a="1"/>
  <c r="G3014" i="1" s="1"/>
  <c r="G3013" i="1" a="1"/>
  <c r="G3013" i="1" s="1"/>
  <c r="G3012" i="1" a="1"/>
  <c r="G3012" i="1"/>
  <c r="G3011" i="1" a="1"/>
  <c r="G3011" i="1" s="1"/>
  <c r="G3010" i="1" a="1"/>
  <c r="G3010" i="1" s="1"/>
  <c r="G3009" i="1" a="1"/>
  <c r="G3009" i="1" s="1"/>
  <c r="G3008" i="1" a="1"/>
  <c r="G3008" i="1" s="1"/>
  <c r="G3007" i="1" a="1"/>
  <c r="G3007" i="1" s="1"/>
  <c r="G3006" i="1" a="1"/>
  <c r="G3006" i="1" s="1"/>
  <c r="G3005" i="1" a="1"/>
  <c r="G3005" i="1" s="1"/>
  <c r="G3004" i="1" a="1"/>
  <c r="G3004" i="1" s="1"/>
  <c r="G3003" i="1" a="1"/>
  <c r="G3003" i="1" s="1"/>
  <c r="G3002" i="1" a="1"/>
  <c r="G3002" i="1"/>
  <c r="G3001" i="1" a="1"/>
  <c r="G3001" i="1" s="1"/>
  <c r="G3000" i="1" a="1"/>
  <c r="G3000" i="1" s="1"/>
  <c r="H3000" i="1" s="1"/>
  <c r="I3000" i="1" s="1"/>
  <c r="J3001" i="1" s="1"/>
  <c r="G2999" i="1" a="1"/>
  <c r="G2999" i="1" s="1"/>
  <c r="G2998" i="1" a="1"/>
  <c r="G2998" i="1" s="1"/>
  <c r="G2997" i="1" a="1"/>
  <c r="G2997" i="1" s="1"/>
  <c r="G2996" i="1" a="1"/>
  <c r="G2996" i="1" s="1"/>
  <c r="G2995" i="1" a="1"/>
  <c r="G2995" i="1" s="1"/>
  <c r="G2994" i="1" a="1"/>
  <c r="G2994" i="1" s="1"/>
  <c r="G2993" i="1" a="1"/>
  <c r="G2993" i="1" s="1"/>
  <c r="G2992" i="1" a="1"/>
  <c r="G2992" i="1"/>
  <c r="G2991" i="1" a="1"/>
  <c r="G2991" i="1" s="1"/>
  <c r="G2990" i="1" a="1"/>
  <c r="G2990" i="1" s="1"/>
  <c r="G2989" i="1" a="1"/>
  <c r="G2989" i="1" s="1"/>
  <c r="G2988" i="1" a="1"/>
  <c r="G2988" i="1" s="1"/>
  <c r="G2987" i="1" a="1"/>
  <c r="G2987" i="1" s="1"/>
  <c r="G2986" i="1" a="1"/>
  <c r="G2986" i="1" s="1"/>
  <c r="G2985" i="1" a="1"/>
  <c r="G2985" i="1" s="1"/>
  <c r="G2984" i="1" a="1"/>
  <c r="G2984" i="1" s="1"/>
  <c r="G2983" i="1" a="1"/>
  <c r="G2983" i="1" s="1"/>
  <c r="G2982" i="1" a="1"/>
  <c r="G2982" i="1" s="1"/>
  <c r="G2981" i="1" a="1"/>
  <c r="G2981" i="1" s="1"/>
  <c r="G2980" i="1" a="1"/>
  <c r="G2980" i="1" s="1"/>
  <c r="H2980" i="1" s="1"/>
  <c r="I2980" i="1" s="1"/>
  <c r="J2981" i="1" s="1"/>
  <c r="G2979" i="1" a="1"/>
  <c r="G2979" i="1" s="1"/>
  <c r="G2978" i="1" a="1"/>
  <c r="G2978" i="1" s="1"/>
  <c r="G2977" i="1" a="1"/>
  <c r="G2977" i="1"/>
  <c r="G2976" i="1" a="1"/>
  <c r="G2976" i="1" s="1"/>
  <c r="G2975" i="1" a="1"/>
  <c r="G2975" i="1" s="1"/>
  <c r="G2974" i="1" a="1"/>
  <c r="G2974" i="1" s="1"/>
  <c r="G2973" i="1" a="1"/>
  <c r="G2973" i="1" s="1"/>
  <c r="G2972" i="1" a="1"/>
  <c r="G2972" i="1"/>
  <c r="G2971" i="1" a="1"/>
  <c r="G2971" i="1"/>
  <c r="G2970" i="1" a="1"/>
  <c r="G2970" i="1"/>
  <c r="G2969" i="1" a="1"/>
  <c r="G2969" i="1"/>
  <c r="G2968" i="1" a="1"/>
  <c r="G2968" i="1" s="1"/>
  <c r="G2967" i="1" a="1"/>
  <c r="G2967" i="1" s="1"/>
  <c r="G2966" i="1" a="1"/>
  <c r="G2966" i="1"/>
  <c r="G2965" i="1" a="1"/>
  <c r="G2965" i="1" s="1"/>
  <c r="G2964" i="1" a="1"/>
  <c r="G2964" i="1" s="1"/>
  <c r="G2963" i="1" a="1"/>
  <c r="G2963" i="1" s="1"/>
  <c r="G2962" i="1" a="1"/>
  <c r="G2962" i="1" s="1"/>
  <c r="G2961" i="1" a="1"/>
  <c r="G2961" i="1"/>
  <c r="G2960" i="1" a="1"/>
  <c r="G2960" i="1" s="1"/>
  <c r="G2959" i="1" a="1"/>
  <c r="G2959" i="1"/>
  <c r="G2958" i="1" a="1"/>
  <c r="G2958" i="1" s="1"/>
  <c r="G2957" i="1" a="1"/>
  <c r="G2957" i="1" s="1"/>
  <c r="G2956" i="1" a="1"/>
  <c r="G2956" i="1" s="1"/>
  <c r="G2955" i="1" a="1"/>
  <c r="G2955" i="1" s="1"/>
  <c r="G2954" i="1" a="1"/>
  <c r="G2954" i="1" s="1"/>
  <c r="G2953" i="1" a="1"/>
  <c r="G2953" i="1" s="1"/>
  <c r="G2952" i="1" a="1"/>
  <c r="G2952" i="1" s="1"/>
  <c r="G2951" i="1" a="1"/>
  <c r="G2951" i="1" s="1"/>
  <c r="G2950" i="1" a="1"/>
  <c r="G2950" i="1" s="1"/>
  <c r="G2949" i="1" a="1"/>
  <c r="G2949" i="1" s="1"/>
  <c r="G2948" i="1" a="1"/>
  <c r="G2948" i="1" s="1"/>
  <c r="G2947" i="1" a="1"/>
  <c r="G2947" i="1" s="1"/>
  <c r="G2946" i="1" a="1"/>
  <c r="G2946" i="1" s="1"/>
  <c r="G2945" i="1" a="1"/>
  <c r="G2945" i="1" s="1"/>
  <c r="G2944" i="1" a="1"/>
  <c r="G2944" i="1" s="1"/>
  <c r="G2943" i="1" a="1"/>
  <c r="G2943" i="1" s="1"/>
  <c r="G2942" i="1" a="1"/>
  <c r="G2942" i="1" s="1"/>
  <c r="G2941" i="1" a="1"/>
  <c r="G2941" i="1" s="1"/>
  <c r="G2940" i="1" a="1"/>
  <c r="G2940" i="1" s="1"/>
  <c r="H2940" i="1" s="1"/>
  <c r="I2940" i="1" s="1"/>
  <c r="J2941" i="1" s="1"/>
  <c r="G2939" i="1" a="1"/>
  <c r="G2939" i="1" s="1"/>
  <c r="G2938" i="1" a="1"/>
  <c r="G2938" i="1" s="1"/>
  <c r="G2937" i="1" a="1"/>
  <c r="G2937" i="1" s="1"/>
  <c r="G2936" i="1" a="1"/>
  <c r="G2936" i="1" s="1"/>
  <c r="G2935" i="1" a="1"/>
  <c r="G2935" i="1" s="1"/>
  <c r="G2934" i="1" a="1"/>
  <c r="G2934" i="1" s="1"/>
  <c r="G2933" i="1" a="1"/>
  <c r="G2933" i="1" s="1"/>
  <c r="G2932" i="1" a="1"/>
  <c r="G2932" i="1" s="1"/>
  <c r="G2931" i="1" a="1"/>
  <c r="G2931" i="1"/>
  <c r="G2930" i="1" a="1"/>
  <c r="G2930" i="1"/>
  <c r="G2929" i="1" a="1"/>
  <c r="G2929" i="1"/>
  <c r="G2928" i="1" a="1"/>
  <c r="G2928" i="1" s="1"/>
  <c r="G2927" i="1" a="1"/>
  <c r="G2927" i="1" s="1"/>
  <c r="G2926" i="1" a="1"/>
  <c r="G2926" i="1" s="1"/>
  <c r="G2925" i="1" a="1"/>
  <c r="G2925" i="1" s="1"/>
  <c r="G2924" i="1" a="1"/>
  <c r="G2924" i="1" s="1"/>
  <c r="G2923" i="1" a="1"/>
  <c r="G2923" i="1" s="1"/>
  <c r="G2922" i="1" a="1"/>
  <c r="G2922" i="1"/>
  <c r="G2921" i="1" a="1"/>
  <c r="G2921" i="1" s="1"/>
  <c r="G2920" i="1" a="1"/>
  <c r="G2920" i="1" s="1"/>
  <c r="G2919" i="1" a="1"/>
  <c r="G2919" i="1" s="1"/>
  <c r="G2918" i="1" a="1"/>
  <c r="G2918" i="1" s="1"/>
  <c r="G2917" i="1" a="1"/>
  <c r="G2917" i="1" s="1"/>
  <c r="G2916" i="1" a="1"/>
  <c r="G2916" i="1"/>
  <c r="G2915" i="1" a="1"/>
  <c r="G2915" i="1" s="1"/>
  <c r="G2914" i="1" a="1"/>
  <c r="G2914" i="1" s="1"/>
  <c r="G2913" i="1" a="1"/>
  <c r="G2913" i="1" s="1"/>
  <c r="G2912" i="1" a="1"/>
  <c r="G2912" i="1" s="1"/>
  <c r="G2911" i="1" a="1"/>
  <c r="G2911" i="1" s="1"/>
  <c r="G2910" i="1" a="1"/>
  <c r="G2910" i="1" s="1"/>
  <c r="G2909" i="1" a="1"/>
  <c r="G2909" i="1" s="1"/>
  <c r="G2908" i="1" a="1"/>
  <c r="G2908" i="1" s="1"/>
  <c r="G2907" i="1" a="1"/>
  <c r="G2907" i="1" s="1"/>
  <c r="G2906" i="1" a="1"/>
  <c r="G2906" i="1" s="1"/>
  <c r="G2905" i="1" a="1"/>
  <c r="G2905" i="1" s="1"/>
  <c r="G2904" i="1" a="1"/>
  <c r="G2904" i="1" s="1"/>
  <c r="G2903" i="1" a="1"/>
  <c r="G2903" i="1" s="1"/>
  <c r="G2902" i="1" a="1"/>
  <c r="G2902" i="1" s="1"/>
  <c r="G2901" i="1" a="1"/>
  <c r="G2901" i="1" s="1"/>
  <c r="G2900" i="1" a="1"/>
  <c r="G2900" i="1" s="1"/>
  <c r="H2900" i="1" s="1"/>
  <c r="I2900" i="1" s="1"/>
  <c r="J2901" i="1" s="1"/>
  <c r="G2899" i="1" a="1"/>
  <c r="G2899" i="1" s="1"/>
  <c r="G2898" i="1" a="1"/>
  <c r="G2898" i="1" s="1"/>
  <c r="G2897" i="1" a="1"/>
  <c r="G2897" i="1" s="1"/>
  <c r="G2896" i="1" a="1"/>
  <c r="G2896" i="1" s="1"/>
  <c r="G2895" i="1" a="1"/>
  <c r="G2895" i="1" s="1"/>
  <c r="G2894" i="1" a="1"/>
  <c r="G2894" i="1"/>
  <c r="G2893" i="1" a="1"/>
  <c r="G2893" i="1" s="1"/>
  <c r="G2892" i="1" a="1"/>
  <c r="G2892" i="1" s="1"/>
  <c r="G2891" i="1" a="1"/>
  <c r="G2891" i="1" s="1"/>
  <c r="G2890" i="1" a="1"/>
  <c r="G2890" i="1" s="1"/>
  <c r="G2889" i="1" a="1"/>
  <c r="G2889" i="1" s="1"/>
  <c r="G2888" i="1" a="1"/>
  <c r="G2888" i="1" s="1"/>
  <c r="G2887" i="1" a="1"/>
  <c r="G2887" i="1" s="1"/>
  <c r="G2886" i="1" a="1"/>
  <c r="G2886" i="1" s="1"/>
  <c r="G2885" i="1" a="1"/>
  <c r="G2885" i="1" s="1"/>
  <c r="G2884" i="1" a="1"/>
  <c r="G2884" i="1" s="1"/>
  <c r="G2883" i="1" a="1"/>
  <c r="G2883" i="1" s="1"/>
  <c r="G2882" i="1" a="1"/>
  <c r="G2882" i="1" s="1"/>
  <c r="G2881" i="1" a="1"/>
  <c r="G2881" i="1"/>
  <c r="G2880" i="1" a="1"/>
  <c r="G2880" i="1"/>
  <c r="G2879" i="1" a="1"/>
  <c r="G2879" i="1"/>
  <c r="G2878" i="1" a="1"/>
  <c r="G2878" i="1" s="1"/>
  <c r="G2877" i="1" a="1"/>
  <c r="G2877" i="1" s="1"/>
  <c r="G2876" i="1" a="1"/>
  <c r="G2876" i="1" s="1"/>
  <c r="G2875" i="1" a="1"/>
  <c r="G2875" i="1" s="1"/>
  <c r="G2874" i="1" a="1"/>
  <c r="G2874" i="1" s="1"/>
  <c r="G2873" i="1" a="1"/>
  <c r="G2873" i="1" s="1"/>
  <c r="G2872" i="1" a="1"/>
  <c r="G2872" i="1"/>
  <c r="G2871" i="1" a="1"/>
  <c r="G2871" i="1" s="1"/>
  <c r="G2870" i="1" a="1"/>
  <c r="G2870" i="1" s="1"/>
  <c r="H2870" i="1" s="1"/>
  <c r="I2870" i="1" s="1"/>
  <c r="J2871" i="1" s="1"/>
  <c r="G2869" i="1" a="1"/>
  <c r="G2869" i="1" s="1"/>
  <c r="G2868" i="1" a="1"/>
  <c r="G2868" i="1" s="1"/>
  <c r="G2867" i="1" a="1"/>
  <c r="G2867" i="1" s="1"/>
  <c r="G2866" i="1" a="1"/>
  <c r="G2866" i="1" s="1"/>
  <c r="G2865" i="1" a="1"/>
  <c r="G2865" i="1" s="1"/>
  <c r="G2864" i="1" a="1"/>
  <c r="G2864" i="1" s="1"/>
  <c r="G2863" i="1" a="1"/>
  <c r="G2863" i="1" s="1"/>
  <c r="G2862" i="1" a="1"/>
  <c r="G2862" i="1" s="1"/>
  <c r="G2861" i="1" a="1"/>
  <c r="G2861" i="1" s="1"/>
  <c r="G2860" i="1" a="1"/>
  <c r="G2860" i="1" s="1"/>
  <c r="G2859" i="1" a="1"/>
  <c r="G2859" i="1"/>
  <c r="G2858" i="1" a="1"/>
  <c r="G2858" i="1" s="1"/>
  <c r="G2857" i="1" a="1"/>
  <c r="G2857" i="1" s="1"/>
  <c r="G2856" i="1" a="1"/>
  <c r="G2856" i="1" s="1"/>
  <c r="G2855" i="1" a="1"/>
  <c r="G2855" i="1" s="1"/>
  <c r="G2854" i="1" a="1"/>
  <c r="G2854" i="1" s="1"/>
  <c r="G2853" i="1" a="1"/>
  <c r="G2853" i="1" s="1"/>
  <c r="G2852" i="1" a="1"/>
  <c r="G2852" i="1"/>
  <c r="G2851" i="1" a="1"/>
  <c r="G2851" i="1"/>
  <c r="G2850" i="1" a="1"/>
  <c r="G2850" i="1" s="1"/>
  <c r="H2850" i="1" s="1"/>
  <c r="I2850" i="1" s="1"/>
  <c r="J2851" i="1" s="1"/>
  <c r="G2849" i="1" a="1"/>
  <c r="G2849" i="1" s="1"/>
  <c r="G2848" i="1" a="1"/>
  <c r="G2848" i="1" s="1"/>
  <c r="G2847" i="1" a="1"/>
  <c r="G2847" i="1" s="1"/>
  <c r="G2846" i="1" a="1"/>
  <c r="G2846" i="1" s="1"/>
  <c r="G2845" i="1" a="1"/>
  <c r="G2845" i="1" s="1"/>
  <c r="G2844" i="1" a="1"/>
  <c r="G2844" i="1" s="1"/>
  <c r="G2843" i="1" a="1"/>
  <c r="G2843" i="1" s="1"/>
  <c r="G2842" i="1" a="1"/>
  <c r="G2842" i="1"/>
  <c r="G2841" i="1" a="1"/>
  <c r="G2841" i="1" s="1"/>
  <c r="G2840" i="1" a="1"/>
  <c r="G2840" i="1"/>
  <c r="G2839" i="1" a="1"/>
  <c r="G2839" i="1"/>
  <c r="G2838" i="1" a="1"/>
  <c r="G2838" i="1" s="1"/>
  <c r="G2837" i="1" a="1"/>
  <c r="G2837" i="1" s="1"/>
  <c r="G2836" i="1" a="1"/>
  <c r="G2836" i="1" s="1"/>
  <c r="G2835" i="1" a="1"/>
  <c r="G2835" i="1" s="1"/>
  <c r="G2834" i="1" a="1"/>
  <c r="G2834" i="1" s="1"/>
  <c r="G2833" i="1" a="1"/>
  <c r="G2833" i="1" s="1"/>
  <c r="G2832" i="1" a="1"/>
  <c r="G2832" i="1" s="1"/>
  <c r="G2831" i="1" a="1"/>
  <c r="G2831" i="1" s="1"/>
  <c r="G2830" i="1" a="1"/>
  <c r="G2830" i="1" s="1"/>
  <c r="H2830" i="1" s="1"/>
  <c r="I2830" i="1" s="1"/>
  <c r="J2831" i="1" s="1"/>
  <c r="G2829" i="1" a="1"/>
  <c r="G2829" i="1"/>
  <c r="G2828" i="1" a="1"/>
  <c r="G2828" i="1" s="1"/>
  <c r="G2827" i="1" a="1"/>
  <c r="G2827" i="1" s="1"/>
  <c r="G2826" i="1" a="1"/>
  <c r="G2826" i="1" s="1"/>
  <c r="G2825" i="1" a="1"/>
  <c r="G2825" i="1" s="1"/>
  <c r="G2824" i="1" a="1"/>
  <c r="G2824" i="1" s="1"/>
  <c r="G2823" i="1" a="1"/>
  <c r="G2823" i="1" s="1"/>
  <c r="G2822" i="1" a="1"/>
  <c r="G2822" i="1" s="1"/>
  <c r="G2821" i="1" a="1"/>
  <c r="G2821" i="1" s="1"/>
  <c r="G2820" i="1" a="1"/>
  <c r="G2820" i="1"/>
  <c r="G2819" i="1" a="1"/>
  <c r="G2819" i="1" s="1"/>
  <c r="H2819" i="1" s="1"/>
  <c r="I2819" i="1" s="1"/>
  <c r="J2820" i="1" s="1"/>
  <c r="G2818" i="1" a="1"/>
  <c r="G2818" i="1" s="1"/>
  <c r="G2817" i="1" a="1"/>
  <c r="G2817" i="1" s="1"/>
  <c r="G2816" i="1" a="1"/>
  <c r="G2816" i="1" s="1"/>
  <c r="G2815" i="1" a="1"/>
  <c r="G2815" i="1" s="1"/>
  <c r="G2814" i="1" a="1"/>
  <c r="G2814" i="1" s="1"/>
  <c r="G2813" i="1" a="1"/>
  <c r="G2813" i="1" s="1"/>
  <c r="G2812" i="1" a="1"/>
  <c r="G2812" i="1" s="1"/>
  <c r="G2811" i="1" a="1"/>
  <c r="G2811" i="1" s="1"/>
  <c r="G2810" i="1" a="1"/>
  <c r="G2810" i="1" s="1"/>
  <c r="G2809" i="1" a="1"/>
  <c r="G2809" i="1" s="1"/>
  <c r="G2808" i="1" a="1"/>
  <c r="G2808" i="1" s="1"/>
  <c r="G2807" i="1" a="1"/>
  <c r="G2807" i="1" s="1"/>
  <c r="G2806" i="1" a="1"/>
  <c r="G2806" i="1" s="1"/>
  <c r="G2805" i="1" a="1"/>
  <c r="G2805" i="1" s="1"/>
  <c r="G2804" i="1" a="1"/>
  <c r="G2804" i="1" s="1"/>
  <c r="G2803" i="1" a="1"/>
  <c r="G2803" i="1" s="1"/>
  <c r="G2802" i="1" a="1"/>
  <c r="G2802" i="1" s="1"/>
  <c r="G2801" i="1" a="1"/>
  <c r="G2801" i="1" s="1"/>
  <c r="G2800" i="1" a="1"/>
  <c r="G2800" i="1" s="1"/>
  <c r="H2800" i="1" s="1"/>
  <c r="I2800" i="1" s="1"/>
  <c r="J2801" i="1" s="1"/>
  <c r="G2799" i="1" a="1"/>
  <c r="G2799" i="1" s="1"/>
  <c r="G2798" i="1" a="1"/>
  <c r="G2798" i="1" s="1"/>
  <c r="G2797" i="1" a="1"/>
  <c r="G2797" i="1" s="1"/>
  <c r="G2796" i="1" a="1"/>
  <c r="G2796" i="1" s="1"/>
  <c r="G2795" i="1" a="1"/>
  <c r="G2795" i="1" s="1"/>
  <c r="G2794" i="1" a="1"/>
  <c r="G2794" i="1"/>
  <c r="G2793" i="1" a="1"/>
  <c r="G2793" i="1" s="1"/>
  <c r="G2792" i="1" a="1"/>
  <c r="G2792" i="1" s="1"/>
  <c r="G2791" i="1" a="1"/>
  <c r="G2791" i="1" s="1"/>
  <c r="G2790" i="1" a="1"/>
  <c r="G2790" i="1" s="1"/>
  <c r="G2789" i="1" a="1"/>
  <c r="G2789" i="1"/>
  <c r="G2788" i="1" a="1"/>
  <c r="G2788" i="1" s="1"/>
  <c r="G2787" i="1" a="1"/>
  <c r="G2787" i="1" s="1"/>
  <c r="G2786" i="1" a="1"/>
  <c r="G2786" i="1" s="1"/>
  <c r="G2785" i="1" a="1"/>
  <c r="G2785" i="1" s="1"/>
  <c r="G2784" i="1" a="1"/>
  <c r="G2784" i="1" s="1"/>
  <c r="G2783" i="1" a="1"/>
  <c r="G2783" i="1" s="1"/>
  <c r="G2782" i="1" a="1"/>
  <c r="G2782" i="1" s="1"/>
  <c r="G2781" i="1" a="1"/>
  <c r="G2781" i="1" s="1"/>
  <c r="G2780" i="1" a="1"/>
  <c r="G2780" i="1" s="1"/>
  <c r="H2780" i="1" s="1"/>
  <c r="I2780" i="1" s="1"/>
  <c r="J2781" i="1" s="1"/>
  <c r="G2779" i="1" a="1"/>
  <c r="G2779" i="1" s="1"/>
  <c r="G2778" i="1" a="1"/>
  <c r="G2778" i="1" s="1"/>
  <c r="G2777" i="1" a="1"/>
  <c r="G2777" i="1" s="1"/>
  <c r="G2776" i="1" a="1"/>
  <c r="G2776" i="1" s="1"/>
  <c r="G2775" i="1" a="1"/>
  <c r="G2775" i="1" s="1"/>
  <c r="G2774" i="1" a="1"/>
  <c r="G2774" i="1" s="1"/>
  <c r="G2773" i="1" a="1"/>
  <c r="G2773" i="1" s="1"/>
  <c r="G2772" i="1" a="1"/>
  <c r="G2772" i="1" s="1"/>
  <c r="G2771" i="1" a="1"/>
  <c r="G2771" i="1" s="1"/>
  <c r="G2770" i="1" a="1"/>
  <c r="G2770" i="1" s="1"/>
  <c r="G2769" i="1" a="1"/>
  <c r="G2769" i="1" s="1"/>
  <c r="G2768" i="1" a="1"/>
  <c r="G2768" i="1" s="1"/>
  <c r="G2767" i="1" a="1"/>
  <c r="G2767" i="1" s="1"/>
  <c r="G2766" i="1" a="1"/>
  <c r="G2766" i="1"/>
  <c r="G2765" i="1" a="1"/>
  <c r="G2765" i="1" s="1"/>
  <c r="G2764" i="1" a="1"/>
  <c r="G2764" i="1" s="1"/>
  <c r="G2763" i="1" a="1"/>
  <c r="G2763" i="1" s="1"/>
  <c r="G2762" i="1" a="1"/>
  <c r="G2762" i="1" s="1"/>
  <c r="G2761" i="1" a="1"/>
  <c r="G2761" i="1" s="1"/>
  <c r="G2760" i="1" a="1"/>
  <c r="G2760" i="1" s="1"/>
  <c r="G2759" i="1" a="1"/>
  <c r="G2759" i="1"/>
  <c r="G2758" i="1" a="1"/>
  <c r="G2758" i="1" s="1"/>
  <c r="G2757" i="1" a="1"/>
  <c r="G2757" i="1" s="1"/>
  <c r="G2756" i="1" a="1"/>
  <c r="G2756" i="1" s="1"/>
  <c r="G2755" i="1" a="1"/>
  <c r="G2755" i="1" s="1"/>
  <c r="G2754" i="1" a="1"/>
  <c r="G2754" i="1" s="1"/>
  <c r="G2753" i="1" a="1"/>
  <c r="G2753" i="1" s="1"/>
  <c r="G2752" i="1" a="1"/>
  <c r="G2752" i="1" s="1"/>
  <c r="G2751" i="1" a="1"/>
  <c r="G2751" i="1"/>
  <c r="G2750" i="1" a="1"/>
  <c r="G2750" i="1" s="1"/>
  <c r="G2749" i="1" a="1"/>
  <c r="G2749" i="1" s="1"/>
  <c r="G2748" i="1" a="1"/>
  <c r="G2748" i="1" s="1"/>
  <c r="G2747" i="1" a="1"/>
  <c r="G2747" i="1" s="1"/>
  <c r="G2746" i="1" a="1"/>
  <c r="G2746" i="1" s="1"/>
  <c r="G2745" i="1" a="1"/>
  <c r="G2745" i="1" s="1"/>
  <c r="G2744" i="1" a="1"/>
  <c r="G2744" i="1"/>
  <c r="G2743" i="1" a="1"/>
  <c r="G2743" i="1" s="1"/>
  <c r="G2742" i="1" a="1"/>
  <c r="G2742" i="1" s="1"/>
  <c r="G2741" i="1" a="1"/>
  <c r="G2741" i="1" s="1"/>
  <c r="G2740" i="1" a="1"/>
  <c r="G2740" i="1" s="1"/>
  <c r="G2739" i="1" a="1"/>
  <c r="G2739" i="1"/>
  <c r="G2738" i="1" a="1"/>
  <c r="G2738" i="1" s="1"/>
  <c r="G2737" i="1" a="1"/>
  <c r="G2737" i="1" s="1"/>
  <c r="G2736" i="1" a="1"/>
  <c r="G2736" i="1" s="1"/>
  <c r="G2735" i="1" a="1"/>
  <c r="G2735" i="1" s="1"/>
  <c r="G2734" i="1" a="1"/>
  <c r="G2734" i="1" s="1"/>
  <c r="G2733" i="1" a="1"/>
  <c r="G2733" i="1" s="1"/>
  <c r="G2732" i="1" a="1"/>
  <c r="G2732" i="1" s="1"/>
  <c r="G2731" i="1" a="1"/>
  <c r="G2731" i="1" s="1"/>
  <c r="G2730" i="1" a="1"/>
  <c r="G2730" i="1"/>
  <c r="G2729" i="1" a="1"/>
  <c r="G2729" i="1"/>
  <c r="G2728" i="1" a="1"/>
  <c r="G2728" i="1" s="1"/>
  <c r="G2727" i="1" a="1"/>
  <c r="G2727" i="1" s="1"/>
  <c r="G2726" i="1" a="1"/>
  <c r="G2726" i="1" s="1"/>
  <c r="G2725" i="1" a="1"/>
  <c r="G2725" i="1" s="1"/>
  <c r="G2724" i="1" a="1"/>
  <c r="G2724" i="1" s="1"/>
  <c r="G2723" i="1" a="1"/>
  <c r="G2723" i="1" s="1"/>
  <c r="G2722" i="1" a="1"/>
  <c r="G2722" i="1"/>
  <c r="G2721" i="1" a="1"/>
  <c r="G2721" i="1" s="1"/>
  <c r="G2720" i="1" a="1"/>
  <c r="G2720" i="1"/>
  <c r="G2719" i="1" a="1"/>
  <c r="G2719" i="1" s="1"/>
  <c r="G2718" i="1" a="1"/>
  <c r="G2718" i="1" s="1"/>
  <c r="G2717" i="1" a="1"/>
  <c r="G2717" i="1" s="1"/>
  <c r="G2716" i="1" a="1"/>
  <c r="G2716" i="1" s="1"/>
  <c r="G2715" i="1" a="1"/>
  <c r="G2715" i="1" s="1"/>
  <c r="G2714" i="1" a="1"/>
  <c r="G2714" i="1" s="1"/>
  <c r="G2713" i="1" a="1"/>
  <c r="G2713" i="1" s="1"/>
  <c r="G2712" i="1" a="1"/>
  <c r="G2712" i="1" s="1"/>
  <c r="G2711" i="1" a="1"/>
  <c r="G2711" i="1" s="1"/>
  <c r="G2710" i="1" a="1"/>
  <c r="G2710" i="1" s="1"/>
  <c r="G2709" i="1" a="1"/>
  <c r="G2709" i="1"/>
  <c r="G2708" i="1" a="1"/>
  <c r="G2708" i="1" s="1"/>
  <c r="G2707" i="1" a="1"/>
  <c r="G2707" i="1" s="1"/>
  <c r="G2706" i="1" a="1"/>
  <c r="G2706" i="1" s="1"/>
  <c r="G2705" i="1" a="1"/>
  <c r="G2705" i="1" s="1"/>
  <c r="G2704" i="1" a="1"/>
  <c r="G2704" i="1" s="1"/>
  <c r="G2703" i="1" a="1"/>
  <c r="G2703" i="1" s="1"/>
  <c r="G2702" i="1" a="1"/>
  <c r="G2702" i="1" s="1"/>
  <c r="G2701" i="1" a="1"/>
  <c r="G2701" i="1" s="1"/>
  <c r="G2700" i="1" a="1"/>
  <c r="G2700" i="1" s="1"/>
  <c r="H2700" i="1" s="1"/>
  <c r="I2700" i="1" s="1"/>
  <c r="J2701" i="1" s="1"/>
  <c r="G2699" i="1" a="1"/>
  <c r="G2699" i="1" s="1"/>
  <c r="G2698" i="1" a="1"/>
  <c r="G2698" i="1" s="1"/>
  <c r="G2697" i="1" a="1"/>
  <c r="G2697" i="1" s="1"/>
  <c r="G2696" i="1" a="1"/>
  <c r="G2696" i="1" s="1"/>
  <c r="G2695" i="1" a="1"/>
  <c r="G2695" i="1" s="1"/>
  <c r="G2694" i="1" a="1"/>
  <c r="G2694" i="1"/>
  <c r="G2693" i="1" a="1"/>
  <c r="G2693" i="1" s="1"/>
  <c r="G2692" i="1" a="1"/>
  <c r="G2692" i="1" s="1"/>
  <c r="G2691" i="1" a="1"/>
  <c r="G2691" i="1" s="1"/>
  <c r="G2690" i="1" a="1"/>
  <c r="G2690" i="1" s="1"/>
  <c r="H2690" i="1" s="1"/>
  <c r="I2690" i="1" s="1"/>
  <c r="J2691" i="1" s="1"/>
  <c r="G2689" i="1" a="1"/>
  <c r="G2689" i="1" s="1"/>
  <c r="G2688" i="1" a="1"/>
  <c r="G2688" i="1" s="1"/>
  <c r="G2687" i="1" a="1"/>
  <c r="G2687" i="1" s="1"/>
  <c r="G2686" i="1" a="1"/>
  <c r="G2686" i="1" s="1"/>
  <c r="G2685" i="1" a="1"/>
  <c r="G2685" i="1" s="1"/>
  <c r="G2684" i="1" a="1"/>
  <c r="G2684" i="1" s="1"/>
  <c r="G2683" i="1" a="1"/>
  <c r="G2683" i="1" s="1"/>
  <c r="G2682" i="1" a="1"/>
  <c r="G2682" i="1" s="1"/>
  <c r="G2681" i="1" a="1"/>
  <c r="G2681" i="1" s="1"/>
  <c r="G2680" i="1" a="1"/>
  <c r="G2680" i="1"/>
  <c r="G2679" i="1" a="1"/>
  <c r="G2679" i="1" s="1"/>
  <c r="G2678" i="1" a="1"/>
  <c r="G2678" i="1" s="1"/>
  <c r="G2677" i="1" a="1"/>
  <c r="G2677" i="1" s="1"/>
  <c r="G2676" i="1" a="1"/>
  <c r="G2676" i="1" s="1"/>
  <c r="G2675" i="1" a="1"/>
  <c r="G2675" i="1" s="1"/>
  <c r="G2674" i="1" a="1"/>
  <c r="G2674" i="1" s="1"/>
  <c r="G2673" i="1" a="1"/>
  <c r="G2673" i="1" s="1"/>
  <c r="G2672" i="1" a="1"/>
  <c r="G2672" i="1"/>
  <c r="G2671" i="1" a="1"/>
  <c r="G2671" i="1" s="1"/>
  <c r="G2670" i="1" a="1"/>
  <c r="G2670" i="1" s="1"/>
  <c r="G2669" i="1" a="1"/>
  <c r="G2669" i="1" s="1"/>
  <c r="G2668" i="1" a="1"/>
  <c r="G2668" i="1" s="1"/>
  <c r="G2667" i="1" a="1"/>
  <c r="G2667" i="1" s="1"/>
  <c r="G2666" i="1" a="1"/>
  <c r="G2666" i="1" s="1"/>
  <c r="G2665" i="1" a="1"/>
  <c r="G2665" i="1" s="1"/>
  <c r="G2664" i="1" a="1"/>
  <c r="G2664" i="1" s="1"/>
  <c r="G2663" i="1" a="1"/>
  <c r="G2663" i="1" s="1"/>
  <c r="G2662" i="1" a="1"/>
  <c r="G2662" i="1" s="1"/>
  <c r="G2661" i="1" a="1"/>
  <c r="G2661" i="1"/>
  <c r="G2660" i="1" a="1"/>
  <c r="G2660" i="1" s="1"/>
  <c r="G2659" i="1" a="1"/>
  <c r="G2659" i="1" s="1"/>
  <c r="G2658" i="1" a="1"/>
  <c r="G2658" i="1" s="1"/>
  <c r="G2657" i="1" a="1"/>
  <c r="G2657" i="1" s="1"/>
  <c r="G2656" i="1" a="1"/>
  <c r="G2656" i="1" s="1"/>
  <c r="G2655" i="1" a="1"/>
  <c r="G2655" i="1" s="1"/>
  <c r="G2654" i="1" a="1"/>
  <c r="G2654" i="1" s="1"/>
  <c r="G2653" i="1" a="1"/>
  <c r="G2653" i="1" s="1"/>
  <c r="G2652" i="1" a="1"/>
  <c r="G2652" i="1" s="1"/>
  <c r="G2651" i="1" a="1"/>
  <c r="G2651" i="1" s="1"/>
  <c r="G2650" i="1" a="1"/>
  <c r="G2650" i="1" s="1"/>
  <c r="H2650" i="1" s="1"/>
  <c r="I2650" i="1" s="1"/>
  <c r="J2651" i="1" s="1"/>
  <c r="G2649" i="1" a="1"/>
  <c r="G2649" i="1" s="1"/>
  <c r="G2648" i="1" a="1"/>
  <c r="G2648" i="1" s="1"/>
  <c r="G2647" i="1" a="1"/>
  <c r="G2647" i="1" s="1"/>
  <c r="G2646" i="1" a="1"/>
  <c r="G2646" i="1" s="1"/>
  <c r="G2645" i="1" a="1"/>
  <c r="G2645" i="1" s="1"/>
  <c r="G2644" i="1" a="1"/>
  <c r="G2644" i="1" s="1"/>
  <c r="G2643" i="1" a="1"/>
  <c r="G2643" i="1" s="1"/>
  <c r="G2642" i="1" a="1"/>
  <c r="G2642" i="1" s="1"/>
  <c r="G2641" i="1" a="1"/>
  <c r="G2641" i="1" s="1"/>
  <c r="G2640" i="1" a="1"/>
  <c r="G2640" i="1" s="1"/>
  <c r="H2640" i="1" s="1"/>
  <c r="I2640" i="1" s="1"/>
  <c r="J2641" i="1" s="1"/>
  <c r="G2639" i="1" a="1"/>
  <c r="G2639" i="1" s="1"/>
  <c r="G2638" i="1" a="1"/>
  <c r="G2638" i="1" s="1"/>
  <c r="G2637" i="1" a="1"/>
  <c r="G2637" i="1" s="1"/>
  <c r="G2636" i="1" a="1"/>
  <c r="G2636" i="1" s="1"/>
  <c r="G2635" i="1" a="1"/>
  <c r="G2635" i="1" s="1"/>
  <c r="G2634" i="1" a="1"/>
  <c r="G2634" i="1" s="1"/>
  <c r="G2633" i="1" a="1"/>
  <c r="G2633" i="1" s="1"/>
  <c r="G2632" i="1" a="1"/>
  <c r="G2632" i="1" s="1"/>
  <c r="G2631" i="1" a="1"/>
  <c r="G2631" i="1" s="1"/>
  <c r="G2630" i="1" a="1"/>
  <c r="G2630" i="1"/>
  <c r="G2629" i="1" a="1"/>
  <c r="G2629" i="1" s="1"/>
  <c r="G2628" i="1" a="1"/>
  <c r="G2628" i="1" s="1"/>
  <c r="G2627" i="1" a="1"/>
  <c r="G2627" i="1" s="1"/>
  <c r="G2626" i="1" a="1"/>
  <c r="G2626" i="1" s="1"/>
  <c r="G2625" i="1" a="1"/>
  <c r="G2625" i="1" s="1"/>
  <c r="G2624" i="1" a="1"/>
  <c r="G2624" i="1" s="1"/>
  <c r="G2623" i="1" a="1"/>
  <c r="G2623" i="1" s="1"/>
  <c r="G2622" i="1" a="1"/>
  <c r="G2622" i="1"/>
  <c r="G2621" i="1" a="1"/>
  <c r="G2621" i="1" s="1"/>
  <c r="G2620" i="1" a="1"/>
  <c r="G2620" i="1" s="1"/>
  <c r="G2619" i="1" a="1"/>
  <c r="G2619" i="1" s="1"/>
  <c r="G2618" i="1" a="1"/>
  <c r="G2618" i="1" s="1"/>
  <c r="G2617" i="1" a="1"/>
  <c r="G2617" i="1" s="1"/>
  <c r="G2616" i="1" a="1"/>
  <c r="G2616" i="1" s="1"/>
  <c r="G2615" i="1" a="1"/>
  <c r="G2615" i="1" s="1"/>
  <c r="G2614" i="1" a="1"/>
  <c r="G2614" i="1" s="1"/>
  <c r="G2613" i="1" a="1"/>
  <c r="G2613" i="1" s="1"/>
  <c r="G2612" i="1" a="1"/>
  <c r="G2612" i="1" s="1"/>
  <c r="G2611" i="1" a="1"/>
  <c r="G2611" i="1" s="1"/>
  <c r="G2610" i="1" a="1"/>
  <c r="G2610" i="1" s="1"/>
  <c r="G2609" i="1" a="1"/>
  <c r="G2609" i="1" s="1"/>
  <c r="G2608" i="1" a="1"/>
  <c r="G2608" i="1" s="1"/>
  <c r="G2607" i="1" a="1"/>
  <c r="G2607" i="1" s="1"/>
  <c r="G2606" i="1" a="1"/>
  <c r="G2606" i="1" s="1"/>
  <c r="G2605" i="1" a="1"/>
  <c r="G2605" i="1" s="1"/>
  <c r="G2604" i="1" a="1"/>
  <c r="G2604" i="1" s="1"/>
  <c r="G2603" i="1" a="1"/>
  <c r="G2603" i="1" s="1"/>
  <c r="G2602" i="1" a="1"/>
  <c r="G2602" i="1" s="1"/>
  <c r="G2601" i="1" a="1"/>
  <c r="G2601" i="1" s="1"/>
  <c r="G2600" i="1" a="1"/>
  <c r="G2600" i="1"/>
  <c r="G2599" i="1" a="1"/>
  <c r="G2599" i="1" s="1"/>
  <c r="G2598" i="1" a="1"/>
  <c r="G2598" i="1" s="1"/>
  <c r="G2597" i="1" a="1"/>
  <c r="G2597" i="1" s="1"/>
  <c r="G2596" i="1" a="1"/>
  <c r="G2596" i="1" s="1"/>
  <c r="G2595" i="1" a="1"/>
  <c r="G2595" i="1" s="1"/>
  <c r="G2594" i="1" a="1"/>
  <c r="G2594" i="1" s="1"/>
  <c r="G2593" i="1" a="1"/>
  <c r="G2593" i="1" s="1"/>
  <c r="G2592" i="1" a="1"/>
  <c r="G2592" i="1" s="1"/>
  <c r="G2591" i="1" a="1"/>
  <c r="G2591" i="1" s="1"/>
  <c r="G2590" i="1" a="1"/>
  <c r="G2590" i="1" s="1"/>
  <c r="G2589" i="1" a="1"/>
  <c r="G2589" i="1" s="1"/>
  <c r="G2588" i="1" a="1"/>
  <c r="G2588" i="1" s="1"/>
  <c r="G2587" i="1" a="1"/>
  <c r="G2587" i="1" s="1"/>
  <c r="G2586" i="1" a="1"/>
  <c r="G2586" i="1" s="1"/>
  <c r="G2585" i="1" a="1"/>
  <c r="G2585" i="1" s="1"/>
  <c r="G2584" i="1" a="1"/>
  <c r="G2584" i="1" s="1"/>
  <c r="G2583" i="1" a="1"/>
  <c r="G2583" i="1" s="1"/>
  <c r="G2582" i="1" a="1"/>
  <c r="G2582" i="1" s="1"/>
  <c r="G2581" i="1" a="1"/>
  <c r="G2581" i="1" s="1"/>
  <c r="G2580" i="1" a="1"/>
  <c r="G2580" i="1" s="1"/>
  <c r="G2579" i="1" a="1"/>
  <c r="G2579" i="1" s="1"/>
  <c r="G2578" i="1" a="1"/>
  <c r="G2578" i="1" s="1"/>
  <c r="G2577" i="1" a="1"/>
  <c r="G2577" i="1" s="1"/>
  <c r="G2576" i="1" a="1"/>
  <c r="G2576" i="1" s="1"/>
  <c r="G2575" i="1" a="1"/>
  <c r="G2575" i="1" s="1"/>
  <c r="G2574" i="1" a="1"/>
  <c r="G2574" i="1" s="1"/>
  <c r="G2573" i="1" a="1"/>
  <c r="G2573" i="1" s="1"/>
  <c r="G2572" i="1" a="1"/>
  <c r="G2572" i="1" s="1"/>
  <c r="G2571" i="1" a="1"/>
  <c r="G2571" i="1" s="1"/>
  <c r="G2570" i="1" a="1"/>
  <c r="G2570" i="1" s="1"/>
  <c r="G2569" i="1" a="1"/>
  <c r="G2569" i="1" s="1"/>
  <c r="G2568" i="1" a="1"/>
  <c r="G2568" i="1" s="1"/>
  <c r="G2567" i="1" a="1"/>
  <c r="G2567" i="1" s="1"/>
  <c r="G2566" i="1" a="1"/>
  <c r="G2566" i="1" s="1"/>
  <c r="G2565" i="1" a="1"/>
  <c r="G2565" i="1" s="1"/>
  <c r="G2564" i="1" a="1"/>
  <c r="G2564" i="1" s="1"/>
  <c r="G2563" i="1" a="1"/>
  <c r="G2563" i="1" s="1"/>
  <c r="G2562" i="1" a="1"/>
  <c r="G2562" i="1" s="1"/>
  <c r="G2561" i="1" a="1"/>
  <c r="G2561" i="1" s="1"/>
  <c r="G2560" i="1" a="1"/>
  <c r="G2560" i="1" s="1"/>
  <c r="G2559" i="1" a="1"/>
  <c r="G2559" i="1" s="1"/>
  <c r="G2558" i="1" a="1"/>
  <c r="G2558" i="1" s="1"/>
  <c r="G2557" i="1" a="1"/>
  <c r="G2557" i="1" s="1"/>
  <c r="G2556" i="1" a="1"/>
  <c r="G2556" i="1" s="1"/>
  <c r="G2555" i="1" a="1"/>
  <c r="G2555" i="1" s="1"/>
  <c r="G2554" i="1" a="1"/>
  <c r="G2554" i="1" s="1"/>
  <c r="G2553" i="1" a="1"/>
  <c r="G2553" i="1" s="1"/>
  <c r="G2552" i="1" a="1"/>
  <c r="G2552" i="1"/>
  <c r="G2551" i="1" a="1"/>
  <c r="G2551" i="1" s="1"/>
  <c r="G2550" i="1" a="1"/>
  <c r="G2550" i="1" s="1"/>
  <c r="G2549" i="1" a="1"/>
  <c r="G2549" i="1" s="1"/>
  <c r="G2548" i="1" a="1"/>
  <c r="G2548" i="1" s="1"/>
  <c r="G2547" i="1" a="1"/>
  <c r="G2547" i="1" s="1"/>
  <c r="G2546" i="1" a="1"/>
  <c r="G2546" i="1" s="1"/>
  <c r="G2545" i="1" a="1"/>
  <c r="G2545" i="1" s="1"/>
  <c r="G2544" i="1" a="1"/>
  <c r="G2544" i="1" s="1"/>
  <c r="G2543" i="1" a="1"/>
  <c r="G2543" i="1" s="1"/>
  <c r="G2542" i="1" a="1"/>
  <c r="G2542" i="1" s="1"/>
  <c r="G2541" i="1" a="1"/>
  <c r="G2541" i="1" s="1"/>
  <c r="G2540" i="1" a="1"/>
  <c r="G2540" i="1" s="1"/>
  <c r="H2540" i="1" s="1"/>
  <c r="I2540" i="1" s="1"/>
  <c r="J2541" i="1" s="1"/>
  <c r="G2539" i="1" a="1"/>
  <c r="G2539" i="1" s="1"/>
  <c r="G2538" i="1" a="1"/>
  <c r="G2538" i="1" s="1"/>
  <c r="G2537" i="1" a="1"/>
  <c r="G2537" i="1" s="1"/>
  <c r="G2536" i="1" a="1"/>
  <c r="G2536" i="1" s="1"/>
  <c r="G2535" i="1" a="1"/>
  <c r="G2535" i="1" s="1"/>
  <c r="G2534" i="1" a="1"/>
  <c r="G2534" i="1" s="1"/>
  <c r="G2533" i="1" a="1"/>
  <c r="G2533" i="1" s="1"/>
  <c r="G2532" i="1" a="1"/>
  <c r="G2532" i="1" s="1"/>
  <c r="G2531" i="1" a="1"/>
  <c r="G2531" i="1" s="1"/>
  <c r="G2530" i="1" a="1"/>
  <c r="G2530" i="1" s="1"/>
  <c r="G2529" i="1" a="1"/>
  <c r="G2529" i="1" s="1"/>
  <c r="G2528" i="1" a="1"/>
  <c r="G2528" i="1" s="1"/>
  <c r="G2527" i="1" a="1"/>
  <c r="G2527" i="1" s="1"/>
  <c r="G2526" i="1" a="1"/>
  <c r="G2526" i="1" s="1"/>
  <c r="G2525" i="1" a="1"/>
  <c r="G2525" i="1" s="1"/>
  <c r="G2524" i="1" a="1"/>
  <c r="G2524" i="1" s="1"/>
  <c r="G2523" i="1" a="1"/>
  <c r="G2523" i="1" s="1"/>
  <c r="G2522" i="1" a="1"/>
  <c r="G2522" i="1" s="1"/>
  <c r="G2521" i="1" a="1"/>
  <c r="G2521" i="1" s="1"/>
  <c r="G2520" i="1" a="1"/>
  <c r="G2520" i="1" s="1"/>
  <c r="G2519" i="1" a="1"/>
  <c r="G2519" i="1" s="1"/>
  <c r="G2518" i="1" a="1"/>
  <c r="G2518" i="1" s="1"/>
  <c r="G2517" i="1" a="1"/>
  <c r="G2517" i="1" s="1"/>
  <c r="G2516" i="1" a="1"/>
  <c r="G2516" i="1" s="1"/>
  <c r="G2515" i="1" a="1"/>
  <c r="G2515" i="1" s="1"/>
  <c r="G2514" i="1" a="1"/>
  <c r="G2514" i="1" s="1"/>
  <c r="G2513" i="1" a="1"/>
  <c r="G2513" i="1" s="1"/>
  <c r="G2512" i="1" a="1"/>
  <c r="G2512" i="1" s="1"/>
  <c r="G2511" i="1" a="1"/>
  <c r="G2511" i="1" s="1"/>
  <c r="G2510" i="1" a="1"/>
  <c r="G2510" i="1" s="1"/>
  <c r="G2509" i="1" a="1"/>
  <c r="G2509" i="1" s="1"/>
  <c r="G2508" i="1" a="1"/>
  <c r="G2508" i="1" s="1"/>
  <c r="G2507" i="1" a="1"/>
  <c r="G2507" i="1" s="1"/>
  <c r="G2506" i="1" a="1"/>
  <c r="G2506" i="1" s="1"/>
  <c r="G2505" i="1" a="1"/>
  <c r="G2505" i="1" s="1"/>
  <c r="G2504" i="1" a="1"/>
  <c r="G2504" i="1" s="1"/>
  <c r="G2503" i="1" a="1"/>
  <c r="G2503" i="1" s="1"/>
  <c r="G2502" i="1" a="1"/>
  <c r="G2502" i="1" s="1"/>
  <c r="H2502" i="1" s="1"/>
  <c r="I2502" i="1" s="1"/>
  <c r="J2503" i="1" s="1"/>
  <c r="G2501" i="1" a="1"/>
  <c r="G2501" i="1" s="1"/>
  <c r="G2500" i="1" a="1"/>
  <c r="G2500" i="1" s="1"/>
  <c r="G2499" i="1" a="1"/>
  <c r="G2499" i="1" s="1"/>
  <c r="G2498" i="1" a="1"/>
  <c r="G2498" i="1" s="1"/>
  <c r="G2497" i="1" a="1"/>
  <c r="G2497" i="1" s="1"/>
  <c r="G2496" i="1" a="1"/>
  <c r="G2496" i="1" s="1"/>
  <c r="G2495" i="1" a="1"/>
  <c r="G2495" i="1" s="1"/>
  <c r="G2494" i="1" a="1"/>
  <c r="G2494" i="1" s="1"/>
  <c r="G2493" i="1" a="1"/>
  <c r="G2493" i="1" s="1"/>
  <c r="G2492" i="1" a="1"/>
  <c r="G2492" i="1"/>
  <c r="G2491" i="1" a="1"/>
  <c r="G2491" i="1" s="1"/>
  <c r="G2490" i="1" a="1"/>
  <c r="G2490" i="1" s="1"/>
  <c r="G2489" i="1" a="1"/>
  <c r="G2489" i="1" s="1"/>
  <c r="G2488" i="1" a="1"/>
  <c r="G2488" i="1" s="1"/>
  <c r="G2487" i="1" a="1"/>
  <c r="G2487" i="1" s="1"/>
  <c r="G2486" i="1" a="1"/>
  <c r="G2486" i="1" s="1"/>
  <c r="G2485" i="1" a="1"/>
  <c r="G2485" i="1" s="1"/>
  <c r="G2484" i="1" a="1"/>
  <c r="G2484" i="1" s="1"/>
  <c r="G2483" i="1" a="1"/>
  <c r="G2483" i="1" s="1"/>
  <c r="G2482" i="1" a="1"/>
  <c r="G2482" i="1" s="1"/>
  <c r="G2481" i="1" a="1"/>
  <c r="G2481" i="1" s="1"/>
  <c r="G2480" i="1" a="1"/>
  <c r="G2480" i="1" s="1"/>
  <c r="G2479" i="1" a="1"/>
  <c r="G2479" i="1" s="1"/>
  <c r="G2478" i="1" a="1"/>
  <c r="G2478" i="1" s="1"/>
  <c r="G2477" i="1" a="1"/>
  <c r="G2477" i="1" s="1"/>
  <c r="G2476" i="1" a="1"/>
  <c r="G2476" i="1" s="1"/>
  <c r="G2475" i="1" a="1"/>
  <c r="G2475" i="1" s="1"/>
  <c r="G2474" i="1" a="1"/>
  <c r="G2474" i="1" s="1"/>
  <c r="G2473" i="1" a="1"/>
  <c r="G2473" i="1" s="1"/>
  <c r="G2472" i="1" a="1"/>
  <c r="G2472" i="1" s="1"/>
  <c r="G2471" i="1" a="1"/>
  <c r="G2471" i="1" s="1"/>
  <c r="G2470" i="1" a="1"/>
  <c r="G2470" i="1" s="1"/>
  <c r="G2469" i="1" a="1"/>
  <c r="G2469" i="1" s="1"/>
  <c r="G2468" i="1" a="1"/>
  <c r="G2468" i="1" s="1"/>
  <c r="G2467" i="1" a="1"/>
  <c r="G2467" i="1" s="1"/>
  <c r="G2466" i="1" a="1"/>
  <c r="G2466" i="1" s="1"/>
  <c r="G2465" i="1" a="1"/>
  <c r="G2465" i="1" s="1"/>
  <c r="G2464" i="1" a="1"/>
  <c r="G2464" i="1" s="1"/>
  <c r="G2463" i="1" a="1"/>
  <c r="G2463" i="1" s="1"/>
  <c r="G2462" i="1" a="1"/>
  <c r="G2462" i="1" s="1"/>
  <c r="G2461" i="1" a="1"/>
  <c r="G2461" i="1" s="1"/>
  <c r="G2460" i="1" a="1"/>
  <c r="G2460" i="1" s="1"/>
  <c r="G2459" i="1" a="1"/>
  <c r="G2459" i="1" s="1"/>
  <c r="G2458" i="1" a="1"/>
  <c r="G2458" i="1" s="1"/>
  <c r="G2457" i="1" a="1"/>
  <c r="G2457" i="1" s="1"/>
  <c r="G2456" i="1" a="1"/>
  <c r="G2456" i="1" s="1"/>
  <c r="G2455" i="1" a="1"/>
  <c r="G2455" i="1" s="1"/>
  <c r="G2454" i="1" a="1"/>
  <c r="G2454" i="1" s="1"/>
  <c r="G2453" i="1" a="1"/>
  <c r="G2453" i="1" s="1"/>
  <c r="G2452" i="1" a="1"/>
  <c r="G2452" i="1" s="1"/>
  <c r="G2451" i="1" a="1"/>
  <c r="G2451" i="1" s="1"/>
  <c r="G2450" i="1" a="1"/>
  <c r="G2450" i="1" s="1"/>
  <c r="G2449" i="1" a="1"/>
  <c r="G2449" i="1" s="1"/>
  <c r="G2448" i="1" a="1"/>
  <c r="G2448" i="1" s="1"/>
  <c r="G2447" i="1" a="1"/>
  <c r="G2447" i="1" s="1"/>
  <c r="G2446" i="1" a="1"/>
  <c r="G2446" i="1" s="1"/>
  <c r="G2445" i="1" a="1"/>
  <c r="G2445" i="1" s="1"/>
  <c r="G2444" i="1" a="1"/>
  <c r="G2444" i="1" s="1"/>
  <c r="G2443" i="1" a="1"/>
  <c r="G2443" i="1" s="1"/>
  <c r="G2442" i="1" a="1"/>
  <c r="G2442" i="1" s="1"/>
  <c r="G2441" i="1" a="1"/>
  <c r="G2441" i="1" s="1"/>
  <c r="G2440" i="1" a="1"/>
  <c r="G2440" i="1" s="1"/>
  <c r="G2439" i="1" a="1"/>
  <c r="G2439" i="1" s="1"/>
  <c r="G2438" i="1" a="1"/>
  <c r="G2438" i="1" s="1"/>
  <c r="G2437" i="1" a="1"/>
  <c r="G2437" i="1" s="1"/>
  <c r="G2436" i="1" a="1"/>
  <c r="G2436" i="1" s="1"/>
  <c r="G2435" i="1" a="1"/>
  <c r="G2435" i="1" s="1"/>
  <c r="G2434" i="1" a="1"/>
  <c r="G2434" i="1" s="1"/>
  <c r="G2433" i="1" a="1"/>
  <c r="G2433" i="1" s="1"/>
  <c r="G2432" i="1" a="1"/>
  <c r="G2432" i="1" s="1"/>
  <c r="G2431" i="1" a="1"/>
  <c r="G2431" i="1" s="1"/>
  <c r="G2430" i="1" a="1"/>
  <c r="G2430" i="1" s="1"/>
  <c r="G2429" i="1" a="1"/>
  <c r="G2429" i="1" s="1"/>
  <c r="G2428" i="1" a="1"/>
  <c r="G2428" i="1" s="1"/>
  <c r="G2427" i="1" a="1"/>
  <c r="G2427" i="1" s="1"/>
  <c r="G2426" i="1" a="1"/>
  <c r="G2426" i="1" s="1"/>
  <c r="G2425" i="1" a="1"/>
  <c r="G2425" i="1" s="1"/>
  <c r="G2424" i="1" a="1"/>
  <c r="G2424" i="1" s="1"/>
  <c r="G2423" i="1" a="1"/>
  <c r="G2423" i="1" s="1"/>
  <c r="G2422" i="1" a="1"/>
  <c r="G2422" i="1" s="1"/>
  <c r="G2421" i="1" a="1"/>
  <c r="G2421" i="1" s="1"/>
  <c r="G2420" i="1" a="1"/>
  <c r="G2420" i="1" s="1"/>
  <c r="G2419" i="1" a="1"/>
  <c r="G2419" i="1" s="1"/>
  <c r="G2418" i="1" a="1"/>
  <c r="G2418" i="1" s="1"/>
  <c r="G2417" i="1" a="1"/>
  <c r="G2417" i="1" s="1"/>
  <c r="G2416" i="1" a="1"/>
  <c r="G2416" i="1" s="1"/>
  <c r="G2415" i="1" a="1"/>
  <c r="G2415" i="1" s="1"/>
  <c r="G2414" i="1" a="1"/>
  <c r="G2414" i="1" s="1"/>
  <c r="G2413" i="1" a="1"/>
  <c r="G2413" i="1" s="1"/>
  <c r="G2412" i="1" a="1"/>
  <c r="G2412" i="1" s="1"/>
  <c r="G2411" i="1" a="1"/>
  <c r="G2411" i="1" s="1"/>
  <c r="G2410" i="1" a="1"/>
  <c r="G2410" i="1" s="1"/>
  <c r="G2409" i="1" a="1"/>
  <c r="G2409" i="1" s="1"/>
  <c r="G2408" i="1" a="1"/>
  <c r="G2408" i="1" s="1"/>
  <c r="G2407" i="1" a="1"/>
  <c r="G2407" i="1" s="1"/>
  <c r="G2406" i="1" a="1"/>
  <c r="G2406" i="1" s="1"/>
  <c r="G2405" i="1" a="1"/>
  <c r="G2405" i="1" s="1"/>
  <c r="G2404" i="1" a="1"/>
  <c r="G2404" i="1" s="1"/>
  <c r="G2403" i="1" a="1"/>
  <c r="G2403" i="1" s="1"/>
  <c r="G2402" i="1" a="1"/>
  <c r="G2402" i="1" s="1"/>
  <c r="G2401" i="1" a="1"/>
  <c r="G2401" i="1" s="1"/>
  <c r="G2400" i="1" a="1"/>
  <c r="G2400" i="1" s="1"/>
  <c r="G2399" i="1" a="1"/>
  <c r="G2399" i="1" s="1"/>
  <c r="G2398" i="1" a="1"/>
  <c r="G2398" i="1" s="1"/>
  <c r="G2397" i="1" a="1"/>
  <c r="G2397" i="1" s="1"/>
  <c r="G2396" i="1" a="1"/>
  <c r="G2396" i="1" s="1"/>
  <c r="G2395" i="1" a="1"/>
  <c r="G2395" i="1" s="1"/>
  <c r="G2394" i="1" a="1"/>
  <c r="G2394" i="1" s="1"/>
  <c r="G2393" i="1" a="1"/>
  <c r="G2393" i="1" s="1"/>
  <c r="G2392" i="1" a="1"/>
  <c r="G2392" i="1" s="1"/>
  <c r="G2391" i="1" a="1"/>
  <c r="G2391" i="1" s="1"/>
  <c r="G2390" i="1" a="1"/>
  <c r="G2390" i="1" s="1"/>
  <c r="G2389" i="1" a="1"/>
  <c r="G2389" i="1" s="1"/>
  <c r="G2388" i="1" a="1"/>
  <c r="G2388" i="1" s="1"/>
  <c r="G2387" i="1" a="1"/>
  <c r="G2387" i="1" s="1"/>
  <c r="G2386" i="1" a="1"/>
  <c r="G2386" i="1" s="1"/>
  <c r="G2385" i="1" a="1"/>
  <c r="G2385" i="1" s="1"/>
  <c r="G2384" i="1" a="1"/>
  <c r="G2384" i="1" s="1"/>
  <c r="G2383" i="1" a="1"/>
  <c r="G2383" i="1" s="1"/>
  <c r="G2382" i="1" a="1"/>
  <c r="G2382" i="1" s="1"/>
  <c r="G2381" i="1" a="1"/>
  <c r="G2381" i="1" s="1"/>
  <c r="G2380" i="1" a="1"/>
  <c r="G2380" i="1" s="1"/>
  <c r="G2379" i="1" a="1"/>
  <c r="G2379" i="1" s="1"/>
  <c r="G2378" i="1" a="1"/>
  <c r="G2378" i="1" s="1"/>
  <c r="G2377" i="1" a="1"/>
  <c r="G2377" i="1" s="1"/>
  <c r="G2376" i="1" a="1"/>
  <c r="G2376" i="1" s="1"/>
  <c r="G2375" i="1" a="1"/>
  <c r="G2375" i="1" s="1"/>
  <c r="G2374" i="1" a="1"/>
  <c r="G2374" i="1" s="1"/>
  <c r="G2373" i="1" a="1"/>
  <c r="G2373" i="1" s="1"/>
  <c r="G2372" i="1" a="1"/>
  <c r="G2372" i="1" s="1"/>
  <c r="G2371" i="1" a="1"/>
  <c r="G2371" i="1" s="1"/>
  <c r="G2370" i="1" a="1"/>
  <c r="G2370" i="1" s="1"/>
  <c r="G2369" i="1" a="1"/>
  <c r="G2369" i="1" s="1"/>
  <c r="G2368" i="1" a="1"/>
  <c r="G2368" i="1" s="1"/>
  <c r="G2367" i="1" a="1"/>
  <c r="G2367" i="1" s="1"/>
  <c r="G2366" i="1" a="1"/>
  <c r="G2366" i="1" s="1"/>
  <c r="G2365" i="1" a="1"/>
  <c r="G2365" i="1" s="1"/>
  <c r="G2364" i="1" a="1"/>
  <c r="G2364" i="1" s="1"/>
  <c r="G2363" i="1" a="1"/>
  <c r="G2363" i="1" s="1"/>
  <c r="G2362" i="1" a="1"/>
  <c r="G2362" i="1" s="1"/>
  <c r="G2361" i="1" a="1"/>
  <c r="G2361" i="1" s="1"/>
  <c r="G2360" i="1" a="1"/>
  <c r="G2360" i="1" s="1"/>
  <c r="G2359" i="1" a="1"/>
  <c r="G2359" i="1" s="1"/>
  <c r="G2358" i="1" a="1"/>
  <c r="G2358" i="1" s="1"/>
  <c r="G2357" i="1" a="1"/>
  <c r="G2357" i="1" s="1"/>
  <c r="G2356" i="1" a="1"/>
  <c r="G2356" i="1" s="1"/>
  <c r="G2355" i="1" a="1"/>
  <c r="G2355" i="1" s="1"/>
  <c r="G2354" i="1" a="1"/>
  <c r="G2354" i="1" s="1"/>
  <c r="G2353" i="1" a="1"/>
  <c r="G2353" i="1" s="1"/>
  <c r="G2352" i="1" a="1"/>
  <c r="G2352" i="1" s="1"/>
  <c r="G2351" i="1" a="1"/>
  <c r="G2351" i="1" s="1"/>
  <c r="G2350" i="1" a="1"/>
  <c r="G2350" i="1" s="1"/>
  <c r="G2349" i="1" a="1"/>
  <c r="G2349" i="1" s="1"/>
  <c r="G2348" i="1" a="1"/>
  <c r="G2348" i="1" s="1"/>
  <c r="G2347" i="1" a="1"/>
  <c r="G2347" i="1" s="1"/>
  <c r="G2346" i="1" a="1"/>
  <c r="G2346" i="1" s="1"/>
  <c r="G2345" i="1" a="1"/>
  <c r="G2345" i="1" s="1"/>
  <c r="G2344" i="1" a="1"/>
  <c r="G2344" i="1" s="1"/>
  <c r="G2343" i="1" a="1"/>
  <c r="G2343" i="1" s="1"/>
  <c r="G2342" i="1" a="1"/>
  <c r="G2342" i="1" s="1"/>
  <c r="G2341" i="1" a="1"/>
  <c r="G2341" i="1" s="1"/>
  <c r="G2340" i="1" a="1"/>
  <c r="G2340" i="1" s="1"/>
  <c r="G2339" i="1" a="1"/>
  <c r="G2339" i="1" s="1"/>
  <c r="G2338" i="1" a="1"/>
  <c r="G2338" i="1" s="1"/>
  <c r="G2337" i="1" a="1"/>
  <c r="G2337" i="1" s="1"/>
  <c r="G2336" i="1" a="1"/>
  <c r="G2336" i="1" s="1"/>
  <c r="G2335" i="1" a="1"/>
  <c r="G2335" i="1" s="1"/>
  <c r="G2334" i="1" a="1"/>
  <c r="G2334" i="1" s="1"/>
  <c r="G2333" i="1" a="1"/>
  <c r="G2333" i="1" s="1"/>
  <c r="G2332" i="1" a="1"/>
  <c r="G2332" i="1" s="1"/>
  <c r="G2331" i="1" a="1"/>
  <c r="G2331" i="1" s="1"/>
  <c r="G2330" i="1" a="1"/>
  <c r="G2330" i="1" s="1"/>
  <c r="G2329" i="1" a="1"/>
  <c r="G2329" i="1" s="1"/>
  <c r="G2328" i="1" a="1"/>
  <c r="G2328" i="1" s="1"/>
  <c r="G2327" i="1" a="1"/>
  <c r="G2327" i="1" s="1"/>
  <c r="G2326" i="1" a="1"/>
  <c r="G2326" i="1"/>
  <c r="G2325" i="1" a="1"/>
  <c r="G2325" i="1" s="1"/>
  <c r="G2324" i="1" a="1"/>
  <c r="G2324" i="1" s="1"/>
  <c r="G2323" i="1" a="1"/>
  <c r="G2323" i="1" s="1"/>
  <c r="G2322" i="1" a="1"/>
  <c r="G2322" i="1" s="1"/>
  <c r="G2321" i="1" a="1"/>
  <c r="G2321" i="1" s="1"/>
  <c r="G2320" i="1" a="1"/>
  <c r="G2320" i="1" s="1"/>
  <c r="G2319" i="1" a="1"/>
  <c r="G2319" i="1" s="1"/>
  <c r="G2318" i="1" a="1"/>
  <c r="G2318" i="1" s="1"/>
  <c r="G2317" i="1" a="1"/>
  <c r="G2317" i="1" s="1"/>
  <c r="G2316" i="1" a="1"/>
  <c r="G2316" i="1" s="1"/>
  <c r="G2315" i="1" a="1"/>
  <c r="G2315" i="1" s="1"/>
  <c r="G2314" i="1" a="1"/>
  <c r="G2314" i="1" s="1"/>
  <c r="G2313" i="1" a="1"/>
  <c r="G2313" i="1" s="1"/>
  <c r="G2312" i="1" a="1"/>
  <c r="G2312" i="1" s="1"/>
  <c r="G2311" i="1" a="1"/>
  <c r="G2311" i="1" s="1"/>
  <c r="G2310" i="1" a="1"/>
  <c r="G2310" i="1" s="1"/>
  <c r="G2309" i="1" a="1"/>
  <c r="G2309" i="1" s="1"/>
  <c r="G2308" i="1" a="1"/>
  <c r="G2308" i="1" s="1"/>
  <c r="G2307" i="1" a="1"/>
  <c r="G2307" i="1" s="1"/>
  <c r="G2306" i="1" a="1"/>
  <c r="G2306" i="1" s="1"/>
  <c r="G2305" i="1" a="1"/>
  <c r="G2305" i="1"/>
  <c r="G2304" i="1" a="1"/>
  <c r="G2304" i="1" s="1"/>
  <c r="G2303" i="1" a="1"/>
  <c r="G2303" i="1" s="1"/>
  <c r="G2302" i="1" a="1"/>
  <c r="G2302" i="1" s="1"/>
  <c r="G2301" i="1" a="1"/>
  <c r="G2301" i="1" s="1"/>
  <c r="G2300" i="1" a="1"/>
  <c r="G2300" i="1" s="1"/>
  <c r="G2299" i="1" a="1"/>
  <c r="G2299" i="1" s="1"/>
  <c r="G2298" i="1" a="1"/>
  <c r="G2298" i="1" s="1"/>
  <c r="G2297" i="1" a="1"/>
  <c r="G2297" i="1" s="1"/>
  <c r="G2296" i="1" a="1"/>
  <c r="G2296" i="1" s="1"/>
  <c r="G2295" i="1" a="1"/>
  <c r="G2295" i="1" s="1"/>
  <c r="G2294" i="1" a="1"/>
  <c r="G2294" i="1" s="1"/>
  <c r="G2293" i="1" a="1"/>
  <c r="G2293" i="1" s="1"/>
  <c r="G2292" i="1" a="1"/>
  <c r="G2292" i="1" s="1"/>
  <c r="G2291" i="1" a="1"/>
  <c r="G2291" i="1" s="1"/>
  <c r="G2290" i="1" a="1"/>
  <c r="G2290" i="1" s="1"/>
  <c r="G2289" i="1" a="1"/>
  <c r="G2289" i="1" s="1"/>
  <c r="G2288" i="1" a="1"/>
  <c r="G2288" i="1" s="1"/>
  <c r="G2287" i="1" a="1"/>
  <c r="G2287" i="1" s="1"/>
  <c r="G2286" i="1" a="1"/>
  <c r="G2286" i="1" s="1"/>
  <c r="G2285" i="1" a="1"/>
  <c r="G2285" i="1" s="1"/>
  <c r="G2284" i="1" a="1"/>
  <c r="G2284" i="1"/>
  <c r="G2283" i="1" a="1"/>
  <c r="G2283" i="1" s="1"/>
  <c r="G2282" i="1" a="1"/>
  <c r="G2282" i="1" s="1"/>
  <c r="G2281" i="1" a="1"/>
  <c r="G2281" i="1" s="1"/>
  <c r="G2280" i="1" a="1"/>
  <c r="G2280" i="1" s="1"/>
  <c r="G2279" i="1" a="1"/>
  <c r="G2279" i="1" s="1"/>
  <c r="G2278" i="1" a="1"/>
  <c r="G2278" i="1" s="1"/>
  <c r="G2277" i="1" a="1"/>
  <c r="G2277" i="1" s="1"/>
  <c r="G2276" i="1" a="1"/>
  <c r="G2276" i="1" s="1"/>
  <c r="G2275" i="1" a="1"/>
  <c r="G2275" i="1" s="1"/>
  <c r="G2274" i="1" a="1"/>
  <c r="G2274" i="1" s="1"/>
  <c r="G2273" i="1" a="1"/>
  <c r="G2273" i="1" s="1"/>
  <c r="G2272" i="1" a="1"/>
  <c r="G2272" i="1" s="1"/>
  <c r="G2271" i="1" a="1"/>
  <c r="G2271" i="1" s="1"/>
  <c r="G2270" i="1" a="1"/>
  <c r="G2270" i="1" s="1"/>
  <c r="G2269" i="1" a="1"/>
  <c r="G2269" i="1" s="1"/>
  <c r="G2268" i="1" a="1"/>
  <c r="G2268" i="1" s="1"/>
  <c r="G2267" i="1" a="1"/>
  <c r="G2267" i="1" s="1"/>
  <c r="G2266" i="1" a="1"/>
  <c r="G2266" i="1" s="1"/>
  <c r="G2265" i="1" a="1"/>
  <c r="G2265" i="1" s="1"/>
  <c r="G2264" i="1" a="1"/>
  <c r="G2264" i="1" s="1"/>
  <c r="G2263" i="1" a="1"/>
  <c r="G2263" i="1" s="1"/>
  <c r="G2262" i="1" a="1"/>
  <c r="G2262" i="1" s="1"/>
  <c r="G2261" i="1" a="1"/>
  <c r="G2261" i="1" s="1"/>
  <c r="G2260" i="1" a="1"/>
  <c r="G2260" i="1" s="1"/>
  <c r="G2259" i="1" a="1"/>
  <c r="G2259" i="1" s="1"/>
  <c r="G2258" i="1" a="1"/>
  <c r="G2258" i="1" s="1"/>
  <c r="G2257" i="1" a="1"/>
  <c r="G2257" i="1" s="1"/>
  <c r="G2256" i="1" a="1"/>
  <c r="G2256" i="1" s="1"/>
  <c r="G2255" i="1" a="1"/>
  <c r="G2255" i="1"/>
  <c r="G2254" i="1" a="1"/>
  <c r="G2254" i="1" s="1"/>
  <c r="G2253" i="1" a="1"/>
  <c r="G2253" i="1" s="1"/>
  <c r="G2252" i="1" a="1"/>
  <c r="G2252" i="1" s="1"/>
  <c r="G2251" i="1" a="1"/>
  <c r="G2251" i="1" s="1"/>
  <c r="G2250" i="1" a="1"/>
  <c r="G2250" i="1" s="1"/>
  <c r="G2249" i="1" a="1"/>
  <c r="G2249" i="1" s="1"/>
  <c r="G2248" i="1" a="1"/>
  <c r="G2248" i="1" s="1"/>
  <c r="G2247" i="1" a="1"/>
  <c r="G2247" i="1" s="1"/>
  <c r="G2246" i="1" a="1"/>
  <c r="G2246" i="1" s="1"/>
  <c r="G2245" i="1" a="1"/>
  <c r="G2245" i="1" s="1"/>
  <c r="G2244" i="1" a="1"/>
  <c r="G2244" i="1" s="1"/>
  <c r="G2243" i="1" a="1"/>
  <c r="G2243" i="1" s="1"/>
  <c r="G2242" i="1" a="1"/>
  <c r="G2242" i="1" s="1"/>
  <c r="G2241" i="1" a="1"/>
  <c r="G2241" i="1" s="1"/>
  <c r="G2240" i="1" a="1"/>
  <c r="G2240" i="1" s="1"/>
  <c r="G2239" i="1" a="1"/>
  <c r="G2239" i="1" s="1"/>
  <c r="G2238" i="1" a="1"/>
  <c r="G2238" i="1" s="1"/>
  <c r="G2237" i="1" a="1"/>
  <c r="G2237" i="1" s="1"/>
  <c r="G2236" i="1" a="1"/>
  <c r="G2236" i="1" s="1"/>
  <c r="G2235" i="1" a="1"/>
  <c r="G2235" i="1" s="1"/>
  <c r="G2234" i="1" a="1"/>
  <c r="G2234" i="1" s="1"/>
  <c r="G2233" i="1" a="1"/>
  <c r="G2233" i="1" s="1"/>
  <c r="G2232" i="1" a="1"/>
  <c r="G2232" i="1" s="1"/>
  <c r="G2231" i="1" a="1"/>
  <c r="G2231" i="1" s="1"/>
  <c r="G2230" i="1" a="1"/>
  <c r="G2230" i="1" s="1"/>
  <c r="G2229" i="1" a="1"/>
  <c r="G2229" i="1" s="1"/>
  <c r="G2228" i="1" a="1"/>
  <c r="G2228" i="1" s="1"/>
  <c r="G2227" i="1" a="1"/>
  <c r="G2227" i="1" s="1"/>
  <c r="G2226" i="1" a="1"/>
  <c r="G2226" i="1" s="1"/>
  <c r="G2225" i="1" a="1"/>
  <c r="G2225" i="1" s="1"/>
  <c r="G2224" i="1" a="1"/>
  <c r="G2224" i="1" s="1"/>
  <c r="G2223" i="1" a="1"/>
  <c r="G2223" i="1" s="1"/>
  <c r="G2222" i="1" a="1"/>
  <c r="G2222" i="1" s="1"/>
  <c r="G2221" i="1" a="1"/>
  <c r="G2221" i="1" s="1"/>
  <c r="G2220" i="1" a="1"/>
  <c r="G2220" i="1" s="1"/>
  <c r="G2219" i="1" a="1"/>
  <c r="G2219" i="1" s="1"/>
  <c r="G2218" i="1" a="1"/>
  <c r="G2218" i="1" s="1"/>
  <c r="G2217" i="1" a="1"/>
  <c r="G2217" i="1" s="1"/>
  <c r="G2216" i="1" a="1"/>
  <c r="G2216" i="1" s="1"/>
  <c r="G2215" i="1" a="1"/>
  <c r="G2215" i="1" s="1"/>
  <c r="G2214" i="1" a="1"/>
  <c r="G2214" i="1" s="1"/>
  <c r="G2213" i="1" a="1"/>
  <c r="G2213" i="1" s="1"/>
  <c r="G2212" i="1" a="1"/>
  <c r="G2212" i="1" s="1"/>
  <c r="G2211" i="1" a="1"/>
  <c r="G2211" i="1" s="1"/>
  <c r="G2210" i="1" a="1"/>
  <c r="G2210" i="1" s="1"/>
  <c r="G2209" i="1" a="1"/>
  <c r="G2209" i="1" s="1"/>
  <c r="G2208" i="1" a="1"/>
  <c r="G2208" i="1" s="1"/>
  <c r="G2207" i="1" a="1"/>
  <c r="G2207" i="1" s="1"/>
  <c r="G2206" i="1" a="1"/>
  <c r="G2206" i="1" s="1"/>
  <c r="G2205" i="1" a="1"/>
  <c r="G2205" i="1" s="1"/>
  <c r="G2204" i="1" a="1"/>
  <c r="G2204" i="1" s="1"/>
  <c r="G2203" i="1" a="1"/>
  <c r="G2203" i="1" s="1"/>
  <c r="G2202" i="1" a="1"/>
  <c r="G2202" i="1" s="1"/>
  <c r="G2201" i="1" a="1"/>
  <c r="G2201" i="1" s="1"/>
  <c r="G2200" i="1" a="1"/>
  <c r="G2200" i="1" s="1"/>
  <c r="G2199" i="1" a="1"/>
  <c r="G2199" i="1" s="1"/>
  <c r="G2198" i="1" a="1"/>
  <c r="G2198" i="1" s="1"/>
  <c r="G2197" i="1" a="1"/>
  <c r="G2197" i="1" s="1"/>
  <c r="G2196" i="1" a="1"/>
  <c r="G2196" i="1" s="1"/>
  <c r="G2195" i="1" a="1"/>
  <c r="G2195" i="1" s="1"/>
  <c r="G2194" i="1" a="1"/>
  <c r="G2194" i="1" s="1"/>
  <c r="G2193" i="1" a="1"/>
  <c r="G2193" i="1" s="1"/>
  <c r="G2192" i="1" a="1"/>
  <c r="G2192" i="1" s="1"/>
  <c r="G2191" i="1" a="1"/>
  <c r="G2191" i="1" s="1"/>
  <c r="G2190" i="1" a="1"/>
  <c r="G2190" i="1" s="1"/>
  <c r="G2189" i="1" a="1"/>
  <c r="G2189" i="1" s="1"/>
  <c r="G2188" i="1" a="1"/>
  <c r="G2188" i="1" s="1"/>
  <c r="G2187" i="1" a="1"/>
  <c r="G2187" i="1" s="1"/>
  <c r="G2186" i="1" a="1"/>
  <c r="G2186" i="1" s="1"/>
  <c r="G2185" i="1" a="1"/>
  <c r="G2185" i="1" s="1"/>
  <c r="G2184" i="1" a="1"/>
  <c r="G2184" i="1"/>
  <c r="G2183" i="1" a="1"/>
  <c r="G2183" i="1" s="1"/>
  <c r="G2182" i="1" a="1"/>
  <c r="G2182" i="1" s="1"/>
  <c r="G2181" i="1" a="1"/>
  <c r="G2181" i="1" s="1"/>
  <c r="G2180" i="1" a="1"/>
  <c r="G2180" i="1" s="1"/>
  <c r="G2179" i="1" a="1"/>
  <c r="G2179" i="1" s="1"/>
  <c r="G2178" i="1" a="1"/>
  <c r="G2178" i="1" s="1"/>
  <c r="G2177" i="1" a="1"/>
  <c r="G2177" i="1" s="1"/>
  <c r="G2176" i="1" a="1"/>
  <c r="G2176" i="1" s="1"/>
  <c r="G2175" i="1" a="1"/>
  <c r="G2175" i="1" s="1"/>
  <c r="G2174" i="1" a="1"/>
  <c r="G2174" i="1" s="1"/>
  <c r="G2173" i="1" a="1"/>
  <c r="G2173" i="1" s="1"/>
  <c r="G2172" i="1" a="1"/>
  <c r="G2172" i="1" s="1"/>
  <c r="G2171" i="1" a="1"/>
  <c r="G2171" i="1" s="1"/>
  <c r="G2170" i="1" a="1"/>
  <c r="G2170" i="1" s="1"/>
  <c r="G2169" i="1" a="1"/>
  <c r="G2169" i="1" s="1"/>
  <c r="G2168" i="1" a="1"/>
  <c r="G2168" i="1" s="1"/>
  <c r="G2167" i="1" a="1"/>
  <c r="G2167" i="1" s="1"/>
  <c r="G2166" i="1" a="1"/>
  <c r="G2166" i="1" s="1"/>
  <c r="G2165" i="1" a="1"/>
  <c r="G2165" i="1" s="1"/>
  <c r="G2164" i="1" a="1"/>
  <c r="G2164" i="1" s="1"/>
  <c r="G2163" i="1" a="1"/>
  <c r="G2163" i="1" s="1"/>
  <c r="G2162" i="1" a="1"/>
  <c r="G2162" i="1" s="1"/>
  <c r="G2161" i="1" a="1"/>
  <c r="G2161" i="1" s="1"/>
  <c r="G2160" i="1" a="1"/>
  <c r="G2160" i="1" s="1"/>
  <c r="G2159" i="1" a="1"/>
  <c r="G2159" i="1" s="1"/>
  <c r="G2158" i="1" a="1"/>
  <c r="G2158" i="1" s="1"/>
  <c r="G2157" i="1" a="1"/>
  <c r="G2157" i="1" s="1"/>
  <c r="G2156" i="1" a="1"/>
  <c r="G2156" i="1" s="1"/>
  <c r="G2155" i="1" a="1"/>
  <c r="G2155" i="1" s="1"/>
  <c r="G2154" i="1" a="1"/>
  <c r="G2154" i="1" s="1"/>
  <c r="G2153" i="1" a="1"/>
  <c r="G2153" i="1" s="1"/>
  <c r="G2152" i="1" a="1"/>
  <c r="G2152" i="1" s="1"/>
  <c r="G2151" i="1" a="1"/>
  <c r="G2151" i="1" s="1"/>
  <c r="G2150" i="1" a="1"/>
  <c r="G2150" i="1" s="1"/>
  <c r="G2149" i="1" a="1"/>
  <c r="G2149" i="1" s="1"/>
  <c r="G2148" i="1" a="1"/>
  <c r="G2148" i="1" s="1"/>
  <c r="G2147" i="1" a="1"/>
  <c r="G2147" i="1" s="1"/>
  <c r="G2146" i="1" a="1"/>
  <c r="G2146" i="1" s="1"/>
  <c r="G2145" i="1" a="1"/>
  <c r="G2145" i="1" s="1"/>
  <c r="G2144" i="1" a="1"/>
  <c r="G2144" i="1" s="1"/>
  <c r="G2143" i="1" a="1"/>
  <c r="G2143" i="1" s="1"/>
  <c r="G2142" i="1" a="1"/>
  <c r="G2142" i="1" s="1"/>
  <c r="G2141" i="1" a="1"/>
  <c r="G2141" i="1" s="1"/>
  <c r="G2140" i="1" a="1"/>
  <c r="G2140" i="1" s="1"/>
  <c r="G2139" i="1" a="1"/>
  <c r="G2139" i="1" s="1"/>
  <c r="G2138" i="1" a="1"/>
  <c r="G2138" i="1" s="1"/>
  <c r="G2137" i="1" a="1"/>
  <c r="G2137" i="1" s="1"/>
  <c r="G2136" i="1" a="1"/>
  <c r="G2136" i="1" s="1"/>
  <c r="G2135" i="1" a="1"/>
  <c r="G2135" i="1" s="1"/>
  <c r="G2134" i="1" a="1"/>
  <c r="G2134" i="1" s="1"/>
  <c r="G2133" i="1" a="1"/>
  <c r="G2133" i="1" s="1"/>
  <c r="G2132" i="1" a="1"/>
  <c r="G2132" i="1" s="1"/>
  <c r="G2131" i="1" a="1"/>
  <c r="G2131" i="1" s="1"/>
  <c r="G2130" i="1" a="1"/>
  <c r="G2130" i="1" s="1"/>
  <c r="G2129" i="1" a="1"/>
  <c r="G2129" i="1" s="1"/>
  <c r="G2128" i="1" a="1"/>
  <c r="G2128" i="1" s="1"/>
  <c r="G2127" i="1" a="1"/>
  <c r="G2127" i="1" s="1"/>
  <c r="G2126" i="1" a="1"/>
  <c r="G2126" i="1" s="1"/>
  <c r="G2125" i="1" a="1"/>
  <c r="G2125" i="1" s="1"/>
  <c r="G2124" i="1" a="1"/>
  <c r="G2124" i="1" s="1"/>
  <c r="G2123" i="1" a="1"/>
  <c r="G2123" i="1" s="1"/>
  <c r="G2122" i="1" a="1"/>
  <c r="G2122" i="1" s="1"/>
  <c r="G2121" i="1" a="1"/>
  <c r="G2121" i="1" s="1"/>
  <c r="G2120" i="1" a="1"/>
  <c r="G2120" i="1" s="1"/>
  <c r="G2119" i="1" a="1"/>
  <c r="G2119" i="1" s="1"/>
  <c r="G2118" i="1" a="1"/>
  <c r="G2118" i="1" s="1"/>
  <c r="G2117" i="1" a="1"/>
  <c r="G2117" i="1" s="1"/>
  <c r="G2116" i="1" a="1"/>
  <c r="G2116" i="1" s="1"/>
  <c r="G2115" i="1" a="1"/>
  <c r="G2115" i="1" s="1"/>
  <c r="G2114" i="1" a="1"/>
  <c r="G2114" i="1" s="1"/>
  <c r="G2113" i="1" a="1"/>
  <c r="G2113" i="1" s="1"/>
  <c r="G2112" i="1" a="1"/>
  <c r="G2112" i="1" s="1"/>
  <c r="G2111" i="1" a="1"/>
  <c r="G2111" i="1" s="1"/>
  <c r="G2110" i="1" a="1"/>
  <c r="G2110" i="1" s="1"/>
  <c r="G2109" i="1" a="1"/>
  <c r="G2109" i="1" s="1"/>
  <c r="G2108" i="1" a="1"/>
  <c r="G2108" i="1" s="1"/>
  <c r="G2107" i="1" a="1"/>
  <c r="G2107" i="1" s="1"/>
  <c r="G2106" i="1" a="1"/>
  <c r="G2106" i="1" s="1"/>
  <c r="G2105" i="1" a="1"/>
  <c r="G2105" i="1" s="1"/>
  <c r="G2104" i="1" a="1"/>
  <c r="G2104" i="1" s="1"/>
  <c r="G2103" i="1" a="1"/>
  <c r="G2103" i="1" s="1"/>
  <c r="G2102" i="1" a="1"/>
  <c r="G2102" i="1" s="1"/>
  <c r="G2101" i="1" a="1"/>
  <c r="G2101" i="1" s="1"/>
  <c r="G2100" i="1" a="1"/>
  <c r="G2100" i="1" s="1"/>
  <c r="G2099" i="1" a="1"/>
  <c r="G2099" i="1" s="1"/>
  <c r="G2098" i="1" a="1"/>
  <c r="G2098" i="1" s="1"/>
  <c r="G2097" i="1" a="1"/>
  <c r="G2097" i="1" s="1"/>
  <c r="G2096" i="1" a="1"/>
  <c r="G2096" i="1" s="1"/>
  <c r="G2095" i="1" a="1"/>
  <c r="G2095" i="1" s="1"/>
  <c r="G2094" i="1" a="1"/>
  <c r="G2094" i="1" s="1"/>
  <c r="G2093" i="1" a="1"/>
  <c r="G2093" i="1" s="1"/>
  <c r="G2092" i="1" a="1"/>
  <c r="G2092" i="1" s="1"/>
  <c r="G2091" i="1" a="1"/>
  <c r="G2091" i="1" s="1"/>
  <c r="G2090" i="1" a="1"/>
  <c r="G2090" i="1" s="1"/>
  <c r="G2089" i="1" a="1"/>
  <c r="G2089" i="1" s="1"/>
  <c r="G2088" i="1" a="1"/>
  <c r="G2088" i="1" s="1"/>
  <c r="G2087" i="1" a="1"/>
  <c r="G2087" i="1" s="1"/>
  <c r="G2086" i="1" a="1"/>
  <c r="G2086" i="1" s="1"/>
  <c r="G2085" i="1" a="1"/>
  <c r="G2085" i="1" s="1"/>
  <c r="G2084" i="1" a="1"/>
  <c r="G2084" i="1" s="1"/>
  <c r="G2083" i="1" a="1"/>
  <c r="G2083" i="1"/>
  <c r="G2082" i="1" a="1"/>
  <c r="G2082" i="1" s="1"/>
  <c r="G2081" i="1" a="1"/>
  <c r="G2081" i="1" s="1"/>
  <c r="G2080" i="1" a="1"/>
  <c r="G2080" i="1" s="1"/>
  <c r="G2079" i="1" a="1"/>
  <c r="G2079" i="1" s="1"/>
  <c r="G2078" i="1" a="1"/>
  <c r="G2078" i="1" s="1"/>
  <c r="G2077" i="1" a="1"/>
  <c r="G2077" i="1" s="1"/>
  <c r="G2076" i="1" a="1"/>
  <c r="G2076" i="1" s="1"/>
  <c r="G2075" i="1" a="1"/>
  <c r="G2075" i="1" s="1"/>
  <c r="G2074" i="1" a="1"/>
  <c r="G2074" i="1" s="1"/>
  <c r="G2073" i="1" a="1"/>
  <c r="G2073" i="1" s="1"/>
  <c r="G2072" i="1" a="1"/>
  <c r="G2072" i="1" s="1"/>
  <c r="G2071" i="1" a="1"/>
  <c r="G2071" i="1" s="1"/>
  <c r="G2070" i="1" a="1"/>
  <c r="G2070" i="1" s="1"/>
  <c r="G2069" i="1" a="1"/>
  <c r="G2069" i="1" s="1"/>
  <c r="G2068" i="1" a="1"/>
  <c r="G2068" i="1" s="1"/>
  <c r="G2067" i="1" a="1"/>
  <c r="G2067" i="1" s="1"/>
  <c r="G2066" i="1" a="1"/>
  <c r="G2066" i="1" s="1"/>
  <c r="G2065" i="1" a="1"/>
  <c r="G2065" i="1" s="1"/>
  <c r="G2064" i="1" a="1"/>
  <c r="G2064" i="1" s="1"/>
  <c r="G2063" i="1" a="1"/>
  <c r="G2063" i="1" s="1"/>
  <c r="G2062" i="1" a="1"/>
  <c r="G2062" i="1" s="1"/>
  <c r="G2061" i="1" a="1"/>
  <c r="G2061" i="1" s="1"/>
  <c r="G2060" i="1" a="1"/>
  <c r="G2060" i="1" s="1"/>
  <c r="G2059" i="1" a="1"/>
  <c r="G2059" i="1" s="1"/>
  <c r="G2058" i="1" a="1"/>
  <c r="G2058" i="1" s="1"/>
  <c r="G2057" i="1" a="1"/>
  <c r="G2057" i="1" s="1"/>
  <c r="G2056" i="1" a="1"/>
  <c r="G2056" i="1" s="1"/>
  <c r="G2055" i="1" a="1"/>
  <c r="G2055" i="1"/>
  <c r="G2054" i="1" a="1"/>
  <c r="G2054" i="1" s="1"/>
  <c r="G2053" i="1" a="1"/>
  <c r="G2053" i="1" s="1"/>
  <c r="G2052" i="1" a="1"/>
  <c r="G2052" i="1" s="1"/>
  <c r="G2051" i="1" a="1"/>
  <c r="G2051" i="1" s="1"/>
  <c r="G2050" i="1" a="1"/>
  <c r="G2050" i="1" s="1"/>
  <c r="G2049" i="1" a="1"/>
  <c r="G2049" i="1" s="1"/>
  <c r="G2048" i="1" a="1"/>
  <c r="G2048" i="1" s="1"/>
  <c r="G2047" i="1" a="1"/>
  <c r="G2047" i="1" s="1"/>
  <c r="G2046" i="1" a="1"/>
  <c r="G2046" i="1" s="1"/>
  <c r="G2045" i="1" a="1"/>
  <c r="G2045" i="1" s="1"/>
  <c r="G2044" i="1" a="1"/>
  <c r="G2044" i="1" s="1"/>
  <c r="G2043" i="1" a="1"/>
  <c r="G2043" i="1" s="1"/>
  <c r="G2042" i="1" a="1"/>
  <c r="G2042" i="1" s="1"/>
  <c r="G2041" i="1" a="1"/>
  <c r="G2041" i="1" s="1"/>
  <c r="G2040" i="1" a="1"/>
  <c r="G2040" i="1" s="1"/>
  <c r="G2039" i="1" a="1"/>
  <c r="G2039" i="1" s="1"/>
  <c r="G2038" i="1" a="1"/>
  <c r="G2038" i="1" s="1"/>
  <c r="G2037" i="1" a="1"/>
  <c r="G2037" i="1" s="1"/>
  <c r="G2036" i="1" a="1"/>
  <c r="G2036" i="1" s="1"/>
  <c r="G2035" i="1" a="1"/>
  <c r="G2035" i="1" s="1"/>
  <c r="G2034" i="1" a="1"/>
  <c r="G2034" i="1" s="1"/>
  <c r="G2033" i="1" a="1"/>
  <c r="G2033" i="1" s="1"/>
  <c r="G2032" i="1" a="1"/>
  <c r="G2032" i="1" s="1"/>
  <c r="G2031" i="1" a="1"/>
  <c r="G2031" i="1" s="1"/>
  <c r="G2030" i="1" a="1"/>
  <c r="G2030" i="1" s="1"/>
  <c r="G2029" i="1" a="1"/>
  <c r="G2029" i="1" s="1"/>
  <c r="G2028" i="1" a="1"/>
  <c r="G2028" i="1" s="1"/>
  <c r="G2027" i="1" a="1"/>
  <c r="G2027" i="1" s="1"/>
  <c r="G2026" i="1" a="1"/>
  <c r="G2026" i="1" s="1"/>
  <c r="G2025" i="1" a="1"/>
  <c r="G2025" i="1" s="1"/>
  <c r="G2024" i="1" a="1"/>
  <c r="G2024" i="1" s="1"/>
  <c r="G2023" i="1" a="1"/>
  <c r="G2023" i="1" s="1"/>
  <c r="G2022" i="1" a="1"/>
  <c r="G2022" i="1" s="1"/>
  <c r="G2021" i="1" a="1"/>
  <c r="G2021" i="1" s="1"/>
  <c r="G2020" i="1" a="1"/>
  <c r="G2020" i="1" s="1"/>
  <c r="G2019" i="1" a="1"/>
  <c r="G2019" i="1" s="1"/>
  <c r="G2018" i="1" a="1"/>
  <c r="G2018" i="1" s="1"/>
  <c r="G2017" i="1" a="1"/>
  <c r="G2017" i="1" s="1"/>
  <c r="G2016" i="1" a="1"/>
  <c r="G2016" i="1" s="1"/>
  <c r="G2015" i="1" a="1"/>
  <c r="G2015" i="1" s="1"/>
  <c r="G2014" i="1" a="1"/>
  <c r="G2014" i="1" s="1"/>
  <c r="G2013" i="1" a="1"/>
  <c r="G2013" i="1"/>
  <c r="G2012" i="1" a="1"/>
  <c r="G2012" i="1" s="1"/>
  <c r="G2011" i="1" a="1"/>
  <c r="G2011" i="1" s="1"/>
  <c r="G2010" i="1" a="1"/>
  <c r="G2010" i="1" s="1"/>
  <c r="G2009" i="1" a="1"/>
  <c r="G2009" i="1" s="1"/>
  <c r="G2008" i="1" a="1"/>
  <c r="G2008" i="1" s="1"/>
  <c r="G2007" i="1" a="1"/>
  <c r="G2007" i="1" s="1"/>
  <c r="G2006" i="1" a="1"/>
  <c r="G2006" i="1" s="1"/>
  <c r="G2005" i="1" a="1"/>
  <c r="G2005" i="1" s="1"/>
  <c r="G2004" i="1" a="1"/>
  <c r="G2004" i="1" s="1"/>
  <c r="G2003" i="1" a="1"/>
  <c r="G2003" i="1" s="1"/>
  <c r="G2002" i="1" a="1"/>
  <c r="G2002" i="1" s="1"/>
  <c r="G2001" i="1" a="1"/>
  <c r="G2001" i="1" s="1"/>
  <c r="G2000" i="1" a="1"/>
  <c r="G2000" i="1" s="1"/>
  <c r="G1999" i="1" a="1"/>
  <c r="G1999" i="1" s="1"/>
  <c r="G1998" i="1" a="1"/>
  <c r="G1998" i="1" s="1"/>
  <c r="G1997" i="1" a="1"/>
  <c r="G1997" i="1" s="1"/>
  <c r="G1996" i="1" a="1"/>
  <c r="G1996" i="1" s="1"/>
  <c r="G1995" i="1" a="1"/>
  <c r="G1995" i="1" s="1"/>
  <c r="G1994" i="1" a="1"/>
  <c r="G1994" i="1" s="1"/>
  <c r="G1993" i="1" a="1"/>
  <c r="G1993" i="1" s="1"/>
  <c r="G1992" i="1" a="1"/>
  <c r="G1992" i="1" s="1"/>
  <c r="G1991" i="1" a="1"/>
  <c r="G1991" i="1" s="1"/>
  <c r="G1990" i="1" a="1"/>
  <c r="G1990" i="1" s="1"/>
  <c r="G1989" i="1" a="1"/>
  <c r="G1989" i="1" s="1"/>
  <c r="G1988" i="1" a="1"/>
  <c r="G1988" i="1" s="1"/>
  <c r="G1987" i="1" a="1"/>
  <c r="G1987" i="1" s="1"/>
  <c r="G1986" i="1" a="1"/>
  <c r="G1986" i="1" s="1"/>
  <c r="G1985" i="1" a="1"/>
  <c r="G1985" i="1" s="1"/>
  <c r="G1984" i="1" a="1"/>
  <c r="G1984" i="1" s="1"/>
  <c r="G1983" i="1" a="1"/>
  <c r="G1983" i="1" s="1"/>
  <c r="G1982" i="1" a="1"/>
  <c r="G1982" i="1" s="1"/>
  <c r="G1981" i="1" a="1"/>
  <c r="G1981" i="1" s="1"/>
  <c r="G1980" i="1" a="1"/>
  <c r="G1980" i="1" s="1"/>
  <c r="G1979" i="1" a="1"/>
  <c r="G1979" i="1" s="1"/>
  <c r="G1978" i="1" a="1"/>
  <c r="G1978" i="1" s="1"/>
  <c r="G1977" i="1" a="1"/>
  <c r="G1977" i="1" s="1"/>
  <c r="G1976" i="1" a="1"/>
  <c r="G1976" i="1" s="1"/>
  <c r="G1975" i="1" a="1"/>
  <c r="G1975" i="1" s="1"/>
  <c r="G1974" i="1" a="1"/>
  <c r="G1974" i="1" s="1"/>
  <c r="G1973" i="1" a="1"/>
  <c r="G1973" i="1" s="1"/>
  <c r="G1972" i="1" a="1"/>
  <c r="G1972" i="1" s="1"/>
  <c r="G1971" i="1" a="1"/>
  <c r="G1971" i="1" s="1"/>
  <c r="G1970" i="1" a="1"/>
  <c r="G1970" i="1" s="1"/>
  <c r="G1969" i="1" a="1"/>
  <c r="G1969" i="1" s="1"/>
  <c r="G1968" i="1" a="1"/>
  <c r="G1968" i="1" s="1"/>
  <c r="G1967" i="1" a="1"/>
  <c r="G1967" i="1" s="1"/>
  <c r="G1966" i="1" a="1"/>
  <c r="G1966" i="1" s="1"/>
  <c r="G1965" i="1" a="1"/>
  <c r="G1965" i="1" s="1"/>
  <c r="G1964" i="1" a="1"/>
  <c r="G1964" i="1" s="1"/>
  <c r="G1963" i="1" a="1"/>
  <c r="G1963" i="1" s="1"/>
  <c r="G1962" i="1" a="1"/>
  <c r="G1962" i="1" s="1"/>
  <c r="G1961" i="1" a="1"/>
  <c r="G1961" i="1" s="1"/>
  <c r="G1960" i="1" a="1"/>
  <c r="G1960" i="1" s="1"/>
  <c r="G1959" i="1" a="1"/>
  <c r="G1959" i="1" s="1"/>
  <c r="G1958" i="1" a="1"/>
  <c r="G1958" i="1" s="1"/>
  <c r="G1957" i="1" a="1"/>
  <c r="G1957" i="1" s="1"/>
  <c r="G1956" i="1" a="1"/>
  <c r="G1956" i="1" s="1"/>
  <c r="G1955" i="1" a="1"/>
  <c r="G1955" i="1" s="1"/>
  <c r="G1954" i="1" a="1"/>
  <c r="G1954" i="1" s="1"/>
  <c r="G1953" i="1" a="1"/>
  <c r="G1953" i="1" s="1"/>
  <c r="G1952" i="1" a="1"/>
  <c r="G1952" i="1" s="1"/>
  <c r="G1951" i="1" a="1"/>
  <c r="G1951" i="1" s="1"/>
  <c r="G1950" i="1" a="1"/>
  <c r="G1950" i="1" s="1"/>
  <c r="G1949" i="1" a="1"/>
  <c r="G1949" i="1" s="1"/>
  <c r="G1948" i="1" a="1"/>
  <c r="G1948" i="1" s="1"/>
  <c r="G1947" i="1" a="1"/>
  <c r="G1947" i="1" s="1"/>
  <c r="G1946" i="1" a="1"/>
  <c r="G1946" i="1"/>
  <c r="G1945" i="1" a="1"/>
  <c r="G1945" i="1" s="1"/>
  <c r="G1944" i="1" a="1"/>
  <c r="G1944" i="1" s="1"/>
  <c r="G1943" i="1" a="1"/>
  <c r="G1943" i="1" s="1"/>
  <c r="G1942" i="1" a="1"/>
  <c r="G1942" i="1" s="1"/>
  <c r="G1941" i="1" a="1"/>
  <c r="G1941" i="1" s="1"/>
  <c r="G1940" i="1" a="1"/>
  <c r="G1940" i="1" s="1"/>
  <c r="G1939" i="1" a="1"/>
  <c r="G1939" i="1" s="1"/>
  <c r="G1938" i="1" a="1"/>
  <c r="G1938" i="1" s="1"/>
  <c r="G1937" i="1" a="1"/>
  <c r="G1937" i="1" s="1"/>
  <c r="G1936" i="1" a="1"/>
  <c r="G1936" i="1" s="1"/>
  <c r="G1935" i="1" a="1"/>
  <c r="G1935" i="1" s="1"/>
  <c r="G1934" i="1" a="1"/>
  <c r="G1934" i="1" s="1"/>
  <c r="G1933" i="1" a="1"/>
  <c r="G1933" i="1" s="1"/>
  <c r="G1932" i="1" a="1"/>
  <c r="G1932" i="1" s="1"/>
  <c r="G1931" i="1" a="1"/>
  <c r="G1931" i="1" s="1"/>
  <c r="G1930" i="1" a="1"/>
  <c r="G1930" i="1" s="1"/>
  <c r="G1929" i="1" a="1"/>
  <c r="G1929" i="1" s="1"/>
  <c r="G1928" i="1" a="1"/>
  <c r="G1928" i="1" s="1"/>
  <c r="G1927" i="1" a="1"/>
  <c r="G1927" i="1" s="1"/>
  <c r="G1926" i="1" a="1"/>
  <c r="G1926" i="1" s="1"/>
  <c r="G1925" i="1" a="1"/>
  <c r="G1925" i="1" s="1"/>
  <c r="G1924" i="1" a="1"/>
  <c r="G1924" i="1" s="1"/>
  <c r="G1923" i="1" a="1"/>
  <c r="G1923" i="1" s="1"/>
  <c r="G1922" i="1" a="1"/>
  <c r="G1922" i="1" s="1"/>
  <c r="G1921" i="1" a="1"/>
  <c r="G1921" i="1" s="1"/>
  <c r="G1920" i="1" a="1"/>
  <c r="G1920" i="1" s="1"/>
  <c r="G1919" i="1" a="1"/>
  <c r="G1919" i="1" s="1"/>
  <c r="G1918" i="1" a="1"/>
  <c r="G1918" i="1" s="1"/>
  <c r="G1917" i="1" a="1"/>
  <c r="G1917" i="1" s="1"/>
  <c r="G1916" i="1" a="1"/>
  <c r="G1916" i="1" s="1"/>
  <c r="G1915" i="1" a="1"/>
  <c r="G1915" i="1" s="1"/>
  <c r="G1914" i="1" a="1"/>
  <c r="G1914" i="1" s="1"/>
  <c r="G1913" i="1" a="1"/>
  <c r="G1913" i="1"/>
  <c r="G1912" i="1" a="1"/>
  <c r="G1912" i="1" s="1"/>
  <c r="G1911" i="1" a="1"/>
  <c r="G1911" i="1" s="1"/>
  <c r="G1910" i="1" a="1"/>
  <c r="G1910" i="1" s="1"/>
  <c r="G1909" i="1" a="1"/>
  <c r="G1909" i="1" s="1"/>
  <c r="G1908" i="1" a="1"/>
  <c r="G1908" i="1" s="1"/>
  <c r="G1907" i="1" a="1"/>
  <c r="G1907" i="1" s="1"/>
  <c r="G1906" i="1" a="1"/>
  <c r="G1906" i="1" s="1"/>
  <c r="G1905" i="1" a="1"/>
  <c r="G1905" i="1" s="1"/>
  <c r="G1904" i="1" a="1"/>
  <c r="G1904" i="1" s="1"/>
  <c r="G1903" i="1" a="1"/>
  <c r="G1903" i="1" s="1"/>
  <c r="G1902" i="1" a="1"/>
  <c r="G1902" i="1" s="1"/>
  <c r="G1901" i="1" a="1"/>
  <c r="G1901" i="1" s="1"/>
  <c r="G1900" i="1" a="1"/>
  <c r="G1900" i="1" s="1"/>
  <c r="G1899" i="1" a="1"/>
  <c r="G1899" i="1" s="1"/>
  <c r="G1898" i="1" a="1"/>
  <c r="G1898" i="1" s="1"/>
  <c r="G1897" i="1" a="1"/>
  <c r="G1897" i="1" s="1"/>
  <c r="G1896" i="1" a="1"/>
  <c r="G1896" i="1" s="1"/>
  <c r="G1895" i="1" a="1"/>
  <c r="G1895" i="1" s="1"/>
  <c r="G1894" i="1" a="1"/>
  <c r="G1894" i="1" s="1"/>
  <c r="G1893" i="1" a="1"/>
  <c r="G1893" i="1" s="1"/>
  <c r="G1892" i="1" a="1"/>
  <c r="G1892" i="1" s="1"/>
  <c r="G1891" i="1" a="1"/>
  <c r="G1891" i="1" s="1"/>
  <c r="G1890" i="1" a="1"/>
  <c r="G1890" i="1" s="1"/>
  <c r="G1889" i="1" a="1"/>
  <c r="G1889" i="1" s="1"/>
  <c r="G1888" i="1" a="1"/>
  <c r="G1888" i="1" s="1"/>
  <c r="G1887" i="1" a="1"/>
  <c r="G1887" i="1" s="1"/>
  <c r="G1886" i="1" a="1"/>
  <c r="G1886" i="1" s="1"/>
  <c r="G1885" i="1" a="1"/>
  <c r="G1885" i="1" s="1"/>
  <c r="G1884" i="1" a="1"/>
  <c r="G1884" i="1" s="1"/>
  <c r="G1883" i="1" a="1"/>
  <c r="G1883" i="1" s="1"/>
  <c r="G1882" i="1" a="1"/>
  <c r="G1882" i="1" s="1"/>
  <c r="G1881" i="1" a="1"/>
  <c r="G1881" i="1" s="1"/>
  <c r="G1880" i="1" a="1"/>
  <c r="G1880" i="1" s="1"/>
  <c r="G1879" i="1" a="1"/>
  <c r="G1879" i="1" s="1"/>
  <c r="G1878" i="1" a="1"/>
  <c r="G1878" i="1" s="1"/>
  <c r="G1877" i="1" a="1"/>
  <c r="G1877" i="1" s="1"/>
  <c r="G1876" i="1" a="1"/>
  <c r="G1876" i="1" s="1"/>
  <c r="G1875" i="1" a="1"/>
  <c r="G1875" i="1" s="1"/>
  <c r="G1874" i="1" a="1"/>
  <c r="G1874" i="1" s="1"/>
  <c r="G1873" i="1" a="1"/>
  <c r="G1873" i="1" s="1"/>
  <c r="G1872" i="1" a="1"/>
  <c r="G1872" i="1" s="1"/>
  <c r="G1871" i="1" a="1"/>
  <c r="G1871" i="1" s="1"/>
  <c r="G1870" i="1" a="1"/>
  <c r="G1870" i="1" s="1"/>
  <c r="G1869" i="1" a="1"/>
  <c r="G1869" i="1" s="1"/>
  <c r="G1868" i="1" a="1"/>
  <c r="G1868" i="1" s="1"/>
  <c r="G1867" i="1" a="1"/>
  <c r="G1867" i="1" s="1"/>
  <c r="G1866" i="1" a="1"/>
  <c r="G1866" i="1" s="1"/>
  <c r="G1865" i="1" a="1"/>
  <c r="G1865" i="1" s="1"/>
  <c r="G1864" i="1" a="1"/>
  <c r="G1864" i="1" s="1"/>
  <c r="G1863" i="1" a="1"/>
  <c r="G1863" i="1" s="1"/>
  <c r="G1862" i="1" a="1"/>
  <c r="G1862" i="1" s="1"/>
  <c r="G1861" i="1" a="1"/>
  <c r="G1861" i="1" s="1"/>
  <c r="G1860" i="1" a="1"/>
  <c r="G1860" i="1" s="1"/>
  <c r="G1859" i="1" a="1"/>
  <c r="G1859" i="1" s="1"/>
  <c r="G1858" i="1" a="1"/>
  <c r="G1858" i="1" s="1"/>
  <c r="G1857" i="1" a="1"/>
  <c r="G1857" i="1" s="1"/>
  <c r="G1856" i="1" a="1"/>
  <c r="G1856" i="1" s="1"/>
  <c r="G1855" i="1" a="1"/>
  <c r="G1855" i="1" s="1"/>
  <c r="G1854" i="1" a="1"/>
  <c r="G1854" i="1" s="1"/>
  <c r="G1853" i="1" a="1"/>
  <c r="G1853" i="1" s="1"/>
  <c r="G1852" i="1" a="1"/>
  <c r="G1852" i="1" s="1"/>
  <c r="G1851" i="1" a="1"/>
  <c r="G1851" i="1" s="1"/>
  <c r="G1850" i="1" a="1"/>
  <c r="G1850" i="1" s="1"/>
  <c r="G1849" i="1" a="1"/>
  <c r="G1849" i="1" s="1"/>
  <c r="G1848" i="1" a="1"/>
  <c r="G1848" i="1" s="1"/>
  <c r="G1847" i="1" a="1"/>
  <c r="G1847" i="1" s="1"/>
  <c r="G1846" i="1" a="1"/>
  <c r="G1846" i="1"/>
  <c r="G1845" i="1" a="1"/>
  <c r="G1845" i="1" s="1"/>
  <c r="G1844" i="1" a="1"/>
  <c r="G1844" i="1" s="1"/>
  <c r="G1843" i="1" a="1"/>
  <c r="G1843" i="1" s="1"/>
  <c r="G1842" i="1" a="1"/>
  <c r="G1842" i="1" s="1"/>
  <c r="G1841" i="1" a="1"/>
  <c r="G1841" i="1" s="1"/>
  <c r="G1840" i="1" a="1"/>
  <c r="G1840" i="1" s="1"/>
  <c r="G1839" i="1" a="1"/>
  <c r="G1839" i="1" s="1"/>
  <c r="G1838" i="1" a="1"/>
  <c r="G1838" i="1" s="1"/>
  <c r="G1837" i="1" a="1"/>
  <c r="G1837" i="1" s="1"/>
  <c r="G1836" i="1" a="1"/>
  <c r="G1836" i="1" s="1"/>
  <c r="G1835" i="1" a="1"/>
  <c r="G1835" i="1" s="1"/>
  <c r="G1834" i="1" a="1"/>
  <c r="G1834" i="1" s="1"/>
  <c r="G1833" i="1" a="1"/>
  <c r="G1833" i="1" s="1"/>
  <c r="G1832" i="1" a="1"/>
  <c r="G1832" i="1" s="1"/>
  <c r="G1831" i="1" a="1"/>
  <c r="G1831" i="1" s="1"/>
  <c r="G1830" i="1" a="1"/>
  <c r="G1830" i="1" s="1"/>
  <c r="G1829" i="1" a="1"/>
  <c r="G1829" i="1" s="1"/>
  <c r="G1828" i="1" a="1"/>
  <c r="G1828" i="1" s="1"/>
  <c r="G1827" i="1" a="1"/>
  <c r="G1827" i="1" s="1"/>
  <c r="G1826" i="1" a="1"/>
  <c r="G1826" i="1" s="1"/>
  <c r="G1825" i="1" a="1"/>
  <c r="G1825" i="1" s="1"/>
  <c r="G1824" i="1" a="1"/>
  <c r="G1824" i="1" s="1"/>
  <c r="G1823" i="1" a="1"/>
  <c r="G1823" i="1" s="1"/>
  <c r="G1822" i="1" a="1"/>
  <c r="G1822" i="1" s="1"/>
  <c r="G1821" i="1" a="1"/>
  <c r="G1821" i="1" s="1"/>
  <c r="G1820" i="1" a="1"/>
  <c r="G1820" i="1" s="1"/>
  <c r="G1819" i="1" a="1"/>
  <c r="G1819" i="1" s="1"/>
  <c r="G1818" i="1" a="1"/>
  <c r="G1818" i="1" s="1"/>
  <c r="G1817" i="1" a="1"/>
  <c r="G1817" i="1" s="1"/>
  <c r="G1816" i="1" a="1"/>
  <c r="G1816" i="1" s="1"/>
  <c r="G1815" i="1" a="1"/>
  <c r="G1815" i="1" s="1"/>
  <c r="G1814" i="1" a="1"/>
  <c r="G1814" i="1" s="1"/>
  <c r="G1813" i="1" a="1"/>
  <c r="G1813" i="1" s="1"/>
  <c r="G1812" i="1" a="1"/>
  <c r="G1812" i="1" s="1"/>
  <c r="G1811" i="1" a="1"/>
  <c r="G1811" i="1" s="1"/>
  <c r="G1810" i="1" a="1"/>
  <c r="G1810" i="1" s="1"/>
  <c r="G1809" i="1" a="1"/>
  <c r="G1809" i="1" s="1"/>
  <c r="G1808" i="1" a="1"/>
  <c r="G1808" i="1" s="1"/>
  <c r="G1807" i="1" a="1"/>
  <c r="G1807" i="1" s="1"/>
  <c r="G1806" i="1" a="1"/>
  <c r="G1806" i="1" s="1"/>
  <c r="G1805" i="1" a="1"/>
  <c r="G1805" i="1" s="1"/>
  <c r="G1804" i="1" a="1"/>
  <c r="G1804" i="1" s="1"/>
  <c r="G1803" i="1" a="1"/>
  <c r="G1803" i="1" s="1"/>
  <c r="G1802" i="1" a="1"/>
  <c r="G1802" i="1" s="1"/>
  <c r="G1801" i="1" a="1"/>
  <c r="G1801" i="1" s="1"/>
  <c r="G1800" i="1" a="1"/>
  <c r="G1800" i="1" s="1"/>
  <c r="G1799" i="1" a="1"/>
  <c r="G1799" i="1" s="1"/>
  <c r="G1798" i="1" a="1"/>
  <c r="G1798" i="1" s="1"/>
  <c r="G1797" i="1" a="1"/>
  <c r="G1797" i="1" s="1"/>
  <c r="G1796" i="1" a="1"/>
  <c r="G1796" i="1"/>
  <c r="G1795" i="1" a="1"/>
  <c r="G1795" i="1" s="1"/>
  <c r="G1794" i="1" a="1"/>
  <c r="G1794" i="1" s="1"/>
  <c r="G1793" i="1" a="1"/>
  <c r="G1793" i="1" s="1"/>
  <c r="G1792" i="1" a="1"/>
  <c r="G1792" i="1" s="1"/>
  <c r="G1791" i="1" a="1"/>
  <c r="G1791" i="1" s="1"/>
  <c r="G1790" i="1" a="1"/>
  <c r="G1790" i="1" s="1"/>
  <c r="G1789" i="1" a="1"/>
  <c r="G1789" i="1" s="1"/>
  <c r="G1788" i="1" a="1"/>
  <c r="G1788" i="1" s="1"/>
  <c r="G1787" i="1" a="1"/>
  <c r="G1787" i="1" s="1"/>
  <c r="G1786" i="1" a="1"/>
  <c r="G1786" i="1" s="1"/>
  <c r="G1785" i="1" a="1"/>
  <c r="G1785" i="1" s="1"/>
  <c r="G1784" i="1" a="1"/>
  <c r="G1784" i="1" s="1"/>
  <c r="G1783" i="1" a="1"/>
  <c r="G1783" i="1" s="1"/>
  <c r="G1782" i="1" a="1"/>
  <c r="G1782" i="1" s="1"/>
  <c r="G1781" i="1" a="1"/>
  <c r="G1781" i="1" s="1"/>
  <c r="G1780" i="1" a="1"/>
  <c r="G1780" i="1" s="1"/>
  <c r="G1779" i="1" a="1"/>
  <c r="G1779" i="1" s="1"/>
  <c r="G1778" i="1" a="1"/>
  <c r="G1778" i="1" s="1"/>
  <c r="G1777" i="1" a="1"/>
  <c r="G1777" i="1" s="1"/>
  <c r="G1776" i="1" a="1"/>
  <c r="G1776" i="1" s="1"/>
  <c r="G1775" i="1" a="1"/>
  <c r="G1775" i="1" s="1"/>
  <c r="G1774" i="1" a="1"/>
  <c r="G1774" i="1" s="1"/>
  <c r="G1773" i="1" a="1"/>
  <c r="G1773" i="1" s="1"/>
  <c r="G1772" i="1" a="1"/>
  <c r="G1772" i="1" s="1"/>
  <c r="G1771" i="1" a="1"/>
  <c r="G1771" i="1" s="1"/>
  <c r="G1770" i="1" a="1"/>
  <c r="G1770" i="1" s="1"/>
  <c r="G1769" i="1" a="1"/>
  <c r="G1769" i="1" s="1"/>
  <c r="G1768" i="1" a="1"/>
  <c r="G1768" i="1" s="1"/>
  <c r="G1767" i="1" a="1"/>
  <c r="G1767" i="1" s="1"/>
  <c r="G1766" i="1" a="1"/>
  <c r="G1766" i="1" s="1"/>
  <c r="G1765" i="1" a="1"/>
  <c r="G1765" i="1" s="1"/>
  <c r="G1764" i="1" a="1"/>
  <c r="G1764" i="1" s="1"/>
  <c r="G1763" i="1" a="1"/>
  <c r="G1763" i="1" s="1"/>
  <c r="G1762" i="1" a="1"/>
  <c r="G1762" i="1" s="1"/>
  <c r="G1761" i="1" a="1"/>
  <c r="G1761" i="1" s="1"/>
  <c r="G1760" i="1" a="1"/>
  <c r="G1760" i="1" s="1"/>
  <c r="G1759" i="1" a="1"/>
  <c r="G1759" i="1" s="1"/>
  <c r="G1758" i="1" a="1"/>
  <c r="G1758" i="1" s="1"/>
  <c r="G1757" i="1" a="1"/>
  <c r="G1757" i="1" s="1"/>
  <c r="G1756" i="1" a="1"/>
  <c r="G1756" i="1" s="1"/>
  <c r="G1755" i="1" a="1"/>
  <c r="G1755" i="1" s="1"/>
  <c r="G1754" i="1" a="1"/>
  <c r="G1754" i="1" s="1"/>
  <c r="G1753" i="1" a="1"/>
  <c r="G1753" i="1" s="1"/>
  <c r="G1752" i="1" a="1"/>
  <c r="G1752" i="1" s="1"/>
  <c r="G1751" i="1" a="1"/>
  <c r="G1751" i="1" s="1"/>
  <c r="G1750" i="1" a="1"/>
  <c r="G1750" i="1" s="1"/>
  <c r="G1749" i="1" a="1"/>
  <c r="G1749" i="1" s="1"/>
  <c r="G1748" i="1" a="1"/>
  <c r="G1748" i="1" s="1"/>
  <c r="G1747" i="1" a="1"/>
  <c r="G1747" i="1" s="1"/>
  <c r="G1746" i="1" a="1"/>
  <c r="G1746" i="1" s="1"/>
  <c r="G1745" i="1" a="1"/>
  <c r="G1745" i="1" s="1"/>
  <c r="G1744" i="1" a="1"/>
  <c r="G1744" i="1" s="1"/>
  <c r="G1743" i="1" a="1"/>
  <c r="G1743" i="1" s="1"/>
  <c r="G1742" i="1" a="1"/>
  <c r="G1742" i="1" s="1"/>
  <c r="G1741" i="1" a="1"/>
  <c r="G1741" i="1" s="1"/>
  <c r="G1740" i="1" a="1"/>
  <c r="G1740" i="1" s="1"/>
  <c r="G1739" i="1" a="1"/>
  <c r="G1739" i="1" s="1"/>
  <c r="G1738" i="1" a="1"/>
  <c r="G1738" i="1" s="1"/>
  <c r="G1737" i="1" a="1"/>
  <c r="G1737" i="1" s="1"/>
  <c r="G1736" i="1" a="1"/>
  <c r="G1736" i="1" s="1"/>
  <c r="G1735" i="1" a="1"/>
  <c r="G1735" i="1" s="1"/>
  <c r="G1734" i="1" a="1"/>
  <c r="G1734" i="1" s="1"/>
  <c r="G1733" i="1" a="1"/>
  <c r="G1733" i="1" s="1"/>
  <c r="G1732" i="1" a="1"/>
  <c r="G1732" i="1" s="1"/>
  <c r="G1731" i="1" a="1"/>
  <c r="G1731" i="1" s="1"/>
  <c r="G1730" i="1" a="1"/>
  <c r="G1730" i="1" s="1"/>
  <c r="G1729" i="1" a="1"/>
  <c r="G1729" i="1" s="1"/>
  <c r="G1728" i="1" a="1"/>
  <c r="G1728" i="1" s="1"/>
  <c r="G1727" i="1" a="1"/>
  <c r="G1727" i="1" s="1"/>
  <c r="G1726" i="1" a="1"/>
  <c r="G1726" i="1" s="1"/>
  <c r="G1725" i="1" a="1"/>
  <c r="G1725" i="1" s="1"/>
  <c r="G1724" i="1" a="1"/>
  <c r="G1724" i="1" s="1"/>
  <c r="G1723" i="1" a="1"/>
  <c r="G1723" i="1" s="1"/>
  <c r="G1722" i="1" a="1"/>
  <c r="G1722" i="1" s="1"/>
  <c r="G1721" i="1" a="1"/>
  <c r="G1721" i="1" s="1"/>
  <c r="G1720" i="1" a="1"/>
  <c r="G1720" i="1" s="1"/>
  <c r="G1719" i="1" a="1"/>
  <c r="G1719" i="1" s="1"/>
  <c r="G1718" i="1" a="1"/>
  <c r="G1718" i="1" s="1"/>
  <c r="G1717" i="1" a="1"/>
  <c r="G1717" i="1" s="1"/>
  <c r="G1716" i="1" a="1"/>
  <c r="G1716" i="1" s="1"/>
  <c r="G1715" i="1" a="1"/>
  <c r="G1715" i="1" s="1"/>
  <c r="G1714" i="1" a="1"/>
  <c r="G1714" i="1" s="1"/>
  <c r="G1713" i="1" a="1"/>
  <c r="G1713" i="1" s="1"/>
  <c r="G1712" i="1" a="1"/>
  <c r="G1712" i="1" s="1"/>
  <c r="G1711" i="1" a="1"/>
  <c r="G1711" i="1" s="1"/>
  <c r="G1710" i="1" a="1"/>
  <c r="G1710" i="1" s="1"/>
  <c r="G1709" i="1" a="1"/>
  <c r="G1709" i="1" s="1"/>
  <c r="G1708" i="1" a="1"/>
  <c r="G1708" i="1" s="1"/>
  <c r="G1707" i="1" a="1"/>
  <c r="G1707" i="1" s="1"/>
  <c r="G1706" i="1" a="1"/>
  <c r="G1706" i="1" s="1"/>
  <c r="G1705" i="1" a="1"/>
  <c r="G1705" i="1" s="1"/>
  <c r="G1704" i="1" a="1"/>
  <c r="G1704" i="1" s="1"/>
  <c r="G1703" i="1" a="1"/>
  <c r="G1703" i="1" s="1"/>
  <c r="G1702" i="1" a="1"/>
  <c r="G1702" i="1" s="1"/>
  <c r="G1701" i="1" a="1"/>
  <c r="G1701" i="1" s="1"/>
  <c r="G1700" i="1" a="1"/>
  <c r="G1700" i="1" s="1"/>
  <c r="G1699" i="1" a="1"/>
  <c r="G1699" i="1" s="1"/>
  <c r="G1698" i="1" a="1"/>
  <c r="G1698" i="1" s="1"/>
  <c r="G1697" i="1" a="1"/>
  <c r="G1697" i="1" s="1"/>
  <c r="G1696" i="1" a="1"/>
  <c r="G1696" i="1" s="1"/>
  <c r="G1695" i="1" a="1"/>
  <c r="G1695" i="1" s="1"/>
  <c r="G1694" i="1" a="1"/>
  <c r="G1694" i="1" s="1"/>
  <c r="G1693" i="1" a="1"/>
  <c r="G1693" i="1" s="1"/>
  <c r="G1692" i="1" a="1"/>
  <c r="G1692" i="1" s="1"/>
  <c r="G1691" i="1" a="1"/>
  <c r="G1691" i="1" s="1"/>
  <c r="G1690" i="1" a="1"/>
  <c r="G1690" i="1" s="1"/>
  <c r="G1689" i="1" a="1"/>
  <c r="G1689" i="1" s="1"/>
  <c r="G1688" i="1" a="1"/>
  <c r="G1688" i="1" s="1"/>
  <c r="G1687" i="1" a="1"/>
  <c r="G1687" i="1" s="1"/>
  <c r="G1686" i="1" a="1"/>
  <c r="G1686" i="1" s="1"/>
  <c r="G1685" i="1" a="1"/>
  <c r="G1685" i="1" s="1"/>
  <c r="G1684" i="1" a="1"/>
  <c r="G1684" i="1" s="1"/>
  <c r="G1683" i="1" a="1"/>
  <c r="G1683" i="1" s="1"/>
  <c r="G1682" i="1" a="1"/>
  <c r="G1682" i="1" s="1"/>
  <c r="G1681" i="1" a="1"/>
  <c r="G1681" i="1" s="1"/>
  <c r="G1680" i="1" a="1"/>
  <c r="G1680" i="1" s="1"/>
  <c r="G1679" i="1" a="1"/>
  <c r="G1679" i="1" s="1"/>
  <c r="G1678" i="1" a="1"/>
  <c r="G1678" i="1" s="1"/>
  <c r="G1677" i="1" a="1"/>
  <c r="G1677" i="1" s="1"/>
  <c r="G1676" i="1" a="1"/>
  <c r="G1676" i="1" s="1"/>
  <c r="G1675" i="1" a="1"/>
  <c r="G1675" i="1" s="1"/>
  <c r="G1674" i="1" a="1"/>
  <c r="G1674" i="1" s="1"/>
  <c r="G1673" i="1" a="1"/>
  <c r="G1673" i="1" s="1"/>
  <c r="G1672" i="1" a="1"/>
  <c r="G1672" i="1" s="1"/>
  <c r="G1671" i="1" a="1"/>
  <c r="G1671" i="1" s="1"/>
  <c r="G1670" i="1" a="1"/>
  <c r="G1670" i="1" s="1"/>
  <c r="G1669" i="1" a="1"/>
  <c r="G1669" i="1" s="1"/>
  <c r="G1668" i="1" a="1"/>
  <c r="G1668" i="1" s="1"/>
  <c r="G1667" i="1" a="1"/>
  <c r="G1667" i="1" s="1"/>
  <c r="G1666" i="1" a="1"/>
  <c r="G1666" i="1" s="1"/>
  <c r="G1665" i="1" a="1"/>
  <c r="G1665" i="1" s="1"/>
  <c r="G1664" i="1" a="1"/>
  <c r="G1664" i="1" s="1"/>
  <c r="G1663" i="1" a="1"/>
  <c r="G1663" i="1" s="1"/>
  <c r="G1662" i="1" a="1"/>
  <c r="G1662" i="1" s="1"/>
  <c r="G1661" i="1" a="1"/>
  <c r="G1661" i="1" s="1"/>
  <c r="G1660" i="1" a="1"/>
  <c r="G1660" i="1" s="1"/>
  <c r="G1659" i="1" a="1"/>
  <c r="G1659" i="1" s="1"/>
  <c r="G1658" i="1" a="1"/>
  <c r="G1658" i="1" s="1"/>
  <c r="G1657" i="1" a="1"/>
  <c r="G1657" i="1" s="1"/>
  <c r="G1656" i="1" a="1"/>
  <c r="G1656" i="1" s="1"/>
  <c r="G1655" i="1" a="1"/>
  <c r="G1655" i="1" s="1"/>
  <c r="G1654" i="1" a="1"/>
  <c r="G1654" i="1" s="1"/>
  <c r="G1653" i="1" a="1"/>
  <c r="G1653" i="1" s="1"/>
  <c r="G1652" i="1" a="1"/>
  <c r="G1652" i="1" s="1"/>
  <c r="G1651" i="1" a="1"/>
  <c r="G1651" i="1" s="1"/>
  <c r="G1650" i="1" a="1"/>
  <c r="G1650" i="1" s="1"/>
  <c r="G1649" i="1" a="1"/>
  <c r="G1649" i="1" s="1"/>
  <c r="G1648" i="1" a="1"/>
  <c r="G1648" i="1" s="1"/>
  <c r="G1647" i="1" a="1"/>
  <c r="G1647" i="1" s="1"/>
  <c r="G1646" i="1" a="1"/>
  <c r="G1646" i="1" s="1"/>
  <c r="G1645" i="1" a="1"/>
  <c r="G1645" i="1" s="1"/>
  <c r="G1644" i="1" a="1"/>
  <c r="G1644" i="1" s="1"/>
  <c r="G1643" i="1" a="1"/>
  <c r="G1643" i="1" s="1"/>
  <c r="G1642" i="1" a="1"/>
  <c r="G1642" i="1" s="1"/>
  <c r="G1641" i="1" a="1"/>
  <c r="G1641" i="1" s="1"/>
  <c r="G1640" i="1" a="1"/>
  <c r="G1640" i="1" s="1"/>
  <c r="G1639" i="1" a="1"/>
  <c r="G1639" i="1" s="1"/>
  <c r="G1638" i="1" a="1"/>
  <c r="G1638" i="1" s="1"/>
  <c r="G1637" i="1" a="1"/>
  <c r="G1637" i="1" s="1"/>
  <c r="G1636" i="1" a="1"/>
  <c r="G1636" i="1" s="1"/>
  <c r="G1635" i="1" a="1"/>
  <c r="G1635" i="1" s="1"/>
  <c r="G1634" i="1" a="1"/>
  <c r="G1634" i="1" s="1"/>
  <c r="G1633" i="1" a="1"/>
  <c r="G1633" i="1" s="1"/>
  <c r="G1632" i="1" a="1"/>
  <c r="G1632" i="1" s="1"/>
  <c r="G1631" i="1" a="1"/>
  <c r="G1631" i="1" s="1"/>
  <c r="G1630" i="1" a="1"/>
  <c r="G1630" i="1" s="1"/>
  <c r="G1629" i="1" a="1"/>
  <c r="G1629" i="1" s="1"/>
  <c r="G1628" i="1" a="1"/>
  <c r="G1628" i="1" s="1"/>
  <c r="G1627" i="1" a="1"/>
  <c r="G1627" i="1" s="1"/>
  <c r="G1626" i="1" a="1"/>
  <c r="G1626" i="1" s="1"/>
  <c r="G1625" i="1" a="1"/>
  <c r="G1625" i="1" s="1"/>
  <c r="G1624" i="1" a="1"/>
  <c r="G1624" i="1" s="1"/>
  <c r="G1623" i="1" a="1"/>
  <c r="G1623" i="1" s="1"/>
  <c r="G1622" i="1" a="1"/>
  <c r="G1622" i="1" s="1"/>
  <c r="G1621" i="1" a="1"/>
  <c r="G1621" i="1" s="1"/>
  <c r="G1620" i="1" a="1"/>
  <c r="G1620" i="1" s="1"/>
  <c r="G1619" i="1" a="1"/>
  <c r="G1619" i="1" s="1"/>
  <c r="G1618" i="1" a="1"/>
  <c r="G1618" i="1" s="1"/>
  <c r="G1617" i="1" a="1"/>
  <c r="G1617" i="1" s="1"/>
  <c r="G1616" i="1" a="1"/>
  <c r="G1616" i="1" s="1"/>
  <c r="G1615" i="1" a="1"/>
  <c r="G1615" i="1" s="1"/>
  <c r="G1614" i="1" a="1"/>
  <c r="G1614" i="1" s="1"/>
  <c r="G1613" i="1" a="1"/>
  <c r="G1613" i="1" s="1"/>
  <c r="G1612" i="1" a="1"/>
  <c r="G1612" i="1" s="1"/>
  <c r="G1611" i="1" a="1"/>
  <c r="G1611" i="1" s="1"/>
  <c r="G1610" i="1" a="1"/>
  <c r="G1610" i="1" s="1"/>
  <c r="G1609" i="1" a="1"/>
  <c r="G1609" i="1" s="1"/>
  <c r="G1608" i="1" a="1"/>
  <c r="G1608" i="1" s="1"/>
  <c r="G1607" i="1" a="1"/>
  <c r="G1607" i="1" s="1"/>
  <c r="G1606" i="1" a="1"/>
  <c r="G1606" i="1" s="1"/>
  <c r="G1605" i="1" a="1"/>
  <c r="G1605" i="1" s="1"/>
  <c r="G1604" i="1" a="1"/>
  <c r="G1604" i="1" s="1"/>
  <c r="G1603" i="1" a="1"/>
  <c r="G1603" i="1" s="1"/>
  <c r="G1602" i="1" a="1"/>
  <c r="G1602" i="1" s="1"/>
  <c r="G1601" i="1" a="1"/>
  <c r="G1601" i="1" s="1"/>
  <c r="G1600" i="1" a="1"/>
  <c r="G1600" i="1" s="1"/>
  <c r="G1599" i="1" a="1"/>
  <c r="G1599" i="1" s="1"/>
  <c r="G1598" i="1" a="1"/>
  <c r="G1598" i="1" s="1"/>
  <c r="G1597" i="1" a="1"/>
  <c r="G1597" i="1" s="1"/>
  <c r="G1596" i="1" a="1"/>
  <c r="G1596" i="1"/>
  <c r="G1595" i="1" a="1"/>
  <c r="G1595" i="1" s="1"/>
  <c r="G1594" i="1" a="1"/>
  <c r="G1594" i="1" s="1"/>
  <c r="G1593" i="1" a="1"/>
  <c r="G1593" i="1" s="1"/>
  <c r="G1592" i="1" a="1"/>
  <c r="G1592" i="1" s="1"/>
  <c r="G1591" i="1" a="1"/>
  <c r="G1591" i="1" s="1"/>
  <c r="G1590" i="1" a="1"/>
  <c r="G1590" i="1" s="1"/>
  <c r="G1589" i="1" a="1"/>
  <c r="G1589" i="1" s="1"/>
  <c r="G1588" i="1" a="1"/>
  <c r="G1588" i="1" s="1"/>
  <c r="G1587" i="1" a="1"/>
  <c r="G1587" i="1" s="1"/>
  <c r="G1586" i="1" a="1"/>
  <c r="G1586" i="1" s="1"/>
  <c r="G1585" i="1" a="1"/>
  <c r="G1585" i="1" s="1"/>
  <c r="G1584" i="1" a="1"/>
  <c r="G1584" i="1" s="1"/>
  <c r="G1583" i="1" a="1"/>
  <c r="G1583" i="1" s="1"/>
  <c r="G1582" i="1" a="1"/>
  <c r="G1582" i="1" s="1"/>
  <c r="G1581" i="1" a="1"/>
  <c r="G1581" i="1" s="1"/>
  <c r="G1580" i="1" a="1"/>
  <c r="G1580" i="1" s="1"/>
  <c r="G1579" i="1" a="1"/>
  <c r="G1579" i="1" s="1"/>
  <c r="G1578" i="1" a="1"/>
  <c r="G1578" i="1" s="1"/>
  <c r="G1577" i="1" a="1"/>
  <c r="G1577" i="1" s="1"/>
  <c r="G1576" i="1" a="1"/>
  <c r="G1576" i="1" s="1"/>
  <c r="G1575" i="1" a="1"/>
  <c r="G1575" i="1" s="1"/>
  <c r="G1574" i="1" a="1"/>
  <c r="G1574" i="1" s="1"/>
  <c r="G1573" i="1" a="1"/>
  <c r="G1573" i="1" s="1"/>
  <c r="G1572" i="1" a="1"/>
  <c r="G1572" i="1" s="1"/>
  <c r="G1571" i="1" a="1"/>
  <c r="G1571" i="1" s="1"/>
  <c r="G1570" i="1" a="1"/>
  <c r="G1570" i="1" s="1"/>
  <c r="G1569" i="1" a="1"/>
  <c r="G1569" i="1" s="1"/>
  <c r="G1568" i="1" a="1"/>
  <c r="G1568" i="1" s="1"/>
  <c r="G1567" i="1" a="1"/>
  <c r="G1567" i="1" s="1"/>
  <c r="G1566" i="1" a="1"/>
  <c r="G1566" i="1" s="1"/>
  <c r="G1565" i="1" a="1"/>
  <c r="G1565" i="1" s="1"/>
  <c r="G1564" i="1" a="1"/>
  <c r="G1564" i="1" s="1"/>
  <c r="G1563" i="1" a="1"/>
  <c r="G1563" i="1" s="1"/>
  <c r="G1562" i="1" a="1"/>
  <c r="G1562" i="1" s="1"/>
  <c r="G1561" i="1" a="1"/>
  <c r="G1561" i="1" s="1"/>
  <c r="G1560" i="1" a="1"/>
  <c r="G1560" i="1" s="1"/>
  <c r="G1559" i="1" a="1"/>
  <c r="G1559" i="1" s="1"/>
  <c r="G1558" i="1" a="1"/>
  <c r="G1558" i="1" s="1"/>
  <c r="G1557" i="1" a="1"/>
  <c r="G1557" i="1" s="1"/>
  <c r="G1556" i="1" a="1"/>
  <c r="G1556" i="1" s="1"/>
  <c r="G1555" i="1" a="1"/>
  <c r="G1555" i="1" s="1"/>
  <c r="G1554" i="1" a="1"/>
  <c r="G1554" i="1" s="1"/>
  <c r="G1553" i="1" a="1"/>
  <c r="G1553" i="1" s="1"/>
  <c r="G1552" i="1" a="1"/>
  <c r="G1552" i="1" s="1"/>
  <c r="G1551" i="1" a="1"/>
  <c r="G1551" i="1" s="1"/>
  <c r="G1550" i="1" a="1"/>
  <c r="G1550" i="1" s="1"/>
  <c r="G1549" i="1" a="1"/>
  <c r="G1549" i="1" s="1"/>
  <c r="G1548" i="1" a="1"/>
  <c r="G1548" i="1" s="1"/>
  <c r="G1547" i="1" a="1"/>
  <c r="G1547" i="1" s="1"/>
  <c r="G1546" i="1" a="1"/>
  <c r="G1546" i="1" s="1"/>
  <c r="G1545" i="1" a="1"/>
  <c r="G1545" i="1" s="1"/>
  <c r="G1544" i="1" a="1"/>
  <c r="G1544" i="1" s="1"/>
  <c r="G1543" i="1" a="1"/>
  <c r="G1543" i="1" s="1"/>
  <c r="G1542" i="1" a="1"/>
  <c r="G1542" i="1" s="1"/>
  <c r="G1541" i="1" a="1"/>
  <c r="G1541" i="1" s="1"/>
  <c r="G1540" i="1" a="1"/>
  <c r="G1540" i="1" s="1"/>
  <c r="G1539" i="1" a="1"/>
  <c r="G1539" i="1" s="1"/>
  <c r="G1538" i="1" a="1"/>
  <c r="G1538" i="1" s="1"/>
  <c r="G1537" i="1" a="1"/>
  <c r="G1537" i="1" s="1"/>
  <c r="G1536" i="1" a="1"/>
  <c r="G1536" i="1" s="1"/>
  <c r="G1535" i="1" a="1"/>
  <c r="G1535" i="1" s="1"/>
  <c r="G1534" i="1" a="1"/>
  <c r="G1534" i="1" s="1"/>
  <c r="G1533" i="1" a="1"/>
  <c r="G1533" i="1" s="1"/>
  <c r="G1532" i="1" a="1"/>
  <c r="G1532" i="1" s="1"/>
  <c r="G1531" i="1" a="1"/>
  <c r="G1531" i="1" s="1"/>
  <c r="G1530" i="1" a="1"/>
  <c r="G1530" i="1" s="1"/>
  <c r="G1529" i="1" a="1"/>
  <c r="G1529" i="1" s="1"/>
  <c r="G1528" i="1" a="1"/>
  <c r="G1528" i="1" s="1"/>
  <c r="G1527" i="1" a="1"/>
  <c r="G1527" i="1" s="1"/>
  <c r="G1526" i="1" a="1"/>
  <c r="G1526" i="1" s="1"/>
  <c r="G1525" i="1" a="1"/>
  <c r="G1525" i="1" s="1"/>
  <c r="G1524" i="1" a="1"/>
  <c r="G1524" i="1" s="1"/>
  <c r="G1523" i="1" a="1"/>
  <c r="G1523" i="1" s="1"/>
  <c r="G1522" i="1" a="1"/>
  <c r="G1522" i="1" s="1"/>
  <c r="G1521" i="1" a="1"/>
  <c r="G1521" i="1" s="1"/>
  <c r="G1520" i="1" a="1"/>
  <c r="G1520" i="1" s="1"/>
  <c r="G1519" i="1" a="1"/>
  <c r="G1519" i="1" s="1"/>
  <c r="G1518" i="1" a="1"/>
  <c r="G1518" i="1" s="1"/>
  <c r="G1517" i="1" a="1"/>
  <c r="G1517" i="1" s="1"/>
  <c r="G1516" i="1" a="1"/>
  <c r="G1516" i="1" s="1"/>
  <c r="G1515" i="1" a="1"/>
  <c r="G1515" i="1" s="1"/>
  <c r="G1514" i="1" a="1"/>
  <c r="G1514" i="1" s="1"/>
  <c r="G1513" i="1" a="1"/>
  <c r="G1513" i="1" s="1"/>
  <c r="G1512" i="1" a="1"/>
  <c r="G1512" i="1" s="1"/>
  <c r="G1511" i="1" a="1"/>
  <c r="G1511" i="1" s="1"/>
  <c r="G1510" i="1" a="1"/>
  <c r="G1510" i="1" s="1"/>
  <c r="G1509" i="1" a="1"/>
  <c r="G1509" i="1" s="1"/>
  <c r="G1508" i="1" a="1"/>
  <c r="G1508" i="1" s="1"/>
  <c r="G1507" i="1" a="1"/>
  <c r="G1507" i="1" s="1"/>
  <c r="G1506" i="1" a="1"/>
  <c r="G1506" i="1" s="1"/>
  <c r="G1505" i="1" a="1"/>
  <c r="G1505" i="1" s="1"/>
  <c r="G1504" i="1" a="1"/>
  <c r="G1504" i="1" s="1"/>
  <c r="G1503" i="1" a="1"/>
  <c r="G1503" i="1" s="1"/>
  <c r="G1502" i="1" a="1"/>
  <c r="G1502" i="1" s="1"/>
  <c r="G1501" i="1" a="1"/>
  <c r="G1501" i="1" s="1"/>
  <c r="G1500" i="1" a="1"/>
  <c r="G1500" i="1" s="1"/>
  <c r="G1499" i="1" a="1"/>
  <c r="G1499" i="1" s="1"/>
  <c r="G1498" i="1" a="1"/>
  <c r="G1498" i="1" s="1"/>
  <c r="G1497" i="1" a="1"/>
  <c r="G1497" i="1" s="1"/>
  <c r="G1496" i="1" a="1"/>
  <c r="G1496" i="1" s="1"/>
  <c r="G1495" i="1" a="1"/>
  <c r="G1495" i="1" s="1"/>
  <c r="G1494" i="1" a="1"/>
  <c r="G1494" i="1" s="1"/>
  <c r="G1493" i="1" a="1"/>
  <c r="G1493" i="1" s="1"/>
  <c r="G1492" i="1" a="1"/>
  <c r="G1492" i="1" s="1"/>
  <c r="G1491" i="1" a="1"/>
  <c r="G1491" i="1" s="1"/>
  <c r="G1490" i="1" a="1"/>
  <c r="G1490" i="1" s="1"/>
  <c r="G1489" i="1" a="1"/>
  <c r="G1489" i="1" s="1"/>
  <c r="G1488" i="1" a="1"/>
  <c r="G1488" i="1" s="1"/>
  <c r="G1487" i="1" a="1"/>
  <c r="G1487" i="1" s="1"/>
  <c r="G1486" i="1" a="1"/>
  <c r="G1486" i="1" s="1"/>
  <c r="G1485" i="1" a="1"/>
  <c r="G1485" i="1" s="1"/>
  <c r="G1484" i="1" a="1"/>
  <c r="G1484" i="1" s="1"/>
  <c r="G1483" i="1" a="1"/>
  <c r="G1483" i="1" s="1"/>
  <c r="G1482" i="1" a="1"/>
  <c r="G1482" i="1" s="1"/>
  <c r="G1481" i="1" a="1"/>
  <c r="G1481" i="1" s="1"/>
  <c r="G1480" i="1" a="1"/>
  <c r="G1480" i="1" s="1"/>
  <c r="G1479" i="1" a="1"/>
  <c r="G1479" i="1" s="1"/>
  <c r="G1478" i="1" a="1"/>
  <c r="G1478" i="1" s="1"/>
  <c r="G1477" i="1" a="1"/>
  <c r="G1477" i="1" s="1"/>
  <c r="G1476" i="1" a="1"/>
  <c r="G1476" i="1" s="1"/>
  <c r="G1475" i="1" a="1"/>
  <c r="G1475" i="1" s="1"/>
  <c r="G1474" i="1" a="1"/>
  <c r="G1474" i="1" s="1"/>
  <c r="G1473" i="1" a="1"/>
  <c r="G1473" i="1" s="1"/>
  <c r="G1472" i="1" a="1"/>
  <c r="G1472" i="1" s="1"/>
  <c r="G1471" i="1" a="1"/>
  <c r="G1471" i="1" s="1"/>
  <c r="G1470" i="1" a="1"/>
  <c r="G1470" i="1" s="1"/>
  <c r="G1469" i="1" a="1"/>
  <c r="G1469" i="1" s="1"/>
  <c r="G1468" i="1" a="1"/>
  <c r="G1468" i="1" s="1"/>
  <c r="G1467" i="1" a="1"/>
  <c r="G1467" i="1" s="1"/>
  <c r="G1466" i="1" a="1"/>
  <c r="G1466" i="1" s="1"/>
  <c r="G1465" i="1" a="1"/>
  <c r="G1465" i="1" s="1"/>
  <c r="G1464" i="1" a="1"/>
  <c r="G1464" i="1" s="1"/>
  <c r="G1463" i="1" a="1"/>
  <c r="G1463" i="1" s="1"/>
  <c r="G1462" i="1" a="1"/>
  <c r="G1462" i="1" s="1"/>
  <c r="G1461" i="1" a="1"/>
  <c r="G1461" i="1" s="1"/>
  <c r="G1460" i="1" a="1"/>
  <c r="G1460" i="1" s="1"/>
  <c r="G1459" i="1" a="1"/>
  <c r="G1459" i="1" s="1"/>
  <c r="G1458" i="1" a="1"/>
  <c r="G1458" i="1" s="1"/>
  <c r="G1457" i="1" a="1"/>
  <c r="G1457" i="1" s="1"/>
  <c r="G1456" i="1" a="1"/>
  <c r="G1456" i="1" s="1"/>
  <c r="G1455" i="1" a="1"/>
  <c r="G1455" i="1" s="1"/>
  <c r="G1454" i="1" a="1"/>
  <c r="G1454" i="1" s="1"/>
  <c r="G1453" i="1" a="1"/>
  <c r="G1453" i="1" s="1"/>
  <c r="G1452" i="1" a="1"/>
  <c r="G1452" i="1" s="1"/>
  <c r="G1451" i="1" a="1"/>
  <c r="G1451" i="1" s="1"/>
  <c r="G1450" i="1" a="1"/>
  <c r="G1450" i="1" s="1"/>
  <c r="G1449" i="1" a="1"/>
  <c r="G1449" i="1" s="1"/>
  <c r="G1448" i="1" a="1"/>
  <c r="G1448" i="1" s="1"/>
  <c r="G1447" i="1" a="1"/>
  <c r="G1447" i="1" s="1"/>
  <c r="G1446" i="1" a="1"/>
  <c r="G1446" i="1" s="1"/>
  <c r="G1445" i="1" a="1"/>
  <c r="G1445" i="1" s="1"/>
  <c r="G1444" i="1" a="1"/>
  <c r="G1444" i="1" s="1"/>
  <c r="G1443" i="1" a="1"/>
  <c r="G1443" i="1" s="1"/>
  <c r="G1442" i="1" a="1"/>
  <c r="G1442" i="1" s="1"/>
  <c r="G1441" i="1" a="1"/>
  <c r="G1441" i="1" s="1"/>
  <c r="G1440" i="1" a="1"/>
  <c r="G1440" i="1" s="1"/>
  <c r="G1439" i="1" a="1"/>
  <c r="G1439" i="1" s="1"/>
  <c r="G1438" i="1" a="1"/>
  <c r="G1438" i="1" s="1"/>
  <c r="G1437" i="1" a="1"/>
  <c r="G1437" i="1" s="1"/>
  <c r="G1436" i="1" a="1"/>
  <c r="G1436" i="1" s="1"/>
  <c r="G1435" i="1" a="1"/>
  <c r="G1435" i="1" s="1"/>
  <c r="G1434" i="1" a="1"/>
  <c r="G1434" i="1" s="1"/>
  <c r="G1433" i="1" a="1"/>
  <c r="G1433" i="1" s="1"/>
  <c r="G1432" i="1" a="1"/>
  <c r="G1432" i="1" s="1"/>
  <c r="G1431" i="1" a="1"/>
  <c r="G1431" i="1" s="1"/>
  <c r="G1430" i="1" a="1"/>
  <c r="G1430" i="1" s="1"/>
  <c r="G1429" i="1" a="1"/>
  <c r="G1429" i="1" s="1"/>
  <c r="G1428" i="1" a="1"/>
  <c r="G1428" i="1" s="1"/>
  <c r="G1427" i="1" a="1"/>
  <c r="G1427" i="1" s="1"/>
  <c r="G1426" i="1" a="1"/>
  <c r="G1426" i="1" s="1"/>
  <c r="G1425" i="1" a="1"/>
  <c r="G1425" i="1" s="1"/>
  <c r="G1424" i="1" a="1"/>
  <c r="G1424" i="1" s="1"/>
  <c r="G1423" i="1" a="1"/>
  <c r="G1423" i="1" s="1"/>
  <c r="G1422" i="1" a="1"/>
  <c r="G1422" i="1" s="1"/>
  <c r="G1421" i="1" a="1"/>
  <c r="G1421" i="1" s="1"/>
  <c r="G1420" i="1" a="1"/>
  <c r="G1420" i="1" s="1"/>
  <c r="G1419" i="1" a="1"/>
  <c r="G1419" i="1" s="1"/>
  <c r="G1418" i="1" a="1"/>
  <c r="G1418" i="1" s="1"/>
  <c r="G1417" i="1" a="1"/>
  <c r="G1417" i="1" s="1"/>
  <c r="G1416" i="1" a="1"/>
  <c r="G1416" i="1" s="1"/>
  <c r="G1415" i="1" a="1"/>
  <c r="G1415" i="1" s="1"/>
  <c r="G1414" i="1" a="1"/>
  <c r="G1414" i="1" s="1"/>
  <c r="G1413" i="1" a="1"/>
  <c r="G1413" i="1"/>
  <c r="G1412" i="1" a="1"/>
  <c r="G1412" i="1" s="1"/>
  <c r="G1411" i="1" a="1"/>
  <c r="G1411" i="1" s="1"/>
  <c r="G1410" i="1" a="1"/>
  <c r="G1410" i="1" s="1"/>
  <c r="G1409" i="1" a="1"/>
  <c r="G1409" i="1" s="1"/>
  <c r="G1408" i="1" a="1"/>
  <c r="G1408" i="1" s="1"/>
  <c r="G1407" i="1" a="1"/>
  <c r="G1407" i="1" s="1"/>
  <c r="G1406" i="1" a="1"/>
  <c r="G1406" i="1" s="1"/>
  <c r="G1405" i="1" a="1"/>
  <c r="G1405" i="1"/>
  <c r="G1404" i="1" a="1"/>
  <c r="G1404" i="1" s="1"/>
  <c r="G1403" i="1" a="1"/>
  <c r="G1403" i="1" s="1"/>
  <c r="G1402" i="1" a="1"/>
  <c r="G1402" i="1" s="1"/>
  <c r="G1401" i="1" a="1"/>
  <c r="G1401" i="1" s="1"/>
  <c r="G1400" i="1" a="1"/>
  <c r="G1400" i="1" s="1"/>
  <c r="G1399" i="1" a="1"/>
  <c r="G1399" i="1" s="1"/>
  <c r="G1398" i="1" a="1"/>
  <c r="G1398" i="1" s="1"/>
  <c r="G1397" i="1" a="1"/>
  <c r="G1397" i="1" s="1"/>
  <c r="G1396" i="1" a="1"/>
  <c r="G1396" i="1" s="1"/>
  <c r="G1395" i="1" a="1"/>
  <c r="G1395" i="1" s="1"/>
  <c r="G1394" i="1" a="1"/>
  <c r="G1394" i="1" s="1"/>
  <c r="G1393" i="1" a="1"/>
  <c r="G1393" i="1" s="1"/>
  <c r="G1392" i="1" a="1"/>
  <c r="G1392" i="1" s="1"/>
  <c r="G1391" i="1" a="1"/>
  <c r="G1391" i="1" s="1"/>
  <c r="G1390" i="1" a="1"/>
  <c r="G1390" i="1" s="1"/>
  <c r="G1389" i="1" a="1"/>
  <c r="G1389" i="1" s="1"/>
  <c r="G1388" i="1" a="1"/>
  <c r="G1388" i="1" s="1"/>
  <c r="G1387" i="1" a="1"/>
  <c r="G1387" i="1" s="1"/>
  <c r="G1386" i="1" a="1"/>
  <c r="G1386" i="1" s="1"/>
  <c r="G1385" i="1" a="1"/>
  <c r="G1385" i="1" s="1"/>
  <c r="G1384" i="1" a="1"/>
  <c r="G1384" i="1" s="1"/>
  <c r="G1383" i="1" a="1"/>
  <c r="G1383" i="1" s="1"/>
  <c r="G1382" i="1" a="1"/>
  <c r="G1382" i="1" s="1"/>
  <c r="G1381" i="1" a="1"/>
  <c r="G1381" i="1" s="1"/>
  <c r="G1380" i="1" a="1"/>
  <c r="G1380" i="1" s="1"/>
  <c r="G1379" i="1" a="1"/>
  <c r="G1379" i="1" s="1"/>
  <c r="G1378" i="1" a="1"/>
  <c r="G1378" i="1" s="1"/>
  <c r="G1377" i="1" a="1"/>
  <c r="G1377" i="1" s="1"/>
  <c r="G1376" i="1" a="1"/>
  <c r="G1376" i="1" s="1"/>
  <c r="G1375" i="1" a="1"/>
  <c r="G1375" i="1" s="1"/>
  <c r="G1374" i="1" a="1"/>
  <c r="G1374" i="1" s="1"/>
  <c r="G1373" i="1" a="1"/>
  <c r="G1373" i="1" s="1"/>
  <c r="G1372" i="1" a="1"/>
  <c r="G1372" i="1" s="1"/>
  <c r="G1371" i="1" a="1"/>
  <c r="G1371" i="1" s="1"/>
  <c r="G1370" i="1" a="1"/>
  <c r="G1370" i="1"/>
  <c r="G1369" i="1" a="1"/>
  <c r="G1369" i="1" s="1"/>
  <c r="G1368" i="1" a="1"/>
  <c r="G1368" i="1" s="1"/>
  <c r="G1367" i="1" a="1"/>
  <c r="G1367" i="1" s="1"/>
  <c r="G1366" i="1" a="1"/>
  <c r="G1366" i="1" s="1"/>
  <c r="G1365" i="1" a="1"/>
  <c r="G1365" i="1" s="1"/>
  <c r="G1364" i="1" a="1"/>
  <c r="G1364" i="1" s="1"/>
  <c r="G1363" i="1" a="1"/>
  <c r="G1363" i="1" s="1"/>
  <c r="G1362" i="1" a="1"/>
  <c r="G1362" i="1" s="1"/>
  <c r="G1361" i="1" a="1"/>
  <c r="G1361" i="1" s="1"/>
  <c r="G1360" i="1" a="1"/>
  <c r="G1360" i="1" s="1"/>
  <c r="G1359" i="1" a="1"/>
  <c r="G1359" i="1" s="1"/>
  <c r="G1358" i="1" a="1"/>
  <c r="G1358" i="1" s="1"/>
  <c r="G1357" i="1" a="1"/>
  <c r="G1357" i="1" s="1"/>
  <c r="G1356" i="1" a="1"/>
  <c r="G1356" i="1" s="1"/>
  <c r="G1355" i="1" a="1"/>
  <c r="G1355" i="1" s="1"/>
  <c r="G1354" i="1" a="1"/>
  <c r="G1354" i="1" s="1"/>
  <c r="G1353" i="1" a="1"/>
  <c r="G1353" i="1" s="1"/>
  <c r="G1352" i="1" a="1"/>
  <c r="G1352" i="1" s="1"/>
  <c r="G1351" i="1" a="1"/>
  <c r="G1351" i="1" s="1"/>
  <c r="G1350" i="1" a="1"/>
  <c r="G1350" i="1" s="1"/>
  <c r="G1349" i="1" a="1"/>
  <c r="G1349" i="1" s="1"/>
  <c r="G1348" i="1" a="1"/>
  <c r="G1348" i="1" s="1"/>
  <c r="G1347" i="1" a="1"/>
  <c r="G1347" i="1" s="1"/>
  <c r="G1346" i="1" a="1"/>
  <c r="G1346" i="1" s="1"/>
  <c r="G1345" i="1" a="1"/>
  <c r="G1345" i="1" s="1"/>
  <c r="G1344" i="1" a="1"/>
  <c r="G1344" i="1" s="1"/>
  <c r="G1343" i="1" a="1"/>
  <c r="G1343" i="1" s="1"/>
  <c r="G1342" i="1" a="1"/>
  <c r="G1342" i="1" s="1"/>
  <c r="G1341" i="1" a="1"/>
  <c r="G1341" i="1" s="1"/>
  <c r="G1340" i="1" a="1"/>
  <c r="G1340" i="1" s="1"/>
  <c r="G1339" i="1" a="1"/>
  <c r="G1339" i="1" s="1"/>
  <c r="G1338" i="1" a="1"/>
  <c r="G1338" i="1" s="1"/>
  <c r="G1337" i="1" a="1"/>
  <c r="G1337" i="1" s="1"/>
  <c r="G1336" i="1" a="1"/>
  <c r="G1336" i="1" s="1"/>
  <c r="G1335" i="1" a="1"/>
  <c r="G1335" i="1" s="1"/>
  <c r="G1334" i="1" a="1"/>
  <c r="G1334" i="1" s="1"/>
  <c r="G1333" i="1" a="1"/>
  <c r="G1333" i="1" s="1"/>
  <c r="G1332" i="1" a="1"/>
  <c r="G1332" i="1" s="1"/>
  <c r="G1331" i="1" a="1"/>
  <c r="G1331" i="1" s="1"/>
  <c r="G1330" i="1" a="1"/>
  <c r="G1330" i="1" s="1"/>
  <c r="G1329" i="1" a="1"/>
  <c r="G1329" i="1" s="1"/>
  <c r="G1328" i="1" a="1"/>
  <c r="G1328" i="1" s="1"/>
  <c r="G1327" i="1" a="1"/>
  <c r="G1327" i="1" s="1"/>
  <c r="G1326" i="1" a="1"/>
  <c r="G1326" i="1" s="1"/>
  <c r="G1325" i="1" a="1"/>
  <c r="G1325" i="1" s="1"/>
  <c r="G1324" i="1" a="1"/>
  <c r="G1324" i="1" s="1"/>
  <c r="G1323" i="1" a="1"/>
  <c r="G1323" i="1" s="1"/>
  <c r="G1322" i="1" a="1"/>
  <c r="G1322" i="1" s="1"/>
  <c r="G1321" i="1" a="1"/>
  <c r="G1321" i="1" s="1"/>
  <c r="G1320" i="1" a="1"/>
  <c r="G1320" i="1" s="1"/>
  <c r="H1320" i="1" s="1"/>
  <c r="I1320" i="1" s="1"/>
  <c r="J1321" i="1" s="1"/>
  <c r="G1319" i="1" a="1"/>
  <c r="G1319" i="1" s="1"/>
  <c r="G1318" i="1" a="1"/>
  <c r="G1318" i="1" s="1"/>
  <c r="G1317" i="1" a="1"/>
  <c r="G1317" i="1" s="1"/>
  <c r="G1316" i="1" a="1"/>
  <c r="G1316" i="1" s="1"/>
  <c r="G1315" i="1" a="1"/>
  <c r="G1315" i="1" s="1"/>
  <c r="G1314" i="1" a="1"/>
  <c r="G1314" i="1" s="1"/>
  <c r="G1313" i="1" a="1"/>
  <c r="G1313" i="1" s="1"/>
  <c r="G1312" i="1" a="1"/>
  <c r="G1312" i="1" s="1"/>
  <c r="G1311" i="1" a="1"/>
  <c r="G1311" i="1" s="1"/>
  <c r="G1310" i="1" a="1"/>
  <c r="G1310" i="1" s="1"/>
  <c r="G1309" i="1" a="1"/>
  <c r="G1309" i="1" s="1"/>
  <c r="G1308" i="1" a="1"/>
  <c r="G1308" i="1" s="1"/>
  <c r="G1307" i="1" a="1"/>
  <c r="G1307" i="1" s="1"/>
  <c r="G1306" i="1" a="1"/>
  <c r="G1306" i="1" s="1"/>
  <c r="G1305" i="1" a="1"/>
  <c r="G1305" i="1" s="1"/>
  <c r="G1304" i="1" a="1"/>
  <c r="G1304" i="1" s="1"/>
  <c r="G1303" i="1" a="1"/>
  <c r="G1303" i="1" s="1"/>
  <c r="G1302" i="1" a="1"/>
  <c r="G1302" i="1" s="1"/>
  <c r="G1301" i="1" a="1"/>
  <c r="G1301" i="1" s="1"/>
  <c r="G1300" i="1" a="1"/>
  <c r="G1300" i="1"/>
  <c r="G1299" i="1" a="1"/>
  <c r="G1299" i="1" s="1"/>
  <c r="G1298" i="1" a="1"/>
  <c r="G1298" i="1" s="1"/>
  <c r="G1297" i="1" a="1"/>
  <c r="G1297" i="1" s="1"/>
  <c r="G1296" i="1" a="1"/>
  <c r="G1296" i="1" s="1"/>
  <c r="G1295" i="1" a="1"/>
  <c r="G1295" i="1" s="1"/>
  <c r="G1294" i="1" a="1"/>
  <c r="G1294" i="1" s="1"/>
  <c r="G1293" i="1" a="1"/>
  <c r="G1293" i="1" s="1"/>
  <c r="G1292" i="1" a="1"/>
  <c r="G1292" i="1" s="1"/>
  <c r="G1291" i="1" a="1"/>
  <c r="G1291" i="1" s="1"/>
  <c r="G1290" i="1" a="1"/>
  <c r="G1290" i="1" s="1"/>
  <c r="G1289" i="1" a="1"/>
  <c r="G1289" i="1" s="1"/>
  <c r="G1288" i="1" a="1"/>
  <c r="G1288" i="1" s="1"/>
  <c r="G1287" i="1" a="1"/>
  <c r="G1287" i="1" s="1"/>
  <c r="G1286" i="1" a="1"/>
  <c r="G1286" i="1" s="1"/>
  <c r="G1285" i="1" a="1"/>
  <c r="G1285" i="1" s="1"/>
  <c r="G1284" i="1" a="1"/>
  <c r="G1284" i="1" s="1"/>
  <c r="G1283" i="1" a="1"/>
  <c r="G1283" i="1" s="1"/>
  <c r="G1282" i="1" a="1"/>
  <c r="G1282" i="1" s="1"/>
  <c r="G1281" i="1" a="1"/>
  <c r="G1281" i="1" s="1"/>
  <c r="G1280" i="1" a="1"/>
  <c r="G1280" i="1" s="1"/>
  <c r="G1279" i="1" a="1"/>
  <c r="G1279" i="1" s="1"/>
  <c r="G1278" i="1" a="1"/>
  <c r="G1278" i="1" s="1"/>
  <c r="G1277" i="1" a="1"/>
  <c r="G1277" i="1" s="1"/>
  <c r="G1276" i="1" a="1"/>
  <c r="G1276" i="1" s="1"/>
  <c r="G1275" i="1" a="1"/>
  <c r="G1275" i="1" s="1"/>
  <c r="G1274" i="1" a="1"/>
  <c r="G1274" i="1" s="1"/>
  <c r="G1273" i="1" a="1"/>
  <c r="G1273" i="1" s="1"/>
  <c r="G1272" i="1" a="1"/>
  <c r="G1272" i="1" s="1"/>
  <c r="G1271" i="1" a="1"/>
  <c r="G1271" i="1" s="1"/>
  <c r="G1270" i="1" a="1"/>
  <c r="G1270" i="1" s="1"/>
  <c r="G1269" i="1" a="1"/>
  <c r="G1269" i="1" s="1"/>
  <c r="G1268" i="1" a="1"/>
  <c r="G1268" i="1" s="1"/>
  <c r="G1267" i="1" a="1"/>
  <c r="G1267" i="1" s="1"/>
  <c r="G1266" i="1" a="1"/>
  <c r="G1266" i="1" s="1"/>
  <c r="G1265" i="1" a="1"/>
  <c r="G1265" i="1" s="1"/>
  <c r="G1264" i="1" a="1"/>
  <c r="G1264" i="1" s="1"/>
  <c r="G1263" i="1" a="1"/>
  <c r="G1263" i="1" s="1"/>
  <c r="G1262" i="1" a="1"/>
  <c r="G1262" i="1" s="1"/>
  <c r="G1261" i="1" a="1"/>
  <c r="G1261" i="1" s="1"/>
  <c r="G1260" i="1" a="1"/>
  <c r="G1260" i="1" s="1"/>
  <c r="G1259" i="1" a="1"/>
  <c r="G1259" i="1" s="1"/>
  <c r="G1258" i="1" a="1"/>
  <c r="G1258" i="1" s="1"/>
  <c r="G1257" i="1" a="1"/>
  <c r="G1257" i="1" s="1"/>
  <c r="G1256" i="1" a="1"/>
  <c r="G1256" i="1" s="1"/>
  <c r="G1255" i="1" a="1"/>
  <c r="G1255" i="1" s="1"/>
  <c r="G1254" i="1" a="1"/>
  <c r="G1254" i="1" s="1"/>
  <c r="G1253" i="1" a="1"/>
  <c r="G1253" i="1" s="1"/>
  <c r="G1252" i="1" a="1"/>
  <c r="G1252" i="1" s="1"/>
  <c r="G1251" i="1" a="1"/>
  <c r="G1251" i="1" s="1"/>
  <c r="G1250" i="1" a="1"/>
  <c r="G1250" i="1" s="1"/>
  <c r="H1250" i="1" s="1"/>
  <c r="I1250" i="1" s="1"/>
  <c r="J1251" i="1" s="1"/>
  <c r="G1249" i="1" a="1"/>
  <c r="G1249" i="1" s="1"/>
  <c r="G1248" i="1" a="1"/>
  <c r="G1248" i="1" s="1"/>
  <c r="G1247" i="1" a="1"/>
  <c r="G1247" i="1" s="1"/>
  <c r="G1246" i="1" a="1"/>
  <c r="G1246" i="1" s="1"/>
  <c r="G5001" i="1" a="1"/>
  <c r="G5001" i="1" s="1"/>
  <c r="G5000" i="1" a="1"/>
  <c r="G5000" i="1" s="1"/>
  <c r="G4999" i="1" a="1"/>
  <c r="G4999" i="1" s="1"/>
  <c r="G4998" i="1" a="1"/>
  <c r="G4998" i="1" s="1"/>
  <c r="G4997" i="1" a="1"/>
  <c r="G4997" i="1" s="1"/>
  <c r="G4996" i="1" a="1"/>
  <c r="G4996" i="1" s="1"/>
  <c r="G4995" i="1" a="1"/>
  <c r="G4995" i="1"/>
  <c r="G4994" i="1" a="1"/>
  <c r="G4994" i="1" s="1"/>
  <c r="G4993" i="1" a="1"/>
  <c r="G4993" i="1" s="1"/>
  <c r="G4992" i="1" a="1"/>
  <c r="G4992" i="1" s="1"/>
  <c r="G4991" i="1" a="1"/>
  <c r="G4991" i="1" s="1"/>
  <c r="G4990" i="1" a="1"/>
  <c r="G4990" i="1" s="1"/>
  <c r="G4989" i="1" a="1"/>
  <c r="G4989" i="1" s="1"/>
  <c r="G4988" i="1" a="1"/>
  <c r="G4988" i="1" s="1"/>
  <c r="G4987" i="1" a="1"/>
  <c r="G4987" i="1" s="1"/>
  <c r="G4986" i="1" a="1"/>
  <c r="G4986" i="1" s="1"/>
  <c r="G4985" i="1" a="1"/>
  <c r="G4985" i="1" s="1"/>
  <c r="G4984" i="1" a="1"/>
  <c r="G4984" i="1" s="1"/>
  <c r="G4983" i="1" a="1"/>
  <c r="G4983" i="1" s="1"/>
  <c r="G4982" i="1" a="1"/>
  <c r="G4982" i="1" s="1"/>
  <c r="G4981" i="1" a="1"/>
  <c r="G4981" i="1" s="1"/>
  <c r="G4980" i="1" a="1"/>
  <c r="G4980" i="1" s="1"/>
  <c r="G4979" i="1" a="1"/>
  <c r="G4979" i="1" s="1"/>
  <c r="G4978" i="1" a="1"/>
  <c r="G4978" i="1" s="1"/>
  <c r="G4977" i="1" a="1"/>
  <c r="G4977" i="1" s="1"/>
  <c r="G4976" i="1" a="1"/>
  <c r="G4976" i="1" s="1"/>
  <c r="G4975" i="1" a="1"/>
  <c r="G4975" i="1" s="1"/>
  <c r="G4974" i="1" a="1"/>
  <c r="G4974" i="1" s="1"/>
  <c r="G4973" i="1" a="1"/>
  <c r="G4973" i="1" s="1"/>
  <c r="G4972" i="1" a="1"/>
  <c r="G4972" i="1" s="1"/>
  <c r="G4971" i="1" a="1"/>
  <c r="G4971" i="1" s="1"/>
  <c r="G4970" i="1" a="1"/>
  <c r="G4970" i="1" s="1"/>
  <c r="G4969" i="1" a="1"/>
  <c r="G4969" i="1" s="1"/>
  <c r="G4968" i="1" a="1"/>
  <c r="G4968" i="1" s="1"/>
  <c r="G4967" i="1" a="1"/>
  <c r="G4967" i="1" s="1"/>
  <c r="G4966" i="1" a="1"/>
  <c r="G4966" i="1" s="1"/>
  <c r="G4965" i="1" a="1"/>
  <c r="G4965" i="1" s="1"/>
  <c r="G4964" i="1" a="1"/>
  <c r="G4964" i="1" s="1"/>
  <c r="G4963" i="1" a="1"/>
  <c r="G4963" i="1" s="1"/>
  <c r="G4962" i="1" a="1"/>
  <c r="G4962" i="1" s="1"/>
  <c r="G4961" i="1" a="1"/>
  <c r="G4961" i="1" s="1"/>
  <c r="G4960" i="1" a="1"/>
  <c r="G4960" i="1" s="1"/>
  <c r="G4959" i="1" a="1"/>
  <c r="G4959" i="1" s="1"/>
  <c r="G4958" i="1" a="1"/>
  <c r="G4958" i="1" s="1"/>
  <c r="G4957" i="1" a="1"/>
  <c r="G4957" i="1"/>
  <c r="G4956" i="1" a="1"/>
  <c r="G4956" i="1" s="1"/>
  <c r="G4955" i="1" a="1"/>
  <c r="G4955" i="1" s="1"/>
  <c r="G4954" i="1" a="1"/>
  <c r="G4954" i="1" s="1"/>
  <c r="G4953" i="1" a="1"/>
  <c r="G4953" i="1" s="1"/>
  <c r="G4952" i="1" a="1"/>
  <c r="G4952" i="1" s="1"/>
  <c r="G4951" i="1" a="1"/>
  <c r="G4951" i="1" s="1"/>
  <c r="G4950" i="1" a="1"/>
  <c r="G4950" i="1" s="1"/>
  <c r="G4949" i="1" a="1"/>
  <c r="G4949" i="1" s="1"/>
  <c r="G4948" i="1" a="1"/>
  <c r="G4948" i="1" s="1"/>
  <c r="G4947" i="1" a="1"/>
  <c r="G4947" i="1" s="1"/>
  <c r="G4946" i="1" a="1"/>
  <c r="G4946" i="1" s="1"/>
  <c r="G4945" i="1" a="1"/>
  <c r="G4945" i="1" s="1"/>
  <c r="G4944" i="1" a="1"/>
  <c r="G4944" i="1" s="1"/>
  <c r="G4943" i="1" a="1"/>
  <c r="G4943" i="1" s="1"/>
  <c r="G4942" i="1" a="1"/>
  <c r="G4942" i="1" s="1"/>
  <c r="G4941" i="1" a="1"/>
  <c r="G4941" i="1" s="1"/>
  <c r="G4940" i="1" a="1"/>
  <c r="G4940" i="1" s="1"/>
  <c r="G4939" i="1" a="1"/>
  <c r="G4939" i="1" s="1"/>
  <c r="G4938" i="1" a="1"/>
  <c r="G4938" i="1" s="1"/>
  <c r="G4937" i="1" a="1"/>
  <c r="G4937" i="1" s="1"/>
  <c r="G4936" i="1" a="1"/>
  <c r="G4936" i="1" s="1"/>
  <c r="G4935" i="1" a="1"/>
  <c r="G4935" i="1"/>
  <c r="G4934" i="1" a="1"/>
  <c r="G4934" i="1" s="1"/>
  <c r="G4933" i="1" a="1"/>
  <c r="G4933" i="1" s="1"/>
  <c r="G4932" i="1" a="1"/>
  <c r="G4932" i="1" s="1"/>
  <c r="G4931" i="1" a="1"/>
  <c r="G4931" i="1" s="1"/>
  <c r="G4930" i="1" a="1"/>
  <c r="G4930" i="1" s="1"/>
  <c r="G4929" i="1" a="1"/>
  <c r="G4929" i="1" s="1"/>
  <c r="G4928" i="1" a="1"/>
  <c r="G4928" i="1" s="1"/>
  <c r="G4927" i="1" a="1"/>
  <c r="G4927" i="1" s="1"/>
  <c r="G4926" i="1" a="1"/>
  <c r="G4926" i="1" s="1"/>
  <c r="G4925" i="1" a="1"/>
  <c r="G4925" i="1" s="1"/>
  <c r="G4924" i="1" a="1"/>
  <c r="G4924" i="1" s="1"/>
  <c r="G4923" i="1" a="1"/>
  <c r="G4923" i="1" s="1"/>
  <c r="G4922" i="1" a="1"/>
  <c r="G4922" i="1" s="1"/>
  <c r="G4921" i="1" a="1"/>
  <c r="G4921" i="1" s="1"/>
  <c r="G4920" i="1" a="1"/>
  <c r="G4920" i="1" s="1"/>
  <c r="G4919" i="1" a="1"/>
  <c r="G4919" i="1" s="1"/>
  <c r="G4918" i="1" a="1"/>
  <c r="G4918" i="1" s="1"/>
  <c r="G4917" i="1" a="1"/>
  <c r="G4917" i="1" s="1"/>
  <c r="G4916" i="1" a="1"/>
  <c r="G4916" i="1" s="1"/>
  <c r="G4915" i="1" a="1"/>
  <c r="G4915" i="1" s="1"/>
  <c r="G4914" i="1" a="1"/>
  <c r="G4914" i="1" s="1"/>
  <c r="G4913" i="1" a="1"/>
  <c r="G4913" i="1" s="1"/>
  <c r="G4912" i="1" a="1"/>
  <c r="G4912" i="1" s="1"/>
  <c r="G4911" i="1" a="1"/>
  <c r="G4911" i="1" s="1"/>
  <c r="G4910" i="1" a="1"/>
  <c r="G4910" i="1" s="1"/>
  <c r="G4909" i="1" a="1"/>
  <c r="G4909" i="1" s="1"/>
  <c r="G4908" i="1" a="1"/>
  <c r="G4908" i="1" s="1"/>
  <c r="G4907" i="1" a="1"/>
  <c r="G4907" i="1" s="1"/>
  <c r="G4906" i="1" a="1"/>
  <c r="G4906" i="1"/>
  <c r="G4905" i="1" a="1"/>
  <c r="G4905" i="1" s="1"/>
  <c r="G4904" i="1" a="1"/>
  <c r="G4904" i="1" s="1"/>
  <c r="G4903" i="1" a="1"/>
  <c r="G4903" i="1" s="1"/>
  <c r="G4902" i="1" a="1"/>
  <c r="G4902" i="1" s="1"/>
  <c r="G4901" i="1" a="1"/>
  <c r="G4901" i="1" s="1"/>
  <c r="G4900" i="1" a="1"/>
  <c r="G4900" i="1"/>
  <c r="G4899" i="1" a="1"/>
  <c r="G4899" i="1" s="1"/>
  <c r="G4898" i="1" a="1"/>
  <c r="G4898" i="1" s="1"/>
  <c r="G4897" i="1" a="1"/>
  <c r="G4897" i="1" s="1"/>
  <c r="G4896" i="1" a="1"/>
  <c r="G4896" i="1" s="1"/>
  <c r="G4895" i="1" a="1"/>
  <c r="G4895" i="1" s="1"/>
  <c r="G4894" i="1" a="1"/>
  <c r="G4894" i="1" s="1"/>
  <c r="G4893" i="1" a="1"/>
  <c r="G4893" i="1" s="1"/>
  <c r="G4892" i="1" a="1"/>
  <c r="G4892" i="1" s="1"/>
  <c r="G4891" i="1" a="1"/>
  <c r="G4891" i="1" s="1"/>
  <c r="G4890" i="1" a="1"/>
  <c r="G4890" i="1" s="1"/>
  <c r="G4889" i="1" a="1"/>
  <c r="G4889" i="1" s="1"/>
  <c r="G4888" i="1" a="1"/>
  <c r="G4888" i="1" s="1"/>
  <c r="G4887" i="1" a="1"/>
  <c r="G4887" i="1" s="1"/>
  <c r="G4886" i="1" a="1"/>
  <c r="G4886" i="1" s="1"/>
  <c r="G4885" i="1" a="1"/>
  <c r="G4885" i="1" s="1"/>
  <c r="G4884" i="1" a="1"/>
  <c r="G4884" i="1" s="1"/>
  <c r="G4883" i="1" a="1"/>
  <c r="G4883" i="1" s="1"/>
  <c r="G4882" i="1" a="1"/>
  <c r="G4882" i="1" s="1"/>
  <c r="G4881" i="1" a="1"/>
  <c r="G4881" i="1" s="1"/>
  <c r="G4880" i="1" a="1"/>
  <c r="G4880" i="1" s="1"/>
  <c r="G4879" i="1" a="1"/>
  <c r="G4879" i="1" s="1"/>
  <c r="G4878" i="1" a="1"/>
  <c r="G4878" i="1" s="1"/>
  <c r="G4877" i="1" a="1"/>
  <c r="G4877" i="1" s="1"/>
  <c r="G4876" i="1" a="1"/>
  <c r="G4876" i="1" s="1"/>
  <c r="G4875" i="1" a="1"/>
  <c r="G4875" i="1" s="1"/>
  <c r="G4874" i="1" a="1"/>
  <c r="G4874" i="1" s="1"/>
  <c r="G4873" i="1" a="1"/>
  <c r="G4873" i="1" s="1"/>
  <c r="G4872" i="1" a="1"/>
  <c r="G4872" i="1" s="1"/>
  <c r="G4871" i="1" a="1"/>
  <c r="G4871" i="1" s="1"/>
  <c r="G4870" i="1" a="1"/>
  <c r="G4870" i="1" s="1"/>
  <c r="G4869" i="1" a="1"/>
  <c r="G4869" i="1" s="1"/>
  <c r="G4868" i="1" a="1"/>
  <c r="G4868" i="1" s="1"/>
  <c r="G4867" i="1" a="1"/>
  <c r="G4867" i="1" s="1"/>
  <c r="G4866" i="1" a="1"/>
  <c r="G4866" i="1" s="1"/>
  <c r="G4865" i="1" a="1"/>
  <c r="G4865" i="1" s="1"/>
  <c r="G4864" i="1" a="1"/>
  <c r="G4864" i="1" s="1"/>
  <c r="G4863" i="1" a="1"/>
  <c r="G4863" i="1" s="1"/>
  <c r="G4862" i="1" a="1"/>
  <c r="G4862" i="1" s="1"/>
  <c r="G4861" i="1" a="1"/>
  <c r="G4861" i="1" s="1"/>
  <c r="G4860" i="1" a="1"/>
  <c r="G4860" i="1" s="1"/>
  <c r="G4859" i="1" a="1"/>
  <c r="G4859" i="1" s="1"/>
  <c r="G4858" i="1" a="1"/>
  <c r="G4858" i="1" s="1"/>
  <c r="G4857" i="1" a="1"/>
  <c r="G4857" i="1" s="1"/>
  <c r="G4856" i="1" a="1"/>
  <c r="G4856" i="1" s="1"/>
  <c r="G4855" i="1" a="1"/>
  <c r="G4855" i="1" s="1"/>
  <c r="G4854" i="1" a="1"/>
  <c r="G4854" i="1" s="1"/>
  <c r="G4853" i="1" a="1"/>
  <c r="G4853" i="1" s="1"/>
  <c r="G4852" i="1" a="1"/>
  <c r="G4852" i="1" s="1"/>
  <c r="G4851" i="1" a="1"/>
  <c r="G4851" i="1" s="1"/>
  <c r="G4850" i="1" a="1"/>
  <c r="G4850" i="1" s="1"/>
  <c r="G4849" i="1" a="1"/>
  <c r="G4849" i="1" s="1"/>
  <c r="G4848" i="1" a="1"/>
  <c r="G4848" i="1" s="1"/>
  <c r="G4847" i="1" a="1"/>
  <c r="G4847" i="1" s="1"/>
  <c r="G4846" i="1" a="1"/>
  <c r="G4846" i="1" s="1"/>
  <c r="G4845" i="1" a="1"/>
  <c r="G4845" i="1" s="1"/>
  <c r="G4844" i="1" a="1"/>
  <c r="G4844" i="1" s="1"/>
  <c r="G4843" i="1" a="1"/>
  <c r="G4843" i="1" s="1"/>
  <c r="G4842" i="1" a="1"/>
  <c r="G4842" i="1" s="1"/>
  <c r="G4841" i="1" a="1"/>
  <c r="G4841" i="1" s="1"/>
  <c r="G4840" i="1" a="1"/>
  <c r="G4840" i="1" s="1"/>
  <c r="G4839" i="1" a="1"/>
  <c r="G4839" i="1" s="1"/>
  <c r="G4838" i="1" a="1"/>
  <c r="G4838" i="1" s="1"/>
  <c r="G4837" i="1" a="1"/>
  <c r="G4837" i="1" s="1"/>
  <c r="G4836" i="1" a="1"/>
  <c r="G4836" i="1" s="1"/>
  <c r="G4835" i="1" a="1"/>
  <c r="G4835" i="1" s="1"/>
  <c r="G4834" i="1" a="1"/>
  <c r="G4834" i="1" s="1"/>
  <c r="G4833" i="1" a="1"/>
  <c r="G4833" i="1" s="1"/>
  <c r="G4832" i="1" a="1"/>
  <c r="G4832" i="1" s="1"/>
  <c r="G4831" i="1" a="1"/>
  <c r="G4831" i="1" s="1"/>
  <c r="G4830" i="1" a="1"/>
  <c r="G4830" i="1" s="1"/>
  <c r="G4829" i="1" a="1"/>
  <c r="G4829" i="1" s="1"/>
  <c r="G4828" i="1" a="1"/>
  <c r="G4828" i="1" s="1"/>
  <c r="G4827" i="1" a="1"/>
  <c r="G4827" i="1" s="1"/>
  <c r="G4826" i="1" a="1"/>
  <c r="G4826" i="1" s="1"/>
  <c r="G4825" i="1" a="1"/>
  <c r="G4825" i="1" s="1"/>
  <c r="G4824" i="1" a="1"/>
  <c r="G4824" i="1" s="1"/>
  <c r="G4823" i="1" a="1"/>
  <c r="G4823" i="1" s="1"/>
  <c r="G4822" i="1" a="1"/>
  <c r="G4822" i="1" s="1"/>
  <c r="G4821" i="1" a="1"/>
  <c r="G4821" i="1" s="1"/>
  <c r="G4820" i="1" a="1"/>
  <c r="G4820" i="1" s="1"/>
  <c r="G4819" i="1" a="1"/>
  <c r="G4819" i="1" s="1"/>
  <c r="G4818" i="1" a="1"/>
  <c r="G4818" i="1" s="1"/>
  <c r="G4817" i="1" a="1"/>
  <c r="G4817" i="1" s="1"/>
  <c r="G4816" i="1" a="1"/>
  <c r="G4816" i="1" s="1"/>
  <c r="G4815" i="1" a="1"/>
  <c r="G4815" i="1" s="1"/>
  <c r="G4814" i="1" a="1"/>
  <c r="G4814" i="1" s="1"/>
  <c r="G4813" i="1" a="1"/>
  <c r="G4813" i="1" s="1"/>
  <c r="G4812" i="1" a="1"/>
  <c r="G4812" i="1" s="1"/>
  <c r="G4811" i="1" a="1"/>
  <c r="G4811" i="1" s="1"/>
  <c r="G4810" i="1" a="1"/>
  <c r="G4810" i="1" s="1"/>
  <c r="G4809" i="1" a="1"/>
  <c r="G4809" i="1" s="1"/>
  <c r="G4808" i="1" a="1"/>
  <c r="G4808" i="1" s="1"/>
  <c r="G4807" i="1" a="1"/>
  <c r="G4807" i="1" s="1"/>
  <c r="G4806" i="1" a="1"/>
  <c r="G4806" i="1"/>
  <c r="G4805" i="1" a="1"/>
  <c r="G4805" i="1" s="1"/>
  <c r="G4804" i="1" a="1"/>
  <c r="G4804" i="1" s="1"/>
  <c r="G4803" i="1" a="1"/>
  <c r="G4803" i="1" s="1"/>
  <c r="G4802" i="1" a="1"/>
  <c r="G4802" i="1" s="1"/>
  <c r="G4801" i="1" a="1"/>
  <c r="G4801" i="1" s="1"/>
  <c r="G4800" i="1" a="1"/>
  <c r="G4800" i="1" s="1"/>
  <c r="G4799" i="1" a="1"/>
  <c r="G4799" i="1" s="1"/>
  <c r="G4798" i="1" a="1"/>
  <c r="G4798" i="1" s="1"/>
  <c r="G4797" i="1" a="1"/>
  <c r="G4797" i="1" s="1"/>
  <c r="G4796" i="1" a="1"/>
  <c r="G4796" i="1" s="1"/>
  <c r="G4795" i="1" a="1"/>
  <c r="G4795" i="1" s="1"/>
  <c r="G4794" i="1" a="1"/>
  <c r="G4794" i="1" s="1"/>
  <c r="G4793" i="1" a="1"/>
  <c r="G4793" i="1" s="1"/>
  <c r="G4792" i="1" a="1"/>
  <c r="G4792" i="1" s="1"/>
  <c r="G4791" i="1" a="1"/>
  <c r="G4791" i="1" s="1"/>
  <c r="G4790" i="1" a="1"/>
  <c r="G4790" i="1" s="1"/>
  <c r="G4789" i="1" a="1"/>
  <c r="G4789" i="1" s="1"/>
  <c r="G4788" i="1" a="1"/>
  <c r="G4788" i="1" s="1"/>
  <c r="G4787" i="1" a="1"/>
  <c r="G4787" i="1" s="1"/>
  <c r="G4786" i="1" a="1"/>
  <c r="G4786" i="1" s="1"/>
  <c r="G4785" i="1" a="1"/>
  <c r="G4785" i="1" s="1"/>
  <c r="G4784" i="1" a="1"/>
  <c r="G4784" i="1" s="1"/>
  <c r="G4783" i="1" a="1"/>
  <c r="G4783" i="1" s="1"/>
  <c r="G4782" i="1" a="1"/>
  <c r="G4782" i="1" s="1"/>
  <c r="G4781" i="1" a="1"/>
  <c r="G4781" i="1" s="1"/>
  <c r="G4780" i="1" a="1"/>
  <c r="G4780" i="1" s="1"/>
  <c r="G4779" i="1" a="1"/>
  <c r="G4779" i="1" s="1"/>
  <c r="G4778" i="1" a="1"/>
  <c r="G4778" i="1" s="1"/>
  <c r="G4777" i="1" a="1"/>
  <c r="G4777" i="1" s="1"/>
  <c r="G4776" i="1" a="1"/>
  <c r="G4776" i="1" s="1"/>
  <c r="G4775" i="1" a="1"/>
  <c r="G4775" i="1" s="1"/>
  <c r="G4774" i="1" a="1"/>
  <c r="G4774" i="1" s="1"/>
  <c r="G4773" i="1" a="1"/>
  <c r="G4773" i="1" s="1"/>
  <c r="G4772" i="1" a="1"/>
  <c r="G4772" i="1"/>
  <c r="G4771" i="1" a="1"/>
  <c r="G4771" i="1" s="1"/>
  <c r="G4770" i="1" a="1"/>
  <c r="G4770" i="1" s="1"/>
  <c r="G4769" i="1" a="1"/>
  <c r="G4769" i="1" s="1"/>
  <c r="G4768" i="1" a="1"/>
  <c r="G4768" i="1" s="1"/>
  <c r="G4767" i="1" a="1"/>
  <c r="G4767" i="1" s="1"/>
  <c r="G4766" i="1" a="1"/>
  <c r="G4766" i="1" s="1"/>
  <c r="G4765" i="1" a="1"/>
  <c r="G4765" i="1" s="1"/>
  <c r="G4764" i="1" a="1"/>
  <c r="G4764" i="1" s="1"/>
  <c r="G4763" i="1" a="1"/>
  <c r="G4763" i="1" s="1"/>
  <c r="G4762" i="1" a="1"/>
  <c r="G4762" i="1" s="1"/>
  <c r="G4761" i="1" a="1"/>
  <c r="G4761" i="1" s="1"/>
  <c r="G4760" i="1" a="1"/>
  <c r="G4760" i="1" s="1"/>
  <c r="G4759" i="1" a="1"/>
  <c r="G4759" i="1" s="1"/>
  <c r="G4758" i="1" a="1"/>
  <c r="G4758" i="1" s="1"/>
  <c r="G4757" i="1" a="1"/>
  <c r="G4757" i="1" s="1"/>
  <c r="G4756" i="1" a="1"/>
  <c r="G4756" i="1" s="1"/>
  <c r="G4755" i="1" a="1"/>
  <c r="G4755" i="1" s="1"/>
  <c r="G4754" i="1" a="1"/>
  <c r="G4754" i="1" s="1"/>
  <c r="G4753" i="1" a="1"/>
  <c r="G4753" i="1" s="1"/>
  <c r="G4752" i="1" a="1"/>
  <c r="G4752" i="1" s="1"/>
  <c r="G4751" i="1" a="1"/>
  <c r="G4751" i="1" s="1"/>
  <c r="G4750" i="1" a="1"/>
  <c r="G4750" i="1" s="1"/>
  <c r="G4749" i="1" a="1"/>
  <c r="G4749" i="1" s="1"/>
  <c r="G4748" i="1" a="1"/>
  <c r="G4748" i="1" s="1"/>
  <c r="G4747" i="1" a="1"/>
  <c r="G4747" i="1" s="1"/>
  <c r="G4746" i="1" a="1"/>
  <c r="G4746" i="1" s="1"/>
  <c r="G4745" i="1" a="1"/>
  <c r="G4745" i="1"/>
  <c r="G4744" i="1" a="1"/>
  <c r="G4744" i="1" s="1"/>
  <c r="G4743" i="1" a="1"/>
  <c r="G4743" i="1" s="1"/>
  <c r="G4742" i="1" a="1"/>
  <c r="G4742" i="1" s="1"/>
  <c r="G4741" i="1" a="1"/>
  <c r="G4741" i="1" s="1"/>
  <c r="G4740" i="1" a="1"/>
  <c r="G4740" i="1" s="1"/>
  <c r="G4739" i="1" a="1"/>
  <c r="G4739" i="1" s="1"/>
  <c r="G4738" i="1" a="1"/>
  <c r="G4738" i="1" s="1"/>
  <c r="G4737" i="1" a="1"/>
  <c r="G4737" i="1" s="1"/>
  <c r="G4736" i="1" a="1"/>
  <c r="G4736" i="1" s="1"/>
  <c r="G4735" i="1" a="1"/>
  <c r="G4735" i="1" s="1"/>
  <c r="G4734" i="1" a="1"/>
  <c r="G4734" i="1" s="1"/>
  <c r="G4733" i="1" a="1"/>
  <c r="G4733" i="1" s="1"/>
  <c r="G4732" i="1" a="1"/>
  <c r="G4732" i="1" s="1"/>
  <c r="G4731" i="1" a="1"/>
  <c r="G4731" i="1" s="1"/>
  <c r="G4730" i="1" a="1"/>
  <c r="G4730" i="1" s="1"/>
  <c r="G4729" i="1" a="1"/>
  <c r="G4729" i="1" s="1"/>
  <c r="G4728" i="1" a="1"/>
  <c r="G4728" i="1" s="1"/>
  <c r="G4727" i="1" a="1"/>
  <c r="G4727" i="1" s="1"/>
  <c r="G4726" i="1" a="1"/>
  <c r="G4726" i="1" s="1"/>
  <c r="G4725" i="1" a="1"/>
  <c r="G4725" i="1" s="1"/>
  <c r="G4724" i="1" a="1"/>
  <c r="G4724" i="1" s="1"/>
  <c r="G4723" i="1" a="1"/>
  <c r="G4723" i="1" s="1"/>
  <c r="G4722" i="1" a="1"/>
  <c r="G4722" i="1" s="1"/>
  <c r="G4721" i="1" a="1"/>
  <c r="G4721" i="1" s="1"/>
  <c r="G4720" i="1" a="1"/>
  <c r="G4720" i="1" s="1"/>
  <c r="G4719" i="1" a="1"/>
  <c r="G4719" i="1" s="1"/>
  <c r="G4718" i="1" a="1"/>
  <c r="G4718" i="1" s="1"/>
  <c r="G4717" i="1" a="1"/>
  <c r="G4717" i="1" s="1"/>
  <c r="G4716" i="1" a="1"/>
  <c r="G4716" i="1" s="1"/>
  <c r="G4715" i="1" a="1"/>
  <c r="G4715" i="1" s="1"/>
  <c r="G4714" i="1" a="1"/>
  <c r="G4714" i="1" s="1"/>
  <c r="G4713" i="1" a="1"/>
  <c r="G4713" i="1" s="1"/>
  <c r="G4712" i="1" a="1"/>
  <c r="G4712" i="1" s="1"/>
  <c r="G4711" i="1" a="1"/>
  <c r="G4711" i="1" s="1"/>
  <c r="H4711" i="1" s="1"/>
  <c r="I4711" i="1" s="1"/>
  <c r="J4712" i="1" s="1"/>
  <c r="G4710" i="1" a="1"/>
  <c r="G4710" i="1" s="1"/>
  <c r="G4709" i="1" a="1"/>
  <c r="G4709" i="1" s="1"/>
  <c r="G4708" i="1" a="1"/>
  <c r="G4708" i="1" s="1"/>
  <c r="G4707" i="1" a="1"/>
  <c r="G4707" i="1" s="1"/>
  <c r="G4706" i="1" a="1"/>
  <c r="G4706" i="1" s="1"/>
  <c r="G4705" i="1" a="1"/>
  <c r="G4705" i="1" s="1"/>
  <c r="G4704" i="1" a="1"/>
  <c r="G4704" i="1" s="1"/>
  <c r="G4703" i="1" a="1"/>
  <c r="G4703" i="1" s="1"/>
  <c r="G4702" i="1" a="1"/>
  <c r="G4702" i="1" s="1"/>
  <c r="G4701" i="1" a="1"/>
  <c r="G4701" i="1" s="1"/>
  <c r="G4700" i="1" a="1"/>
  <c r="G4700" i="1" s="1"/>
  <c r="G4699" i="1" a="1"/>
  <c r="G4699" i="1" s="1"/>
  <c r="G4698" i="1" a="1"/>
  <c r="G4698" i="1" s="1"/>
  <c r="G4697" i="1" a="1"/>
  <c r="G4697" i="1" s="1"/>
  <c r="G4696" i="1" a="1"/>
  <c r="G4696" i="1" s="1"/>
  <c r="G4695" i="1" a="1"/>
  <c r="G4695" i="1"/>
  <c r="G4694" i="1" a="1"/>
  <c r="G4694" i="1" s="1"/>
  <c r="G4693" i="1" a="1"/>
  <c r="G4693" i="1" s="1"/>
  <c r="G4692" i="1" a="1"/>
  <c r="G4692" i="1" s="1"/>
  <c r="G4691" i="1" a="1"/>
  <c r="G4691" i="1" s="1"/>
  <c r="G4690" i="1" a="1"/>
  <c r="G4690" i="1" s="1"/>
  <c r="G4689" i="1" a="1"/>
  <c r="G4689" i="1" s="1"/>
  <c r="G4688" i="1" a="1"/>
  <c r="G4688" i="1" s="1"/>
  <c r="G4687" i="1" a="1"/>
  <c r="G4687" i="1" s="1"/>
  <c r="G4686" i="1" a="1"/>
  <c r="G4686" i="1" s="1"/>
  <c r="G4685" i="1" a="1"/>
  <c r="G4685" i="1" s="1"/>
  <c r="G4684" i="1" a="1"/>
  <c r="G4684" i="1" s="1"/>
  <c r="G4683" i="1" a="1"/>
  <c r="G4683" i="1" s="1"/>
  <c r="G4682" i="1" a="1"/>
  <c r="G4682" i="1" s="1"/>
  <c r="G4681" i="1" a="1"/>
  <c r="G4681" i="1" s="1"/>
  <c r="G4680" i="1" a="1"/>
  <c r="G4680" i="1" s="1"/>
  <c r="G4679" i="1" a="1"/>
  <c r="G4679" i="1" s="1"/>
  <c r="G4678" i="1" a="1"/>
  <c r="G4678" i="1" s="1"/>
  <c r="G4677" i="1" a="1"/>
  <c r="G4677" i="1" s="1"/>
  <c r="G4676" i="1" a="1"/>
  <c r="G4676" i="1" s="1"/>
  <c r="G4675" i="1" a="1"/>
  <c r="G4675" i="1" s="1"/>
  <c r="G4674" i="1" a="1"/>
  <c r="G4674" i="1" s="1"/>
  <c r="G4673" i="1" a="1"/>
  <c r="G4673" i="1" s="1"/>
  <c r="G4672" i="1" a="1"/>
  <c r="G4672" i="1" s="1"/>
  <c r="G4671" i="1" a="1"/>
  <c r="G4671" i="1" s="1"/>
  <c r="G4670" i="1" a="1"/>
  <c r="G4670" i="1" s="1"/>
  <c r="G4669" i="1" a="1"/>
  <c r="G4669" i="1" s="1"/>
  <c r="G4668" i="1" a="1"/>
  <c r="G4668" i="1" s="1"/>
  <c r="G4667" i="1" a="1"/>
  <c r="G4667" i="1" s="1"/>
  <c r="G4666" i="1" a="1"/>
  <c r="G4666" i="1" s="1"/>
  <c r="G4665" i="1" a="1"/>
  <c r="G4665" i="1" s="1"/>
  <c r="G4664" i="1" a="1"/>
  <c r="G4664" i="1" s="1"/>
  <c r="G4663" i="1" a="1"/>
  <c r="G4663" i="1" s="1"/>
  <c r="G4662" i="1" a="1"/>
  <c r="G4662" i="1" s="1"/>
  <c r="G4661" i="1" a="1"/>
  <c r="G4661" i="1" s="1"/>
  <c r="G4660" i="1" a="1"/>
  <c r="G4660" i="1" s="1"/>
  <c r="G4659" i="1" a="1"/>
  <c r="G4659" i="1" s="1"/>
  <c r="G4658" i="1" a="1"/>
  <c r="G4658" i="1" s="1"/>
  <c r="G4657" i="1" a="1"/>
  <c r="G4657" i="1" s="1"/>
  <c r="G4656" i="1" a="1"/>
  <c r="G4656" i="1" s="1"/>
  <c r="G4655" i="1" a="1"/>
  <c r="G4655" i="1" s="1"/>
  <c r="G4654" i="1" a="1"/>
  <c r="G4654" i="1" s="1"/>
  <c r="G4653" i="1" a="1"/>
  <c r="G4653" i="1" s="1"/>
  <c r="G4652" i="1" a="1"/>
  <c r="G4652" i="1" s="1"/>
  <c r="G4651" i="1" a="1"/>
  <c r="G4651" i="1" s="1"/>
  <c r="G4650" i="1" a="1"/>
  <c r="G4650" i="1"/>
  <c r="G4649" i="1" a="1"/>
  <c r="G4649" i="1" s="1"/>
  <c r="G4648" i="1" a="1"/>
  <c r="G4648" i="1" s="1"/>
  <c r="G4647" i="1" a="1"/>
  <c r="G4647" i="1" s="1"/>
  <c r="G4646" i="1" a="1"/>
  <c r="G4646" i="1" s="1"/>
  <c r="G4645" i="1" a="1"/>
  <c r="G4645" i="1" s="1"/>
  <c r="G4644" i="1" a="1"/>
  <c r="G4644" i="1" s="1"/>
  <c r="G4643" i="1" a="1"/>
  <c r="G4643" i="1" s="1"/>
  <c r="G4642" i="1" a="1"/>
  <c r="G4642" i="1" s="1"/>
  <c r="G4641" i="1" a="1"/>
  <c r="G4641" i="1" s="1"/>
  <c r="G4640" i="1" a="1"/>
  <c r="G4640" i="1" s="1"/>
  <c r="G4639" i="1" a="1"/>
  <c r="G4639" i="1" s="1"/>
  <c r="G4638" i="1" a="1"/>
  <c r="G4638" i="1" s="1"/>
  <c r="G4637" i="1" a="1"/>
  <c r="G4637" i="1" s="1"/>
  <c r="G4636" i="1" a="1"/>
  <c r="G4636" i="1" s="1"/>
  <c r="G4635" i="1" a="1"/>
  <c r="G4635" i="1" s="1"/>
  <c r="G4634" i="1" a="1"/>
  <c r="G4634" i="1"/>
  <c r="G4633" i="1" a="1"/>
  <c r="G4633" i="1" s="1"/>
  <c r="G4632" i="1" a="1"/>
  <c r="G4632" i="1" s="1"/>
  <c r="G4631" i="1" a="1"/>
  <c r="G4631" i="1" s="1"/>
  <c r="G4630" i="1" a="1"/>
  <c r="G4630" i="1" s="1"/>
  <c r="G4629" i="1" a="1"/>
  <c r="G4629" i="1" s="1"/>
  <c r="G4628" i="1" a="1"/>
  <c r="G4628" i="1" s="1"/>
  <c r="G4627" i="1" a="1"/>
  <c r="G4627" i="1" s="1"/>
  <c r="G4626" i="1" a="1"/>
  <c r="G4626" i="1" s="1"/>
  <c r="G4625" i="1" a="1"/>
  <c r="G4625" i="1" s="1"/>
  <c r="G4624" i="1" a="1"/>
  <c r="G4624" i="1" s="1"/>
  <c r="G4623" i="1" a="1"/>
  <c r="G4623" i="1" s="1"/>
  <c r="G4622" i="1" a="1"/>
  <c r="G4622" i="1" s="1"/>
  <c r="G4621" i="1" a="1"/>
  <c r="G4621" i="1" s="1"/>
  <c r="G4620" i="1" a="1"/>
  <c r="G4620" i="1" s="1"/>
  <c r="G4619" i="1" a="1"/>
  <c r="G4619" i="1" s="1"/>
  <c r="G4618" i="1" a="1"/>
  <c r="G4618" i="1" s="1"/>
  <c r="G4617" i="1" a="1"/>
  <c r="G4617" i="1" s="1"/>
  <c r="G4616" i="1" a="1"/>
  <c r="G4616" i="1" s="1"/>
  <c r="G4615" i="1" a="1"/>
  <c r="G4615" i="1" s="1"/>
  <c r="G4614" i="1" a="1"/>
  <c r="G4614" i="1" s="1"/>
  <c r="G4613" i="1" a="1"/>
  <c r="G4613" i="1" s="1"/>
  <c r="G4612" i="1" a="1"/>
  <c r="G4612" i="1" s="1"/>
  <c r="G4611" i="1" a="1"/>
  <c r="G4611" i="1" s="1"/>
  <c r="G4610" i="1" a="1"/>
  <c r="G4610" i="1" s="1"/>
  <c r="G4609" i="1" a="1"/>
  <c r="G4609" i="1" s="1"/>
  <c r="G4608" i="1" a="1"/>
  <c r="G4608" i="1" s="1"/>
  <c r="G4607" i="1" a="1"/>
  <c r="G4607" i="1" s="1"/>
  <c r="G4606" i="1" a="1"/>
  <c r="G4606" i="1" s="1"/>
  <c r="G4605" i="1" a="1"/>
  <c r="G4605" i="1" s="1"/>
  <c r="G4604" i="1" a="1"/>
  <c r="G4604" i="1" s="1"/>
  <c r="G4603" i="1" a="1"/>
  <c r="G4603" i="1" s="1"/>
  <c r="G4602" i="1" a="1"/>
  <c r="G4602" i="1" s="1"/>
  <c r="G4601" i="1" a="1"/>
  <c r="G4601" i="1" s="1"/>
  <c r="G4600" i="1" a="1"/>
  <c r="G4600" i="1"/>
  <c r="G4599" i="1" a="1"/>
  <c r="G4599" i="1" s="1"/>
  <c r="G4598" i="1" a="1"/>
  <c r="G4598" i="1" s="1"/>
  <c r="G4597" i="1" a="1"/>
  <c r="G4597" i="1" s="1"/>
  <c r="G4596" i="1" a="1"/>
  <c r="G4596" i="1" s="1"/>
  <c r="G4595" i="1" a="1"/>
  <c r="G4595" i="1" s="1"/>
  <c r="G4594" i="1" a="1"/>
  <c r="G4594" i="1" s="1"/>
  <c r="G4593" i="1" a="1"/>
  <c r="G4593" i="1" s="1"/>
  <c r="G4592" i="1" a="1"/>
  <c r="G4592" i="1" s="1"/>
  <c r="G4591" i="1" a="1"/>
  <c r="G4591" i="1" s="1"/>
  <c r="G4590" i="1" a="1"/>
  <c r="G4590" i="1" s="1"/>
  <c r="G4589" i="1" a="1"/>
  <c r="G4589" i="1" s="1"/>
  <c r="G4588" i="1" a="1"/>
  <c r="G4588" i="1" s="1"/>
  <c r="G4587" i="1" a="1"/>
  <c r="G4587" i="1" s="1"/>
  <c r="G4586" i="1" a="1"/>
  <c r="G4586" i="1" s="1"/>
  <c r="G4585" i="1" a="1"/>
  <c r="G4585" i="1" s="1"/>
  <c r="G4584" i="1" a="1"/>
  <c r="G4584" i="1" s="1"/>
  <c r="G4583" i="1" a="1"/>
  <c r="G4583" i="1" s="1"/>
  <c r="G4582" i="1" a="1"/>
  <c r="G4582" i="1" s="1"/>
  <c r="G4581" i="1" a="1"/>
  <c r="G4581" i="1" s="1"/>
  <c r="G4580" i="1" a="1"/>
  <c r="G4580" i="1" s="1"/>
  <c r="G4579" i="1" a="1"/>
  <c r="G4579" i="1" s="1"/>
  <c r="G4578" i="1" a="1"/>
  <c r="G4578" i="1" s="1"/>
  <c r="G4577" i="1" a="1"/>
  <c r="G4577" i="1" s="1"/>
  <c r="G4576" i="1" a="1"/>
  <c r="G4576" i="1" s="1"/>
  <c r="G4575" i="1" a="1"/>
  <c r="G4575" i="1" s="1"/>
  <c r="G4574" i="1" a="1"/>
  <c r="G4574" i="1" s="1"/>
  <c r="G4573" i="1" a="1"/>
  <c r="G4573" i="1" s="1"/>
  <c r="G4572" i="1" a="1"/>
  <c r="G4572" i="1" s="1"/>
  <c r="G4571" i="1" a="1"/>
  <c r="G4571" i="1" s="1"/>
  <c r="G4570" i="1" a="1"/>
  <c r="G4570" i="1" s="1"/>
  <c r="G4569" i="1" a="1"/>
  <c r="G4569" i="1" s="1"/>
  <c r="G4568" i="1" a="1"/>
  <c r="G4568" i="1" s="1"/>
  <c r="G4567" i="1" a="1"/>
  <c r="G4567" i="1" s="1"/>
  <c r="G4566" i="1" a="1"/>
  <c r="G4566" i="1" s="1"/>
  <c r="G4565" i="1" a="1"/>
  <c r="G4565" i="1" s="1"/>
  <c r="G4564" i="1" a="1"/>
  <c r="G4564" i="1" s="1"/>
  <c r="G4563" i="1" a="1"/>
  <c r="G4563" i="1" s="1"/>
  <c r="G4562" i="1" a="1"/>
  <c r="G4562" i="1" s="1"/>
  <c r="G4561" i="1" a="1"/>
  <c r="G4561" i="1" s="1"/>
  <c r="G4560" i="1" a="1"/>
  <c r="G4560" i="1" s="1"/>
  <c r="G4559" i="1" a="1"/>
  <c r="G4559" i="1" s="1"/>
  <c r="G4558" i="1" a="1"/>
  <c r="G4558" i="1" s="1"/>
  <c r="G4557" i="1" a="1"/>
  <c r="G4557" i="1" s="1"/>
  <c r="G4556" i="1" a="1"/>
  <c r="G4556" i="1" s="1"/>
  <c r="G4555" i="1" a="1"/>
  <c r="G4555" i="1" s="1"/>
  <c r="G4554" i="1" a="1"/>
  <c r="G4554" i="1" s="1"/>
  <c r="H4554" i="1" s="1"/>
  <c r="I4554" i="1" s="1"/>
  <c r="J4555" i="1" s="1"/>
  <c r="G4553" i="1" a="1"/>
  <c r="G4553" i="1" s="1"/>
  <c r="G4552" i="1" a="1"/>
  <c r="G4552" i="1" s="1"/>
  <c r="G4551" i="1" a="1"/>
  <c r="G4551" i="1" s="1"/>
  <c r="G4550" i="1" a="1"/>
  <c r="G4550" i="1" s="1"/>
  <c r="G4549" i="1" a="1"/>
  <c r="G4549" i="1" s="1"/>
  <c r="G4548" i="1" a="1"/>
  <c r="G4548" i="1" s="1"/>
  <c r="G4547" i="1" a="1"/>
  <c r="G4547" i="1" s="1"/>
  <c r="G4546" i="1" a="1"/>
  <c r="G4546" i="1" s="1"/>
  <c r="G4545" i="1" a="1"/>
  <c r="G4545" i="1" s="1"/>
  <c r="H4545" i="1" s="1"/>
  <c r="I4545" i="1" s="1"/>
  <c r="J4546" i="1" s="1"/>
  <c r="G4544" i="1" a="1"/>
  <c r="G4544" i="1"/>
  <c r="G4543" i="1" a="1"/>
  <c r="G4543" i="1" s="1"/>
  <c r="G4542" i="1" a="1"/>
  <c r="G4542" i="1" s="1"/>
  <c r="G4541" i="1" a="1"/>
  <c r="G4541" i="1" s="1"/>
  <c r="G4540" i="1" a="1"/>
  <c r="G4540" i="1" s="1"/>
  <c r="G4539" i="1" a="1"/>
  <c r="G4539" i="1" s="1"/>
  <c r="G4538" i="1" a="1"/>
  <c r="G4538" i="1" s="1"/>
  <c r="G4537" i="1" a="1"/>
  <c r="G4537" i="1" s="1"/>
  <c r="G4536" i="1" a="1"/>
  <c r="G4536" i="1" s="1"/>
  <c r="G4535" i="1" a="1"/>
  <c r="G4535" i="1" s="1"/>
  <c r="G4534" i="1" a="1"/>
  <c r="G4534" i="1" s="1"/>
  <c r="G4533" i="1" a="1"/>
  <c r="G4533" i="1" s="1"/>
  <c r="G4532" i="1" a="1"/>
  <c r="G4532" i="1" s="1"/>
  <c r="G4531" i="1" a="1"/>
  <c r="G4531" i="1" s="1"/>
  <c r="G4530" i="1" a="1"/>
  <c r="G4530" i="1" s="1"/>
  <c r="G4529" i="1" a="1"/>
  <c r="G4529" i="1" s="1"/>
  <c r="G4528" i="1" a="1"/>
  <c r="G4528" i="1" s="1"/>
  <c r="H4528" i="1" s="1"/>
  <c r="I4528" i="1" s="1"/>
  <c r="J4529" i="1" s="1"/>
  <c r="G4527" i="1" a="1"/>
  <c r="G4527" i="1" s="1"/>
  <c r="G4526" i="1" a="1"/>
  <c r="G4526" i="1" s="1"/>
  <c r="G4525" i="1" a="1"/>
  <c r="G4525" i="1" s="1"/>
  <c r="G4524" i="1" a="1"/>
  <c r="G4524" i="1" s="1"/>
  <c r="G4523" i="1" a="1"/>
  <c r="G4523" i="1" s="1"/>
  <c r="G4522" i="1" a="1"/>
  <c r="G4522" i="1" s="1"/>
  <c r="G4521" i="1" a="1"/>
  <c r="G4521" i="1" s="1"/>
  <c r="G4520" i="1" a="1"/>
  <c r="G4520" i="1" s="1"/>
  <c r="G4519" i="1" a="1"/>
  <c r="G4519" i="1" s="1"/>
  <c r="G4518" i="1" a="1"/>
  <c r="G4518" i="1" s="1"/>
  <c r="G4517" i="1" a="1"/>
  <c r="G4517" i="1" s="1"/>
  <c r="G4516" i="1" a="1"/>
  <c r="G4516" i="1" s="1"/>
  <c r="G4515" i="1" a="1"/>
  <c r="G4515" i="1" s="1"/>
  <c r="G4514" i="1" a="1"/>
  <c r="G4514" i="1" s="1"/>
  <c r="G4513" i="1" a="1"/>
  <c r="G4513" i="1" s="1"/>
  <c r="G4512" i="1" a="1"/>
  <c r="G4512" i="1" s="1"/>
  <c r="G4511" i="1" a="1"/>
  <c r="G4511" i="1"/>
  <c r="G4510" i="1" a="1"/>
  <c r="G4510" i="1" s="1"/>
  <c r="G4509" i="1" a="1"/>
  <c r="G4509" i="1" s="1"/>
  <c r="G4508" i="1" a="1"/>
  <c r="G4508" i="1" s="1"/>
  <c r="G4507" i="1" a="1"/>
  <c r="G4507" i="1" s="1"/>
  <c r="G4506" i="1" a="1"/>
  <c r="G4506" i="1" s="1"/>
  <c r="G4505" i="1" a="1"/>
  <c r="G4505" i="1" s="1"/>
  <c r="G4504" i="1" a="1"/>
  <c r="G4504" i="1" s="1"/>
  <c r="G4503" i="1" a="1"/>
  <c r="G4503" i="1" s="1"/>
  <c r="G4502" i="1" a="1"/>
  <c r="G4502" i="1" s="1"/>
  <c r="G4501" i="1" a="1"/>
  <c r="G4501" i="1" s="1"/>
  <c r="G4500" i="1" a="1"/>
  <c r="G4500" i="1" s="1"/>
  <c r="G4499" i="1" a="1"/>
  <c r="G4499" i="1" s="1"/>
  <c r="G4498" i="1" a="1"/>
  <c r="G4498" i="1" s="1"/>
  <c r="G4497" i="1" a="1"/>
  <c r="G4497" i="1" s="1"/>
  <c r="G4496" i="1" a="1"/>
  <c r="G4496" i="1" s="1"/>
  <c r="G4495" i="1" a="1"/>
  <c r="G4495" i="1" s="1"/>
  <c r="G4494" i="1" a="1"/>
  <c r="G4494" i="1" s="1"/>
  <c r="G4493" i="1" a="1"/>
  <c r="G4493" i="1" s="1"/>
  <c r="H4493" i="1" s="1"/>
  <c r="I4493" i="1" s="1"/>
  <c r="J4494" i="1" s="1"/>
  <c r="G4492" i="1" a="1"/>
  <c r="G4492" i="1" s="1"/>
  <c r="G4491" i="1" a="1"/>
  <c r="G4491" i="1" s="1"/>
  <c r="H4491" i="1" s="1"/>
  <c r="I4491" i="1" s="1"/>
  <c r="J4492" i="1" s="1"/>
  <c r="G4490" i="1" a="1"/>
  <c r="G4490" i="1" s="1"/>
  <c r="G4489" i="1" a="1"/>
  <c r="G4489" i="1" s="1"/>
  <c r="G4488" i="1" a="1"/>
  <c r="G4488" i="1" s="1"/>
  <c r="G4487" i="1" a="1"/>
  <c r="G4487" i="1" s="1"/>
  <c r="G4486" i="1" a="1"/>
  <c r="G4486" i="1" s="1"/>
  <c r="G4485" i="1" a="1"/>
  <c r="G4485" i="1" s="1"/>
  <c r="G4484" i="1" a="1"/>
  <c r="G4484" i="1" s="1"/>
  <c r="G4483" i="1" a="1"/>
  <c r="G4483" i="1" s="1"/>
  <c r="G4482" i="1" a="1"/>
  <c r="G4482" i="1" s="1"/>
  <c r="G4481" i="1" a="1"/>
  <c r="G4481" i="1" s="1"/>
  <c r="G4480" i="1" a="1"/>
  <c r="G4480" i="1" s="1"/>
  <c r="G4479" i="1" a="1"/>
  <c r="G4479" i="1" s="1"/>
  <c r="G4478" i="1" a="1"/>
  <c r="G4478" i="1"/>
  <c r="G4477" i="1" a="1"/>
  <c r="G4477" i="1" s="1"/>
  <c r="G4476" i="1" a="1"/>
  <c r="G4476" i="1" s="1"/>
  <c r="G4475" i="1" a="1"/>
  <c r="G4475" i="1" s="1"/>
  <c r="G4474" i="1" a="1"/>
  <c r="G4474" i="1" s="1"/>
  <c r="G4473" i="1" a="1"/>
  <c r="G4473" i="1" s="1"/>
  <c r="G4472" i="1" a="1"/>
  <c r="G4472" i="1" s="1"/>
  <c r="G4471" i="1" a="1"/>
  <c r="G4471" i="1" s="1"/>
  <c r="G4470" i="1" a="1"/>
  <c r="G4470" i="1" s="1"/>
  <c r="G4469" i="1" a="1"/>
  <c r="G4469" i="1" s="1"/>
  <c r="G4468" i="1" a="1"/>
  <c r="G4468" i="1" s="1"/>
  <c r="G4467" i="1" a="1"/>
  <c r="G4467" i="1"/>
  <c r="G4466" i="1" a="1"/>
  <c r="G4466" i="1" s="1"/>
  <c r="G4465" i="1" a="1"/>
  <c r="G4465" i="1" s="1"/>
  <c r="G4464" i="1" a="1"/>
  <c r="G4464" i="1" s="1"/>
  <c r="G4463" i="1" a="1"/>
  <c r="G4463" i="1" s="1"/>
  <c r="H4463" i="1" s="1"/>
  <c r="I4463" i="1" s="1"/>
  <c r="J4464" i="1" s="1"/>
  <c r="G4462" i="1" a="1"/>
  <c r="G4462" i="1" s="1"/>
  <c r="G4461" i="1" a="1"/>
  <c r="G4461" i="1" s="1"/>
  <c r="G4460" i="1" a="1"/>
  <c r="G4460" i="1" s="1"/>
  <c r="G4459" i="1" a="1"/>
  <c r="G4459" i="1" s="1"/>
  <c r="G4458" i="1" a="1"/>
  <c r="G4458" i="1" s="1"/>
  <c r="G4457" i="1" a="1"/>
  <c r="G4457" i="1" s="1"/>
  <c r="G4456" i="1" a="1"/>
  <c r="G4456" i="1" s="1"/>
  <c r="G4455" i="1" a="1"/>
  <c r="G4455" i="1" s="1"/>
  <c r="G4454" i="1" a="1"/>
  <c r="G4454" i="1" s="1"/>
  <c r="H4454" i="1" s="1"/>
  <c r="I4454" i="1" s="1"/>
  <c r="J4455" i="1" s="1"/>
  <c r="G4453" i="1" a="1"/>
  <c r="G4453" i="1" s="1"/>
  <c r="G4452" i="1" a="1"/>
  <c r="G4452" i="1"/>
  <c r="G4451" i="1" a="1"/>
  <c r="G4451" i="1" s="1"/>
  <c r="G4450" i="1" a="1"/>
  <c r="G4450" i="1" s="1"/>
  <c r="G4449" i="1" a="1"/>
  <c r="G4449" i="1" s="1"/>
  <c r="G4448" i="1" a="1"/>
  <c r="G4448" i="1" s="1"/>
  <c r="G4447" i="1" a="1"/>
  <c r="G4447" i="1" s="1"/>
  <c r="G4446" i="1" a="1"/>
  <c r="G4446" i="1" s="1"/>
  <c r="G4445" i="1" a="1"/>
  <c r="G4445" i="1" s="1"/>
  <c r="G4444" i="1" a="1"/>
  <c r="G4444" i="1" s="1"/>
  <c r="G4443" i="1" a="1"/>
  <c r="G4443" i="1" s="1"/>
  <c r="G4442" i="1" a="1"/>
  <c r="G4442" i="1" s="1"/>
  <c r="G4441" i="1" a="1"/>
  <c r="G4441" i="1" s="1"/>
  <c r="G4440" i="1" a="1"/>
  <c r="G4440" i="1" s="1"/>
  <c r="G4439" i="1" a="1"/>
  <c r="G4439" i="1" s="1"/>
  <c r="G4438" i="1" a="1"/>
  <c r="G4438" i="1" s="1"/>
  <c r="G4437" i="1" a="1"/>
  <c r="G4437" i="1" s="1"/>
  <c r="G4436" i="1" a="1"/>
  <c r="G4436" i="1" s="1"/>
  <c r="G4435" i="1" a="1"/>
  <c r="G4435" i="1" s="1"/>
  <c r="G4434" i="1" a="1"/>
  <c r="G4434" i="1" s="1"/>
  <c r="G4433" i="1" a="1"/>
  <c r="G4433" i="1" s="1"/>
  <c r="G4432" i="1" a="1"/>
  <c r="G4432" i="1" s="1"/>
  <c r="G4431" i="1" a="1"/>
  <c r="G4431" i="1"/>
  <c r="G4430" i="1" a="1"/>
  <c r="G4430" i="1" s="1"/>
  <c r="G4429" i="1" a="1"/>
  <c r="G4429" i="1" s="1"/>
  <c r="G4428" i="1" a="1"/>
  <c r="G4428" i="1" s="1"/>
  <c r="H4428" i="1" s="1"/>
  <c r="I4428" i="1" s="1"/>
  <c r="J4429" i="1" s="1"/>
  <c r="G4427" i="1" a="1"/>
  <c r="G4427" i="1" s="1"/>
  <c r="G4426" i="1" a="1"/>
  <c r="G4426" i="1" s="1"/>
  <c r="G4425" i="1" a="1"/>
  <c r="G4425" i="1" s="1"/>
  <c r="G4424" i="1" a="1"/>
  <c r="G4424" i="1" s="1"/>
  <c r="G4423" i="1" a="1"/>
  <c r="G4423" i="1" s="1"/>
  <c r="G4422" i="1" a="1"/>
  <c r="G4422" i="1" s="1"/>
  <c r="H4422" i="1" s="1"/>
  <c r="I4422" i="1" s="1"/>
  <c r="J4423" i="1" s="1"/>
  <c r="G4421" i="1" a="1"/>
  <c r="G4421" i="1" s="1"/>
  <c r="G4420" i="1" a="1"/>
  <c r="G4420" i="1" s="1"/>
  <c r="G4419" i="1" a="1"/>
  <c r="G4419" i="1" s="1"/>
  <c r="G4418" i="1" a="1"/>
  <c r="G4418" i="1" s="1"/>
  <c r="G4417" i="1" a="1"/>
  <c r="G4417" i="1" s="1"/>
  <c r="G4416" i="1" a="1"/>
  <c r="G4416" i="1" s="1"/>
  <c r="G4415" i="1" a="1"/>
  <c r="G4415" i="1" s="1"/>
  <c r="G4414" i="1" a="1"/>
  <c r="G4414" i="1" s="1"/>
  <c r="G4413" i="1" a="1"/>
  <c r="G4413" i="1" s="1"/>
  <c r="G4412" i="1" a="1"/>
  <c r="G4412" i="1" s="1"/>
  <c r="G4411" i="1" a="1"/>
  <c r="G4411" i="1" s="1"/>
  <c r="H4411" i="1" s="1"/>
  <c r="I4411" i="1" s="1"/>
  <c r="J4412" i="1" s="1"/>
  <c r="G4410" i="1" a="1"/>
  <c r="G4410" i="1" s="1"/>
  <c r="G4409" i="1" a="1"/>
  <c r="G4409" i="1" s="1"/>
  <c r="G4408" i="1" a="1"/>
  <c r="G4408" i="1" s="1"/>
  <c r="G4407" i="1" a="1"/>
  <c r="G4407" i="1" s="1"/>
  <c r="G4406" i="1" a="1"/>
  <c r="G4406" i="1" s="1"/>
  <c r="G4405" i="1" a="1"/>
  <c r="G4405" i="1" s="1"/>
  <c r="G4404" i="1" a="1"/>
  <c r="G4404" i="1" s="1"/>
  <c r="G4403" i="1" a="1"/>
  <c r="G4403" i="1"/>
  <c r="G4402" i="1" a="1"/>
  <c r="G4402" i="1" s="1"/>
  <c r="G4401" i="1" a="1"/>
  <c r="G4401" i="1" s="1"/>
  <c r="G4400" i="1" a="1"/>
  <c r="G4400" i="1" s="1"/>
  <c r="G4399" i="1" a="1"/>
  <c r="G4399" i="1" s="1"/>
  <c r="G4398" i="1" a="1"/>
  <c r="G4398" i="1" s="1"/>
  <c r="G4397" i="1" a="1"/>
  <c r="G4397" i="1" s="1"/>
  <c r="G4396" i="1" a="1"/>
  <c r="G4396" i="1" s="1"/>
  <c r="G4395" i="1" a="1"/>
  <c r="G4395" i="1" s="1"/>
  <c r="G4394" i="1" a="1"/>
  <c r="G4394" i="1" s="1"/>
  <c r="G4393" i="1" a="1"/>
  <c r="G4393" i="1" s="1"/>
  <c r="G4392" i="1" a="1"/>
  <c r="G4392" i="1" s="1"/>
  <c r="G4391" i="1" a="1"/>
  <c r="G4391" i="1" s="1"/>
  <c r="G4390" i="1" a="1"/>
  <c r="G4390" i="1" s="1"/>
  <c r="G4389" i="1" a="1"/>
  <c r="G4389" i="1"/>
  <c r="G4388" i="1" a="1"/>
  <c r="G4388" i="1" s="1"/>
  <c r="G4387" i="1" a="1"/>
  <c r="G4387" i="1" s="1"/>
  <c r="G4386" i="1" a="1"/>
  <c r="G4386" i="1" s="1"/>
  <c r="G4385" i="1" a="1"/>
  <c r="G4385" i="1" s="1"/>
  <c r="G4384" i="1" a="1"/>
  <c r="G4384" i="1" s="1"/>
  <c r="G4383" i="1" a="1"/>
  <c r="G4383" i="1" s="1"/>
  <c r="G4382" i="1" a="1"/>
  <c r="G4382" i="1" s="1"/>
  <c r="G4381" i="1" a="1"/>
  <c r="G4381" i="1" s="1"/>
  <c r="G4380" i="1" a="1"/>
  <c r="G4380" i="1" s="1"/>
  <c r="G4379" i="1" a="1"/>
  <c r="G4379" i="1" s="1"/>
  <c r="G4378" i="1" a="1"/>
  <c r="G4378" i="1" s="1"/>
  <c r="G4377" i="1" a="1"/>
  <c r="G4377" i="1" s="1"/>
  <c r="G4376" i="1" a="1"/>
  <c r="G4376" i="1" s="1"/>
  <c r="G4375" i="1" a="1"/>
  <c r="G4375" i="1" s="1"/>
  <c r="G4374" i="1" a="1"/>
  <c r="G4374" i="1" s="1"/>
  <c r="G4373" i="1" a="1"/>
  <c r="G4373" i="1" s="1"/>
  <c r="G4372" i="1" a="1"/>
  <c r="G4372" i="1" s="1"/>
  <c r="G4371" i="1" a="1"/>
  <c r="G4371" i="1" s="1"/>
  <c r="G4370" i="1" a="1"/>
  <c r="G4370" i="1" s="1"/>
  <c r="G4369" i="1" a="1"/>
  <c r="G4369" i="1" s="1"/>
  <c r="G4368" i="1" a="1"/>
  <c r="G4368" i="1" s="1"/>
  <c r="G4367" i="1" a="1"/>
  <c r="G4367" i="1" s="1"/>
  <c r="G4366" i="1" a="1"/>
  <c r="G4366" i="1" s="1"/>
  <c r="G4365" i="1" a="1"/>
  <c r="G4365" i="1" s="1"/>
  <c r="G4364" i="1" a="1"/>
  <c r="G4364" i="1" s="1"/>
  <c r="G4363" i="1" a="1"/>
  <c r="G4363" i="1" s="1"/>
  <c r="G4362" i="1" a="1"/>
  <c r="G4362" i="1" s="1"/>
  <c r="G4361" i="1" a="1"/>
  <c r="G4361" i="1" s="1"/>
  <c r="G4360" i="1" a="1"/>
  <c r="G4360" i="1" s="1"/>
  <c r="G4359" i="1" a="1"/>
  <c r="G4359" i="1" s="1"/>
  <c r="G4358" i="1" a="1"/>
  <c r="G4358" i="1" s="1"/>
  <c r="G4357" i="1" a="1"/>
  <c r="G4357" i="1" s="1"/>
  <c r="G4356" i="1" a="1"/>
  <c r="G4356" i="1" s="1"/>
  <c r="G4355" i="1" a="1"/>
  <c r="G4355" i="1" s="1"/>
  <c r="G4354" i="1" a="1"/>
  <c r="G4354" i="1" s="1"/>
  <c r="G4353" i="1" a="1"/>
  <c r="G4353" i="1" s="1"/>
  <c r="G4352" i="1" a="1"/>
  <c r="G4352" i="1" s="1"/>
  <c r="G4351" i="1" a="1"/>
  <c r="G4351" i="1" s="1"/>
  <c r="G4350" i="1" a="1"/>
  <c r="G4350" i="1" s="1"/>
  <c r="G4349" i="1" a="1"/>
  <c r="G4349" i="1" s="1"/>
  <c r="G4348" i="1" a="1"/>
  <c r="G4348" i="1" s="1"/>
  <c r="G4347" i="1" a="1"/>
  <c r="G4347" i="1" s="1"/>
  <c r="G4346" i="1" a="1"/>
  <c r="G4346" i="1" s="1"/>
  <c r="G4345" i="1" a="1"/>
  <c r="G4345" i="1" s="1"/>
  <c r="G4344" i="1" a="1"/>
  <c r="G4344" i="1" s="1"/>
  <c r="G4343" i="1" a="1"/>
  <c r="G4343" i="1" s="1"/>
  <c r="G4342" i="1" a="1"/>
  <c r="G4342" i="1" s="1"/>
  <c r="G4341" i="1" a="1"/>
  <c r="G4341" i="1" s="1"/>
  <c r="G4340" i="1" a="1"/>
  <c r="G4340" i="1" s="1"/>
  <c r="G4339" i="1" a="1"/>
  <c r="G4339" i="1" s="1"/>
  <c r="G4338" i="1" a="1"/>
  <c r="G4338" i="1" s="1"/>
  <c r="G4337" i="1" a="1"/>
  <c r="G4337" i="1" s="1"/>
  <c r="G4336" i="1" a="1"/>
  <c r="G4336" i="1" s="1"/>
  <c r="G4335" i="1" a="1"/>
  <c r="G4335" i="1" s="1"/>
  <c r="G4334" i="1" a="1"/>
  <c r="G4334" i="1" s="1"/>
  <c r="G4333" i="1" a="1"/>
  <c r="G4333" i="1" s="1"/>
  <c r="G4332" i="1" a="1"/>
  <c r="G4332" i="1" s="1"/>
  <c r="G4331" i="1" a="1"/>
  <c r="G4331" i="1" s="1"/>
  <c r="G4330" i="1" a="1"/>
  <c r="G4330" i="1" s="1"/>
  <c r="G4329" i="1" a="1"/>
  <c r="G4329" i="1" s="1"/>
  <c r="G4328" i="1" a="1"/>
  <c r="G4328" i="1"/>
  <c r="G4327" i="1" a="1"/>
  <c r="G4327" i="1" s="1"/>
  <c r="H4327" i="1" s="1"/>
  <c r="I4327" i="1" s="1"/>
  <c r="J4328" i="1" s="1"/>
  <c r="G4326" i="1" a="1"/>
  <c r="G4326" i="1" s="1"/>
  <c r="G4325" i="1" a="1"/>
  <c r="G4325" i="1" s="1"/>
  <c r="G4324" i="1" a="1"/>
  <c r="G4324" i="1" s="1"/>
  <c r="G4323" i="1" a="1"/>
  <c r="G4323" i="1" s="1"/>
  <c r="G4322" i="1" a="1"/>
  <c r="G4322" i="1" s="1"/>
  <c r="G4321" i="1" a="1"/>
  <c r="G4321" i="1" s="1"/>
  <c r="G4320" i="1" a="1"/>
  <c r="G4320" i="1" s="1"/>
  <c r="G4319" i="1" a="1"/>
  <c r="G4319" i="1" s="1"/>
  <c r="G4318" i="1" a="1"/>
  <c r="G4318" i="1" s="1"/>
  <c r="G4317" i="1" a="1"/>
  <c r="G4317" i="1" s="1"/>
  <c r="H4317" i="1" s="1"/>
  <c r="I4317" i="1" s="1"/>
  <c r="J4318" i="1" s="1"/>
  <c r="G4316" i="1" a="1"/>
  <c r="G4316" i="1" s="1"/>
  <c r="H4316" i="1" s="1"/>
  <c r="I4316" i="1" s="1"/>
  <c r="J4317" i="1" s="1"/>
  <c r="G4315" i="1" a="1"/>
  <c r="G4315" i="1" s="1"/>
  <c r="G4314" i="1" a="1"/>
  <c r="G4314" i="1" s="1"/>
  <c r="G4313" i="1" a="1"/>
  <c r="G4313" i="1" s="1"/>
  <c r="G4312" i="1" a="1"/>
  <c r="G4312" i="1" s="1"/>
  <c r="G4311" i="1" a="1"/>
  <c r="G4311" i="1" s="1"/>
  <c r="G4310" i="1" a="1"/>
  <c r="G4310" i="1" s="1"/>
  <c r="G4309" i="1" a="1"/>
  <c r="G4309" i="1" s="1"/>
  <c r="G4308" i="1" a="1"/>
  <c r="G4308" i="1" s="1"/>
  <c r="G4307" i="1" a="1"/>
  <c r="G4307" i="1" s="1"/>
  <c r="G4306" i="1" a="1"/>
  <c r="G4306" i="1" s="1"/>
  <c r="H4306" i="1" s="1"/>
  <c r="I4306" i="1" s="1"/>
  <c r="J4307" i="1" s="1"/>
  <c r="G4305" i="1" a="1"/>
  <c r="G4305" i="1" s="1"/>
  <c r="G4304" i="1" a="1"/>
  <c r="G4304" i="1" s="1"/>
  <c r="G4303" i="1" a="1"/>
  <c r="G4303" i="1" s="1"/>
  <c r="G4302" i="1" a="1"/>
  <c r="G4302" i="1" s="1"/>
  <c r="H4302" i="1" s="1"/>
  <c r="I4302" i="1" s="1"/>
  <c r="J4303" i="1" s="1"/>
  <c r="G4301" i="1" a="1"/>
  <c r="G4301" i="1" s="1"/>
  <c r="G4300" i="1" a="1"/>
  <c r="G4300" i="1" s="1"/>
  <c r="G4299" i="1" a="1"/>
  <c r="G4299" i="1" s="1"/>
  <c r="G4298" i="1" a="1"/>
  <c r="G4298" i="1" s="1"/>
  <c r="G4297" i="1" a="1"/>
  <c r="G4297" i="1" s="1"/>
  <c r="G4296" i="1" a="1"/>
  <c r="G4296" i="1" s="1"/>
  <c r="H4296" i="1" s="1"/>
  <c r="I4296" i="1" s="1"/>
  <c r="J4297" i="1" s="1"/>
  <c r="G4295" i="1" a="1"/>
  <c r="G4295" i="1" s="1"/>
  <c r="G4294" i="1" a="1"/>
  <c r="G4294" i="1" s="1"/>
  <c r="G4293" i="1" a="1"/>
  <c r="G4293" i="1" s="1"/>
  <c r="G4292" i="1" a="1"/>
  <c r="G4292" i="1" s="1"/>
  <c r="G4291" i="1" a="1"/>
  <c r="G4291" i="1" s="1"/>
  <c r="G4290" i="1" a="1"/>
  <c r="G4290" i="1" s="1"/>
  <c r="G4289" i="1" a="1"/>
  <c r="G4289" i="1" s="1"/>
  <c r="G4288" i="1" a="1"/>
  <c r="G4288" i="1" s="1"/>
  <c r="G4287" i="1" a="1"/>
  <c r="G4287" i="1" s="1"/>
  <c r="G4286" i="1" a="1"/>
  <c r="G4286" i="1" s="1"/>
  <c r="H4286" i="1" s="1"/>
  <c r="I4286" i="1" s="1"/>
  <c r="J4287" i="1" s="1"/>
  <c r="G4285" i="1" a="1"/>
  <c r="G4285" i="1" s="1"/>
  <c r="G4284" i="1" a="1"/>
  <c r="G4284" i="1" s="1"/>
  <c r="G4283" i="1" a="1"/>
  <c r="G4283" i="1" s="1"/>
  <c r="G4282" i="1" a="1"/>
  <c r="G4282" i="1" s="1"/>
  <c r="G4281" i="1" a="1"/>
  <c r="G4281" i="1" s="1"/>
  <c r="G4280" i="1" a="1"/>
  <c r="G4280" i="1" s="1"/>
  <c r="G4279" i="1" a="1"/>
  <c r="G4279" i="1" s="1"/>
  <c r="G4278" i="1" a="1"/>
  <c r="G4278" i="1" s="1"/>
  <c r="H4278" i="1" s="1"/>
  <c r="I4278" i="1" s="1"/>
  <c r="J4279" i="1" s="1"/>
  <c r="G4277" i="1" a="1"/>
  <c r="G4277" i="1" s="1"/>
  <c r="H4277" i="1" s="1"/>
  <c r="I4277" i="1" s="1"/>
  <c r="J4278" i="1" s="1"/>
  <c r="G4276" i="1" a="1"/>
  <c r="G4276" i="1" s="1"/>
  <c r="G4275" i="1" a="1"/>
  <c r="G4275" i="1" s="1"/>
  <c r="G4274" i="1" a="1"/>
  <c r="G4274" i="1" s="1"/>
  <c r="G4273" i="1" a="1"/>
  <c r="G4273" i="1" s="1"/>
  <c r="G4272" i="1" a="1"/>
  <c r="G4272" i="1" s="1"/>
  <c r="G4271" i="1" a="1"/>
  <c r="G4271" i="1" s="1"/>
  <c r="G4270" i="1" a="1"/>
  <c r="G4270" i="1" s="1"/>
  <c r="G4269" i="1" a="1"/>
  <c r="G4269" i="1" s="1"/>
  <c r="G4268" i="1" a="1"/>
  <c r="G4268" i="1" s="1"/>
  <c r="G4267" i="1" a="1"/>
  <c r="G4267" i="1" s="1"/>
  <c r="H4267" i="1" s="1"/>
  <c r="I4267" i="1" s="1"/>
  <c r="J4268" i="1" s="1"/>
  <c r="G4266" i="1" a="1"/>
  <c r="G4266" i="1" s="1"/>
  <c r="G4265" i="1" a="1"/>
  <c r="G4265" i="1" s="1"/>
  <c r="G4264" i="1" a="1"/>
  <c r="G4264" i="1" s="1"/>
  <c r="G4263" i="1" a="1"/>
  <c r="G4263" i="1" s="1"/>
  <c r="G4262" i="1" a="1"/>
  <c r="G4262" i="1" s="1"/>
  <c r="G4261" i="1" a="1"/>
  <c r="G4261" i="1" s="1"/>
  <c r="G4260" i="1" a="1"/>
  <c r="G4260" i="1" s="1"/>
  <c r="G4259" i="1" a="1"/>
  <c r="G4259" i="1" s="1"/>
  <c r="G4258" i="1" a="1"/>
  <c r="G4258" i="1" s="1"/>
  <c r="G4257" i="1" a="1"/>
  <c r="G4257" i="1" s="1"/>
  <c r="G4256" i="1" a="1"/>
  <c r="G4256" i="1" s="1"/>
  <c r="G4255" i="1" a="1"/>
  <c r="G4255" i="1" s="1"/>
  <c r="G4254" i="1" a="1"/>
  <c r="G4254" i="1" s="1"/>
  <c r="G4253" i="1" a="1"/>
  <c r="G4253" i="1" s="1"/>
  <c r="G4252" i="1" a="1"/>
  <c r="G4252" i="1" s="1"/>
  <c r="H4252" i="1" s="1"/>
  <c r="I4252" i="1" s="1"/>
  <c r="J4253" i="1" s="1"/>
  <c r="G4251" i="1" a="1"/>
  <c r="G4251" i="1" s="1"/>
  <c r="G4250" i="1" a="1"/>
  <c r="G4250" i="1" s="1"/>
  <c r="G4249" i="1" a="1"/>
  <c r="G4249" i="1" s="1"/>
  <c r="G4248" i="1" a="1"/>
  <c r="G4248" i="1" s="1"/>
  <c r="G4247" i="1" a="1"/>
  <c r="G4247" i="1" s="1"/>
  <c r="G4246" i="1" a="1"/>
  <c r="G4246" i="1" s="1"/>
  <c r="G4245" i="1" a="1"/>
  <c r="G4245" i="1" s="1"/>
  <c r="G4244" i="1" a="1"/>
  <c r="G4244" i="1" s="1"/>
  <c r="G4243" i="1" a="1"/>
  <c r="G4243" i="1" s="1"/>
  <c r="G4242" i="1" a="1"/>
  <c r="G4242" i="1" s="1"/>
  <c r="G4241" i="1" a="1"/>
  <c r="G4241" i="1" s="1"/>
  <c r="G4240" i="1" a="1"/>
  <c r="G4240" i="1" s="1"/>
  <c r="G4239" i="1" a="1"/>
  <c r="G4239" i="1" s="1"/>
  <c r="G4238" i="1" a="1"/>
  <c r="G4238" i="1" s="1"/>
  <c r="G4237" i="1" a="1"/>
  <c r="G4237" i="1" s="1"/>
  <c r="G4236" i="1" a="1"/>
  <c r="G4236" i="1" s="1"/>
  <c r="G4235" i="1" a="1"/>
  <c r="G4235" i="1" s="1"/>
  <c r="G4234" i="1" a="1"/>
  <c r="G4234" i="1" s="1"/>
  <c r="G4233" i="1" a="1"/>
  <c r="G4233" i="1" s="1"/>
  <c r="G4232" i="1" a="1"/>
  <c r="G4232" i="1" s="1"/>
  <c r="G4231" i="1" a="1"/>
  <c r="G4231" i="1" s="1"/>
  <c r="G4230" i="1" a="1"/>
  <c r="G4230" i="1" s="1"/>
  <c r="G4229" i="1" a="1"/>
  <c r="G4229" i="1" s="1"/>
  <c r="G4228" i="1" a="1"/>
  <c r="G4228" i="1" s="1"/>
  <c r="G4227" i="1" a="1"/>
  <c r="G4227" i="1" s="1"/>
  <c r="G4226" i="1" a="1"/>
  <c r="G4226" i="1" s="1"/>
  <c r="G4225" i="1" a="1"/>
  <c r="G4225" i="1" s="1"/>
  <c r="G4224" i="1" a="1"/>
  <c r="G4224" i="1" s="1"/>
  <c r="G4223" i="1" a="1"/>
  <c r="G4223" i="1" s="1"/>
  <c r="G4222" i="1" a="1"/>
  <c r="G4222" i="1" s="1"/>
  <c r="G4221" i="1" a="1"/>
  <c r="G4221" i="1" s="1"/>
  <c r="G4220" i="1" a="1"/>
  <c r="G4220" i="1" s="1"/>
  <c r="G4219" i="1" a="1"/>
  <c r="G4219" i="1" s="1"/>
  <c r="G4218" i="1" a="1"/>
  <c r="G4218" i="1" s="1"/>
  <c r="G4217" i="1" a="1"/>
  <c r="G4217" i="1" s="1"/>
  <c r="G4216" i="1" a="1"/>
  <c r="G4216" i="1" s="1"/>
  <c r="G4215" i="1" a="1"/>
  <c r="G4215" i="1" s="1"/>
  <c r="G4214" i="1" a="1"/>
  <c r="G4214" i="1" s="1"/>
  <c r="H4214" i="1" s="1"/>
  <c r="I4214" i="1" s="1"/>
  <c r="J4215" i="1" s="1"/>
  <c r="G4213" i="1" a="1"/>
  <c r="G4213" i="1" s="1"/>
  <c r="G4212" i="1" a="1"/>
  <c r="G4212" i="1" s="1"/>
  <c r="G4211" i="1" a="1"/>
  <c r="G4211" i="1" s="1"/>
  <c r="G4210" i="1" a="1"/>
  <c r="G4210" i="1" s="1"/>
  <c r="G4209" i="1" a="1"/>
  <c r="G4209" i="1" s="1"/>
  <c r="G4208" i="1" a="1"/>
  <c r="G4208" i="1" s="1"/>
  <c r="G4207" i="1" a="1"/>
  <c r="G4207" i="1" s="1"/>
  <c r="G4206" i="1" a="1"/>
  <c r="G4206" i="1" s="1"/>
  <c r="G4205" i="1" a="1"/>
  <c r="G4205" i="1" s="1"/>
  <c r="G4204" i="1" a="1"/>
  <c r="G4204" i="1" s="1"/>
  <c r="G4203" i="1" a="1"/>
  <c r="G4203" i="1" s="1"/>
  <c r="G4202" i="1" a="1"/>
  <c r="G4202" i="1"/>
  <c r="G4201" i="1" a="1"/>
  <c r="G4201" i="1" s="1"/>
  <c r="G4200" i="1" a="1"/>
  <c r="G4200" i="1" s="1"/>
  <c r="G4199" i="1" a="1"/>
  <c r="G4199" i="1" s="1"/>
  <c r="G4198" i="1" a="1"/>
  <c r="G4198" i="1" s="1"/>
  <c r="G4197" i="1" a="1"/>
  <c r="G4197" i="1" s="1"/>
  <c r="G4196" i="1" a="1"/>
  <c r="G4196" i="1" s="1"/>
  <c r="G4195" i="1" a="1"/>
  <c r="G4195" i="1" s="1"/>
  <c r="G4194" i="1" a="1"/>
  <c r="G4194" i="1" s="1"/>
  <c r="G4193" i="1" a="1"/>
  <c r="G4193" i="1" s="1"/>
  <c r="G4192" i="1" a="1"/>
  <c r="G4192" i="1" s="1"/>
  <c r="G4191" i="1" a="1"/>
  <c r="G4191" i="1" s="1"/>
  <c r="G4190" i="1" a="1"/>
  <c r="G4190" i="1" s="1"/>
  <c r="G4189" i="1" a="1"/>
  <c r="G4189" i="1" s="1"/>
  <c r="G4188" i="1" a="1"/>
  <c r="G4188" i="1" s="1"/>
  <c r="G4187" i="1" a="1"/>
  <c r="G4187" i="1" s="1"/>
  <c r="G4186" i="1" a="1"/>
  <c r="G4186" i="1" s="1"/>
  <c r="G4185" i="1" a="1"/>
  <c r="G4185" i="1" s="1"/>
  <c r="G4184" i="1" a="1"/>
  <c r="G4184" i="1" s="1"/>
  <c r="G4183" i="1" a="1"/>
  <c r="G4183" i="1" s="1"/>
  <c r="G4182" i="1" a="1"/>
  <c r="G4182" i="1" s="1"/>
  <c r="H4182" i="1" s="1"/>
  <c r="I4182" i="1" s="1"/>
  <c r="J4183" i="1" s="1"/>
  <c r="G4181" i="1" a="1"/>
  <c r="G4181" i="1" s="1"/>
  <c r="G4180" i="1" a="1"/>
  <c r="G4180" i="1" s="1"/>
  <c r="H4180" i="1" s="1"/>
  <c r="I4180" i="1" s="1"/>
  <c r="J4181" i="1" s="1"/>
  <c r="G4179" i="1" a="1"/>
  <c r="G4179" i="1" s="1"/>
  <c r="G4178" i="1" a="1"/>
  <c r="G4178" i="1" s="1"/>
  <c r="G4177" i="1" a="1"/>
  <c r="G4177" i="1" s="1"/>
  <c r="G4176" i="1" a="1"/>
  <c r="G4176" i="1" s="1"/>
  <c r="G4175" i="1" a="1"/>
  <c r="G4175" i="1" s="1"/>
  <c r="G4174" i="1" a="1"/>
  <c r="G4174" i="1" s="1"/>
  <c r="G4173" i="1" a="1"/>
  <c r="G4173" i="1" s="1"/>
  <c r="G4172" i="1" a="1"/>
  <c r="G4172" i="1" s="1"/>
  <c r="G4171" i="1" a="1"/>
  <c r="G4171" i="1" s="1"/>
  <c r="G4170" i="1" a="1"/>
  <c r="G4170" i="1" s="1"/>
  <c r="H4170" i="1" s="1"/>
  <c r="I4170" i="1" s="1"/>
  <c r="J4171" i="1" s="1"/>
  <c r="G4169" i="1" a="1"/>
  <c r="G4169" i="1" s="1"/>
  <c r="G4168" i="1" a="1"/>
  <c r="G4168" i="1" s="1"/>
  <c r="G4167" i="1" a="1"/>
  <c r="G4167" i="1" s="1"/>
  <c r="G4166" i="1" a="1"/>
  <c r="G4166" i="1" s="1"/>
  <c r="G4165" i="1" a="1"/>
  <c r="G4165" i="1" s="1"/>
  <c r="G4164" i="1" a="1"/>
  <c r="G4164" i="1" s="1"/>
  <c r="G4163" i="1" a="1"/>
  <c r="G4163" i="1" s="1"/>
  <c r="H4163" i="1" s="1"/>
  <c r="I4163" i="1" s="1"/>
  <c r="J4164" i="1" s="1"/>
  <c r="G4162" i="1" a="1"/>
  <c r="G4162" i="1" s="1"/>
  <c r="G4161" i="1" a="1"/>
  <c r="G4161" i="1" s="1"/>
  <c r="G4160" i="1" a="1"/>
  <c r="G4160" i="1" s="1"/>
  <c r="H4160" i="1" s="1"/>
  <c r="I4160" i="1" s="1"/>
  <c r="J4161" i="1" s="1"/>
  <c r="G4159" i="1" a="1"/>
  <c r="G4159" i="1" s="1"/>
  <c r="H4159" i="1" s="1"/>
  <c r="I4159" i="1" s="1"/>
  <c r="J4160" i="1" s="1"/>
  <c r="G4158" i="1" a="1"/>
  <c r="G4158" i="1" s="1"/>
  <c r="H4158" i="1" s="1"/>
  <c r="I4158" i="1" s="1"/>
  <c r="J4159" i="1" s="1"/>
  <c r="G4157" i="1" a="1"/>
  <c r="G4157" i="1" s="1"/>
  <c r="G4156" i="1" a="1"/>
  <c r="G4156" i="1" s="1"/>
  <c r="G4155" i="1" a="1"/>
  <c r="G4155" i="1" s="1"/>
  <c r="G4154" i="1" a="1"/>
  <c r="G4154" i="1" s="1"/>
  <c r="G4153" i="1" a="1"/>
  <c r="G4153" i="1" s="1"/>
  <c r="G4152" i="1" a="1"/>
  <c r="G4152" i="1"/>
  <c r="G4151" i="1" a="1"/>
  <c r="G4151" i="1" s="1"/>
  <c r="H4151" i="1" s="1"/>
  <c r="I4151" i="1" s="1"/>
  <c r="J4152" i="1" s="1"/>
  <c r="G4150" i="1" a="1"/>
  <c r="G4150" i="1" s="1"/>
  <c r="H4150" i="1" s="1"/>
  <c r="I4150" i="1" s="1"/>
  <c r="J4151" i="1" s="1"/>
  <c r="G4149" i="1" a="1"/>
  <c r="G4149" i="1" s="1"/>
  <c r="H4149" i="1" s="1"/>
  <c r="I4149" i="1" s="1"/>
  <c r="J4150" i="1" s="1"/>
  <c r="G4148" i="1" a="1"/>
  <c r="G4148" i="1" s="1"/>
  <c r="G4147" i="1" a="1"/>
  <c r="G4147" i="1" s="1"/>
  <c r="G4146" i="1" a="1"/>
  <c r="G4146" i="1" s="1"/>
  <c r="G4145" i="1" a="1"/>
  <c r="G4145" i="1" s="1"/>
  <c r="G4144" i="1" a="1"/>
  <c r="G4144" i="1" s="1"/>
  <c r="H4144" i="1" s="1"/>
  <c r="I4144" i="1" s="1"/>
  <c r="J4145" i="1" s="1"/>
  <c r="G4143" i="1" a="1"/>
  <c r="G4143" i="1"/>
  <c r="G4142" i="1" a="1"/>
  <c r="G4142" i="1" s="1"/>
  <c r="H4142" i="1" s="1"/>
  <c r="I4142" i="1" s="1"/>
  <c r="J4143" i="1" s="1"/>
  <c r="G4141" i="1" a="1"/>
  <c r="G4141" i="1" s="1"/>
  <c r="H4141" i="1" s="1"/>
  <c r="I4141" i="1" s="1"/>
  <c r="J4142" i="1" s="1"/>
  <c r="G4140" i="1" a="1"/>
  <c r="G4140" i="1" s="1"/>
  <c r="H4140" i="1" s="1"/>
  <c r="I4140" i="1" s="1"/>
  <c r="J4141" i="1" s="1"/>
  <c r="G4139" i="1" a="1"/>
  <c r="G4139" i="1" s="1"/>
  <c r="H4139" i="1" s="1"/>
  <c r="I4139" i="1" s="1"/>
  <c r="J4140" i="1" s="1"/>
  <c r="G4138" i="1" a="1"/>
  <c r="G4138" i="1" s="1"/>
  <c r="G4137" i="1" a="1"/>
  <c r="G4137" i="1" s="1"/>
  <c r="G4136" i="1" a="1"/>
  <c r="G4136" i="1" s="1"/>
  <c r="G4135" i="1" a="1"/>
  <c r="G4135" i="1" s="1"/>
  <c r="G4134" i="1" a="1"/>
  <c r="G4134" i="1" s="1"/>
  <c r="G4133" i="1" a="1"/>
  <c r="G4133" i="1" s="1"/>
  <c r="H4133" i="1" s="1"/>
  <c r="I4133" i="1" s="1"/>
  <c r="J4134" i="1" s="1"/>
  <c r="G4132" i="1" a="1"/>
  <c r="G4132" i="1" s="1"/>
  <c r="H4132" i="1" s="1"/>
  <c r="I4132" i="1" s="1"/>
  <c r="J4133" i="1" s="1"/>
  <c r="G4131" i="1" a="1"/>
  <c r="G4131" i="1" s="1"/>
  <c r="H4131" i="1" s="1"/>
  <c r="I4131" i="1" s="1"/>
  <c r="J4132" i="1" s="1"/>
  <c r="G4130" i="1" a="1"/>
  <c r="G4130" i="1" s="1"/>
  <c r="H4130" i="1" s="1"/>
  <c r="I4130" i="1" s="1"/>
  <c r="J4131" i="1" s="1"/>
  <c r="G4129" i="1" a="1"/>
  <c r="G4129" i="1" s="1"/>
  <c r="G4128" i="1" a="1"/>
  <c r="G4128" i="1" s="1"/>
  <c r="H4128" i="1" s="1"/>
  <c r="I4128" i="1" s="1"/>
  <c r="J4129" i="1" s="1"/>
  <c r="G4127" i="1" a="1"/>
  <c r="G4127" i="1" s="1"/>
  <c r="G4126" i="1" a="1"/>
  <c r="G4126" i="1" s="1"/>
  <c r="G4125" i="1" a="1"/>
  <c r="G4125" i="1" s="1"/>
  <c r="G4124" i="1" a="1"/>
  <c r="G4124" i="1" s="1"/>
  <c r="G4123" i="1" a="1"/>
  <c r="G4123" i="1" s="1"/>
  <c r="G4122" i="1" a="1"/>
  <c r="G4122" i="1" s="1"/>
  <c r="H4122" i="1" s="1"/>
  <c r="I4122" i="1" s="1"/>
  <c r="J4123" i="1" s="1"/>
  <c r="G4121" i="1" a="1"/>
  <c r="G4121" i="1" s="1"/>
  <c r="H4121" i="1" s="1"/>
  <c r="I4121" i="1" s="1"/>
  <c r="J4122" i="1" s="1"/>
  <c r="G4120" i="1" a="1"/>
  <c r="G4120" i="1" s="1"/>
  <c r="G4119" i="1" a="1"/>
  <c r="G4119" i="1" s="1"/>
  <c r="H4119" i="1" s="1"/>
  <c r="I4119" i="1" s="1"/>
  <c r="J4120" i="1" s="1"/>
  <c r="G4118" i="1" a="1"/>
  <c r="G4118" i="1" s="1"/>
  <c r="G4117" i="1" a="1"/>
  <c r="G4117" i="1"/>
  <c r="H4117" i="1" s="1"/>
  <c r="I4117" i="1" s="1"/>
  <c r="J4118" i="1" s="1"/>
  <c r="G4116" i="1" a="1"/>
  <c r="G4116" i="1" s="1"/>
  <c r="H4116" i="1" s="1"/>
  <c r="I4116" i="1" s="1"/>
  <c r="J4117" i="1" s="1"/>
  <c r="G4115" i="1" a="1"/>
  <c r="G4115" i="1" s="1"/>
  <c r="H4115" i="1" s="1"/>
  <c r="I4115" i="1" s="1"/>
  <c r="J4116" i="1" s="1"/>
  <c r="G4114" i="1" a="1"/>
  <c r="G4114" i="1" s="1"/>
  <c r="H4114" i="1" s="1"/>
  <c r="I4114" i="1" s="1"/>
  <c r="J4115" i="1" s="1"/>
  <c r="G4113" i="1" a="1"/>
  <c r="G4113" i="1" s="1"/>
  <c r="G4112" i="1" a="1"/>
  <c r="G4112" i="1" s="1"/>
  <c r="G4111" i="1" a="1"/>
  <c r="G4111" i="1" s="1"/>
  <c r="G4110" i="1" a="1"/>
  <c r="G4110" i="1" s="1"/>
  <c r="G4109" i="1" a="1"/>
  <c r="G4109" i="1" s="1"/>
  <c r="G4108" i="1" a="1"/>
  <c r="G4108" i="1" s="1"/>
  <c r="G4107" i="1" a="1"/>
  <c r="G4107" i="1" s="1"/>
  <c r="G4106" i="1" a="1"/>
  <c r="G4106" i="1" s="1"/>
  <c r="H4106" i="1" s="1"/>
  <c r="I4106" i="1" s="1"/>
  <c r="J4107" i="1" s="1"/>
  <c r="G4105" i="1" a="1"/>
  <c r="G4105" i="1" s="1"/>
  <c r="H4105" i="1" s="1"/>
  <c r="I4105" i="1" s="1"/>
  <c r="J4106" i="1" s="1"/>
  <c r="G4104" i="1" a="1"/>
  <c r="G4104" i="1" s="1"/>
  <c r="H4104" i="1" s="1"/>
  <c r="I4104" i="1" s="1"/>
  <c r="J4105" i="1" s="1"/>
  <c r="G4103" i="1" a="1"/>
  <c r="G4103" i="1" s="1"/>
  <c r="G4102" i="1" a="1"/>
  <c r="G4102" i="1" s="1"/>
  <c r="G4101" i="1" a="1"/>
  <c r="G4101" i="1" s="1"/>
  <c r="G4100" i="1" a="1"/>
  <c r="G4100" i="1" s="1"/>
  <c r="G4099" i="1" a="1"/>
  <c r="G4099" i="1" s="1"/>
  <c r="G4098" i="1" a="1"/>
  <c r="G4098" i="1" s="1"/>
  <c r="G4097" i="1" a="1"/>
  <c r="G4097" i="1" s="1"/>
  <c r="H4097" i="1" s="1"/>
  <c r="I4097" i="1" s="1"/>
  <c r="J4098" i="1" s="1"/>
  <c r="G4096" i="1" a="1"/>
  <c r="G4096" i="1" s="1"/>
  <c r="H4096" i="1" s="1"/>
  <c r="I4096" i="1" s="1"/>
  <c r="J4097" i="1" s="1"/>
  <c r="G4095" i="1" a="1"/>
  <c r="G4095" i="1" s="1"/>
  <c r="H4095" i="1" s="1"/>
  <c r="I4095" i="1" s="1"/>
  <c r="J4096" i="1" s="1"/>
  <c r="G4094" i="1" a="1"/>
  <c r="G4094" i="1" s="1"/>
  <c r="H4094" i="1" s="1"/>
  <c r="I4094" i="1" s="1"/>
  <c r="J4095" i="1" s="1"/>
  <c r="G4093" i="1" a="1"/>
  <c r="G4093" i="1" s="1"/>
  <c r="H4093" i="1" s="1"/>
  <c r="I4093" i="1" s="1"/>
  <c r="J4094" i="1" s="1"/>
  <c r="G4092" i="1" a="1"/>
  <c r="G4092" i="1" s="1"/>
  <c r="G4091" i="1" a="1"/>
  <c r="G4091" i="1" s="1"/>
  <c r="G4090" i="1" a="1"/>
  <c r="G4090" i="1" s="1"/>
  <c r="G4089" i="1" a="1"/>
  <c r="G4089" i="1"/>
  <c r="G4088" i="1" a="1"/>
  <c r="G4088" i="1" s="1"/>
  <c r="G4087" i="1" a="1"/>
  <c r="G4087" i="1" s="1"/>
  <c r="G4086" i="1" a="1"/>
  <c r="G4086" i="1" s="1"/>
  <c r="H4086" i="1" s="1"/>
  <c r="I4086" i="1" s="1"/>
  <c r="J4087" i="1" s="1"/>
  <c r="G4085" i="1" a="1"/>
  <c r="G4085" i="1" s="1"/>
  <c r="H4085" i="1" s="1"/>
  <c r="I4085" i="1" s="1"/>
  <c r="J4086" i="1" s="1"/>
  <c r="G4084" i="1" a="1"/>
  <c r="G4084" i="1" s="1"/>
  <c r="G4083" i="1" a="1"/>
  <c r="G4083" i="1" s="1"/>
  <c r="G4082" i="1" a="1"/>
  <c r="G4082" i="1" s="1"/>
  <c r="H4082" i="1" s="1"/>
  <c r="I4082" i="1" s="1"/>
  <c r="J4083" i="1" s="1"/>
  <c r="G4081" i="1" a="1"/>
  <c r="G4081" i="1"/>
  <c r="G4080" i="1" a="1"/>
  <c r="G4080" i="1" s="1"/>
  <c r="G4079" i="1" a="1"/>
  <c r="G4079" i="1" s="1"/>
  <c r="G4078" i="1" a="1"/>
  <c r="G4078" i="1" s="1"/>
  <c r="G4077" i="1" a="1"/>
  <c r="G4077" i="1" s="1"/>
  <c r="G4076" i="1" a="1"/>
  <c r="G4076" i="1" s="1"/>
  <c r="G4075" i="1" a="1"/>
  <c r="G4075" i="1" s="1"/>
  <c r="G4074" i="1" a="1"/>
  <c r="G4074" i="1" s="1"/>
  <c r="G4073" i="1" a="1"/>
  <c r="G4073" i="1" s="1"/>
  <c r="G4072" i="1" a="1"/>
  <c r="G4072" i="1"/>
  <c r="G4071" i="1" a="1"/>
  <c r="G4071" i="1" s="1"/>
  <c r="H4071" i="1" s="1"/>
  <c r="I4071" i="1" s="1"/>
  <c r="J4072" i="1" s="1"/>
  <c r="G4070" i="1" a="1"/>
  <c r="G4070" i="1" s="1"/>
  <c r="G4069" i="1" a="1"/>
  <c r="G4069" i="1" s="1"/>
  <c r="G4068" i="1" a="1"/>
  <c r="G4068" i="1" s="1"/>
  <c r="G4067" i="1" a="1"/>
  <c r="G4067" i="1" s="1"/>
  <c r="G4066" i="1" a="1"/>
  <c r="G4066" i="1" s="1"/>
  <c r="G4065" i="1" a="1"/>
  <c r="G4065" i="1" s="1"/>
  <c r="G4064" i="1" a="1"/>
  <c r="G4064" i="1" s="1"/>
  <c r="H4064" i="1" s="1"/>
  <c r="I4064" i="1" s="1"/>
  <c r="J4065" i="1" s="1"/>
  <c r="G4063" i="1" a="1"/>
  <c r="G4063" i="1" s="1"/>
  <c r="H4063" i="1" s="1"/>
  <c r="I4063" i="1" s="1"/>
  <c r="J4064" i="1" s="1"/>
  <c r="G4062" i="1" a="1"/>
  <c r="G4062" i="1" s="1"/>
  <c r="H4062" i="1" s="1"/>
  <c r="I4062" i="1" s="1"/>
  <c r="J4063" i="1" s="1"/>
  <c r="G4061" i="1" a="1"/>
  <c r="G4061" i="1" s="1"/>
  <c r="H4061" i="1" s="1"/>
  <c r="I4061" i="1" s="1"/>
  <c r="J4062" i="1" s="1"/>
  <c r="G4060" i="1" a="1"/>
  <c r="G4060" i="1" s="1"/>
  <c r="H4060" i="1" s="1"/>
  <c r="I4060" i="1" s="1"/>
  <c r="J4061" i="1" s="1"/>
  <c r="G4059" i="1" a="1"/>
  <c r="G4059" i="1" s="1"/>
  <c r="G4058" i="1" a="1"/>
  <c r="G4058" i="1" s="1"/>
  <c r="G4057" i="1" a="1"/>
  <c r="G4057" i="1" s="1"/>
  <c r="G4056" i="1" a="1"/>
  <c r="G4056" i="1" s="1"/>
  <c r="H4056" i="1" s="1"/>
  <c r="I4056" i="1" s="1"/>
  <c r="J4057" i="1" s="1"/>
  <c r="G4055" i="1" a="1"/>
  <c r="G4055" i="1" s="1"/>
  <c r="G4054" i="1" a="1"/>
  <c r="G4054" i="1" s="1"/>
  <c r="G4053" i="1" a="1"/>
  <c r="G4053" i="1"/>
  <c r="H4053" i="1" s="1"/>
  <c r="I4053" i="1" s="1"/>
  <c r="J4054" i="1" s="1"/>
  <c r="G4052" i="1" a="1"/>
  <c r="G4052" i="1" s="1"/>
  <c r="H4052" i="1" s="1"/>
  <c r="I4052" i="1" s="1"/>
  <c r="J4053" i="1" s="1"/>
  <c r="G4051" i="1" a="1"/>
  <c r="G4051" i="1" s="1"/>
  <c r="H4051" i="1" s="1"/>
  <c r="I4051" i="1" s="1"/>
  <c r="J4052" i="1" s="1"/>
  <c r="G4050" i="1" a="1"/>
  <c r="G4050" i="1" s="1"/>
  <c r="H4050" i="1" s="1"/>
  <c r="I4050" i="1" s="1"/>
  <c r="J4051" i="1" s="1"/>
  <c r="G4049" i="1" a="1"/>
  <c r="G4049" i="1" s="1"/>
  <c r="G4048" i="1" a="1"/>
  <c r="G4048" i="1" s="1"/>
  <c r="G4047" i="1" a="1"/>
  <c r="G4047" i="1" s="1"/>
  <c r="H4047" i="1" s="1"/>
  <c r="I4047" i="1" s="1"/>
  <c r="J4048" i="1" s="1"/>
  <c r="G4046" i="1" a="1"/>
  <c r="G4046" i="1" s="1"/>
  <c r="G4045" i="1" a="1"/>
  <c r="G4045" i="1" s="1"/>
  <c r="G4044" i="1" a="1"/>
  <c r="G4044" i="1" s="1"/>
  <c r="G4043" i="1" a="1"/>
  <c r="G4043" i="1"/>
  <c r="G4042" i="1" a="1"/>
  <c r="G4042" i="1" s="1"/>
  <c r="H4042" i="1" s="1"/>
  <c r="I4042" i="1" s="1"/>
  <c r="J4043" i="1" s="1"/>
  <c r="G4041" i="1" a="1"/>
  <c r="G4041" i="1" s="1"/>
  <c r="H4041" i="1" s="1"/>
  <c r="I4041" i="1" s="1"/>
  <c r="J4042" i="1" s="1"/>
  <c r="G4040" i="1" a="1"/>
  <c r="G4040" i="1" s="1"/>
  <c r="G4039" i="1" a="1"/>
  <c r="G4039" i="1" s="1"/>
  <c r="G4038" i="1" a="1"/>
  <c r="G4038" i="1" s="1"/>
  <c r="G4037" i="1" a="1"/>
  <c r="G4037" i="1" s="1"/>
  <c r="G4036" i="1" a="1"/>
  <c r="G4036" i="1"/>
  <c r="G4035" i="1" a="1"/>
  <c r="G4035" i="1" s="1"/>
  <c r="H4035" i="1" s="1"/>
  <c r="I4035" i="1" s="1"/>
  <c r="J4036" i="1" s="1"/>
  <c r="G4034" i="1" a="1"/>
  <c r="G4034" i="1" s="1"/>
  <c r="G4033" i="1" a="1"/>
  <c r="G4033" i="1" s="1"/>
  <c r="G4032" i="1" a="1"/>
  <c r="G4032" i="1" s="1"/>
  <c r="G4031" i="1" a="1"/>
  <c r="G4031" i="1" s="1"/>
  <c r="G4030" i="1" a="1"/>
  <c r="G4030" i="1" s="1"/>
  <c r="G4029" i="1" a="1"/>
  <c r="G4029" i="1" s="1"/>
  <c r="G4028" i="1" a="1"/>
  <c r="G4028" i="1" s="1"/>
  <c r="H4028" i="1" s="1"/>
  <c r="I4028" i="1" s="1"/>
  <c r="J4029" i="1" s="1"/>
  <c r="G4027" i="1" a="1"/>
  <c r="G4027" i="1" s="1"/>
  <c r="G4026" i="1" a="1"/>
  <c r="G4026" i="1" s="1"/>
  <c r="H4026" i="1" s="1"/>
  <c r="I4026" i="1" s="1"/>
  <c r="J4027" i="1" s="1"/>
  <c r="G4025" i="1" a="1"/>
  <c r="G4025" i="1" s="1"/>
  <c r="H4025" i="1" s="1"/>
  <c r="I4025" i="1" s="1"/>
  <c r="J4026" i="1" s="1"/>
  <c r="G4024" i="1" a="1"/>
  <c r="G4024" i="1" s="1"/>
  <c r="H4024" i="1" s="1"/>
  <c r="I4024" i="1" s="1"/>
  <c r="J4025" i="1" s="1"/>
  <c r="G4023" i="1" a="1"/>
  <c r="G4023" i="1" s="1"/>
  <c r="G4022" i="1" a="1"/>
  <c r="G4022" i="1" s="1"/>
  <c r="G4021" i="1" a="1"/>
  <c r="G4021" i="1" s="1"/>
  <c r="G4020" i="1" a="1"/>
  <c r="G4020" i="1" s="1"/>
  <c r="G4019" i="1" a="1"/>
  <c r="G4019" i="1"/>
  <c r="G4018" i="1" a="1"/>
  <c r="G4018" i="1" s="1"/>
  <c r="G4017" i="1" a="1"/>
  <c r="G4017" i="1" s="1"/>
  <c r="H4017" i="1" s="1"/>
  <c r="I4017" i="1" s="1"/>
  <c r="J4018" i="1" s="1"/>
  <c r="G4016" i="1" a="1"/>
  <c r="G4016" i="1" s="1"/>
  <c r="H4016" i="1" s="1"/>
  <c r="I4016" i="1" s="1"/>
  <c r="J4017" i="1" s="1"/>
  <c r="G4015" i="1" a="1"/>
  <c r="G4015" i="1" s="1"/>
  <c r="H4015" i="1" s="1"/>
  <c r="I4015" i="1" s="1"/>
  <c r="J4016" i="1" s="1"/>
  <c r="G4014" i="1" a="1"/>
  <c r="G4014" i="1" s="1"/>
  <c r="H4014" i="1" s="1"/>
  <c r="I4014" i="1" s="1"/>
  <c r="J4015" i="1" s="1"/>
  <c r="G4013" i="1" a="1"/>
  <c r="G4013" i="1" s="1"/>
  <c r="G4012" i="1" a="1"/>
  <c r="G4012" i="1" s="1"/>
  <c r="G4011" i="1" a="1"/>
  <c r="G4011" i="1" s="1"/>
  <c r="H4011" i="1" s="1"/>
  <c r="I4011" i="1" s="1"/>
  <c r="J4012" i="1" s="1"/>
  <c r="G4010" i="1" a="1"/>
  <c r="G4010" i="1" s="1"/>
  <c r="G4009" i="1" a="1"/>
  <c r="G4009" i="1" s="1"/>
  <c r="G4008" i="1" a="1"/>
  <c r="G4008" i="1" s="1"/>
  <c r="G4007" i="1" a="1"/>
  <c r="G4007" i="1" s="1"/>
  <c r="G4006" i="1" a="1"/>
  <c r="G4006" i="1" s="1"/>
  <c r="H4006" i="1" s="1"/>
  <c r="I4006" i="1" s="1"/>
  <c r="J4007" i="1" s="1"/>
  <c r="G4005" i="1" a="1"/>
  <c r="G4005" i="1" s="1"/>
  <c r="H4005" i="1" s="1"/>
  <c r="I4005" i="1" s="1"/>
  <c r="J4006" i="1" s="1"/>
  <c r="G4004" i="1" a="1"/>
  <c r="G4004" i="1"/>
  <c r="G4003" i="1" a="1"/>
  <c r="G4003" i="1" s="1"/>
  <c r="H4003" i="1" s="1"/>
  <c r="I4003" i="1" s="1"/>
  <c r="J4004" i="1" s="1"/>
  <c r="G4002" i="1" a="1"/>
  <c r="G4002" i="1" s="1"/>
  <c r="H4002" i="1" s="1"/>
  <c r="I4002" i="1" s="1"/>
  <c r="J4003" i="1" s="1"/>
  <c r="G4001" i="1" a="1"/>
  <c r="G4001" i="1" s="1"/>
  <c r="H4001" i="1" s="1"/>
  <c r="I4001" i="1" s="1"/>
  <c r="J4002" i="1" s="1"/>
  <c r="G4000" i="1" a="1"/>
  <c r="G4000" i="1" s="1"/>
  <c r="G3999" i="1" a="1"/>
  <c r="G3999" i="1" s="1"/>
  <c r="G3998" i="1" a="1"/>
  <c r="G3998" i="1" s="1"/>
  <c r="G3997" i="1" a="1"/>
  <c r="G3997" i="1"/>
  <c r="G3996" i="1" a="1"/>
  <c r="G3996" i="1" s="1"/>
  <c r="H3996" i="1" s="1"/>
  <c r="I3996" i="1" s="1"/>
  <c r="J3997" i="1" s="1"/>
  <c r="G3995" i="1" a="1"/>
  <c r="G3995" i="1" s="1"/>
  <c r="G3994" i="1" a="1"/>
  <c r="G3994" i="1" s="1"/>
  <c r="G3993" i="1" a="1"/>
  <c r="G3993" i="1" s="1"/>
  <c r="H3993" i="1" s="1"/>
  <c r="I3993" i="1" s="1"/>
  <c r="J3994" i="1" s="1"/>
  <c r="G3992" i="1" a="1"/>
  <c r="G3992" i="1"/>
  <c r="H3992" i="1" s="1"/>
  <c r="I3992" i="1" s="1"/>
  <c r="J3993" i="1" s="1"/>
  <c r="G3991" i="1" a="1"/>
  <c r="G3991" i="1"/>
  <c r="G3990" i="1" a="1"/>
  <c r="G3990" i="1" s="1"/>
  <c r="H3990" i="1" s="1"/>
  <c r="I3990" i="1" s="1"/>
  <c r="J3991" i="1" s="1"/>
  <c r="G3989" i="1" a="1"/>
  <c r="G3989" i="1" s="1"/>
  <c r="H3989" i="1" s="1"/>
  <c r="I3989" i="1" s="1"/>
  <c r="J3990" i="1" s="1"/>
  <c r="G3988" i="1" a="1"/>
  <c r="G3988" i="1" s="1"/>
  <c r="G3987" i="1" a="1"/>
  <c r="G3987" i="1" s="1"/>
  <c r="G3986" i="1" a="1"/>
  <c r="G3986" i="1" s="1"/>
  <c r="G3985" i="1" a="1"/>
  <c r="G3985" i="1" s="1"/>
  <c r="G3984" i="1" a="1"/>
  <c r="G3984" i="1" s="1"/>
  <c r="G3983" i="1" a="1"/>
  <c r="G3983" i="1" s="1"/>
  <c r="H3983" i="1" s="1"/>
  <c r="I3983" i="1" s="1"/>
  <c r="J3984" i="1" s="1"/>
  <c r="G3982" i="1" a="1"/>
  <c r="G3982" i="1" s="1"/>
  <c r="G3981" i="1" a="1"/>
  <c r="G3981" i="1" s="1"/>
  <c r="G3980" i="1" a="1"/>
  <c r="G3980" i="1" s="1"/>
  <c r="H3980" i="1" s="1"/>
  <c r="I3980" i="1" s="1"/>
  <c r="J3981" i="1" s="1"/>
  <c r="G3979" i="1" a="1"/>
  <c r="G3979" i="1" s="1"/>
  <c r="H3979" i="1" s="1"/>
  <c r="I3979" i="1" s="1"/>
  <c r="J3980" i="1" s="1"/>
  <c r="G3978" i="1" a="1"/>
  <c r="G3978" i="1" s="1"/>
  <c r="G3977" i="1" a="1"/>
  <c r="G3977" i="1" s="1"/>
  <c r="H3977" i="1" s="1"/>
  <c r="I3977" i="1" s="1"/>
  <c r="J3978" i="1" s="1"/>
  <c r="G3976" i="1" a="1"/>
  <c r="G3976" i="1" s="1"/>
  <c r="H3976" i="1" s="1"/>
  <c r="I3976" i="1" s="1"/>
  <c r="J3977" i="1" s="1"/>
  <c r="G3975" i="1" a="1"/>
  <c r="G3975" i="1" s="1"/>
  <c r="G3974" i="1" a="1"/>
  <c r="G3974" i="1" s="1"/>
  <c r="G3973" i="1" a="1"/>
  <c r="G3973" i="1" s="1"/>
  <c r="G3972" i="1" a="1"/>
  <c r="G3972" i="1" s="1"/>
  <c r="G3971" i="1" a="1"/>
  <c r="G3971" i="1" s="1"/>
  <c r="G3970" i="1" a="1"/>
  <c r="G3970" i="1" s="1"/>
  <c r="G3969" i="1" a="1"/>
  <c r="G3969" i="1" s="1"/>
  <c r="H3969" i="1" s="1"/>
  <c r="I3969" i="1" s="1"/>
  <c r="J3970" i="1" s="1"/>
  <c r="G3968" i="1" a="1"/>
  <c r="G3968" i="1" s="1"/>
  <c r="H3968" i="1" s="1"/>
  <c r="I3968" i="1" s="1"/>
  <c r="J3969" i="1" s="1"/>
  <c r="G3967" i="1" a="1"/>
  <c r="G3967" i="1" s="1"/>
  <c r="H3967" i="1" s="1"/>
  <c r="I3967" i="1" s="1"/>
  <c r="J3968" i="1" s="1"/>
  <c r="G3966" i="1" a="1"/>
  <c r="G3966" i="1" s="1"/>
  <c r="G3965" i="1" a="1"/>
  <c r="G3965" i="1" s="1"/>
  <c r="G3964" i="1" a="1"/>
  <c r="G3964" i="1"/>
  <c r="G3963" i="1" a="1"/>
  <c r="G3963" i="1" s="1"/>
  <c r="H3963" i="1" s="1"/>
  <c r="I3963" i="1" s="1"/>
  <c r="J3964" i="1" s="1"/>
  <c r="G3962" i="1" a="1"/>
  <c r="G3962" i="1" s="1"/>
  <c r="H3962" i="1" s="1"/>
  <c r="I3962" i="1" s="1"/>
  <c r="J3963" i="1" s="1"/>
  <c r="G3961" i="1" a="1"/>
  <c r="G3961" i="1" s="1"/>
  <c r="G3960" i="1" a="1"/>
  <c r="G3960" i="1" s="1"/>
  <c r="H3960" i="1" s="1"/>
  <c r="I3960" i="1" s="1"/>
  <c r="J3961" i="1" s="1"/>
  <c r="G3959" i="1" a="1"/>
  <c r="G3959" i="1" s="1"/>
  <c r="H3959" i="1" s="1"/>
  <c r="I3959" i="1" s="1"/>
  <c r="J3960" i="1" s="1"/>
  <c r="G3958" i="1" a="1"/>
  <c r="G3958" i="1" s="1"/>
  <c r="G3957" i="1" a="1"/>
  <c r="G3957" i="1" s="1"/>
  <c r="G3956" i="1" a="1"/>
  <c r="G3956" i="1" s="1"/>
  <c r="G3955" i="1" a="1"/>
  <c r="G3955" i="1" s="1"/>
  <c r="G3954" i="1" a="1"/>
  <c r="G3954" i="1" s="1"/>
  <c r="H3954" i="1" s="1"/>
  <c r="I3954" i="1" s="1"/>
  <c r="J3955" i="1" s="1"/>
  <c r="G3953" i="1" a="1"/>
  <c r="G3953" i="1" s="1"/>
  <c r="H3953" i="1" s="1"/>
  <c r="I3953" i="1" s="1"/>
  <c r="J3954" i="1" s="1"/>
  <c r="G3952" i="1" a="1"/>
  <c r="G3952" i="1" s="1"/>
  <c r="G3951" i="1" a="1"/>
  <c r="G3951" i="1" s="1"/>
  <c r="H3951" i="1" s="1"/>
  <c r="I3951" i="1" s="1"/>
  <c r="J3952" i="1" s="1"/>
  <c r="G3950" i="1" a="1"/>
  <c r="G3950" i="1" s="1"/>
  <c r="H3950" i="1" s="1"/>
  <c r="I3950" i="1" s="1"/>
  <c r="J3951" i="1" s="1"/>
  <c r="G3949" i="1" a="1"/>
  <c r="G3949" i="1" s="1"/>
  <c r="H3949" i="1" s="1"/>
  <c r="I3949" i="1" s="1"/>
  <c r="J3950" i="1" s="1"/>
  <c r="G3948" i="1" a="1"/>
  <c r="G3948" i="1" s="1"/>
  <c r="H3948" i="1" s="1"/>
  <c r="I3948" i="1" s="1"/>
  <c r="J3949" i="1" s="1"/>
  <c r="G3947" i="1" a="1"/>
  <c r="G3947" i="1" s="1"/>
  <c r="H3947" i="1" s="1"/>
  <c r="I3947" i="1" s="1"/>
  <c r="J3948" i="1" s="1"/>
  <c r="G3946" i="1" a="1"/>
  <c r="G3946" i="1" s="1"/>
  <c r="H3946" i="1" s="1"/>
  <c r="I3946" i="1" s="1"/>
  <c r="J3947" i="1" s="1"/>
  <c r="G3945" i="1" a="1"/>
  <c r="G3945" i="1" s="1"/>
  <c r="G3944" i="1" a="1"/>
  <c r="G3944" i="1" s="1"/>
  <c r="H3944" i="1" s="1"/>
  <c r="I3944" i="1" s="1"/>
  <c r="J3945" i="1" s="1"/>
  <c r="G3943" i="1" a="1"/>
  <c r="G3943" i="1" s="1"/>
  <c r="H3943" i="1" s="1"/>
  <c r="I3943" i="1" s="1"/>
  <c r="J3944" i="1" s="1"/>
  <c r="G3942" i="1" a="1"/>
  <c r="G3942" i="1"/>
  <c r="H3942" i="1" s="1"/>
  <c r="I3942" i="1" s="1"/>
  <c r="J3943" i="1" s="1"/>
  <c r="G3941" i="1" a="1"/>
  <c r="G3941" i="1" s="1"/>
  <c r="H3941" i="1" s="1"/>
  <c r="I3941" i="1" s="1"/>
  <c r="J3942" i="1" s="1"/>
  <c r="G3940" i="1" a="1"/>
  <c r="G3940" i="1" s="1"/>
  <c r="G3939" i="1" a="1"/>
  <c r="G3939" i="1" s="1"/>
  <c r="G3938" i="1" a="1"/>
  <c r="G3938" i="1" s="1"/>
  <c r="H3938" i="1" s="1"/>
  <c r="I3938" i="1" s="1"/>
  <c r="J3939" i="1" s="1"/>
  <c r="G3937" i="1" a="1"/>
  <c r="G3937" i="1" s="1"/>
  <c r="G3936" i="1" a="1"/>
  <c r="G3936" i="1"/>
  <c r="G3935" i="1" a="1"/>
  <c r="G3935" i="1" s="1"/>
  <c r="G3934" i="1" a="1"/>
  <c r="G3934" i="1" s="1"/>
  <c r="H3934" i="1" s="1"/>
  <c r="I3934" i="1" s="1"/>
  <c r="J3935" i="1" s="1"/>
  <c r="G3933" i="1" a="1"/>
  <c r="G3933" i="1" s="1"/>
  <c r="H3933" i="1" s="1"/>
  <c r="I3933" i="1" s="1"/>
  <c r="J3934" i="1" s="1"/>
  <c r="G3932" i="1" a="1"/>
  <c r="G3932" i="1" s="1"/>
  <c r="H3932" i="1" s="1"/>
  <c r="I3932" i="1" s="1"/>
  <c r="J3933" i="1" s="1"/>
  <c r="G3931" i="1" a="1"/>
  <c r="G3931" i="1" s="1"/>
  <c r="H3931" i="1" s="1"/>
  <c r="I3931" i="1" s="1"/>
  <c r="J3932" i="1" s="1"/>
  <c r="G3930" i="1" a="1"/>
  <c r="G3930" i="1" s="1"/>
  <c r="G3929" i="1" a="1"/>
  <c r="G3929" i="1" s="1"/>
  <c r="G3928" i="1" a="1"/>
  <c r="G3928" i="1" s="1"/>
  <c r="G3927" i="1" a="1"/>
  <c r="G3927" i="1" s="1"/>
  <c r="H3927" i="1" s="1"/>
  <c r="I3927" i="1" s="1"/>
  <c r="J3928" i="1" s="1"/>
  <c r="G3926" i="1" a="1"/>
  <c r="G3926" i="1" s="1"/>
  <c r="H3926" i="1" s="1"/>
  <c r="I3926" i="1" s="1"/>
  <c r="J3927" i="1" s="1"/>
  <c r="G3925" i="1" a="1"/>
  <c r="G3925" i="1" s="1"/>
  <c r="G3924" i="1" a="1"/>
  <c r="G3924" i="1" s="1"/>
  <c r="H3924" i="1" s="1"/>
  <c r="I3924" i="1" s="1"/>
  <c r="J3925" i="1" s="1"/>
  <c r="G3923" i="1" a="1"/>
  <c r="G3923" i="1" s="1"/>
  <c r="H3923" i="1" s="1"/>
  <c r="I3923" i="1" s="1"/>
  <c r="J3924" i="1" s="1"/>
  <c r="G3922" i="1" a="1"/>
  <c r="G3922" i="1" s="1"/>
  <c r="H3922" i="1" s="1"/>
  <c r="I3922" i="1" s="1"/>
  <c r="J3923" i="1" s="1"/>
  <c r="G3921" i="1" a="1"/>
  <c r="G3921" i="1" s="1"/>
  <c r="G3920" i="1" a="1"/>
  <c r="G3920" i="1" s="1"/>
  <c r="H3920" i="1" s="1"/>
  <c r="I3920" i="1" s="1"/>
  <c r="J3921" i="1" s="1"/>
  <c r="G3919" i="1" a="1"/>
  <c r="G3919" i="1" s="1"/>
  <c r="G3918" i="1" a="1"/>
  <c r="G3918" i="1" s="1"/>
  <c r="H3918" i="1" s="1"/>
  <c r="I3918" i="1" s="1"/>
  <c r="J3919" i="1" s="1"/>
  <c r="G3917" i="1" a="1"/>
  <c r="G3917" i="1" s="1"/>
  <c r="H3917" i="1" s="1"/>
  <c r="I3917" i="1" s="1"/>
  <c r="J3918" i="1" s="1"/>
  <c r="G3916" i="1" a="1"/>
  <c r="G3916" i="1" s="1"/>
  <c r="H3916" i="1" s="1"/>
  <c r="I3916" i="1" s="1"/>
  <c r="J3917" i="1" s="1"/>
  <c r="G3915" i="1" a="1"/>
  <c r="G3915" i="1" s="1"/>
  <c r="H3915" i="1" s="1"/>
  <c r="I3915" i="1" s="1"/>
  <c r="J3916" i="1" s="1"/>
  <c r="G3914" i="1" a="1"/>
  <c r="G3914" i="1" s="1"/>
  <c r="H3914" i="1" s="1"/>
  <c r="I3914" i="1" s="1"/>
  <c r="J3915" i="1" s="1"/>
  <c r="G3913" i="1" a="1"/>
  <c r="G3913" i="1" s="1"/>
  <c r="H3913" i="1" s="1"/>
  <c r="I3913" i="1" s="1"/>
  <c r="J3914" i="1" s="1"/>
  <c r="G3912" i="1" a="1"/>
  <c r="G3912" i="1" s="1"/>
  <c r="H3912" i="1" s="1"/>
  <c r="I3912" i="1" s="1"/>
  <c r="J3913" i="1" s="1"/>
  <c r="G3911" i="1" a="1"/>
  <c r="G3911" i="1" s="1"/>
  <c r="G3910" i="1" a="1"/>
  <c r="G3910" i="1" s="1"/>
  <c r="H3910" i="1" s="1"/>
  <c r="I3910" i="1" s="1"/>
  <c r="J3911" i="1" s="1"/>
  <c r="G3909" i="1" a="1"/>
  <c r="G3909" i="1" s="1"/>
  <c r="H3909" i="1" s="1"/>
  <c r="I3909" i="1" s="1"/>
  <c r="J3910" i="1" s="1"/>
  <c r="G3908" i="1" a="1"/>
  <c r="G3908" i="1" s="1"/>
  <c r="H3908" i="1" s="1"/>
  <c r="I3908" i="1" s="1"/>
  <c r="J3909" i="1" s="1"/>
  <c r="G3907" i="1" a="1"/>
  <c r="G3907" i="1" s="1"/>
  <c r="H3907" i="1" s="1"/>
  <c r="I3907" i="1" s="1"/>
  <c r="J3908" i="1" s="1"/>
  <c r="G3906" i="1" a="1"/>
  <c r="G3906" i="1" s="1"/>
  <c r="H3906" i="1" s="1"/>
  <c r="I3906" i="1" s="1"/>
  <c r="J3907" i="1" s="1"/>
  <c r="G3905" i="1" a="1"/>
  <c r="G3905" i="1" s="1"/>
  <c r="G3904" i="1" a="1"/>
  <c r="G3904" i="1" s="1"/>
  <c r="G3903" i="1" a="1"/>
  <c r="G3903" i="1" s="1"/>
  <c r="H3903" i="1" s="1"/>
  <c r="I3903" i="1" s="1"/>
  <c r="J3904" i="1" s="1"/>
  <c r="G3902" i="1" a="1"/>
  <c r="G3902" i="1" s="1"/>
  <c r="H3902" i="1" s="1"/>
  <c r="I3902" i="1" s="1"/>
  <c r="J3903" i="1" s="1"/>
  <c r="G3901" i="1" a="1"/>
  <c r="G3901" i="1" s="1"/>
  <c r="H3901" i="1" s="1"/>
  <c r="I3901" i="1" s="1"/>
  <c r="J3902" i="1" s="1"/>
  <c r="G3900" i="1" a="1"/>
  <c r="G3900" i="1" s="1"/>
  <c r="H3900" i="1" s="1"/>
  <c r="I3900" i="1" s="1"/>
  <c r="J3901" i="1" s="1"/>
  <c r="G3899" i="1" a="1"/>
  <c r="G3899" i="1" s="1"/>
  <c r="H3899" i="1" s="1"/>
  <c r="I3899" i="1" s="1"/>
  <c r="J3900" i="1" s="1"/>
  <c r="G3898" i="1" a="1"/>
  <c r="G3898" i="1" s="1"/>
  <c r="H3898" i="1" s="1"/>
  <c r="I3898" i="1" s="1"/>
  <c r="J3899" i="1" s="1"/>
  <c r="G3897" i="1" a="1"/>
  <c r="G3897" i="1" s="1"/>
  <c r="H3897" i="1" s="1"/>
  <c r="I3897" i="1" s="1"/>
  <c r="J3898" i="1" s="1"/>
  <c r="G3896" i="1" a="1"/>
  <c r="G3896" i="1" s="1"/>
  <c r="H3896" i="1" s="1"/>
  <c r="I3896" i="1" s="1"/>
  <c r="J3897" i="1" s="1"/>
  <c r="G3895" i="1" a="1"/>
  <c r="G3895" i="1" s="1"/>
  <c r="G3894" i="1" a="1"/>
  <c r="G3894" i="1"/>
  <c r="G3893" i="1" a="1"/>
  <c r="G3893" i="1" s="1"/>
  <c r="H3893" i="1" s="1"/>
  <c r="I3893" i="1" s="1"/>
  <c r="J3894" i="1" s="1"/>
  <c r="G3892" i="1" a="1"/>
  <c r="G3892" i="1" s="1"/>
  <c r="H3892" i="1" s="1"/>
  <c r="I3892" i="1" s="1"/>
  <c r="J3893" i="1" s="1"/>
  <c r="G3891" i="1" a="1"/>
  <c r="G3891" i="1" s="1"/>
  <c r="H3891" i="1" s="1"/>
  <c r="I3891" i="1" s="1"/>
  <c r="J3892" i="1" s="1"/>
  <c r="G3890" i="1" a="1"/>
  <c r="G3890" i="1" s="1"/>
  <c r="G3889" i="1" a="1"/>
  <c r="G3889" i="1" s="1"/>
  <c r="H3889" i="1" s="1"/>
  <c r="I3889" i="1" s="1"/>
  <c r="J3890" i="1" s="1"/>
  <c r="G3888" i="1" a="1"/>
  <c r="G3888" i="1" s="1"/>
  <c r="H3888" i="1" s="1"/>
  <c r="I3888" i="1" s="1"/>
  <c r="J3889" i="1" s="1"/>
  <c r="G3887" i="1" a="1"/>
  <c r="G3887" i="1" s="1"/>
  <c r="H3887" i="1" s="1"/>
  <c r="I3887" i="1" s="1"/>
  <c r="J3888" i="1" s="1"/>
  <c r="G3886" i="1" a="1"/>
  <c r="G3886" i="1" s="1"/>
  <c r="H3886" i="1" s="1"/>
  <c r="I3886" i="1" s="1"/>
  <c r="J3887" i="1" s="1"/>
  <c r="G3885" i="1" a="1"/>
  <c r="G3885" i="1" s="1"/>
  <c r="G3884" i="1" a="1"/>
  <c r="G3884" i="1" s="1"/>
  <c r="H3884" i="1" s="1"/>
  <c r="I3884" i="1" s="1"/>
  <c r="J3885" i="1" s="1"/>
  <c r="G3883" i="1" a="1"/>
  <c r="G3883" i="1" s="1"/>
  <c r="H3883" i="1" s="1"/>
  <c r="I3883" i="1" s="1"/>
  <c r="J3884" i="1" s="1"/>
  <c r="G3882" i="1" a="1"/>
  <c r="G3882" i="1" s="1"/>
  <c r="H3882" i="1" s="1"/>
  <c r="I3882" i="1" s="1"/>
  <c r="J3883" i="1" s="1"/>
  <c r="G3881" i="1" a="1"/>
  <c r="G3881" i="1" s="1"/>
  <c r="H3881" i="1" s="1"/>
  <c r="I3881" i="1" s="1"/>
  <c r="J3882" i="1" s="1"/>
  <c r="G3880" i="1" a="1"/>
  <c r="G3880" i="1" s="1"/>
  <c r="H3880" i="1" s="1"/>
  <c r="I3880" i="1" s="1"/>
  <c r="J3881" i="1" s="1"/>
  <c r="G3879" i="1" a="1"/>
  <c r="G3879" i="1" s="1"/>
  <c r="H3879" i="1" s="1"/>
  <c r="G3878" i="1" a="1"/>
  <c r="G3878" i="1" s="1"/>
  <c r="G3877" i="1" a="1"/>
  <c r="G3877" i="1" s="1"/>
  <c r="H3877" i="1" s="1"/>
  <c r="I3877" i="1" s="1"/>
  <c r="J3878" i="1" s="1"/>
  <c r="G3876" i="1" a="1"/>
  <c r="G3876" i="1" s="1"/>
  <c r="H3876" i="1" s="1"/>
  <c r="I3876" i="1" s="1"/>
  <c r="J3877" i="1" s="1"/>
  <c r="G3875" i="1" a="1"/>
  <c r="G3875" i="1" s="1"/>
  <c r="H3875" i="1" s="1"/>
  <c r="I3875" i="1" s="1"/>
  <c r="J3876" i="1" s="1"/>
  <c r="G3874" i="1" a="1"/>
  <c r="G3874" i="1" s="1"/>
  <c r="H3874" i="1" s="1"/>
  <c r="I3874" i="1" s="1"/>
  <c r="J3875" i="1" s="1"/>
  <c r="G3873" i="1" a="1"/>
  <c r="G3873" i="1" s="1"/>
  <c r="H3873" i="1" s="1"/>
  <c r="I3873" i="1" s="1"/>
  <c r="J3874" i="1" s="1"/>
  <c r="G3872" i="1" a="1"/>
  <c r="G3872" i="1" s="1"/>
  <c r="H3872" i="1" s="1"/>
  <c r="I3872" i="1" s="1"/>
  <c r="J3873" i="1" s="1"/>
  <c r="G3871" i="1" a="1"/>
  <c r="G3871" i="1" s="1"/>
  <c r="H3871" i="1" s="1"/>
  <c r="I3871" i="1" s="1"/>
  <c r="J3872" i="1" s="1"/>
  <c r="G3870" i="1" a="1"/>
  <c r="G3870" i="1" s="1"/>
  <c r="H3870" i="1" s="1"/>
  <c r="I3870" i="1" s="1"/>
  <c r="J3871" i="1" s="1"/>
  <c r="G3869" i="1" a="1"/>
  <c r="G3869" i="1" s="1"/>
  <c r="H3869" i="1" s="1"/>
  <c r="I3869" i="1" s="1"/>
  <c r="J3870" i="1" s="1"/>
  <c r="G3868" i="1" a="1"/>
  <c r="G3868" i="1" s="1"/>
  <c r="H3868" i="1" s="1"/>
  <c r="I3868" i="1" s="1"/>
  <c r="J3869" i="1" s="1"/>
  <c r="G3867" i="1" a="1"/>
  <c r="G3867" i="1" s="1"/>
  <c r="H3867" i="1" s="1"/>
  <c r="I3867" i="1" s="1"/>
  <c r="J3868" i="1" s="1"/>
  <c r="G3866" i="1" a="1"/>
  <c r="G3866" i="1" s="1"/>
  <c r="H3866" i="1" s="1"/>
  <c r="I3866" i="1" s="1"/>
  <c r="J3867" i="1" s="1"/>
  <c r="G3865" i="1" a="1"/>
  <c r="G3865" i="1" s="1"/>
  <c r="G3864" i="1" a="1"/>
  <c r="G3864" i="1" s="1"/>
  <c r="H3864" i="1" s="1"/>
  <c r="I3864" i="1" s="1"/>
  <c r="J3865" i="1" s="1"/>
  <c r="G3863" i="1" a="1"/>
  <c r="G3863" i="1" s="1"/>
  <c r="H3863" i="1" s="1"/>
  <c r="I3863" i="1" s="1"/>
  <c r="J3864" i="1" s="1"/>
  <c r="G3862" i="1" a="1"/>
  <c r="G3862" i="1" s="1"/>
  <c r="H3862" i="1" s="1"/>
  <c r="I3862" i="1" s="1"/>
  <c r="J3863" i="1" s="1"/>
  <c r="G3861" i="1" a="1"/>
  <c r="G3861" i="1" s="1"/>
  <c r="H3861" i="1" s="1"/>
  <c r="I3861" i="1" s="1"/>
  <c r="J3862" i="1" s="1"/>
  <c r="G3860" i="1" a="1"/>
  <c r="G3860" i="1" s="1"/>
  <c r="H3860" i="1" s="1"/>
  <c r="I3860" i="1" s="1"/>
  <c r="J3861" i="1" s="1"/>
  <c r="G3859" i="1" a="1"/>
  <c r="G3859" i="1" s="1"/>
  <c r="H3859" i="1" s="1"/>
  <c r="G3858" i="1" a="1"/>
  <c r="G3858" i="1" s="1"/>
  <c r="H3858" i="1" s="1"/>
  <c r="I3858" i="1" s="1"/>
  <c r="J3859" i="1" s="1"/>
  <c r="B5" i="12"/>
  <c r="B6" i="12"/>
  <c r="B4" i="12"/>
  <c r="B3" i="12"/>
  <c r="B2" i="12"/>
  <c r="J2" i="1"/>
  <c r="I89" i="1"/>
  <c r="J90" i="1" s="1"/>
  <c r="I99" i="1"/>
  <c r="J100" i="1" s="1"/>
  <c r="I239" i="1"/>
  <c r="J240" i="1" s="1"/>
  <c r="I259" i="1"/>
  <c r="J260" i="1" s="1"/>
  <c r="I379" i="1"/>
  <c r="J380" i="1" s="1"/>
  <c r="I569" i="1"/>
  <c r="J570" i="1" s="1"/>
  <c r="I869" i="1"/>
  <c r="J870" i="1" s="1"/>
  <c r="I879" i="1"/>
  <c r="J880" i="1" s="1"/>
  <c r="I1219" i="1"/>
  <c r="J1220" i="1" s="1"/>
  <c r="I1339" i="1"/>
  <c r="J1340" i="1" s="1"/>
  <c r="I1679" i="1"/>
  <c r="J1680" i="1" s="1"/>
  <c r="I1839" i="1"/>
  <c r="J1840" i="1" s="1"/>
  <c r="I2319" i="1"/>
  <c r="J2320" i="1" s="1"/>
  <c r="I2459" i="1"/>
  <c r="J2460" i="1" s="1"/>
  <c r="I3129" i="1"/>
  <c r="J3130" i="1" s="1"/>
  <c r="I3249" i="1"/>
  <c r="J3250" i="1" s="1"/>
  <c r="I3369" i="1"/>
  <c r="J3370" i="1" s="1"/>
  <c r="I3739" i="1"/>
  <c r="J3740" i="1" s="1"/>
  <c r="I3859" i="1"/>
  <c r="J3860" i="1" s="1"/>
  <c r="I3879" i="1"/>
  <c r="J3880" i="1" s="1"/>
  <c r="I3945" i="1"/>
  <c r="J3946" i="1" s="1"/>
  <c r="I4129" i="1"/>
  <c r="J4130" i="1" s="1"/>
  <c r="I4189" i="1"/>
  <c r="J4190" i="1" s="1"/>
  <c r="I4295" i="1"/>
  <c r="J4296" i="1" s="1"/>
  <c r="I4495" i="1"/>
  <c r="J4496" i="1" s="1"/>
  <c r="I4499" i="1"/>
  <c r="J4500" i="1" s="1"/>
  <c r="I4519" i="1"/>
  <c r="J4520" i="1" s="1"/>
  <c r="I4619" i="1"/>
  <c r="J4620" i="1" s="1"/>
  <c r="I4779" i="1"/>
  <c r="J4780" i="1" s="1"/>
  <c r="I4795" i="1"/>
  <c r="J4796" i="1" s="1"/>
  <c r="I4879" i="1"/>
  <c r="J4880" i="1" s="1"/>
  <c r="I4889" i="1"/>
  <c r="J4890" i="1" s="1"/>
  <c r="I30" i="1"/>
  <c r="J31" i="1" s="1"/>
  <c r="I34" i="1"/>
  <c r="J35" i="1" s="1"/>
  <c r="H4993" i="1"/>
  <c r="I4993" i="1" s="1"/>
  <c r="J4994" i="1" s="1"/>
  <c r="H4994" i="1"/>
  <c r="I4994" i="1" s="1"/>
  <c r="J4995" i="1" s="1"/>
  <c r="H4995" i="1"/>
  <c r="I4995" i="1" s="1"/>
  <c r="J4996" i="1" s="1"/>
  <c r="H4996" i="1"/>
  <c r="I4996" i="1" s="1"/>
  <c r="J4997" i="1" s="1"/>
  <c r="H4997" i="1"/>
  <c r="I4997" i="1" s="1"/>
  <c r="J4998" i="1" s="1"/>
  <c r="H4998" i="1"/>
  <c r="I4998" i="1" s="1"/>
  <c r="J4999" i="1" s="1"/>
  <c r="H4999" i="1"/>
  <c r="I4999" i="1" s="1"/>
  <c r="J5000" i="1" s="1"/>
  <c r="H5000" i="1"/>
  <c r="I5000" i="1" s="1"/>
  <c r="J5001" i="1" s="1"/>
  <c r="H5001" i="1"/>
  <c r="I5001" i="1" s="1"/>
  <c r="H4978" i="1"/>
  <c r="I4978" i="1" s="1"/>
  <c r="J4979" i="1" s="1"/>
  <c r="H4979" i="1"/>
  <c r="I4979" i="1" s="1"/>
  <c r="J4980" i="1" s="1"/>
  <c r="H4980" i="1"/>
  <c r="I4980" i="1" s="1"/>
  <c r="J4981" i="1" s="1"/>
  <c r="H4981" i="1"/>
  <c r="I4981" i="1" s="1"/>
  <c r="J4982" i="1" s="1"/>
  <c r="H4982" i="1"/>
  <c r="I4982" i="1" s="1"/>
  <c r="J4983" i="1" s="1"/>
  <c r="H4983" i="1"/>
  <c r="I4983" i="1" s="1"/>
  <c r="J4984" i="1" s="1"/>
  <c r="H4984" i="1"/>
  <c r="I4984" i="1" s="1"/>
  <c r="J4985" i="1" s="1"/>
  <c r="H4985" i="1"/>
  <c r="I4985" i="1" s="1"/>
  <c r="J4986" i="1" s="1"/>
  <c r="H4986" i="1"/>
  <c r="I4986" i="1" s="1"/>
  <c r="J4987" i="1" s="1"/>
  <c r="H4987" i="1"/>
  <c r="I4987" i="1" s="1"/>
  <c r="J4988" i="1" s="1"/>
  <c r="H4988" i="1"/>
  <c r="I4988" i="1" s="1"/>
  <c r="J4989" i="1" s="1"/>
  <c r="H4989" i="1"/>
  <c r="I4989" i="1" s="1"/>
  <c r="J4990" i="1" s="1"/>
  <c r="H4990" i="1"/>
  <c r="I4990" i="1" s="1"/>
  <c r="J4991" i="1" s="1"/>
  <c r="H4991" i="1"/>
  <c r="I4991" i="1" s="1"/>
  <c r="J4992" i="1" s="1"/>
  <c r="H4992" i="1"/>
  <c r="I4992" i="1" s="1"/>
  <c r="J4993" i="1" s="1"/>
  <c r="H4953" i="1"/>
  <c r="I4953" i="1" s="1"/>
  <c r="J4954" i="1" s="1"/>
  <c r="H4954" i="1"/>
  <c r="I4954" i="1" s="1"/>
  <c r="J4955" i="1" s="1"/>
  <c r="H4955" i="1"/>
  <c r="I4955" i="1" s="1"/>
  <c r="J4956" i="1" s="1"/>
  <c r="H4956" i="1"/>
  <c r="I4956" i="1" s="1"/>
  <c r="J4957" i="1" s="1"/>
  <c r="H4957" i="1"/>
  <c r="I4957" i="1" s="1"/>
  <c r="J4958" i="1" s="1"/>
  <c r="H4958" i="1"/>
  <c r="I4958" i="1" s="1"/>
  <c r="J4959" i="1" s="1"/>
  <c r="H4959" i="1"/>
  <c r="I4959" i="1" s="1"/>
  <c r="J4960" i="1" s="1"/>
  <c r="H4960" i="1"/>
  <c r="I4960" i="1" s="1"/>
  <c r="J4961" i="1" s="1"/>
  <c r="H4961" i="1"/>
  <c r="I4961" i="1" s="1"/>
  <c r="J4962" i="1" s="1"/>
  <c r="H4962" i="1"/>
  <c r="I4962" i="1" s="1"/>
  <c r="J4963" i="1" s="1"/>
  <c r="H4963" i="1"/>
  <c r="I4963" i="1" s="1"/>
  <c r="J4964" i="1" s="1"/>
  <c r="H4964" i="1"/>
  <c r="I4964" i="1" s="1"/>
  <c r="J4965" i="1" s="1"/>
  <c r="H4965" i="1"/>
  <c r="I4965" i="1" s="1"/>
  <c r="J4966" i="1" s="1"/>
  <c r="H4966" i="1"/>
  <c r="I4966" i="1" s="1"/>
  <c r="J4967" i="1" s="1"/>
  <c r="H4967" i="1"/>
  <c r="I4967" i="1" s="1"/>
  <c r="J4968" i="1" s="1"/>
  <c r="H4968" i="1"/>
  <c r="I4968" i="1" s="1"/>
  <c r="J4969" i="1" s="1"/>
  <c r="H4969" i="1"/>
  <c r="I4969" i="1" s="1"/>
  <c r="J4970" i="1" s="1"/>
  <c r="H4970" i="1"/>
  <c r="I4970" i="1" s="1"/>
  <c r="J4971" i="1" s="1"/>
  <c r="H4971" i="1"/>
  <c r="I4971" i="1" s="1"/>
  <c r="J4972" i="1" s="1"/>
  <c r="H4972" i="1"/>
  <c r="I4972" i="1" s="1"/>
  <c r="J4973" i="1" s="1"/>
  <c r="H4973" i="1"/>
  <c r="I4973" i="1" s="1"/>
  <c r="J4974" i="1" s="1"/>
  <c r="H4974" i="1"/>
  <c r="I4974" i="1" s="1"/>
  <c r="J4975" i="1" s="1"/>
  <c r="H4975" i="1"/>
  <c r="I4975" i="1" s="1"/>
  <c r="J4976" i="1" s="1"/>
  <c r="H4976" i="1"/>
  <c r="I4976" i="1" s="1"/>
  <c r="J4977" i="1" s="1"/>
  <c r="H4977" i="1"/>
  <c r="I4977" i="1" s="1"/>
  <c r="J4978" i="1" s="1"/>
  <c r="H28" i="1"/>
  <c r="I28" i="1" s="1"/>
  <c r="J29" i="1" s="1"/>
  <c r="H29" i="1"/>
  <c r="I29" i="1" s="1"/>
  <c r="J30" i="1" s="1"/>
  <c r="H30" i="1"/>
  <c r="H31" i="1"/>
  <c r="I31" i="1" s="1"/>
  <c r="J32" i="1" s="1"/>
  <c r="H32" i="1"/>
  <c r="I32" i="1" s="1"/>
  <c r="J33" i="1" s="1"/>
  <c r="H33" i="1"/>
  <c r="I33" i="1" s="1"/>
  <c r="J34" i="1" s="1"/>
  <c r="H34" i="1"/>
  <c r="H35" i="1"/>
  <c r="I35" i="1" s="1"/>
  <c r="J36" i="1" s="1"/>
  <c r="H36" i="1"/>
  <c r="I36" i="1" s="1"/>
  <c r="J37" i="1" s="1"/>
  <c r="H37" i="1"/>
  <c r="I37" i="1" s="1"/>
  <c r="J38" i="1" s="1"/>
  <c r="H38" i="1"/>
  <c r="I38" i="1" s="1"/>
  <c r="J39" i="1" s="1"/>
  <c r="H39" i="1"/>
  <c r="I39" i="1" s="1"/>
  <c r="J40" i="1" s="1"/>
  <c r="H40" i="1"/>
  <c r="I40" i="1" s="1"/>
  <c r="J41" i="1" s="1"/>
  <c r="H41" i="1"/>
  <c r="I41" i="1" s="1"/>
  <c r="J42" i="1" s="1"/>
  <c r="H42" i="1"/>
  <c r="I42" i="1" s="1"/>
  <c r="J43" i="1" s="1"/>
  <c r="H43" i="1"/>
  <c r="I43" i="1" s="1"/>
  <c r="J44" i="1" s="1"/>
  <c r="H44" i="1"/>
  <c r="I44" i="1" s="1"/>
  <c r="J45" i="1" s="1"/>
  <c r="H45" i="1"/>
  <c r="I45" i="1" s="1"/>
  <c r="J46" i="1" s="1"/>
  <c r="H46" i="1"/>
  <c r="I46" i="1" s="1"/>
  <c r="J47" i="1" s="1"/>
  <c r="H47" i="1"/>
  <c r="I47" i="1" s="1"/>
  <c r="J48" i="1" s="1"/>
  <c r="H48" i="1"/>
  <c r="I48" i="1" s="1"/>
  <c r="J49" i="1" s="1"/>
  <c r="H49" i="1"/>
  <c r="I49" i="1" s="1"/>
  <c r="J50" i="1" s="1"/>
  <c r="H50" i="1"/>
  <c r="I50" i="1" s="1"/>
  <c r="J51" i="1" s="1"/>
  <c r="H51" i="1"/>
  <c r="I51" i="1" s="1"/>
  <c r="J52" i="1" s="1"/>
  <c r="H52" i="1"/>
  <c r="I52" i="1" s="1"/>
  <c r="J53" i="1" s="1"/>
  <c r="H53" i="1"/>
  <c r="I53" i="1" s="1"/>
  <c r="J54" i="1" s="1"/>
  <c r="H54" i="1"/>
  <c r="I54" i="1" s="1"/>
  <c r="J55" i="1" s="1"/>
  <c r="H55" i="1"/>
  <c r="I55" i="1" s="1"/>
  <c r="J56" i="1" s="1"/>
  <c r="H56" i="1"/>
  <c r="I56" i="1" s="1"/>
  <c r="J57" i="1" s="1"/>
  <c r="H57" i="1"/>
  <c r="I57" i="1" s="1"/>
  <c r="J58" i="1" s="1"/>
  <c r="H58" i="1"/>
  <c r="I58" i="1" s="1"/>
  <c r="J59" i="1" s="1"/>
  <c r="H59" i="1"/>
  <c r="I59" i="1" s="1"/>
  <c r="J60" i="1" s="1"/>
  <c r="H60" i="1"/>
  <c r="I60" i="1" s="1"/>
  <c r="J61" i="1" s="1"/>
  <c r="H61" i="1"/>
  <c r="I61" i="1" s="1"/>
  <c r="J62" i="1" s="1"/>
  <c r="H62" i="1"/>
  <c r="I62" i="1" s="1"/>
  <c r="J63" i="1" s="1"/>
  <c r="H63" i="1"/>
  <c r="I63" i="1" s="1"/>
  <c r="J64" i="1" s="1"/>
  <c r="H64" i="1"/>
  <c r="I64" i="1" s="1"/>
  <c r="J65" i="1" s="1"/>
  <c r="H65" i="1"/>
  <c r="I65" i="1" s="1"/>
  <c r="J66" i="1" s="1"/>
  <c r="H66" i="1"/>
  <c r="I66" i="1" s="1"/>
  <c r="J67" i="1" s="1"/>
  <c r="H67" i="1"/>
  <c r="I67" i="1" s="1"/>
  <c r="J68" i="1" s="1"/>
  <c r="H68" i="1"/>
  <c r="I68" i="1" s="1"/>
  <c r="J69" i="1" s="1"/>
  <c r="H69" i="1"/>
  <c r="I69" i="1" s="1"/>
  <c r="J70" i="1" s="1"/>
  <c r="H70" i="1"/>
  <c r="I70" i="1" s="1"/>
  <c r="J71" i="1" s="1"/>
  <c r="H71" i="1"/>
  <c r="I71" i="1" s="1"/>
  <c r="J72" i="1" s="1"/>
  <c r="H72" i="1"/>
  <c r="I72" i="1" s="1"/>
  <c r="J73" i="1" s="1"/>
  <c r="H73" i="1"/>
  <c r="I73" i="1" s="1"/>
  <c r="J74" i="1" s="1"/>
  <c r="H74" i="1"/>
  <c r="I74" i="1" s="1"/>
  <c r="J75" i="1" s="1"/>
  <c r="H75" i="1"/>
  <c r="I75" i="1" s="1"/>
  <c r="J76" i="1" s="1"/>
  <c r="H76" i="1"/>
  <c r="I76" i="1" s="1"/>
  <c r="J77" i="1" s="1"/>
  <c r="H77" i="1"/>
  <c r="I77" i="1" s="1"/>
  <c r="J78" i="1" s="1"/>
  <c r="H78" i="1"/>
  <c r="I78" i="1" s="1"/>
  <c r="J79" i="1" s="1"/>
  <c r="H79" i="1"/>
  <c r="I79" i="1" s="1"/>
  <c r="J80" i="1" s="1"/>
  <c r="H80" i="1"/>
  <c r="I80" i="1" s="1"/>
  <c r="J81" i="1" s="1"/>
  <c r="H81" i="1"/>
  <c r="I81" i="1" s="1"/>
  <c r="J82" i="1" s="1"/>
  <c r="H82" i="1"/>
  <c r="I82" i="1" s="1"/>
  <c r="J83" i="1" s="1"/>
  <c r="H83" i="1"/>
  <c r="I83" i="1" s="1"/>
  <c r="J84" i="1" s="1"/>
  <c r="H84" i="1"/>
  <c r="I84" i="1" s="1"/>
  <c r="J85" i="1" s="1"/>
  <c r="H85" i="1"/>
  <c r="I85" i="1" s="1"/>
  <c r="J86" i="1" s="1"/>
  <c r="H86" i="1"/>
  <c r="I86" i="1" s="1"/>
  <c r="J87" i="1" s="1"/>
  <c r="H87" i="1"/>
  <c r="I87" i="1" s="1"/>
  <c r="J88" i="1" s="1"/>
  <c r="H88" i="1"/>
  <c r="I88" i="1" s="1"/>
  <c r="J89" i="1" s="1"/>
  <c r="H89" i="1"/>
  <c r="H90" i="1"/>
  <c r="I90" i="1" s="1"/>
  <c r="J91" i="1" s="1"/>
  <c r="H91" i="1"/>
  <c r="I91" i="1" s="1"/>
  <c r="J92" i="1" s="1"/>
  <c r="H92" i="1"/>
  <c r="I92" i="1" s="1"/>
  <c r="J93" i="1" s="1"/>
  <c r="H93" i="1"/>
  <c r="I93" i="1" s="1"/>
  <c r="J94" i="1" s="1"/>
  <c r="H94" i="1"/>
  <c r="I94" i="1" s="1"/>
  <c r="J95" i="1" s="1"/>
  <c r="H95" i="1"/>
  <c r="I95" i="1" s="1"/>
  <c r="J96" i="1" s="1"/>
  <c r="H96" i="1"/>
  <c r="I96" i="1" s="1"/>
  <c r="J97" i="1" s="1"/>
  <c r="H97" i="1"/>
  <c r="I97" i="1" s="1"/>
  <c r="J98" i="1" s="1"/>
  <c r="H98" i="1"/>
  <c r="I98" i="1" s="1"/>
  <c r="J99" i="1" s="1"/>
  <c r="H99" i="1"/>
  <c r="H100" i="1"/>
  <c r="I100" i="1" s="1"/>
  <c r="J101" i="1" s="1"/>
  <c r="H101" i="1"/>
  <c r="I101" i="1" s="1"/>
  <c r="J102" i="1" s="1"/>
  <c r="H102" i="1"/>
  <c r="I102" i="1" s="1"/>
  <c r="J103" i="1" s="1"/>
  <c r="H103" i="1"/>
  <c r="I103" i="1" s="1"/>
  <c r="J104" i="1" s="1"/>
  <c r="H104" i="1"/>
  <c r="I104" i="1" s="1"/>
  <c r="J105" i="1" s="1"/>
  <c r="H105" i="1"/>
  <c r="I105" i="1" s="1"/>
  <c r="J106" i="1" s="1"/>
  <c r="H106" i="1"/>
  <c r="I106" i="1" s="1"/>
  <c r="J107" i="1" s="1"/>
  <c r="H107" i="1"/>
  <c r="I107" i="1" s="1"/>
  <c r="J108" i="1" s="1"/>
  <c r="H108" i="1"/>
  <c r="I108" i="1" s="1"/>
  <c r="J109" i="1" s="1"/>
  <c r="H109" i="1"/>
  <c r="I109" i="1" s="1"/>
  <c r="J110" i="1" s="1"/>
  <c r="H110" i="1"/>
  <c r="I110" i="1" s="1"/>
  <c r="J111" i="1" s="1"/>
  <c r="H111" i="1"/>
  <c r="I111" i="1" s="1"/>
  <c r="J112" i="1" s="1"/>
  <c r="H112" i="1"/>
  <c r="I112" i="1" s="1"/>
  <c r="J113" i="1" s="1"/>
  <c r="H113" i="1"/>
  <c r="I113" i="1" s="1"/>
  <c r="J114" i="1" s="1"/>
  <c r="H114" i="1"/>
  <c r="I114" i="1" s="1"/>
  <c r="J115" i="1" s="1"/>
  <c r="H115" i="1"/>
  <c r="I115" i="1" s="1"/>
  <c r="J116" i="1" s="1"/>
  <c r="H116" i="1"/>
  <c r="I116" i="1" s="1"/>
  <c r="J117" i="1" s="1"/>
  <c r="H117" i="1"/>
  <c r="I117" i="1" s="1"/>
  <c r="J118" i="1" s="1"/>
  <c r="H118" i="1"/>
  <c r="I118" i="1" s="1"/>
  <c r="J119" i="1" s="1"/>
  <c r="H119" i="1"/>
  <c r="I119" i="1" s="1"/>
  <c r="J120" i="1" s="1"/>
  <c r="H121" i="1"/>
  <c r="I121" i="1" s="1"/>
  <c r="J122" i="1" s="1"/>
  <c r="H122" i="1"/>
  <c r="I122" i="1" s="1"/>
  <c r="J123" i="1" s="1"/>
  <c r="H123" i="1"/>
  <c r="I123" i="1" s="1"/>
  <c r="J124" i="1" s="1"/>
  <c r="H124" i="1"/>
  <c r="I124" i="1" s="1"/>
  <c r="J125" i="1" s="1"/>
  <c r="H125" i="1"/>
  <c r="I125" i="1" s="1"/>
  <c r="J126" i="1" s="1"/>
  <c r="H126" i="1"/>
  <c r="I126" i="1" s="1"/>
  <c r="J127" i="1" s="1"/>
  <c r="H127" i="1"/>
  <c r="I127" i="1" s="1"/>
  <c r="J128" i="1" s="1"/>
  <c r="H128" i="1"/>
  <c r="I128" i="1" s="1"/>
  <c r="J129" i="1" s="1"/>
  <c r="H129" i="1"/>
  <c r="I129" i="1" s="1"/>
  <c r="J130" i="1" s="1"/>
  <c r="H130" i="1"/>
  <c r="I130" i="1" s="1"/>
  <c r="J131" i="1" s="1"/>
  <c r="H131" i="1"/>
  <c r="I131" i="1" s="1"/>
  <c r="J132" i="1" s="1"/>
  <c r="H132" i="1"/>
  <c r="I132" i="1" s="1"/>
  <c r="J133" i="1" s="1"/>
  <c r="H133" i="1"/>
  <c r="I133" i="1" s="1"/>
  <c r="J134" i="1" s="1"/>
  <c r="H134" i="1"/>
  <c r="I134" i="1" s="1"/>
  <c r="J135" i="1" s="1"/>
  <c r="H135" i="1"/>
  <c r="I135" i="1" s="1"/>
  <c r="J136" i="1" s="1"/>
  <c r="H136" i="1"/>
  <c r="I136" i="1" s="1"/>
  <c r="J137" i="1" s="1"/>
  <c r="H137" i="1"/>
  <c r="I137" i="1" s="1"/>
  <c r="J138" i="1" s="1"/>
  <c r="H138" i="1"/>
  <c r="I138" i="1" s="1"/>
  <c r="J139" i="1" s="1"/>
  <c r="H139" i="1"/>
  <c r="I139" i="1" s="1"/>
  <c r="J140" i="1" s="1"/>
  <c r="H140" i="1"/>
  <c r="I140" i="1" s="1"/>
  <c r="J141" i="1" s="1"/>
  <c r="H141" i="1"/>
  <c r="I141" i="1" s="1"/>
  <c r="J142" i="1" s="1"/>
  <c r="H142" i="1"/>
  <c r="I142" i="1" s="1"/>
  <c r="J143" i="1" s="1"/>
  <c r="H143" i="1"/>
  <c r="I143" i="1" s="1"/>
  <c r="J144" i="1" s="1"/>
  <c r="H144" i="1"/>
  <c r="I144" i="1" s="1"/>
  <c r="J145" i="1" s="1"/>
  <c r="H145" i="1"/>
  <c r="I145" i="1" s="1"/>
  <c r="J146" i="1" s="1"/>
  <c r="H146" i="1"/>
  <c r="I146" i="1" s="1"/>
  <c r="J147" i="1" s="1"/>
  <c r="H147" i="1"/>
  <c r="I147" i="1" s="1"/>
  <c r="J148" i="1" s="1"/>
  <c r="H148" i="1"/>
  <c r="I148" i="1" s="1"/>
  <c r="J149" i="1" s="1"/>
  <c r="H149" i="1"/>
  <c r="I149" i="1" s="1"/>
  <c r="J150" i="1" s="1"/>
  <c r="H150" i="1"/>
  <c r="I150" i="1" s="1"/>
  <c r="J151" i="1" s="1"/>
  <c r="H151" i="1"/>
  <c r="I151" i="1" s="1"/>
  <c r="J152" i="1" s="1"/>
  <c r="H152" i="1"/>
  <c r="I152" i="1" s="1"/>
  <c r="J153" i="1" s="1"/>
  <c r="H153" i="1"/>
  <c r="I153" i="1" s="1"/>
  <c r="J154" i="1" s="1"/>
  <c r="H154" i="1"/>
  <c r="I154" i="1" s="1"/>
  <c r="J155" i="1" s="1"/>
  <c r="H155" i="1"/>
  <c r="I155" i="1" s="1"/>
  <c r="J156" i="1" s="1"/>
  <c r="H156" i="1"/>
  <c r="I156" i="1" s="1"/>
  <c r="J157" i="1" s="1"/>
  <c r="H157" i="1"/>
  <c r="I157" i="1" s="1"/>
  <c r="J158" i="1" s="1"/>
  <c r="H158" i="1"/>
  <c r="I158" i="1" s="1"/>
  <c r="J159" i="1" s="1"/>
  <c r="H159" i="1"/>
  <c r="I159" i="1" s="1"/>
  <c r="J160" i="1" s="1"/>
  <c r="H161" i="1"/>
  <c r="I161" i="1" s="1"/>
  <c r="J162" i="1" s="1"/>
  <c r="H162" i="1"/>
  <c r="I162" i="1" s="1"/>
  <c r="J163" i="1" s="1"/>
  <c r="H163" i="1"/>
  <c r="I163" i="1" s="1"/>
  <c r="J164" i="1" s="1"/>
  <c r="H164" i="1"/>
  <c r="I164" i="1" s="1"/>
  <c r="J165" i="1" s="1"/>
  <c r="H165" i="1"/>
  <c r="I165" i="1" s="1"/>
  <c r="J166" i="1" s="1"/>
  <c r="H166" i="1"/>
  <c r="I166" i="1" s="1"/>
  <c r="J167" i="1" s="1"/>
  <c r="H167" i="1"/>
  <c r="I167" i="1" s="1"/>
  <c r="J168" i="1" s="1"/>
  <c r="H168" i="1"/>
  <c r="I168" i="1" s="1"/>
  <c r="J169" i="1" s="1"/>
  <c r="H169" i="1"/>
  <c r="I169" i="1" s="1"/>
  <c r="J170" i="1" s="1"/>
  <c r="H171" i="1"/>
  <c r="I171" i="1" s="1"/>
  <c r="J172" i="1" s="1"/>
  <c r="H172" i="1"/>
  <c r="I172" i="1" s="1"/>
  <c r="J173" i="1" s="1"/>
  <c r="H173" i="1"/>
  <c r="I173" i="1" s="1"/>
  <c r="J174" i="1" s="1"/>
  <c r="H174" i="1"/>
  <c r="I174" i="1" s="1"/>
  <c r="J175" i="1" s="1"/>
  <c r="H175" i="1"/>
  <c r="I175" i="1" s="1"/>
  <c r="J176" i="1" s="1"/>
  <c r="H176" i="1"/>
  <c r="I176" i="1" s="1"/>
  <c r="J177" i="1" s="1"/>
  <c r="H177" i="1"/>
  <c r="I177" i="1" s="1"/>
  <c r="J178" i="1" s="1"/>
  <c r="H178" i="1"/>
  <c r="I178" i="1" s="1"/>
  <c r="J179" i="1" s="1"/>
  <c r="H179" i="1"/>
  <c r="I179" i="1" s="1"/>
  <c r="J180" i="1" s="1"/>
  <c r="H180" i="1"/>
  <c r="I180" i="1" s="1"/>
  <c r="J181" i="1" s="1"/>
  <c r="H181" i="1"/>
  <c r="I181" i="1" s="1"/>
  <c r="J182" i="1" s="1"/>
  <c r="H182" i="1"/>
  <c r="I182" i="1" s="1"/>
  <c r="J183" i="1" s="1"/>
  <c r="H183" i="1"/>
  <c r="I183" i="1" s="1"/>
  <c r="J184" i="1" s="1"/>
  <c r="H184" i="1"/>
  <c r="I184" i="1" s="1"/>
  <c r="J185" i="1" s="1"/>
  <c r="H185" i="1"/>
  <c r="I185" i="1" s="1"/>
  <c r="J186" i="1" s="1"/>
  <c r="H186" i="1"/>
  <c r="I186" i="1" s="1"/>
  <c r="J187" i="1" s="1"/>
  <c r="H187" i="1"/>
  <c r="I187" i="1" s="1"/>
  <c r="J188" i="1" s="1"/>
  <c r="H188" i="1"/>
  <c r="I188" i="1" s="1"/>
  <c r="J189" i="1" s="1"/>
  <c r="H189" i="1"/>
  <c r="I189" i="1" s="1"/>
  <c r="J190" i="1" s="1"/>
  <c r="H190" i="1"/>
  <c r="I190" i="1" s="1"/>
  <c r="J191" i="1" s="1"/>
  <c r="H191" i="1"/>
  <c r="I191" i="1" s="1"/>
  <c r="J192" i="1" s="1"/>
  <c r="H192" i="1"/>
  <c r="I192" i="1" s="1"/>
  <c r="J193" i="1" s="1"/>
  <c r="H193" i="1"/>
  <c r="I193" i="1" s="1"/>
  <c r="J194" i="1" s="1"/>
  <c r="H194" i="1"/>
  <c r="I194" i="1" s="1"/>
  <c r="J195" i="1" s="1"/>
  <c r="H195" i="1"/>
  <c r="I195" i="1" s="1"/>
  <c r="J196" i="1" s="1"/>
  <c r="H196" i="1"/>
  <c r="I196" i="1" s="1"/>
  <c r="J197" i="1" s="1"/>
  <c r="H197" i="1"/>
  <c r="I197" i="1" s="1"/>
  <c r="J198" i="1" s="1"/>
  <c r="H198" i="1"/>
  <c r="I198" i="1" s="1"/>
  <c r="J199" i="1" s="1"/>
  <c r="H199" i="1"/>
  <c r="I199" i="1" s="1"/>
  <c r="J200" i="1" s="1"/>
  <c r="H200" i="1"/>
  <c r="I200" i="1" s="1"/>
  <c r="J201" i="1" s="1"/>
  <c r="H201" i="1"/>
  <c r="I201" i="1" s="1"/>
  <c r="J202" i="1" s="1"/>
  <c r="H202" i="1"/>
  <c r="I202" i="1" s="1"/>
  <c r="J203" i="1" s="1"/>
  <c r="H203" i="1"/>
  <c r="I203" i="1" s="1"/>
  <c r="J204" i="1" s="1"/>
  <c r="H204" i="1"/>
  <c r="I204" i="1" s="1"/>
  <c r="J205" i="1" s="1"/>
  <c r="H205" i="1"/>
  <c r="I205" i="1" s="1"/>
  <c r="J206" i="1" s="1"/>
  <c r="H206" i="1"/>
  <c r="I206" i="1" s="1"/>
  <c r="J207" i="1" s="1"/>
  <c r="H207" i="1"/>
  <c r="I207" i="1" s="1"/>
  <c r="J208" i="1" s="1"/>
  <c r="H208" i="1"/>
  <c r="I208" i="1" s="1"/>
  <c r="J209" i="1" s="1"/>
  <c r="H209" i="1"/>
  <c r="I209" i="1" s="1"/>
  <c r="J210" i="1" s="1"/>
  <c r="H210" i="1"/>
  <c r="I210" i="1" s="1"/>
  <c r="J211" i="1" s="1"/>
  <c r="H211" i="1"/>
  <c r="I211" i="1" s="1"/>
  <c r="J212" i="1" s="1"/>
  <c r="H212" i="1"/>
  <c r="I212" i="1" s="1"/>
  <c r="J213" i="1" s="1"/>
  <c r="H213" i="1"/>
  <c r="I213" i="1" s="1"/>
  <c r="J214" i="1" s="1"/>
  <c r="H214" i="1"/>
  <c r="I214" i="1" s="1"/>
  <c r="J215" i="1" s="1"/>
  <c r="H215" i="1"/>
  <c r="I215" i="1" s="1"/>
  <c r="J216" i="1" s="1"/>
  <c r="H216" i="1"/>
  <c r="I216" i="1" s="1"/>
  <c r="J217" i="1" s="1"/>
  <c r="H217" i="1"/>
  <c r="I217" i="1" s="1"/>
  <c r="J218" i="1" s="1"/>
  <c r="H218" i="1"/>
  <c r="I218" i="1" s="1"/>
  <c r="J219" i="1" s="1"/>
  <c r="H219" i="1"/>
  <c r="I219" i="1" s="1"/>
  <c r="J220" i="1" s="1"/>
  <c r="H220" i="1"/>
  <c r="I220" i="1" s="1"/>
  <c r="J221" i="1" s="1"/>
  <c r="H221" i="1"/>
  <c r="I221" i="1" s="1"/>
  <c r="J222" i="1" s="1"/>
  <c r="H222" i="1"/>
  <c r="I222" i="1" s="1"/>
  <c r="J223" i="1" s="1"/>
  <c r="H223" i="1"/>
  <c r="I223" i="1" s="1"/>
  <c r="J224" i="1" s="1"/>
  <c r="H224" i="1"/>
  <c r="I224" i="1" s="1"/>
  <c r="J225" i="1" s="1"/>
  <c r="H225" i="1"/>
  <c r="I225" i="1" s="1"/>
  <c r="J226" i="1" s="1"/>
  <c r="H226" i="1"/>
  <c r="I226" i="1" s="1"/>
  <c r="J227" i="1" s="1"/>
  <c r="H227" i="1"/>
  <c r="I227" i="1" s="1"/>
  <c r="J228" i="1" s="1"/>
  <c r="H228" i="1"/>
  <c r="I228" i="1" s="1"/>
  <c r="J229" i="1" s="1"/>
  <c r="H229" i="1"/>
  <c r="I229" i="1" s="1"/>
  <c r="J230" i="1" s="1"/>
  <c r="H230" i="1"/>
  <c r="I230" i="1" s="1"/>
  <c r="J231" i="1" s="1"/>
  <c r="H231" i="1"/>
  <c r="I231" i="1" s="1"/>
  <c r="J232" i="1" s="1"/>
  <c r="H232" i="1"/>
  <c r="I232" i="1" s="1"/>
  <c r="J233" i="1" s="1"/>
  <c r="H233" i="1"/>
  <c r="I233" i="1" s="1"/>
  <c r="J234" i="1" s="1"/>
  <c r="H234" i="1"/>
  <c r="I234" i="1" s="1"/>
  <c r="J235" i="1" s="1"/>
  <c r="H235" i="1"/>
  <c r="I235" i="1" s="1"/>
  <c r="J236" i="1" s="1"/>
  <c r="H236" i="1"/>
  <c r="I236" i="1" s="1"/>
  <c r="J237" i="1" s="1"/>
  <c r="H237" i="1"/>
  <c r="I237" i="1" s="1"/>
  <c r="J238" i="1" s="1"/>
  <c r="H238" i="1"/>
  <c r="I238" i="1" s="1"/>
  <c r="J239" i="1" s="1"/>
  <c r="H239" i="1"/>
  <c r="H240" i="1"/>
  <c r="I240" i="1" s="1"/>
  <c r="J241" i="1" s="1"/>
  <c r="H241" i="1"/>
  <c r="I241" i="1" s="1"/>
  <c r="J242" i="1" s="1"/>
  <c r="H242" i="1"/>
  <c r="I242" i="1" s="1"/>
  <c r="J243" i="1" s="1"/>
  <c r="H243" i="1"/>
  <c r="I243" i="1" s="1"/>
  <c r="J244" i="1" s="1"/>
  <c r="H244" i="1"/>
  <c r="I244" i="1" s="1"/>
  <c r="J245" i="1" s="1"/>
  <c r="H245" i="1"/>
  <c r="I245" i="1" s="1"/>
  <c r="J246" i="1" s="1"/>
  <c r="H246" i="1"/>
  <c r="I246" i="1" s="1"/>
  <c r="J247" i="1" s="1"/>
  <c r="H247" i="1"/>
  <c r="I247" i="1" s="1"/>
  <c r="J248" i="1" s="1"/>
  <c r="H248" i="1"/>
  <c r="I248" i="1" s="1"/>
  <c r="J249" i="1" s="1"/>
  <c r="H249" i="1"/>
  <c r="I249" i="1" s="1"/>
  <c r="J250" i="1" s="1"/>
  <c r="H250" i="1"/>
  <c r="I250" i="1" s="1"/>
  <c r="J251" i="1" s="1"/>
  <c r="H251" i="1"/>
  <c r="I251" i="1" s="1"/>
  <c r="J252" i="1" s="1"/>
  <c r="H252" i="1"/>
  <c r="I252" i="1" s="1"/>
  <c r="J253" i="1" s="1"/>
  <c r="H253" i="1"/>
  <c r="I253" i="1" s="1"/>
  <c r="J254" i="1" s="1"/>
  <c r="H254" i="1"/>
  <c r="I254" i="1" s="1"/>
  <c r="J255" i="1" s="1"/>
  <c r="H255" i="1"/>
  <c r="I255" i="1" s="1"/>
  <c r="J256" i="1" s="1"/>
  <c r="H256" i="1"/>
  <c r="I256" i="1" s="1"/>
  <c r="J257" i="1" s="1"/>
  <c r="H257" i="1"/>
  <c r="I257" i="1" s="1"/>
  <c r="J258" i="1" s="1"/>
  <c r="H258" i="1"/>
  <c r="I258" i="1" s="1"/>
  <c r="J259" i="1" s="1"/>
  <c r="H259" i="1"/>
  <c r="H260" i="1"/>
  <c r="I260" i="1" s="1"/>
  <c r="J261" i="1" s="1"/>
  <c r="H261" i="1"/>
  <c r="I261" i="1" s="1"/>
  <c r="J262" i="1" s="1"/>
  <c r="H262" i="1"/>
  <c r="I262" i="1" s="1"/>
  <c r="J263" i="1" s="1"/>
  <c r="H263" i="1"/>
  <c r="I263" i="1" s="1"/>
  <c r="J264" i="1" s="1"/>
  <c r="H264" i="1"/>
  <c r="I264" i="1" s="1"/>
  <c r="J265" i="1" s="1"/>
  <c r="H265" i="1"/>
  <c r="I265" i="1" s="1"/>
  <c r="J266" i="1" s="1"/>
  <c r="H266" i="1"/>
  <c r="I266" i="1" s="1"/>
  <c r="J267" i="1" s="1"/>
  <c r="H267" i="1"/>
  <c r="I267" i="1" s="1"/>
  <c r="J268" i="1" s="1"/>
  <c r="H268" i="1"/>
  <c r="I268" i="1" s="1"/>
  <c r="J269" i="1" s="1"/>
  <c r="H269" i="1"/>
  <c r="I269" i="1" s="1"/>
  <c r="J270" i="1" s="1"/>
  <c r="H270" i="1"/>
  <c r="I270" i="1" s="1"/>
  <c r="J271" i="1" s="1"/>
  <c r="H271" i="1"/>
  <c r="I271" i="1" s="1"/>
  <c r="J272" i="1" s="1"/>
  <c r="H272" i="1"/>
  <c r="I272" i="1" s="1"/>
  <c r="J273" i="1" s="1"/>
  <c r="H273" i="1"/>
  <c r="I273" i="1" s="1"/>
  <c r="J274" i="1" s="1"/>
  <c r="H274" i="1"/>
  <c r="I274" i="1" s="1"/>
  <c r="J275" i="1" s="1"/>
  <c r="H275" i="1"/>
  <c r="I275" i="1" s="1"/>
  <c r="J276" i="1" s="1"/>
  <c r="H276" i="1"/>
  <c r="I276" i="1" s="1"/>
  <c r="J277" i="1" s="1"/>
  <c r="H277" i="1"/>
  <c r="I277" i="1" s="1"/>
  <c r="J278" i="1" s="1"/>
  <c r="H278" i="1"/>
  <c r="I278" i="1" s="1"/>
  <c r="J279" i="1" s="1"/>
  <c r="H279" i="1"/>
  <c r="I279" i="1" s="1"/>
  <c r="J280" i="1" s="1"/>
  <c r="H280" i="1"/>
  <c r="I280" i="1" s="1"/>
  <c r="J281" i="1" s="1"/>
  <c r="H281" i="1"/>
  <c r="I281" i="1" s="1"/>
  <c r="J282" i="1" s="1"/>
  <c r="H282" i="1"/>
  <c r="I282" i="1" s="1"/>
  <c r="J283" i="1" s="1"/>
  <c r="H283" i="1"/>
  <c r="I283" i="1" s="1"/>
  <c r="J284" i="1" s="1"/>
  <c r="H284" i="1"/>
  <c r="I284" i="1" s="1"/>
  <c r="J285" i="1" s="1"/>
  <c r="H285" i="1"/>
  <c r="I285" i="1" s="1"/>
  <c r="J286" i="1" s="1"/>
  <c r="H286" i="1"/>
  <c r="I286" i="1" s="1"/>
  <c r="J287" i="1" s="1"/>
  <c r="H287" i="1"/>
  <c r="I287" i="1" s="1"/>
  <c r="J288" i="1" s="1"/>
  <c r="H288" i="1"/>
  <c r="I288" i="1" s="1"/>
  <c r="J289" i="1" s="1"/>
  <c r="H289" i="1"/>
  <c r="I289" i="1" s="1"/>
  <c r="J290" i="1" s="1"/>
  <c r="H290" i="1"/>
  <c r="I290" i="1" s="1"/>
  <c r="J291" i="1" s="1"/>
  <c r="H291" i="1"/>
  <c r="I291" i="1" s="1"/>
  <c r="J292" i="1" s="1"/>
  <c r="H292" i="1"/>
  <c r="I292" i="1" s="1"/>
  <c r="J293" i="1" s="1"/>
  <c r="H293" i="1"/>
  <c r="I293" i="1" s="1"/>
  <c r="J294" i="1" s="1"/>
  <c r="H294" i="1"/>
  <c r="I294" i="1" s="1"/>
  <c r="J295" i="1" s="1"/>
  <c r="H295" i="1"/>
  <c r="I295" i="1" s="1"/>
  <c r="J296" i="1" s="1"/>
  <c r="H296" i="1"/>
  <c r="I296" i="1" s="1"/>
  <c r="J297" i="1" s="1"/>
  <c r="H297" i="1"/>
  <c r="I297" i="1" s="1"/>
  <c r="J298" i="1" s="1"/>
  <c r="H298" i="1"/>
  <c r="I298" i="1" s="1"/>
  <c r="J299" i="1" s="1"/>
  <c r="H299" i="1"/>
  <c r="I299" i="1" s="1"/>
  <c r="J300" i="1" s="1"/>
  <c r="H300" i="1"/>
  <c r="I300" i="1" s="1"/>
  <c r="J301" i="1" s="1"/>
  <c r="H301" i="1"/>
  <c r="I301" i="1" s="1"/>
  <c r="J302" i="1" s="1"/>
  <c r="H302" i="1"/>
  <c r="I302" i="1" s="1"/>
  <c r="J303" i="1" s="1"/>
  <c r="H303" i="1"/>
  <c r="I303" i="1" s="1"/>
  <c r="J304" i="1" s="1"/>
  <c r="H304" i="1"/>
  <c r="I304" i="1" s="1"/>
  <c r="J305" i="1" s="1"/>
  <c r="H305" i="1"/>
  <c r="I305" i="1" s="1"/>
  <c r="J306" i="1" s="1"/>
  <c r="H306" i="1"/>
  <c r="I306" i="1" s="1"/>
  <c r="J307" i="1" s="1"/>
  <c r="H307" i="1"/>
  <c r="I307" i="1" s="1"/>
  <c r="J308" i="1" s="1"/>
  <c r="H308" i="1"/>
  <c r="I308" i="1" s="1"/>
  <c r="J309" i="1" s="1"/>
  <c r="H309" i="1"/>
  <c r="I309" i="1" s="1"/>
  <c r="J310" i="1" s="1"/>
  <c r="H310" i="1"/>
  <c r="I310" i="1" s="1"/>
  <c r="J311" i="1" s="1"/>
  <c r="H311" i="1"/>
  <c r="I311" i="1" s="1"/>
  <c r="J312" i="1" s="1"/>
  <c r="H312" i="1"/>
  <c r="I312" i="1" s="1"/>
  <c r="J313" i="1" s="1"/>
  <c r="H313" i="1"/>
  <c r="I313" i="1" s="1"/>
  <c r="J314" i="1" s="1"/>
  <c r="H314" i="1"/>
  <c r="I314" i="1" s="1"/>
  <c r="J315" i="1" s="1"/>
  <c r="H315" i="1"/>
  <c r="I315" i="1" s="1"/>
  <c r="J316" i="1" s="1"/>
  <c r="H316" i="1"/>
  <c r="I316" i="1" s="1"/>
  <c r="J317" i="1" s="1"/>
  <c r="H317" i="1"/>
  <c r="I317" i="1" s="1"/>
  <c r="J318" i="1" s="1"/>
  <c r="H318" i="1"/>
  <c r="I318" i="1" s="1"/>
  <c r="J319" i="1" s="1"/>
  <c r="H319" i="1"/>
  <c r="I319" i="1" s="1"/>
  <c r="J320" i="1" s="1"/>
  <c r="H320" i="1"/>
  <c r="I320" i="1" s="1"/>
  <c r="J321" i="1" s="1"/>
  <c r="H321" i="1"/>
  <c r="I321" i="1" s="1"/>
  <c r="J322" i="1" s="1"/>
  <c r="H322" i="1"/>
  <c r="I322" i="1" s="1"/>
  <c r="J323" i="1" s="1"/>
  <c r="H323" i="1"/>
  <c r="I323" i="1" s="1"/>
  <c r="J324" i="1" s="1"/>
  <c r="H324" i="1"/>
  <c r="I324" i="1" s="1"/>
  <c r="J325" i="1" s="1"/>
  <c r="H325" i="1"/>
  <c r="I325" i="1" s="1"/>
  <c r="J326" i="1" s="1"/>
  <c r="H326" i="1"/>
  <c r="I326" i="1" s="1"/>
  <c r="J327" i="1" s="1"/>
  <c r="H327" i="1"/>
  <c r="I327" i="1" s="1"/>
  <c r="J328" i="1" s="1"/>
  <c r="H328" i="1"/>
  <c r="I328" i="1" s="1"/>
  <c r="J329" i="1" s="1"/>
  <c r="H329" i="1"/>
  <c r="I329" i="1" s="1"/>
  <c r="J330" i="1" s="1"/>
  <c r="H330" i="1"/>
  <c r="I330" i="1" s="1"/>
  <c r="J331" i="1" s="1"/>
  <c r="H331" i="1"/>
  <c r="I331" i="1" s="1"/>
  <c r="J332" i="1" s="1"/>
  <c r="H332" i="1"/>
  <c r="I332" i="1" s="1"/>
  <c r="J333" i="1" s="1"/>
  <c r="H333" i="1"/>
  <c r="I333" i="1" s="1"/>
  <c r="J334" i="1" s="1"/>
  <c r="H334" i="1"/>
  <c r="I334" i="1" s="1"/>
  <c r="J335" i="1" s="1"/>
  <c r="H335" i="1"/>
  <c r="I335" i="1" s="1"/>
  <c r="J336" i="1" s="1"/>
  <c r="H336" i="1"/>
  <c r="I336" i="1" s="1"/>
  <c r="J337" i="1" s="1"/>
  <c r="H337" i="1"/>
  <c r="I337" i="1" s="1"/>
  <c r="J338" i="1" s="1"/>
  <c r="H338" i="1"/>
  <c r="I338" i="1" s="1"/>
  <c r="J339" i="1" s="1"/>
  <c r="H339" i="1"/>
  <c r="I339" i="1" s="1"/>
  <c r="J340" i="1" s="1"/>
  <c r="H340" i="1"/>
  <c r="I340" i="1" s="1"/>
  <c r="J341" i="1" s="1"/>
  <c r="H341" i="1"/>
  <c r="I341" i="1" s="1"/>
  <c r="J342" i="1" s="1"/>
  <c r="H342" i="1"/>
  <c r="I342" i="1" s="1"/>
  <c r="J343" i="1" s="1"/>
  <c r="H343" i="1"/>
  <c r="I343" i="1" s="1"/>
  <c r="J344" i="1" s="1"/>
  <c r="H344" i="1"/>
  <c r="I344" i="1" s="1"/>
  <c r="J345" i="1" s="1"/>
  <c r="H345" i="1"/>
  <c r="I345" i="1" s="1"/>
  <c r="J346" i="1" s="1"/>
  <c r="H346" i="1"/>
  <c r="I346" i="1" s="1"/>
  <c r="J347" i="1" s="1"/>
  <c r="H347" i="1"/>
  <c r="I347" i="1" s="1"/>
  <c r="J348" i="1" s="1"/>
  <c r="H348" i="1"/>
  <c r="I348" i="1" s="1"/>
  <c r="J349" i="1" s="1"/>
  <c r="H349" i="1"/>
  <c r="I349" i="1" s="1"/>
  <c r="J350" i="1" s="1"/>
  <c r="H350" i="1"/>
  <c r="I350" i="1" s="1"/>
  <c r="J351" i="1" s="1"/>
  <c r="H351" i="1"/>
  <c r="I351" i="1" s="1"/>
  <c r="J352" i="1" s="1"/>
  <c r="H352" i="1"/>
  <c r="I352" i="1" s="1"/>
  <c r="J353" i="1" s="1"/>
  <c r="H353" i="1"/>
  <c r="I353" i="1" s="1"/>
  <c r="J354" i="1" s="1"/>
  <c r="H354" i="1"/>
  <c r="I354" i="1" s="1"/>
  <c r="J355" i="1" s="1"/>
  <c r="H355" i="1"/>
  <c r="I355" i="1" s="1"/>
  <c r="J356" i="1" s="1"/>
  <c r="H356" i="1"/>
  <c r="I356" i="1" s="1"/>
  <c r="J357" i="1" s="1"/>
  <c r="H357" i="1"/>
  <c r="I357" i="1" s="1"/>
  <c r="J358" i="1" s="1"/>
  <c r="H358" i="1"/>
  <c r="I358" i="1" s="1"/>
  <c r="J359" i="1" s="1"/>
  <c r="H359" i="1"/>
  <c r="I359" i="1" s="1"/>
  <c r="J360" i="1" s="1"/>
  <c r="H360" i="1"/>
  <c r="I360" i="1" s="1"/>
  <c r="J361" i="1" s="1"/>
  <c r="H361" i="1"/>
  <c r="I361" i="1" s="1"/>
  <c r="J362" i="1" s="1"/>
  <c r="H362" i="1"/>
  <c r="I362" i="1" s="1"/>
  <c r="J363" i="1" s="1"/>
  <c r="H363" i="1"/>
  <c r="I363" i="1" s="1"/>
  <c r="J364" i="1" s="1"/>
  <c r="H364" i="1"/>
  <c r="I364" i="1" s="1"/>
  <c r="J365" i="1" s="1"/>
  <c r="H365" i="1"/>
  <c r="I365" i="1" s="1"/>
  <c r="J366" i="1" s="1"/>
  <c r="H366" i="1"/>
  <c r="I366" i="1" s="1"/>
  <c r="J367" i="1" s="1"/>
  <c r="H367" i="1"/>
  <c r="I367" i="1" s="1"/>
  <c r="J368" i="1" s="1"/>
  <c r="H368" i="1"/>
  <c r="I368" i="1" s="1"/>
  <c r="J369" i="1" s="1"/>
  <c r="H369" i="1"/>
  <c r="I369" i="1" s="1"/>
  <c r="J370" i="1" s="1"/>
  <c r="H370" i="1"/>
  <c r="I370" i="1" s="1"/>
  <c r="J371" i="1" s="1"/>
  <c r="H371" i="1"/>
  <c r="I371" i="1" s="1"/>
  <c r="J372" i="1" s="1"/>
  <c r="H372" i="1"/>
  <c r="I372" i="1" s="1"/>
  <c r="J373" i="1" s="1"/>
  <c r="H373" i="1"/>
  <c r="I373" i="1" s="1"/>
  <c r="J374" i="1" s="1"/>
  <c r="H374" i="1"/>
  <c r="I374" i="1" s="1"/>
  <c r="J375" i="1" s="1"/>
  <c r="H375" i="1"/>
  <c r="I375" i="1" s="1"/>
  <c r="J376" i="1" s="1"/>
  <c r="H376" i="1"/>
  <c r="I376" i="1" s="1"/>
  <c r="J377" i="1" s="1"/>
  <c r="H377" i="1"/>
  <c r="I377" i="1" s="1"/>
  <c r="J378" i="1" s="1"/>
  <c r="H378" i="1"/>
  <c r="I378" i="1" s="1"/>
  <c r="J379" i="1" s="1"/>
  <c r="H379" i="1"/>
  <c r="H380" i="1"/>
  <c r="I380" i="1" s="1"/>
  <c r="J381" i="1" s="1"/>
  <c r="H381" i="1"/>
  <c r="I381" i="1" s="1"/>
  <c r="J382" i="1" s="1"/>
  <c r="H382" i="1"/>
  <c r="I382" i="1" s="1"/>
  <c r="J383" i="1" s="1"/>
  <c r="H383" i="1"/>
  <c r="I383" i="1" s="1"/>
  <c r="J384" i="1" s="1"/>
  <c r="H384" i="1"/>
  <c r="I384" i="1" s="1"/>
  <c r="J385" i="1" s="1"/>
  <c r="H385" i="1"/>
  <c r="I385" i="1" s="1"/>
  <c r="J386" i="1" s="1"/>
  <c r="H386" i="1"/>
  <c r="I386" i="1" s="1"/>
  <c r="J387" i="1" s="1"/>
  <c r="H387" i="1"/>
  <c r="I387" i="1" s="1"/>
  <c r="J388" i="1" s="1"/>
  <c r="H388" i="1"/>
  <c r="I388" i="1" s="1"/>
  <c r="J389" i="1" s="1"/>
  <c r="H389" i="1"/>
  <c r="I389" i="1" s="1"/>
  <c r="J390" i="1" s="1"/>
  <c r="H390" i="1"/>
  <c r="I390" i="1" s="1"/>
  <c r="J391" i="1" s="1"/>
  <c r="H391" i="1"/>
  <c r="I391" i="1" s="1"/>
  <c r="J392" i="1" s="1"/>
  <c r="H392" i="1"/>
  <c r="I392" i="1" s="1"/>
  <c r="J393" i="1" s="1"/>
  <c r="H393" i="1"/>
  <c r="I393" i="1" s="1"/>
  <c r="J394" i="1" s="1"/>
  <c r="H394" i="1"/>
  <c r="I394" i="1" s="1"/>
  <c r="J395" i="1" s="1"/>
  <c r="H395" i="1"/>
  <c r="I395" i="1" s="1"/>
  <c r="J396" i="1" s="1"/>
  <c r="H396" i="1"/>
  <c r="I396" i="1" s="1"/>
  <c r="J397" i="1" s="1"/>
  <c r="H397" i="1"/>
  <c r="I397" i="1" s="1"/>
  <c r="J398" i="1" s="1"/>
  <c r="H398" i="1"/>
  <c r="I398" i="1" s="1"/>
  <c r="J399" i="1" s="1"/>
  <c r="H399" i="1"/>
  <c r="I399" i="1" s="1"/>
  <c r="J400" i="1" s="1"/>
  <c r="H400" i="1"/>
  <c r="I400" i="1" s="1"/>
  <c r="J401" i="1" s="1"/>
  <c r="H401" i="1"/>
  <c r="I401" i="1" s="1"/>
  <c r="J402" i="1" s="1"/>
  <c r="H402" i="1"/>
  <c r="I402" i="1" s="1"/>
  <c r="J403" i="1" s="1"/>
  <c r="H403" i="1"/>
  <c r="I403" i="1" s="1"/>
  <c r="J404" i="1" s="1"/>
  <c r="H404" i="1"/>
  <c r="I404" i="1" s="1"/>
  <c r="J405" i="1" s="1"/>
  <c r="H405" i="1"/>
  <c r="I405" i="1" s="1"/>
  <c r="J406" i="1" s="1"/>
  <c r="H406" i="1"/>
  <c r="I406" i="1" s="1"/>
  <c r="J407" i="1" s="1"/>
  <c r="H407" i="1"/>
  <c r="I407" i="1" s="1"/>
  <c r="J408" i="1" s="1"/>
  <c r="H408" i="1"/>
  <c r="I408" i="1" s="1"/>
  <c r="J409" i="1" s="1"/>
  <c r="H409" i="1"/>
  <c r="I409" i="1" s="1"/>
  <c r="J410" i="1" s="1"/>
  <c r="H410" i="1"/>
  <c r="I410" i="1" s="1"/>
  <c r="J411" i="1" s="1"/>
  <c r="H411" i="1"/>
  <c r="I411" i="1" s="1"/>
  <c r="J412" i="1" s="1"/>
  <c r="H412" i="1"/>
  <c r="I412" i="1" s="1"/>
  <c r="J413" i="1" s="1"/>
  <c r="H413" i="1"/>
  <c r="I413" i="1" s="1"/>
  <c r="J414" i="1" s="1"/>
  <c r="H414" i="1"/>
  <c r="I414" i="1" s="1"/>
  <c r="J415" i="1" s="1"/>
  <c r="H415" i="1"/>
  <c r="I415" i="1" s="1"/>
  <c r="J416" i="1" s="1"/>
  <c r="H416" i="1"/>
  <c r="I416" i="1" s="1"/>
  <c r="J417" i="1" s="1"/>
  <c r="H417" i="1"/>
  <c r="I417" i="1" s="1"/>
  <c r="J418" i="1" s="1"/>
  <c r="H418" i="1"/>
  <c r="I418" i="1" s="1"/>
  <c r="J419" i="1" s="1"/>
  <c r="H419" i="1"/>
  <c r="I419" i="1" s="1"/>
  <c r="J420" i="1" s="1"/>
  <c r="H420" i="1"/>
  <c r="I420" i="1" s="1"/>
  <c r="J421" i="1" s="1"/>
  <c r="H421" i="1"/>
  <c r="I421" i="1" s="1"/>
  <c r="J422" i="1" s="1"/>
  <c r="H422" i="1"/>
  <c r="I422" i="1" s="1"/>
  <c r="J423" i="1" s="1"/>
  <c r="H423" i="1"/>
  <c r="I423" i="1" s="1"/>
  <c r="J424" i="1" s="1"/>
  <c r="H424" i="1"/>
  <c r="I424" i="1" s="1"/>
  <c r="J425" i="1" s="1"/>
  <c r="H425" i="1"/>
  <c r="I425" i="1" s="1"/>
  <c r="J426" i="1" s="1"/>
  <c r="H426" i="1"/>
  <c r="I426" i="1" s="1"/>
  <c r="J427" i="1" s="1"/>
  <c r="H427" i="1"/>
  <c r="I427" i="1" s="1"/>
  <c r="J428" i="1" s="1"/>
  <c r="H428" i="1"/>
  <c r="I428" i="1" s="1"/>
  <c r="J429" i="1" s="1"/>
  <c r="H429" i="1"/>
  <c r="I429" i="1" s="1"/>
  <c r="J430" i="1" s="1"/>
  <c r="H430" i="1"/>
  <c r="I430" i="1" s="1"/>
  <c r="J431" i="1" s="1"/>
  <c r="H431" i="1"/>
  <c r="I431" i="1" s="1"/>
  <c r="J432" i="1" s="1"/>
  <c r="H432" i="1"/>
  <c r="I432" i="1" s="1"/>
  <c r="J433" i="1" s="1"/>
  <c r="H433" i="1"/>
  <c r="I433" i="1" s="1"/>
  <c r="J434" i="1" s="1"/>
  <c r="H434" i="1"/>
  <c r="I434" i="1" s="1"/>
  <c r="J435" i="1" s="1"/>
  <c r="H435" i="1"/>
  <c r="I435" i="1" s="1"/>
  <c r="J436" i="1" s="1"/>
  <c r="H436" i="1"/>
  <c r="I436" i="1" s="1"/>
  <c r="J437" i="1" s="1"/>
  <c r="H437" i="1"/>
  <c r="I437" i="1" s="1"/>
  <c r="J438" i="1" s="1"/>
  <c r="H438" i="1"/>
  <c r="I438" i="1" s="1"/>
  <c r="J439" i="1" s="1"/>
  <c r="H439" i="1"/>
  <c r="I439" i="1" s="1"/>
  <c r="J440" i="1" s="1"/>
  <c r="H440" i="1"/>
  <c r="I440" i="1" s="1"/>
  <c r="J441" i="1" s="1"/>
  <c r="H441" i="1"/>
  <c r="I441" i="1" s="1"/>
  <c r="J442" i="1" s="1"/>
  <c r="H442" i="1"/>
  <c r="I442" i="1" s="1"/>
  <c r="J443" i="1" s="1"/>
  <c r="H443" i="1"/>
  <c r="I443" i="1" s="1"/>
  <c r="J444" i="1" s="1"/>
  <c r="H444" i="1"/>
  <c r="I444" i="1" s="1"/>
  <c r="J445" i="1" s="1"/>
  <c r="H445" i="1"/>
  <c r="I445" i="1" s="1"/>
  <c r="J446" i="1" s="1"/>
  <c r="H446" i="1"/>
  <c r="I446" i="1" s="1"/>
  <c r="J447" i="1" s="1"/>
  <c r="H447" i="1"/>
  <c r="I447" i="1" s="1"/>
  <c r="J448" i="1" s="1"/>
  <c r="H448" i="1"/>
  <c r="I448" i="1" s="1"/>
  <c r="J449" i="1" s="1"/>
  <c r="H449" i="1"/>
  <c r="I449" i="1" s="1"/>
  <c r="J450" i="1" s="1"/>
  <c r="H450" i="1"/>
  <c r="I450" i="1" s="1"/>
  <c r="J451" i="1" s="1"/>
  <c r="H451" i="1"/>
  <c r="I451" i="1" s="1"/>
  <c r="J452" i="1" s="1"/>
  <c r="H452" i="1"/>
  <c r="I452" i="1" s="1"/>
  <c r="J453" i="1" s="1"/>
  <c r="H453" i="1"/>
  <c r="I453" i="1" s="1"/>
  <c r="J454" i="1" s="1"/>
  <c r="H454" i="1"/>
  <c r="I454" i="1" s="1"/>
  <c r="J455" i="1" s="1"/>
  <c r="H455" i="1"/>
  <c r="I455" i="1" s="1"/>
  <c r="J456" i="1" s="1"/>
  <c r="H456" i="1"/>
  <c r="I456" i="1" s="1"/>
  <c r="J457" i="1" s="1"/>
  <c r="H457" i="1"/>
  <c r="I457" i="1" s="1"/>
  <c r="J458" i="1" s="1"/>
  <c r="H458" i="1"/>
  <c r="I458" i="1" s="1"/>
  <c r="J459" i="1" s="1"/>
  <c r="H459" i="1"/>
  <c r="I459" i="1" s="1"/>
  <c r="J460" i="1" s="1"/>
  <c r="H461" i="1"/>
  <c r="I461" i="1" s="1"/>
  <c r="J462" i="1" s="1"/>
  <c r="H462" i="1"/>
  <c r="I462" i="1" s="1"/>
  <c r="J463" i="1" s="1"/>
  <c r="H463" i="1"/>
  <c r="I463" i="1" s="1"/>
  <c r="J464" i="1" s="1"/>
  <c r="H464" i="1"/>
  <c r="I464" i="1" s="1"/>
  <c r="J465" i="1" s="1"/>
  <c r="H465" i="1"/>
  <c r="I465" i="1" s="1"/>
  <c r="J466" i="1" s="1"/>
  <c r="H466" i="1"/>
  <c r="I466" i="1" s="1"/>
  <c r="J467" i="1" s="1"/>
  <c r="H467" i="1"/>
  <c r="I467" i="1" s="1"/>
  <c r="J468" i="1" s="1"/>
  <c r="H468" i="1"/>
  <c r="I468" i="1" s="1"/>
  <c r="J469" i="1" s="1"/>
  <c r="H469" i="1"/>
  <c r="I469" i="1" s="1"/>
  <c r="J470" i="1" s="1"/>
  <c r="H471" i="1"/>
  <c r="I471" i="1" s="1"/>
  <c r="J472" i="1" s="1"/>
  <c r="H472" i="1"/>
  <c r="I472" i="1" s="1"/>
  <c r="J473" i="1" s="1"/>
  <c r="H473" i="1"/>
  <c r="I473" i="1" s="1"/>
  <c r="J474" i="1" s="1"/>
  <c r="H474" i="1"/>
  <c r="I474" i="1" s="1"/>
  <c r="J475" i="1" s="1"/>
  <c r="H475" i="1"/>
  <c r="I475" i="1" s="1"/>
  <c r="J476" i="1" s="1"/>
  <c r="H476" i="1"/>
  <c r="I476" i="1" s="1"/>
  <c r="J477" i="1" s="1"/>
  <c r="H477" i="1"/>
  <c r="I477" i="1" s="1"/>
  <c r="J478" i="1" s="1"/>
  <c r="H478" i="1"/>
  <c r="I478" i="1" s="1"/>
  <c r="J479" i="1" s="1"/>
  <c r="H479" i="1"/>
  <c r="I479" i="1" s="1"/>
  <c r="J480" i="1" s="1"/>
  <c r="H480" i="1"/>
  <c r="I480" i="1" s="1"/>
  <c r="J481" i="1" s="1"/>
  <c r="H481" i="1"/>
  <c r="I481" i="1" s="1"/>
  <c r="J482" i="1" s="1"/>
  <c r="H482" i="1"/>
  <c r="I482" i="1" s="1"/>
  <c r="J483" i="1" s="1"/>
  <c r="H483" i="1"/>
  <c r="I483" i="1" s="1"/>
  <c r="J484" i="1" s="1"/>
  <c r="H484" i="1"/>
  <c r="I484" i="1" s="1"/>
  <c r="J485" i="1" s="1"/>
  <c r="H485" i="1"/>
  <c r="I485" i="1" s="1"/>
  <c r="J486" i="1" s="1"/>
  <c r="H486" i="1"/>
  <c r="I486" i="1" s="1"/>
  <c r="J487" i="1" s="1"/>
  <c r="H487" i="1"/>
  <c r="I487" i="1" s="1"/>
  <c r="J488" i="1" s="1"/>
  <c r="H488" i="1"/>
  <c r="I488" i="1" s="1"/>
  <c r="J489" i="1" s="1"/>
  <c r="H489" i="1"/>
  <c r="I489" i="1" s="1"/>
  <c r="J490" i="1" s="1"/>
  <c r="H490" i="1"/>
  <c r="I490" i="1" s="1"/>
  <c r="J491" i="1" s="1"/>
  <c r="H491" i="1"/>
  <c r="I491" i="1" s="1"/>
  <c r="J492" i="1" s="1"/>
  <c r="H492" i="1"/>
  <c r="I492" i="1" s="1"/>
  <c r="J493" i="1" s="1"/>
  <c r="H493" i="1"/>
  <c r="I493" i="1" s="1"/>
  <c r="J494" i="1" s="1"/>
  <c r="H494" i="1"/>
  <c r="I494" i="1" s="1"/>
  <c r="J495" i="1" s="1"/>
  <c r="H495" i="1"/>
  <c r="I495" i="1" s="1"/>
  <c r="J496" i="1" s="1"/>
  <c r="H496" i="1"/>
  <c r="I496" i="1" s="1"/>
  <c r="J497" i="1" s="1"/>
  <c r="H497" i="1"/>
  <c r="I497" i="1" s="1"/>
  <c r="J498" i="1" s="1"/>
  <c r="H498" i="1"/>
  <c r="I498" i="1" s="1"/>
  <c r="J499" i="1" s="1"/>
  <c r="H499" i="1"/>
  <c r="I499" i="1" s="1"/>
  <c r="J500" i="1" s="1"/>
  <c r="H500" i="1"/>
  <c r="I500" i="1" s="1"/>
  <c r="J501" i="1" s="1"/>
  <c r="H501" i="1"/>
  <c r="I501" i="1" s="1"/>
  <c r="J502" i="1" s="1"/>
  <c r="H502" i="1"/>
  <c r="I502" i="1" s="1"/>
  <c r="J503" i="1" s="1"/>
  <c r="H503" i="1"/>
  <c r="I503" i="1" s="1"/>
  <c r="J504" i="1" s="1"/>
  <c r="H504" i="1"/>
  <c r="I504" i="1" s="1"/>
  <c r="J505" i="1" s="1"/>
  <c r="H505" i="1"/>
  <c r="I505" i="1" s="1"/>
  <c r="J506" i="1" s="1"/>
  <c r="H506" i="1"/>
  <c r="I506" i="1" s="1"/>
  <c r="J507" i="1" s="1"/>
  <c r="H507" i="1"/>
  <c r="I507" i="1" s="1"/>
  <c r="J508" i="1" s="1"/>
  <c r="H508" i="1"/>
  <c r="I508" i="1" s="1"/>
  <c r="J509" i="1" s="1"/>
  <c r="H509" i="1"/>
  <c r="I509" i="1" s="1"/>
  <c r="J510" i="1" s="1"/>
  <c r="H510" i="1"/>
  <c r="I510" i="1" s="1"/>
  <c r="J511" i="1" s="1"/>
  <c r="H511" i="1"/>
  <c r="I511" i="1" s="1"/>
  <c r="J512" i="1" s="1"/>
  <c r="H512" i="1"/>
  <c r="I512" i="1" s="1"/>
  <c r="J513" i="1" s="1"/>
  <c r="H513" i="1"/>
  <c r="I513" i="1" s="1"/>
  <c r="J514" i="1" s="1"/>
  <c r="H514" i="1"/>
  <c r="I514" i="1" s="1"/>
  <c r="J515" i="1" s="1"/>
  <c r="H515" i="1"/>
  <c r="I515" i="1" s="1"/>
  <c r="J516" i="1" s="1"/>
  <c r="H516" i="1"/>
  <c r="I516" i="1" s="1"/>
  <c r="J517" i="1" s="1"/>
  <c r="H517" i="1"/>
  <c r="I517" i="1" s="1"/>
  <c r="J518" i="1" s="1"/>
  <c r="H518" i="1"/>
  <c r="I518" i="1" s="1"/>
  <c r="J519" i="1" s="1"/>
  <c r="H519" i="1"/>
  <c r="I519" i="1" s="1"/>
  <c r="J520" i="1" s="1"/>
  <c r="H520" i="1"/>
  <c r="I520" i="1" s="1"/>
  <c r="J521" i="1" s="1"/>
  <c r="H521" i="1"/>
  <c r="I521" i="1" s="1"/>
  <c r="J522" i="1" s="1"/>
  <c r="H522" i="1"/>
  <c r="I522" i="1" s="1"/>
  <c r="J523" i="1" s="1"/>
  <c r="H523" i="1"/>
  <c r="I523" i="1" s="1"/>
  <c r="J524" i="1" s="1"/>
  <c r="H524" i="1"/>
  <c r="I524" i="1" s="1"/>
  <c r="J525" i="1" s="1"/>
  <c r="H525" i="1"/>
  <c r="I525" i="1" s="1"/>
  <c r="J526" i="1" s="1"/>
  <c r="H526" i="1"/>
  <c r="I526" i="1" s="1"/>
  <c r="J527" i="1" s="1"/>
  <c r="H527" i="1"/>
  <c r="I527" i="1" s="1"/>
  <c r="J528" i="1" s="1"/>
  <c r="H528" i="1"/>
  <c r="I528" i="1" s="1"/>
  <c r="J529" i="1" s="1"/>
  <c r="H529" i="1"/>
  <c r="I529" i="1" s="1"/>
  <c r="J530" i="1" s="1"/>
  <c r="H530" i="1"/>
  <c r="I530" i="1" s="1"/>
  <c r="J531" i="1" s="1"/>
  <c r="H531" i="1"/>
  <c r="I531" i="1" s="1"/>
  <c r="J532" i="1" s="1"/>
  <c r="H532" i="1"/>
  <c r="I532" i="1" s="1"/>
  <c r="J533" i="1" s="1"/>
  <c r="H533" i="1"/>
  <c r="I533" i="1" s="1"/>
  <c r="J534" i="1" s="1"/>
  <c r="H534" i="1"/>
  <c r="I534" i="1" s="1"/>
  <c r="J535" i="1" s="1"/>
  <c r="H535" i="1"/>
  <c r="I535" i="1" s="1"/>
  <c r="J536" i="1" s="1"/>
  <c r="H536" i="1"/>
  <c r="I536" i="1" s="1"/>
  <c r="J537" i="1" s="1"/>
  <c r="H537" i="1"/>
  <c r="I537" i="1" s="1"/>
  <c r="J538" i="1" s="1"/>
  <c r="H538" i="1"/>
  <c r="I538" i="1" s="1"/>
  <c r="J539" i="1" s="1"/>
  <c r="H539" i="1"/>
  <c r="I539" i="1" s="1"/>
  <c r="J540" i="1" s="1"/>
  <c r="H541" i="1"/>
  <c r="I541" i="1" s="1"/>
  <c r="J542" i="1" s="1"/>
  <c r="H542" i="1"/>
  <c r="I542" i="1" s="1"/>
  <c r="J543" i="1" s="1"/>
  <c r="H543" i="1"/>
  <c r="I543" i="1" s="1"/>
  <c r="J544" i="1" s="1"/>
  <c r="H544" i="1"/>
  <c r="I544" i="1" s="1"/>
  <c r="J545" i="1" s="1"/>
  <c r="H545" i="1"/>
  <c r="I545" i="1" s="1"/>
  <c r="J546" i="1" s="1"/>
  <c r="H546" i="1"/>
  <c r="I546" i="1" s="1"/>
  <c r="J547" i="1" s="1"/>
  <c r="H547" i="1"/>
  <c r="I547" i="1" s="1"/>
  <c r="J548" i="1" s="1"/>
  <c r="H548" i="1"/>
  <c r="I548" i="1" s="1"/>
  <c r="J549" i="1" s="1"/>
  <c r="H549" i="1"/>
  <c r="I549" i="1" s="1"/>
  <c r="J550" i="1" s="1"/>
  <c r="H550" i="1"/>
  <c r="I550" i="1" s="1"/>
  <c r="J551" i="1" s="1"/>
  <c r="H551" i="1"/>
  <c r="I551" i="1" s="1"/>
  <c r="J552" i="1" s="1"/>
  <c r="H552" i="1"/>
  <c r="I552" i="1" s="1"/>
  <c r="J553" i="1" s="1"/>
  <c r="H553" i="1"/>
  <c r="I553" i="1" s="1"/>
  <c r="J554" i="1" s="1"/>
  <c r="H554" i="1"/>
  <c r="I554" i="1" s="1"/>
  <c r="J555" i="1" s="1"/>
  <c r="H555" i="1"/>
  <c r="I555" i="1" s="1"/>
  <c r="J556" i="1" s="1"/>
  <c r="H556" i="1"/>
  <c r="I556" i="1" s="1"/>
  <c r="J557" i="1" s="1"/>
  <c r="H557" i="1"/>
  <c r="I557" i="1" s="1"/>
  <c r="J558" i="1" s="1"/>
  <c r="H558" i="1"/>
  <c r="I558" i="1" s="1"/>
  <c r="J559" i="1" s="1"/>
  <c r="H559" i="1"/>
  <c r="I559" i="1" s="1"/>
  <c r="J560" i="1" s="1"/>
  <c r="H560" i="1"/>
  <c r="I560" i="1" s="1"/>
  <c r="J561" i="1" s="1"/>
  <c r="H561" i="1"/>
  <c r="I561" i="1" s="1"/>
  <c r="J562" i="1" s="1"/>
  <c r="H562" i="1"/>
  <c r="I562" i="1" s="1"/>
  <c r="J563" i="1" s="1"/>
  <c r="H563" i="1"/>
  <c r="I563" i="1" s="1"/>
  <c r="J564" i="1" s="1"/>
  <c r="H564" i="1"/>
  <c r="I564" i="1" s="1"/>
  <c r="J565" i="1" s="1"/>
  <c r="H565" i="1"/>
  <c r="I565" i="1" s="1"/>
  <c r="J566" i="1" s="1"/>
  <c r="H566" i="1"/>
  <c r="I566" i="1" s="1"/>
  <c r="J567" i="1" s="1"/>
  <c r="H567" i="1"/>
  <c r="I567" i="1" s="1"/>
  <c r="J568" i="1" s="1"/>
  <c r="H568" i="1"/>
  <c r="I568" i="1" s="1"/>
  <c r="J569" i="1" s="1"/>
  <c r="H569" i="1"/>
  <c r="H570" i="1"/>
  <c r="I570" i="1" s="1"/>
  <c r="J571" i="1" s="1"/>
  <c r="H571" i="1"/>
  <c r="I571" i="1" s="1"/>
  <c r="J572" i="1" s="1"/>
  <c r="H572" i="1"/>
  <c r="I572" i="1" s="1"/>
  <c r="J573" i="1" s="1"/>
  <c r="H573" i="1"/>
  <c r="I573" i="1" s="1"/>
  <c r="J574" i="1" s="1"/>
  <c r="H574" i="1"/>
  <c r="I574" i="1" s="1"/>
  <c r="J575" i="1" s="1"/>
  <c r="H575" i="1"/>
  <c r="I575" i="1" s="1"/>
  <c r="J576" i="1" s="1"/>
  <c r="H576" i="1"/>
  <c r="I576" i="1" s="1"/>
  <c r="J577" i="1" s="1"/>
  <c r="H577" i="1"/>
  <c r="I577" i="1" s="1"/>
  <c r="J578" i="1" s="1"/>
  <c r="H578" i="1"/>
  <c r="I578" i="1" s="1"/>
  <c r="J579" i="1" s="1"/>
  <c r="H579" i="1"/>
  <c r="I579" i="1" s="1"/>
  <c r="J580" i="1" s="1"/>
  <c r="H580" i="1"/>
  <c r="I580" i="1" s="1"/>
  <c r="J581" i="1" s="1"/>
  <c r="H581" i="1"/>
  <c r="I581" i="1" s="1"/>
  <c r="J582" i="1" s="1"/>
  <c r="H582" i="1"/>
  <c r="I582" i="1" s="1"/>
  <c r="J583" i="1" s="1"/>
  <c r="H583" i="1"/>
  <c r="I583" i="1" s="1"/>
  <c r="J584" i="1" s="1"/>
  <c r="H584" i="1"/>
  <c r="I584" i="1" s="1"/>
  <c r="J585" i="1" s="1"/>
  <c r="H585" i="1"/>
  <c r="I585" i="1" s="1"/>
  <c r="J586" i="1" s="1"/>
  <c r="H586" i="1"/>
  <c r="I586" i="1" s="1"/>
  <c r="J587" i="1" s="1"/>
  <c r="H587" i="1"/>
  <c r="I587" i="1" s="1"/>
  <c r="J588" i="1" s="1"/>
  <c r="H588" i="1"/>
  <c r="I588" i="1" s="1"/>
  <c r="J589" i="1" s="1"/>
  <c r="H589" i="1"/>
  <c r="I589" i="1" s="1"/>
  <c r="J590" i="1" s="1"/>
  <c r="H591" i="1"/>
  <c r="I591" i="1" s="1"/>
  <c r="J592" i="1" s="1"/>
  <c r="H592" i="1"/>
  <c r="I592" i="1" s="1"/>
  <c r="J593" i="1" s="1"/>
  <c r="H593" i="1"/>
  <c r="I593" i="1" s="1"/>
  <c r="J594" i="1" s="1"/>
  <c r="H594" i="1"/>
  <c r="I594" i="1" s="1"/>
  <c r="J595" i="1" s="1"/>
  <c r="H595" i="1"/>
  <c r="I595" i="1" s="1"/>
  <c r="J596" i="1" s="1"/>
  <c r="H596" i="1"/>
  <c r="I596" i="1" s="1"/>
  <c r="J597" i="1" s="1"/>
  <c r="H597" i="1"/>
  <c r="I597" i="1" s="1"/>
  <c r="J598" i="1" s="1"/>
  <c r="H598" i="1"/>
  <c r="I598" i="1" s="1"/>
  <c r="J599" i="1" s="1"/>
  <c r="H599" i="1"/>
  <c r="I599" i="1" s="1"/>
  <c r="J600" i="1" s="1"/>
  <c r="H600" i="1"/>
  <c r="I600" i="1" s="1"/>
  <c r="J601" i="1" s="1"/>
  <c r="H601" i="1"/>
  <c r="I601" i="1" s="1"/>
  <c r="J602" i="1" s="1"/>
  <c r="H602" i="1"/>
  <c r="I602" i="1" s="1"/>
  <c r="J603" i="1" s="1"/>
  <c r="H603" i="1"/>
  <c r="I603" i="1" s="1"/>
  <c r="J604" i="1" s="1"/>
  <c r="H604" i="1"/>
  <c r="I604" i="1" s="1"/>
  <c r="J605" i="1" s="1"/>
  <c r="H605" i="1"/>
  <c r="I605" i="1" s="1"/>
  <c r="J606" i="1" s="1"/>
  <c r="H606" i="1"/>
  <c r="I606" i="1" s="1"/>
  <c r="J607" i="1" s="1"/>
  <c r="H607" i="1"/>
  <c r="I607" i="1" s="1"/>
  <c r="J608" i="1" s="1"/>
  <c r="H608" i="1"/>
  <c r="I608" i="1" s="1"/>
  <c r="J609" i="1" s="1"/>
  <c r="H609" i="1"/>
  <c r="I609" i="1" s="1"/>
  <c r="J610" i="1" s="1"/>
  <c r="H610" i="1"/>
  <c r="I610" i="1" s="1"/>
  <c r="J611" i="1" s="1"/>
  <c r="H611" i="1"/>
  <c r="I611" i="1" s="1"/>
  <c r="J612" i="1" s="1"/>
  <c r="H612" i="1"/>
  <c r="I612" i="1" s="1"/>
  <c r="J613" i="1" s="1"/>
  <c r="H613" i="1"/>
  <c r="I613" i="1" s="1"/>
  <c r="J614" i="1" s="1"/>
  <c r="H614" i="1"/>
  <c r="I614" i="1" s="1"/>
  <c r="J615" i="1" s="1"/>
  <c r="H615" i="1"/>
  <c r="I615" i="1" s="1"/>
  <c r="J616" i="1" s="1"/>
  <c r="H616" i="1"/>
  <c r="I616" i="1" s="1"/>
  <c r="J617" i="1" s="1"/>
  <c r="H617" i="1"/>
  <c r="I617" i="1" s="1"/>
  <c r="J618" i="1" s="1"/>
  <c r="H618" i="1"/>
  <c r="I618" i="1" s="1"/>
  <c r="J619" i="1" s="1"/>
  <c r="H619" i="1"/>
  <c r="I619" i="1" s="1"/>
  <c r="J620" i="1" s="1"/>
  <c r="H620" i="1"/>
  <c r="I620" i="1" s="1"/>
  <c r="J621" i="1" s="1"/>
  <c r="H621" i="1"/>
  <c r="I621" i="1" s="1"/>
  <c r="J622" i="1" s="1"/>
  <c r="H622" i="1"/>
  <c r="I622" i="1" s="1"/>
  <c r="J623" i="1" s="1"/>
  <c r="H623" i="1"/>
  <c r="I623" i="1" s="1"/>
  <c r="J624" i="1" s="1"/>
  <c r="H624" i="1"/>
  <c r="I624" i="1" s="1"/>
  <c r="J625" i="1" s="1"/>
  <c r="H625" i="1"/>
  <c r="I625" i="1" s="1"/>
  <c r="J626" i="1" s="1"/>
  <c r="H626" i="1"/>
  <c r="I626" i="1" s="1"/>
  <c r="J627" i="1" s="1"/>
  <c r="H627" i="1"/>
  <c r="I627" i="1" s="1"/>
  <c r="J628" i="1" s="1"/>
  <c r="H628" i="1"/>
  <c r="I628" i="1" s="1"/>
  <c r="J629" i="1" s="1"/>
  <c r="H629" i="1"/>
  <c r="I629" i="1" s="1"/>
  <c r="J630" i="1" s="1"/>
  <c r="H630" i="1"/>
  <c r="I630" i="1" s="1"/>
  <c r="J631" i="1" s="1"/>
  <c r="H631" i="1"/>
  <c r="I631" i="1" s="1"/>
  <c r="J632" i="1" s="1"/>
  <c r="H632" i="1"/>
  <c r="I632" i="1" s="1"/>
  <c r="J633" i="1" s="1"/>
  <c r="H633" i="1"/>
  <c r="I633" i="1" s="1"/>
  <c r="J634" i="1" s="1"/>
  <c r="H634" i="1"/>
  <c r="I634" i="1" s="1"/>
  <c r="J635" i="1" s="1"/>
  <c r="H635" i="1"/>
  <c r="I635" i="1" s="1"/>
  <c r="J636" i="1" s="1"/>
  <c r="H636" i="1"/>
  <c r="I636" i="1" s="1"/>
  <c r="J637" i="1" s="1"/>
  <c r="H637" i="1"/>
  <c r="I637" i="1" s="1"/>
  <c r="J638" i="1" s="1"/>
  <c r="H638" i="1"/>
  <c r="I638" i="1" s="1"/>
  <c r="J639" i="1" s="1"/>
  <c r="H639" i="1"/>
  <c r="I639" i="1" s="1"/>
  <c r="J640" i="1" s="1"/>
  <c r="H640" i="1"/>
  <c r="I640" i="1" s="1"/>
  <c r="J641" i="1" s="1"/>
  <c r="H641" i="1"/>
  <c r="I641" i="1" s="1"/>
  <c r="J642" i="1" s="1"/>
  <c r="H642" i="1"/>
  <c r="I642" i="1" s="1"/>
  <c r="J643" i="1" s="1"/>
  <c r="H643" i="1"/>
  <c r="I643" i="1" s="1"/>
  <c r="J644" i="1" s="1"/>
  <c r="H644" i="1"/>
  <c r="I644" i="1" s="1"/>
  <c r="J645" i="1" s="1"/>
  <c r="H645" i="1"/>
  <c r="I645" i="1" s="1"/>
  <c r="J646" i="1" s="1"/>
  <c r="H646" i="1"/>
  <c r="I646" i="1" s="1"/>
  <c r="J647" i="1" s="1"/>
  <c r="H647" i="1"/>
  <c r="I647" i="1" s="1"/>
  <c r="J648" i="1" s="1"/>
  <c r="H648" i="1"/>
  <c r="I648" i="1" s="1"/>
  <c r="J649" i="1" s="1"/>
  <c r="H649" i="1"/>
  <c r="I649" i="1" s="1"/>
  <c r="J650" i="1" s="1"/>
  <c r="H650" i="1"/>
  <c r="I650" i="1" s="1"/>
  <c r="J651" i="1" s="1"/>
  <c r="H651" i="1"/>
  <c r="I651" i="1" s="1"/>
  <c r="J652" i="1" s="1"/>
  <c r="H652" i="1"/>
  <c r="I652" i="1" s="1"/>
  <c r="J653" i="1" s="1"/>
  <c r="H653" i="1"/>
  <c r="I653" i="1" s="1"/>
  <c r="J654" i="1" s="1"/>
  <c r="H654" i="1"/>
  <c r="I654" i="1" s="1"/>
  <c r="J655" i="1" s="1"/>
  <c r="H655" i="1"/>
  <c r="I655" i="1" s="1"/>
  <c r="J656" i="1" s="1"/>
  <c r="H656" i="1"/>
  <c r="I656" i="1" s="1"/>
  <c r="J657" i="1" s="1"/>
  <c r="H657" i="1"/>
  <c r="I657" i="1" s="1"/>
  <c r="J658" i="1" s="1"/>
  <c r="H658" i="1"/>
  <c r="I658" i="1" s="1"/>
  <c r="J659" i="1" s="1"/>
  <c r="H659" i="1"/>
  <c r="I659" i="1" s="1"/>
  <c r="J660" i="1" s="1"/>
  <c r="H660" i="1"/>
  <c r="I660" i="1" s="1"/>
  <c r="J661" i="1" s="1"/>
  <c r="H661" i="1"/>
  <c r="I661" i="1" s="1"/>
  <c r="J662" i="1" s="1"/>
  <c r="H662" i="1"/>
  <c r="I662" i="1" s="1"/>
  <c r="J663" i="1" s="1"/>
  <c r="H663" i="1"/>
  <c r="I663" i="1" s="1"/>
  <c r="J664" i="1" s="1"/>
  <c r="H664" i="1"/>
  <c r="I664" i="1" s="1"/>
  <c r="J665" i="1" s="1"/>
  <c r="H665" i="1"/>
  <c r="I665" i="1" s="1"/>
  <c r="J666" i="1" s="1"/>
  <c r="H666" i="1"/>
  <c r="I666" i="1" s="1"/>
  <c r="J667" i="1" s="1"/>
  <c r="H667" i="1"/>
  <c r="I667" i="1" s="1"/>
  <c r="J668" i="1" s="1"/>
  <c r="H668" i="1"/>
  <c r="I668" i="1" s="1"/>
  <c r="J669" i="1" s="1"/>
  <c r="H669" i="1"/>
  <c r="I669" i="1" s="1"/>
  <c r="J670" i="1" s="1"/>
  <c r="H670" i="1"/>
  <c r="I670" i="1" s="1"/>
  <c r="J671" i="1" s="1"/>
  <c r="H671" i="1"/>
  <c r="I671" i="1" s="1"/>
  <c r="J672" i="1" s="1"/>
  <c r="H672" i="1"/>
  <c r="I672" i="1" s="1"/>
  <c r="J673" i="1" s="1"/>
  <c r="H673" i="1"/>
  <c r="I673" i="1" s="1"/>
  <c r="J674" i="1" s="1"/>
  <c r="H674" i="1"/>
  <c r="I674" i="1" s="1"/>
  <c r="J675" i="1" s="1"/>
  <c r="H675" i="1"/>
  <c r="I675" i="1" s="1"/>
  <c r="J676" i="1" s="1"/>
  <c r="H676" i="1"/>
  <c r="I676" i="1" s="1"/>
  <c r="J677" i="1" s="1"/>
  <c r="H677" i="1"/>
  <c r="I677" i="1" s="1"/>
  <c r="J678" i="1" s="1"/>
  <c r="H678" i="1"/>
  <c r="I678" i="1" s="1"/>
  <c r="J679" i="1" s="1"/>
  <c r="H679" i="1"/>
  <c r="I679" i="1" s="1"/>
  <c r="J680" i="1" s="1"/>
  <c r="H681" i="1"/>
  <c r="I681" i="1" s="1"/>
  <c r="J682" i="1" s="1"/>
  <c r="H682" i="1"/>
  <c r="I682" i="1" s="1"/>
  <c r="J683" i="1" s="1"/>
  <c r="H683" i="1"/>
  <c r="I683" i="1" s="1"/>
  <c r="J684" i="1" s="1"/>
  <c r="H684" i="1"/>
  <c r="I684" i="1" s="1"/>
  <c r="J685" i="1" s="1"/>
  <c r="H685" i="1"/>
  <c r="I685" i="1" s="1"/>
  <c r="J686" i="1" s="1"/>
  <c r="H686" i="1"/>
  <c r="I686" i="1" s="1"/>
  <c r="J687" i="1" s="1"/>
  <c r="H687" i="1"/>
  <c r="I687" i="1" s="1"/>
  <c r="J688" i="1" s="1"/>
  <c r="H688" i="1"/>
  <c r="I688" i="1" s="1"/>
  <c r="J689" i="1" s="1"/>
  <c r="H689" i="1"/>
  <c r="I689" i="1" s="1"/>
  <c r="J690" i="1" s="1"/>
  <c r="H690" i="1"/>
  <c r="I690" i="1" s="1"/>
  <c r="J691" i="1" s="1"/>
  <c r="H691" i="1"/>
  <c r="I691" i="1" s="1"/>
  <c r="J692" i="1" s="1"/>
  <c r="H692" i="1"/>
  <c r="I692" i="1" s="1"/>
  <c r="J693" i="1" s="1"/>
  <c r="H693" i="1"/>
  <c r="I693" i="1" s="1"/>
  <c r="J694" i="1" s="1"/>
  <c r="H694" i="1"/>
  <c r="I694" i="1" s="1"/>
  <c r="J695" i="1" s="1"/>
  <c r="H695" i="1"/>
  <c r="I695" i="1" s="1"/>
  <c r="J696" i="1" s="1"/>
  <c r="H696" i="1"/>
  <c r="I696" i="1" s="1"/>
  <c r="J697" i="1" s="1"/>
  <c r="H697" i="1"/>
  <c r="I697" i="1" s="1"/>
  <c r="J698" i="1" s="1"/>
  <c r="H698" i="1"/>
  <c r="I698" i="1" s="1"/>
  <c r="J699" i="1" s="1"/>
  <c r="H699" i="1"/>
  <c r="I699" i="1" s="1"/>
  <c r="J700" i="1" s="1"/>
  <c r="H700" i="1"/>
  <c r="I700" i="1" s="1"/>
  <c r="J701" i="1" s="1"/>
  <c r="H701" i="1"/>
  <c r="I701" i="1" s="1"/>
  <c r="J702" i="1" s="1"/>
  <c r="H702" i="1"/>
  <c r="I702" i="1" s="1"/>
  <c r="J703" i="1" s="1"/>
  <c r="H703" i="1"/>
  <c r="I703" i="1" s="1"/>
  <c r="J704" i="1" s="1"/>
  <c r="H704" i="1"/>
  <c r="I704" i="1" s="1"/>
  <c r="J705" i="1" s="1"/>
  <c r="H705" i="1"/>
  <c r="I705" i="1" s="1"/>
  <c r="J706" i="1" s="1"/>
  <c r="H706" i="1"/>
  <c r="I706" i="1" s="1"/>
  <c r="J707" i="1" s="1"/>
  <c r="H707" i="1"/>
  <c r="I707" i="1" s="1"/>
  <c r="J708" i="1" s="1"/>
  <c r="H708" i="1"/>
  <c r="I708" i="1" s="1"/>
  <c r="J709" i="1" s="1"/>
  <c r="H709" i="1"/>
  <c r="I709" i="1" s="1"/>
  <c r="J710" i="1" s="1"/>
  <c r="H710" i="1"/>
  <c r="I710" i="1" s="1"/>
  <c r="J711" i="1" s="1"/>
  <c r="H711" i="1"/>
  <c r="I711" i="1" s="1"/>
  <c r="J712" i="1" s="1"/>
  <c r="H712" i="1"/>
  <c r="I712" i="1" s="1"/>
  <c r="J713" i="1" s="1"/>
  <c r="H713" i="1"/>
  <c r="I713" i="1" s="1"/>
  <c r="J714" i="1" s="1"/>
  <c r="H714" i="1"/>
  <c r="I714" i="1" s="1"/>
  <c r="J715" i="1" s="1"/>
  <c r="H715" i="1"/>
  <c r="I715" i="1" s="1"/>
  <c r="J716" i="1" s="1"/>
  <c r="H716" i="1"/>
  <c r="I716" i="1" s="1"/>
  <c r="J717" i="1" s="1"/>
  <c r="H717" i="1"/>
  <c r="I717" i="1" s="1"/>
  <c r="J718" i="1" s="1"/>
  <c r="H718" i="1"/>
  <c r="I718" i="1" s="1"/>
  <c r="J719" i="1" s="1"/>
  <c r="H719" i="1"/>
  <c r="I719" i="1" s="1"/>
  <c r="J720" i="1" s="1"/>
  <c r="H720" i="1"/>
  <c r="I720" i="1" s="1"/>
  <c r="J721" i="1" s="1"/>
  <c r="H721" i="1"/>
  <c r="I721" i="1" s="1"/>
  <c r="J722" i="1" s="1"/>
  <c r="H722" i="1"/>
  <c r="I722" i="1" s="1"/>
  <c r="J723" i="1" s="1"/>
  <c r="H723" i="1"/>
  <c r="I723" i="1" s="1"/>
  <c r="J724" i="1" s="1"/>
  <c r="H724" i="1"/>
  <c r="I724" i="1" s="1"/>
  <c r="J725" i="1" s="1"/>
  <c r="H725" i="1"/>
  <c r="I725" i="1" s="1"/>
  <c r="J726" i="1" s="1"/>
  <c r="H726" i="1"/>
  <c r="I726" i="1" s="1"/>
  <c r="J727" i="1" s="1"/>
  <c r="H727" i="1"/>
  <c r="I727" i="1" s="1"/>
  <c r="J728" i="1" s="1"/>
  <c r="H728" i="1"/>
  <c r="I728" i="1" s="1"/>
  <c r="J729" i="1" s="1"/>
  <c r="H729" i="1"/>
  <c r="I729" i="1" s="1"/>
  <c r="J730" i="1" s="1"/>
  <c r="H731" i="1"/>
  <c r="I731" i="1" s="1"/>
  <c r="J732" i="1" s="1"/>
  <c r="H732" i="1"/>
  <c r="I732" i="1" s="1"/>
  <c r="J733" i="1" s="1"/>
  <c r="H733" i="1"/>
  <c r="I733" i="1" s="1"/>
  <c r="J734" i="1" s="1"/>
  <c r="H734" i="1"/>
  <c r="I734" i="1" s="1"/>
  <c r="J735" i="1" s="1"/>
  <c r="H735" i="1"/>
  <c r="I735" i="1" s="1"/>
  <c r="J736" i="1" s="1"/>
  <c r="H736" i="1"/>
  <c r="I736" i="1" s="1"/>
  <c r="J737" i="1" s="1"/>
  <c r="H737" i="1"/>
  <c r="I737" i="1" s="1"/>
  <c r="J738" i="1" s="1"/>
  <c r="H738" i="1"/>
  <c r="I738" i="1" s="1"/>
  <c r="J739" i="1" s="1"/>
  <c r="H739" i="1"/>
  <c r="I739" i="1" s="1"/>
  <c r="J740" i="1" s="1"/>
  <c r="H740" i="1"/>
  <c r="I740" i="1" s="1"/>
  <c r="J741" i="1" s="1"/>
  <c r="H741" i="1"/>
  <c r="I741" i="1" s="1"/>
  <c r="J742" i="1" s="1"/>
  <c r="H742" i="1"/>
  <c r="I742" i="1" s="1"/>
  <c r="J743" i="1" s="1"/>
  <c r="H743" i="1"/>
  <c r="I743" i="1" s="1"/>
  <c r="J744" i="1" s="1"/>
  <c r="H744" i="1"/>
  <c r="I744" i="1" s="1"/>
  <c r="J745" i="1" s="1"/>
  <c r="H745" i="1"/>
  <c r="I745" i="1" s="1"/>
  <c r="J746" i="1" s="1"/>
  <c r="H746" i="1"/>
  <c r="I746" i="1" s="1"/>
  <c r="J747" i="1" s="1"/>
  <c r="H747" i="1"/>
  <c r="I747" i="1" s="1"/>
  <c r="J748" i="1" s="1"/>
  <c r="H748" i="1"/>
  <c r="I748" i="1" s="1"/>
  <c r="J749" i="1" s="1"/>
  <c r="H749" i="1"/>
  <c r="I749" i="1" s="1"/>
  <c r="J750" i="1" s="1"/>
  <c r="H750" i="1"/>
  <c r="I750" i="1" s="1"/>
  <c r="J751" i="1" s="1"/>
  <c r="H751" i="1"/>
  <c r="I751" i="1" s="1"/>
  <c r="J752" i="1" s="1"/>
  <c r="H752" i="1"/>
  <c r="I752" i="1" s="1"/>
  <c r="J753" i="1" s="1"/>
  <c r="H753" i="1"/>
  <c r="I753" i="1" s="1"/>
  <c r="J754" i="1" s="1"/>
  <c r="H754" i="1"/>
  <c r="I754" i="1" s="1"/>
  <c r="J755" i="1" s="1"/>
  <c r="H755" i="1"/>
  <c r="I755" i="1" s="1"/>
  <c r="J756" i="1" s="1"/>
  <c r="H756" i="1"/>
  <c r="I756" i="1" s="1"/>
  <c r="J757" i="1" s="1"/>
  <c r="H757" i="1"/>
  <c r="I757" i="1" s="1"/>
  <c r="J758" i="1" s="1"/>
  <c r="H758" i="1"/>
  <c r="I758" i="1" s="1"/>
  <c r="J759" i="1" s="1"/>
  <c r="H759" i="1"/>
  <c r="I759" i="1" s="1"/>
  <c r="J760" i="1" s="1"/>
  <c r="H760" i="1"/>
  <c r="I760" i="1" s="1"/>
  <c r="J761" i="1" s="1"/>
  <c r="H761" i="1"/>
  <c r="I761" i="1" s="1"/>
  <c r="J762" i="1" s="1"/>
  <c r="H762" i="1"/>
  <c r="I762" i="1" s="1"/>
  <c r="J763" i="1" s="1"/>
  <c r="H763" i="1"/>
  <c r="I763" i="1" s="1"/>
  <c r="J764" i="1" s="1"/>
  <c r="H764" i="1"/>
  <c r="I764" i="1" s="1"/>
  <c r="J765" i="1" s="1"/>
  <c r="H765" i="1"/>
  <c r="I765" i="1" s="1"/>
  <c r="J766" i="1" s="1"/>
  <c r="H766" i="1"/>
  <c r="I766" i="1" s="1"/>
  <c r="J767" i="1" s="1"/>
  <c r="H767" i="1"/>
  <c r="I767" i="1" s="1"/>
  <c r="J768" i="1" s="1"/>
  <c r="H768" i="1"/>
  <c r="I768" i="1" s="1"/>
  <c r="J769" i="1" s="1"/>
  <c r="H769" i="1"/>
  <c r="I769" i="1" s="1"/>
  <c r="J770" i="1" s="1"/>
  <c r="H770" i="1"/>
  <c r="I770" i="1" s="1"/>
  <c r="J771" i="1" s="1"/>
  <c r="H771" i="1"/>
  <c r="I771" i="1" s="1"/>
  <c r="J772" i="1" s="1"/>
  <c r="H772" i="1"/>
  <c r="I772" i="1" s="1"/>
  <c r="J773" i="1" s="1"/>
  <c r="H773" i="1"/>
  <c r="I773" i="1" s="1"/>
  <c r="J774" i="1" s="1"/>
  <c r="H774" i="1"/>
  <c r="I774" i="1" s="1"/>
  <c r="J775" i="1" s="1"/>
  <c r="H775" i="1"/>
  <c r="I775" i="1" s="1"/>
  <c r="J776" i="1" s="1"/>
  <c r="H776" i="1"/>
  <c r="I776" i="1" s="1"/>
  <c r="J777" i="1" s="1"/>
  <c r="H777" i="1"/>
  <c r="I777" i="1" s="1"/>
  <c r="J778" i="1" s="1"/>
  <c r="H778" i="1"/>
  <c r="I778" i="1" s="1"/>
  <c r="J779" i="1" s="1"/>
  <c r="H779" i="1"/>
  <c r="I779" i="1" s="1"/>
  <c r="J780" i="1" s="1"/>
  <c r="H780" i="1"/>
  <c r="I780" i="1" s="1"/>
  <c r="J781" i="1" s="1"/>
  <c r="H781" i="1"/>
  <c r="I781" i="1" s="1"/>
  <c r="J782" i="1" s="1"/>
  <c r="H782" i="1"/>
  <c r="I782" i="1" s="1"/>
  <c r="J783" i="1" s="1"/>
  <c r="H783" i="1"/>
  <c r="I783" i="1" s="1"/>
  <c r="J784" i="1" s="1"/>
  <c r="H784" i="1"/>
  <c r="I784" i="1" s="1"/>
  <c r="J785" i="1" s="1"/>
  <c r="H785" i="1"/>
  <c r="I785" i="1" s="1"/>
  <c r="J786" i="1" s="1"/>
  <c r="H786" i="1"/>
  <c r="I786" i="1" s="1"/>
  <c r="J787" i="1" s="1"/>
  <c r="H787" i="1"/>
  <c r="I787" i="1" s="1"/>
  <c r="J788" i="1" s="1"/>
  <c r="H788" i="1"/>
  <c r="I788" i="1" s="1"/>
  <c r="J789" i="1" s="1"/>
  <c r="H789" i="1"/>
  <c r="I789" i="1" s="1"/>
  <c r="J790" i="1" s="1"/>
  <c r="H790" i="1"/>
  <c r="I790" i="1" s="1"/>
  <c r="J791" i="1" s="1"/>
  <c r="H791" i="1"/>
  <c r="I791" i="1" s="1"/>
  <c r="J792" i="1" s="1"/>
  <c r="H792" i="1"/>
  <c r="I792" i="1" s="1"/>
  <c r="J793" i="1" s="1"/>
  <c r="H793" i="1"/>
  <c r="I793" i="1" s="1"/>
  <c r="J794" i="1" s="1"/>
  <c r="H794" i="1"/>
  <c r="I794" i="1" s="1"/>
  <c r="J795" i="1" s="1"/>
  <c r="H795" i="1"/>
  <c r="I795" i="1" s="1"/>
  <c r="J796" i="1" s="1"/>
  <c r="H796" i="1"/>
  <c r="I796" i="1" s="1"/>
  <c r="J797" i="1" s="1"/>
  <c r="H797" i="1"/>
  <c r="I797" i="1" s="1"/>
  <c r="J798" i="1" s="1"/>
  <c r="H798" i="1"/>
  <c r="I798" i="1" s="1"/>
  <c r="J799" i="1" s="1"/>
  <c r="H799" i="1"/>
  <c r="I799" i="1" s="1"/>
  <c r="J800" i="1" s="1"/>
  <c r="H800" i="1"/>
  <c r="I800" i="1" s="1"/>
  <c r="J801" i="1" s="1"/>
  <c r="H801" i="1"/>
  <c r="I801" i="1" s="1"/>
  <c r="J802" i="1" s="1"/>
  <c r="H802" i="1"/>
  <c r="I802" i="1" s="1"/>
  <c r="J803" i="1" s="1"/>
  <c r="H803" i="1"/>
  <c r="I803" i="1" s="1"/>
  <c r="J804" i="1" s="1"/>
  <c r="H804" i="1"/>
  <c r="I804" i="1" s="1"/>
  <c r="J805" i="1" s="1"/>
  <c r="H805" i="1"/>
  <c r="I805" i="1" s="1"/>
  <c r="J806" i="1" s="1"/>
  <c r="H806" i="1"/>
  <c r="I806" i="1" s="1"/>
  <c r="J807" i="1" s="1"/>
  <c r="H807" i="1"/>
  <c r="I807" i="1" s="1"/>
  <c r="J808" i="1" s="1"/>
  <c r="H808" i="1"/>
  <c r="I808" i="1" s="1"/>
  <c r="J809" i="1" s="1"/>
  <c r="H809" i="1"/>
  <c r="I809" i="1" s="1"/>
  <c r="J810" i="1" s="1"/>
  <c r="H810" i="1"/>
  <c r="I810" i="1" s="1"/>
  <c r="J811" i="1" s="1"/>
  <c r="H811" i="1"/>
  <c r="I811" i="1" s="1"/>
  <c r="J812" i="1" s="1"/>
  <c r="H812" i="1"/>
  <c r="I812" i="1" s="1"/>
  <c r="J813" i="1" s="1"/>
  <c r="H813" i="1"/>
  <c r="I813" i="1" s="1"/>
  <c r="J814" i="1" s="1"/>
  <c r="H814" i="1"/>
  <c r="I814" i="1" s="1"/>
  <c r="J815" i="1" s="1"/>
  <c r="H815" i="1"/>
  <c r="I815" i="1" s="1"/>
  <c r="J816" i="1" s="1"/>
  <c r="H816" i="1"/>
  <c r="I816" i="1" s="1"/>
  <c r="J817" i="1" s="1"/>
  <c r="H817" i="1"/>
  <c r="I817" i="1" s="1"/>
  <c r="J818" i="1" s="1"/>
  <c r="H818" i="1"/>
  <c r="I818" i="1" s="1"/>
  <c r="J819" i="1" s="1"/>
  <c r="H819" i="1"/>
  <c r="I819" i="1" s="1"/>
  <c r="J820" i="1" s="1"/>
  <c r="H820" i="1"/>
  <c r="I820" i="1" s="1"/>
  <c r="J821" i="1" s="1"/>
  <c r="H821" i="1"/>
  <c r="I821" i="1" s="1"/>
  <c r="J822" i="1" s="1"/>
  <c r="H822" i="1"/>
  <c r="I822" i="1" s="1"/>
  <c r="J823" i="1" s="1"/>
  <c r="H823" i="1"/>
  <c r="I823" i="1" s="1"/>
  <c r="J824" i="1" s="1"/>
  <c r="H824" i="1"/>
  <c r="I824" i="1" s="1"/>
  <c r="J825" i="1" s="1"/>
  <c r="H825" i="1"/>
  <c r="I825" i="1" s="1"/>
  <c r="J826" i="1" s="1"/>
  <c r="H826" i="1"/>
  <c r="I826" i="1" s="1"/>
  <c r="J827" i="1" s="1"/>
  <c r="H827" i="1"/>
  <c r="I827" i="1" s="1"/>
  <c r="J828" i="1" s="1"/>
  <c r="H828" i="1"/>
  <c r="I828" i="1" s="1"/>
  <c r="J829" i="1" s="1"/>
  <c r="H829" i="1"/>
  <c r="I829" i="1" s="1"/>
  <c r="J830" i="1" s="1"/>
  <c r="H830" i="1"/>
  <c r="I830" i="1" s="1"/>
  <c r="J831" i="1" s="1"/>
  <c r="H831" i="1"/>
  <c r="I831" i="1" s="1"/>
  <c r="J832" i="1" s="1"/>
  <c r="H832" i="1"/>
  <c r="I832" i="1" s="1"/>
  <c r="J833" i="1" s="1"/>
  <c r="H833" i="1"/>
  <c r="I833" i="1" s="1"/>
  <c r="J834" i="1" s="1"/>
  <c r="H834" i="1"/>
  <c r="I834" i="1" s="1"/>
  <c r="J835" i="1" s="1"/>
  <c r="H835" i="1"/>
  <c r="I835" i="1" s="1"/>
  <c r="J836" i="1" s="1"/>
  <c r="H836" i="1"/>
  <c r="I836" i="1" s="1"/>
  <c r="J837" i="1" s="1"/>
  <c r="H837" i="1"/>
  <c r="I837" i="1" s="1"/>
  <c r="J838" i="1" s="1"/>
  <c r="H838" i="1"/>
  <c r="I838" i="1" s="1"/>
  <c r="J839" i="1" s="1"/>
  <c r="H839" i="1"/>
  <c r="I839" i="1" s="1"/>
  <c r="J840" i="1" s="1"/>
  <c r="H840" i="1"/>
  <c r="I840" i="1" s="1"/>
  <c r="J841" i="1" s="1"/>
  <c r="H841" i="1"/>
  <c r="I841" i="1" s="1"/>
  <c r="J842" i="1" s="1"/>
  <c r="H842" i="1"/>
  <c r="I842" i="1" s="1"/>
  <c r="J843" i="1" s="1"/>
  <c r="H843" i="1"/>
  <c r="I843" i="1" s="1"/>
  <c r="J844" i="1" s="1"/>
  <c r="H844" i="1"/>
  <c r="I844" i="1" s="1"/>
  <c r="J845" i="1" s="1"/>
  <c r="H845" i="1"/>
  <c r="I845" i="1" s="1"/>
  <c r="J846" i="1" s="1"/>
  <c r="H846" i="1"/>
  <c r="I846" i="1" s="1"/>
  <c r="J847" i="1" s="1"/>
  <c r="H847" i="1"/>
  <c r="I847" i="1" s="1"/>
  <c r="J848" i="1" s="1"/>
  <c r="H848" i="1"/>
  <c r="I848" i="1" s="1"/>
  <c r="J849" i="1" s="1"/>
  <c r="H849" i="1"/>
  <c r="I849" i="1" s="1"/>
  <c r="J850" i="1" s="1"/>
  <c r="H850" i="1"/>
  <c r="I850" i="1" s="1"/>
  <c r="J851" i="1" s="1"/>
  <c r="H851" i="1"/>
  <c r="I851" i="1" s="1"/>
  <c r="J852" i="1" s="1"/>
  <c r="H852" i="1"/>
  <c r="I852" i="1" s="1"/>
  <c r="J853" i="1" s="1"/>
  <c r="H853" i="1"/>
  <c r="I853" i="1" s="1"/>
  <c r="J854" i="1" s="1"/>
  <c r="H854" i="1"/>
  <c r="I854" i="1" s="1"/>
  <c r="J855" i="1" s="1"/>
  <c r="H855" i="1"/>
  <c r="I855" i="1" s="1"/>
  <c r="J856" i="1" s="1"/>
  <c r="H856" i="1"/>
  <c r="I856" i="1" s="1"/>
  <c r="J857" i="1" s="1"/>
  <c r="H857" i="1"/>
  <c r="I857" i="1" s="1"/>
  <c r="J858" i="1" s="1"/>
  <c r="H858" i="1"/>
  <c r="I858" i="1" s="1"/>
  <c r="J859" i="1" s="1"/>
  <c r="H859" i="1"/>
  <c r="I859" i="1" s="1"/>
  <c r="J860" i="1" s="1"/>
  <c r="H860" i="1"/>
  <c r="I860" i="1" s="1"/>
  <c r="J861" i="1" s="1"/>
  <c r="H861" i="1"/>
  <c r="I861" i="1" s="1"/>
  <c r="J862" i="1" s="1"/>
  <c r="H862" i="1"/>
  <c r="I862" i="1" s="1"/>
  <c r="J863" i="1" s="1"/>
  <c r="H863" i="1"/>
  <c r="I863" i="1" s="1"/>
  <c r="J864" i="1" s="1"/>
  <c r="H864" i="1"/>
  <c r="I864" i="1" s="1"/>
  <c r="J865" i="1" s="1"/>
  <c r="H865" i="1"/>
  <c r="I865" i="1" s="1"/>
  <c r="J866" i="1" s="1"/>
  <c r="H866" i="1"/>
  <c r="I866" i="1" s="1"/>
  <c r="J867" i="1" s="1"/>
  <c r="H867" i="1"/>
  <c r="I867" i="1" s="1"/>
  <c r="J868" i="1" s="1"/>
  <c r="H868" i="1"/>
  <c r="I868" i="1" s="1"/>
  <c r="J869" i="1" s="1"/>
  <c r="H869" i="1"/>
  <c r="H870" i="1"/>
  <c r="I870" i="1" s="1"/>
  <c r="J871" i="1" s="1"/>
  <c r="H871" i="1"/>
  <c r="I871" i="1" s="1"/>
  <c r="J872" i="1" s="1"/>
  <c r="H872" i="1"/>
  <c r="I872" i="1" s="1"/>
  <c r="J873" i="1" s="1"/>
  <c r="H873" i="1"/>
  <c r="I873" i="1" s="1"/>
  <c r="J874" i="1" s="1"/>
  <c r="H874" i="1"/>
  <c r="I874" i="1" s="1"/>
  <c r="J875" i="1" s="1"/>
  <c r="H875" i="1"/>
  <c r="I875" i="1" s="1"/>
  <c r="J876" i="1" s="1"/>
  <c r="H876" i="1"/>
  <c r="I876" i="1" s="1"/>
  <c r="J877" i="1" s="1"/>
  <c r="H877" i="1"/>
  <c r="I877" i="1" s="1"/>
  <c r="J878" i="1" s="1"/>
  <c r="H878" i="1"/>
  <c r="I878" i="1" s="1"/>
  <c r="J879" i="1" s="1"/>
  <c r="H879" i="1"/>
  <c r="H880" i="1"/>
  <c r="I880" i="1" s="1"/>
  <c r="J881" i="1" s="1"/>
  <c r="H881" i="1"/>
  <c r="I881" i="1" s="1"/>
  <c r="J882" i="1" s="1"/>
  <c r="H882" i="1"/>
  <c r="I882" i="1" s="1"/>
  <c r="J883" i="1" s="1"/>
  <c r="H883" i="1"/>
  <c r="I883" i="1" s="1"/>
  <c r="J884" i="1" s="1"/>
  <c r="H884" i="1"/>
  <c r="I884" i="1" s="1"/>
  <c r="J885" i="1" s="1"/>
  <c r="H885" i="1"/>
  <c r="I885" i="1" s="1"/>
  <c r="J886" i="1" s="1"/>
  <c r="H886" i="1"/>
  <c r="I886" i="1" s="1"/>
  <c r="J887" i="1" s="1"/>
  <c r="H887" i="1"/>
  <c r="I887" i="1" s="1"/>
  <c r="J888" i="1" s="1"/>
  <c r="H888" i="1"/>
  <c r="I888" i="1" s="1"/>
  <c r="J889" i="1" s="1"/>
  <c r="H889" i="1"/>
  <c r="I889" i="1" s="1"/>
  <c r="J890" i="1" s="1"/>
  <c r="H890" i="1"/>
  <c r="I890" i="1" s="1"/>
  <c r="J891" i="1" s="1"/>
  <c r="H891" i="1"/>
  <c r="I891" i="1" s="1"/>
  <c r="J892" i="1" s="1"/>
  <c r="H892" i="1"/>
  <c r="I892" i="1" s="1"/>
  <c r="J893" i="1" s="1"/>
  <c r="H893" i="1"/>
  <c r="I893" i="1" s="1"/>
  <c r="J894" i="1" s="1"/>
  <c r="H894" i="1"/>
  <c r="I894" i="1" s="1"/>
  <c r="J895" i="1" s="1"/>
  <c r="H895" i="1"/>
  <c r="I895" i="1" s="1"/>
  <c r="J896" i="1" s="1"/>
  <c r="H896" i="1"/>
  <c r="I896" i="1" s="1"/>
  <c r="J897" i="1" s="1"/>
  <c r="H897" i="1"/>
  <c r="I897" i="1" s="1"/>
  <c r="J898" i="1" s="1"/>
  <c r="H898" i="1"/>
  <c r="I898" i="1" s="1"/>
  <c r="J899" i="1" s="1"/>
  <c r="H899" i="1"/>
  <c r="I899" i="1" s="1"/>
  <c r="J900" i="1" s="1"/>
  <c r="H900" i="1"/>
  <c r="I900" i="1" s="1"/>
  <c r="J901" i="1" s="1"/>
  <c r="H901" i="1"/>
  <c r="I901" i="1" s="1"/>
  <c r="J902" i="1" s="1"/>
  <c r="H902" i="1"/>
  <c r="I902" i="1" s="1"/>
  <c r="J903" i="1" s="1"/>
  <c r="H903" i="1"/>
  <c r="I903" i="1" s="1"/>
  <c r="J904" i="1" s="1"/>
  <c r="H904" i="1"/>
  <c r="I904" i="1" s="1"/>
  <c r="J905" i="1" s="1"/>
  <c r="H905" i="1"/>
  <c r="I905" i="1" s="1"/>
  <c r="J906" i="1" s="1"/>
  <c r="H906" i="1"/>
  <c r="I906" i="1" s="1"/>
  <c r="J907" i="1" s="1"/>
  <c r="H907" i="1"/>
  <c r="I907" i="1" s="1"/>
  <c r="J908" i="1" s="1"/>
  <c r="H908" i="1"/>
  <c r="I908" i="1" s="1"/>
  <c r="J909" i="1" s="1"/>
  <c r="H909" i="1"/>
  <c r="I909" i="1" s="1"/>
  <c r="J910" i="1" s="1"/>
  <c r="H910" i="1"/>
  <c r="I910" i="1" s="1"/>
  <c r="J911" i="1" s="1"/>
  <c r="H911" i="1"/>
  <c r="I911" i="1" s="1"/>
  <c r="J912" i="1" s="1"/>
  <c r="H912" i="1"/>
  <c r="I912" i="1" s="1"/>
  <c r="J913" i="1" s="1"/>
  <c r="H913" i="1"/>
  <c r="I913" i="1" s="1"/>
  <c r="J914" i="1" s="1"/>
  <c r="H914" i="1"/>
  <c r="I914" i="1" s="1"/>
  <c r="J915" i="1" s="1"/>
  <c r="H915" i="1"/>
  <c r="I915" i="1" s="1"/>
  <c r="J916" i="1" s="1"/>
  <c r="H916" i="1"/>
  <c r="I916" i="1" s="1"/>
  <c r="J917" i="1" s="1"/>
  <c r="H917" i="1"/>
  <c r="I917" i="1" s="1"/>
  <c r="J918" i="1" s="1"/>
  <c r="H918" i="1"/>
  <c r="I918" i="1" s="1"/>
  <c r="J919" i="1" s="1"/>
  <c r="H919" i="1"/>
  <c r="I919" i="1" s="1"/>
  <c r="J920" i="1" s="1"/>
  <c r="H920" i="1"/>
  <c r="I920" i="1" s="1"/>
  <c r="J921" i="1" s="1"/>
  <c r="H921" i="1"/>
  <c r="I921" i="1" s="1"/>
  <c r="J922" i="1" s="1"/>
  <c r="H922" i="1"/>
  <c r="I922" i="1" s="1"/>
  <c r="J923" i="1" s="1"/>
  <c r="H923" i="1"/>
  <c r="I923" i="1" s="1"/>
  <c r="J924" i="1" s="1"/>
  <c r="H924" i="1"/>
  <c r="I924" i="1" s="1"/>
  <c r="J925" i="1" s="1"/>
  <c r="H925" i="1"/>
  <c r="I925" i="1" s="1"/>
  <c r="J926" i="1" s="1"/>
  <c r="H926" i="1"/>
  <c r="I926" i="1" s="1"/>
  <c r="J927" i="1" s="1"/>
  <c r="H927" i="1"/>
  <c r="I927" i="1" s="1"/>
  <c r="J928" i="1" s="1"/>
  <c r="H928" i="1"/>
  <c r="I928" i="1" s="1"/>
  <c r="J929" i="1" s="1"/>
  <c r="H929" i="1"/>
  <c r="I929" i="1" s="1"/>
  <c r="J930" i="1" s="1"/>
  <c r="H930" i="1"/>
  <c r="I930" i="1" s="1"/>
  <c r="J931" i="1" s="1"/>
  <c r="H931" i="1"/>
  <c r="I931" i="1" s="1"/>
  <c r="J932" i="1" s="1"/>
  <c r="H932" i="1"/>
  <c r="I932" i="1" s="1"/>
  <c r="J933" i="1" s="1"/>
  <c r="H933" i="1"/>
  <c r="I933" i="1" s="1"/>
  <c r="J934" i="1" s="1"/>
  <c r="H934" i="1"/>
  <c r="I934" i="1" s="1"/>
  <c r="J935" i="1" s="1"/>
  <c r="H935" i="1"/>
  <c r="I935" i="1" s="1"/>
  <c r="J936" i="1" s="1"/>
  <c r="H936" i="1"/>
  <c r="I936" i="1" s="1"/>
  <c r="J937" i="1" s="1"/>
  <c r="H937" i="1"/>
  <c r="I937" i="1" s="1"/>
  <c r="J938" i="1" s="1"/>
  <c r="H938" i="1"/>
  <c r="I938" i="1" s="1"/>
  <c r="J939" i="1" s="1"/>
  <c r="H939" i="1"/>
  <c r="I939" i="1" s="1"/>
  <c r="J940" i="1" s="1"/>
  <c r="H940" i="1"/>
  <c r="I940" i="1" s="1"/>
  <c r="J941" i="1" s="1"/>
  <c r="H941" i="1"/>
  <c r="I941" i="1" s="1"/>
  <c r="J942" i="1" s="1"/>
  <c r="H942" i="1"/>
  <c r="I942" i="1" s="1"/>
  <c r="J943" i="1" s="1"/>
  <c r="H943" i="1"/>
  <c r="I943" i="1" s="1"/>
  <c r="J944" i="1" s="1"/>
  <c r="H944" i="1"/>
  <c r="I944" i="1" s="1"/>
  <c r="J945" i="1" s="1"/>
  <c r="H945" i="1"/>
  <c r="I945" i="1" s="1"/>
  <c r="J946" i="1" s="1"/>
  <c r="H946" i="1"/>
  <c r="I946" i="1" s="1"/>
  <c r="J947" i="1" s="1"/>
  <c r="H947" i="1"/>
  <c r="I947" i="1" s="1"/>
  <c r="J948" i="1" s="1"/>
  <c r="H948" i="1"/>
  <c r="I948" i="1" s="1"/>
  <c r="J949" i="1" s="1"/>
  <c r="H949" i="1"/>
  <c r="I949" i="1" s="1"/>
  <c r="J950" i="1" s="1"/>
  <c r="H950" i="1"/>
  <c r="I950" i="1" s="1"/>
  <c r="J951" i="1" s="1"/>
  <c r="H951" i="1"/>
  <c r="I951" i="1" s="1"/>
  <c r="J952" i="1" s="1"/>
  <c r="H952" i="1"/>
  <c r="I952" i="1" s="1"/>
  <c r="J953" i="1" s="1"/>
  <c r="H953" i="1"/>
  <c r="I953" i="1" s="1"/>
  <c r="J954" i="1" s="1"/>
  <c r="H954" i="1"/>
  <c r="I954" i="1" s="1"/>
  <c r="J955" i="1" s="1"/>
  <c r="H955" i="1"/>
  <c r="I955" i="1" s="1"/>
  <c r="J956" i="1" s="1"/>
  <c r="H956" i="1"/>
  <c r="I956" i="1" s="1"/>
  <c r="J957" i="1" s="1"/>
  <c r="H957" i="1"/>
  <c r="I957" i="1" s="1"/>
  <c r="J958" i="1" s="1"/>
  <c r="H958" i="1"/>
  <c r="I958" i="1" s="1"/>
  <c r="J959" i="1" s="1"/>
  <c r="H959" i="1"/>
  <c r="I959" i="1" s="1"/>
  <c r="J960" i="1" s="1"/>
  <c r="H960" i="1"/>
  <c r="I960" i="1" s="1"/>
  <c r="J961" i="1" s="1"/>
  <c r="H961" i="1"/>
  <c r="I961" i="1" s="1"/>
  <c r="J962" i="1" s="1"/>
  <c r="H962" i="1"/>
  <c r="I962" i="1" s="1"/>
  <c r="J963" i="1" s="1"/>
  <c r="H963" i="1"/>
  <c r="I963" i="1" s="1"/>
  <c r="J964" i="1" s="1"/>
  <c r="H964" i="1"/>
  <c r="I964" i="1" s="1"/>
  <c r="J965" i="1" s="1"/>
  <c r="H965" i="1"/>
  <c r="I965" i="1" s="1"/>
  <c r="J966" i="1" s="1"/>
  <c r="H966" i="1"/>
  <c r="I966" i="1" s="1"/>
  <c r="J967" i="1" s="1"/>
  <c r="H967" i="1"/>
  <c r="I967" i="1" s="1"/>
  <c r="J968" i="1" s="1"/>
  <c r="H968" i="1"/>
  <c r="I968" i="1" s="1"/>
  <c r="J969" i="1" s="1"/>
  <c r="H969" i="1"/>
  <c r="I969" i="1" s="1"/>
  <c r="J970" i="1" s="1"/>
  <c r="H970" i="1"/>
  <c r="I970" i="1" s="1"/>
  <c r="J971" i="1" s="1"/>
  <c r="H971" i="1"/>
  <c r="I971" i="1" s="1"/>
  <c r="J972" i="1" s="1"/>
  <c r="H972" i="1"/>
  <c r="I972" i="1" s="1"/>
  <c r="J973" i="1" s="1"/>
  <c r="H973" i="1"/>
  <c r="I973" i="1" s="1"/>
  <c r="J974" i="1" s="1"/>
  <c r="H974" i="1"/>
  <c r="I974" i="1" s="1"/>
  <c r="J975" i="1" s="1"/>
  <c r="H975" i="1"/>
  <c r="I975" i="1" s="1"/>
  <c r="J976" i="1" s="1"/>
  <c r="H976" i="1"/>
  <c r="I976" i="1" s="1"/>
  <c r="J977" i="1" s="1"/>
  <c r="H977" i="1"/>
  <c r="I977" i="1" s="1"/>
  <c r="J978" i="1" s="1"/>
  <c r="H978" i="1"/>
  <c r="I978" i="1" s="1"/>
  <c r="J979" i="1" s="1"/>
  <c r="H979" i="1"/>
  <c r="I979" i="1" s="1"/>
  <c r="J980" i="1" s="1"/>
  <c r="H980" i="1"/>
  <c r="I980" i="1" s="1"/>
  <c r="J981" i="1" s="1"/>
  <c r="H981" i="1"/>
  <c r="I981" i="1" s="1"/>
  <c r="J982" i="1" s="1"/>
  <c r="H982" i="1"/>
  <c r="I982" i="1" s="1"/>
  <c r="J983" i="1" s="1"/>
  <c r="H983" i="1"/>
  <c r="I983" i="1" s="1"/>
  <c r="J984" i="1" s="1"/>
  <c r="H984" i="1"/>
  <c r="I984" i="1" s="1"/>
  <c r="J985" i="1" s="1"/>
  <c r="H985" i="1"/>
  <c r="I985" i="1" s="1"/>
  <c r="J986" i="1" s="1"/>
  <c r="H986" i="1"/>
  <c r="I986" i="1" s="1"/>
  <c r="J987" i="1" s="1"/>
  <c r="H987" i="1"/>
  <c r="I987" i="1" s="1"/>
  <c r="J988" i="1" s="1"/>
  <c r="H988" i="1"/>
  <c r="I988" i="1" s="1"/>
  <c r="J989" i="1" s="1"/>
  <c r="H989" i="1"/>
  <c r="I989" i="1" s="1"/>
  <c r="J990" i="1" s="1"/>
  <c r="H990" i="1"/>
  <c r="I990" i="1" s="1"/>
  <c r="J991" i="1" s="1"/>
  <c r="H991" i="1"/>
  <c r="I991" i="1" s="1"/>
  <c r="J992" i="1" s="1"/>
  <c r="H992" i="1"/>
  <c r="I992" i="1" s="1"/>
  <c r="J993" i="1" s="1"/>
  <c r="H993" i="1"/>
  <c r="I993" i="1" s="1"/>
  <c r="J994" i="1" s="1"/>
  <c r="H994" i="1"/>
  <c r="I994" i="1" s="1"/>
  <c r="J995" i="1" s="1"/>
  <c r="H995" i="1"/>
  <c r="I995" i="1" s="1"/>
  <c r="J996" i="1" s="1"/>
  <c r="H996" i="1"/>
  <c r="I996" i="1" s="1"/>
  <c r="J997" i="1" s="1"/>
  <c r="H997" i="1"/>
  <c r="I997" i="1" s="1"/>
  <c r="J998" i="1" s="1"/>
  <c r="H998" i="1"/>
  <c r="I998" i="1" s="1"/>
  <c r="J999" i="1" s="1"/>
  <c r="H999" i="1"/>
  <c r="I999" i="1" s="1"/>
  <c r="J1000" i="1" s="1"/>
  <c r="H1000" i="1"/>
  <c r="I1000" i="1" s="1"/>
  <c r="J1001" i="1" s="1"/>
  <c r="H1001" i="1"/>
  <c r="I1001" i="1" s="1"/>
  <c r="J1002" i="1" s="1"/>
  <c r="H1002" i="1"/>
  <c r="I1002" i="1" s="1"/>
  <c r="J1003" i="1" s="1"/>
  <c r="H1003" i="1"/>
  <c r="I1003" i="1" s="1"/>
  <c r="J1004" i="1" s="1"/>
  <c r="H1004" i="1"/>
  <c r="I1004" i="1" s="1"/>
  <c r="J1005" i="1" s="1"/>
  <c r="H1005" i="1"/>
  <c r="I1005" i="1" s="1"/>
  <c r="J1006" i="1" s="1"/>
  <c r="H1006" i="1"/>
  <c r="I1006" i="1" s="1"/>
  <c r="J1007" i="1" s="1"/>
  <c r="H1007" i="1"/>
  <c r="I1007" i="1" s="1"/>
  <c r="J1008" i="1" s="1"/>
  <c r="H1008" i="1"/>
  <c r="I1008" i="1" s="1"/>
  <c r="J1009" i="1" s="1"/>
  <c r="H1009" i="1"/>
  <c r="I1009" i="1" s="1"/>
  <c r="J1010" i="1" s="1"/>
  <c r="H1010" i="1"/>
  <c r="I1010" i="1" s="1"/>
  <c r="J1011" i="1" s="1"/>
  <c r="H1011" i="1"/>
  <c r="I1011" i="1" s="1"/>
  <c r="J1012" i="1" s="1"/>
  <c r="H1012" i="1"/>
  <c r="I1012" i="1" s="1"/>
  <c r="J1013" i="1" s="1"/>
  <c r="H1013" i="1"/>
  <c r="I1013" i="1" s="1"/>
  <c r="J1014" i="1" s="1"/>
  <c r="H1014" i="1"/>
  <c r="I1014" i="1" s="1"/>
  <c r="J1015" i="1" s="1"/>
  <c r="H1015" i="1"/>
  <c r="I1015" i="1" s="1"/>
  <c r="J1016" i="1" s="1"/>
  <c r="H1016" i="1"/>
  <c r="I1016" i="1" s="1"/>
  <c r="J1017" i="1" s="1"/>
  <c r="H1017" i="1"/>
  <c r="I1017" i="1" s="1"/>
  <c r="J1018" i="1" s="1"/>
  <c r="H1018" i="1"/>
  <c r="I1018" i="1" s="1"/>
  <c r="J1019" i="1" s="1"/>
  <c r="H1019" i="1"/>
  <c r="I1019" i="1" s="1"/>
  <c r="J1020" i="1" s="1"/>
  <c r="H1020" i="1"/>
  <c r="I1020" i="1" s="1"/>
  <c r="J1021" i="1" s="1"/>
  <c r="H1021" i="1"/>
  <c r="I1021" i="1" s="1"/>
  <c r="J1022" i="1" s="1"/>
  <c r="H1022" i="1"/>
  <c r="I1022" i="1" s="1"/>
  <c r="J1023" i="1" s="1"/>
  <c r="H1023" i="1"/>
  <c r="I1023" i="1" s="1"/>
  <c r="J1024" i="1" s="1"/>
  <c r="H1024" i="1"/>
  <c r="I1024" i="1" s="1"/>
  <c r="J1025" i="1" s="1"/>
  <c r="H1025" i="1"/>
  <c r="I1025" i="1" s="1"/>
  <c r="J1026" i="1" s="1"/>
  <c r="H1026" i="1"/>
  <c r="I1026" i="1" s="1"/>
  <c r="J1027" i="1" s="1"/>
  <c r="H1027" i="1"/>
  <c r="I1027" i="1" s="1"/>
  <c r="J1028" i="1" s="1"/>
  <c r="H1028" i="1"/>
  <c r="I1028" i="1" s="1"/>
  <c r="J1029" i="1" s="1"/>
  <c r="H1029" i="1"/>
  <c r="I1029" i="1" s="1"/>
  <c r="J1030" i="1" s="1"/>
  <c r="H1031" i="1"/>
  <c r="I1031" i="1" s="1"/>
  <c r="J1032" i="1" s="1"/>
  <c r="H1032" i="1"/>
  <c r="I1032" i="1" s="1"/>
  <c r="J1033" i="1" s="1"/>
  <c r="H1033" i="1"/>
  <c r="I1033" i="1" s="1"/>
  <c r="J1034" i="1" s="1"/>
  <c r="H1034" i="1"/>
  <c r="I1034" i="1" s="1"/>
  <c r="J1035" i="1" s="1"/>
  <c r="H1035" i="1"/>
  <c r="I1035" i="1" s="1"/>
  <c r="J1036" i="1" s="1"/>
  <c r="H1036" i="1"/>
  <c r="I1036" i="1" s="1"/>
  <c r="J1037" i="1" s="1"/>
  <c r="H1037" i="1"/>
  <c r="I1037" i="1" s="1"/>
  <c r="J1038" i="1" s="1"/>
  <c r="H1038" i="1"/>
  <c r="I1038" i="1" s="1"/>
  <c r="J1039" i="1" s="1"/>
  <c r="H1039" i="1"/>
  <c r="I1039" i="1" s="1"/>
  <c r="J1040" i="1" s="1"/>
  <c r="H1040" i="1"/>
  <c r="I1040" i="1" s="1"/>
  <c r="J1041" i="1" s="1"/>
  <c r="H1041" i="1"/>
  <c r="I1041" i="1" s="1"/>
  <c r="J1042" i="1" s="1"/>
  <c r="H1042" i="1"/>
  <c r="I1042" i="1" s="1"/>
  <c r="J1043" i="1" s="1"/>
  <c r="H1043" i="1"/>
  <c r="I1043" i="1" s="1"/>
  <c r="J1044" i="1" s="1"/>
  <c r="H1044" i="1"/>
  <c r="I1044" i="1" s="1"/>
  <c r="J1045" i="1" s="1"/>
  <c r="H1045" i="1"/>
  <c r="I1045" i="1" s="1"/>
  <c r="J1046" i="1" s="1"/>
  <c r="H1046" i="1"/>
  <c r="I1046" i="1" s="1"/>
  <c r="J1047" i="1" s="1"/>
  <c r="H1047" i="1"/>
  <c r="I1047" i="1" s="1"/>
  <c r="J1048" i="1" s="1"/>
  <c r="H1048" i="1"/>
  <c r="I1048" i="1" s="1"/>
  <c r="J1049" i="1" s="1"/>
  <c r="H1049" i="1"/>
  <c r="I1049" i="1" s="1"/>
  <c r="J1050" i="1" s="1"/>
  <c r="H1050" i="1"/>
  <c r="I1050" i="1" s="1"/>
  <c r="J1051" i="1" s="1"/>
  <c r="H1051" i="1"/>
  <c r="I1051" i="1" s="1"/>
  <c r="J1052" i="1" s="1"/>
  <c r="H1052" i="1"/>
  <c r="I1052" i="1" s="1"/>
  <c r="J1053" i="1" s="1"/>
  <c r="H1053" i="1"/>
  <c r="I1053" i="1" s="1"/>
  <c r="J1054" i="1" s="1"/>
  <c r="H1054" i="1"/>
  <c r="I1054" i="1" s="1"/>
  <c r="J1055" i="1" s="1"/>
  <c r="H1055" i="1"/>
  <c r="I1055" i="1" s="1"/>
  <c r="J1056" i="1" s="1"/>
  <c r="H1056" i="1"/>
  <c r="I1056" i="1" s="1"/>
  <c r="J1057" i="1" s="1"/>
  <c r="H1057" i="1"/>
  <c r="I1057" i="1" s="1"/>
  <c r="J1058" i="1" s="1"/>
  <c r="H1058" i="1"/>
  <c r="I1058" i="1" s="1"/>
  <c r="J1059" i="1" s="1"/>
  <c r="H1059" i="1"/>
  <c r="I1059" i="1" s="1"/>
  <c r="J1060" i="1" s="1"/>
  <c r="H1060" i="1"/>
  <c r="I1060" i="1" s="1"/>
  <c r="J1061" i="1" s="1"/>
  <c r="H1061" i="1"/>
  <c r="I1061" i="1" s="1"/>
  <c r="J1062" i="1" s="1"/>
  <c r="H1062" i="1"/>
  <c r="I1062" i="1" s="1"/>
  <c r="J1063" i="1" s="1"/>
  <c r="H1063" i="1"/>
  <c r="I1063" i="1" s="1"/>
  <c r="J1064" i="1" s="1"/>
  <c r="H1064" i="1"/>
  <c r="I1064" i="1" s="1"/>
  <c r="J1065" i="1" s="1"/>
  <c r="H1065" i="1"/>
  <c r="I1065" i="1" s="1"/>
  <c r="J1066" i="1" s="1"/>
  <c r="H1066" i="1"/>
  <c r="I1066" i="1" s="1"/>
  <c r="J1067" i="1" s="1"/>
  <c r="H1067" i="1"/>
  <c r="I1067" i="1" s="1"/>
  <c r="J1068" i="1" s="1"/>
  <c r="H1068" i="1"/>
  <c r="I1068" i="1" s="1"/>
  <c r="J1069" i="1" s="1"/>
  <c r="H1069" i="1"/>
  <c r="I1069" i="1" s="1"/>
  <c r="J1070" i="1" s="1"/>
  <c r="H1071" i="1"/>
  <c r="I1071" i="1" s="1"/>
  <c r="J1072" i="1" s="1"/>
  <c r="H1072" i="1"/>
  <c r="I1072" i="1" s="1"/>
  <c r="J1073" i="1" s="1"/>
  <c r="H1073" i="1"/>
  <c r="I1073" i="1" s="1"/>
  <c r="J1074" i="1" s="1"/>
  <c r="H1074" i="1"/>
  <c r="I1074" i="1" s="1"/>
  <c r="J1075" i="1" s="1"/>
  <c r="H1075" i="1"/>
  <c r="I1075" i="1" s="1"/>
  <c r="J1076" i="1" s="1"/>
  <c r="H1076" i="1"/>
  <c r="I1076" i="1" s="1"/>
  <c r="J1077" i="1" s="1"/>
  <c r="H1077" i="1"/>
  <c r="I1077" i="1" s="1"/>
  <c r="J1078" i="1" s="1"/>
  <c r="H1078" i="1"/>
  <c r="I1078" i="1" s="1"/>
  <c r="J1079" i="1" s="1"/>
  <c r="H1079" i="1"/>
  <c r="I1079" i="1" s="1"/>
  <c r="J1080" i="1" s="1"/>
  <c r="H1081" i="1"/>
  <c r="I1081" i="1" s="1"/>
  <c r="J1082" i="1" s="1"/>
  <c r="H1082" i="1"/>
  <c r="I1082" i="1" s="1"/>
  <c r="J1083" i="1" s="1"/>
  <c r="H1083" i="1"/>
  <c r="I1083" i="1" s="1"/>
  <c r="J1084" i="1" s="1"/>
  <c r="H1084" i="1"/>
  <c r="I1084" i="1" s="1"/>
  <c r="J1085" i="1" s="1"/>
  <c r="H1085" i="1"/>
  <c r="I1085" i="1" s="1"/>
  <c r="J1086" i="1" s="1"/>
  <c r="H1086" i="1"/>
  <c r="I1086" i="1" s="1"/>
  <c r="J1087" i="1" s="1"/>
  <c r="H1087" i="1"/>
  <c r="I1087" i="1" s="1"/>
  <c r="J1088" i="1" s="1"/>
  <c r="H1088" i="1"/>
  <c r="I1088" i="1" s="1"/>
  <c r="J1089" i="1" s="1"/>
  <c r="H1089" i="1"/>
  <c r="I1089" i="1" s="1"/>
  <c r="J1090" i="1" s="1"/>
  <c r="H1090" i="1"/>
  <c r="I1090" i="1" s="1"/>
  <c r="J1091" i="1" s="1"/>
  <c r="H1091" i="1"/>
  <c r="I1091" i="1" s="1"/>
  <c r="J1092" i="1" s="1"/>
  <c r="H1092" i="1"/>
  <c r="I1092" i="1" s="1"/>
  <c r="J1093" i="1" s="1"/>
  <c r="H1093" i="1"/>
  <c r="I1093" i="1" s="1"/>
  <c r="J1094" i="1" s="1"/>
  <c r="H1094" i="1"/>
  <c r="I1094" i="1" s="1"/>
  <c r="J1095" i="1" s="1"/>
  <c r="H1095" i="1"/>
  <c r="I1095" i="1" s="1"/>
  <c r="J1096" i="1" s="1"/>
  <c r="H1096" i="1"/>
  <c r="I1096" i="1" s="1"/>
  <c r="J1097" i="1" s="1"/>
  <c r="H1097" i="1"/>
  <c r="I1097" i="1" s="1"/>
  <c r="J1098" i="1" s="1"/>
  <c r="H1098" i="1"/>
  <c r="I1098" i="1" s="1"/>
  <c r="J1099" i="1" s="1"/>
  <c r="H1099" i="1"/>
  <c r="I1099" i="1" s="1"/>
  <c r="J1100" i="1" s="1"/>
  <c r="H1100" i="1"/>
  <c r="I1100" i="1" s="1"/>
  <c r="J1101" i="1" s="1"/>
  <c r="H1101" i="1"/>
  <c r="I1101" i="1" s="1"/>
  <c r="J1102" i="1" s="1"/>
  <c r="H1102" i="1"/>
  <c r="I1102" i="1" s="1"/>
  <c r="J1103" i="1" s="1"/>
  <c r="H1103" i="1"/>
  <c r="I1103" i="1" s="1"/>
  <c r="J1104" i="1" s="1"/>
  <c r="H1104" i="1"/>
  <c r="I1104" i="1" s="1"/>
  <c r="J1105" i="1" s="1"/>
  <c r="H1105" i="1"/>
  <c r="I1105" i="1" s="1"/>
  <c r="J1106" i="1" s="1"/>
  <c r="H1106" i="1"/>
  <c r="I1106" i="1" s="1"/>
  <c r="J1107" i="1" s="1"/>
  <c r="H1107" i="1"/>
  <c r="I1107" i="1" s="1"/>
  <c r="J1108" i="1" s="1"/>
  <c r="H1108" i="1"/>
  <c r="I1108" i="1" s="1"/>
  <c r="J1109" i="1" s="1"/>
  <c r="H1109" i="1"/>
  <c r="I1109" i="1" s="1"/>
  <c r="J1110" i="1" s="1"/>
  <c r="H1110" i="1"/>
  <c r="I1110" i="1" s="1"/>
  <c r="J1111" i="1" s="1"/>
  <c r="H1111" i="1"/>
  <c r="I1111" i="1" s="1"/>
  <c r="J1112" i="1" s="1"/>
  <c r="H1112" i="1"/>
  <c r="I1112" i="1" s="1"/>
  <c r="J1113" i="1" s="1"/>
  <c r="H1113" i="1"/>
  <c r="I1113" i="1" s="1"/>
  <c r="J1114" i="1" s="1"/>
  <c r="H1114" i="1"/>
  <c r="I1114" i="1" s="1"/>
  <c r="J1115" i="1" s="1"/>
  <c r="H1115" i="1"/>
  <c r="I1115" i="1" s="1"/>
  <c r="J1116" i="1" s="1"/>
  <c r="H1116" i="1"/>
  <c r="I1116" i="1" s="1"/>
  <c r="J1117" i="1" s="1"/>
  <c r="H1117" i="1"/>
  <c r="I1117" i="1" s="1"/>
  <c r="J1118" i="1" s="1"/>
  <c r="H1118" i="1"/>
  <c r="I1118" i="1" s="1"/>
  <c r="J1119" i="1" s="1"/>
  <c r="H1119" i="1"/>
  <c r="I1119" i="1" s="1"/>
  <c r="J1120" i="1" s="1"/>
  <c r="H1120" i="1"/>
  <c r="I1120" i="1" s="1"/>
  <c r="J1121" i="1" s="1"/>
  <c r="H1121" i="1"/>
  <c r="I1121" i="1" s="1"/>
  <c r="J1122" i="1" s="1"/>
  <c r="H1122" i="1"/>
  <c r="I1122" i="1" s="1"/>
  <c r="J1123" i="1" s="1"/>
  <c r="H1123" i="1"/>
  <c r="I1123" i="1" s="1"/>
  <c r="J1124" i="1" s="1"/>
  <c r="H1124" i="1"/>
  <c r="I1124" i="1" s="1"/>
  <c r="J1125" i="1" s="1"/>
  <c r="H1125" i="1"/>
  <c r="I1125" i="1" s="1"/>
  <c r="J1126" i="1" s="1"/>
  <c r="H1126" i="1"/>
  <c r="I1126" i="1" s="1"/>
  <c r="J1127" i="1" s="1"/>
  <c r="H1127" i="1"/>
  <c r="I1127" i="1" s="1"/>
  <c r="J1128" i="1" s="1"/>
  <c r="H1128" i="1"/>
  <c r="I1128" i="1" s="1"/>
  <c r="J1129" i="1" s="1"/>
  <c r="H1129" i="1"/>
  <c r="I1129" i="1" s="1"/>
  <c r="J1130" i="1" s="1"/>
  <c r="H1130" i="1"/>
  <c r="I1130" i="1" s="1"/>
  <c r="J1131" i="1" s="1"/>
  <c r="H1131" i="1"/>
  <c r="I1131" i="1" s="1"/>
  <c r="J1132" i="1" s="1"/>
  <c r="H1132" i="1"/>
  <c r="I1132" i="1" s="1"/>
  <c r="J1133" i="1" s="1"/>
  <c r="H1133" i="1"/>
  <c r="I1133" i="1" s="1"/>
  <c r="J1134" i="1" s="1"/>
  <c r="H1134" i="1"/>
  <c r="I1134" i="1" s="1"/>
  <c r="J1135" i="1" s="1"/>
  <c r="H1135" i="1"/>
  <c r="I1135" i="1" s="1"/>
  <c r="J1136" i="1" s="1"/>
  <c r="H1136" i="1"/>
  <c r="I1136" i="1" s="1"/>
  <c r="J1137" i="1" s="1"/>
  <c r="H1137" i="1"/>
  <c r="I1137" i="1" s="1"/>
  <c r="J1138" i="1" s="1"/>
  <c r="H1138" i="1"/>
  <c r="I1138" i="1" s="1"/>
  <c r="J1139" i="1" s="1"/>
  <c r="H1139" i="1"/>
  <c r="I1139" i="1" s="1"/>
  <c r="J1140" i="1" s="1"/>
  <c r="H1140" i="1"/>
  <c r="I1140" i="1" s="1"/>
  <c r="J1141" i="1" s="1"/>
  <c r="H1141" i="1"/>
  <c r="I1141" i="1" s="1"/>
  <c r="J1142" i="1" s="1"/>
  <c r="H1142" i="1"/>
  <c r="I1142" i="1" s="1"/>
  <c r="J1143" i="1" s="1"/>
  <c r="H1143" i="1"/>
  <c r="I1143" i="1" s="1"/>
  <c r="J1144" i="1" s="1"/>
  <c r="H1144" i="1"/>
  <c r="I1144" i="1" s="1"/>
  <c r="J1145" i="1" s="1"/>
  <c r="H1145" i="1"/>
  <c r="I1145" i="1" s="1"/>
  <c r="J1146" i="1" s="1"/>
  <c r="H1146" i="1"/>
  <c r="I1146" i="1" s="1"/>
  <c r="J1147" i="1" s="1"/>
  <c r="H1147" i="1"/>
  <c r="I1147" i="1" s="1"/>
  <c r="J1148" i="1" s="1"/>
  <c r="H1148" i="1"/>
  <c r="I1148" i="1" s="1"/>
  <c r="J1149" i="1" s="1"/>
  <c r="H1149" i="1"/>
  <c r="I1149" i="1" s="1"/>
  <c r="J1150" i="1" s="1"/>
  <c r="H1150" i="1"/>
  <c r="I1150" i="1" s="1"/>
  <c r="J1151" i="1" s="1"/>
  <c r="H1151" i="1"/>
  <c r="I1151" i="1" s="1"/>
  <c r="J1152" i="1" s="1"/>
  <c r="H1152" i="1"/>
  <c r="I1152" i="1" s="1"/>
  <c r="J1153" i="1" s="1"/>
  <c r="H1153" i="1"/>
  <c r="I1153" i="1" s="1"/>
  <c r="J1154" i="1" s="1"/>
  <c r="H1154" i="1"/>
  <c r="I1154" i="1" s="1"/>
  <c r="J1155" i="1" s="1"/>
  <c r="H1155" i="1"/>
  <c r="I1155" i="1" s="1"/>
  <c r="J1156" i="1" s="1"/>
  <c r="H1156" i="1"/>
  <c r="I1156" i="1" s="1"/>
  <c r="J1157" i="1" s="1"/>
  <c r="H1157" i="1"/>
  <c r="I1157" i="1" s="1"/>
  <c r="J1158" i="1" s="1"/>
  <c r="H1158" i="1"/>
  <c r="I1158" i="1" s="1"/>
  <c r="J1159" i="1" s="1"/>
  <c r="H1159" i="1"/>
  <c r="I1159" i="1" s="1"/>
  <c r="J1160" i="1" s="1"/>
  <c r="H1160" i="1"/>
  <c r="I1160" i="1" s="1"/>
  <c r="J1161" i="1" s="1"/>
  <c r="H1161" i="1"/>
  <c r="I1161" i="1" s="1"/>
  <c r="J1162" i="1" s="1"/>
  <c r="H1162" i="1"/>
  <c r="I1162" i="1" s="1"/>
  <c r="J1163" i="1" s="1"/>
  <c r="H1163" i="1"/>
  <c r="I1163" i="1" s="1"/>
  <c r="J1164" i="1" s="1"/>
  <c r="H1164" i="1"/>
  <c r="I1164" i="1" s="1"/>
  <c r="J1165" i="1" s="1"/>
  <c r="H1165" i="1"/>
  <c r="I1165" i="1" s="1"/>
  <c r="J1166" i="1" s="1"/>
  <c r="H1166" i="1"/>
  <c r="I1166" i="1" s="1"/>
  <c r="J1167" i="1" s="1"/>
  <c r="H1167" i="1"/>
  <c r="I1167" i="1" s="1"/>
  <c r="J1168" i="1" s="1"/>
  <c r="H1168" i="1"/>
  <c r="I1168" i="1" s="1"/>
  <c r="J1169" i="1" s="1"/>
  <c r="H1169" i="1"/>
  <c r="I1169" i="1" s="1"/>
  <c r="J1170" i="1" s="1"/>
  <c r="H1171" i="1"/>
  <c r="I1171" i="1" s="1"/>
  <c r="J1172" i="1" s="1"/>
  <c r="H1172" i="1"/>
  <c r="I1172" i="1" s="1"/>
  <c r="J1173" i="1" s="1"/>
  <c r="H1173" i="1"/>
  <c r="I1173" i="1" s="1"/>
  <c r="J1174" i="1" s="1"/>
  <c r="H1174" i="1"/>
  <c r="I1174" i="1" s="1"/>
  <c r="J1175" i="1" s="1"/>
  <c r="H1175" i="1"/>
  <c r="I1175" i="1" s="1"/>
  <c r="J1176" i="1" s="1"/>
  <c r="H1176" i="1"/>
  <c r="I1176" i="1" s="1"/>
  <c r="J1177" i="1" s="1"/>
  <c r="H1177" i="1"/>
  <c r="I1177" i="1" s="1"/>
  <c r="J1178" i="1" s="1"/>
  <c r="H1178" i="1"/>
  <c r="I1178" i="1" s="1"/>
  <c r="J1179" i="1" s="1"/>
  <c r="H1179" i="1"/>
  <c r="I1179" i="1" s="1"/>
  <c r="J1180" i="1" s="1"/>
  <c r="H1180" i="1"/>
  <c r="I1180" i="1" s="1"/>
  <c r="J1181" i="1" s="1"/>
  <c r="H1181" i="1"/>
  <c r="I1181" i="1" s="1"/>
  <c r="J1182" i="1" s="1"/>
  <c r="H1182" i="1"/>
  <c r="I1182" i="1" s="1"/>
  <c r="J1183" i="1" s="1"/>
  <c r="H1183" i="1"/>
  <c r="I1183" i="1" s="1"/>
  <c r="J1184" i="1" s="1"/>
  <c r="H1184" i="1"/>
  <c r="I1184" i="1" s="1"/>
  <c r="J1185" i="1" s="1"/>
  <c r="H1185" i="1"/>
  <c r="I1185" i="1" s="1"/>
  <c r="J1186" i="1" s="1"/>
  <c r="H1186" i="1"/>
  <c r="I1186" i="1" s="1"/>
  <c r="J1187" i="1" s="1"/>
  <c r="H1187" i="1"/>
  <c r="I1187" i="1" s="1"/>
  <c r="J1188" i="1" s="1"/>
  <c r="H1188" i="1"/>
  <c r="I1188" i="1" s="1"/>
  <c r="J1189" i="1" s="1"/>
  <c r="H1189" i="1"/>
  <c r="I1189" i="1" s="1"/>
  <c r="J1190" i="1" s="1"/>
  <c r="H1190" i="1"/>
  <c r="I1190" i="1" s="1"/>
  <c r="J1191" i="1" s="1"/>
  <c r="H1191" i="1"/>
  <c r="I1191" i="1" s="1"/>
  <c r="J1192" i="1" s="1"/>
  <c r="H1192" i="1"/>
  <c r="I1192" i="1" s="1"/>
  <c r="J1193" i="1" s="1"/>
  <c r="H1193" i="1"/>
  <c r="I1193" i="1" s="1"/>
  <c r="J1194" i="1" s="1"/>
  <c r="H1194" i="1"/>
  <c r="I1194" i="1" s="1"/>
  <c r="J1195" i="1" s="1"/>
  <c r="H1195" i="1"/>
  <c r="I1195" i="1" s="1"/>
  <c r="J1196" i="1" s="1"/>
  <c r="H1196" i="1"/>
  <c r="I1196" i="1" s="1"/>
  <c r="J1197" i="1" s="1"/>
  <c r="H1197" i="1"/>
  <c r="I1197" i="1" s="1"/>
  <c r="J1198" i="1" s="1"/>
  <c r="H1198" i="1"/>
  <c r="I1198" i="1" s="1"/>
  <c r="J1199" i="1" s="1"/>
  <c r="H1199" i="1"/>
  <c r="I1199" i="1" s="1"/>
  <c r="J1200" i="1" s="1"/>
  <c r="H1200" i="1"/>
  <c r="I1200" i="1" s="1"/>
  <c r="J1201" i="1" s="1"/>
  <c r="H1201" i="1"/>
  <c r="I1201" i="1" s="1"/>
  <c r="J1202" i="1" s="1"/>
  <c r="H1202" i="1"/>
  <c r="I1202" i="1" s="1"/>
  <c r="J1203" i="1" s="1"/>
  <c r="H1203" i="1"/>
  <c r="I1203" i="1" s="1"/>
  <c r="J1204" i="1" s="1"/>
  <c r="H1204" i="1"/>
  <c r="I1204" i="1" s="1"/>
  <c r="J1205" i="1" s="1"/>
  <c r="H1205" i="1"/>
  <c r="I1205" i="1" s="1"/>
  <c r="J1206" i="1" s="1"/>
  <c r="H1206" i="1"/>
  <c r="I1206" i="1" s="1"/>
  <c r="J1207" i="1" s="1"/>
  <c r="H1207" i="1"/>
  <c r="I1207" i="1" s="1"/>
  <c r="J1208" i="1" s="1"/>
  <c r="H1208" i="1"/>
  <c r="I1208" i="1" s="1"/>
  <c r="J1209" i="1" s="1"/>
  <c r="H1209" i="1"/>
  <c r="I1209" i="1" s="1"/>
  <c r="J1210" i="1" s="1"/>
  <c r="H1210" i="1"/>
  <c r="I1210" i="1" s="1"/>
  <c r="J1211" i="1" s="1"/>
  <c r="H1211" i="1"/>
  <c r="I1211" i="1" s="1"/>
  <c r="J1212" i="1" s="1"/>
  <c r="H1212" i="1"/>
  <c r="I1212" i="1" s="1"/>
  <c r="J1213" i="1" s="1"/>
  <c r="H1213" i="1"/>
  <c r="I1213" i="1" s="1"/>
  <c r="J1214" i="1" s="1"/>
  <c r="H1214" i="1"/>
  <c r="I1214" i="1" s="1"/>
  <c r="J1215" i="1" s="1"/>
  <c r="H1215" i="1"/>
  <c r="I1215" i="1" s="1"/>
  <c r="J1216" i="1" s="1"/>
  <c r="H1216" i="1"/>
  <c r="I1216" i="1" s="1"/>
  <c r="J1217" i="1" s="1"/>
  <c r="H1217" i="1"/>
  <c r="I1217" i="1" s="1"/>
  <c r="J1218" i="1" s="1"/>
  <c r="H1218" i="1"/>
  <c r="I1218" i="1" s="1"/>
  <c r="J1219" i="1" s="1"/>
  <c r="H1219" i="1"/>
  <c r="H1220" i="1"/>
  <c r="I1220" i="1" s="1"/>
  <c r="J1221" i="1" s="1"/>
  <c r="H1221" i="1"/>
  <c r="I1221" i="1" s="1"/>
  <c r="J1222" i="1" s="1"/>
  <c r="H1222" i="1"/>
  <c r="I1222" i="1" s="1"/>
  <c r="J1223" i="1" s="1"/>
  <c r="H1223" i="1"/>
  <c r="I1223" i="1" s="1"/>
  <c r="J1224" i="1" s="1"/>
  <c r="H1224" i="1"/>
  <c r="I1224" i="1" s="1"/>
  <c r="J1225" i="1" s="1"/>
  <c r="H1225" i="1"/>
  <c r="I1225" i="1" s="1"/>
  <c r="J1226" i="1" s="1"/>
  <c r="H1226" i="1"/>
  <c r="I1226" i="1" s="1"/>
  <c r="J1227" i="1" s="1"/>
  <c r="H1227" i="1"/>
  <c r="I1227" i="1" s="1"/>
  <c r="J1228" i="1" s="1"/>
  <c r="H1228" i="1"/>
  <c r="I1228" i="1" s="1"/>
  <c r="J1229" i="1" s="1"/>
  <c r="H1229" i="1"/>
  <c r="I1229" i="1" s="1"/>
  <c r="J1230" i="1" s="1"/>
  <c r="H1230" i="1"/>
  <c r="I1230" i="1" s="1"/>
  <c r="J1231" i="1" s="1"/>
  <c r="H1231" i="1"/>
  <c r="I1231" i="1" s="1"/>
  <c r="J1232" i="1" s="1"/>
  <c r="H1232" i="1"/>
  <c r="I1232" i="1" s="1"/>
  <c r="J1233" i="1" s="1"/>
  <c r="H1233" i="1"/>
  <c r="I1233" i="1" s="1"/>
  <c r="J1234" i="1" s="1"/>
  <c r="H1234" i="1"/>
  <c r="I1234" i="1" s="1"/>
  <c r="J1235" i="1" s="1"/>
  <c r="H1235" i="1"/>
  <c r="I1235" i="1" s="1"/>
  <c r="J1236" i="1" s="1"/>
  <c r="H1236" i="1"/>
  <c r="I1236" i="1" s="1"/>
  <c r="J1237" i="1" s="1"/>
  <c r="H1237" i="1"/>
  <c r="I1237" i="1" s="1"/>
  <c r="J1238" i="1" s="1"/>
  <c r="H1238" i="1"/>
  <c r="I1238" i="1" s="1"/>
  <c r="J1239" i="1" s="1"/>
  <c r="H1239" i="1"/>
  <c r="I1239" i="1" s="1"/>
  <c r="J1240" i="1" s="1"/>
  <c r="H1240" i="1"/>
  <c r="I1240" i="1" s="1"/>
  <c r="J1241" i="1" s="1"/>
  <c r="H1241" i="1"/>
  <c r="I1241" i="1" s="1"/>
  <c r="J1242" i="1" s="1"/>
  <c r="H1242" i="1"/>
  <c r="I1242" i="1" s="1"/>
  <c r="J1243" i="1" s="1"/>
  <c r="H1243" i="1"/>
  <c r="I1243" i="1" s="1"/>
  <c r="J1244" i="1" s="1"/>
  <c r="H1244" i="1"/>
  <c r="I1244" i="1" s="1"/>
  <c r="J1245" i="1" s="1"/>
  <c r="H1245" i="1"/>
  <c r="I1245" i="1" s="1"/>
  <c r="J1246" i="1" s="1"/>
  <c r="H1246" i="1"/>
  <c r="I1246" i="1" s="1"/>
  <c r="J1247" i="1" s="1"/>
  <c r="H1247" i="1"/>
  <c r="I1247" i="1" s="1"/>
  <c r="J1248" i="1" s="1"/>
  <c r="H1248" i="1"/>
  <c r="I1248" i="1" s="1"/>
  <c r="J1249" i="1" s="1"/>
  <c r="H1249" i="1"/>
  <c r="I1249" i="1" s="1"/>
  <c r="J1250" i="1" s="1"/>
  <c r="H1251" i="1"/>
  <c r="I1251" i="1" s="1"/>
  <c r="J1252" i="1" s="1"/>
  <c r="H1252" i="1"/>
  <c r="I1252" i="1" s="1"/>
  <c r="J1253" i="1" s="1"/>
  <c r="H1253" i="1"/>
  <c r="I1253" i="1" s="1"/>
  <c r="J1254" i="1" s="1"/>
  <c r="H1254" i="1"/>
  <c r="I1254" i="1" s="1"/>
  <c r="J1255" i="1" s="1"/>
  <c r="H1255" i="1"/>
  <c r="I1255" i="1" s="1"/>
  <c r="J1256" i="1" s="1"/>
  <c r="H1256" i="1"/>
  <c r="I1256" i="1" s="1"/>
  <c r="J1257" i="1" s="1"/>
  <c r="H1257" i="1"/>
  <c r="I1257" i="1" s="1"/>
  <c r="J1258" i="1" s="1"/>
  <c r="H1258" i="1"/>
  <c r="I1258" i="1" s="1"/>
  <c r="J1259" i="1" s="1"/>
  <c r="H1259" i="1"/>
  <c r="I1259" i="1" s="1"/>
  <c r="J1260" i="1" s="1"/>
  <c r="H1260" i="1"/>
  <c r="I1260" i="1" s="1"/>
  <c r="J1261" i="1" s="1"/>
  <c r="H1261" i="1"/>
  <c r="I1261" i="1" s="1"/>
  <c r="J1262" i="1" s="1"/>
  <c r="H1262" i="1"/>
  <c r="I1262" i="1" s="1"/>
  <c r="J1263" i="1" s="1"/>
  <c r="H1263" i="1"/>
  <c r="I1263" i="1" s="1"/>
  <c r="J1264" i="1" s="1"/>
  <c r="H1264" i="1"/>
  <c r="I1264" i="1" s="1"/>
  <c r="J1265" i="1" s="1"/>
  <c r="H1265" i="1"/>
  <c r="I1265" i="1" s="1"/>
  <c r="J1266" i="1" s="1"/>
  <c r="H1266" i="1"/>
  <c r="I1266" i="1" s="1"/>
  <c r="J1267" i="1" s="1"/>
  <c r="H1267" i="1"/>
  <c r="I1267" i="1" s="1"/>
  <c r="J1268" i="1" s="1"/>
  <c r="H1268" i="1"/>
  <c r="I1268" i="1" s="1"/>
  <c r="J1269" i="1" s="1"/>
  <c r="H1269" i="1"/>
  <c r="I1269" i="1" s="1"/>
  <c r="J1270" i="1" s="1"/>
  <c r="H1270" i="1"/>
  <c r="I1270" i="1" s="1"/>
  <c r="J1271" i="1" s="1"/>
  <c r="H1271" i="1"/>
  <c r="I1271" i="1" s="1"/>
  <c r="J1272" i="1" s="1"/>
  <c r="H1272" i="1"/>
  <c r="I1272" i="1" s="1"/>
  <c r="J1273" i="1" s="1"/>
  <c r="H1273" i="1"/>
  <c r="I1273" i="1" s="1"/>
  <c r="J1274" i="1" s="1"/>
  <c r="H1274" i="1"/>
  <c r="I1274" i="1" s="1"/>
  <c r="J1275" i="1" s="1"/>
  <c r="H1275" i="1"/>
  <c r="I1275" i="1" s="1"/>
  <c r="J1276" i="1" s="1"/>
  <c r="H1276" i="1"/>
  <c r="I1276" i="1" s="1"/>
  <c r="J1277" i="1" s="1"/>
  <c r="H1277" i="1"/>
  <c r="I1277" i="1" s="1"/>
  <c r="J1278" i="1" s="1"/>
  <c r="H1278" i="1"/>
  <c r="I1278" i="1" s="1"/>
  <c r="J1279" i="1" s="1"/>
  <c r="H1279" i="1"/>
  <c r="I1279" i="1" s="1"/>
  <c r="J1280" i="1" s="1"/>
  <c r="H1280" i="1"/>
  <c r="I1280" i="1" s="1"/>
  <c r="J1281" i="1" s="1"/>
  <c r="H1281" i="1"/>
  <c r="I1281" i="1" s="1"/>
  <c r="J1282" i="1" s="1"/>
  <c r="H1282" i="1"/>
  <c r="I1282" i="1" s="1"/>
  <c r="J1283" i="1" s="1"/>
  <c r="H1283" i="1"/>
  <c r="I1283" i="1" s="1"/>
  <c r="J1284" i="1" s="1"/>
  <c r="H1284" i="1"/>
  <c r="I1284" i="1" s="1"/>
  <c r="J1285" i="1" s="1"/>
  <c r="H1285" i="1"/>
  <c r="I1285" i="1" s="1"/>
  <c r="J1286" i="1" s="1"/>
  <c r="H1286" i="1"/>
  <c r="I1286" i="1" s="1"/>
  <c r="J1287" i="1" s="1"/>
  <c r="H1287" i="1"/>
  <c r="I1287" i="1" s="1"/>
  <c r="J1288" i="1" s="1"/>
  <c r="H1288" i="1"/>
  <c r="I1288" i="1" s="1"/>
  <c r="J1289" i="1" s="1"/>
  <c r="H1289" i="1"/>
  <c r="I1289" i="1" s="1"/>
  <c r="J1290" i="1" s="1"/>
  <c r="H1290" i="1"/>
  <c r="I1290" i="1" s="1"/>
  <c r="J1291" i="1" s="1"/>
  <c r="H1291" i="1"/>
  <c r="I1291" i="1" s="1"/>
  <c r="J1292" i="1" s="1"/>
  <c r="H1292" i="1"/>
  <c r="I1292" i="1" s="1"/>
  <c r="J1293" i="1" s="1"/>
  <c r="H1293" i="1"/>
  <c r="I1293" i="1" s="1"/>
  <c r="J1294" i="1" s="1"/>
  <c r="H1294" i="1"/>
  <c r="I1294" i="1" s="1"/>
  <c r="J1295" i="1" s="1"/>
  <c r="H1295" i="1"/>
  <c r="I1295" i="1" s="1"/>
  <c r="J1296" i="1" s="1"/>
  <c r="H1296" i="1"/>
  <c r="I1296" i="1" s="1"/>
  <c r="J1297" i="1" s="1"/>
  <c r="H1297" i="1"/>
  <c r="I1297" i="1" s="1"/>
  <c r="J1298" i="1" s="1"/>
  <c r="H1298" i="1"/>
  <c r="I1298" i="1" s="1"/>
  <c r="J1299" i="1" s="1"/>
  <c r="H1299" i="1"/>
  <c r="I1299" i="1" s="1"/>
  <c r="J1300" i="1" s="1"/>
  <c r="H1300" i="1"/>
  <c r="I1300" i="1" s="1"/>
  <c r="J1301" i="1" s="1"/>
  <c r="H1301" i="1"/>
  <c r="I1301" i="1" s="1"/>
  <c r="J1302" i="1" s="1"/>
  <c r="H1302" i="1"/>
  <c r="I1302" i="1" s="1"/>
  <c r="J1303" i="1" s="1"/>
  <c r="H1303" i="1"/>
  <c r="I1303" i="1" s="1"/>
  <c r="J1304" i="1" s="1"/>
  <c r="H1304" i="1"/>
  <c r="I1304" i="1" s="1"/>
  <c r="J1305" i="1" s="1"/>
  <c r="H1305" i="1"/>
  <c r="I1305" i="1" s="1"/>
  <c r="J1306" i="1" s="1"/>
  <c r="H1306" i="1"/>
  <c r="I1306" i="1" s="1"/>
  <c r="J1307" i="1" s="1"/>
  <c r="H1307" i="1"/>
  <c r="I1307" i="1" s="1"/>
  <c r="J1308" i="1" s="1"/>
  <c r="H1308" i="1"/>
  <c r="I1308" i="1" s="1"/>
  <c r="J1309" i="1" s="1"/>
  <c r="H1309" i="1"/>
  <c r="I1309" i="1" s="1"/>
  <c r="J1310" i="1" s="1"/>
  <c r="H1310" i="1"/>
  <c r="I1310" i="1" s="1"/>
  <c r="J1311" i="1" s="1"/>
  <c r="H1311" i="1"/>
  <c r="I1311" i="1" s="1"/>
  <c r="J1312" i="1" s="1"/>
  <c r="H1312" i="1"/>
  <c r="I1312" i="1" s="1"/>
  <c r="J1313" i="1" s="1"/>
  <c r="H1313" i="1"/>
  <c r="I1313" i="1" s="1"/>
  <c r="J1314" i="1" s="1"/>
  <c r="H1314" i="1"/>
  <c r="I1314" i="1" s="1"/>
  <c r="J1315" i="1" s="1"/>
  <c r="H1315" i="1"/>
  <c r="I1315" i="1" s="1"/>
  <c r="J1316" i="1" s="1"/>
  <c r="H1316" i="1"/>
  <c r="I1316" i="1" s="1"/>
  <c r="J1317" i="1" s="1"/>
  <c r="H1317" i="1"/>
  <c r="I1317" i="1" s="1"/>
  <c r="J1318" i="1" s="1"/>
  <c r="H1318" i="1"/>
  <c r="I1318" i="1" s="1"/>
  <c r="J1319" i="1" s="1"/>
  <c r="H1319" i="1"/>
  <c r="I1319" i="1" s="1"/>
  <c r="J1320" i="1" s="1"/>
  <c r="H1321" i="1"/>
  <c r="I1321" i="1" s="1"/>
  <c r="J1322" i="1" s="1"/>
  <c r="H1322" i="1"/>
  <c r="I1322" i="1" s="1"/>
  <c r="J1323" i="1" s="1"/>
  <c r="H1323" i="1"/>
  <c r="I1323" i="1" s="1"/>
  <c r="J1324" i="1" s="1"/>
  <c r="H1324" i="1"/>
  <c r="I1324" i="1" s="1"/>
  <c r="J1325" i="1" s="1"/>
  <c r="H1325" i="1"/>
  <c r="I1325" i="1" s="1"/>
  <c r="J1326" i="1" s="1"/>
  <c r="H1326" i="1"/>
  <c r="I1326" i="1" s="1"/>
  <c r="J1327" i="1" s="1"/>
  <c r="H1327" i="1"/>
  <c r="I1327" i="1" s="1"/>
  <c r="J1328" i="1" s="1"/>
  <c r="H1328" i="1"/>
  <c r="I1328" i="1" s="1"/>
  <c r="J1329" i="1" s="1"/>
  <c r="H1329" i="1"/>
  <c r="I1329" i="1" s="1"/>
  <c r="J1330" i="1" s="1"/>
  <c r="H1330" i="1"/>
  <c r="I1330" i="1" s="1"/>
  <c r="J1331" i="1" s="1"/>
  <c r="H1331" i="1"/>
  <c r="I1331" i="1" s="1"/>
  <c r="J1332" i="1" s="1"/>
  <c r="H1332" i="1"/>
  <c r="I1332" i="1" s="1"/>
  <c r="J1333" i="1" s="1"/>
  <c r="H1333" i="1"/>
  <c r="I1333" i="1" s="1"/>
  <c r="J1334" i="1" s="1"/>
  <c r="H1334" i="1"/>
  <c r="I1334" i="1" s="1"/>
  <c r="J1335" i="1" s="1"/>
  <c r="H1335" i="1"/>
  <c r="I1335" i="1" s="1"/>
  <c r="J1336" i="1" s="1"/>
  <c r="H1336" i="1"/>
  <c r="I1336" i="1" s="1"/>
  <c r="J1337" i="1" s="1"/>
  <c r="H1337" i="1"/>
  <c r="I1337" i="1" s="1"/>
  <c r="J1338" i="1" s="1"/>
  <c r="H1338" i="1"/>
  <c r="I1338" i="1" s="1"/>
  <c r="J1339" i="1" s="1"/>
  <c r="H1339" i="1"/>
  <c r="H1340" i="1"/>
  <c r="I1340" i="1" s="1"/>
  <c r="J1341" i="1" s="1"/>
  <c r="H1341" i="1"/>
  <c r="I1341" i="1" s="1"/>
  <c r="J1342" i="1" s="1"/>
  <c r="H1342" i="1"/>
  <c r="I1342" i="1" s="1"/>
  <c r="J1343" i="1" s="1"/>
  <c r="H1343" i="1"/>
  <c r="I1343" i="1" s="1"/>
  <c r="J1344" i="1" s="1"/>
  <c r="H1344" i="1"/>
  <c r="I1344" i="1" s="1"/>
  <c r="J1345" i="1" s="1"/>
  <c r="H1345" i="1"/>
  <c r="I1345" i="1" s="1"/>
  <c r="J1346" i="1" s="1"/>
  <c r="H1346" i="1"/>
  <c r="I1346" i="1" s="1"/>
  <c r="J1347" i="1" s="1"/>
  <c r="H1347" i="1"/>
  <c r="I1347" i="1" s="1"/>
  <c r="J1348" i="1" s="1"/>
  <c r="H1348" i="1"/>
  <c r="I1348" i="1" s="1"/>
  <c r="J1349" i="1" s="1"/>
  <c r="H1349" i="1"/>
  <c r="I1349" i="1" s="1"/>
  <c r="J1350" i="1" s="1"/>
  <c r="H1350" i="1"/>
  <c r="I1350" i="1" s="1"/>
  <c r="J1351" i="1" s="1"/>
  <c r="H1351" i="1"/>
  <c r="I1351" i="1" s="1"/>
  <c r="J1352" i="1" s="1"/>
  <c r="H1352" i="1"/>
  <c r="I1352" i="1" s="1"/>
  <c r="J1353" i="1" s="1"/>
  <c r="H1353" i="1"/>
  <c r="I1353" i="1" s="1"/>
  <c r="J1354" i="1" s="1"/>
  <c r="H1354" i="1"/>
  <c r="I1354" i="1" s="1"/>
  <c r="J1355" i="1" s="1"/>
  <c r="H1355" i="1"/>
  <c r="I1355" i="1" s="1"/>
  <c r="J1356" i="1" s="1"/>
  <c r="H1356" i="1"/>
  <c r="I1356" i="1" s="1"/>
  <c r="J1357" i="1" s="1"/>
  <c r="H1357" i="1"/>
  <c r="I1357" i="1" s="1"/>
  <c r="J1358" i="1" s="1"/>
  <c r="H1358" i="1"/>
  <c r="I1358" i="1" s="1"/>
  <c r="J1359" i="1" s="1"/>
  <c r="H1359" i="1"/>
  <c r="I1359" i="1" s="1"/>
  <c r="J1360" i="1" s="1"/>
  <c r="H1360" i="1"/>
  <c r="I1360" i="1" s="1"/>
  <c r="J1361" i="1" s="1"/>
  <c r="H1361" i="1"/>
  <c r="I1361" i="1" s="1"/>
  <c r="J1362" i="1" s="1"/>
  <c r="H1362" i="1"/>
  <c r="I1362" i="1" s="1"/>
  <c r="J1363" i="1" s="1"/>
  <c r="H1363" i="1"/>
  <c r="I1363" i="1" s="1"/>
  <c r="J1364" i="1" s="1"/>
  <c r="H1364" i="1"/>
  <c r="I1364" i="1" s="1"/>
  <c r="J1365" i="1" s="1"/>
  <c r="H1365" i="1"/>
  <c r="I1365" i="1" s="1"/>
  <c r="J1366" i="1" s="1"/>
  <c r="H1366" i="1"/>
  <c r="I1366" i="1" s="1"/>
  <c r="J1367" i="1" s="1"/>
  <c r="H1367" i="1"/>
  <c r="I1367" i="1" s="1"/>
  <c r="J1368" i="1" s="1"/>
  <c r="H1368" i="1"/>
  <c r="I1368" i="1" s="1"/>
  <c r="J1369" i="1" s="1"/>
  <c r="H1369" i="1"/>
  <c r="I1369" i="1" s="1"/>
  <c r="J1370" i="1" s="1"/>
  <c r="H1370" i="1"/>
  <c r="I1370" i="1" s="1"/>
  <c r="J1371" i="1" s="1"/>
  <c r="H1371" i="1"/>
  <c r="I1371" i="1" s="1"/>
  <c r="J1372" i="1" s="1"/>
  <c r="H1372" i="1"/>
  <c r="I1372" i="1" s="1"/>
  <c r="J1373" i="1" s="1"/>
  <c r="H1373" i="1"/>
  <c r="I1373" i="1" s="1"/>
  <c r="J1374" i="1" s="1"/>
  <c r="H1374" i="1"/>
  <c r="I1374" i="1" s="1"/>
  <c r="J1375" i="1" s="1"/>
  <c r="H1375" i="1"/>
  <c r="I1375" i="1" s="1"/>
  <c r="J1376" i="1" s="1"/>
  <c r="H1376" i="1"/>
  <c r="I1376" i="1" s="1"/>
  <c r="J1377" i="1" s="1"/>
  <c r="H1377" i="1"/>
  <c r="I1377" i="1" s="1"/>
  <c r="J1378" i="1" s="1"/>
  <c r="H1378" i="1"/>
  <c r="I1378" i="1" s="1"/>
  <c r="J1379" i="1" s="1"/>
  <c r="H1379" i="1"/>
  <c r="I1379" i="1" s="1"/>
  <c r="J1380" i="1" s="1"/>
  <c r="H1380" i="1"/>
  <c r="I1380" i="1" s="1"/>
  <c r="J1381" i="1" s="1"/>
  <c r="H1381" i="1"/>
  <c r="I1381" i="1" s="1"/>
  <c r="J1382" i="1" s="1"/>
  <c r="H1382" i="1"/>
  <c r="I1382" i="1" s="1"/>
  <c r="J1383" i="1" s="1"/>
  <c r="H1383" i="1"/>
  <c r="I1383" i="1" s="1"/>
  <c r="J1384" i="1" s="1"/>
  <c r="H1384" i="1"/>
  <c r="I1384" i="1" s="1"/>
  <c r="J1385" i="1" s="1"/>
  <c r="H1385" i="1"/>
  <c r="I1385" i="1" s="1"/>
  <c r="J1386" i="1" s="1"/>
  <c r="H1386" i="1"/>
  <c r="I1386" i="1" s="1"/>
  <c r="J1387" i="1" s="1"/>
  <c r="H1387" i="1"/>
  <c r="I1387" i="1" s="1"/>
  <c r="J1388" i="1" s="1"/>
  <c r="H1388" i="1"/>
  <c r="I1388" i="1" s="1"/>
  <c r="J1389" i="1" s="1"/>
  <c r="H1389" i="1"/>
  <c r="I1389" i="1" s="1"/>
  <c r="J1390" i="1" s="1"/>
  <c r="H1390" i="1"/>
  <c r="I1390" i="1" s="1"/>
  <c r="J1391" i="1" s="1"/>
  <c r="H1391" i="1"/>
  <c r="I1391" i="1" s="1"/>
  <c r="J1392" i="1" s="1"/>
  <c r="H1392" i="1"/>
  <c r="I1392" i="1" s="1"/>
  <c r="J1393" i="1" s="1"/>
  <c r="H1393" i="1"/>
  <c r="I1393" i="1" s="1"/>
  <c r="J1394" i="1" s="1"/>
  <c r="H1394" i="1"/>
  <c r="I1394" i="1" s="1"/>
  <c r="J1395" i="1" s="1"/>
  <c r="H1395" i="1"/>
  <c r="I1395" i="1" s="1"/>
  <c r="J1396" i="1" s="1"/>
  <c r="H1396" i="1"/>
  <c r="I1396" i="1" s="1"/>
  <c r="J1397" i="1" s="1"/>
  <c r="H1397" i="1"/>
  <c r="I1397" i="1" s="1"/>
  <c r="J1398" i="1" s="1"/>
  <c r="H1398" i="1"/>
  <c r="I1398" i="1" s="1"/>
  <c r="J1399" i="1" s="1"/>
  <c r="H1399" i="1"/>
  <c r="I1399" i="1" s="1"/>
  <c r="J1400" i="1" s="1"/>
  <c r="H1400" i="1"/>
  <c r="I1400" i="1" s="1"/>
  <c r="J1401" i="1" s="1"/>
  <c r="H1401" i="1"/>
  <c r="I1401" i="1" s="1"/>
  <c r="J1402" i="1" s="1"/>
  <c r="H1402" i="1"/>
  <c r="I1402" i="1" s="1"/>
  <c r="J1403" i="1" s="1"/>
  <c r="H1403" i="1"/>
  <c r="I1403" i="1" s="1"/>
  <c r="J1404" i="1" s="1"/>
  <c r="H1404" i="1"/>
  <c r="I1404" i="1" s="1"/>
  <c r="J1405" i="1" s="1"/>
  <c r="H1405" i="1"/>
  <c r="I1405" i="1" s="1"/>
  <c r="J1406" i="1" s="1"/>
  <c r="H1406" i="1"/>
  <c r="I1406" i="1" s="1"/>
  <c r="J1407" i="1" s="1"/>
  <c r="H1407" i="1"/>
  <c r="I1407" i="1" s="1"/>
  <c r="J1408" i="1" s="1"/>
  <c r="H1408" i="1"/>
  <c r="I1408" i="1" s="1"/>
  <c r="J1409" i="1" s="1"/>
  <c r="H1409" i="1"/>
  <c r="I1409" i="1" s="1"/>
  <c r="J1410" i="1" s="1"/>
  <c r="H1410" i="1"/>
  <c r="I1410" i="1" s="1"/>
  <c r="J1411" i="1" s="1"/>
  <c r="H1411" i="1"/>
  <c r="I1411" i="1" s="1"/>
  <c r="J1412" i="1" s="1"/>
  <c r="H1412" i="1"/>
  <c r="I1412" i="1" s="1"/>
  <c r="J1413" i="1" s="1"/>
  <c r="H1413" i="1"/>
  <c r="I1413" i="1" s="1"/>
  <c r="J1414" i="1" s="1"/>
  <c r="H1414" i="1"/>
  <c r="I1414" i="1" s="1"/>
  <c r="J1415" i="1" s="1"/>
  <c r="H1415" i="1"/>
  <c r="I1415" i="1" s="1"/>
  <c r="J1416" i="1" s="1"/>
  <c r="H1416" i="1"/>
  <c r="I1416" i="1" s="1"/>
  <c r="J1417" i="1" s="1"/>
  <c r="H1417" i="1"/>
  <c r="I1417" i="1" s="1"/>
  <c r="J1418" i="1" s="1"/>
  <c r="H1418" i="1"/>
  <c r="I1418" i="1" s="1"/>
  <c r="J1419" i="1" s="1"/>
  <c r="H1419" i="1"/>
  <c r="I1419" i="1" s="1"/>
  <c r="J1420" i="1" s="1"/>
  <c r="H1420" i="1"/>
  <c r="I1420" i="1" s="1"/>
  <c r="J1421" i="1" s="1"/>
  <c r="H1421" i="1"/>
  <c r="I1421" i="1" s="1"/>
  <c r="J1422" i="1" s="1"/>
  <c r="H1422" i="1"/>
  <c r="I1422" i="1" s="1"/>
  <c r="J1423" i="1" s="1"/>
  <c r="H1423" i="1"/>
  <c r="I1423" i="1" s="1"/>
  <c r="J1424" i="1" s="1"/>
  <c r="H1424" i="1"/>
  <c r="I1424" i="1" s="1"/>
  <c r="J1425" i="1" s="1"/>
  <c r="H1425" i="1"/>
  <c r="I1425" i="1" s="1"/>
  <c r="J1426" i="1" s="1"/>
  <c r="H1426" i="1"/>
  <c r="I1426" i="1" s="1"/>
  <c r="J1427" i="1" s="1"/>
  <c r="H1427" i="1"/>
  <c r="I1427" i="1" s="1"/>
  <c r="J1428" i="1" s="1"/>
  <c r="H1428" i="1"/>
  <c r="I1428" i="1" s="1"/>
  <c r="J1429" i="1" s="1"/>
  <c r="H1429" i="1"/>
  <c r="I1429" i="1" s="1"/>
  <c r="J1430" i="1" s="1"/>
  <c r="H1430" i="1"/>
  <c r="I1430" i="1" s="1"/>
  <c r="J1431" i="1" s="1"/>
  <c r="H1431" i="1"/>
  <c r="I1431" i="1" s="1"/>
  <c r="J1432" i="1" s="1"/>
  <c r="H1432" i="1"/>
  <c r="I1432" i="1" s="1"/>
  <c r="J1433" i="1" s="1"/>
  <c r="H1433" i="1"/>
  <c r="I1433" i="1" s="1"/>
  <c r="J1434" i="1" s="1"/>
  <c r="H1434" i="1"/>
  <c r="I1434" i="1" s="1"/>
  <c r="J1435" i="1" s="1"/>
  <c r="H1435" i="1"/>
  <c r="I1435" i="1" s="1"/>
  <c r="J1436" i="1" s="1"/>
  <c r="H1436" i="1"/>
  <c r="I1436" i="1" s="1"/>
  <c r="J1437" i="1" s="1"/>
  <c r="H1437" i="1"/>
  <c r="I1437" i="1" s="1"/>
  <c r="J1438" i="1" s="1"/>
  <c r="H1438" i="1"/>
  <c r="I1438" i="1" s="1"/>
  <c r="J1439" i="1" s="1"/>
  <c r="H1439" i="1"/>
  <c r="I1439" i="1" s="1"/>
  <c r="J1440" i="1" s="1"/>
  <c r="H1440" i="1"/>
  <c r="I1440" i="1" s="1"/>
  <c r="J1441" i="1" s="1"/>
  <c r="H1441" i="1"/>
  <c r="I1441" i="1" s="1"/>
  <c r="J1442" i="1" s="1"/>
  <c r="H1442" i="1"/>
  <c r="I1442" i="1" s="1"/>
  <c r="J1443" i="1" s="1"/>
  <c r="H1443" i="1"/>
  <c r="I1443" i="1" s="1"/>
  <c r="J1444" i="1" s="1"/>
  <c r="H1444" i="1"/>
  <c r="I1444" i="1" s="1"/>
  <c r="J1445" i="1" s="1"/>
  <c r="H1445" i="1"/>
  <c r="I1445" i="1" s="1"/>
  <c r="J1446" i="1" s="1"/>
  <c r="H1446" i="1"/>
  <c r="I1446" i="1" s="1"/>
  <c r="J1447" i="1" s="1"/>
  <c r="H1447" i="1"/>
  <c r="I1447" i="1" s="1"/>
  <c r="J1448" i="1" s="1"/>
  <c r="H1448" i="1"/>
  <c r="I1448" i="1" s="1"/>
  <c r="J1449" i="1" s="1"/>
  <c r="H1449" i="1"/>
  <c r="I1449" i="1" s="1"/>
  <c r="J1450" i="1" s="1"/>
  <c r="H1450" i="1"/>
  <c r="I1450" i="1" s="1"/>
  <c r="J1451" i="1" s="1"/>
  <c r="H1451" i="1"/>
  <c r="I1451" i="1" s="1"/>
  <c r="J1452" i="1" s="1"/>
  <c r="H1452" i="1"/>
  <c r="I1452" i="1" s="1"/>
  <c r="J1453" i="1" s="1"/>
  <c r="H1453" i="1"/>
  <c r="I1453" i="1" s="1"/>
  <c r="J1454" i="1" s="1"/>
  <c r="H1454" i="1"/>
  <c r="I1454" i="1" s="1"/>
  <c r="J1455" i="1" s="1"/>
  <c r="H1455" i="1"/>
  <c r="I1455" i="1" s="1"/>
  <c r="J1456" i="1" s="1"/>
  <c r="H1456" i="1"/>
  <c r="I1456" i="1" s="1"/>
  <c r="J1457" i="1" s="1"/>
  <c r="H1457" i="1"/>
  <c r="I1457" i="1" s="1"/>
  <c r="J1458" i="1" s="1"/>
  <c r="H1458" i="1"/>
  <c r="I1458" i="1" s="1"/>
  <c r="J1459" i="1" s="1"/>
  <c r="H1459" i="1"/>
  <c r="I1459" i="1" s="1"/>
  <c r="J1460" i="1" s="1"/>
  <c r="H1460" i="1"/>
  <c r="I1460" i="1" s="1"/>
  <c r="J1461" i="1" s="1"/>
  <c r="H1461" i="1"/>
  <c r="I1461" i="1" s="1"/>
  <c r="J1462" i="1" s="1"/>
  <c r="H1462" i="1"/>
  <c r="I1462" i="1" s="1"/>
  <c r="J1463" i="1" s="1"/>
  <c r="H1463" i="1"/>
  <c r="I1463" i="1" s="1"/>
  <c r="J1464" i="1" s="1"/>
  <c r="H1464" i="1"/>
  <c r="I1464" i="1" s="1"/>
  <c r="J1465" i="1" s="1"/>
  <c r="H1465" i="1"/>
  <c r="I1465" i="1" s="1"/>
  <c r="J1466" i="1" s="1"/>
  <c r="H1466" i="1"/>
  <c r="I1466" i="1" s="1"/>
  <c r="J1467" i="1" s="1"/>
  <c r="H1467" i="1"/>
  <c r="I1467" i="1" s="1"/>
  <c r="J1468" i="1" s="1"/>
  <c r="H1468" i="1"/>
  <c r="I1468" i="1" s="1"/>
  <c r="J1469" i="1" s="1"/>
  <c r="H1469" i="1"/>
  <c r="I1469" i="1" s="1"/>
  <c r="J1470" i="1" s="1"/>
  <c r="H1470" i="1"/>
  <c r="I1470" i="1" s="1"/>
  <c r="J1471" i="1" s="1"/>
  <c r="H1471" i="1"/>
  <c r="I1471" i="1" s="1"/>
  <c r="J1472" i="1" s="1"/>
  <c r="H1472" i="1"/>
  <c r="I1472" i="1" s="1"/>
  <c r="J1473" i="1" s="1"/>
  <c r="H1473" i="1"/>
  <c r="I1473" i="1" s="1"/>
  <c r="J1474" i="1" s="1"/>
  <c r="H1474" i="1"/>
  <c r="I1474" i="1" s="1"/>
  <c r="J1475" i="1" s="1"/>
  <c r="H1475" i="1"/>
  <c r="I1475" i="1" s="1"/>
  <c r="J1476" i="1" s="1"/>
  <c r="H1476" i="1"/>
  <c r="I1476" i="1" s="1"/>
  <c r="J1477" i="1" s="1"/>
  <c r="H1477" i="1"/>
  <c r="I1477" i="1" s="1"/>
  <c r="J1478" i="1" s="1"/>
  <c r="H1478" i="1"/>
  <c r="I1478" i="1" s="1"/>
  <c r="J1479" i="1" s="1"/>
  <c r="H1479" i="1"/>
  <c r="I1479" i="1" s="1"/>
  <c r="J1480" i="1" s="1"/>
  <c r="H1480" i="1"/>
  <c r="I1480" i="1" s="1"/>
  <c r="J1481" i="1" s="1"/>
  <c r="H1481" i="1"/>
  <c r="I1481" i="1" s="1"/>
  <c r="J1482" i="1" s="1"/>
  <c r="H1482" i="1"/>
  <c r="I1482" i="1" s="1"/>
  <c r="J1483" i="1" s="1"/>
  <c r="H1483" i="1"/>
  <c r="I1483" i="1" s="1"/>
  <c r="J1484" i="1" s="1"/>
  <c r="H1484" i="1"/>
  <c r="I1484" i="1" s="1"/>
  <c r="J1485" i="1" s="1"/>
  <c r="H1485" i="1"/>
  <c r="I1485" i="1" s="1"/>
  <c r="J1486" i="1" s="1"/>
  <c r="H1486" i="1"/>
  <c r="I1486" i="1" s="1"/>
  <c r="J1487" i="1" s="1"/>
  <c r="H1487" i="1"/>
  <c r="I1487" i="1" s="1"/>
  <c r="J1488" i="1" s="1"/>
  <c r="H1488" i="1"/>
  <c r="I1488" i="1" s="1"/>
  <c r="J1489" i="1" s="1"/>
  <c r="H1489" i="1"/>
  <c r="I1489" i="1" s="1"/>
  <c r="J1490" i="1" s="1"/>
  <c r="H1490" i="1"/>
  <c r="I1490" i="1" s="1"/>
  <c r="J1491" i="1" s="1"/>
  <c r="H1491" i="1"/>
  <c r="I1491" i="1" s="1"/>
  <c r="J1492" i="1" s="1"/>
  <c r="H1492" i="1"/>
  <c r="I1492" i="1" s="1"/>
  <c r="J1493" i="1" s="1"/>
  <c r="H1493" i="1"/>
  <c r="I1493" i="1" s="1"/>
  <c r="J1494" i="1" s="1"/>
  <c r="H1494" i="1"/>
  <c r="I1494" i="1" s="1"/>
  <c r="J1495" i="1" s="1"/>
  <c r="H1495" i="1"/>
  <c r="I1495" i="1" s="1"/>
  <c r="J1496" i="1" s="1"/>
  <c r="H1496" i="1"/>
  <c r="I1496" i="1" s="1"/>
  <c r="J1497" i="1" s="1"/>
  <c r="H1497" i="1"/>
  <c r="I1497" i="1" s="1"/>
  <c r="J1498" i="1" s="1"/>
  <c r="H1498" i="1"/>
  <c r="I1498" i="1" s="1"/>
  <c r="J1499" i="1" s="1"/>
  <c r="H1499" i="1"/>
  <c r="I1499" i="1" s="1"/>
  <c r="J1500" i="1" s="1"/>
  <c r="H1500" i="1"/>
  <c r="I1500" i="1" s="1"/>
  <c r="J1501" i="1" s="1"/>
  <c r="H1501" i="1"/>
  <c r="I1501" i="1" s="1"/>
  <c r="J1502" i="1" s="1"/>
  <c r="H1502" i="1"/>
  <c r="I1502" i="1" s="1"/>
  <c r="J1503" i="1" s="1"/>
  <c r="H1503" i="1"/>
  <c r="I1503" i="1" s="1"/>
  <c r="J1504" i="1" s="1"/>
  <c r="H1504" i="1"/>
  <c r="I1504" i="1" s="1"/>
  <c r="J1505" i="1" s="1"/>
  <c r="H1505" i="1"/>
  <c r="I1505" i="1" s="1"/>
  <c r="J1506" i="1" s="1"/>
  <c r="H1506" i="1"/>
  <c r="I1506" i="1" s="1"/>
  <c r="J1507" i="1" s="1"/>
  <c r="H1507" i="1"/>
  <c r="I1507" i="1" s="1"/>
  <c r="J1508" i="1" s="1"/>
  <c r="H1508" i="1"/>
  <c r="I1508" i="1" s="1"/>
  <c r="J1509" i="1" s="1"/>
  <c r="H1509" i="1"/>
  <c r="I1509" i="1" s="1"/>
  <c r="J1510" i="1" s="1"/>
  <c r="H1510" i="1"/>
  <c r="I1510" i="1" s="1"/>
  <c r="J1511" i="1" s="1"/>
  <c r="H1511" i="1"/>
  <c r="I1511" i="1" s="1"/>
  <c r="J1512" i="1" s="1"/>
  <c r="H1512" i="1"/>
  <c r="I1512" i="1" s="1"/>
  <c r="J1513" i="1" s="1"/>
  <c r="H1513" i="1"/>
  <c r="I1513" i="1" s="1"/>
  <c r="J1514" i="1" s="1"/>
  <c r="H1514" i="1"/>
  <c r="I1514" i="1" s="1"/>
  <c r="J1515" i="1" s="1"/>
  <c r="H1515" i="1"/>
  <c r="I1515" i="1" s="1"/>
  <c r="J1516" i="1" s="1"/>
  <c r="H1516" i="1"/>
  <c r="I1516" i="1" s="1"/>
  <c r="J1517" i="1" s="1"/>
  <c r="H1517" i="1"/>
  <c r="I1517" i="1" s="1"/>
  <c r="J1518" i="1" s="1"/>
  <c r="H1518" i="1"/>
  <c r="I1518" i="1" s="1"/>
  <c r="J1519" i="1" s="1"/>
  <c r="H1519" i="1"/>
  <c r="I1519" i="1" s="1"/>
  <c r="J1520" i="1" s="1"/>
  <c r="H1520" i="1"/>
  <c r="I1520" i="1" s="1"/>
  <c r="J1521" i="1" s="1"/>
  <c r="H1521" i="1"/>
  <c r="I1521" i="1" s="1"/>
  <c r="J1522" i="1" s="1"/>
  <c r="H1522" i="1"/>
  <c r="I1522" i="1" s="1"/>
  <c r="J1523" i="1" s="1"/>
  <c r="H1523" i="1"/>
  <c r="I1523" i="1" s="1"/>
  <c r="J1524" i="1" s="1"/>
  <c r="H1524" i="1"/>
  <c r="I1524" i="1" s="1"/>
  <c r="J1525" i="1" s="1"/>
  <c r="H1525" i="1"/>
  <c r="I1525" i="1" s="1"/>
  <c r="J1526" i="1" s="1"/>
  <c r="H1526" i="1"/>
  <c r="I1526" i="1" s="1"/>
  <c r="J1527" i="1" s="1"/>
  <c r="H1527" i="1"/>
  <c r="I1527" i="1" s="1"/>
  <c r="J1528" i="1" s="1"/>
  <c r="H1528" i="1"/>
  <c r="I1528" i="1" s="1"/>
  <c r="J1529" i="1" s="1"/>
  <c r="H1529" i="1"/>
  <c r="I1529" i="1" s="1"/>
  <c r="J1530" i="1" s="1"/>
  <c r="H1530" i="1"/>
  <c r="I1530" i="1" s="1"/>
  <c r="J1531" i="1" s="1"/>
  <c r="H1531" i="1"/>
  <c r="I1531" i="1" s="1"/>
  <c r="J1532" i="1" s="1"/>
  <c r="H1532" i="1"/>
  <c r="I1532" i="1" s="1"/>
  <c r="J1533" i="1" s="1"/>
  <c r="H1533" i="1"/>
  <c r="I1533" i="1" s="1"/>
  <c r="J1534" i="1" s="1"/>
  <c r="H1534" i="1"/>
  <c r="I1534" i="1" s="1"/>
  <c r="J1535" i="1" s="1"/>
  <c r="H1535" i="1"/>
  <c r="I1535" i="1" s="1"/>
  <c r="J1536" i="1" s="1"/>
  <c r="H1536" i="1"/>
  <c r="I1536" i="1" s="1"/>
  <c r="J1537" i="1" s="1"/>
  <c r="H1537" i="1"/>
  <c r="I1537" i="1" s="1"/>
  <c r="J1538" i="1" s="1"/>
  <c r="H1538" i="1"/>
  <c r="I1538" i="1" s="1"/>
  <c r="J1539" i="1" s="1"/>
  <c r="H1539" i="1"/>
  <c r="I1539" i="1" s="1"/>
  <c r="J1540" i="1" s="1"/>
  <c r="H1540" i="1"/>
  <c r="I1540" i="1" s="1"/>
  <c r="J1541" i="1" s="1"/>
  <c r="H1541" i="1"/>
  <c r="I1541" i="1" s="1"/>
  <c r="J1542" i="1" s="1"/>
  <c r="H1542" i="1"/>
  <c r="I1542" i="1" s="1"/>
  <c r="J1543" i="1" s="1"/>
  <c r="H1543" i="1"/>
  <c r="I1543" i="1" s="1"/>
  <c r="J1544" i="1" s="1"/>
  <c r="H1544" i="1"/>
  <c r="I1544" i="1" s="1"/>
  <c r="J1545" i="1" s="1"/>
  <c r="H1545" i="1"/>
  <c r="I1545" i="1" s="1"/>
  <c r="J1546" i="1" s="1"/>
  <c r="H1546" i="1"/>
  <c r="I1546" i="1" s="1"/>
  <c r="J1547" i="1" s="1"/>
  <c r="H1547" i="1"/>
  <c r="I1547" i="1" s="1"/>
  <c r="J1548" i="1" s="1"/>
  <c r="H1548" i="1"/>
  <c r="I1548" i="1" s="1"/>
  <c r="J1549" i="1" s="1"/>
  <c r="H1549" i="1"/>
  <c r="I1549" i="1" s="1"/>
  <c r="J1550" i="1" s="1"/>
  <c r="H1550" i="1"/>
  <c r="I1550" i="1" s="1"/>
  <c r="J1551" i="1" s="1"/>
  <c r="H1551" i="1"/>
  <c r="I1551" i="1" s="1"/>
  <c r="J1552" i="1" s="1"/>
  <c r="H1552" i="1"/>
  <c r="I1552" i="1" s="1"/>
  <c r="J1553" i="1" s="1"/>
  <c r="H1553" i="1"/>
  <c r="I1553" i="1" s="1"/>
  <c r="J1554" i="1" s="1"/>
  <c r="H1554" i="1"/>
  <c r="I1554" i="1" s="1"/>
  <c r="J1555" i="1" s="1"/>
  <c r="H1555" i="1"/>
  <c r="I1555" i="1" s="1"/>
  <c r="J1556" i="1" s="1"/>
  <c r="H1556" i="1"/>
  <c r="I1556" i="1" s="1"/>
  <c r="J1557" i="1" s="1"/>
  <c r="H1557" i="1"/>
  <c r="I1557" i="1" s="1"/>
  <c r="J1558" i="1" s="1"/>
  <c r="H1558" i="1"/>
  <c r="I1558" i="1" s="1"/>
  <c r="J1559" i="1" s="1"/>
  <c r="H1559" i="1"/>
  <c r="I1559" i="1" s="1"/>
  <c r="J1560" i="1" s="1"/>
  <c r="H1560" i="1"/>
  <c r="I1560" i="1" s="1"/>
  <c r="J1561" i="1" s="1"/>
  <c r="H1561" i="1"/>
  <c r="I1561" i="1" s="1"/>
  <c r="J1562" i="1" s="1"/>
  <c r="H1562" i="1"/>
  <c r="I1562" i="1" s="1"/>
  <c r="J1563" i="1" s="1"/>
  <c r="H1563" i="1"/>
  <c r="I1563" i="1" s="1"/>
  <c r="J1564" i="1" s="1"/>
  <c r="H1564" i="1"/>
  <c r="I1564" i="1" s="1"/>
  <c r="J1565" i="1" s="1"/>
  <c r="H1565" i="1"/>
  <c r="I1565" i="1" s="1"/>
  <c r="J1566" i="1" s="1"/>
  <c r="H1566" i="1"/>
  <c r="I1566" i="1" s="1"/>
  <c r="J1567" i="1" s="1"/>
  <c r="H1567" i="1"/>
  <c r="I1567" i="1" s="1"/>
  <c r="J1568" i="1" s="1"/>
  <c r="H1568" i="1"/>
  <c r="I1568" i="1" s="1"/>
  <c r="J1569" i="1" s="1"/>
  <c r="H1569" i="1"/>
  <c r="I1569" i="1" s="1"/>
  <c r="J1570" i="1" s="1"/>
  <c r="H1570" i="1"/>
  <c r="I1570" i="1" s="1"/>
  <c r="J1571" i="1" s="1"/>
  <c r="H1571" i="1"/>
  <c r="I1571" i="1" s="1"/>
  <c r="J1572" i="1" s="1"/>
  <c r="H1572" i="1"/>
  <c r="I1572" i="1" s="1"/>
  <c r="J1573" i="1" s="1"/>
  <c r="H1573" i="1"/>
  <c r="I1573" i="1" s="1"/>
  <c r="J1574" i="1" s="1"/>
  <c r="H1574" i="1"/>
  <c r="I1574" i="1" s="1"/>
  <c r="J1575" i="1" s="1"/>
  <c r="H1575" i="1"/>
  <c r="I1575" i="1" s="1"/>
  <c r="J1576" i="1" s="1"/>
  <c r="H1576" i="1"/>
  <c r="I1576" i="1" s="1"/>
  <c r="J1577" i="1" s="1"/>
  <c r="H1577" i="1"/>
  <c r="I1577" i="1" s="1"/>
  <c r="J1578" i="1" s="1"/>
  <c r="H1578" i="1"/>
  <c r="I1578" i="1" s="1"/>
  <c r="J1579" i="1" s="1"/>
  <c r="H1579" i="1"/>
  <c r="I1579" i="1" s="1"/>
  <c r="J1580" i="1" s="1"/>
  <c r="H1580" i="1"/>
  <c r="I1580" i="1" s="1"/>
  <c r="J1581" i="1" s="1"/>
  <c r="H1581" i="1"/>
  <c r="I1581" i="1" s="1"/>
  <c r="J1582" i="1" s="1"/>
  <c r="H1582" i="1"/>
  <c r="I1582" i="1" s="1"/>
  <c r="J1583" i="1" s="1"/>
  <c r="H1583" i="1"/>
  <c r="I1583" i="1" s="1"/>
  <c r="J1584" i="1" s="1"/>
  <c r="H1584" i="1"/>
  <c r="I1584" i="1" s="1"/>
  <c r="J1585" i="1" s="1"/>
  <c r="H1585" i="1"/>
  <c r="I1585" i="1" s="1"/>
  <c r="J1586" i="1" s="1"/>
  <c r="H1586" i="1"/>
  <c r="I1586" i="1" s="1"/>
  <c r="J1587" i="1" s="1"/>
  <c r="H1587" i="1"/>
  <c r="I1587" i="1" s="1"/>
  <c r="J1588" i="1" s="1"/>
  <c r="H1588" i="1"/>
  <c r="I1588" i="1" s="1"/>
  <c r="J1589" i="1" s="1"/>
  <c r="H1589" i="1"/>
  <c r="I1589" i="1" s="1"/>
  <c r="J1590" i="1" s="1"/>
  <c r="H1590" i="1"/>
  <c r="I1590" i="1" s="1"/>
  <c r="J1591" i="1" s="1"/>
  <c r="H1591" i="1"/>
  <c r="I1591" i="1" s="1"/>
  <c r="J1592" i="1" s="1"/>
  <c r="H1592" i="1"/>
  <c r="I1592" i="1" s="1"/>
  <c r="J1593" i="1" s="1"/>
  <c r="H1593" i="1"/>
  <c r="I1593" i="1" s="1"/>
  <c r="J1594" i="1" s="1"/>
  <c r="H1594" i="1"/>
  <c r="I1594" i="1" s="1"/>
  <c r="J1595" i="1" s="1"/>
  <c r="H1595" i="1"/>
  <c r="I1595" i="1" s="1"/>
  <c r="J1596" i="1" s="1"/>
  <c r="H1596" i="1"/>
  <c r="I1596" i="1" s="1"/>
  <c r="J1597" i="1" s="1"/>
  <c r="H1597" i="1"/>
  <c r="I1597" i="1" s="1"/>
  <c r="J1598" i="1" s="1"/>
  <c r="H1598" i="1"/>
  <c r="I1598" i="1" s="1"/>
  <c r="J1599" i="1" s="1"/>
  <c r="H1599" i="1"/>
  <c r="I1599" i="1" s="1"/>
  <c r="J1600" i="1" s="1"/>
  <c r="H1600" i="1"/>
  <c r="I1600" i="1" s="1"/>
  <c r="J1601" i="1" s="1"/>
  <c r="H1601" i="1"/>
  <c r="I1601" i="1" s="1"/>
  <c r="J1602" i="1" s="1"/>
  <c r="H1602" i="1"/>
  <c r="I1602" i="1" s="1"/>
  <c r="J1603" i="1" s="1"/>
  <c r="H1603" i="1"/>
  <c r="I1603" i="1" s="1"/>
  <c r="J1604" i="1" s="1"/>
  <c r="H1604" i="1"/>
  <c r="I1604" i="1" s="1"/>
  <c r="J1605" i="1" s="1"/>
  <c r="H1605" i="1"/>
  <c r="I1605" i="1" s="1"/>
  <c r="J1606" i="1" s="1"/>
  <c r="H1606" i="1"/>
  <c r="I1606" i="1" s="1"/>
  <c r="J1607" i="1" s="1"/>
  <c r="H1607" i="1"/>
  <c r="I1607" i="1" s="1"/>
  <c r="J1608" i="1" s="1"/>
  <c r="H1608" i="1"/>
  <c r="I1608" i="1" s="1"/>
  <c r="J1609" i="1" s="1"/>
  <c r="H1609" i="1"/>
  <c r="I1609" i="1" s="1"/>
  <c r="J1610" i="1" s="1"/>
  <c r="H1610" i="1"/>
  <c r="I1610" i="1" s="1"/>
  <c r="J1611" i="1" s="1"/>
  <c r="H1611" i="1"/>
  <c r="I1611" i="1" s="1"/>
  <c r="J1612" i="1" s="1"/>
  <c r="H1612" i="1"/>
  <c r="I1612" i="1" s="1"/>
  <c r="J1613" i="1" s="1"/>
  <c r="H1613" i="1"/>
  <c r="I1613" i="1" s="1"/>
  <c r="J1614" i="1" s="1"/>
  <c r="H1614" i="1"/>
  <c r="I1614" i="1" s="1"/>
  <c r="J1615" i="1" s="1"/>
  <c r="H1615" i="1"/>
  <c r="I1615" i="1" s="1"/>
  <c r="J1616" i="1" s="1"/>
  <c r="H1616" i="1"/>
  <c r="I1616" i="1" s="1"/>
  <c r="J1617" i="1" s="1"/>
  <c r="H1617" i="1"/>
  <c r="I1617" i="1" s="1"/>
  <c r="J1618" i="1" s="1"/>
  <c r="H1618" i="1"/>
  <c r="I1618" i="1" s="1"/>
  <c r="J1619" i="1" s="1"/>
  <c r="H1619" i="1"/>
  <c r="I1619" i="1" s="1"/>
  <c r="J1620" i="1" s="1"/>
  <c r="H1620" i="1"/>
  <c r="I1620" i="1" s="1"/>
  <c r="J1621" i="1" s="1"/>
  <c r="H1621" i="1"/>
  <c r="I1621" i="1" s="1"/>
  <c r="J1622" i="1" s="1"/>
  <c r="H1622" i="1"/>
  <c r="I1622" i="1" s="1"/>
  <c r="J1623" i="1" s="1"/>
  <c r="H1623" i="1"/>
  <c r="I1623" i="1" s="1"/>
  <c r="J1624" i="1" s="1"/>
  <c r="H1624" i="1"/>
  <c r="I1624" i="1" s="1"/>
  <c r="J1625" i="1" s="1"/>
  <c r="H1625" i="1"/>
  <c r="I1625" i="1" s="1"/>
  <c r="J1626" i="1" s="1"/>
  <c r="H1626" i="1"/>
  <c r="I1626" i="1" s="1"/>
  <c r="J1627" i="1" s="1"/>
  <c r="H1627" i="1"/>
  <c r="I1627" i="1" s="1"/>
  <c r="J1628" i="1" s="1"/>
  <c r="H1628" i="1"/>
  <c r="I1628" i="1" s="1"/>
  <c r="J1629" i="1" s="1"/>
  <c r="H1629" i="1"/>
  <c r="I1629" i="1" s="1"/>
  <c r="J1630" i="1" s="1"/>
  <c r="H1630" i="1"/>
  <c r="I1630" i="1" s="1"/>
  <c r="J1631" i="1" s="1"/>
  <c r="H1631" i="1"/>
  <c r="I1631" i="1" s="1"/>
  <c r="J1632" i="1" s="1"/>
  <c r="H1632" i="1"/>
  <c r="I1632" i="1" s="1"/>
  <c r="J1633" i="1" s="1"/>
  <c r="H1633" i="1"/>
  <c r="I1633" i="1" s="1"/>
  <c r="J1634" i="1" s="1"/>
  <c r="H1634" i="1"/>
  <c r="I1634" i="1" s="1"/>
  <c r="J1635" i="1" s="1"/>
  <c r="H1635" i="1"/>
  <c r="I1635" i="1" s="1"/>
  <c r="J1636" i="1" s="1"/>
  <c r="H1636" i="1"/>
  <c r="I1636" i="1" s="1"/>
  <c r="J1637" i="1" s="1"/>
  <c r="H1637" i="1"/>
  <c r="I1637" i="1" s="1"/>
  <c r="J1638" i="1" s="1"/>
  <c r="H1638" i="1"/>
  <c r="I1638" i="1" s="1"/>
  <c r="J1639" i="1" s="1"/>
  <c r="H1639" i="1"/>
  <c r="I1639" i="1" s="1"/>
  <c r="J1640" i="1" s="1"/>
  <c r="H1640" i="1"/>
  <c r="I1640" i="1" s="1"/>
  <c r="J1641" i="1" s="1"/>
  <c r="H1641" i="1"/>
  <c r="I1641" i="1" s="1"/>
  <c r="J1642" i="1" s="1"/>
  <c r="H1642" i="1"/>
  <c r="I1642" i="1" s="1"/>
  <c r="J1643" i="1" s="1"/>
  <c r="H1643" i="1"/>
  <c r="I1643" i="1" s="1"/>
  <c r="J1644" i="1" s="1"/>
  <c r="H1644" i="1"/>
  <c r="I1644" i="1" s="1"/>
  <c r="J1645" i="1" s="1"/>
  <c r="H1645" i="1"/>
  <c r="I1645" i="1" s="1"/>
  <c r="J1646" i="1" s="1"/>
  <c r="H1646" i="1"/>
  <c r="I1646" i="1" s="1"/>
  <c r="J1647" i="1" s="1"/>
  <c r="H1647" i="1"/>
  <c r="I1647" i="1" s="1"/>
  <c r="J1648" i="1" s="1"/>
  <c r="H1648" i="1"/>
  <c r="I1648" i="1" s="1"/>
  <c r="J1649" i="1" s="1"/>
  <c r="H1649" i="1"/>
  <c r="I1649" i="1" s="1"/>
  <c r="J1650" i="1" s="1"/>
  <c r="H1650" i="1"/>
  <c r="I1650" i="1" s="1"/>
  <c r="J1651" i="1" s="1"/>
  <c r="H1651" i="1"/>
  <c r="I1651" i="1" s="1"/>
  <c r="J1652" i="1" s="1"/>
  <c r="H1652" i="1"/>
  <c r="I1652" i="1" s="1"/>
  <c r="J1653" i="1" s="1"/>
  <c r="H1653" i="1"/>
  <c r="I1653" i="1" s="1"/>
  <c r="J1654" i="1" s="1"/>
  <c r="H1654" i="1"/>
  <c r="I1654" i="1" s="1"/>
  <c r="J1655" i="1" s="1"/>
  <c r="H1655" i="1"/>
  <c r="I1655" i="1" s="1"/>
  <c r="J1656" i="1" s="1"/>
  <c r="H1656" i="1"/>
  <c r="I1656" i="1" s="1"/>
  <c r="J1657" i="1" s="1"/>
  <c r="H1657" i="1"/>
  <c r="I1657" i="1" s="1"/>
  <c r="J1658" i="1" s="1"/>
  <c r="H1658" i="1"/>
  <c r="I1658" i="1" s="1"/>
  <c r="J1659" i="1" s="1"/>
  <c r="H1659" i="1"/>
  <c r="I1659" i="1" s="1"/>
  <c r="J1660" i="1" s="1"/>
  <c r="H1660" i="1"/>
  <c r="I1660" i="1" s="1"/>
  <c r="J1661" i="1" s="1"/>
  <c r="H1661" i="1"/>
  <c r="I1661" i="1" s="1"/>
  <c r="J1662" i="1" s="1"/>
  <c r="H1662" i="1"/>
  <c r="I1662" i="1" s="1"/>
  <c r="J1663" i="1" s="1"/>
  <c r="H1663" i="1"/>
  <c r="I1663" i="1" s="1"/>
  <c r="J1664" i="1" s="1"/>
  <c r="H1664" i="1"/>
  <c r="I1664" i="1" s="1"/>
  <c r="J1665" i="1" s="1"/>
  <c r="H1665" i="1"/>
  <c r="I1665" i="1" s="1"/>
  <c r="J1666" i="1" s="1"/>
  <c r="H1666" i="1"/>
  <c r="I1666" i="1" s="1"/>
  <c r="J1667" i="1" s="1"/>
  <c r="H1667" i="1"/>
  <c r="I1667" i="1" s="1"/>
  <c r="J1668" i="1" s="1"/>
  <c r="H1668" i="1"/>
  <c r="I1668" i="1" s="1"/>
  <c r="J1669" i="1" s="1"/>
  <c r="H1669" i="1"/>
  <c r="I1669" i="1" s="1"/>
  <c r="J1670" i="1" s="1"/>
  <c r="H1670" i="1"/>
  <c r="I1670" i="1" s="1"/>
  <c r="J1671" i="1" s="1"/>
  <c r="H1671" i="1"/>
  <c r="I1671" i="1" s="1"/>
  <c r="J1672" i="1" s="1"/>
  <c r="H1672" i="1"/>
  <c r="I1672" i="1" s="1"/>
  <c r="J1673" i="1" s="1"/>
  <c r="H1673" i="1"/>
  <c r="I1673" i="1" s="1"/>
  <c r="J1674" i="1" s="1"/>
  <c r="H1674" i="1"/>
  <c r="I1674" i="1" s="1"/>
  <c r="J1675" i="1" s="1"/>
  <c r="H1675" i="1"/>
  <c r="I1675" i="1" s="1"/>
  <c r="J1676" i="1" s="1"/>
  <c r="H1676" i="1"/>
  <c r="I1676" i="1" s="1"/>
  <c r="J1677" i="1" s="1"/>
  <c r="H1677" i="1"/>
  <c r="I1677" i="1" s="1"/>
  <c r="J1678" i="1" s="1"/>
  <c r="H1678" i="1"/>
  <c r="I1678" i="1" s="1"/>
  <c r="J1679" i="1" s="1"/>
  <c r="H1679" i="1"/>
  <c r="H1680" i="1"/>
  <c r="I1680" i="1" s="1"/>
  <c r="J1681" i="1" s="1"/>
  <c r="H1681" i="1"/>
  <c r="I1681" i="1" s="1"/>
  <c r="J1682" i="1" s="1"/>
  <c r="H1682" i="1"/>
  <c r="I1682" i="1" s="1"/>
  <c r="J1683" i="1" s="1"/>
  <c r="H1683" i="1"/>
  <c r="I1683" i="1" s="1"/>
  <c r="J1684" i="1" s="1"/>
  <c r="H1684" i="1"/>
  <c r="I1684" i="1" s="1"/>
  <c r="J1685" i="1" s="1"/>
  <c r="H1685" i="1"/>
  <c r="I1685" i="1" s="1"/>
  <c r="J1686" i="1" s="1"/>
  <c r="H1686" i="1"/>
  <c r="I1686" i="1" s="1"/>
  <c r="J1687" i="1" s="1"/>
  <c r="H1687" i="1"/>
  <c r="I1687" i="1" s="1"/>
  <c r="J1688" i="1" s="1"/>
  <c r="H1688" i="1"/>
  <c r="I1688" i="1" s="1"/>
  <c r="J1689" i="1" s="1"/>
  <c r="H1689" i="1"/>
  <c r="I1689" i="1" s="1"/>
  <c r="J1690" i="1" s="1"/>
  <c r="H1690" i="1"/>
  <c r="I1690" i="1" s="1"/>
  <c r="J1691" i="1" s="1"/>
  <c r="H1691" i="1"/>
  <c r="I1691" i="1" s="1"/>
  <c r="J1692" i="1" s="1"/>
  <c r="H1692" i="1"/>
  <c r="I1692" i="1" s="1"/>
  <c r="J1693" i="1" s="1"/>
  <c r="H1693" i="1"/>
  <c r="I1693" i="1" s="1"/>
  <c r="J1694" i="1" s="1"/>
  <c r="H1694" i="1"/>
  <c r="I1694" i="1" s="1"/>
  <c r="J1695" i="1" s="1"/>
  <c r="H1695" i="1"/>
  <c r="I1695" i="1" s="1"/>
  <c r="J1696" i="1" s="1"/>
  <c r="H1696" i="1"/>
  <c r="I1696" i="1" s="1"/>
  <c r="J1697" i="1" s="1"/>
  <c r="H1697" i="1"/>
  <c r="I1697" i="1" s="1"/>
  <c r="J1698" i="1" s="1"/>
  <c r="H1698" i="1"/>
  <c r="I1698" i="1" s="1"/>
  <c r="J1699" i="1" s="1"/>
  <c r="H1699" i="1"/>
  <c r="I1699" i="1" s="1"/>
  <c r="J1700" i="1" s="1"/>
  <c r="H1700" i="1"/>
  <c r="I1700" i="1" s="1"/>
  <c r="J1701" i="1" s="1"/>
  <c r="H1701" i="1"/>
  <c r="I1701" i="1" s="1"/>
  <c r="J1702" i="1" s="1"/>
  <c r="H1702" i="1"/>
  <c r="I1702" i="1" s="1"/>
  <c r="J1703" i="1" s="1"/>
  <c r="H1703" i="1"/>
  <c r="I1703" i="1" s="1"/>
  <c r="J1704" i="1" s="1"/>
  <c r="H1704" i="1"/>
  <c r="I1704" i="1" s="1"/>
  <c r="J1705" i="1" s="1"/>
  <c r="H1705" i="1"/>
  <c r="I1705" i="1" s="1"/>
  <c r="J1706" i="1" s="1"/>
  <c r="H1706" i="1"/>
  <c r="I1706" i="1" s="1"/>
  <c r="J1707" i="1" s="1"/>
  <c r="H1707" i="1"/>
  <c r="I1707" i="1" s="1"/>
  <c r="J1708" i="1" s="1"/>
  <c r="H1708" i="1"/>
  <c r="I1708" i="1" s="1"/>
  <c r="J1709" i="1" s="1"/>
  <c r="H1709" i="1"/>
  <c r="I1709" i="1" s="1"/>
  <c r="J1710" i="1" s="1"/>
  <c r="H1710" i="1"/>
  <c r="I1710" i="1" s="1"/>
  <c r="J1711" i="1" s="1"/>
  <c r="H1711" i="1"/>
  <c r="I1711" i="1" s="1"/>
  <c r="J1712" i="1" s="1"/>
  <c r="H1712" i="1"/>
  <c r="I1712" i="1" s="1"/>
  <c r="J1713" i="1" s="1"/>
  <c r="H1713" i="1"/>
  <c r="I1713" i="1" s="1"/>
  <c r="J1714" i="1" s="1"/>
  <c r="H1714" i="1"/>
  <c r="I1714" i="1" s="1"/>
  <c r="J1715" i="1" s="1"/>
  <c r="H1715" i="1"/>
  <c r="I1715" i="1" s="1"/>
  <c r="J1716" i="1" s="1"/>
  <c r="H1716" i="1"/>
  <c r="I1716" i="1" s="1"/>
  <c r="J1717" i="1" s="1"/>
  <c r="H1717" i="1"/>
  <c r="I1717" i="1" s="1"/>
  <c r="J1718" i="1" s="1"/>
  <c r="H1718" i="1"/>
  <c r="I1718" i="1" s="1"/>
  <c r="J1719" i="1" s="1"/>
  <c r="H1719" i="1"/>
  <c r="I1719" i="1" s="1"/>
  <c r="J1720" i="1" s="1"/>
  <c r="H1720" i="1"/>
  <c r="I1720" i="1" s="1"/>
  <c r="J1721" i="1" s="1"/>
  <c r="H1721" i="1"/>
  <c r="I1721" i="1" s="1"/>
  <c r="J1722" i="1" s="1"/>
  <c r="H1722" i="1"/>
  <c r="I1722" i="1" s="1"/>
  <c r="J1723" i="1" s="1"/>
  <c r="H1723" i="1"/>
  <c r="I1723" i="1" s="1"/>
  <c r="J1724" i="1" s="1"/>
  <c r="H1724" i="1"/>
  <c r="I1724" i="1" s="1"/>
  <c r="J1725" i="1" s="1"/>
  <c r="H1725" i="1"/>
  <c r="I1725" i="1" s="1"/>
  <c r="J1726" i="1" s="1"/>
  <c r="H1726" i="1"/>
  <c r="I1726" i="1" s="1"/>
  <c r="J1727" i="1" s="1"/>
  <c r="H1727" i="1"/>
  <c r="I1727" i="1" s="1"/>
  <c r="J1728" i="1" s="1"/>
  <c r="H1728" i="1"/>
  <c r="I1728" i="1" s="1"/>
  <c r="J1729" i="1" s="1"/>
  <c r="H1729" i="1"/>
  <c r="I1729" i="1" s="1"/>
  <c r="J1730" i="1" s="1"/>
  <c r="H1730" i="1"/>
  <c r="I1730" i="1" s="1"/>
  <c r="J1731" i="1" s="1"/>
  <c r="H1731" i="1"/>
  <c r="I1731" i="1" s="1"/>
  <c r="J1732" i="1" s="1"/>
  <c r="H1732" i="1"/>
  <c r="I1732" i="1" s="1"/>
  <c r="J1733" i="1" s="1"/>
  <c r="H1733" i="1"/>
  <c r="I1733" i="1" s="1"/>
  <c r="J1734" i="1" s="1"/>
  <c r="H1734" i="1"/>
  <c r="I1734" i="1" s="1"/>
  <c r="J1735" i="1" s="1"/>
  <c r="H1735" i="1"/>
  <c r="I1735" i="1" s="1"/>
  <c r="J1736" i="1" s="1"/>
  <c r="H1736" i="1"/>
  <c r="I1736" i="1" s="1"/>
  <c r="J1737" i="1" s="1"/>
  <c r="H1737" i="1"/>
  <c r="I1737" i="1" s="1"/>
  <c r="J1738" i="1" s="1"/>
  <c r="H1738" i="1"/>
  <c r="I1738" i="1" s="1"/>
  <c r="J1739" i="1" s="1"/>
  <c r="H1739" i="1"/>
  <c r="I1739" i="1" s="1"/>
  <c r="J1740" i="1" s="1"/>
  <c r="H1740" i="1"/>
  <c r="I1740" i="1" s="1"/>
  <c r="J1741" i="1" s="1"/>
  <c r="H1741" i="1"/>
  <c r="I1741" i="1" s="1"/>
  <c r="J1742" i="1" s="1"/>
  <c r="H1742" i="1"/>
  <c r="I1742" i="1" s="1"/>
  <c r="J1743" i="1" s="1"/>
  <c r="H1743" i="1"/>
  <c r="I1743" i="1" s="1"/>
  <c r="J1744" i="1" s="1"/>
  <c r="H1744" i="1"/>
  <c r="I1744" i="1" s="1"/>
  <c r="J1745" i="1" s="1"/>
  <c r="H1745" i="1"/>
  <c r="I1745" i="1" s="1"/>
  <c r="J1746" i="1" s="1"/>
  <c r="H1746" i="1"/>
  <c r="I1746" i="1" s="1"/>
  <c r="J1747" i="1" s="1"/>
  <c r="H1747" i="1"/>
  <c r="I1747" i="1" s="1"/>
  <c r="J1748" i="1" s="1"/>
  <c r="H1748" i="1"/>
  <c r="I1748" i="1" s="1"/>
  <c r="J1749" i="1" s="1"/>
  <c r="H1749" i="1"/>
  <c r="I1749" i="1" s="1"/>
  <c r="J1750" i="1" s="1"/>
  <c r="H1750" i="1"/>
  <c r="I1750" i="1" s="1"/>
  <c r="J1751" i="1" s="1"/>
  <c r="H1751" i="1"/>
  <c r="I1751" i="1" s="1"/>
  <c r="J1752" i="1" s="1"/>
  <c r="H1752" i="1"/>
  <c r="I1752" i="1" s="1"/>
  <c r="J1753" i="1" s="1"/>
  <c r="H1753" i="1"/>
  <c r="I1753" i="1" s="1"/>
  <c r="J1754" i="1" s="1"/>
  <c r="H1754" i="1"/>
  <c r="I1754" i="1" s="1"/>
  <c r="J1755" i="1" s="1"/>
  <c r="H1755" i="1"/>
  <c r="I1755" i="1" s="1"/>
  <c r="J1756" i="1" s="1"/>
  <c r="H1756" i="1"/>
  <c r="I1756" i="1" s="1"/>
  <c r="J1757" i="1" s="1"/>
  <c r="H1757" i="1"/>
  <c r="I1757" i="1" s="1"/>
  <c r="J1758" i="1" s="1"/>
  <c r="H1758" i="1"/>
  <c r="I1758" i="1" s="1"/>
  <c r="J1759" i="1" s="1"/>
  <c r="H1759" i="1"/>
  <c r="I1759" i="1" s="1"/>
  <c r="J1760" i="1" s="1"/>
  <c r="H1760" i="1"/>
  <c r="I1760" i="1" s="1"/>
  <c r="J1761" i="1" s="1"/>
  <c r="H1761" i="1"/>
  <c r="I1761" i="1" s="1"/>
  <c r="J1762" i="1" s="1"/>
  <c r="H1762" i="1"/>
  <c r="I1762" i="1" s="1"/>
  <c r="J1763" i="1" s="1"/>
  <c r="H1763" i="1"/>
  <c r="I1763" i="1" s="1"/>
  <c r="J1764" i="1" s="1"/>
  <c r="H1764" i="1"/>
  <c r="I1764" i="1" s="1"/>
  <c r="J1765" i="1" s="1"/>
  <c r="H1765" i="1"/>
  <c r="I1765" i="1" s="1"/>
  <c r="J1766" i="1" s="1"/>
  <c r="H1766" i="1"/>
  <c r="I1766" i="1" s="1"/>
  <c r="J1767" i="1" s="1"/>
  <c r="H1767" i="1"/>
  <c r="I1767" i="1" s="1"/>
  <c r="J1768" i="1" s="1"/>
  <c r="H1768" i="1"/>
  <c r="I1768" i="1" s="1"/>
  <c r="J1769" i="1" s="1"/>
  <c r="H1769" i="1"/>
  <c r="I1769" i="1" s="1"/>
  <c r="J1770" i="1" s="1"/>
  <c r="H1770" i="1"/>
  <c r="I1770" i="1" s="1"/>
  <c r="J1771" i="1" s="1"/>
  <c r="H1771" i="1"/>
  <c r="I1771" i="1" s="1"/>
  <c r="J1772" i="1" s="1"/>
  <c r="H1772" i="1"/>
  <c r="I1772" i="1" s="1"/>
  <c r="J1773" i="1" s="1"/>
  <c r="H1773" i="1"/>
  <c r="I1773" i="1" s="1"/>
  <c r="J1774" i="1" s="1"/>
  <c r="H1774" i="1"/>
  <c r="I1774" i="1" s="1"/>
  <c r="J1775" i="1" s="1"/>
  <c r="H1775" i="1"/>
  <c r="I1775" i="1" s="1"/>
  <c r="J1776" i="1" s="1"/>
  <c r="H1776" i="1"/>
  <c r="I1776" i="1" s="1"/>
  <c r="J1777" i="1" s="1"/>
  <c r="H1777" i="1"/>
  <c r="I1777" i="1" s="1"/>
  <c r="J1778" i="1" s="1"/>
  <c r="H1778" i="1"/>
  <c r="I1778" i="1" s="1"/>
  <c r="J1779" i="1" s="1"/>
  <c r="H1779" i="1"/>
  <c r="I1779" i="1" s="1"/>
  <c r="J1780" i="1" s="1"/>
  <c r="H1780" i="1"/>
  <c r="I1780" i="1" s="1"/>
  <c r="J1781" i="1" s="1"/>
  <c r="H1781" i="1"/>
  <c r="I1781" i="1" s="1"/>
  <c r="J1782" i="1" s="1"/>
  <c r="H1782" i="1"/>
  <c r="I1782" i="1" s="1"/>
  <c r="J1783" i="1" s="1"/>
  <c r="H1783" i="1"/>
  <c r="I1783" i="1" s="1"/>
  <c r="J1784" i="1" s="1"/>
  <c r="H1784" i="1"/>
  <c r="I1784" i="1" s="1"/>
  <c r="J1785" i="1" s="1"/>
  <c r="H1785" i="1"/>
  <c r="I1785" i="1" s="1"/>
  <c r="J1786" i="1" s="1"/>
  <c r="H1786" i="1"/>
  <c r="I1786" i="1" s="1"/>
  <c r="J1787" i="1" s="1"/>
  <c r="H1787" i="1"/>
  <c r="I1787" i="1" s="1"/>
  <c r="J1788" i="1" s="1"/>
  <c r="H1788" i="1"/>
  <c r="I1788" i="1" s="1"/>
  <c r="J1789" i="1" s="1"/>
  <c r="H1789" i="1"/>
  <c r="I1789" i="1" s="1"/>
  <c r="J1790" i="1" s="1"/>
  <c r="H1790" i="1"/>
  <c r="I1790" i="1" s="1"/>
  <c r="J1791" i="1" s="1"/>
  <c r="H1791" i="1"/>
  <c r="I1791" i="1" s="1"/>
  <c r="J1792" i="1" s="1"/>
  <c r="H1792" i="1"/>
  <c r="I1792" i="1" s="1"/>
  <c r="J1793" i="1" s="1"/>
  <c r="H1793" i="1"/>
  <c r="I1793" i="1" s="1"/>
  <c r="J1794" i="1" s="1"/>
  <c r="H1794" i="1"/>
  <c r="I1794" i="1" s="1"/>
  <c r="J1795" i="1" s="1"/>
  <c r="H1795" i="1"/>
  <c r="I1795" i="1" s="1"/>
  <c r="J1796" i="1" s="1"/>
  <c r="H1796" i="1"/>
  <c r="I1796" i="1" s="1"/>
  <c r="J1797" i="1" s="1"/>
  <c r="H1797" i="1"/>
  <c r="I1797" i="1" s="1"/>
  <c r="J1798" i="1" s="1"/>
  <c r="H1798" i="1"/>
  <c r="I1798" i="1" s="1"/>
  <c r="J1799" i="1" s="1"/>
  <c r="H1799" i="1"/>
  <c r="I1799" i="1" s="1"/>
  <c r="J1800" i="1" s="1"/>
  <c r="H1800" i="1"/>
  <c r="I1800" i="1" s="1"/>
  <c r="J1801" i="1" s="1"/>
  <c r="H1801" i="1"/>
  <c r="I1801" i="1" s="1"/>
  <c r="J1802" i="1" s="1"/>
  <c r="H1802" i="1"/>
  <c r="I1802" i="1" s="1"/>
  <c r="J1803" i="1" s="1"/>
  <c r="H1803" i="1"/>
  <c r="I1803" i="1" s="1"/>
  <c r="J1804" i="1" s="1"/>
  <c r="H1804" i="1"/>
  <c r="I1804" i="1" s="1"/>
  <c r="J1805" i="1" s="1"/>
  <c r="H1805" i="1"/>
  <c r="I1805" i="1" s="1"/>
  <c r="J1806" i="1" s="1"/>
  <c r="H1806" i="1"/>
  <c r="I1806" i="1" s="1"/>
  <c r="J1807" i="1" s="1"/>
  <c r="H1807" i="1"/>
  <c r="I1807" i="1" s="1"/>
  <c r="J1808" i="1" s="1"/>
  <c r="H1808" i="1"/>
  <c r="I1808" i="1" s="1"/>
  <c r="J1809" i="1" s="1"/>
  <c r="H1809" i="1"/>
  <c r="I1809" i="1" s="1"/>
  <c r="J1810" i="1" s="1"/>
  <c r="H1810" i="1"/>
  <c r="I1810" i="1" s="1"/>
  <c r="J1811" i="1" s="1"/>
  <c r="H1811" i="1"/>
  <c r="I1811" i="1" s="1"/>
  <c r="J1812" i="1" s="1"/>
  <c r="H1812" i="1"/>
  <c r="I1812" i="1" s="1"/>
  <c r="J1813" i="1" s="1"/>
  <c r="H1813" i="1"/>
  <c r="I1813" i="1" s="1"/>
  <c r="J1814" i="1" s="1"/>
  <c r="H1814" i="1"/>
  <c r="I1814" i="1" s="1"/>
  <c r="J1815" i="1" s="1"/>
  <c r="H1815" i="1"/>
  <c r="I1815" i="1" s="1"/>
  <c r="J1816" i="1" s="1"/>
  <c r="H1816" i="1"/>
  <c r="I1816" i="1" s="1"/>
  <c r="J1817" i="1" s="1"/>
  <c r="H1817" i="1"/>
  <c r="I1817" i="1" s="1"/>
  <c r="J1818" i="1" s="1"/>
  <c r="H1818" i="1"/>
  <c r="I1818" i="1" s="1"/>
  <c r="J1819" i="1" s="1"/>
  <c r="H1819" i="1"/>
  <c r="I1819" i="1" s="1"/>
  <c r="J1820" i="1" s="1"/>
  <c r="H1820" i="1"/>
  <c r="I1820" i="1" s="1"/>
  <c r="J1821" i="1" s="1"/>
  <c r="H1821" i="1"/>
  <c r="I1821" i="1" s="1"/>
  <c r="J1822" i="1" s="1"/>
  <c r="H1822" i="1"/>
  <c r="I1822" i="1" s="1"/>
  <c r="J1823" i="1" s="1"/>
  <c r="H1823" i="1"/>
  <c r="I1823" i="1" s="1"/>
  <c r="J1824" i="1" s="1"/>
  <c r="H1824" i="1"/>
  <c r="I1824" i="1" s="1"/>
  <c r="J1825" i="1" s="1"/>
  <c r="H1825" i="1"/>
  <c r="I1825" i="1" s="1"/>
  <c r="J1826" i="1" s="1"/>
  <c r="H1826" i="1"/>
  <c r="I1826" i="1" s="1"/>
  <c r="J1827" i="1" s="1"/>
  <c r="H1827" i="1"/>
  <c r="I1827" i="1" s="1"/>
  <c r="J1828" i="1" s="1"/>
  <c r="H1828" i="1"/>
  <c r="I1828" i="1" s="1"/>
  <c r="J1829" i="1" s="1"/>
  <c r="H1829" i="1"/>
  <c r="I1829" i="1" s="1"/>
  <c r="J1830" i="1" s="1"/>
  <c r="H1830" i="1"/>
  <c r="I1830" i="1" s="1"/>
  <c r="J1831" i="1" s="1"/>
  <c r="H1831" i="1"/>
  <c r="I1831" i="1" s="1"/>
  <c r="J1832" i="1" s="1"/>
  <c r="H1832" i="1"/>
  <c r="I1832" i="1" s="1"/>
  <c r="J1833" i="1" s="1"/>
  <c r="H1833" i="1"/>
  <c r="I1833" i="1" s="1"/>
  <c r="J1834" i="1" s="1"/>
  <c r="H1834" i="1"/>
  <c r="I1834" i="1" s="1"/>
  <c r="J1835" i="1" s="1"/>
  <c r="H1835" i="1"/>
  <c r="I1835" i="1" s="1"/>
  <c r="J1836" i="1" s="1"/>
  <c r="H1836" i="1"/>
  <c r="I1836" i="1" s="1"/>
  <c r="J1837" i="1" s="1"/>
  <c r="H1837" i="1"/>
  <c r="I1837" i="1" s="1"/>
  <c r="J1838" i="1" s="1"/>
  <c r="H1838" i="1"/>
  <c r="I1838" i="1" s="1"/>
  <c r="J1839" i="1" s="1"/>
  <c r="H1839" i="1"/>
  <c r="H1840" i="1"/>
  <c r="I1840" i="1" s="1"/>
  <c r="J1841" i="1" s="1"/>
  <c r="H1841" i="1"/>
  <c r="I1841" i="1" s="1"/>
  <c r="J1842" i="1" s="1"/>
  <c r="H1842" i="1"/>
  <c r="I1842" i="1" s="1"/>
  <c r="J1843" i="1" s="1"/>
  <c r="H1843" i="1"/>
  <c r="I1843" i="1" s="1"/>
  <c r="J1844" i="1" s="1"/>
  <c r="H1844" i="1"/>
  <c r="I1844" i="1" s="1"/>
  <c r="J1845" i="1" s="1"/>
  <c r="H1845" i="1"/>
  <c r="I1845" i="1" s="1"/>
  <c r="J1846" i="1" s="1"/>
  <c r="H1846" i="1"/>
  <c r="I1846" i="1" s="1"/>
  <c r="J1847" i="1" s="1"/>
  <c r="H1847" i="1"/>
  <c r="I1847" i="1" s="1"/>
  <c r="J1848" i="1" s="1"/>
  <c r="H1848" i="1"/>
  <c r="I1848" i="1" s="1"/>
  <c r="J1849" i="1" s="1"/>
  <c r="H1849" i="1"/>
  <c r="I1849" i="1" s="1"/>
  <c r="J1850" i="1" s="1"/>
  <c r="H1850" i="1"/>
  <c r="I1850" i="1" s="1"/>
  <c r="J1851" i="1" s="1"/>
  <c r="H1851" i="1"/>
  <c r="I1851" i="1" s="1"/>
  <c r="J1852" i="1" s="1"/>
  <c r="H1852" i="1"/>
  <c r="I1852" i="1" s="1"/>
  <c r="J1853" i="1" s="1"/>
  <c r="H1853" i="1"/>
  <c r="I1853" i="1" s="1"/>
  <c r="J1854" i="1" s="1"/>
  <c r="H1854" i="1"/>
  <c r="I1854" i="1" s="1"/>
  <c r="J1855" i="1" s="1"/>
  <c r="H1855" i="1"/>
  <c r="I1855" i="1" s="1"/>
  <c r="J1856" i="1" s="1"/>
  <c r="H1856" i="1"/>
  <c r="I1856" i="1" s="1"/>
  <c r="J1857" i="1" s="1"/>
  <c r="H1857" i="1"/>
  <c r="I1857" i="1" s="1"/>
  <c r="J1858" i="1" s="1"/>
  <c r="H1858" i="1"/>
  <c r="I1858" i="1" s="1"/>
  <c r="J1859" i="1" s="1"/>
  <c r="H1859" i="1"/>
  <c r="I1859" i="1" s="1"/>
  <c r="J1860" i="1" s="1"/>
  <c r="H1860" i="1"/>
  <c r="I1860" i="1" s="1"/>
  <c r="J1861" i="1" s="1"/>
  <c r="H1861" i="1"/>
  <c r="I1861" i="1" s="1"/>
  <c r="J1862" i="1" s="1"/>
  <c r="H1862" i="1"/>
  <c r="I1862" i="1" s="1"/>
  <c r="J1863" i="1" s="1"/>
  <c r="H1863" i="1"/>
  <c r="I1863" i="1" s="1"/>
  <c r="J1864" i="1" s="1"/>
  <c r="H1864" i="1"/>
  <c r="I1864" i="1" s="1"/>
  <c r="J1865" i="1" s="1"/>
  <c r="H1865" i="1"/>
  <c r="I1865" i="1" s="1"/>
  <c r="J1866" i="1" s="1"/>
  <c r="H1866" i="1"/>
  <c r="I1866" i="1" s="1"/>
  <c r="J1867" i="1" s="1"/>
  <c r="H1867" i="1"/>
  <c r="I1867" i="1" s="1"/>
  <c r="J1868" i="1" s="1"/>
  <c r="H1868" i="1"/>
  <c r="I1868" i="1" s="1"/>
  <c r="J1869" i="1" s="1"/>
  <c r="H1869" i="1"/>
  <c r="I1869" i="1" s="1"/>
  <c r="J1870" i="1" s="1"/>
  <c r="H1870" i="1"/>
  <c r="I1870" i="1" s="1"/>
  <c r="J1871" i="1" s="1"/>
  <c r="H1871" i="1"/>
  <c r="I1871" i="1" s="1"/>
  <c r="J1872" i="1" s="1"/>
  <c r="H1872" i="1"/>
  <c r="I1872" i="1" s="1"/>
  <c r="J1873" i="1" s="1"/>
  <c r="H1873" i="1"/>
  <c r="I1873" i="1" s="1"/>
  <c r="J1874" i="1" s="1"/>
  <c r="H1874" i="1"/>
  <c r="I1874" i="1" s="1"/>
  <c r="J1875" i="1" s="1"/>
  <c r="H1875" i="1"/>
  <c r="I1875" i="1" s="1"/>
  <c r="J1876" i="1" s="1"/>
  <c r="H1876" i="1"/>
  <c r="I1876" i="1" s="1"/>
  <c r="J1877" i="1" s="1"/>
  <c r="H1877" i="1"/>
  <c r="I1877" i="1" s="1"/>
  <c r="J1878" i="1" s="1"/>
  <c r="H1878" i="1"/>
  <c r="I1878" i="1" s="1"/>
  <c r="J1879" i="1" s="1"/>
  <c r="H1879" i="1"/>
  <c r="I1879" i="1" s="1"/>
  <c r="J1880" i="1" s="1"/>
  <c r="H1880" i="1"/>
  <c r="I1880" i="1" s="1"/>
  <c r="J1881" i="1" s="1"/>
  <c r="H1881" i="1"/>
  <c r="I1881" i="1" s="1"/>
  <c r="J1882" i="1" s="1"/>
  <c r="H1882" i="1"/>
  <c r="I1882" i="1" s="1"/>
  <c r="J1883" i="1" s="1"/>
  <c r="H1883" i="1"/>
  <c r="I1883" i="1" s="1"/>
  <c r="J1884" i="1" s="1"/>
  <c r="H1884" i="1"/>
  <c r="I1884" i="1" s="1"/>
  <c r="J1885" i="1" s="1"/>
  <c r="H1885" i="1"/>
  <c r="I1885" i="1" s="1"/>
  <c r="J1886" i="1" s="1"/>
  <c r="H1886" i="1"/>
  <c r="I1886" i="1" s="1"/>
  <c r="J1887" i="1" s="1"/>
  <c r="H1887" i="1"/>
  <c r="I1887" i="1" s="1"/>
  <c r="J1888" i="1" s="1"/>
  <c r="H1888" i="1"/>
  <c r="I1888" i="1" s="1"/>
  <c r="J1889" i="1" s="1"/>
  <c r="H1889" i="1"/>
  <c r="I1889" i="1" s="1"/>
  <c r="J1890" i="1" s="1"/>
  <c r="H1890" i="1"/>
  <c r="I1890" i="1" s="1"/>
  <c r="J1891" i="1" s="1"/>
  <c r="H1891" i="1"/>
  <c r="I1891" i="1" s="1"/>
  <c r="J1892" i="1" s="1"/>
  <c r="H1892" i="1"/>
  <c r="I1892" i="1" s="1"/>
  <c r="J1893" i="1" s="1"/>
  <c r="H1893" i="1"/>
  <c r="I1893" i="1" s="1"/>
  <c r="J1894" i="1" s="1"/>
  <c r="H1894" i="1"/>
  <c r="I1894" i="1" s="1"/>
  <c r="J1895" i="1" s="1"/>
  <c r="H1895" i="1"/>
  <c r="I1895" i="1" s="1"/>
  <c r="J1896" i="1" s="1"/>
  <c r="H1896" i="1"/>
  <c r="I1896" i="1" s="1"/>
  <c r="J1897" i="1" s="1"/>
  <c r="H1897" i="1"/>
  <c r="I1897" i="1" s="1"/>
  <c r="J1898" i="1" s="1"/>
  <c r="H1898" i="1"/>
  <c r="I1898" i="1" s="1"/>
  <c r="J1899" i="1" s="1"/>
  <c r="H1899" i="1"/>
  <c r="I1899" i="1" s="1"/>
  <c r="J1900" i="1" s="1"/>
  <c r="H1900" i="1"/>
  <c r="I1900" i="1" s="1"/>
  <c r="J1901" i="1" s="1"/>
  <c r="H1901" i="1"/>
  <c r="I1901" i="1" s="1"/>
  <c r="J1902" i="1" s="1"/>
  <c r="H1902" i="1"/>
  <c r="I1902" i="1" s="1"/>
  <c r="J1903" i="1" s="1"/>
  <c r="H1903" i="1"/>
  <c r="I1903" i="1" s="1"/>
  <c r="J1904" i="1" s="1"/>
  <c r="H1904" i="1"/>
  <c r="I1904" i="1" s="1"/>
  <c r="J1905" i="1" s="1"/>
  <c r="H1905" i="1"/>
  <c r="I1905" i="1" s="1"/>
  <c r="J1906" i="1" s="1"/>
  <c r="H1906" i="1"/>
  <c r="I1906" i="1" s="1"/>
  <c r="J1907" i="1" s="1"/>
  <c r="H1907" i="1"/>
  <c r="I1907" i="1" s="1"/>
  <c r="J1908" i="1" s="1"/>
  <c r="H1908" i="1"/>
  <c r="I1908" i="1" s="1"/>
  <c r="J1909" i="1" s="1"/>
  <c r="H1909" i="1"/>
  <c r="I1909" i="1" s="1"/>
  <c r="J1910" i="1" s="1"/>
  <c r="H1910" i="1"/>
  <c r="I1910" i="1" s="1"/>
  <c r="J1911" i="1" s="1"/>
  <c r="H1911" i="1"/>
  <c r="I1911" i="1" s="1"/>
  <c r="J1912" i="1" s="1"/>
  <c r="H1912" i="1"/>
  <c r="I1912" i="1" s="1"/>
  <c r="J1913" i="1" s="1"/>
  <c r="H1913" i="1"/>
  <c r="I1913" i="1" s="1"/>
  <c r="J1914" i="1" s="1"/>
  <c r="H1914" i="1"/>
  <c r="I1914" i="1" s="1"/>
  <c r="J1915" i="1" s="1"/>
  <c r="H1915" i="1"/>
  <c r="I1915" i="1" s="1"/>
  <c r="J1916" i="1" s="1"/>
  <c r="H1916" i="1"/>
  <c r="I1916" i="1" s="1"/>
  <c r="J1917" i="1" s="1"/>
  <c r="H1917" i="1"/>
  <c r="I1917" i="1" s="1"/>
  <c r="J1918" i="1" s="1"/>
  <c r="H1918" i="1"/>
  <c r="I1918" i="1" s="1"/>
  <c r="J1919" i="1" s="1"/>
  <c r="H1919" i="1"/>
  <c r="I1919" i="1" s="1"/>
  <c r="J1920" i="1" s="1"/>
  <c r="H1920" i="1"/>
  <c r="I1920" i="1" s="1"/>
  <c r="J1921" i="1" s="1"/>
  <c r="H1921" i="1"/>
  <c r="I1921" i="1" s="1"/>
  <c r="J1922" i="1" s="1"/>
  <c r="H1922" i="1"/>
  <c r="I1922" i="1" s="1"/>
  <c r="J1923" i="1" s="1"/>
  <c r="H1923" i="1"/>
  <c r="I1923" i="1" s="1"/>
  <c r="J1924" i="1" s="1"/>
  <c r="H1924" i="1"/>
  <c r="I1924" i="1" s="1"/>
  <c r="J1925" i="1" s="1"/>
  <c r="H1925" i="1"/>
  <c r="I1925" i="1" s="1"/>
  <c r="J1926" i="1" s="1"/>
  <c r="H1926" i="1"/>
  <c r="I1926" i="1" s="1"/>
  <c r="J1927" i="1" s="1"/>
  <c r="H1927" i="1"/>
  <c r="I1927" i="1" s="1"/>
  <c r="J1928" i="1" s="1"/>
  <c r="H1928" i="1"/>
  <c r="I1928" i="1" s="1"/>
  <c r="J1929" i="1" s="1"/>
  <c r="H1929" i="1"/>
  <c r="I1929" i="1" s="1"/>
  <c r="J1930" i="1" s="1"/>
  <c r="H1930" i="1"/>
  <c r="I1930" i="1" s="1"/>
  <c r="J1931" i="1" s="1"/>
  <c r="H1931" i="1"/>
  <c r="I1931" i="1" s="1"/>
  <c r="J1932" i="1" s="1"/>
  <c r="H1932" i="1"/>
  <c r="I1932" i="1" s="1"/>
  <c r="J1933" i="1" s="1"/>
  <c r="H1933" i="1"/>
  <c r="I1933" i="1" s="1"/>
  <c r="J1934" i="1" s="1"/>
  <c r="H1934" i="1"/>
  <c r="I1934" i="1" s="1"/>
  <c r="J1935" i="1" s="1"/>
  <c r="H1935" i="1"/>
  <c r="I1935" i="1" s="1"/>
  <c r="J1936" i="1" s="1"/>
  <c r="H1936" i="1"/>
  <c r="I1936" i="1" s="1"/>
  <c r="J1937" i="1" s="1"/>
  <c r="H1937" i="1"/>
  <c r="I1937" i="1" s="1"/>
  <c r="J1938" i="1" s="1"/>
  <c r="H1938" i="1"/>
  <c r="I1938" i="1" s="1"/>
  <c r="J1939" i="1" s="1"/>
  <c r="H1939" i="1"/>
  <c r="I1939" i="1" s="1"/>
  <c r="J1940" i="1" s="1"/>
  <c r="H1940" i="1"/>
  <c r="I1940" i="1" s="1"/>
  <c r="J1941" i="1" s="1"/>
  <c r="H1941" i="1"/>
  <c r="I1941" i="1" s="1"/>
  <c r="J1942" i="1" s="1"/>
  <c r="H1942" i="1"/>
  <c r="I1942" i="1" s="1"/>
  <c r="J1943" i="1" s="1"/>
  <c r="H1943" i="1"/>
  <c r="I1943" i="1" s="1"/>
  <c r="J1944" i="1" s="1"/>
  <c r="H1944" i="1"/>
  <c r="I1944" i="1" s="1"/>
  <c r="J1945" i="1" s="1"/>
  <c r="H1945" i="1"/>
  <c r="I1945" i="1" s="1"/>
  <c r="J1946" i="1" s="1"/>
  <c r="H1946" i="1"/>
  <c r="I1946" i="1" s="1"/>
  <c r="J1947" i="1" s="1"/>
  <c r="H1947" i="1"/>
  <c r="I1947" i="1" s="1"/>
  <c r="J1948" i="1" s="1"/>
  <c r="H1948" i="1"/>
  <c r="I1948" i="1" s="1"/>
  <c r="J1949" i="1" s="1"/>
  <c r="H1949" i="1"/>
  <c r="I1949" i="1" s="1"/>
  <c r="J1950" i="1" s="1"/>
  <c r="H1950" i="1"/>
  <c r="I1950" i="1" s="1"/>
  <c r="J1951" i="1" s="1"/>
  <c r="H1951" i="1"/>
  <c r="I1951" i="1" s="1"/>
  <c r="J1952" i="1" s="1"/>
  <c r="H1952" i="1"/>
  <c r="I1952" i="1" s="1"/>
  <c r="J1953" i="1" s="1"/>
  <c r="H1953" i="1"/>
  <c r="I1953" i="1" s="1"/>
  <c r="J1954" i="1" s="1"/>
  <c r="H1954" i="1"/>
  <c r="I1954" i="1" s="1"/>
  <c r="J1955" i="1" s="1"/>
  <c r="H1955" i="1"/>
  <c r="I1955" i="1" s="1"/>
  <c r="J1956" i="1" s="1"/>
  <c r="H1956" i="1"/>
  <c r="I1956" i="1" s="1"/>
  <c r="J1957" i="1" s="1"/>
  <c r="H1957" i="1"/>
  <c r="I1957" i="1" s="1"/>
  <c r="J1958" i="1" s="1"/>
  <c r="H1958" i="1"/>
  <c r="I1958" i="1" s="1"/>
  <c r="J1959" i="1" s="1"/>
  <c r="H1959" i="1"/>
  <c r="I1959" i="1" s="1"/>
  <c r="J1960" i="1" s="1"/>
  <c r="H1960" i="1"/>
  <c r="I1960" i="1" s="1"/>
  <c r="J1961" i="1" s="1"/>
  <c r="H1961" i="1"/>
  <c r="I1961" i="1" s="1"/>
  <c r="J1962" i="1" s="1"/>
  <c r="H1962" i="1"/>
  <c r="I1962" i="1" s="1"/>
  <c r="J1963" i="1" s="1"/>
  <c r="H1963" i="1"/>
  <c r="I1963" i="1" s="1"/>
  <c r="J1964" i="1" s="1"/>
  <c r="H1964" i="1"/>
  <c r="I1964" i="1" s="1"/>
  <c r="J1965" i="1" s="1"/>
  <c r="H1965" i="1"/>
  <c r="I1965" i="1" s="1"/>
  <c r="J1966" i="1" s="1"/>
  <c r="H1966" i="1"/>
  <c r="I1966" i="1" s="1"/>
  <c r="J1967" i="1" s="1"/>
  <c r="H1967" i="1"/>
  <c r="I1967" i="1" s="1"/>
  <c r="J1968" i="1" s="1"/>
  <c r="H1968" i="1"/>
  <c r="I1968" i="1" s="1"/>
  <c r="J1969" i="1" s="1"/>
  <c r="H1969" i="1"/>
  <c r="I1969" i="1" s="1"/>
  <c r="J1970" i="1" s="1"/>
  <c r="H1970" i="1"/>
  <c r="I1970" i="1" s="1"/>
  <c r="J1971" i="1" s="1"/>
  <c r="H1971" i="1"/>
  <c r="I1971" i="1" s="1"/>
  <c r="J1972" i="1" s="1"/>
  <c r="H1972" i="1"/>
  <c r="I1972" i="1" s="1"/>
  <c r="J1973" i="1" s="1"/>
  <c r="H1973" i="1"/>
  <c r="I1973" i="1" s="1"/>
  <c r="J1974" i="1" s="1"/>
  <c r="H1974" i="1"/>
  <c r="I1974" i="1" s="1"/>
  <c r="J1975" i="1" s="1"/>
  <c r="H1975" i="1"/>
  <c r="I1975" i="1" s="1"/>
  <c r="J1976" i="1" s="1"/>
  <c r="H1976" i="1"/>
  <c r="I1976" i="1" s="1"/>
  <c r="J1977" i="1" s="1"/>
  <c r="H1977" i="1"/>
  <c r="I1977" i="1" s="1"/>
  <c r="J1978" i="1" s="1"/>
  <c r="H1978" i="1"/>
  <c r="I1978" i="1" s="1"/>
  <c r="J1979" i="1" s="1"/>
  <c r="H1979" i="1"/>
  <c r="I1979" i="1" s="1"/>
  <c r="J1980" i="1" s="1"/>
  <c r="H1980" i="1"/>
  <c r="I1980" i="1" s="1"/>
  <c r="J1981" i="1" s="1"/>
  <c r="H1981" i="1"/>
  <c r="I1981" i="1" s="1"/>
  <c r="J1982" i="1" s="1"/>
  <c r="H1982" i="1"/>
  <c r="I1982" i="1" s="1"/>
  <c r="J1983" i="1" s="1"/>
  <c r="H1983" i="1"/>
  <c r="I1983" i="1" s="1"/>
  <c r="J1984" i="1" s="1"/>
  <c r="H1984" i="1"/>
  <c r="I1984" i="1" s="1"/>
  <c r="J1985" i="1" s="1"/>
  <c r="H1985" i="1"/>
  <c r="I1985" i="1" s="1"/>
  <c r="J1986" i="1" s="1"/>
  <c r="H1986" i="1"/>
  <c r="I1986" i="1" s="1"/>
  <c r="J1987" i="1" s="1"/>
  <c r="H1987" i="1"/>
  <c r="I1987" i="1" s="1"/>
  <c r="J1988" i="1" s="1"/>
  <c r="H1988" i="1"/>
  <c r="I1988" i="1" s="1"/>
  <c r="J1989" i="1" s="1"/>
  <c r="H1989" i="1"/>
  <c r="I1989" i="1" s="1"/>
  <c r="J1990" i="1" s="1"/>
  <c r="H1990" i="1"/>
  <c r="I1990" i="1" s="1"/>
  <c r="J1991" i="1" s="1"/>
  <c r="H1991" i="1"/>
  <c r="I1991" i="1" s="1"/>
  <c r="J1992" i="1" s="1"/>
  <c r="H1992" i="1"/>
  <c r="I1992" i="1" s="1"/>
  <c r="J1993" i="1" s="1"/>
  <c r="H1993" i="1"/>
  <c r="I1993" i="1" s="1"/>
  <c r="J1994" i="1" s="1"/>
  <c r="H1994" i="1"/>
  <c r="I1994" i="1" s="1"/>
  <c r="J1995" i="1" s="1"/>
  <c r="H1995" i="1"/>
  <c r="I1995" i="1" s="1"/>
  <c r="J1996" i="1" s="1"/>
  <c r="H1996" i="1"/>
  <c r="I1996" i="1" s="1"/>
  <c r="J1997" i="1" s="1"/>
  <c r="H1997" i="1"/>
  <c r="I1997" i="1" s="1"/>
  <c r="J1998" i="1" s="1"/>
  <c r="H1998" i="1"/>
  <c r="I1998" i="1" s="1"/>
  <c r="J1999" i="1" s="1"/>
  <c r="H1999" i="1"/>
  <c r="I1999" i="1" s="1"/>
  <c r="J2000" i="1" s="1"/>
  <c r="H2000" i="1"/>
  <c r="I2000" i="1" s="1"/>
  <c r="J2001" i="1" s="1"/>
  <c r="H2001" i="1"/>
  <c r="I2001" i="1" s="1"/>
  <c r="J2002" i="1" s="1"/>
  <c r="H2002" i="1"/>
  <c r="I2002" i="1" s="1"/>
  <c r="J2003" i="1" s="1"/>
  <c r="H2003" i="1"/>
  <c r="I2003" i="1" s="1"/>
  <c r="J2004" i="1" s="1"/>
  <c r="H2004" i="1"/>
  <c r="I2004" i="1" s="1"/>
  <c r="J2005" i="1" s="1"/>
  <c r="H2005" i="1"/>
  <c r="I2005" i="1" s="1"/>
  <c r="J2006" i="1" s="1"/>
  <c r="H2006" i="1"/>
  <c r="I2006" i="1" s="1"/>
  <c r="J2007" i="1" s="1"/>
  <c r="H2007" i="1"/>
  <c r="I2007" i="1" s="1"/>
  <c r="J2008" i="1" s="1"/>
  <c r="H2008" i="1"/>
  <c r="I2008" i="1" s="1"/>
  <c r="J2009" i="1" s="1"/>
  <c r="H2009" i="1"/>
  <c r="I2009" i="1" s="1"/>
  <c r="J2010" i="1" s="1"/>
  <c r="H2010" i="1"/>
  <c r="I2010" i="1" s="1"/>
  <c r="J2011" i="1" s="1"/>
  <c r="H2011" i="1"/>
  <c r="I2011" i="1" s="1"/>
  <c r="J2012" i="1" s="1"/>
  <c r="H2012" i="1"/>
  <c r="I2012" i="1" s="1"/>
  <c r="J2013" i="1" s="1"/>
  <c r="H2013" i="1"/>
  <c r="I2013" i="1" s="1"/>
  <c r="J2014" i="1" s="1"/>
  <c r="H2014" i="1"/>
  <c r="I2014" i="1" s="1"/>
  <c r="J2015" i="1" s="1"/>
  <c r="H2015" i="1"/>
  <c r="I2015" i="1" s="1"/>
  <c r="J2016" i="1" s="1"/>
  <c r="H2016" i="1"/>
  <c r="I2016" i="1" s="1"/>
  <c r="J2017" i="1" s="1"/>
  <c r="H2017" i="1"/>
  <c r="I2017" i="1" s="1"/>
  <c r="J2018" i="1" s="1"/>
  <c r="H2018" i="1"/>
  <c r="I2018" i="1" s="1"/>
  <c r="J2019" i="1" s="1"/>
  <c r="H2019" i="1"/>
  <c r="I2019" i="1" s="1"/>
  <c r="J2020" i="1" s="1"/>
  <c r="H2020" i="1"/>
  <c r="I2020" i="1" s="1"/>
  <c r="J2021" i="1" s="1"/>
  <c r="H2021" i="1"/>
  <c r="I2021" i="1" s="1"/>
  <c r="J2022" i="1" s="1"/>
  <c r="H2022" i="1"/>
  <c r="I2022" i="1" s="1"/>
  <c r="J2023" i="1" s="1"/>
  <c r="H2023" i="1"/>
  <c r="I2023" i="1" s="1"/>
  <c r="J2024" i="1" s="1"/>
  <c r="H2024" i="1"/>
  <c r="I2024" i="1" s="1"/>
  <c r="J2025" i="1" s="1"/>
  <c r="H2025" i="1"/>
  <c r="I2025" i="1" s="1"/>
  <c r="J2026" i="1" s="1"/>
  <c r="H2026" i="1"/>
  <c r="I2026" i="1" s="1"/>
  <c r="J2027" i="1" s="1"/>
  <c r="H2027" i="1"/>
  <c r="I2027" i="1" s="1"/>
  <c r="J2028" i="1" s="1"/>
  <c r="H2028" i="1"/>
  <c r="I2028" i="1" s="1"/>
  <c r="J2029" i="1" s="1"/>
  <c r="H2029" i="1"/>
  <c r="I2029" i="1" s="1"/>
  <c r="J2030" i="1" s="1"/>
  <c r="H2030" i="1"/>
  <c r="I2030" i="1" s="1"/>
  <c r="J2031" i="1" s="1"/>
  <c r="H2031" i="1"/>
  <c r="I2031" i="1" s="1"/>
  <c r="J2032" i="1" s="1"/>
  <c r="H2032" i="1"/>
  <c r="I2032" i="1" s="1"/>
  <c r="J2033" i="1" s="1"/>
  <c r="H2033" i="1"/>
  <c r="I2033" i="1" s="1"/>
  <c r="J2034" i="1" s="1"/>
  <c r="H2034" i="1"/>
  <c r="I2034" i="1" s="1"/>
  <c r="J2035" i="1" s="1"/>
  <c r="H2035" i="1"/>
  <c r="I2035" i="1" s="1"/>
  <c r="J2036" i="1" s="1"/>
  <c r="H2036" i="1"/>
  <c r="I2036" i="1" s="1"/>
  <c r="J2037" i="1" s="1"/>
  <c r="H2037" i="1"/>
  <c r="I2037" i="1" s="1"/>
  <c r="J2038" i="1" s="1"/>
  <c r="H2038" i="1"/>
  <c r="I2038" i="1" s="1"/>
  <c r="J2039" i="1" s="1"/>
  <c r="H2039" i="1"/>
  <c r="I2039" i="1" s="1"/>
  <c r="J2040" i="1" s="1"/>
  <c r="H2040" i="1"/>
  <c r="I2040" i="1" s="1"/>
  <c r="J2041" i="1" s="1"/>
  <c r="H2041" i="1"/>
  <c r="I2041" i="1" s="1"/>
  <c r="J2042" i="1" s="1"/>
  <c r="H2042" i="1"/>
  <c r="I2042" i="1" s="1"/>
  <c r="J2043" i="1" s="1"/>
  <c r="H2043" i="1"/>
  <c r="I2043" i="1" s="1"/>
  <c r="J2044" i="1" s="1"/>
  <c r="H2044" i="1"/>
  <c r="I2044" i="1" s="1"/>
  <c r="J2045" i="1" s="1"/>
  <c r="H2045" i="1"/>
  <c r="I2045" i="1" s="1"/>
  <c r="J2046" i="1" s="1"/>
  <c r="H2046" i="1"/>
  <c r="I2046" i="1" s="1"/>
  <c r="J2047" i="1" s="1"/>
  <c r="H2047" i="1"/>
  <c r="I2047" i="1" s="1"/>
  <c r="J2048" i="1" s="1"/>
  <c r="H2048" i="1"/>
  <c r="I2048" i="1" s="1"/>
  <c r="J2049" i="1" s="1"/>
  <c r="H2049" i="1"/>
  <c r="I2049" i="1" s="1"/>
  <c r="J2050" i="1" s="1"/>
  <c r="H2050" i="1"/>
  <c r="I2050" i="1" s="1"/>
  <c r="J2051" i="1" s="1"/>
  <c r="H2051" i="1"/>
  <c r="I2051" i="1" s="1"/>
  <c r="J2052" i="1" s="1"/>
  <c r="H2052" i="1"/>
  <c r="I2052" i="1" s="1"/>
  <c r="J2053" i="1" s="1"/>
  <c r="H2053" i="1"/>
  <c r="I2053" i="1" s="1"/>
  <c r="J2054" i="1" s="1"/>
  <c r="H2054" i="1"/>
  <c r="I2054" i="1" s="1"/>
  <c r="J2055" i="1" s="1"/>
  <c r="H2055" i="1"/>
  <c r="I2055" i="1" s="1"/>
  <c r="J2056" i="1" s="1"/>
  <c r="H2056" i="1"/>
  <c r="I2056" i="1" s="1"/>
  <c r="J2057" i="1" s="1"/>
  <c r="H2057" i="1"/>
  <c r="I2057" i="1" s="1"/>
  <c r="J2058" i="1" s="1"/>
  <c r="H2058" i="1"/>
  <c r="I2058" i="1" s="1"/>
  <c r="J2059" i="1" s="1"/>
  <c r="H2059" i="1"/>
  <c r="I2059" i="1" s="1"/>
  <c r="J2060" i="1" s="1"/>
  <c r="H2060" i="1"/>
  <c r="I2060" i="1" s="1"/>
  <c r="J2061" i="1" s="1"/>
  <c r="H2061" i="1"/>
  <c r="I2061" i="1" s="1"/>
  <c r="J2062" i="1" s="1"/>
  <c r="H2062" i="1"/>
  <c r="I2062" i="1" s="1"/>
  <c r="J2063" i="1" s="1"/>
  <c r="H2063" i="1"/>
  <c r="I2063" i="1" s="1"/>
  <c r="J2064" i="1" s="1"/>
  <c r="H2064" i="1"/>
  <c r="I2064" i="1" s="1"/>
  <c r="J2065" i="1" s="1"/>
  <c r="H2065" i="1"/>
  <c r="I2065" i="1" s="1"/>
  <c r="J2066" i="1" s="1"/>
  <c r="H2066" i="1"/>
  <c r="I2066" i="1" s="1"/>
  <c r="J2067" i="1" s="1"/>
  <c r="H2067" i="1"/>
  <c r="I2067" i="1" s="1"/>
  <c r="J2068" i="1" s="1"/>
  <c r="H2068" i="1"/>
  <c r="I2068" i="1" s="1"/>
  <c r="J2069" i="1" s="1"/>
  <c r="H2069" i="1"/>
  <c r="I2069" i="1" s="1"/>
  <c r="J2070" i="1" s="1"/>
  <c r="H2070" i="1"/>
  <c r="I2070" i="1" s="1"/>
  <c r="J2071" i="1" s="1"/>
  <c r="H2071" i="1"/>
  <c r="I2071" i="1" s="1"/>
  <c r="J2072" i="1" s="1"/>
  <c r="H2072" i="1"/>
  <c r="I2072" i="1" s="1"/>
  <c r="J2073" i="1" s="1"/>
  <c r="H2073" i="1"/>
  <c r="I2073" i="1" s="1"/>
  <c r="J2074" i="1" s="1"/>
  <c r="H2074" i="1"/>
  <c r="I2074" i="1" s="1"/>
  <c r="J2075" i="1" s="1"/>
  <c r="H2075" i="1"/>
  <c r="I2075" i="1" s="1"/>
  <c r="J2076" i="1" s="1"/>
  <c r="H2076" i="1"/>
  <c r="I2076" i="1" s="1"/>
  <c r="J2077" i="1" s="1"/>
  <c r="H2077" i="1"/>
  <c r="I2077" i="1" s="1"/>
  <c r="J2078" i="1" s="1"/>
  <c r="H2078" i="1"/>
  <c r="I2078" i="1" s="1"/>
  <c r="J2079" i="1" s="1"/>
  <c r="H2079" i="1"/>
  <c r="I2079" i="1" s="1"/>
  <c r="J2080" i="1" s="1"/>
  <c r="H2080" i="1"/>
  <c r="I2080" i="1" s="1"/>
  <c r="J2081" i="1" s="1"/>
  <c r="H2081" i="1"/>
  <c r="I2081" i="1" s="1"/>
  <c r="J2082" i="1" s="1"/>
  <c r="H2082" i="1"/>
  <c r="I2082" i="1" s="1"/>
  <c r="J2083" i="1" s="1"/>
  <c r="H2083" i="1"/>
  <c r="I2083" i="1" s="1"/>
  <c r="J2084" i="1" s="1"/>
  <c r="H2084" i="1"/>
  <c r="I2084" i="1" s="1"/>
  <c r="J2085" i="1" s="1"/>
  <c r="H2085" i="1"/>
  <c r="I2085" i="1" s="1"/>
  <c r="J2086" i="1" s="1"/>
  <c r="H2086" i="1"/>
  <c r="I2086" i="1" s="1"/>
  <c r="J2087" i="1" s="1"/>
  <c r="H2087" i="1"/>
  <c r="I2087" i="1" s="1"/>
  <c r="J2088" i="1" s="1"/>
  <c r="H2088" i="1"/>
  <c r="I2088" i="1" s="1"/>
  <c r="J2089" i="1" s="1"/>
  <c r="H2089" i="1"/>
  <c r="I2089" i="1" s="1"/>
  <c r="J2090" i="1" s="1"/>
  <c r="H2090" i="1"/>
  <c r="I2090" i="1" s="1"/>
  <c r="J2091" i="1" s="1"/>
  <c r="H2091" i="1"/>
  <c r="I2091" i="1" s="1"/>
  <c r="J2092" i="1" s="1"/>
  <c r="H2092" i="1"/>
  <c r="I2092" i="1" s="1"/>
  <c r="J2093" i="1" s="1"/>
  <c r="H2093" i="1"/>
  <c r="I2093" i="1" s="1"/>
  <c r="J2094" i="1" s="1"/>
  <c r="H2094" i="1"/>
  <c r="I2094" i="1" s="1"/>
  <c r="J2095" i="1" s="1"/>
  <c r="H2095" i="1"/>
  <c r="I2095" i="1" s="1"/>
  <c r="J2096" i="1" s="1"/>
  <c r="H2096" i="1"/>
  <c r="I2096" i="1" s="1"/>
  <c r="J2097" i="1" s="1"/>
  <c r="H2097" i="1"/>
  <c r="I2097" i="1" s="1"/>
  <c r="J2098" i="1" s="1"/>
  <c r="H2098" i="1"/>
  <c r="I2098" i="1" s="1"/>
  <c r="J2099" i="1" s="1"/>
  <c r="H2099" i="1"/>
  <c r="I2099" i="1" s="1"/>
  <c r="J2100" i="1" s="1"/>
  <c r="H2100" i="1"/>
  <c r="I2100" i="1" s="1"/>
  <c r="J2101" i="1" s="1"/>
  <c r="H2101" i="1"/>
  <c r="I2101" i="1" s="1"/>
  <c r="J2102" i="1" s="1"/>
  <c r="H2102" i="1"/>
  <c r="I2102" i="1" s="1"/>
  <c r="J2103" i="1" s="1"/>
  <c r="H2103" i="1"/>
  <c r="I2103" i="1" s="1"/>
  <c r="J2104" i="1" s="1"/>
  <c r="H2104" i="1"/>
  <c r="I2104" i="1" s="1"/>
  <c r="J2105" i="1" s="1"/>
  <c r="H2105" i="1"/>
  <c r="I2105" i="1" s="1"/>
  <c r="J2106" i="1" s="1"/>
  <c r="H2106" i="1"/>
  <c r="I2106" i="1" s="1"/>
  <c r="J2107" i="1" s="1"/>
  <c r="H2107" i="1"/>
  <c r="I2107" i="1" s="1"/>
  <c r="J2108" i="1" s="1"/>
  <c r="H2108" i="1"/>
  <c r="I2108" i="1" s="1"/>
  <c r="J2109" i="1" s="1"/>
  <c r="H2109" i="1"/>
  <c r="I2109" i="1" s="1"/>
  <c r="J2110" i="1" s="1"/>
  <c r="H2110" i="1"/>
  <c r="I2110" i="1" s="1"/>
  <c r="J2111" i="1" s="1"/>
  <c r="H2111" i="1"/>
  <c r="I2111" i="1" s="1"/>
  <c r="J2112" i="1" s="1"/>
  <c r="H2112" i="1"/>
  <c r="I2112" i="1" s="1"/>
  <c r="J2113" i="1" s="1"/>
  <c r="H2113" i="1"/>
  <c r="I2113" i="1" s="1"/>
  <c r="J2114" i="1" s="1"/>
  <c r="H2114" i="1"/>
  <c r="I2114" i="1" s="1"/>
  <c r="J2115" i="1" s="1"/>
  <c r="H2115" i="1"/>
  <c r="I2115" i="1" s="1"/>
  <c r="J2116" i="1" s="1"/>
  <c r="H2116" i="1"/>
  <c r="I2116" i="1" s="1"/>
  <c r="J2117" i="1" s="1"/>
  <c r="H2117" i="1"/>
  <c r="I2117" i="1" s="1"/>
  <c r="J2118" i="1" s="1"/>
  <c r="H2118" i="1"/>
  <c r="I2118" i="1" s="1"/>
  <c r="J2119" i="1" s="1"/>
  <c r="H2119" i="1"/>
  <c r="I2119" i="1" s="1"/>
  <c r="J2120" i="1" s="1"/>
  <c r="H2120" i="1"/>
  <c r="I2120" i="1" s="1"/>
  <c r="J2121" i="1" s="1"/>
  <c r="H2121" i="1"/>
  <c r="I2121" i="1" s="1"/>
  <c r="J2122" i="1" s="1"/>
  <c r="H2122" i="1"/>
  <c r="I2122" i="1" s="1"/>
  <c r="J2123" i="1" s="1"/>
  <c r="H2123" i="1"/>
  <c r="I2123" i="1" s="1"/>
  <c r="J2124" i="1" s="1"/>
  <c r="H2124" i="1"/>
  <c r="I2124" i="1" s="1"/>
  <c r="J2125" i="1" s="1"/>
  <c r="H2125" i="1"/>
  <c r="I2125" i="1" s="1"/>
  <c r="J2126" i="1" s="1"/>
  <c r="H2126" i="1"/>
  <c r="I2126" i="1" s="1"/>
  <c r="J2127" i="1" s="1"/>
  <c r="H2127" i="1"/>
  <c r="I2127" i="1" s="1"/>
  <c r="J2128" i="1" s="1"/>
  <c r="H2128" i="1"/>
  <c r="I2128" i="1" s="1"/>
  <c r="J2129" i="1" s="1"/>
  <c r="H2129" i="1"/>
  <c r="I2129" i="1" s="1"/>
  <c r="J2130" i="1" s="1"/>
  <c r="H2130" i="1"/>
  <c r="I2130" i="1" s="1"/>
  <c r="J2131" i="1" s="1"/>
  <c r="H2131" i="1"/>
  <c r="I2131" i="1" s="1"/>
  <c r="J2132" i="1" s="1"/>
  <c r="H2132" i="1"/>
  <c r="I2132" i="1" s="1"/>
  <c r="J2133" i="1" s="1"/>
  <c r="H2133" i="1"/>
  <c r="I2133" i="1" s="1"/>
  <c r="J2134" i="1" s="1"/>
  <c r="H2134" i="1"/>
  <c r="I2134" i="1" s="1"/>
  <c r="J2135" i="1" s="1"/>
  <c r="H2135" i="1"/>
  <c r="I2135" i="1" s="1"/>
  <c r="J2136" i="1" s="1"/>
  <c r="H2136" i="1"/>
  <c r="I2136" i="1" s="1"/>
  <c r="J2137" i="1" s="1"/>
  <c r="H2137" i="1"/>
  <c r="I2137" i="1" s="1"/>
  <c r="J2138" i="1" s="1"/>
  <c r="H2138" i="1"/>
  <c r="I2138" i="1" s="1"/>
  <c r="J2139" i="1" s="1"/>
  <c r="H2139" i="1"/>
  <c r="I2139" i="1" s="1"/>
  <c r="J2140" i="1" s="1"/>
  <c r="H2140" i="1"/>
  <c r="I2140" i="1" s="1"/>
  <c r="J2141" i="1" s="1"/>
  <c r="H2141" i="1"/>
  <c r="I2141" i="1" s="1"/>
  <c r="J2142" i="1" s="1"/>
  <c r="H2142" i="1"/>
  <c r="I2142" i="1" s="1"/>
  <c r="J2143" i="1" s="1"/>
  <c r="H2143" i="1"/>
  <c r="I2143" i="1" s="1"/>
  <c r="J2144" i="1" s="1"/>
  <c r="H2144" i="1"/>
  <c r="I2144" i="1" s="1"/>
  <c r="J2145" i="1" s="1"/>
  <c r="H2145" i="1"/>
  <c r="I2145" i="1" s="1"/>
  <c r="J2146" i="1" s="1"/>
  <c r="H2146" i="1"/>
  <c r="I2146" i="1" s="1"/>
  <c r="J2147" i="1" s="1"/>
  <c r="H2147" i="1"/>
  <c r="I2147" i="1" s="1"/>
  <c r="J2148" i="1" s="1"/>
  <c r="H2148" i="1"/>
  <c r="I2148" i="1" s="1"/>
  <c r="J2149" i="1" s="1"/>
  <c r="H2149" i="1"/>
  <c r="I2149" i="1" s="1"/>
  <c r="J2150" i="1" s="1"/>
  <c r="H2150" i="1"/>
  <c r="I2150" i="1" s="1"/>
  <c r="J2151" i="1" s="1"/>
  <c r="H2151" i="1"/>
  <c r="I2151" i="1" s="1"/>
  <c r="J2152" i="1" s="1"/>
  <c r="H2152" i="1"/>
  <c r="I2152" i="1" s="1"/>
  <c r="J2153" i="1" s="1"/>
  <c r="H2153" i="1"/>
  <c r="I2153" i="1" s="1"/>
  <c r="J2154" i="1" s="1"/>
  <c r="H2154" i="1"/>
  <c r="I2154" i="1" s="1"/>
  <c r="J2155" i="1" s="1"/>
  <c r="H2155" i="1"/>
  <c r="I2155" i="1" s="1"/>
  <c r="J2156" i="1" s="1"/>
  <c r="H2156" i="1"/>
  <c r="I2156" i="1" s="1"/>
  <c r="J2157" i="1" s="1"/>
  <c r="H2157" i="1"/>
  <c r="I2157" i="1" s="1"/>
  <c r="J2158" i="1" s="1"/>
  <c r="H2158" i="1"/>
  <c r="I2158" i="1" s="1"/>
  <c r="J2159" i="1" s="1"/>
  <c r="H2159" i="1"/>
  <c r="I2159" i="1" s="1"/>
  <c r="J2160" i="1" s="1"/>
  <c r="H2160" i="1"/>
  <c r="I2160" i="1" s="1"/>
  <c r="J2161" i="1" s="1"/>
  <c r="H2161" i="1"/>
  <c r="I2161" i="1" s="1"/>
  <c r="J2162" i="1" s="1"/>
  <c r="H2162" i="1"/>
  <c r="I2162" i="1" s="1"/>
  <c r="J2163" i="1" s="1"/>
  <c r="H2163" i="1"/>
  <c r="I2163" i="1" s="1"/>
  <c r="J2164" i="1" s="1"/>
  <c r="H2164" i="1"/>
  <c r="I2164" i="1" s="1"/>
  <c r="J2165" i="1" s="1"/>
  <c r="H2165" i="1"/>
  <c r="I2165" i="1" s="1"/>
  <c r="J2166" i="1" s="1"/>
  <c r="H2166" i="1"/>
  <c r="I2166" i="1" s="1"/>
  <c r="J2167" i="1" s="1"/>
  <c r="H2167" i="1"/>
  <c r="I2167" i="1" s="1"/>
  <c r="J2168" i="1" s="1"/>
  <c r="H2168" i="1"/>
  <c r="I2168" i="1" s="1"/>
  <c r="J2169" i="1" s="1"/>
  <c r="H2169" i="1"/>
  <c r="I2169" i="1" s="1"/>
  <c r="J2170" i="1" s="1"/>
  <c r="H2170" i="1"/>
  <c r="I2170" i="1" s="1"/>
  <c r="J2171" i="1" s="1"/>
  <c r="H2171" i="1"/>
  <c r="I2171" i="1" s="1"/>
  <c r="J2172" i="1" s="1"/>
  <c r="H2172" i="1"/>
  <c r="I2172" i="1" s="1"/>
  <c r="J2173" i="1" s="1"/>
  <c r="H2173" i="1"/>
  <c r="I2173" i="1" s="1"/>
  <c r="J2174" i="1" s="1"/>
  <c r="H2174" i="1"/>
  <c r="I2174" i="1" s="1"/>
  <c r="J2175" i="1" s="1"/>
  <c r="H2175" i="1"/>
  <c r="I2175" i="1" s="1"/>
  <c r="J2176" i="1" s="1"/>
  <c r="H2176" i="1"/>
  <c r="I2176" i="1" s="1"/>
  <c r="J2177" i="1" s="1"/>
  <c r="H2177" i="1"/>
  <c r="I2177" i="1" s="1"/>
  <c r="J2178" i="1" s="1"/>
  <c r="H2178" i="1"/>
  <c r="I2178" i="1" s="1"/>
  <c r="J2179" i="1" s="1"/>
  <c r="H2179" i="1"/>
  <c r="I2179" i="1" s="1"/>
  <c r="J2180" i="1" s="1"/>
  <c r="H2180" i="1"/>
  <c r="I2180" i="1" s="1"/>
  <c r="J2181" i="1" s="1"/>
  <c r="H2181" i="1"/>
  <c r="I2181" i="1" s="1"/>
  <c r="J2182" i="1" s="1"/>
  <c r="H2182" i="1"/>
  <c r="I2182" i="1" s="1"/>
  <c r="J2183" i="1" s="1"/>
  <c r="H2183" i="1"/>
  <c r="I2183" i="1" s="1"/>
  <c r="J2184" i="1" s="1"/>
  <c r="H2184" i="1"/>
  <c r="I2184" i="1" s="1"/>
  <c r="J2185" i="1" s="1"/>
  <c r="H2185" i="1"/>
  <c r="I2185" i="1" s="1"/>
  <c r="J2186" i="1" s="1"/>
  <c r="H2186" i="1"/>
  <c r="I2186" i="1" s="1"/>
  <c r="J2187" i="1" s="1"/>
  <c r="H2187" i="1"/>
  <c r="I2187" i="1" s="1"/>
  <c r="J2188" i="1" s="1"/>
  <c r="H2188" i="1"/>
  <c r="I2188" i="1" s="1"/>
  <c r="J2189" i="1" s="1"/>
  <c r="H2189" i="1"/>
  <c r="I2189" i="1" s="1"/>
  <c r="J2190" i="1" s="1"/>
  <c r="H2190" i="1"/>
  <c r="I2190" i="1" s="1"/>
  <c r="J2191" i="1" s="1"/>
  <c r="H2191" i="1"/>
  <c r="I2191" i="1" s="1"/>
  <c r="J2192" i="1" s="1"/>
  <c r="H2192" i="1"/>
  <c r="I2192" i="1" s="1"/>
  <c r="J2193" i="1" s="1"/>
  <c r="H2193" i="1"/>
  <c r="I2193" i="1" s="1"/>
  <c r="J2194" i="1" s="1"/>
  <c r="H2194" i="1"/>
  <c r="I2194" i="1" s="1"/>
  <c r="J2195" i="1" s="1"/>
  <c r="H2195" i="1"/>
  <c r="I2195" i="1" s="1"/>
  <c r="J2196" i="1" s="1"/>
  <c r="H2196" i="1"/>
  <c r="I2196" i="1" s="1"/>
  <c r="J2197" i="1" s="1"/>
  <c r="H2197" i="1"/>
  <c r="I2197" i="1" s="1"/>
  <c r="J2198" i="1" s="1"/>
  <c r="H2198" i="1"/>
  <c r="I2198" i="1" s="1"/>
  <c r="J2199" i="1" s="1"/>
  <c r="H2199" i="1"/>
  <c r="I2199" i="1" s="1"/>
  <c r="J2200" i="1" s="1"/>
  <c r="H2200" i="1"/>
  <c r="I2200" i="1" s="1"/>
  <c r="J2201" i="1" s="1"/>
  <c r="H2201" i="1"/>
  <c r="I2201" i="1" s="1"/>
  <c r="J2202" i="1" s="1"/>
  <c r="H2202" i="1"/>
  <c r="I2202" i="1" s="1"/>
  <c r="J2203" i="1" s="1"/>
  <c r="H2203" i="1"/>
  <c r="I2203" i="1" s="1"/>
  <c r="J2204" i="1" s="1"/>
  <c r="H2204" i="1"/>
  <c r="I2204" i="1" s="1"/>
  <c r="J2205" i="1" s="1"/>
  <c r="H2205" i="1"/>
  <c r="I2205" i="1" s="1"/>
  <c r="J2206" i="1" s="1"/>
  <c r="H2206" i="1"/>
  <c r="I2206" i="1" s="1"/>
  <c r="J2207" i="1" s="1"/>
  <c r="H2207" i="1"/>
  <c r="I2207" i="1" s="1"/>
  <c r="J2208" i="1" s="1"/>
  <c r="H2208" i="1"/>
  <c r="I2208" i="1" s="1"/>
  <c r="J2209" i="1" s="1"/>
  <c r="H2209" i="1"/>
  <c r="I2209" i="1" s="1"/>
  <c r="J2210" i="1" s="1"/>
  <c r="H2210" i="1"/>
  <c r="I2210" i="1" s="1"/>
  <c r="J2211" i="1" s="1"/>
  <c r="H2211" i="1"/>
  <c r="I2211" i="1" s="1"/>
  <c r="J2212" i="1" s="1"/>
  <c r="H2212" i="1"/>
  <c r="I2212" i="1" s="1"/>
  <c r="J2213" i="1" s="1"/>
  <c r="H2213" i="1"/>
  <c r="I2213" i="1" s="1"/>
  <c r="J2214" i="1" s="1"/>
  <c r="H2214" i="1"/>
  <c r="I2214" i="1" s="1"/>
  <c r="J2215" i="1" s="1"/>
  <c r="H2215" i="1"/>
  <c r="I2215" i="1" s="1"/>
  <c r="J2216" i="1" s="1"/>
  <c r="H2216" i="1"/>
  <c r="I2216" i="1" s="1"/>
  <c r="J2217" i="1" s="1"/>
  <c r="H2217" i="1"/>
  <c r="I2217" i="1" s="1"/>
  <c r="J2218" i="1" s="1"/>
  <c r="H2218" i="1"/>
  <c r="I2218" i="1" s="1"/>
  <c r="J2219" i="1" s="1"/>
  <c r="H2219" i="1"/>
  <c r="I2219" i="1" s="1"/>
  <c r="J2220" i="1" s="1"/>
  <c r="H2220" i="1"/>
  <c r="I2220" i="1" s="1"/>
  <c r="J2221" i="1" s="1"/>
  <c r="H2221" i="1"/>
  <c r="I2221" i="1" s="1"/>
  <c r="J2222" i="1" s="1"/>
  <c r="H2222" i="1"/>
  <c r="I2222" i="1" s="1"/>
  <c r="J2223" i="1" s="1"/>
  <c r="H2223" i="1"/>
  <c r="I2223" i="1" s="1"/>
  <c r="J2224" i="1" s="1"/>
  <c r="H2224" i="1"/>
  <c r="I2224" i="1" s="1"/>
  <c r="J2225" i="1" s="1"/>
  <c r="H2225" i="1"/>
  <c r="I2225" i="1" s="1"/>
  <c r="J2226" i="1" s="1"/>
  <c r="H2226" i="1"/>
  <c r="I2226" i="1" s="1"/>
  <c r="J2227" i="1" s="1"/>
  <c r="H2227" i="1"/>
  <c r="I2227" i="1" s="1"/>
  <c r="J2228" i="1" s="1"/>
  <c r="H2228" i="1"/>
  <c r="I2228" i="1" s="1"/>
  <c r="J2229" i="1" s="1"/>
  <c r="H2229" i="1"/>
  <c r="I2229" i="1" s="1"/>
  <c r="J2230" i="1" s="1"/>
  <c r="H2230" i="1"/>
  <c r="I2230" i="1" s="1"/>
  <c r="J2231" i="1" s="1"/>
  <c r="H2231" i="1"/>
  <c r="I2231" i="1" s="1"/>
  <c r="J2232" i="1" s="1"/>
  <c r="H2232" i="1"/>
  <c r="I2232" i="1" s="1"/>
  <c r="J2233" i="1" s="1"/>
  <c r="H2233" i="1"/>
  <c r="I2233" i="1" s="1"/>
  <c r="J2234" i="1" s="1"/>
  <c r="H2234" i="1"/>
  <c r="I2234" i="1" s="1"/>
  <c r="J2235" i="1" s="1"/>
  <c r="H2235" i="1"/>
  <c r="I2235" i="1" s="1"/>
  <c r="J2236" i="1" s="1"/>
  <c r="H2236" i="1"/>
  <c r="I2236" i="1" s="1"/>
  <c r="J2237" i="1" s="1"/>
  <c r="H2237" i="1"/>
  <c r="I2237" i="1" s="1"/>
  <c r="J2238" i="1" s="1"/>
  <c r="H2238" i="1"/>
  <c r="I2238" i="1" s="1"/>
  <c r="J2239" i="1" s="1"/>
  <c r="H2239" i="1"/>
  <c r="I2239" i="1" s="1"/>
  <c r="J2240" i="1" s="1"/>
  <c r="H2240" i="1"/>
  <c r="I2240" i="1" s="1"/>
  <c r="J2241" i="1" s="1"/>
  <c r="H2241" i="1"/>
  <c r="I2241" i="1" s="1"/>
  <c r="J2242" i="1" s="1"/>
  <c r="H2242" i="1"/>
  <c r="I2242" i="1" s="1"/>
  <c r="J2243" i="1" s="1"/>
  <c r="H2243" i="1"/>
  <c r="I2243" i="1" s="1"/>
  <c r="J2244" i="1" s="1"/>
  <c r="H2244" i="1"/>
  <c r="I2244" i="1" s="1"/>
  <c r="J2245" i="1" s="1"/>
  <c r="H2245" i="1"/>
  <c r="I2245" i="1" s="1"/>
  <c r="J2246" i="1" s="1"/>
  <c r="H2246" i="1"/>
  <c r="I2246" i="1" s="1"/>
  <c r="J2247" i="1" s="1"/>
  <c r="H2247" i="1"/>
  <c r="I2247" i="1" s="1"/>
  <c r="J2248" i="1" s="1"/>
  <c r="H2248" i="1"/>
  <c r="I2248" i="1" s="1"/>
  <c r="J2249" i="1" s="1"/>
  <c r="H2249" i="1"/>
  <c r="I2249" i="1" s="1"/>
  <c r="J2250" i="1" s="1"/>
  <c r="H2250" i="1"/>
  <c r="I2250" i="1" s="1"/>
  <c r="J2251" i="1" s="1"/>
  <c r="H2251" i="1"/>
  <c r="I2251" i="1" s="1"/>
  <c r="J2252" i="1" s="1"/>
  <c r="H2252" i="1"/>
  <c r="I2252" i="1" s="1"/>
  <c r="J2253" i="1" s="1"/>
  <c r="H2253" i="1"/>
  <c r="I2253" i="1" s="1"/>
  <c r="J2254" i="1" s="1"/>
  <c r="H2254" i="1"/>
  <c r="I2254" i="1" s="1"/>
  <c r="J2255" i="1" s="1"/>
  <c r="H2255" i="1"/>
  <c r="I2255" i="1" s="1"/>
  <c r="J2256" i="1" s="1"/>
  <c r="H2256" i="1"/>
  <c r="I2256" i="1" s="1"/>
  <c r="J2257" i="1" s="1"/>
  <c r="H2257" i="1"/>
  <c r="I2257" i="1" s="1"/>
  <c r="J2258" i="1" s="1"/>
  <c r="H2258" i="1"/>
  <c r="I2258" i="1" s="1"/>
  <c r="J2259" i="1" s="1"/>
  <c r="H2259" i="1"/>
  <c r="I2259" i="1" s="1"/>
  <c r="J2260" i="1" s="1"/>
  <c r="H2260" i="1"/>
  <c r="I2260" i="1" s="1"/>
  <c r="J2261" i="1" s="1"/>
  <c r="H2261" i="1"/>
  <c r="I2261" i="1" s="1"/>
  <c r="J2262" i="1" s="1"/>
  <c r="H2262" i="1"/>
  <c r="I2262" i="1" s="1"/>
  <c r="J2263" i="1" s="1"/>
  <c r="H2263" i="1"/>
  <c r="I2263" i="1" s="1"/>
  <c r="J2264" i="1" s="1"/>
  <c r="H2264" i="1"/>
  <c r="I2264" i="1" s="1"/>
  <c r="J2265" i="1" s="1"/>
  <c r="H2265" i="1"/>
  <c r="I2265" i="1" s="1"/>
  <c r="J2266" i="1" s="1"/>
  <c r="H2266" i="1"/>
  <c r="I2266" i="1" s="1"/>
  <c r="J2267" i="1" s="1"/>
  <c r="H2267" i="1"/>
  <c r="I2267" i="1" s="1"/>
  <c r="J2268" i="1" s="1"/>
  <c r="H2268" i="1"/>
  <c r="I2268" i="1" s="1"/>
  <c r="J2269" i="1" s="1"/>
  <c r="H2269" i="1"/>
  <c r="I2269" i="1" s="1"/>
  <c r="J2270" i="1" s="1"/>
  <c r="H2270" i="1"/>
  <c r="I2270" i="1" s="1"/>
  <c r="J2271" i="1" s="1"/>
  <c r="H2271" i="1"/>
  <c r="I2271" i="1" s="1"/>
  <c r="J2272" i="1" s="1"/>
  <c r="H2272" i="1"/>
  <c r="I2272" i="1" s="1"/>
  <c r="J2273" i="1" s="1"/>
  <c r="H2273" i="1"/>
  <c r="I2273" i="1" s="1"/>
  <c r="J2274" i="1" s="1"/>
  <c r="H2274" i="1"/>
  <c r="I2274" i="1" s="1"/>
  <c r="J2275" i="1" s="1"/>
  <c r="H2275" i="1"/>
  <c r="I2275" i="1" s="1"/>
  <c r="J2276" i="1" s="1"/>
  <c r="H2276" i="1"/>
  <c r="I2276" i="1" s="1"/>
  <c r="J2277" i="1" s="1"/>
  <c r="H2277" i="1"/>
  <c r="I2277" i="1" s="1"/>
  <c r="J2278" i="1" s="1"/>
  <c r="H2278" i="1"/>
  <c r="I2278" i="1" s="1"/>
  <c r="J2279" i="1" s="1"/>
  <c r="H2279" i="1"/>
  <c r="I2279" i="1" s="1"/>
  <c r="J2280" i="1" s="1"/>
  <c r="H2280" i="1"/>
  <c r="I2280" i="1" s="1"/>
  <c r="J2281" i="1" s="1"/>
  <c r="H2281" i="1"/>
  <c r="I2281" i="1" s="1"/>
  <c r="J2282" i="1" s="1"/>
  <c r="H2282" i="1"/>
  <c r="I2282" i="1" s="1"/>
  <c r="J2283" i="1" s="1"/>
  <c r="H2283" i="1"/>
  <c r="I2283" i="1" s="1"/>
  <c r="J2284" i="1" s="1"/>
  <c r="H2284" i="1"/>
  <c r="I2284" i="1" s="1"/>
  <c r="J2285" i="1" s="1"/>
  <c r="H2285" i="1"/>
  <c r="I2285" i="1" s="1"/>
  <c r="J2286" i="1" s="1"/>
  <c r="H2286" i="1"/>
  <c r="I2286" i="1" s="1"/>
  <c r="J2287" i="1" s="1"/>
  <c r="H2287" i="1"/>
  <c r="I2287" i="1" s="1"/>
  <c r="J2288" i="1" s="1"/>
  <c r="H2288" i="1"/>
  <c r="I2288" i="1" s="1"/>
  <c r="J2289" i="1" s="1"/>
  <c r="H2289" i="1"/>
  <c r="I2289" i="1" s="1"/>
  <c r="J2290" i="1" s="1"/>
  <c r="H2290" i="1"/>
  <c r="I2290" i="1" s="1"/>
  <c r="J2291" i="1" s="1"/>
  <c r="H2291" i="1"/>
  <c r="I2291" i="1" s="1"/>
  <c r="J2292" i="1" s="1"/>
  <c r="H2292" i="1"/>
  <c r="I2292" i="1" s="1"/>
  <c r="J2293" i="1" s="1"/>
  <c r="H2293" i="1"/>
  <c r="I2293" i="1" s="1"/>
  <c r="J2294" i="1" s="1"/>
  <c r="H2294" i="1"/>
  <c r="I2294" i="1" s="1"/>
  <c r="J2295" i="1" s="1"/>
  <c r="H2295" i="1"/>
  <c r="I2295" i="1" s="1"/>
  <c r="J2296" i="1" s="1"/>
  <c r="H2296" i="1"/>
  <c r="I2296" i="1" s="1"/>
  <c r="J2297" i="1" s="1"/>
  <c r="H2297" i="1"/>
  <c r="I2297" i="1" s="1"/>
  <c r="J2298" i="1" s="1"/>
  <c r="H2298" i="1"/>
  <c r="I2298" i="1" s="1"/>
  <c r="J2299" i="1" s="1"/>
  <c r="H2299" i="1"/>
  <c r="I2299" i="1" s="1"/>
  <c r="J2300" i="1" s="1"/>
  <c r="H2300" i="1"/>
  <c r="I2300" i="1" s="1"/>
  <c r="J2301" i="1" s="1"/>
  <c r="H2301" i="1"/>
  <c r="I2301" i="1" s="1"/>
  <c r="J2302" i="1" s="1"/>
  <c r="H2302" i="1"/>
  <c r="I2302" i="1" s="1"/>
  <c r="J2303" i="1" s="1"/>
  <c r="H2303" i="1"/>
  <c r="I2303" i="1" s="1"/>
  <c r="J2304" i="1" s="1"/>
  <c r="H2304" i="1"/>
  <c r="I2304" i="1" s="1"/>
  <c r="J2305" i="1" s="1"/>
  <c r="H2305" i="1"/>
  <c r="I2305" i="1" s="1"/>
  <c r="J2306" i="1" s="1"/>
  <c r="H2306" i="1"/>
  <c r="I2306" i="1" s="1"/>
  <c r="J2307" i="1" s="1"/>
  <c r="H2307" i="1"/>
  <c r="I2307" i="1" s="1"/>
  <c r="J2308" i="1" s="1"/>
  <c r="H2308" i="1"/>
  <c r="I2308" i="1" s="1"/>
  <c r="J2309" i="1" s="1"/>
  <c r="H2309" i="1"/>
  <c r="I2309" i="1" s="1"/>
  <c r="J2310" i="1" s="1"/>
  <c r="H2310" i="1"/>
  <c r="I2310" i="1" s="1"/>
  <c r="J2311" i="1" s="1"/>
  <c r="H2311" i="1"/>
  <c r="I2311" i="1" s="1"/>
  <c r="J2312" i="1" s="1"/>
  <c r="H2312" i="1"/>
  <c r="I2312" i="1" s="1"/>
  <c r="J2313" i="1" s="1"/>
  <c r="H2313" i="1"/>
  <c r="I2313" i="1" s="1"/>
  <c r="J2314" i="1" s="1"/>
  <c r="H2314" i="1"/>
  <c r="I2314" i="1" s="1"/>
  <c r="J2315" i="1" s="1"/>
  <c r="H2315" i="1"/>
  <c r="I2315" i="1" s="1"/>
  <c r="J2316" i="1" s="1"/>
  <c r="H2316" i="1"/>
  <c r="I2316" i="1" s="1"/>
  <c r="J2317" i="1" s="1"/>
  <c r="H2317" i="1"/>
  <c r="I2317" i="1" s="1"/>
  <c r="J2318" i="1" s="1"/>
  <c r="H2318" i="1"/>
  <c r="I2318" i="1" s="1"/>
  <c r="J2319" i="1" s="1"/>
  <c r="H2319" i="1"/>
  <c r="H2320" i="1"/>
  <c r="I2320" i="1" s="1"/>
  <c r="J2321" i="1" s="1"/>
  <c r="H2321" i="1"/>
  <c r="I2321" i="1" s="1"/>
  <c r="J2322" i="1" s="1"/>
  <c r="H2322" i="1"/>
  <c r="I2322" i="1" s="1"/>
  <c r="J2323" i="1" s="1"/>
  <c r="H2323" i="1"/>
  <c r="I2323" i="1" s="1"/>
  <c r="J2324" i="1" s="1"/>
  <c r="H2324" i="1"/>
  <c r="I2324" i="1" s="1"/>
  <c r="J2325" i="1" s="1"/>
  <c r="H2325" i="1"/>
  <c r="I2325" i="1" s="1"/>
  <c r="J2326" i="1" s="1"/>
  <c r="H2326" i="1"/>
  <c r="I2326" i="1" s="1"/>
  <c r="J2327" i="1" s="1"/>
  <c r="H2327" i="1"/>
  <c r="I2327" i="1" s="1"/>
  <c r="J2328" i="1" s="1"/>
  <c r="H2328" i="1"/>
  <c r="I2328" i="1" s="1"/>
  <c r="J2329" i="1" s="1"/>
  <c r="H2329" i="1"/>
  <c r="I2329" i="1" s="1"/>
  <c r="J2330" i="1" s="1"/>
  <c r="H2330" i="1"/>
  <c r="I2330" i="1" s="1"/>
  <c r="J2331" i="1" s="1"/>
  <c r="H2331" i="1"/>
  <c r="I2331" i="1" s="1"/>
  <c r="J2332" i="1" s="1"/>
  <c r="H2332" i="1"/>
  <c r="I2332" i="1" s="1"/>
  <c r="J2333" i="1" s="1"/>
  <c r="H2333" i="1"/>
  <c r="I2333" i="1" s="1"/>
  <c r="J2334" i="1" s="1"/>
  <c r="H2334" i="1"/>
  <c r="I2334" i="1" s="1"/>
  <c r="J2335" i="1" s="1"/>
  <c r="H2335" i="1"/>
  <c r="I2335" i="1" s="1"/>
  <c r="J2336" i="1" s="1"/>
  <c r="H2336" i="1"/>
  <c r="I2336" i="1" s="1"/>
  <c r="J2337" i="1" s="1"/>
  <c r="H2337" i="1"/>
  <c r="I2337" i="1" s="1"/>
  <c r="J2338" i="1" s="1"/>
  <c r="H2338" i="1"/>
  <c r="I2338" i="1" s="1"/>
  <c r="J2339" i="1" s="1"/>
  <c r="H2339" i="1"/>
  <c r="I2339" i="1" s="1"/>
  <c r="J2340" i="1" s="1"/>
  <c r="H2340" i="1"/>
  <c r="I2340" i="1" s="1"/>
  <c r="J2341" i="1" s="1"/>
  <c r="H2341" i="1"/>
  <c r="I2341" i="1" s="1"/>
  <c r="J2342" i="1" s="1"/>
  <c r="H2342" i="1"/>
  <c r="I2342" i="1" s="1"/>
  <c r="J2343" i="1" s="1"/>
  <c r="H2343" i="1"/>
  <c r="I2343" i="1" s="1"/>
  <c r="J2344" i="1" s="1"/>
  <c r="H2344" i="1"/>
  <c r="I2344" i="1" s="1"/>
  <c r="J2345" i="1" s="1"/>
  <c r="H2345" i="1"/>
  <c r="I2345" i="1" s="1"/>
  <c r="J2346" i="1" s="1"/>
  <c r="H2346" i="1"/>
  <c r="I2346" i="1" s="1"/>
  <c r="J2347" i="1" s="1"/>
  <c r="H2347" i="1"/>
  <c r="I2347" i="1" s="1"/>
  <c r="J2348" i="1" s="1"/>
  <c r="H2348" i="1"/>
  <c r="I2348" i="1" s="1"/>
  <c r="J2349" i="1" s="1"/>
  <c r="H2349" i="1"/>
  <c r="I2349" i="1" s="1"/>
  <c r="J2350" i="1" s="1"/>
  <c r="H2350" i="1"/>
  <c r="I2350" i="1" s="1"/>
  <c r="J2351" i="1" s="1"/>
  <c r="H2351" i="1"/>
  <c r="I2351" i="1" s="1"/>
  <c r="J2352" i="1" s="1"/>
  <c r="H2352" i="1"/>
  <c r="I2352" i="1" s="1"/>
  <c r="J2353" i="1" s="1"/>
  <c r="H2353" i="1"/>
  <c r="I2353" i="1" s="1"/>
  <c r="J2354" i="1" s="1"/>
  <c r="H2354" i="1"/>
  <c r="I2354" i="1" s="1"/>
  <c r="J2355" i="1" s="1"/>
  <c r="H2355" i="1"/>
  <c r="I2355" i="1" s="1"/>
  <c r="J2356" i="1" s="1"/>
  <c r="H2356" i="1"/>
  <c r="I2356" i="1" s="1"/>
  <c r="J2357" i="1" s="1"/>
  <c r="H2357" i="1"/>
  <c r="I2357" i="1" s="1"/>
  <c r="J2358" i="1" s="1"/>
  <c r="H2358" i="1"/>
  <c r="I2358" i="1" s="1"/>
  <c r="J2359" i="1" s="1"/>
  <c r="H2359" i="1"/>
  <c r="I2359" i="1" s="1"/>
  <c r="J2360" i="1" s="1"/>
  <c r="H2360" i="1"/>
  <c r="I2360" i="1" s="1"/>
  <c r="J2361" i="1" s="1"/>
  <c r="H2361" i="1"/>
  <c r="I2361" i="1" s="1"/>
  <c r="J2362" i="1" s="1"/>
  <c r="H2362" i="1"/>
  <c r="I2362" i="1" s="1"/>
  <c r="J2363" i="1" s="1"/>
  <c r="H2363" i="1"/>
  <c r="I2363" i="1" s="1"/>
  <c r="J2364" i="1" s="1"/>
  <c r="H2364" i="1"/>
  <c r="I2364" i="1" s="1"/>
  <c r="J2365" i="1" s="1"/>
  <c r="H2365" i="1"/>
  <c r="I2365" i="1" s="1"/>
  <c r="J2366" i="1" s="1"/>
  <c r="H2366" i="1"/>
  <c r="I2366" i="1" s="1"/>
  <c r="J2367" i="1" s="1"/>
  <c r="H2367" i="1"/>
  <c r="I2367" i="1" s="1"/>
  <c r="J2368" i="1" s="1"/>
  <c r="H2368" i="1"/>
  <c r="I2368" i="1" s="1"/>
  <c r="J2369" i="1" s="1"/>
  <c r="H2369" i="1"/>
  <c r="I2369" i="1" s="1"/>
  <c r="J2370" i="1" s="1"/>
  <c r="H2370" i="1"/>
  <c r="I2370" i="1" s="1"/>
  <c r="J2371" i="1" s="1"/>
  <c r="H2371" i="1"/>
  <c r="I2371" i="1" s="1"/>
  <c r="J2372" i="1" s="1"/>
  <c r="H2372" i="1"/>
  <c r="I2372" i="1" s="1"/>
  <c r="J2373" i="1" s="1"/>
  <c r="H2373" i="1"/>
  <c r="I2373" i="1" s="1"/>
  <c r="J2374" i="1" s="1"/>
  <c r="H2374" i="1"/>
  <c r="I2374" i="1" s="1"/>
  <c r="J2375" i="1" s="1"/>
  <c r="H2375" i="1"/>
  <c r="I2375" i="1" s="1"/>
  <c r="J2376" i="1" s="1"/>
  <c r="H2376" i="1"/>
  <c r="I2376" i="1" s="1"/>
  <c r="J2377" i="1" s="1"/>
  <c r="H2377" i="1"/>
  <c r="I2377" i="1" s="1"/>
  <c r="J2378" i="1" s="1"/>
  <c r="H2378" i="1"/>
  <c r="I2378" i="1" s="1"/>
  <c r="J2379" i="1" s="1"/>
  <c r="H2379" i="1"/>
  <c r="I2379" i="1" s="1"/>
  <c r="J2380" i="1" s="1"/>
  <c r="H2380" i="1"/>
  <c r="I2380" i="1" s="1"/>
  <c r="J2381" i="1" s="1"/>
  <c r="H2381" i="1"/>
  <c r="I2381" i="1" s="1"/>
  <c r="J2382" i="1" s="1"/>
  <c r="H2382" i="1"/>
  <c r="I2382" i="1" s="1"/>
  <c r="J2383" i="1" s="1"/>
  <c r="H2383" i="1"/>
  <c r="I2383" i="1" s="1"/>
  <c r="J2384" i="1" s="1"/>
  <c r="H2384" i="1"/>
  <c r="I2384" i="1" s="1"/>
  <c r="J2385" i="1" s="1"/>
  <c r="H2385" i="1"/>
  <c r="I2385" i="1" s="1"/>
  <c r="J2386" i="1" s="1"/>
  <c r="H2386" i="1"/>
  <c r="I2386" i="1" s="1"/>
  <c r="J2387" i="1" s="1"/>
  <c r="H2387" i="1"/>
  <c r="I2387" i="1" s="1"/>
  <c r="J2388" i="1" s="1"/>
  <c r="H2388" i="1"/>
  <c r="I2388" i="1" s="1"/>
  <c r="J2389" i="1" s="1"/>
  <c r="H2389" i="1"/>
  <c r="I2389" i="1" s="1"/>
  <c r="J2390" i="1" s="1"/>
  <c r="H2390" i="1"/>
  <c r="I2390" i="1" s="1"/>
  <c r="J2391" i="1" s="1"/>
  <c r="H2391" i="1"/>
  <c r="I2391" i="1" s="1"/>
  <c r="J2392" i="1" s="1"/>
  <c r="H2392" i="1"/>
  <c r="I2392" i="1" s="1"/>
  <c r="J2393" i="1" s="1"/>
  <c r="H2393" i="1"/>
  <c r="I2393" i="1" s="1"/>
  <c r="J2394" i="1" s="1"/>
  <c r="H2394" i="1"/>
  <c r="I2394" i="1" s="1"/>
  <c r="J2395" i="1" s="1"/>
  <c r="H2395" i="1"/>
  <c r="I2395" i="1" s="1"/>
  <c r="J2396" i="1" s="1"/>
  <c r="H2396" i="1"/>
  <c r="I2396" i="1" s="1"/>
  <c r="J2397" i="1" s="1"/>
  <c r="H2397" i="1"/>
  <c r="I2397" i="1" s="1"/>
  <c r="J2398" i="1" s="1"/>
  <c r="H2398" i="1"/>
  <c r="I2398" i="1" s="1"/>
  <c r="J2399" i="1" s="1"/>
  <c r="H2399" i="1"/>
  <c r="I2399" i="1" s="1"/>
  <c r="J2400" i="1" s="1"/>
  <c r="H2400" i="1"/>
  <c r="I2400" i="1" s="1"/>
  <c r="J2401" i="1" s="1"/>
  <c r="H2401" i="1"/>
  <c r="I2401" i="1" s="1"/>
  <c r="J2402" i="1" s="1"/>
  <c r="H2402" i="1"/>
  <c r="I2402" i="1" s="1"/>
  <c r="J2403" i="1" s="1"/>
  <c r="H2403" i="1"/>
  <c r="I2403" i="1" s="1"/>
  <c r="J2404" i="1" s="1"/>
  <c r="H2404" i="1"/>
  <c r="I2404" i="1" s="1"/>
  <c r="J2405" i="1" s="1"/>
  <c r="H2405" i="1"/>
  <c r="I2405" i="1" s="1"/>
  <c r="J2406" i="1" s="1"/>
  <c r="H2406" i="1"/>
  <c r="I2406" i="1" s="1"/>
  <c r="J2407" i="1" s="1"/>
  <c r="H2407" i="1"/>
  <c r="I2407" i="1" s="1"/>
  <c r="J2408" i="1" s="1"/>
  <c r="H2408" i="1"/>
  <c r="I2408" i="1" s="1"/>
  <c r="J2409" i="1" s="1"/>
  <c r="H2409" i="1"/>
  <c r="I2409" i="1" s="1"/>
  <c r="J2410" i="1" s="1"/>
  <c r="H2410" i="1"/>
  <c r="I2410" i="1" s="1"/>
  <c r="J2411" i="1" s="1"/>
  <c r="H2411" i="1"/>
  <c r="I2411" i="1" s="1"/>
  <c r="J2412" i="1" s="1"/>
  <c r="H2412" i="1"/>
  <c r="I2412" i="1" s="1"/>
  <c r="J2413" i="1" s="1"/>
  <c r="H2413" i="1"/>
  <c r="I2413" i="1" s="1"/>
  <c r="J2414" i="1" s="1"/>
  <c r="H2414" i="1"/>
  <c r="I2414" i="1" s="1"/>
  <c r="J2415" i="1" s="1"/>
  <c r="H2415" i="1"/>
  <c r="I2415" i="1" s="1"/>
  <c r="J2416" i="1" s="1"/>
  <c r="H2416" i="1"/>
  <c r="I2416" i="1" s="1"/>
  <c r="J2417" i="1" s="1"/>
  <c r="H2417" i="1"/>
  <c r="I2417" i="1" s="1"/>
  <c r="J2418" i="1" s="1"/>
  <c r="H2418" i="1"/>
  <c r="I2418" i="1" s="1"/>
  <c r="J2419" i="1" s="1"/>
  <c r="H2419" i="1"/>
  <c r="I2419" i="1" s="1"/>
  <c r="J2420" i="1" s="1"/>
  <c r="H2420" i="1"/>
  <c r="I2420" i="1" s="1"/>
  <c r="J2421" i="1" s="1"/>
  <c r="H2421" i="1"/>
  <c r="I2421" i="1" s="1"/>
  <c r="J2422" i="1" s="1"/>
  <c r="H2422" i="1"/>
  <c r="I2422" i="1" s="1"/>
  <c r="J2423" i="1" s="1"/>
  <c r="H2423" i="1"/>
  <c r="I2423" i="1" s="1"/>
  <c r="J2424" i="1" s="1"/>
  <c r="H2424" i="1"/>
  <c r="I2424" i="1" s="1"/>
  <c r="J2425" i="1" s="1"/>
  <c r="H2425" i="1"/>
  <c r="I2425" i="1" s="1"/>
  <c r="J2426" i="1" s="1"/>
  <c r="H2426" i="1"/>
  <c r="I2426" i="1" s="1"/>
  <c r="J2427" i="1" s="1"/>
  <c r="H2427" i="1"/>
  <c r="I2427" i="1" s="1"/>
  <c r="J2428" i="1" s="1"/>
  <c r="H2428" i="1"/>
  <c r="I2428" i="1" s="1"/>
  <c r="J2429" i="1" s="1"/>
  <c r="H2429" i="1"/>
  <c r="I2429" i="1" s="1"/>
  <c r="J2430" i="1" s="1"/>
  <c r="H2430" i="1"/>
  <c r="I2430" i="1" s="1"/>
  <c r="J2431" i="1" s="1"/>
  <c r="H2431" i="1"/>
  <c r="I2431" i="1" s="1"/>
  <c r="J2432" i="1" s="1"/>
  <c r="H2432" i="1"/>
  <c r="I2432" i="1" s="1"/>
  <c r="J2433" i="1" s="1"/>
  <c r="H2433" i="1"/>
  <c r="I2433" i="1" s="1"/>
  <c r="J2434" i="1" s="1"/>
  <c r="H2434" i="1"/>
  <c r="I2434" i="1" s="1"/>
  <c r="J2435" i="1" s="1"/>
  <c r="H2435" i="1"/>
  <c r="I2435" i="1" s="1"/>
  <c r="J2436" i="1" s="1"/>
  <c r="H2436" i="1"/>
  <c r="I2436" i="1" s="1"/>
  <c r="J2437" i="1" s="1"/>
  <c r="H2437" i="1"/>
  <c r="I2437" i="1" s="1"/>
  <c r="J2438" i="1" s="1"/>
  <c r="H2438" i="1"/>
  <c r="I2438" i="1" s="1"/>
  <c r="J2439" i="1" s="1"/>
  <c r="H2439" i="1"/>
  <c r="I2439" i="1" s="1"/>
  <c r="J2440" i="1" s="1"/>
  <c r="H2440" i="1"/>
  <c r="I2440" i="1" s="1"/>
  <c r="J2441" i="1" s="1"/>
  <c r="H2441" i="1"/>
  <c r="I2441" i="1" s="1"/>
  <c r="J2442" i="1" s="1"/>
  <c r="H2442" i="1"/>
  <c r="I2442" i="1" s="1"/>
  <c r="J2443" i="1" s="1"/>
  <c r="H2443" i="1"/>
  <c r="I2443" i="1" s="1"/>
  <c r="J2444" i="1" s="1"/>
  <c r="H2444" i="1"/>
  <c r="I2444" i="1" s="1"/>
  <c r="J2445" i="1" s="1"/>
  <c r="H2445" i="1"/>
  <c r="I2445" i="1" s="1"/>
  <c r="J2446" i="1" s="1"/>
  <c r="H2446" i="1"/>
  <c r="I2446" i="1" s="1"/>
  <c r="J2447" i="1" s="1"/>
  <c r="H2447" i="1"/>
  <c r="I2447" i="1" s="1"/>
  <c r="J2448" i="1" s="1"/>
  <c r="H2448" i="1"/>
  <c r="I2448" i="1" s="1"/>
  <c r="J2449" i="1" s="1"/>
  <c r="H2449" i="1"/>
  <c r="I2449" i="1" s="1"/>
  <c r="J2450" i="1" s="1"/>
  <c r="H2450" i="1"/>
  <c r="I2450" i="1" s="1"/>
  <c r="J2451" i="1" s="1"/>
  <c r="H2451" i="1"/>
  <c r="I2451" i="1" s="1"/>
  <c r="J2452" i="1" s="1"/>
  <c r="H2452" i="1"/>
  <c r="I2452" i="1" s="1"/>
  <c r="J2453" i="1" s="1"/>
  <c r="H2453" i="1"/>
  <c r="I2453" i="1" s="1"/>
  <c r="J2454" i="1" s="1"/>
  <c r="H2454" i="1"/>
  <c r="I2454" i="1" s="1"/>
  <c r="J2455" i="1" s="1"/>
  <c r="H2455" i="1"/>
  <c r="I2455" i="1" s="1"/>
  <c r="J2456" i="1" s="1"/>
  <c r="H2456" i="1"/>
  <c r="I2456" i="1" s="1"/>
  <c r="J2457" i="1" s="1"/>
  <c r="H2457" i="1"/>
  <c r="I2457" i="1" s="1"/>
  <c r="J2458" i="1" s="1"/>
  <c r="H2458" i="1"/>
  <c r="I2458" i="1" s="1"/>
  <c r="J2459" i="1" s="1"/>
  <c r="H2459" i="1"/>
  <c r="H2460" i="1"/>
  <c r="I2460" i="1" s="1"/>
  <c r="J2461" i="1" s="1"/>
  <c r="H2461" i="1"/>
  <c r="I2461" i="1" s="1"/>
  <c r="J2462" i="1" s="1"/>
  <c r="H2462" i="1"/>
  <c r="I2462" i="1" s="1"/>
  <c r="J2463" i="1" s="1"/>
  <c r="H2463" i="1"/>
  <c r="I2463" i="1" s="1"/>
  <c r="J2464" i="1" s="1"/>
  <c r="H2464" i="1"/>
  <c r="I2464" i="1" s="1"/>
  <c r="J2465" i="1" s="1"/>
  <c r="H2465" i="1"/>
  <c r="I2465" i="1" s="1"/>
  <c r="J2466" i="1" s="1"/>
  <c r="H2466" i="1"/>
  <c r="I2466" i="1" s="1"/>
  <c r="J2467" i="1" s="1"/>
  <c r="H2467" i="1"/>
  <c r="I2467" i="1" s="1"/>
  <c r="J2468" i="1" s="1"/>
  <c r="H2468" i="1"/>
  <c r="I2468" i="1" s="1"/>
  <c r="J2469" i="1" s="1"/>
  <c r="H2469" i="1"/>
  <c r="I2469" i="1" s="1"/>
  <c r="J2470" i="1" s="1"/>
  <c r="H2470" i="1"/>
  <c r="I2470" i="1" s="1"/>
  <c r="J2471" i="1" s="1"/>
  <c r="H2471" i="1"/>
  <c r="I2471" i="1" s="1"/>
  <c r="J2472" i="1" s="1"/>
  <c r="H2472" i="1"/>
  <c r="I2472" i="1" s="1"/>
  <c r="J2473" i="1" s="1"/>
  <c r="H2473" i="1"/>
  <c r="I2473" i="1" s="1"/>
  <c r="J2474" i="1" s="1"/>
  <c r="H2474" i="1"/>
  <c r="I2474" i="1" s="1"/>
  <c r="J2475" i="1" s="1"/>
  <c r="H2475" i="1"/>
  <c r="I2475" i="1" s="1"/>
  <c r="J2476" i="1" s="1"/>
  <c r="H2476" i="1"/>
  <c r="I2476" i="1" s="1"/>
  <c r="J2477" i="1" s="1"/>
  <c r="H2477" i="1"/>
  <c r="I2477" i="1" s="1"/>
  <c r="J2478" i="1" s="1"/>
  <c r="H2478" i="1"/>
  <c r="I2478" i="1" s="1"/>
  <c r="J2479" i="1" s="1"/>
  <c r="H2479" i="1"/>
  <c r="I2479" i="1" s="1"/>
  <c r="J2480" i="1" s="1"/>
  <c r="H2480" i="1"/>
  <c r="I2480" i="1" s="1"/>
  <c r="J2481" i="1" s="1"/>
  <c r="H2481" i="1"/>
  <c r="I2481" i="1" s="1"/>
  <c r="J2482" i="1" s="1"/>
  <c r="H2482" i="1"/>
  <c r="I2482" i="1" s="1"/>
  <c r="J2483" i="1" s="1"/>
  <c r="H2483" i="1"/>
  <c r="I2483" i="1" s="1"/>
  <c r="J2484" i="1" s="1"/>
  <c r="H2484" i="1"/>
  <c r="I2484" i="1" s="1"/>
  <c r="J2485" i="1" s="1"/>
  <c r="H2485" i="1"/>
  <c r="I2485" i="1" s="1"/>
  <c r="J2486" i="1" s="1"/>
  <c r="H2486" i="1"/>
  <c r="I2486" i="1" s="1"/>
  <c r="J2487" i="1" s="1"/>
  <c r="H2487" i="1"/>
  <c r="I2487" i="1" s="1"/>
  <c r="J2488" i="1" s="1"/>
  <c r="H2488" i="1"/>
  <c r="I2488" i="1" s="1"/>
  <c r="J2489" i="1" s="1"/>
  <c r="H2489" i="1"/>
  <c r="I2489" i="1" s="1"/>
  <c r="J2490" i="1" s="1"/>
  <c r="H2490" i="1"/>
  <c r="I2490" i="1" s="1"/>
  <c r="J2491" i="1" s="1"/>
  <c r="H2491" i="1"/>
  <c r="I2491" i="1" s="1"/>
  <c r="J2492" i="1" s="1"/>
  <c r="H2492" i="1"/>
  <c r="I2492" i="1" s="1"/>
  <c r="J2493" i="1" s="1"/>
  <c r="H2493" i="1"/>
  <c r="I2493" i="1" s="1"/>
  <c r="J2494" i="1" s="1"/>
  <c r="H2494" i="1"/>
  <c r="I2494" i="1" s="1"/>
  <c r="J2495" i="1" s="1"/>
  <c r="H2495" i="1"/>
  <c r="I2495" i="1" s="1"/>
  <c r="J2496" i="1" s="1"/>
  <c r="H2496" i="1"/>
  <c r="I2496" i="1" s="1"/>
  <c r="J2497" i="1" s="1"/>
  <c r="H2497" i="1"/>
  <c r="I2497" i="1" s="1"/>
  <c r="J2498" i="1" s="1"/>
  <c r="H2498" i="1"/>
  <c r="I2498" i="1" s="1"/>
  <c r="J2499" i="1" s="1"/>
  <c r="H2499" i="1"/>
  <c r="I2499" i="1" s="1"/>
  <c r="J2500" i="1" s="1"/>
  <c r="H2500" i="1"/>
  <c r="I2500" i="1" s="1"/>
  <c r="J2501" i="1" s="1"/>
  <c r="H2501" i="1"/>
  <c r="I2501" i="1" s="1"/>
  <c r="J2502" i="1" s="1"/>
  <c r="H2503" i="1"/>
  <c r="I2503" i="1" s="1"/>
  <c r="J2504" i="1" s="1"/>
  <c r="H2504" i="1"/>
  <c r="I2504" i="1" s="1"/>
  <c r="J2505" i="1" s="1"/>
  <c r="H2505" i="1"/>
  <c r="I2505" i="1" s="1"/>
  <c r="J2506" i="1" s="1"/>
  <c r="H2506" i="1"/>
  <c r="I2506" i="1" s="1"/>
  <c r="J2507" i="1" s="1"/>
  <c r="H2507" i="1"/>
  <c r="I2507" i="1" s="1"/>
  <c r="J2508" i="1" s="1"/>
  <c r="H2508" i="1"/>
  <c r="I2508" i="1" s="1"/>
  <c r="J2509" i="1" s="1"/>
  <c r="H2509" i="1"/>
  <c r="I2509" i="1" s="1"/>
  <c r="J2510" i="1" s="1"/>
  <c r="H2510" i="1"/>
  <c r="I2510" i="1" s="1"/>
  <c r="J2511" i="1" s="1"/>
  <c r="H2511" i="1"/>
  <c r="I2511" i="1" s="1"/>
  <c r="J2512" i="1" s="1"/>
  <c r="H2512" i="1"/>
  <c r="I2512" i="1" s="1"/>
  <c r="J2513" i="1" s="1"/>
  <c r="H2513" i="1"/>
  <c r="I2513" i="1" s="1"/>
  <c r="J2514" i="1" s="1"/>
  <c r="H2514" i="1"/>
  <c r="I2514" i="1" s="1"/>
  <c r="J2515" i="1" s="1"/>
  <c r="H2515" i="1"/>
  <c r="I2515" i="1" s="1"/>
  <c r="J2516" i="1" s="1"/>
  <c r="H2516" i="1"/>
  <c r="I2516" i="1" s="1"/>
  <c r="J2517" i="1" s="1"/>
  <c r="H2517" i="1"/>
  <c r="I2517" i="1" s="1"/>
  <c r="J2518" i="1" s="1"/>
  <c r="H2518" i="1"/>
  <c r="I2518" i="1" s="1"/>
  <c r="J2519" i="1" s="1"/>
  <c r="H2519" i="1"/>
  <c r="I2519" i="1" s="1"/>
  <c r="J2520" i="1" s="1"/>
  <c r="H2520" i="1"/>
  <c r="I2520" i="1" s="1"/>
  <c r="J2521" i="1" s="1"/>
  <c r="H2521" i="1"/>
  <c r="I2521" i="1" s="1"/>
  <c r="J2522" i="1" s="1"/>
  <c r="H2522" i="1"/>
  <c r="I2522" i="1" s="1"/>
  <c r="J2523" i="1" s="1"/>
  <c r="H2523" i="1"/>
  <c r="I2523" i="1" s="1"/>
  <c r="J2524" i="1" s="1"/>
  <c r="H2524" i="1"/>
  <c r="I2524" i="1" s="1"/>
  <c r="J2525" i="1" s="1"/>
  <c r="H2525" i="1"/>
  <c r="I2525" i="1" s="1"/>
  <c r="J2526" i="1" s="1"/>
  <c r="H2526" i="1"/>
  <c r="I2526" i="1" s="1"/>
  <c r="J2527" i="1" s="1"/>
  <c r="H2527" i="1"/>
  <c r="I2527" i="1" s="1"/>
  <c r="J2528" i="1" s="1"/>
  <c r="H2528" i="1"/>
  <c r="I2528" i="1" s="1"/>
  <c r="J2529" i="1" s="1"/>
  <c r="H2529" i="1"/>
  <c r="I2529" i="1" s="1"/>
  <c r="J2530" i="1" s="1"/>
  <c r="H2530" i="1"/>
  <c r="I2530" i="1" s="1"/>
  <c r="J2531" i="1" s="1"/>
  <c r="H2531" i="1"/>
  <c r="I2531" i="1" s="1"/>
  <c r="J2532" i="1" s="1"/>
  <c r="H2532" i="1"/>
  <c r="I2532" i="1" s="1"/>
  <c r="J2533" i="1" s="1"/>
  <c r="H2533" i="1"/>
  <c r="I2533" i="1" s="1"/>
  <c r="J2534" i="1" s="1"/>
  <c r="H2534" i="1"/>
  <c r="I2534" i="1" s="1"/>
  <c r="J2535" i="1" s="1"/>
  <c r="H2535" i="1"/>
  <c r="I2535" i="1" s="1"/>
  <c r="J2536" i="1" s="1"/>
  <c r="H2536" i="1"/>
  <c r="I2536" i="1" s="1"/>
  <c r="J2537" i="1" s="1"/>
  <c r="H2537" i="1"/>
  <c r="I2537" i="1" s="1"/>
  <c r="J2538" i="1" s="1"/>
  <c r="H2538" i="1"/>
  <c r="I2538" i="1" s="1"/>
  <c r="J2539" i="1" s="1"/>
  <c r="H2539" i="1"/>
  <c r="I2539" i="1" s="1"/>
  <c r="J2540" i="1" s="1"/>
  <c r="H2541" i="1"/>
  <c r="I2541" i="1" s="1"/>
  <c r="J2542" i="1" s="1"/>
  <c r="H2542" i="1"/>
  <c r="I2542" i="1" s="1"/>
  <c r="J2543" i="1" s="1"/>
  <c r="H2543" i="1"/>
  <c r="I2543" i="1" s="1"/>
  <c r="J2544" i="1" s="1"/>
  <c r="H2544" i="1"/>
  <c r="I2544" i="1" s="1"/>
  <c r="J2545" i="1" s="1"/>
  <c r="H2545" i="1"/>
  <c r="I2545" i="1" s="1"/>
  <c r="J2546" i="1" s="1"/>
  <c r="H2546" i="1"/>
  <c r="I2546" i="1" s="1"/>
  <c r="J2547" i="1" s="1"/>
  <c r="H2547" i="1"/>
  <c r="I2547" i="1" s="1"/>
  <c r="J2548" i="1" s="1"/>
  <c r="H2548" i="1"/>
  <c r="I2548" i="1" s="1"/>
  <c r="J2549" i="1" s="1"/>
  <c r="H2549" i="1"/>
  <c r="I2549" i="1" s="1"/>
  <c r="J2550" i="1" s="1"/>
  <c r="H2550" i="1"/>
  <c r="I2550" i="1" s="1"/>
  <c r="J2551" i="1" s="1"/>
  <c r="H2551" i="1"/>
  <c r="I2551" i="1" s="1"/>
  <c r="J2552" i="1" s="1"/>
  <c r="H2552" i="1"/>
  <c r="I2552" i="1" s="1"/>
  <c r="J2553" i="1" s="1"/>
  <c r="H2553" i="1"/>
  <c r="I2553" i="1" s="1"/>
  <c r="J2554" i="1" s="1"/>
  <c r="H2554" i="1"/>
  <c r="I2554" i="1" s="1"/>
  <c r="J2555" i="1" s="1"/>
  <c r="H2555" i="1"/>
  <c r="I2555" i="1" s="1"/>
  <c r="J2556" i="1" s="1"/>
  <c r="H2556" i="1"/>
  <c r="I2556" i="1" s="1"/>
  <c r="J2557" i="1" s="1"/>
  <c r="H2557" i="1"/>
  <c r="I2557" i="1" s="1"/>
  <c r="J2558" i="1" s="1"/>
  <c r="H2558" i="1"/>
  <c r="I2558" i="1" s="1"/>
  <c r="J2559" i="1" s="1"/>
  <c r="H2559" i="1"/>
  <c r="I2559" i="1" s="1"/>
  <c r="J2560" i="1" s="1"/>
  <c r="H2560" i="1"/>
  <c r="I2560" i="1" s="1"/>
  <c r="J2561" i="1" s="1"/>
  <c r="H2561" i="1"/>
  <c r="I2561" i="1" s="1"/>
  <c r="J2562" i="1" s="1"/>
  <c r="H2562" i="1"/>
  <c r="I2562" i="1" s="1"/>
  <c r="J2563" i="1" s="1"/>
  <c r="H2563" i="1"/>
  <c r="I2563" i="1" s="1"/>
  <c r="J2564" i="1" s="1"/>
  <c r="H2564" i="1"/>
  <c r="I2564" i="1" s="1"/>
  <c r="J2565" i="1" s="1"/>
  <c r="H2565" i="1"/>
  <c r="I2565" i="1" s="1"/>
  <c r="J2566" i="1" s="1"/>
  <c r="H2566" i="1"/>
  <c r="I2566" i="1" s="1"/>
  <c r="J2567" i="1" s="1"/>
  <c r="H2567" i="1"/>
  <c r="I2567" i="1" s="1"/>
  <c r="J2568" i="1" s="1"/>
  <c r="H2568" i="1"/>
  <c r="I2568" i="1" s="1"/>
  <c r="J2569" i="1" s="1"/>
  <c r="H2569" i="1"/>
  <c r="I2569" i="1" s="1"/>
  <c r="J2570" i="1" s="1"/>
  <c r="H2570" i="1"/>
  <c r="I2570" i="1" s="1"/>
  <c r="J2571" i="1" s="1"/>
  <c r="H2571" i="1"/>
  <c r="I2571" i="1" s="1"/>
  <c r="J2572" i="1" s="1"/>
  <c r="H2572" i="1"/>
  <c r="I2572" i="1" s="1"/>
  <c r="J2573" i="1" s="1"/>
  <c r="H2573" i="1"/>
  <c r="I2573" i="1" s="1"/>
  <c r="J2574" i="1" s="1"/>
  <c r="H2574" i="1"/>
  <c r="I2574" i="1" s="1"/>
  <c r="J2575" i="1" s="1"/>
  <c r="H2575" i="1"/>
  <c r="I2575" i="1" s="1"/>
  <c r="J2576" i="1" s="1"/>
  <c r="H2576" i="1"/>
  <c r="I2576" i="1" s="1"/>
  <c r="J2577" i="1" s="1"/>
  <c r="H2577" i="1"/>
  <c r="I2577" i="1" s="1"/>
  <c r="J2578" i="1" s="1"/>
  <c r="H2578" i="1"/>
  <c r="I2578" i="1" s="1"/>
  <c r="J2579" i="1" s="1"/>
  <c r="H2579" i="1"/>
  <c r="I2579" i="1" s="1"/>
  <c r="J2580" i="1" s="1"/>
  <c r="H2580" i="1"/>
  <c r="I2580" i="1" s="1"/>
  <c r="J2581" i="1" s="1"/>
  <c r="H2581" i="1"/>
  <c r="I2581" i="1" s="1"/>
  <c r="J2582" i="1" s="1"/>
  <c r="H2582" i="1"/>
  <c r="I2582" i="1" s="1"/>
  <c r="J2583" i="1" s="1"/>
  <c r="H2583" i="1"/>
  <c r="I2583" i="1" s="1"/>
  <c r="J2584" i="1" s="1"/>
  <c r="H2584" i="1"/>
  <c r="I2584" i="1" s="1"/>
  <c r="J2585" i="1" s="1"/>
  <c r="H2585" i="1"/>
  <c r="I2585" i="1" s="1"/>
  <c r="J2586" i="1" s="1"/>
  <c r="H2586" i="1"/>
  <c r="I2586" i="1" s="1"/>
  <c r="J2587" i="1" s="1"/>
  <c r="H2587" i="1"/>
  <c r="I2587" i="1" s="1"/>
  <c r="J2588" i="1" s="1"/>
  <c r="H2588" i="1"/>
  <c r="I2588" i="1" s="1"/>
  <c r="J2589" i="1" s="1"/>
  <c r="H2589" i="1"/>
  <c r="I2589" i="1" s="1"/>
  <c r="J2590" i="1" s="1"/>
  <c r="H2590" i="1"/>
  <c r="I2590" i="1" s="1"/>
  <c r="J2591" i="1" s="1"/>
  <c r="H2591" i="1"/>
  <c r="I2591" i="1" s="1"/>
  <c r="J2592" i="1" s="1"/>
  <c r="H2592" i="1"/>
  <c r="I2592" i="1" s="1"/>
  <c r="J2593" i="1" s="1"/>
  <c r="H2593" i="1"/>
  <c r="I2593" i="1" s="1"/>
  <c r="J2594" i="1" s="1"/>
  <c r="H2594" i="1"/>
  <c r="I2594" i="1" s="1"/>
  <c r="J2595" i="1" s="1"/>
  <c r="H2595" i="1"/>
  <c r="I2595" i="1" s="1"/>
  <c r="J2596" i="1" s="1"/>
  <c r="H2596" i="1"/>
  <c r="I2596" i="1" s="1"/>
  <c r="J2597" i="1" s="1"/>
  <c r="H2597" i="1"/>
  <c r="I2597" i="1" s="1"/>
  <c r="J2598" i="1" s="1"/>
  <c r="H2598" i="1"/>
  <c r="I2598" i="1" s="1"/>
  <c r="J2599" i="1" s="1"/>
  <c r="H2599" i="1"/>
  <c r="I2599" i="1" s="1"/>
  <c r="J2600" i="1" s="1"/>
  <c r="H2600" i="1"/>
  <c r="I2600" i="1" s="1"/>
  <c r="J2601" i="1" s="1"/>
  <c r="H2601" i="1"/>
  <c r="I2601" i="1" s="1"/>
  <c r="J2602" i="1" s="1"/>
  <c r="H2602" i="1"/>
  <c r="I2602" i="1" s="1"/>
  <c r="J2603" i="1" s="1"/>
  <c r="H2603" i="1"/>
  <c r="I2603" i="1" s="1"/>
  <c r="J2604" i="1" s="1"/>
  <c r="H2604" i="1"/>
  <c r="I2604" i="1" s="1"/>
  <c r="J2605" i="1" s="1"/>
  <c r="H2605" i="1"/>
  <c r="I2605" i="1" s="1"/>
  <c r="J2606" i="1" s="1"/>
  <c r="H2606" i="1"/>
  <c r="I2606" i="1" s="1"/>
  <c r="J2607" i="1" s="1"/>
  <c r="H2607" i="1"/>
  <c r="I2607" i="1" s="1"/>
  <c r="J2608" i="1" s="1"/>
  <c r="H2608" i="1"/>
  <c r="I2608" i="1" s="1"/>
  <c r="J2609" i="1" s="1"/>
  <c r="H2609" i="1"/>
  <c r="I2609" i="1" s="1"/>
  <c r="J2610" i="1" s="1"/>
  <c r="H2610" i="1"/>
  <c r="I2610" i="1" s="1"/>
  <c r="J2611" i="1" s="1"/>
  <c r="H2611" i="1"/>
  <c r="I2611" i="1" s="1"/>
  <c r="J2612" i="1" s="1"/>
  <c r="H2612" i="1"/>
  <c r="I2612" i="1" s="1"/>
  <c r="J2613" i="1" s="1"/>
  <c r="H2613" i="1"/>
  <c r="I2613" i="1" s="1"/>
  <c r="J2614" i="1" s="1"/>
  <c r="H2614" i="1"/>
  <c r="I2614" i="1" s="1"/>
  <c r="J2615" i="1" s="1"/>
  <c r="H2615" i="1"/>
  <c r="I2615" i="1" s="1"/>
  <c r="J2616" i="1" s="1"/>
  <c r="H2616" i="1"/>
  <c r="I2616" i="1" s="1"/>
  <c r="J2617" i="1" s="1"/>
  <c r="H2617" i="1"/>
  <c r="I2617" i="1" s="1"/>
  <c r="J2618" i="1" s="1"/>
  <c r="H2618" i="1"/>
  <c r="I2618" i="1" s="1"/>
  <c r="J2619" i="1" s="1"/>
  <c r="H2619" i="1"/>
  <c r="I2619" i="1" s="1"/>
  <c r="J2620" i="1" s="1"/>
  <c r="H2620" i="1"/>
  <c r="I2620" i="1" s="1"/>
  <c r="J2621" i="1" s="1"/>
  <c r="H2621" i="1"/>
  <c r="I2621" i="1" s="1"/>
  <c r="J2622" i="1" s="1"/>
  <c r="H2622" i="1"/>
  <c r="I2622" i="1" s="1"/>
  <c r="J2623" i="1" s="1"/>
  <c r="H2623" i="1"/>
  <c r="I2623" i="1" s="1"/>
  <c r="J2624" i="1" s="1"/>
  <c r="H2624" i="1"/>
  <c r="I2624" i="1" s="1"/>
  <c r="J2625" i="1" s="1"/>
  <c r="H2625" i="1"/>
  <c r="I2625" i="1" s="1"/>
  <c r="J2626" i="1" s="1"/>
  <c r="H2626" i="1"/>
  <c r="I2626" i="1" s="1"/>
  <c r="J2627" i="1" s="1"/>
  <c r="H2627" i="1"/>
  <c r="I2627" i="1" s="1"/>
  <c r="J2628" i="1" s="1"/>
  <c r="H2628" i="1"/>
  <c r="I2628" i="1" s="1"/>
  <c r="J2629" i="1" s="1"/>
  <c r="H2629" i="1"/>
  <c r="I2629" i="1" s="1"/>
  <c r="J2630" i="1" s="1"/>
  <c r="H2630" i="1"/>
  <c r="I2630" i="1" s="1"/>
  <c r="J2631" i="1" s="1"/>
  <c r="H2631" i="1"/>
  <c r="I2631" i="1" s="1"/>
  <c r="J2632" i="1" s="1"/>
  <c r="H2632" i="1"/>
  <c r="I2632" i="1" s="1"/>
  <c r="J2633" i="1" s="1"/>
  <c r="H2633" i="1"/>
  <c r="I2633" i="1" s="1"/>
  <c r="J2634" i="1" s="1"/>
  <c r="H2634" i="1"/>
  <c r="I2634" i="1" s="1"/>
  <c r="J2635" i="1" s="1"/>
  <c r="H2635" i="1"/>
  <c r="I2635" i="1" s="1"/>
  <c r="J2636" i="1" s="1"/>
  <c r="H2636" i="1"/>
  <c r="I2636" i="1" s="1"/>
  <c r="J2637" i="1" s="1"/>
  <c r="H2637" i="1"/>
  <c r="I2637" i="1" s="1"/>
  <c r="J2638" i="1" s="1"/>
  <c r="H2638" i="1"/>
  <c r="I2638" i="1" s="1"/>
  <c r="J2639" i="1" s="1"/>
  <c r="H2639" i="1"/>
  <c r="I2639" i="1" s="1"/>
  <c r="J2640" i="1" s="1"/>
  <c r="H2641" i="1"/>
  <c r="I2641" i="1" s="1"/>
  <c r="J2642" i="1" s="1"/>
  <c r="H2642" i="1"/>
  <c r="I2642" i="1" s="1"/>
  <c r="J2643" i="1" s="1"/>
  <c r="H2643" i="1"/>
  <c r="I2643" i="1" s="1"/>
  <c r="J2644" i="1" s="1"/>
  <c r="H2644" i="1"/>
  <c r="I2644" i="1" s="1"/>
  <c r="J2645" i="1" s="1"/>
  <c r="H2645" i="1"/>
  <c r="I2645" i="1" s="1"/>
  <c r="J2646" i="1" s="1"/>
  <c r="H2646" i="1"/>
  <c r="I2646" i="1" s="1"/>
  <c r="J2647" i="1" s="1"/>
  <c r="H2647" i="1"/>
  <c r="I2647" i="1" s="1"/>
  <c r="J2648" i="1" s="1"/>
  <c r="H2648" i="1"/>
  <c r="I2648" i="1" s="1"/>
  <c r="J2649" i="1" s="1"/>
  <c r="H2649" i="1"/>
  <c r="I2649" i="1" s="1"/>
  <c r="J2650" i="1" s="1"/>
  <c r="H2651" i="1"/>
  <c r="I2651" i="1" s="1"/>
  <c r="J2652" i="1" s="1"/>
  <c r="H2652" i="1"/>
  <c r="I2652" i="1" s="1"/>
  <c r="J2653" i="1" s="1"/>
  <c r="H2653" i="1"/>
  <c r="I2653" i="1" s="1"/>
  <c r="J2654" i="1" s="1"/>
  <c r="H2654" i="1"/>
  <c r="I2654" i="1" s="1"/>
  <c r="J2655" i="1" s="1"/>
  <c r="H2655" i="1"/>
  <c r="I2655" i="1" s="1"/>
  <c r="J2656" i="1" s="1"/>
  <c r="H2656" i="1"/>
  <c r="I2656" i="1" s="1"/>
  <c r="J2657" i="1" s="1"/>
  <c r="H2657" i="1"/>
  <c r="I2657" i="1" s="1"/>
  <c r="J2658" i="1" s="1"/>
  <c r="H2658" i="1"/>
  <c r="I2658" i="1" s="1"/>
  <c r="J2659" i="1" s="1"/>
  <c r="H2659" i="1"/>
  <c r="I2659" i="1" s="1"/>
  <c r="J2660" i="1" s="1"/>
  <c r="H2660" i="1"/>
  <c r="I2660" i="1" s="1"/>
  <c r="J2661" i="1" s="1"/>
  <c r="H2661" i="1"/>
  <c r="I2661" i="1" s="1"/>
  <c r="J2662" i="1" s="1"/>
  <c r="H2662" i="1"/>
  <c r="I2662" i="1" s="1"/>
  <c r="J2663" i="1" s="1"/>
  <c r="H2663" i="1"/>
  <c r="I2663" i="1" s="1"/>
  <c r="J2664" i="1" s="1"/>
  <c r="H2664" i="1"/>
  <c r="I2664" i="1" s="1"/>
  <c r="J2665" i="1" s="1"/>
  <c r="H2665" i="1"/>
  <c r="I2665" i="1" s="1"/>
  <c r="J2666" i="1" s="1"/>
  <c r="H2666" i="1"/>
  <c r="I2666" i="1" s="1"/>
  <c r="J2667" i="1" s="1"/>
  <c r="H2667" i="1"/>
  <c r="I2667" i="1" s="1"/>
  <c r="J2668" i="1" s="1"/>
  <c r="H2668" i="1"/>
  <c r="I2668" i="1" s="1"/>
  <c r="J2669" i="1" s="1"/>
  <c r="H2669" i="1"/>
  <c r="I2669" i="1" s="1"/>
  <c r="J2670" i="1" s="1"/>
  <c r="H2670" i="1"/>
  <c r="I2670" i="1" s="1"/>
  <c r="J2671" i="1" s="1"/>
  <c r="H2671" i="1"/>
  <c r="I2671" i="1" s="1"/>
  <c r="J2672" i="1" s="1"/>
  <c r="H2672" i="1"/>
  <c r="I2672" i="1" s="1"/>
  <c r="J2673" i="1" s="1"/>
  <c r="H2673" i="1"/>
  <c r="I2673" i="1" s="1"/>
  <c r="J2674" i="1" s="1"/>
  <c r="H2674" i="1"/>
  <c r="I2674" i="1" s="1"/>
  <c r="J2675" i="1" s="1"/>
  <c r="H2675" i="1"/>
  <c r="I2675" i="1" s="1"/>
  <c r="J2676" i="1" s="1"/>
  <c r="H2676" i="1"/>
  <c r="I2676" i="1" s="1"/>
  <c r="J2677" i="1" s="1"/>
  <c r="H2677" i="1"/>
  <c r="I2677" i="1" s="1"/>
  <c r="J2678" i="1" s="1"/>
  <c r="H2678" i="1"/>
  <c r="I2678" i="1" s="1"/>
  <c r="J2679" i="1" s="1"/>
  <c r="H2679" i="1"/>
  <c r="I2679" i="1" s="1"/>
  <c r="J2680" i="1" s="1"/>
  <c r="H2680" i="1"/>
  <c r="I2680" i="1" s="1"/>
  <c r="J2681" i="1" s="1"/>
  <c r="H2681" i="1"/>
  <c r="I2681" i="1" s="1"/>
  <c r="J2682" i="1" s="1"/>
  <c r="H2682" i="1"/>
  <c r="I2682" i="1" s="1"/>
  <c r="J2683" i="1" s="1"/>
  <c r="H2683" i="1"/>
  <c r="I2683" i="1" s="1"/>
  <c r="J2684" i="1" s="1"/>
  <c r="H2684" i="1"/>
  <c r="I2684" i="1" s="1"/>
  <c r="J2685" i="1" s="1"/>
  <c r="H2685" i="1"/>
  <c r="I2685" i="1" s="1"/>
  <c r="J2686" i="1" s="1"/>
  <c r="H2686" i="1"/>
  <c r="I2686" i="1" s="1"/>
  <c r="J2687" i="1" s="1"/>
  <c r="H2687" i="1"/>
  <c r="I2687" i="1" s="1"/>
  <c r="J2688" i="1" s="1"/>
  <c r="H2688" i="1"/>
  <c r="I2688" i="1" s="1"/>
  <c r="J2689" i="1" s="1"/>
  <c r="H2689" i="1"/>
  <c r="I2689" i="1" s="1"/>
  <c r="J2690" i="1" s="1"/>
  <c r="H2691" i="1"/>
  <c r="I2691" i="1" s="1"/>
  <c r="J2692" i="1" s="1"/>
  <c r="H2692" i="1"/>
  <c r="I2692" i="1" s="1"/>
  <c r="J2693" i="1" s="1"/>
  <c r="H2693" i="1"/>
  <c r="I2693" i="1" s="1"/>
  <c r="J2694" i="1" s="1"/>
  <c r="H2694" i="1"/>
  <c r="I2694" i="1" s="1"/>
  <c r="J2695" i="1" s="1"/>
  <c r="H2695" i="1"/>
  <c r="I2695" i="1" s="1"/>
  <c r="J2696" i="1" s="1"/>
  <c r="H2696" i="1"/>
  <c r="I2696" i="1" s="1"/>
  <c r="J2697" i="1" s="1"/>
  <c r="H2697" i="1"/>
  <c r="I2697" i="1" s="1"/>
  <c r="J2698" i="1" s="1"/>
  <c r="H2698" i="1"/>
  <c r="I2698" i="1" s="1"/>
  <c r="J2699" i="1" s="1"/>
  <c r="H2699" i="1"/>
  <c r="I2699" i="1" s="1"/>
  <c r="J2700" i="1" s="1"/>
  <c r="H2701" i="1"/>
  <c r="I2701" i="1" s="1"/>
  <c r="J2702" i="1" s="1"/>
  <c r="H2702" i="1"/>
  <c r="I2702" i="1" s="1"/>
  <c r="J2703" i="1" s="1"/>
  <c r="H2703" i="1"/>
  <c r="I2703" i="1" s="1"/>
  <c r="J2704" i="1" s="1"/>
  <c r="H2704" i="1"/>
  <c r="I2704" i="1" s="1"/>
  <c r="J2705" i="1" s="1"/>
  <c r="H2705" i="1"/>
  <c r="I2705" i="1" s="1"/>
  <c r="J2706" i="1" s="1"/>
  <c r="H2706" i="1"/>
  <c r="I2706" i="1" s="1"/>
  <c r="J2707" i="1" s="1"/>
  <c r="H2707" i="1"/>
  <c r="I2707" i="1" s="1"/>
  <c r="J2708" i="1" s="1"/>
  <c r="H2708" i="1"/>
  <c r="I2708" i="1" s="1"/>
  <c r="J2709" i="1" s="1"/>
  <c r="H2709" i="1"/>
  <c r="I2709" i="1" s="1"/>
  <c r="J2710" i="1" s="1"/>
  <c r="H2710" i="1"/>
  <c r="I2710" i="1" s="1"/>
  <c r="J2711" i="1" s="1"/>
  <c r="H2711" i="1"/>
  <c r="I2711" i="1" s="1"/>
  <c r="J2712" i="1" s="1"/>
  <c r="H2712" i="1"/>
  <c r="I2712" i="1" s="1"/>
  <c r="J2713" i="1" s="1"/>
  <c r="H2713" i="1"/>
  <c r="I2713" i="1" s="1"/>
  <c r="J2714" i="1" s="1"/>
  <c r="H2714" i="1"/>
  <c r="I2714" i="1" s="1"/>
  <c r="J2715" i="1" s="1"/>
  <c r="H2715" i="1"/>
  <c r="I2715" i="1" s="1"/>
  <c r="J2716" i="1" s="1"/>
  <c r="H2716" i="1"/>
  <c r="I2716" i="1" s="1"/>
  <c r="J2717" i="1" s="1"/>
  <c r="H2717" i="1"/>
  <c r="I2717" i="1" s="1"/>
  <c r="J2718" i="1" s="1"/>
  <c r="H2718" i="1"/>
  <c r="I2718" i="1" s="1"/>
  <c r="J2719" i="1" s="1"/>
  <c r="H2719" i="1"/>
  <c r="I2719" i="1" s="1"/>
  <c r="J2720" i="1" s="1"/>
  <c r="H2720" i="1"/>
  <c r="I2720" i="1" s="1"/>
  <c r="J2721" i="1" s="1"/>
  <c r="H2721" i="1"/>
  <c r="I2721" i="1" s="1"/>
  <c r="J2722" i="1" s="1"/>
  <c r="H2722" i="1"/>
  <c r="I2722" i="1" s="1"/>
  <c r="J2723" i="1" s="1"/>
  <c r="H2723" i="1"/>
  <c r="I2723" i="1" s="1"/>
  <c r="J2724" i="1" s="1"/>
  <c r="H2724" i="1"/>
  <c r="I2724" i="1" s="1"/>
  <c r="J2725" i="1" s="1"/>
  <c r="H2725" i="1"/>
  <c r="I2725" i="1" s="1"/>
  <c r="J2726" i="1" s="1"/>
  <c r="H2726" i="1"/>
  <c r="I2726" i="1" s="1"/>
  <c r="J2727" i="1" s="1"/>
  <c r="H2727" i="1"/>
  <c r="I2727" i="1" s="1"/>
  <c r="J2728" i="1" s="1"/>
  <c r="H2728" i="1"/>
  <c r="I2728" i="1" s="1"/>
  <c r="J2729" i="1" s="1"/>
  <c r="H2729" i="1"/>
  <c r="I2729" i="1" s="1"/>
  <c r="J2730" i="1" s="1"/>
  <c r="H2730" i="1"/>
  <c r="I2730" i="1" s="1"/>
  <c r="J2731" i="1" s="1"/>
  <c r="H2731" i="1"/>
  <c r="I2731" i="1" s="1"/>
  <c r="J2732" i="1" s="1"/>
  <c r="H2732" i="1"/>
  <c r="I2732" i="1" s="1"/>
  <c r="J2733" i="1" s="1"/>
  <c r="H2733" i="1"/>
  <c r="I2733" i="1" s="1"/>
  <c r="J2734" i="1" s="1"/>
  <c r="H2734" i="1"/>
  <c r="I2734" i="1" s="1"/>
  <c r="J2735" i="1" s="1"/>
  <c r="H2735" i="1"/>
  <c r="I2735" i="1" s="1"/>
  <c r="J2736" i="1" s="1"/>
  <c r="H2736" i="1"/>
  <c r="I2736" i="1" s="1"/>
  <c r="J2737" i="1" s="1"/>
  <c r="H2737" i="1"/>
  <c r="I2737" i="1" s="1"/>
  <c r="J2738" i="1" s="1"/>
  <c r="H2738" i="1"/>
  <c r="I2738" i="1" s="1"/>
  <c r="J2739" i="1" s="1"/>
  <c r="H2739" i="1"/>
  <c r="I2739" i="1" s="1"/>
  <c r="J2740" i="1" s="1"/>
  <c r="H2740" i="1"/>
  <c r="I2740" i="1" s="1"/>
  <c r="J2741" i="1" s="1"/>
  <c r="H2741" i="1"/>
  <c r="I2741" i="1" s="1"/>
  <c r="J2742" i="1" s="1"/>
  <c r="H2742" i="1"/>
  <c r="I2742" i="1" s="1"/>
  <c r="J2743" i="1" s="1"/>
  <c r="H2743" i="1"/>
  <c r="I2743" i="1" s="1"/>
  <c r="J2744" i="1" s="1"/>
  <c r="H2744" i="1"/>
  <c r="I2744" i="1" s="1"/>
  <c r="J2745" i="1" s="1"/>
  <c r="H2745" i="1"/>
  <c r="I2745" i="1" s="1"/>
  <c r="J2746" i="1" s="1"/>
  <c r="H2746" i="1"/>
  <c r="I2746" i="1" s="1"/>
  <c r="J2747" i="1" s="1"/>
  <c r="H2747" i="1"/>
  <c r="I2747" i="1" s="1"/>
  <c r="J2748" i="1" s="1"/>
  <c r="H2748" i="1"/>
  <c r="I2748" i="1" s="1"/>
  <c r="J2749" i="1" s="1"/>
  <c r="H2749" i="1"/>
  <c r="I2749" i="1" s="1"/>
  <c r="J2750" i="1" s="1"/>
  <c r="H2750" i="1"/>
  <c r="I2750" i="1" s="1"/>
  <c r="J2751" i="1" s="1"/>
  <c r="H2751" i="1"/>
  <c r="I2751" i="1" s="1"/>
  <c r="J2752" i="1" s="1"/>
  <c r="H2752" i="1"/>
  <c r="I2752" i="1" s="1"/>
  <c r="J2753" i="1" s="1"/>
  <c r="H2753" i="1"/>
  <c r="I2753" i="1" s="1"/>
  <c r="J2754" i="1" s="1"/>
  <c r="H2754" i="1"/>
  <c r="I2754" i="1" s="1"/>
  <c r="J2755" i="1" s="1"/>
  <c r="H2755" i="1"/>
  <c r="I2755" i="1" s="1"/>
  <c r="J2756" i="1" s="1"/>
  <c r="H2756" i="1"/>
  <c r="I2756" i="1" s="1"/>
  <c r="J2757" i="1" s="1"/>
  <c r="H2757" i="1"/>
  <c r="I2757" i="1" s="1"/>
  <c r="J2758" i="1" s="1"/>
  <c r="H2758" i="1"/>
  <c r="I2758" i="1" s="1"/>
  <c r="J2759" i="1" s="1"/>
  <c r="H2759" i="1"/>
  <c r="I2759" i="1" s="1"/>
  <c r="J2760" i="1" s="1"/>
  <c r="H2760" i="1"/>
  <c r="I2760" i="1" s="1"/>
  <c r="J2761" i="1" s="1"/>
  <c r="H2761" i="1"/>
  <c r="I2761" i="1" s="1"/>
  <c r="J2762" i="1" s="1"/>
  <c r="H2762" i="1"/>
  <c r="I2762" i="1" s="1"/>
  <c r="J2763" i="1" s="1"/>
  <c r="H2763" i="1"/>
  <c r="I2763" i="1" s="1"/>
  <c r="J2764" i="1" s="1"/>
  <c r="H2764" i="1"/>
  <c r="I2764" i="1" s="1"/>
  <c r="J2765" i="1" s="1"/>
  <c r="H2765" i="1"/>
  <c r="I2765" i="1" s="1"/>
  <c r="J2766" i="1" s="1"/>
  <c r="H2766" i="1"/>
  <c r="I2766" i="1" s="1"/>
  <c r="J2767" i="1" s="1"/>
  <c r="H2767" i="1"/>
  <c r="I2767" i="1" s="1"/>
  <c r="J2768" i="1" s="1"/>
  <c r="H2768" i="1"/>
  <c r="I2768" i="1" s="1"/>
  <c r="J2769" i="1" s="1"/>
  <c r="H2769" i="1"/>
  <c r="I2769" i="1" s="1"/>
  <c r="J2770" i="1" s="1"/>
  <c r="H2770" i="1"/>
  <c r="I2770" i="1" s="1"/>
  <c r="J2771" i="1" s="1"/>
  <c r="H2771" i="1"/>
  <c r="I2771" i="1" s="1"/>
  <c r="J2772" i="1" s="1"/>
  <c r="H2772" i="1"/>
  <c r="I2772" i="1" s="1"/>
  <c r="J2773" i="1" s="1"/>
  <c r="H2773" i="1"/>
  <c r="I2773" i="1" s="1"/>
  <c r="J2774" i="1" s="1"/>
  <c r="H2774" i="1"/>
  <c r="I2774" i="1" s="1"/>
  <c r="J2775" i="1" s="1"/>
  <c r="H2775" i="1"/>
  <c r="I2775" i="1" s="1"/>
  <c r="J2776" i="1" s="1"/>
  <c r="H2776" i="1"/>
  <c r="I2776" i="1" s="1"/>
  <c r="J2777" i="1" s="1"/>
  <c r="H2777" i="1"/>
  <c r="I2777" i="1" s="1"/>
  <c r="J2778" i="1" s="1"/>
  <c r="H2778" i="1"/>
  <c r="I2778" i="1" s="1"/>
  <c r="J2779" i="1" s="1"/>
  <c r="H2779" i="1"/>
  <c r="I2779" i="1" s="1"/>
  <c r="J2780" i="1" s="1"/>
  <c r="H2781" i="1"/>
  <c r="I2781" i="1" s="1"/>
  <c r="J2782" i="1" s="1"/>
  <c r="H2782" i="1"/>
  <c r="I2782" i="1" s="1"/>
  <c r="J2783" i="1" s="1"/>
  <c r="H2783" i="1"/>
  <c r="I2783" i="1" s="1"/>
  <c r="J2784" i="1" s="1"/>
  <c r="H2784" i="1"/>
  <c r="I2784" i="1" s="1"/>
  <c r="J2785" i="1" s="1"/>
  <c r="H2785" i="1"/>
  <c r="I2785" i="1" s="1"/>
  <c r="J2786" i="1" s="1"/>
  <c r="H2786" i="1"/>
  <c r="I2786" i="1" s="1"/>
  <c r="J2787" i="1" s="1"/>
  <c r="H2787" i="1"/>
  <c r="I2787" i="1" s="1"/>
  <c r="J2788" i="1" s="1"/>
  <c r="H2788" i="1"/>
  <c r="I2788" i="1" s="1"/>
  <c r="J2789" i="1" s="1"/>
  <c r="H2789" i="1"/>
  <c r="I2789" i="1" s="1"/>
  <c r="J2790" i="1" s="1"/>
  <c r="H2790" i="1"/>
  <c r="I2790" i="1" s="1"/>
  <c r="J2791" i="1" s="1"/>
  <c r="H2791" i="1"/>
  <c r="I2791" i="1" s="1"/>
  <c r="J2792" i="1" s="1"/>
  <c r="H2792" i="1"/>
  <c r="I2792" i="1" s="1"/>
  <c r="J2793" i="1" s="1"/>
  <c r="H2793" i="1"/>
  <c r="I2793" i="1" s="1"/>
  <c r="J2794" i="1" s="1"/>
  <c r="H2794" i="1"/>
  <c r="I2794" i="1" s="1"/>
  <c r="J2795" i="1" s="1"/>
  <c r="H2795" i="1"/>
  <c r="I2795" i="1" s="1"/>
  <c r="J2796" i="1" s="1"/>
  <c r="H2796" i="1"/>
  <c r="I2796" i="1" s="1"/>
  <c r="J2797" i="1" s="1"/>
  <c r="H2797" i="1"/>
  <c r="I2797" i="1" s="1"/>
  <c r="J2798" i="1" s="1"/>
  <c r="H2798" i="1"/>
  <c r="I2798" i="1" s="1"/>
  <c r="J2799" i="1" s="1"/>
  <c r="H2799" i="1"/>
  <c r="I2799" i="1" s="1"/>
  <c r="J2800" i="1" s="1"/>
  <c r="H2801" i="1"/>
  <c r="I2801" i="1" s="1"/>
  <c r="J2802" i="1" s="1"/>
  <c r="H2802" i="1"/>
  <c r="I2802" i="1" s="1"/>
  <c r="J2803" i="1" s="1"/>
  <c r="H2803" i="1"/>
  <c r="I2803" i="1" s="1"/>
  <c r="J2804" i="1" s="1"/>
  <c r="H2804" i="1"/>
  <c r="I2804" i="1" s="1"/>
  <c r="J2805" i="1" s="1"/>
  <c r="H2805" i="1"/>
  <c r="I2805" i="1" s="1"/>
  <c r="J2806" i="1" s="1"/>
  <c r="H2806" i="1"/>
  <c r="I2806" i="1" s="1"/>
  <c r="J2807" i="1" s="1"/>
  <c r="H2807" i="1"/>
  <c r="I2807" i="1" s="1"/>
  <c r="J2808" i="1" s="1"/>
  <c r="H2808" i="1"/>
  <c r="I2808" i="1" s="1"/>
  <c r="J2809" i="1" s="1"/>
  <c r="H2809" i="1"/>
  <c r="I2809" i="1" s="1"/>
  <c r="J2810" i="1" s="1"/>
  <c r="H2810" i="1"/>
  <c r="I2810" i="1" s="1"/>
  <c r="J2811" i="1" s="1"/>
  <c r="H2811" i="1"/>
  <c r="I2811" i="1" s="1"/>
  <c r="J2812" i="1" s="1"/>
  <c r="H2812" i="1"/>
  <c r="I2812" i="1" s="1"/>
  <c r="J2813" i="1" s="1"/>
  <c r="H2813" i="1"/>
  <c r="I2813" i="1" s="1"/>
  <c r="J2814" i="1" s="1"/>
  <c r="H2814" i="1"/>
  <c r="I2814" i="1" s="1"/>
  <c r="J2815" i="1" s="1"/>
  <c r="H2815" i="1"/>
  <c r="I2815" i="1" s="1"/>
  <c r="J2816" i="1" s="1"/>
  <c r="H2816" i="1"/>
  <c r="I2816" i="1" s="1"/>
  <c r="J2817" i="1" s="1"/>
  <c r="H2817" i="1"/>
  <c r="I2817" i="1" s="1"/>
  <c r="J2818" i="1" s="1"/>
  <c r="H2818" i="1"/>
  <c r="I2818" i="1" s="1"/>
  <c r="J2819" i="1" s="1"/>
  <c r="H2820" i="1"/>
  <c r="I2820" i="1" s="1"/>
  <c r="J2821" i="1" s="1"/>
  <c r="H2821" i="1"/>
  <c r="I2821" i="1" s="1"/>
  <c r="J2822" i="1" s="1"/>
  <c r="H2822" i="1"/>
  <c r="I2822" i="1" s="1"/>
  <c r="J2823" i="1" s="1"/>
  <c r="H2823" i="1"/>
  <c r="I2823" i="1" s="1"/>
  <c r="J2824" i="1" s="1"/>
  <c r="H2824" i="1"/>
  <c r="I2824" i="1" s="1"/>
  <c r="J2825" i="1" s="1"/>
  <c r="H2825" i="1"/>
  <c r="I2825" i="1" s="1"/>
  <c r="J2826" i="1" s="1"/>
  <c r="H2826" i="1"/>
  <c r="I2826" i="1" s="1"/>
  <c r="J2827" i="1" s="1"/>
  <c r="H2827" i="1"/>
  <c r="I2827" i="1" s="1"/>
  <c r="J2828" i="1" s="1"/>
  <c r="H2828" i="1"/>
  <c r="I2828" i="1" s="1"/>
  <c r="J2829" i="1" s="1"/>
  <c r="H2829" i="1"/>
  <c r="I2829" i="1" s="1"/>
  <c r="J2830" i="1" s="1"/>
  <c r="H2831" i="1"/>
  <c r="I2831" i="1" s="1"/>
  <c r="J2832" i="1" s="1"/>
  <c r="H2832" i="1"/>
  <c r="I2832" i="1" s="1"/>
  <c r="J2833" i="1" s="1"/>
  <c r="H2833" i="1"/>
  <c r="I2833" i="1" s="1"/>
  <c r="J2834" i="1" s="1"/>
  <c r="H2834" i="1"/>
  <c r="I2834" i="1" s="1"/>
  <c r="J2835" i="1" s="1"/>
  <c r="H2835" i="1"/>
  <c r="I2835" i="1" s="1"/>
  <c r="J2836" i="1" s="1"/>
  <c r="H2836" i="1"/>
  <c r="I2836" i="1" s="1"/>
  <c r="J2837" i="1" s="1"/>
  <c r="H2837" i="1"/>
  <c r="I2837" i="1" s="1"/>
  <c r="J2838" i="1" s="1"/>
  <c r="H2838" i="1"/>
  <c r="I2838" i="1" s="1"/>
  <c r="J2839" i="1" s="1"/>
  <c r="H2839" i="1"/>
  <c r="I2839" i="1" s="1"/>
  <c r="J2840" i="1" s="1"/>
  <c r="H2840" i="1"/>
  <c r="I2840" i="1" s="1"/>
  <c r="J2841" i="1" s="1"/>
  <c r="H2841" i="1"/>
  <c r="I2841" i="1" s="1"/>
  <c r="J2842" i="1" s="1"/>
  <c r="H2842" i="1"/>
  <c r="I2842" i="1" s="1"/>
  <c r="J2843" i="1" s="1"/>
  <c r="H2843" i="1"/>
  <c r="I2843" i="1" s="1"/>
  <c r="J2844" i="1" s="1"/>
  <c r="H2844" i="1"/>
  <c r="I2844" i="1" s="1"/>
  <c r="J2845" i="1" s="1"/>
  <c r="H2845" i="1"/>
  <c r="I2845" i="1" s="1"/>
  <c r="J2846" i="1" s="1"/>
  <c r="H2846" i="1"/>
  <c r="I2846" i="1" s="1"/>
  <c r="J2847" i="1" s="1"/>
  <c r="H2847" i="1"/>
  <c r="I2847" i="1" s="1"/>
  <c r="J2848" i="1" s="1"/>
  <c r="H2848" i="1"/>
  <c r="I2848" i="1" s="1"/>
  <c r="J2849" i="1" s="1"/>
  <c r="H2849" i="1"/>
  <c r="I2849" i="1" s="1"/>
  <c r="J2850" i="1" s="1"/>
  <c r="H2851" i="1"/>
  <c r="I2851" i="1" s="1"/>
  <c r="J2852" i="1" s="1"/>
  <c r="H2852" i="1"/>
  <c r="I2852" i="1" s="1"/>
  <c r="J2853" i="1" s="1"/>
  <c r="H2853" i="1"/>
  <c r="I2853" i="1" s="1"/>
  <c r="J2854" i="1" s="1"/>
  <c r="H2854" i="1"/>
  <c r="I2854" i="1" s="1"/>
  <c r="J2855" i="1" s="1"/>
  <c r="H2855" i="1"/>
  <c r="I2855" i="1" s="1"/>
  <c r="J2856" i="1" s="1"/>
  <c r="H2856" i="1"/>
  <c r="I2856" i="1" s="1"/>
  <c r="J2857" i="1" s="1"/>
  <c r="H2857" i="1"/>
  <c r="I2857" i="1" s="1"/>
  <c r="J2858" i="1" s="1"/>
  <c r="H2858" i="1"/>
  <c r="I2858" i="1" s="1"/>
  <c r="J2859" i="1" s="1"/>
  <c r="H2859" i="1"/>
  <c r="I2859" i="1" s="1"/>
  <c r="J2860" i="1" s="1"/>
  <c r="H2860" i="1"/>
  <c r="I2860" i="1" s="1"/>
  <c r="J2861" i="1" s="1"/>
  <c r="H2861" i="1"/>
  <c r="I2861" i="1" s="1"/>
  <c r="J2862" i="1" s="1"/>
  <c r="H2862" i="1"/>
  <c r="I2862" i="1" s="1"/>
  <c r="J2863" i="1" s="1"/>
  <c r="H2863" i="1"/>
  <c r="I2863" i="1" s="1"/>
  <c r="J2864" i="1" s="1"/>
  <c r="H2864" i="1"/>
  <c r="I2864" i="1" s="1"/>
  <c r="J2865" i="1" s="1"/>
  <c r="H2865" i="1"/>
  <c r="I2865" i="1" s="1"/>
  <c r="J2866" i="1" s="1"/>
  <c r="H2866" i="1"/>
  <c r="I2866" i="1" s="1"/>
  <c r="J2867" i="1" s="1"/>
  <c r="H2867" i="1"/>
  <c r="I2867" i="1" s="1"/>
  <c r="J2868" i="1" s="1"/>
  <c r="H2868" i="1"/>
  <c r="I2868" i="1" s="1"/>
  <c r="J2869" i="1" s="1"/>
  <c r="H2869" i="1"/>
  <c r="I2869" i="1" s="1"/>
  <c r="J2870" i="1" s="1"/>
  <c r="H2871" i="1"/>
  <c r="I2871" i="1" s="1"/>
  <c r="J2872" i="1" s="1"/>
  <c r="H2872" i="1"/>
  <c r="I2872" i="1" s="1"/>
  <c r="J2873" i="1" s="1"/>
  <c r="H2873" i="1"/>
  <c r="I2873" i="1" s="1"/>
  <c r="J2874" i="1" s="1"/>
  <c r="H2874" i="1"/>
  <c r="I2874" i="1" s="1"/>
  <c r="J2875" i="1" s="1"/>
  <c r="H2875" i="1"/>
  <c r="I2875" i="1" s="1"/>
  <c r="J2876" i="1" s="1"/>
  <c r="H2876" i="1"/>
  <c r="I2876" i="1" s="1"/>
  <c r="J2877" i="1" s="1"/>
  <c r="H2877" i="1"/>
  <c r="I2877" i="1" s="1"/>
  <c r="J2878" i="1" s="1"/>
  <c r="H2878" i="1"/>
  <c r="I2878" i="1" s="1"/>
  <c r="J2879" i="1" s="1"/>
  <c r="H2879" i="1"/>
  <c r="I2879" i="1" s="1"/>
  <c r="J2880" i="1" s="1"/>
  <c r="H2880" i="1"/>
  <c r="I2880" i="1" s="1"/>
  <c r="J2881" i="1" s="1"/>
  <c r="H2881" i="1"/>
  <c r="I2881" i="1" s="1"/>
  <c r="J2882" i="1" s="1"/>
  <c r="H2882" i="1"/>
  <c r="I2882" i="1" s="1"/>
  <c r="J2883" i="1" s="1"/>
  <c r="H2883" i="1"/>
  <c r="I2883" i="1" s="1"/>
  <c r="J2884" i="1" s="1"/>
  <c r="H2884" i="1"/>
  <c r="I2884" i="1" s="1"/>
  <c r="J2885" i="1" s="1"/>
  <c r="H2885" i="1"/>
  <c r="I2885" i="1" s="1"/>
  <c r="J2886" i="1" s="1"/>
  <c r="H2886" i="1"/>
  <c r="I2886" i="1" s="1"/>
  <c r="J2887" i="1" s="1"/>
  <c r="H2887" i="1"/>
  <c r="I2887" i="1" s="1"/>
  <c r="J2888" i="1" s="1"/>
  <c r="H2888" i="1"/>
  <c r="I2888" i="1" s="1"/>
  <c r="J2889" i="1" s="1"/>
  <c r="H2889" i="1"/>
  <c r="I2889" i="1" s="1"/>
  <c r="J2890" i="1" s="1"/>
  <c r="H2890" i="1"/>
  <c r="I2890" i="1" s="1"/>
  <c r="J2891" i="1" s="1"/>
  <c r="H2891" i="1"/>
  <c r="I2891" i="1" s="1"/>
  <c r="J2892" i="1" s="1"/>
  <c r="H2892" i="1"/>
  <c r="I2892" i="1" s="1"/>
  <c r="J2893" i="1" s="1"/>
  <c r="H2893" i="1"/>
  <c r="I2893" i="1" s="1"/>
  <c r="J2894" i="1" s="1"/>
  <c r="H2894" i="1"/>
  <c r="I2894" i="1" s="1"/>
  <c r="J2895" i="1" s="1"/>
  <c r="H2895" i="1"/>
  <c r="I2895" i="1" s="1"/>
  <c r="J2896" i="1" s="1"/>
  <c r="H2896" i="1"/>
  <c r="I2896" i="1" s="1"/>
  <c r="J2897" i="1" s="1"/>
  <c r="H2897" i="1"/>
  <c r="I2897" i="1" s="1"/>
  <c r="J2898" i="1" s="1"/>
  <c r="H2898" i="1"/>
  <c r="I2898" i="1" s="1"/>
  <c r="J2899" i="1" s="1"/>
  <c r="H2899" i="1"/>
  <c r="I2899" i="1" s="1"/>
  <c r="J2900" i="1" s="1"/>
  <c r="H2901" i="1"/>
  <c r="I2901" i="1" s="1"/>
  <c r="J2902" i="1" s="1"/>
  <c r="H2902" i="1"/>
  <c r="I2902" i="1" s="1"/>
  <c r="J2903" i="1" s="1"/>
  <c r="H2903" i="1"/>
  <c r="I2903" i="1" s="1"/>
  <c r="J2904" i="1" s="1"/>
  <c r="H2904" i="1"/>
  <c r="I2904" i="1" s="1"/>
  <c r="J2905" i="1" s="1"/>
  <c r="H2905" i="1"/>
  <c r="I2905" i="1" s="1"/>
  <c r="J2906" i="1" s="1"/>
  <c r="H2906" i="1"/>
  <c r="I2906" i="1" s="1"/>
  <c r="J2907" i="1" s="1"/>
  <c r="H2907" i="1"/>
  <c r="I2907" i="1" s="1"/>
  <c r="J2908" i="1" s="1"/>
  <c r="H2908" i="1"/>
  <c r="I2908" i="1" s="1"/>
  <c r="J2909" i="1" s="1"/>
  <c r="H2909" i="1"/>
  <c r="I2909" i="1" s="1"/>
  <c r="J2910" i="1" s="1"/>
  <c r="H2910" i="1"/>
  <c r="I2910" i="1" s="1"/>
  <c r="J2911" i="1" s="1"/>
  <c r="H2911" i="1"/>
  <c r="I2911" i="1" s="1"/>
  <c r="J2912" i="1" s="1"/>
  <c r="H2912" i="1"/>
  <c r="I2912" i="1" s="1"/>
  <c r="J2913" i="1" s="1"/>
  <c r="H2913" i="1"/>
  <c r="I2913" i="1" s="1"/>
  <c r="J2914" i="1" s="1"/>
  <c r="H2914" i="1"/>
  <c r="I2914" i="1" s="1"/>
  <c r="J2915" i="1" s="1"/>
  <c r="H2915" i="1"/>
  <c r="I2915" i="1" s="1"/>
  <c r="J2916" i="1" s="1"/>
  <c r="H2916" i="1"/>
  <c r="I2916" i="1" s="1"/>
  <c r="J2917" i="1" s="1"/>
  <c r="H2917" i="1"/>
  <c r="I2917" i="1" s="1"/>
  <c r="J2918" i="1" s="1"/>
  <c r="H2918" i="1"/>
  <c r="I2918" i="1" s="1"/>
  <c r="J2919" i="1" s="1"/>
  <c r="H2919" i="1"/>
  <c r="I2919" i="1" s="1"/>
  <c r="J2920" i="1" s="1"/>
  <c r="H2920" i="1"/>
  <c r="I2920" i="1" s="1"/>
  <c r="J2921" i="1" s="1"/>
  <c r="H2921" i="1"/>
  <c r="I2921" i="1" s="1"/>
  <c r="J2922" i="1" s="1"/>
  <c r="H2922" i="1"/>
  <c r="I2922" i="1" s="1"/>
  <c r="J2923" i="1" s="1"/>
  <c r="H2923" i="1"/>
  <c r="I2923" i="1" s="1"/>
  <c r="J2924" i="1" s="1"/>
  <c r="H2924" i="1"/>
  <c r="I2924" i="1" s="1"/>
  <c r="J2925" i="1" s="1"/>
  <c r="H2925" i="1"/>
  <c r="I2925" i="1" s="1"/>
  <c r="J2926" i="1" s="1"/>
  <c r="H2926" i="1"/>
  <c r="I2926" i="1" s="1"/>
  <c r="J2927" i="1" s="1"/>
  <c r="H2927" i="1"/>
  <c r="I2927" i="1" s="1"/>
  <c r="J2928" i="1" s="1"/>
  <c r="H2928" i="1"/>
  <c r="I2928" i="1" s="1"/>
  <c r="J2929" i="1" s="1"/>
  <c r="H2929" i="1"/>
  <c r="I2929" i="1" s="1"/>
  <c r="J2930" i="1" s="1"/>
  <c r="H2930" i="1"/>
  <c r="I2930" i="1" s="1"/>
  <c r="J2931" i="1" s="1"/>
  <c r="H2931" i="1"/>
  <c r="I2931" i="1" s="1"/>
  <c r="J2932" i="1" s="1"/>
  <c r="H2932" i="1"/>
  <c r="I2932" i="1" s="1"/>
  <c r="J2933" i="1" s="1"/>
  <c r="H2933" i="1"/>
  <c r="I2933" i="1" s="1"/>
  <c r="J2934" i="1" s="1"/>
  <c r="H2934" i="1"/>
  <c r="I2934" i="1" s="1"/>
  <c r="J2935" i="1" s="1"/>
  <c r="H2935" i="1"/>
  <c r="I2935" i="1" s="1"/>
  <c r="J2936" i="1" s="1"/>
  <c r="H2936" i="1"/>
  <c r="I2936" i="1" s="1"/>
  <c r="J2937" i="1" s="1"/>
  <c r="H2937" i="1"/>
  <c r="I2937" i="1" s="1"/>
  <c r="J2938" i="1" s="1"/>
  <c r="H2938" i="1"/>
  <c r="I2938" i="1" s="1"/>
  <c r="J2939" i="1" s="1"/>
  <c r="H2939" i="1"/>
  <c r="I2939" i="1" s="1"/>
  <c r="J2940" i="1" s="1"/>
  <c r="H2941" i="1"/>
  <c r="I2941" i="1" s="1"/>
  <c r="J2942" i="1" s="1"/>
  <c r="H2942" i="1"/>
  <c r="I2942" i="1" s="1"/>
  <c r="J2943" i="1" s="1"/>
  <c r="H2943" i="1"/>
  <c r="I2943" i="1" s="1"/>
  <c r="J2944" i="1" s="1"/>
  <c r="H2944" i="1"/>
  <c r="I2944" i="1" s="1"/>
  <c r="J2945" i="1" s="1"/>
  <c r="H2945" i="1"/>
  <c r="I2945" i="1" s="1"/>
  <c r="J2946" i="1" s="1"/>
  <c r="H2946" i="1"/>
  <c r="I2946" i="1" s="1"/>
  <c r="J2947" i="1" s="1"/>
  <c r="H2947" i="1"/>
  <c r="I2947" i="1" s="1"/>
  <c r="J2948" i="1" s="1"/>
  <c r="H2948" i="1"/>
  <c r="I2948" i="1" s="1"/>
  <c r="J2949" i="1" s="1"/>
  <c r="H2949" i="1"/>
  <c r="I2949" i="1" s="1"/>
  <c r="J2950" i="1" s="1"/>
  <c r="H2950" i="1"/>
  <c r="I2950" i="1" s="1"/>
  <c r="J2951" i="1" s="1"/>
  <c r="H2951" i="1"/>
  <c r="I2951" i="1" s="1"/>
  <c r="J2952" i="1" s="1"/>
  <c r="H2952" i="1"/>
  <c r="I2952" i="1" s="1"/>
  <c r="J2953" i="1" s="1"/>
  <c r="H2953" i="1"/>
  <c r="I2953" i="1" s="1"/>
  <c r="J2954" i="1" s="1"/>
  <c r="H2954" i="1"/>
  <c r="I2954" i="1" s="1"/>
  <c r="J2955" i="1" s="1"/>
  <c r="H2955" i="1"/>
  <c r="I2955" i="1" s="1"/>
  <c r="J2956" i="1" s="1"/>
  <c r="H2956" i="1"/>
  <c r="I2956" i="1" s="1"/>
  <c r="J2957" i="1" s="1"/>
  <c r="H2957" i="1"/>
  <c r="I2957" i="1" s="1"/>
  <c r="J2958" i="1" s="1"/>
  <c r="H2958" i="1"/>
  <c r="I2958" i="1" s="1"/>
  <c r="J2959" i="1" s="1"/>
  <c r="H2959" i="1"/>
  <c r="I2959" i="1" s="1"/>
  <c r="J2960" i="1" s="1"/>
  <c r="H2960" i="1"/>
  <c r="I2960" i="1" s="1"/>
  <c r="J2961" i="1" s="1"/>
  <c r="H2961" i="1"/>
  <c r="I2961" i="1" s="1"/>
  <c r="J2962" i="1" s="1"/>
  <c r="H2962" i="1"/>
  <c r="I2962" i="1" s="1"/>
  <c r="J2963" i="1" s="1"/>
  <c r="H2963" i="1"/>
  <c r="I2963" i="1" s="1"/>
  <c r="J2964" i="1" s="1"/>
  <c r="H2964" i="1"/>
  <c r="I2964" i="1" s="1"/>
  <c r="J2965" i="1" s="1"/>
  <c r="H2965" i="1"/>
  <c r="I2965" i="1" s="1"/>
  <c r="J2966" i="1" s="1"/>
  <c r="H2966" i="1"/>
  <c r="I2966" i="1" s="1"/>
  <c r="J2967" i="1" s="1"/>
  <c r="H2967" i="1"/>
  <c r="I2967" i="1" s="1"/>
  <c r="J2968" i="1" s="1"/>
  <c r="H2968" i="1"/>
  <c r="I2968" i="1" s="1"/>
  <c r="J2969" i="1" s="1"/>
  <c r="H2969" i="1"/>
  <c r="I2969" i="1" s="1"/>
  <c r="J2970" i="1" s="1"/>
  <c r="H2970" i="1"/>
  <c r="I2970" i="1" s="1"/>
  <c r="J2971" i="1" s="1"/>
  <c r="H2971" i="1"/>
  <c r="I2971" i="1" s="1"/>
  <c r="J2972" i="1" s="1"/>
  <c r="H2972" i="1"/>
  <c r="I2972" i="1" s="1"/>
  <c r="J2973" i="1" s="1"/>
  <c r="H2973" i="1"/>
  <c r="I2973" i="1" s="1"/>
  <c r="J2974" i="1" s="1"/>
  <c r="H2974" i="1"/>
  <c r="I2974" i="1" s="1"/>
  <c r="J2975" i="1" s="1"/>
  <c r="H2975" i="1"/>
  <c r="I2975" i="1" s="1"/>
  <c r="J2976" i="1" s="1"/>
  <c r="H2976" i="1"/>
  <c r="I2976" i="1" s="1"/>
  <c r="J2977" i="1" s="1"/>
  <c r="H2977" i="1"/>
  <c r="I2977" i="1" s="1"/>
  <c r="J2978" i="1" s="1"/>
  <c r="H2978" i="1"/>
  <c r="I2978" i="1" s="1"/>
  <c r="J2979" i="1" s="1"/>
  <c r="H2979" i="1"/>
  <c r="I2979" i="1" s="1"/>
  <c r="J2980" i="1" s="1"/>
  <c r="H2981" i="1"/>
  <c r="I2981" i="1" s="1"/>
  <c r="J2982" i="1" s="1"/>
  <c r="H2982" i="1"/>
  <c r="I2982" i="1" s="1"/>
  <c r="J2983" i="1" s="1"/>
  <c r="H2983" i="1"/>
  <c r="I2983" i="1" s="1"/>
  <c r="J2984" i="1" s="1"/>
  <c r="H2984" i="1"/>
  <c r="I2984" i="1" s="1"/>
  <c r="J2985" i="1" s="1"/>
  <c r="H2985" i="1"/>
  <c r="I2985" i="1" s="1"/>
  <c r="J2986" i="1" s="1"/>
  <c r="H2986" i="1"/>
  <c r="I2986" i="1" s="1"/>
  <c r="J2987" i="1" s="1"/>
  <c r="H2987" i="1"/>
  <c r="I2987" i="1" s="1"/>
  <c r="J2988" i="1" s="1"/>
  <c r="H2988" i="1"/>
  <c r="I2988" i="1" s="1"/>
  <c r="J2989" i="1" s="1"/>
  <c r="H2989" i="1"/>
  <c r="I2989" i="1" s="1"/>
  <c r="J2990" i="1" s="1"/>
  <c r="H2990" i="1"/>
  <c r="I2990" i="1" s="1"/>
  <c r="J2991" i="1" s="1"/>
  <c r="H2991" i="1"/>
  <c r="I2991" i="1" s="1"/>
  <c r="J2992" i="1" s="1"/>
  <c r="H2992" i="1"/>
  <c r="I2992" i="1" s="1"/>
  <c r="J2993" i="1" s="1"/>
  <c r="H2993" i="1"/>
  <c r="I2993" i="1" s="1"/>
  <c r="J2994" i="1" s="1"/>
  <c r="H2994" i="1"/>
  <c r="I2994" i="1" s="1"/>
  <c r="J2995" i="1" s="1"/>
  <c r="H2995" i="1"/>
  <c r="I2995" i="1" s="1"/>
  <c r="J2996" i="1" s="1"/>
  <c r="H2996" i="1"/>
  <c r="I2996" i="1" s="1"/>
  <c r="J2997" i="1" s="1"/>
  <c r="H2997" i="1"/>
  <c r="I2997" i="1" s="1"/>
  <c r="J2998" i="1" s="1"/>
  <c r="H2998" i="1"/>
  <c r="I2998" i="1" s="1"/>
  <c r="J2999" i="1" s="1"/>
  <c r="H2999" i="1"/>
  <c r="I2999" i="1" s="1"/>
  <c r="J3000" i="1" s="1"/>
  <c r="H3001" i="1"/>
  <c r="I3001" i="1" s="1"/>
  <c r="J3002" i="1" s="1"/>
  <c r="H3002" i="1"/>
  <c r="I3002" i="1" s="1"/>
  <c r="J3003" i="1" s="1"/>
  <c r="H3003" i="1"/>
  <c r="I3003" i="1" s="1"/>
  <c r="J3004" i="1" s="1"/>
  <c r="H3004" i="1"/>
  <c r="I3004" i="1" s="1"/>
  <c r="J3005" i="1" s="1"/>
  <c r="H3005" i="1"/>
  <c r="I3005" i="1" s="1"/>
  <c r="J3006" i="1" s="1"/>
  <c r="H3006" i="1"/>
  <c r="I3006" i="1" s="1"/>
  <c r="J3007" i="1" s="1"/>
  <c r="H3007" i="1"/>
  <c r="I3007" i="1" s="1"/>
  <c r="J3008" i="1" s="1"/>
  <c r="H3008" i="1"/>
  <c r="I3008" i="1" s="1"/>
  <c r="J3009" i="1" s="1"/>
  <c r="H3009" i="1"/>
  <c r="I3009" i="1" s="1"/>
  <c r="J3010" i="1" s="1"/>
  <c r="H3010" i="1"/>
  <c r="I3010" i="1" s="1"/>
  <c r="J3011" i="1" s="1"/>
  <c r="H3011" i="1"/>
  <c r="I3011" i="1" s="1"/>
  <c r="J3012" i="1" s="1"/>
  <c r="H3012" i="1"/>
  <c r="I3012" i="1" s="1"/>
  <c r="J3013" i="1" s="1"/>
  <c r="H3013" i="1"/>
  <c r="I3013" i="1" s="1"/>
  <c r="J3014" i="1" s="1"/>
  <c r="H3014" i="1"/>
  <c r="I3014" i="1" s="1"/>
  <c r="J3015" i="1" s="1"/>
  <c r="H3015" i="1"/>
  <c r="I3015" i="1" s="1"/>
  <c r="J3016" i="1" s="1"/>
  <c r="H3016" i="1"/>
  <c r="I3016" i="1" s="1"/>
  <c r="J3017" i="1" s="1"/>
  <c r="H3017" i="1"/>
  <c r="I3017" i="1" s="1"/>
  <c r="J3018" i="1" s="1"/>
  <c r="H3018" i="1"/>
  <c r="I3018" i="1" s="1"/>
  <c r="J3019" i="1" s="1"/>
  <c r="H3019" i="1"/>
  <c r="I3019" i="1" s="1"/>
  <c r="J3020" i="1" s="1"/>
  <c r="H3021" i="1"/>
  <c r="I3021" i="1" s="1"/>
  <c r="J3022" i="1" s="1"/>
  <c r="H3022" i="1"/>
  <c r="I3022" i="1" s="1"/>
  <c r="J3023" i="1" s="1"/>
  <c r="H3023" i="1"/>
  <c r="I3023" i="1" s="1"/>
  <c r="J3024" i="1" s="1"/>
  <c r="H3024" i="1"/>
  <c r="I3024" i="1" s="1"/>
  <c r="J3025" i="1" s="1"/>
  <c r="H3025" i="1"/>
  <c r="I3025" i="1" s="1"/>
  <c r="J3026" i="1" s="1"/>
  <c r="H3026" i="1"/>
  <c r="I3026" i="1" s="1"/>
  <c r="J3027" i="1" s="1"/>
  <c r="H3027" i="1"/>
  <c r="I3027" i="1" s="1"/>
  <c r="J3028" i="1" s="1"/>
  <c r="H3028" i="1"/>
  <c r="I3028" i="1" s="1"/>
  <c r="J3029" i="1" s="1"/>
  <c r="H3029" i="1"/>
  <c r="I3029" i="1" s="1"/>
  <c r="J3030" i="1" s="1"/>
  <c r="H3030" i="1"/>
  <c r="I3030" i="1" s="1"/>
  <c r="J3031" i="1" s="1"/>
  <c r="H3031" i="1"/>
  <c r="I3031" i="1" s="1"/>
  <c r="J3032" i="1" s="1"/>
  <c r="H3032" i="1"/>
  <c r="I3032" i="1" s="1"/>
  <c r="J3033" i="1" s="1"/>
  <c r="H3033" i="1"/>
  <c r="I3033" i="1" s="1"/>
  <c r="J3034" i="1" s="1"/>
  <c r="H3034" i="1"/>
  <c r="I3034" i="1" s="1"/>
  <c r="J3035" i="1" s="1"/>
  <c r="H3035" i="1"/>
  <c r="I3035" i="1" s="1"/>
  <c r="J3036" i="1" s="1"/>
  <c r="H3036" i="1"/>
  <c r="I3036" i="1" s="1"/>
  <c r="J3037" i="1" s="1"/>
  <c r="H3037" i="1"/>
  <c r="I3037" i="1" s="1"/>
  <c r="J3038" i="1" s="1"/>
  <c r="H3038" i="1"/>
  <c r="I3038" i="1" s="1"/>
  <c r="J3039" i="1" s="1"/>
  <c r="H3039" i="1"/>
  <c r="I3039" i="1" s="1"/>
  <c r="J3040" i="1" s="1"/>
  <c r="H3041" i="1"/>
  <c r="I3041" i="1" s="1"/>
  <c r="J3042" i="1" s="1"/>
  <c r="H3042" i="1"/>
  <c r="I3042" i="1" s="1"/>
  <c r="J3043" i="1" s="1"/>
  <c r="H3043" i="1"/>
  <c r="I3043" i="1" s="1"/>
  <c r="J3044" i="1" s="1"/>
  <c r="H3044" i="1"/>
  <c r="I3044" i="1" s="1"/>
  <c r="J3045" i="1" s="1"/>
  <c r="H3045" i="1"/>
  <c r="I3045" i="1" s="1"/>
  <c r="J3046" i="1" s="1"/>
  <c r="H3046" i="1"/>
  <c r="I3046" i="1" s="1"/>
  <c r="J3047" i="1" s="1"/>
  <c r="H3047" i="1"/>
  <c r="I3047" i="1" s="1"/>
  <c r="J3048" i="1" s="1"/>
  <c r="H3048" i="1"/>
  <c r="I3048" i="1" s="1"/>
  <c r="J3049" i="1" s="1"/>
  <c r="H3049" i="1"/>
  <c r="I3049" i="1" s="1"/>
  <c r="J3050" i="1" s="1"/>
  <c r="H3050" i="1"/>
  <c r="I3050" i="1" s="1"/>
  <c r="J3051" i="1" s="1"/>
  <c r="H3051" i="1"/>
  <c r="I3051" i="1" s="1"/>
  <c r="J3052" i="1" s="1"/>
  <c r="H3052" i="1"/>
  <c r="I3052" i="1" s="1"/>
  <c r="J3053" i="1" s="1"/>
  <c r="H3053" i="1"/>
  <c r="I3053" i="1" s="1"/>
  <c r="J3054" i="1" s="1"/>
  <c r="H3054" i="1"/>
  <c r="I3054" i="1" s="1"/>
  <c r="J3055" i="1" s="1"/>
  <c r="H3055" i="1"/>
  <c r="I3055" i="1" s="1"/>
  <c r="J3056" i="1" s="1"/>
  <c r="H3056" i="1"/>
  <c r="I3056" i="1" s="1"/>
  <c r="J3057" i="1" s="1"/>
  <c r="H3057" i="1"/>
  <c r="I3057" i="1" s="1"/>
  <c r="J3058" i="1" s="1"/>
  <c r="H3058" i="1"/>
  <c r="I3058" i="1" s="1"/>
  <c r="J3059" i="1" s="1"/>
  <c r="H3059" i="1"/>
  <c r="I3059" i="1" s="1"/>
  <c r="J3060" i="1" s="1"/>
  <c r="H3060" i="1"/>
  <c r="I3060" i="1" s="1"/>
  <c r="J3061" i="1" s="1"/>
  <c r="H3061" i="1"/>
  <c r="I3061" i="1" s="1"/>
  <c r="J3062" i="1" s="1"/>
  <c r="H3062" i="1"/>
  <c r="I3062" i="1" s="1"/>
  <c r="J3063" i="1" s="1"/>
  <c r="H3063" i="1"/>
  <c r="I3063" i="1" s="1"/>
  <c r="J3064" i="1" s="1"/>
  <c r="H3064" i="1"/>
  <c r="I3064" i="1" s="1"/>
  <c r="J3065" i="1" s="1"/>
  <c r="H3065" i="1"/>
  <c r="I3065" i="1" s="1"/>
  <c r="J3066" i="1" s="1"/>
  <c r="H3066" i="1"/>
  <c r="I3066" i="1" s="1"/>
  <c r="J3067" i="1" s="1"/>
  <c r="H3067" i="1"/>
  <c r="I3067" i="1" s="1"/>
  <c r="J3068" i="1" s="1"/>
  <c r="H3068" i="1"/>
  <c r="I3068" i="1" s="1"/>
  <c r="J3069" i="1" s="1"/>
  <c r="H3069" i="1"/>
  <c r="I3069" i="1" s="1"/>
  <c r="J3070" i="1" s="1"/>
  <c r="H3070" i="1"/>
  <c r="I3070" i="1" s="1"/>
  <c r="J3071" i="1" s="1"/>
  <c r="H3071" i="1"/>
  <c r="I3071" i="1" s="1"/>
  <c r="J3072" i="1" s="1"/>
  <c r="H3072" i="1"/>
  <c r="I3072" i="1" s="1"/>
  <c r="J3073" i="1" s="1"/>
  <c r="H3073" i="1"/>
  <c r="I3073" i="1" s="1"/>
  <c r="J3074" i="1" s="1"/>
  <c r="H3074" i="1"/>
  <c r="I3074" i="1" s="1"/>
  <c r="J3075" i="1" s="1"/>
  <c r="H3075" i="1"/>
  <c r="I3075" i="1" s="1"/>
  <c r="J3076" i="1" s="1"/>
  <c r="H3076" i="1"/>
  <c r="I3076" i="1" s="1"/>
  <c r="J3077" i="1" s="1"/>
  <c r="H3078" i="1"/>
  <c r="I3078" i="1" s="1"/>
  <c r="J3079" i="1" s="1"/>
  <c r="H3079" i="1"/>
  <c r="I3079" i="1" s="1"/>
  <c r="J3080" i="1" s="1"/>
  <c r="H3080" i="1"/>
  <c r="I3080" i="1" s="1"/>
  <c r="J3081" i="1" s="1"/>
  <c r="H3081" i="1"/>
  <c r="I3081" i="1" s="1"/>
  <c r="J3082" i="1" s="1"/>
  <c r="H3082" i="1"/>
  <c r="I3082" i="1" s="1"/>
  <c r="J3083" i="1" s="1"/>
  <c r="H3083" i="1"/>
  <c r="I3083" i="1" s="1"/>
  <c r="J3084" i="1" s="1"/>
  <c r="H3084" i="1"/>
  <c r="I3084" i="1" s="1"/>
  <c r="J3085" i="1" s="1"/>
  <c r="H3085" i="1"/>
  <c r="I3085" i="1" s="1"/>
  <c r="J3086" i="1" s="1"/>
  <c r="H3086" i="1"/>
  <c r="I3086" i="1" s="1"/>
  <c r="J3087" i="1" s="1"/>
  <c r="H3087" i="1"/>
  <c r="I3087" i="1" s="1"/>
  <c r="J3088" i="1" s="1"/>
  <c r="H3088" i="1"/>
  <c r="I3088" i="1" s="1"/>
  <c r="J3089" i="1" s="1"/>
  <c r="H3089" i="1"/>
  <c r="I3089" i="1" s="1"/>
  <c r="J3090" i="1" s="1"/>
  <c r="H3091" i="1"/>
  <c r="I3091" i="1" s="1"/>
  <c r="J3092" i="1" s="1"/>
  <c r="H3092" i="1"/>
  <c r="I3092" i="1" s="1"/>
  <c r="J3093" i="1" s="1"/>
  <c r="H3093" i="1"/>
  <c r="I3093" i="1" s="1"/>
  <c r="J3094" i="1" s="1"/>
  <c r="H3094" i="1"/>
  <c r="I3094" i="1" s="1"/>
  <c r="J3095" i="1" s="1"/>
  <c r="H3095" i="1"/>
  <c r="I3095" i="1" s="1"/>
  <c r="J3096" i="1" s="1"/>
  <c r="H3096" i="1"/>
  <c r="I3096" i="1" s="1"/>
  <c r="J3097" i="1" s="1"/>
  <c r="H3097" i="1"/>
  <c r="I3097" i="1" s="1"/>
  <c r="J3098" i="1" s="1"/>
  <c r="H3098" i="1"/>
  <c r="I3098" i="1" s="1"/>
  <c r="J3099" i="1" s="1"/>
  <c r="H3099" i="1"/>
  <c r="I3099" i="1" s="1"/>
  <c r="J3100" i="1" s="1"/>
  <c r="H3100" i="1"/>
  <c r="I3100" i="1" s="1"/>
  <c r="J3101" i="1" s="1"/>
  <c r="H3101" i="1"/>
  <c r="I3101" i="1" s="1"/>
  <c r="J3102" i="1" s="1"/>
  <c r="H3102" i="1"/>
  <c r="I3102" i="1" s="1"/>
  <c r="J3103" i="1" s="1"/>
  <c r="H3103" i="1"/>
  <c r="I3103" i="1" s="1"/>
  <c r="J3104" i="1" s="1"/>
  <c r="H3104" i="1"/>
  <c r="I3104" i="1" s="1"/>
  <c r="J3105" i="1" s="1"/>
  <c r="H3105" i="1"/>
  <c r="I3105" i="1" s="1"/>
  <c r="J3106" i="1" s="1"/>
  <c r="H3106" i="1"/>
  <c r="I3106" i="1" s="1"/>
  <c r="J3107" i="1" s="1"/>
  <c r="H3107" i="1"/>
  <c r="I3107" i="1" s="1"/>
  <c r="J3108" i="1" s="1"/>
  <c r="H3108" i="1"/>
  <c r="I3108" i="1" s="1"/>
  <c r="J3109" i="1" s="1"/>
  <c r="H3109" i="1"/>
  <c r="I3109" i="1" s="1"/>
  <c r="J3110" i="1" s="1"/>
  <c r="H3111" i="1"/>
  <c r="I3111" i="1" s="1"/>
  <c r="J3112" i="1" s="1"/>
  <c r="H3112" i="1"/>
  <c r="I3112" i="1" s="1"/>
  <c r="J3113" i="1" s="1"/>
  <c r="H3113" i="1"/>
  <c r="I3113" i="1" s="1"/>
  <c r="J3114" i="1" s="1"/>
  <c r="H3114" i="1"/>
  <c r="I3114" i="1" s="1"/>
  <c r="J3115" i="1" s="1"/>
  <c r="H3115" i="1"/>
  <c r="I3115" i="1" s="1"/>
  <c r="J3116" i="1" s="1"/>
  <c r="H3116" i="1"/>
  <c r="I3116" i="1" s="1"/>
  <c r="J3117" i="1" s="1"/>
  <c r="H3117" i="1"/>
  <c r="I3117" i="1" s="1"/>
  <c r="J3118" i="1" s="1"/>
  <c r="H3118" i="1"/>
  <c r="I3118" i="1" s="1"/>
  <c r="J3119" i="1" s="1"/>
  <c r="H3120" i="1"/>
  <c r="I3120" i="1" s="1"/>
  <c r="J3121" i="1" s="1"/>
  <c r="H3121" i="1"/>
  <c r="I3121" i="1" s="1"/>
  <c r="J3122" i="1" s="1"/>
  <c r="H3122" i="1"/>
  <c r="I3122" i="1" s="1"/>
  <c r="J3123" i="1" s="1"/>
  <c r="H3123" i="1"/>
  <c r="I3123" i="1" s="1"/>
  <c r="J3124" i="1" s="1"/>
  <c r="H3124" i="1"/>
  <c r="I3124" i="1" s="1"/>
  <c r="J3125" i="1" s="1"/>
  <c r="H3125" i="1"/>
  <c r="I3125" i="1" s="1"/>
  <c r="J3126" i="1" s="1"/>
  <c r="H3126" i="1"/>
  <c r="I3126" i="1" s="1"/>
  <c r="J3127" i="1" s="1"/>
  <c r="H3127" i="1"/>
  <c r="I3127" i="1" s="1"/>
  <c r="J3128" i="1" s="1"/>
  <c r="H3128" i="1"/>
  <c r="I3128" i="1" s="1"/>
  <c r="J3129" i="1" s="1"/>
  <c r="H3129" i="1"/>
  <c r="H3131" i="1"/>
  <c r="I3131" i="1" s="1"/>
  <c r="J3132" i="1" s="1"/>
  <c r="H3132" i="1"/>
  <c r="I3132" i="1" s="1"/>
  <c r="J3133" i="1" s="1"/>
  <c r="H3133" i="1"/>
  <c r="I3133" i="1" s="1"/>
  <c r="J3134" i="1" s="1"/>
  <c r="H3134" i="1"/>
  <c r="I3134" i="1" s="1"/>
  <c r="J3135" i="1" s="1"/>
  <c r="H3135" i="1"/>
  <c r="I3135" i="1" s="1"/>
  <c r="J3136" i="1" s="1"/>
  <c r="H3136" i="1"/>
  <c r="I3136" i="1" s="1"/>
  <c r="J3137" i="1" s="1"/>
  <c r="H3137" i="1"/>
  <c r="I3137" i="1" s="1"/>
  <c r="J3138" i="1" s="1"/>
  <c r="H3138" i="1"/>
  <c r="I3138" i="1" s="1"/>
  <c r="J3139" i="1" s="1"/>
  <c r="H3139" i="1"/>
  <c r="I3139" i="1" s="1"/>
  <c r="J3140" i="1" s="1"/>
  <c r="H3140" i="1"/>
  <c r="I3140" i="1" s="1"/>
  <c r="J3141" i="1" s="1"/>
  <c r="H3141" i="1"/>
  <c r="I3141" i="1" s="1"/>
  <c r="J3142" i="1" s="1"/>
  <c r="H3142" i="1"/>
  <c r="I3142" i="1" s="1"/>
  <c r="J3143" i="1" s="1"/>
  <c r="H3143" i="1"/>
  <c r="I3143" i="1" s="1"/>
  <c r="J3144" i="1" s="1"/>
  <c r="H3144" i="1"/>
  <c r="I3144" i="1" s="1"/>
  <c r="J3145" i="1" s="1"/>
  <c r="H3145" i="1"/>
  <c r="I3145" i="1" s="1"/>
  <c r="J3146" i="1" s="1"/>
  <c r="H3146" i="1"/>
  <c r="I3146" i="1" s="1"/>
  <c r="J3147" i="1" s="1"/>
  <c r="H3147" i="1"/>
  <c r="I3147" i="1" s="1"/>
  <c r="J3148" i="1" s="1"/>
  <c r="H3148" i="1"/>
  <c r="I3148" i="1" s="1"/>
  <c r="J3149" i="1" s="1"/>
  <c r="H3149" i="1"/>
  <c r="I3149" i="1" s="1"/>
  <c r="J3150" i="1" s="1"/>
  <c r="H3151" i="1"/>
  <c r="I3151" i="1" s="1"/>
  <c r="J3152" i="1" s="1"/>
  <c r="H3152" i="1"/>
  <c r="I3152" i="1" s="1"/>
  <c r="J3153" i="1" s="1"/>
  <c r="H3153" i="1"/>
  <c r="I3153" i="1" s="1"/>
  <c r="J3154" i="1" s="1"/>
  <c r="H3154" i="1"/>
  <c r="I3154" i="1" s="1"/>
  <c r="J3155" i="1" s="1"/>
  <c r="H3155" i="1"/>
  <c r="I3155" i="1" s="1"/>
  <c r="J3156" i="1" s="1"/>
  <c r="H3156" i="1"/>
  <c r="I3156" i="1" s="1"/>
  <c r="J3157" i="1" s="1"/>
  <c r="H3157" i="1"/>
  <c r="I3157" i="1" s="1"/>
  <c r="J3158" i="1" s="1"/>
  <c r="H3158" i="1"/>
  <c r="I3158" i="1" s="1"/>
  <c r="J3159" i="1" s="1"/>
  <c r="H3159" i="1"/>
  <c r="I3159" i="1" s="1"/>
  <c r="J3160" i="1" s="1"/>
  <c r="H3160" i="1"/>
  <c r="I3160" i="1" s="1"/>
  <c r="J3161" i="1" s="1"/>
  <c r="H3161" i="1"/>
  <c r="I3161" i="1" s="1"/>
  <c r="J3162" i="1" s="1"/>
  <c r="H3162" i="1"/>
  <c r="I3162" i="1" s="1"/>
  <c r="J3163" i="1" s="1"/>
  <c r="H3163" i="1"/>
  <c r="I3163" i="1" s="1"/>
  <c r="J3164" i="1" s="1"/>
  <c r="H3164" i="1"/>
  <c r="I3164" i="1" s="1"/>
  <c r="J3165" i="1" s="1"/>
  <c r="H3165" i="1"/>
  <c r="I3165" i="1" s="1"/>
  <c r="J3166" i="1" s="1"/>
  <c r="H3166" i="1"/>
  <c r="I3166" i="1" s="1"/>
  <c r="J3167" i="1" s="1"/>
  <c r="H3167" i="1"/>
  <c r="I3167" i="1" s="1"/>
  <c r="J3168" i="1" s="1"/>
  <c r="H3168" i="1"/>
  <c r="I3168" i="1" s="1"/>
  <c r="J3169" i="1" s="1"/>
  <c r="H3169" i="1"/>
  <c r="I3169" i="1" s="1"/>
  <c r="J3170" i="1" s="1"/>
  <c r="H3170" i="1"/>
  <c r="I3170" i="1" s="1"/>
  <c r="J3171" i="1" s="1"/>
  <c r="H3172" i="1"/>
  <c r="I3172" i="1" s="1"/>
  <c r="J3173" i="1" s="1"/>
  <c r="H3173" i="1"/>
  <c r="I3173" i="1" s="1"/>
  <c r="J3174" i="1" s="1"/>
  <c r="H3174" i="1"/>
  <c r="I3174" i="1" s="1"/>
  <c r="J3175" i="1" s="1"/>
  <c r="H3175" i="1"/>
  <c r="I3175" i="1" s="1"/>
  <c r="J3176" i="1" s="1"/>
  <c r="H3176" i="1"/>
  <c r="I3176" i="1" s="1"/>
  <c r="J3177" i="1" s="1"/>
  <c r="H3177" i="1"/>
  <c r="I3177" i="1" s="1"/>
  <c r="J3178" i="1" s="1"/>
  <c r="H3178" i="1"/>
  <c r="I3178" i="1" s="1"/>
  <c r="J3179" i="1" s="1"/>
  <c r="H3179" i="1"/>
  <c r="I3179" i="1" s="1"/>
  <c r="J3180" i="1" s="1"/>
  <c r="H3180" i="1"/>
  <c r="I3180" i="1" s="1"/>
  <c r="J3181" i="1" s="1"/>
  <c r="H3182" i="1"/>
  <c r="I3182" i="1" s="1"/>
  <c r="J3183" i="1" s="1"/>
  <c r="H3183" i="1"/>
  <c r="I3183" i="1" s="1"/>
  <c r="J3184" i="1" s="1"/>
  <c r="H3184" i="1"/>
  <c r="I3184" i="1" s="1"/>
  <c r="J3185" i="1" s="1"/>
  <c r="H3185" i="1"/>
  <c r="I3185" i="1" s="1"/>
  <c r="J3186" i="1" s="1"/>
  <c r="H3186" i="1"/>
  <c r="I3186" i="1" s="1"/>
  <c r="J3187" i="1" s="1"/>
  <c r="H3187" i="1"/>
  <c r="I3187" i="1" s="1"/>
  <c r="J3188" i="1" s="1"/>
  <c r="H3188" i="1"/>
  <c r="I3188" i="1" s="1"/>
  <c r="J3189" i="1" s="1"/>
  <c r="H3189" i="1"/>
  <c r="I3189" i="1" s="1"/>
  <c r="J3190" i="1" s="1"/>
  <c r="H3190" i="1"/>
  <c r="I3190" i="1" s="1"/>
  <c r="J3191" i="1" s="1"/>
  <c r="H3191" i="1"/>
  <c r="I3191" i="1" s="1"/>
  <c r="J3192" i="1" s="1"/>
  <c r="H3192" i="1"/>
  <c r="I3192" i="1" s="1"/>
  <c r="J3193" i="1" s="1"/>
  <c r="H3193" i="1"/>
  <c r="I3193" i="1" s="1"/>
  <c r="J3194" i="1" s="1"/>
  <c r="H3194" i="1"/>
  <c r="I3194" i="1" s="1"/>
  <c r="J3195" i="1" s="1"/>
  <c r="H3195" i="1"/>
  <c r="I3195" i="1" s="1"/>
  <c r="J3196" i="1" s="1"/>
  <c r="H3196" i="1"/>
  <c r="I3196" i="1" s="1"/>
  <c r="J3197" i="1" s="1"/>
  <c r="H3197" i="1"/>
  <c r="I3197" i="1" s="1"/>
  <c r="J3198" i="1" s="1"/>
  <c r="H3198" i="1"/>
  <c r="I3198" i="1" s="1"/>
  <c r="J3199" i="1" s="1"/>
  <c r="H3199" i="1"/>
  <c r="I3199" i="1" s="1"/>
  <c r="J3200" i="1" s="1"/>
  <c r="H3201" i="1"/>
  <c r="I3201" i="1" s="1"/>
  <c r="J3202" i="1" s="1"/>
  <c r="H3202" i="1"/>
  <c r="I3202" i="1" s="1"/>
  <c r="J3203" i="1" s="1"/>
  <c r="H3203" i="1"/>
  <c r="I3203" i="1" s="1"/>
  <c r="J3204" i="1" s="1"/>
  <c r="H3204" i="1"/>
  <c r="I3204" i="1" s="1"/>
  <c r="J3205" i="1" s="1"/>
  <c r="H3205" i="1"/>
  <c r="I3205" i="1" s="1"/>
  <c r="J3206" i="1" s="1"/>
  <c r="H3206" i="1"/>
  <c r="I3206" i="1" s="1"/>
  <c r="J3207" i="1" s="1"/>
  <c r="H3207" i="1"/>
  <c r="I3207" i="1" s="1"/>
  <c r="J3208" i="1" s="1"/>
  <c r="H3208" i="1"/>
  <c r="I3208" i="1" s="1"/>
  <c r="J3209" i="1" s="1"/>
  <c r="H3209" i="1"/>
  <c r="I3209" i="1" s="1"/>
  <c r="J3210" i="1" s="1"/>
  <c r="H3210" i="1"/>
  <c r="I3210" i="1" s="1"/>
  <c r="J3211" i="1" s="1"/>
  <c r="H3211" i="1"/>
  <c r="I3211" i="1" s="1"/>
  <c r="J3212" i="1" s="1"/>
  <c r="H3212" i="1"/>
  <c r="I3212" i="1" s="1"/>
  <c r="J3213" i="1" s="1"/>
  <c r="H3213" i="1"/>
  <c r="I3213" i="1" s="1"/>
  <c r="J3214" i="1" s="1"/>
  <c r="H3214" i="1"/>
  <c r="I3214" i="1" s="1"/>
  <c r="J3215" i="1" s="1"/>
  <c r="H3215" i="1"/>
  <c r="I3215" i="1" s="1"/>
  <c r="J3216" i="1" s="1"/>
  <c r="H3216" i="1"/>
  <c r="I3216" i="1" s="1"/>
  <c r="J3217" i="1" s="1"/>
  <c r="H3217" i="1"/>
  <c r="I3217" i="1" s="1"/>
  <c r="J3218" i="1" s="1"/>
  <c r="H3218" i="1"/>
  <c r="I3218" i="1" s="1"/>
  <c r="J3219" i="1" s="1"/>
  <c r="H3219" i="1"/>
  <c r="I3219" i="1" s="1"/>
  <c r="J3220" i="1" s="1"/>
  <c r="H3220" i="1"/>
  <c r="I3220" i="1" s="1"/>
  <c r="J3221" i="1" s="1"/>
  <c r="H3221" i="1"/>
  <c r="I3221" i="1" s="1"/>
  <c r="J3222" i="1" s="1"/>
  <c r="H3222" i="1"/>
  <c r="I3222" i="1" s="1"/>
  <c r="J3223" i="1" s="1"/>
  <c r="H3223" i="1"/>
  <c r="I3223" i="1" s="1"/>
  <c r="J3224" i="1" s="1"/>
  <c r="H3224" i="1"/>
  <c r="I3224" i="1" s="1"/>
  <c r="J3225" i="1" s="1"/>
  <c r="H3225" i="1"/>
  <c r="I3225" i="1" s="1"/>
  <c r="J3226" i="1" s="1"/>
  <c r="H3226" i="1"/>
  <c r="I3226" i="1" s="1"/>
  <c r="J3227" i="1" s="1"/>
  <c r="H3227" i="1"/>
  <c r="I3227" i="1" s="1"/>
  <c r="J3228" i="1" s="1"/>
  <c r="H3228" i="1"/>
  <c r="I3228" i="1" s="1"/>
  <c r="J3229" i="1" s="1"/>
  <c r="H3229" i="1"/>
  <c r="I3229" i="1" s="1"/>
  <c r="J3230" i="1" s="1"/>
  <c r="H3230" i="1"/>
  <c r="I3230" i="1" s="1"/>
  <c r="J3231" i="1" s="1"/>
  <c r="H3231" i="1"/>
  <c r="I3231" i="1" s="1"/>
  <c r="J3232" i="1" s="1"/>
  <c r="H3232" i="1"/>
  <c r="I3232" i="1" s="1"/>
  <c r="J3233" i="1" s="1"/>
  <c r="H3233" i="1"/>
  <c r="I3233" i="1" s="1"/>
  <c r="J3234" i="1" s="1"/>
  <c r="H3234" i="1"/>
  <c r="I3234" i="1" s="1"/>
  <c r="J3235" i="1" s="1"/>
  <c r="H3235" i="1"/>
  <c r="I3235" i="1" s="1"/>
  <c r="J3236" i="1" s="1"/>
  <c r="H3236" i="1"/>
  <c r="I3236" i="1" s="1"/>
  <c r="J3237" i="1" s="1"/>
  <c r="H3237" i="1"/>
  <c r="I3237" i="1" s="1"/>
  <c r="J3238" i="1" s="1"/>
  <c r="H3238" i="1"/>
  <c r="I3238" i="1" s="1"/>
  <c r="J3239" i="1" s="1"/>
  <c r="H3239" i="1"/>
  <c r="I3239" i="1" s="1"/>
  <c r="J3240" i="1" s="1"/>
  <c r="H3240" i="1"/>
  <c r="I3240" i="1" s="1"/>
  <c r="J3241" i="1" s="1"/>
  <c r="H3241" i="1"/>
  <c r="I3241" i="1" s="1"/>
  <c r="J3242" i="1" s="1"/>
  <c r="H3242" i="1"/>
  <c r="I3242" i="1" s="1"/>
  <c r="J3243" i="1" s="1"/>
  <c r="H3243" i="1"/>
  <c r="I3243" i="1" s="1"/>
  <c r="J3244" i="1" s="1"/>
  <c r="H3244" i="1"/>
  <c r="I3244" i="1" s="1"/>
  <c r="J3245" i="1" s="1"/>
  <c r="H3245" i="1"/>
  <c r="I3245" i="1" s="1"/>
  <c r="J3246" i="1" s="1"/>
  <c r="H3246" i="1"/>
  <c r="I3246" i="1" s="1"/>
  <c r="J3247" i="1" s="1"/>
  <c r="H3247" i="1"/>
  <c r="I3247" i="1" s="1"/>
  <c r="J3248" i="1" s="1"/>
  <c r="H3248" i="1"/>
  <c r="I3248" i="1" s="1"/>
  <c r="J3249" i="1" s="1"/>
  <c r="H3249" i="1"/>
  <c r="H3250" i="1"/>
  <c r="I3250" i="1" s="1"/>
  <c r="J3251" i="1" s="1"/>
  <c r="H3251" i="1"/>
  <c r="I3251" i="1" s="1"/>
  <c r="J3252" i="1" s="1"/>
  <c r="H3253" i="1"/>
  <c r="I3253" i="1" s="1"/>
  <c r="J3254" i="1" s="1"/>
  <c r="H3254" i="1"/>
  <c r="I3254" i="1" s="1"/>
  <c r="J3255" i="1" s="1"/>
  <c r="H3255" i="1"/>
  <c r="I3255" i="1" s="1"/>
  <c r="J3256" i="1" s="1"/>
  <c r="H3256" i="1"/>
  <c r="I3256" i="1" s="1"/>
  <c r="J3257" i="1" s="1"/>
  <c r="H3257" i="1"/>
  <c r="I3257" i="1" s="1"/>
  <c r="J3258" i="1" s="1"/>
  <c r="H3258" i="1"/>
  <c r="I3258" i="1" s="1"/>
  <c r="J3259" i="1" s="1"/>
  <c r="H3259" i="1"/>
  <c r="I3259" i="1" s="1"/>
  <c r="J3260" i="1" s="1"/>
  <c r="H3260" i="1"/>
  <c r="I3260" i="1" s="1"/>
  <c r="J3261" i="1" s="1"/>
  <c r="H3261" i="1"/>
  <c r="I3261" i="1" s="1"/>
  <c r="J3262" i="1" s="1"/>
  <c r="H3262" i="1"/>
  <c r="I3262" i="1" s="1"/>
  <c r="J3263" i="1" s="1"/>
  <c r="H3263" i="1"/>
  <c r="I3263" i="1" s="1"/>
  <c r="J3264" i="1" s="1"/>
  <c r="H3264" i="1"/>
  <c r="I3264" i="1" s="1"/>
  <c r="J3265" i="1" s="1"/>
  <c r="H3265" i="1"/>
  <c r="I3265" i="1" s="1"/>
  <c r="J3266" i="1" s="1"/>
  <c r="H3266" i="1"/>
  <c r="I3266" i="1" s="1"/>
  <c r="J3267" i="1" s="1"/>
  <c r="H3267" i="1"/>
  <c r="I3267" i="1" s="1"/>
  <c r="J3268" i="1" s="1"/>
  <c r="H3268" i="1"/>
  <c r="I3268" i="1" s="1"/>
  <c r="J3269" i="1" s="1"/>
  <c r="H3269" i="1"/>
  <c r="I3269" i="1" s="1"/>
  <c r="J3270" i="1" s="1"/>
  <c r="H3270" i="1"/>
  <c r="I3270" i="1" s="1"/>
  <c r="J3271" i="1" s="1"/>
  <c r="H3271" i="1"/>
  <c r="I3271" i="1" s="1"/>
  <c r="J3272" i="1" s="1"/>
  <c r="H3272" i="1"/>
  <c r="I3272" i="1" s="1"/>
  <c r="J3273" i="1" s="1"/>
  <c r="H3273" i="1"/>
  <c r="I3273" i="1" s="1"/>
  <c r="J3274" i="1" s="1"/>
  <c r="H3274" i="1"/>
  <c r="I3274" i="1" s="1"/>
  <c r="J3275" i="1" s="1"/>
  <c r="H3275" i="1"/>
  <c r="I3275" i="1" s="1"/>
  <c r="J3276" i="1" s="1"/>
  <c r="H3276" i="1"/>
  <c r="I3276" i="1" s="1"/>
  <c r="J3277" i="1" s="1"/>
  <c r="H3277" i="1"/>
  <c r="I3277" i="1" s="1"/>
  <c r="J3278" i="1" s="1"/>
  <c r="H3278" i="1"/>
  <c r="I3278" i="1" s="1"/>
  <c r="J3279" i="1" s="1"/>
  <c r="H3279" i="1"/>
  <c r="I3279" i="1" s="1"/>
  <c r="J3280" i="1" s="1"/>
  <c r="H3280" i="1"/>
  <c r="I3280" i="1" s="1"/>
  <c r="J3281" i="1" s="1"/>
  <c r="H3281" i="1"/>
  <c r="I3281" i="1" s="1"/>
  <c r="J3282" i="1" s="1"/>
  <c r="H3282" i="1"/>
  <c r="I3282" i="1" s="1"/>
  <c r="J3283" i="1" s="1"/>
  <c r="H3283" i="1"/>
  <c r="I3283" i="1" s="1"/>
  <c r="J3284" i="1" s="1"/>
  <c r="H3284" i="1"/>
  <c r="I3284" i="1" s="1"/>
  <c r="J3285" i="1" s="1"/>
  <c r="H3285" i="1"/>
  <c r="I3285" i="1" s="1"/>
  <c r="J3286" i="1" s="1"/>
  <c r="H3286" i="1"/>
  <c r="I3286" i="1" s="1"/>
  <c r="J3287" i="1" s="1"/>
  <c r="H3287" i="1"/>
  <c r="I3287" i="1" s="1"/>
  <c r="J3288" i="1" s="1"/>
  <c r="H3288" i="1"/>
  <c r="I3288" i="1" s="1"/>
  <c r="J3289" i="1" s="1"/>
  <c r="H3289" i="1"/>
  <c r="I3289" i="1" s="1"/>
  <c r="J3290" i="1" s="1"/>
  <c r="H3290" i="1"/>
  <c r="I3290" i="1" s="1"/>
  <c r="J3291" i="1" s="1"/>
  <c r="H3291" i="1"/>
  <c r="I3291" i="1" s="1"/>
  <c r="J3292" i="1" s="1"/>
  <c r="H3292" i="1"/>
  <c r="I3292" i="1" s="1"/>
  <c r="J3293" i="1" s="1"/>
  <c r="H3293" i="1"/>
  <c r="I3293" i="1" s="1"/>
  <c r="J3294" i="1" s="1"/>
  <c r="H3294" i="1"/>
  <c r="I3294" i="1" s="1"/>
  <c r="J3295" i="1" s="1"/>
  <c r="H3295" i="1"/>
  <c r="I3295" i="1" s="1"/>
  <c r="J3296" i="1" s="1"/>
  <c r="H3296" i="1"/>
  <c r="I3296" i="1" s="1"/>
  <c r="J3297" i="1" s="1"/>
  <c r="H3297" i="1"/>
  <c r="I3297" i="1" s="1"/>
  <c r="J3298" i="1" s="1"/>
  <c r="H3298" i="1"/>
  <c r="I3298" i="1" s="1"/>
  <c r="J3299" i="1" s="1"/>
  <c r="H3299" i="1"/>
  <c r="I3299" i="1" s="1"/>
  <c r="J3300" i="1" s="1"/>
  <c r="H3300" i="1"/>
  <c r="I3300" i="1" s="1"/>
  <c r="J3301" i="1" s="1"/>
  <c r="H3301" i="1"/>
  <c r="I3301" i="1" s="1"/>
  <c r="J3302" i="1" s="1"/>
  <c r="H3302" i="1"/>
  <c r="I3302" i="1" s="1"/>
  <c r="J3303" i="1" s="1"/>
  <c r="H3303" i="1"/>
  <c r="I3303" i="1" s="1"/>
  <c r="J3304" i="1" s="1"/>
  <c r="H3304" i="1"/>
  <c r="I3304" i="1" s="1"/>
  <c r="J3305" i="1" s="1"/>
  <c r="H3305" i="1"/>
  <c r="I3305" i="1" s="1"/>
  <c r="J3306" i="1" s="1"/>
  <c r="H3306" i="1"/>
  <c r="I3306" i="1" s="1"/>
  <c r="J3307" i="1" s="1"/>
  <c r="H3307" i="1"/>
  <c r="I3307" i="1" s="1"/>
  <c r="J3308" i="1" s="1"/>
  <c r="H3308" i="1"/>
  <c r="I3308" i="1" s="1"/>
  <c r="J3309" i="1" s="1"/>
  <c r="H3309" i="1"/>
  <c r="I3309" i="1" s="1"/>
  <c r="J3310" i="1" s="1"/>
  <c r="H3310" i="1"/>
  <c r="I3310" i="1" s="1"/>
  <c r="J3311" i="1" s="1"/>
  <c r="H3311" i="1"/>
  <c r="I3311" i="1" s="1"/>
  <c r="J3312" i="1" s="1"/>
  <c r="H3312" i="1"/>
  <c r="I3312" i="1" s="1"/>
  <c r="J3313" i="1" s="1"/>
  <c r="H3313" i="1"/>
  <c r="I3313" i="1" s="1"/>
  <c r="J3314" i="1" s="1"/>
  <c r="H3314" i="1"/>
  <c r="I3314" i="1" s="1"/>
  <c r="J3315" i="1" s="1"/>
  <c r="H3315" i="1"/>
  <c r="I3315" i="1" s="1"/>
  <c r="J3316" i="1" s="1"/>
  <c r="H3316" i="1"/>
  <c r="I3316" i="1" s="1"/>
  <c r="J3317" i="1" s="1"/>
  <c r="H3317" i="1"/>
  <c r="I3317" i="1" s="1"/>
  <c r="J3318" i="1" s="1"/>
  <c r="H3318" i="1"/>
  <c r="I3318" i="1" s="1"/>
  <c r="J3319" i="1" s="1"/>
  <c r="H3319" i="1"/>
  <c r="I3319" i="1" s="1"/>
  <c r="J3320" i="1" s="1"/>
  <c r="H3320" i="1"/>
  <c r="I3320" i="1" s="1"/>
  <c r="J3321" i="1" s="1"/>
  <c r="H3321" i="1"/>
  <c r="I3321" i="1" s="1"/>
  <c r="J3322" i="1" s="1"/>
  <c r="H3322" i="1"/>
  <c r="I3322" i="1" s="1"/>
  <c r="J3323" i="1" s="1"/>
  <c r="H3323" i="1"/>
  <c r="I3323" i="1" s="1"/>
  <c r="J3324" i="1" s="1"/>
  <c r="H3324" i="1"/>
  <c r="I3324" i="1" s="1"/>
  <c r="J3325" i="1" s="1"/>
  <c r="H3325" i="1"/>
  <c r="I3325" i="1" s="1"/>
  <c r="J3326" i="1" s="1"/>
  <c r="H3326" i="1"/>
  <c r="I3326" i="1" s="1"/>
  <c r="J3327" i="1" s="1"/>
  <c r="H3327" i="1"/>
  <c r="I3327" i="1" s="1"/>
  <c r="J3328" i="1" s="1"/>
  <c r="H3328" i="1"/>
  <c r="I3328" i="1" s="1"/>
  <c r="J3329" i="1" s="1"/>
  <c r="H3329" i="1"/>
  <c r="I3329" i="1" s="1"/>
  <c r="J3330" i="1" s="1"/>
  <c r="H3330" i="1"/>
  <c r="I3330" i="1" s="1"/>
  <c r="J3331" i="1" s="1"/>
  <c r="H3331" i="1"/>
  <c r="I3331" i="1" s="1"/>
  <c r="J3332" i="1" s="1"/>
  <c r="H3332" i="1"/>
  <c r="I3332" i="1" s="1"/>
  <c r="J3333" i="1" s="1"/>
  <c r="H3333" i="1"/>
  <c r="I3333" i="1" s="1"/>
  <c r="J3334" i="1" s="1"/>
  <c r="H3334" i="1"/>
  <c r="I3334" i="1" s="1"/>
  <c r="J3335" i="1" s="1"/>
  <c r="H3335" i="1"/>
  <c r="I3335" i="1" s="1"/>
  <c r="J3336" i="1" s="1"/>
  <c r="H3336" i="1"/>
  <c r="I3336" i="1" s="1"/>
  <c r="J3337" i="1" s="1"/>
  <c r="H3337" i="1"/>
  <c r="I3337" i="1" s="1"/>
  <c r="J3338" i="1" s="1"/>
  <c r="H3338" i="1"/>
  <c r="I3338" i="1" s="1"/>
  <c r="J3339" i="1" s="1"/>
  <c r="H3339" i="1"/>
  <c r="I3339" i="1" s="1"/>
  <c r="J3340" i="1" s="1"/>
  <c r="H3340" i="1"/>
  <c r="I3340" i="1" s="1"/>
  <c r="J3341" i="1" s="1"/>
  <c r="H3341" i="1"/>
  <c r="I3341" i="1" s="1"/>
  <c r="J3342" i="1" s="1"/>
  <c r="H3342" i="1"/>
  <c r="I3342" i="1" s="1"/>
  <c r="J3343" i="1" s="1"/>
  <c r="H3343" i="1"/>
  <c r="I3343" i="1" s="1"/>
  <c r="J3344" i="1" s="1"/>
  <c r="H3344" i="1"/>
  <c r="I3344" i="1" s="1"/>
  <c r="J3345" i="1" s="1"/>
  <c r="H3345" i="1"/>
  <c r="I3345" i="1" s="1"/>
  <c r="J3346" i="1" s="1"/>
  <c r="H3346" i="1"/>
  <c r="I3346" i="1" s="1"/>
  <c r="J3347" i="1" s="1"/>
  <c r="H3347" i="1"/>
  <c r="I3347" i="1" s="1"/>
  <c r="J3348" i="1" s="1"/>
  <c r="H3348" i="1"/>
  <c r="I3348" i="1" s="1"/>
  <c r="J3349" i="1" s="1"/>
  <c r="H3349" i="1"/>
  <c r="I3349" i="1" s="1"/>
  <c r="J3350" i="1" s="1"/>
  <c r="H3350" i="1"/>
  <c r="I3350" i="1" s="1"/>
  <c r="J3351" i="1" s="1"/>
  <c r="H3351" i="1"/>
  <c r="I3351" i="1" s="1"/>
  <c r="J3352" i="1" s="1"/>
  <c r="H3352" i="1"/>
  <c r="I3352" i="1" s="1"/>
  <c r="J3353" i="1" s="1"/>
  <c r="H3353" i="1"/>
  <c r="I3353" i="1" s="1"/>
  <c r="J3354" i="1" s="1"/>
  <c r="H3354" i="1"/>
  <c r="I3354" i="1" s="1"/>
  <c r="J3355" i="1" s="1"/>
  <c r="H3355" i="1"/>
  <c r="I3355" i="1" s="1"/>
  <c r="J3356" i="1" s="1"/>
  <c r="H3356" i="1"/>
  <c r="I3356" i="1" s="1"/>
  <c r="J3357" i="1" s="1"/>
  <c r="H3357" i="1"/>
  <c r="I3357" i="1" s="1"/>
  <c r="J3358" i="1" s="1"/>
  <c r="H3358" i="1"/>
  <c r="I3358" i="1" s="1"/>
  <c r="J3359" i="1" s="1"/>
  <c r="H3359" i="1"/>
  <c r="I3359" i="1" s="1"/>
  <c r="J3360" i="1" s="1"/>
  <c r="H3360" i="1"/>
  <c r="I3360" i="1" s="1"/>
  <c r="J3361" i="1" s="1"/>
  <c r="H3361" i="1"/>
  <c r="I3361" i="1" s="1"/>
  <c r="J3362" i="1" s="1"/>
  <c r="H3362" i="1"/>
  <c r="I3362" i="1" s="1"/>
  <c r="J3363" i="1" s="1"/>
  <c r="H3363" i="1"/>
  <c r="I3363" i="1" s="1"/>
  <c r="J3364" i="1" s="1"/>
  <c r="H3364" i="1"/>
  <c r="I3364" i="1" s="1"/>
  <c r="J3365" i="1" s="1"/>
  <c r="H3365" i="1"/>
  <c r="I3365" i="1" s="1"/>
  <c r="J3366" i="1" s="1"/>
  <c r="H3366" i="1"/>
  <c r="I3366" i="1" s="1"/>
  <c r="J3367" i="1" s="1"/>
  <c r="H3367" i="1"/>
  <c r="I3367" i="1" s="1"/>
  <c r="J3368" i="1" s="1"/>
  <c r="H3368" i="1"/>
  <c r="I3368" i="1" s="1"/>
  <c r="J3369" i="1" s="1"/>
  <c r="H3369" i="1"/>
  <c r="H3370" i="1"/>
  <c r="I3370" i="1" s="1"/>
  <c r="J3371" i="1" s="1"/>
  <c r="H3371" i="1"/>
  <c r="I3371" i="1" s="1"/>
  <c r="J3372" i="1" s="1"/>
  <c r="H3372" i="1"/>
  <c r="I3372" i="1" s="1"/>
  <c r="J3373" i="1" s="1"/>
  <c r="H3373" i="1"/>
  <c r="I3373" i="1" s="1"/>
  <c r="J3374" i="1" s="1"/>
  <c r="H3374" i="1"/>
  <c r="I3374" i="1" s="1"/>
  <c r="J3375" i="1" s="1"/>
  <c r="H3375" i="1"/>
  <c r="I3375" i="1" s="1"/>
  <c r="J3376" i="1" s="1"/>
  <c r="H3376" i="1"/>
  <c r="I3376" i="1" s="1"/>
  <c r="J3377" i="1" s="1"/>
  <c r="H3377" i="1"/>
  <c r="I3377" i="1" s="1"/>
  <c r="J3378" i="1" s="1"/>
  <c r="H3378" i="1"/>
  <c r="I3378" i="1" s="1"/>
  <c r="J3379" i="1" s="1"/>
  <c r="H3379" i="1"/>
  <c r="I3379" i="1" s="1"/>
  <c r="J3380" i="1" s="1"/>
  <c r="H3380" i="1"/>
  <c r="I3380" i="1" s="1"/>
  <c r="J3381" i="1" s="1"/>
  <c r="H3381" i="1"/>
  <c r="I3381" i="1" s="1"/>
  <c r="J3382" i="1" s="1"/>
  <c r="H3382" i="1"/>
  <c r="I3382" i="1" s="1"/>
  <c r="J3383" i="1" s="1"/>
  <c r="H3383" i="1"/>
  <c r="I3383" i="1" s="1"/>
  <c r="J3384" i="1" s="1"/>
  <c r="H3384" i="1"/>
  <c r="I3384" i="1" s="1"/>
  <c r="J3385" i="1" s="1"/>
  <c r="H3385" i="1"/>
  <c r="I3385" i="1" s="1"/>
  <c r="J3386" i="1" s="1"/>
  <c r="H3386" i="1"/>
  <c r="I3386" i="1" s="1"/>
  <c r="J3387" i="1" s="1"/>
  <c r="H3387" i="1"/>
  <c r="I3387" i="1" s="1"/>
  <c r="J3388" i="1" s="1"/>
  <c r="H3388" i="1"/>
  <c r="I3388" i="1" s="1"/>
  <c r="J3389" i="1" s="1"/>
  <c r="H3389" i="1"/>
  <c r="I3389" i="1" s="1"/>
  <c r="J3390" i="1" s="1"/>
  <c r="H3390" i="1"/>
  <c r="I3390" i="1" s="1"/>
  <c r="J3391" i="1" s="1"/>
  <c r="H3391" i="1"/>
  <c r="I3391" i="1" s="1"/>
  <c r="J3392" i="1" s="1"/>
  <c r="H3392" i="1"/>
  <c r="I3392" i="1" s="1"/>
  <c r="J3393" i="1" s="1"/>
  <c r="H3393" i="1"/>
  <c r="I3393" i="1" s="1"/>
  <c r="J3394" i="1" s="1"/>
  <c r="H3394" i="1"/>
  <c r="I3394" i="1" s="1"/>
  <c r="J3395" i="1" s="1"/>
  <c r="H3395" i="1"/>
  <c r="I3395" i="1" s="1"/>
  <c r="J3396" i="1" s="1"/>
  <c r="H3396" i="1"/>
  <c r="I3396" i="1" s="1"/>
  <c r="J3397" i="1" s="1"/>
  <c r="H3397" i="1"/>
  <c r="I3397" i="1" s="1"/>
  <c r="J3398" i="1" s="1"/>
  <c r="H3398" i="1"/>
  <c r="I3398" i="1" s="1"/>
  <c r="J3399" i="1" s="1"/>
  <c r="H3399" i="1"/>
  <c r="I3399" i="1" s="1"/>
  <c r="J3400" i="1" s="1"/>
  <c r="H3400" i="1"/>
  <c r="I3400" i="1" s="1"/>
  <c r="J3401" i="1" s="1"/>
  <c r="H3401" i="1"/>
  <c r="I3401" i="1" s="1"/>
  <c r="J3402" i="1" s="1"/>
  <c r="H3402" i="1"/>
  <c r="I3402" i="1" s="1"/>
  <c r="J3403" i="1" s="1"/>
  <c r="H3403" i="1"/>
  <c r="I3403" i="1" s="1"/>
  <c r="J3404" i="1" s="1"/>
  <c r="H3404" i="1"/>
  <c r="I3404" i="1" s="1"/>
  <c r="J3405" i="1" s="1"/>
  <c r="H3405" i="1"/>
  <c r="I3405" i="1" s="1"/>
  <c r="J3406" i="1" s="1"/>
  <c r="H3406" i="1"/>
  <c r="I3406" i="1" s="1"/>
  <c r="J3407" i="1" s="1"/>
  <c r="H3407" i="1"/>
  <c r="I3407" i="1" s="1"/>
  <c r="J3408" i="1" s="1"/>
  <c r="H3408" i="1"/>
  <c r="I3408" i="1" s="1"/>
  <c r="J3409" i="1" s="1"/>
  <c r="H3409" i="1"/>
  <c r="I3409" i="1" s="1"/>
  <c r="J3410" i="1" s="1"/>
  <c r="H3410" i="1"/>
  <c r="I3410" i="1" s="1"/>
  <c r="J3411" i="1" s="1"/>
  <c r="H3411" i="1"/>
  <c r="I3411" i="1" s="1"/>
  <c r="J3412" i="1" s="1"/>
  <c r="H3412" i="1"/>
  <c r="I3412" i="1" s="1"/>
  <c r="J3413" i="1" s="1"/>
  <c r="H3413" i="1"/>
  <c r="I3413" i="1" s="1"/>
  <c r="J3414" i="1" s="1"/>
  <c r="H3414" i="1"/>
  <c r="I3414" i="1" s="1"/>
  <c r="J3415" i="1" s="1"/>
  <c r="H3415" i="1"/>
  <c r="I3415" i="1" s="1"/>
  <c r="J3416" i="1" s="1"/>
  <c r="H3416" i="1"/>
  <c r="I3416" i="1" s="1"/>
  <c r="J3417" i="1" s="1"/>
  <c r="H3417" i="1"/>
  <c r="I3417" i="1" s="1"/>
  <c r="J3418" i="1" s="1"/>
  <c r="H3418" i="1"/>
  <c r="I3418" i="1" s="1"/>
  <c r="J3419" i="1" s="1"/>
  <c r="H3419" i="1"/>
  <c r="I3419" i="1" s="1"/>
  <c r="J3420" i="1" s="1"/>
  <c r="H3420" i="1"/>
  <c r="I3420" i="1" s="1"/>
  <c r="J3421" i="1" s="1"/>
  <c r="H3421" i="1"/>
  <c r="I3421" i="1" s="1"/>
  <c r="J3422" i="1" s="1"/>
  <c r="H3422" i="1"/>
  <c r="I3422" i="1" s="1"/>
  <c r="J3423" i="1" s="1"/>
  <c r="H3423" i="1"/>
  <c r="I3423" i="1" s="1"/>
  <c r="J3424" i="1" s="1"/>
  <c r="H3424" i="1"/>
  <c r="I3424" i="1" s="1"/>
  <c r="J3425" i="1" s="1"/>
  <c r="H3425" i="1"/>
  <c r="I3425" i="1" s="1"/>
  <c r="J3426" i="1" s="1"/>
  <c r="H3426" i="1"/>
  <c r="I3426" i="1" s="1"/>
  <c r="J3427" i="1" s="1"/>
  <c r="H3427" i="1"/>
  <c r="I3427" i="1" s="1"/>
  <c r="J3428" i="1" s="1"/>
  <c r="H3428" i="1"/>
  <c r="I3428" i="1" s="1"/>
  <c r="J3429" i="1" s="1"/>
  <c r="H3429" i="1"/>
  <c r="I3429" i="1" s="1"/>
  <c r="J3430" i="1" s="1"/>
  <c r="H3430" i="1"/>
  <c r="I3430" i="1" s="1"/>
  <c r="J3431" i="1" s="1"/>
  <c r="H3431" i="1"/>
  <c r="I3431" i="1" s="1"/>
  <c r="J3432" i="1" s="1"/>
  <c r="H3432" i="1"/>
  <c r="I3432" i="1" s="1"/>
  <c r="J3433" i="1" s="1"/>
  <c r="H3433" i="1"/>
  <c r="I3433" i="1" s="1"/>
  <c r="J3434" i="1" s="1"/>
  <c r="H3434" i="1"/>
  <c r="I3434" i="1" s="1"/>
  <c r="J3435" i="1" s="1"/>
  <c r="H3435" i="1"/>
  <c r="I3435" i="1" s="1"/>
  <c r="J3436" i="1" s="1"/>
  <c r="H3436" i="1"/>
  <c r="I3436" i="1" s="1"/>
  <c r="J3437" i="1" s="1"/>
  <c r="H3437" i="1"/>
  <c r="I3437" i="1" s="1"/>
  <c r="J3438" i="1" s="1"/>
  <c r="H3438" i="1"/>
  <c r="I3438" i="1" s="1"/>
  <c r="J3439" i="1" s="1"/>
  <c r="H3439" i="1"/>
  <c r="I3439" i="1" s="1"/>
  <c r="J3440" i="1" s="1"/>
  <c r="H3440" i="1"/>
  <c r="I3440" i="1" s="1"/>
  <c r="J3441" i="1" s="1"/>
  <c r="H3441" i="1"/>
  <c r="I3441" i="1" s="1"/>
  <c r="J3442" i="1" s="1"/>
  <c r="H3442" i="1"/>
  <c r="I3442" i="1" s="1"/>
  <c r="J3443" i="1" s="1"/>
  <c r="H3443" i="1"/>
  <c r="I3443" i="1" s="1"/>
  <c r="J3444" i="1" s="1"/>
  <c r="H3444" i="1"/>
  <c r="I3444" i="1" s="1"/>
  <c r="J3445" i="1" s="1"/>
  <c r="H3445" i="1"/>
  <c r="I3445" i="1" s="1"/>
  <c r="J3446" i="1" s="1"/>
  <c r="H3446" i="1"/>
  <c r="I3446" i="1" s="1"/>
  <c r="J3447" i="1" s="1"/>
  <c r="H3447" i="1"/>
  <c r="I3447" i="1" s="1"/>
  <c r="J3448" i="1" s="1"/>
  <c r="H3448" i="1"/>
  <c r="I3448" i="1" s="1"/>
  <c r="J3449" i="1" s="1"/>
  <c r="H3449" i="1"/>
  <c r="I3449" i="1" s="1"/>
  <c r="J3450" i="1" s="1"/>
  <c r="H3450" i="1"/>
  <c r="I3450" i="1" s="1"/>
  <c r="J3451" i="1" s="1"/>
  <c r="H3451" i="1"/>
  <c r="I3451" i="1" s="1"/>
  <c r="J3452" i="1" s="1"/>
  <c r="H3452" i="1"/>
  <c r="I3452" i="1" s="1"/>
  <c r="J3453" i="1" s="1"/>
  <c r="H3453" i="1"/>
  <c r="I3453" i="1" s="1"/>
  <c r="J3454" i="1" s="1"/>
  <c r="H3454" i="1"/>
  <c r="I3454" i="1" s="1"/>
  <c r="J3455" i="1" s="1"/>
  <c r="H3455" i="1"/>
  <c r="I3455" i="1" s="1"/>
  <c r="J3456" i="1" s="1"/>
  <c r="H3456" i="1"/>
  <c r="I3456" i="1" s="1"/>
  <c r="J3457" i="1" s="1"/>
  <c r="H3457" i="1"/>
  <c r="I3457" i="1" s="1"/>
  <c r="J3458" i="1" s="1"/>
  <c r="H3458" i="1"/>
  <c r="I3458" i="1" s="1"/>
  <c r="J3459" i="1" s="1"/>
  <c r="H3459" i="1"/>
  <c r="I3459" i="1" s="1"/>
  <c r="J3460" i="1" s="1"/>
  <c r="H3460" i="1"/>
  <c r="I3460" i="1" s="1"/>
  <c r="J3461" i="1" s="1"/>
  <c r="H3461" i="1"/>
  <c r="I3461" i="1" s="1"/>
  <c r="J3462" i="1" s="1"/>
  <c r="H3462" i="1"/>
  <c r="I3462" i="1" s="1"/>
  <c r="J3463" i="1" s="1"/>
  <c r="H3463" i="1"/>
  <c r="I3463" i="1" s="1"/>
  <c r="J3464" i="1" s="1"/>
  <c r="H3464" i="1"/>
  <c r="I3464" i="1" s="1"/>
  <c r="J3465" i="1" s="1"/>
  <c r="H3465" i="1"/>
  <c r="I3465" i="1" s="1"/>
  <c r="J3466" i="1" s="1"/>
  <c r="H3466" i="1"/>
  <c r="I3466" i="1" s="1"/>
  <c r="J3467" i="1" s="1"/>
  <c r="H3467" i="1"/>
  <c r="I3467" i="1" s="1"/>
  <c r="J3468" i="1" s="1"/>
  <c r="H3468" i="1"/>
  <c r="I3468" i="1" s="1"/>
  <c r="J3469" i="1" s="1"/>
  <c r="H3469" i="1"/>
  <c r="I3469" i="1" s="1"/>
  <c r="J3470" i="1" s="1"/>
  <c r="H3470" i="1"/>
  <c r="I3470" i="1" s="1"/>
  <c r="J3471" i="1" s="1"/>
  <c r="H3471" i="1"/>
  <c r="I3471" i="1" s="1"/>
  <c r="J3472" i="1" s="1"/>
  <c r="H3472" i="1"/>
  <c r="I3472" i="1" s="1"/>
  <c r="J3473" i="1" s="1"/>
  <c r="H3473" i="1"/>
  <c r="I3473" i="1" s="1"/>
  <c r="J3474" i="1" s="1"/>
  <c r="H3474" i="1"/>
  <c r="I3474" i="1" s="1"/>
  <c r="J3475" i="1" s="1"/>
  <c r="H3475" i="1"/>
  <c r="I3475" i="1" s="1"/>
  <c r="J3476" i="1" s="1"/>
  <c r="H3476" i="1"/>
  <c r="I3476" i="1" s="1"/>
  <c r="J3477" i="1" s="1"/>
  <c r="H3477" i="1"/>
  <c r="I3477" i="1" s="1"/>
  <c r="J3478" i="1" s="1"/>
  <c r="H3478" i="1"/>
  <c r="I3478" i="1" s="1"/>
  <c r="J3479" i="1" s="1"/>
  <c r="H3479" i="1"/>
  <c r="I3479" i="1" s="1"/>
  <c r="J3480" i="1" s="1"/>
  <c r="H3480" i="1"/>
  <c r="I3480" i="1" s="1"/>
  <c r="J3481" i="1" s="1"/>
  <c r="H3481" i="1"/>
  <c r="I3481" i="1" s="1"/>
  <c r="J3482" i="1" s="1"/>
  <c r="H3482" i="1"/>
  <c r="I3482" i="1" s="1"/>
  <c r="J3483" i="1" s="1"/>
  <c r="H3483" i="1"/>
  <c r="I3483" i="1" s="1"/>
  <c r="J3484" i="1" s="1"/>
  <c r="H3484" i="1"/>
  <c r="I3484" i="1" s="1"/>
  <c r="J3485" i="1" s="1"/>
  <c r="H3485" i="1"/>
  <c r="I3485" i="1" s="1"/>
  <c r="J3486" i="1" s="1"/>
  <c r="H3486" i="1"/>
  <c r="I3486" i="1" s="1"/>
  <c r="J3487" i="1" s="1"/>
  <c r="H3487" i="1"/>
  <c r="I3487" i="1" s="1"/>
  <c r="J3488" i="1" s="1"/>
  <c r="H3488" i="1"/>
  <c r="I3488" i="1" s="1"/>
  <c r="J3489" i="1" s="1"/>
  <c r="H3489" i="1"/>
  <c r="I3489" i="1" s="1"/>
  <c r="J3490" i="1" s="1"/>
  <c r="H3490" i="1"/>
  <c r="I3490" i="1" s="1"/>
  <c r="J3491" i="1" s="1"/>
  <c r="H3491" i="1"/>
  <c r="I3491" i="1" s="1"/>
  <c r="J3492" i="1" s="1"/>
  <c r="H3492" i="1"/>
  <c r="I3492" i="1" s="1"/>
  <c r="J3493" i="1" s="1"/>
  <c r="H3493" i="1"/>
  <c r="I3493" i="1" s="1"/>
  <c r="J3494" i="1" s="1"/>
  <c r="H3494" i="1"/>
  <c r="I3494" i="1" s="1"/>
  <c r="J3495" i="1" s="1"/>
  <c r="H3495" i="1"/>
  <c r="I3495" i="1" s="1"/>
  <c r="J3496" i="1" s="1"/>
  <c r="H3496" i="1"/>
  <c r="I3496" i="1" s="1"/>
  <c r="J3497" i="1" s="1"/>
  <c r="H3497" i="1"/>
  <c r="I3497" i="1" s="1"/>
  <c r="J3498" i="1" s="1"/>
  <c r="H3498" i="1"/>
  <c r="I3498" i="1" s="1"/>
  <c r="J3499" i="1" s="1"/>
  <c r="H3499" i="1"/>
  <c r="I3499" i="1" s="1"/>
  <c r="J3500" i="1" s="1"/>
  <c r="H3500" i="1"/>
  <c r="I3500" i="1" s="1"/>
  <c r="J3501" i="1" s="1"/>
  <c r="H3501" i="1"/>
  <c r="I3501" i="1" s="1"/>
  <c r="J3502" i="1" s="1"/>
  <c r="H3502" i="1"/>
  <c r="I3502" i="1" s="1"/>
  <c r="J3503" i="1" s="1"/>
  <c r="H3503" i="1"/>
  <c r="I3503" i="1" s="1"/>
  <c r="J3504" i="1" s="1"/>
  <c r="H3504" i="1"/>
  <c r="I3504" i="1" s="1"/>
  <c r="J3505" i="1" s="1"/>
  <c r="H3505" i="1"/>
  <c r="I3505" i="1" s="1"/>
  <c r="J3506" i="1" s="1"/>
  <c r="H3506" i="1"/>
  <c r="I3506" i="1" s="1"/>
  <c r="J3507" i="1" s="1"/>
  <c r="H3507" i="1"/>
  <c r="I3507" i="1" s="1"/>
  <c r="J3508" i="1" s="1"/>
  <c r="H3508" i="1"/>
  <c r="I3508" i="1" s="1"/>
  <c r="J3509" i="1" s="1"/>
  <c r="H3509" i="1"/>
  <c r="I3509" i="1" s="1"/>
  <c r="J3510" i="1" s="1"/>
  <c r="H3510" i="1"/>
  <c r="I3510" i="1" s="1"/>
  <c r="J3511" i="1" s="1"/>
  <c r="H3511" i="1"/>
  <c r="I3511" i="1" s="1"/>
  <c r="J3512" i="1" s="1"/>
  <c r="H3512" i="1"/>
  <c r="I3512" i="1" s="1"/>
  <c r="J3513" i="1" s="1"/>
  <c r="H3513" i="1"/>
  <c r="I3513" i="1" s="1"/>
  <c r="J3514" i="1" s="1"/>
  <c r="H3514" i="1"/>
  <c r="I3514" i="1" s="1"/>
  <c r="J3515" i="1" s="1"/>
  <c r="H3515" i="1"/>
  <c r="I3515" i="1" s="1"/>
  <c r="J3516" i="1" s="1"/>
  <c r="H3516" i="1"/>
  <c r="I3516" i="1" s="1"/>
  <c r="J3517" i="1" s="1"/>
  <c r="H3517" i="1"/>
  <c r="I3517" i="1" s="1"/>
  <c r="J3518" i="1" s="1"/>
  <c r="H3518" i="1"/>
  <c r="I3518" i="1" s="1"/>
  <c r="J3519" i="1" s="1"/>
  <c r="H3519" i="1"/>
  <c r="I3519" i="1" s="1"/>
  <c r="J3520" i="1" s="1"/>
  <c r="H3520" i="1"/>
  <c r="I3520" i="1" s="1"/>
  <c r="J3521" i="1" s="1"/>
  <c r="H3521" i="1"/>
  <c r="I3521" i="1" s="1"/>
  <c r="J3522" i="1" s="1"/>
  <c r="H3522" i="1"/>
  <c r="I3522" i="1" s="1"/>
  <c r="J3523" i="1" s="1"/>
  <c r="H3523" i="1"/>
  <c r="I3523" i="1" s="1"/>
  <c r="J3524" i="1" s="1"/>
  <c r="H3524" i="1"/>
  <c r="I3524" i="1" s="1"/>
  <c r="J3525" i="1" s="1"/>
  <c r="H3525" i="1"/>
  <c r="I3525" i="1" s="1"/>
  <c r="J3526" i="1" s="1"/>
  <c r="H3526" i="1"/>
  <c r="I3526" i="1" s="1"/>
  <c r="J3527" i="1" s="1"/>
  <c r="H3527" i="1"/>
  <c r="I3527" i="1" s="1"/>
  <c r="J3528" i="1" s="1"/>
  <c r="H3528" i="1"/>
  <c r="I3528" i="1" s="1"/>
  <c r="J3529" i="1" s="1"/>
  <c r="H3529" i="1"/>
  <c r="I3529" i="1" s="1"/>
  <c r="J3530" i="1" s="1"/>
  <c r="H3530" i="1"/>
  <c r="I3530" i="1" s="1"/>
  <c r="J3531" i="1" s="1"/>
  <c r="H3531" i="1"/>
  <c r="I3531" i="1" s="1"/>
  <c r="J3532" i="1" s="1"/>
  <c r="H3532" i="1"/>
  <c r="I3532" i="1" s="1"/>
  <c r="J3533" i="1" s="1"/>
  <c r="H3533" i="1"/>
  <c r="I3533" i="1" s="1"/>
  <c r="J3534" i="1" s="1"/>
  <c r="H3534" i="1"/>
  <c r="I3534" i="1" s="1"/>
  <c r="J3535" i="1" s="1"/>
  <c r="H3535" i="1"/>
  <c r="I3535" i="1" s="1"/>
  <c r="J3536" i="1" s="1"/>
  <c r="H3536" i="1"/>
  <c r="I3536" i="1" s="1"/>
  <c r="J3537" i="1" s="1"/>
  <c r="H3537" i="1"/>
  <c r="I3537" i="1" s="1"/>
  <c r="J3538" i="1" s="1"/>
  <c r="H3538" i="1"/>
  <c r="I3538" i="1" s="1"/>
  <c r="J3539" i="1" s="1"/>
  <c r="H3539" i="1"/>
  <c r="I3539" i="1" s="1"/>
  <c r="J3540" i="1" s="1"/>
  <c r="H3540" i="1"/>
  <c r="I3540" i="1" s="1"/>
  <c r="J3541" i="1" s="1"/>
  <c r="H3541" i="1"/>
  <c r="I3541" i="1" s="1"/>
  <c r="J3542" i="1" s="1"/>
  <c r="H3542" i="1"/>
  <c r="I3542" i="1" s="1"/>
  <c r="J3543" i="1" s="1"/>
  <c r="H3543" i="1"/>
  <c r="I3543" i="1" s="1"/>
  <c r="J3544" i="1" s="1"/>
  <c r="H3544" i="1"/>
  <c r="I3544" i="1" s="1"/>
  <c r="J3545" i="1" s="1"/>
  <c r="H3545" i="1"/>
  <c r="I3545" i="1" s="1"/>
  <c r="J3546" i="1" s="1"/>
  <c r="H3546" i="1"/>
  <c r="I3546" i="1" s="1"/>
  <c r="J3547" i="1" s="1"/>
  <c r="H3547" i="1"/>
  <c r="I3547" i="1" s="1"/>
  <c r="J3548" i="1" s="1"/>
  <c r="H3548" i="1"/>
  <c r="I3548" i="1" s="1"/>
  <c r="J3549" i="1" s="1"/>
  <c r="H3549" i="1"/>
  <c r="I3549" i="1" s="1"/>
  <c r="J3550" i="1" s="1"/>
  <c r="H3550" i="1"/>
  <c r="I3550" i="1" s="1"/>
  <c r="J3551" i="1" s="1"/>
  <c r="H3551" i="1"/>
  <c r="I3551" i="1" s="1"/>
  <c r="J3552" i="1" s="1"/>
  <c r="H3552" i="1"/>
  <c r="I3552" i="1" s="1"/>
  <c r="J3553" i="1" s="1"/>
  <c r="H3553" i="1"/>
  <c r="I3553" i="1" s="1"/>
  <c r="J3554" i="1" s="1"/>
  <c r="H3554" i="1"/>
  <c r="I3554" i="1" s="1"/>
  <c r="J3555" i="1" s="1"/>
  <c r="H3555" i="1"/>
  <c r="I3555" i="1" s="1"/>
  <c r="J3556" i="1" s="1"/>
  <c r="H3556" i="1"/>
  <c r="I3556" i="1" s="1"/>
  <c r="J3557" i="1" s="1"/>
  <c r="H3557" i="1"/>
  <c r="I3557" i="1" s="1"/>
  <c r="J3558" i="1" s="1"/>
  <c r="H3558" i="1"/>
  <c r="I3558" i="1" s="1"/>
  <c r="J3559" i="1" s="1"/>
  <c r="H3559" i="1"/>
  <c r="I3559" i="1" s="1"/>
  <c r="J3560" i="1" s="1"/>
  <c r="H3560" i="1"/>
  <c r="I3560" i="1" s="1"/>
  <c r="J3561" i="1" s="1"/>
  <c r="H3561" i="1"/>
  <c r="I3561" i="1" s="1"/>
  <c r="J3562" i="1" s="1"/>
  <c r="H3562" i="1"/>
  <c r="I3562" i="1" s="1"/>
  <c r="J3563" i="1" s="1"/>
  <c r="H3563" i="1"/>
  <c r="I3563" i="1" s="1"/>
  <c r="J3564" i="1" s="1"/>
  <c r="H3564" i="1"/>
  <c r="I3564" i="1" s="1"/>
  <c r="J3565" i="1" s="1"/>
  <c r="H3565" i="1"/>
  <c r="I3565" i="1" s="1"/>
  <c r="J3566" i="1" s="1"/>
  <c r="H3566" i="1"/>
  <c r="I3566" i="1" s="1"/>
  <c r="J3567" i="1" s="1"/>
  <c r="H3567" i="1"/>
  <c r="I3567" i="1" s="1"/>
  <c r="J3568" i="1" s="1"/>
  <c r="H3568" i="1"/>
  <c r="I3568" i="1" s="1"/>
  <c r="J3569" i="1" s="1"/>
  <c r="H3569" i="1"/>
  <c r="I3569" i="1" s="1"/>
  <c r="J3570" i="1" s="1"/>
  <c r="H3570" i="1"/>
  <c r="I3570" i="1" s="1"/>
  <c r="J3571" i="1" s="1"/>
  <c r="H3571" i="1"/>
  <c r="I3571" i="1" s="1"/>
  <c r="J3572" i="1" s="1"/>
  <c r="H3572" i="1"/>
  <c r="I3572" i="1" s="1"/>
  <c r="J3573" i="1" s="1"/>
  <c r="H3573" i="1"/>
  <c r="I3573" i="1" s="1"/>
  <c r="J3574" i="1" s="1"/>
  <c r="H3574" i="1"/>
  <c r="I3574" i="1" s="1"/>
  <c r="J3575" i="1" s="1"/>
  <c r="H3575" i="1"/>
  <c r="I3575" i="1" s="1"/>
  <c r="J3576" i="1" s="1"/>
  <c r="H3576" i="1"/>
  <c r="I3576" i="1" s="1"/>
  <c r="J3577" i="1" s="1"/>
  <c r="H3577" i="1"/>
  <c r="I3577" i="1" s="1"/>
  <c r="J3578" i="1" s="1"/>
  <c r="H3578" i="1"/>
  <c r="I3578" i="1" s="1"/>
  <c r="J3579" i="1" s="1"/>
  <c r="H3579" i="1"/>
  <c r="I3579" i="1" s="1"/>
  <c r="J3580" i="1" s="1"/>
  <c r="H3580" i="1"/>
  <c r="I3580" i="1" s="1"/>
  <c r="J3581" i="1" s="1"/>
  <c r="H3581" i="1"/>
  <c r="I3581" i="1" s="1"/>
  <c r="J3582" i="1" s="1"/>
  <c r="H3582" i="1"/>
  <c r="I3582" i="1" s="1"/>
  <c r="J3583" i="1" s="1"/>
  <c r="H3583" i="1"/>
  <c r="I3583" i="1" s="1"/>
  <c r="J3584" i="1" s="1"/>
  <c r="H3584" i="1"/>
  <c r="I3584" i="1" s="1"/>
  <c r="J3585" i="1" s="1"/>
  <c r="H3585" i="1"/>
  <c r="I3585" i="1" s="1"/>
  <c r="J3586" i="1" s="1"/>
  <c r="H3586" i="1"/>
  <c r="I3586" i="1" s="1"/>
  <c r="J3587" i="1" s="1"/>
  <c r="H3587" i="1"/>
  <c r="I3587" i="1" s="1"/>
  <c r="J3588" i="1" s="1"/>
  <c r="H3588" i="1"/>
  <c r="I3588" i="1" s="1"/>
  <c r="J3589" i="1" s="1"/>
  <c r="H3589" i="1"/>
  <c r="I3589" i="1" s="1"/>
  <c r="J3590" i="1" s="1"/>
  <c r="H3590" i="1"/>
  <c r="I3590" i="1" s="1"/>
  <c r="J3591" i="1" s="1"/>
  <c r="H3591" i="1"/>
  <c r="I3591" i="1" s="1"/>
  <c r="J3592" i="1" s="1"/>
  <c r="H3592" i="1"/>
  <c r="I3592" i="1" s="1"/>
  <c r="J3593" i="1" s="1"/>
  <c r="H3593" i="1"/>
  <c r="I3593" i="1" s="1"/>
  <c r="J3594" i="1" s="1"/>
  <c r="H3594" i="1"/>
  <c r="I3594" i="1" s="1"/>
  <c r="J3595" i="1" s="1"/>
  <c r="H3595" i="1"/>
  <c r="I3595" i="1" s="1"/>
  <c r="J3596" i="1" s="1"/>
  <c r="H3596" i="1"/>
  <c r="I3596" i="1" s="1"/>
  <c r="J3597" i="1" s="1"/>
  <c r="H3597" i="1"/>
  <c r="I3597" i="1" s="1"/>
  <c r="J3598" i="1" s="1"/>
  <c r="H3598" i="1"/>
  <c r="I3598" i="1" s="1"/>
  <c r="J3599" i="1" s="1"/>
  <c r="H3599" i="1"/>
  <c r="I3599" i="1" s="1"/>
  <c r="J3600" i="1" s="1"/>
  <c r="H3600" i="1"/>
  <c r="I3600" i="1" s="1"/>
  <c r="J3601" i="1" s="1"/>
  <c r="H3601" i="1"/>
  <c r="I3601" i="1" s="1"/>
  <c r="J3602" i="1" s="1"/>
  <c r="H3602" i="1"/>
  <c r="I3602" i="1" s="1"/>
  <c r="J3603" i="1" s="1"/>
  <c r="H3603" i="1"/>
  <c r="I3603" i="1" s="1"/>
  <c r="J3604" i="1" s="1"/>
  <c r="H3604" i="1"/>
  <c r="I3604" i="1" s="1"/>
  <c r="J3605" i="1" s="1"/>
  <c r="H3605" i="1"/>
  <c r="I3605" i="1" s="1"/>
  <c r="J3606" i="1" s="1"/>
  <c r="H3606" i="1"/>
  <c r="I3606" i="1" s="1"/>
  <c r="J3607" i="1" s="1"/>
  <c r="H3607" i="1"/>
  <c r="I3607" i="1" s="1"/>
  <c r="J3608" i="1" s="1"/>
  <c r="H3608" i="1"/>
  <c r="I3608" i="1" s="1"/>
  <c r="J3609" i="1" s="1"/>
  <c r="H3609" i="1"/>
  <c r="I3609" i="1" s="1"/>
  <c r="J3610" i="1" s="1"/>
  <c r="H3610" i="1"/>
  <c r="I3610" i="1" s="1"/>
  <c r="J3611" i="1" s="1"/>
  <c r="H3611" i="1"/>
  <c r="I3611" i="1" s="1"/>
  <c r="J3612" i="1" s="1"/>
  <c r="H3612" i="1"/>
  <c r="I3612" i="1" s="1"/>
  <c r="J3613" i="1" s="1"/>
  <c r="H3613" i="1"/>
  <c r="I3613" i="1" s="1"/>
  <c r="J3614" i="1" s="1"/>
  <c r="H3614" i="1"/>
  <c r="I3614" i="1" s="1"/>
  <c r="J3615" i="1" s="1"/>
  <c r="H3615" i="1"/>
  <c r="I3615" i="1" s="1"/>
  <c r="J3616" i="1" s="1"/>
  <c r="H3616" i="1"/>
  <c r="I3616" i="1" s="1"/>
  <c r="J3617" i="1" s="1"/>
  <c r="H3617" i="1"/>
  <c r="I3617" i="1" s="1"/>
  <c r="J3618" i="1" s="1"/>
  <c r="H3618" i="1"/>
  <c r="I3618" i="1" s="1"/>
  <c r="J3619" i="1" s="1"/>
  <c r="H3619" i="1"/>
  <c r="I3619" i="1" s="1"/>
  <c r="J3620" i="1" s="1"/>
  <c r="H3620" i="1"/>
  <c r="I3620" i="1" s="1"/>
  <c r="J3621" i="1" s="1"/>
  <c r="H3621" i="1"/>
  <c r="I3621" i="1" s="1"/>
  <c r="J3622" i="1" s="1"/>
  <c r="H3622" i="1"/>
  <c r="I3622" i="1" s="1"/>
  <c r="J3623" i="1" s="1"/>
  <c r="H3623" i="1"/>
  <c r="I3623" i="1" s="1"/>
  <c r="J3624" i="1" s="1"/>
  <c r="H3624" i="1"/>
  <c r="I3624" i="1" s="1"/>
  <c r="J3625" i="1" s="1"/>
  <c r="H3625" i="1"/>
  <c r="I3625" i="1" s="1"/>
  <c r="J3626" i="1" s="1"/>
  <c r="H3626" i="1"/>
  <c r="I3626" i="1" s="1"/>
  <c r="J3627" i="1" s="1"/>
  <c r="H3627" i="1"/>
  <c r="I3627" i="1" s="1"/>
  <c r="J3628" i="1" s="1"/>
  <c r="H3628" i="1"/>
  <c r="I3628" i="1" s="1"/>
  <c r="J3629" i="1" s="1"/>
  <c r="H3629" i="1"/>
  <c r="I3629" i="1" s="1"/>
  <c r="J3630" i="1" s="1"/>
  <c r="H3630" i="1"/>
  <c r="I3630" i="1" s="1"/>
  <c r="J3631" i="1" s="1"/>
  <c r="H3631" i="1"/>
  <c r="I3631" i="1" s="1"/>
  <c r="J3632" i="1" s="1"/>
  <c r="H3632" i="1"/>
  <c r="I3632" i="1" s="1"/>
  <c r="J3633" i="1" s="1"/>
  <c r="H3633" i="1"/>
  <c r="I3633" i="1" s="1"/>
  <c r="J3634" i="1" s="1"/>
  <c r="H3634" i="1"/>
  <c r="I3634" i="1" s="1"/>
  <c r="J3635" i="1" s="1"/>
  <c r="H3635" i="1"/>
  <c r="I3635" i="1" s="1"/>
  <c r="J3636" i="1" s="1"/>
  <c r="H3636" i="1"/>
  <c r="I3636" i="1" s="1"/>
  <c r="J3637" i="1" s="1"/>
  <c r="H3637" i="1"/>
  <c r="I3637" i="1" s="1"/>
  <c r="J3638" i="1" s="1"/>
  <c r="H3638" i="1"/>
  <c r="I3638" i="1" s="1"/>
  <c r="J3639" i="1" s="1"/>
  <c r="H3639" i="1"/>
  <c r="I3639" i="1" s="1"/>
  <c r="J3640" i="1" s="1"/>
  <c r="H3640" i="1"/>
  <c r="I3640" i="1" s="1"/>
  <c r="J3641" i="1" s="1"/>
  <c r="H3641" i="1"/>
  <c r="I3641" i="1" s="1"/>
  <c r="J3642" i="1" s="1"/>
  <c r="H3642" i="1"/>
  <c r="I3642" i="1" s="1"/>
  <c r="J3643" i="1" s="1"/>
  <c r="H3643" i="1"/>
  <c r="I3643" i="1" s="1"/>
  <c r="J3644" i="1" s="1"/>
  <c r="H3644" i="1"/>
  <c r="I3644" i="1" s="1"/>
  <c r="J3645" i="1" s="1"/>
  <c r="H3645" i="1"/>
  <c r="I3645" i="1" s="1"/>
  <c r="J3646" i="1" s="1"/>
  <c r="H3646" i="1"/>
  <c r="I3646" i="1" s="1"/>
  <c r="J3647" i="1" s="1"/>
  <c r="H3647" i="1"/>
  <c r="I3647" i="1" s="1"/>
  <c r="J3648" i="1" s="1"/>
  <c r="H3648" i="1"/>
  <c r="I3648" i="1" s="1"/>
  <c r="J3649" i="1" s="1"/>
  <c r="H3649" i="1"/>
  <c r="I3649" i="1" s="1"/>
  <c r="J3650" i="1" s="1"/>
  <c r="H3650" i="1"/>
  <c r="I3650" i="1" s="1"/>
  <c r="J3651" i="1" s="1"/>
  <c r="H3651" i="1"/>
  <c r="I3651" i="1" s="1"/>
  <c r="J3652" i="1" s="1"/>
  <c r="H3652" i="1"/>
  <c r="I3652" i="1" s="1"/>
  <c r="J3653" i="1" s="1"/>
  <c r="H3653" i="1"/>
  <c r="I3653" i="1" s="1"/>
  <c r="J3654" i="1" s="1"/>
  <c r="H3654" i="1"/>
  <c r="I3654" i="1" s="1"/>
  <c r="J3655" i="1" s="1"/>
  <c r="H3655" i="1"/>
  <c r="I3655" i="1" s="1"/>
  <c r="J3656" i="1" s="1"/>
  <c r="H3656" i="1"/>
  <c r="I3656" i="1" s="1"/>
  <c r="J3657" i="1" s="1"/>
  <c r="H3657" i="1"/>
  <c r="I3657" i="1" s="1"/>
  <c r="J3658" i="1" s="1"/>
  <c r="H3658" i="1"/>
  <c r="I3658" i="1" s="1"/>
  <c r="J3659" i="1" s="1"/>
  <c r="H3659" i="1"/>
  <c r="I3659" i="1" s="1"/>
  <c r="J3660" i="1" s="1"/>
  <c r="H3660" i="1"/>
  <c r="I3660" i="1" s="1"/>
  <c r="J3661" i="1" s="1"/>
  <c r="H3661" i="1"/>
  <c r="I3661" i="1" s="1"/>
  <c r="J3662" i="1" s="1"/>
  <c r="H3662" i="1"/>
  <c r="I3662" i="1" s="1"/>
  <c r="J3663" i="1" s="1"/>
  <c r="H3663" i="1"/>
  <c r="I3663" i="1" s="1"/>
  <c r="J3664" i="1" s="1"/>
  <c r="H3664" i="1"/>
  <c r="I3664" i="1" s="1"/>
  <c r="J3665" i="1" s="1"/>
  <c r="H3665" i="1"/>
  <c r="I3665" i="1" s="1"/>
  <c r="J3666" i="1" s="1"/>
  <c r="H3666" i="1"/>
  <c r="I3666" i="1" s="1"/>
  <c r="J3667" i="1" s="1"/>
  <c r="H3667" i="1"/>
  <c r="I3667" i="1" s="1"/>
  <c r="J3668" i="1" s="1"/>
  <c r="H3668" i="1"/>
  <c r="I3668" i="1" s="1"/>
  <c r="J3669" i="1" s="1"/>
  <c r="H3669" i="1"/>
  <c r="I3669" i="1" s="1"/>
  <c r="J3670" i="1" s="1"/>
  <c r="H3670" i="1"/>
  <c r="I3670" i="1" s="1"/>
  <c r="J3671" i="1" s="1"/>
  <c r="H3671" i="1"/>
  <c r="I3671" i="1" s="1"/>
  <c r="J3672" i="1" s="1"/>
  <c r="H3672" i="1"/>
  <c r="I3672" i="1" s="1"/>
  <c r="J3673" i="1" s="1"/>
  <c r="H3673" i="1"/>
  <c r="I3673" i="1" s="1"/>
  <c r="J3674" i="1" s="1"/>
  <c r="H3674" i="1"/>
  <c r="I3674" i="1" s="1"/>
  <c r="J3675" i="1" s="1"/>
  <c r="H3675" i="1"/>
  <c r="I3675" i="1" s="1"/>
  <c r="J3676" i="1" s="1"/>
  <c r="H3676" i="1"/>
  <c r="I3676" i="1" s="1"/>
  <c r="J3677" i="1" s="1"/>
  <c r="H3677" i="1"/>
  <c r="I3677" i="1" s="1"/>
  <c r="J3678" i="1" s="1"/>
  <c r="H3678" i="1"/>
  <c r="I3678" i="1" s="1"/>
  <c r="J3679" i="1" s="1"/>
  <c r="H3679" i="1"/>
  <c r="I3679" i="1" s="1"/>
  <c r="J3680" i="1" s="1"/>
  <c r="H3680" i="1"/>
  <c r="I3680" i="1" s="1"/>
  <c r="J3681" i="1" s="1"/>
  <c r="H3681" i="1"/>
  <c r="I3681" i="1" s="1"/>
  <c r="J3682" i="1" s="1"/>
  <c r="H3682" i="1"/>
  <c r="I3682" i="1" s="1"/>
  <c r="J3683" i="1" s="1"/>
  <c r="H3683" i="1"/>
  <c r="I3683" i="1" s="1"/>
  <c r="J3684" i="1" s="1"/>
  <c r="H3684" i="1"/>
  <c r="I3684" i="1" s="1"/>
  <c r="J3685" i="1" s="1"/>
  <c r="H3685" i="1"/>
  <c r="I3685" i="1" s="1"/>
  <c r="J3686" i="1" s="1"/>
  <c r="H3686" i="1"/>
  <c r="I3686" i="1" s="1"/>
  <c r="J3687" i="1" s="1"/>
  <c r="H3687" i="1"/>
  <c r="I3687" i="1" s="1"/>
  <c r="J3688" i="1" s="1"/>
  <c r="H3688" i="1"/>
  <c r="I3688" i="1" s="1"/>
  <c r="J3689" i="1" s="1"/>
  <c r="H3689" i="1"/>
  <c r="I3689" i="1" s="1"/>
  <c r="J3690" i="1" s="1"/>
  <c r="H3690" i="1"/>
  <c r="I3690" i="1" s="1"/>
  <c r="J3691" i="1" s="1"/>
  <c r="H3691" i="1"/>
  <c r="I3691" i="1" s="1"/>
  <c r="J3692" i="1" s="1"/>
  <c r="H3692" i="1"/>
  <c r="I3692" i="1" s="1"/>
  <c r="J3693" i="1" s="1"/>
  <c r="H3693" i="1"/>
  <c r="I3693" i="1" s="1"/>
  <c r="J3694" i="1" s="1"/>
  <c r="H3694" i="1"/>
  <c r="I3694" i="1" s="1"/>
  <c r="J3695" i="1" s="1"/>
  <c r="H3695" i="1"/>
  <c r="I3695" i="1" s="1"/>
  <c r="J3696" i="1" s="1"/>
  <c r="H3696" i="1"/>
  <c r="I3696" i="1" s="1"/>
  <c r="J3697" i="1" s="1"/>
  <c r="H3697" i="1"/>
  <c r="I3697" i="1" s="1"/>
  <c r="J3698" i="1" s="1"/>
  <c r="H3698" i="1"/>
  <c r="I3698" i="1" s="1"/>
  <c r="J3699" i="1" s="1"/>
  <c r="H3699" i="1"/>
  <c r="I3699" i="1" s="1"/>
  <c r="J3700" i="1" s="1"/>
  <c r="H3700" i="1"/>
  <c r="I3700" i="1" s="1"/>
  <c r="J3701" i="1" s="1"/>
  <c r="H3701" i="1"/>
  <c r="I3701" i="1" s="1"/>
  <c r="J3702" i="1" s="1"/>
  <c r="H3702" i="1"/>
  <c r="I3702" i="1" s="1"/>
  <c r="J3703" i="1" s="1"/>
  <c r="H3703" i="1"/>
  <c r="I3703" i="1" s="1"/>
  <c r="J3704" i="1" s="1"/>
  <c r="H3704" i="1"/>
  <c r="I3704" i="1" s="1"/>
  <c r="J3705" i="1" s="1"/>
  <c r="H3705" i="1"/>
  <c r="I3705" i="1" s="1"/>
  <c r="J3706" i="1" s="1"/>
  <c r="H3706" i="1"/>
  <c r="I3706" i="1" s="1"/>
  <c r="J3707" i="1" s="1"/>
  <c r="H3707" i="1"/>
  <c r="I3707" i="1" s="1"/>
  <c r="J3708" i="1" s="1"/>
  <c r="H3708" i="1"/>
  <c r="I3708" i="1" s="1"/>
  <c r="J3709" i="1" s="1"/>
  <c r="H3709" i="1"/>
  <c r="I3709" i="1" s="1"/>
  <c r="J3710" i="1" s="1"/>
  <c r="H3710" i="1"/>
  <c r="I3710" i="1" s="1"/>
  <c r="J3711" i="1" s="1"/>
  <c r="H3711" i="1"/>
  <c r="I3711" i="1" s="1"/>
  <c r="J3712" i="1" s="1"/>
  <c r="H3712" i="1"/>
  <c r="I3712" i="1" s="1"/>
  <c r="J3713" i="1" s="1"/>
  <c r="H3713" i="1"/>
  <c r="I3713" i="1" s="1"/>
  <c r="J3714" i="1" s="1"/>
  <c r="H3714" i="1"/>
  <c r="I3714" i="1" s="1"/>
  <c r="J3715" i="1" s="1"/>
  <c r="H3715" i="1"/>
  <c r="I3715" i="1" s="1"/>
  <c r="J3716" i="1" s="1"/>
  <c r="H3716" i="1"/>
  <c r="I3716" i="1" s="1"/>
  <c r="J3717" i="1" s="1"/>
  <c r="H3717" i="1"/>
  <c r="I3717" i="1" s="1"/>
  <c r="J3718" i="1" s="1"/>
  <c r="H3718" i="1"/>
  <c r="I3718" i="1" s="1"/>
  <c r="J3719" i="1" s="1"/>
  <c r="H3719" i="1"/>
  <c r="I3719" i="1" s="1"/>
  <c r="J3720" i="1" s="1"/>
  <c r="H3720" i="1"/>
  <c r="I3720" i="1" s="1"/>
  <c r="J3721" i="1" s="1"/>
  <c r="H3721" i="1"/>
  <c r="I3721" i="1" s="1"/>
  <c r="J3722" i="1" s="1"/>
  <c r="H3722" i="1"/>
  <c r="I3722" i="1" s="1"/>
  <c r="J3723" i="1" s="1"/>
  <c r="H3723" i="1"/>
  <c r="I3723" i="1" s="1"/>
  <c r="J3724" i="1" s="1"/>
  <c r="H3724" i="1"/>
  <c r="I3724" i="1" s="1"/>
  <c r="J3725" i="1" s="1"/>
  <c r="H3725" i="1"/>
  <c r="I3725" i="1" s="1"/>
  <c r="J3726" i="1" s="1"/>
  <c r="H3726" i="1"/>
  <c r="I3726" i="1" s="1"/>
  <c r="J3727" i="1" s="1"/>
  <c r="H3727" i="1"/>
  <c r="I3727" i="1" s="1"/>
  <c r="J3728" i="1" s="1"/>
  <c r="H3728" i="1"/>
  <c r="I3728" i="1" s="1"/>
  <c r="J3729" i="1" s="1"/>
  <c r="H3729" i="1"/>
  <c r="I3729" i="1" s="1"/>
  <c r="J3730" i="1" s="1"/>
  <c r="H3730" i="1"/>
  <c r="I3730" i="1" s="1"/>
  <c r="J3731" i="1" s="1"/>
  <c r="H3731" i="1"/>
  <c r="I3731" i="1" s="1"/>
  <c r="J3732" i="1" s="1"/>
  <c r="H3732" i="1"/>
  <c r="I3732" i="1" s="1"/>
  <c r="J3733" i="1" s="1"/>
  <c r="H3733" i="1"/>
  <c r="I3733" i="1" s="1"/>
  <c r="J3734" i="1" s="1"/>
  <c r="H3734" i="1"/>
  <c r="I3734" i="1" s="1"/>
  <c r="J3735" i="1" s="1"/>
  <c r="H3735" i="1"/>
  <c r="I3735" i="1" s="1"/>
  <c r="J3736" i="1" s="1"/>
  <c r="H3736" i="1"/>
  <c r="I3736" i="1" s="1"/>
  <c r="J3737" i="1" s="1"/>
  <c r="H3737" i="1"/>
  <c r="I3737" i="1" s="1"/>
  <c r="J3738" i="1" s="1"/>
  <c r="H3738" i="1"/>
  <c r="I3738" i="1" s="1"/>
  <c r="J3739" i="1" s="1"/>
  <c r="H3739" i="1"/>
  <c r="H3740" i="1"/>
  <c r="I3740" i="1" s="1"/>
  <c r="J3741" i="1" s="1"/>
  <c r="H3741" i="1"/>
  <c r="I3741" i="1" s="1"/>
  <c r="J3742" i="1" s="1"/>
  <c r="H3742" i="1"/>
  <c r="I3742" i="1" s="1"/>
  <c r="J3743" i="1" s="1"/>
  <c r="H3743" i="1"/>
  <c r="I3743" i="1" s="1"/>
  <c r="J3744" i="1" s="1"/>
  <c r="H3744" i="1"/>
  <c r="I3744" i="1" s="1"/>
  <c r="J3745" i="1" s="1"/>
  <c r="H3745" i="1"/>
  <c r="I3745" i="1" s="1"/>
  <c r="J3746" i="1" s="1"/>
  <c r="H3746" i="1"/>
  <c r="I3746" i="1" s="1"/>
  <c r="J3747" i="1" s="1"/>
  <c r="H3747" i="1"/>
  <c r="I3747" i="1" s="1"/>
  <c r="J3748" i="1" s="1"/>
  <c r="H3748" i="1"/>
  <c r="I3748" i="1" s="1"/>
  <c r="J3749" i="1" s="1"/>
  <c r="H3749" i="1"/>
  <c r="I3749" i="1" s="1"/>
  <c r="J3750" i="1" s="1"/>
  <c r="H3750" i="1"/>
  <c r="I3750" i="1" s="1"/>
  <c r="J3751" i="1" s="1"/>
  <c r="H3751" i="1"/>
  <c r="I3751" i="1" s="1"/>
  <c r="J3752" i="1" s="1"/>
  <c r="H3752" i="1"/>
  <c r="I3752" i="1" s="1"/>
  <c r="J3753" i="1" s="1"/>
  <c r="H3753" i="1"/>
  <c r="I3753" i="1" s="1"/>
  <c r="J3754" i="1" s="1"/>
  <c r="H3754" i="1"/>
  <c r="I3754" i="1" s="1"/>
  <c r="J3755" i="1" s="1"/>
  <c r="H3755" i="1"/>
  <c r="I3755" i="1" s="1"/>
  <c r="J3756" i="1" s="1"/>
  <c r="H3756" i="1"/>
  <c r="I3756" i="1" s="1"/>
  <c r="J3757" i="1" s="1"/>
  <c r="H3757" i="1"/>
  <c r="I3757" i="1" s="1"/>
  <c r="J3758" i="1" s="1"/>
  <c r="H3758" i="1"/>
  <c r="I3758" i="1" s="1"/>
  <c r="J3759" i="1" s="1"/>
  <c r="H3759" i="1"/>
  <c r="I3759" i="1" s="1"/>
  <c r="J3760" i="1" s="1"/>
  <c r="H3760" i="1"/>
  <c r="I3760" i="1" s="1"/>
  <c r="J3761" i="1" s="1"/>
  <c r="H3761" i="1"/>
  <c r="I3761" i="1" s="1"/>
  <c r="J3762" i="1" s="1"/>
  <c r="H3762" i="1"/>
  <c r="I3762" i="1" s="1"/>
  <c r="J3763" i="1" s="1"/>
  <c r="H3763" i="1"/>
  <c r="I3763" i="1" s="1"/>
  <c r="J3764" i="1" s="1"/>
  <c r="H3764" i="1"/>
  <c r="I3764" i="1" s="1"/>
  <c r="J3765" i="1" s="1"/>
  <c r="H3765" i="1"/>
  <c r="I3765" i="1" s="1"/>
  <c r="J3766" i="1" s="1"/>
  <c r="H3766" i="1"/>
  <c r="I3766" i="1" s="1"/>
  <c r="J3767" i="1" s="1"/>
  <c r="H3767" i="1"/>
  <c r="I3767" i="1" s="1"/>
  <c r="J3768" i="1" s="1"/>
  <c r="H3768" i="1"/>
  <c r="I3768" i="1" s="1"/>
  <c r="J3769" i="1" s="1"/>
  <c r="H3769" i="1"/>
  <c r="I3769" i="1" s="1"/>
  <c r="J3770" i="1" s="1"/>
  <c r="H3770" i="1"/>
  <c r="I3770" i="1" s="1"/>
  <c r="J3771" i="1" s="1"/>
  <c r="H3771" i="1"/>
  <c r="I3771" i="1" s="1"/>
  <c r="J3772" i="1" s="1"/>
  <c r="H3772" i="1"/>
  <c r="I3772" i="1" s="1"/>
  <c r="J3773" i="1" s="1"/>
  <c r="H3773" i="1"/>
  <c r="I3773" i="1" s="1"/>
  <c r="J3774" i="1" s="1"/>
  <c r="H3774" i="1"/>
  <c r="I3774" i="1" s="1"/>
  <c r="J3775" i="1" s="1"/>
  <c r="H3775" i="1"/>
  <c r="I3775" i="1" s="1"/>
  <c r="J3776" i="1" s="1"/>
  <c r="H3776" i="1"/>
  <c r="I3776" i="1" s="1"/>
  <c r="J3777" i="1" s="1"/>
  <c r="H3777" i="1"/>
  <c r="I3777" i="1" s="1"/>
  <c r="J3778" i="1" s="1"/>
  <c r="H3778" i="1"/>
  <c r="I3778" i="1" s="1"/>
  <c r="J3779" i="1" s="1"/>
  <c r="H3779" i="1"/>
  <c r="I3779" i="1" s="1"/>
  <c r="J3780" i="1" s="1"/>
  <c r="H3780" i="1"/>
  <c r="I3780" i="1" s="1"/>
  <c r="J3781" i="1" s="1"/>
  <c r="H3781" i="1"/>
  <c r="I3781" i="1" s="1"/>
  <c r="J3782" i="1" s="1"/>
  <c r="H3782" i="1"/>
  <c r="I3782" i="1" s="1"/>
  <c r="J3783" i="1" s="1"/>
  <c r="H3783" i="1"/>
  <c r="I3783" i="1" s="1"/>
  <c r="J3784" i="1" s="1"/>
  <c r="H3784" i="1"/>
  <c r="I3784" i="1" s="1"/>
  <c r="J3785" i="1" s="1"/>
  <c r="H3785" i="1"/>
  <c r="I3785" i="1" s="1"/>
  <c r="J3786" i="1" s="1"/>
  <c r="H3786" i="1"/>
  <c r="I3786" i="1" s="1"/>
  <c r="J3787" i="1" s="1"/>
  <c r="H3787" i="1"/>
  <c r="I3787" i="1" s="1"/>
  <c r="J3788" i="1" s="1"/>
  <c r="H3788" i="1"/>
  <c r="I3788" i="1" s="1"/>
  <c r="J3789" i="1" s="1"/>
  <c r="H3789" i="1"/>
  <c r="I3789" i="1" s="1"/>
  <c r="J3790" i="1" s="1"/>
  <c r="H3790" i="1"/>
  <c r="I3790" i="1" s="1"/>
  <c r="J3791" i="1" s="1"/>
  <c r="H3791" i="1"/>
  <c r="I3791" i="1" s="1"/>
  <c r="J3792" i="1" s="1"/>
  <c r="H3792" i="1"/>
  <c r="I3792" i="1" s="1"/>
  <c r="J3793" i="1" s="1"/>
  <c r="H3793" i="1"/>
  <c r="I3793" i="1" s="1"/>
  <c r="J3794" i="1" s="1"/>
  <c r="H3794" i="1"/>
  <c r="I3794" i="1" s="1"/>
  <c r="J3795" i="1" s="1"/>
  <c r="H3795" i="1"/>
  <c r="I3795" i="1" s="1"/>
  <c r="J3796" i="1" s="1"/>
  <c r="H3796" i="1"/>
  <c r="I3796" i="1" s="1"/>
  <c r="J3797" i="1" s="1"/>
  <c r="H3797" i="1"/>
  <c r="I3797" i="1" s="1"/>
  <c r="J3798" i="1" s="1"/>
  <c r="H3798" i="1"/>
  <c r="I3798" i="1" s="1"/>
  <c r="J3799" i="1" s="1"/>
  <c r="H3799" i="1"/>
  <c r="I3799" i="1" s="1"/>
  <c r="J3800" i="1" s="1"/>
  <c r="H3800" i="1"/>
  <c r="I3800" i="1" s="1"/>
  <c r="J3801" i="1" s="1"/>
  <c r="H3801" i="1"/>
  <c r="I3801" i="1" s="1"/>
  <c r="J3802" i="1" s="1"/>
  <c r="H3802" i="1"/>
  <c r="I3802" i="1" s="1"/>
  <c r="J3803" i="1" s="1"/>
  <c r="H3803" i="1"/>
  <c r="I3803" i="1" s="1"/>
  <c r="J3804" i="1" s="1"/>
  <c r="H3804" i="1"/>
  <c r="I3804" i="1" s="1"/>
  <c r="J3805" i="1" s="1"/>
  <c r="H3805" i="1"/>
  <c r="I3805" i="1" s="1"/>
  <c r="J3806" i="1" s="1"/>
  <c r="H3806" i="1"/>
  <c r="I3806" i="1" s="1"/>
  <c r="J3807" i="1" s="1"/>
  <c r="H3807" i="1"/>
  <c r="I3807" i="1" s="1"/>
  <c r="J3808" i="1" s="1"/>
  <c r="H3808" i="1"/>
  <c r="I3808" i="1" s="1"/>
  <c r="J3809" i="1" s="1"/>
  <c r="H3809" i="1"/>
  <c r="I3809" i="1" s="1"/>
  <c r="J3810" i="1" s="1"/>
  <c r="H3810" i="1"/>
  <c r="I3810" i="1" s="1"/>
  <c r="J3811" i="1" s="1"/>
  <c r="H3811" i="1"/>
  <c r="I3811" i="1" s="1"/>
  <c r="J3812" i="1" s="1"/>
  <c r="H3812" i="1"/>
  <c r="I3812" i="1" s="1"/>
  <c r="J3813" i="1" s="1"/>
  <c r="H3813" i="1"/>
  <c r="I3813" i="1" s="1"/>
  <c r="J3814" i="1" s="1"/>
  <c r="H3814" i="1"/>
  <c r="I3814" i="1" s="1"/>
  <c r="J3815" i="1" s="1"/>
  <c r="H3815" i="1"/>
  <c r="I3815" i="1" s="1"/>
  <c r="J3816" i="1" s="1"/>
  <c r="H3816" i="1"/>
  <c r="I3816" i="1" s="1"/>
  <c r="J3817" i="1" s="1"/>
  <c r="H3817" i="1"/>
  <c r="I3817" i="1" s="1"/>
  <c r="J3818" i="1" s="1"/>
  <c r="H3818" i="1"/>
  <c r="I3818" i="1" s="1"/>
  <c r="J3819" i="1" s="1"/>
  <c r="H3819" i="1"/>
  <c r="I3819" i="1" s="1"/>
  <c r="J3820" i="1" s="1"/>
  <c r="H3820" i="1"/>
  <c r="I3820" i="1" s="1"/>
  <c r="J3821" i="1" s="1"/>
  <c r="H3821" i="1"/>
  <c r="I3821" i="1" s="1"/>
  <c r="J3822" i="1" s="1"/>
  <c r="H3822" i="1"/>
  <c r="I3822" i="1" s="1"/>
  <c r="J3823" i="1" s="1"/>
  <c r="H3823" i="1"/>
  <c r="I3823" i="1" s="1"/>
  <c r="J3824" i="1" s="1"/>
  <c r="H3824" i="1"/>
  <c r="I3824" i="1" s="1"/>
  <c r="J3825" i="1" s="1"/>
  <c r="H3825" i="1"/>
  <c r="I3825" i="1" s="1"/>
  <c r="J3826" i="1" s="1"/>
  <c r="H3826" i="1"/>
  <c r="I3826" i="1" s="1"/>
  <c r="J3827" i="1" s="1"/>
  <c r="H3827" i="1"/>
  <c r="I3827" i="1" s="1"/>
  <c r="J3828" i="1" s="1"/>
  <c r="H3828" i="1"/>
  <c r="I3828" i="1" s="1"/>
  <c r="J3829" i="1" s="1"/>
  <c r="H3829" i="1"/>
  <c r="I3829" i="1" s="1"/>
  <c r="J3830" i="1" s="1"/>
  <c r="H3830" i="1"/>
  <c r="I3830" i="1" s="1"/>
  <c r="J3831" i="1" s="1"/>
  <c r="H3831" i="1"/>
  <c r="I3831" i="1" s="1"/>
  <c r="J3832" i="1" s="1"/>
  <c r="H3832" i="1"/>
  <c r="I3832" i="1" s="1"/>
  <c r="J3833" i="1" s="1"/>
  <c r="H3833" i="1"/>
  <c r="I3833" i="1" s="1"/>
  <c r="J3834" i="1" s="1"/>
  <c r="H3834" i="1"/>
  <c r="I3834" i="1" s="1"/>
  <c r="J3835" i="1" s="1"/>
  <c r="H3835" i="1"/>
  <c r="I3835" i="1" s="1"/>
  <c r="J3836" i="1" s="1"/>
  <c r="H3836" i="1"/>
  <c r="I3836" i="1" s="1"/>
  <c r="J3837" i="1" s="1"/>
  <c r="H3837" i="1"/>
  <c r="I3837" i="1" s="1"/>
  <c r="J3838" i="1" s="1"/>
  <c r="H3838" i="1"/>
  <c r="I3838" i="1" s="1"/>
  <c r="J3839" i="1" s="1"/>
  <c r="H3839" i="1"/>
  <c r="I3839" i="1" s="1"/>
  <c r="J3840" i="1" s="1"/>
  <c r="H3840" i="1"/>
  <c r="I3840" i="1" s="1"/>
  <c r="J3841" i="1" s="1"/>
  <c r="H3841" i="1"/>
  <c r="I3841" i="1" s="1"/>
  <c r="J3842" i="1" s="1"/>
  <c r="H3842" i="1"/>
  <c r="I3842" i="1" s="1"/>
  <c r="J3843" i="1" s="1"/>
  <c r="H3843" i="1"/>
  <c r="I3843" i="1" s="1"/>
  <c r="J3844" i="1" s="1"/>
  <c r="H3844" i="1"/>
  <c r="I3844" i="1" s="1"/>
  <c r="J3845" i="1" s="1"/>
  <c r="H3845" i="1"/>
  <c r="I3845" i="1" s="1"/>
  <c r="J3846" i="1" s="1"/>
  <c r="H3846" i="1"/>
  <c r="I3846" i="1" s="1"/>
  <c r="J3847" i="1" s="1"/>
  <c r="H3847" i="1"/>
  <c r="I3847" i="1" s="1"/>
  <c r="J3848" i="1" s="1"/>
  <c r="H3848" i="1"/>
  <c r="I3848" i="1" s="1"/>
  <c r="J3849" i="1" s="1"/>
  <c r="H3849" i="1"/>
  <c r="I3849" i="1" s="1"/>
  <c r="J3850" i="1" s="1"/>
  <c r="H3850" i="1"/>
  <c r="I3850" i="1" s="1"/>
  <c r="J3851" i="1" s="1"/>
  <c r="H3851" i="1"/>
  <c r="I3851" i="1" s="1"/>
  <c r="J3852" i="1" s="1"/>
  <c r="H3852" i="1"/>
  <c r="I3852" i="1" s="1"/>
  <c r="J3853" i="1" s="1"/>
  <c r="H3853" i="1"/>
  <c r="I3853" i="1" s="1"/>
  <c r="J3854" i="1" s="1"/>
  <c r="H3854" i="1"/>
  <c r="I3854" i="1" s="1"/>
  <c r="J3855" i="1" s="1"/>
  <c r="H3855" i="1"/>
  <c r="I3855" i="1" s="1"/>
  <c r="J3856" i="1" s="1"/>
  <c r="H3856" i="1"/>
  <c r="I3856" i="1" s="1"/>
  <c r="J3857" i="1" s="1"/>
  <c r="H3857" i="1"/>
  <c r="I3857" i="1" s="1"/>
  <c r="J3858" i="1" s="1"/>
  <c r="H3865" i="1"/>
  <c r="I3865" i="1" s="1"/>
  <c r="J3866" i="1" s="1"/>
  <c r="H3878" i="1"/>
  <c r="I3878" i="1" s="1"/>
  <c r="J3879" i="1" s="1"/>
  <c r="H3885" i="1"/>
  <c r="I3885" i="1" s="1"/>
  <c r="J3886" i="1" s="1"/>
  <c r="H3890" i="1"/>
  <c r="I3890" i="1" s="1"/>
  <c r="J3891" i="1" s="1"/>
  <c r="H3894" i="1"/>
  <c r="I3894" i="1" s="1"/>
  <c r="J3895" i="1" s="1"/>
  <c r="H3895" i="1"/>
  <c r="I3895" i="1" s="1"/>
  <c r="J3896" i="1" s="1"/>
  <c r="H3904" i="1"/>
  <c r="I3904" i="1" s="1"/>
  <c r="J3905" i="1" s="1"/>
  <c r="H3905" i="1"/>
  <c r="I3905" i="1" s="1"/>
  <c r="J3906" i="1" s="1"/>
  <c r="H3911" i="1"/>
  <c r="I3911" i="1" s="1"/>
  <c r="J3912" i="1" s="1"/>
  <c r="H3919" i="1"/>
  <c r="I3919" i="1" s="1"/>
  <c r="J3920" i="1" s="1"/>
  <c r="H3921" i="1"/>
  <c r="I3921" i="1" s="1"/>
  <c r="J3922" i="1" s="1"/>
  <c r="H3925" i="1"/>
  <c r="I3925" i="1" s="1"/>
  <c r="J3926" i="1" s="1"/>
  <c r="H3928" i="1"/>
  <c r="I3928" i="1" s="1"/>
  <c r="J3929" i="1" s="1"/>
  <c r="H3929" i="1"/>
  <c r="I3929" i="1" s="1"/>
  <c r="J3930" i="1" s="1"/>
  <c r="H3930" i="1"/>
  <c r="I3930" i="1" s="1"/>
  <c r="J3931" i="1" s="1"/>
  <c r="H3935" i="1"/>
  <c r="I3935" i="1" s="1"/>
  <c r="J3936" i="1" s="1"/>
  <c r="H3936" i="1"/>
  <c r="I3936" i="1" s="1"/>
  <c r="J3937" i="1" s="1"/>
  <c r="H3937" i="1"/>
  <c r="I3937" i="1" s="1"/>
  <c r="J3938" i="1" s="1"/>
  <c r="H3939" i="1"/>
  <c r="I3939" i="1" s="1"/>
  <c r="J3940" i="1" s="1"/>
  <c r="H3940" i="1"/>
  <c r="I3940" i="1" s="1"/>
  <c r="J3941" i="1" s="1"/>
  <c r="H3945" i="1"/>
  <c r="H3952" i="1"/>
  <c r="I3952" i="1" s="1"/>
  <c r="J3953" i="1" s="1"/>
  <c r="H3955" i="1"/>
  <c r="I3955" i="1" s="1"/>
  <c r="J3956" i="1" s="1"/>
  <c r="H3956" i="1"/>
  <c r="I3956" i="1" s="1"/>
  <c r="J3957" i="1" s="1"/>
  <c r="H3957" i="1"/>
  <c r="I3957" i="1" s="1"/>
  <c r="J3958" i="1" s="1"/>
  <c r="H3958" i="1"/>
  <c r="I3958" i="1" s="1"/>
  <c r="J3959" i="1" s="1"/>
  <c r="H3961" i="1"/>
  <c r="I3961" i="1" s="1"/>
  <c r="J3962" i="1" s="1"/>
  <c r="H3964" i="1"/>
  <c r="I3964" i="1" s="1"/>
  <c r="J3965" i="1" s="1"/>
  <c r="H3965" i="1"/>
  <c r="I3965" i="1" s="1"/>
  <c r="J3966" i="1" s="1"/>
  <c r="H3966" i="1"/>
  <c r="I3966" i="1" s="1"/>
  <c r="J3967" i="1" s="1"/>
  <c r="H3970" i="1"/>
  <c r="I3970" i="1" s="1"/>
  <c r="J3971" i="1" s="1"/>
  <c r="H3971" i="1"/>
  <c r="I3971" i="1" s="1"/>
  <c r="J3972" i="1" s="1"/>
  <c r="H3972" i="1"/>
  <c r="I3972" i="1" s="1"/>
  <c r="J3973" i="1" s="1"/>
  <c r="H3973" i="1"/>
  <c r="I3973" i="1" s="1"/>
  <c r="J3974" i="1" s="1"/>
  <c r="H3974" i="1"/>
  <c r="I3974" i="1" s="1"/>
  <c r="J3975" i="1" s="1"/>
  <c r="H3975" i="1"/>
  <c r="I3975" i="1" s="1"/>
  <c r="J3976" i="1" s="1"/>
  <c r="H3978" i="1"/>
  <c r="I3978" i="1" s="1"/>
  <c r="J3979" i="1" s="1"/>
  <c r="H3981" i="1"/>
  <c r="I3981" i="1" s="1"/>
  <c r="J3982" i="1" s="1"/>
  <c r="H3982" i="1"/>
  <c r="I3982" i="1" s="1"/>
  <c r="J3983" i="1" s="1"/>
  <c r="H3984" i="1"/>
  <c r="I3984" i="1" s="1"/>
  <c r="J3985" i="1" s="1"/>
  <c r="H3985" i="1"/>
  <c r="I3985" i="1" s="1"/>
  <c r="J3986" i="1" s="1"/>
  <c r="H3986" i="1"/>
  <c r="I3986" i="1" s="1"/>
  <c r="J3987" i="1" s="1"/>
  <c r="H3987" i="1"/>
  <c r="I3987" i="1" s="1"/>
  <c r="J3988" i="1" s="1"/>
  <c r="H3988" i="1"/>
  <c r="I3988" i="1" s="1"/>
  <c r="J3989" i="1" s="1"/>
  <c r="H3991" i="1"/>
  <c r="I3991" i="1" s="1"/>
  <c r="J3992" i="1" s="1"/>
  <c r="H3994" i="1"/>
  <c r="I3994" i="1" s="1"/>
  <c r="J3995" i="1" s="1"/>
  <c r="H3995" i="1"/>
  <c r="I3995" i="1" s="1"/>
  <c r="J3996" i="1" s="1"/>
  <c r="H3997" i="1"/>
  <c r="I3997" i="1" s="1"/>
  <c r="J3998" i="1" s="1"/>
  <c r="H3998" i="1"/>
  <c r="I3998" i="1" s="1"/>
  <c r="J3999" i="1" s="1"/>
  <c r="H3999" i="1"/>
  <c r="I3999" i="1" s="1"/>
  <c r="J4000" i="1" s="1"/>
  <c r="H4000" i="1"/>
  <c r="I4000" i="1" s="1"/>
  <c r="J4001" i="1" s="1"/>
  <c r="H4004" i="1"/>
  <c r="I4004" i="1" s="1"/>
  <c r="J4005" i="1" s="1"/>
  <c r="H4007" i="1"/>
  <c r="I4007" i="1" s="1"/>
  <c r="J4008" i="1" s="1"/>
  <c r="H4008" i="1"/>
  <c r="I4008" i="1" s="1"/>
  <c r="J4009" i="1" s="1"/>
  <c r="H4009" i="1"/>
  <c r="I4009" i="1" s="1"/>
  <c r="J4010" i="1" s="1"/>
  <c r="H4010" i="1"/>
  <c r="I4010" i="1" s="1"/>
  <c r="J4011" i="1" s="1"/>
  <c r="H4012" i="1"/>
  <c r="I4012" i="1" s="1"/>
  <c r="J4013" i="1" s="1"/>
  <c r="H4013" i="1"/>
  <c r="I4013" i="1" s="1"/>
  <c r="J4014" i="1" s="1"/>
  <c r="H4018" i="1"/>
  <c r="I4018" i="1" s="1"/>
  <c r="J4019" i="1" s="1"/>
  <c r="H4019" i="1"/>
  <c r="I4019" i="1" s="1"/>
  <c r="J4020" i="1" s="1"/>
  <c r="H4020" i="1"/>
  <c r="I4020" i="1" s="1"/>
  <c r="J4021" i="1" s="1"/>
  <c r="H4021" i="1"/>
  <c r="I4021" i="1" s="1"/>
  <c r="J4022" i="1" s="1"/>
  <c r="H4022" i="1"/>
  <c r="I4022" i="1" s="1"/>
  <c r="J4023" i="1" s="1"/>
  <c r="H4023" i="1"/>
  <c r="I4023" i="1" s="1"/>
  <c r="J4024" i="1" s="1"/>
  <c r="H4027" i="1"/>
  <c r="I4027" i="1" s="1"/>
  <c r="J4028" i="1" s="1"/>
  <c r="H4029" i="1"/>
  <c r="I4029" i="1" s="1"/>
  <c r="J4030" i="1" s="1"/>
  <c r="H4030" i="1"/>
  <c r="I4030" i="1" s="1"/>
  <c r="J4031" i="1" s="1"/>
  <c r="H4031" i="1"/>
  <c r="I4031" i="1" s="1"/>
  <c r="J4032" i="1" s="1"/>
  <c r="H4032" i="1"/>
  <c r="I4032" i="1" s="1"/>
  <c r="J4033" i="1" s="1"/>
  <c r="H4033" i="1"/>
  <c r="I4033" i="1" s="1"/>
  <c r="J4034" i="1" s="1"/>
  <c r="H4034" i="1"/>
  <c r="I4034" i="1" s="1"/>
  <c r="J4035" i="1" s="1"/>
  <c r="H4036" i="1"/>
  <c r="I4036" i="1" s="1"/>
  <c r="J4037" i="1" s="1"/>
  <c r="H4037" i="1"/>
  <c r="I4037" i="1" s="1"/>
  <c r="J4038" i="1" s="1"/>
  <c r="H4038" i="1"/>
  <c r="I4038" i="1" s="1"/>
  <c r="J4039" i="1" s="1"/>
  <c r="H4039" i="1"/>
  <c r="I4039" i="1" s="1"/>
  <c r="J4040" i="1" s="1"/>
  <c r="H4040" i="1"/>
  <c r="I4040" i="1" s="1"/>
  <c r="J4041" i="1" s="1"/>
  <c r="H4043" i="1"/>
  <c r="I4043" i="1" s="1"/>
  <c r="J4044" i="1" s="1"/>
  <c r="H4044" i="1"/>
  <c r="I4044" i="1" s="1"/>
  <c r="J4045" i="1" s="1"/>
  <c r="H4045" i="1"/>
  <c r="I4045" i="1" s="1"/>
  <c r="J4046" i="1" s="1"/>
  <c r="H4046" i="1"/>
  <c r="I4046" i="1" s="1"/>
  <c r="J4047" i="1" s="1"/>
  <c r="H4048" i="1"/>
  <c r="I4048" i="1" s="1"/>
  <c r="J4049" i="1" s="1"/>
  <c r="H4049" i="1"/>
  <c r="I4049" i="1" s="1"/>
  <c r="J4050" i="1" s="1"/>
  <c r="H4054" i="1"/>
  <c r="I4054" i="1" s="1"/>
  <c r="J4055" i="1" s="1"/>
  <c r="H4055" i="1"/>
  <c r="I4055" i="1" s="1"/>
  <c r="J4056" i="1" s="1"/>
  <c r="H4057" i="1"/>
  <c r="I4057" i="1" s="1"/>
  <c r="J4058" i="1" s="1"/>
  <c r="H4058" i="1"/>
  <c r="I4058" i="1" s="1"/>
  <c r="J4059" i="1" s="1"/>
  <c r="H4059" i="1"/>
  <c r="I4059" i="1" s="1"/>
  <c r="J4060" i="1" s="1"/>
  <c r="H4065" i="1"/>
  <c r="I4065" i="1" s="1"/>
  <c r="J4066" i="1" s="1"/>
  <c r="H4066" i="1"/>
  <c r="I4066" i="1" s="1"/>
  <c r="J4067" i="1" s="1"/>
  <c r="H4067" i="1"/>
  <c r="I4067" i="1" s="1"/>
  <c r="J4068" i="1" s="1"/>
  <c r="H4068" i="1"/>
  <c r="I4068" i="1" s="1"/>
  <c r="J4069" i="1" s="1"/>
  <c r="H4069" i="1"/>
  <c r="I4069" i="1" s="1"/>
  <c r="J4070" i="1" s="1"/>
  <c r="H4070" i="1"/>
  <c r="I4070" i="1" s="1"/>
  <c r="J4071" i="1" s="1"/>
  <c r="H4072" i="1"/>
  <c r="I4072" i="1" s="1"/>
  <c r="J4073" i="1" s="1"/>
  <c r="H4073" i="1"/>
  <c r="I4073" i="1" s="1"/>
  <c r="J4074" i="1" s="1"/>
  <c r="H4074" i="1"/>
  <c r="I4074" i="1" s="1"/>
  <c r="J4075" i="1" s="1"/>
  <c r="H4075" i="1"/>
  <c r="I4075" i="1" s="1"/>
  <c r="J4076" i="1" s="1"/>
  <c r="H4076" i="1"/>
  <c r="I4076" i="1" s="1"/>
  <c r="J4077" i="1" s="1"/>
  <c r="H4077" i="1"/>
  <c r="I4077" i="1" s="1"/>
  <c r="J4078" i="1" s="1"/>
  <c r="H4078" i="1"/>
  <c r="I4078" i="1" s="1"/>
  <c r="J4079" i="1" s="1"/>
  <c r="H4079" i="1"/>
  <c r="I4079" i="1" s="1"/>
  <c r="J4080" i="1" s="1"/>
  <c r="H4080" i="1"/>
  <c r="I4080" i="1" s="1"/>
  <c r="J4081" i="1" s="1"/>
  <c r="H4081" i="1"/>
  <c r="I4081" i="1" s="1"/>
  <c r="J4082" i="1" s="1"/>
  <c r="H4083" i="1"/>
  <c r="I4083" i="1" s="1"/>
  <c r="J4084" i="1" s="1"/>
  <c r="H4084" i="1"/>
  <c r="I4084" i="1" s="1"/>
  <c r="J4085" i="1" s="1"/>
  <c r="H4087" i="1"/>
  <c r="I4087" i="1" s="1"/>
  <c r="J4088" i="1" s="1"/>
  <c r="H4088" i="1"/>
  <c r="I4088" i="1" s="1"/>
  <c r="J4089" i="1" s="1"/>
  <c r="H4089" i="1"/>
  <c r="I4089" i="1" s="1"/>
  <c r="J4090" i="1" s="1"/>
  <c r="H4090" i="1"/>
  <c r="I4090" i="1" s="1"/>
  <c r="J4091" i="1" s="1"/>
  <c r="H4091" i="1"/>
  <c r="I4091" i="1" s="1"/>
  <c r="J4092" i="1" s="1"/>
  <c r="H4092" i="1"/>
  <c r="I4092" i="1" s="1"/>
  <c r="J4093" i="1" s="1"/>
  <c r="H4098" i="1"/>
  <c r="I4098" i="1" s="1"/>
  <c r="J4099" i="1" s="1"/>
  <c r="H4099" i="1"/>
  <c r="I4099" i="1" s="1"/>
  <c r="J4100" i="1" s="1"/>
  <c r="H4100" i="1"/>
  <c r="I4100" i="1" s="1"/>
  <c r="J4101" i="1" s="1"/>
  <c r="H4101" i="1"/>
  <c r="I4101" i="1" s="1"/>
  <c r="J4102" i="1" s="1"/>
  <c r="H4102" i="1"/>
  <c r="I4102" i="1" s="1"/>
  <c r="J4103" i="1" s="1"/>
  <c r="H4103" i="1"/>
  <c r="I4103" i="1" s="1"/>
  <c r="J4104" i="1" s="1"/>
  <c r="H4107" i="1"/>
  <c r="I4107" i="1" s="1"/>
  <c r="J4108" i="1" s="1"/>
  <c r="H4108" i="1"/>
  <c r="I4108" i="1" s="1"/>
  <c r="J4109" i="1" s="1"/>
  <c r="H4109" i="1"/>
  <c r="I4109" i="1" s="1"/>
  <c r="J4110" i="1" s="1"/>
  <c r="H4110" i="1"/>
  <c r="I4110" i="1" s="1"/>
  <c r="J4111" i="1" s="1"/>
  <c r="H4111" i="1"/>
  <c r="I4111" i="1" s="1"/>
  <c r="J4112" i="1" s="1"/>
  <c r="H4112" i="1"/>
  <c r="I4112" i="1" s="1"/>
  <c r="J4113" i="1" s="1"/>
  <c r="H4113" i="1"/>
  <c r="I4113" i="1" s="1"/>
  <c r="J4114" i="1" s="1"/>
  <c r="H4118" i="1"/>
  <c r="I4118" i="1" s="1"/>
  <c r="J4119" i="1" s="1"/>
  <c r="H4120" i="1"/>
  <c r="I4120" i="1" s="1"/>
  <c r="J4121" i="1" s="1"/>
  <c r="H4123" i="1"/>
  <c r="I4123" i="1" s="1"/>
  <c r="J4124" i="1" s="1"/>
  <c r="H4124" i="1"/>
  <c r="I4124" i="1" s="1"/>
  <c r="J4125" i="1" s="1"/>
  <c r="H4125" i="1"/>
  <c r="I4125" i="1" s="1"/>
  <c r="J4126" i="1" s="1"/>
  <c r="H4126" i="1"/>
  <c r="I4126" i="1" s="1"/>
  <c r="J4127" i="1" s="1"/>
  <c r="H4127" i="1"/>
  <c r="I4127" i="1" s="1"/>
  <c r="J4128" i="1" s="1"/>
  <c r="H4129" i="1"/>
  <c r="H4134" i="1"/>
  <c r="I4134" i="1" s="1"/>
  <c r="J4135" i="1" s="1"/>
  <c r="H4135" i="1"/>
  <c r="I4135" i="1" s="1"/>
  <c r="J4136" i="1" s="1"/>
  <c r="H4136" i="1"/>
  <c r="I4136" i="1" s="1"/>
  <c r="J4137" i="1" s="1"/>
  <c r="H4137" i="1"/>
  <c r="I4137" i="1" s="1"/>
  <c r="J4138" i="1" s="1"/>
  <c r="H4138" i="1"/>
  <c r="I4138" i="1" s="1"/>
  <c r="J4139" i="1" s="1"/>
  <c r="H4143" i="1"/>
  <c r="I4143" i="1" s="1"/>
  <c r="J4144" i="1" s="1"/>
  <c r="H4145" i="1"/>
  <c r="I4145" i="1" s="1"/>
  <c r="J4146" i="1" s="1"/>
  <c r="H4146" i="1"/>
  <c r="I4146" i="1" s="1"/>
  <c r="J4147" i="1" s="1"/>
  <c r="H4147" i="1"/>
  <c r="I4147" i="1" s="1"/>
  <c r="J4148" i="1" s="1"/>
  <c r="H4148" i="1"/>
  <c r="I4148" i="1" s="1"/>
  <c r="J4149" i="1" s="1"/>
  <c r="H4152" i="1"/>
  <c r="I4152" i="1" s="1"/>
  <c r="J4153" i="1" s="1"/>
  <c r="H4153" i="1"/>
  <c r="I4153" i="1" s="1"/>
  <c r="J4154" i="1" s="1"/>
  <c r="H4154" i="1"/>
  <c r="I4154" i="1" s="1"/>
  <c r="J4155" i="1" s="1"/>
  <c r="H4155" i="1"/>
  <c r="I4155" i="1" s="1"/>
  <c r="J4156" i="1" s="1"/>
  <c r="H4156" i="1"/>
  <c r="I4156" i="1" s="1"/>
  <c r="J4157" i="1" s="1"/>
  <c r="H4157" i="1"/>
  <c r="I4157" i="1" s="1"/>
  <c r="J4158" i="1" s="1"/>
  <c r="H4161" i="1"/>
  <c r="I4161" i="1" s="1"/>
  <c r="J4162" i="1" s="1"/>
  <c r="H4162" i="1"/>
  <c r="I4162" i="1" s="1"/>
  <c r="J4163" i="1" s="1"/>
  <c r="H4164" i="1"/>
  <c r="I4164" i="1" s="1"/>
  <c r="J4165" i="1" s="1"/>
  <c r="H4165" i="1"/>
  <c r="I4165" i="1" s="1"/>
  <c r="J4166" i="1" s="1"/>
  <c r="H4166" i="1"/>
  <c r="I4166" i="1" s="1"/>
  <c r="J4167" i="1" s="1"/>
  <c r="H4167" i="1"/>
  <c r="I4167" i="1" s="1"/>
  <c r="J4168" i="1" s="1"/>
  <c r="H4168" i="1"/>
  <c r="I4168" i="1" s="1"/>
  <c r="J4169" i="1" s="1"/>
  <c r="H4169" i="1"/>
  <c r="I4169" i="1" s="1"/>
  <c r="J4170" i="1" s="1"/>
  <c r="H4171" i="1"/>
  <c r="I4171" i="1" s="1"/>
  <c r="J4172" i="1" s="1"/>
  <c r="H4172" i="1"/>
  <c r="I4172" i="1" s="1"/>
  <c r="J4173" i="1" s="1"/>
  <c r="H4173" i="1"/>
  <c r="I4173" i="1" s="1"/>
  <c r="J4174" i="1" s="1"/>
  <c r="H4174" i="1"/>
  <c r="I4174" i="1" s="1"/>
  <c r="J4175" i="1" s="1"/>
  <c r="H4175" i="1"/>
  <c r="I4175" i="1" s="1"/>
  <c r="J4176" i="1" s="1"/>
  <c r="H4176" i="1"/>
  <c r="I4176" i="1" s="1"/>
  <c r="J4177" i="1" s="1"/>
  <c r="H4177" i="1"/>
  <c r="I4177" i="1" s="1"/>
  <c r="J4178" i="1" s="1"/>
  <c r="H4178" i="1"/>
  <c r="I4178" i="1" s="1"/>
  <c r="J4179" i="1" s="1"/>
  <c r="H4179" i="1"/>
  <c r="I4179" i="1" s="1"/>
  <c r="J4180" i="1" s="1"/>
  <c r="H4181" i="1"/>
  <c r="I4181" i="1" s="1"/>
  <c r="J4182" i="1" s="1"/>
  <c r="H4183" i="1"/>
  <c r="I4183" i="1" s="1"/>
  <c r="J4184" i="1" s="1"/>
  <c r="H4184" i="1"/>
  <c r="I4184" i="1" s="1"/>
  <c r="J4185" i="1" s="1"/>
  <c r="H4185" i="1"/>
  <c r="I4185" i="1" s="1"/>
  <c r="J4186" i="1" s="1"/>
  <c r="H4186" i="1"/>
  <c r="I4186" i="1" s="1"/>
  <c r="J4187" i="1" s="1"/>
  <c r="H4187" i="1"/>
  <c r="I4187" i="1" s="1"/>
  <c r="J4188" i="1" s="1"/>
  <c r="H4188" i="1"/>
  <c r="I4188" i="1" s="1"/>
  <c r="J4189" i="1" s="1"/>
  <c r="H4189" i="1"/>
  <c r="H4190" i="1"/>
  <c r="I4190" i="1" s="1"/>
  <c r="J4191" i="1" s="1"/>
  <c r="H4191" i="1"/>
  <c r="I4191" i="1" s="1"/>
  <c r="J4192" i="1" s="1"/>
  <c r="H4192" i="1"/>
  <c r="I4192" i="1" s="1"/>
  <c r="J4193" i="1" s="1"/>
  <c r="H4193" i="1"/>
  <c r="I4193" i="1" s="1"/>
  <c r="J4194" i="1" s="1"/>
  <c r="H4194" i="1"/>
  <c r="I4194" i="1" s="1"/>
  <c r="J4195" i="1" s="1"/>
  <c r="H4195" i="1"/>
  <c r="I4195" i="1" s="1"/>
  <c r="J4196" i="1" s="1"/>
  <c r="H4196" i="1"/>
  <c r="I4196" i="1" s="1"/>
  <c r="J4197" i="1" s="1"/>
  <c r="H4197" i="1"/>
  <c r="I4197" i="1" s="1"/>
  <c r="J4198" i="1" s="1"/>
  <c r="H4198" i="1"/>
  <c r="I4198" i="1" s="1"/>
  <c r="J4199" i="1" s="1"/>
  <c r="H4199" i="1"/>
  <c r="I4199" i="1" s="1"/>
  <c r="J4200" i="1" s="1"/>
  <c r="H4200" i="1"/>
  <c r="I4200" i="1" s="1"/>
  <c r="J4201" i="1" s="1"/>
  <c r="H4201" i="1"/>
  <c r="I4201" i="1" s="1"/>
  <c r="J4202" i="1" s="1"/>
  <c r="H4202" i="1"/>
  <c r="I4202" i="1" s="1"/>
  <c r="J4203" i="1" s="1"/>
  <c r="H4203" i="1"/>
  <c r="I4203" i="1" s="1"/>
  <c r="J4204" i="1" s="1"/>
  <c r="H4204" i="1"/>
  <c r="I4204" i="1" s="1"/>
  <c r="J4205" i="1" s="1"/>
  <c r="H4205" i="1"/>
  <c r="I4205" i="1" s="1"/>
  <c r="J4206" i="1" s="1"/>
  <c r="H4206" i="1"/>
  <c r="I4206" i="1" s="1"/>
  <c r="J4207" i="1" s="1"/>
  <c r="H4207" i="1"/>
  <c r="I4207" i="1" s="1"/>
  <c r="J4208" i="1" s="1"/>
  <c r="H4208" i="1"/>
  <c r="I4208" i="1" s="1"/>
  <c r="J4209" i="1" s="1"/>
  <c r="H4209" i="1"/>
  <c r="I4209" i="1" s="1"/>
  <c r="J4210" i="1" s="1"/>
  <c r="H4210" i="1"/>
  <c r="I4210" i="1" s="1"/>
  <c r="J4211" i="1" s="1"/>
  <c r="H4211" i="1"/>
  <c r="I4211" i="1" s="1"/>
  <c r="J4212" i="1" s="1"/>
  <c r="H4212" i="1"/>
  <c r="I4212" i="1" s="1"/>
  <c r="J4213" i="1" s="1"/>
  <c r="H4213" i="1"/>
  <c r="I4213" i="1" s="1"/>
  <c r="J4214" i="1" s="1"/>
  <c r="H4215" i="1"/>
  <c r="I4215" i="1" s="1"/>
  <c r="J4216" i="1" s="1"/>
  <c r="H4216" i="1"/>
  <c r="I4216" i="1" s="1"/>
  <c r="J4217" i="1" s="1"/>
  <c r="H4217" i="1"/>
  <c r="I4217" i="1" s="1"/>
  <c r="J4218" i="1" s="1"/>
  <c r="H4218" i="1"/>
  <c r="I4218" i="1" s="1"/>
  <c r="J4219" i="1" s="1"/>
  <c r="H4219" i="1"/>
  <c r="I4219" i="1" s="1"/>
  <c r="J4220" i="1" s="1"/>
  <c r="H4220" i="1"/>
  <c r="I4220" i="1" s="1"/>
  <c r="J4221" i="1" s="1"/>
  <c r="H4221" i="1"/>
  <c r="I4221" i="1" s="1"/>
  <c r="J4222" i="1" s="1"/>
  <c r="H4222" i="1"/>
  <c r="I4222" i="1" s="1"/>
  <c r="J4223" i="1" s="1"/>
  <c r="H4223" i="1"/>
  <c r="I4223" i="1" s="1"/>
  <c r="J4224" i="1" s="1"/>
  <c r="H4224" i="1"/>
  <c r="I4224" i="1" s="1"/>
  <c r="J4225" i="1" s="1"/>
  <c r="H4225" i="1"/>
  <c r="I4225" i="1" s="1"/>
  <c r="J4226" i="1" s="1"/>
  <c r="H4226" i="1"/>
  <c r="I4226" i="1" s="1"/>
  <c r="J4227" i="1" s="1"/>
  <c r="H4227" i="1"/>
  <c r="I4227" i="1" s="1"/>
  <c r="J4228" i="1" s="1"/>
  <c r="H4228" i="1"/>
  <c r="I4228" i="1" s="1"/>
  <c r="J4229" i="1" s="1"/>
  <c r="H4229" i="1"/>
  <c r="I4229" i="1" s="1"/>
  <c r="J4230" i="1" s="1"/>
  <c r="H4230" i="1"/>
  <c r="I4230" i="1" s="1"/>
  <c r="J4231" i="1" s="1"/>
  <c r="H4231" i="1"/>
  <c r="I4231" i="1" s="1"/>
  <c r="J4232" i="1" s="1"/>
  <c r="H4232" i="1"/>
  <c r="I4232" i="1" s="1"/>
  <c r="J4233" i="1" s="1"/>
  <c r="H4233" i="1"/>
  <c r="I4233" i="1" s="1"/>
  <c r="J4234" i="1" s="1"/>
  <c r="H4234" i="1"/>
  <c r="I4234" i="1" s="1"/>
  <c r="J4235" i="1" s="1"/>
  <c r="H4235" i="1"/>
  <c r="I4235" i="1" s="1"/>
  <c r="J4236" i="1" s="1"/>
  <c r="H4236" i="1"/>
  <c r="I4236" i="1" s="1"/>
  <c r="J4237" i="1" s="1"/>
  <c r="H4237" i="1"/>
  <c r="I4237" i="1" s="1"/>
  <c r="J4238" i="1" s="1"/>
  <c r="H4238" i="1"/>
  <c r="I4238" i="1" s="1"/>
  <c r="J4239" i="1" s="1"/>
  <c r="H4239" i="1"/>
  <c r="I4239" i="1" s="1"/>
  <c r="J4240" i="1" s="1"/>
  <c r="H4240" i="1"/>
  <c r="I4240" i="1" s="1"/>
  <c r="J4241" i="1" s="1"/>
  <c r="H4241" i="1"/>
  <c r="I4241" i="1" s="1"/>
  <c r="J4242" i="1" s="1"/>
  <c r="H4242" i="1"/>
  <c r="I4242" i="1" s="1"/>
  <c r="J4243" i="1" s="1"/>
  <c r="H4243" i="1"/>
  <c r="I4243" i="1" s="1"/>
  <c r="J4244" i="1" s="1"/>
  <c r="H4244" i="1"/>
  <c r="I4244" i="1" s="1"/>
  <c r="J4245" i="1" s="1"/>
  <c r="H4245" i="1"/>
  <c r="I4245" i="1" s="1"/>
  <c r="J4246" i="1" s="1"/>
  <c r="H4246" i="1"/>
  <c r="I4246" i="1" s="1"/>
  <c r="J4247" i="1" s="1"/>
  <c r="H4247" i="1"/>
  <c r="I4247" i="1" s="1"/>
  <c r="J4248" i="1" s="1"/>
  <c r="H4248" i="1"/>
  <c r="I4248" i="1" s="1"/>
  <c r="J4249" i="1" s="1"/>
  <c r="H4249" i="1"/>
  <c r="I4249" i="1" s="1"/>
  <c r="J4250" i="1" s="1"/>
  <c r="H4250" i="1"/>
  <c r="I4250" i="1" s="1"/>
  <c r="J4251" i="1" s="1"/>
  <c r="H4251" i="1"/>
  <c r="I4251" i="1" s="1"/>
  <c r="J4252" i="1" s="1"/>
  <c r="H4253" i="1"/>
  <c r="I4253" i="1" s="1"/>
  <c r="J4254" i="1" s="1"/>
  <c r="H4254" i="1"/>
  <c r="I4254" i="1" s="1"/>
  <c r="J4255" i="1" s="1"/>
  <c r="H4255" i="1"/>
  <c r="I4255" i="1" s="1"/>
  <c r="J4256" i="1" s="1"/>
  <c r="H4256" i="1"/>
  <c r="I4256" i="1" s="1"/>
  <c r="J4257" i="1" s="1"/>
  <c r="H4257" i="1"/>
  <c r="I4257" i="1" s="1"/>
  <c r="J4258" i="1" s="1"/>
  <c r="H4258" i="1"/>
  <c r="I4258" i="1" s="1"/>
  <c r="J4259" i="1" s="1"/>
  <c r="H4259" i="1"/>
  <c r="I4259" i="1" s="1"/>
  <c r="J4260" i="1" s="1"/>
  <c r="H4260" i="1"/>
  <c r="I4260" i="1" s="1"/>
  <c r="J4261" i="1" s="1"/>
  <c r="H4261" i="1"/>
  <c r="I4261" i="1" s="1"/>
  <c r="J4262" i="1" s="1"/>
  <c r="H4262" i="1"/>
  <c r="I4262" i="1" s="1"/>
  <c r="J4263" i="1" s="1"/>
  <c r="H4263" i="1"/>
  <c r="I4263" i="1" s="1"/>
  <c r="J4264" i="1" s="1"/>
  <c r="H4264" i="1"/>
  <c r="I4264" i="1" s="1"/>
  <c r="J4265" i="1" s="1"/>
  <c r="H4265" i="1"/>
  <c r="I4265" i="1" s="1"/>
  <c r="J4266" i="1" s="1"/>
  <c r="H4266" i="1"/>
  <c r="I4266" i="1" s="1"/>
  <c r="J4267" i="1" s="1"/>
  <c r="H4268" i="1"/>
  <c r="I4268" i="1" s="1"/>
  <c r="J4269" i="1" s="1"/>
  <c r="H4269" i="1"/>
  <c r="I4269" i="1" s="1"/>
  <c r="J4270" i="1" s="1"/>
  <c r="H4270" i="1"/>
  <c r="I4270" i="1" s="1"/>
  <c r="J4271" i="1" s="1"/>
  <c r="H4271" i="1"/>
  <c r="I4271" i="1" s="1"/>
  <c r="J4272" i="1" s="1"/>
  <c r="H4272" i="1"/>
  <c r="I4272" i="1" s="1"/>
  <c r="J4273" i="1" s="1"/>
  <c r="H4273" i="1"/>
  <c r="I4273" i="1" s="1"/>
  <c r="J4274" i="1" s="1"/>
  <c r="H4274" i="1"/>
  <c r="I4274" i="1" s="1"/>
  <c r="J4275" i="1" s="1"/>
  <c r="H4275" i="1"/>
  <c r="I4275" i="1" s="1"/>
  <c r="J4276" i="1" s="1"/>
  <c r="H4276" i="1"/>
  <c r="I4276" i="1" s="1"/>
  <c r="J4277" i="1" s="1"/>
  <c r="H4279" i="1"/>
  <c r="I4279" i="1" s="1"/>
  <c r="J4280" i="1" s="1"/>
  <c r="H4280" i="1"/>
  <c r="I4280" i="1" s="1"/>
  <c r="J4281" i="1" s="1"/>
  <c r="H4281" i="1"/>
  <c r="I4281" i="1" s="1"/>
  <c r="J4282" i="1" s="1"/>
  <c r="H4282" i="1"/>
  <c r="I4282" i="1" s="1"/>
  <c r="J4283" i="1" s="1"/>
  <c r="H4283" i="1"/>
  <c r="I4283" i="1" s="1"/>
  <c r="J4284" i="1" s="1"/>
  <c r="H4284" i="1"/>
  <c r="I4284" i="1" s="1"/>
  <c r="J4285" i="1" s="1"/>
  <c r="H4285" i="1"/>
  <c r="I4285" i="1" s="1"/>
  <c r="J4286" i="1" s="1"/>
  <c r="H4287" i="1"/>
  <c r="I4287" i="1" s="1"/>
  <c r="J4288" i="1" s="1"/>
  <c r="H4288" i="1"/>
  <c r="I4288" i="1" s="1"/>
  <c r="J4289" i="1" s="1"/>
  <c r="H4289" i="1"/>
  <c r="I4289" i="1" s="1"/>
  <c r="J4290" i="1" s="1"/>
  <c r="H4290" i="1"/>
  <c r="I4290" i="1" s="1"/>
  <c r="J4291" i="1" s="1"/>
  <c r="H4291" i="1"/>
  <c r="I4291" i="1" s="1"/>
  <c r="J4292" i="1" s="1"/>
  <c r="H4292" i="1"/>
  <c r="I4292" i="1" s="1"/>
  <c r="J4293" i="1" s="1"/>
  <c r="H4293" i="1"/>
  <c r="I4293" i="1" s="1"/>
  <c r="J4294" i="1" s="1"/>
  <c r="H4294" i="1"/>
  <c r="I4294" i="1" s="1"/>
  <c r="J4295" i="1" s="1"/>
  <c r="H4295" i="1"/>
  <c r="H4297" i="1"/>
  <c r="I4297" i="1" s="1"/>
  <c r="J4298" i="1" s="1"/>
  <c r="H4298" i="1"/>
  <c r="I4298" i="1" s="1"/>
  <c r="J4299" i="1" s="1"/>
  <c r="H4299" i="1"/>
  <c r="I4299" i="1" s="1"/>
  <c r="J4300" i="1" s="1"/>
  <c r="H4300" i="1"/>
  <c r="I4300" i="1" s="1"/>
  <c r="J4301" i="1" s="1"/>
  <c r="H4301" i="1"/>
  <c r="I4301" i="1" s="1"/>
  <c r="J4302" i="1" s="1"/>
  <c r="H4303" i="1"/>
  <c r="I4303" i="1" s="1"/>
  <c r="J4304" i="1" s="1"/>
  <c r="H4304" i="1"/>
  <c r="I4304" i="1" s="1"/>
  <c r="J4305" i="1" s="1"/>
  <c r="H4305" i="1"/>
  <c r="I4305" i="1" s="1"/>
  <c r="J4306" i="1" s="1"/>
  <c r="H4307" i="1"/>
  <c r="I4307" i="1" s="1"/>
  <c r="J4308" i="1" s="1"/>
  <c r="H4308" i="1"/>
  <c r="I4308" i="1" s="1"/>
  <c r="J4309" i="1" s="1"/>
  <c r="H4309" i="1"/>
  <c r="I4309" i="1" s="1"/>
  <c r="J4310" i="1" s="1"/>
  <c r="H4310" i="1"/>
  <c r="I4310" i="1" s="1"/>
  <c r="J4311" i="1" s="1"/>
  <c r="H4311" i="1"/>
  <c r="I4311" i="1" s="1"/>
  <c r="J4312" i="1" s="1"/>
  <c r="H4312" i="1"/>
  <c r="I4312" i="1" s="1"/>
  <c r="J4313" i="1" s="1"/>
  <c r="H4313" i="1"/>
  <c r="I4313" i="1" s="1"/>
  <c r="J4314" i="1" s="1"/>
  <c r="H4314" i="1"/>
  <c r="I4314" i="1" s="1"/>
  <c r="J4315" i="1" s="1"/>
  <c r="H4315" i="1"/>
  <c r="I4315" i="1" s="1"/>
  <c r="J4316" i="1" s="1"/>
  <c r="H4318" i="1"/>
  <c r="I4318" i="1" s="1"/>
  <c r="J4319" i="1" s="1"/>
  <c r="H4319" i="1"/>
  <c r="I4319" i="1" s="1"/>
  <c r="J4320" i="1" s="1"/>
  <c r="H4320" i="1"/>
  <c r="I4320" i="1" s="1"/>
  <c r="J4321" i="1" s="1"/>
  <c r="H4321" i="1"/>
  <c r="I4321" i="1" s="1"/>
  <c r="J4322" i="1" s="1"/>
  <c r="H4322" i="1"/>
  <c r="I4322" i="1" s="1"/>
  <c r="J4323" i="1" s="1"/>
  <c r="H4323" i="1"/>
  <c r="I4323" i="1" s="1"/>
  <c r="J4324" i="1" s="1"/>
  <c r="H4324" i="1"/>
  <c r="I4324" i="1" s="1"/>
  <c r="J4325" i="1" s="1"/>
  <c r="H4325" i="1"/>
  <c r="I4325" i="1" s="1"/>
  <c r="J4326" i="1" s="1"/>
  <c r="H4326" i="1"/>
  <c r="I4326" i="1" s="1"/>
  <c r="J4327" i="1" s="1"/>
  <c r="H4328" i="1"/>
  <c r="I4328" i="1" s="1"/>
  <c r="J4329" i="1" s="1"/>
  <c r="H4329" i="1"/>
  <c r="I4329" i="1" s="1"/>
  <c r="J4330" i="1" s="1"/>
  <c r="H4330" i="1"/>
  <c r="I4330" i="1" s="1"/>
  <c r="J4331" i="1" s="1"/>
  <c r="H4331" i="1"/>
  <c r="I4331" i="1" s="1"/>
  <c r="J4332" i="1" s="1"/>
  <c r="H4332" i="1"/>
  <c r="I4332" i="1" s="1"/>
  <c r="J4333" i="1" s="1"/>
  <c r="H4333" i="1"/>
  <c r="I4333" i="1" s="1"/>
  <c r="J4334" i="1" s="1"/>
  <c r="H4334" i="1"/>
  <c r="I4334" i="1" s="1"/>
  <c r="J4335" i="1" s="1"/>
  <c r="H4335" i="1"/>
  <c r="I4335" i="1" s="1"/>
  <c r="J4336" i="1" s="1"/>
  <c r="H4336" i="1"/>
  <c r="I4336" i="1" s="1"/>
  <c r="J4337" i="1" s="1"/>
  <c r="H4337" i="1"/>
  <c r="I4337" i="1" s="1"/>
  <c r="J4338" i="1" s="1"/>
  <c r="H4338" i="1"/>
  <c r="I4338" i="1" s="1"/>
  <c r="J4339" i="1" s="1"/>
  <c r="H4339" i="1"/>
  <c r="I4339" i="1" s="1"/>
  <c r="J4340" i="1" s="1"/>
  <c r="H4340" i="1"/>
  <c r="I4340" i="1" s="1"/>
  <c r="J4341" i="1" s="1"/>
  <c r="H4341" i="1"/>
  <c r="I4341" i="1" s="1"/>
  <c r="J4342" i="1" s="1"/>
  <c r="H4342" i="1"/>
  <c r="I4342" i="1" s="1"/>
  <c r="J4343" i="1" s="1"/>
  <c r="H4343" i="1"/>
  <c r="I4343" i="1" s="1"/>
  <c r="J4344" i="1" s="1"/>
  <c r="H4344" i="1"/>
  <c r="I4344" i="1" s="1"/>
  <c r="J4345" i="1" s="1"/>
  <c r="H4345" i="1"/>
  <c r="I4345" i="1" s="1"/>
  <c r="J4346" i="1" s="1"/>
  <c r="H4346" i="1"/>
  <c r="I4346" i="1" s="1"/>
  <c r="J4347" i="1" s="1"/>
  <c r="H4347" i="1"/>
  <c r="I4347" i="1" s="1"/>
  <c r="J4348" i="1" s="1"/>
  <c r="H4348" i="1"/>
  <c r="I4348" i="1" s="1"/>
  <c r="J4349" i="1" s="1"/>
  <c r="H4349" i="1"/>
  <c r="I4349" i="1" s="1"/>
  <c r="J4350" i="1" s="1"/>
  <c r="H4350" i="1"/>
  <c r="I4350" i="1" s="1"/>
  <c r="J4351" i="1" s="1"/>
  <c r="H4351" i="1"/>
  <c r="I4351" i="1" s="1"/>
  <c r="J4352" i="1" s="1"/>
  <c r="H4352" i="1"/>
  <c r="I4352" i="1" s="1"/>
  <c r="J4353" i="1" s="1"/>
  <c r="H4353" i="1"/>
  <c r="I4353" i="1" s="1"/>
  <c r="J4354" i="1" s="1"/>
  <c r="H4354" i="1"/>
  <c r="I4354" i="1" s="1"/>
  <c r="J4355" i="1" s="1"/>
  <c r="H4355" i="1"/>
  <c r="I4355" i="1" s="1"/>
  <c r="J4356" i="1" s="1"/>
  <c r="H4356" i="1"/>
  <c r="I4356" i="1" s="1"/>
  <c r="J4357" i="1" s="1"/>
  <c r="H4357" i="1"/>
  <c r="I4357" i="1" s="1"/>
  <c r="J4358" i="1" s="1"/>
  <c r="H4358" i="1"/>
  <c r="I4358" i="1" s="1"/>
  <c r="J4359" i="1" s="1"/>
  <c r="H4359" i="1"/>
  <c r="I4359" i="1" s="1"/>
  <c r="J4360" i="1" s="1"/>
  <c r="H4360" i="1"/>
  <c r="I4360" i="1" s="1"/>
  <c r="J4361" i="1" s="1"/>
  <c r="H4361" i="1"/>
  <c r="I4361" i="1" s="1"/>
  <c r="J4362" i="1" s="1"/>
  <c r="H4362" i="1"/>
  <c r="I4362" i="1" s="1"/>
  <c r="J4363" i="1" s="1"/>
  <c r="H4363" i="1"/>
  <c r="I4363" i="1" s="1"/>
  <c r="J4364" i="1" s="1"/>
  <c r="H4364" i="1"/>
  <c r="I4364" i="1" s="1"/>
  <c r="J4365" i="1" s="1"/>
  <c r="H4365" i="1"/>
  <c r="I4365" i="1" s="1"/>
  <c r="J4366" i="1" s="1"/>
  <c r="H4366" i="1"/>
  <c r="I4366" i="1" s="1"/>
  <c r="J4367" i="1" s="1"/>
  <c r="H4367" i="1"/>
  <c r="I4367" i="1" s="1"/>
  <c r="J4368" i="1" s="1"/>
  <c r="H4368" i="1"/>
  <c r="I4368" i="1" s="1"/>
  <c r="J4369" i="1" s="1"/>
  <c r="H4369" i="1"/>
  <c r="I4369" i="1" s="1"/>
  <c r="J4370" i="1" s="1"/>
  <c r="H4370" i="1"/>
  <c r="I4370" i="1" s="1"/>
  <c r="J4371" i="1" s="1"/>
  <c r="H4371" i="1"/>
  <c r="I4371" i="1" s="1"/>
  <c r="J4372" i="1" s="1"/>
  <c r="H4372" i="1"/>
  <c r="I4372" i="1" s="1"/>
  <c r="J4373" i="1" s="1"/>
  <c r="H4373" i="1"/>
  <c r="I4373" i="1" s="1"/>
  <c r="J4374" i="1" s="1"/>
  <c r="H4374" i="1"/>
  <c r="I4374" i="1" s="1"/>
  <c r="J4375" i="1" s="1"/>
  <c r="H4375" i="1"/>
  <c r="I4375" i="1" s="1"/>
  <c r="J4376" i="1" s="1"/>
  <c r="H4376" i="1"/>
  <c r="I4376" i="1" s="1"/>
  <c r="J4377" i="1" s="1"/>
  <c r="H4377" i="1"/>
  <c r="I4377" i="1" s="1"/>
  <c r="J4378" i="1" s="1"/>
  <c r="H4378" i="1"/>
  <c r="I4378" i="1" s="1"/>
  <c r="J4379" i="1" s="1"/>
  <c r="H4379" i="1"/>
  <c r="I4379" i="1" s="1"/>
  <c r="J4380" i="1" s="1"/>
  <c r="H4380" i="1"/>
  <c r="I4380" i="1" s="1"/>
  <c r="J4381" i="1" s="1"/>
  <c r="H4381" i="1"/>
  <c r="I4381" i="1" s="1"/>
  <c r="J4382" i="1" s="1"/>
  <c r="H4382" i="1"/>
  <c r="I4382" i="1" s="1"/>
  <c r="J4383" i="1" s="1"/>
  <c r="H4383" i="1"/>
  <c r="I4383" i="1" s="1"/>
  <c r="J4384" i="1" s="1"/>
  <c r="H4384" i="1"/>
  <c r="I4384" i="1" s="1"/>
  <c r="J4385" i="1" s="1"/>
  <c r="H4385" i="1"/>
  <c r="I4385" i="1" s="1"/>
  <c r="J4386" i="1" s="1"/>
  <c r="H4386" i="1"/>
  <c r="I4386" i="1" s="1"/>
  <c r="J4387" i="1" s="1"/>
  <c r="H4387" i="1"/>
  <c r="I4387" i="1" s="1"/>
  <c r="J4388" i="1" s="1"/>
  <c r="H4388" i="1"/>
  <c r="I4388" i="1" s="1"/>
  <c r="J4389" i="1" s="1"/>
  <c r="H4389" i="1"/>
  <c r="I4389" i="1" s="1"/>
  <c r="J4390" i="1" s="1"/>
  <c r="H4390" i="1"/>
  <c r="I4390" i="1" s="1"/>
  <c r="J4391" i="1" s="1"/>
  <c r="H4391" i="1"/>
  <c r="I4391" i="1" s="1"/>
  <c r="J4392" i="1" s="1"/>
  <c r="H4392" i="1"/>
  <c r="I4392" i="1" s="1"/>
  <c r="J4393" i="1" s="1"/>
  <c r="H4393" i="1"/>
  <c r="I4393" i="1" s="1"/>
  <c r="J4394" i="1" s="1"/>
  <c r="H4394" i="1"/>
  <c r="I4394" i="1" s="1"/>
  <c r="J4395" i="1" s="1"/>
  <c r="H4395" i="1"/>
  <c r="I4395" i="1" s="1"/>
  <c r="J4396" i="1" s="1"/>
  <c r="H4396" i="1"/>
  <c r="I4396" i="1" s="1"/>
  <c r="J4397" i="1" s="1"/>
  <c r="H4397" i="1"/>
  <c r="I4397" i="1" s="1"/>
  <c r="J4398" i="1" s="1"/>
  <c r="H4398" i="1"/>
  <c r="I4398" i="1" s="1"/>
  <c r="J4399" i="1" s="1"/>
  <c r="H4399" i="1"/>
  <c r="I4399" i="1" s="1"/>
  <c r="J4400" i="1" s="1"/>
  <c r="H4400" i="1"/>
  <c r="I4400" i="1" s="1"/>
  <c r="J4401" i="1" s="1"/>
  <c r="H4401" i="1"/>
  <c r="I4401" i="1" s="1"/>
  <c r="J4402" i="1" s="1"/>
  <c r="H4402" i="1"/>
  <c r="I4402" i="1" s="1"/>
  <c r="J4403" i="1" s="1"/>
  <c r="H4403" i="1"/>
  <c r="I4403" i="1" s="1"/>
  <c r="J4404" i="1" s="1"/>
  <c r="H4404" i="1"/>
  <c r="I4404" i="1" s="1"/>
  <c r="J4405" i="1" s="1"/>
  <c r="H4405" i="1"/>
  <c r="I4405" i="1" s="1"/>
  <c r="J4406" i="1" s="1"/>
  <c r="H4406" i="1"/>
  <c r="I4406" i="1" s="1"/>
  <c r="J4407" i="1" s="1"/>
  <c r="H4407" i="1"/>
  <c r="I4407" i="1" s="1"/>
  <c r="J4408" i="1" s="1"/>
  <c r="H4408" i="1"/>
  <c r="I4408" i="1" s="1"/>
  <c r="J4409" i="1" s="1"/>
  <c r="H4409" i="1"/>
  <c r="I4409" i="1" s="1"/>
  <c r="J4410" i="1" s="1"/>
  <c r="H4410" i="1"/>
  <c r="I4410" i="1" s="1"/>
  <c r="J4411" i="1" s="1"/>
  <c r="H4412" i="1"/>
  <c r="I4412" i="1" s="1"/>
  <c r="J4413" i="1" s="1"/>
  <c r="H4413" i="1"/>
  <c r="I4413" i="1" s="1"/>
  <c r="J4414" i="1" s="1"/>
  <c r="H4414" i="1"/>
  <c r="I4414" i="1" s="1"/>
  <c r="J4415" i="1" s="1"/>
  <c r="H4415" i="1"/>
  <c r="I4415" i="1" s="1"/>
  <c r="J4416" i="1" s="1"/>
  <c r="H4416" i="1"/>
  <c r="I4416" i="1" s="1"/>
  <c r="J4417" i="1" s="1"/>
  <c r="H4417" i="1"/>
  <c r="I4417" i="1" s="1"/>
  <c r="J4418" i="1" s="1"/>
  <c r="H4418" i="1"/>
  <c r="I4418" i="1" s="1"/>
  <c r="J4419" i="1" s="1"/>
  <c r="H4419" i="1"/>
  <c r="I4419" i="1" s="1"/>
  <c r="J4420" i="1" s="1"/>
  <c r="H4420" i="1"/>
  <c r="I4420" i="1" s="1"/>
  <c r="J4421" i="1" s="1"/>
  <c r="H4421" i="1"/>
  <c r="I4421" i="1" s="1"/>
  <c r="J4422" i="1" s="1"/>
  <c r="H4423" i="1"/>
  <c r="I4423" i="1" s="1"/>
  <c r="J4424" i="1" s="1"/>
  <c r="H4424" i="1"/>
  <c r="I4424" i="1" s="1"/>
  <c r="J4425" i="1" s="1"/>
  <c r="H4425" i="1"/>
  <c r="I4425" i="1" s="1"/>
  <c r="J4426" i="1" s="1"/>
  <c r="H4426" i="1"/>
  <c r="I4426" i="1" s="1"/>
  <c r="J4427" i="1" s="1"/>
  <c r="H4427" i="1"/>
  <c r="I4427" i="1" s="1"/>
  <c r="J4428" i="1" s="1"/>
  <c r="H4429" i="1"/>
  <c r="I4429" i="1" s="1"/>
  <c r="J4430" i="1" s="1"/>
  <c r="H4430" i="1"/>
  <c r="I4430" i="1" s="1"/>
  <c r="J4431" i="1" s="1"/>
  <c r="H4431" i="1"/>
  <c r="I4431" i="1" s="1"/>
  <c r="J4432" i="1" s="1"/>
  <c r="H4432" i="1"/>
  <c r="I4432" i="1" s="1"/>
  <c r="J4433" i="1" s="1"/>
  <c r="H4433" i="1"/>
  <c r="I4433" i="1" s="1"/>
  <c r="J4434" i="1" s="1"/>
  <c r="H4434" i="1"/>
  <c r="I4434" i="1" s="1"/>
  <c r="J4435" i="1" s="1"/>
  <c r="H4435" i="1"/>
  <c r="I4435" i="1" s="1"/>
  <c r="J4436" i="1" s="1"/>
  <c r="H4436" i="1"/>
  <c r="I4436" i="1" s="1"/>
  <c r="J4437" i="1" s="1"/>
  <c r="H4437" i="1"/>
  <c r="I4437" i="1" s="1"/>
  <c r="J4438" i="1" s="1"/>
  <c r="H4438" i="1"/>
  <c r="I4438" i="1" s="1"/>
  <c r="J4439" i="1" s="1"/>
  <c r="H4439" i="1"/>
  <c r="I4439" i="1" s="1"/>
  <c r="J4440" i="1" s="1"/>
  <c r="H4440" i="1"/>
  <c r="I4440" i="1" s="1"/>
  <c r="J4441" i="1" s="1"/>
  <c r="H4441" i="1"/>
  <c r="I4441" i="1" s="1"/>
  <c r="J4442" i="1" s="1"/>
  <c r="H4442" i="1"/>
  <c r="I4442" i="1" s="1"/>
  <c r="J4443" i="1" s="1"/>
  <c r="H4443" i="1"/>
  <c r="I4443" i="1" s="1"/>
  <c r="J4444" i="1" s="1"/>
  <c r="H4444" i="1"/>
  <c r="I4444" i="1" s="1"/>
  <c r="J4445" i="1" s="1"/>
  <c r="H4445" i="1"/>
  <c r="I4445" i="1" s="1"/>
  <c r="J4446" i="1" s="1"/>
  <c r="H4446" i="1"/>
  <c r="I4446" i="1" s="1"/>
  <c r="J4447" i="1" s="1"/>
  <c r="H4447" i="1"/>
  <c r="I4447" i="1" s="1"/>
  <c r="J4448" i="1" s="1"/>
  <c r="H4448" i="1"/>
  <c r="I4448" i="1" s="1"/>
  <c r="J4449" i="1" s="1"/>
  <c r="H4449" i="1"/>
  <c r="I4449" i="1" s="1"/>
  <c r="J4450" i="1" s="1"/>
  <c r="H4450" i="1"/>
  <c r="I4450" i="1" s="1"/>
  <c r="J4451" i="1" s="1"/>
  <c r="H4451" i="1"/>
  <c r="I4451" i="1" s="1"/>
  <c r="J4452" i="1" s="1"/>
  <c r="H4452" i="1"/>
  <c r="I4452" i="1" s="1"/>
  <c r="J4453" i="1" s="1"/>
  <c r="H4453" i="1"/>
  <c r="I4453" i="1" s="1"/>
  <c r="J4454" i="1" s="1"/>
  <c r="H4455" i="1"/>
  <c r="I4455" i="1" s="1"/>
  <c r="J4456" i="1" s="1"/>
  <c r="H4456" i="1"/>
  <c r="I4456" i="1" s="1"/>
  <c r="J4457" i="1" s="1"/>
  <c r="H4457" i="1"/>
  <c r="I4457" i="1" s="1"/>
  <c r="J4458" i="1" s="1"/>
  <c r="H4458" i="1"/>
  <c r="I4458" i="1" s="1"/>
  <c r="J4459" i="1" s="1"/>
  <c r="H4459" i="1"/>
  <c r="I4459" i="1" s="1"/>
  <c r="J4460" i="1" s="1"/>
  <c r="H4460" i="1"/>
  <c r="I4460" i="1" s="1"/>
  <c r="J4461" i="1" s="1"/>
  <c r="H4461" i="1"/>
  <c r="I4461" i="1" s="1"/>
  <c r="J4462" i="1" s="1"/>
  <c r="H4462" i="1"/>
  <c r="I4462" i="1" s="1"/>
  <c r="J4463" i="1" s="1"/>
  <c r="H4464" i="1"/>
  <c r="I4464" i="1" s="1"/>
  <c r="J4465" i="1" s="1"/>
  <c r="H4465" i="1"/>
  <c r="I4465" i="1" s="1"/>
  <c r="J4466" i="1" s="1"/>
  <c r="H4466" i="1"/>
  <c r="I4466" i="1" s="1"/>
  <c r="J4467" i="1" s="1"/>
  <c r="H4467" i="1"/>
  <c r="I4467" i="1" s="1"/>
  <c r="J4468" i="1" s="1"/>
  <c r="H4468" i="1"/>
  <c r="I4468" i="1" s="1"/>
  <c r="J4469" i="1" s="1"/>
  <c r="H4469" i="1"/>
  <c r="I4469" i="1" s="1"/>
  <c r="J4470" i="1" s="1"/>
  <c r="H4470" i="1"/>
  <c r="I4470" i="1" s="1"/>
  <c r="J4471" i="1" s="1"/>
  <c r="H4471" i="1"/>
  <c r="I4471" i="1" s="1"/>
  <c r="J4472" i="1" s="1"/>
  <c r="H4472" i="1"/>
  <c r="I4472" i="1" s="1"/>
  <c r="J4473" i="1" s="1"/>
  <c r="H4473" i="1"/>
  <c r="I4473" i="1" s="1"/>
  <c r="J4474" i="1" s="1"/>
  <c r="H4474" i="1"/>
  <c r="I4474" i="1" s="1"/>
  <c r="J4475" i="1" s="1"/>
  <c r="H4475" i="1"/>
  <c r="I4475" i="1" s="1"/>
  <c r="J4476" i="1" s="1"/>
  <c r="H4476" i="1"/>
  <c r="I4476" i="1" s="1"/>
  <c r="J4477" i="1" s="1"/>
  <c r="H4477" i="1"/>
  <c r="I4477" i="1" s="1"/>
  <c r="J4478" i="1" s="1"/>
  <c r="H4478" i="1"/>
  <c r="I4478" i="1" s="1"/>
  <c r="J4479" i="1" s="1"/>
  <c r="H4479" i="1"/>
  <c r="I4479" i="1" s="1"/>
  <c r="J4480" i="1" s="1"/>
  <c r="H4480" i="1"/>
  <c r="I4480" i="1" s="1"/>
  <c r="J4481" i="1" s="1"/>
  <c r="H4481" i="1"/>
  <c r="I4481" i="1" s="1"/>
  <c r="J4482" i="1" s="1"/>
  <c r="H4482" i="1"/>
  <c r="I4482" i="1" s="1"/>
  <c r="J4483" i="1" s="1"/>
  <c r="H4483" i="1"/>
  <c r="I4483" i="1" s="1"/>
  <c r="J4484" i="1" s="1"/>
  <c r="H4484" i="1"/>
  <c r="I4484" i="1" s="1"/>
  <c r="J4485" i="1" s="1"/>
  <c r="H4485" i="1"/>
  <c r="I4485" i="1" s="1"/>
  <c r="J4486" i="1" s="1"/>
  <c r="H4486" i="1"/>
  <c r="I4486" i="1" s="1"/>
  <c r="J4487" i="1" s="1"/>
  <c r="H4487" i="1"/>
  <c r="I4487" i="1" s="1"/>
  <c r="J4488" i="1" s="1"/>
  <c r="H4488" i="1"/>
  <c r="I4488" i="1" s="1"/>
  <c r="J4489" i="1" s="1"/>
  <c r="H4489" i="1"/>
  <c r="I4489" i="1" s="1"/>
  <c r="J4490" i="1" s="1"/>
  <c r="H4490" i="1"/>
  <c r="I4490" i="1" s="1"/>
  <c r="J4491" i="1" s="1"/>
  <c r="H4492" i="1"/>
  <c r="I4492" i="1" s="1"/>
  <c r="J4493" i="1" s="1"/>
  <c r="H4494" i="1"/>
  <c r="I4494" i="1" s="1"/>
  <c r="J4495" i="1" s="1"/>
  <c r="H4495" i="1"/>
  <c r="H4496" i="1"/>
  <c r="I4496" i="1" s="1"/>
  <c r="J4497" i="1" s="1"/>
  <c r="H4497" i="1"/>
  <c r="I4497" i="1" s="1"/>
  <c r="J4498" i="1" s="1"/>
  <c r="H4498" i="1"/>
  <c r="I4498" i="1" s="1"/>
  <c r="J4499" i="1" s="1"/>
  <c r="H4499" i="1"/>
  <c r="H4500" i="1"/>
  <c r="I4500" i="1" s="1"/>
  <c r="J4501" i="1" s="1"/>
  <c r="H4501" i="1"/>
  <c r="I4501" i="1" s="1"/>
  <c r="J4502" i="1" s="1"/>
  <c r="H4502" i="1"/>
  <c r="I4502" i="1" s="1"/>
  <c r="J4503" i="1" s="1"/>
  <c r="H4503" i="1"/>
  <c r="I4503" i="1" s="1"/>
  <c r="J4504" i="1" s="1"/>
  <c r="H4504" i="1"/>
  <c r="I4504" i="1" s="1"/>
  <c r="J4505" i="1" s="1"/>
  <c r="H4505" i="1"/>
  <c r="I4505" i="1" s="1"/>
  <c r="J4506" i="1" s="1"/>
  <c r="H4506" i="1"/>
  <c r="I4506" i="1" s="1"/>
  <c r="J4507" i="1" s="1"/>
  <c r="H4507" i="1"/>
  <c r="I4507" i="1" s="1"/>
  <c r="J4508" i="1" s="1"/>
  <c r="H4508" i="1"/>
  <c r="I4508" i="1" s="1"/>
  <c r="J4509" i="1" s="1"/>
  <c r="H4509" i="1"/>
  <c r="I4509" i="1" s="1"/>
  <c r="J4510" i="1" s="1"/>
  <c r="H4510" i="1"/>
  <c r="I4510" i="1" s="1"/>
  <c r="J4511" i="1" s="1"/>
  <c r="H4511" i="1"/>
  <c r="I4511" i="1" s="1"/>
  <c r="J4512" i="1" s="1"/>
  <c r="H4512" i="1"/>
  <c r="I4512" i="1" s="1"/>
  <c r="J4513" i="1" s="1"/>
  <c r="H4513" i="1"/>
  <c r="I4513" i="1" s="1"/>
  <c r="J4514" i="1" s="1"/>
  <c r="H4514" i="1"/>
  <c r="I4514" i="1" s="1"/>
  <c r="J4515" i="1" s="1"/>
  <c r="H4515" i="1"/>
  <c r="I4515" i="1" s="1"/>
  <c r="J4516" i="1" s="1"/>
  <c r="H4516" i="1"/>
  <c r="I4516" i="1" s="1"/>
  <c r="J4517" i="1" s="1"/>
  <c r="H4517" i="1"/>
  <c r="I4517" i="1" s="1"/>
  <c r="J4518" i="1" s="1"/>
  <c r="H4518" i="1"/>
  <c r="I4518" i="1" s="1"/>
  <c r="J4519" i="1" s="1"/>
  <c r="H4519" i="1"/>
  <c r="H4520" i="1"/>
  <c r="I4520" i="1" s="1"/>
  <c r="J4521" i="1" s="1"/>
  <c r="H4521" i="1"/>
  <c r="I4521" i="1" s="1"/>
  <c r="J4522" i="1" s="1"/>
  <c r="H4522" i="1"/>
  <c r="I4522" i="1" s="1"/>
  <c r="J4523" i="1" s="1"/>
  <c r="H4523" i="1"/>
  <c r="I4523" i="1" s="1"/>
  <c r="J4524" i="1" s="1"/>
  <c r="H4524" i="1"/>
  <c r="I4524" i="1" s="1"/>
  <c r="J4525" i="1" s="1"/>
  <c r="H4525" i="1"/>
  <c r="I4525" i="1" s="1"/>
  <c r="J4526" i="1" s="1"/>
  <c r="H4526" i="1"/>
  <c r="I4526" i="1" s="1"/>
  <c r="J4527" i="1" s="1"/>
  <c r="H4527" i="1"/>
  <c r="I4527" i="1" s="1"/>
  <c r="J4528" i="1" s="1"/>
  <c r="H4529" i="1"/>
  <c r="I4529" i="1" s="1"/>
  <c r="J4530" i="1" s="1"/>
  <c r="H4530" i="1"/>
  <c r="I4530" i="1" s="1"/>
  <c r="J4531" i="1" s="1"/>
  <c r="H4531" i="1"/>
  <c r="I4531" i="1" s="1"/>
  <c r="J4532" i="1" s="1"/>
  <c r="H4532" i="1"/>
  <c r="I4532" i="1" s="1"/>
  <c r="J4533" i="1" s="1"/>
  <c r="H4533" i="1"/>
  <c r="I4533" i="1" s="1"/>
  <c r="J4534" i="1" s="1"/>
  <c r="H4534" i="1"/>
  <c r="I4534" i="1" s="1"/>
  <c r="J4535" i="1" s="1"/>
  <c r="H4535" i="1"/>
  <c r="I4535" i="1" s="1"/>
  <c r="J4536" i="1" s="1"/>
  <c r="H4536" i="1"/>
  <c r="I4536" i="1" s="1"/>
  <c r="J4537" i="1" s="1"/>
  <c r="H4537" i="1"/>
  <c r="I4537" i="1" s="1"/>
  <c r="J4538" i="1" s="1"/>
  <c r="H4538" i="1"/>
  <c r="I4538" i="1" s="1"/>
  <c r="J4539" i="1" s="1"/>
  <c r="H4539" i="1"/>
  <c r="I4539" i="1" s="1"/>
  <c r="J4540" i="1" s="1"/>
  <c r="H4540" i="1"/>
  <c r="I4540" i="1" s="1"/>
  <c r="J4541" i="1" s="1"/>
  <c r="H4541" i="1"/>
  <c r="I4541" i="1" s="1"/>
  <c r="J4542" i="1" s="1"/>
  <c r="H4542" i="1"/>
  <c r="I4542" i="1" s="1"/>
  <c r="J4543" i="1" s="1"/>
  <c r="H4543" i="1"/>
  <c r="I4543" i="1" s="1"/>
  <c r="J4544" i="1" s="1"/>
  <c r="H4544" i="1"/>
  <c r="I4544" i="1" s="1"/>
  <c r="J4545" i="1" s="1"/>
  <c r="H4546" i="1"/>
  <c r="I4546" i="1" s="1"/>
  <c r="J4547" i="1" s="1"/>
  <c r="H4547" i="1"/>
  <c r="I4547" i="1" s="1"/>
  <c r="J4548" i="1" s="1"/>
  <c r="H4548" i="1"/>
  <c r="I4548" i="1" s="1"/>
  <c r="J4549" i="1" s="1"/>
  <c r="H4549" i="1"/>
  <c r="I4549" i="1" s="1"/>
  <c r="J4550" i="1" s="1"/>
  <c r="H4550" i="1"/>
  <c r="I4550" i="1" s="1"/>
  <c r="J4551" i="1" s="1"/>
  <c r="H4551" i="1"/>
  <c r="I4551" i="1" s="1"/>
  <c r="J4552" i="1" s="1"/>
  <c r="H4552" i="1"/>
  <c r="I4552" i="1" s="1"/>
  <c r="J4553" i="1" s="1"/>
  <c r="H4553" i="1"/>
  <c r="I4553" i="1" s="1"/>
  <c r="J4554" i="1" s="1"/>
  <c r="H4555" i="1"/>
  <c r="I4555" i="1" s="1"/>
  <c r="J4556" i="1" s="1"/>
  <c r="H4556" i="1"/>
  <c r="I4556" i="1" s="1"/>
  <c r="J4557" i="1" s="1"/>
  <c r="H4557" i="1"/>
  <c r="I4557" i="1" s="1"/>
  <c r="J4558" i="1" s="1"/>
  <c r="H4558" i="1"/>
  <c r="I4558" i="1" s="1"/>
  <c r="J4559" i="1" s="1"/>
  <c r="H4559" i="1"/>
  <c r="I4559" i="1" s="1"/>
  <c r="J4560" i="1" s="1"/>
  <c r="H4560" i="1"/>
  <c r="I4560" i="1" s="1"/>
  <c r="J4561" i="1" s="1"/>
  <c r="H4561" i="1"/>
  <c r="I4561" i="1" s="1"/>
  <c r="J4562" i="1" s="1"/>
  <c r="H4562" i="1"/>
  <c r="I4562" i="1" s="1"/>
  <c r="J4563" i="1" s="1"/>
  <c r="H4563" i="1"/>
  <c r="I4563" i="1" s="1"/>
  <c r="J4564" i="1" s="1"/>
  <c r="H4564" i="1"/>
  <c r="I4564" i="1" s="1"/>
  <c r="J4565" i="1" s="1"/>
  <c r="H4565" i="1"/>
  <c r="I4565" i="1" s="1"/>
  <c r="J4566" i="1" s="1"/>
  <c r="H4566" i="1"/>
  <c r="I4566" i="1" s="1"/>
  <c r="J4567" i="1" s="1"/>
  <c r="H4567" i="1"/>
  <c r="I4567" i="1" s="1"/>
  <c r="J4568" i="1" s="1"/>
  <c r="H4568" i="1"/>
  <c r="I4568" i="1" s="1"/>
  <c r="J4569" i="1" s="1"/>
  <c r="H4569" i="1"/>
  <c r="I4569" i="1" s="1"/>
  <c r="J4570" i="1" s="1"/>
  <c r="H4570" i="1"/>
  <c r="I4570" i="1" s="1"/>
  <c r="J4571" i="1" s="1"/>
  <c r="H4571" i="1"/>
  <c r="I4571" i="1" s="1"/>
  <c r="J4572" i="1" s="1"/>
  <c r="H4572" i="1"/>
  <c r="I4572" i="1" s="1"/>
  <c r="J4573" i="1" s="1"/>
  <c r="H4573" i="1"/>
  <c r="I4573" i="1" s="1"/>
  <c r="J4574" i="1" s="1"/>
  <c r="H4574" i="1"/>
  <c r="I4574" i="1" s="1"/>
  <c r="J4575" i="1" s="1"/>
  <c r="H4575" i="1"/>
  <c r="I4575" i="1" s="1"/>
  <c r="J4576" i="1" s="1"/>
  <c r="H4576" i="1"/>
  <c r="I4576" i="1" s="1"/>
  <c r="J4577" i="1" s="1"/>
  <c r="H4577" i="1"/>
  <c r="I4577" i="1" s="1"/>
  <c r="J4578" i="1" s="1"/>
  <c r="H4578" i="1"/>
  <c r="I4578" i="1" s="1"/>
  <c r="J4579" i="1" s="1"/>
  <c r="H4579" i="1"/>
  <c r="I4579" i="1" s="1"/>
  <c r="J4580" i="1" s="1"/>
  <c r="H4580" i="1"/>
  <c r="I4580" i="1" s="1"/>
  <c r="J4581" i="1" s="1"/>
  <c r="H4581" i="1"/>
  <c r="I4581" i="1" s="1"/>
  <c r="J4582" i="1" s="1"/>
  <c r="H4582" i="1"/>
  <c r="I4582" i="1" s="1"/>
  <c r="J4583" i="1" s="1"/>
  <c r="H4583" i="1"/>
  <c r="I4583" i="1" s="1"/>
  <c r="J4584" i="1" s="1"/>
  <c r="H4584" i="1"/>
  <c r="I4584" i="1" s="1"/>
  <c r="J4585" i="1" s="1"/>
  <c r="H4585" i="1"/>
  <c r="I4585" i="1" s="1"/>
  <c r="J4586" i="1" s="1"/>
  <c r="H4586" i="1"/>
  <c r="I4586" i="1" s="1"/>
  <c r="J4587" i="1" s="1"/>
  <c r="H4587" i="1"/>
  <c r="I4587" i="1" s="1"/>
  <c r="J4588" i="1" s="1"/>
  <c r="H4588" i="1"/>
  <c r="I4588" i="1" s="1"/>
  <c r="J4589" i="1" s="1"/>
  <c r="H4589" i="1"/>
  <c r="I4589" i="1" s="1"/>
  <c r="J4590" i="1" s="1"/>
  <c r="H4590" i="1"/>
  <c r="I4590" i="1" s="1"/>
  <c r="J4591" i="1" s="1"/>
  <c r="H4591" i="1"/>
  <c r="I4591" i="1" s="1"/>
  <c r="J4592" i="1" s="1"/>
  <c r="H4592" i="1"/>
  <c r="I4592" i="1" s="1"/>
  <c r="J4593" i="1" s="1"/>
  <c r="H4593" i="1"/>
  <c r="I4593" i="1" s="1"/>
  <c r="J4594" i="1" s="1"/>
  <c r="H4594" i="1"/>
  <c r="I4594" i="1" s="1"/>
  <c r="J4595" i="1" s="1"/>
  <c r="H4595" i="1"/>
  <c r="I4595" i="1" s="1"/>
  <c r="J4596" i="1" s="1"/>
  <c r="H4596" i="1"/>
  <c r="I4596" i="1" s="1"/>
  <c r="J4597" i="1" s="1"/>
  <c r="H4597" i="1"/>
  <c r="I4597" i="1" s="1"/>
  <c r="J4598" i="1" s="1"/>
  <c r="H4598" i="1"/>
  <c r="I4598" i="1" s="1"/>
  <c r="J4599" i="1" s="1"/>
  <c r="H4599" i="1"/>
  <c r="I4599" i="1" s="1"/>
  <c r="J4600" i="1" s="1"/>
  <c r="H4600" i="1"/>
  <c r="I4600" i="1" s="1"/>
  <c r="J4601" i="1" s="1"/>
  <c r="H4601" i="1"/>
  <c r="I4601" i="1" s="1"/>
  <c r="J4602" i="1" s="1"/>
  <c r="H4602" i="1"/>
  <c r="I4602" i="1" s="1"/>
  <c r="J4603" i="1" s="1"/>
  <c r="H4603" i="1"/>
  <c r="I4603" i="1" s="1"/>
  <c r="J4604" i="1" s="1"/>
  <c r="H4604" i="1"/>
  <c r="I4604" i="1" s="1"/>
  <c r="J4605" i="1" s="1"/>
  <c r="H4605" i="1"/>
  <c r="I4605" i="1" s="1"/>
  <c r="J4606" i="1" s="1"/>
  <c r="H4606" i="1"/>
  <c r="I4606" i="1" s="1"/>
  <c r="J4607" i="1" s="1"/>
  <c r="H4607" i="1"/>
  <c r="I4607" i="1" s="1"/>
  <c r="J4608" i="1" s="1"/>
  <c r="H4608" i="1"/>
  <c r="I4608" i="1" s="1"/>
  <c r="J4609" i="1" s="1"/>
  <c r="H4609" i="1"/>
  <c r="I4609" i="1" s="1"/>
  <c r="J4610" i="1" s="1"/>
  <c r="H4610" i="1"/>
  <c r="I4610" i="1" s="1"/>
  <c r="J4611" i="1" s="1"/>
  <c r="H4611" i="1"/>
  <c r="I4611" i="1" s="1"/>
  <c r="J4612" i="1" s="1"/>
  <c r="H4612" i="1"/>
  <c r="I4612" i="1" s="1"/>
  <c r="J4613" i="1" s="1"/>
  <c r="H4613" i="1"/>
  <c r="I4613" i="1" s="1"/>
  <c r="J4614" i="1" s="1"/>
  <c r="H4614" i="1"/>
  <c r="I4614" i="1" s="1"/>
  <c r="J4615" i="1" s="1"/>
  <c r="H4615" i="1"/>
  <c r="I4615" i="1" s="1"/>
  <c r="J4616" i="1" s="1"/>
  <c r="H4616" i="1"/>
  <c r="I4616" i="1" s="1"/>
  <c r="J4617" i="1" s="1"/>
  <c r="H4617" i="1"/>
  <c r="I4617" i="1" s="1"/>
  <c r="J4618" i="1" s="1"/>
  <c r="H4618" i="1"/>
  <c r="I4618" i="1" s="1"/>
  <c r="J4619" i="1" s="1"/>
  <c r="H4619" i="1"/>
  <c r="H4620" i="1"/>
  <c r="I4620" i="1" s="1"/>
  <c r="J4621" i="1" s="1"/>
  <c r="H4621" i="1"/>
  <c r="I4621" i="1" s="1"/>
  <c r="J4622" i="1" s="1"/>
  <c r="H4622" i="1"/>
  <c r="I4622" i="1" s="1"/>
  <c r="J4623" i="1" s="1"/>
  <c r="H4623" i="1"/>
  <c r="I4623" i="1" s="1"/>
  <c r="J4624" i="1" s="1"/>
  <c r="H4624" i="1"/>
  <c r="I4624" i="1" s="1"/>
  <c r="J4625" i="1" s="1"/>
  <c r="H4625" i="1"/>
  <c r="I4625" i="1" s="1"/>
  <c r="J4626" i="1" s="1"/>
  <c r="H4626" i="1"/>
  <c r="I4626" i="1" s="1"/>
  <c r="J4627" i="1" s="1"/>
  <c r="H4627" i="1"/>
  <c r="I4627" i="1" s="1"/>
  <c r="J4628" i="1" s="1"/>
  <c r="H4628" i="1"/>
  <c r="I4628" i="1" s="1"/>
  <c r="J4629" i="1" s="1"/>
  <c r="H4629" i="1"/>
  <c r="I4629" i="1" s="1"/>
  <c r="J4630" i="1" s="1"/>
  <c r="H4630" i="1"/>
  <c r="I4630" i="1" s="1"/>
  <c r="J4631" i="1" s="1"/>
  <c r="H4631" i="1"/>
  <c r="I4631" i="1" s="1"/>
  <c r="J4632" i="1" s="1"/>
  <c r="H4632" i="1"/>
  <c r="I4632" i="1" s="1"/>
  <c r="J4633" i="1" s="1"/>
  <c r="H4633" i="1"/>
  <c r="I4633" i="1" s="1"/>
  <c r="J4634" i="1" s="1"/>
  <c r="H4634" i="1"/>
  <c r="I4634" i="1" s="1"/>
  <c r="J4635" i="1" s="1"/>
  <c r="H4635" i="1"/>
  <c r="I4635" i="1" s="1"/>
  <c r="J4636" i="1" s="1"/>
  <c r="H4636" i="1"/>
  <c r="I4636" i="1" s="1"/>
  <c r="J4637" i="1" s="1"/>
  <c r="H4637" i="1"/>
  <c r="I4637" i="1" s="1"/>
  <c r="J4638" i="1" s="1"/>
  <c r="H4638" i="1"/>
  <c r="I4638" i="1" s="1"/>
  <c r="J4639" i="1" s="1"/>
  <c r="H4639" i="1"/>
  <c r="I4639" i="1" s="1"/>
  <c r="J4640" i="1" s="1"/>
  <c r="H4640" i="1"/>
  <c r="I4640" i="1" s="1"/>
  <c r="J4641" i="1" s="1"/>
  <c r="H4641" i="1"/>
  <c r="I4641" i="1" s="1"/>
  <c r="J4642" i="1" s="1"/>
  <c r="H4642" i="1"/>
  <c r="I4642" i="1" s="1"/>
  <c r="J4643" i="1" s="1"/>
  <c r="H4643" i="1"/>
  <c r="I4643" i="1" s="1"/>
  <c r="J4644" i="1" s="1"/>
  <c r="H4644" i="1"/>
  <c r="I4644" i="1" s="1"/>
  <c r="J4645" i="1" s="1"/>
  <c r="H4645" i="1"/>
  <c r="I4645" i="1" s="1"/>
  <c r="J4646" i="1" s="1"/>
  <c r="H4646" i="1"/>
  <c r="I4646" i="1" s="1"/>
  <c r="J4647" i="1" s="1"/>
  <c r="H4647" i="1"/>
  <c r="I4647" i="1" s="1"/>
  <c r="J4648" i="1" s="1"/>
  <c r="H4648" i="1"/>
  <c r="I4648" i="1" s="1"/>
  <c r="J4649" i="1" s="1"/>
  <c r="H4649" i="1"/>
  <c r="I4649" i="1" s="1"/>
  <c r="J4650" i="1" s="1"/>
  <c r="H4650" i="1"/>
  <c r="I4650" i="1" s="1"/>
  <c r="J4651" i="1" s="1"/>
  <c r="H4651" i="1"/>
  <c r="I4651" i="1" s="1"/>
  <c r="J4652" i="1" s="1"/>
  <c r="H4652" i="1"/>
  <c r="I4652" i="1" s="1"/>
  <c r="J4653" i="1" s="1"/>
  <c r="H4653" i="1"/>
  <c r="I4653" i="1" s="1"/>
  <c r="J4654" i="1" s="1"/>
  <c r="H4654" i="1"/>
  <c r="I4654" i="1" s="1"/>
  <c r="J4655" i="1" s="1"/>
  <c r="H4655" i="1"/>
  <c r="I4655" i="1" s="1"/>
  <c r="J4656" i="1" s="1"/>
  <c r="H4656" i="1"/>
  <c r="I4656" i="1" s="1"/>
  <c r="J4657" i="1" s="1"/>
  <c r="H4657" i="1"/>
  <c r="I4657" i="1" s="1"/>
  <c r="J4658" i="1" s="1"/>
  <c r="H4658" i="1"/>
  <c r="I4658" i="1" s="1"/>
  <c r="J4659" i="1" s="1"/>
  <c r="H4659" i="1"/>
  <c r="I4659" i="1" s="1"/>
  <c r="J4660" i="1" s="1"/>
  <c r="H4660" i="1"/>
  <c r="I4660" i="1" s="1"/>
  <c r="J4661" i="1" s="1"/>
  <c r="H4661" i="1"/>
  <c r="I4661" i="1" s="1"/>
  <c r="J4662" i="1" s="1"/>
  <c r="H4662" i="1"/>
  <c r="I4662" i="1" s="1"/>
  <c r="J4663" i="1" s="1"/>
  <c r="H4663" i="1"/>
  <c r="I4663" i="1" s="1"/>
  <c r="J4664" i="1" s="1"/>
  <c r="H4664" i="1"/>
  <c r="I4664" i="1" s="1"/>
  <c r="J4665" i="1" s="1"/>
  <c r="H4665" i="1"/>
  <c r="I4665" i="1" s="1"/>
  <c r="J4666" i="1" s="1"/>
  <c r="H4666" i="1"/>
  <c r="I4666" i="1" s="1"/>
  <c r="J4667" i="1" s="1"/>
  <c r="H4667" i="1"/>
  <c r="I4667" i="1" s="1"/>
  <c r="J4668" i="1" s="1"/>
  <c r="H4668" i="1"/>
  <c r="I4668" i="1" s="1"/>
  <c r="J4669" i="1" s="1"/>
  <c r="H4669" i="1"/>
  <c r="I4669" i="1" s="1"/>
  <c r="J4670" i="1" s="1"/>
  <c r="H4670" i="1"/>
  <c r="I4670" i="1" s="1"/>
  <c r="J4671" i="1" s="1"/>
  <c r="H4671" i="1"/>
  <c r="I4671" i="1" s="1"/>
  <c r="J4672" i="1" s="1"/>
  <c r="H4672" i="1"/>
  <c r="I4672" i="1" s="1"/>
  <c r="J4673" i="1" s="1"/>
  <c r="H4673" i="1"/>
  <c r="I4673" i="1" s="1"/>
  <c r="J4674" i="1" s="1"/>
  <c r="H4674" i="1"/>
  <c r="I4674" i="1" s="1"/>
  <c r="J4675" i="1" s="1"/>
  <c r="H4675" i="1"/>
  <c r="I4675" i="1" s="1"/>
  <c r="J4676" i="1" s="1"/>
  <c r="H4676" i="1"/>
  <c r="I4676" i="1" s="1"/>
  <c r="J4677" i="1" s="1"/>
  <c r="H4677" i="1"/>
  <c r="I4677" i="1" s="1"/>
  <c r="J4678" i="1" s="1"/>
  <c r="H4678" i="1"/>
  <c r="I4678" i="1" s="1"/>
  <c r="J4679" i="1" s="1"/>
  <c r="H4679" i="1"/>
  <c r="I4679" i="1" s="1"/>
  <c r="J4680" i="1" s="1"/>
  <c r="H4680" i="1"/>
  <c r="I4680" i="1" s="1"/>
  <c r="J4681" i="1" s="1"/>
  <c r="H4681" i="1"/>
  <c r="I4681" i="1" s="1"/>
  <c r="J4682" i="1" s="1"/>
  <c r="H4682" i="1"/>
  <c r="I4682" i="1" s="1"/>
  <c r="J4683" i="1" s="1"/>
  <c r="H4683" i="1"/>
  <c r="I4683" i="1" s="1"/>
  <c r="J4684" i="1" s="1"/>
  <c r="H4684" i="1"/>
  <c r="I4684" i="1" s="1"/>
  <c r="J4685" i="1" s="1"/>
  <c r="H4685" i="1"/>
  <c r="I4685" i="1" s="1"/>
  <c r="J4686" i="1" s="1"/>
  <c r="H4686" i="1"/>
  <c r="I4686" i="1" s="1"/>
  <c r="J4687" i="1" s="1"/>
  <c r="H4687" i="1"/>
  <c r="I4687" i="1" s="1"/>
  <c r="J4688" i="1" s="1"/>
  <c r="H4688" i="1"/>
  <c r="I4688" i="1" s="1"/>
  <c r="J4689" i="1" s="1"/>
  <c r="H4689" i="1"/>
  <c r="I4689" i="1" s="1"/>
  <c r="J4690" i="1" s="1"/>
  <c r="H4690" i="1"/>
  <c r="I4690" i="1" s="1"/>
  <c r="J4691" i="1" s="1"/>
  <c r="H4691" i="1"/>
  <c r="I4691" i="1" s="1"/>
  <c r="J4692" i="1" s="1"/>
  <c r="H4692" i="1"/>
  <c r="I4692" i="1" s="1"/>
  <c r="J4693" i="1" s="1"/>
  <c r="H4693" i="1"/>
  <c r="I4693" i="1" s="1"/>
  <c r="J4694" i="1" s="1"/>
  <c r="H4694" i="1"/>
  <c r="I4694" i="1" s="1"/>
  <c r="J4695" i="1" s="1"/>
  <c r="H4695" i="1"/>
  <c r="I4695" i="1" s="1"/>
  <c r="J4696" i="1" s="1"/>
  <c r="H4696" i="1"/>
  <c r="I4696" i="1" s="1"/>
  <c r="J4697" i="1" s="1"/>
  <c r="H4697" i="1"/>
  <c r="I4697" i="1" s="1"/>
  <c r="J4698" i="1" s="1"/>
  <c r="H4698" i="1"/>
  <c r="I4698" i="1" s="1"/>
  <c r="J4699" i="1" s="1"/>
  <c r="H4699" i="1"/>
  <c r="I4699" i="1" s="1"/>
  <c r="J4700" i="1" s="1"/>
  <c r="H4700" i="1"/>
  <c r="I4700" i="1" s="1"/>
  <c r="J4701" i="1" s="1"/>
  <c r="H4701" i="1"/>
  <c r="I4701" i="1" s="1"/>
  <c r="J4702" i="1" s="1"/>
  <c r="H4702" i="1"/>
  <c r="I4702" i="1" s="1"/>
  <c r="J4703" i="1" s="1"/>
  <c r="H4703" i="1"/>
  <c r="I4703" i="1" s="1"/>
  <c r="J4704" i="1" s="1"/>
  <c r="H4704" i="1"/>
  <c r="I4704" i="1" s="1"/>
  <c r="J4705" i="1" s="1"/>
  <c r="H4705" i="1"/>
  <c r="I4705" i="1" s="1"/>
  <c r="J4706" i="1" s="1"/>
  <c r="H4706" i="1"/>
  <c r="I4706" i="1" s="1"/>
  <c r="J4707" i="1" s="1"/>
  <c r="H4707" i="1"/>
  <c r="I4707" i="1" s="1"/>
  <c r="J4708" i="1" s="1"/>
  <c r="H4708" i="1"/>
  <c r="I4708" i="1" s="1"/>
  <c r="J4709" i="1" s="1"/>
  <c r="H4709" i="1"/>
  <c r="I4709" i="1" s="1"/>
  <c r="J4710" i="1" s="1"/>
  <c r="H4710" i="1"/>
  <c r="I4710" i="1" s="1"/>
  <c r="J4711" i="1" s="1"/>
  <c r="H4712" i="1"/>
  <c r="I4712" i="1" s="1"/>
  <c r="J4713" i="1" s="1"/>
  <c r="H4713" i="1"/>
  <c r="I4713" i="1" s="1"/>
  <c r="J4714" i="1" s="1"/>
  <c r="H4714" i="1"/>
  <c r="I4714" i="1" s="1"/>
  <c r="J4715" i="1" s="1"/>
  <c r="H4715" i="1"/>
  <c r="I4715" i="1" s="1"/>
  <c r="J4716" i="1" s="1"/>
  <c r="H4716" i="1"/>
  <c r="I4716" i="1" s="1"/>
  <c r="J4717" i="1" s="1"/>
  <c r="H4717" i="1"/>
  <c r="I4717" i="1" s="1"/>
  <c r="J4718" i="1" s="1"/>
  <c r="H4718" i="1"/>
  <c r="I4718" i="1" s="1"/>
  <c r="J4719" i="1" s="1"/>
  <c r="H4719" i="1"/>
  <c r="I4719" i="1" s="1"/>
  <c r="J4720" i="1" s="1"/>
  <c r="H4720" i="1"/>
  <c r="I4720" i="1" s="1"/>
  <c r="J4721" i="1" s="1"/>
  <c r="H4721" i="1"/>
  <c r="I4721" i="1" s="1"/>
  <c r="J4722" i="1" s="1"/>
  <c r="H4722" i="1"/>
  <c r="I4722" i="1" s="1"/>
  <c r="J4723" i="1" s="1"/>
  <c r="H4723" i="1"/>
  <c r="I4723" i="1" s="1"/>
  <c r="J4724" i="1" s="1"/>
  <c r="H4724" i="1"/>
  <c r="I4724" i="1" s="1"/>
  <c r="J4725" i="1" s="1"/>
  <c r="H4725" i="1"/>
  <c r="I4725" i="1" s="1"/>
  <c r="J4726" i="1" s="1"/>
  <c r="H4726" i="1"/>
  <c r="I4726" i="1" s="1"/>
  <c r="J4727" i="1" s="1"/>
  <c r="H4727" i="1"/>
  <c r="I4727" i="1" s="1"/>
  <c r="J4728" i="1" s="1"/>
  <c r="H4728" i="1"/>
  <c r="I4728" i="1" s="1"/>
  <c r="J4729" i="1" s="1"/>
  <c r="H4729" i="1"/>
  <c r="I4729" i="1" s="1"/>
  <c r="J4730" i="1" s="1"/>
  <c r="H4730" i="1"/>
  <c r="I4730" i="1" s="1"/>
  <c r="J4731" i="1" s="1"/>
  <c r="H4731" i="1"/>
  <c r="I4731" i="1" s="1"/>
  <c r="J4732" i="1" s="1"/>
  <c r="H4732" i="1"/>
  <c r="I4732" i="1" s="1"/>
  <c r="J4733" i="1" s="1"/>
  <c r="H4733" i="1"/>
  <c r="I4733" i="1" s="1"/>
  <c r="J4734" i="1" s="1"/>
  <c r="H4734" i="1"/>
  <c r="I4734" i="1" s="1"/>
  <c r="J4735" i="1" s="1"/>
  <c r="H4735" i="1"/>
  <c r="I4735" i="1" s="1"/>
  <c r="J4736" i="1" s="1"/>
  <c r="H4736" i="1"/>
  <c r="I4736" i="1" s="1"/>
  <c r="J4737" i="1" s="1"/>
  <c r="H4737" i="1"/>
  <c r="I4737" i="1" s="1"/>
  <c r="J4738" i="1" s="1"/>
  <c r="H4738" i="1"/>
  <c r="I4738" i="1" s="1"/>
  <c r="J4739" i="1" s="1"/>
  <c r="H4739" i="1"/>
  <c r="I4739" i="1" s="1"/>
  <c r="J4740" i="1" s="1"/>
  <c r="H4740" i="1"/>
  <c r="I4740" i="1" s="1"/>
  <c r="J4741" i="1" s="1"/>
  <c r="H4741" i="1"/>
  <c r="I4741" i="1" s="1"/>
  <c r="J4742" i="1" s="1"/>
  <c r="H4742" i="1"/>
  <c r="I4742" i="1" s="1"/>
  <c r="J4743" i="1" s="1"/>
  <c r="H4743" i="1"/>
  <c r="I4743" i="1" s="1"/>
  <c r="J4744" i="1" s="1"/>
  <c r="H4744" i="1"/>
  <c r="I4744" i="1" s="1"/>
  <c r="J4745" i="1" s="1"/>
  <c r="H4745" i="1"/>
  <c r="I4745" i="1" s="1"/>
  <c r="J4746" i="1" s="1"/>
  <c r="H4746" i="1"/>
  <c r="I4746" i="1" s="1"/>
  <c r="J4747" i="1" s="1"/>
  <c r="H4747" i="1"/>
  <c r="I4747" i="1" s="1"/>
  <c r="J4748" i="1" s="1"/>
  <c r="H4748" i="1"/>
  <c r="I4748" i="1" s="1"/>
  <c r="J4749" i="1" s="1"/>
  <c r="H4749" i="1"/>
  <c r="I4749" i="1" s="1"/>
  <c r="J4750" i="1" s="1"/>
  <c r="H4750" i="1"/>
  <c r="I4750" i="1" s="1"/>
  <c r="J4751" i="1" s="1"/>
  <c r="H4751" i="1"/>
  <c r="I4751" i="1" s="1"/>
  <c r="J4752" i="1" s="1"/>
  <c r="H4752" i="1"/>
  <c r="I4752" i="1" s="1"/>
  <c r="J4753" i="1" s="1"/>
  <c r="H4753" i="1"/>
  <c r="I4753" i="1" s="1"/>
  <c r="J4754" i="1" s="1"/>
  <c r="H4754" i="1"/>
  <c r="I4754" i="1" s="1"/>
  <c r="J4755" i="1" s="1"/>
  <c r="H4755" i="1"/>
  <c r="I4755" i="1" s="1"/>
  <c r="J4756" i="1" s="1"/>
  <c r="H4756" i="1"/>
  <c r="I4756" i="1" s="1"/>
  <c r="J4757" i="1" s="1"/>
  <c r="H4757" i="1"/>
  <c r="I4757" i="1" s="1"/>
  <c r="J4758" i="1" s="1"/>
  <c r="H4758" i="1"/>
  <c r="I4758" i="1" s="1"/>
  <c r="J4759" i="1" s="1"/>
  <c r="H4759" i="1"/>
  <c r="I4759" i="1" s="1"/>
  <c r="J4760" i="1" s="1"/>
  <c r="H4760" i="1"/>
  <c r="I4760" i="1" s="1"/>
  <c r="J4761" i="1" s="1"/>
  <c r="H4761" i="1"/>
  <c r="I4761" i="1" s="1"/>
  <c r="J4762" i="1" s="1"/>
  <c r="H4762" i="1"/>
  <c r="I4762" i="1" s="1"/>
  <c r="J4763" i="1" s="1"/>
  <c r="H4763" i="1"/>
  <c r="I4763" i="1" s="1"/>
  <c r="J4764" i="1" s="1"/>
  <c r="H4764" i="1"/>
  <c r="I4764" i="1" s="1"/>
  <c r="J4765" i="1" s="1"/>
  <c r="H4765" i="1"/>
  <c r="I4765" i="1" s="1"/>
  <c r="J4766" i="1" s="1"/>
  <c r="H4766" i="1"/>
  <c r="I4766" i="1" s="1"/>
  <c r="J4767" i="1" s="1"/>
  <c r="H4767" i="1"/>
  <c r="I4767" i="1" s="1"/>
  <c r="J4768" i="1" s="1"/>
  <c r="H4768" i="1"/>
  <c r="I4768" i="1" s="1"/>
  <c r="J4769" i="1" s="1"/>
  <c r="H4769" i="1"/>
  <c r="I4769" i="1" s="1"/>
  <c r="J4770" i="1" s="1"/>
  <c r="H4770" i="1"/>
  <c r="I4770" i="1" s="1"/>
  <c r="J4771" i="1" s="1"/>
  <c r="H4771" i="1"/>
  <c r="I4771" i="1" s="1"/>
  <c r="J4772" i="1" s="1"/>
  <c r="H4772" i="1"/>
  <c r="I4772" i="1" s="1"/>
  <c r="J4773" i="1" s="1"/>
  <c r="H4773" i="1"/>
  <c r="I4773" i="1" s="1"/>
  <c r="J4774" i="1" s="1"/>
  <c r="H4774" i="1"/>
  <c r="I4774" i="1" s="1"/>
  <c r="J4775" i="1" s="1"/>
  <c r="H4775" i="1"/>
  <c r="I4775" i="1" s="1"/>
  <c r="J4776" i="1" s="1"/>
  <c r="H4776" i="1"/>
  <c r="I4776" i="1" s="1"/>
  <c r="J4777" i="1" s="1"/>
  <c r="H4777" i="1"/>
  <c r="I4777" i="1" s="1"/>
  <c r="J4778" i="1" s="1"/>
  <c r="H4778" i="1"/>
  <c r="I4778" i="1" s="1"/>
  <c r="J4779" i="1" s="1"/>
  <c r="H4779" i="1"/>
  <c r="H4780" i="1"/>
  <c r="I4780" i="1" s="1"/>
  <c r="J4781" i="1" s="1"/>
  <c r="H4781" i="1"/>
  <c r="I4781" i="1" s="1"/>
  <c r="J4782" i="1" s="1"/>
  <c r="H4782" i="1"/>
  <c r="I4782" i="1" s="1"/>
  <c r="J4783" i="1" s="1"/>
  <c r="H4783" i="1"/>
  <c r="I4783" i="1" s="1"/>
  <c r="J4784" i="1" s="1"/>
  <c r="H4784" i="1"/>
  <c r="I4784" i="1" s="1"/>
  <c r="J4785" i="1" s="1"/>
  <c r="H4785" i="1"/>
  <c r="I4785" i="1" s="1"/>
  <c r="J4786" i="1" s="1"/>
  <c r="H4786" i="1"/>
  <c r="I4786" i="1" s="1"/>
  <c r="J4787" i="1" s="1"/>
  <c r="H4787" i="1"/>
  <c r="I4787" i="1" s="1"/>
  <c r="J4788" i="1" s="1"/>
  <c r="H4788" i="1"/>
  <c r="I4788" i="1" s="1"/>
  <c r="J4789" i="1" s="1"/>
  <c r="H4789" i="1"/>
  <c r="I4789" i="1" s="1"/>
  <c r="J4790" i="1" s="1"/>
  <c r="H4790" i="1"/>
  <c r="I4790" i="1" s="1"/>
  <c r="J4791" i="1" s="1"/>
  <c r="H4791" i="1"/>
  <c r="I4791" i="1" s="1"/>
  <c r="J4792" i="1" s="1"/>
  <c r="H4792" i="1"/>
  <c r="I4792" i="1" s="1"/>
  <c r="J4793" i="1" s="1"/>
  <c r="H4793" i="1"/>
  <c r="I4793" i="1" s="1"/>
  <c r="J4794" i="1" s="1"/>
  <c r="H4794" i="1"/>
  <c r="I4794" i="1" s="1"/>
  <c r="J4795" i="1" s="1"/>
  <c r="H4795" i="1"/>
  <c r="H4796" i="1"/>
  <c r="I4796" i="1" s="1"/>
  <c r="J4797" i="1" s="1"/>
  <c r="H4797" i="1"/>
  <c r="I4797" i="1" s="1"/>
  <c r="J4798" i="1" s="1"/>
  <c r="H4798" i="1"/>
  <c r="I4798" i="1" s="1"/>
  <c r="J4799" i="1" s="1"/>
  <c r="H4799" i="1"/>
  <c r="I4799" i="1" s="1"/>
  <c r="J4800" i="1" s="1"/>
  <c r="H4800" i="1"/>
  <c r="I4800" i="1" s="1"/>
  <c r="J4801" i="1" s="1"/>
  <c r="H4801" i="1"/>
  <c r="I4801" i="1" s="1"/>
  <c r="J4802" i="1" s="1"/>
  <c r="H4802" i="1"/>
  <c r="I4802" i="1" s="1"/>
  <c r="J4803" i="1" s="1"/>
  <c r="H4803" i="1"/>
  <c r="I4803" i="1" s="1"/>
  <c r="J4804" i="1" s="1"/>
  <c r="H4804" i="1"/>
  <c r="I4804" i="1" s="1"/>
  <c r="J4805" i="1" s="1"/>
  <c r="H4805" i="1"/>
  <c r="I4805" i="1" s="1"/>
  <c r="J4806" i="1" s="1"/>
  <c r="H4806" i="1"/>
  <c r="I4806" i="1" s="1"/>
  <c r="J4807" i="1" s="1"/>
  <c r="H4807" i="1"/>
  <c r="I4807" i="1" s="1"/>
  <c r="J4808" i="1" s="1"/>
  <c r="H4808" i="1"/>
  <c r="I4808" i="1" s="1"/>
  <c r="J4809" i="1" s="1"/>
  <c r="H4809" i="1"/>
  <c r="I4809" i="1" s="1"/>
  <c r="J4810" i="1" s="1"/>
  <c r="H4810" i="1"/>
  <c r="I4810" i="1" s="1"/>
  <c r="J4811" i="1" s="1"/>
  <c r="H4811" i="1"/>
  <c r="I4811" i="1" s="1"/>
  <c r="J4812" i="1" s="1"/>
  <c r="H4812" i="1"/>
  <c r="I4812" i="1" s="1"/>
  <c r="J4813" i="1" s="1"/>
  <c r="H4813" i="1"/>
  <c r="I4813" i="1" s="1"/>
  <c r="J4814" i="1" s="1"/>
  <c r="H4814" i="1"/>
  <c r="I4814" i="1" s="1"/>
  <c r="J4815" i="1" s="1"/>
  <c r="H4815" i="1"/>
  <c r="I4815" i="1" s="1"/>
  <c r="J4816" i="1" s="1"/>
  <c r="H4816" i="1"/>
  <c r="I4816" i="1" s="1"/>
  <c r="J4817" i="1" s="1"/>
  <c r="H4817" i="1"/>
  <c r="I4817" i="1" s="1"/>
  <c r="J4818" i="1" s="1"/>
  <c r="H4818" i="1"/>
  <c r="I4818" i="1" s="1"/>
  <c r="J4819" i="1" s="1"/>
  <c r="H4819" i="1"/>
  <c r="I4819" i="1" s="1"/>
  <c r="J4820" i="1" s="1"/>
  <c r="H4820" i="1"/>
  <c r="I4820" i="1" s="1"/>
  <c r="J4821" i="1" s="1"/>
  <c r="H4821" i="1"/>
  <c r="I4821" i="1" s="1"/>
  <c r="J4822" i="1" s="1"/>
  <c r="H4822" i="1"/>
  <c r="I4822" i="1" s="1"/>
  <c r="J4823" i="1" s="1"/>
  <c r="H4823" i="1"/>
  <c r="I4823" i="1" s="1"/>
  <c r="J4824" i="1" s="1"/>
  <c r="H4824" i="1"/>
  <c r="I4824" i="1" s="1"/>
  <c r="J4825" i="1" s="1"/>
  <c r="H4825" i="1"/>
  <c r="I4825" i="1" s="1"/>
  <c r="J4826" i="1" s="1"/>
  <c r="H4826" i="1"/>
  <c r="I4826" i="1" s="1"/>
  <c r="J4827" i="1" s="1"/>
  <c r="H4827" i="1"/>
  <c r="I4827" i="1" s="1"/>
  <c r="J4828" i="1" s="1"/>
  <c r="H4828" i="1"/>
  <c r="I4828" i="1" s="1"/>
  <c r="J4829" i="1" s="1"/>
  <c r="H4829" i="1"/>
  <c r="I4829" i="1" s="1"/>
  <c r="J4830" i="1" s="1"/>
  <c r="H4830" i="1"/>
  <c r="I4830" i="1" s="1"/>
  <c r="J4831" i="1" s="1"/>
  <c r="H4831" i="1"/>
  <c r="I4831" i="1" s="1"/>
  <c r="J4832" i="1" s="1"/>
  <c r="H4832" i="1"/>
  <c r="I4832" i="1" s="1"/>
  <c r="J4833" i="1" s="1"/>
  <c r="H4833" i="1"/>
  <c r="I4833" i="1" s="1"/>
  <c r="J4834" i="1" s="1"/>
  <c r="H4834" i="1"/>
  <c r="I4834" i="1" s="1"/>
  <c r="J4835" i="1" s="1"/>
  <c r="H4835" i="1"/>
  <c r="I4835" i="1" s="1"/>
  <c r="J4836" i="1" s="1"/>
  <c r="H4836" i="1"/>
  <c r="I4836" i="1" s="1"/>
  <c r="J4837" i="1" s="1"/>
  <c r="H4837" i="1"/>
  <c r="I4837" i="1" s="1"/>
  <c r="J4838" i="1" s="1"/>
  <c r="H4838" i="1"/>
  <c r="I4838" i="1" s="1"/>
  <c r="J4839" i="1" s="1"/>
  <c r="H4839" i="1"/>
  <c r="I4839" i="1" s="1"/>
  <c r="J4840" i="1" s="1"/>
  <c r="H4840" i="1"/>
  <c r="I4840" i="1" s="1"/>
  <c r="J4841" i="1" s="1"/>
  <c r="H4841" i="1"/>
  <c r="I4841" i="1" s="1"/>
  <c r="J4842" i="1" s="1"/>
  <c r="H4842" i="1"/>
  <c r="I4842" i="1" s="1"/>
  <c r="J4843" i="1" s="1"/>
  <c r="H4843" i="1"/>
  <c r="I4843" i="1" s="1"/>
  <c r="J4844" i="1" s="1"/>
  <c r="H4844" i="1"/>
  <c r="I4844" i="1" s="1"/>
  <c r="J4845" i="1" s="1"/>
  <c r="H4845" i="1"/>
  <c r="I4845" i="1" s="1"/>
  <c r="J4846" i="1" s="1"/>
  <c r="H4846" i="1"/>
  <c r="I4846" i="1" s="1"/>
  <c r="J4847" i="1" s="1"/>
  <c r="H4847" i="1"/>
  <c r="I4847" i="1" s="1"/>
  <c r="J4848" i="1" s="1"/>
  <c r="H4848" i="1"/>
  <c r="I4848" i="1" s="1"/>
  <c r="J4849" i="1" s="1"/>
  <c r="H4849" i="1"/>
  <c r="I4849" i="1" s="1"/>
  <c r="J4850" i="1" s="1"/>
  <c r="H4850" i="1"/>
  <c r="I4850" i="1" s="1"/>
  <c r="J4851" i="1" s="1"/>
  <c r="H4851" i="1"/>
  <c r="I4851" i="1" s="1"/>
  <c r="J4852" i="1" s="1"/>
  <c r="H4852" i="1"/>
  <c r="I4852" i="1" s="1"/>
  <c r="J4853" i="1" s="1"/>
  <c r="H4853" i="1"/>
  <c r="I4853" i="1" s="1"/>
  <c r="J4854" i="1" s="1"/>
  <c r="H4854" i="1"/>
  <c r="I4854" i="1" s="1"/>
  <c r="J4855" i="1" s="1"/>
  <c r="H4855" i="1"/>
  <c r="I4855" i="1" s="1"/>
  <c r="J4856" i="1" s="1"/>
  <c r="H4856" i="1"/>
  <c r="I4856" i="1" s="1"/>
  <c r="J4857" i="1" s="1"/>
  <c r="H4857" i="1"/>
  <c r="I4857" i="1" s="1"/>
  <c r="J4858" i="1" s="1"/>
  <c r="H4858" i="1"/>
  <c r="I4858" i="1" s="1"/>
  <c r="J4859" i="1" s="1"/>
  <c r="H4859" i="1"/>
  <c r="I4859" i="1" s="1"/>
  <c r="J4860" i="1" s="1"/>
  <c r="H4860" i="1"/>
  <c r="I4860" i="1" s="1"/>
  <c r="J4861" i="1" s="1"/>
  <c r="H4861" i="1"/>
  <c r="I4861" i="1" s="1"/>
  <c r="J4862" i="1" s="1"/>
  <c r="H4862" i="1"/>
  <c r="I4862" i="1" s="1"/>
  <c r="J4863" i="1" s="1"/>
  <c r="H4863" i="1"/>
  <c r="I4863" i="1" s="1"/>
  <c r="J4864" i="1" s="1"/>
  <c r="H4864" i="1"/>
  <c r="I4864" i="1" s="1"/>
  <c r="J4865" i="1" s="1"/>
  <c r="H4865" i="1"/>
  <c r="I4865" i="1" s="1"/>
  <c r="J4866" i="1" s="1"/>
  <c r="H4866" i="1"/>
  <c r="I4866" i="1" s="1"/>
  <c r="J4867" i="1" s="1"/>
  <c r="H4867" i="1"/>
  <c r="I4867" i="1" s="1"/>
  <c r="J4868" i="1" s="1"/>
  <c r="H4868" i="1"/>
  <c r="I4868" i="1" s="1"/>
  <c r="J4869" i="1" s="1"/>
  <c r="H4869" i="1"/>
  <c r="I4869" i="1" s="1"/>
  <c r="J4870" i="1" s="1"/>
  <c r="H4870" i="1"/>
  <c r="I4870" i="1" s="1"/>
  <c r="J4871" i="1" s="1"/>
  <c r="H4871" i="1"/>
  <c r="I4871" i="1" s="1"/>
  <c r="J4872" i="1" s="1"/>
  <c r="H4872" i="1"/>
  <c r="I4872" i="1" s="1"/>
  <c r="J4873" i="1" s="1"/>
  <c r="H4873" i="1"/>
  <c r="I4873" i="1" s="1"/>
  <c r="J4874" i="1" s="1"/>
  <c r="H4874" i="1"/>
  <c r="I4874" i="1" s="1"/>
  <c r="J4875" i="1" s="1"/>
  <c r="H4875" i="1"/>
  <c r="I4875" i="1" s="1"/>
  <c r="J4876" i="1" s="1"/>
  <c r="H4876" i="1"/>
  <c r="I4876" i="1" s="1"/>
  <c r="J4877" i="1" s="1"/>
  <c r="H4877" i="1"/>
  <c r="I4877" i="1" s="1"/>
  <c r="J4878" i="1" s="1"/>
  <c r="H4878" i="1"/>
  <c r="I4878" i="1" s="1"/>
  <c r="J4879" i="1" s="1"/>
  <c r="H4879" i="1"/>
  <c r="H4880" i="1"/>
  <c r="I4880" i="1" s="1"/>
  <c r="J4881" i="1" s="1"/>
  <c r="H4881" i="1"/>
  <c r="I4881" i="1" s="1"/>
  <c r="J4882" i="1" s="1"/>
  <c r="H4882" i="1"/>
  <c r="I4882" i="1" s="1"/>
  <c r="J4883" i="1" s="1"/>
  <c r="H4883" i="1"/>
  <c r="I4883" i="1" s="1"/>
  <c r="J4884" i="1" s="1"/>
  <c r="H4884" i="1"/>
  <c r="I4884" i="1" s="1"/>
  <c r="J4885" i="1" s="1"/>
  <c r="H4885" i="1"/>
  <c r="I4885" i="1" s="1"/>
  <c r="J4886" i="1" s="1"/>
  <c r="H4886" i="1"/>
  <c r="I4886" i="1" s="1"/>
  <c r="J4887" i="1" s="1"/>
  <c r="H4887" i="1"/>
  <c r="I4887" i="1" s="1"/>
  <c r="J4888" i="1" s="1"/>
  <c r="H4888" i="1"/>
  <c r="I4888" i="1" s="1"/>
  <c r="J4889" i="1" s="1"/>
  <c r="H4889" i="1"/>
  <c r="H4890" i="1"/>
  <c r="I4890" i="1" s="1"/>
  <c r="J4891" i="1" s="1"/>
  <c r="H4891" i="1"/>
  <c r="I4891" i="1" s="1"/>
  <c r="J4892" i="1" s="1"/>
  <c r="H4892" i="1"/>
  <c r="I4892" i="1" s="1"/>
  <c r="J4893" i="1" s="1"/>
  <c r="H4893" i="1"/>
  <c r="I4893" i="1" s="1"/>
  <c r="J4894" i="1" s="1"/>
  <c r="H4894" i="1"/>
  <c r="I4894" i="1" s="1"/>
  <c r="J4895" i="1" s="1"/>
  <c r="H4895" i="1"/>
  <c r="I4895" i="1" s="1"/>
  <c r="J4896" i="1" s="1"/>
  <c r="H4896" i="1"/>
  <c r="I4896" i="1" s="1"/>
  <c r="J4897" i="1" s="1"/>
  <c r="H4897" i="1"/>
  <c r="I4897" i="1" s="1"/>
  <c r="J4898" i="1" s="1"/>
  <c r="H4898" i="1"/>
  <c r="I4898" i="1" s="1"/>
  <c r="J4899" i="1" s="1"/>
  <c r="H4899" i="1"/>
  <c r="I4899" i="1" s="1"/>
  <c r="J4900" i="1" s="1"/>
  <c r="H4900" i="1"/>
  <c r="I4900" i="1" s="1"/>
  <c r="J4901" i="1" s="1"/>
  <c r="H4901" i="1"/>
  <c r="I4901" i="1" s="1"/>
  <c r="J4902" i="1" s="1"/>
  <c r="H4902" i="1"/>
  <c r="I4902" i="1" s="1"/>
  <c r="J4903" i="1" s="1"/>
  <c r="H4903" i="1"/>
  <c r="I4903" i="1" s="1"/>
  <c r="J4904" i="1" s="1"/>
  <c r="H4904" i="1"/>
  <c r="I4904" i="1" s="1"/>
  <c r="J4905" i="1" s="1"/>
  <c r="H4905" i="1"/>
  <c r="I4905" i="1" s="1"/>
  <c r="J4906" i="1" s="1"/>
  <c r="H4906" i="1"/>
  <c r="I4906" i="1" s="1"/>
  <c r="J4907" i="1" s="1"/>
  <c r="H4907" i="1"/>
  <c r="I4907" i="1" s="1"/>
  <c r="J4908" i="1" s="1"/>
  <c r="H4908" i="1"/>
  <c r="I4908" i="1" s="1"/>
  <c r="J4909" i="1" s="1"/>
  <c r="H4909" i="1"/>
  <c r="I4909" i="1" s="1"/>
  <c r="J4910" i="1" s="1"/>
  <c r="H4910" i="1"/>
  <c r="I4910" i="1" s="1"/>
  <c r="J4911" i="1" s="1"/>
  <c r="H4911" i="1"/>
  <c r="I4911" i="1" s="1"/>
  <c r="J4912" i="1" s="1"/>
  <c r="H4912" i="1"/>
  <c r="I4912" i="1" s="1"/>
  <c r="J4913" i="1" s="1"/>
  <c r="H4913" i="1"/>
  <c r="I4913" i="1" s="1"/>
  <c r="J4914" i="1" s="1"/>
  <c r="H4914" i="1"/>
  <c r="I4914" i="1" s="1"/>
  <c r="J4915" i="1" s="1"/>
  <c r="H4915" i="1"/>
  <c r="I4915" i="1" s="1"/>
  <c r="J4916" i="1" s="1"/>
  <c r="H4916" i="1"/>
  <c r="I4916" i="1" s="1"/>
  <c r="J4917" i="1" s="1"/>
  <c r="H4917" i="1"/>
  <c r="I4917" i="1" s="1"/>
  <c r="J4918" i="1" s="1"/>
  <c r="H4918" i="1"/>
  <c r="I4918" i="1" s="1"/>
  <c r="J4919" i="1" s="1"/>
  <c r="H4919" i="1"/>
  <c r="I4919" i="1" s="1"/>
  <c r="J4920" i="1" s="1"/>
  <c r="H4920" i="1"/>
  <c r="I4920" i="1" s="1"/>
  <c r="J4921" i="1" s="1"/>
  <c r="H4921" i="1"/>
  <c r="I4921" i="1" s="1"/>
  <c r="J4922" i="1" s="1"/>
  <c r="H4922" i="1"/>
  <c r="I4922" i="1" s="1"/>
  <c r="J4923" i="1" s="1"/>
  <c r="H4923" i="1"/>
  <c r="I4923" i="1" s="1"/>
  <c r="J4924" i="1" s="1"/>
  <c r="H4924" i="1"/>
  <c r="I4924" i="1" s="1"/>
  <c r="J4925" i="1" s="1"/>
  <c r="H4925" i="1"/>
  <c r="I4925" i="1" s="1"/>
  <c r="J4926" i="1" s="1"/>
  <c r="H4926" i="1"/>
  <c r="I4926" i="1" s="1"/>
  <c r="J4927" i="1" s="1"/>
  <c r="H4927" i="1"/>
  <c r="I4927" i="1" s="1"/>
  <c r="J4928" i="1" s="1"/>
  <c r="H4928" i="1"/>
  <c r="I4928" i="1" s="1"/>
  <c r="J4929" i="1" s="1"/>
  <c r="H4929" i="1"/>
  <c r="I4929" i="1" s="1"/>
  <c r="J4930" i="1" s="1"/>
  <c r="H4930" i="1"/>
  <c r="I4930" i="1" s="1"/>
  <c r="J4931" i="1" s="1"/>
  <c r="H4931" i="1"/>
  <c r="I4931" i="1" s="1"/>
  <c r="J4932" i="1" s="1"/>
  <c r="H4932" i="1"/>
  <c r="I4932" i="1" s="1"/>
  <c r="J4933" i="1" s="1"/>
  <c r="H4933" i="1"/>
  <c r="I4933" i="1" s="1"/>
  <c r="J4934" i="1" s="1"/>
  <c r="H4934" i="1"/>
  <c r="I4934" i="1" s="1"/>
  <c r="J4935" i="1" s="1"/>
  <c r="H4935" i="1"/>
  <c r="I4935" i="1" s="1"/>
  <c r="J4936" i="1" s="1"/>
  <c r="H4936" i="1"/>
  <c r="I4936" i="1" s="1"/>
  <c r="J4937" i="1" s="1"/>
  <c r="H4937" i="1"/>
  <c r="I4937" i="1" s="1"/>
  <c r="J4938" i="1" s="1"/>
  <c r="H4938" i="1"/>
  <c r="I4938" i="1" s="1"/>
  <c r="J4939" i="1" s="1"/>
  <c r="H4939" i="1"/>
  <c r="I4939" i="1" s="1"/>
  <c r="J4940" i="1" s="1"/>
  <c r="H4940" i="1"/>
  <c r="I4940" i="1" s="1"/>
  <c r="J4941" i="1" s="1"/>
  <c r="H4941" i="1"/>
  <c r="I4941" i="1" s="1"/>
  <c r="J4942" i="1" s="1"/>
  <c r="H4942" i="1"/>
  <c r="I4942" i="1" s="1"/>
  <c r="J4943" i="1" s="1"/>
  <c r="H4943" i="1"/>
  <c r="I4943" i="1" s="1"/>
  <c r="J4944" i="1" s="1"/>
  <c r="H4944" i="1"/>
  <c r="I4944" i="1" s="1"/>
  <c r="J4945" i="1" s="1"/>
  <c r="H4945" i="1"/>
  <c r="I4945" i="1" s="1"/>
  <c r="J4946" i="1" s="1"/>
  <c r="H4946" i="1"/>
  <c r="I4946" i="1" s="1"/>
  <c r="J4947" i="1" s="1"/>
  <c r="H4947" i="1"/>
  <c r="I4947" i="1" s="1"/>
  <c r="J4948" i="1" s="1"/>
  <c r="H4948" i="1"/>
  <c r="I4948" i="1" s="1"/>
  <c r="J4949" i="1" s="1"/>
  <c r="H4949" i="1"/>
  <c r="I4949" i="1" s="1"/>
  <c r="J4950" i="1" s="1"/>
  <c r="H4950" i="1"/>
  <c r="I4950" i="1" s="1"/>
  <c r="J4951" i="1" s="1"/>
  <c r="H4951" i="1"/>
  <c r="I4951" i="1" s="1"/>
  <c r="J4952" i="1" s="1"/>
  <c r="H4952" i="1"/>
  <c r="I4952" i="1" s="1"/>
  <c r="J4953" i="1" s="1"/>
  <c r="H21" i="1"/>
  <c r="I21" i="1" s="1"/>
  <c r="J22" i="1" s="1"/>
  <c r="H22" i="1"/>
  <c r="I22" i="1" s="1"/>
  <c r="J23" i="1" s="1"/>
  <c r="H23" i="1"/>
  <c r="I23" i="1" s="1"/>
  <c r="J24" i="1" s="1"/>
  <c r="H24" i="1"/>
  <c r="I24" i="1" s="1"/>
  <c r="J25" i="1" s="1"/>
  <c r="H25" i="1"/>
  <c r="I25" i="1" s="1"/>
  <c r="J26" i="1" s="1"/>
  <c r="H26" i="1"/>
  <c r="I26" i="1" s="1"/>
  <c r="J27" i="1" s="1"/>
  <c r="H27" i="1"/>
  <c r="I27" i="1" s="1"/>
  <c r="J28" i="1" s="1"/>
  <c r="H3" i="1"/>
  <c r="I3" i="1" s="1"/>
  <c r="J4" i="1" s="1"/>
  <c r="H4" i="1"/>
  <c r="I4" i="1" s="1"/>
  <c r="J5" i="1" s="1"/>
  <c r="H5" i="1"/>
  <c r="I5" i="1" s="1"/>
  <c r="J6" i="1" s="1"/>
  <c r="H6" i="1"/>
  <c r="I6" i="1" s="1"/>
  <c r="J7" i="1" s="1"/>
  <c r="H7" i="1"/>
  <c r="I7" i="1" s="1"/>
  <c r="J8" i="1" s="1"/>
  <c r="H8" i="1"/>
  <c r="I8" i="1" s="1"/>
  <c r="J9" i="1" s="1"/>
  <c r="H9" i="1"/>
  <c r="I9" i="1" s="1"/>
  <c r="J10" i="1" s="1"/>
  <c r="H10" i="1"/>
  <c r="I10" i="1" s="1"/>
  <c r="J11" i="1" s="1"/>
  <c r="H11" i="1"/>
  <c r="I11" i="1" s="1"/>
  <c r="J12" i="1" s="1"/>
  <c r="H12" i="1"/>
  <c r="I12" i="1" s="1"/>
  <c r="J13" i="1" s="1"/>
  <c r="H13" i="1"/>
  <c r="I13" i="1" s="1"/>
  <c r="J14" i="1" s="1"/>
  <c r="H14" i="1"/>
  <c r="I14" i="1" s="1"/>
  <c r="J15" i="1" s="1"/>
  <c r="H15" i="1"/>
  <c r="I15" i="1" s="1"/>
  <c r="J16" i="1" s="1"/>
  <c r="H16" i="1"/>
  <c r="I16" i="1" s="1"/>
  <c r="J17" i="1" s="1"/>
  <c r="H17" i="1"/>
  <c r="I17" i="1" s="1"/>
  <c r="J18" i="1" s="1"/>
  <c r="H18" i="1"/>
  <c r="I18" i="1" s="1"/>
  <c r="J19" i="1" s="1"/>
  <c r="H19" i="1"/>
  <c r="I19" i="1" s="1"/>
  <c r="J20" i="1" s="1"/>
  <c r="H20" i="1"/>
  <c r="I20" i="1" s="1"/>
  <c r="J21" i="1" s="1"/>
  <c r="H2" i="1"/>
  <c r="I2" i="1" s="1"/>
  <c r="J3" i="1" s="1"/>
  <c r="F5001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8" i="1"/>
  <c r="F49" i="1"/>
  <c r="F50" i="1"/>
  <c r="F51" i="1"/>
  <c r="F52" i="1"/>
  <c r="F53" i="1"/>
  <c r="F54" i="1"/>
  <c r="F55" i="1"/>
  <c r="F56" i="1"/>
  <c r="F57" i="1"/>
  <c r="F58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22" i="1"/>
  <c r="F23" i="1"/>
  <c r="F24" i="1"/>
  <c r="F25" i="1"/>
  <c r="F26" i="1"/>
  <c r="F27" i="1"/>
  <c r="F28" i="1"/>
  <c r="F29" i="1"/>
  <c r="F30" i="1"/>
  <c r="F31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3" i="1"/>
  <c r="F4" i="1"/>
  <c r="F5" i="1"/>
  <c r="F6" i="1"/>
  <c r="F7" i="1"/>
  <c r="F8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77EA5B-01D5-914A-91EC-EBB3644493DA}" keepAlive="1" name="Query - Unilever products" description="Connection to the 'Unilever products' query in the workbook." type="5" refreshedVersion="0" background="1" saveData="1">
    <dbPr connection="Provider=Microsoft.Mashup.OleDb.1;Data Source=$Workbook$;Location=&quot;Unilever products&quot;;Extended Properties=&quot;&quot;" command="SELECT * FROM [Unilever products]"/>
  </connection>
  <connection id="2" xr16:uid="{E964BA5C-74A0-D24F-BE35-FBE153814B3C}" keepAlive="1" name="Query - Unilever products (2)" description="Connection to the 'Unilever products (2)' query in the workbook." type="5" refreshedVersion="0" background="1" saveData="1">
    <dbPr connection="Provider=Microsoft.Mashup.OleDb.1;Data Source=$Workbook$;Location=&quot;Unilever products (2)&quot;;Extended Properties=&quot;&quot;" command="SELECT * FROM [Unilever products (2)]"/>
  </connection>
  <connection id="3" xr16:uid="{C5388389-BADF-2D4A-8E1D-B860F28C2223}" keepAlive="1" name="Query - Unilever products (3)" description="Connection to the 'Unilever products (3)' query in the workbook." type="5" refreshedVersion="8" background="1" saveData="1">
    <dbPr connection="Provider=Microsoft.Mashup.OleDb.1;Data Source=$Workbook$;Location=&quot;Unilever products (3)&quot;;Extended Properties=&quot;&quot;" command="SELECT * FROM [Unilever products (3)]"/>
  </connection>
  <connection id="4" xr16:uid="{3C74F7F8-76CE-6B45-8F97-939522CF4B34}" keepAlive="1" name="Query - unilever_products" description="Connection to the 'unilever_products' query in the workbook." type="5" refreshedVersion="0" background="1" saveData="1">
    <dbPr connection="Provider=Microsoft.Mashup.OleDb.1;Data Source=$Workbook$;Location=unilever_products;Extended Properties=&quot;&quot;" command="SELECT * FROM [unilever_produc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<sst xmlns="http://schemas.openxmlformats.org/spreadsheetml/2006/main" count="30084" uniqueCount="42">
  <si>
    <t>Product_ID</t>
  </si>
  <si>
    <t>Region</t>
  </si>
  <si>
    <t>Category</t>
  </si>
  <si>
    <t>Base_Cost</t>
  </si>
  <si>
    <t>Brand_Strength_Score</t>
  </si>
  <si>
    <t>Germany</t>
  </si>
  <si>
    <t>Food &amp; Refreshment</t>
  </si>
  <si>
    <t>Spain</t>
  </si>
  <si>
    <t>UK</t>
  </si>
  <si>
    <t>Personal Care</t>
  </si>
  <si>
    <t>France</t>
  </si>
  <si>
    <t>Home Care</t>
  </si>
  <si>
    <t>Price_Tier</t>
  </si>
  <si>
    <t>Max_Markup_Percentage</t>
  </si>
  <si>
    <t>Value</t>
  </si>
  <si>
    <t>Standard</t>
  </si>
  <si>
    <t>Premium</t>
  </si>
  <si>
    <t>Max Allowed Mark up%</t>
  </si>
  <si>
    <t>Mark up % Used</t>
  </si>
  <si>
    <t>Warning</t>
  </si>
  <si>
    <t>OK</t>
  </si>
  <si>
    <t>Row Labels</t>
  </si>
  <si>
    <t>Grand Total</t>
  </si>
  <si>
    <t>Column Labels</t>
  </si>
  <si>
    <t>Count of Product_ID</t>
  </si>
  <si>
    <t>Average of Recommended Selling Price</t>
  </si>
  <si>
    <t>Average of Max Allowed Mark up%</t>
  </si>
  <si>
    <t>B1</t>
  </si>
  <si>
    <t>B2</t>
  </si>
  <si>
    <t>B3</t>
  </si>
  <si>
    <t>B4</t>
  </si>
  <si>
    <t>B5</t>
  </si>
  <si>
    <t>Cell</t>
  </si>
  <si>
    <t>Meaning</t>
  </si>
  <si>
    <t>Average Price</t>
  </si>
  <si>
    <t>Median price</t>
  </si>
  <si>
    <t>Most Common price</t>
  </si>
  <si>
    <t>Price variance</t>
  </si>
  <si>
    <t>Price volatilty</t>
  </si>
  <si>
    <t>Price stability</t>
  </si>
  <si>
    <t>Markup_used</t>
  </si>
  <si>
    <t>Recommended_selling_price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</si>
</sst>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%"/>
    <numFmt numFmtId="165" formatCode="&quot;£&quot;#,##0.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2">
    <xf numFmtId="0" fontId="0" fillId="0" borderId="0" xfId="0"/>
    <xf numFmtId="0" fontId="18" fillId="33" borderId="0" xfId="0" applyFont="1" applyFill="1"/>
    <xf numFmtId="164" fontId="18" fillId="33" borderId="0" xfId="0" applyNumberFormat="1" applyFont="1" applyFill="1"/>
    <xf numFmtId="164" fontId="0" fillId="0" borderId="0" xfId="0" applyNumberFormat="1"/>
    <xf numFmtId="0" fontId="0" fillId="0" borderId="0" xfId="0" applyAlignment="1">
      <alignment horizontal="left"/>
    </xf>
    <xf numFmtId="164" fontId="18" fillId="33" borderId="0" xfId="42" applyNumberFormat="1" applyFont="1" applyFill="1"/>
    <xf numFmtId="164" fontId="0" fillId="0" borderId="0" xfId="42" applyNumberFormat="1" applyFont="1"/>
    <xf numFmtId="165" fontId="18" fillId="33" borderId="0" xfId="0" applyNumberFormat="1" applyFont="1" applyFill="1"/>
    <xf numFmtId="165" fontId="0" fillId="0" borderId="0" xfId="0" applyNumberFormat="1"/>
    <xf numFmtId="0" fontId="0" fillId="0" borderId="0" xfId="0" pivotButton="1"/>
    <xf numFmtId="2" fontId="0" fillId="0" borderId="0" xfId="0" applyNumberFormat="1"/>
    <xf numFmtId="164" fontId="20" fillId="0" borderId="0" xfId="43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[unilever_products.xlsx]Pivot tables!Tier Mix by 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u="sng">
                <a:solidFill>
                  <a:schemeClr val="tx1"/>
                </a:solidFill>
              </a:rPr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tables'!$B$1:$B$2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tables'!$A$3:$A$7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UK</c:v>
                </c:pt>
              </c:strCache>
            </c:strRef>
          </c:cat>
          <c:val>
            <c:numRef>
              <c:f>'Pivot tables'!$B$3:$B$7</c:f>
              <c:numCache>
                <c:formatCode>General</c:formatCode>
                <c:ptCount val="4"/>
                <c:pt idx="0">
                  <c:v>357</c:v>
                </c:pt>
                <c:pt idx="1">
                  <c:v>376</c:v>
                </c:pt>
                <c:pt idx="2">
                  <c:v>382</c:v>
                </c:pt>
                <c:pt idx="3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B-3448-89DD-0E1A12B369FC}"/>
            </c:ext>
          </c:extLst>
        </c:ser>
        <c:ser>
          <c:idx val="1"/>
          <c:order val="1"/>
          <c:tx>
            <c:strRef>
              <c:f>'Pivot tables'!$C$1:$C$2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tables'!$A$3:$A$7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UK</c:v>
                </c:pt>
              </c:strCache>
            </c:strRef>
          </c:cat>
          <c:val>
            <c:numRef>
              <c:f>'Pivot tables'!$C$3:$C$7</c:f>
              <c:numCache>
                <c:formatCode>General</c:formatCode>
                <c:ptCount val="4"/>
                <c:pt idx="0">
                  <c:v>495</c:v>
                </c:pt>
                <c:pt idx="1">
                  <c:v>451</c:v>
                </c:pt>
                <c:pt idx="2">
                  <c:v>510</c:v>
                </c:pt>
                <c:pt idx="3">
                  <c:v>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F6B-3448-89DD-0E1A12B369FC}"/>
            </c:ext>
          </c:extLst>
        </c:ser>
        <c:ser>
          <c:idx val="2"/>
          <c:order val="2"/>
          <c:tx>
            <c:strRef>
              <c:f>'Pivot tables'!$D$1:$D$2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tables'!$A$3:$A$7</c:f>
              <c:strCache>
                <c:ptCount val="4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  <c:pt idx="3">
                  <c:v>UK</c:v>
                </c:pt>
              </c:strCache>
            </c:strRef>
          </c:cat>
          <c:val>
            <c:numRef>
              <c:f>'Pivot tables'!$D$3:$D$7</c:f>
              <c:numCache>
                <c:formatCode>General</c:formatCode>
                <c:ptCount val="4"/>
                <c:pt idx="0">
                  <c:v>388</c:v>
                </c:pt>
                <c:pt idx="1">
                  <c:v>382</c:v>
                </c:pt>
                <c:pt idx="2">
                  <c:v>364</c:v>
                </c:pt>
                <c:pt idx="3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F6B-3448-89DD-0E1A12B36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149247"/>
        <c:axId val="1506114431"/>
      </c:barChart>
      <c:catAx>
        <c:axId val="139314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14431"/>
        <c:crosses val="autoZero"/>
        <c:auto val="1"/>
        <c:lblAlgn val="ctr"/>
        <c:lblOffset val="100"/>
        <c:noMultiLvlLbl val="0"/>
      </c:catAx>
      <c:valAx>
        <c:axId val="15061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14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[unilever_products.xlsx]Pivot tables!Average Price by 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u="sng">
                <a:solidFill>
                  <a:schemeClr val="tx1"/>
                </a:solidFill>
              </a:rPr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tables'!$A$21:$A$24</c:f>
              <c:strCache>
                <c:ptCount val="3"/>
                <c:pt idx="0">
                  <c:v>Food &amp; Refreshment</c:v>
                </c:pt>
                <c:pt idx="1">
                  <c:v>Home Care</c:v>
                </c:pt>
                <c:pt idx="2">
                  <c:v>Personal Care</c:v>
                </c:pt>
              </c:strCache>
            </c:strRef>
          </c:cat>
          <c:val>
            <c:numRef>
              <c:f>'Pivot tables'!$B$21:$B$24</c:f>
              <c:numCache>
                <c:formatCode>"£"#,##0.00</c:formatCode>
                <c:ptCount val="3"/>
                <c:pt idx="0">
                  <c:v>10.038647985568238</c:v>
                </c:pt>
                <c:pt idx="1">
                  <c:v>9.8325101250744389</c:v>
                </c:pt>
                <c:pt idx="2">
                  <c:v>10.164010856453565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4-D248-8F2E-2F9E992C2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309823"/>
        <c:axId val="1357499455"/>
      </c:barChart>
      <c:catAx>
        <c:axId val="36130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499455"/>
        <c:crosses val="autoZero"/>
        <c:auto val="1"/>
        <c:lblAlgn val="ctr"/>
        <c:lblOffset val="100"/>
        <c:noMultiLvlLbl val="0"/>
      </c:catAx>
      <c:valAx>
        <c:axId val="135749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30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[unilever_products.xlsx]Pivot tables!Mark up analysis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tables'!$B$38:$B$39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tables'!$A$40:$A$43</c:f>
              <c:strCache>
                <c:ptCount val="3"/>
                <c:pt idx="0">
                  <c:v>Food &amp; Refreshment</c:v>
                </c:pt>
                <c:pt idx="1">
                  <c:v>Home Care</c:v>
                </c:pt>
                <c:pt idx="2">
                  <c:v>Personal Care</c:v>
                </c:pt>
              </c:strCache>
            </c:strRef>
          </c:cat>
          <c:val>
            <c:numRef>
              <c:f>'Pivot tables'!$B$40:$B$43</c:f>
              <c:numCache>
                <c:formatCode>0.00</c:formatCode>
                <c:ptCount val="3"/>
                <c:pt idx="0">
                  <c:v>31.681592039800996</c:v>
                </c:pt>
                <c:pt idx="1">
                  <c:v>25.851769911504423</c:v>
                </c:pt>
                <c:pt idx="2">
                  <c:v>35.168393782383419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B-2F43-83E3-E3B70A4DED29}"/>
            </c:ext>
          </c:extLst>
        </c:ser>
        <c:ser>
          <c:idx val="1"/>
          <c:order val="1"/>
          <c:tx>
            <c:strRef>
              <c:f>'Pivot tables'!$C$38:$C$39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tables'!$A$40:$A$43</c:f>
              <c:strCache>
                <c:ptCount val="3"/>
                <c:pt idx="0">
                  <c:v>Food &amp; Refreshment</c:v>
                </c:pt>
                <c:pt idx="1">
                  <c:v>Home Care</c:v>
                </c:pt>
                <c:pt idx="2">
                  <c:v>Personal Care</c:v>
                </c:pt>
              </c:strCache>
            </c:strRef>
          </c:cat>
          <c:val>
            <c:numRef>
              <c:f>'Pivot tables'!$C$40:$C$43</c:f>
              <c:numCache>
                <c:formatCode>0.00</c:formatCode>
                <c:ptCount val="3"/>
                <c:pt idx="0">
                  <c:v>32.354761904761908</c:v>
                </c:pt>
                <c:pt idx="1">
                  <c:v>28.30708661417323</c:v>
                </c:pt>
                <c:pt idx="2">
                  <c:v>33.198529411764703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AB-2F43-83E3-E3B70A4DED29}"/>
            </c:ext>
          </c:extLst>
        </c:ser>
        <c:ser>
          <c:idx val="2"/>
          <c:order val="2"/>
          <c:tx>
            <c:strRef>
              <c:f>'Pivot tables'!$D$38:$D$39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tables'!$A$40:$A$43</c:f>
              <c:strCache>
                <c:ptCount val="3"/>
                <c:pt idx="0">
                  <c:v>Food &amp; Refreshment</c:v>
                </c:pt>
                <c:pt idx="1">
                  <c:v>Home Care</c:v>
                </c:pt>
                <c:pt idx="2">
                  <c:v>Personal Care</c:v>
                </c:pt>
              </c:strCache>
            </c:strRef>
          </c:cat>
          <c:val>
            <c:numRef>
              <c:f>'Pivot tables'!$D$40:$D$43</c:f>
              <c:numCache>
                <c:formatCode>0.00</c:formatCode>
                <c:ptCount val="3"/>
                <c:pt idx="0">
                  <c:v>32.075757575757578</c:v>
                </c:pt>
                <c:pt idx="1">
                  <c:v>27.511574074074073</c:v>
                </c:pt>
                <c:pt idx="2">
                  <c:v>35.151869158878505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AB-2F43-83E3-E3B70A4DED29}"/>
            </c:ext>
          </c:extLst>
        </c:ser>
        <c:ser>
          <c:idx val="3"/>
          <c:order val="3"/>
          <c:tx>
            <c:strRef>
              <c:f>'Pivot tables'!$E$38:$E$39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tables'!$A$40:$A$43</c:f>
              <c:strCache>
                <c:ptCount val="3"/>
                <c:pt idx="0">
                  <c:v>Food &amp; Refreshment</c:v>
                </c:pt>
                <c:pt idx="1">
                  <c:v>Home Care</c:v>
                </c:pt>
                <c:pt idx="2">
                  <c:v>Personal Care</c:v>
                </c:pt>
              </c:strCache>
            </c:strRef>
          </c:cat>
          <c:val>
            <c:numRef>
              <c:f>'Pivot tables'!$E$40:$E$43</c:f>
              <c:numCache>
                <c:formatCode>0.00</c:formatCode>
                <c:ptCount val="3"/>
                <c:pt idx="0">
                  <c:v>31.555056179775281</c:v>
                </c:pt>
                <c:pt idx="1">
                  <c:v>26.231884057971016</c:v>
                </c:pt>
                <c:pt idx="2">
                  <c:v>33.818807339449542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AB-2F43-83E3-E3B70A4DE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278783"/>
        <c:axId val="398408575"/>
      </c:barChart>
      <c:catAx>
        <c:axId val="35127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408575"/>
        <c:crosses val="autoZero"/>
        <c:auto val="1"/>
        <c:lblAlgn val="ctr"/>
        <c:lblOffset val="100"/>
        <c:noMultiLvlLbl val="0"/>
      </c:catAx>
      <c:valAx>
        <c:axId val="39840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27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GB" sz="1400" b="0" i="0" u="sng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Distribution of Unilever Product Selling Prices</a:t>
            </a:r>
            <a:endParaRPr lang="en-GB" sz="1400" b="0" i="0" u="sng" strike="noStrike" baseline="0">
              <a:solidFill>
                <a:schemeClr val="tx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B4EBE8DE-D768-0443-89B1-56FA90FBEA1D}">
          <cx:tx>
            <cx:txData>
              <cx:f>_xlchart.v1.0</cx:f>
              <cx:v>Recommended_selling_price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78D125A5-4225-E04D-B341-2B116A067237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12700</xdr:rowOff>
    </xdr:from>
    <xdr:to>
      <xdr:col>15</xdr:col>
      <xdr:colOff>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821EC6-A472-156F-AC79-B586F4A8C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19</xdr:row>
      <xdr:rowOff>0</xdr:rowOff>
    </xdr:from>
    <xdr:to>
      <xdr:col>15</xdr:col>
      <xdr:colOff>12700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4AB0C3-73D6-28E7-6799-2C19AEAE8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37</xdr:row>
      <xdr:rowOff>12700</xdr:rowOff>
    </xdr:from>
    <xdr:to>
      <xdr:col>15</xdr:col>
      <xdr:colOff>12700</xdr:colOff>
      <xdr:row>52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6A77BD-4614-6FF1-466A-132C5056A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148167</xdr:colOff>
      <xdr:row>14</xdr:row>
      <xdr:rowOff>4233</xdr:rowOff>
    </xdr:from>
    <xdr:to>
      <xdr:col>15</xdr:col>
      <xdr:colOff>592667</xdr:colOff>
      <xdr:row>27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BF19F06-AFC0-6AA3-0A4A-90A14646D5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95867" y="2849033"/>
              <a:ext cx="4572000" cy="27707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eorge/Downloads/unilever_price_limits.xlsx" TargetMode="External"/><Relationship Id="rId1" Type="http://schemas.openxmlformats.org/officeDocument/2006/relationships/externalLinkPath" Target="/Users/george/Downloads/unilever_price_limi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lever_price_limits"/>
    </sheetNames>
    <sheetDataSet>
      <sheetData sheetId="0">
        <row r="1">
          <cell r="A1" t="str">
            <v>Category</v>
          </cell>
          <cell r="B1" t="str">
            <v>Price_Tier</v>
          </cell>
          <cell r="C1" t="str">
            <v>Max_Markup_Percentage</v>
          </cell>
        </row>
        <row r="2">
          <cell r="A2" t="str">
            <v>Personal Care</v>
          </cell>
          <cell r="B2" t="str">
            <v>Value</v>
          </cell>
          <cell r="C2">
            <v>15</v>
          </cell>
        </row>
        <row r="3">
          <cell r="A3" t="str">
            <v>Personal Care</v>
          </cell>
          <cell r="B3" t="str">
            <v>Standard</v>
          </cell>
          <cell r="C3">
            <v>30</v>
          </cell>
        </row>
        <row r="4">
          <cell r="A4" t="str">
            <v>Personal Care</v>
          </cell>
          <cell r="B4" t="str">
            <v>Premium</v>
          </cell>
          <cell r="C4">
            <v>60</v>
          </cell>
        </row>
        <row r="5">
          <cell r="A5" t="str">
            <v>Home Care</v>
          </cell>
          <cell r="B5" t="str">
            <v>Value</v>
          </cell>
          <cell r="C5">
            <v>10</v>
          </cell>
        </row>
        <row r="6">
          <cell r="A6" t="str">
            <v>Home Care</v>
          </cell>
          <cell r="B6" t="str">
            <v>Standard</v>
          </cell>
          <cell r="C6">
            <v>25</v>
          </cell>
        </row>
        <row r="7">
          <cell r="A7" t="str">
            <v>Home Care</v>
          </cell>
          <cell r="B7" t="str">
            <v>Premium</v>
          </cell>
          <cell r="C7">
            <v>50</v>
          </cell>
        </row>
        <row r="8">
          <cell r="A8" t="str">
            <v>Food &amp; Refreshment</v>
          </cell>
          <cell r="B8" t="str">
            <v>Value</v>
          </cell>
          <cell r="C8">
            <v>12</v>
          </cell>
        </row>
        <row r="9">
          <cell r="A9" t="str">
            <v>Food &amp; Refreshment</v>
          </cell>
          <cell r="B9" t="str">
            <v>Standard</v>
          </cell>
          <cell r="C9">
            <v>28</v>
          </cell>
        </row>
        <row r="10">
          <cell r="A10" t="str">
            <v>Food &amp; Refreshment</v>
          </cell>
          <cell r="B10" t="str">
            <v>Premium</v>
          </cell>
          <cell r="C10">
            <v>55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Justus Morara" refreshedDate="45969.35997928241" createdVersion="8" refreshedVersion="8" minRefreshableVersion="3" recordCount="5000" xr:uid="{03BD1AFB-12F2-9844-A1A5-15599A8464B3}">
  <cacheSource type="worksheet">
    <worksheetSource name="Unilever_products__3"/>
  </cacheSource>
  <cacheFields count="10">
    <cacheField name="Product_ID" numFmtId="0">
      <sharedItems containsSemiMixedTypes="0" containsString="0" containsNumber="1" containsInteger="1" minValue="10001" maxValue="15000"/>
    </cacheField>
    <cacheField name="Region" numFmtId="0">
      <sharedItems count="4">
        <s v="Germany"/>
        <s v="Spain"/>
        <s v="UK"/>
        <s v="France"/>
      </sharedItems>
    </cacheField>
    <cacheField name="Category" numFmtId="0">
      <sharedItems count="3">
        <s v="Food &amp; Refreshment"/>
        <s v="Personal Care"/>
        <s v="Home Care"/>
      </sharedItems>
    </cacheField>
    <cacheField name="Base_Cost" numFmtId="0">
      <sharedItems containsSemiMixedTypes="0" containsString="0" containsNumber="1" minValue="0.5" maxValue="14.99"/>
    </cacheField>
    <cacheField name="Brand_Strength_Score" numFmtId="0">
      <sharedItems containsSemiMixedTypes="0" containsString="0" containsNumber="1" containsInteger="1" minValue="1" maxValue="10"/>
    </cacheField>
    <cacheField name="Price_Tier" numFmtId="0">
      <sharedItems count="3">
        <s v="Value"/>
        <s v="Standard"/>
        <s v="Premium"/>
      </sharedItems>
    </cacheField>
    <cacheField name="Max Allowed Mark up%" numFmtId="0">
      <sharedItems containsSemiMixedTypes="0" containsString="0" containsNumber="1" containsInteger="1" minValue="10" maxValue="60"/>
    </cacheField>
    <cacheField name="Recommended Selling Price" numFmtId="0">
      <sharedItems containsSemiMixedTypes="0" containsString="0" containsNumber="1" minValue="0.55000000000000004" maxValue="23.92"/>
    </cacheField>
    <cacheField name="Mark up % Used" numFmtId="0">
      <sharedItems containsSemiMixedTypes="0" containsString="0" containsNumber="1" minValue="9.9999999999999858" maxValue="60.000000000000028"/>
    </cacheField>
    <cacheField name="War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x v="0"/>
    <x v="0"/>
    <n v="12.72"/>
    <n v="2"/>
    <x v="0"/>
    <n v="12"/>
    <n v="14.246400000000001"/>
    <n v="12.000000000000011"/>
    <s v="OK"/>
  </r>
  <r>
    <n v="10002"/>
    <x v="1"/>
    <x v="0"/>
    <n v="6.97"/>
    <n v="4"/>
    <x v="1"/>
    <n v="28"/>
    <n v="8.9215999999999998"/>
    <n v="28.000000000000004"/>
    <s v="OK"/>
  </r>
  <r>
    <n v="10003"/>
    <x v="2"/>
    <x v="0"/>
    <n v="10.77"/>
    <n v="2"/>
    <x v="0"/>
    <n v="12"/>
    <n v="12.0624"/>
    <n v="12.000000000000011"/>
    <s v="OK"/>
  </r>
  <r>
    <n v="10004"/>
    <x v="0"/>
    <x v="0"/>
    <n v="11.11"/>
    <n v="3"/>
    <x v="0"/>
    <n v="12"/>
    <n v="12.443200000000001"/>
    <n v="12.000000000000011"/>
    <s v="OK"/>
  </r>
  <r>
    <n v="10005"/>
    <x v="0"/>
    <x v="0"/>
    <n v="3.02"/>
    <n v="4"/>
    <x v="1"/>
    <n v="28"/>
    <n v="3.8656000000000001"/>
    <n v="28.000000000000004"/>
    <s v="OK"/>
  </r>
  <r>
    <n v="10006"/>
    <x v="1"/>
    <x v="1"/>
    <n v="5.74"/>
    <n v="4"/>
    <x v="1"/>
    <n v="30"/>
    <n v="7.4620000000000006"/>
    <n v="30.000000000000004"/>
    <s v="OK"/>
  </r>
  <r>
    <n v="10007"/>
    <x v="2"/>
    <x v="0"/>
    <n v="9.74"/>
    <n v="10"/>
    <x v="2"/>
    <n v="55"/>
    <n v="15.097000000000001"/>
    <n v="55.000000000000007"/>
    <s v="OK"/>
  </r>
  <r>
    <n v="10008"/>
    <x v="2"/>
    <x v="0"/>
    <n v="1.53"/>
    <n v="9"/>
    <x v="2"/>
    <n v="55"/>
    <n v="2.3715000000000002"/>
    <n v="55.000000000000007"/>
    <s v="OK"/>
  </r>
  <r>
    <n v="10009"/>
    <x v="0"/>
    <x v="1"/>
    <n v="5.74"/>
    <n v="10"/>
    <x v="2"/>
    <n v="60"/>
    <n v="9.1840000000000011"/>
    <n v="60.000000000000007"/>
    <s v="OK"/>
  </r>
  <r>
    <n v="10010"/>
    <x v="3"/>
    <x v="1"/>
    <n v="8.25"/>
    <n v="6"/>
    <x v="1"/>
    <n v="30"/>
    <n v="10.725"/>
    <n v="30.000000000000004"/>
    <s v="OK"/>
  </r>
  <r>
    <n v="10011"/>
    <x v="0"/>
    <x v="1"/>
    <n v="14.95"/>
    <n v="9"/>
    <x v="2"/>
    <n v="60"/>
    <n v="23.92"/>
    <n v="60.000000000000007"/>
    <s v="OK"/>
  </r>
  <r>
    <n v="10012"/>
    <x v="0"/>
    <x v="1"/>
    <n v="7.38"/>
    <n v="4"/>
    <x v="1"/>
    <n v="30"/>
    <n v="9.5939999999999994"/>
    <n v="30.000000000000004"/>
    <s v="OK"/>
  </r>
  <r>
    <n v="10013"/>
    <x v="0"/>
    <x v="1"/>
    <n v="12.33"/>
    <n v="9"/>
    <x v="2"/>
    <n v="60"/>
    <n v="19.728000000000002"/>
    <n v="60.000000000000007"/>
    <s v="OK"/>
  </r>
  <r>
    <n v="10014"/>
    <x v="0"/>
    <x v="1"/>
    <n v="6.76"/>
    <n v="9"/>
    <x v="2"/>
    <n v="60"/>
    <n v="10.816000000000001"/>
    <n v="60.000000000000007"/>
    <s v="OK"/>
  </r>
  <r>
    <n v="10015"/>
    <x v="1"/>
    <x v="0"/>
    <n v="12.05"/>
    <n v="6"/>
    <x v="1"/>
    <n v="28"/>
    <n v="15.424000000000001"/>
    <n v="28.000000000000004"/>
    <s v="OK"/>
  </r>
  <r>
    <n v="10016"/>
    <x v="2"/>
    <x v="0"/>
    <n v="9.1300000000000008"/>
    <n v="5"/>
    <x v="1"/>
    <n v="28"/>
    <n v="11.686400000000001"/>
    <n v="28.000000000000004"/>
    <s v="OK"/>
  </r>
  <r>
    <n v="10017"/>
    <x v="1"/>
    <x v="2"/>
    <n v="13.36"/>
    <n v="3"/>
    <x v="0"/>
    <n v="10"/>
    <n v="14.696"/>
    <n v="10.000000000000009"/>
    <s v="OK"/>
  </r>
  <r>
    <n v="10018"/>
    <x v="1"/>
    <x v="0"/>
    <n v="6.46"/>
    <n v="5"/>
    <x v="1"/>
    <n v="28"/>
    <n v="8.2688000000000006"/>
    <n v="28.000000000000004"/>
    <s v="OK"/>
  </r>
  <r>
    <n v="10019"/>
    <x v="1"/>
    <x v="0"/>
    <n v="9.26"/>
    <n v="3"/>
    <x v="0"/>
    <n v="12"/>
    <n v="10.3712"/>
    <n v="12.000000000000011"/>
    <s v="OK"/>
  </r>
  <r>
    <n v="10020"/>
    <x v="0"/>
    <x v="1"/>
    <n v="9.64"/>
    <n v="5"/>
    <x v="1"/>
    <n v="30"/>
    <n v="12.532000000000002"/>
    <n v="30.000000000000004"/>
    <s v="OK"/>
  </r>
  <r>
    <n v="10021"/>
    <x v="3"/>
    <x v="1"/>
    <n v="6.55"/>
    <n v="5"/>
    <x v="1"/>
    <n v="30"/>
    <n v="8.5150000000000006"/>
    <n v="30.000000000000004"/>
    <s v="OK"/>
  </r>
  <r>
    <n v="10022"/>
    <x v="2"/>
    <x v="0"/>
    <n v="2.59"/>
    <n v="2"/>
    <x v="0"/>
    <n v="12"/>
    <n v="2.9008000000000003"/>
    <n v="12.000000000000011"/>
    <s v="OK"/>
  </r>
  <r>
    <n v="10023"/>
    <x v="3"/>
    <x v="2"/>
    <n v="1.86"/>
    <n v="9"/>
    <x v="2"/>
    <n v="50"/>
    <n v="2.79"/>
    <n v="50"/>
    <s v="OK"/>
  </r>
  <r>
    <n v="10024"/>
    <x v="1"/>
    <x v="1"/>
    <n v="0.74"/>
    <n v="7"/>
    <x v="1"/>
    <n v="30"/>
    <n v="0.96199999999999997"/>
    <n v="30.000000000000004"/>
    <s v="OK"/>
  </r>
  <r>
    <n v="10025"/>
    <x v="1"/>
    <x v="0"/>
    <n v="13.17"/>
    <n v="6"/>
    <x v="1"/>
    <n v="28"/>
    <n v="16.857600000000001"/>
    <n v="28.000000000000004"/>
    <s v="OK"/>
  </r>
  <r>
    <n v="10026"/>
    <x v="3"/>
    <x v="0"/>
    <n v="3.93"/>
    <n v="5"/>
    <x v="1"/>
    <n v="28"/>
    <n v="5.0304000000000002"/>
    <n v="28.000000000000004"/>
    <s v="OK"/>
  </r>
  <r>
    <n v="10027"/>
    <x v="3"/>
    <x v="2"/>
    <n v="3.57"/>
    <n v="4"/>
    <x v="1"/>
    <n v="25"/>
    <n v="4.4624999999999995"/>
    <n v="25"/>
    <s v="OK"/>
  </r>
  <r>
    <n v="10028"/>
    <x v="3"/>
    <x v="2"/>
    <n v="11.17"/>
    <n v="8"/>
    <x v="2"/>
    <n v="50"/>
    <n v="16.754999999999999"/>
    <n v="50"/>
    <s v="OK"/>
  </r>
  <r>
    <n v="10029"/>
    <x v="1"/>
    <x v="1"/>
    <n v="5.14"/>
    <n v="2"/>
    <x v="0"/>
    <n v="15"/>
    <n v="5.9109999999999996"/>
    <n v="14.999999999999991"/>
    <s v="OK"/>
  </r>
  <r>
    <n v="10030"/>
    <x v="1"/>
    <x v="2"/>
    <n v="7.84"/>
    <n v="8"/>
    <x v="2"/>
    <n v="50"/>
    <n v="11.76"/>
    <n v="50"/>
    <s v="OK"/>
  </r>
  <r>
    <n v="10031"/>
    <x v="2"/>
    <x v="0"/>
    <n v="2.86"/>
    <n v="1"/>
    <x v="0"/>
    <n v="12"/>
    <n v="3.2032000000000003"/>
    <n v="12.000000000000011"/>
    <s v="OK"/>
  </r>
  <r>
    <n v="10032"/>
    <x v="2"/>
    <x v="0"/>
    <n v="14.42"/>
    <n v="10"/>
    <x v="2"/>
    <n v="55"/>
    <n v="22.350999999999999"/>
    <n v="55.000000000000007"/>
    <s v="OK"/>
  </r>
  <r>
    <n v="10033"/>
    <x v="1"/>
    <x v="2"/>
    <n v="12.85"/>
    <n v="1"/>
    <x v="0"/>
    <n v="10"/>
    <n v="14.135000000000002"/>
    <n v="10.000000000000009"/>
    <s v="OK"/>
  </r>
  <r>
    <n v="10034"/>
    <x v="3"/>
    <x v="2"/>
    <n v="13.02"/>
    <n v="3"/>
    <x v="0"/>
    <n v="10"/>
    <n v="14.322000000000001"/>
    <n v="10.000000000000009"/>
    <s v="OK"/>
  </r>
  <r>
    <n v="10035"/>
    <x v="3"/>
    <x v="2"/>
    <n v="6.4"/>
    <n v="5"/>
    <x v="1"/>
    <n v="25"/>
    <n v="8"/>
    <n v="25"/>
    <s v="OK"/>
  </r>
  <r>
    <n v="10036"/>
    <x v="2"/>
    <x v="2"/>
    <n v="11.55"/>
    <n v="6"/>
    <x v="1"/>
    <n v="25"/>
    <n v="14.4375"/>
    <n v="25"/>
    <s v="OK"/>
  </r>
  <r>
    <n v="10037"/>
    <x v="1"/>
    <x v="1"/>
    <n v="2.59"/>
    <n v="4"/>
    <x v="1"/>
    <n v="30"/>
    <n v="3.367"/>
    <n v="30.000000000000004"/>
    <s v="OK"/>
  </r>
  <r>
    <n v="10038"/>
    <x v="2"/>
    <x v="2"/>
    <n v="0.62"/>
    <n v="7"/>
    <x v="1"/>
    <n v="25"/>
    <n v="0.77500000000000002"/>
    <n v="25"/>
    <s v="OK"/>
  </r>
  <r>
    <n v="10039"/>
    <x v="2"/>
    <x v="1"/>
    <n v="0.79"/>
    <n v="7"/>
    <x v="1"/>
    <n v="30"/>
    <n v="1.0270000000000001"/>
    <n v="30.000000000000004"/>
    <s v="OK"/>
  </r>
  <r>
    <n v="10040"/>
    <x v="0"/>
    <x v="0"/>
    <n v="9.01"/>
    <n v="2"/>
    <x v="0"/>
    <n v="12"/>
    <n v="10.091200000000001"/>
    <n v="12.000000000000011"/>
    <s v="OK"/>
  </r>
  <r>
    <n v="10041"/>
    <x v="0"/>
    <x v="2"/>
    <n v="7.1"/>
    <n v="2"/>
    <x v="0"/>
    <n v="10"/>
    <n v="7.8100000000000005"/>
    <n v="10.000000000000009"/>
    <s v="OK"/>
  </r>
  <r>
    <n v="10042"/>
    <x v="0"/>
    <x v="1"/>
    <n v="8.01"/>
    <n v="2"/>
    <x v="0"/>
    <n v="15"/>
    <n v="9.2114999999999991"/>
    <n v="14.999999999999991"/>
    <s v="OK"/>
  </r>
  <r>
    <n v="10043"/>
    <x v="3"/>
    <x v="2"/>
    <n v="0.61"/>
    <n v="2"/>
    <x v="0"/>
    <n v="10"/>
    <n v="0.67100000000000004"/>
    <n v="10.000000000000009"/>
    <s v="OK"/>
  </r>
  <r>
    <n v="10044"/>
    <x v="1"/>
    <x v="0"/>
    <n v="6.63"/>
    <n v="9"/>
    <x v="2"/>
    <n v="55"/>
    <n v="10.2765"/>
    <n v="55.000000000000007"/>
    <s v="OK"/>
  </r>
  <r>
    <n v="10045"/>
    <x v="1"/>
    <x v="0"/>
    <n v="10.91"/>
    <n v="5"/>
    <x v="1"/>
    <n v="28"/>
    <n v="13.9648"/>
    <n v="28.000000000000004"/>
    <s v="OK"/>
  </r>
  <r>
    <n v="10046"/>
    <x v="1"/>
    <x v="0"/>
    <n v="6.92"/>
    <n v="8"/>
    <x v="2"/>
    <n v="55"/>
    <n v="10.726000000000001"/>
    <n v="55.000000000000007"/>
    <s v="OK"/>
  </r>
  <r>
    <n v="10047"/>
    <x v="1"/>
    <x v="2"/>
    <n v="11.12"/>
    <n v="5"/>
    <x v="1"/>
    <n v="25"/>
    <n v="13.899999999999999"/>
    <n v="25"/>
    <s v="OK"/>
  </r>
  <r>
    <n v="10048"/>
    <x v="0"/>
    <x v="2"/>
    <n v="3.88"/>
    <n v="5"/>
    <x v="1"/>
    <n v="25"/>
    <n v="4.8499999999999996"/>
    <n v="25"/>
    <s v="OK"/>
  </r>
  <r>
    <n v="10049"/>
    <x v="3"/>
    <x v="1"/>
    <n v="12.29"/>
    <n v="1"/>
    <x v="0"/>
    <n v="15"/>
    <n v="14.133499999999998"/>
    <n v="14.999999999999991"/>
    <s v="OK"/>
  </r>
  <r>
    <n v="10050"/>
    <x v="3"/>
    <x v="0"/>
    <n v="9.0299999999999994"/>
    <n v="6"/>
    <x v="1"/>
    <n v="28"/>
    <n v="11.558399999999999"/>
    <n v="28.000000000000004"/>
    <s v="OK"/>
  </r>
  <r>
    <n v="10051"/>
    <x v="0"/>
    <x v="2"/>
    <n v="3.56"/>
    <n v="4"/>
    <x v="1"/>
    <n v="25"/>
    <n v="4.45"/>
    <n v="25"/>
    <s v="OK"/>
  </r>
  <r>
    <n v="10052"/>
    <x v="3"/>
    <x v="0"/>
    <n v="3.93"/>
    <n v="3"/>
    <x v="0"/>
    <n v="12"/>
    <n v="4.4016000000000002"/>
    <n v="12.000000000000011"/>
    <s v="OK"/>
  </r>
  <r>
    <n v="10053"/>
    <x v="0"/>
    <x v="0"/>
    <n v="9.61"/>
    <n v="6"/>
    <x v="1"/>
    <n v="28"/>
    <n v="12.300799999999999"/>
    <n v="28.000000000000004"/>
    <s v="OK"/>
  </r>
  <r>
    <n v="10054"/>
    <x v="1"/>
    <x v="1"/>
    <n v="12.53"/>
    <n v="2"/>
    <x v="0"/>
    <n v="15"/>
    <n v="14.409499999999998"/>
    <n v="14.999999999999991"/>
    <s v="OK"/>
  </r>
  <r>
    <n v="10055"/>
    <x v="0"/>
    <x v="1"/>
    <n v="6.53"/>
    <n v="8"/>
    <x v="2"/>
    <n v="60"/>
    <n v="10.448"/>
    <n v="60.000000000000007"/>
    <s v="OK"/>
  </r>
  <r>
    <n v="10056"/>
    <x v="1"/>
    <x v="1"/>
    <n v="4.25"/>
    <n v="1"/>
    <x v="0"/>
    <n v="15"/>
    <n v="4.8874999999999993"/>
    <n v="14.999999999999991"/>
    <s v="OK"/>
  </r>
  <r>
    <n v="10057"/>
    <x v="1"/>
    <x v="1"/>
    <n v="13.07"/>
    <n v="9"/>
    <x v="2"/>
    <n v="60"/>
    <n v="20.912000000000003"/>
    <n v="60.000000000000007"/>
    <s v="OK"/>
  </r>
  <r>
    <n v="10058"/>
    <x v="2"/>
    <x v="0"/>
    <n v="10.199999999999999"/>
    <n v="8"/>
    <x v="2"/>
    <n v="55"/>
    <n v="15.809999999999999"/>
    <n v="55.000000000000007"/>
    <s v="OK"/>
  </r>
  <r>
    <n v="10059"/>
    <x v="0"/>
    <x v="1"/>
    <n v="7"/>
    <n v="1"/>
    <x v="0"/>
    <n v="15"/>
    <n v="8.0499999999999989"/>
    <n v="14.999999999999991"/>
    <s v="OK"/>
  </r>
  <r>
    <n v="10060"/>
    <x v="2"/>
    <x v="1"/>
    <n v="7.57"/>
    <n v="10"/>
    <x v="2"/>
    <n v="60"/>
    <n v="12.112000000000002"/>
    <n v="60.000000000000007"/>
    <s v="OK"/>
  </r>
  <r>
    <n v="10061"/>
    <x v="0"/>
    <x v="1"/>
    <n v="3.46"/>
    <n v="9"/>
    <x v="2"/>
    <n v="60"/>
    <n v="5.5360000000000005"/>
    <n v="60.000000000000007"/>
    <s v="OK"/>
  </r>
  <r>
    <n v="10062"/>
    <x v="0"/>
    <x v="1"/>
    <n v="9.59"/>
    <n v="2"/>
    <x v="0"/>
    <n v="15"/>
    <n v="11.028499999999999"/>
    <n v="14.999999999999991"/>
    <s v="OK"/>
  </r>
  <r>
    <n v="10063"/>
    <x v="2"/>
    <x v="0"/>
    <n v="5.7"/>
    <n v="3"/>
    <x v="0"/>
    <n v="12"/>
    <n v="6.3840000000000012"/>
    <n v="12.000000000000011"/>
    <s v="OK"/>
  </r>
  <r>
    <n v="10064"/>
    <x v="2"/>
    <x v="1"/>
    <n v="14.94"/>
    <n v="2"/>
    <x v="0"/>
    <n v="15"/>
    <n v="17.180999999999997"/>
    <n v="14.999999999999991"/>
    <s v="OK"/>
  </r>
  <r>
    <n v="10065"/>
    <x v="0"/>
    <x v="0"/>
    <n v="7.46"/>
    <n v="8"/>
    <x v="2"/>
    <n v="55"/>
    <n v="11.563000000000001"/>
    <n v="55.000000000000007"/>
    <s v="OK"/>
  </r>
  <r>
    <n v="10066"/>
    <x v="3"/>
    <x v="2"/>
    <n v="7.55"/>
    <n v="2"/>
    <x v="0"/>
    <n v="10"/>
    <n v="8.3049999999999997"/>
    <n v="10.000000000000009"/>
    <s v="OK"/>
  </r>
  <r>
    <n v="10067"/>
    <x v="1"/>
    <x v="0"/>
    <n v="8.6999999999999993"/>
    <n v="10"/>
    <x v="2"/>
    <n v="55"/>
    <n v="13.484999999999999"/>
    <n v="55.000000000000007"/>
    <s v="OK"/>
  </r>
  <r>
    <n v="10068"/>
    <x v="2"/>
    <x v="0"/>
    <n v="13.79"/>
    <n v="2"/>
    <x v="0"/>
    <n v="12"/>
    <n v="15.444800000000001"/>
    <n v="12.000000000000011"/>
    <s v="OK"/>
  </r>
  <r>
    <n v="10069"/>
    <x v="1"/>
    <x v="1"/>
    <n v="12.11"/>
    <n v="1"/>
    <x v="0"/>
    <n v="15"/>
    <n v="13.926499999999999"/>
    <n v="14.999999999999991"/>
    <s v="OK"/>
  </r>
  <r>
    <n v="10070"/>
    <x v="3"/>
    <x v="2"/>
    <n v="7.04"/>
    <n v="7"/>
    <x v="1"/>
    <n v="25"/>
    <n v="8.8000000000000007"/>
    <n v="25"/>
    <s v="OK"/>
  </r>
  <r>
    <n v="10071"/>
    <x v="3"/>
    <x v="2"/>
    <n v="10.92"/>
    <n v="2"/>
    <x v="0"/>
    <n v="10"/>
    <n v="12.012"/>
    <n v="10.000000000000009"/>
    <s v="OK"/>
  </r>
  <r>
    <n v="10072"/>
    <x v="3"/>
    <x v="2"/>
    <n v="9"/>
    <n v="10"/>
    <x v="2"/>
    <n v="50"/>
    <n v="13.5"/>
    <n v="50"/>
    <s v="OK"/>
  </r>
  <r>
    <n v="10073"/>
    <x v="2"/>
    <x v="2"/>
    <n v="7.64"/>
    <n v="5"/>
    <x v="1"/>
    <n v="25"/>
    <n v="9.5499999999999989"/>
    <n v="25"/>
    <s v="OK"/>
  </r>
  <r>
    <n v="10074"/>
    <x v="3"/>
    <x v="0"/>
    <n v="3.29"/>
    <n v="5"/>
    <x v="1"/>
    <n v="28"/>
    <n v="4.2111999999999998"/>
    <n v="28.000000000000004"/>
    <s v="OK"/>
  </r>
  <r>
    <n v="10075"/>
    <x v="2"/>
    <x v="2"/>
    <n v="7.23"/>
    <n v="3"/>
    <x v="0"/>
    <n v="10"/>
    <n v="7.9530000000000012"/>
    <n v="10.000000000000009"/>
    <s v="OK"/>
  </r>
  <r>
    <n v="10076"/>
    <x v="3"/>
    <x v="0"/>
    <n v="4.0599999999999996"/>
    <n v="3"/>
    <x v="0"/>
    <n v="12"/>
    <n v="4.5472000000000001"/>
    <n v="12.000000000000011"/>
    <s v="OK"/>
  </r>
  <r>
    <n v="10077"/>
    <x v="1"/>
    <x v="0"/>
    <n v="13.77"/>
    <n v="3"/>
    <x v="0"/>
    <n v="12"/>
    <n v="15.422400000000001"/>
    <n v="12.000000000000011"/>
    <s v="OK"/>
  </r>
  <r>
    <n v="10078"/>
    <x v="1"/>
    <x v="0"/>
    <n v="5.36"/>
    <n v="6"/>
    <x v="1"/>
    <n v="28"/>
    <n v="6.8608000000000002"/>
    <n v="28.000000000000004"/>
    <s v="OK"/>
  </r>
  <r>
    <n v="10079"/>
    <x v="0"/>
    <x v="2"/>
    <n v="14.31"/>
    <n v="4"/>
    <x v="1"/>
    <n v="25"/>
    <n v="17.887499999999999"/>
    <n v="25"/>
    <s v="OK"/>
  </r>
  <r>
    <n v="10080"/>
    <x v="1"/>
    <x v="1"/>
    <n v="8.23"/>
    <n v="3"/>
    <x v="0"/>
    <n v="15"/>
    <n v="9.4644999999999992"/>
    <n v="14.999999999999991"/>
    <s v="OK"/>
  </r>
  <r>
    <n v="10081"/>
    <x v="0"/>
    <x v="1"/>
    <n v="9.66"/>
    <n v="2"/>
    <x v="0"/>
    <n v="15"/>
    <n v="11.109"/>
    <n v="14.999999999999991"/>
    <s v="OK"/>
  </r>
  <r>
    <n v="10082"/>
    <x v="1"/>
    <x v="2"/>
    <n v="8.3699999999999992"/>
    <n v="3"/>
    <x v="0"/>
    <n v="10"/>
    <n v="9.2070000000000007"/>
    <n v="10.000000000000009"/>
    <s v="OK"/>
  </r>
  <r>
    <n v="10083"/>
    <x v="2"/>
    <x v="1"/>
    <n v="2.38"/>
    <n v="4"/>
    <x v="1"/>
    <n v="30"/>
    <n v="3.0939999999999999"/>
    <n v="30.000000000000004"/>
    <s v="OK"/>
  </r>
  <r>
    <n v="10084"/>
    <x v="1"/>
    <x v="1"/>
    <n v="5.95"/>
    <n v="6"/>
    <x v="1"/>
    <n v="30"/>
    <n v="7.7350000000000003"/>
    <n v="30.000000000000004"/>
    <s v="OK"/>
  </r>
  <r>
    <n v="10085"/>
    <x v="0"/>
    <x v="0"/>
    <n v="1.94"/>
    <n v="4"/>
    <x v="1"/>
    <n v="28"/>
    <n v="2.4832000000000001"/>
    <n v="28.000000000000004"/>
    <s v="OK"/>
  </r>
  <r>
    <n v="10086"/>
    <x v="0"/>
    <x v="0"/>
    <n v="9.5299999999999994"/>
    <n v="8"/>
    <x v="2"/>
    <n v="55"/>
    <n v="14.7715"/>
    <n v="55.000000000000007"/>
    <s v="OK"/>
  </r>
  <r>
    <n v="10087"/>
    <x v="3"/>
    <x v="2"/>
    <n v="6.98"/>
    <n v="3"/>
    <x v="0"/>
    <n v="10"/>
    <n v="7.6780000000000008"/>
    <n v="10.000000000000009"/>
    <s v="OK"/>
  </r>
  <r>
    <n v="10088"/>
    <x v="2"/>
    <x v="2"/>
    <n v="11.78"/>
    <n v="3"/>
    <x v="0"/>
    <n v="10"/>
    <n v="12.958"/>
    <n v="10.000000000000009"/>
    <s v="OK"/>
  </r>
  <r>
    <n v="10089"/>
    <x v="1"/>
    <x v="1"/>
    <n v="3.7"/>
    <n v="3"/>
    <x v="0"/>
    <n v="15"/>
    <n v="4.2549999999999999"/>
    <n v="14.999999999999991"/>
    <s v="OK"/>
  </r>
  <r>
    <n v="10090"/>
    <x v="3"/>
    <x v="0"/>
    <n v="2.89"/>
    <n v="8"/>
    <x v="2"/>
    <n v="55"/>
    <n v="4.4795000000000007"/>
    <n v="55.000000000000028"/>
    <s v="OK"/>
  </r>
  <r>
    <n v="10091"/>
    <x v="1"/>
    <x v="2"/>
    <n v="6.39"/>
    <n v="4"/>
    <x v="1"/>
    <n v="25"/>
    <n v="7.9874999999999998"/>
    <n v="25"/>
    <s v="OK"/>
  </r>
  <r>
    <n v="10092"/>
    <x v="1"/>
    <x v="2"/>
    <n v="13.94"/>
    <n v="1"/>
    <x v="0"/>
    <n v="10"/>
    <n v="15.334000000000001"/>
    <n v="10.000000000000009"/>
    <s v="OK"/>
  </r>
  <r>
    <n v="10093"/>
    <x v="3"/>
    <x v="2"/>
    <n v="10.8"/>
    <n v="2"/>
    <x v="0"/>
    <n v="10"/>
    <n v="11.880000000000003"/>
    <n v="10.000000000000009"/>
    <s v="OK"/>
  </r>
  <r>
    <n v="10094"/>
    <x v="3"/>
    <x v="2"/>
    <n v="6.57"/>
    <n v="10"/>
    <x v="2"/>
    <n v="50"/>
    <n v="9.8550000000000004"/>
    <n v="50"/>
    <s v="OK"/>
  </r>
  <r>
    <n v="10095"/>
    <x v="3"/>
    <x v="2"/>
    <n v="8"/>
    <n v="2"/>
    <x v="0"/>
    <n v="10"/>
    <n v="8.8000000000000007"/>
    <n v="10.000000000000009"/>
    <s v="OK"/>
  </r>
  <r>
    <n v="10096"/>
    <x v="3"/>
    <x v="2"/>
    <n v="1.72"/>
    <n v="3"/>
    <x v="0"/>
    <n v="10"/>
    <n v="1.8920000000000001"/>
    <n v="10.000000000000009"/>
    <s v="OK"/>
  </r>
  <r>
    <n v="10097"/>
    <x v="3"/>
    <x v="1"/>
    <n v="14.78"/>
    <n v="6"/>
    <x v="1"/>
    <n v="30"/>
    <n v="19.213999999999999"/>
    <n v="30.000000000000004"/>
    <s v="OK"/>
  </r>
  <r>
    <n v="10098"/>
    <x v="1"/>
    <x v="0"/>
    <n v="10.16"/>
    <n v="8"/>
    <x v="2"/>
    <n v="55"/>
    <n v="15.748000000000001"/>
    <n v="55.000000000000007"/>
    <s v="OK"/>
  </r>
  <r>
    <n v="10099"/>
    <x v="3"/>
    <x v="0"/>
    <n v="4.6399999999999997"/>
    <n v="1"/>
    <x v="0"/>
    <n v="12"/>
    <n v="5.1968000000000005"/>
    <n v="12.000000000000011"/>
    <s v="OK"/>
  </r>
  <r>
    <n v="10100"/>
    <x v="2"/>
    <x v="2"/>
    <n v="8.99"/>
    <n v="9"/>
    <x v="2"/>
    <n v="50"/>
    <n v="13.484999999999999"/>
    <n v="50"/>
    <s v="OK"/>
  </r>
  <r>
    <n v="10101"/>
    <x v="0"/>
    <x v="0"/>
    <n v="2.09"/>
    <n v="1"/>
    <x v="0"/>
    <n v="12"/>
    <n v="2.3408000000000002"/>
    <n v="12.000000000000011"/>
    <s v="OK"/>
  </r>
  <r>
    <n v="10102"/>
    <x v="3"/>
    <x v="0"/>
    <n v="14.5"/>
    <n v="10"/>
    <x v="2"/>
    <n v="55"/>
    <n v="22.475000000000001"/>
    <n v="55.000000000000007"/>
    <s v="OK"/>
  </r>
  <r>
    <n v="10103"/>
    <x v="3"/>
    <x v="0"/>
    <n v="3.03"/>
    <n v="2"/>
    <x v="0"/>
    <n v="12"/>
    <n v="3.3936000000000002"/>
    <n v="12.000000000000011"/>
    <s v="OK"/>
  </r>
  <r>
    <n v="10104"/>
    <x v="1"/>
    <x v="2"/>
    <n v="9.9"/>
    <n v="3"/>
    <x v="0"/>
    <n v="10"/>
    <n v="10.89"/>
    <n v="10.000000000000009"/>
    <s v="OK"/>
  </r>
  <r>
    <n v="10105"/>
    <x v="3"/>
    <x v="2"/>
    <n v="4.0599999999999996"/>
    <n v="7"/>
    <x v="1"/>
    <n v="25"/>
    <n v="5.0749999999999993"/>
    <n v="25"/>
    <s v="OK"/>
  </r>
  <r>
    <n v="10106"/>
    <x v="3"/>
    <x v="0"/>
    <n v="10.9"/>
    <n v="9"/>
    <x v="2"/>
    <n v="55"/>
    <n v="16.895"/>
    <n v="54.999999999999986"/>
    <s v="OK"/>
  </r>
  <r>
    <n v="10107"/>
    <x v="3"/>
    <x v="0"/>
    <n v="11.76"/>
    <n v="3"/>
    <x v="0"/>
    <n v="12"/>
    <n v="13.171200000000001"/>
    <n v="12.000000000000011"/>
    <s v="OK"/>
  </r>
  <r>
    <n v="10108"/>
    <x v="1"/>
    <x v="2"/>
    <n v="10.26"/>
    <n v="8"/>
    <x v="2"/>
    <n v="50"/>
    <n v="15.39"/>
    <n v="50"/>
    <s v="OK"/>
  </r>
  <r>
    <n v="10109"/>
    <x v="3"/>
    <x v="1"/>
    <n v="9.41"/>
    <n v="9"/>
    <x v="2"/>
    <n v="60"/>
    <n v="15.056000000000001"/>
    <n v="60.000000000000007"/>
    <s v="OK"/>
  </r>
  <r>
    <n v="10110"/>
    <x v="0"/>
    <x v="0"/>
    <n v="13.44"/>
    <n v="10"/>
    <x v="2"/>
    <n v="55"/>
    <n v="20.832000000000001"/>
    <n v="55.000000000000007"/>
    <s v="OK"/>
  </r>
  <r>
    <n v="10111"/>
    <x v="1"/>
    <x v="1"/>
    <n v="1.64"/>
    <n v="7"/>
    <x v="1"/>
    <n v="30"/>
    <n v="2.1320000000000001"/>
    <n v="30.000000000000004"/>
    <s v="OK"/>
  </r>
  <r>
    <n v="10112"/>
    <x v="0"/>
    <x v="0"/>
    <n v="5.3"/>
    <n v="4"/>
    <x v="1"/>
    <n v="28"/>
    <n v="6.7839999999999998"/>
    <n v="28.000000000000004"/>
    <s v="OK"/>
  </r>
  <r>
    <n v="10113"/>
    <x v="1"/>
    <x v="1"/>
    <n v="4.0999999999999996"/>
    <n v="4"/>
    <x v="1"/>
    <n v="30"/>
    <n v="5.33"/>
    <n v="30.000000000000004"/>
    <s v="OK"/>
  </r>
  <r>
    <n v="10114"/>
    <x v="3"/>
    <x v="1"/>
    <n v="14.83"/>
    <n v="4"/>
    <x v="1"/>
    <n v="30"/>
    <n v="19.279"/>
    <n v="30.000000000000004"/>
    <s v="OK"/>
  </r>
  <r>
    <n v="10115"/>
    <x v="0"/>
    <x v="1"/>
    <n v="6.15"/>
    <n v="6"/>
    <x v="1"/>
    <n v="30"/>
    <n v="7.995000000000001"/>
    <n v="30.000000000000004"/>
    <s v="OK"/>
  </r>
  <r>
    <n v="10116"/>
    <x v="1"/>
    <x v="2"/>
    <n v="11.12"/>
    <n v="4"/>
    <x v="1"/>
    <n v="25"/>
    <n v="13.899999999999999"/>
    <n v="25"/>
    <s v="OK"/>
  </r>
  <r>
    <n v="10117"/>
    <x v="2"/>
    <x v="1"/>
    <n v="10.43"/>
    <n v="5"/>
    <x v="1"/>
    <n v="30"/>
    <n v="13.558999999999999"/>
    <n v="30.000000000000004"/>
    <s v="OK"/>
  </r>
  <r>
    <n v="10118"/>
    <x v="3"/>
    <x v="1"/>
    <n v="3.58"/>
    <n v="9"/>
    <x v="2"/>
    <n v="60"/>
    <n v="5.7280000000000006"/>
    <n v="60.000000000000007"/>
    <s v="OK"/>
  </r>
  <r>
    <n v="10119"/>
    <x v="1"/>
    <x v="1"/>
    <n v="3.97"/>
    <n v="7"/>
    <x v="1"/>
    <n v="30"/>
    <n v="5.1610000000000005"/>
    <n v="30.000000000000004"/>
    <s v="OK"/>
  </r>
  <r>
    <n v="10120"/>
    <x v="2"/>
    <x v="0"/>
    <n v="4.58"/>
    <n v="8"/>
    <x v="2"/>
    <n v="55"/>
    <n v="7.0990000000000002"/>
    <n v="55.000000000000007"/>
    <s v="OK"/>
  </r>
  <r>
    <n v="10121"/>
    <x v="1"/>
    <x v="1"/>
    <n v="6.46"/>
    <n v="5"/>
    <x v="1"/>
    <n v="30"/>
    <n v="8.3979999999999997"/>
    <n v="30.000000000000004"/>
    <s v="OK"/>
  </r>
  <r>
    <n v="10122"/>
    <x v="2"/>
    <x v="0"/>
    <n v="3.9"/>
    <n v="5"/>
    <x v="1"/>
    <n v="28"/>
    <n v="4.992"/>
    <n v="28.000000000000004"/>
    <s v="OK"/>
  </r>
  <r>
    <n v="10123"/>
    <x v="3"/>
    <x v="1"/>
    <n v="0.78"/>
    <n v="7"/>
    <x v="1"/>
    <n v="30"/>
    <n v="1.014"/>
    <n v="30.000000000000004"/>
    <s v="OK"/>
  </r>
  <r>
    <n v="10124"/>
    <x v="0"/>
    <x v="1"/>
    <n v="13.25"/>
    <n v="8"/>
    <x v="2"/>
    <n v="60"/>
    <n v="21.200000000000003"/>
    <n v="60.000000000000028"/>
    <s v="OK"/>
  </r>
  <r>
    <n v="10125"/>
    <x v="2"/>
    <x v="2"/>
    <n v="14.5"/>
    <n v="9"/>
    <x v="2"/>
    <n v="50"/>
    <n v="21.75"/>
    <n v="50"/>
    <s v="OK"/>
  </r>
  <r>
    <n v="10126"/>
    <x v="1"/>
    <x v="0"/>
    <n v="5.45"/>
    <n v="2"/>
    <x v="0"/>
    <n v="12"/>
    <n v="6.104000000000001"/>
    <n v="12.000000000000011"/>
    <s v="OK"/>
  </r>
  <r>
    <n v="10127"/>
    <x v="3"/>
    <x v="1"/>
    <n v="5.41"/>
    <n v="3"/>
    <x v="0"/>
    <n v="15"/>
    <n v="6.2214999999999998"/>
    <n v="14.999999999999991"/>
    <s v="OK"/>
  </r>
  <r>
    <n v="10128"/>
    <x v="2"/>
    <x v="0"/>
    <n v="0.6"/>
    <n v="2"/>
    <x v="0"/>
    <n v="12"/>
    <n v="0.67200000000000004"/>
    <n v="12.000000000000011"/>
    <s v="OK"/>
  </r>
  <r>
    <n v="10129"/>
    <x v="1"/>
    <x v="0"/>
    <n v="10.36"/>
    <n v="10"/>
    <x v="2"/>
    <n v="55"/>
    <n v="16.058"/>
    <n v="55.000000000000007"/>
    <s v="OK"/>
  </r>
  <r>
    <n v="10130"/>
    <x v="1"/>
    <x v="2"/>
    <n v="12.47"/>
    <n v="7"/>
    <x v="1"/>
    <n v="25"/>
    <n v="15.5875"/>
    <n v="25"/>
    <s v="OK"/>
  </r>
  <r>
    <n v="10131"/>
    <x v="1"/>
    <x v="2"/>
    <n v="2.63"/>
    <n v="2"/>
    <x v="0"/>
    <n v="10"/>
    <n v="2.8930000000000002"/>
    <n v="10.000000000000009"/>
    <s v="OK"/>
  </r>
  <r>
    <n v="10132"/>
    <x v="2"/>
    <x v="2"/>
    <n v="2.82"/>
    <n v="2"/>
    <x v="0"/>
    <n v="10"/>
    <n v="3.1019999999999999"/>
    <n v="10.000000000000009"/>
    <s v="OK"/>
  </r>
  <r>
    <n v="10133"/>
    <x v="2"/>
    <x v="2"/>
    <n v="11.96"/>
    <n v="2"/>
    <x v="0"/>
    <n v="10"/>
    <n v="13.156000000000002"/>
    <n v="10.000000000000009"/>
    <s v="OK"/>
  </r>
  <r>
    <n v="10134"/>
    <x v="2"/>
    <x v="2"/>
    <n v="9.44"/>
    <n v="4"/>
    <x v="1"/>
    <n v="25"/>
    <n v="11.799999999999999"/>
    <n v="25"/>
    <s v="OK"/>
  </r>
  <r>
    <n v="10135"/>
    <x v="0"/>
    <x v="2"/>
    <n v="1.1499999999999999"/>
    <n v="1"/>
    <x v="0"/>
    <n v="10"/>
    <n v="1.2649999999999999"/>
    <n v="10.000000000000009"/>
    <s v="OK"/>
  </r>
  <r>
    <n v="10136"/>
    <x v="2"/>
    <x v="2"/>
    <n v="9.5299999999999994"/>
    <n v="2"/>
    <x v="0"/>
    <n v="10"/>
    <n v="10.483000000000001"/>
    <n v="10.000000000000009"/>
    <s v="OK"/>
  </r>
  <r>
    <n v="10137"/>
    <x v="2"/>
    <x v="2"/>
    <n v="4.9800000000000004"/>
    <n v="3"/>
    <x v="0"/>
    <n v="10"/>
    <n v="5.4780000000000006"/>
    <n v="10.000000000000009"/>
    <s v="OK"/>
  </r>
  <r>
    <n v="10138"/>
    <x v="2"/>
    <x v="1"/>
    <n v="5.85"/>
    <n v="7"/>
    <x v="1"/>
    <n v="30"/>
    <n v="7.6049999999999995"/>
    <n v="30.000000000000004"/>
    <s v="OK"/>
  </r>
  <r>
    <n v="10139"/>
    <x v="0"/>
    <x v="0"/>
    <n v="11.66"/>
    <n v="10"/>
    <x v="2"/>
    <n v="55"/>
    <n v="18.073"/>
    <n v="55.000000000000007"/>
    <s v="OK"/>
  </r>
  <r>
    <n v="10140"/>
    <x v="2"/>
    <x v="2"/>
    <n v="12.26"/>
    <n v="1"/>
    <x v="0"/>
    <n v="10"/>
    <n v="13.486000000000001"/>
    <n v="10.000000000000009"/>
    <s v="OK"/>
  </r>
  <r>
    <n v="10141"/>
    <x v="1"/>
    <x v="2"/>
    <n v="6.31"/>
    <n v="6"/>
    <x v="1"/>
    <n v="25"/>
    <n v="7.8874999999999993"/>
    <n v="25"/>
    <s v="OK"/>
  </r>
  <r>
    <n v="10142"/>
    <x v="2"/>
    <x v="0"/>
    <n v="14.23"/>
    <n v="3"/>
    <x v="0"/>
    <n v="12"/>
    <n v="15.937600000000002"/>
    <n v="12.000000000000011"/>
    <s v="OK"/>
  </r>
  <r>
    <n v="10143"/>
    <x v="1"/>
    <x v="1"/>
    <n v="6.39"/>
    <n v="3"/>
    <x v="0"/>
    <n v="15"/>
    <n v="7.3484999999999987"/>
    <n v="14.999999999999991"/>
    <s v="OK"/>
  </r>
  <r>
    <n v="10144"/>
    <x v="1"/>
    <x v="0"/>
    <n v="11.69"/>
    <n v="4"/>
    <x v="1"/>
    <n v="28"/>
    <n v="14.963200000000001"/>
    <n v="28.000000000000004"/>
    <s v="OK"/>
  </r>
  <r>
    <n v="10145"/>
    <x v="1"/>
    <x v="0"/>
    <n v="7.52"/>
    <n v="4"/>
    <x v="1"/>
    <n v="28"/>
    <n v="9.6256000000000004"/>
    <n v="28.000000000000004"/>
    <s v="OK"/>
  </r>
  <r>
    <n v="10146"/>
    <x v="0"/>
    <x v="2"/>
    <n v="13.51"/>
    <n v="7"/>
    <x v="1"/>
    <n v="25"/>
    <n v="16.887499999999999"/>
    <n v="25"/>
    <s v="OK"/>
  </r>
  <r>
    <n v="10147"/>
    <x v="0"/>
    <x v="0"/>
    <n v="13.66"/>
    <n v="3"/>
    <x v="0"/>
    <n v="12"/>
    <n v="15.299200000000001"/>
    <n v="12.000000000000011"/>
    <s v="OK"/>
  </r>
  <r>
    <n v="10148"/>
    <x v="0"/>
    <x v="0"/>
    <n v="1.77"/>
    <n v="8"/>
    <x v="2"/>
    <n v="55"/>
    <n v="2.7435"/>
    <n v="55.000000000000007"/>
    <s v="OK"/>
  </r>
  <r>
    <n v="10149"/>
    <x v="2"/>
    <x v="2"/>
    <n v="14.08"/>
    <n v="8"/>
    <x v="2"/>
    <n v="50"/>
    <n v="21.12"/>
    <n v="50"/>
    <s v="OK"/>
  </r>
  <r>
    <n v="10150"/>
    <x v="1"/>
    <x v="2"/>
    <n v="12.47"/>
    <n v="7"/>
    <x v="1"/>
    <n v="25"/>
    <n v="15.5875"/>
    <n v="25"/>
    <s v="OK"/>
  </r>
  <r>
    <n v="10151"/>
    <x v="0"/>
    <x v="2"/>
    <n v="11.97"/>
    <n v="2"/>
    <x v="0"/>
    <n v="10"/>
    <n v="13.167000000000002"/>
    <n v="10.000000000000009"/>
    <s v="OK"/>
  </r>
  <r>
    <n v="10152"/>
    <x v="0"/>
    <x v="2"/>
    <n v="3.41"/>
    <n v="5"/>
    <x v="1"/>
    <n v="25"/>
    <n v="4.2625000000000002"/>
    <n v="25"/>
    <s v="OK"/>
  </r>
  <r>
    <n v="10153"/>
    <x v="2"/>
    <x v="0"/>
    <n v="12.17"/>
    <n v="6"/>
    <x v="1"/>
    <n v="28"/>
    <n v="15.5776"/>
    <n v="28.000000000000004"/>
    <s v="OK"/>
  </r>
  <r>
    <n v="10154"/>
    <x v="0"/>
    <x v="0"/>
    <n v="12.83"/>
    <n v="10"/>
    <x v="2"/>
    <n v="55"/>
    <n v="19.886500000000002"/>
    <n v="55.000000000000007"/>
    <s v="OK"/>
  </r>
  <r>
    <n v="10155"/>
    <x v="2"/>
    <x v="1"/>
    <n v="4.6900000000000004"/>
    <n v="4"/>
    <x v="1"/>
    <n v="30"/>
    <n v="6.0970000000000004"/>
    <n v="30.000000000000004"/>
    <s v="OK"/>
  </r>
  <r>
    <n v="10156"/>
    <x v="3"/>
    <x v="1"/>
    <n v="14.31"/>
    <n v="10"/>
    <x v="2"/>
    <n v="60"/>
    <n v="22.896000000000001"/>
    <n v="60.000000000000007"/>
    <s v="OK"/>
  </r>
  <r>
    <n v="10157"/>
    <x v="0"/>
    <x v="0"/>
    <n v="1.22"/>
    <n v="5"/>
    <x v="1"/>
    <n v="28"/>
    <n v="1.5616000000000001"/>
    <n v="28.000000000000004"/>
    <s v="OK"/>
  </r>
  <r>
    <n v="10158"/>
    <x v="3"/>
    <x v="1"/>
    <n v="2.67"/>
    <n v="9"/>
    <x v="2"/>
    <n v="60"/>
    <n v="4.2720000000000002"/>
    <n v="60.000000000000007"/>
    <s v="OK"/>
  </r>
  <r>
    <n v="10159"/>
    <x v="2"/>
    <x v="0"/>
    <n v="8.2899999999999991"/>
    <n v="7"/>
    <x v="1"/>
    <n v="28"/>
    <n v="10.611199999999998"/>
    <n v="28.000000000000004"/>
    <s v="OK"/>
  </r>
  <r>
    <n v="10160"/>
    <x v="1"/>
    <x v="1"/>
    <n v="8.85"/>
    <n v="2"/>
    <x v="0"/>
    <n v="15"/>
    <n v="10.177499999999998"/>
    <n v="14.999999999999991"/>
    <s v="OK"/>
  </r>
  <r>
    <n v="10161"/>
    <x v="0"/>
    <x v="2"/>
    <n v="9.85"/>
    <n v="1"/>
    <x v="0"/>
    <n v="10"/>
    <n v="10.835000000000001"/>
    <n v="10.000000000000009"/>
    <s v="OK"/>
  </r>
  <r>
    <n v="10162"/>
    <x v="2"/>
    <x v="1"/>
    <n v="0.75"/>
    <n v="2"/>
    <x v="0"/>
    <n v="15"/>
    <n v="0.86249999999999993"/>
    <n v="14.999999999999991"/>
    <s v="OK"/>
  </r>
  <r>
    <n v="10163"/>
    <x v="1"/>
    <x v="2"/>
    <n v="14.43"/>
    <n v="3"/>
    <x v="0"/>
    <n v="10"/>
    <n v="15.873000000000001"/>
    <n v="10.000000000000009"/>
    <s v="OK"/>
  </r>
  <r>
    <n v="10164"/>
    <x v="1"/>
    <x v="2"/>
    <n v="1.1499999999999999"/>
    <n v="2"/>
    <x v="0"/>
    <n v="10"/>
    <n v="1.2649999999999999"/>
    <n v="10.000000000000009"/>
    <s v="OK"/>
  </r>
  <r>
    <n v="10165"/>
    <x v="3"/>
    <x v="2"/>
    <n v="2.57"/>
    <n v="3"/>
    <x v="0"/>
    <n v="10"/>
    <n v="2.827"/>
    <n v="10.000000000000009"/>
    <s v="OK"/>
  </r>
  <r>
    <n v="10166"/>
    <x v="2"/>
    <x v="2"/>
    <n v="0.7"/>
    <n v="10"/>
    <x v="2"/>
    <n v="50"/>
    <n v="1.0499999999999998"/>
    <n v="49.999999999999979"/>
    <s v="OK"/>
  </r>
  <r>
    <n v="10167"/>
    <x v="1"/>
    <x v="1"/>
    <n v="8.7200000000000006"/>
    <n v="9"/>
    <x v="2"/>
    <n v="60"/>
    <n v="13.952000000000002"/>
    <n v="60.000000000000007"/>
    <s v="OK"/>
  </r>
  <r>
    <n v="10168"/>
    <x v="0"/>
    <x v="0"/>
    <n v="14.02"/>
    <n v="4"/>
    <x v="1"/>
    <n v="28"/>
    <n v="17.945599999999999"/>
    <n v="28.000000000000004"/>
    <s v="OK"/>
  </r>
  <r>
    <n v="10169"/>
    <x v="0"/>
    <x v="2"/>
    <n v="10.16"/>
    <n v="9"/>
    <x v="2"/>
    <n v="50"/>
    <n v="15.24"/>
    <n v="50"/>
    <s v="OK"/>
  </r>
  <r>
    <n v="10170"/>
    <x v="3"/>
    <x v="1"/>
    <n v="12.43"/>
    <n v="3"/>
    <x v="0"/>
    <n v="15"/>
    <n v="14.294499999999999"/>
    <n v="14.999999999999991"/>
    <s v="OK"/>
  </r>
  <r>
    <n v="10171"/>
    <x v="1"/>
    <x v="2"/>
    <n v="0.69"/>
    <n v="1"/>
    <x v="0"/>
    <n v="10"/>
    <n v="0.75900000000000001"/>
    <n v="10.000000000000009"/>
    <s v="OK"/>
  </r>
  <r>
    <n v="10172"/>
    <x v="2"/>
    <x v="1"/>
    <n v="8.36"/>
    <n v="5"/>
    <x v="1"/>
    <n v="30"/>
    <n v="10.868"/>
    <n v="30.000000000000004"/>
    <s v="OK"/>
  </r>
  <r>
    <n v="10173"/>
    <x v="0"/>
    <x v="1"/>
    <n v="7.16"/>
    <n v="10"/>
    <x v="2"/>
    <n v="60"/>
    <n v="11.456000000000001"/>
    <n v="60.000000000000007"/>
    <s v="OK"/>
  </r>
  <r>
    <n v="10174"/>
    <x v="1"/>
    <x v="1"/>
    <n v="7.74"/>
    <n v="10"/>
    <x v="2"/>
    <n v="60"/>
    <n v="12.384"/>
    <n v="60.000000000000007"/>
    <s v="OK"/>
  </r>
  <r>
    <n v="10175"/>
    <x v="1"/>
    <x v="0"/>
    <n v="1.55"/>
    <n v="2"/>
    <x v="0"/>
    <n v="12"/>
    <n v="1.7360000000000002"/>
    <n v="12.000000000000011"/>
    <s v="OK"/>
  </r>
  <r>
    <n v="10176"/>
    <x v="3"/>
    <x v="1"/>
    <n v="10.42"/>
    <n v="4"/>
    <x v="1"/>
    <n v="30"/>
    <n v="13.546000000000001"/>
    <n v="30.000000000000004"/>
    <s v="OK"/>
  </r>
  <r>
    <n v="10177"/>
    <x v="0"/>
    <x v="1"/>
    <n v="7.8"/>
    <n v="2"/>
    <x v="0"/>
    <n v="15"/>
    <n v="8.9699999999999989"/>
    <n v="14.999999999999991"/>
    <s v="OK"/>
  </r>
  <r>
    <n v="10178"/>
    <x v="0"/>
    <x v="0"/>
    <n v="11.59"/>
    <n v="2"/>
    <x v="0"/>
    <n v="12"/>
    <n v="12.9808"/>
    <n v="12.000000000000011"/>
    <s v="OK"/>
  </r>
  <r>
    <n v="10179"/>
    <x v="2"/>
    <x v="0"/>
    <n v="7.54"/>
    <n v="3"/>
    <x v="0"/>
    <n v="12"/>
    <n v="8.4448000000000008"/>
    <n v="12.000000000000011"/>
    <s v="OK"/>
  </r>
  <r>
    <n v="10180"/>
    <x v="0"/>
    <x v="1"/>
    <n v="2.67"/>
    <n v="5"/>
    <x v="1"/>
    <n v="30"/>
    <n v="3.4710000000000001"/>
    <n v="30.000000000000004"/>
    <s v="OK"/>
  </r>
  <r>
    <n v="10181"/>
    <x v="2"/>
    <x v="0"/>
    <n v="9.9"/>
    <n v="4"/>
    <x v="1"/>
    <n v="28"/>
    <n v="12.672000000000001"/>
    <n v="28.000000000000004"/>
    <s v="OK"/>
  </r>
  <r>
    <n v="10182"/>
    <x v="0"/>
    <x v="2"/>
    <n v="3"/>
    <n v="2"/>
    <x v="0"/>
    <n v="10"/>
    <n v="3.3000000000000003"/>
    <n v="10.000000000000009"/>
    <s v="OK"/>
  </r>
  <r>
    <n v="10183"/>
    <x v="3"/>
    <x v="2"/>
    <n v="13.15"/>
    <n v="10"/>
    <x v="2"/>
    <n v="50"/>
    <n v="19.725000000000001"/>
    <n v="50"/>
    <s v="OK"/>
  </r>
  <r>
    <n v="10184"/>
    <x v="0"/>
    <x v="0"/>
    <n v="9.39"/>
    <n v="2"/>
    <x v="0"/>
    <n v="12"/>
    <n v="10.516800000000002"/>
    <n v="12.000000000000011"/>
    <s v="OK"/>
  </r>
  <r>
    <n v="10185"/>
    <x v="2"/>
    <x v="0"/>
    <n v="2.78"/>
    <n v="6"/>
    <x v="1"/>
    <n v="28"/>
    <n v="3.5583999999999998"/>
    <n v="28.000000000000004"/>
    <s v="OK"/>
  </r>
  <r>
    <n v="10186"/>
    <x v="2"/>
    <x v="1"/>
    <n v="14.45"/>
    <n v="7"/>
    <x v="1"/>
    <n v="30"/>
    <n v="18.785"/>
    <n v="30.000000000000004"/>
    <s v="OK"/>
  </r>
  <r>
    <n v="10187"/>
    <x v="3"/>
    <x v="0"/>
    <n v="8.02"/>
    <n v="10"/>
    <x v="2"/>
    <n v="55"/>
    <n v="12.430999999999999"/>
    <n v="55.000000000000007"/>
    <s v="OK"/>
  </r>
  <r>
    <n v="10188"/>
    <x v="0"/>
    <x v="1"/>
    <n v="1.56"/>
    <n v="6"/>
    <x v="1"/>
    <n v="30"/>
    <n v="2.028"/>
    <n v="30.000000000000004"/>
    <s v="OK"/>
  </r>
  <r>
    <n v="10189"/>
    <x v="0"/>
    <x v="2"/>
    <n v="9.59"/>
    <n v="7"/>
    <x v="1"/>
    <n v="25"/>
    <n v="11.987500000000001"/>
    <n v="25"/>
    <s v="OK"/>
  </r>
  <r>
    <n v="10190"/>
    <x v="3"/>
    <x v="0"/>
    <n v="4.17"/>
    <n v="1"/>
    <x v="0"/>
    <n v="12"/>
    <n v="4.6704000000000008"/>
    <n v="12.000000000000011"/>
    <s v="OK"/>
  </r>
  <r>
    <n v="10191"/>
    <x v="0"/>
    <x v="1"/>
    <n v="12.15"/>
    <n v="6"/>
    <x v="1"/>
    <n v="30"/>
    <n v="15.795000000000002"/>
    <n v="30.000000000000004"/>
    <s v="OK"/>
  </r>
  <r>
    <n v="10192"/>
    <x v="0"/>
    <x v="1"/>
    <n v="12.36"/>
    <n v="3"/>
    <x v="0"/>
    <n v="15"/>
    <n v="14.213999999999999"/>
    <n v="14.999999999999991"/>
    <s v="OK"/>
  </r>
  <r>
    <n v="10193"/>
    <x v="2"/>
    <x v="2"/>
    <n v="14.69"/>
    <n v="1"/>
    <x v="0"/>
    <n v="10"/>
    <n v="16.159000000000002"/>
    <n v="10.000000000000032"/>
    <s v="OK"/>
  </r>
  <r>
    <n v="10194"/>
    <x v="0"/>
    <x v="0"/>
    <n v="7.78"/>
    <n v="8"/>
    <x v="2"/>
    <n v="55"/>
    <n v="12.059000000000001"/>
    <n v="55.000000000000007"/>
    <s v="OK"/>
  </r>
  <r>
    <n v="10195"/>
    <x v="0"/>
    <x v="2"/>
    <n v="7.1"/>
    <n v="4"/>
    <x v="1"/>
    <n v="25"/>
    <n v="8.875"/>
    <n v="25"/>
    <s v="OK"/>
  </r>
  <r>
    <n v="10196"/>
    <x v="3"/>
    <x v="1"/>
    <n v="11.43"/>
    <n v="10"/>
    <x v="2"/>
    <n v="60"/>
    <n v="18.288"/>
    <n v="60.000000000000007"/>
    <s v="OK"/>
  </r>
  <r>
    <n v="10197"/>
    <x v="3"/>
    <x v="1"/>
    <n v="2.42"/>
    <n v="8"/>
    <x v="2"/>
    <n v="60"/>
    <n v="3.8719999999999999"/>
    <n v="60.000000000000007"/>
    <s v="OK"/>
  </r>
  <r>
    <n v="10198"/>
    <x v="1"/>
    <x v="0"/>
    <n v="8.43"/>
    <n v="10"/>
    <x v="2"/>
    <n v="55"/>
    <n v="13.0665"/>
    <n v="55.000000000000007"/>
    <s v="OK"/>
  </r>
  <r>
    <n v="10199"/>
    <x v="2"/>
    <x v="1"/>
    <n v="8.42"/>
    <n v="4"/>
    <x v="1"/>
    <n v="30"/>
    <n v="10.946"/>
    <n v="30.000000000000004"/>
    <s v="OK"/>
  </r>
  <r>
    <n v="10200"/>
    <x v="0"/>
    <x v="0"/>
    <n v="1.8"/>
    <n v="4"/>
    <x v="1"/>
    <n v="28"/>
    <n v="2.3040000000000003"/>
    <n v="28.000000000000004"/>
    <s v="OK"/>
  </r>
  <r>
    <n v="10201"/>
    <x v="0"/>
    <x v="2"/>
    <n v="6.56"/>
    <n v="10"/>
    <x v="2"/>
    <n v="50"/>
    <n v="9.84"/>
    <n v="50"/>
    <s v="OK"/>
  </r>
  <r>
    <n v="10202"/>
    <x v="1"/>
    <x v="0"/>
    <n v="12.87"/>
    <n v="4"/>
    <x v="1"/>
    <n v="28"/>
    <n v="16.473599999999998"/>
    <n v="27.999999999999979"/>
    <s v="OK"/>
  </r>
  <r>
    <n v="10203"/>
    <x v="0"/>
    <x v="0"/>
    <n v="12.91"/>
    <n v="6"/>
    <x v="1"/>
    <n v="28"/>
    <n v="16.524799999999999"/>
    <n v="27.999999999999979"/>
    <s v="OK"/>
  </r>
  <r>
    <n v="10204"/>
    <x v="2"/>
    <x v="1"/>
    <n v="1.94"/>
    <n v="9"/>
    <x v="2"/>
    <n v="60"/>
    <n v="3.1040000000000001"/>
    <n v="60.000000000000007"/>
    <s v="OK"/>
  </r>
  <r>
    <n v="10205"/>
    <x v="1"/>
    <x v="1"/>
    <n v="1.82"/>
    <n v="5"/>
    <x v="1"/>
    <n v="30"/>
    <n v="2.3660000000000001"/>
    <n v="30.000000000000004"/>
    <s v="OK"/>
  </r>
  <r>
    <n v="10206"/>
    <x v="2"/>
    <x v="0"/>
    <n v="4.3099999999999996"/>
    <n v="10"/>
    <x v="2"/>
    <n v="55"/>
    <n v="6.6804999999999994"/>
    <n v="55.000000000000007"/>
    <s v="OK"/>
  </r>
  <r>
    <n v="10207"/>
    <x v="1"/>
    <x v="1"/>
    <n v="13.18"/>
    <n v="8"/>
    <x v="2"/>
    <n v="60"/>
    <n v="21.088000000000001"/>
    <n v="60.000000000000007"/>
    <s v="OK"/>
  </r>
  <r>
    <n v="10208"/>
    <x v="1"/>
    <x v="1"/>
    <n v="2.37"/>
    <n v="8"/>
    <x v="2"/>
    <n v="60"/>
    <n v="3.7920000000000003"/>
    <n v="60.000000000000007"/>
    <s v="OK"/>
  </r>
  <r>
    <n v="10209"/>
    <x v="3"/>
    <x v="1"/>
    <n v="10.94"/>
    <n v="4"/>
    <x v="1"/>
    <n v="30"/>
    <n v="14.222"/>
    <n v="30.000000000000004"/>
    <s v="OK"/>
  </r>
  <r>
    <n v="10210"/>
    <x v="2"/>
    <x v="0"/>
    <n v="1.97"/>
    <n v="10"/>
    <x v="2"/>
    <n v="55"/>
    <n v="3.0535000000000001"/>
    <n v="55.000000000000007"/>
    <s v="OK"/>
  </r>
  <r>
    <n v="10211"/>
    <x v="0"/>
    <x v="1"/>
    <n v="9.5399999999999991"/>
    <n v="9"/>
    <x v="2"/>
    <n v="60"/>
    <n v="15.263999999999999"/>
    <n v="60.000000000000007"/>
    <s v="OK"/>
  </r>
  <r>
    <n v="10212"/>
    <x v="0"/>
    <x v="0"/>
    <n v="5.66"/>
    <n v="9"/>
    <x v="2"/>
    <n v="55"/>
    <n v="8.7729999999999997"/>
    <n v="54.999999999999986"/>
    <s v="OK"/>
  </r>
  <r>
    <n v="10213"/>
    <x v="2"/>
    <x v="1"/>
    <n v="11.94"/>
    <n v="5"/>
    <x v="1"/>
    <n v="30"/>
    <n v="15.522"/>
    <n v="30.000000000000004"/>
    <s v="OK"/>
  </r>
  <r>
    <n v="10214"/>
    <x v="0"/>
    <x v="2"/>
    <n v="3.89"/>
    <n v="6"/>
    <x v="1"/>
    <n v="25"/>
    <n v="4.8624999999999998"/>
    <n v="25"/>
    <s v="OK"/>
  </r>
  <r>
    <n v="10215"/>
    <x v="0"/>
    <x v="1"/>
    <n v="9.77"/>
    <n v="5"/>
    <x v="1"/>
    <n v="30"/>
    <n v="12.701000000000001"/>
    <n v="30.000000000000004"/>
    <s v="OK"/>
  </r>
  <r>
    <n v="10216"/>
    <x v="2"/>
    <x v="1"/>
    <n v="3.92"/>
    <n v="3"/>
    <x v="0"/>
    <n v="15"/>
    <n v="4.508"/>
    <n v="15.000000000000014"/>
    <s v="OK"/>
  </r>
  <r>
    <n v="10217"/>
    <x v="1"/>
    <x v="0"/>
    <n v="10.85"/>
    <n v="8"/>
    <x v="2"/>
    <n v="55"/>
    <n v="16.817499999999999"/>
    <n v="55.000000000000007"/>
    <s v="OK"/>
  </r>
  <r>
    <n v="10218"/>
    <x v="2"/>
    <x v="0"/>
    <n v="13.17"/>
    <n v="9"/>
    <x v="2"/>
    <n v="55"/>
    <n v="20.413499999999999"/>
    <n v="55.000000000000007"/>
    <s v="OK"/>
  </r>
  <r>
    <n v="10219"/>
    <x v="1"/>
    <x v="1"/>
    <n v="2.34"/>
    <n v="4"/>
    <x v="1"/>
    <n v="30"/>
    <n v="3.0419999999999998"/>
    <n v="30.000000000000004"/>
    <s v="OK"/>
  </r>
  <r>
    <n v="10220"/>
    <x v="0"/>
    <x v="2"/>
    <n v="13.07"/>
    <n v="9"/>
    <x v="2"/>
    <n v="50"/>
    <n v="19.605"/>
    <n v="50"/>
    <s v="OK"/>
  </r>
  <r>
    <n v="10221"/>
    <x v="0"/>
    <x v="1"/>
    <n v="9.11"/>
    <n v="9"/>
    <x v="2"/>
    <n v="60"/>
    <n v="14.576000000000001"/>
    <n v="60.000000000000007"/>
    <s v="OK"/>
  </r>
  <r>
    <n v="10222"/>
    <x v="0"/>
    <x v="1"/>
    <n v="2.34"/>
    <n v="7"/>
    <x v="1"/>
    <n v="30"/>
    <n v="3.0419999999999998"/>
    <n v="30.000000000000004"/>
    <s v="OK"/>
  </r>
  <r>
    <n v="10223"/>
    <x v="3"/>
    <x v="2"/>
    <n v="6.7"/>
    <n v="8"/>
    <x v="2"/>
    <n v="50"/>
    <n v="10.050000000000001"/>
    <n v="50"/>
    <s v="OK"/>
  </r>
  <r>
    <n v="10224"/>
    <x v="1"/>
    <x v="0"/>
    <n v="2.83"/>
    <n v="3"/>
    <x v="0"/>
    <n v="12"/>
    <n v="3.1696000000000004"/>
    <n v="12.000000000000011"/>
    <s v="OK"/>
  </r>
  <r>
    <n v="10225"/>
    <x v="3"/>
    <x v="1"/>
    <n v="10.66"/>
    <n v="5"/>
    <x v="1"/>
    <n v="30"/>
    <n v="13.858000000000001"/>
    <n v="30.000000000000004"/>
    <s v="OK"/>
  </r>
  <r>
    <n v="10226"/>
    <x v="3"/>
    <x v="0"/>
    <n v="11.5"/>
    <n v="3"/>
    <x v="0"/>
    <n v="12"/>
    <n v="12.88"/>
    <n v="12.000000000000011"/>
    <s v="OK"/>
  </r>
  <r>
    <n v="10227"/>
    <x v="2"/>
    <x v="0"/>
    <n v="2.0299999999999998"/>
    <n v="7"/>
    <x v="1"/>
    <n v="28"/>
    <n v="2.5983999999999998"/>
    <n v="28.000000000000004"/>
    <s v="OK"/>
  </r>
  <r>
    <n v="10228"/>
    <x v="3"/>
    <x v="2"/>
    <n v="7.84"/>
    <n v="6"/>
    <x v="1"/>
    <n v="25"/>
    <n v="9.8000000000000007"/>
    <n v="25.000000000000021"/>
    <s v="OK"/>
  </r>
  <r>
    <n v="10229"/>
    <x v="2"/>
    <x v="2"/>
    <n v="12.31"/>
    <n v="3"/>
    <x v="0"/>
    <n v="10"/>
    <n v="13.541000000000002"/>
    <n v="10.000000000000009"/>
    <s v="OK"/>
  </r>
  <r>
    <n v="10230"/>
    <x v="2"/>
    <x v="0"/>
    <n v="14.07"/>
    <n v="9"/>
    <x v="2"/>
    <n v="55"/>
    <n v="21.808500000000002"/>
    <n v="55.000000000000007"/>
    <s v="OK"/>
  </r>
  <r>
    <n v="10231"/>
    <x v="3"/>
    <x v="1"/>
    <n v="7.95"/>
    <n v="1"/>
    <x v="0"/>
    <n v="15"/>
    <n v="9.1425000000000001"/>
    <n v="14.999999999999991"/>
    <s v="OK"/>
  </r>
  <r>
    <n v="10232"/>
    <x v="1"/>
    <x v="0"/>
    <n v="14.28"/>
    <n v="10"/>
    <x v="2"/>
    <n v="55"/>
    <n v="22.134"/>
    <n v="55.000000000000007"/>
    <s v="OK"/>
  </r>
  <r>
    <n v="10233"/>
    <x v="1"/>
    <x v="1"/>
    <n v="8.27"/>
    <n v="3"/>
    <x v="0"/>
    <n v="15"/>
    <n v="9.5104999999999986"/>
    <n v="14.999999999999991"/>
    <s v="OK"/>
  </r>
  <r>
    <n v="10234"/>
    <x v="1"/>
    <x v="1"/>
    <n v="6.22"/>
    <n v="10"/>
    <x v="2"/>
    <n v="60"/>
    <n v="9.952"/>
    <n v="60.000000000000007"/>
    <s v="OK"/>
  </r>
  <r>
    <n v="10235"/>
    <x v="1"/>
    <x v="2"/>
    <n v="12.8"/>
    <n v="7"/>
    <x v="1"/>
    <n v="25"/>
    <n v="16"/>
    <n v="25"/>
    <s v="OK"/>
  </r>
  <r>
    <n v="10236"/>
    <x v="1"/>
    <x v="1"/>
    <n v="7.65"/>
    <n v="3"/>
    <x v="0"/>
    <n v="15"/>
    <n v="8.7974999999999994"/>
    <n v="14.999999999999991"/>
    <s v="OK"/>
  </r>
  <r>
    <n v="10237"/>
    <x v="3"/>
    <x v="1"/>
    <n v="7.34"/>
    <n v="3"/>
    <x v="0"/>
    <n v="15"/>
    <n v="8.4409999999999989"/>
    <n v="14.999999999999991"/>
    <s v="OK"/>
  </r>
  <r>
    <n v="10238"/>
    <x v="3"/>
    <x v="0"/>
    <n v="7.61"/>
    <n v="2"/>
    <x v="0"/>
    <n v="12"/>
    <n v="8.523200000000001"/>
    <n v="12.000000000000011"/>
    <s v="OK"/>
  </r>
  <r>
    <n v="10239"/>
    <x v="0"/>
    <x v="2"/>
    <n v="12.78"/>
    <n v="9"/>
    <x v="2"/>
    <n v="50"/>
    <n v="19.169999999999998"/>
    <n v="50"/>
    <s v="OK"/>
  </r>
  <r>
    <n v="10240"/>
    <x v="1"/>
    <x v="1"/>
    <n v="12.56"/>
    <n v="4"/>
    <x v="1"/>
    <n v="30"/>
    <n v="16.328000000000003"/>
    <n v="30.000000000000028"/>
    <s v="OK"/>
  </r>
  <r>
    <n v="10241"/>
    <x v="3"/>
    <x v="1"/>
    <n v="6.35"/>
    <n v="10"/>
    <x v="2"/>
    <n v="60"/>
    <n v="10.16"/>
    <n v="60.000000000000007"/>
    <s v="OK"/>
  </r>
  <r>
    <n v="10242"/>
    <x v="0"/>
    <x v="2"/>
    <n v="5.33"/>
    <n v="6"/>
    <x v="1"/>
    <n v="25"/>
    <n v="6.6624999999999996"/>
    <n v="25"/>
    <s v="OK"/>
  </r>
  <r>
    <n v="10243"/>
    <x v="1"/>
    <x v="0"/>
    <n v="7.63"/>
    <n v="2"/>
    <x v="0"/>
    <n v="12"/>
    <n v="8.5456000000000003"/>
    <n v="12.000000000000011"/>
    <s v="OK"/>
  </r>
  <r>
    <n v="10244"/>
    <x v="2"/>
    <x v="2"/>
    <n v="8.81"/>
    <n v="9"/>
    <x v="2"/>
    <n v="50"/>
    <n v="13.215"/>
    <n v="50"/>
    <s v="OK"/>
  </r>
  <r>
    <n v="10245"/>
    <x v="0"/>
    <x v="2"/>
    <n v="3.96"/>
    <n v="7"/>
    <x v="1"/>
    <n v="25"/>
    <n v="4.95"/>
    <n v="25"/>
    <s v="OK"/>
  </r>
  <r>
    <n v="10246"/>
    <x v="3"/>
    <x v="1"/>
    <n v="12.01"/>
    <n v="10"/>
    <x v="2"/>
    <n v="60"/>
    <n v="19.216000000000001"/>
    <n v="60.000000000000007"/>
    <s v="OK"/>
  </r>
  <r>
    <n v="10247"/>
    <x v="2"/>
    <x v="1"/>
    <n v="7.55"/>
    <n v="5"/>
    <x v="1"/>
    <n v="30"/>
    <n v="9.8149999999999995"/>
    <n v="30.000000000000004"/>
    <s v="OK"/>
  </r>
  <r>
    <n v="10248"/>
    <x v="2"/>
    <x v="0"/>
    <n v="5.34"/>
    <n v="7"/>
    <x v="1"/>
    <n v="28"/>
    <n v="6.8352000000000004"/>
    <n v="28.000000000000004"/>
    <s v="OK"/>
  </r>
  <r>
    <n v="10249"/>
    <x v="2"/>
    <x v="1"/>
    <n v="2.0499999999999998"/>
    <n v="4"/>
    <x v="1"/>
    <n v="30"/>
    <n v="2.665"/>
    <n v="30.000000000000004"/>
    <s v="OK"/>
  </r>
  <r>
    <n v="10250"/>
    <x v="0"/>
    <x v="1"/>
    <n v="3.96"/>
    <n v="10"/>
    <x v="2"/>
    <n v="60"/>
    <n v="6.3360000000000003"/>
    <n v="60.000000000000007"/>
    <s v="OK"/>
  </r>
  <r>
    <n v="10251"/>
    <x v="3"/>
    <x v="2"/>
    <n v="14.26"/>
    <n v="7"/>
    <x v="1"/>
    <n v="25"/>
    <n v="17.824999999999999"/>
    <n v="25"/>
    <s v="OK"/>
  </r>
  <r>
    <n v="10252"/>
    <x v="2"/>
    <x v="1"/>
    <n v="4.92"/>
    <n v="2"/>
    <x v="0"/>
    <n v="15"/>
    <n v="5.6579999999999995"/>
    <n v="14.999999999999991"/>
    <s v="OK"/>
  </r>
  <r>
    <n v="10253"/>
    <x v="1"/>
    <x v="0"/>
    <n v="2.95"/>
    <n v="7"/>
    <x v="1"/>
    <n v="28"/>
    <n v="3.7760000000000002"/>
    <n v="28.000000000000004"/>
    <s v="OK"/>
  </r>
  <r>
    <n v="10254"/>
    <x v="2"/>
    <x v="2"/>
    <n v="7.18"/>
    <n v="4"/>
    <x v="1"/>
    <n v="25"/>
    <n v="8.9749999999999996"/>
    <n v="25"/>
    <s v="OK"/>
  </r>
  <r>
    <n v="10255"/>
    <x v="2"/>
    <x v="0"/>
    <n v="4.95"/>
    <n v="4"/>
    <x v="1"/>
    <n v="28"/>
    <n v="6.3360000000000003"/>
    <n v="28.000000000000004"/>
    <s v="OK"/>
  </r>
  <r>
    <n v="10256"/>
    <x v="0"/>
    <x v="2"/>
    <n v="1.01"/>
    <n v="1"/>
    <x v="0"/>
    <n v="10"/>
    <n v="1.1110000000000002"/>
    <n v="10.000000000000009"/>
    <s v="OK"/>
  </r>
  <r>
    <n v="10257"/>
    <x v="0"/>
    <x v="1"/>
    <n v="5.19"/>
    <n v="3"/>
    <x v="0"/>
    <n v="15"/>
    <n v="5.9684999999999997"/>
    <n v="14.999999999999991"/>
    <s v="OK"/>
  </r>
  <r>
    <n v="10258"/>
    <x v="3"/>
    <x v="2"/>
    <n v="8.39"/>
    <n v="5"/>
    <x v="1"/>
    <n v="25"/>
    <n v="10.487500000000001"/>
    <n v="25"/>
    <s v="OK"/>
  </r>
  <r>
    <n v="10259"/>
    <x v="1"/>
    <x v="2"/>
    <n v="8.5"/>
    <n v="5"/>
    <x v="1"/>
    <n v="25"/>
    <n v="10.625"/>
    <n v="25"/>
    <s v="OK"/>
  </r>
  <r>
    <n v="10260"/>
    <x v="0"/>
    <x v="1"/>
    <n v="5.67"/>
    <n v="2"/>
    <x v="0"/>
    <n v="15"/>
    <n v="6.5204999999999993"/>
    <n v="14.999999999999991"/>
    <s v="OK"/>
  </r>
  <r>
    <n v="10261"/>
    <x v="2"/>
    <x v="1"/>
    <n v="6.99"/>
    <n v="4"/>
    <x v="1"/>
    <n v="30"/>
    <n v="9.0869999999999997"/>
    <n v="29.999999999999982"/>
    <s v="OK"/>
  </r>
  <r>
    <n v="10262"/>
    <x v="3"/>
    <x v="0"/>
    <n v="14.5"/>
    <n v="1"/>
    <x v="0"/>
    <n v="12"/>
    <n v="16.240000000000002"/>
    <n v="12.000000000000011"/>
    <s v="OK"/>
  </r>
  <r>
    <n v="10263"/>
    <x v="2"/>
    <x v="0"/>
    <n v="5.97"/>
    <n v="9"/>
    <x v="2"/>
    <n v="55"/>
    <n v="9.2535000000000007"/>
    <n v="55.000000000000028"/>
    <s v="OK"/>
  </r>
  <r>
    <n v="10264"/>
    <x v="2"/>
    <x v="1"/>
    <n v="4.24"/>
    <n v="1"/>
    <x v="0"/>
    <n v="15"/>
    <n v="4.8759999999999994"/>
    <n v="14.999999999999991"/>
    <s v="OK"/>
  </r>
  <r>
    <n v="10265"/>
    <x v="0"/>
    <x v="1"/>
    <n v="4.03"/>
    <n v="6"/>
    <x v="1"/>
    <n v="30"/>
    <n v="5.2390000000000008"/>
    <n v="30.000000000000004"/>
    <s v="OK"/>
  </r>
  <r>
    <n v="10266"/>
    <x v="3"/>
    <x v="1"/>
    <n v="7.14"/>
    <n v="7"/>
    <x v="1"/>
    <n v="30"/>
    <n v="9.282"/>
    <n v="30.000000000000004"/>
    <s v="OK"/>
  </r>
  <r>
    <n v="10267"/>
    <x v="1"/>
    <x v="2"/>
    <n v="11.51"/>
    <n v="3"/>
    <x v="0"/>
    <n v="10"/>
    <n v="12.661000000000001"/>
    <n v="10.000000000000009"/>
    <s v="OK"/>
  </r>
  <r>
    <n v="10268"/>
    <x v="1"/>
    <x v="2"/>
    <n v="3.49"/>
    <n v="1"/>
    <x v="0"/>
    <n v="10"/>
    <n v="3.8390000000000004"/>
    <n v="10.000000000000009"/>
    <s v="OK"/>
  </r>
  <r>
    <n v="10269"/>
    <x v="0"/>
    <x v="2"/>
    <n v="10.78"/>
    <n v="7"/>
    <x v="1"/>
    <n v="25"/>
    <n v="13.475"/>
    <n v="25"/>
    <s v="OK"/>
  </r>
  <r>
    <n v="10270"/>
    <x v="0"/>
    <x v="1"/>
    <n v="0.81"/>
    <n v="3"/>
    <x v="0"/>
    <n v="15"/>
    <n v="0.93149999999999999"/>
    <n v="14.999999999999991"/>
    <s v="OK"/>
  </r>
  <r>
    <n v="10271"/>
    <x v="3"/>
    <x v="0"/>
    <n v="6.57"/>
    <n v="10"/>
    <x v="2"/>
    <n v="55"/>
    <n v="10.1835"/>
    <n v="55.000000000000007"/>
    <s v="OK"/>
  </r>
  <r>
    <n v="10272"/>
    <x v="1"/>
    <x v="1"/>
    <n v="11.75"/>
    <n v="6"/>
    <x v="1"/>
    <n v="30"/>
    <n v="15.275"/>
    <n v="30.000000000000004"/>
    <s v="OK"/>
  </r>
  <r>
    <n v="10273"/>
    <x v="1"/>
    <x v="2"/>
    <n v="5.41"/>
    <n v="6"/>
    <x v="1"/>
    <n v="25"/>
    <n v="6.7625000000000002"/>
    <n v="25"/>
    <s v="OK"/>
  </r>
  <r>
    <n v="10274"/>
    <x v="1"/>
    <x v="2"/>
    <n v="8.67"/>
    <n v="4"/>
    <x v="1"/>
    <n v="25"/>
    <n v="10.8375"/>
    <n v="25"/>
    <s v="OK"/>
  </r>
  <r>
    <n v="10275"/>
    <x v="2"/>
    <x v="1"/>
    <n v="3.47"/>
    <n v="6"/>
    <x v="1"/>
    <n v="30"/>
    <n v="4.5110000000000001"/>
    <n v="30.000000000000004"/>
    <s v="OK"/>
  </r>
  <r>
    <n v="10276"/>
    <x v="1"/>
    <x v="1"/>
    <n v="11.26"/>
    <n v="10"/>
    <x v="2"/>
    <n v="60"/>
    <n v="18.016000000000002"/>
    <n v="60.000000000000007"/>
    <s v="OK"/>
  </r>
  <r>
    <n v="10277"/>
    <x v="2"/>
    <x v="2"/>
    <n v="1.26"/>
    <n v="4"/>
    <x v="1"/>
    <n v="25"/>
    <n v="1.575"/>
    <n v="25"/>
    <s v="OK"/>
  </r>
  <r>
    <n v="10278"/>
    <x v="3"/>
    <x v="2"/>
    <n v="12.86"/>
    <n v="8"/>
    <x v="2"/>
    <n v="50"/>
    <n v="19.29"/>
    <n v="50"/>
    <s v="OK"/>
  </r>
  <r>
    <n v="10279"/>
    <x v="2"/>
    <x v="2"/>
    <n v="3.37"/>
    <n v="9"/>
    <x v="2"/>
    <n v="50"/>
    <n v="5.0549999999999997"/>
    <n v="49.999999999999979"/>
    <s v="OK"/>
  </r>
  <r>
    <n v="10280"/>
    <x v="3"/>
    <x v="1"/>
    <n v="13.18"/>
    <n v="2"/>
    <x v="0"/>
    <n v="15"/>
    <n v="15.156999999999998"/>
    <n v="14.999999999999991"/>
    <s v="OK"/>
  </r>
  <r>
    <n v="10281"/>
    <x v="1"/>
    <x v="2"/>
    <n v="5.61"/>
    <n v="7"/>
    <x v="1"/>
    <n v="25"/>
    <n v="7.0125000000000002"/>
    <n v="25"/>
    <s v="OK"/>
  </r>
  <r>
    <n v="10282"/>
    <x v="1"/>
    <x v="2"/>
    <n v="10.98"/>
    <n v="9"/>
    <x v="2"/>
    <n v="50"/>
    <n v="16.47"/>
    <n v="49.999999999999979"/>
    <s v="OK"/>
  </r>
  <r>
    <n v="10283"/>
    <x v="3"/>
    <x v="0"/>
    <n v="5.13"/>
    <n v="9"/>
    <x v="2"/>
    <n v="55"/>
    <n v="7.9515000000000002"/>
    <n v="55.000000000000007"/>
    <s v="OK"/>
  </r>
  <r>
    <n v="10284"/>
    <x v="0"/>
    <x v="1"/>
    <n v="13.64"/>
    <n v="5"/>
    <x v="1"/>
    <n v="30"/>
    <n v="17.732000000000003"/>
    <n v="30.000000000000028"/>
    <s v="OK"/>
  </r>
  <r>
    <n v="10285"/>
    <x v="3"/>
    <x v="0"/>
    <n v="2.34"/>
    <n v="1"/>
    <x v="0"/>
    <n v="12"/>
    <n v="2.6208"/>
    <n v="12.000000000000011"/>
    <s v="OK"/>
  </r>
  <r>
    <n v="10286"/>
    <x v="0"/>
    <x v="0"/>
    <n v="3.09"/>
    <n v="6"/>
    <x v="1"/>
    <n v="28"/>
    <n v="3.9552"/>
    <n v="28.000000000000004"/>
    <s v="OK"/>
  </r>
  <r>
    <n v="10287"/>
    <x v="2"/>
    <x v="2"/>
    <n v="7.65"/>
    <n v="8"/>
    <x v="2"/>
    <n v="50"/>
    <n v="11.475000000000001"/>
    <n v="50.000000000000021"/>
    <s v="OK"/>
  </r>
  <r>
    <n v="10288"/>
    <x v="2"/>
    <x v="1"/>
    <n v="1.69"/>
    <n v="1"/>
    <x v="0"/>
    <n v="15"/>
    <n v="1.9434999999999998"/>
    <n v="14.999999999999991"/>
    <s v="OK"/>
  </r>
  <r>
    <n v="10289"/>
    <x v="2"/>
    <x v="2"/>
    <n v="3.34"/>
    <n v="2"/>
    <x v="0"/>
    <n v="10"/>
    <n v="3.6739999999999999"/>
    <n v="10.000000000000009"/>
    <s v="OK"/>
  </r>
  <r>
    <n v="10290"/>
    <x v="1"/>
    <x v="1"/>
    <n v="14.18"/>
    <n v="1"/>
    <x v="0"/>
    <n v="15"/>
    <n v="16.306999999999999"/>
    <n v="14.999999999999991"/>
    <s v="OK"/>
  </r>
  <r>
    <n v="10291"/>
    <x v="2"/>
    <x v="0"/>
    <n v="14.66"/>
    <n v="5"/>
    <x v="1"/>
    <n v="28"/>
    <n v="18.764800000000001"/>
    <n v="28.000000000000004"/>
    <s v="OK"/>
  </r>
  <r>
    <n v="10292"/>
    <x v="0"/>
    <x v="1"/>
    <n v="5.96"/>
    <n v="2"/>
    <x v="0"/>
    <n v="15"/>
    <n v="6.8539999999999992"/>
    <n v="14.999999999999991"/>
    <s v="OK"/>
  </r>
  <r>
    <n v="10293"/>
    <x v="2"/>
    <x v="2"/>
    <n v="13.89"/>
    <n v="10"/>
    <x v="2"/>
    <n v="50"/>
    <n v="20.835000000000001"/>
    <n v="50"/>
    <s v="OK"/>
  </r>
  <r>
    <n v="10294"/>
    <x v="3"/>
    <x v="2"/>
    <n v="8.4"/>
    <n v="10"/>
    <x v="2"/>
    <n v="50"/>
    <n v="12.600000000000001"/>
    <n v="50"/>
    <s v="OK"/>
  </r>
  <r>
    <n v="10295"/>
    <x v="3"/>
    <x v="2"/>
    <n v="4.41"/>
    <n v="4"/>
    <x v="1"/>
    <n v="25"/>
    <n v="5.5125000000000002"/>
    <n v="25"/>
    <s v="OK"/>
  </r>
  <r>
    <n v="10296"/>
    <x v="1"/>
    <x v="1"/>
    <n v="10.68"/>
    <n v="1"/>
    <x v="0"/>
    <n v="15"/>
    <n v="12.281999999999998"/>
    <n v="14.999999999999991"/>
    <s v="OK"/>
  </r>
  <r>
    <n v="10297"/>
    <x v="3"/>
    <x v="0"/>
    <n v="10.050000000000001"/>
    <n v="7"/>
    <x v="1"/>
    <n v="28"/>
    <n v="12.864000000000001"/>
    <n v="28.000000000000004"/>
    <s v="OK"/>
  </r>
  <r>
    <n v="10298"/>
    <x v="0"/>
    <x v="0"/>
    <n v="14.84"/>
    <n v="8"/>
    <x v="2"/>
    <n v="55"/>
    <n v="23.001999999999999"/>
    <n v="55.000000000000007"/>
    <s v="OK"/>
  </r>
  <r>
    <n v="10299"/>
    <x v="2"/>
    <x v="1"/>
    <n v="4.34"/>
    <n v="5"/>
    <x v="1"/>
    <n v="30"/>
    <n v="5.6420000000000003"/>
    <n v="30.000000000000004"/>
    <s v="OK"/>
  </r>
  <r>
    <n v="10300"/>
    <x v="1"/>
    <x v="2"/>
    <n v="10.24"/>
    <n v="2"/>
    <x v="0"/>
    <n v="10"/>
    <n v="11.264000000000001"/>
    <n v="10.000000000000009"/>
    <s v="OK"/>
  </r>
  <r>
    <n v="10301"/>
    <x v="2"/>
    <x v="0"/>
    <n v="1.25"/>
    <n v="8"/>
    <x v="2"/>
    <n v="55"/>
    <n v="1.9375"/>
    <n v="55.000000000000007"/>
    <s v="OK"/>
  </r>
  <r>
    <n v="10302"/>
    <x v="2"/>
    <x v="2"/>
    <n v="2.15"/>
    <n v="1"/>
    <x v="0"/>
    <n v="10"/>
    <n v="2.3650000000000002"/>
    <n v="10.000000000000009"/>
    <s v="OK"/>
  </r>
  <r>
    <n v="10303"/>
    <x v="0"/>
    <x v="1"/>
    <n v="0.56000000000000005"/>
    <n v="7"/>
    <x v="1"/>
    <n v="30"/>
    <n v="0.72800000000000009"/>
    <n v="30.000000000000004"/>
    <s v="OK"/>
  </r>
  <r>
    <n v="10304"/>
    <x v="3"/>
    <x v="2"/>
    <n v="14.99"/>
    <n v="1"/>
    <x v="0"/>
    <n v="10"/>
    <n v="16.489000000000001"/>
    <n v="10.000000000000009"/>
    <s v="OK"/>
  </r>
  <r>
    <n v="10305"/>
    <x v="3"/>
    <x v="0"/>
    <n v="12.13"/>
    <n v="6"/>
    <x v="1"/>
    <n v="28"/>
    <n v="15.526400000000001"/>
    <n v="28.000000000000004"/>
    <s v="OK"/>
  </r>
  <r>
    <n v="10306"/>
    <x v="2"/>
    <x v="0"/>
    <n v="11.91"/>
    <n v="6"/>
    <x v="1"/>
    <n v="28"/>
    <n v="15.2448"/>
    <n v="28.000000000000004"/>
    <s v="OK"/>
  </r>
  <r>
    <n v="10307"/>
    <x v="1"/>
    <x v="2"/>
    <n v="7.89"/>
    <n v="5"/>
    <x v="1"/>
    <n v="25"/>
    <n v="9.8624999999999989"/>
    <n v="25"/>
    <s v="OK"/>
  </r>
  <r>
    <n v="10308"/>
    <x v="3"/>
    <x v="1"/>
    <n v="4.8499999999999996"/>
    <n v="2"/>
    <x v="0"/>
    <n v="15"/>
    <n v="5.5774999999999988"/>
    <n v="14.999999999999991"/>
    <s v="OK"/>
  </r>
  <r>
    <n v="10309"/>
    <x v="1"/>
    <x v="2"/>
    <n v="2.69"/>
    <n v="2"/>
    <x v="0"/>
    <n v="10"/>
    <n v="2.9590000000000001"/>
    <n v="10.000000000000009"/>
    <s v="OK"/>
  </r>
  <r>
    <n v="10310"/>
    <x v="3"/>
    <x v="1"/>
    <n v="4.63"/>
    <n v="9"/>
    <x v="2"/>
    <n v="60"/>
    <n v="7.4080000000000004"/>
    <n v="60.000000000000007"/>
    <s v="OK"/>
  </r>
  <r>
    <n v="10311"/>
    <x v="1"/>
    <x v="2"/>
    <n v="5.95"/>
    <n v="5"/>
    <x v="1"/>
    <n v="25"/>
    <n v="7.4375"/>
    <n v="25"/>
    <s v="OK"/>
  </r>
  <r>
    <n v="10312"/>
    <x v="0"/>
    <x v="0"/>
    <n v="11.47"/>
    <n v="5"/>
    <x v="1"/>
    <n v="28"/>
    <n v="14.681600000000001"/>
    <n v="28.000000000000004"/>
    <s v="OK"/>
  </r>
  <r>
    <n v="10313"/>
    <x v="1"/>
    <x v="1"/>
    <n v="8.33"/>
    <n v="7"/>
    <x v="1"/>
    <n v="30"/>
    <n v="10.829000000000001"/>
    <n v="30.000000000000004"/>
    <s v="OK"/>
  </r>
  <r>
    <n v="10314"/>
    <x v="0"/>
    <x v="1"/>
    <n v="1.62"/>
    <n v="6"/>
    <x v="1"/>
    <n v="30"/>
    <n v="2.1060000000000003"/>
    <n v="30.000000000000004"/>
    <s v="OK"/>
  </r>
  <r>
    <n v="10315"/>
    <x v="0"/>
    <x v="1"/>
    <n v="0.76"/>
    <n v="2"/>
    <x v="0"/>
    <n v="15"/>
    <n v="0.87399999999999989"/>
    <n v="14.999999999999991"/>
    <s v="OK"/>
  </r>
  <r>
    <n v="10316"/>
    <x v="1"/>
    <x v="0"/>
    <n v="1.98"/>
    <n v="1"/>
    <x v="0"/>
    <n v="12"/>
    <n v="2.2176"/>
    <n v="12.000000000000011"/>
    <s v="OK"/>
  </r>
  <r>
    <n v="10317"/>
    <x v="0"/>
    <x v="2"/>
    <n v="6.45"/>
    <n v="5"/>
    <x v="1"/>
    <n v="25"/>
    <n v="8.0625"/>
    <n v="25"/>
    <s v="OK"/>
  </r>
  <r>
    <n v="10318"/>
    <x v="2"/>
    <x v="0"/>
    <n v="14.03"/>
    <n v="4"/>
    <x v="1"/>
    <n v="28"/>
    <n v="17.958400000000001"/>
    <n v="28.000000000000004"/>
    <s v="OK"/>
  </r>
  <r>
    <n v="10319"/>
    <x v="0"/>
    <x v="1"/>
    <n v="9.74"/>
    <n v="3"/>
    <x v="0"/>
    <n v="15"/>
    <n v="11.200999999999999"/>
    <n v="14.999999999999991"/>
    <s v="OK"/>
  </r>
  <r>
    <n v="10320"/>
    <x v="3"/>
    <x v="2"/>
    <n v="12.13"/>
    <n v="2"/>
    <x v="0"/>
    <n v="10"/>
    <n v="13.343000000000002"/>
    <n v="10.000000000000009"/>
    <s v="OK"/>
  </r>
  <r>
    <n v="10321"/>
    <x v="1"/>
    <x v="0"/>
    <n v="7.26"/>
    <n v="10"/>
    <x v="2"/>
    <n v="55"/>
    <n v="11.253"/>
    <n v="55.000000000000007"/>
    <s v="OK"/>
  </r>
  <r>
    <n v="10322"/>
    <x v="2"/>
    <x v="1"/>
    <n v="5.74"/>
    <n v="2"/>
    <x v="0"/>
    <n v="15"/>
    <n v="6.601"/>
    <n v="14.999999999999991"/>
    <s v="OK"/>
  </r>
  <r>
    <n v="10323"/>
    <x v="1"/>
    <x v="1"/>
    <n v="2.0699999999999998"/>
    <n v="4"/>
    <x v="1"/>
    <n v="30"/>
    <n v="2.6909999999999998"/>
    <n v="30.000000000000004"/>
    <s v="OK"/>
  </r>
  <r>
    <n v="10324"/>
    <x v="3"/>
    <x v="0"/>
    <n v="13.2"/>
    <n v="2"/>
    <x v="0"/>
    <n v="12"/>
    <n v="14.784000000000001"/>
    <n v="12.000000000000011"/>
    <s v="OK"/>
  </r>
  <r>
    <n v="10325"/>
    <x v="3"/>
    <x v="0"/>
    <n v="11.86"/>
    <n v="4"/>
    <x v="1"/>
    <n v="28"/>
    <n v="15.1808"/>
    <n v="28.000000000000004"/>
    <s v="OK"/>
  </r>
  <r>
    <n v="10326"/>
    <x v="3"/>
    <x v="0"/>
    <n v="2.94"/>
    <n v="3"/>
    <x v="0"/>
    <n v="12"/>
    <n v="3.2928000000000002"/>
    <n v="12.000000000000011"/>
    <s v="OK"/>
  </r>
  <r>
    <n v="10327"/>
    <x v="0"/>
    <x v="1"/>
    <n v="7.93"/>
    <n v="9"/>
    <x v="2"/>
    <n v="60"/>
    <n v="12.688000000000001"/>
    <n v="60.000000000000007"/>
    <s v="OK"/>
  </r>
  <r>
    <n v="10328"/>
    <x v="0"/>
    <x v="0"/>
    <n v="7.57"/>
    <n v="7"/>
    <x v="1"/>
    <n v="28"/>
    <n v="9.6896000000000004"/>
    <n v="28.000000000000004"/>
    <s v="OK"/>
  </r>
  <r>
    <n v="10329"/>
    <x v="1"/>
    <x v="1"/>
    <n v="9.56"/>
    <n v="3"/>
    <x v="0"/>
    <n v="15"/>
    <n v="10.994"/>
    <n v="14.999999999999991"/>
    <s v="OK"/>
  </r>
  <r>
    <n v="10330"/>
    <x v="1"/>
    <x v="0"/>
    <n v="14.22"/>
    <n v="8"/>
    <x v="2"/>
    <n v="55"/>
    <n v="22.041"/>
    <n v="55.000000000000007"/>
    <s v="OK"/>
  </r>
  <r>
    <n v="10331"/>
    <x v="2"/>
    <x v="1"/>
    <n v="8.91"/>
    <n v="9"/>
    <x v="2"/>
    <n v="60"/>
    <n v="14.256"/>
    <n v="60.000000000000007"/>
    <s v="OK"/>
  </r>
  <r>
    <n v="10332"/>
    <x v="2"/>
    <x v="1"/>
    <n v="8.33"/>
    <n v="7"/>
    <x v="1"/>
    <n v="30"/>
    <n v="10.829000000000001"/>
    <n v="30.000000000000004"/>
    <s v="OK"/>
  </r>
  <r>
    <n v="10333"/>
    <x v="1"/>
    <x v="2"/>
    <n v="1.23"/>
    <n v="6"/>
    <x v="1"/>
    <n v="25"/>
    <n v="1.5375000000000001"/>
    <n v="25"/>
    <s v="OK"/>
  </r>
  <r>
    <n v="10334"/>
    <x v="0"/>
    <x v="0"/>
    <n v="1.41"/>
    <n v="4"/>
    <x v="1"/>
    <n v="28"/>
    <n v="1.8048"/>
    <n v="28.000000000000004"/>
    <s v="OK"/>
  </r>
  <r>
    <n v="10335"/>
    <x v="3"/>
    <x v="0"/>
    <n v="3.22"/>
    <n v="5"/>
    <x v="1"/>
    <n v="28"/>
    <n v="4.1215999999999999"/>
    <n v="27.999999999999979"/>
    <s v="OK"/>
  </r>
  <r>
    <n v="10336"/>
    <x v="1"/>
    <x v="1"/>
    <n v="0.97"/>
    <n v="8"/>
    <x v="2"/>
    <n v="60"/>
    <n v="1.552"/>
    <n v="60.000000000000007"/>
    <s v="OK"/>
  </r>
  <r>
    <n v="10337"/>
    <x v="2"/>
    <x v="1"/>
    <n v="11.28"/>
    <n v="3"/>
    <x v="0"/>
    <n v="15"/>
    <n v="12.971999999999998"/>
    <n v="14.999999999999991"/>
    <s v="OK"/>
  </r>
  <r>
    <n v="10338"/>
    <x v="0"/>
    <x v="1"/>
    <n v="10.99"/>
    <n v="2"/>
    <x v="0"/>
    <n v="15"/>
    <n v="12.638499999999999"/>
    <n v="14.999999999999991"/>
    <s v="OK"/>
  </r>
  <r>
    <n v="10339"/>
    <x v="1"/>
    <x v="2"/>
    <n v="2.4700000000000002"/>
    <n v="3"/>
    <x v="0"/>
    <n v="10"/>
    <n v="2.7170000000000005"/>
    <n v="10.000000000000009"/>
    <s v="OK"/>
  </r>
  <r>
    <n v="10340"/>
    <x v="1"/>
    <x v="2"/>
    <n v="12.62"/>
    <n v="7"/>
    <x v="1"/>
    <n v="25"/>
    <n v="15.774999999999999"/>
    <n v="25"/>
    <s v="OK"/>
  </r>
  <r>
    <n v="10341"/>
    <x v="0"/>
    <x v="1"/>
    <n v="2.74"/>
    <n v="8"/>
    <x v="2"/>
    <n v="60"/>
    <n v="4.3840000000000003"/>
    <n v="60.000000000000007"/>
    <s v="OK"/>
  </r>
  <r>
    <n v="10342"/>
    <x v="1"/>
    <x v="0"/>
    <n v="4.87"/>
    <n v="1"/>
    <x v="0"/>
    <n v="12"/>
    <n v="5.4544000000000006"/>
    <n v="12.000000000000011"/>
    <s v="OK"/>
  </r>
  <r>
    <n v="10343"/>
    <x v="0"/>
    <x v="0"/>
    <n v="4.1100000000000003"/>
    <n v="7"/>
    <x v="1"/>
    <n v="28"/>
    <n v="5.2608000000000006"/>
    <n v="28.000000000000004"/>
    <s v="OK"/>
  </r>
  <r>
    <n v="10344"/>
    <x v="3"/>
    <x v="2"/>
    <n v="5.9"/>
    <n v="9"/>
    <x v="2"/>
    <n v="50"/>
    <n v="8.8500000000000014"/>
    <n v="50.000000000000021"/>
    <s v="OK"/>
  </r>
  <r>
    <n v="10345"/>
    <x v="0"/>
    <x v="2"/>
    <n v="4.1900000000000004"/>
    <n v="3"/>
    <x v="0"/>
    <n v="10"/>
    <n v="4.6090000000000009"/>
    <n v="10.000000000000009"/>
    <s v="OK"/>
  </r>
  <r>
    <n v="10346"/>
    <x v="0"/>
    <x v="1"/>
    <n v="7.59"/>
    <n v="3"/>
    <x v="0"/>
    <n v="15"/>
    <n v="8.7284999999999986"/>
    <n v="14.999999999999991"/>
    <s v="OK"/>
  </r>
  <r>
    <n v="10347"/>
    <x v="0"/>
    <x v="0"/>
    <n v="6.41"/>
    <n v="8"/>
    <x v="2"/>
    <n v="55"/>
    <n v="9.9355000000000011"/>
    <n v="55.000000000000007"/>
    <s v="OK"/>
  </r>
  <r>
    <n v="10348"/>
    <x v="1"/>
    <x v="1"/>
    <n v="14.81"/>
    <n v="4"/>
    <x v="1"/>
    <n v="30"/>
    <n v="19.253"/>
    <n v="30.000000000000004"/>
    <s v="OK"/>
  </r>
  <r>
    <n v="10349"/>
    <x v="1"/>
    <x v="2"/>
    <n v="1.31"/>
    <n v="8"/>
    <x v="2"/>
    <n v="50"/>
    <n v="1.9650000000000001"/>
    <n v="50"/>
    <s v="OK"/>
  </r>
  <r>
    <n v="10350"/>
    <x v="0"/>
    <x v="0"/>
    <n v="2.56"/>
    <n v="5"/>
    <x v="1"/>
    <n v="28"/>
    <n v="3.2768000000000002"/>
    <n v="28.000000000000004"/>
    <s v="OK"/>
  </r>
  <r>
    <n v="10351"/>
    <x v="1"/>
    <x v="0"/>
    <n v="1.27"/>
    <n v="3"/>
    <x v="0"/>
    <n v="12"/>
    <n v="1.4224000000000001"/>
    <n v="12.000000000000011"/>
    <s v="OK"/>
  </r>
  <r>
    <n v="10352"/>
    <x v="2"/>
    <x v="2"/>
    <n v="9.57"/>
    <n v="4"/>
    <x v="1"/>
    <n v="25"/>
    <n v="11.9625"/>
    <n v="25"/>
    <s v="OK"/>
  </r>
  <r>
    <n v="10353"/>
    <x v="2"/>
    <x v="1"/>
    <n v="1.29"/>
    <n v="4"/>
    <x v="1"/>
    <n v="30"/>
    <n v="1.677"/>
    <n v="30.000000000000004"/>
    <s v="OK"/>
  </r>
  <r>
    <n v="10354"/>
    <x v="1"/>
    <x v="1"/>
    <n v="12.63"/>
    <n v="8"/>
    <x v="2"/>
    <n v="60"/>
    <n v="20.208000000000002"/>
    <n v="60.000000000000007"/>
    <s v="OK"/>
  </r>
  <r>
    <n v="10355"/>
    <x v="1"/>
    <x v="0"/>
    <n v="7.92"/>
    <n v="6"/>
    <x v="1"/>
    <n v="28"/>
    <n v="10.137600000000001"/>
    <n v="28.000000000000004"/>
    <s v="OK"/>
  </r>
  <r>
    <n v="10356"/>
    <x v="0"/>
    <x v="2"/>
    <n v="8.14"/>
    <n v="7"/>
    <x v="1"/>
    <n v="25"/>
    <n v="10.175000000000001"/>
    <n v="25"/>
    <s v="OK"/>
  </r>
  <r>
    <n v="10357"/>
    <x v="3"/>
    <x v="0"/>
    <n v="8.64"/>
    <n v="9"/>
    <x v="2"/>
    <n v="55"/>
    <n v="13.392000000000001"/>
    <n v="55.000000000000007"/>
    <s v="OK"/>
  </r>
  <r>
    <n v="10358"/>
    <x v="1"/>
    <x v="2"/>
    <n v="2.98"/>
    <n v="6"/>
    <x v="1"/>
    <n v="25"/>
    <n v="3.7250000000000001"/>
    <n v="25"/>
    <s v="OK"/>
  </r>
  <r>
    <n v="10359"/>
    <x v="2"/>
    <x v="1"/>
    <n v="3.37"/>
    <n v="3"/>
    <x v="0"/>
    <n v="15"/>
    <n v="3.8754999999999997"/>
    <n v="14.999999999999991"/>
    <s v="OK"/>
  </r>
  <r>
    <n v="10360"/>
    <x v="0"/>
    <x v="2"/>
    <n v="5.12"/>
    <n v="3"/>
    <x v="0"/>
    <n v="10"/>
    <n v="5.6320000000000006"/>
    <n v="10.000000000000009"/>
    <s v="OK"/>
  </r>
  <r>
    <n v="10361"/>
    <x v="1"/>
    <x v="1"/>
    <n v="9.11"/>
    <n v="3"/>
    <x v="0"/>
    <n v="15"/>
    <n v="10.476499999999998"/>
    <n v="14.999999999999991"/>
    <s v="OK"/>
  </r>
  <r>
    <n v="10362"/>
    <x v="2"/>
    <x v="2"/>
    <n v="3.55"/>
    <n v="10"/>
    <x v="2"/>
    <n v="50"/>
    <n v="5.3249999999999993"/>
    <n v="49.999999999999979"/>
    <s v="OK"/>
  </r>
  <r>
    <n v="10363"/>
    <x v="2"/>
    <x v="0"/>
    <n v="2.19"/>
    <n v="2"/>
    <x v="0"/>
    <n v="12"/>
    <n v="2.4528000000000003"/>
    <n v="12.000000000000011"/>
    <s v="OK"/>
  </r>
  <r>
    <n v="10364"/>
    <x v="3"/>
    <x v="1"/>
    <n v="14.57"/>
    <n v="1"/>
    <x v="0"/>
    <n v="15"/>
    <n v="16.755499999999998"/>
    <n v="14.999999999999991"/>
    <s v="OK"/>
  </r>
  <r>
    <n v="10365"/>
    <x v="0"/>
    <x v="0"/>
    <n v="0.82"/>
    <n v="10"/>
    <x v="2"/>
    <n v="55"/>
    <n v="1.2709999999999999"/>
    <n v="55.000000000000007"/>
    <s v="OK"/>
  </r>
  <r>
    <n v="10366"/>
    <x v="0"/>
    <x v="0"/>
    <n v="12.14"/>
    <n v="1"/>
    <x v="0"/>
    <n v="12"/>
    <n v="13.596800000000002"/>
    <n v="12.000000000000011"/>
    <s v="OK"/>
  </r>
  <r>
    <n v="10367"/>
    <x v="3"/>
    <x v="1"/>
    <n v="11.93"/>
    <n v="4"/>
    <x v="1"/>
    <n v="30"/>
    <n v="15.509"/>
    <n v="30.000000000000004"/>
    <s v="OK"/>
  </r>
  <r>
    <n v="10368"/>
    <x v="3"/>
    <x v="1"/>
    <n v="4.8099999999999996"/>
    <n v="3"/>
    <x v="0"/>
    <n v="15"/>
    <n v="5.5314999999999994"/>
    <n v="14.999999999999991"/>
    <s v="OK"/>
  </r>
  <r>
    <n v="10369"/>
    <x v="0"/>
    <x v="0"/>
    <n v="2.4700000000000002"/>
    <n v="5"/>
    <x v="1"/>
    <n v="28"/>
    <n v="3.1616000000000004"/>
    <n v="28.000000000000004"/>
    <s v="OK"/>
  </r>
  <r>
    <n v="10370"/>
    <x v="0"/>
    <x v="0"/>
    <n v="2.61"/>
    <n v="9"/>
    <x v="2"/>
    <n v="55"/>
    <n v="4.0454999999999997"/>
    <n v="55.000000000000007"/>
    <s v="OK"/>
  </r>
  <r>
    <n v="10371"/>
    <x v="1"/>
    <x v="0"/>
    <n v="10.61"/>
    <n v="8"/>
    <x v="2"/>
    <n v="55"/>
    <n v="16.445499999999999"/>
    <n v="55.000000000000007"/>
    <s v="OK"/>
  </r>
  <r>
    <n v="10372"/>
    <x v="1"/>
    <x v="0"/>
    <n v="9.82"/>
    <n v="9"/>
    <x v="2"/>
    <n v="55"/>
    <n v="15.221"/>
    <n v="55.000000000000007"/>
    <s v="OK"/>
  </r>
  <r>
    <n v="10373"/>
    <x v="3"/>
    <x v="1"/>
    <n v="11.85"/>
    <n v="5"/>
    <x v="1"/>
    <n v="30"/>
    <n v="15.404999999999999"/>
    <n v="30.000000000000004"/>
    <s v="OK"/>
  </r>
  <r>
    <n v="10374"/>
    <x v="1"/>
    <x v="1"/>
    <n v="14.09"/>
    <n v="8"/>
    <x v="2"/>
    <n v="60"/>
    <n v="22.544"/>
    <n v="60.000000000000007"/>
    <s v="OK"/>
  </r>
  <r>
    <n v="10375"/>
    <x v="2"/>
    <x v="0"/>
    <n v="10.53"/>
    <n v="4"/>
    <x v="1"/>
    <n v="28"/>
    <n v="13.478399999999999"/>
    <n v="28.000000000000004"/>
    <s v="OK"/>
  </r>
  <r>
    <n v="10376"/>
    <x v="1"/>
    <x v="2"/>
    <n v="2.76"/>
    <n v="5"/>
    <x v="1"/>
    <n v="25"/>
    <n v="3.4499999999999997"/>
    <n v="25"/>
    <s v="OK"/>
  </r>
  <r>
    <n v="10377"/>
    <x v="1"/>
    <x v="2"/>
    <n v="4.03"/>
    <n v="3"/>
    <x v="0"/>
    <n v="10"/>
    <n v="4.4330000000000007"/>
    <n v="10.000000000000009"/>
    <s v="OK"/>
  </r>
  <r>
    <n v="10378"/>
    <x v="2"/>
    <x v="1"/>
    <n v="12.71"/>
    <n v="5"/>
    <x v="1"/>
    <n v="30"/>
    <n v="16.523000000000003"/>
    <n v="30.000000000000028"/>
    <s v="OK"/>
  </r>
  <r>
    <n v="10379"/>
    <x v="3"/>
    <x v="0"/>
    <n v="3.53"/>
    <n v="3"/>
    <x v="0"/>
    <n v="12"/>
    <n v="3.9536000000000002"/>
    <n v="12.000000000000011"/>
    <s v="OK"/>
  </r>
  <r>
    <n v="10380"/>
    <x v="2"/>
    <x v="0"/>
    <n v="1.55"/>
    <n v="5"/>
    <x v="1"/>
    <n v="28"/>
    <n v="1.9840000000000002"/>
    <n v="28.000000000000004"/>
    <s v="OK"/>
  </r>
  <r>
    <n v="10381"/>
    <x v="1"/>
    <x v="1"/>
    <n v="10.7"/>
    <n v="5"/>
    <x v="1"/>
    <n v="30"/>
    <n v="13.91"/>
    <n v="30.000000000000004"/>
    <s v="OK"/>
  </r>
  <r>
    <n v="10382"/>
    <x v="3"/>
    <x v="2"/>
    <n v="6.34"/>
    <n v="6"/>
    <x v="1"/>
    <n v="25"/>
    <n v="7.9249999999999998"/>
    <n v="25"/>
    <s v="OK"/>
  </r>
  <r>
    <n v="10383"/>
    <x v="1"/>
    <x v="2"/>
    <n v="13.84"/>
    <n v="9"/>
    <x v="2"/>
    <n v="50"/>
    <n v="20.759999999999998"/>
    <n v="49.999999999999979"/>
    <s v="OK"/>
  </r>
  <r>
    <n v="10384"/>
    <x v="2"/>
    <x v="2"/>
    <n v="9.93"/>
    <n v="1"/>
    <x v="0"/>
    <n v="10"/>
    <n v="10.923"/>
    <n v="10.000000000000009"/>
    <s v="OK"/>
  </r>
  <r>
    <n v="10385"/>
    <x v="2"/>
    <x v="1"/>
    <n v="1.81"/>
    <n v="10"/>
    <x v="2"/>
    <n v="60"/>
    <n v="2.8960000000000004"/>
    <n v="60.000000000000007"/>
    <s v="OK"/>
  </r>
  <r>
    <n v="10386"/>
    <x v="1"/>
    <x v="2"/>
    <n v="14.24"/>
    <n v="6"/>
    <x v="1"/>
    <n v="25"/>
    <n v="17.8"/>
    <n v="25"/>
    <s v="OK"/>
  </r>
  <r>
    <n v="10387"/>
    <x v="0"/>
    <x v="1"/>
    <n v="4.25"/>
    <n v="1"/>
    <x v="0"/>
    <n v="15"/>
    <n v="4.8874999999999993"/>
    <n v="14.999999999999991"/>
    <s v="OK"/>
  </r>
  <r>
    <n v="10388"/>
    <x v="0"/>
    <x v="1"/>
    <n v="5.39"/>
    <n v="6"/>
    <x v="1"/>
    <n v="30"/>
    <n v="7.0069999999999997"/>
    <n v="30.000000000000004"/>
    <s v="OK"/>
  </r>
  <r>
    <n v="10389"/>
    <x v="2"/>
    <x v="0"/>
    <n v="6.33"/>
    <n v="2"/>
    <x v="0"/>
    <n v="12"/>
    <n v="7.0896000000000008"/>
    <n v="12.000000000000011"/>
    <s v="OK"/>
  </r>
  <r>
    <n v="10390"/>
    <x v="2"/>
    <x v="2"/>
    <n v="1.24"/>
    <n v="8"/>
    <x v="2"/>
    <n v="50"/>
    <n v="1.8599999999999999"/>
    <n v="50"/>
    <s v="OK"/>
  </r>
  <r>
    <n v="10391"/>
    <x v="0"/>
    <x v="1"/>
    <n v="7.7"/>
    <n v="3"/>
    <x v="0"/>
    <n v="15"/>
    <n v="8.8549999999999986"/>
    <n v="14.999999999999968"/>
    <s v="OK"/>
  </r>
  <r>
    <n v="10392"/>
    <x v="0"/>
    <x v="2"/>
    <n v="2.29"/>
    <n v="10"/>
    <x v="2"/>
    <n v="50"/>
    <n v="3.4350000000000001"/>
    <n v="50"/>
    <s v="OK"/>
  </r>
  <r>
    <n v="10393"/>
    <x v="1"/>
    <x v="2"/>
    <n v="6.31"/>
    <n v="6"/>
    <x v="1"/>
    <n v="25"/>
    <n v="7.8874999999999993"/>
    <n v="25"/>
    <s v="OK"/>
  </r>
  <r>
    <n v="10394"/>
    <x v="1"/>
    <x v="0"/>
    <n v="5.59"/>
    <n v="6"/>
    <x v="1"/>
    <n v="28"/>
    <n v="7.1551999999999998"/>
    <n v="28.000000000000004"/>
    <s v="OK"/>
  </r>
  <r>
    <n v="10395"/>
    <x v="0"/>
    <x v="2"/>
    <n v="11.71"/>
    <n v="4"/>
    <x v="1"/>
    <n v="25"/>
    <n v="14.637500000000001"/>
    <n v="25"/>
    <s v="OK"/>
  </r>
  <r>
    <n v="10396"/>
    <x v="1"/>
    <x v="0"/>
    <n v="12.15"/>
    <n v="5"/>
    <x v="1"/>
    <n v="28"/>
    <n v="15.552000000000001"/>
    <n v="28.000000000000004"/>
    <s v="OK"/>
  </r>
  <r>
    <n v="10397"/>
    <x v="1"/>
    <x v="1"/>
    <n v="2.72"/>
    <n v="2"/>
    <x v="0"/>
    <n v="15"/>
    <n v="3.1280000000000001"/>
    <n v="14.999999999999991"/>
    <s v="OK"/>
  </r>
  <r>
    <n v="10398"/>
    <x v="3"/>
    <x v="2"/>
    <n v="5.81"/>
    <n v="10"/>
    <x v="2"/>
    <n v="50"/>
    <n v="8.7149999999999999"/>
    <n v="50"/>
    <s v="OK"/>
  </r>
  <r>
    <n v="10399"/>
    <x v="1"/>
    <x v="1"/>
    <n v="5.91"/>
    <n v="10"/>
    <x v="2"/>
    <n v="60"/>
    <n v="9.4560000000000013"/>
    <n v="60.000000000000007"/>
    <s v="OK"/>
  </r>
  <r>
    <n v="10400"/>
    <x v="2"/>
    <x v="2"/>
    <n v="2.7"/>
    <n v="8"/>
    <x v="2"/>
    <n v="50"/>
    <n v="4.0500000000000007"/>
    <n v="50.000000000000021"/>
    <s v="OK"/>
  </r>
  <r>
    <n v="10401"/>
    <x v="1"/>
    <x v="1"/>
    <n v="12.08"/>
    <n v="10"/>
    <x v="2"/>
    <n v="60"/>
    <n v="19.328000000000003"/>
    <n v="60.000000000000028"/>
    <s v="OK"/>
  </r>
  <r>
    <n v="10402"/>
    <x v="1"/>
    <x v="2"/>
    <n v="10.75"/>
    <n v="7"/>
    <x v="1"/>
    <n v="25"/>
    <n v="13.4375"/>
    <n v="25"/>
    <s v="OK"/>
  </r>
  <r>
    <n v="10403"/>
    <x v="0"/>
    <x v="2"/>
    <n v="3.26"/>
    <n v="10"/>
    <x v="2"/>
    <n v="50"/>
    <n v="4.8899999999999997"/>
    <n v="50"/>
    <s v="OK"/>
  </r>
  <r>
    <n v="10404"/>
    <x v="2"/>
    <x v="2"/>
    <n v="5.82"/>
    <n v="6"/>
    <x v="1"/>
    <n v="25"/>
    <n v="7.2750000000000004"/>
    <n v="25"/>
    <s v="OK"/>
  </r>
  <r>
    <n v="10405"/>
    <x v="1"/>
    <x v="2"/>
    <n v="2.0299999999999998"/>
    <n v="7"/>
    <x v="1"/>
    <n v="25"/>
    <n v="2.5374999999999996"/>
    <n v="25"/>
    <s v="OK"/>
  </r>
  <r>
    <n v="10406"/>
    <x v="1"/>
    <x v="2"/>
    <n v="9.61"/>
    <n v="1"/>
    <x v="0"/>
    <n v="10"/>
    <n v="10.571"/>
    <n v="10.000000000000009"/>
    <s v="OK"/>
  </r>
  <r>
    <n v="10407"/>
    <x v="3"/>
    <x v="2"/>
    <n v="2.2599999999999998"/>
    <n v="5"/>
    <x v="1"/>
    <n v="25"/>
    <n v="2.8249999999999997"/>
    <n v="25"/>
    <s v="OK"/>
  </r>
  <r>
    <n v="10408"/>
    <x v="1"/>
    <x v="2"/>
    <n v="14.8"/>
    <n v="7"/>
    <x v="1"/>
    <n v="25"/>
    <n v="18.5"/>
    <n v="25"/>
    <s v="OK"/>
  </r>
  <r>
    <n v="10409"/>
    <x v="1"/>
    <x v="2"/>
    <n v="11.82"/>
    <n v="1"/>
    <x v="0"/>
    <n v="10"/>
    <n v="13.002000000000001"/>
    <n v="10.000000000000009"/>
    <s v="OK"/>
  </r>
  <r>
    <n v="10410"/>
    <x v="3"/>
    <x v="2"/>
    <n v="6.16"/>
    <n v="2"/>
    <x v="0"/>
    <n v="10"/>
    <n v="6.7760000000000007"/>
    <n v="10.000000000000009"/>
    <s v="OK"/>
  </r>
  <r>
    <n v="10411"/>
    <x v="0"/>
    <x v="1"/>
    <n v="8.89"/>
    <n v="9"/>
    <x v="2"/>
    <n v="60"/>
    <n v="14.224000000000002"/>
    <n v="60.000000000000007"/>
    <s v="OK"/>
  </r>
  <r>
    <n v="10412"/>
    <x v="1"/>
    <x v="0"/>
    <n v="13.71"/>
    <n v="3"/>
    <x v="0"/>
    <n v="12"/>
    <n v="15.355200000000002"/>
    <n v="12.000000000000011"/>
    <s v="OK"/>
  </r>
  <r>
    <n v="10413"/>
    <x v="3"/>
    <x v="2"/>
    <n v="8.5299999999999994"/>
    <n v="6"/>
    <x v="1"/>
    <n v="25"/>
    <n v="10.6625"/>
    <n v="25"/>
    <s v="OK"/>
  </r>
  <r>
    <n v="10414"/>
    <x v="2"/>
    <x v="0"/>
    <n v="3.03"/>
    <n v="7"/>
    <x v="1"/>
    <n v="28"/>
    <n v="3.8783999999999996"/>
    <n v="28.000000000000004"/>
    <s v="OK"/>
  </r>
  <r>
    <n v="10415"/>
    <x v="0"/>
    <x v="2"/>
    <n v="5.99"/>
    <n v="9"/>
    <x v="2"/>
    <n v="50"/>
    <n v="8.9849999999999994"/>
    <n v="49.999999999999979"/>
    <s v="OK"/>
  </r>
  <r>
    <n v="10416"/>
    <x v="2"/>
    <x v="2"/>
    <n v="12.73"/>
    <n v="5"/>
    <x v="1"/>
    <n v="25"/>
    <n v="15.912500000000001"/>
    <n v="25"/>
    <s v="OK"/>
  </r>
  <r>
    <n v="10417"/>
    <x v="2"/>
    <x v="1"/>
    <n v="9.84"/>
    <n v="4"/>
    <x v="1"/>
    <n v="30"/>
    <n v="12.792"/>
    <n v="30.000000000000004"/>
    <s v="OK"/>
  </r>
  <r>
    <n v="10418"/>
    <x v="3"/>
    <x v="1"/>
    <n v="9.94"/>
    <n v="2"/>
    <x v="0"/>
    <n v="15"/>
    <n v="11.430999999999999"/>
    <n v="14.999999999999991"/>
    <s v="OK"/>
  </r>
  <r>
    <n v="10419"/>
    <x v="1"/>
    <x v="0"/>
    <n v="13.07"/>
    <n v="3"/>
    <x v="0"/>
    <n v="12"/>
    <n v="14.638400000000003"/>
    <n v="12.000000000000011"/>
    <s v="OK"/>
  </r>
  <r>
    <n v="10420"/>
    <x v="3"/>
    <x v="1"/>
    <n v="13.46"/>
    <n v="5"/>
    <x v="1"/>
    <n v="30"/>
    <n v="17.498000000000001"/>
    <n v="30.000000000000004"/>
    <s v="OK"/>
  </r>
  <r>
    <n v="10421"/>
    <x v="3"/>
    <x v="1"/>
    <n v="13.84"/>
    <n v="2"/>
    <x v="0"/>
    <n v="15"/>
    <n v="15.915999999999999"/>
    <n v="14.999999999999991"/>
    <s v="OK"/>
  </r>
  <r>
    <n v="10422"/>
    <x v="3"/>
    <x v="0"/>
    <n v="1.88"/>
    <n v="4"/>
    <x v="1"/>
    <n v="28"/>
    <n v="2.4064000000000001"/>
    <n v="28.000000000000004"/>
    <s v="OK"/>
  </r>
  <r>
    <n v="10423"/>
    <x v="3"/>
    <x v="1"/>
    <n v="8.39"/>
    <n v="1"/>
    <x v="0"/>
    <n v="15"/>
    <n v="9.6485000000000003"/>
    <n v="14.999999999999991"/>
    <s v="OK"/>
  </r>
  <r>
    <n v="10424"/>
    <x v="0"/>
    <x v="2"/>
    <n v="11.24"/>
    <n v="4"/>
    <x v="1"/>
    <n v="25"/>
    <n v="14.05"/>
    <n v="25"/>
    <s v="OK"/>
  </r>
  <r>
    <n v="10425"/>
    <x v="1"/>
    <x v="0"/>
    <n v="11.48"/>
    <n v="7"/>
    <x v="1"/>
    <n v="28"/>
    <n v="14.694400000000002"/>
    <n v="28.000000000000004"/>
    <s v="OK"/>
  </r>
  <r>
    <n v="10426"/>
    <x v="2"/>
    <x v="0"/>
    <n v="9.3000000000000007"/>
    <n v="3"/>
    <x v="0"/>
    <n v="12"/>
    <n v="10.416000000000002"/>
    <n v="12.000000000000011"/>
    <s v="OK"/>
  </r>
  <r>
    <n v="10427"/>
    <x v="2"/>
    <x v="2"/>
    <n v="2.92"/>
    <n v="10"/>
    <x v="2"/>
    <n v="50"/>
    <n v="4.38"/>
    <n v="50"/>
    <s v="OK"/>
  </r>
  <r>
    <n v="10428"/>
    <x v="1"/>
    <x v="1"/>
    <n v="12.06"/>
    <n v="8"/>
    <x v="2"/>
    <n v="60"/>
    <n v="19.296000000000003"/>
    <n v="60.000000000000007"/>
    <s v="OK"/>
  </r>
  <r>
    <n v="10429"/>
    <x v="2"/>
    <x v="0"/>
    <n v="10.94"/>
    <n v="6"/>
    <x v="1"/>
    <n v="28"/>
    <n v="14.0032"/>
    <n v="28.000000000000004"/>
    <s v="OK"/>
  </r>
  <r>
    <n v="10430"/>
    <x v="1"/>
    <x v="0"/>
    <n v="1.75"/>
    <n v="6"/>
    <x v="1"/>
    <n v="28"/>
    <n v="2.2400000000000002"/>
    <n v="28.000000000000004"/>
    <s v="OK"/>
  </r>
  <r>
    <n v="10431"/>
    <x v="2"/>
    <x v="2"/>
    <n v="7.23"/>
    <n v="1"/>
    <x v="0"/>
    <n v="10"/>
    <n v="7.9530000000000012"/>
    <n v="10.000000000000009"/>
    <s v="OK"/>
  </r>
  <r>
    <n v="10432"/>
    <x v="3"/>
    <x v="2"/>
    <n v="3.02"/>
    <n v="5"/>
    <x v="1"/>
    <n v="25"/>
    <n v="3.7749999999999999"/>
    <n v="25"/>
    <s v="OK"/>
  </r>
  <r>
    <n v="10433"/>
    <x v="2"/>
    <x v="1"/>
    <n v="5.39"/>
    <n v="3"/>
    <x v="0"/>
    <n v="15"/>
    <n v="6.1984999999999992"/>
    <n v="14.999999999999991"/>
    <s v="OK"/>
  </r>
  <r>
    <n v="10434"/>
    <x v="1"/>
    <x v="0"/>
    <n v="0.76"/>
    <n v="10"/>
    <x v="2"/>
    <n v="55"/>
    <n v="1.1780000000000002"/>
    <n v="55.000000000000028"/>
    <s v="OK"/>
  </r>
  <r>
    <n v="10435"/>
    <x v="1"/>
    <x v="1"/>
    <n v="6.3"/>
    <n v="1"/>
    <x v="0"/>
    <n v="15"/>
    <n v="7.2449999999999992"/>
    <n v="14.999999999999991"/>
    <s v="OK"/>
  </r>
  <r>
    <n v="10436"/>
    <x v="1"/>
    <x v="1"/>
    <n v="8.4700000000000006"/>
    <n v="8"/>
    <x v="2"/>
    <n v="60"/>
    <n v="13.552000000000001"/>
    <n v="60.000000000000007"/>
    <s v="OK"/>
  </r>
  <r>
    <n v="10437"/>
    <x v="1"/>
    <x v="2"/>
    <n v="9.48"/>
    <n v="7"/>
    <x v="1"/>
    <n v="25"/>
    <n v="11.850000000000001"/>
    <n v="25"/>
    <s v="OK"/>
  </r>
  <r>
    <n v="10438"/>
    <x v="1"/>
    <x v="0"/>
    <n v="10.119999999999999"/>
    <n v="7"/>
    <x v="1"/>
    <n v="28"/>
    <n v="12.9536"/>
    <n v="28.000000000000004"/>
    <s v="OK"/>
  </r>
  <r>
    <n v="10439"/>
    <x v="0"/>
    <x v="0"/>
    <n v="12.63"/>
    <n v="10"/>
    <x v="2"/>
    <n v="55"/>
    <n v="19.576500000000003"/>
    <n v="55.000000000000007"/>
    <s v="OK"/>
  </r>
  <r>
    <n v="10440"/>
    <x v="0"/>
    <x v="0"/>
    <n v="3.62"/>
    <n v="10"/>
    <x v="2"/>
    <n v="55"/>
    <n v="5.6110000000000007"/>
    <n v="55.000000000000007"/>
    <s v="OK"/>
  </r>
  <r>
    <n v="10441"/>
    <x v="2"/>
    <x v="2"/>
    <n v="2.25"/>
    <n v="10"/>
    <x v="2"/>
    <n v="50"/>
    <n v="3.375"/>
    <n v="50"/>
    <s v="OK"/>
  </r>
  <r>
    <n v="10442"/>
    <x v="1"/>
    <x v="2"/>
    <n v="12.85"/>
    <n v="4"/>
    <x v="1"/>
    <n v="25"/>
    <n v="16.0625"/>
    <n v="25"/>
    <s v="OK"/>
  </r>
  <r>
    <n v="10443"/>
    <x v="2"/>
    <x v="2"/>
    <n v="2.77"/>
    <n v="6"/>
    <x v="1"/>
    <n v="25"/>
    <n v="3.4624999999999999"/>
    <n v="25"/>
    <s v="OK"/>
  </r>
  <r>
    <n v="10444"/>
    <x v="1"/>
    <x v="2"/>
    <n v="14.63"/>
    <n v="9"/>
    <x v="2"/>
    <n v="50"/>
    <n v="21.945"/>
    <n v="50"/>
    <s v="OK"/>
  </r>
  <r>
    <n v="10445"/>
    <x v="1"/>
    <x v="2"/>
    <n v="12.72"/>
    <n v="3"/>
    <x v="0"/>
    <n v="10"/>
    <n v="13.992000000000003"/>
    <n v="10.000000000000009"/>
    <s v="OK"/>
  </r>
  <r>
    <n v="10446"/>
    <x v="0"/>
    <x v="0"/>
    <n v="7.76"/>
    <n v="9"/>
    <x v="2"/>
    <n v="55"/>
    <n v="12.028"/>
    <n v="55.000000000000007"/>
    <s v="OK"/>
  </r>
  <r>
    <n v="10447"/>
    <x v="0"/>
    <x v="1"/>
    <n v="14.73"/>
    <n v="4"/>
    <x v="1"/>
    <n v="30"/>
    <n v="19.149000000000001"/>
    <n v="30.000000000000004"/>
    <s v="OK"/>
  </r>
  <r>
    <n v="10448"/>
    <x v="3"/>
    <x v="0"/>
    <n v="1.91"/>
    <n v="5"/>
    <x v="1"/>
    <n v="28"/>
    <n v="2.4447999999999999"/>
    <n v="28.000000000000004"/>
    <s v="OK"/>
  </r>
  <r>
    <n v="10449"/>
    <x v="0"/>
    <x v="1"/>
    <n v="4.8899999999999997"/>
    <n v="7"/>
    <x v="1"/>
    <n v="30"/>
    <n v="6.3570000000000002"/>
    <n v="30.000000000000004"/>
    <s v="OK"/>
  </r>
  <r>
    <n v="10450"/>
    <x v="3"/>
    <x v="2"/>
    <n v="9.75"/>
    <n v="6"/>
    <x v="1"/>
    <n v="25"/>
    <n v="12.1875"/>
    <n v="25"/>
    <s v="OK"/>
  </r>
  <r>
    <n v="10451"/>
    <x v="3"/>
    <x v="1"/>
    <n v="5.58"/>
    <n v="10"/>
    <x v="2"/>
    <n v="60"/>
    <n v="8.9280000000000008"/>
    <n v="60.000000000000007"/>
    <s v="OK"/>
  </r>
  <r>
    <n v="10452"/>
    <x v="3"/>
    <x v="0"/>
    <n v="13.96"/>
    <n v="8"/>
    <x v="2"/>
    <n v="55"/>
    <n v="21.638000000000002"/>
    <n v="55.000000000000007"/>
    <s v="OK"/>
  </r>
  <r>
    <n v="10453"/>
    <x v="3"/>
    <x v="0"/>
    <n v="1.45"/>
    <n v="8"/>
    <x v="2"/>
    <n v="55"/>
    <n v="2.2475000000000001"/>
    <n v="55.000000000000007"/>
    <s v="OK"/>
  </r>
  <r>
    <n v="10454"/>
    <x v="3"/>
    <x v="1"/>
    <n v="8.4700000000000006"/>
    <n v="8"/>
    <x v="2"/>
    <n v="60"/>
    <n v="13.552000000000001"/>
    <n v="60.000000000000007"/>
    <s v="OK"/>
  </r>
  <r>
    <n v="10455"/>
    <x v="2"/>
    <x v="2"/>
    <n v="9.07"/>
    <n v="3"/>
    <x v="0"/>
    <n v="10"/>
    <n v="9.9770000000000003"/>
    <n v="10.000000000000009"/>
    <s v="OK"/>
  </r>
  <r>
    <n v="10456"/>
    <x v="0"/>
    <x v="2"/>
    <n v="9.9600000000000009"/>
    <n v="10"/>
    <x v="2"/>
    <n v="50"/>
    <n v="14.940000000000001"/>
    <n v="50"/>
    <s v="OK"/>
  </r>
  <r>
    <n v="10457"/>
    <x v="3"/>
    <x v="0"/>
    <n v="4.21"/>
    <n v="6"/>
    <x v="1"/>
    <n v="28"/>
    <n v="5.3887999999999998"/>
    <n v="28.000000000000004"/>
    <s v="OK"/>
  </r>
  <r>
    <n v="10458"/>
    <x v="1"/>
    <x v="1"/>
    <n v="5.79"/>
    <n v="7"/>
    <x v="1"/>
    <n v="30"/>
    <n v="7.5270000000000001"/>
    <n v="30.000000000000004"/>
    <s v="OK"/>
  </r>
  <r>
    <n v="10459"/>
    <x v="0"/>
    <x v="2"/>
    <n v="12.73"/>
    <n v="9"/>
    <x v="2"/>
    <n v="50"/>
    <n v="19.094999999999999"/>
    <n v="49.999999999999979"/>
    <s v="OK"/>
  </r>
  <r>
    <n v="10460"/>
    <x v="0"/>
    <x v="2"/>
    <n v="3.33"/>
    <n v="10"/>
    <x v="2"/>
    <n v="50"/>
    <n v="4.9950000000000001"/>
    <n v="50"/>
    <s v="OK"/>
  </r>
  <r>
    <n v="10461"/>
    <x v="3"/>
    <x v="0"/>
    <n v="12.49"/>
    <n v="10"/>
    <x v="2"/>
    <n v="55"/>
    <n v="19.359500000000001"/>
    <n v="55.000000000000007"/>
    <s v="OK"/>
  </r>
  <r>
    <n v="10462"/>
    <x v="2"/>
    <x v="2"/>
    <n v="8.66"/>
    <n v="4"/>
    <x v="1"/>
    <n v="25"/>
    <n v="10.824999999999999"/>
    <n v="25"/>
    <s v="OK"/>
  </r>
  <r>
    <n v="10463"/>
    <x v="3"/>
    <x v="1"/>
    <n v="11.55"/>
    <n v="5"/>
    <x v="1"/>
    <n v="30"/>
    <n v="15.015000000000001"/>
    <n v="30.000000000000004"/>
    <s v="OK"/>
  </r>
  <r>
    <n v="10464"/>
    <x v="2"/>
    <x v="0"/>
    <n v="10.85"/>
    <n v="8"/>
    <x v="2"/>
    <n v="55"/>
    <n v="16.817499999999999"/>
    <n v="55.000000000000007"/>
    <s v="OK"/>
  </r>
  <r>
    <n v="10465"/>
    <x v="1"/>
    <x v="0"/>
    <n v="3.51"/>
    <n v="1"/>
    <x v="0"/>
    <n v="12"/>
    <n v="3.9312"/>
    <n v="12.000000000000011"/>
    <s v="OK"/>
  </r>
  <r>
    <n v="10466"/>
    <x v="0"/>
    <x v="1"/>
    <n v="8.75"/>
    <n v="6"/>
    <x v="1"/>
    <n v="30"/>
    <n v="11.375"/>
    <n v="30.000000000000004"/>
    <s v="OK"/>
  </r>
  <r>
    <n v="10467"/>
    <x v="1"/>
    <x v="0"/>
    <n v="13.08"/>
    <n v="4"/>
    <x v="1"/>
    <n v="28"/>
    <n v="16.7424"/>
    <n v="28.000000000000004"/>
    <s v="OK"/>
  </r>
  <r>
    <n v="10468"/>
    <x v="2"/>
    <x v="2"/>
    <n v="6.77"/>
    <n v="5"/>
    <x v="1"/>
    <n v="25"/>
    <n v="8.4624999999999986"/>
    <n v="24.999999999999979"/>
    <s v="OK"/>
  </r>
  <r>
    <n v="10469"/>
    <x v="2"/>
    <x v="2"/>
    <n v="14.52"/>
    <n v="5"/>
    <x v="1"/>
    <n v="25"/>
    <n v="18.149999999999999"/>
    <n v="25"/>
    <s v="OK"/>
  </r>
  <r>
    <n v="10470"/>
    <x v="1"/>
    <x v="1"/>
    <n v="7.06"/>
    <n v="2"/>
    <x v="0"/>
    <n v="15"/>
    <n v="8.1189999999999998"/>
    <n v="15.000000000000014"/>
    <s v="OK"/>
  </r>
  <r>
    <n v="10471"/>
    <x v="2"/>
    <x v="2"/>
    <n v="2.57"/>
    <n v="8"/>
    <x v="2"/>
    <n v="50"/>
    <n v="3.8549999999999995"/>
    <n v="50"/>
    <s v="OK"/>
  </r>
  <r>
    <n v="10472"/>
    <x v="1"/>
    <x v="1"/>
    <n v="6.15"/>
    <n v="2"/>
    <x v="0"/>
    <n v="15"/>
    <n v="7.0724999999999998"/>
    <n v="14.999999999999991"/>
    <s v="OK"/>
  </r>
  <r>
    <n v="10473"/>
    <x v="0"/>
    <x v="1"/>
    <n v="14.3"/>
    <n v="4"/>
    <x v="1"/>
    <n v="30"/>
    <n v="18.59"/>
    <n v="29.999999999999982"/>
    <s v="OK"/>
  </r>
  <r>
    <n v="10474"/>
    <x v="1"/>
    <x v="2"/>
    <n v="5.14"/>
    <n v="5"/>
    <x v="1"/>
    <n v="25"/>
    <n v="6.4249999999999998"/>
    <n v="25"/>
    <s v="OK"/>
  </r>
  <r>
    <n v="10475"/>
    <x v="0"/>
    <x v="1"/>
    <n v="13.09"/>
    <n v="1"/>
    <x v="0"/>
    <n v="15"/>
    <n v="15.053499999999998"/>
    <n v="14.999999999999991"/>
    <s v="OK"/>
  </r>
  <r>
    <n v="10476"/>
    <x v="1"/>
    <x v="2"/>
    <n v="13.28"/>
    <n v="6"/>
    <x v="1"/>
    <n v="25"/>
    <n v="16.599999999999998"/>
    <n v="25"/>
    <s v="OK"/>
  </r>
  <r>
    <n v="10477"/>
    <x v="2"/>
    <x v="0"/>
    <n v="5.58"/>
    <n v="2"/>
    <x v="0"/>
    <n v="12"/>
    <n v="6.2496000000000009"/>
    <n v="12.000000000000011"/>
    <s v="OK"/>
  </r>
  <r>
    <n v="10478"/>
    <x v="1"/>
    <x v="0"/>
    <n v="1.71"/>
    <n v="5"/>
    <x v="1"/>
    <n v="28"/>
    <n v="2.1888000000000001"/>
    <n v="28.000000000000004"/>
    <s v="OK"/>
  </r>
  <r>
    <n v="10479"/>
    <x v="2"/>
    <x v="1"/>
    <n v="11.01"/>
    <n v="6"/>
    <x v="1"/>
    <n v="30"/>
    <n v="14.313000000000001"/>
    <n v="30.000000000000004"/>
    <s v="OK"/>
  </r>
  <r>
    <n v="10480"/>
    <x v="1"/>
    <x v="2"/>
    <n v="5.0199999999999996"/>
    <n v="8"/>
    <x v="2"/>
    <n v="50"/>
    <n v="7.5299999999999994"/>
    <n v="50"/>
    <s v="OK"/>
  </r>
  <r>
    <n v="10481"/>
    <x v="1"/>
    <x v="2"/>
    <n v="11.85"/>
    <n v="9"/>
    <x v="2"/>
    <n v="50"/>
    <n v="17.774999999999999"/>
    <n v="50"/>
    <s v="OK"/>
  </r>
  <r>
    <n v="10482"/>
    <x v="3"/>
    <x v="0"/>
    <n v="6.92"/>
    <n v="6"/>
    <x v="1"/>
    <n v="28"/>
    <n v="8.8575999999999997"/>
    <n v="28.000000000000004"/>
    <s v="OK"/>
  </r>
  <r>
    <n v="10483"/>
    <x v="2"/>
    <x v="0"/>
    <n v="7.54"/>
    <n v="5"/>
    <x v="1"/>
    <n v="28"/>
    <n v="9.6512000000000011"/>
    <n v="28.000000000000025"/>
    <s v="OK"/>
  </r>
  <r>
    <n v="10484"/>
    <x v="3"/>
    <x v="2"/>
    <n v="11.78"/>
    <n v="4"/>
    <x v="1"/>
    <n v="25"/>
    <n v="14.725"/>
    <n v="25"/>
    <s v="OK"/>
  </r>
  <r>
    <n v="10485"/>
    <x v="2"/>
    <x v="1"/>
    <n v="6.04"/>
    <n v="2"/>
    <x v="0"/>
    <n v="15"/>
    <n v="6.9459999999999997"/>
    <n v="14.999999999999991"/>
    <s v="OK"/>
  </r>
  <r>
    <n v="10486"/>
    <x v="3"/>
    <x v="0"/>
    <n v="6.93"/>
    <n v="2"/>
    <x v="0"/>
    <n v="12"/>
    <n v="7.7616000000000005"/>
    <n v="12.000000000000011"/>
    <s v="OK"/>
  </r>
  <r>
    <n v="10487"/>
    <x v="0"/>
    <x v="1"/>
    <n v="5.95"/>
    <n v="7"/>
    <x v="1"/>
    <n v="30"/>
    <n v="7.7350000000000003"/>
    <n v="30.000000000000004"/>
    <s v="OK"/>
  </r>
  <r>
    <n v="10488"/>
    <x v="1"/>
    <x v="1"/>
    <n v="5.83"/>
    <n v="5"/>
    <x v="1"/>
    <n v="30"/>
    <n v="7.5790000000000006"/>
    <n v="30.000000000000004"/>
    <s v="OK"/>
  </r>
  <r>
    <n v="10489"/>
    <x v="2"/>
    <x v="0"/>
    <n v="8.1300000000000008"/>
    <n v="7"/>
    <x v="1"/>
    <n v="28"/>
    <n v="10.406400000000001"/>
    <n v="28.000000000000004"/>
    <s v="OK"/>
  </r>
  <r>
    <n v="10490"/>
    <x v="2"/>
    <x v="1"/>
    <n v="12.23"/>
    <n v="1"/>
    <x v="0"/>
    <n v="15"/>
    <n v="14.064499999999999"/>
    <n v="14.999999999999991"/>
    <s v="OK"/>
  </r>
  <r>
    <n v="10491"/>
    <x v="1"/>
    <x v="1"/>
    <n v="5.75"/>
    <n v="1"/>
    <x v="0"/>
    <n v="15"/>
    <n v="6.6124999999999998"/>
    <n v="14.999999999999991"/>
    <s v="OK"/>
  </r>
  <r>
    <n v="10492"/>
    <x v="2"/>
    <x v="2"/>
    <n v="8.1"/>
    <n v="5"/>
    <x v="1"/>
    <n v="25"/>
    <n v="10.125"/>
    <n v="25"/>
    <s v="OK"/>
  </r>
  <r>
    <n v="10493"/>
    <x v="2"/>
    <x v="1"/>
    <n v="10.23"/>
    <n v="2"/>
    <x v="0"/>
    <n v="15"/>
    <n v="11.7645"/>
    <n v="14.999999999999991"/>
    <s v="OK"/>
  </r>
  <r>
    <n v="10494"/>
    <x v="3"/>
    <x v="2"/>
    <n v="4.41"/>
    <n v="8"/>
    <x v="2"/>
    <n v="50"/>
    <n v="6.6150000000000002"/>
    <n v="50"/>
    <s v="OK"/>
  </r>
  <r>
    <n v="10495"/>
    <x v="2"/>
    <x v="0"/>
    <n v="4.5199999999999996"/>
    <n v="3"/>
    <x v="0"/>
    <n v="12"/>
    <n v="5.0624000000000002"/>
    <n v="12.000000000000011"/>
    <s v="OK"/>
  </r>
  <r>
    <n v="10496"/>
    <x v="0"/>
    <x v="0"/>
    <n v="14.03"/>
    <n v="1"/>
    <x v="0"/>
    <n v="12"/>
    <n v="15.713600000000001"/>
    <n v="12.000000000000011"/>
    <s v="OK"/>
  </r>
  <r>
    <n v="10497"/>
    <x v="0"/>
    <x v="2"/>
    <n v="10.99"/>
    <n v="2"/>
    <x v="0"/>
    <n v="10"/>
    <n v="12.089"/>
    <n v="10.000000000000009"/>
    <s v="OK"/>
  </r>
  <r>
    <n v="10498"/>
    <x v="1"/>
    <x v="0"/>
    <n v="8.8699999999999992"/>
    <n v="10"/>
    <x v="2"/>
    <n v="55"/>
    <n v="13.7485"/>
    <n v="55.000000000000007"/>
    <s v="OK"/>
  </r>
  <r>
    <n v="10499"/>
    <x v="2"/>
    <x v="1"/>
    <n v="9.89"/>
    <n v="10"/>
    <x v="2"/>
    <n v="60"/>
    <n v="15.824000000000002"/>
    <n v="60.000000000000007"/>
    <s v="OK"/>
  </r>
  <r>
    <n v="10500"/>
    <x v="1"/>
    <x v="1"/>
    <n v="0.92"/>
    <n v="7"/>
    <x v="1"/>
    <n v="30"/>
    <n v="1.1960000000000002"/>
    <n v="30.000000000000004"/>
    <s v="OK"/>
  </r>
  <r>
    <n v="10501"/>
    <x v="0"/>
    <x v="1"/>
    <n v="9.4600000000000009"/>
    <n v="6"/>
    <x v="1"/>
    <n v="30"/>
    <n v="12.298000000000002"/>
    <n v="30.000000000000004"/>
    <s v="OK"/>
  </r>
  <r>
    <n v="10502"/>
    <x v="2"/>
    <x v="0"/>
    <n v="7.89"/>
    <n v="8"/>
    <x v="2"/>
    <n v="55"/>
    <n v="12.2295"/>
    <n v="55.000000000000007"/>
    <s v="OK"/>
  </r>
  <r>
    <n v="10503"/>
    <x v="2"/>
    <x v="1"/>
    <n v="8.41"/>
    <n v="7"/>
    <x v="1"/>
    <n v="30"/>
    <n v="10.933"/>
    <n v="30.000000000000004"/>
    <s v="OK"/>
  </r>
  <r>
    <n v="10504"/>
    <x v="1"/>
    <x v="0"/>
    <n v="5.71"/>
    <n v="10"/>
    <x v="2"/>
    <n v="55"/>
    <n v="8.8505000000000003"/>
    <n v="55.000000000000007"/>
    <s v="OK"/>
  </r>
  <r>
    <n v="10505"/>
    <x v="0"/>
    <x v="1"/>
    <n v="1.68"/>
    <n v="8"/>
    <x v="2"/>
    <n v="60"/>
    <n v="2.6880000000000002"/>
    <n v="60.000000000000007"/>
    <s v="OK"/>
  </r>
  <r>
    <n v="10506"/>
    <x v="2"/>
    <x v="2"/>
    <n v="3.3"/>
    <n v="3"/>
    <x v="0"/>
    <n v="10"/>
    <n v="3.63"/>
    <n v="10.000000000000009"/>
    <s v="OK"/>
  </r>
  <r>
    <n v="10507"/>
    <x v="1"/>
    <x v="0"/>
    <n v="14.29"/>
    <n v="6"/>
    <x v="1"/>
    <n v="28"/>
    <n v="18.2912"/>
    <n v="28.000000000000004"/>
    <s v="OK"/>
  </r>
  <r>
    <n v="10508"/>
    <x v="0"/>
    <x v="0"/>
    <n v="6.43"/>
    <n v="7"/>
    <x v="1"/>
    <n v="28"/>
    <n v="8.2303999999999995"/>
    <n v="28.000000000000004"/>
    <s v="OK"/>
  </r>
  <r>
    <n v="10509"/>
    <x v="1"/>
    <x v="1"/>
    <n v="7.27"/>
    <n v="10"/>
    <x v="2"/>
    <n v="60"/>
    <n v="11.632"/>
    <n v="60.000000000000007"/>
    <s v="OK"/>
  </r>
  <r>
    <n v="10510"/>
    <x v="3"/>
    <x v="0"/>
    <n v="1.26"/>
    <n v="1"/>
    <x v="0"/>
    <n v="12"/>
    <n v="1.4112000000000002"/>
    <n v="12.000000000000011"/>
    <s v="OK"/>
  </r>
  <r>
    <n v="10511"/>
    <x v="2"/>
    <x v="0"/>
    <n v="1.04"/>
    <n v="1"/>
    <x v="0"/>
    <n v="12"/>
    <n v="1.1648000000000001"/>
    <n v="12.000000000000011"/>
    <s v="OK"/>
  </r>
  <r>
    <n v="10512"/>
    <x v="3"/>
    <x v="2"/>
    <n v="10.9"/>
    <n v="7"/>
    <x v="1"/>
    <n v="25"/>
    <n v="13.625"/>
    <n v="25"/>
    <s v="OK"/>
  </r>
  <r>
    <n v="10513"/>
    <x v="0"/>
    <x v="2"/>
    <n v="8.3000000000000007"/>
    <n v="3"/>
    <x v="0"/>
    <n v="10"/>
    <n v="9.1300000000000008"/>
    <n v="10.000000000000009"/>
    <s v="OK"/>
  </r>
  <r>
    <n v="10514"/>
    <x v="3"/>
    <x v="1"/>
    <n v="7.88"/>
    <n v="3"/>
    <x v="0"/>
    <n v="15"/>
    <n v="9.0619999999999994"/>
    <n v="14.999999999999991"/>
    <s v="OK"/>
  </r>
  <r>
    <n v="10515"/>
    <x v="3"/>
    <x v="2"/>
    <n v="4.03"/>
    <n v="5"/>
    <x v="1"/>
    <n v="25"/>
    <n v="5.0375000000000005"/>
    <n v="25"/>
    <s v="OK"/>
  </r>
  <r>
    <n v="10516"/>
    <x v="0"/>
    <x v="1"/>
    <n v="11.3"/>
    <n v="6"/>
    <x v="1"/>
    <n v="30"/>
    <n v="14.690000000000001"/>
    <n v="30.000000000000004"/>
    <s v="OK"/>
  </r>
  <r>
    <n v="10517"/>
    <x v="1"/>
    <x v="1"/>
    <n v="2.94"/>
    <n v="2"/>
    <x v="0"/>
    <n v="15"/>
    <n v="3.3809999999999998"/>
    <n v="14.999999999999991"/>
    <s v="OK"/>
  </r>
  <r>
    <n v="10518"/>
    <x v="3"/>
    <x v="1"/>
    <n v="3.25"/>
    <n v="3"/>
    <x v="0"/>
    <n v="15"/>
    <n v="3.7374999999999998"/>
    <n v="14.999999999999991"/>
    <s v="OK"/>
  </r>
  <r>
    <n v="10519"/>
    <x v="1"/>
    <x v="0"/>
    <n v="7.18"/>
    <n v="6"/>
    <x v="1"/>
    <n v="28"/>
    <n v="9.1904000000000003"/>
    <n v="28.000000000000004"/>
    <s v="OK"/>
  </r>
  <r>
    <n v="10520"/>
    <x v="3"/>
    <x v="2"/>
    <n v="4.6500000000000004"/>
    <n v="3"/>
    <x v="0"/>
    <n v="10"/>
    <n v="5.1150000000000011"/>
    <n v="10.000000000000009"/>
    <s v="OK"/>
  </r>
  <r>
    <n v="10521"/>
    <x v="1"/>
    <x v="1"/>
    <n v="4.09"/>
    <n v="5"/>
    <x v="1"/>
    <n v="30"/>
    <n v="5.3170000000000002"/>
    <n v="30.000000000000004"/>
    <s v="OK"/>
  </r>
  <r>
    <n v="10522"/>
    <x v="0"/>
    <x v="2"/>
    <n v="9.86"/>
    <n v="9"/>
    <x v="2"/>
    <n v="50"/>
    <n v="14.79"/>
    <n v="50"/>
    <s v="OK"/>
  </r>
  <r>
    <n v="10523"/>
    <x v="3"/>
    <x v="1"/>
    <n v="9.94"/>
    <n v="3"/>
    <x v="0"/>
    <n v="15"/>
    <n v="11.430999999999999"/>
    <n v="14.999999999999991"/>
    <s v="OK"/>
  </r>
  <r>
    <n v="10524"/>
    <x v="0"/>
    <x v="2"/>
    <n v="12.46"/>
    <n v="6"/>
    <x v="1"/>
    <n v="25"/>
    <n v="15.575000000000001"/>
    <n v="25"/>
    <s v="OK"/>
  </r>
  <r>
    <n v="10525"/>
    <x v="3"/>
    <x v="2"/>
    <n v="6.56"/>
    <n v="5"/>
    <x v="1"/>
    <n v="25"/>
    <n v="8.1999999999999993"/>
    <n v="25"/>
    <s v="OK"/>
  </r>
  <r>
    <n v="10526"/>
    <x v="0"/>
    <x v="1"/>
    <n v="1.56"/>
    <n v="5"/>
    <x v="1"/>
    <n v="30"/>
    <n v="2.028"/>
    <n v="30.000000000000004"/>
    <s v="OK"/>
  </r>
  <r>
    <n v="10527"/>
    <x v="0"/>
    <x v="0"/>
    <n v="4.47"/>
    <n v="6"/>
    <x v="1"/>
    <n v="28"/>
    <n v="5.7215999999999996"/>
    <n v="28.000000000000004"/>
    <s v="OK"/>
  </r>
  <r>
    <n v="10528"/>
    <x v="3"/>
    <x v="2"/>
    <n v="14.71"/>
    <n v="6"/>
    <x v="1"/>
    <n v="25"/>
    <n v="18.387500000000003"/>
    <n v="25.000000000000021"/>
    <s v="OK"/>
  </r>
  <r>
    <n v="10529"/>
    <x v="3"/>
    <x v="0"/>
    <n v="9.15"/>
    <n v="1"/>
    <x v="0"/>
    <n v="12"/>
    <n v="10.248000000000001"/>
    <n v="12.000000000000011"/>
    <s v="OK"/>
  </r>
  <r>
    <n v="10530"/>
    <x v="3"/>
    <x v="0"/>
    <n v="10.79"/>
    <n v="9"/>
    <x v="2"/>
    <n v="55"/>
    <n v="16.724499999999999"/>
    <n v="55.000000000000007"/>
    <s v="OK"/>
  </r>
  <r>
    <n v="10531"/>
    <x v="2"/>
    <x v="1"/>
    <n v="0.61"/>
    <n v="5"/>
    <x v="1"/>
    <n v="30"/>
    <n v="0.79300000000000004"/>
    <n v="30.000000000000004"/>
    <s v="OK"/>
  </r>
  <r>
    <n v="10532"/>
    <x v="1"/>
    <x v="1"/>
    <n v="8.01"/>
    <n v="1"/>
    <x v="0"/>
    <n v="15"/>
    <n v="9.2114999999999991"/>
    <n v="14.999999999999991"/>
    <s v="OK"/>
  </r>
  <r>
    <n v="10533"/>
    <x v="2"/>
    <x v="1"/>
    <n v="1.04"/>
    <n v="8"/>
    <x v="2"/>
    <n v="60"/>
    <n v="1.6640000000000001"/>
    <n v="60.000000000000007"/>
    <s v="OK"/>
  </r>
  <r>
    <n v="10534"/>
    <x v="2"/>
    <x v="2"/>
    <n v="8.75"/>
    <n v="7"/>
    <x v="1"/>
    <n v="25"/>
    <n v="10.9375"/>
    <n v="25"/>
    <s v="OK"/>
  </r>
  <r>
    <n v="10535"/>
    <x v="0"/>
    <x v="1"/>
    <n v="13.85"/>
    <n v="7"/>
    <x v="1"/>
    <n v="30"/>
    <n v="18.004999999999999"/>
    <n v="30.000000000000004"/>
    <s v="OK"/>
  </r>
  <r>
    <n v="10536"/>
    <x v="3"/>
    <x v="1"/>
    <n v="14.54"/>
    <n v="5"/>
    <x v="1"/>
    <n v="30"/>
    <n v="18.902000000000001"/>
    <n v="30.000000000000004"/>
    <s v="OK"/>
  </r>
  <r>
    <n v="10537"/>
    <x v="1"/>
    <x v="2"/>
    <n v="8.34"/>
    <n v="1"/>
    <x v="0"/>
    <n v="10"/>
    <n v="9.1740000000000013"/>
    <n v="10.000000000000009"/>
    <s v="OK"/>
  </r>
  <r>
    <n v="10538"/>
    <x v="0"/>
    <x v="2"/>
    <n v="7.14"/>
    <n v="9"/>
    <x v="2"/>
    <n v="50"/>
    <n v="10.709999999999999"/>
    <n v="50"/>
    <s v="OK"/>
  </r>
  <r>
    <n v="10539"/>
    <x v="2"/>
    <x v="1"/>
    <n v="14.2"/>
    <n v="9"/>
    <x v="2"/>
    <n v="60"/>
    <n v="22.72"/>
    <n v="60.000000000000007"/>
    <s v="OK"/>
  </r>
  <r>
    <n v="10540"/>
    <x v="3"/>
    <x v="1"/>
    <n v="10.27"/>
    <n v="8"/>
    <x v="2"/>
    <n v="60"/>
    <n v="16.431999999999999"/>
    <n v="59.999999999999986"/>
    <s v="OK"/>
  </r>
  <r>
    <n v="10541"/>
    <x v="0"/>
    <x v="1"/>
    <n v="1.44"/>
    <n v="5"/>
    <x v="1"/>
    <n v="30"/>
    <n v="1.8719999999999999"/>
    <n v="30.000000000000004"/>
    <s v="OK"/>
  </r>
  <r>
    <n v="10542"/>
    <x v="3"/>
    <x v="1"/>
    <n v="7.25"/>
    <n v="3"/>
    <x v="0"/>
    <n v="15"/>
    <n v="8.3374999999999986"/>
    <n v="14.999999999999991"/>
    <s v="OK"/>
  </r>
  <r>
    <n v="10543"/>
    <x v="0"/>
    <x v="0"/>
    <n v="3.98"/>
    <n v="8"/>
    <x v="2"/>
    <n v="55"/>
    <n v="6.1690000000000005"/>
    <n v="55.000000000000007"/>
    <s v="OK"/>
  </r>
  <r>
    <n v="10544"/>
    <x v="3"/>
    <x v="0"/>
    <n v="7.31"/>
    <n v="1"/>
    <x v="0"/>
    <n v="12"/>
    <n v="8.1872000000000007"/>
    <n v="12.000000000000011"/>
    <s v="OK"/>
  </r>
  <r>
    <n v="10545"/>
    <x v="2"/>
    <x v="1"/>
    <n v="7.1"/>
    <n v="3"/>
    <x v="0"/>
    <n v="15"/>
    <n v="8.1649999999999991"/>
    <n v="14.999999999999991"/>
    <s v="OK"/>
  </r>
  <r>
    <n v="10546"/>
    <x v="1"/>
    <x v="0"/>
    <n v="8.94"/>
    <n v="7"/>
    <x v="1"/>
    <n v="28"/>
    <n v="11.443199999999999"/>
    <n v="28.000000000000004"/>
    <s v="OK"/>
  </r>
  <r>
    <n v="10547"/>
    <x v="2"/>
    <x v="2"/>
    <n v="5.67"/>
    <n v="4"/>
    <x v="1"/>
    <n v="25"/>
    <n v="7.0875000000000004"/>
    <n v="25"/>
    <s v="OK"/>
  </r>
  <r>
    <n v="10548"/>
    <x v="1"/>
    <x v="0"/>
    <n v="2.88"/>
    <n v="7"/>
    <x v="1"/>
    <n v="28"/>
    <n v="3.6863999999999999"/>
    <n v="28.000000000000004"/>
    <s v="OK"/>
  </r>
  <r>
    <n v="10549"/>
    <x v="3"/>
    <x v="0"/>
    <n v="7.8"/>
    <n v="5"/>
    <x v="1"/>
    <n v="28"/>
    <n v="9.984"/>
    <n v="28.000000000000004"/>
    <s v="OK"/>
  </r>
  <r>
    <n v="10550"/>
    <x v="0"/>
    <x v="1"/>
    <n v="12.54"/>
    <n v="6"/>
    <x v="1"/>
    <n v="30"/>
    <n v="16.302"/>
    <n v="30.000000000000004"/>
    <s v="OK"/>
  </r>
  <r>
    <n v="10551"/>
    <x v="2"/>
    <x v="0"/>
    <n v="10.130000000000001"/>
    <n v="7"/>
    <x v="1"/>
    <n v="28"/>
    <n v="12.966400000000002"/>
    <n v="28.000000000000004"/>
    <s v="OK"/>
  </r>
  <r>
    <n v="10552"/>
    <x v="1"/>
    <x v="0"/>
    <n v="5.41"/>
    <n v="10"/>
    <x v="2"/>
    <n v="55"/>
    <n v="8.3855000000000004"/>
    <n v="55.000000000000007"/>
    <s v="OK"/>
  </r>
  <r>
    <n v="10553"/>
    <x v="2"/>
    <x v="0"/>
    <n v="14.07"/>
    <n v="7"/>
    <x v="1"/>
    <n v="28"/>
    <n v="18.009600000000002"/>
    <n v="28.000000000000025"/>
    <s v="OK"/>
  </r>
  <r>
    <n v="10554"/>
    <x v="1"/>
    <x v="0"/>
    <n v="13.73"/>
    <n v="7"/>
    <x v="1"/>
    <n v="28"/>
    <n v="17.574400000000001"/>
    <n v="28.000000000000004"/>
    <s v="OK"/>
  </r>
  <r>
    <n v="10555"/>
    <x v="2"/>
    <x v="2"/>
    <n v="3.54"/>
    <n v="7"/>
    <x v="1"/>
    <n v="25"/>
    <n v="4.4249999999999998"/>
    <n v="25"/>
    <s v="OK"/>
  </r>
  <r>
    <n v="10556"/>
    <x v="1"/>
    <x v="1"/>
    <n v="1.07"/>
    <n v="7"/>
    <x v="1"/>
    <n v="30"/>
    <n v="1.3910000000000002"/>
    <n v="30.000000000000004"/>
    <s v="OK"/>
  </r>
  <r>
    <n v="10557"/>
    <x v="1"/>
    <x v="1"/>
    <n v="11.25"/>
    <n v="3"/>
    <x v="0"/>
    <n v="15"/>
    <n v="12.937499999999998"/>
    <n v="14.999999999999991"/>
    <s v="OK"/>
  </r>
  <r>
    <n v="10558"/>
    <x v="3"/>
    <x v="2"/>
    <n v="12.5"/>
    <n v="3"/>
    <x v="0"/>
    <n v="10"/>
    <n v="13.750000000000002"/>
    <n v="10.000000000000009"/>
    <s v="OK"/>
  </r>
  <r>
    <n v="10559"/>
    <x v="1"/>
    <x v="0"/>
    <n v="14.53"/>
    <n v="7"/>
    <x v="1"/>
    <n v="28"/>
    <n v="18.598399999999998"/>
    <n v="28.000000000000004"/>
    <s v="OK"/>
  </r>
  <r>
    <n v="10560"/>
    <x v="3"/>
    <x v="2"/>
    <n v="13.4"/>
    <n v="2"/>
    <x v="0"/>
    <n v="10"/>
    <n v="14.740000000000002"/>
    <n v="10.000000000000009"/>
    <s v="OK"/>
  </r>
  <r>
    <n v="10561"/>
    <x v="1"/>
    <x v="0"/>
    <n v="9.2100000000000009"/>
    <n v="2"/>
    <x v="0"/>
    <n v="12"/>
    <n v="10.315200000000003"/>
    <n v="12.000000000000011"/>
    <s v="OK"/>
  </r>
  <r>
    <n v="10562"/>
    <x v="0"/>
    <x v="2"/>
    <n v="8.19"/>
    <n v="3"/>
    <x v="0"/>
    <n v="10"/>
    <n v="9.0090000000000003"/>
    <n v="10.000000000000009"/>
    <s v="OK"/>
  </r>
  <r>
    <n v="10563"/>
    <x v="0"/>
    <x v="1"/>
    <n v="0.9"/>
    <n v="4"/>
    <x v="1"/>
    <n v="30"/>
    <n v="1.1700000000000002"/>
    <n v="30.000000000000004"/>
    <s v="OK"/>
  </r>
  <r>
    <n v="10564"/>
    <x v="0"/>
    <x v="1"/>
    <n v="4.08"/>
    <n v="6"/>
    <x v="1"/>
    <n v="30"/>
    <n v="5.3040000000000003"/>
    <n v="30.000000000000004"/>
    <s v="OK"/>
  </r>
  <r>
    <n v="10565"/>
    <x v="1"/>
    <x v="1"/>
    <n v="7.16"/>
    <n v="8"/>
    <x v="2"/>
    <n v="60"/>
    <n v="11.456000000000001"/>
    <n v="60.000000000000007"/>
    <s v="OK"/>
  </r>
  <r>
    <n v="10566"/>
    <x v="3"/>
    <x v="0"/>
    <n v="9.61"/>
    <n v="10"/>
    <x v="2"/>
    <n v="55"/>
    <n v="14.8955"/>
    <n v="55.000000000000007"/>
    <s v="OK"/>
  </r>
  <r>
    <n v="10567"/>
    <x v="3"/>
    <x v="0"/>
    <n v="8.58"/>
    <n v="10"/>
    <x v="2"/>
    <n v="55"/>
    <n v="13.299000000000001"/>
    <n v="55.000000000000007"/>
    <s v="OK"/>
  </r>
  <r>
    <n v="10568"/>
    <x v="1"/>
    <x v="2"/>
    <n v="11.27"/>
    <n v="7"/>
    <x v="1"/>
    <n v="25"/>
    <n v="14.087499999999999"/>
    <n v="25"/>
    <s v="OK"/>
  </r>
  <r>
    <n v="10569"/>
    <x v="0"/>
    <x v="2"/>
    <n v="4.5599999999999996"/>
    <n v="4"/>
    <x v="1"/>
    <n v="25"/>
    <n v="5.6999999999999993"/>
    <n v="25"/>
    <s v="OK"/>
  </r>
  <r>
    <n v="10570"/>
    <x v="0"/>
    <x v="1"/>
    <n v="8.69"/>
    <n v="2"/>
    <x v="0"/>
    <n v="15"/>
    <n v="9.9934999999999992"/>
    <n v="14.999999999999991"/>
    <s v="OK"/>
  </r>
  <r>
    <n v="10571"/>
    <x v="3"/>
    <x v="0"/>
    <n v="1.78"/>
    <n v="2"/>
    <x v="0"/>
    <n v="12"/>
    <n v="1.9936000000000003"/>
    <n v="12.000000000000011"/>
    <s v="OK"/>
  </r>
  <r>
    <n v="10572"/>
    <x v="0"/>
    <x v="2"/>
    <n v="6.5"/>
    <n v="4"/>
    <x v="1"/>
    <n v="25"/>
    <n v="8.125"/>
    <n v="25"/>
    <s v="OK"/>
  </r>
  <r>
    <n v="10573"/>
    <x v="2"/>
    <x v="0"/>
    <n v="11.38"/>
    <n v="6"/>
    <x v="1"/>
    <n v="28"/>
    <n v="14.566400000000002"/>
    <n v="28.000000000000004"/>
    <s v="OK"/>
  </r>
  <r>
    <n v="10574"/>
    <x v="3"/>
    <x v="0"/>
    <n v="10.55"/>
    <n v="3"/>
    <x v="0"/>
    <n v="12"/>
    <n v="11.816000000000003"/>
    <n v="12.000000000000011"/>
    <s v="OK"/>
  </r>
  <r>
    <n v="10575"/>
    <x v="0"/>
    <x v="1"/>
    <n v="14.86"/>
    <n v="6"/>
    <x v="1"/>
    <n v="30"/>
    <n v="19.318000000000001"/>
    <n v="30.000000000000004"/>
    <s v="OK"/>
  </r>
  <r>
    <n v="10576"/>
    <x v="3"/>
    <x v="1"/>
    <n v="4.53"/>
    <n v="5"/>
    <x v="1"/>
    <n v="30"/>
    <n v="5.8890000000000002"/>
    <n v="30.000000000000004"/>
    <s v="OK"/>
  </r>
  <r>
    <n v="10577"/>
    <x v="2"/>
    <x v="0"/>
    <n v="7.72"/>
    <n v="5"/>
    <x v="1"/>
    <n v="28"/>
    <n v="9.8816000000000006"/>
    <n v="28.000000000000004"/>
    <s v="OK"/>
  </r>
  <r>
    <n v="10578"/>
    <x v="3"/>
    <x v="0"/>
    <n v="5.28"/>
    <n v="2"/>
    <x v="0"/>
    <n v="12"/>
    <n v="5.9136000000000006"/>
    <n v="12.000000000000011"/>
    <s v="OK"/>
  </r>
  <r>
    <n v="10579"/>
    <x v="3"/>
    <x v="0"/>
    <n v="6.89"/>
    <n v="8"/>
    <x v="2"/>
    <n v="55"/>
    <n v="10.679499999999999"/>
    <n v="55.000000000000007"/>
    <s v="OK"/>
  </r>
  <r>
    <n v="10580"/>
    <x v="3"/>
    <x v="0"/>
    <n v="12.93"/>
    <n v="5"/>
    <x v="1"/>
    <n v="28"/>
    <n v="16.5504"/>
    <n v="28.000000000000004"/>
    <s v="OK"/>
  </r>
  <r>
    <n v="10581"/>
    <x v="3"/>
    <x v="1"/>
    <n v="10.42"/>
    <n v="2"/>
    <x v="0"/>
    <n v="15"/>
    <n v="11.982999999999999"/>
    <n v="14.999999999999991"/>
    <s v="OK"/>
  </r>
  <r>
    <n v="10582"/>
    <x v="2"/>
    <x v="2"/>
    <n v="13.3"/>
    <n v="7"/>
    <x v="1"/>
    <n v="25"/>
    <n v="16.625"/>
    <n v="25"/>
    <s v="OK"/>
  </r>
  <r>
    <n v="10583"/>
    <x v="1"/>
    <x v="1"/>
    <n v="3.45"/>
    <n v="9"/>
    <x v="2"/>
    <n v="60"/>
    <n v="5.5200000000000005"/>
    <n v="60.000000000000007"/>
    <s v="OK"/>
  </r>
  <r>
    <n v="10584"/>
    <x v="3"/>
    <x v="2"/>
    <n v="13.16"/>
    <n v="9"/>
    <x v="2"/>
    <n v="50"/>
    <n v="19.740000000000002"/>
    <n v="50.000000000000021"/>
    <s v="OK"/>
  </r>
  <r>
    <n v="10585"/>
    <x v="3"/>
    <x v="0"/>
    <n v="1.37"/>
    <n v="1"/>
    <x v="0"/>
    <n v="12"/>
    <n v="1.5344000000000002"/>
    <n v="12.000000000000011"/>
    <s v="OK"/>
  </r>
  <r>
    <n v="10586"/>
    <x v="0"/>
    <x v="2"/>
    <n v="13.38"/>
    <n v="7"/>
    <x v="1"/>
    <n v="25"/>
    <n v="16.725000000000001"/>
    <n v="25"/>
    <s v="OK"/>
  </r>
  <r>
    <n v="10587"/>
    <x v="3"/>
    <x v="1"/>
    <n v="5.27"/>
    <n v="9"/>
    <x v="2"/>
    <n v="60"/>
    <n v="8.4320000000000004"/>
    <n v="60.000000000000028"/>
    <s v="OK"/>
  </r>
  <r>
    <n v="10588"/>
    <x v="0"/>
    <x v="1"/>
    <n v="5.0599999999999996"/>
    <n v="6"/>
    <x v="1"/>
    <n v="30"/>
    <n v="6.5779999999999994"/>
    <n v="30.000000000000004"/>
    <s v="OK"/>
  </r>
  <r>
    <n v="10589"/>
    <x v="1"/>
    <x v="0"/>
    <n v="7.93"/>
    <n v="1"/>
    <x v="0"/>
    <n v="12"/>
    <n v="8.8816000000000006"/>
    <n v="12.000000000000011"/>
    <s v="OK"/>
  </r>
  <r>
    <n v="10590"/>
    <x v="2"/>
    <x v="1"/>
    <n v="14.14"/>
    <n v="2"/>
    <x v="0"/>
    <n v="15"/>
    <n v="16.260999999999999"/>
    <n v="14.999999999999991"/>
    <s v="OK"/>
  </r>
  <r>
    <n v="10591"/>
    <x v="2"/>
    <x v="0"/>
    <n v="1.19"/>
    <n v="4"/>
    <x v="1"/>
    <n v="28"/>
    <n v="1.5231999999999999"/>
    <n v="28.000000000000004"/>
    <s v="OK"/>
  </r>
  <r>
    <n v="10592"/>
    <x v="1"/>
    <x v="1"/>
    <n v="5.61"/>
    <n v="4"/>
    <x v="1"/>
    <n v="30"/>
    <n v="7.293000000000001"/>
    <n v="30.000000000000004"/>
    <s v="OK"/>
  </r>
  <r>
    <n v="10593"/>
    <x v="2"/>
    <x v="1"/>
    <n v="12.92"/>
    <n v="2"/>
    <x v="0"/>
    <n v="15"/>
    <n v="14.857999999999999"/>
    <n v="14.999999999999991"/>
    <s v="OK"/>
  </r>
  <r>
    <n v="10594"/>
    <x v="1"/>
    <x v="0"/>
    <n v="6.24"/>
    <n v="8"/>
    <x v="2"/>
    <n v="55"/>
    <n v="9.6720000000000006"/>
    <n v="55.000000000000007"/>
    <s v="OK"/>
  </r>
  <r>
    <n v="10595"/>
    <x v="1"/>
    <x v="2"/>
    <n v="3.39"/>
    <n v="2"/>
    <x v="0"/>
    <n v="10"/>
    <n v="3.7290000000000005"/>
    <n v="10.000000000000009"/>
    <s v="OK"/>
  </r>
  <r>
    <n v="10596"/>
    <x v="1"/>
    <x v="1"/>
    <n v="6.66"/>
    <n v="3"/>
    <x v="0"/>
    <n v="15"/>
    <n v="7.6589999999999998"/>
    <n v="14.999999999999991"/>
    <s v="OK"/>
  </r>
  <r>
    <n v="10597"/>
    <x v="2"/>
    <x v="2"/>
    <n v="6.09"/>
    <n v="4"/>
    <x v="1"/>
    <n v="25"/>
    <n v="7.6124999999999998"/>
    <n v="25"/>
    <s v="OK"/>
  </r>
  <r>
    <n v="10598"/>
    <x v="0"/>
    <x v="1"/>
    <n v="13.77"/>
    <n v="9"/>
    <x v="2"/>
    <n v="60"/>
    <n v="22.032"/>
    <n v="60.000000000000007"/>
    <s v="OK"/>
  </r>
  <r>
    <n v="10599"/>
    <x v="1"/>
    <x v="1"/>
    <n v="11.55"/>
    <n v="10"/>
    <x v="2"/>
    <n v="60"/>
    <n v="18.48"/>
    <n v="59.999999999999986"/>
    <s v="OK"/>
  </r>
  <r>
    <n v="10600"/>
    <x v="3"/>
    <x v="1"/>
    <n v="7.82"/>
    <n v="1"/>
    <x v="0"/>
    <n v="15"/>
    <n v="8.9930000000000003"/>
    <n v="14.999999999999991"/>
    <s v="OK"/>
  </r>
  <r>
    <n v="10601"/>
    <x v="2"/>
    <x v="1"/>
    <n v="14.83"/>
    <n v="8"/>
    <x v="2"/>
    <n v="60"/>
    <n v="23.728000000000002"/>
    <n v="60.000000000000007"/>
    <s v="OK"/>
  </r>
  <r>
    <n v="10602"/>
    <x v="1"/>
    <x v="2"/>
    <n v="7.25"/>
    <n v="5"/>
    <x v="1"/>
    <n v="25"/>
    <n v="9.0625"/>
    <n v="25"/>
    <s v="OK"/>
  </r>
  <r>
    <n v="10603"/>
    <x v="1"/>
    <x v="2"/>
    <n v="1.34"/>
    <n v="7"/>
    <x v="1"/>
    <n v="25"/>
    <n v="1.675"/>
    <n v="25"/>
    <s v="OK"/>
  </r>
  <r>
    <n v="10604"/>
    <x v="3"/>
    <x v="1"/>
    <n v="4.3"/>
    <n v="8"/>
    <x v="2"/>
    <n v="60"/>
    <n v="6.88"/>
    <n v="60.000000000000007"/>
    <s v="OK"/>
  </r>
  <r>
    <n v="10605"/>
    <x v="0"/>
    <x v="1"/>
    <n v="6.82"/>
    <n v="5"/>
    <x v="1"/>
    <n v="30"/>
    <n v="8.8660000000000014"/>
    <n v="30.000000000000028"/>
    <s v="OK"/>
  </r>
  <r>
    <n v="10606"/>
    <x v="0"/>
    <x v="2"/>
    <n v="2.78"/>
    <n v="8"/>
    <x v="2"/>
    <n v="50"/>
    <n v="4.17"/>
    <n v="50"/>
    <s v="OK"/>
  </r>
  <r>
    <n v="10607"/>
    <x v="0"/>
    <x v="0"/>
    <n v="14.24"/>
    <n v="10"/>
    <x v="2"/>
    <n v="55"/>
    <n v="22.072000000000003"/>
    <n v="55.000000000000028"/>
    <s v="OK"/>
  </r>
  <r>
    <n v="10608"/>
    <x v="1"/>
    <x v="0"/>
    <n v="11.62"/>
    <n v="8"/>
    <x v="2"/>
    <n v="55"/>
    <n v="18.010999999999999"/>
    <n v="55.000000000000007"/>
    <s v="OK"/>
  </r>
  <r>
    <n v="10609"/>
    <x v="1"/>
    <x v="2"/>
    <n v="4.3899999999999997"/>
    <n v="9"/>
    <x v="2"/>
    <n v="50"/>
    <n v="6.5849999999999991"/>
    <n v="50"/>
    <s v="OK"/>
  </r>
  <r>
    <n v="10610"/>
    <x v="1"/>
    <x v="1"/>
    <n v="9.07"/>
    <n v="2"/>
    <x v="0"/>
    <n v="15"/>
    <n v="10.4305"/>
    <n v="14.999999999999991"/>
    <s v="OK"/>
  </r>
  <r>
    <n v="10611"/>
    <x v="2"/>
    <x v="1"/>
    <n v="10.96"/>
    <n v="3"/>
    <x v="0"/>
    <n v="15"/>
    <n v="12.603999999999999"/>
    <n v="14.999999999999991"/>
    <s v="OK"/>
  </r>
  <r>
    <n v="10612"/>
    <x v="3"/>
    <x v="0"/>
    <n v="14.15"/>
    <n v="1"/>
    <x v="0"/>
    <n v="12"/>
    <n v="15.848000000000003"/>
    <n v="12.000000000000011"/>
    <s v="OK"/>
  </r>
  <r>
    <n v="10613"/>
    <x v="1"/>
    <x v="0"/>
    <n v="13.28"/>
    <n v="4"/>
    <x v="1"/>
    <n v="28"/>
    <n v="16.9984"/>
    <n v="28.000000000000004"/>
    <s v="OK"/>
  </r>
  <r>
    <n v="10614"/>
    <x v="3"/>
    <x v="2"/>
    <n v="7.97"/>
    <n v="5"/>
    <x v="1"/>
    <n v="25"/>
    <n v="9.9625000000000004"/>
    <n v="25"/>
    <s v="OK"/>
  </r>
  <r>
    <n v="10615"/>
    <x v="3"/>
    <x v="0"/>
    <n v="11.73"/>
    <n v="1"/>
    <x v="0"/>
    <n v="12"/>
    <n v="13.137600000000003"/>
    <n v="12.000000000000011"/>
    <s v="OK"/>
  </r>
  <r>
    <n v="10616"/>
    <x v="0"/>
    <x v="2"/>
    <n v="8.65"/>
    <n v="8"/>
    <x v="2"/>
    <n v="50"/>
    <n v="12.975000000000001"/>
    <n v="50"/>
    <s v="OK"/>
  </r>
  <r>
    <n v="10617"/>
    <x v="2"/>
    <x v="0"/>
    <n v="8.51"/>
    <n v="2"/>
    <x v="0"/>
    <n v="12"/>
    <n v="9.5312000000000001"/>
    <n v="12.000000000000011"/>
    <s v="OK"/>
  </r>
  <r>
    <n v="10618"/>
    <x v="1"/>
    <x v="0"/>
    <n v="2.16"/>
    <n v="1"/>
    <x v="0"/>
    <n v="12"/>
    <n v="2.4192000000000005"/>
    <n v="12.000000000000011"/>
    <s v="OK"/>
  </r>
  <r>
    <n v="10619"/>
    <x v="0"/>
    <x v="0"/>
    <n v="2.33"/>
    <n v="2"/>
    <x v="0"/>
    <n v="12"/>
    <n v="2.6096000000000004"/>
    <n v="12.000000000000011"/>
    <s v="OK"/>
  </r>
  <r>
    <n v="10620"/>
    <x v="0"/>
    <x v="1"/>
    <n v="8.18"/>
    <n v="5"/>
    <x v="1"/>
    <n v="30"/>
    <n v="10.634"/>
    <n v="30.000000000000004"/>
    <s v="OK"/>
  </r>
  <r>
    <n v="10621"/>
    <x v="1"/>
    <x v="1"/>
    <n v="4.4000000000000004"/>
    <n v="9"/>
    <x v="2"/>
    <n v="60"/>
    <n v="7.0400000000000009"/>
    <n v="60.000000000000007"/>
    <s v="OK"/>
  </r>
  <r>
    <n v="10622"/>
    <x v="3"/>
    <x v="1"/>
    <n v="0.81"/>
    <n v="9"/>
    <x v="2"/>
    <n v="60"/>
    <n v="1.2960000000000003"/>
    <n v="60.000000000000028"/>
    <s v="OK"/>
  </r>
  <r>
    <n v="10623"/>
    <x v="0"/>
    <x v="0"/>
    <n v="10.98"/>
    <n v="2"/>
    <x v="0"/>
    <n v="12"/>
    <n v="12.297600000000001"/>
    <n v="12.000000000000011"/>
    <s v="OK"/>
  </r>
  <r>
    <n v="10624"/>
    <x v="3"/>
    <x v="2"/>
    <n v="0.97"/>
    <n v="2"/>
    <x v="0"/>
    <n v="10"/>
    <n v="1.0669999999999999"/>
    <n v="9.9999999999999858"/>
    <s v="OK"/>
  </r>
  <r>
    <n v="10625"/>
    <x v="2"/>
    <x v="2"/>
    <n v="9.1300000000000008"/>
    <n v="3"/>
    <x v="0"/>
    <n v="10"/>
    <n v="10.043000000000001"/>
    <n v="10.000000000000009"/>
    <s v="OK"/>
  </r>
  <r>
    <n v="10626"/>
    <x v="3"/>
    <x v="2"/>
    <n v="8.32"/>
    <n v="7"/>
    <x v="1"/>
    <n v="25"/>
    <n v="10.4"/>
    <n v="25"/>
    <s v="OK"/>
  </r>
  <r>
    <n v="10627"/>
    <x v="2"/>
    <x v="2"/>
    <n v="14.55"/>
    <n v="3"/>
    <x v="0"/>
    <n v="10"/>
    <n v="16.005000000000003"/>
    <n v="10.000000000000009"/>
    <s v="OK"/>
  </r>
  <r>
    <n v="10628"/>
    <x v="3"/>
    <x v="1"/>
    <n v="7.52"/>
    <n v="1"/>
    <x v="0"/>
    <n v="15"/>
    <n v="8.6479999999999997"/>
    <n v="15.000000000000014"/>
    <s v="OK"/>
  </r>
  <r>
    <n v="10629"/>
    <x v="0"/>
    <x v="1"/>
    <n v="1.42"/>
    <n v="6"/>
    <x v="1"/>
    <n v="30"/>
    <n v="1.8459999999999999"/>
    <n v="30.000000000000004"/>
    <s v="OK"/>
  </r>
  <r>
    <n v="10630"/>
    <x v="0"/>
    <x v="0"/>
    <n v="8.5"/>
    <n v="3"/>
    <x v="0"/>
    <n v="12"/>
    <n v="9.5200000000000014"/>
    <n v="12.000000000000011"/>
    <s v="OK"/>
  </r>
  <r>
    <n v="10631"/>
    <x v="2"/>
    <x v="0"/>
    <n v="12.7"/>
    <n v="1"/>
    <x v="0"/>
    <n v="12"/>
    <n v="14.224"/>
    <n v="12.000000000000011"/>
    <s v="OK"/>
  </r>
  <r>
    <n v="10632"/>
    <x v="1"/>
    <x v="2"/>
    <n v="14.95"/>
    <n v="4"/>
    <x v="1"/>
    <n v="25"/>
    <n v="18.6875"/>
    <n v="25"/>
    <s v="OK"/>
  </r>
  <r>
    <n v="10633"/>
    <x v="2"/>
    <x v="1"/>
    <n v="6.74"/>
    <n v="1"/>
    <x v="0"/>
    <n v="15"/>
    <n v="7.7509999999999994"/>
    <n v="14.999999999999991"/>
    <s v="OK"/>
  </r>
  <r>
    <n v="10634"/>
    <x v="2"/>
    <x v="2"/>
    <n v="5.14"/>
    <n v="1"/>
    <x v="0"/>
    <n v="10"/>
    <n v="5.6539999999999999"/>
    <n v="10.000000000000009"/>
    <s v="OK"/>
  </r>
  <r>
    <n v="10635"/>
    <x v="3"/>
    <x v="0"/>
    <n v="13.65"/>
    <n v="2"/>
    <x v="0"/>
    <n v="12"/>
    <n v="15.288000000000002"/>
    <n v="12.000000000000011"/>
    <s v="OK"/>
  </r>
  <r>
    <n v="10636"/>
    <x v="3"/>
    <x v="0"/>
    <n v="3.27"/>
    <n v="10"/>
    <x v="2"/>
    <n v="55"/>
    <n v="5.0685000000000002"/>
    <n v="55.000000000000007"/>
    <s v="OK"/>
  </r>
  <r>
    <n v="10637"/>
    <x v="2"/>
    <x v="2"/>
    <n v="9.42"/>
    <n v="8"/>
    <x v="2"/>
    <n v="50"/>
    <n v="14.129999999999999"/>
    <n v="50"/>
    <s v="OK"/>
  </r>
  <r>
    <n v="10638"/>
    <x v="0"/>
    <x v="0"/>
    <n v="6.38"/>
    <n v="2"/>
    <x v="0"/>
    <n v="12"/>
    <n v="7.1456000000000008"/>
    <n v="12.000000000000011"/>
    <s v="OK"/>
  </r>
  <r>
    <n v="10639"/>
    <x v="3"/>
    <x v="2"/>
    <n v="1.1000000000000001"/>
    <n v="2"/>
    <x v="0"/>
    <n v="10"/>
    <n v="1.2100000000000002"/>
    <n v="10.000000000000009"/>
    <s v="OK"/>
  </r>
  <r>
    <n v="10640"/>
    <x v="1"/>
    <x v="1"/>
    <n v="5.54"/>
    <n v="10"/>
    <x v="2"/>
    <n v="60"/>
    <n v="8.8640000000000008"/>
    <n v="60.000000000000007"/>
    <s v="OK"/>
  </r>
  <r>
    <n v="10641"/>
    <x v="3"/>
    <x v="2"/>
    <n v="4.3499999999999996"/>
    <n v="10"/>
    <x v="2"/>
    <n v="50"/>
    <n v="6.5249999999999995"/>
    <n v="50"/>
    <s v="OK"/>
  </r>
  <r>
    <n v="10642"/>
    <x v="3"/>
    <x v="1"/>
    <n v="10.45"/>
    <n v="8"/>
    <x v="2"/>
    <n v="60"/>
    <n v="16.72"/>
    <n v="60.000000000000007"/>
    <s v="OK"/>
  </r>
  <r>
    <n v="10643"/>
    <x v="1"/>
    <x v="1"/>
    <n v="14.26"/>
    <n v="6"/>
    <x v="1"/>
    <n v="30"/>
    <n v="18.538"/>
    <n v="30.000000000000004"/>
    <s v="OK"/>
  </r>
  <r>
    <n v="10644"/>
    <x v="2"/>
    <x v="0"/>
    <n v="4.3899999999999997"/>
    <n v="4"/>
    <x v="1"/>
    <n v="28"/>
    <n v="5.6191999999999993"/>
    <n v="28.000000000000004"/>
    <s v="OK"/>
  </r>
  <r>
    <n v="10645"/>
    <x v="1"/>
    <x v="0"/>
    <n v="12.27"/>
    <n v="3"/>
    <x v="0"/>
    <n v="12"/>
    <n v="13.7424"/>
    <n v="12.000000000000011"/>
    <s v="OK"/>
  </r>
  <r>
    <n v="10646"/>
    <x v="2"/>
    <x v="0"/>
    <n v="1.3"/>
    <n v="1"/>
    <x v="0"/>
    <n v="12"/>
    <n v="1.4560000000000002"/>
    <n v="12.000000000000011"/>
    <s v="OK"/>
  </r>
  <r>
    <n v="10647"/>
    <x v="2"/>
    <x v="2"/>
    <n v="8.3000000000000007"/>
    <n v="3"/>
    <x v="0"/>
    <n v="10"/>
    <n v="9.1300000000000008"/>
    <n v="10.000000000000009"/>
    <s v="OK"/>
  </r>
  <r>
    <n v="10648"/>
    <x v="2"/>
    <x v="2"/>
    <n v="1.52"/>
    <n v="9"/>
    <x v="2"/>
    <n v="50"/>
    <n v="2.2800000000000002"/>
    <n v="50.000000000000021"/>
    <s v="OK"/>
  </r>
  <r>
    <n v="10649"/>
    <x v="1"/>
    <x v="0"/>
    <n v="14.04"/>
    <n v="5"/>
    <x v="1"/>
    <n v="28"/>
    <n v="17.9712"/>
    <n v="28.000000000000004"/>
    <s v="OK"/>
  </r>
  <r>
    <n v="10650"/>
    <x v="2"/>
    <x v="2"/>
    <n v="11.61"/>
    <n v="6"/>
    <x v="1"/>
    <n v="25"/>
    <n v="14.512499999999999"/>
    <n v="25"/>
    <s v="OK"/>
  </r>
  <r>
    <n v="10651"/>
    <x v="0"/>
    <x v="0"/>
    <n v="10.039999999999999"/>
    <n v="5"/>
    <x v="1"/>
    <n v="28"/>
    <n v="12.851199999999999"/>
    <n v="28.000000000000004"/>
    <s v="OK"/>
  </r>
  <r>
    <n v="10652"/>
    <x v="1"/>
    <x v="2"/>
    <n v="12.45"/>
    <n v="1"/>
    <x v="0"/>
    <n v="10"/>
    <n v="13.695"/>
    <n v="10.000000000000009"/>
    <s v="OK"/>
  </r>
  <r>
    <n v="10653"/>
    <x v="0"/>
    <x v="1"/>
    <n v="9.89"/>
    <n v="10"/>
    <x v="2"/>
    <n v="60"/>
    <n v="15.824000000000002"/>
    <n v="60.000000000000007"/>
    <s v="OK"/>
  </r>
  <r>
    <n v="10654"/>
    <x v="2"/>
    <x v="1"/>
    <n v="14.55"/>
    <n v="1"/>
    <x v="0"/>
    <n v="15"/>
    <n v="16.732499999999998"/>
    <n v="14.999999999999991"/>
    <s v="OK"/>
  </r>
  <r>
    <n v="10655"/>
    <x v="3"/>
    <x v="0"/>
    <n v="10.85"/>
    <n v="4"/>
    <x v="1"/>
    <n v="28"/>
    <n v="13.888"/>
    <n v="28.000000000000004"/>
    <s v="OK"/>
  </r>
  <r>
    <n v="10656"/>
    <x v="2"/>
    <x v="2"/>
    <n v="13.91"/>
    <n v="3"/>
    <x v="0"/>
    <n v="10"/>
    <n v="15.301000000000002"/>
    <n v="10.000000000000009"/>
    <s v="OK"/>
  </r>
  <r>
    <n v="10657"/>
    <x v="0"/>
    <x v="2"/>
    <n v="8"/>
    <n v="8"/>
    <x v="2"/>
    <n v="50"/>
    <n v="12"/>
    <n v="50"/>
    <s v="OK"/>
  </r>
  <r>
    <n v="10658"/>
    <x v="0"/>
    <x v="1"/>
    <n v="2.2000000000000002"/>
    <n v="7"/>
    <x v="1"/>
    <n v="30"/>
    <n v="2.8600000000000003"/>
    <n v="30.000000000000004"/>
    <s v="OK"/>
  </r>
  <r>
    <n v="10659"/>
    <x v="1"/>
    <x v="1"/>
    <n v="8.16"/>
    <n v="7"/>
    <x v="1"/>
    <n v="30"/>
    <n v="10.608000000000001"/>
    <n v="30.000000000000004"/>
    <s v="OK"/>
  </r>
  <r>
    <n v="10660"/>
    <x v="3"/>
    <x v="0"/>
    <n v="2.34"/>
    <n v="8"/>
    <x v="2"/>
    <n v="55"/>
    <n v="3.6269999999999998"/>
    <n v="55.000000000000007"/>
    <s v="OK"/>
  </r>
  <r>
    <n v="10661"/>
    <x v="1"/>
    <x v="1"/>
    <n v="9.09"/>
    <n v="10"/>
    <x v="2"/>
    <n v="60"/>
    <n v="14.544"/>
    <n v="60.000000000000007"/>
    <s v="OK"/>
  </r>
  <r>
    <n v="10662"/>
    <x v="0"/>
    <x v="0"/>
    <n v="7.5"/>
    <n v="7"/>
    <x v="1"/>
    <n v="28"/>
    <n v="9.6"/>
    <n v="28.000000000000004"/>
    <s v="OK"/>
  </r>
  <r>
    <n v="10663"/>
    <x v="2"/>
    <x v="1"/>
    <n v="9.5299999999999994"/>
    <n v="10"/>
    <x v="2"/>
    <n v="60"/>
    <n v="15.247999999999999"/>
    <n v="60.000000000000007"/>
    <s v="OK"/>
  </r>
  <r>
    <n v="10664"/>
    <x v="3"/>
    <x v="1"/>
    <n v="0.65"/>
    <n v="2"/>
    <x v="0"/>
    <n v="15"/>
    <n v="0.74749999999999994"/>
    <n v="14.999999999999991"/>
    <s v="OK"/>
  </r>
  <r>
    <n v="10665"/>
    <x v="2"/>
    <x v="2"/>
    <n v="3.33"/>
    <n v="4"/>
    <x v="1"/>
    <n v="25"/>
    <n v="4.1624999999999996"/>
    <n v="24.999999999999979"/>
    <s v="OK"/>
  </r>
  <r>
    <n v="10666"/>
    <x v="2"/>
    <x v="1"/>
    <n v="7.62"/>
    <n v="6"/>
    <x v="1"/>
    <n v="30"/>
    <n v="9.9060000000000006"/>
    <n v="30.000000000000004"/>
    <s v="OK"/>
  </r>
  <r>
    <n v="10667"/>
    <x v="3"/>
    <x v="1"/>
    <n v="14.28"/>
    <n v="3"/>
    <x v="0"/>
    <n v="15"/>
    <n v="16.421999999999997"/>
    <n v="14.999999999999991"/>
    <s v="OK"/>
  </r>
  <r>
    <n v="10668"/>
    <x v="1"/>
    <x v="0"/>
    <n v="6.06"/>
    <n v="3"/>
    <x v="0"/>
    <n v="12"/>
    <n v="6.7872000000000003"/>
    <n v="12.000000000000011"/>
    <s v="OK"/>
  </r>
  <r>
    <n v="10669"/>
    <x v="2"/>
    <x v="1"/>
    <n v="6.65"/>
    <n v="6"/>
    <x v="1"/>
    <n v="30"/>
    <n v="8.6450000000000014"/>
    <n v="30.000000000000004"/>
    <s v="OK"/>
  </r>
  <r>
    <n v="10670"/>
    <x v="0"/>
    <x v="0"/>
    <n v="10.86"/>
    <n v="1"/>
    <x v="0"/>
    <n v="12"/>
    <n v="12.1632"/>
    <n v="12.000000000000011"/>
    <s v="OK"/>
  </r>
  <r>
    <n v="10671"/>
    <x v="2"/>
    <x v="1"/>
    <n v="9.25"/>
    <n v="1"/>
    <x v="0"/>
    <n v="15"/>
    <n v="10.637499999999999"/>
    <n v="14.999999999999991"/>
    <s v="OK"/>
  </r>
  <r>
    <n v="10672"/>
    <x v="3"/>
    <x v="1"/>
    <n v="4.83"/>
    <n v="5"/>
    <x v="1"/>
    <n v="30"/>
    <n v="6.2789999999999999"/>
    <n v="30.000000000000004"/>
    <s v="OK"/>
  </r>
  <r>
    <n v="10673"/>
    <x v="3"/>
    <x v="0"/>
    <n v="6.46"/>
    <n v="1"/>
    <x v="0"/>
    <n v="12"/>
    <n v="7.2352000000000007"/>
    <n v="12.000000000000011"/>
    <s v="OK"/>
  </r>
  <r>
    <n v="10674"/>
    <x v="3"/>
    <x v="2"/>
    <n v="3.66"/>
    <n v="10"/>
    <x v="2"/>
    <n v="50"/>
    <n v="5.49"/>
    <n v="50"/>
    <s v="OK"/>
  </r>
  <r>
    <n v="10675"/>
    <x v="1"/>
    <x v="0"/>
    <n v="14.51"/>
    <n v="8"/>
    <x v="2"/>
    <n v="55"/>
    <n v="22.490500000000001"/>
    <n v="55.000000000000007"/>
    <s v="OK"/>
  </r>
  <r>
    <n v="10676"/>
    <x v="2"/>
    <x v="0"/>
    <n v="2.39"/>
    <n v="2"/>
    <x v="0"/>
    <n v="12"/>
    <n v="2.6768000000000005"/>
    <n v="12.000000000000011"/>
    <s v="OK"/>
  </r>
  <r>
    <n v="10677"/>
    <x v="1"/>
    <x v="0"/>
    <n v="5.89"/>
    <n v="6"/>
    <x v="1"/>
    <n v="28"/>
    <n v="7.5392000000000001"/>
    <n v="28.000000000000004"/>
    <s v="OK"/>
  </r>
  <r>
    <n v="10678"/>
    <x v="1"/>
    <x v="2"/>
    <n v="0.87"/>
    <n v="10"/>
    <x v="2"/>
    <n v="50"/>
    <n v="1.3049999999999999"/>
    <n v="50"/>
    <s v="OK"/>
  </r>
  <r>
    <n v="10679"/>
    <x v="3"/>
    <x v="1"/>
    <n v="3.72"/>
    <n v="10"/>
    <x v="2"/>
    <n v="60"/>
    <n v="5.9520000000000008"/>
    <n v="60.000000000000007"/>
    <s v="OK"/>
  </r>
  <r>
    <n v="10680"/>
    <x v="3"/>
    <x v="0"/>
    <n v="11.82"/>
    <n v="5"/>
    <x v="1"/>
    <n v="28"/>
    <n v="15.1296"/>
    <n v="28.000000000000004"/>
    <s v="OK"/>
  </r>
  <r>
    <n v="10681"/>
    <x v="1"/>
    <x v="0"/>
    <n v="3.42"/>
    <n v="10"/>
    <x v="2"/>
    <n v="55"/>
    <n v="5.3010000000000002"/>
    <n v="55.000000000000007"/>
    <s v="OK"/>
  </r>
  <r>
    <n v="10682"/>
    <x v="2"/>
    <x v="2"/>
    <n v="1.66"/>
    <n v="4"/>
    <x v="1"/>
    <n v="25"/>
    <n v="2.0749999999999997"/>
    <n v="25"/>
    <s v="OK"/>
  </r>
  <r>
    <n v="10683"/>
    <x v="0"/>
    <x v="0"/>
    <n v="7.38"/>
    <n v="1"/>
    <x v="0"/>
    <n v="12"/>
    <n v="8.2656000000000009"/>
    <n v="12.000000000000011"/>
    <s v="OK"/>
  </r>
  <r>
    <n v="10684"/>
    <x v="1"/>
    <x v="1"/>
    <n v="0.64"/>
    <n v="3"/>
    <x v="0"/>
    <n v="15"/>
    <n v="0.73599999999999999"/>
    <n v="14.999999999999991"/>
    <s v="OK"/>
  </r>
  <r>
    <n v="10685"/>
    <x v="2"/>
    <x v="2"/>
    <n v="1.73"/>
    <n v="4"/>
    <x v="1"/>
    <n v="25"/>
    <n v="2.1625000000000001"/>
    <n v="25"/>
    <s v="OK"/>
  </r>
  <r>
    <n v="10686"/>
    <x v="3"/>
    <x v="1"/>
    <n v="12.21"/>
    <n v="2"/>
    <x v="0"/>
    <n v="15"/>
    <n v="14.041499999999999"/>
    <n v="14.999999999999991"/>
    <s v="OK"/>
  </r>
  <r>
    <n v="10687"/>
    <x v="3"/>
    <x v="1"/>
    <n v="11.69"/>
    <n v="2"/>
    <x v="0"/>
    <n v="15"/>
    <n v="13.443499999999998"/>
    <n v="14.999999999999991"/>
    <s v="OK"/>
  </r>
  <r>
    <n v="10688"/>
    <x v="2"/>
    <x v="2"/>
    <n v="13.77"/>
    <n v="2"/>
    <x v="0"/>
    <n v="10"/>
    <n v="15.147"/>
    <n v="10.000000000000009"/>
    <s v="OK"/>
  </r>
  <r>
    <n v="10689"/>
    <x v="0"/>
    <x v="0"/>
    <n v="12.89"/>
    <n v="1"/>
    <x v="0"/>
    <n v="12"/>
    <n v="14.436800000000002"/>
    <n v="12.000000000000011"/>
    <s v="OK"/>
  </r>
  <r>
    <n v="10690"/>
    <x v="3"/>
    <x v="1"/>
    <n v="10.41"/>
    <n v="10"/>
    <x v="2"/>
    <n v="60"/>
    <n v="16.656000000000002"/>
    <n v="60.000000000000028"/>
    <s v="OK"/>
  </r>
  <r>
    <n v="10691"/>
    <x v="3"/>
    <x v="1"/>
    <n v="1.26"/>
    <n v="2"/>
    <x v="0"/>
    <n v="15"/>
    <n v="1.4489999999999998"/>
    <n v="14.999999999999991"/>
    <s v="OK"/>
  </r>
  <r>
    <n v="10692"/>
    <x v="3"/>
    <x v="1"/>
    <n v="11.85"/>
    <n v="6"/>
    <x v="1"/>
    <n v="30"/>
    <n v="15.404999999999999"/>
    <n v="30.000000000000004"/>
    <s v="OK"/>
  </r>
  <r>
    <n v="10693"/>
    <x v="2"/>
    <x v="1"/>
    <n v="12.76"/>
    <n v="3"/>
    <x v="0"/>
    <n v="15"/>
    <n v="14.673999999999999"/>
    <n v="14.999999999999991"/>
    <s v="OK"/>
  </r>
  <r>
    <n v="10694"/>
    <x v="1"/>
    <x v="2"/>
    <n v="12.09"/>
    <n v="10"/>
    <x v="2"/>
    <n v="50"/>
    <n v="18.134999999999998"/>
    <n v="49.999999999999979"/>
    <s v="OK"/>
  </r>
  <r>
    <n v="10695"/>
    <x v="3"/>
    <x v="2"/>
    <n v="7.87"/>
    <n v="5"/>
    <x v="1"/>
    <n v="25"/>
    <n v="9.8375000000000004"/>
    <n v="25"/>
    <s v="OK"/>
  </r>
  <r>
    <n v="10696"/>
    <x v="1"/>
    <x v="1"/>
    <n v="3.88"/>
    <n v="1"/>
    <x v="0"/>
    <n v="15"/>
    <n v="4.4619999999999997"/>
    <n v="14.999999999999991"/>
    <s v="OK"/>
  </r>
  <r>
    <n v="10697"/>
    <x v="0"/>
    <x v="0"/>
    <n v="12.76"/>
    <n v="8"/>
    <x v="2"/>
    <n v="55"/>
    <n v="19.777999999999999"/>
    <n v="54.999999999999986"/>
    <s v="OK"/>
  </r>
  <r>
    <n v="10698"/>
    <x v="3"/>
    <x v="1"/>
    <n v="11.04"/>
    <n v="4"/>
    <x v="1"/>
    <n v="30"/>
    <n v="14.351999999999999"/>
    <n v="30.000000000000004"/>
    <s v="OK"/>
  </r>
  <r>
    <n v="10699"/>
    <x v="3"/>
    <x v="0"/>
    <n v="14.72"/>
    <n v="9"/>
    <x v="2"/>
    <n v="55"/>
    <n v="22.816000000000003"/>
    <n v="55.000000000000007"/>
    <s v="OK"/>
  </r>
  <r>
    <n v="10700"/>
    <x v="0"/>
    <x v="1"/>
    <n v="2.76"/>
    <n v="4"/>
    <x v="1"/>
    <n v="30"/>
    <n v="3.5879999999999996"/>
    <n v="30.000000000000004"/>
    <s v="OK"/>
  </r>
  <r>
    <n v="10701"/>
    <x v="3"/>
    <x v="0"/>
    <n v="3.77"/>
    <n v="2"/>
    <x v="0"/>
    <n v="12"/>
    <n v="4.2224000000000004"/>
    <n v="12.000000000000011"/>
    <s v="OK"/>
  </r>
  <r>
    <n v="10702"/>
    <x v="1"/>
    <x v="1"/>
    <n v="3.57"/>
    <n v="3"/>
    <x v="0"/>
    <n v="15"/>
    <n v="4.1054999999999993"/>
    <n v="14.999999999999991"/>
    <s v="OK"/>
  </r>
  <r>
    <n v="10703"/>
    <x v="2"/>
    <x v="0"/>
    <n v="11.99"/>
    <n v="5"/>
    <x v="1"/>
    <n v="28"/>
    <n v="15.347200000000001"/>
    <n v="28.000000000000004"/>
    <s v="OK"/>
  </r>
  <r>
    <n v="10704"/>
    <x v="1"/>
    <x v="1"/>
    <n v="3.21"/>
    <n v="10"/>
    <x v="2"/>
    <n v="60"/>
    <n v="5.1360000000000001"/>
    <n v="60.000000000000007"/>
    <s v="OK"/>
  </r>
  <r>
    <n v="10705"/>
    <x v="2"/>
    <x v="1"/>
    <n v="1.47"/>
    <n v="6"/>
    <x v="1"/>
    <n v="30"/>
    <n v="1.911"/>
    <n v="30.000000000000004"/>
    <s v="OK"/>
  </r>
  <r>
    <n v="10706"/>
    <x v="2"/>
    <x v="0"/>
    <n v="14.98"/>
    <n v="7"/>
    <x v="1"/>
    <n v="28"/>
    <n v="19.174400000000002"/>
    <n v="28.000000000000004"/>
    <s v="OK"/>
  </r>
  <r>
    <n v="10707"/>
    <x v="1"/>
    <x v="2"/>
    <n v="0.86"/>
    <n v="4"/>
    <x v="1"/>
    <n v="25"/>
    <n v="1.075"/>
    <n v="25"/>
    <s v="OK"/>
  </r>
  <r>
    <n v="10708"/>
    <x v="1"/>
    <x v="0"/>
    <n v="12.61"/>
    <n v="7"/>
    <x v="1"/>
    <n v="28"/>
    <n v="16.140799999999999"/>
    <n v="28.000000000000004"/>
    <s v="OK"/>
  </r>
  <r>
    <n v="10709"/>
    <x v="1"/>
    <x v="2"/>
    <n v="5.8"/>
    <n v="10"/>
    <x v="2"/>
    <n v="50"/>
    <n v="8.6999999999999993"/>
    <n v="50"/>
    <s v="OK"/>
  </r>
  <r>
    <n v="10710"/>
    <x v="1"/>
    <x v="1"/>
    <n v="12.7"/>
    <n v="3"/>
    <x v="0"/>
    <n v="15"/>
    <n v="14.604999999999999"/>
    <n v="14.999999999999991"/>
    <s v="OK"/>
  </r>
  <r>
    <n v="10711"/>
    <x v="0"/>
    <x v="0"/>
    <n v="8.5399999999999991"/>
    <n v="7"/>
    <x v="1"/>
    <n v="28"/>
    <n v="10.931199999999999"/>
    <n v="28.000000000000004"/>
    <s v="OK"/>
  </r>
  <r>
    <n v="10712"/>
    <x v="3"/>
    <x v="0"/>
    <n v="13.57"/>
    <n v="4"/>
    <x v="1"/>
    <n v="28"/>
    <n v="17.369600000000002"/>
    <n v="28.000000000000004"/>
    <s v="OK"/>
  </r>
  <r>
    <n v="10713"/>
    <x v="2"/>
    <x v="0"/>
    <n v="13.93"/>
    <n v="8"/>
    <x v="2"/>
    <n v="55"/>
    <n v="21.5915"/>
    <n v="55.000000000000007"/>
    <s v="OK"/>
  </r>
  <r>
    <n v="10714"/>
    <x v="1"/>
    <x v="2"/>
    <n v="0.63"/>
    <n v="9"/>
    <x v="2"/>
    <n v="50"/>
    <n v="0.94500000000000006"/>
    <n v="50"/>
    <s v="OK"/>
  </r>
  <r>
    <n v="10715"/>
    <x v="1"/>
    <x v="2"/>
    <n v="1.59"/>
    <n v="7"/>
    <x v="1"/>
    <n v="25"/>
    <n v="1.9875"/>
    <n v="25"/>
    <s v="OK"/>
  </r>
  <r>
    <n v="10716"/>
    <x v="1"/>
    <x v="1"/>
    <n v="4.13"/>
    <n v="8"/>
    <x v="2"/>
    <n v="60"/>
    <n v="6.6080000000000005"/>
    <n v="60.000000000000007"/>
    <s v="OK"/>
  </r>
  <r>
    <n v="10717"/>
    <x v="0"/>
    <x v="2"/>
    <n v="10.210000000000001"/>
    <n v="8"/>
    <x v="2"/>
    <n v="50"/>
    <n v="15.315000000000001"/>
    <n v="50"/>
    <s v="OK"/>
  </r>
  <r>
    <n v="10718"/>
    <x v="1"/>
    <x v="2"/>
    <n v="13.38"/>
    <n v="2"/>
    <x v="0"/>
    <n v="10"/>
    <n v="14.718000000000002"/>
    <n v="10.000000000000009"/>
    <s v="OK"/>
  </r>
  <r>
    <n v="10719"/>
    <x v="1"/>
    <x v="1"/>
    <n v="7.17"/>
    <n v="9"/>
    <x v="2"/>
    <n v="60"/>
    <n v="11.472000000000001"/>
    <n v="60.000000000000007"/>
    <s v="OK"/>
  </r>
  <r>
    <n v="10720"/>
    <x v="1"/>
    <x v="0"/>
    <n v="9.3000000000000007"/>
    <n v="6"/>
    <x v="1"/>
    <n v="28"/>
    <n v="11.904000000000002"/>
    <n v="28.000000000000004"/>
    <s v="OK"/>
  </r>
  <r>
    <n v="10721"/>
    <x v="3"/>
    <x v="0"/>
    <n v="3.23"/>
    <n v="4"/>
    <x v="1"/>
    <n v="28"/>
    <n v="4.1344000000000003"/>
    <n v="28.000000000000004"/>
    <s v="OK"/>
  </r>
  <r>
    <n v="10722"/>
    <x v="0"/>
    <x v="1"/>
    <n v="12.17"/>
    <n v="5"/>
    <x v="1"/>
    <n v="30"/>
    <n v="15.821"/>
    <n v="30.000000000000004"/>
    <s v="OK"/>
  </r>
  <r>
    <n v="10723"/>
    <x v="1"/>
    <x v="0"/>
    <n v="14.53"/>
    <n v="10"/>
    <x v="2"/>
    <n v="55"/>
    <n v="22.5215"/>
    <n v="55.000000000000007"/>
    <s v="OK"/>
  </r>
  <r>
    <n v="10724"/>
    <x v="2"/>
    <x v="2"/>
    <n v="4.3899999999999997"/>
    <n v="5"/>
    <x v="1"/>
    <n v="25"/>
    <n v="5.4874999999999998"/>
    <n v="25"/>
    <s v="OK"/>
  </r>
  <r>
    <n v="10725"/>
    <x v="2"/>
    <x v="1"/>
    <n v="7.67"/>
    <n v="7"/>
    <x v="1"/>
    <n v="30"/>
    <n v="9.9710000000000001"/>
    <n v="30.000000000000004"/>
    <s v="OK"/>
  </r>
  <r>
    <n v="10726"/>
    <x v="2"/>
    <x v="1"/>
    <n v="1.75"/>
    <n v="9"/>
    <x v="2"/>
    <n v="60"/>
    <n v="2.8000000000000003"/>
    <n v="60.000000000000007"/>
    <s v="OK"/>
  </r>
  <r>
    <n v="10727"/>
    <x v="0"/>
    <x v="1"/>
    <n v="8.61"/>
    <n v="7"/>
    <x v="1"/>
    <n v="30"/>
    <n v="11.193"/>
    <n v="30.000000000000004"/>
    <s v="OK"/>
  </r>
  <r>
    <n v="10728"/>
    <x v="0"/>
    <x v="0"/>
    <n v="7.79"/>
    <n v="9"/>
    <x v="2"/>
    <n v="55"/>
    <n v="12.0745"/>
    <n v="55.000000000000007"/>
    <s v="OK"/>
  </r>
  <r>
    <n v="10729"/>
    <x v="2"/>
    <x v="1"/>
    <n v="2.59"/>
    <n v="4"/>
    <x v="1"/>
    <n v="30"/>
    <n v="3.367"/>
    <n v="30.000000000000004"/>
    <s v="OK"/>
  </r>
  <r>
    <n v="10730"/>
    <x v="1"/>
    <x v="1"/>
    <n v="6.91"/>
    <n v="10"/>
    <x v="2"/>
    <n v="60"/>
    <n v="11.056000000000001"/>
    <n v="60.000000000000007"/>
    <s v="OK"/>
  </r>
  <r>
    <n v="10731"/>
    <x v="0"/>
    <x v="1"/>
    <n v="5.34"/>
    <n v="10"/>
    <x v="2"/>
    <n v="60"/>
    <n v="8.5440000000000005"/>
    <n v="60.000000000000007"/>
    <s v="OK"/>
  </r>
  <r>
    <n v="10732"/>
    <x v="2"/>
    <x v="0"/>
    <n v="8.07"/>
    <n v="4"/>
    <x v="1"/>
    <n v="28"/>
    <n v="10.329600000000001"/>
    <n v="28.000000000000004"/>
    <s v="OK"/>
  </r>
  <r>
    <n v="10733"/>
    <x v="2"/>
    <x v="2"/>
    <n v="8.99"/>
    <n v="6"/>
    <x v="1"/>
    <n v="25"/>
    <n v="11.237500000000001"/>
    <n v="25"/>
    <s v="OK"/>
  </r>
  <r>
    <n v="10734"/>
    <x v="1"/>
    <x v="1"/>
    <n v="0.62"/>
    <n v="8"/>
    <x v="2"/>
    <n v="60"/>
    <n v="0.99199999999999999"/>
    <n v="60.000000000000007"/>
    <s v="OK"/>
  </r>
  <r>
    <n v="10735"/>
    <x v="3"/>
    <x v="2"/>
    <n v="11.53"/>
    <n v="9"/>
    <x v="2"/>
    <n v="50"/>
    <n v="17.294999999999998"/>
    <n v="50"/>
    <s v="OK"/>
  </r>
  <r>
    <n v="10736"/>
    <x v="0"/>
    <x v="0"/>
    <n v="10.84"/>
    <n v="1"/>
    <x v="0"/>
    <n v="12"/>
    <n v="12.1408"/>
    <n v="12.000000000000011"/>
    <s v="OK"/>
  </r>
  <r>
    <n v="10737"/>
    <x v="1"/>
    <x v="0"/>
    <n v="5.81"/>
    <n v="1"/>
    <x v="0"/>
    <n v="12"/>
    <n v="6.5072000000000001"/>
    <n v="12.000000000000011"/>
    <s v="OK"/>
  </r>
  <r>
    <n v="10738"/>
    <x v="2"/>
    <x v="0"/>
    <n v="1.27"/>
    <n v="8"/>
    <x v="2"/>
    <n v="55"/>
    <n v="1.9685000000000001"/>
    <n v="55.000000000000007"/>
    <s v="OK"/>
  </r>
  <r>
    <n v="10739"/>
    <x v="2"/>
    <x v="0"/>
    <n v="11.45"/>
    <n v="7"/>
    <x v="1"/>
    <n v="28"/>
    <n v="14.655999999999999"/>
    <n v="28.000000000000004"/>
    <s v="OK"/>
  </r>
  <r>
    <n v="10740"/>
    <x v="1"/>
    <x v="2"/>
    <n v="14.35"/>
    <n v="9"/>
    <x v="2"/>
    <n v="50"/>
    <n v="21.524999999999999"/>
    <n v="50"/>
    <s v="OK"/>
  </r>
  <r>
    <n v="10741"/>
    <x v="0"/>
    <x v="1"/>
    <n v="3.98"/>
    <n v="3"/>
    <x v="0"/>
    <n v="15"/>
    <n v="4.577"/>
    <n v="14.999999999999991"/>
    <s v="OK"/>
  </r>
  <r>
    <n v="10742"/>
    <x v="3"/>
    <x v="0"/>
    <n v="5.19"/>
    <n v="10"/>
    <x v="2"/>
    <n v="55"/>
    <n v="8.0445000000000011"/>
    <n v="55.000000000000007"/>
    <s v="OK"/>
  </r>
  <r>
    <n v="10743"/>
    <x v="3"/>
    <x v="0"/>
    <n v="3.17"/>
    <n v="5"/>
    <x v="1"/>
    <n v="28"/>
    <n v="4.0575999999999999"/>
    <n v="28.000000000000004"/>
    <s v="OK"/>
  </r>
  <r>
    <n v="10744"/>
    <x v="2"/>
    <x v="2"/>
    <n v="8.8699999999999992"/>
    <n v="3"/>
    <x v="0"/>
    <n v="10"/>
    <n v="9.7569999999999997"/>
    <n v="10.000000000000009"/>
    <s v="OK"/>
  </r>
  <r>
    <n v="10745"/>
    <x v="0"/>
    <x v="2"/>
    <n v="2.75"/>
    <n v="5"/>
    <x v="1"/>
    <n v="25"/>
    <n v="3.4375"/>
    <n v="25"/>
    <s v="OK"/>
  </r>
  <r>
    <n v="10746"/>
    <x v="3"/>
    <x v="0"/>
    <n v="5.66"/>
    <n v="10"/>
    <x v="2"/>
    <n v="55"/>
    <n v="8.7729999999999997"/>
    <n v="54.999999999999986"/>
    <s v="OK"/>
  </r>
  <r>
    <n v="10747"/>
    <x v="0"/>
    <x v="1"/>
    <n v="10.61"/>
    <n v="1"/>
    <x v="0"/>
    <n v="15"/>
    <n v="12.201499999999998"/>
    <n v="14.999999999999991"/>
    <s v="OK"/>
  </r>
  <r>
    <n v="10748"/>
    <x v="0"/>
    <x v="1"/>
    <n v="8.6199999999999992"/>
    <n v="4"/>
    <x v="1"/>
    <n v="30"/>
    <n v="11.206"/>
    <n v="30.000000000000004"/>
    <s v="OK"/>
  </r>
  <r>
    <n v="10749"/>
    <x v="2"/>
    <x v="0"/>
    <n v="6.1"/>
    <n v="6"/>
    <x v="1"/>
    <n v="28"/>
    <n v="7.8079999999999998"/>
    <n v="28.000000000000004"/>
    <s v="OK"/>
  </r>
  <r>
    <n v="10750"/>
    <x v="3"/>
    <x v="2"/>
    <n v="6.59"/>
    <n v="2"/>
    <x v="0"/>
    <n v="10"/>
    <n v="7.2490000000000006"/>
    <n v="10.000000000000009"/>
    <s v="OK"/>
  </r>
  <r>
    <n v="10751"/>
    <x v="1"/>
    <x v="0"/>
    <n v="8.65"/>
    <n v="7"/>
    <x v="1"/>
    <n v="28"/>
    <n v="11.072000000000001"/>
    <n v="28.000000000000004"/>
    <s v="OK"/>
  </r>
  <r>
    <n v="10752"/>
    <x v="2"/>
    <x v="0"/>
    <n v="0.59"/>
    <n v="8"/>
    <x v="2"/>
    <n v="55"/>
    <n v="0.91449999999999998"/>
    <n v="55.000000000000007"/>
    <s v="OK"/>
  </r>
  <r>
    <n v="10753"/>
    <x v="3"/>
    <x v="2"/>
    <n v="1.64"/>
    <n v="1"/>
    <x v="0"/>
    <n v="10"/>
    <n v="1.804"/>
    <n v="10.000000000000009"/>
    <s v="OK"/>
  </r>
  <r>
    <n v="10754"/>
    <x v="3"/>
    <x v="0"/>
    <n v="13.28"/>
    <n v="4"/>
    <x v="1"/>
    <n v="28"/>
    <n v="16.9984"/>
    <n v="28.000000000000004"/>
    <s v="OK"/>
  </r>
  <r>
    <n v="10755"/>
    <x v="3"/>
    <x v="0"/>
    <n v="1.63"/>
    <n v="4"/>
    <x v="1"/>
    <n v="28"/>
    <n v="2.0863999999999998"/>
    <n v="28.000000000000004"/>
    <s v="OK"/>
  </r>
  <r>
    <n v="10756"/>
    <x v="3"/>
    <x v="0"/>
    <n v="10.75"/>
    <n v="5"/>
    <x v="1"/>
    <n v="28"/>
    <n v="13.76"/>
    <n v="28.000000000000004"/>
    <s v="OK"/>
  </r>
  <r>
    <n v="10757"/>
    <x v="3"/>
    <x v="2"/>
    <n v="13.84"/>
    <n v="4"/>
    <x v="1"/>
    <n v="25"/>
    <n v="17.3"/>
    <n v="25"/>
    <s v="OK"/>
  </r>
  <r>
    <n v="10758"/>
    <x v="0"/>
    <x v="1"/>
    <n v="4.42"/>
    <n v="9"/>
    <x v="2"/>
    <n v="60"/>
    <n v="7.0720000000000001"/>
    <n v="60.000000000000007"/>
    <s v="OK"/>
  </r>
  <r>
    <n v="10759"/>
    <x v="2"/>
    <x v="1"/>
    <n v="5.87"/>
    <n v="7"/>
    <x v="1"/>
    <n v="30"/>
    <n v="7.6310000000000002"/>
    <n v="30.000000000000004"/>
    <s v="OK"/>
  </r>
  <r>
    <n v="10760"/>
    <x v="0"/>
    <x v="2"/>
    <n v="8.75"/>
    <n v="2"/>
    <x v="0"/>
    <n v="10"/>
    <n v="9.625"/>
    <n v="10.000000000000009"/>
    <s v="OK"/>
  </r>
  <r>
    <n v="10761"/>
    <x v="1"/>
    <x v="1"/>
    <n v="13.28"/>
    <n v="1"/>
    <x v="0"/>
    <n v="15"/>
    <n v="15.271999999999998"/>
    <n v="14.999999999999991"/>
    <s v="OK"/>
  </r>
  <r>
    <n v="10762"/>
    <x v="3"/>
    <x v="0"/>
    <n v="14.16"/>
    <n v="9"/>
    <x v="2"/>
    <n v="55"/>
    <n v="21.948"/>
    <n v="55.000000000000007"/>
    <s v="OK"/>
  </r>
  <r>
    <n v="10763"/>
    <x v="2"/>
    <x v="1"/>
    <n v="11.22"/>
    <n v="1"/>
    <x v="0"/>
    <n v="15"/>
    <n v="12.903"/>
    <n v="14.999999999999991"/>
    <s v="OK"/>
  </r>
  <r>
    <n v="10764"/>
    <x v="3"/>
    <x v="0"/>
    <n v="1.76"/>
    <n v="6"/>
    <x v="1"/>
    <n v="28"/>
    <n v="2.2528000000000001"/>
    <n v="28.000000000000004"/>
    <s v="OK"/>
  </r>
  <r>
    <n v="10765"/>
    <x v="2"/>
    <x v="1"/>
    <n v="10.199999999999999"/>
    <n v="2"/>
    <x v="0"/>
    <n v="15"/>
    <n v="11.729999999999999"/>
    <n v="14.999999999999991"/>
    <s v="OK"/>
  </r>
  <r>
    <n v="10766"/>
    <x v="0"/>
    <x v="2"/>
    <n v="6.45"/>
    <n v="4"/>
    <x v="1"/>
    <n v="25"/>
    <n v="8.0625"/>
    <n v="25"/>
    <s v="OK"/>
  </r>
  <r>
    <n v="10767"/>
    <x v="2"/>
    <x v="1"/>
    <n v="7.33"/>
    <n v="6"/>
    <x v="1"/>
    <n v="30"/>
    <n v="9.5289999999999999"/>
    <n v="30.000000000000004"/>
    <s v="OK"/>
  </r>
  <r>
    <n v="10768"/>
    <x v="1"/>
    <x v="1"/>
    <n v="1.21"/>
    <n v="5"/>
    <x v="1"/>
    <n v="30"/>
    <n v="1.573"/>
    <n v="30.000000000000004"/>
    <s v="OK"/>
  </r>
  <r>
    <n v="10769"/>
    <x v="1"/>
    <x v="1"/>
    <n v="3.27"/>
    <n v="6"/>
    <x v="1"/>
    <n v="30"/>
    <n v="4.2510000000000003"/>
    <n v="30.000000000000004"/>
    <s v="OK"/>
  </r>
  <r>
    <n v="10770"/>
    <x v="2"/>
    <x v="2"/>
    <n v="11.96"/>
    <n v="3"/>
    <x v="0"/>
    <n v="10"/>
    <n v="13.156000000000002"/>
    <n v="10.000000000000009"/>
    <s v="OK"/>
  </r>
  <r>
    <n v="10771"/>
    <x v="2"/>
    <x v="1"/>
    <n v="7.08"/>
    <n v="5"/>
    <x v="1"/>
    <n v="30"/>
    <n v="9.2040000000000006"/>
    <n v="30.000000000000004"/>
    <s v="OK"/>
  </r>
  <r>
    <n v="10772"/>
    <x v="2"/>
    <x v="2"/>
    <n v="4.87"/>
    <n v="2"/>
    <x v="0"/>
    <n v="10"/>
    <n v="5.3570000000000002"/>
    <n v="10.000000000000009"/>
    <s v="OK"/>
  </r>
  <r>
    <n v="10773"/>
    <x v="2"/>
    <x v="0"/>
    <n v="6.07"/>
    <n v="7"/>
    <x v="1"/>
    <n v="28"/>
    <n v="7.7696000000000005"/>
    <n v="28.000000000000004"/>
    <s v="OK"/>
  </r>
  <r>
    <n v="10774"/>
    <x v="1"/>
    <x v="1"/>
    <n v="12.89"/>
    <n v="3"/>
    <x v="0"/>
    <n v="15"/>
    <n v="14.823499999999999"/>
    <n v="14.999999999999991"/>
    <s v="OK"/>
  </r>
  <r>
    <n v="10775"/>
    <x v="3"/>
    <x v="2"/>
    <n v="11.36"/>
    <n v="1"/>
    <x v="0"/>
    <n v="10"/>
    <n v="12.496"/>
    <n v="10.000000000000009"/>
    <s v="OK"/>
  </r>
  <r>
    <n v="10776"/>
    <x v="2"/>
    <x v="2"/>
    <n v="4.45"/>
    <n v="8"/>
    <x v="2"/>
    <n v="50"/>
    <n v="6.6750000000000007"/>
    <n v="50"/>
    <s v="OK"/>
  </r>
  <r>
    <n v="10777"/>
    <x v="2"/>
    <x v="1"/>
    <n v="2.2000000000000002"/>
    <n v="8"/>
    <x v="2"/>
    <n v="60"/>
    <n v="3.5200000000000005"/>
    <n v="60.000000000000007"/>
    <s v="OK"/>
  </r>
  <r>
    <n v="10778"/>
    <x v="1"/>
    <x v="0"/>
    <n v="4.1500000000000004"/>
    <n v="3"/>
    <x v="0"/>
    <n v="12"/>
    <n v="4.6480000000000006"/>
    <n v="12.000000000000011"/>
    <s v="OK"/>
  </r>
  <r>
    <n v="10779"/>
    <x v="1"/>
    <x v="2"/>
    <n v="13.85"/>
    <n v="7"/>
    <x v="1"/>
    <n v="25"/>
    <n v="17.3125"/>
    <n v="25"/>
    <s v="OK"/>
  </r>
  <r>
    <n v="10780"/>
    <x v="0"/>
    <x v="1"/>
    <n v="8.93"/>
    <n v="9"/>
    <x v="2"/>
    <n v="60"/>
    <n v="14.288"/>
    <n v="60.000000000000007"/>
    <s v="OK"/>
  </r>
  <r>
    <n v="10781"/>
    <x v="2"/>
    <x v="0"/>
    <n v="8.24"/>
    <n v="8"/>
    <x v="2"/>
    <n v="55"/>
    <n v="12.772"/>
    <n v="55.000000000000007"/>
    <s v="OK"/>
  </r>
  <r>
    <n v="10782"/>
    <x v="0"/>
    <x v="2"/>
    <n v="9.15"/>
    <n v="3"/>
    <x v="0"/>
    <n v="10"/>
    <n v="10.065000000000001"/>
    <n v="10.000000000000009"/>
    <s v="OK"/>
  </r>
  <r>
    <n v="10783"/>
    <x v="1"/>
    <x v="2"/>
    <n v="5.81"/>
    <n v="2"/>
    <x v="0"/>
    <n v="10"/>
    <n v="6.391"/>
    <n v="10.000000000000009"/>
    <s v="OK"/>
  </r>
  <r>
    <n v="10784"/>
    <x v="1"/>
    <x v="0"/>
    <n v="12.2"/>
    <n v="10"/>
    <x v="2"/>
    <n v="55"/>
    <n v="18.91"/>
    <n v="55.000000000000007"/>
    <s v="OK"/>
  </r>
  <r>
    <n v="10785"/>
    <x v="3"/>
    <x v="0"/>
    <n v="8.09"/>
    <n v="7"/>
    <x v="1"/>
    <n v="28"/>
    <n v="10.3552"/>
    <n v="28.000000000000004"/>
    <s v="OK"/>
  </r>
  <r>
    <n v="10786"/>
    <x v="2"/>
    <x v="1"/>
    <n v="2.19"/>
    <n v="7"/>
    <x v="1"/>
    <n v="30"/>
    <n v="2.847"/>
    <n v="30.000000000000004"/>
    <s v="OK"/>
  </r>
  <r>
    <n v="10787"/>
    <x v="0"/>
    <x v="1"/>
    <n v="2.37"/>
    <n v="9"/>
    <x v="2"/>
    <n v="60"/>
    <n v="3.7920000000000003"/>
    <n v="60.000000000000007"/>
    <s v="OK"/>
  </r>
  <r>
    <n v="10788"/>
    <x v="1"/>
    <x v="2"/>
    <n v="8.2799999999999994"/>
    <n v="5"/>
    <x v="1"/>
    <n v="25"/>
    <n v="10.35"/>
    <n v="25"/>
    <s v="OK"/>
  </r>
  <r>
    <n v="10789"/>
    <x v="1"/>
    <x v="0"/>
    <n v="14.08"/>
    <n v="4"/>
    <x v="1"/>
    <n v="28"/>
    <n v="18.022400000000001"/>
    <n v="28.000000000000004"/>
    <s v="OK"/>
  </r>
  <r>
    <n v="10790"/>
    <x v="0"/>
    <x v="0"/>
    <n v="4.97"/>
    <n v="8"/>
    <x v="2"/>
    <n v="55"/>
    <n v="7.7035"/>
    <n v="55.000000000000007"/>
    <s v="OK"/>
  </r>
  <r>
    <n v="10791"/>
    <x v="3"/>
    <x v="0"/>
    <n v="13.11"/>
    <n v="4"/>
    <x v="1"/>
    <n v="28"/>
    <n v="16.780799999999999"/>
    <n v="28.000000000000004"/>
    <s v="OK"/>
  </r>
  <r>
    <n v="10792"/>
    <x v="1"/>
    <x v="2"/>
    <n v="11.58"/>
    <n v="4"/>
    <x v="1"/>
    <n v="25"/>
    <n v="14.475"/>
    <n v="25"/>
    <s v="OK"/>
  </r>
  <r>
    <n v="10793"/>
    <x v="2"/>
    <x v="0"/>
    <n v="4.09"/>
    <n v="2"/>
    <x v="0"/>
    <n v="12"/>
    <n v="4.5808"/>
    <n v="12.000000000000011"/>
    <s v="OK"/>
  </r>
  <r>
    <n v="10794"/>
    <x v="1"/>
    <x v="0"/>
    <n v="1.03"/>
    <n v="1"/>
    <x v="0"/>
    <n v="12"/>
    <n v="1.1536000000000002"/>
    <n v="12.000000000000011"/>
    <s v="OK"/>
  </r>
  <r>
    <n v="10795"/>
    <x v="2"/>
    <x v="2"/>
    <n v="1.98"/>
    <n v="4"/>
    <x v="1"/>
    <n v="25"/>
    <n v="2.4750000000000001"/>
    <n v="25"/>
    <s v="OK"/>
  </r>
  <r>
    <n v="10796"/>
    <x v="0"/>
    <x v="1"/>
    <n v="11.06"/>
    <n v="7"/>
    <x v="1"/>
    <n v="30"/>
    <n v="14.378000000000002"/>
    <n v="30.000000000000004"/>
    <s v="OK"/>
  </r>
  <r>
    <n v="10797"/>
    <x v="2"/>
    <x v="1"/>
    <n v="3.4"/>
    <n v="9"/>
    <x v="2"/>
    <n v="60"/>
    <n v="5.44"/>
    <n v="60.000000000000007"/>
    <s v="OK"/>
  </r>
  <r>
    <n v="10798"/>
    <x v="0"/>
    <x v="2"/>
    <n v="5.88"/>
    <n v="9"/>
    <x v="2"/>
    <n v="50"/>
    <n v="8.82"/>
    <n v="50"/>
    <s v="OK"/>
  </r>
  <r>
    <n v="10799"/>
    <x v="2"/>
    <x v="0"/>
    <n v="7.77"/>
    <n v="10"/>
    <x v="2"/>
    <n v="55"/>
    <n v="12.0435"/>
    <n v="55.000000000000007"/>
    <s v="OK"/>
  </r>
  <r>
    <n v="10800"/>
    <x v="0"/>
    <x v="2"/>
    <n v="11.02"/>
    <n v="1"/>
    <x v="0"/>
    <n v="10"/>
    <n v="12.122"/>
    <n v="10.000000000000009"/>
    <s v="OK"/>
  </r>
  <r>
    <n v="10801"/>
    <x v="2"/>
    <x v="1"/>
    <n v="2.14"/>
    <n v="5"/>
    <x v="1"/>
    <n v="30"/>
    <n v="2.7820000000000005"/>
    <n v="30.000000000000004"/>
    <s v="OK"/>
  </r>
  <r>
    <n v="10802"/>
    <x v="3"/>
    <x v="1"/>
    <n v="6.39"/>
    <n v="7"/>
    <x v="1"/>
    <n v="30"/>
    <n v="8.3070000000000004"/>
    <n v="30.000000000000004"/>
    <s v="OK"/>
  </r>
  <r>
    <n v="10803"/>
    <x v="2"/>
    <x v="2"/>
    <n v="7.53"/>
    <n v="7"/>
    <x v="1"/>
    <n v="25"/>
    <n v="9.4124999999999996"/>
    <n v="25"/>
    <s v="OK"/>
  </r>
  <r>
    <n v="10804"/>
    <x v="2"/>
    <x v="2"/>
    <n v="8.34"/>
    <n v="10"/>
    <x v="2"/>
    <n v="50"/>
    <n v="12.51"/>
    <n v="50"/>
    <s v="OK"/>
  </r>
  <r>
    <n v="10805"/>
    <x v="3"/>
    <x v="1"/>
    <n v="12.37"/>
    <n v="6"/>
    <x v="1"/>
    <n v="30"/>
    <n v="16.081"/>
    <n v="30.000000000000004"/>
    <s v="OK"/>
  </r>
  <r>
    <n v="10806"/>
    <x v="1"/>
    <x v="2"/>
    <n v="2.99"/>
    <n v="10"/>
    <x v="2"/>
    <n v="50"/>
    <n v="4.4850000000000003"/>
    <n v="50"/>
    <s v="OK"/>
  </r>
  <r>
    <n v="10807"/>
    <x v="1"/>
    <x v="1"/>
    <n v="12.21"/>
    <n v="4"/>
    <x v="1"/>
    <n v="30"/>
    <n v="15.873000000000001"/>
    <n v="30.000000000000004"/>
    <s v="OK"/>
  </r>
  <r>
    <n v="10808"/>
    <x v="2"/>
    <x v="2"/>
    <n v="10.55"/>
    <n v="3"/>
    <x v="0"/>
    <n v="10"/>
    <n v="11.605000000000002"/>
    <n v="10.000000000000009"/>
    <s v="OK"/>
  </r>
  <r>
    <n v="10809"/>
    <x v="3"/>
    <x v="2"/>
    <n v="8.56"/>
    <n v="9"/>
    <x v="2"/>
    <n v="50"/>
    <n v="12.84"/>
    <n v="50"/>
    <s v="OK"/>
  </r>
  <r>
    <n v="10810"/>
    <x v="2"/>
    <x v="2"/>
    <n v="10.64"/>
    <n v="10"/>
    <x v="2"/>
    <n v="50"/>
    <n v="15.96"/>
    <n v="50"/>
    <s v="OK"/>
  </r>
  <r>
    <n v="10811"/>
    <x v="0"/>
    <x v="1"/>
    <n v="6.47"/>
    <n v="4"/>
    <x v="1"/>
    <n v="30"/>
    <n v="8.4109999999999996"/>
    <n v="30.000000000000004"/>
    <s v="OK"/>
  </r>
  <r>
    <n v="10812"/>
    <x v="0"/>
    <x v="2"/>
    <n v="2.5099999999999998"/>
    <n v="8"/>
    <x v="2"/>
    <n v="50"/>
    <n v="3.7649999999999997"/>
    <n v="50"/>
    <s v="OK"/>
  </r>
  <r>
    <n v="10813"/>
    <x v="2"/>
    <x v="1"/>
    <n v="10.15"/>
    <n v="1"/>
    <x v="0"/>
    <n v="15"/>
    <n v="11.672499999999999"/>
    <n v="14.999999999999991"/>
    <s v="OK"/>
  </r>
  <r>
    <n v="10814"/>
    <x v="1"/>
    <x v="1"/>
    <n v="8.11"/>
    <n v="7"/>
    <x v="1"/>
    <n v="30"/>
    <n v="10.542999999999999"/>
    <n v="30.000000000000004"/>
    <s v="OK"/>
  </r>
  <r>
    <n v="10815"/>
    <x v="1"/>
    <x v="2"/>
    <n v="9.77"/>
    <n v="6"/>
    <x v="1"/>
    <n v="25"/>
    <n v="12.212499999999999"/>
    <n v="25"/>
    <s v="OK"/>
  </r>
  <r>
    <n v="10816"/>
    <x v="2"/>
    <x v="2"/>
    <n v="5.4"/>
    <n v="1"/>
    <x v="0"/>
    <n v="10"/>
    <n v="5.9400000000000013"/>
    <n v="10.000000000000009"/>
    <s v="OK"/>
  </r>
  <r>
    <n v="10817"/>
    <x v="2"/>
    <x v="1"/>
    <n v="13.65"/>
    <n v="4"/>
    <x v="1"/>
    <n v="30"/>
    <n v="17.745000000000001"/>
    <n v="30.000000000000004"/>
    <s v="OK"/>
  </r>
  <r>
    <n v="10818"/>
    <x v="0"/>
    <x v="1"/>
    <n v="9.02"/>
    <n v="5"/>
    <x v="1"/>
    <n v="30"/>
    <n v="11.725999999999999"/>
    <n v="30.000000000000004"/>
    <s v="OK"/>
  </r>
  <r>
    <n v="10819"/>
    <x v="1"/>
    <x v="0"/>
    <n v="1.74"/>
    <n v="8"/>
    <x v="2"/>
    <n v="55"/>
    <n v="2.6970000000000001"/>
    <n v="55.000000000000007"/>
    <s v="OK"/>
  </r>
  <r>
    <n v="10820"/>
    <x v="2"/>
    <x v="1"/>
    <n v="7.02"/>
    <n v="4"/>
    <x v="1"/>
    <n v="30"/>
    <n v="9.1259999999999994"/>
    <n v="30.000000000000004"/>
    <s v="OK"/>
  </r>
  <r>
    <n v="10821"/>
    <x v="0"/>
    <x v="0"/>
    <n v="11.47"/>
    <n v="3"/>
    <x v="0"/>
    <n v="12"/>
    <n v="12.846400000000003"/>
    <n v="12.000000000000011"/>
    <s v="OK"/>
  </r>
  <r>
    <n v="10822"/>
    <x v="1"/>
    <x v="0"/>
    <n v="12.01"/>
    <n v="2"/>
    <x v="0"/>
    <n v="12"/>
    <n v="13.451200000000002"/>
    <n v="12.000000000000011"/>
    <s v="OK"/>
  </r>
  <r>
    <n v="10823"/>
    <x v="3"/>
    <x v="0"/>
    <n v="7.67"/>
    <n v="4"/>
    <x v="1"/>
    <n v="28"/>
    <n v="9.8176000000000005"/>
    <n v="28.000000000000004"/>
    <s v="OK"/>
  </r>
  <r>
    <n v="10824"/>
    <x v="0"/>
    <x v="2"/>
    <n v="13.47"/>
    <n v="10"/>
    <x v="2"/>
    <n v="50"/>
    <n v="20.205000000000002"/>
    <n v="50"/>
    <s v="OK"/>
  </r>
  <r>
    <n v="10825"/>
    <x v="1"/>
    <x v="2"/>
    <n v="4.38"/>
    <n v="4"/>
    <x v="1"/>
    <n v="25"/>
    <n v="5.4749999999999996"/>
    <n v="25"/>
    <s v="OK"/>
  </r>
  <r>
    <n v="10826"/>
    <x v="1"/>
    <x v="1"/>
    <n v="6.45"/>
    <n v="10"/>
    <x v="2"/>
    <n v="60"/>
    <n v="10.32"/>
    <n v="60.000000000000007"/>
    <s v="OK"/>
  </r>
  <r>
    <n v="10827"/>
    <x v="0"/>
    <x v="0"/>
    <n v="13.53"/>
    <n v="5"/>
    <x v="1"/>
    <n v="28"/>
    <n v="17.3184"/>
    <n v="28.000000000000004"/>
    <s v="OK"/>
  </r>
  <r>
    <n v="10828"/>
    <x v="3"/>
    <x v="2"/>
    <n v="13.5"/>
    <n v="7"/>
    <x v="1"/>
    <n v="25"/>
    <n v="16.875"/>
    <n v="25"/>
    <s v="OK"/>
  </r>
  <r>
    <n v="10829"/>
    <x v="0"/>
    <x v="2"/>
    <n v="10.44"/>
    <n v="9"/>
    <x v="2"/>
    <n v="50"/>
    <n v="15.66"/>
    <n v="50"/>
    <s v="OK"/>
  </r>
  <r>
    <n v="10830"/>
    <x v="1"/>
    <x v="2"/>
    <n v="12.96"/>
    <n v="2"/>
    <x v="0"/>
    <n v="10"/>
    <n v="14.256000000000002"/>
    <n v="10.000000000000009"/>
    <s v="OK"/>
  </r>
  <r>
    <n v="10831"/>
    <x v="2"/>
    <x v="2"/>
    <n v="1.79"/>
    <n v="5"/>
    <x v="1"/>
    <n v="25"/>
    <n v="2.2374999999999998"/>
    <n v="24.999999999999979"/>
    <s v="OK"/>
  </r>
  <r>
    <n v="10832"/>
    <x v="2"/>
    <x v="2"/>
    <n v="13.04"/>
    <n v="10"/>
    <x v="2"/>
    <n v="50"/>
    <n v="19.559999999999999"/>
    <n v="50"/>
    <s v="OK"/>
  </r>
  <r>
    <n v="10833"/>
    <x v="0"/>
    <x v="0"/>
    <n v="5.15"/>
    <n v="9"/>
    <x v="2"/>
    <n v="55"/>
    <n v="7.9825000000000008"/>
    <n v="55.000000000000007"/>
    <s v="OK"/>
  </r>
  <r>
    <n v="10834"/>
    <x v="1"/>
    <x v="0"/>
    <n v="3.09"/>
    <n v="3"/>
    <x v="0"/>
    <n v="12"/>
    <n v="3.4608000000000003"/>
    <n v="12.000000000000011"/>
    <s v="OK"/>
  </r>
  <r>
    <n v="10835"/>
    <x v="2"/>
    <x v="0"/>
    <n v="3.97"/>
    <n v="1"/>
    <x v="0"/>
    <n v="12"/>
    <n v="4.4464000000000006"/>
    <n v="12.000000000000011"/>
    <s v="OK"/>
  </r>
  <r>
    <n v="10836"/>
    <x v="1"/>
    <x v="0"/>
    <n v="6.56"/>
    <n v="2"/>
    <x v="0"/>
    <n v="12"/>
    <n v="7.3472"/>
    <n v="12.000000000000011"/>
    <s v="OK"/>
  </r>
  <r>
    <n v="10837"/>
    <x v="0"/>
    <x v="1"/>
    <n v="4.1399999999999997"/>
    <n v="6"/>
    <x v="1"/>
    <n v="30"/>
    <n v="5.3819999999999997"/>
    <n v="30.000000000000004"/>
    <s v="OK"/>
  </r>
  <r>
    <n v="10838"/>
    <x v="2"/>
    <x v="0"/>
    <n v="5.15"/>
    <n v="5"/>
    <x v="1"/>
    <n v="28"/>
    <n v="6.5920000000000005"/>
    <n v="28.000000000000004"/>
    <s v="OK"/>
  </r>
  <r>
    <n v="10839"/>
    <x v="1"/>
    <x v="2"/>
    <n v="2.46"/>
    <n v="1"/>
    <x v="0"/>
    <n v="10"/>
    <n v="2.706"/>
    <n v="10.000000000000009"/>
    <s v="OK"/>
  </r>
  <r>
    <n v="10840"/>
    <x v="2"/>
    <x v="0"/>
    <n v="4.79"/>
    <n v="1"/>
    <x v="0"/>
    <n v="12"/>
    <n v="5.3648000000000007"/>
    <n v="12.000000000000011"/>
    <s v="OK"/>
  </r>
  <r>
    <n v="10841"/>
    <x v="0"/>
    <x v="1"/>
    <n v="8.8000000000000007"/>
    <n v="4"/>
    <x v="1"/>
    <n v="30"/>
    <n v="11.440000000000001"/>
    <n v="30.000000000000004"/>
    <s v="OK"/>
  </r>
  <r>
    <n v="10842"/>
    <x v="1"/>
    <x v="2"/>
    <n v="6.91"/>
    <n v="4"/>
    <x v="1"/>
    <n v="25"/>
    <n v="8.6374999999999993"/>
    <n v="24.999999999999979"/>
    <s v="OK"/>
  </r>
  <r>
    <n v="10843"/>
    <x v="2"/>
    <x v="0"/>
    <n v="5.53"/>
    <n v="6"/>
    <x v="1"/>
    <n v="28"/>
    <n v="7.0784000000000002"/>
    <n v="28.000000000000004"/>
    <s v="OK"/>
  </r>
  <r>
    <n v="10844"/>
    <x v="0"/>
    <x v="0"/>
    <n v="11.32"/>
    <n v="6"/>
    <x v="1"/>
    <n v="28"/>
    <n v="14.489600000000001"/>
    <n v="28.000000000000004"/>
    <s v="OK"/>
  </r>
  <r>
    <n v="10845"/>
    <x v="2"/>
    <x v="0"/>
    <n v="13.46"/>
    <n v="10"/>
    <x v="2"/>
    <n v="55"/>
    <n v="20.863000000000003"/>
    <n v="55.000000000000007"/>
    <s v="OK"/>
  </r>
  <r>
    <n v="10846"/>
    <x v="2"/>
    <x v="2"/>
    <n v="11.47"/>
    <n v="6"/>
    <x v="1"/>
    <n v="25"/>
    <n v="14.3375"/>
    <n v="25"/>
    <s v="OK"/>
  </r>
  <r>
    <n v="10847"/>
    <x v="3"/>
    <x v="2"/>
    <n v="5.31"/>
    <n v="1"/>
    <x v="0"/>
    <n v="10"/>
    <n v="5.8410000000000002"/>
    <n v="10.000000000000009"/>
    <s v="OK"/>
  </r>
  <r>
    <n v="10848"/>
    <x v="3"/>
    <x v="1"/>
    <n v="11.29"/>
    <n v="10"/>
    <x v="2"/>
    <n v="60"/>
    <n v="18.064"/>
    <n v="60.000000000000007"/>
    <s v="OK"/>
  </r>
  <r>
    <n v="10849"/>
    <x v="0"/>
    <x v="2"/>
    <n v="2.7"/>
    <n v="9"/>
    <x v="2"/>
    <n v="50"/>
    <n v="4.0500000000000007"/>
    <n v="50.000000000000021"/>
    <s v="OK"/>
  </r>
  <r>
    <n v="10850"/>
    <x v="3"/>
    <x v="2"/>
    <n v="2.39"/>
    <n v="7"/>
    <x v="1"/>
    <n v="25"/>
    <n v="2.9875000000000003"/>
    <n v="25"/>
    <s v="OK"/>
  </r>
  <r>
    <n v="10851"/>
    <x v="0"/>
    <x v="0"/>
    <n v="5.51"/>
    <n v="7"/>
    <x v="1"/>
    <n v="28"/>
    <n v="7.0527999999999995"/>
    <n v="28.000000000000004"/>
    <s v="OK"/>
  </r>
  <r>
    <n v="10852"/>
    <x v="3"/>
    <x v="2"/>
    <n v="12.21"/>
    <n v="7"/>
    <x v="1"/>
    <n v="25"/>
    <n v="15.262500000000001"/>
    <n v="25"/>
    <s v="OK"/>
  </r>
  <r>
    <n v="10853"/>
    <x v="2"/>
    <x v="0"/>
    <n v="4.07"/>
    <n v="2"/>
    <x v="0"/>
    <n v="12"/>
    <n v="4.5584000000000007"/>
    <n v="12.000000000000011"/>
    <s v="OK"/>
  </r>
  <r>
    <n v="10854"/>
    <x v="0"/>
    <x v="0"/>
    <n v="1.42"/>
    <n v="2"/>
    <x v="0"/>
    <n v="12"/>
    <n v="1.5904"/>
    <n v="12.000000000000011"/>
    <s v="OK"/>
  </r>
  <r>
    <n v="10855"/>
    <x v="0"/>
    <x v="2"/>
    <n v="2.41"/>
    <n v="6"/>
    <x v="1"/>
    <n v="25"/>
    <n v="3.0125000000000002"/>
    <n v="25"/>
    <s v="OK"/>
  </r>
  <r>
    <n v="10856"/>
    <x v="2"/>
    <x v="1"/>
    <n v="12.95"/>
    <n v="7"/>
    <x v="1"/>
    <n v="30"/>
    <n v="16.835000000000001"/>
    <n v="30.000000000000004"/>
    <s v="OK"/>
  </r>
  <r>
    <n v="10857"/>
    <x v="0"/>
    <x v="1"/>
    <n v="9.69"/>
    <n v="3"/>
    <x v="0"/>
    <n v="15"/>
    <n v="11.143499999999998"/>
    <n v="14.999999999999991"/>
    <s v="OK"/>
  </r>
  <r>
    <n v="10858"/>
    <x v="0"/>
    <x v="2"/>
    <n v="4.17"/>
    <n v="4"/>
    <x v="1"/>
    <n v="25"/>
    <n v="5.2125000000000004"/>
    <n v="25"/>
    <s v="OK"/>
  </r>
  <r>
    <n v="10859"/>
    <x v="3"/>
    <x v="1"/>
    <n v="8.5500000000000007"/>
    <n v="3"/>
    <x v="0"/>
    <n v="15"/>
    <n v="9.8324999999999996"/>
    <n v="14.999999999999991"/>
    <s v="OK"/>
  </r>
  <r>
    <n v="10860"/>
    <x v="0"/>
    <x v="0"/>
    <n v="8.15"/>
    <n v="7"/>
    <x v="1"/>
    <n v="28"/>
    <n v="10.432"/>
    <n v="28.000000000000004"/>
    <s v="OK"/>
  </r>
  <r>
    <n v="10861"/>
    <x v="1"/>
    <x v="0"/>
    <n v="10"/>
    <n v="7"/>
    <x v="1"/>
    <n v="28"/>
    <n v="12.8"/>
    <n v="28.000000000000004"/>
    <s v="OK"/>
  </r>
  <r>
    <n v="10862"/>
    <x v="2"/>
    <x v="2"/>
    <n v="3.88"/>
    <n v="4"/>
    <x v="1"/>
    <n v="25"/>
    <n v="4.8499999999999996"/>
    <n v="25"/>
    <s v="OK"/>
  </r>
  <r>
    <n v="10863"/>
    <x v="3"/>
    <x v="1"/>
    <n v="13.03"/>
    <n v="7"/>
    <x v="1"/>
    <n v="30"/>
    <n v="16.939"/>
    <n v="30.000000000000004"/>
    <s v="OK"/>
  </r>
  <r>
    <n v="10864"/>
    <x v="3"/>
    <x v="1"/>
    <n v="4.99"/>
    <n v="5"/>
    <x v="1"/>
    <n v="30"/>
    <n v="6.4870000000000001"/>
    <n v="30.000000000000004"/>
    <s v="OK"/>
  </r>
  <r>
    <n v="10865"/>
    <x v="1"/>
    <x v="0"/>
    <n v="10.56"/>
    <n v="1"/>
    <x v="0"/>
    <n v="12"/>
    <n v="11.827200000000001"/>
    <n v="12.000000000000011"/>
    <s v="OK"/>
  </r>
  <r>
    <n v="10866"/>
    <x v="2"/>
    <x v="2"/>
    <n v="0.73"/>
    <n v="10"/>
    <x v="2"/>
    <n v="50"/>
    <n v="1.095"/>
    <n v="50"/>
    <s v="OK"/>
  </r>
  <r>
    <n v="10867"/>
    <x v="2"/>
    <x v="1"/>
    <n v="5.9"/>
    <n v="4"/>
    <x v="1"/>
    <n v="30"/>
    <n v="7.6700000000000008"/>
    <n v="30.000000000000004"/>
    <s v="OK"/>
  </r>
  <r>
    <n v="10868"/>
    <x v="3"/>
    <x v="2"/>
    <n v="5.6"/>
    <n v="7"/>
    <x v="1"/>
    <n v="25"/>
    <n v="7"/>
    <n v="25"/>
    <s v="OK"/>
  </r>
  <r>
    <n v="10869"/>
    <x v="0"/>
    <x v="1"/>
    <n v="8.3800000000000008"/>
    <n v="2"/>
    <x v="0"/>
    <n v="15"/>
    <n v="9.6370000000000005"/>
    <n v="14.999999999999991"/>
    <s v="OK"/>
  </r>
  <r>
    <n v="10870"/>
    <x v="3"/>
    <x v="0"/>
    <n v="1.55"/>
    <n v="2"/>
    <x v="0"/>
    <n v="12"/>
    <n v="1.7360000000000002"/>
    <n v="12.000000000000011"/>
    <s v="OK"/>
  </r>
  <r>
    <n v="10871"/>
    <x v="2"/>
    <x v="0"/>
    <n v="11.96"/>
    <n v="1"/>
    <x v="0"/>
    <n v="12"/>
    <n v="13.395200000000003"/>
    <n v="12.000000000000011"/>
    <s v="OK"/>
  </r>
  <r>
    <n v="10872"/>
    <x v="1"/>
    <x v="2"/>
    <n v="3.66"/>
    <n v="2"/>
    <x v="0"/>
    <n v="10"/>
    <n v="4.0260000000000007"/>
    <n v="10.000000000000009"/>
    <s v="OK"/>
  </r>
  <r>
    <n v="10873"/>
    <x v="3"/>
    <x v="0"/>
    <n v="10.32"/>
    <n v="10"/>
    <x v="2"/>
    <n v="55"/>
    <n v="15.996"/>
    <n v="55.000000000000007"/>
    <s v="OK"/>
  </r>
  <r>
    <n v="10874"/>
    <x v="2"/>
    <x v="1"/>
    <n v="12.15"/>
    <n v="8"/>
    <x v="2"/>
    <n v="60"/>
    <n v="19.440000000000001"/>
    <n v="60.000000000000007"/>
    <s v="OK"/>
  </r>
  <r>
    <n v="10875"/>
    <x v="3"/>
    <x v="0"/>
    <n v="8.65"/>
    <n v="8"/>
    <x v="2"/>
    <n v="55"/>
    <n v="13.407500000000001"/>
    <n v="55.000000000000007"/>
    <s v="OK"/>
  </r>
  <r>
    <n v="10876"/>
    <x v="0"/>
    <x v="2"/>
    <n v="11.24"/>
    <n v="8"/>
    <x v="2"/>
    <n v="50"/>
    <n v="16.86"/>
    <n v="50"/>
    <s v="OK"/>
  </r>
  <r>
    <n v="10877"/>
    <x v="3"/>
    <x v="2"/>
    <n v="10.1"/>
    <n v="1"/>
    <x v="0"/>
    <n v="10"/>
    <n v="11.110000000000001"/>
    <n v="10.000000000000009"/>
    <s v="OK"/>
  </r>
  <r>
    <n v="10878"/>
    <x v="3"/>
    <x v="2"/>
    <n v="5.66"/>
    <n v="1"/>
    <x v="0"/>
    <n v="10"/>
    <n v="6.2260000000000009"/>
    <n v="10.000000000000009"/>
    <s v="OK"/>
  </r>
  <r>
    <n v="10879"/>
    <x v="2"/>
    <x v="1"/>
    <n v="12.23"/>
    <n v="10"/>
    <x v="2"/>
    <n v="60"/>
    <n v="19.568000000000001"/>
    <n v="60.000000000000007"/>
    <s v="OK"/>
  </r>
  <r>
    <n v="10880"/>
    <x v="2"/>
    <x v="1"/>
    <n v="4.7699999999999996"/>
    <n v="4"/>
    <x v="1"/>
    <n v="30"/>
    <n v="6.2009999999999996"/>
    <n v="30.000000000000004"/>
    <s v="OK"/>
  </r>
  <r>
    <n v="10881"/>
    <x v="2"/>
    <x v="1"/>
    <n v="8.7799999999999994"/>
    <n v="6"/>
    <x v="1"/>
    <n v="30"/>
    <n v="11.414"/>
    <n v="30.000000000000004"/>
    <s v="OK"/>
  </r>
  <r>
    <n v="10882"/>
    <x v="3"/>
    <x v="1"/>
    <n v="11.31"/>
    <n v="8"/>
    <x v="2"/>
    <n v="60"/>
    <n v="18.096"/>
    <n v="59.999999999999986"/>
    <s v="OK"/>
  </r>
  <r>
    <n v="10883"/>
    <x v="0"/>
    <x v="1"/>
    <n v="5.99"/>
    <n v="2"/>
    <x v="0"/>
    <n v="15"/>
    <n v="6.8884999999999996"/>
    <n v="14.999999999999991"/>
    <s v="OK"/>
  </r>
  <r>
    <n v="10884"/>
    <x v="1"/>
    <x v="0"/>
    <n v="4.8899999999999997"/>
    <n v="3"/>
    <x v="0"/>
    <n v="12"/>
    <n v="5.4767999999999999"/>
    <n v="12.000000000000011"/>
    <s v="OK"/>
  </r>
  <r>
    <n v="10885"/>
    <x v="1"/>
    <x v="1"/>
    <n v="7.16"/>
    <n v="6"/>
    <x v="1"/>
    <n v="30"/>
    <n v="9.3079999999999998"/>
    <n v="30.000000000000004"/>
    <s v="OK"/>
  </r>
  <r>
    <n v="10886"/>
    <x v="2"/>
    <x v="1"/>
    <n v="12.36"/>
    <n v="10"/>
    <x v="2"/>
    <n v="60"/>
    <n v="19.776"/>
    <n v="60.000000000000007"/>
    <s v="OK"/>
  </r>
  <r>
    <n v="10887"/>
    <x v="2"/>
    <x v="0"/>
    <n v="13.98"/>
    <n v="4"/>
    <x v="1"/>
    <n v="28"/>
    <n v="17.894400000000001"/>
    <n v="28.000000000000004"/>
    <s v="OK"/>
  </r>
  <r>
    <n v="10888"/>
    <x v="3"/>
    <x v="1"/>
    <n v="8.4"/>
    <n v="2"/>
    <x v="0"/>
    <n v="15"/>
    <n v="9.66"/>
    <n v="14.999999999999991"/>
    <s v="OK"/>
  </r>
  <r>
    <n v="10889"/>
    <x v="1"/>
    <x v="2"/>
    <n v="10.09"/>
    <n v="7"/>
    <x v="1"/>
    <n v="25"/>
    <n v="12.612500000000001"/>
    <n v="25"/>
    <s v="OK"/>
  </r>
  <r>
    <n v="10890"/>
    <x v="2"/>
    <x v="1"/>
    <n v="13.6"/>
    <n v="4"/>
    <x v="1"/>
    <n v="30"/>
    <n v="17.68"/>
    <n v="30.000000000000004"/>
    <s v="OK"/>
  </r>
  <r>
    <n v="10891"/>
    <x v="0"/>
    <x v="1"/>
    <n v="1.93"/>
    <n v="8"/>
    <x v="2"/>
    <n v="60"/>
    <n v="3.0880000000000001"/>
    <n v="60.000000000000007"/>
    <s v="OK"/>
  </r>
  <r>
    <n v="10892"/>
    <x v="0"/>
    <x v="2"/>
    <n v="3.87"/>
    <n v="8"/>
    <x v="2"/>
    <n v="50"/>
    <n v="5.8049999999999997"/>
    <n v="49.999999999999979"/>
    <s v="OK"/>
  </r>
  <r>
    <n v="10893"/>
    <x v="2"/>
    <x v="2"/>
    <n v="10.78"/>
    <n v="7"/>
    <x v="1"/>
    <n v="25"/>
    <n v="13.475"/>
    <n v="25"/>
    <s v="OK"/>
  </r>
  <r>
    <n v="10894"/>
    <x v="2"/>
    <x v="2"/>
    <n v="12.44"/>
    <n v="10"/>
    <x v="2"/>
    <n v="50"/>
    <n v="18.66"/>
    <n v="50"/>
    <s v="OK"/>
  </r>
  <r>
    <n v="10895"/>
    <x v="1"/>
    <x v="2"/>
    <n v="12.93"/>
    <n v="9"/>
    <x v="2"/>
    <n v="50"/>
    <n v="19.395"/>
    <n v="50"/>
    <s v="OK"/>
  </r>
  <r>
    <n v="10896"/>
    <x v="1"/>
    <x v="1"/>
    <n v="6.52"/>
    <n v="4"/>
    <x v="1"/>
    <n v="30"/>
    <n v="8.4759999999999991"/>
    <n v="30.000000000000004"/>
    <s v="OK"/>
  </r>
  <r>
    <n v="10897"/>
    <x v="3"/>
    <x v="2"/>
    <n v="1.8"/>
    <n v="7"/>
    <x v="1"/>
    <n v="25"/>
    <n v="2.25"/>
    <n v="25"/>
    <s v="OK"/>
  </r>
  <r>
    <n v="10898"/>
    <x v="1"/>
    <x v="2"/>
    <n v="6.85"/>
    <n v="10"/>
    <x v="2"/>
    <n v="50"/>
    <n v="10.274999999999999"/>
    <n v="49.999999999999979"/>
    <s v="OK"/>
  </r>
  <r>
    <n v="10899"/>
    <x v="0"/>
    <x v="0"/>
    <n v="3.85"/>
    <n v="10"/>
    <x v="2"/>
    <n v="55"/>
    <n v="5.9675000000000002"/>
    <n v="55.000000000000007"/>
    <s v="OK"/>
  </r>
  <r>
    <n v="10900"/>
    <x v="0"/>
    <x v="2"/>
    <n v="4.72"/>
    <n v="1"/>
    <x v="0"/>
    <n v="10"/>
    <n v="5.1920000000000002"/>
    <n v="10.000000000000009"/>
    <s v="OK"/>
  </r>
  <r>
    <n v="10901"/>
    <x v="2"/>
    <x v="2"/>
    <n v="11.7"/>
    <n v="4"/>
    <x v="1"/>
    <n v="25"/>
    <n v="14.625"/>
    <n v="25"/>
    <s v="OK"/>
  </r>
  <r>
    <n v="10902"/>
    <x v="1"/>
    <x v="0"/>
    <n v="1.6"/>
    <n v="2"/>
    <x v="0"/>
    <n v="12"/>
    <n v="1.7920000000000003"/>
    <n v="12.000000000000011"/>
    <s v="OK"/>
  </r>
  <r>
    <n v="10903"/>
    <x v="3"/>
    <x v="0"/>
    <n v="12.5"/>
    <n v="9"/>
    <x v="2"/>
    <n v="55"/>
    <n v="19.375"/>
    <n v="55.000000000000007"/>
    <s v="OK"/>
  </r>
  <r>
    <n v="10904"/>
    <x v="0"/>
    <x v="1"/>
    <n v="6.7"/>
    <n v="5"/>
    <x v="1"/>
    <n v="30"/>
    <n v="8.7100000000000009"/>
    <n v="30.000000000000004"/>
    <s v="OK"/>
  </r>
  <r>
    <n v="10905"/>
    <x v="0"/>
    <x v="0"/>
    <n v="9.14"/>
    <n v="3"/>
    <x v="0"/>
    <n v="12"/>
    <n v="10.236800000000002"/>
    <n v="12.000000000000011"/>
    <s v="OK"/>
  </r>
  <r>
    <n v="10906"/>
    <x v="3"/>
    <x v="1"/>
    <n v="1.8"/>
    <n v="4"/>
    <x v="1"/>
    <n v="30"/>
    <n v="2.3400000000000003"/>
    <n v="30.000000000000004"/>
    <s v="OK"/>
  </r>
  <r>
    <n v="10907"/>
    <x v="3"/>
    <x v="0"/>
    <n v="5.39"/>
    <n v="6"/>
    <x v="1"/>
    <n v="28"/>
    <n v="6.8991999999999996"/>
    <n v="28.000000000000004"/>
    <s v="OK"/>
  </r>
  <r>
    <n v="10908"/>
    <x v="0"/>
    <x v="0"/>
    <n v="1.8"/>
    <n v="10"/>
    <x v="2"/>
    <n v="55"/>
    <n v="2.79"/>
    <n v="55.000000000000007"/>
    <s v="OK"/>
  </r>
  <r>
    <n v="10909"/>
    <x v="0"/>
    <x v="1"/>
    <n v="14.44"/>
    <n v="1"/>
    <x v="0"/>
    <n v="15"/>
    <n v="16.605999999999998"/>
    <n v="14.999999999999991"/>
    <s v="OK"/>
  </r>
  <r>
    <n v="10910"/>
    <x v="3"/>
    <x v="0"/>
    <n v="12.21"/>
    <n v="7"/>
    <x v="1"/>
    <n v="28"/>
    <n v="15.628800000000002"/>
    <n v="28.000000000000004"/>
    <s v="OK"/>
  </r>
  <r>
    <n v="10911"/>
    <x v="0"/>
    <x v="1"/>
    <n v="7.16"/>
    <n v="8"/>
    <x v="2"/>
    <n v="60"/>
    <n v="11.456000000000001"/>
    <n v="60.000000000000007"/>
    <s v="OK"/>
  </r>
  <r>
    <n v="10912"/>
    <x v="2"/>
    <x v="0"/>
    <n v="3.74"/>
    <n v="7"/>
    <x v="1"/>
    <n v="28"/>
    <n v="4.7872000000000003"/>
    <n v="28.000000000000004"/>
    <s v="OK"/>
  </r>
  <r>
    <n v="10913"/>
    <x v="2"/>
    <x v="2"/>
    <n v="14.04"/>
    <n v="7"/>
    <x v="1"/>
    <n v="25"/>
    <n v="17.549999999999997"/>
    <n v="24.999999999999979"/>
    <s v="OK"/>
  </r>
  <r>
    <n v="10914"/>
    <x v="3"/>
    <x v="0"/>
    <n v="5.5"/>
    <n v="9"/>
    <x v="2"/>
    <n v="55"/>
    <n v="8.5250000000000004"/>
    <n v="55.000000000000007"/>
    <s v="OK"/>
  </r>
  <r>
    <n v="10915"/>
    <x v="1"/>
    <x v="1"/>
    <n v="2.83"/>
    <n v="4"/>
    <x v="1"/>
    <n v="30"/>
    <n v="3.6790000000000003"/>
    <n v="30.000000000000004"/>
    <s v="OK"/>
  </r>
  <r>
    <n v="10916"/>
    <x v="3"/>
    <x v="0"/>
    <n v="8.67"/>
    <n v="7"/>
    <x v="1"/>
    <n v="28"/>
    <n v="11.0976"/>
    <n v="28.000000000000004"/>
    <s v="OK"/>
  </r>
  <r>
    <n v="10917"/>
    <x v="3"/>
    <x v="1"/>
    <n v="14.18"/>
    <n v="9"/>
    <x v="2"/>
    <n v="60"/>
    <n v="22.688000000000002"/>
    <n v="60.000000000000028"/>
    <s v="OK"/>
  </r>
  <r>
    <n v="10918"/>
    <x v="1"/>
    <x v="1"/>
    <n v="0.56000000000000005"/>
    <n v="5"/>
    <x v="1"/>
    <n v="30"/>
    <n v="0.72800000000000009"/>
    <n v="30.000000000000004"/>
    <s v="OK"/>
  </r>
  <r>
    <n v="10919"/>
    <x v="1"/>
    <x v="2"/>
    <n v="3.95"/>
    <n v="2"/>
    <x v="0"/>
    <n v="10"/>
    <n v="4.3450000000000006"/>
    <n v="10.000000000000009"/>
    <s v="OK"/>
  </r>
  <r>
    <n v="10920"/>
    <x v="1"/>
    <x v="2"/>
    <n v="14.11"/>
    <n v="5"/>
    <x v="1"/>
    <n v="25"/>
    <n v="17.637499999999999"/>
    <n v="25"/>
    <s v="OK"/>
  </r>
  <r>
    <n v="10921"/>
    <x v="2"/>
    <x v="1"/>
    <n v="2.98"/>
    <n v="4"/>
    <x v="1"/>
    <n v="30"/>
    <n v="3.8740000000000001"/>
    <n v="30.000000000000004"/>
    <s v="OK"/>
  </r>
  <r>
    <n v="10922"/>
    <x v="0"/>
    <x v="0"/>
    <n v="2.14"/>
    <n v="8"/>
    <x v="2"/>
    <n v="55"/>
    <n v="3.3170000000000002"/>
    <n v="55.000000000000007"/>
    <s v="OK"/>
  </r>
  <r>
    <n v="10923"/>
    <x v="2"/>
    <x v="1"/>
    <n v="8.77"/>
    <n v="5"/>
    <x v="1"/>
    <n v="30"/>
    <n v="11.401"/>
    <n v="30.000000000000004"/>
    <s v="OK"/>
  </r>
  <r>
    <n v="10924"/>
    <x v="0"/>
    <x v="1"/>
    <n v="13"/>
    <n v="9"/>
    <x v="2"/>
    <n v="60"/>
    <n v="20.8"/>
    <n v="60.000000000000007"/>
    <s v="OK"/>
  </r>
  <r>
    <n v="10925"/>
    <x v="2"/>
    <x v="0"/>
    <n v="7.42"/>
    <n v="9"/>
    <x v="2"/>
    <n v="55"/>
    <n v="11.500999999999999"/>
    <n v="55.000000000000007"/>
    <s v="OK"/>
  </r>
  <r>
    <n v="10926"/>
    <x v="0"/>
    <x v="0"/>
    <n v="14.92"/>
    <n v="3"/>
    <x v="0"/>
    <n v="12"/>
    <n v="16.7104"/>
    <n v="12.000000000000011"/>
    <s v="OK"/>
  </r>
  <r>
    <n v="10927"/>
    <x v="2"/>
    <x v="0"/>
    <n v="10.35"/>
    <n v="10"/>
    <x v="2"/>
    <n v="55"/>
    <n v="16.0425"/>
    <n v="55.000000000000007"/>
    <s v="OK"/>
  </r>
  <r>
    <n v="10928"/>
    <x v="1"/>
    <x v="0"/>
    <n v="1.57"/>
    <n v="6"/>
    <x v="1"/>
    <n v="28"/>
    <n v="2.0096000000000003"/>
    <n v="28.000000000000004"/>
    <s v="OK"/>
  </r>
  <r>
    <n v="10929"/>
    <x v="3"/>
    <x v="1"/>
    <n v="14.9"/>
    <n v="6"/>
    <x v="1"/>
    <n v="30"/>
    <n v="19.37"/>
    <n v="30.000000000000004"/>
    <s v="OK"/>
  </r>
  <r>
    <n v="10930"/>
    <x v="2"/>
    <x v="1"/>
    <n v="6.41"/>
    <n v="4"/>
    <x v="1"/>
    <n v="30"/>
    <n v="8.3330000000000002"/>
    <n v="30.000000000000004"/>
    <s v="OK"/>
  </r>
  <r>
    <n v="10931"/>
    <x v="0"/>
    <x v="2"/>
    <n v="4.67"/>
    <n v="10"/>
    <x v="2"/>
    <n v="50"/>
    <n v="7.0049999999999999"/>
    <n v="50"/>
    <s v="OK"/>
  </r>
  <r>
    <n v="10932"/>
    <x v="1"/>
    <x v="1"/>
    <n v="8.59"/>
    <n v="3"/>
    <x v="0"/>
    <n v="15"/>
    <n v="9.8784999999999989"/>
    <n v="14.999999999999991"/>
    <s v="OK"/>
  </r>
  <r>
    <n v="10933"/>
    <x v="2"/>
    <x v="0"/>
    <n v="4.91"/>
    <n v="1"/>
    <x v="0"/>
    <n v="12"/>
    <n v="5.499200000000001"/>
    <n v="12.000000000000011"/>
    <s v="OK"/>
  </r>
  <r>
    <n v="10934"/>
    <x v="2"/>
    <x v="2"/>
    <n v="1.75"/>
    <n v="7"/>
    <x v="1"/>
    <n v="25"/>
    <n v="2.1875"/>
    <n v="25"/>
    <s v="OK"/>
  </r>
  <r>
    <n v="10935"/>
    <x v="1"/>
    <x v="0"/>
    <n v="0.52"/>
    <n v="5"/>
    <x v="1"/>
    <n v="28"/>
    <n v="0.66560000000000008"/>
    <n v="28.000000000000004"/>
    <s v="OK"/>
  </r>
  <r>
    <n v="10936"/>
    <x v="2"/>
    <x v="1"/>
    <n v="7.02"/>
    <n v="10"/>
    <x v="2"/>
    <n v="60"/>
    <n v="11.231999999999999"/>
    <n v="60.000000000000007"/>
    <s v="OK"/>
  </r>
  <r>
    <n v="10937"/>
    <x v="3"/>
    <x v="2"/>
    <n v="12.63"/>
    <n v="7"/>
    <x v="1"/>
    <n v="25"/>
    <n v="15.787500000000001"/>
    <n v="25"/>
    <s v="OK"/>
  </r>
  <r>
    <n v="10938"/>
    <x v="2"/>
    <x v="0"/>
    <n v="8.8000000000000007"/>
    <n v="1"/>
    <x v="0"/>
    <n v="12"/>
    <n v="9.8560000000000016"/>
    <n v="12.000000000000011"/>
    <s v="OK"/>
  </r>
  <r>
    <n v="10939"/>
    <x v="3"/>
    <x v="2"/>
    <n v="14.99"/>
    <n v="8"/>
    <x v="2"/>
    <n v="50"/>
    <n v="22.484999999999999"/>
    <n v="50"/>
    <s v="OK"/>
  </r>
  <r>
    <n v="10940"/>
    <x v="3"/>
    <x v="2"/>
    <n v="4.66"/>
    <n v="3"/>
    <x v="0"/>
    <n v="10"/>
    <n v="5.1260000000000003"/>
    <n v="10.000000000000009"/>
    <s v="OK"/>
  </r>
  <r>
    <n v="10941"/>
    <x v="1"/>
    <x v="1"/>
    <n v="4.57"/>
    <n v="7"/>
    <x v="1"/>
    <n v="30"/>
    <n v="5.9410000000000007"/>
    <n v="30.000000000000004"/>
    <s v="OK"/>
  </r>
  <r>
    <n v="10942"/>
    <x v="2"/>
    <x v="0"/>
    <n v="2.82"/>
    <n v="3"/>
    <x v="0"/>
    <n v="12"/>
    <n v="3.1584000000000003"/>
    <n v="12.000000000000011"/>
    <s v="OK"/>
  </r>
  <r>
    <n v="10943"/>
    <x v="1"/>
    <x v="2"/>
    <n v="2.88"/>
    <n v="3"/>
    <x v="0"/>
    <n v="10"/>
    <n v="3.1680000000000001"/>
    <n v="10.000000000000009"/>
    <s v="OK"/>
  </r>
  <r>
    <n v="10944"/>
    <x v="2"/>
    <x v="2"/>
    <n v="4.6399999999999997"/>
    <n v="10"/>
    <x v="2"/>
    <n v="50"/>
    <n v="6.9599999999999991"/>
    <n v="50"/>
    <s v="OK"/>
  </r>
  <r>
    <n v="10945"/>
    <x v="2"/>
    <x v="0"/>
    <n v="12"/>
    <n v="9"/>
    <x v="2"/>
    <n v="55"/>
    <n v="18.600000000000001"/>
    <n v="55.000000000000007"/>
    <s v="OK"/>
  </r>
  <r>
    <n v="10946"/>
    <x v="0"/>
    <x v="2"/>
    <n v="13.63"/>
    <n v="2"/>
    <x v="0"/>
    <n v="10"/>
    <n v="14.993000000000002"/>
    <n v="10.000000000000009"/>
    <s v="OK"/>
  </r>
  <r>
    <n v="10947"/>
    <x v="2"/>
    <x v="2"/>
    <n v="14.64"/>
    <n v="4"/>
    <x v="1"/>
    <n v="25"/>
    <n v="18.3"/>
    <n v="25"/>
    <s v="OK"/>
  </r>
  <r>
    <n v="10948"/>
    <x v="1"/>
    <x v="2"/>
    <n v="3.87"/>
    <n v="6"/>
    <x v="1"/>
    <n v="25"/>
    <n v="4.8375000000000004"/>
    <n v="25"/>
    <s v="OK"/>
  </r>
  <r>
    <n v="10949"/>
    <x v="3"/>
    <x v="0"/>
    <n v="13.28"/>
    <n v="3"/>
    <x v="0"/>
    <n v="12"/>
    <n v="14.873600000000001"/>
    <n v="12.000000000000011"/>
    <s v="OK"/>
  </r>
  <r>
    <n v="10950"/>
    <x v="2"/>
    <x v="0"/>
    <n v="5.26"/>
    <n v="10"/>
    <x v="2"/>
    <n v="55"/>
    <n v="8.1530000000000005"/>
    <n v="55.000000000000007"/>
    <s v="OK"/>
  </r>
  <r>
    <n v="10951"/>
    <x v="0"/>
    <x v="0"/>
    <n v="2.14"/>
    <n v="10"/>
    <x v="2"/>
    <n v="55"/>
    <n v="3.3170000000000002"/>
    <n v="55.000000000000007"/>
    <s v="OK"/>
  </r>
  <r>
    <n v="10952"/>
    <x v="1"/>
    <x v="0"/>
    <n v="13.12"/>
    <n v="7"/>
    <x v="1"/>
    <n v="28"/>
    <n v="16.793599999999998"/>
    <n v="27.999999999999979"/>
    <s v="OK"/>
  </r>
  <r>
    <n v="10953"/>
    <x v="2"/>
    <x v="1"/>
    <n v="9.7200000000000006"/>
    <n v="7"/>
    <x v="1"/>
    <n v="30"/>
    <n v="12.636000000000001"/>
    <n v="30.000000000000004"/>
    <s v="OK"/>
  </r>
  <r>
    <n v="10954"/>
    <x v="1"/>
    <x v="2"/>
    <n v="2.89"/>
    <n v="5"/>
    <x v="1"/>
    <n v="25"/>
    <n v="3.6125000000000003"/>
    <n v="25"/>
    <s v="OK"/>
  </r>
  <r>
    <n v="10955"/>
    <x v="0"/>
    <x v="0"/>
    <n v="6.73"/>
    <n v="3"/>
    <x v="0"/>
    <n v="12"/>
    <n v="7.5376000000000012"/>
    <n v="12.000000000000011"/>
    <s v="OK"/>
  </r>
  <r>
    <n v="10956"/>
    <x v="0"/>
    <x v="2"/>
    <n v="4.67"/>
    <n v="2"/>
    <x v="0"/>
    <n v="10"/>
    <n v="5.1370000000000005"/>
    <n v="10.000000000000009"/>
    <s v="OK"/>
  </r>
  <r>
    <n v="10957"/>
    <x v="1"/>
    <x v="2"/>
    <n v="11.18"/>
    <n v="4"/>
    <x v="1"/>
    <n v="25"/>
    <n v="13.975"/>
    <n v="25"/>
    <s v="OK"/>
  </r>
  <r>
    <n v="10958"/>
    <x v="2"/>
    <x v="1"/>
    <n v="7.07"/>
    <n v="4"/>
    <x v="1"/>
    <n v="30"/>
    <n v="9.1910000000000007"/>
    <n v="30.000000000000004"/>
    <s v="OK"/>
  </r>
  <r>
    <n v="10959"/>
    <x v="3"/>
    <x v="0"/>
    <n v="14.84"/>
    <n v="8"/>
    <x v="2"/>
    <n v="55"/>
    <n v="23.001999999999999"/>
    <n v="55.000000000000007"/>
    <s v="OK"/>
  </r>
  <r>
    <n v="10960"/>
    <x v="0"/>
    <x v="0"/>
    <n v="1.29"/>
    <n v="8"/>
    <x v="2"/>
    <n v="55"/>
    <n v="1.9995000000000001"/>
    <n v="55.000000000000007"/>
    <s v="OK"/>
  </r>
  <r>
    <n v="10961"/>
    <x v="2"/>
    <x v="2"/>
    <n v="5.65"/>
    <n v="5"/>
    <x v="1"/>
    <n v="25"/>
    <n v="7.0625"/>
    <n v="25"/>
    <s v="OK"/>
  </r>
  <r>
    <n v="10962"/>
    <x v="2"/>
    <x v="0"/>
    <n v="7.49"/>
    <n v="6"/>
    <x v="1"/>
    <n v="28"/>
    <n v="9.5872000000000011"/>
    <n v="28.000000000000004"/>
    <s v="OK"/>
  </r>
  <r>
    <n v="10963"/>
    <x v="3"/>
    <x v="2"/>
    <n v="7.8"/>
    <n v="8"/>
    <x v="2"/>
    <n v="50"/>
    <n v="11.7"/>
    <n v="50"/>
    <s v="OK"/>
  </r>
  <r>
    <n v="10964"/>
    <x v="0"/>
    <x v="2"/>
    <n v="5.08"/>
    <n v="1"/>
    <x v="0"/>
    <n v="10"/>
    <n v="5.588000000000001"/>
    <n v="10.000000000000009"/>
    <s v="OK"/>
  </r>
  <r>
    <n v="10965"/>
    <x v="0"/>
    <x v="1"/>
    <n v="11.07"/>
    <n v="5"/>
    <x v="1"/>
    <n v="30"/>
    <n v="14.391"/>
    <n v="30.000000000000004"/>
    <s v="OK"/>
  </r>
  <r>
    <n v="10966"/>
    <x v="2"/>
    <x v="1"/>
    <n v="13.18"/>
    <n v="4"/>
    <x v="1"/>
    <n v="30"/>
    <n v="17.134"/>
    <n v="30.000000000000004"/>
    <s v="OK"/>
  </r>
  <r>
    <n v="10967"/>
    <x v="2"/>
    <x v="1"/>
    <n v="14.11"/>
    <n v="4"/>
    <x v="1"/>
    <n v="30"/>
    <n v="18.343"/>
    <n v="30.000000000000004"/>
    <s v="OK"/>
  </r>
  <r>
    <n v="10968"/>
    <x v="3"/>
    <x v="2"/>
    <n v="12.17"/>
    <n v="2"/>
    <x v="0"/>
    <n v="10"/>
    <n v="13.387"/>
    <n v="10.000000000000009"/>
    <s v="OK"/>
  </r>
  <r>
    <n v="10969"/>
    <x v="3"/>
    <x v="0"/>
    <n v="12.83"/>
    <n v="10"/>
    <x v="2"/>
    <n v="55"/>
    <n v="19.886500000000002"/>
    <n v="55.000000000000007"/>
    <s v="OK"/>
  </r>
  <r>
    <n v="10970"/>
    <x v="0"/>
    <x v="1"/>
    <n v="8.48"/>
    <n v="1"/>
    <x v="0"/>
    <n v="15"/>
    <n v="9.7519999999999989"/>
    <n v="14.999999999999991"/>
    <s v="OK"/>
  </r>
  <r>
    <n v="10971"/>
    <x v="1"/>
    <x v="0"/>
    <n v="12.48"/>
    <n v="6"/>
    <x v="1"/>
    <n v="28"/>
    <n v="15.974400000000001"/>
    <n v="28.000000000000004"/>
    <s v="OK"/>
  </r>
  <r>
    <n v="10972"/>
    <x v="0"/>
    <x v="1"/>
    <n v="4.9000000000000004"/>
    <n v="7"/>
    <x v="1"/>
    <n v="30"/>
    <n v="6.370000000000001"/>
    <n v="30.000000000000004"/>
    <s v="OK"/>
  </r>
  <r>
    <n v="10973"/>
    <x v="2"/>
    <x v="1"/>
    <n v="6.28"/>
    <n v="5"/>
    <x v="1"/>
    <n v="30"/>
    <n v="8.1640000000000015"/>
    <n v="30.000000000000028"/>
    <s v="OK"/>
  </r>
  <r>
    <n v="10974"/>
    <x v="0"/>
    <x v="2"/>
    <n v="5.0999999999999996"/>
    <n v="8"/>
    <x v="2"/>
    <n v="50"/>
    <n v="7.6499999999999995"/>
    <n v="50"/>
    <s v="OK"/>
  </r>
  <r>
    <n v="10975"/>
    <x v="1"/>
    <x v="1"/>
    <n v="7.28"/>
    <n v="9"/>
    <x v="2"/>
    <n v="60"/>
    <n v="11.648000000000001"/>
    <n v="60.000000000000007"/>
    <s v="OK"/>
  </r>
  <r>
    <n v="10976"/>
    <x v="3"/>
    <x v="1"/>
    <n v="4.6399999999999997"/>
    <n v="2"/>
    <x v="0"/>
    <n v="15"/>
    <n v="5.3359999999999994"/>
    <n v="14.999999999999991"/>
    <s v="OK"/>
  </r>
  <r>
    <n v="10977"/>
    <x v="1"/>
    <x v="2"/>
    <n v="14.44"/>
    <n v="4"/>
    <x v="1"/>
    <n v="25"/>
    <n v="18.05"/>
    <n v="25"/>
    <s v="OK"/>
  </r>
  <r>
    <n v="10978"/>
    <x v="1"/>
    <x v="0"/>
    <n v="5.04"/>
    <n v="9"/>
    <x v="2"/>
    <n v="55"/>
    <n v="7.8120000000000003"/>
    <n v="55.000000000000007"/>
    <s v="OK"/>
  </r>
  <r>
    <n v="10979"/>
    <x v="1"/>
    <x v="1"/>
    <n v="1.92"/>
    <n v="5"/>
    <x v="1"/>
    <n v="30"/>
    <n v="2.496"/>
    <n v="30.000000000000004"/>
    <s v="OK"/>
  </r>
  <r>
    <n v="10980"/>
    <x v="3"/>
    <x v="2"/>
    <n v="8.14"/>
    <n v="3"/>
    <x v="0"/>
    <n v="10"/>
    <n v="8.9540000000000006"/>
    <n v="10.000000000000009"/>
    <s v="OK"/>
  </r>
  <r>
    <n v="10981"/>
    <x v="1"/>
    <x v="1"/>
    <n v="1.33"/>
    <n v="6"/>
    <x v="1"/>
    <n v="30"/>
    <n v="1.7290000000000001"/>
    <n v="30.000000000000004"/>
    <s v="OK"/>
  </r>
  <r>
    <n v="10982"/>
    <x v="1"/>
    <x v="2"/>
    <n v="2.1"/>
    <n v="3"/>
    <x v="0"/>
    <n v="10"/>
    <n v="2.3100000000000005"/>
    <n v="10.000000000000009"/>
    <s v="OK"/>
  </r>
  <r>
    <n v="10983"/>
    <x v="1"/>
    <x v="0"/>
    <n v="3.68"/>
    <n v="5"/>
    <x v="1"/>
    <n v="28"/>
    <n v="4.7103999999999999"/>
    <n v="28.000000000000004"/>
    <s v="OK"/>
  </r>
  <r>
    <n v="10984"/>
    <x v="2"/>
    <x v="0"/>
    <n v="7.23"/>
    <n v="3"/>
    <x v="0"/>
    <n v="12"/>
    <n v="8.0976000000000017"/>
    <n v="12.000000000000011"/>
    <s v="OK"/>
  </r>
  <r>
    <n v="10985"/>
    <x v="1"/>
    <x v="2"/>
    <n v="6.78"/>
    <n v="6"/>
    <x v="1"/>
    <n v="25"/>
    <n v="8.4749999999999996"/>
    <n v="25"/>
    <s v="OK"/>
  </r>
  <r>
    <n v="10986"/>
    <x v="3"/>
    <x v="2"/>
    <n v="12.1"/>
    <n v="10"/>
    <x v="2"/>
    <n v="50"/>
    <n v="18.149999999999999"/>
    <n v="50"/>
    <s v="OK"/>
  </r>
  <r>
    <n v="10987"/>
    <x v="1"/>
    <x v="2"/>
    <n v="11.22"/>
    <n v="5"/>
    <x v="1"/>
    <n v="25"/>
    <n v="14.025"/>
    <n v="25"/>
    <s v="OK"/>
  </r>
  <r>
    <n v="10988"/>
    <x v="1"/>
    <x v="0"/>
    <n v="6.68"/>
    <n v="9"/>
    <x v="2"/>
    <n v="55"/>
    <n v="10.353999999999999"/>
    <n v="55.000000000000007"/>
    <s v="OK"/>
  </r>
  <r>
    <n v="10989"/>
    <x v="3"/>
    <x v="1"/>
    <n v="5.34"/>
    <n v="3"/>
    <x v="0"/>
    <n v="15"/>
    <n v="6.1409999999999991"/>
    <n v="14.999999999999991"/>
    <s v="OK"/>
  </r>
  <r>
    <n v="10990"/>
    <x v="1"/>
    <x v="0"/>
    <n v="5.09"/>
    <n v="6"/>
    <x v="1"/>
    <n v="28"/>
    <n v="6.5152000000000001"/>
    <n v="28.000000000000004"/>
    <s v="OK"/>
  </r>
  <r>
    <n v="10991"/>
    <x v="3"/>
    <x v="2"/>
    <n v="11.72"/>
    <n v="8"/>
    <x v="2"/>
    <n v="50"/>
    <n v="17.580000000000002"/>
    <n v="50"/>
    <s v="OK"/>
  </r>
  <r>
    <n v="10992"/>
    <x v="1"/>
    <x v="2"/>
    <n v="1.26"/>
    <n v="7"/>
    <x v="1"/>
    <n v="25"/>
    <n v="1.575"/>
    <n v="25"/>
    <s v="OK"/>
  </r>
  <r>
    <n v="10993"/>
    <x v="3"/>
    <x v="0"/>
    <n v="0.69"/>
    <n v="6"/>
    <x v="1"/>
    <n v="28"/>
    <n v="0.88319999999999999"/>
    <n v="28.000000000000004"/>
    <s v="OK"/>
  </r>
  <r>
    <n v="10994"/>
    <x v="1"/>
    <x v="2"/>
    <n v="12.04"/>
    <n v="2"/>
    <x v="0"/>
    <n v="10"/>
    <n v="13.244"/>
    <n v="10.000000000000009"/>
    <s v="OK"/>
  </r>
  <r>
    <n v="10995"/>
    <x v="1"/>
    <x v="0"/>
    <n v="7.42"/>
    <n v="7"/>
    <x v="1"/>
    <n v="28"/>
    <n v="9.4976000000000003"/>
    <n v="28.000000000000004"/>
    <s v="OK"/>
  </r>
  <r>
    <n v="10996"/>
    <x v="2"/>
    <x v="2"/>
    <n v="2.4"/>
    <n v="8"/>
    <x v="2"/>
    <n v="50"/>
    <n v="3.5999999999999996"/>
    <n v="50"/>
    <s v="OK"/>
  </r>
  <r>
    <n v="10997"/>
    <x v="2"/>
    <x v="1"/>
    <n v="3.92"/>
    <n v="1"/>
    <x v="0"/>
    <n v="15"/>
    <n v="4.508"/>
    <n v="15.000000000000014"/>
    <s v="OK"/>
  </r>
  <r>
    <n v="10998"/>
    <x v="1"/>
    <x v="1"/>
    <n v="14.02"/>
    <n v="9"/>
    <x v="2"/>
    <n v="60"/>
    <n v="22.432000000000002"/>
    <n v="60.000000000000028"/>
    <s v="OK"/>
  </r>
  <r>
    <n v="10999"/>
    <x v="1"/>
    <x v="2"/>
    <n v="12.96"/>
    <n v="4"/>
    <x v="1"/>
    <n v="25"/>
    <n v="16.200000000000003"/>
    <n v="25.000000000000021"/>
    <s v="OK"/>
  </r>
  <r>
    <n v="11000"/>
    <x v="0"/>
    <x v="0"/>
    <n v="10.79"/>
    <n v="8"/>
    <x v="2"/>
    <n v="55"/>
    <n v="16.724499999999999"/>
    <n v="55.000000000000007"/>
    <s v="OK"/>
  </r>
  <r>
    <n v="11001"/>
    <x v="3"/>
    <x v="1"/>
    <n v="7.49"/>
    <n v="10"/>
    <x v="2"/>
    <n v="60"/>
    <n v="11.984000000000002"/>
    <n v="60.000000000000007"/>
    <s v="OK"/>
  </r>
  <r>
    <n v="11002"/>
    <x v="0"/>
    <x v="0"/>
    <n v="8.0399999999999991"/>
    <n v="7"/>
    <x v="1"/>
    <n v="28"/>
    <n v="10.2912"/>
    <n v="28.000000000000004"/>
    <s v="OK"/>
  </r>
  <r>
    <n v="11003"/>
    <x v="2"/>
    <x v="2"/>
    <n v="14.64"/>
    <n v="10"/>
    <x v="2"/>
    <n v="50"/>
    <n v="21.96"/>
    <n v="50"/>
    <s v="OK"/>
  </r>
  <r>
    <n v="11004"/>
    <x v="2"/>
    <x v="0"/>
    <n v="14.5"/>
    <n v="7"/>
    <x v="1"/>
    <n v="28"/>
    <n v="18.559999999999999"/>
    <n v="27.999999999999979"/>
    <s v="OK"/>
  </r>
  <r>
    <n v="11005"/>
    <x v="2"/>
    <x v="1"/>
    <n v="3.62"/>
    <n v="2"/>
    <x v="0"/>
    <n v="15"/>
    <n v="4.1629999999999994"/>
    <n v="14.999999999999968"/>
    <s v="OK"/>
  </r>
  <r>
    <n v="11006"/>
    <x v="2"/>
    <x v="0"/>
    <n v="12.26"/>
    <n v="1"/>
    <x v="0"/>
    <n v="12"/>
    <n v="13.731200000000001"/>
    <n v="12.000000000000011"/>
    <s v="OK"/>
  </r>
  <r>
    <n v="11007"/>
    <x v="1"/>
    <x v="0"/>
    <n v="3.36"/>
    <n v="4"/>
    <x v="1"/>
    <n v="28"/>
    <n v="4.3007999999999997"/>
    <n v="28.000000000000004"/>
    <s v="OK"/>
  </r>
  <r>
    <n v="11008"/>
    <x v="2"/>
    <x v="2"/>
    <n v="3.6"/>
    <n v="2"/>
    <x v="0"/>
    <n v="10"/>
    <n v="3.9600000000000004"/>
    <n v="10.000000000000009"/>
    <s v="OK"/>
  </r>
  <r>
    <n v="11009"/>
    <x v="1"/>
    <x v="2"/>
    <n v="10.3"/>
    <n v="8"/>
    <x v="2"/>
    <n v="50"/>
    <n v="15.450000000000001"/>
    <n v="50"/>
    <s v="OK"/>
  </r>
  <r>
    <n v="11010"/>
    <x v="1"/>
    <x v="2"/>
    <n v="6.37"/>
    <n v="10"/>
    <x v="2"/>
    <n v="50"/>
    <n v="9.5549999999999997"/>
    <n v="50"/>
    <s v="OK"/>
  </r>
  <r>
    <n v="11011"/>
    <x v="2"/>
    <x v="1"/>
    <n v="14.01"/>
    <n v="7"/>
    <x v="1"/>
    <n v="30"/>
    <n v="18.213000000000001"/>
    <n v="30.000000000000004"/>
    <s v="OK"/>
  </r>
  <r>
    <n v="11012"/>
    <x v="2"/>
    <x v="1"/>
    <n v="1.79"/>
    <n v="8"/>
    <x v="2"/>
    <n v="60"/>
    <n v="2.8640000000000003"/>
    <n v="60.000000000000007"/>
    <s v="OK"/>
  </r>
  <r>
    <n v="11013"/>
    <x v="3"/>
    <x v="2"/>
    <n v="7.92"/>
    <n v="6"/>
    <x v="1"/>
    <n v="25"/>
    <n v="9.9"/>
    <n v="25"/>
    <s v="OK"/>
  </r>
  <r>
    <n v="11014"/>
    <x v="0"/>
    <x v="2"/>
    <n v="13.82"/>
    <n v="1"/>
    <x v="0"/>
    <n v="10"/>
    <n v="15.202000000000002"/>
    <n v="10.000000000000009"/>
    <s v="OK"/>
  </r>
  <r>
    <n v="11015"/>
    <x v="2"/>
    <x v="1"/>
    <n v="13.61"/>
    <n v="9"/>
    <x v="2"/>
    <n v="60"/>
    <n v="21.776"/>
    <n v="60.000000000000007"/>
    <s v="OK"/>
  </r>
  <r>
    <n v="11016"/>
    <x v="3"/>
    <x v="1"/>
    <n v="2.77"/>
    <n v="6"/>
    <x v="1"/>
    <n v="30"/>
    <n v="3.601"/>
    <n v="30.000000000000004"/>
    <s v="OK"/>
  </r>
  <r>
    <n v="11017"/>
    <x v="3"/>
    <x v="1"/>
    <n v="5.82"/>
    <n v="10"/>
    <x v="2"/>
    <n v="60"/>
    <n v="9.3120000000000012"/>
    <n v="60.000000000000007"/>
    <s v="OK"/>
  </r>
  <r>
    <n v="11018"/>
    <x v="0"/>
    <x v="1"/>
    <n v="9.48"/>
    <n v="1"/>
    <x v="0"/>
    <n v="15"/>
    <n v="10.901999999999999"/>
    <n v="14.999999999999991"/>
    <s v="OK"/>
  </r>
  <r>
    <n v="11019"/>
    <x v="1"/>
    <x v="2"/>
    <n v="2.81"/>
    <n v="1"/>
    <x v="0"/>
    <n v="10"/>
    <n v="3.0910000000000002"/>
    <n v="10.000000000000009"/>
    <s v="OK"/>
  </r>
  <r>
    <n v="11020"/>
    <x v="2"/>
    <x v="1"/>
    <n v="14.54"/>
    <n v="8"/>
    <x v="2"/>
    <n v="60"/>
    <n v="23.263999999999999"/>
    <n v="60.000000000000007"/>
    <s v="OK"/>
  </r>
  <r>
    <n v="11021"/>
    <x v="0"/>
    <x v="2"/>
    <n v="13.76"/>
    <n v="6"/>
    <x v="1"/>
    <n v="25"/>
    <n v="17.2"/>
    <n v="25"/>
    <s v="OK"/>
  </r>
  <r>
    <n v="11022"/>
    <x v="2"/>
    <x v="0"/>
    <n v="2.92"/>
    <n v="8"/>
    <x v="2"/>
    <n v="55"/>
    <n v="4.5259999999999998"/>
    <n v="55.000000000000007"/>
    <s v="OK"/>
  </r>
  <r>
    <n v="11023"/>
    <x v="3"/>
    <x v="0"/>
    <n v="2.2599999999999998"/>
    <n v="8"/>
    <x v="2"/>
    <n v="55"/>
    <n v="3.5029999999999997"/>
    <n v="55.000000000000007"/>
    <s v="OK"/>
  </r>
  <r>
    <n v="11024"/>
    <x v="3"/>
    <x v="1"/>
    <n v="1.74"/>
    <n v="8"/>
    <x v="2"/>
    <n v="60"/>
    <n v="2.7840000000000003"/>
    <n v="60.000000000000007"/>
    <s v="OK"/>
  </r>
  <r>
    <n v="11025"/>
    <x v="1"/>
    <x v="0"/>
    <n v="13.69"/>
    <n v="10"/>
    <x v="2"/>
    <n v="55"/>
    <n v="21.2195"/>
    <n v="55.000000000000007"/>
    <s v="OK"/>
  </r>
  <r>
    <n v="11026"/>
    <x v="3"/>
    <x v="0"/>
    <n v="3.31"/>
    <n v="7"/>
    <x v="1"/>
    <n v="28"/>
    <n v="4.2368000000000006"/>
    <n v="28.000000000000025"/>
    <s v="OK"/>
  </r>
  <r>
    <n v="11027"/>
    <x v="3"/>
    <x v="0"/>
    <n v="6.54"/>
    <n v="7"/>
    <x v="1"/>
    <n v="28"/>
    <n v="8.3712"/>
    <n v="28.000000000000004"/>
    <s v="OK"/>
  </r>
  <r>
    <n v="11028"/>
    <x v="0"/>
    <x v="1"/>
    <n v="7.01"/>
    <n v="10"/>
    <x v="2"/>
    <n v="60"/>
    <n v="11.216000000000001"/>
    <n v="60.000000000000028"/>
    <s v="OK"/>
  </r>
  <r>
    <n v="11029"/>
    <x v="2"/>
    <x v="1"/>
    <n v="9.19"/>
    <n v="4"/>
    <x v="1"/>
    <n v="30"/>
    <n v="11.946999999999999"/>
    <n v="30.000000000000004"/>
    <s v="OK"/>
  </r>
  <r>
    <n v="11030"/>
    <x v="2"/>
    <x v="0"/>
    <n v="1.54"/>
    <n v="9"/>
    <x v="2"/>
    <n v="55"/>
    <n v="2.387"/>
    <n v="55.000000000000007"/>
    <s v="OK"/>
  </r>
  <r>
    <n v="11031"/>
    <x v="0"/>
    <x v="2"/>
    <n v="3.79"/>
    <n v="2"/>
    <x v="0"/>
    <n v="10"/>
    <n v="4.1690000000000005"/>
    <n v="10.000000000000009"/>
    <s v="OK"/>
  </r>
  <r>
    <n v="11032"/>
    <x v="1"/>
    <x v="0"/>
    <n v="14.01"/>
    <n v="9"/>
    <x v="2"/>
    <n v="55"/>
    <n v="21.715499999999999"/>
    <n v="54.999999999999986"/>
    <s v="OK"/>
  </r>
  <r>
    <n v="11033"/>
    <x v="2"/>
    <x v="1"/>
    <n v="13.67"/>
    <n v="10"/>
    <x v="2"/>
    <n v="60"/>
    <n v="21.872"/>
    <n v="60.000000000000007"/>
    <s v="OK"/>
  </r>
  <r>
    <n v="11034"/>
    <x v="3"/>
    <x v="1"/>
    <n v="11.83"/>
    <n v="3"/>
    <x v="0"/>
    <n v="15"/>
    <n v="13.6045"/>
    <n v="14.999999999999991"/>
    <s v="OK"/>
  </r>
  <r>
    <n v="11035"/>
    <x v="2"/>
    <x v="1"/>
    <n v="0.78"/>
    <n v="2"/>
    <x v="0"/>
    <n v="15"/>
    <n v="0.89699999999999991"/>
    <n v="14.999999999999991"/>
    <s v="OK"/>
  </r>
  <r>
    <n v="11036"/>
    <x v="3"/>
    <x v="0"/>
    <n v="5.24"/>
    <n v="4"/>
    <x v="1"/>
    <n v="28"/>
    <n v="6.7072000000000003"/>
    <n v="28.000000000000004"/>
    <s v="OK"/>
  </r>
  <r>
    <n v="11037"/>
    <x v="1"/>
    <x v="2"/>
    <n v="9.61"/>
    <n v="5"/>
    <x v="1"/>
    <n v="25"/>
    <n v="12.012499999999999"/>
    <n v="25"/>
    <s v="OK"/>
  </r>
  <r>
    <n v="11038"/>
    <x v="0"/>
    <x v="1"/>
    <n v="4.49"/>
    <n v="2"/>
    <x v="0"/>
    <n v="15"/>
    <n v="5.1635"/>
    <n v="14.999999999999991"/>
    <s v="OK"/>
  </r>
  <r>
    <n v="11039"/>
    <x v="2"/>
    <x v="1"/>
    <n v="13.69"/>
    <n v="1"/>
    <x v="0"/>
    <n v="15"/>
    <n v="15.743499999999997"/>
    <n v="14.999999999999991"/>
    <s v="OK"/>
  </r>
  <r>
    <n v="11040"/>
    <x v="0"/>
    <x v="0"/>
    <n v="9.69"/>
    <n v="10"/>
    <x v="2"/>
    <n v="55"/>
    <n v="15.019499999999999"/>
    <n v="55.000000000000007"/>
    <s v="OK"/>
  </r>
  <r>
    <n v="11041"/>
    <x v="2"/>
    <x v="2"/>
    <n v="1.54"/>
    <n v="5"/>
    <x v="1"/>
    <n v="25"/>
    <n v="1.925"/>
    <n v="25"/>
    <s v="OK"/>
  </r>
  <r>
    <n v="11042"/>
    <x v="3"/>
    <x v="0"/>
    <n v="13.68"/>
    <n v="9"/>
    <x v="2"/>
    <n v="55"/>
    <n v="21.204000000000001"/>
    <n v="55.000000000000007"/>
    <s v="OK"/>
  </r>
  <r>
    <n v="11043"/>
    <x v="0"/>
    <x v="1"/>
    <n v="14.39"/>
    <n v="5"/>
    <x v="1"/>
    <n v="30"/>
    <n v="18.707000000000001"/>
    <n v="30.000000000000004"/>
    <s v="OK"/>
  </r>
  <r>
    <n v="11044"/>
    <x v="2"/>
    <x v="2"/>
    <n v="1.63"/>
    <n v="10"/>
    <x v="2"/>
    <n v="50"/>
    <n v="2.4449999999999998"/>
    <n v="50"/>
    <s v="OK"/>
  </r>
  <r>
    <n v="11045"/>
    <x v="3"/>
    <x v="2"/>
    <n v="8.2200000000000006"/>
    <n v="9"/>
    <x v="2"/>
    <n v="50"/>
    <n v="12.330000000000002"/>
    <n v="50"/>
    <s v="OK"/>
  </r>
  <r>
    <n v="11046"/>
    <x v="0"/>
    <x v="1"/>
    <n v="4.9000000000000004"/>
    <n v="10"/>
    <x v="2"/>
    <n v="60"/>
    <n v="7.8400000000000007"/>
    <n v="60.000000000000007"/>
    <s v="OK"/>
  </r>
  <r>
    <n v="11047"/>
    <x v="0"/>
    <x v="2"/>
    <n v="6.2"/>
    <n v="6"/>
    <x v="1"/>
    <n v="25"/>
    <n v="7.75"/>
    <n v="25"/>
    <s v="OK"/>
  </r>
  <r>
    <n v="11048"/>
    <x v="2"/>
    <x v="2"/>
    <n v="3.1"/>
    <n v="3"/>
    <x v="0"/>
    <n v="10"/>
    <n v="3.4100000000000006"/>
    <n v="10.000000000000009"/>
    <s v="OK"/>
  </r>
  <r>
    <n v="11049"/>
    <x v="2"/>
    <x v="0"/>
    <n v="8.8800000000000008"/>
    <n v="4"/>
    <x v="1"/>
    <n v="28"/>
    <n v="11.366400000000001"/>
    <n v="28.000000000000004"/>
    <s v="OK"/>
  </r>
  <r>
    <n v="11050"/>
    <x v="2"/>
    <x v="1"/>
    <n v="14.39"/>
    <n v="4"/>
    <x v="1"/>
    <n v="30"/>
    <n v="18.707000000000001"/>
    <n v="30.000000000000004"/>
    <s v="OK"/>
  </r>
  <r>
    <n v="11051"/>
    <x v="3"/>
    <x v="1"/>
    <n v="7.79"/>
    <n v="1"/>
    <x v="0"/>
    <n v="15"/>
    <n v="8.958499999999999"/>
    <n v="14.999999999999991"/>
    <s v="OK"/>
  </r>
  <r>
    <n v="11052"/>
    <x v="2"/>
    <x v="1"/>
    <n v="1.7"/>
    <n v="3"/>
    <x v="0"/>
    <n v="15"/>
    <n v="1.9549999999999998"/>
    <n v="14.999999999999991"/>
    <s v="OK"/>
  </r>
  <r>
    <n v="11053"/>
    <x v="0"/>
    <x v="1"/>
    <n v="9.49"/>
    <n v="3"/>
    <x v="0"/>
    <n v="15"/>
    <n v="10.913499999999999"/>
    <n v="14.999999999999991"/>
    <s v="OK"/>
  </r>
  <r>
    <n v="11054"/>
    <x v="0"/>
    <x v="1"/>
    <n v="5.43"/>
    <n v="1"/>
    <x v="0"/>
    <n v="15"/>
    <n v="6.2444999999999995"/>
    <n v="14.999999999999991"/>
    <s v="OK"/>
  </r>
  <r>
    <n v="11055"/>
    <x v="2"/>
    <x v="2"/>
    <n v="12.91"/>
    <n v="9"/>
    <x v="2"/>
    <n v="50"/>
    <n v="19.365000000000002"/>
    <n v="50.000000000000021"/>
    <s v="OK"/>
  </r>
  <r>
    <n v="11056"/>
    <x v="2"/>
    <x v="0"/>
    <n v="6.8"/>
    <n v="1"/>
    <x v="0"/>
    <n v="12"/>
    <n v="7.6160000000000005"/>
    <n v="12.000000000000011"/>
    <s v="OK"/>
  </r>
  <r>
    <n v="11057"/>
    <x v="1"/>
    <x v="1"/>
    <n v="3.3"/>
    <n v="9"/>
    <x v="2"/>
    <n v="60"/>
    <n v="5.28"/>
    <n v="60.000000000000007"/>
    <s v="OK"/>
  </r>
  <r>
    <n v="11058"/>
    <x v="0"/>
    <x v="0"/>
    <n v="3.27"/>
    <n v="1"/>
    <x v="0"/>
    <n v="12"/>
    <n v="3.6624000000000003"/>
    <n v="12.000000000000011"/>
    <s v="OK"/>
  </r>
  <r>
    <n v="11059"/>
    <x v="3"/>
    <x v="0"/>
    <n v="11.65"/>
    <n v="2"/>
    <x v="0"/>
    <n v="12"/>
    <n v="13.048000000000002"/>
    <n v="12.000000000000011"/>
    <s v="OK"/>
  </r>
  <r>
    <n v="11060"/>
    <x v="1"/>
    <x v="2"/>
    <n v="4.3499999999999996"/>
    <n v="2"/>
    <x v="0"/>
    <n v="10"/>
    <n v="4.7850000000000001"/>
    <n v="10.000000000000009"/>
    <s v="OK"/>
  </r>
  <r>
    <n v="11061"/>
    <x v="2"/>
    <x v="1"/>
    <n v="11.62"/>
    <n v="6"/>
    <x v="1"/>
    <n v="30"/>
    <n v="15.106"/>
    <n v="30.000000000000004"/>
    <s v="OK"/>
  </r>
  <r>
    <n v="11062"/>
    <x v="2"/>
    <x v="2"/>
    <n v="3.49"/>
    <n v="7"/>
    <x v="1"/>
    <n v="25"/>
    <n v="4.3625000000000007"/>
    <n v="25.000000000000021"/>
    <s v="OK"/>
  </r>
  <r>
    <n v="11063"/>
    <x v="0"/>
    <x v="1"/>
    <n v="5.16"/>
    <n v="1"/>
    <x v="0"/>
    <n v="15"/>
    <n v="5.9339999999999993"/>
    <n v="14.999999999999991"/>
    <s v="OK"/>
  </r>
  <r>
    <n v="11064"/>
    <x v="2"/>
    <x v="2"/>
    <n v="7.25"/>
    <n v="3"/>
    <x v="0"/>
    <n v="10"/>
    <n v="7.9750000000000005"/>
    <n v="10.000000000000009"/>
    <s v="OK"/>
  </r>
  <r>
    <n v="11065"/>
    <x v="3"/>
    <x v="0"/>
    <n v="14.18"/>
    <n v="2"/>
    <x v="0"/>
    <n v="12"/>
    <n v="15.881600000000001"/>
    <n v="12.000000000000011"/>
    <s v="OK"/>
  </r>
  <r>
    <n v="11066"/>
    <x v="0"/>
    <x v="1"/>
    <n v="14.01"/>
    <n v="8"/>
    <x v="2"/>
    <n v="60"/>
    <n v="22.416"/>
    <n v="60.000000000000007"/>
    <s v="OK"/>
  </r>
  <r>
    <n v="11067"/>
    <x v="2"/>
    <x v="0"/>
    <n v="3.5"/>
    <n v="9"/>
    <x v="2"/>
    <n v="55"/>
    <n v="5.4249999999999998"/>
    <n v="55.000000000000007"/>
    <s v="OK"/>
  </r>
  <r>
    <n v="11068"/>
    <x v="0"/>
    <x v="0"/>
    <n v="5.69"/>
    <n v="2"/>
    <x v="0"/>
    <n v="12"/>
    <n v="6.3728000000000007"/>
    <n v="12.000000000000011"/>
    <s v="OK"/>
  </r>
  <r>
    <n v="11069"/>
    <x v="2"/>
    <x v="2"/>
    <n v="2.67"/>
    <n v="2"/>
    <x v="0"/>
    <n v="10"/>
    <n v="2.9370000000000003"/>
    <n v="10.000000000000009"/>
    <s v="OK"/>
  </r>
  <r>
    <n v="11070"/>
    <x v="2"/>
    <x v="1"/>
    <n v="7.89"/>
    <n v="10"/>
    <x v="2"/>
    <n v="60"/>
    <n v="12.624000000000001"/>
    <n v="60.000000000000007"/>
    <s v="OK"/>
  </r>
  <r>
    <n v="11071"/>
    <x v="2"/>
    <x v="0"/>
    <n v="7.18"/>
    <n v="9"/>
    <x v="2"/>
    <n v="55"/>
    <n v="11.129"/>
    <n v="55.000000000000007"/>
    <s v="OK"/>
  </r>
  <r>
    <n v="11072"/>
    <x v="3"/>
    <x v="2"/>
    <n v="13.56"/>
    <n v="4"/>
    <x v="1"/>
    <n v="25"/>
    <n v="16.95"/>
    <n v="25"/>
    <s v="OK"/>
  </r>
  <r>
    <n v="11073"/>
    <x v="3"/>
    <x v="1"/>
    <n v="13.99"/>
    <n v="5"/>
    <x v="1"/>
    <n v="30"/>
    <n v="18.187000000000001"/>
    <n v="30.000000000000004"/>
    <s v="OK"/>
  </r>
  <r>
    <n v="11074"/>
    <x v="0"/>
    <x v="1"/>
    <n v="6.06"/>
    <n v="9"/>
    <x v="2"/>
    <n v="60"/>
    <n v="9.6959999999999997"/>
    <n v="60.000000000000007"/>
    <s v="OK"/>
  </r>
  <r>
    <n v="11075"/>
    <x v="2"/>
    <x v="0"/>
    <n v="7.63"/>
    <n v="6"/>
    <x v="1"/>
    <n v="28"/>
    <n v="9.7664000000000009"/>
    <n v="28.000000000000004"/>
    <s v="OK"/>
  </r>
  <r>
    <n v="11076"/>
    <x v="2"/>
    <x v="1"/>
    <n v="13.5"/>
    <n v="10"/>
    <x v="2"/>
    <n v="60"/>
    <n v="21.6"/>
    <n v="60.000000000000007"/>
    <s v="OK"/>
  </r>
  <r>
    <n v="11077"/>
    <x v="3"/>
    <x v="0"/>
    <n v="12.2"/>
    <n v="9"/>
    <x v="2"/>
    <n v="55"/>
    <n v="18.91"/>
    <n v="55.000000000000007"/>
    <s v="OK"/>
  </r>
  <r>
    <n v="11078"/>
    <x v="2"/>
    <x v="1"/>
    <n v="0.55000000000000004"/>
    <n v="9"/>
    <x v="2"/>
    <n v="60"/>
    <n v="0.88000000000000012"/>
    <n v="60.000000000000007"/>
    <s v="OK"/>
  </r>
  <r>
    <n v="11079"/>
    <x v="3"/>
    <x v="2"/>
    <n v="5.14"/>
    <n v="7"/>
    <x v="1"/>
    <n v="25"/>
    <n v="6.4249999999999998"/>
    <n v="25"/>
    <s v="OK"/>
  </r>
  <r>
    <n v="11080"/>
    <x v="2"/>
    <x v="0"/>
    <n v="6.62"/>
    <n v="10"/>
    <x v="2"/>
    <n v="55"/>
    <n v="10.261000000000001"/>
    <n v="55.000000000000007"/>
    <s v="OK"/>
  </r>
  <r>
    <n v="11081"/>
    <x v="0"/>
    <x v="0"/>
    <n v="3.83"/>
    <n v="9"/>
    <x v="2"/>
    <n v="55"/>
    <n v="5.9365000000000006"/>
    <n v="55.000000000000007"/>
    <s v="OK"/>
  </r>
  <r>
    <n v="11082"/>
    <x v="2"/>
    <x v="1"/>
    <n v="3.39"/>
    <n v="5"/>
    <x v="1"/>
    <n v="30"/>
    <n v="4.407"/>
    <n v="30.000000000000004"/>
    <s v="OK"/>
  </r>
  <r>
    <n v="11083"/>
    <x v="2"/>
    <x v="1"/>
    <n v="1.05"/>
    <n v="5"/>
    <x v="1"/>
    <n v="30"/>
    <n v="1.3650000000000002"/>
    <n v="30.000000000000004"/>
    <s v="OK"/>
  </r>
  <r>
    <n v="11084"/>
    <x v="1"/>
    <x v="0"/>
    <n v="9.83"/>
    <n v="8"/>
    <x v="2"/>
    <n v="55"/>
    <n v="15.236500000000001"/>
    <n v="55.000000000000007"/>
    <s v="OK"/>
  </r>
  <r>
    <n v="11085"/>
    <x v="3"/>
    <x v="1"/>
    <n v="4.3099999999999996"/>
    <n v="10"/>
    <x v="2"/>
    <n v="60"/>
    <n v="6.8959999999999999"/>
    <n v="60.000000000000007"/>
    <s v="OK"/>
  </r>
  <r>
    <n v="11086"/>
    <x v="2"/>
    <x v="2"/>
    <n v="1.26"/>
    <n v="4"/>
    <x v="1"/>
    <n v="25"/>
    <n v="1.575"/>
    <n v="25"/>
    <s v="OK"/>
  </r>
  <r>
    <n v="11087"/>
    <x v="2"/>
    <x v="1"/>
    <n v="3.85"/>
    <n v="9"/>
    <x v="2"/>
    <n v="60"/>
    <n v="6.16"/>
    <n v="60.000000000000007"/>
    <s v="OK"/>
  </r>
  <r>
    <n v="11088"/>
    <x v="1"/>
    <x v="2"/>
    <n v="12.13"/>
    <n v="7"/>
    <x v="1"/>
    <n v="25"/>
    <n v="15.162500000000001"/>
    <n v="25"/>
    <s v="OK"/>
  </r>
  <r>
    <n v="11089"/>
    <x v="1"/>
    <x v="2"/>
    <n v="12.85"/>
    <n v="7"/>
    <x v="1"/>
    <n v="25"/>
    <n v="16.0625"/>
    <n v="25"/>
    <s v="OK"/>
  </r>
  <r>
    <n v="11090"/>
    <x v="3"/>
    <x v="2"/>
    <n v="7.5"/>
    <n v="3"/>
    <x v="0"/>
    <n v="10"/>
    <n v="8.25"/>
    <n v="10.000000000000009"/>
    <s v="OK"/>
  </r>
  <r>
    <n v="11091"/>
    <x v="1"/>
    <x v="2"/>
    <n v="6.53"/>
    <n v="4"/>
    <x v="1"/>
    <n v="25"/>
    <n v="8.1624999999999996"/>
    <n v="25"/>
    <s v="OK"/>
  </r>
  <r>
    <n v="11092"/>
    <x v="0"/>
    <x v="2"/>
    <n v="14.68"/>
    <n v="7"/>
    <x v="1"/>
    <n v="25"/>
    <n v="18.350000000000001"/>
    <n v="25.000000000000021"/>
    <s v="OK"/>
  </r>
  <r>
    <n v="11093"/>
    <x v="1"/>
    <x v="1"/>
    <n v="3.41"/>
    <n v="5"/>
    <x v="1"/>
    <n v="30"/>
    <n v="4.4330000000000007"/>
    <n v="30.000000000000028"/>
    <s v="OK"/>
  </r>
  <r>
    <n v="11094"/>
    <x v="0"/>
    <x v="2"/>
    <n v="3.62"/>
    <n v="3"/>
    <x v="0"/>
    <n v="10"/>
    <n v="3.9820000000000007"/>
    <n v="10.000000000000009"/>
    <s v="OK"/>
  </r>
  <r>
    <n v="11095"/>
    <x v="3"/>
    <x v="1"/>
    <n v="4.7300000000000004"/>
    <n v="1"/>
    <x v="0"/>
    <n v="15"/>
    <n v="5.4394999999999998"/>
    <n v="14.999999999999991"/>
    <s v="OK"/>
  </r>
  <r>
    <n v="11096"/>
    <x v="3"/>
    <x v="2"/>
    <n v="3"/>
    <n v="7"/>
    <x v="1"/>
    <n v="25"/>
    <n v="3.75"/>
    <n v="25"/>
    <s v="OK"/>
  </r>
  <r>
    <n v="11097"/>
    <x v="3"/>
    <x v="0"/>
    <n v="6"/>
    <n v="6"/>
    <x v="1"/>
    <n v="28"/>
    <n v="7.68"/>
    <n v="28.000000000000004"/>
    <s v="OK"/>
  </r>
  <r>
    <n v="11098"/>
    <x v="3"/>
    <x v="2"/>
    <n v="13.71"/>
    <n v="10"/>
    <x v="2"/>
    <n v="50"/>
    <n v="20.565000000000001"/>
    <n v="50"/>
    <s v="OK"/>
  </r>
  <r>
    <n v="11099"/>
    <x v="3"/>
    <x v="0"/>
    <n v="9.42"/>
    <n v="7"/>
    <x v="1"/>
    <n v="28"/>
    <n v="12.057600000000001"/>
    <n v="28.000000000000004"/>
    <s v="OK"/>
  </r>
  <r>
    <n v="11100"/>
    <x v="0"/>
    <x v="2"/>
    <n v="6.47"/>
    <n v="2"/>
    <x v="0"/>
    <n v="10"/>
    <n v="7.117"/>
    <n v="10.000000000000009"/>
    <s v="OK"/>
  </r>
  <r>
    <n v="11101"/>
    <x v="0"/>
    <x v="2"/>
    <n v="14.05"/>
    <n v="4"/>
    <x v="1"/>
    <n v="25"/>
    <n v="17.5625"/>
    <n v="25"/>
    <s v="OK"/>
  </r>
  <r>
    <n v="11102"/>
    <x v="3"/>
    <x v="2"/>
    <n v="1.2"/>
    <n v="2"/>
    <x v="0"/>
    <n v="10"/>
    <n v="1.32"/>
    <n v="10.000000000000009"/>
    <s v="OK"/>
  </r>
  <r>
    <n v="11103"/>
    <x v="1"/>
    <x v="0"/>
    <n v="3.55"/>
    <n v="8"/>
    <x v="2"/>
    <n v="55"/>
    <n v="5.5024999999999995"/>
    <n v="55.000000000000007"/>
    <s v="OK"/>
  </r>
  <r>
    <n v="11104"/>
    <x v="2"/>
    <x v="0"/>
    <n v="8.7100000000000009"/>
    <n v="7"/>
    <x v="1"/>
    <n v="28"/>
    <n v="11.148800000000001"/>
    <n v="28.000000000000004"/>
    <s v="OK"/>
  </r>
  <r>
    <n v="11105"/>
    <x v="3"/>
    <x v="2"/>
    <n v="9.43"/>
    <n v="1"/>
    <x v="0"/>
    <n v="10"/>
    <n v="10.373000000000001"/>
    <n v="10.000000000000009"/>
    <s v="OK"/>
  </r>
  <r>
    <n v="11106"/>
    <x v="1"/>
    <x v="1"/>
    <n v="1.07"/>
    <n v="2"/>
    <x v="0"/>
    <n v="15"/>
    <n v="1.2304999999999999"/>
    <n v="14.999999999999991"/>
    <s v="OK"/>
  </r>
  <r>
    <n v="11107"/>
    <x v="2"/>
    <x v="2"/>
    <n v="6.34"/>
    <n v="2"/>
    <x v="0"/>
    <n v="10"/>
    <n v="6.9740000000000002"/>
    <n v="10.000000000000009"/>
    <s v="OK"/>
  </r>
  <r>
    <n v="11108"/>
    <x v="3"/>
    <x v="0"/>
    <n v="9.91"/>
    <n v="4"/>
    <x v="1"/>
    <n v="28"/>
    <n v="12.684800000000001"/>
    <n v="28.000000000000004"/>
    <s v="OK"/>
  </r>
  <r>
    <n v="11109"/>
    <x v="3"/>
    <x v="2"/>
    <n v="10.62"/>
    <n v="3"/>
    <x v="0"/>
    <n v="10"/>
    <n v="11.682"/>
    <n v="10.000000000000009"/>
    <s v="OK"/>
  </r>
  <r>
    <n v="11110"/>
    <x v="0"/>
    <x v="0"/>
    <n v="9.75"/>
    <n v="1"/>
    <x v="0"/>
    <n v="12"/>
    <n v="10.920000000000002"/>
    <n v="12.000000000000011"/>
    <s v="OK"/>
  </r>
  <r>
    <n v="11111"/>
    <x v="2"/>
    <x v="0"/>
    <n v="5.15"/>
    <n v="2"/>
    <x v="0"/>
    <n v="12"/>
    <n v="5.7680000000000007"/>
    <n v="12.000000000000011"/>
    <s v="OK"/>
  </r>
  <r>
    <n v="11112"/>
    <x v="2"/>
    <x v="0"/>
    <n v="1.86"/>
    <n v="9"/>
    <x v="2"/>
    <n v="55"/>
    <n v="2.8830000000000005"/>
    <n v="55.000000000000028"/>
    <s v="OK"/>
  </r>
  <r>
    <n v="11113"/>
    <x v="1"/>
    <x v="2"/>
    <n v="6.69"/>
    <n v="1"/>
    <x v="0"/>
    <n v="10"/>
    <n v="7.3590000000000009"/>
    <n v="10.000000000000009"/>
    <s v="OK"/>
  </r>
  <r>
    <n v="11114"/>
    <x v="0"/>
    <x v="0"/>
    <n v="2.37"/>
    <n v="9"/>
    <x v="2"/>
    <n v="55"/>
    <n v="3.6735000000000002"/>
    <n v="55.000000000000007"/>
    <s v="OK"/>
  </r>
  <r>
    <n v="11115"/>
    <x v="0"/>
    <x v="0"/>
    <n v="14.24"/>
    <n v="7"/>
    <x v="1"/>
    <n v="28"/>
    <n v="18.2272"/>
    <n v="28.000000000000004"/>
    <s v="OK"/>
  </r>
  <r>
    <n v="11116"/>
    <x v="0"/>
    <x v="2"/>
    <n v="7.39"/>
    <n v="2"/>
    <x v="0"/>
    <n v="10"/>
    <n v="8.1289999999999996"/>
    <n v="10.000000000000009"/>
    <s v="OK"/>
  </r>
  <r>
    <n v="11117"/>
    <x v="0"/>
    <x v="0"/>
    <n v="5.0999999999999996"/>
    <n v="2"/>
    <x v="0"/>
    <n v="12"/>
    <n v="5.7119999999999997"/>
    <n v="12.000000000000011"/>
    <s v="OK"/>
  </r>
  <r>
    <n v="11118"/>
    <x v="2"/>
    <x v="2"/>
    <n v="11.61"/>
    <n v="5"/>
    <x v="1"/>
    <n v="25"/>
    <n v="14.512499999999999"/>
    <n v="25"/>
    <s v="OK"/>
  </r>
  <r>
    <n v="11119"/>
    <x v="2"/>
    <x v="0"/>
    <n v="7.72"/>
    <n v="5"/>
    <x v="1"/>
    <n v="28"/>
    <n v="9.8816000000000006"/>
    <n v="28.000000000000004"/>
    <s v="OK"/>
  </r>
  <r>
    <n v="11120"/>
    <x v="3"/>
    <x v="1"/>
    <n v="5"/>
    <n v="4"/>
    <x v="1"/>
    <n v="30"/>
    <n v="6.5"/>
    <n v="30.000000000000004"/>
    <s v="OK"/>
  </r>
  <r>
    <n v="11121"/>
    <x v="3"/>
    <x v="1"/>
    <n v="12.27"/>
    <n v="10"/>
    <x v="2"/>
    <n v="60"/>
    <n v="19.632000000000001"/>
    <n v="60.000000000000007"/>
    <s v="OK"/>
  </r>
  <r>
    <n v="11122"/>
    <x v="0"/>
    <x v="0"/>
    <n v="13.07"/>
    <n v="10"/>
    <x v="2"/>
    <n v="55"/>
    <n v="20.258500000000002"/>
    <n v="55.000000000000007"/>
    <s v="OK"/>
  </r>
  <r>
    <n v="11123"/>
    <x v="0"/>
    <x v="1"/>
    <n v="10.26"/>
    <n v="3"/>
    <x v="0"/>
    <n v="15"/>
    <n v="11.798999999999999"/>
    <n v="14.999999999999991"/>
    <s v="OK"/>
  </r>
  <r>
    <n v="11124"/>
    <x v="0"/>
    <x v="2"/>
    <n v="1.18"/>
    <n v="4"/>
    <x v="1"/>
    <n v="25"/>
    <n v="1.4749999999999999"/>
    <n v="25"/>
    <s v="OK"/>
  </r>
  <r>
    <n v="11125"/>
    <x v="3"/>
    <x v="1"/>
    <n v="8.7100000000000009"/>
    <n v="10"/>
    <x v="2"/>
    <n v="60"/>
    <n v="13.936000000000002"/>
    <n v="60.000000000000007"/>
    <s v="OK"/>
  </r>
  <r>
    <n v="11126"/>
    <x v="1"/>
    <x v="0"/>
    <n v="11.57"/>
    <n v="4"/>
    <x v="1"/>
    <n v="28"/>
    <n v="14.809600000000001"/>
    <n v="28.000000000000004"/>
    <s v="OK"/>
  </r>
  <r>
    <n v="11127"/>
    <x v="1"/>
    <x v="0"/>
    <n v="2.48"/>
    <n v="2"/>
    <x v="0"/>
    <n v="12"/>
    <n v="2.7776000000000001"/>
    <n v="12.000000000000011"/>
    <s v="OK"/>
  </r>
  <r>
    <n v="11128"/>
    <x v="3"/>
    <x v="2"/>
    <n v="3.82"/>
    <n v="5"/>
    <x v="1"/>
    <n v="25"/>
    <n v="4.7749999999999995"/>
    <n v="25"/>
    <s v="OK"/>
  </r>
  <r>
    <n v="11129"/>
    <x v="3"/>
    <x v="0"/>
    <n v="13.3"/>
    <n v="5"/>
    <x v="1"/>
    <n v="28"/>
    <n v="17.024000000000001"/>
    <n v="28.000000000000004"/>
    <s v="OK"/>
  </r>
  <r>
    <n v="11130"/>
    <x v="3"/>
    <x v="2"/>
    <n v="0.79"/>
    <n v="5"/>
    <x v="1"/>
    <n v="25"/>
    <n v="0.98750000000000004"/>
    <n v="25"/>
    <s v="OK"/>
  </r>
  <r>
    <n v="11131"/>
    <x v="3"/>
    <x v="1"/>
    <n v="11.41"/>
    <n v="10"/>
    <x v="2"/>
    <n v="60"/>
    <n v="18.256"/>
    <n v="60.000000000000007"/>
    <s v="OK"/>
  </r>
  <r>
    <n v="11132"/>
    <x v="3"/>
    <x v="1"/>
    <n v="7.37"/>
    <n v="1"/>
    <x v="0"/>
    <n v="15"/>
    <n v="8.4755000000000003"/>
    <n v="14.999999999999991"/>
    <s v="OK"/>
  </r>
  <r>
    <n v="11133"/>
    <x v="3"/>
    <x v="2"/>
    <n v="6.98"/>
    <n v="6"/>
    <x v="1"/>
    <n v="25"/>
    <n v="8.7250000000000014"/>
    <n v="25.000000000000021"/>
    <s v="OK"/>
  </r>
  <r>
    <n v="11134"/>
    <x v="0"/>
    <x v="2"/>
    <n v="0.6"/>
    <n v="2"/>
    <x v="0"/>
    <n v="10"/>
    <n v="0.66"/>
    <n v="10.000000000000009"/>
    <s v="OK"/>
  </r>
  <r>
    <n v="11135"/>
    <x v="0"/>
    <x v="0"/>
    <n v="12.38"/>
    <n v="7"/>
    <x v="1"/>
    <n v="28"/>
    <n v="15.846400000000001"/>
    <n v="28.000000000000004"/>
    <s v="OK"/>
  </r>
  <r>
    <n v="11136"/>
    <x v="0"/>
    <x v="1"/>
    <n v="5.72"/>
    <n v="4"/>
    <x v="1"/>
    <n v="30"/>
    <n v="7.4359999999999999"/>
    <n v="30.000000000000004"/>
    <s v="OK"/>
  </r>
  <r>
    <n v="11137"/>
    <x v="0"/>
    <x v="2"/>
    <n v="8.34"/>
    <n v="5"/>
    <x v="1"/>
    <n v="25"/>
    <n v="10.425000000000001"/>
    <n v="25"/>
    <s v="OK"/>
  </r>
  <r>
    <n v="11138"/>
    <x v="3"/>
    <x v="1"/>
    <n v="10.32"/>
    <n v="5"/>
    <x v="1"/>
    <n v="30"/>
    <n v="13.416"/>
    <n v="30.000000000000004"/>
    <s v="OK"/>
  </r>
  <r>
    <n v="11139"/>
    <x v="1"/>
    <x v="2"/>
    <n v="10.69"/>
    <n v="5"/>
    <x v="1"/>
    <n v="25"/>
    <n v="13.362499999999999"/>
    <n v="25"/>
    <s v="OK"/>
  </r>
  <r>
    <n v="11140"/>
    <x v="2"/>
    <x v="1"/>
    <n v="14.36"/>
    <n v="2"/>
    <x v="0"/>
    <n v="15"/>
    <n v="16.513999999999999"/>
    <n v="14.999999999999991"/>
    <s v="OK"/>
  </r>
  <r>
    <n v="11141"/>
    <x v="3"/>
    <x v="0"/>
    <n v="8.1999999999999993"/>
    <n v="5"/>
    <x v="1"/>
    <n v="28"/>
    <n v="10.495999999999999"/>
    <n v="28.000000000000004"/>
    <s v="OK"/>
  </r>
  <r>
    <n v="11142"/>
    <x v="2"/>
    <x v="1"/>
    <n v="6.3"/>
    <n v="3"/>
    <x v="0"/>
    <n v="15"/>
    <n v="7.2449999999999992"/>
    <n v="14.999999999999991"/>
    <s v="OK"/>
  </r>
  <r>
    <n v="11143"/>
    <x v="1"/>
    <x v="1"/>
    <n v="14.33"/>
    <n v="4"/>
    <x v="1"/>
    <n v="30"/>
    <n v="18.629000000000001"/>
    <n v="30.000000000000004"/>
    <s v="OK"/>
  </r>
  <r>
    <n v="11144"/>
    <x v="0"/>
    <x v="1"/>
    <n v="9.81"/>
    <n v="2"/>
    <x v="0"/>
    <n v="15"/>
    <n v="11.281499999999999"/>
    <n v="14.999999999999991"/>
    <s v="OK"/>
  </r>
  <r>
    <n v="11145"/>
    <x v="1"/>
    <x v="1"/>
    <n v="4.82"/>
    <n v="4"/>
    <x v="1"/>
    <n v="30"/>
    <n v="6.2660000000000009"/>
    <n v="30.000000000000004"/>
    <s v="OK"/>
  </r>
  <r>
    <n v="11146"/>
    <x v="3"/>
    <x v="1"/>
    <n v="2.33"/>
    <n v="9"/>
    <x v="2"/>
    <n v="60"/>
    <n v="3.7280000000000002"/>
    <n v="60.000000000000007"/>
    <s v="OK"/>
  </r>
  <r>
    <n v="11147"/>
    <x v="0"/>
    <x v="0"/>
    <n v="12.72"/>
    <n v="8"/>
    <x v="2"/>
    <n v="55"/>
    <n v="19.716000000000001"/>
    <n v="55.000000000000007"/>
    <s v="OK"/>
  </r>
  <r>
    <n v="11148"/>
    <x v="3"/>
    <x v="2"/>
    <n v="5.75"/>
    <n v="3"/>
    <x v="0"/>
    <n v="10"/>
    <n v="6.3250000000000002"/>
    <n v="10.000000000000009"/>
    <s v="OK"/>
  </r>
  <r>
    <n v="11149"/>
    <x v="0"/>
    <x v="1"/>
    <n v="10.08"/>
    <n v="1"/>
    <x v="0"/>
    <n v="15"/>
    <n v="11.591999999999999"/>
    <n v="14.999999999999991"/>
    <s v="OK"/>
  </r>
  <r>
    <n v="11150"/>
    <x v="2"/>
    <x v="0"/>
    <n v="7.33"/>
    <n v="1"/>
    <x v="0"/>
    <n v="12"/>
    <n v="8.2096"/>
    <n v="11.999999999999989"/>
    <s v="OK"/>
  </r>
  <r>
    <n v="11151"/>
    <x v="2"/>
    <x v="1"/>
    <n v="3.38"/>
    <n v="6"/>
    <x v="1"/>
    <n v="30"/>
    <n v="4.3940000000000001"/>
    <n v="30.000000000000004"/>
    <s v="OK"/>
  </r>
  <r>
    <n v="11152"/>
    <x v="2"/>
    <x v="1"/>
    <n v="9.2200000000000006"/>
    <n v="3"/>
    <x v="0"/>
    <n v="15"/>
    <n v="10.603"/>
    <n v="14.999999999999991"/>
    <s v="OK"/>
  </r>
  <r>
    <n v="11153"/>
    <x v="1"/>
    <x v="2"/>
    <n v="1.38"/>
    <n v="4"/>
    <x v="1"/>
    <n v="25"/>
    <n v="1.7249999999999999"/>
    <n v="25"/>
    <s v="OK"/>
  </r>
  <r>
    <n v="11154"/>
    <x v="3"/>
    <x v="1"/>
    <n v="6.49"/>
    <n v="1"/>
    <x v="0"/>
    <n v="15"/>
    <n v="7.4634999999999998"/>
    <n v="14.999999999999991"/>
    <s v="OK"/>
  </r>
  <r>
    <n v="11155"/>
    <x v="1"/>
    <x v="0"/>
    <n v="8.43"/>
    <n v="8"/>
    <x v="2"/>
    <n v="55"/>
    <n v="13.0665"/>
    <n v="55.000000000000007"/>
    <s v="OK"/>
  </r>
  <r>
    <n v="11156"/>
    <x v="2"/>
    <x v="0"/>
    <n v="6.82"/>
    <n v="1"/>
    <x v="0"/>
    <n v="12"/>
    <n v="7.6384000000000007"/>
    <n v="12.000000000000011"/>
    <s v="OK"/>
  </r>
  <r>
    <n v="11157"/>
    <x v="3"/>
    <x v="2"/>
    <n v="11.36"/>
    <n v="5"/>
    <x v="1"/>
    <n v="25"/>
    <n v="14.2"/>
    <n v="25"/>
    <s v="OK"/>
  </r>
  <r>
    <n v="11158"/>
    <x v="2"/>
    <x v="1"/>
    <n v="12.5"/>
    <n v="6"/>
    <x v="1"/>
    <n v="30"/>
    <n v="16.25"/>
    <n v="30.000000000000004"/>
    <s v="OK"/>
  </r>
  <r>
    <n v="11159"/>
    <x v="1"/>
    <x v="0"/>
    <n v="11.68"/>
    <n v="2"/>
    <x v="0"/>
    <n v="12"/>
    <n v="13.081600000000002"/>
    <n v="12.000000000000011"/>
    <s v="OK"/>
  </r>
  <r>
    <n v="11160"/>
    <x v="1"/>
    <x v="1"/>
    <n v="1.06"/>
    <n v="7"/>
    <x v="1"/>
    <n v="30"/>
    <n v="1.3780000000000001"/>
    <n v="30.000000000000004"/>
    <s v="OK"/>
  </r>
  <r>
    <n v="11161"/>
    <x v="1"/>
    <x v="1"/>
    <n v="3.31"/>
    <n v="7"/>
    <x v="1"/>
    <n v="30"/>
    <n v="4.3029999999999999"/>
    <n v="30.000000000000004"/>
    <s v="OK"/>
  </r>
  <r>
    <n v="11162"/>
    <x v="2"/>
    <x v="1"/>
    <n v="8.2799999999999994"/>
    <n v="1"/>
    <x v="0"/>
    <n v="15"/>
    <n v="9.5219999999999985"/>
    <n v="14.999999999999991"/>
    <s v="OK"/>
  </r>
  <r>
    <n v="11163"/>
    <x v="3"/>
    <x v="2"/>
    <n v="14.05"/>
    <n v="4"/>
    <x v="1"/>
    <n v="25"/>
    <n v="17.5625"/>
    <n v="25"/>
    <s v="OK"/>
  </r>
  <r>
    <n v="11164"/>
    <x v="3"/>
    <x v="1"/>
    <n v="12.61"/>
    <n v="4"/>
    <x v="1"/>
    <n v="30"/>
    <n v="16.393000000000001"/>
    <n v="30.000000000000004"/>
    <s v="OK"/>
  </r>
  <r>
    <n v="11165"/>
    <x v="2"/>
    <x v="0"/>
    <n v="12.72"/>
    <n v="5"/>
    <x v="1"/>
    <n v="28"/>
    <n v="16.281600000000001"/>
    <n v="28.000000000000004"/>
    <s v="OK"/>
  </r>
  <r>
    <n v="11166"/>
    <x v="3"/>
    <x v="1"/>
    <n v="4.9000000000000004"/>
    <n v="1"/>
    <x v="0"/>
    <n v="15"/>
    <n v="5.6349999999999998"/>
    <n v="14.999999999999991"/>
    <s v="OK"/>
  </r>
  <r>
    <n v="11167"/>
    <x v="2"/>
    <x v="0"/>
    <n v="6.73"/>
    <n v="1"/>
    <x v="0"/>
    <n v="12"/>
    <n v="7.5376000000000012"/>
    <n v="12.000000000000011"/>
    <s v="OK"/>
  </r>
  <r>
    <n v="11168"/>
    <x v="3"/>
    <x v="1"/>
    <n v="7.33"/>
    <n v="7"/>
    <x v="1"/>
    <n v="30"/>
    <n v="9.5289999999999999"/>
    <n v="30.000000000000004"/>
    <s v="OK"/>
  </r>
  <r>
    <n v="11169"/>
    <x v="0"/>
    <x v="0"/>
    <n v="2.78"/>
    <n v="9"/>
    <x v="2"/>
    <n v="55"/>
    <n v="4.3090000000000002"/>
    <n v="55.000000000000028"/>
    <s v="OK"/>
  </r>
  <r>
    <n v="11170"/>
    <x v="0"/>
    <x v="0"/>
    <n v="0.95"/>
    <n v="1"/>
    <x v="0"/>
    <n v="12"/>
    <n v="1.0640000000000001"/>
    <n v="12.000000000000011"/>
    <s v="OK"/>
  </r>
  <r>
    <n v="11171"/>
    <x v="1"/>
    <x v="1"/>
    <n v="14.23"/>
    <n v="2"/>
    <x v="0"/>
    <n v="15"/>
    <n v="16.3645"/>
    <n v="14.999999999999991"/>
    <s v="OK"/>
  </r>
  <r>
    <n v="11172"/>
    <x v="0"/>
    <x v="1"/>
    <n v="3.99"/>
    <n v="6"/>
    <x v="1"/>
    <n v="30"/>
    <n v="5.1870000000000003"/>
    <n v="30.000000000000004"/>
    <s v="OK"/>
  </r>
  <r>
    <n v="11173"/>
    <x v="0"/>
    <x v="0"/>
    <n v="3.98"/>
    <n v="6"/>
    <x v="1"/>
    <n v="28"/>
    <n v="5.0944000000000003"/>
    <n v="28.000000000000004"/>
    <s v="OK"/>
  </r>
  <r>
    <n v="11174"/>
    <x v="0"/>
    <x v="2"/>
    <n v="1.71"/>
    <n v="2"/>
    <x v="0"/>
    <n v="10"/>
    <n v="1.881"/>
    <n v="10.000000000000009"/>
    <s v="OK"/>
  </r>
  <r>
    <n v="11175"/>
    <x v="2"/>
    <x v="1"/>
    <n v="13.96"/>
    <n v="9"/>
    <x v="2"/>
    <n v="60"/>
    <n v="22.336000000000002"/>
    <n v="60.000000000000007"/>
    <s v="OK"/>
  </r>
  <r>
    <n v="11176"/>
    <x v="0"/>
    <x v="2"/>
    <n v="8.91"/>
    <n v="4"/>
    <x v="1"/>
    <n v="25"/>
    <n v="11.137499999999999"/>
    <n v="25"/>
    <s v="OK"/>
  </r>
  <r>
    <n v="11177"/>
    <x v="0"/>
    <x v="1"/>
    <n v="10.17"/>
    <n v="7"/>
    <x v="1"/>
    <n v="30"/>
    <n v="13.221"/>
    <n v="30.000000000000004"/>
    <s v="OK"/>
  </r>
  <r>
    <n v="11178"/>
    <x v="1"/>
    <x v="1"/>
    <n v="13.72"/>
    <n v="6"/>
    <x v="1"/>
    <n v="30"/>
    <n v="17.836000000000002"/>
    <n v="30.000000000000004"/>
    <s v="OK"/>
  </r>
  <r>
    <n v="11179"/>
    <x v="0"/>
    <x v="1"/>
    <n v="5.51"/>
    <n v="3"/>
    <x v="0"/>
    <n v="15"/>
    <n v="6.3364999999999991"/>
    <n v="14.999999999999991"/>
    <s v="OK"/>
  </r>
  <r>
    <n v="11180"/>
    <x v="0"/>
    <x v="1"/>
    <n v="9.51"/>
    <n v="8"/>
    <x v="2"/>
    <n v="60"/>
    <n v="15.216000000000001"/>
    <n v="60.000000000000007"/>
    <s v="OK"/>
  </r>
  <r>
    <n v="11181"/>
    <x v="3"/>
    <x v="2"/>
    <n v="1.06"/>
    <n v="7"/>
    <x v="1"/>
    <n v="25"/>
    <n v="1.3250000000000002"/>
    <n v="25"/>
    <s v="OK"/>
  </r>
  <r>
    <n v="11182"/>
    <x v="1"/>
    <x v="1"/>
    <n v="3.21"/>
    <n v="9"/>
    <x v="2"/>
    <n v="60"/>
    <n v="5.1360000000000001"/>
    <n v="60.000000000000007"/>
    <s v="OK"/>
  </r>
  <r>
    <n v="11183"/>
    <x v="1"/>
    <x v="0"/>
    <n v="12.55"/>
    <n v="3"/>
    <x v="0"/>
    <n v="12"/>
    <n v="14.056000000000003"/>
    <n v="12.000000000000011"/>
    <s v="OK"/>
  </r>
  <r>
    <n v="11184"/>
    <x v="1"/>
    <x v="0"/>
    <n v="11.62"/>
    <n v="1"/>
    <x v="0"/>
    <n v="12"/>
    <n v="13.0144"/>
    <n v="12.000000000000011"/>
    <s v="OK"/>
  </r>
  <r>
    <n v="11185"/>
    <x v="1"/>
    <x v="2"/>
    <n v="5.58"/>
    <n v="2"/>
    <x v="0"/>
    <n v="10"/>
    <n v="6.1380000000000008"/>
    <n v="10.000000000000009"/>
    <s v="OK"/>
  </r>
  <r>
    <n v="11186"/>
    <x v="1"/>
    <x v="1"/>
    <n v="5.96"/>
    <n v="1"/>
    <x v="0"/>
    <n v="15"/>
    <n v="6.8539999999999992"/>
    <n v="14.999999999999991"/>
    <s v="OK"/>
  </r>
  <r>
    <n v="11187"/>
    <x v="1"/>
    <x v="0"/>
    <n v="8.24"/>
    <n v="5"/>
    <x v="1"/>
    <n v="28"/>
    <n v="10.5472"/>
    <n v="28.000000000000004"/>
    <s v="OK"/>
  </r>
  <r>
    <n v="11188"/>
    <x v="2"/>
    <x v="2"/>
    <n v="0.5"/>
    <n v="10"/>
    <x v="2"/>
    <n v="50"/>
    <n v="0.75"/>
    <n v="50"/>
    <s v="OK"/>
  </r>
  <r>
    <n v="11189"/>
    <x v="0"/>
    <x v="1"/>
    <n v="4"/>
    <n v="2"/>
    <x v="0"/>
    <n v="15"/>
    <n v="4.5999999999999996"/>
    <n v="14.999999999999991"/>
    <s v="OK"/>
  </r>
  <r>
    <n v="11190"/>
    <x v="1"/>
    <x v="0"/>
    <n v="3.52"/>
    <n v="3"/>
    <x v="0"/>
    <n v="12"/>
    <n v="3.9424000000000006"/>
    <n v="12.000000000000011"/>
    <s v="OK"/>
  </r>
  <r>
    <n v="11191"/>
    <x v="0"/>
    <x v="0"/>
    <n v="4.13"/>
    <n v="8"/>
    <x v="2"/>
    <n v="55"/>
    <n v="6.4015000000000004"/>
    <n v="55.000000000000007"/>
    <s v="OK"/>
  </r>
  <r>
    <n v="11192"/>
    <x v="0"/>
    <x v="2"/>
    <n v="12.19"/>
    <n v="10"/>
    <x v="2"/>
    <n v="50"/>
    <n v="18.285"/>
    <n v="50"/>
    <s v="OK"/>
  </r>
  <r>
    <n v="11193"/>
    <x v="2"/>
    <x v="1"/>
    <n v="4.5599999999999996"/>
    <n v="5"/>
    <x v="1"/>
    <n v="30"/>
    <n v="5.9279999999999999"/>
    <n v="30.000000000000004"/>
    <s v="OK"/>
  </r>
  <r>
    <n v="11194"/>
    <x v="1"/>
    <x v="1"/>
    <n v="3.28"/>
    <n v="4"/>
    <x v="1"/>
    <n v="30"/>
    <n v="4.2640000000000002"/>
    <n v="30.000000000000004"/>
    <s v="OK"/>
  </r>
  <r>
    <n v="11195"/>
    <x v="3"/>
    <x v="0"/>
    <n v="7.81"/>
    <n v="5"/>
    <x v="1"/>
    <n v="28"/>
    <n v="9.9968000000000004"/>
    <n v="28.000000000000004"/>
    <s v="OK"/>
  </r>
  <r>
    <n v="11196"/>
    <x v="2"/>
    <x v="0"/>
    <n v="13.05"/>
    <n v="10"/>
    <x v="2"/>
    <n v="55"/>
    <n v="20.227500000000003"/>
    <n v="55.000000000000007"/>
    <s v="OK"/>
  </r>
  <r>
    <n v="11197"/>
    <x v="3"/>
    <x v="0"/>
    <n v="4"/>
    <n v="6"/>
    <x v="1"/>
    <n v="28"/>
    <n v="5.12"/>
    <n v="28.000000000000004"/>
    <s v="OK"/>
  </r>
  <r>
    <n v="11198"/>
    <x v="0"/>
    <x v="1"/>
    <n v="1.64"/>
    <n v="7"/>
    <x v="1"/>
    <n v="30"/>
    <n v="2.1320000000000001"/>
    <n v="30.000000000000004"/>
    <s v="OK"/>
  </r>
  <r>
    <n v="11199"/>
    <x v="0"/>
    <x v="2"/>
    <n v="5.67"/>
    <n v="9"/>
    <x v="2"/>
    <n v="50"/>
    <n v="8.504999999999999"/>
    <n v="49.999999999999979"/>
    <s v="OK"/>
  </r>
  <r>
    <n v="11200"/>
    <x v="2"/>
    <x v="2"/>
    <n v="11.34"/>
    <n v="1"/>
    <x v="0"/>
    <n v="10"/>
    <n v="12.474"/>
    <n v="10.000000000000009"/>
    <s v="OK"/>
  </r>
  <r>
    <n v="11201"/>
    <x v="2"/>
    <x v="1"/>
    <n v="8.49"/>
    <n v="4"/>
    <x v="1"/>
    <n v="30"/>
    <n v="11.037000000000001"/>
    <n v="30.000000000000004"/>
    <s v="OK"/>
  </r>
  <r>
    <n v="11202"/>
    <x v="3"/>
    <x v="2"/>
    <n v="12.34"/>
    <n v="9"/>
    <x v="2"/>
    <n v="50"/>
    <n v="18.509999999999998"/>
    <n v="49.999999999999979"/>
    <s v="OK"/>
  </r>
  <r>
    <n v="11203"/>
    <x v="1"/>
    <x v="0"/>
    <n v="14.41"/>
    <n v="5"/>
    <x v="1"/>
    <n v="28"/>
    <n v="18.444800000000001"/>
    <n v="28.000000000000004"/>
    <s v="OK"/>
  </r>
  <r>
    <n v="11204"/>
    <x v="3"/>
    <x v="2"/>
    <n v="11.99"/>
    <n v="8"/>
    <x v="2"/>
    <n v="50"/>
    <n v="17.984999999999999"/>
    <n v="50"/>
    <s v="OK"/>
  </r>
  <r>
    <n v="11205"/>
    <x v="2"/>
    <x v="2"/>
    <n v="9.26"/>
    <n v="1"/>
    <x v="0"/>
    <n v="10"/>
    <n v="10.186"/>
    <n v="10.000000000000009"/>
    <s v="OK"/>
  </r>
  <r>
    <n v="11206"/>
    <x v="3"/>
    <x v="2"/>
    <n v="7.65"/>
    <n v="4"/>
    <x v="1"/>
    <n v="25"/>
    <n v="9.5625"/>
    <n v="25"/>
    <s v="OK"/>
  </r>
  <r>
    <n v="11207"/>
    <x v="2"/>
    <x v="0"/>
    <n v="1.08"/>
    <n v="9"/>
    <x v="2"/>
    <n v="55"/>
    <n v="1.6740000000000002"/>
    <n v="55.000000000000007"/>
    <s v="OK"/>
  </r>
  <r>
    <n v="11208"/>
    <x v="3"/>
    <x v="1"/>
    <n v="14.77"/>
    <n v="1"/>
    <x v="0"/>
    <n v="15"/>
    <n v="16.985499999999998"/>
    <n v="14.999999999999991"/>
    <s v="OK"/>
  </r>
  <r>
    <n v="11209"/>
    <x v="2"/>
    <x v="0"/>
    <n v="6.06"/>
    <n v="1"/>
    <x v="0"/>
    <n v="12"/>
    <n v="6.7872000000000003"/>
    <n v="12.000000000000011"/>
    <s v="OK"/>
  </r>
  <r>
    <n v="11210"/>
    <x v="2"/>
    <x v="1"/>
    <n v="2.71"/>
    <n v="4"/>
    <x v="1"/>
    <n v="30"/>
    <n v="3.5230000000000001"/>
    <n v="30.000000000000004"/>
    <s v="OK"/>
  </r>
  <r>
    <n v="11211"/>
    <x v="2"/>
    <x v="1"/>
    <n v="10.17"/>
    <n v="3"/>
    <x v="0"/>
    <n v="15"/>
    <n v="11.695499999999999"/>
    <n v="14.999999999999991"/>
    <s v="OK"/>
  </r>
  <r>
    <n v="11212"/>
    <x v="1"/>
    <x v="1"/>
    <n v="4.62"/>
    <n v="7"/>
    <x v="1"/>
    <n v="30"/>
    <n v="6.0060000000000002"/>
    <n v="30.000000000000004"/>
    <s v="OK"/>
  </r>
  <r>
    <n v="11213"/>
    <x v="3"/>
    <x v="2"/>
    <n v="8.99"/>
    <n v="3"/>
    <x v="0"/>
    <n v="10"/>
    <n v="9.8890000000000011"/>
    <n v="10.000000000000009"/>
    <s v="OK"/>
  </r>
  <r>
    <n v="11214"/>
    <x v="3"/>
    <x v="2"/>
    <n v="9.01"/>
    <n v="1"/>
    <x v="0"/>
    <n v="10"/>
    <n v="9.9110000000000014"/>
    <n v="10.000000000000009"/>
    <s v="OK"/>
  </r>
  <r>
    <n v="11215"/>
    <x v="3"/>
    <x v="1"/>
    <n v="6.96"/>
    <n v="10"/>
    <x v="2"/>
    <n v="60"/>
    <n v="11.136000000000001"/>
    <n v="60.000000000000007"/>
    <s v="OK"/>
  </r>
  <r>
    <n v="11216"/>
    <x v="2"/>
    <x v="1"/>
    <n v="12.62"/>
    <n v="2"/>
    <x v="0"/>
    <n v="15"/>
    <n v="14.512999999999998"/>
    <n v="14.999999999999991"/>
    <s v="OK"/>
  </r>
  <r>
    <n v="11217"/>
    <x v="3"/>
    <x v="2"/>
    <n v="4.34"/>
    <n v="10"/>
    <x v="2"/>
    <n v="50"/>
    <n v="6.51"/>
    <n v="50"/>
    <s v="OK"/>
  </r>
  <r>
    <n v="11218"/>
    <x v="3"/>
    <x v="0"/>
    <n v="7.01"/>
    <n v="4"/>
    <x v="1"/>
    <n v="28"/>
    <n v="8.9727999999999994"/>
    <n v="28.000000000000004"/>
    <s v="OK"/>
  </r>
  <r>
    <n v="11219"/>
    <x v="2"/>
    <x v="1"/>
    <n v="8.3000000000000007"/>
    <n v="1"/>
    <x v="0"/>
    <n v="15"/>
    <n v="9.5449999999999999"/>
    <n v="14.999999999999991"/>
    <s v="OK"/>
  </r>
  <r>
    <n v="11220"/>
    <x v="0"/>
    <x v="0"/>
    <n v="10.119999999999999"/>
    <n v="1"/>
    <x v="0"/>
    <n v="12"/>
    <n v="11.3344"/>
    <n v="12.000000000000011"/>
    <s v="OK"/>
  </r>
  <r>
    <n v="11221"/>
    <x v="2"/>
    <x v="2"/>
    <n v="11.87"/>
    <n v="8"/>
    <x v="2"/>
    <n v="50"/>
    <n v="17.805"/>
    <n v="50"/>
    <s v="OK"/>
  </r>
  <r>
    <n v="11222"/>
    <x v="3"/>
    <x v="1"/>
    <n v="6.22"/>
    <n v="7"/>
    <x v="1"/>
    <n v="30"/>
    <n v="8.0860000000000003"/>
    <n v="30.000000000000004"/>
    <s v="OK"/>
  </r>
  <r>
    <n v="11223"/>
    <x v="2"/>
    <x v="0"/>
    <n v="9.8699999999999992"/>
    <n v="8"/>
    <x v="2"/>
    <n v="55"/>
    <n v="15.298499999999999"/>
    <n v="55.000000000000007"/>
    <s v="OK"/>
  </r>
  <r>
    <n v="11224"/>
    <x v="0"/>
    <x v="0"/>
    <n v="2.68"/>
    <n v="4"/>
    <x v="1"/>
    <n v="28"/>
    <n v="3.4304000000000001"/>
    <n v="28.000000000000004"/>
    <s v="OK"/>
  </r>
  <r>
    <n v="11225"/>
    <x v="2"/>
    <x v="0"/>
    <n v="14.02"/>
    <n v="6"/>
    <x v="1"/>
    <n v="28"/>
    <n v="17.945599999999999"/>
    <n v="28.000000000000004"/>
    <s v="OK"/>
  </r>
  <r>
    <n v="11226"/>
    <x v="3"/>
    <x v="2"/>
    <n v="6.05"/>
    <n v="3"/>
    <x v="0"/>
    <n v="10"/>
    <n v="6.6550000000000002"/>
    <n v="10.000000000000009"/>
    <s v="OK"/>
  </r>
  <r>
    <n v="11227"/>
    <x v="0"/>
    <x v="2"/>
    <n v="11.08"/>
    <n v="8"/>
    <x v="2"/>
    <n v="50"/>
    <n v="16.62"/>
    <n v="50"/>
    <s v="OK"/>
  </r>
  <r>
    <n v="11228"/>
    <x v="1"/>
    <x v="0"/>
    <n v="0.79"/>
    <n v="4"/>
    <x v="1"/>
    <n v="28"/>
    <n v="1.0112000000000001"/>
    <n v="28.000000000000004"/>
    <s v="OK"/>
  </r>
  <r>
    <n v="11229"/>
    <x v="3"/>
    <x v="0"/>
    <n v="3.48"/>
    <n v="3"/>
    <x v="0"/>
    <n v="12"/>
    <n v="3.8976000000000002"/>
    <n v="12.000000000000011"/>
    <s v="OK"/>
  </r>
  <r>
    <n v="11230"/>
    <x v="0"/>
    <x v="2"/>
    <n v="7.56"/>
    <n v="4"/>
    <x v="1"/>
    <n v="25"/>
    <n v="9.4499999999999993"/>
    <n v="25"/>
    <s v="OK"/>
  </r>
  <r>
    <n v="11231"/>
    <x v="0"/>
    <x v="0"/>
    <n v="13.23"/>
    <n v="6"/>
    <x v="1"/>
    <n v="28"/>
    <n v="16.9344"/>
    <n v="28.000000000000004"/>
    <s v="OK"/>
  </r>
  <r>
    <n v="11232"/>
    <x v="1"/>
    <x v="0"/>
    <n v="8.15"/>
    <n v="7"/>
    <x v="1"/>
    <n v="28"/>
    <n v="10.432"/>
    <n v="28.000000000000004"/>
    <s v="OK"/>
  </r>
  <r>
    <n v="11233"/>
    <x v="2"/>
    <x v="2"/>
    <n v="13.98"/>
    <n v="7"/>
    <x v="1"/>
    <n v="25"/>
    <n v="17.475000000000001"/>
    <n v="25"/>
    <s v="OK"/>
  </r>
  <r>
    <n v="11234"/>
    <x v="2"/>
    <x v="0"/>
    <n v="7.52"/>
    <n v="4"/>
    <x v="1"/>
    <n v="28"/>
    <n v="9.6256000000000004"/>
    <n v="28.000000000000004"/>
    <s v="OK"/>
  </r>
  <r>
    <n v="11235"/>
    <x v="3"/>
    <x v="0"/>
    <n v="7.61"/>
    <n v="8"/>
    <x v="2"/>
    <n v="55"/>
    <n v="11.795500000000001"/>
    <n v="55.000000000000007"/>
    <s v="OK"/>
  </r>
  <r>
    <n v="11236"/>
    <x v="1"/>
    <x v="0"/>
    <n v="2.2400000000000002"/>
    <n v="7"/>
    <x v="1"/>
    <n v="28"/>
    <n v="2.8672000000000004"/>
    <n v="28.000000000000004"/>
    <s v="OK"/>
  </r>
  <r>
    <n v="11237"/>
    <x v="2"/>
    <x v="2"/>
    <n v="12.14"/>
    <n v="2"/>
    <x v="0"/>
    <n v="10"/>
    <n v="13.354000000000001"/>
    <n v="10.000000000000009"/>
    <s v="OK"/>
  </r>
  <r>
    <n v="11238"/>
    <x v="1"/>
    <x v="0"/>
    <n v="4.08"/>
    <n v="8"/>
    <x v="2"/>
    <n v="55"/>
    <n v="6.3240000000000007"/>
    <n v="55.000000000000007"/>
    <s v="OK"/>
  </r>
  <r>
    <n v="11239"/>
    <x v="2"/>
    <x v="2"/>
    <n v="13.54"/>
    <n v="9"/>
    <x v="2"/>
    <n v="50"/>
    <n v="20.309999999999999"/>
    <n v="50"/>
    <s v="OK"/>
  </r>
  <r>
    <n v="11240"/>
    <x v="0"/>
    <x v="2"/>
    <n v="13.71"/>
    <n v="5"/>
    <x v="1"/>
    <n v="25"/>
    <n v="17.137500000000003"/>
    <n v="25.000000000000021"/>
    <s v="OK"/>
  </r>
  <r>
    <n v="11241"/>
    <x v="2"/>
    <x v="1"/>
    <n v="14.18"/>
    <n v="4"/>
    <x v="1"/>
    <n v="30"/>
    <n v="18.434000000000001"/>
    <n v="30.000000000000004"/>
    <s v="OK"/>
  </r>
  <r>
    <n v="11242"/>
    <x v="1"/>
    <x v="1"/>
    <n v="8.0399999999999991"/>
    <n v="4"/>
    <x v="1"/>
    <n v="30"/>
    <n v="10.452"/>
    <n v="30.000000000000004"/>
    <s v="OK"/>
  </r>
  <r>
    <n v="11243"/>
    <x v="0"/>
    <x v="0"/>
    <n v="10.32"/>
    <n v="4"/>
    <x v="1"/>
    <n v="28"/>
    <n v="13.2096"/>
    <n v="28.000000000000004"/>
    <s v="OK"/>
  </r>
  <r>
    <n v="11244"/>
    <x v="0"/>
    <x v="2"/>
    <n v="11.79"/>
    <n v="6"/>
    <x v="1"/>
    <n v="25"/>
    <n v="14.737499999999999"/>
    <n v="25"/>
    <s v="OK"/>
  </r>
  <r>
    <n v="11245"/>
    <x v="0"/>
    <x v="1"/>
    <n v="2.4"/>
    <n v="4"/>
    <x v="1"/>
    <n v="30"/>
    <n v="3.12"/>
    <n v="30.000000000000004"/>
    <s v="OK"/>
  </r>
  <r>
    <n v="11246"/>
    <x v="1"/>
    <x v="0"/>
    <n v="9.2100000000000009"/>
    <n v="7"/>
    <x v="1"/>
    <n v="28"/>
    <n v="11.788800000000002"/>
    <n v="28.000000000000004"/>
    <s v="OK"/>
  </r>
  <r>
    <n v="11247"/>
    <x v="3"/>
    <x v="1"/>
    <n v="1"/>
    <n v="7"/>
    <x v="1"/>
    <n v="30"/>
    <n v="1.3"/>
    <n v="30.000000000000004"/>
    <s v="OK"/>
  </r>
  <r>
    <n v="11248"/>
    <x v="3"/>
    <x v="1"/>
    <n v="7.71"/>
    <n v="5"/>
    <x v="1"/>
    <n v="30"/>
    <n v="10.023"/>
    <n v="30.000000000000004"/>
    <s v="OK"/>
  </r>
  <r>
    <n v="11249"/>
    <x v="3"/>
    <x v="2"/>
    <n v="2.75"/>
    <n v="5"/>
    <x v="1"/>
    <n v="25"/>
    <n v="3.4375"/>
    <n v="25"/>
    <s v="OK"/>
  </r>
  <r>
    <n v="11250"/>
    <x v="1"/>
    <x v="2"/>
    <n v="3.15"/>
    <n v="10"/>
    <x v="2"/>
    <n v="50"/>
    <n v="4.7249999999999996"/>
    <n v="50"/>
    <s v="OK"/>
  </r>
  <r>
    <n v="11251"/>
    <x v="0"/>
    <x v="1"/>
    <n v="5.79"/>
    <n v="8"/>
    <x v="2"/>
    <n v="60"/>
    <n v="9.2640000000000011"/>
    <n v="60.000000000000007"/>
    <s v="OK"/>
  </r>
  <r>
    <n v="11252"/>
    <x v="3"/>
    <x v="1"/>
    <n v="6.77"/>
    <n v="7"/>
    <x v="1"/>
    <n v="30"/>
    <n v="8.8010000000000002"/>
    <n v="30.000000000000004"/>
    <s v="OK"/>
  </r>
  <r>
    <n v="11253"/>
    <x v="1"/>
    <x v="2"/>
    <n v="9.5399999999999991"/>
    <n v="7"/>
    <x v="1"/>
    <n v="25"/>
    <n v="11.924999999999999"/>
    <n v="25"/>
    <s v="OK"/>
  </r>
  <r>
    <n v="11254"/>
    <x v="3"/>
    <x v="0"/>
    <n v="1.58"/>
    <n v="6"/>
    <x v="1"/>
    <n v="28"/>
    <n v="2.0224000000000002"/>
    <n v="28.000000000000004"/>
    <s v="OK"/>
  </r>
  <r>
    <n v="11255"/>
    <x v="2"/>
    <x v="2"/>
    <n v="7.8"/>
    <n v="7"/>
    <x v="1"/>
    <n v="25"/>
    <n v="9.75"/>
    <n v="25"/>
    <s v="OK"/>
  </r>
  <r>
    <n v="11256"/>
    <x v="3"/>
    <x v="1"/>
    <n v="3.15"/>
    <n v="7"/>
    <x v="1"/>
    <n v="30"/>
    <n v="4.0949999999999998"/>
    <n v="30.000000000000004"/>
    <s v="OK"/>
  </r>
  <r>
    <n v="11257"/>
    <x v="3"/>
    <x v="0"/>
    <n v="8.82"/>
    <n v="10"/>
    <x v="2"/>
    <n v="55"/>
    <n v="13.671000000000001"/>
    <n v="55.000000000000007"/>
    <s v="OK"/>
  </r>
  <r>
    <n v="11258"/>
    <x v="0"/>
    <x v="1"/>
    <n v="9.74"/>
    <n v="2"/>
    <x v="0"/>
    <n v="15"/>
    <n v="11.200999999999999"/>
    <n v="14.999999999999991"/>
    <s v="OK"/>
  </r>
  <r>
    <n v="11259"/>
    <x v="1"/>
    <x v="0"/>
    <n v="8.57"/>
    <n v="10"/>
    <x v="2"/>
    <n v="55"/>
    <n v="13.2835"/>
    <n v="55.000000000000007"/>
    <s v="OK"/>
  </r>
  <r>
    <n v="11260"/>
    <x v="0"/>
    <x v="1"/>
    <n v="11.21"/>
    <n v="2"/>
    <x v="0"/>
    <n v="15"/>
    <n v="12.891500000000001"/>
    <n v="14.999999999999991"/>
    <s v="OK"/>
  </r>
  <r>
    <n v="11261"/>
    <x v="0"/>
    <x v="0"/>
    <n v="5.37"/>
    <n v="10"/>
    <x v="2"/>
    <n v="55"/>
    <n v="8.323500000000001"/>
    <n v="55.000000000000028"/>
    <s v="OK"/>
  </r>
  <r>
    <n v="11262"/>
    <x v="0"/>
    <x v="0"/>
    <n v="11.59"/>
    <n v="7"/>
    <x v="1"/>
    <n v="28"/>
    <n v="14.8352"/>
    <n v="28.000000000000004"/>
    <s v="OK"/>
  </r>
  <r>
    <n v="11263"/>
    <x v="0"/>
    <x v="1"/>
    <n v="6.78"/>
    <n v="10"/>
    <x v="2"/>
    <n v="60"/>
    <n v="10.848000000000001"/>
    <n v="60.000000000000007"/>
    <s v="OK"/>
  </r>
  <r>
    <n v="11264"/>
    <x v="0"/>
    <x v="0"/>
    <n v="7.52"/>
    <n v="7"/>
    <x v="1"/>
    <n v="28"/>
    <n v="9.6256000000000004"/>
    <n v="28.000000000000004"/>
    <s v="OK"/>
  </r>
  <r>
    <n v="11265"/>
    <x v="3"/>
    <x v="2"/>
    <n v="9.9"/>
    <n v="7"/>
    <x v="1"/>
    <n v="25"/>
    <n v="12.375"/>
    <n v="25"/>
    <s v="OK"/>
  </r>
  <r>
    <n v="11266"/>
    <x v="0"/>
    <x v="1"/>
    <n v="0.77"/>
    <n v="5"/>
    <x v="1"/>
    <n v="30"/>
    <n v="1.0010000000000001"/>
    <n v="30.000000000000004"/>
    <s v="OK"/>
  </r>
  <r>
    <n v="11267"/>
    <x v="0"/>
    <x v="2"/>
    <n v="9.98"/>
    <n v="1"/>
    <x v="0"/>
    <n v="10"/>
    <n v="10.978000000000002"/>
    <n v="10.000000000000009"/>
    <s v="OK"/>
  </r>
  <r>
    <n v="11268"/>
    <x v="1"/>
    <x v="1"/>
    <n v="9.4700000000000006"/>
    <n v="2"/>
    <x v="0"/>
    <n v="15"/>
    <n v="10.890499999999999"/>
    <n v="14.999999999999991"/>
    <s v="OK"/>
  </r>
  <r>
    <n v="11269"/>
    <x v="2"/>
    <x v="0"/>
    <n v="4.99"/>
    <n v="9"/>
    <x v="2"/>
    <n v="55"/>
    <n v="7.7345000000000006"/>
    <n v="55.000000000000007"/>
    <s v="OK"/>
  </r>
  <r>
    <n v="11270"/>
    <x v="3"/>
    <x v="0"/>
    <n v="1.74"/>
    <n v="8"/>
    <x v="2"/>
    <n v="55"/>
    <n v="2.6970000000000001"/>
    <n v="55.000000000000007"/>
    <s v="OK"/>
  </r>
  <r>
    <n v="11271"/>
    <x v="3"/>
    <x v="0"/>
    <n v="1.82"/>
    <n v="8"/>
    <x v="2"/>
    <n v="55"/>
    <n v="2.8210000000000002"/>
    <n v="55.000000000000007"/>
    <s v="OK"/>
  </r>
  <r>
    <n v="11272"/>
    <x v="3"/>
    <x v="1"/>
    <n v="13.89"/>
    <n v="10"/>
    <x v="2"/>
    <n v="60"/>
    <n v="22.224000000000004"/>
    <n v="60.000000000000028"/>
    <s v="OK"/>
  </r>
  <r>
    <n v="11273"/>
    <x v="0"/>
    <x v="2"/>
    <n v="10.49"/>
    <n v="1"/>
    <x v="0"/>
    <n v="10"/>
    <n v="11.539000000000001"/>
    <n v="10.000000000000009"/>
    <s v="OK"/>
  </r>
  <r>
    <n v="11274"/>
    <x v="0"/>
    <x v="2"/>
    <n v="2.34"/>
    <n v="6"/>
    <x v="1"/>
    <n v="25"/>
    <n v="2.9249999999999998"/>
    <n v="25"/>
    <s v="OK"/>
  </r>
  <r>
    <n v="11275"/>
    <x v="0"/>
    <x v="1"/>
    <n v="5.67"/>
    <n v="9"/>
    <x v="2"/>
    <n v="60"/>
    <n v="9.072000000000001"/>
    <n v="60.000000000000007"/>
    <s v="OK"/>
  </r>
  <r>
    <n v="11276"/>
    <x v="1"/>
    <x v="1"/>
    <n v="9.09"/>
    <n v="8"/>
    <x v="2"/>
    <n v="60"/>
    <n v="14.544"/>
    <n v="60.000000000000007"/>
    <s v="OK"/>
  </r>
  <r>
    <n v="11277"/>
    <x v="2"/>
    <x v="2"/>
    <n v="12.62"/>
    <n v="3"/>
    <x v="0"/>
    <n v="10"/>
    <n v="13.882"/>
    <n v="10.000000000000009"/>
    <s v="OK"/>
  </r>
  <r>
    <n v="11278"/>
    <x v="0"/>
    <x v="2"/>
    <n v="1.1299999999999999"/>
    <n v="4"/>
    <x v="1"/>
    <n v="25"/>
    <n v="1.4124999999999999"/>
    <n v="25"/>
    <s v="OK"/>
  </r>
  <r>
    <n v="11279"/>
    <x v="2"/>
    <x v="2"/>
    <n v="3.93"/>
    <n v="3"/>
    <x v="0"/>
    <n v="10"/>
    <n v="4.3230000000000004"/>
    <n v="10.000000000000009"/>
    <s v="OK"/>
  </r>
  <r>
    <n v="11280"/>
    <x v="1"/>
    <x v="2"/>
    <n v="13.4"/>
    <n v="6"/>
    <x v="1"/>
    <n v="25"/>
    <n v="16.75"/>
    <n v="25"/>
    <s v="OK"/>
  </r>
  <r>
    <n v="11281"/>
    <x v="3"/>
    <x v="1"/>
    <n v="0.63"/>
    <n v="9"/>
    <x v="2"/>
    <n v="60"/>
    <n v="1.008"/>
    <n v="60.000000000000007"/>
    <s v="OK"/>
  </r>
  <r>
    <n v="11282"/>
    <x v="0"/>
    <x v="1"/>
    <n v="3.42"/>
    <n v="8"/>
    <x v="2"/>
    <n v="60"/>
    <n v="5.4720000000000004"/>
    <n v="60.000000000000007"/>
    <s v="OK"/>
  </r>
  <r>
    <n v="11283"/>
    <x v="2"/>
    <x v="0"/>
    <n v="14.41"/>
    <n v="10"/>
    <x v="2"/>
    <n v="55"/>
    <n v="22.3355"/>
    <n v="55.000000000000007"/>
    <s v="OK"/>
  </r>
  <r>
    <n v="11284"/>
    <x v="2"/>
    <x v="2"/>
    <n v="9.39"/>
    <n v="4"/>
    <x v="1"/>
    <n v="25"/>
    <n v="11.737500000000001"/>
    <n v="25"/>
    <s v="OK"/>
  </r>
  <r>
    <n v="11285"/>
    <x v="0"/>
    <x v="0"/>
    <n v="4.29"/>
    <n v="2"/>
    <x v="0"/>
    <n v="12"/>
    <n v="4.8048000000000002"/>
    <n v="12.000000000000011"/>
    <s v="OK"/>
  </r>
  <r>
    <n v="11286"/>
    <x v="3"/>
    <x v="1"/>
    <n v="1.47"/>
    <n v="8"/>
    <x v="2"/>
    <n v="60"/>
    <n v="2.3519999999999999"/>
    <n v="59.999999999999986"/>
    <s v="OK"/>
  </r>
  <r>
    <n v="11287"/>
    <x v="3"/>
    <x v="1"/>
    <n v="0.91"/>
    <n v="8"/>
    <x v="2"/>
    <n v="60"/>
    <n v="1.4560000000000002"/>
    <n v="60.000000000000007"/>
    <s v="OK"/>
  </r>
  <r>
    <n v="11288"/>
    <x v="3"/>
    <x v="0"/>
    <n v="4.05"/>
    <n v="6"/>
    <x v="1"/>
    <n v="28"/>
    <n v="5.1840000000000002"/>
    <n v="28.000000000000004"/>
    <s v="OK"/>
  </r>
  <r>
    <n v="11289"/>
    <x v="1"/>
    <x v="2"/>
    <n v="13.28"/>
    <n v="8"/>
    <x v="2"/>
    <n v="50"/>
    <n v="19.919999999999998"/>
    <n v="50"/>
    <s v="OK"/>
  </r>
  <r>
    <n v="11290"/>
    <x v="2"/>
    <x v="2"/>
    <n v="6.53"/>
    <n v="9"/>
    <x v="2"/>
    <n v="50"/>
    <n v="9.7949999999999999"/>
    <n v="50"/>
    <s v="OK"/>
  </r>
  <r>
    <n v="11291"/>
    <x v="2"/>
    <x v="2"/>
    <n v="10.94"/>
    <n v="1"/>
    <x v="0"/>
    <n v="10"/>
    <n v="12.034000000000001"/>
    <n v="10.000000000000009"/>
    <s v="OK"/>
  </r>
  <r>
    <n v="11292"/>
    <x v="2"/>
    <x v="2"/>
    <n v="13.82"/>
    <n v="9"/>
    <x v="2"/>
    <n v="50"/>
    <n v="20.73"/>
    <n v="50"/>
    <s v="OK"/>
  </r>
  <r>
    <n v="11293"/>
    <x v="1"/>
    <x v="0"/>
    <n v="6.42"/>
    <n v="2"/>
    <x v="0"/>
    <n v="12"/>
    <n v="7.1904000000000003"/>
    <n v="12.000000000000011"/>
    <s v="OK"/>
  </r>
  <r>
    <n v="11294"/>
    <x v="2"/>
    <x v="0"/>
    <n v="3.27"/>
    <n v="1"/>
    <x v="0"/>
    <n v="12"/>
    <n v="3.6624000000000003"/>
    <n v="12.000000000000011"/>
    <s v="OK"/>
  </r>
  <r>
    <n v="11295"/>
    <x v="1"/>
    <x v="1"/>
    <n v="8"/>
    <n v="8"/>
    <x v="2"/>
    <n v="60"/>
    <n v="12.8"/>
    <n v="60.000000000000007"/>
    <s v="OK"/>
  </r>
  <r>
    <n v="11296"/>
    <x v="3"/>
    <x v="2"/>
    <n v="13.67"/>
    <n v="8"/>
    <x v="2"/>
    <n v="50"/>
    <n v="20.504999999999999"/>
    <n v="50"/>
    <s v="OK"/>
  </r>
  <r>
    <n v="11297"/>
    <x v="0"/>
    <x v="2"/>
    <n v="12.16"/>
    <n v="4"/>
    <x v="1"/>
    <n v="25"/>
    <n v="15.2"/>
    <n v="25"/>
    <s v="OK"/>
  </r>
  <r>
    <n v="11298"/>
    <x v="2"/>
    <x v="2"/>
    <n v="1.45"/>
    <n v="8"/>
    <x v="2"/>
    <n v="50"/>
    <n v="2.1749999999999998"/>
    <n v="50"/>
    <s v="OK"/>
  </r>
  <r>
    <n v="11299"/>
    <x v="2"/>
    <x v="0"/>
    <n v="10.54"/>
    <n v="7"/>
    <x v="1"/>
    <n v="28"/>
    <n v="13.491199999999999"/>
    <n v="28.000000000000004"/>
    <s v="OK"/>
  </r>
  <r>
    <n v="11300"/>
    <x v="3"/>
    <x v="2"/>
    <n v="8.7899999999999991"/>
    <n v="2"/>
    <x v="0"/>
    <n v="10"/>
    <n v="9.6690000000000005"/>
    <n v="10.000000000000009"/>
    <s v="OK"/>
  </r>
  <r>
    <n v="11301"/>
    <x v="0"/>
    <x v="0"/>
    <n v="13.66"/>
    <n v="5"/>
    <x v="1"/>
    <n v="28"/>
    <n v="17.4848"/>
    <n v="28.000000000000004"/>
    <s v="OK"/>
  </r>
  <r>
    <n v="11302"/>
    <x v="1"/>
    <x v="2"/>
    <n v="2.2799999999999998"/>
    <n v="10"/>
    <x v="2"/>
    <n v="50"/>
    <n v="3.42"/>
    <n v="50"/>
    <s v="OK"/>
  </r>
  <r>
    <n v="11303"/>
    <x v="0"/>
    <x v="2"/>
    <n v="8.24"/>
    <n v="4"/>
    <x v="1"/>
    <n v="25"/>
    <n v="10.3"/>
    <n v="25"/>
    <s v="OK"/>
  </r>
  <r>
    <n v="11304"/>
    <x v="3"/>
    <x v="1"/>
    <n v="13.25"/>
    <n v="3"/>
    <x v="0"/>
    <n v="15"/>
    <n v="15.237499999999999"/>
    <n v="14.999999999999991"/>
    <s v="OK"/>
  </r>
  <r>
    <n v="11305"/>
    <x v="3"/>
    <x v="2"/>
    <n v="6.45"/>
    <n v="1"/>
    <x v="0"/>
    <n v="10"/>
    <n v="7.0950000000000006"/>
    <n v="10.000000000000009"/>
    <s v="OK"/>
  </r>
  <r>
    <n v="11306"/>
    <x v="0"/>
    <x v="2"/>
    <n v="7.49"/>
    <n v="5"/>
    <x v="1"/>
    <n v="25"/>
    <n v="9.3625000000000007"/>
    <n v="25"/>
    <s v="OK"/>
  </r>
  <r>
    <n v="11307"/>
    <x v="1"/>
    <x v="1"/>
    <n v="1.52"/>
    <n v="10"/>
    <x v="2"/>
    <n v="60"/>
    <n v="2.4320000000000004"/>
    <n v="60.000000000000028"/>
    <s v="OK"/>
  </r>
  <r>
    <n v="11308"/>
    <x v="1"/>
    <x v="0"/>
    <n v="4.53"/>
    <n v="8"/>
    <x v="2"/>
    <n v="55"/>
    <n v="7.0215000000000005"/>
    <n v="55.000000000000007"/>
    <s v="OK"/>
  </r>
  <r>
    <n v="11309"/>
    <x v="2"/>
    <x v="0"/>
    <n v="5.21"/>
    <n v="9"/>
    <x v="2"/>
    <n v="55"/>
    <n v="8.0754999999999999"/>
    <n v="55.000000000000007"/>
    <s v="OK"/>
  </r>
  <r>
    <n v="11310"/>
    <x v="1"/>
    <x v="2"/>
    <n v="14.2"/>
    <n v="7"/>
    <x v="1"/>
    <n v="25"/>
    <n v="17.75"/>
    <n v="25"/>
    <s v="OK"/>
  </r>
  <r>
    <n v="11311"/>
    <x v="0"/>
    <x v="0"/>
    <n v="4.5999999999999996"/>
    <n v="1"/>
    <x v="0"/>
    <n v="12"/>
    <n v="5.1520000000000001"/>
    <n v="12.000000000000011"/>
    <s v="OK"/>
  </r>
  <r>
    <n v="11312"/>
    <x v="3"/>
    <x v="2"/>
    <n v="7.18"/>
    <n v="1"/>
    <x v="0"/>
    <n v="10"/>
    <n v="7.8980000000000006"/>
    <n v="10.000000000000009"/>
    <s v="OK"/>
  </r>
  <r>
    <n v="11313"/>
    <x v="2"/>
    <x v="1"/>
    <n v="10.23"/>
    <n v="1"/>
    <x v="0"/>
    <n v="15"/>
    <n v="11.7645"/>
    <n v="14.999999999999991"/>
    <s v="OK"/>
  </r>
  <r>
    <n v="11314"/>
    <x v="2"/>
    <x v="1"/>
    <n v="2.85"/>
    <n v="2"/>
    <x v="0"/>
    <n v="15"/>
    <n v="3.2774999999999999"/>
    <n v="14.999999999999991"/>
    <s v="OK"/>
  </r>
  <r>
    <n v="11315"/>
    <x v="3"/>
    <x v="2"/>
    <n v="7.55"/>
    <n v="1"/>
    <x v="0"/>
    <n v="10"/>
    <n v="8.3049999999999997"/>
    <n v="10.000000000000009"/>
    <s v="OK"/>
  </r>
  <r>
    <n v="11316"/>
    <x v="1"/>
    <x v="1"/>
    <n v="11.21"/>
    <n v="4"/>
    <x v="1"/>
    <n v="30"/>
    <n v="14.573000000000002"/>
    <n v="30.000000000000004"/>
    <s v="OK"/>
  </r>
  <r>
    <n v="11317"/>
    <x v="3"/>
    <x v="1"/>
    <n v="13.07"/>
    <n v="10"/>
    <x v="2"/>
    <n v="60"/>
    <n v="20.912000000000003"/>
    <n v="60.000000000000007"/>
    <s v="OK"/>
  </r>
  <r>
    <n v="11318"/>
    <x v="1"/>
    <x v="2"/>
    <n v="9.58"/>
    <n v="9"/>
    <x v="2"/>
    <n v="50"/>
    <n v="14.370000000000001"/>
    <n v="50"/>
    <s v="OK"/>
  </r>
  <r>
    <n v="11319"/>
    <x v="3"/>
    <x v="2"/>
    <n v="10.199999999999999"/>
    <n v="4"/>
    <x v="1"/>
    <n v="25"/>
    <n v="12.75"/>
    <n v="25"/>
    <s v="OK"/>
  </r>
  <r>
    <n v="11320"/>
    <x v="0"/>
    <x v="1"/>
    <n v="2.33"/>
    <n v="4"/>
    <x v="1"/>
    <n v="30"/>
    <n v="3.0290000000000004"/>
    <n v="30.000000000000004"/>
    <s v="OK"/>
  </r>
  <r>
    <n v="11321"/>
    <x v="1"/>
    <x v="0"/>
    <n v="14.21"/>
    <n v="7"/>
    <x v="1"/>
    <n v="28"/>
    <n v="18.188800000000001"/>
    <n v="28.000000000000004"/>
    <s v="OK"/>
  </r>
  <r>
    <n v="11322"/>
    <x v="0"/>
    <x v="0"/>
    <n v="2.42"/>
    <n v="9"/>
    <x v="2"/>
    <n v="55"/>
    <n v="3.7509999999999999"/>
    <n v="55.000000000000007"/>
    <s v="OK"/>
  </r>
  <r>
    <n v="11323"/>
    <x v="2"/>
    <x v="2"/>
    <n v="11.73"/>
    <n v="7"/>
    <x v="1"/>
    <n v="25"/>
    <n v="14.662500000000001"/>
    <n v="25"/>
    <s v="OK"/>
  </r>
  <r>
    <n v="11324"/>
    <x v="3"/>
    <x v="2"/>
    <n v="4.34"/>
    <n v="1"/>
    <x v="0"/>
    <n v="10"/>
    <n v="4.774"/>
    <n v="10.000000000000009"/>
    <s v="OK"/>
  </r>
  <r>
    <n v="11325"/>
    <x v="2"/>
    <x v="0"/>
    <n v="14.04"/>
    <n v="1"/>
    <x v="0"/>
    <n v="12"/>
    <n v="15.7248"/>
    <n v="12.000000000000011"/>
    <s v="OK"/>
  </r>
  <r>
    <n v="11326"/>
    <x v="2"/>
    <x v="1"/>
    <n v="10.94"/>
    <n v="4"/>
    <x v="1"/>
    <n v="30"/>
    <n v="14.222"/>
    <n v="30.000000000000004"/>
    <s v="OK"/>
  </r>
  <r>
    <n v="11327"/>
    <x v="2"/>
    <x v="0"/>
    <n v="11.43"/>
    <n v="4"/>
    <x v="1"/>
    <n v="28"/>
    <n v="14.6304"/>
    <n v="28.000000000000004"/>
    <s v="OK"/>
  </r>
  <r>
    <n v="11328"/>
    <x v="2"/>
    <x v="0"/>
    <n v="3.68"/>
    <n v="1"/>
    <x v="0"/>
    <n v="12"/>
    <n v="4.1216000000000008"/>
    <n v="12.000000000000011"/>
    <s v="OK"/>
  </r>
  <r>
    <n v="11329"/>
    <x v="3"/>
    <x v="0"/>
    <n v="6.92"/>
    <n v="6"/>
    <x v="1"/>
    <n v="28"/>
    <n v="8.8575999999999997"/>
    <n v="28.000000000000004"/>
    <s v="OK"/>
  </r>
  <r>
    <n v="11330"/>
    <x v="2"/>
    <x v="0"/>
    <n v="9.4600000000000009"/>
    <n v="10"/>
    <x v="2"/>
    <n v="55"/>
    <n v="14.663000000000002"/>
    <n v="55.000000000000007"/>
    <s v="OK"/>
  </r>
  <r>
    <n v="11331"/>
    <x v="3"/>
    <x v="2"/>
    <n v="11.66"/>
    <n v="2"/>
    <x v="0"/>
    <n v="10"/>
    <n v="12.826000000000001"/>
    <n v="10.000000000000009"/>
    <s v="OK"/>
  </r>
  <r>
    <n v="11332"/>
    <x v="3"/>
    <x v="2"/>
    <n v="2.0099999999999998"/>
    <n v="5"/>
    <x v="1"/>
    <n v="25"/>
    <n v="2.5124999999999997"/>
    <n v="25"/>
    <s v="OK"/>
  </r>
  <r>
    <n v="11333"/>
    <x v="0"/>
    <x v="1"/>
    <n v="14.45"/>
    <n v="8"/>
    <x v="2"/>
    <n v="60"/>
    <n v="23.12"/>
    <n v="60.000000000000007"/>
    <s v="OK"/>
  </r>
  <r>
    <n v="11334"/>
    <x v="1"/>
    <x v="1"/>
    <n v="13.41"/>
    <n v="3"/>
    <x v="0"/>
    <n v="15"/>
    <n v="15.421499999999998"/>
    <n v="14.999999999999991"/>
    <s v="OK"/>
  </r>
  <r>
    <n v="11335"/>
    <x v="1"/>
    <x v="1"/>
    <n v="4.42"/>
    <n v="9"/>
    <x v="2"/>
    <n v="60"/>
    <n v="7.0720000000000001"/>
    <n v="60.000000000000007"/>
    <s v="OK"/>
  </r>
  <r>
    <n v="11336"/>
    <x v="3"/>
    <x v="1"/>
    <n v="12.43"/>
    <n v="7"/>
    <x v="1"/>
    <n v="30"/>
    <n v="16.158999999999999"/>
    <n v="30.000000000000004"/>
    <s v="OK"/>
  </r>
  <r>
    <n v="11337"/>
    <x v="0"/>
    <x v="0"/>
    <n v="8.02"/>
    <n v="9"/>
    <x v="2"/>
    <n v="55"/>
    <n v="12.430999999999999"/>
    <n v="55.000000000000007"/>
    <s v="OK"/>
  </r>
  <r>
    <n v="11338"/>
    <x v="3"/>
    <x v="2"/>
    <n v="7.2"/>
    <n v="1"/>
    <x v="0"/>
    <n v="10"/>
    <n v="7.9200000000000008"/>
    <n v="10.000000000000009"/>
    <s v="OK"/>
  </r>
  <r>
    <n v="11339"/>
    <x v="3"/>
    <x v="2"/>
    <n v="5.0599999999999996"/>
    <n v="5"/>
    <x v="1"/>
    <n v="25"/>
    <n v="6.3249999999999993"/>
    <n v="25"/>
    <s v="OK"/>
  </r>
  <r>
    <n v="11340"/>
    <x v="3"/>
    <x v="1"/>
    <n v="8.92"/>
    <n v="3"/>
    <x v="0"/>
    <n v="15"/>
    <n v="10.257999999999999"/>
    <n v="14.999999999999991"/>
    <s v="OK"/>
  </r>
  <r>
    <n v="11341"/>
    <x v="0"/>
    <x v="1"/>
    <n v="11.08"/>
    <n v="4"/>
    <x v="1"/>
    <n v="30"/>
    <n v="14.404"/>
    <n v="30.000000000000004"/>
    <s v="OK"/>
  </r>
  <r>
    <n v="11342"/>
    <x v="1"/>
    <x v="0"/>
    <n v="6.46"/>
    <n v="4"/>
    <x v="1"/>
    <n v="28"/>
    <n v="8.2688000000000006"/>
    <n v="28.000000000000004"/>
    <s v="OK"/>
  </r>
  <r>
    <n v="11343"/>
    <x v="0"/>
    <x v="0"/>
    <n v="9.6199999999999992"/>
    <n v="7"/>
    <x v="1"/>
    <n v="28"/>
    <n v="12.313599999999999"/>
    <n v="28.000000000000004"/>
    <s v="OK"/>
  </r>
  <r>
    <n v="11344"/>
    <x v="2"/>
    <x v="1"/>
    <n v="10.64"/>
    <n v="10"/>
    <x v="2"/>
    <n v="60"/>
    <n v="17.024000000000001"/>
    <n v="60.000000000000007"/>
    <s v="OK"/>
  </r>
  <r>
    <n v="11345"/>
    <x v="0"/>
    <x v="2"/>
    <n v="10.81"/>
    <n v="8"/>
    <x v="2"/>
    <n v="50"/>
    <n v="16.215"/>
    <n v="50"/>
    <s v="OK"/>
  </r>
  <r>
    <n v="11346"/>
    <x v="0"/>
    <x v="2"/>
    <n v="1.25"/>
    <n v="10"/>
    <x v="2"/>
    <n v="50"/>
    <n v="1.875"/>
    <n v="50"/>
    <s v="OK"/>
  </r>
  <r>
    <n v="11347"/>
    <x v="0"/>
    <x v="2"/>
    <n v="12.97"/>
    <n v="5"/>
    <x v="1"/>
    <n v="25"/>
    <n v="16.212500000000002"/>
    <n v="25"/>
    <s v="OK"/>
  </r>
  <r>
    <n v="11348"/>
    <x v="0"/>
    <x v="1"/>
    <n v="7.14"/>
    <n v="10"/>
    <x v="2"/>
    <n v="60"/>
    <n v="11.423999999999999"/>
    <n v="60.000000000000007"/>
    <s v="OK"/>
  </r>
  <r>
    <n v="11349"/>
    <x v="1"/>
    <x v="2"/>
    <n v="4.3099999999999996"/>
    <n v="7"/>
    <x v="1"/>
    <n v="25"/>
    <n v="5.3874999999999993"/>
    <n v="25"/>
    <s v="OK"/>
  </r>
  <r>
    <n v="11350"/>
    <x v="2"/>
    <x v="0"/>
    <n v="4.01"/>
    <n v="3"/>
    <x v="0"/>
    <n v="12"/>
    <n v="4.4912000000000001"/>
    <n v="12.000000000000011"/>
    <s v="OK"/>
  </r>
  <r>
    <n v="11351"/>
    <x v="1"/>
    <x v="0"/>
    <n v="7.5"/>
    <n v="3"/>
    <x v="0"/>
    <n v="12"/>
    <n v="8.4"/>
    <n v="12.000000000000011"/>
    <s v="OK"/>
  </r>
  <r>
    <n v="11352"/>
    <x v="1"/>
    <x v="1"/>
    <n v="13.36"/>
    <n v="3"/>
    <x v="0"/>
    <n v="15"/>
    <n v="15.363999999999999"/>
    <n v="14.999999999999991"/>
    <s v="OK"/>
  </r>
  <r>
    <n v="11353"/>
    <x v="0"/>
    <x v="0"/>
    <n v="5.99"/>
    <n v="4"/>
    <x v="1"/>
    <n v="28"/>
    <n v="7.6672000000000002"/>
    <n v="28.000000000000004"/>
    <s v="OK"/>
  </r>
  <r>
    <n v="11354"/>
    <x v="3"/>
    <x v="1"/>
    <n v="11.37"/>
    <n v="6"/>
    <x v="1"/>
    <n v="30"/>
    <n v="14.780999999999999"/>
    <n v="30.000000000000004"/>
    <s v="OK"/>
  </r>
  <r>
    <n v="11355"/>
    <x v="3"/>
    <x v="2"/>
    <n v="1.9"/>
    <n v="5"/>
    <x v="1"/>
    <n v="25"/>
    <n v="2.375"/>
    <n v="25"/>
    <s v="OK"/>
  </r>
  <r>
    <n v="11356"/>
    <x v="1"/>
    <x v="2"/>
    <n v="7.4"/>
    <n v="8"/>
    <x v="2"/>
    <n v="50"/>
    <n v="11.100000000000001"/>
    <n v="50.000000000000021"/>
    <s v="OK"/>
  </r>
  <r>
    <n v="11357"/>
    <x v="1"/>
    <x v="2"/>
    <n v="14.88"/>
    <n v="5"/>
    <x v="1"/>
    <n v="25"/>
    <n v="18.600000000000001"/>
    <n v="25"/>
    <s v="OK"/>
  </r>
  <r>
    <n v="11358"/>
    <x v="0"/>
    <x v="0"/>
    <n v="11.67"/>
    <n v="5"/>
    <x v="1"/>
    <n v="28"/>
    <n v="14.9376"/>
    <n v="28.000000000000004"/>
    <s v="OK"/>
  </r>
  <r>
    <n v="11359"/>
    <x v="1"/>
    <x v="1"/>
    <n v="3.55"/>
    <n v="10"/>
    <x v="2"/>
    <n v="60"/>
    <n v="5.68"/>
    <n v="60.000000000000007"/>
    <s v="OK"/>
  </r>
  <r>
    <n v="11360"/>
    <x v="0"/>
    <x v="2"/>
    <n v="7.77"/>
    <n v="2"/>
    <x v="0"/>
    <n v="10"/>
    <n v="8.5470000000000006"/>
    <n v="10.000000000000009"/>
    <s v="OK"/>
  </r>
  <r>
    <n v="11361"/>
    <x v="3"/>
    <x v="1"/>
    <n v="3.89"/>
    <n v="5"/>
    <x v="1"/>
    <n v="30"/>
    <n v="5.0570000000000004"/>
    <n v="30.000000000000004"/>
    <s v="OK"/>
  </r>
  <r>
    <n v="11362"/>
    <x v="3"/>
    <x v="2"/>
    <n v="6.44"/>
    <n v="7"/>
    <x v="1"/>
    <n v="25"/>
    <n v="8.0500000000000007"/>
    <n v="25"/>
    <s v="OK"/>
  </r>
  <r>
    <n v="11363"/>
    <x v="2"/>
    <x v="0"/>
    <n v="11.81"/>
    <n v="2"/>
    <x v="0"/>
    <n v="12"/>
    <n v="13.227200000000002"/>
    <n v="12.000000000000011"/>
    <s v="OK"/>
  </r>
  <r>
    <n v="11364"/>
    <x v="3"/>
    <x v="0"/>
    <n v="11.68"/>
    <n v="6"/>
    <x v="1"/>
    <n v="28"/>
    <n v="14.9504"/>
    <n v="28.000000000000004"/>
    <s v="OK"/>
  </r>
  <r>
    <n v="11365"/>
    <x v="1"/>
    <x v="1"/>
    <n v="3.81"/>
    <n v="7"/>
    <x v="1"/>
    <n v="30"/>
    <n v="4.9530000000000003"/>
    <n v="30.000000000000004"/>
    <s v="OK"/>
  </r>
  <r>
    <n v="11366"/>
    <x v="3"/>
    <x v="0"/>
    <n v="13.87"/>
    <n v="5"/>
    <x v="1"/>
    <n v="28"/>
    <n v="17.753599999999999"/>
    <n v="28.000000000000004"/>
    <s v="OK"/>
  </r>
  <r>
    <n v="11367"/>
    <x v="0"/>
    <x v="0"/>
    <n v="9.09"/>
    <n v="9"/>
    <x v="2"/>
    <n v="55"/>
    <n v="14.089500000000001"/>
    <n v="55.000000000000007"/>
    <s v="OK"/>
  </r>
  <r>
    <n v="11368"/>
    <x v="3"/>
    <x v="1"/>
    <n v="6.01"/>
    <n v="4"/>
    <x v="1"/>
    <n v="30"/>
    <n v="7.8129999999999997"/>
    <n v="30.000000000000004"/>
    <s v="OK"/>
  </r>
  <r>
    <n v="11369"/>
    <x v="2"/>
    <x v="2"/>
    <n v="7.78"/>
    <n v="10"/>
    <x v="2"/>
    <n v="50"/>
    <n v="11.67"/>
    <n v="50"/>
    <s v="OK"/>
  </r>
  <r>
    <n v="11370"/>
    <x v="3"/>
    <x v="0"/>
    <n v="9.27"/>
    <n v="1"/>
    <x v="0"/>
    <n v="12"/>
    <n v="10.382400000000001"/>
    <n v="12.000000000000011"/>
    <s v="OK"/>
  </r>
  <r>
    <n v="11371"/>
    <x v="0"/>
    <x v="1"/>
    <n v="8.6199999999999992"/>
    <n v="8"/>
    <x v="2"/>
    <n v="60"/>
    <n v="13.792"/>
    <n v="60.000000000000007"/>
    <s v="OK"/>
  </r>
  <r>
    <n v="11372"/>
    <x v="0"/>
    <x v="0"/>
    <n v="7.55"/>
    <n v="8"/>
    <x v="2"/>
    <n v="55"/>
    <n v="11.702500000000001"/>
    <n v="55.000000000000007"/>
    <s v="OK"/>
  </r>
  <r>
    <n v="11373"/>
    <x v="1"/>
    <x v="0"/>
    <n v="7.82"/>
    <n v="7"/>
    <x v="1"/>
    <n v="28"/>
    <n v="10.009600000000001"/>
    <n v="28.000000000000004"/>
    <s v="OK"/>
  </r>
  <r>
    <n v="11374"/>
    <x v="3"/>
    <x v="0"/>
    <n v="3.06"/>
    <n v="8"/>
    <x v="2"/>
    <n v="55"/>
    <n v="4.7430000000000003"/>
    <n v="55.000000000000007"/>
    <s v="OK"/>
  </r>
  <r>
    <n v="11375"/>
    <x v="0"/>
    <x v="0"/>
    <n v="12.28"/>
    <n v="2"/>
    <x v="0"/>
    <n v="12"/>
    <n v="13.7536"/>
    <n v="12.000000000000011"/>
    <s v="OK"/>
  </r>
  <r>
    <n v="11376"/>
    <x v="2"/>
    <x v="1"/>
    <n v="8.36"/>
    <n v="3"/>
    <x v="0"/>
    <n v="15"/>
    <n v="9.613999999999999"/>
    <n v="14.999999999999991"/>
    <s v="OK"/>
  </r>
  <r>
    <n v="11377"/>
    <x v="1"/>
    <x v="1"/>
    <n v="2.4"/>
    <n v="9"/>
    <x v="2"/>
    <n v="60"/>
    <n v="3.84"/>
    <n v="60.000000000000007"/>
    <s v="OK"/>
  </r>
  <r>
    <n v="11378"/>
    <x v="2"/>
    <x v="1"/>
    <n v="11.61"/>
    <n v="1"/>
    <x v="0"/>
    <n v="15"/>
    <n v="13.351499999999998"/>
    <n v="14.999999999999991"/>
    <s v="OK"/>
  </r>
  <r>
    <n v="11379"/>
    <x v="3"/>
    <x v="0"/>
    <n v="14.02"/>
    <n v="8"/>
    <x v="2"/>
    <n v="55"/>
    <n v="21.731000000000002"/>
    <n v="55.000000000000028"/>
    <s v="OK"/>
  </r>
  <r>
    <n v="11380"/>
    <x v="3"/>
    <x v="0"/>
    <n v="14.24"/>
    <n v="8"/>
    <x v="2"/>
    <n v="55"/>
    <n v="22.072000000000003"/>
    <n v="55.000000000000028"/>
    <s v="OK"/>
  </r>
  <r>
    <n v="11381"/>
    <x v="3"/>
    <x v="0"/>
    <n v="5.85"/>
    <n v="7"/>
    <x v="1"/>
    <n v="28"/>
    <n v="7.4879999999999995"/>
    <n v="28.000000000000004"/>
    <s v="OK"/>
  </r>
  <r>
    <n v="11382"/>
    <x v="1"/>
    <x v="1"/>
    <n v="2.46"/>
    <n v="5"/>
    <x v="1"/>
    <n v="30"/>
    <n v="3.198"/>
    <n v="30.000000000000004"/>
    <s v="OK"/>
  </r>
  <r>
    <n v="11383"/>
    <x v="0"/>
    <x v="0"/>
    <n v="8.02"/>
    <n v="4"/>
    <x v="1"/>
    <n v="28"/>
    <n v="10.265599999999999"/>
    <n v="28.000000000000004"/>
    <s v="OK"/>
  </r>
  <r>
    <n v="11384"/>
    <x v="1"/>
    <x v="2"/>
    <n v="2.13"/>
    <n v="10"/>
    <x v="2"/>
    <n v="50"/>
    <n v="3.1949999999999998"/>
    <n v="50"/>
    <s v="OK"/>
  </r>
  <r>
    <n v="11385"/>
    <x v="2"/>
    <x v="0"/>
    <n v="14.04"/>
    <n v="10"/>
    <x v="2"/>
    <n v="55"/>
    <n v="21.762"/>
    <n v="55.000000000000007"/>
    <s v="OK"/>
  </r>
  <r>
    <n v="11386"/>
    <x v="1"/>
    <x v="2"/>
    <n v="3.16"/>
    <n v="10"/>
    <x v="2"/>
    <n v="50"/>
    <n v="4.74"/>
    <n v="50"/>
    <s v="OK"/>
  </r>
  <r>
    <n v="11387"/>
    <x v="2"/>
    <x v="0"/>
    <n v="4.17"/>
    <n v="10"/>
    <x v="2"/>
    <n v="55"/>
    <n v="6.4634999999999998"/>
    <n v="55.000000000000007"/>
    <s v="OK"/>
  </r>
  <r>
    <n v="11388"/>
    <x v="1"/>
    <x v="1"/>
    <n v="6.4"/>
    <n v="6"/>
    <x v="1"/>
    <n v="30"/>
    <n v="8.32"/>
    <n v="30.000000000000004"/>
    <s v="OK"/>
  </r>
  <r>
    <n v="11389"/>
    <x v="0"/>
    <x v="0"/>
    <n v="6.06"/>
    <n v="1"/>
    <x v="0"/>
    <n v="12"/>
    <n v="6.7872000000000003"/>
    <n v="12.000000000000011"/>
    <s v="OK"/>
  </r>
  <r>
    <n v="11390"/>
    <x v="2"/>
    <x v="2"/>
    <n v="12.02"/>
    <n v="5"/>
    <x v="1"/>
    <n v="25"/>
    <n v="15.024999999999999"/>
    <n v="25"/>
    <s v="OK"/>
  </r>
  <r>
    <n v="11391"/>
    <x v="3"/>
    <x v="2"/>
    <n v="7.12"/>
    <n v="4"/>
    <x v="1"/>
    <n v="25"/>
    <n v="8.9"/>
    <n v="25"/>
    <s v="OK"/>
  </r>
  <r>
    <n v="11392"/>
    <x v="3"/>
    <x v="0"/>
    <n v="2.98"/>
    <n v="4"/>
    <x v="1"/>
    <n v="28"/>
    <n v="3.8144"/>
    <n v="28.000000000000004"/>
    <s v="OK"/>
  </r>
  <r>
    <n v="11393"/>
    <x v="1"/>
    <x v="2"/>
    <n v="4.37"/>
    <n v="7"/>
    <x v="1"/>
    <n v="25"/>
    <n v="5.4625000000000004"/>
    <n v="25"/>
    <s v="OK"/>
  </r>
  <r>
    <n v="11394"/>
    <x v="3"/>
    <x v="2"/>
    <n v="7.88"/>
    <n v="9"/>
    <x v="2"/>
    <n v="50"/>
    <n v="11.82"/>
    <n v="50"/>
    <s v="OK"/>
  </r>
  <r>
    <n v="11395"/>
    <x v="2"/>
    <x v="1"/>
    <n v="2.64"/>
    <n v="8"/>
    <x v="2"/>
    <n v="60"/>
    <n v="4.2240000000000002"/>
    <n v="60.000000000000007"/>
    <s v="OK"/>
  </r>
  <r>
    <n v="11396"/>
    <x v="3"/>
    <x v="0"/>
    <n v="9.3699999999999992"/>
    <n v="8"/>
    <x v="2"/>
    <n v="55"/>
    <n v="14.523499999999999"/>
    <n v="55.000000000000007"/>
    <s v="OK"/>
  </r>
  <r>
    <n v="11397"/>
    <x v="0"/>
    <x v="0"/>
    <n v="8.6999999999999993"/>
    <n v="5"/>
    <x v="1"/>
    <n v="28"/>
    <n v="11.135999999999999"/>
    <n v="28.000000000000004"/>
    <s v="OK"/>
  </r>
  <r>
    <n v="11398"/>
    <x v="0"/>
    <x v="0"/>
    <n v="10.86"/>
    <n v="6"/>
    <x v="1"/>
    <n v="28"/>
    <n v="13.9008"/>
    <n v="28.000000000000004"/>
    <s v="OK"/>
  </r>
  <r>
    <n v="11399"/>
    <x v="1"/>
    <x v="2"/>
    <n v="14.1"/>
    <n v="2"/>
    <x v="0"/>
    <n v="10"/>
    <n v="15.510000000000002"/>
    <n v="10.000000000000009"/>
    <s v="OK"/>
  </r>
  <r>
    <n v="11400"/>
    <x v="2"/>
    <x v="0"/>
    <n v="13.73"/>
    <n v="3"/>
    <x v="0"/>
    <n v="12"/>
    <n v="15.377600000000003"/>
    <n v="12.000000000000011"/>
    <s v="OK"/>
  </r>
  <r>
    <n v="11401"/>
    <x v="0"/>
    <x v="0"/>
    <n v="14.22"/>
    <n v="5"/>
    <x v="1"/>
    <n v="28"/>
    <n v="18.201600000000003"/>
    <n v="28.000000000000004"/>
    <s v="OK"/>
  </r>
  <r>
    <n v="11402"/>
    <x v="0"/>
    <x v="1"/>
    <n v="4.05"/>
    <n v="2"/>
    <x v="0"/>
    <n v="15"/>
    <n v="4.6574999999999998"/>
    <n v="14.999999999999991"/>
    <s v="OK"/>
  </r>
  <r>
    <n v="11403"/>
    <x v="2"/>
    <x v="1"/>
    <n v="2.41"/>
    <n v="3"/>
    <x v="0"/>
    <n v="15"/>
    <n v="2.7715000000000001"/>
    <n v="14.999999999999991"/>
    <s v="OK"/>
  </r>
  <r>
    <n v="11404"/>
    <x v="3"/>
    <x v="1"/>
    <n v="4.88"/>
    <n v="4"/>
    <x v="1"/>
    <n v="30"/>
    <n v="6.3440000000000003"/>
    <n v="30.000000000000004"/>
    <s v="OK"/>
  </r>
  <r>
    <n v="11405"/>
    <x v="3"/>
    <x v="2"/>
    <n v="13.48"/>
    <n v="6"/>
    <x v="1"/>
    <n v="25"/>
    <n v="16.850000000000001"/>
    <n v="25"/>
    <s v="OK"/>
  </r>
  <r>
    <n v="11406"/>
    <x v="1"/>
    <x v="0"/>
    <n v="14.59"/>
    <n v="5"/>
    <x v="1"/>
    <n v="28"/>
    <n v="18.6752"/>
    <n v="28.000000000000004"/>
    <s v="OK"/>
  </r>
  <r>
    <n v="11407"/>
    <x v="3"/>
    <x v="1"/>
    <n v="12.96"/>
    <n v="10"/>
    <x v="2"/>
    <n v="60"/>
    <n v="20.736000000000004"/>
    <n v="60.000000000000028"/>
    <s v="OK"/>
  </r>
  <r>
    <n v="11408"/>
    <x v="2"/>
    <x v="1"/>
    <n v="2.1"/>
    <n v="4"/>
    <x v="1"/>
    <n v="30"/>
    <n v="2.7300000000000004"/>
    <n v="30.000000000000004"/>
    <s v="OK"/>
  </r>
  <r>
    <n v="11409"/>
    <x v="0"/>
    <x v="1"/>
    <n v="14.24"/>
    <n v="2"/>
    <x v="0"/>
    <n v="15"/>
    <n v="16.375999999999998"/>
    <n v="14.999999999999991"/>
    <s v="OK"/>
  </r>
  <r>
    <n v="11410"/>
    <x v="3"/>
    <x v="0"/>
    <n v="6.64"/>
    <n v="5"/>
    <x v="1"/>
    <n v="28"/>
    <n v="8.4992000000000001"/>
    <n v="28.000000000000004"/>
    <s v="OK"/>
  </r>
  <r>
    <n v="11411"/>
    <x v="1"/>
    <x v="0"/>
    <n v="0.63"/>
    <n v="5"/>
    <x v="1"/>
    <n v="28"/>
    <n v="0.80640000000000001"/>
    <n v="28.000000000000004"/>
    <s v="OK"/>
  </r>
  <r>
    <n v="11412"/>
    <x v="3"/>
    <x v="0"/>
    <n v="6.91"/>
    <n v="7"/>
    <x v="1"/>
    <n v="28"/>
    <n v="8.8448000000000011"/>
    <n v="28.000000000000004"/>
    <s v="OK"/>
  </r>
  <r>
    <n v="11413"/>
    <x v="2"/>
    <x v="2"/>
    <n v="1.17"/>
    <n v="1"/>
    <x v="0"/>
    <n v="10"/>
    <n v="1.2869999999999999"/>
    <n v="10.000000000000009"/>
    <s v="OK"/>
  </r>
  <r>
    <n v="11414"/>
    <x v="1"/>
    <x v="2"/>
    <n v="8.39"/>
    <n v="4"/>
    <x v="1"/>
    <n v="25"/>
    <n v="10.487500000000001"/>
    <n v="25"/>
    <s v="OK"/>
  </r>
  <r>
    <n v="11415"/>
    <x v="3"/>
    <x v="1"/>
    <n v="5.41"/>
    <n v="5"/>
    <x v="1"/>
    <n v="30"/>
    <n v="7.0330000000000004"/>
    <n v="30.000000000000004"/>
    <s v="OK"/>
  </r>
  <r>
    <n v="11416"/>
    <x v="1"/>
    <x v="0"/>
    <n v="7.36"/>
    <n v="8"/>
    <x v="2"/>
    <n v="55"/>
    <n v="11.408000000000001"/>
    <n v="55.000000000000007"/>
    <s v="OK"/>
  </r>
  <r>
    <n v="11417"/>
    <x v="2"/>
    <x v="1"/>
    <n v="9.39"/>
    <n v="8"/>
    <x v="2"/>
    <n v="60"/>
    <n v="15.024000000000001"/>
    <n v="60.000000000000007"/>
    <s v="OK"/>
  </r>
  <r>
    <n v="11418"/>
    <x v="0"/>
    <x v="0"/>
    <n v="13.1"/>
    <n v="1"/>
    <x v="0"/>
    <n v="12"/>
    <n v="14.672000000000001"/>
    <n v="12.000000000000011"/>
    <s v="OK"/>
  </r>
  <r>
    <n v="11419"/>
    <x v="2"/>
    <x v="0"/>
    <n v="10.1"/>
    <n v="5"/>
    <x v="1"/>
    <n v="28"/>
    <n v="12.927999999999999"/>
    <n v="28.000000000000004"/>
    <s v="OK"/>
  </r>
  <r>
    <n v="11420"/>
    <x v="2"/>
    <x v="0"/>
    <n v="6.79"/>
    <n v="10"/>
    <x v="2"/>
    <n v="55"/>
    <n v="10.5245"/>
    <n v="55.000000000000007"/>
    <s v="OK"/>
  </r>
  <r>
    <n v="11421"/>
    <x v="2"/>
    <x v="2"/>
    <n v="12.38"/>
    <n v="1"/>
    <x v="0"/>
    <n v="10"/>
    <n v="13.618000000000002"/>
    <n v="10.000000000000009"/>
    <s v="OK"/>
  </r>
  <r>
    <n v="11422"/>
    <x v="2"/>
    <x v="2"/>
    <n v="13.63"/>
    <n v="1"/>
    <x v="0"/>
    <n v="10"/>
    <n v="14.993000000000002"/>
    <n v="10.000000000000009"/>
    <s v="OK"/>
  </r>
  <r>
    <n v="11423"/>
    <x v="0"/>
    <x v="0"/>
    <n v="2.2400000000000002"/>
    <n v="2"/>
    <x v="0"/>
    <n v="12"/>
    <n v="2.5088000000000004"/>
    <n v="12.000000000000011"/>
    <s v="OK"/>
  </r>
  <r>
    <n v="11424"/>
    <x v="0"/>
    <x v="1"/>
    <n v="8.2100000000000009"/>
    <n v="2"/>
    <x v="0"/>
    <n v="15"/>
    <n v="9.4414999999999996"/>
    <n v="14.999999999999991"/>
    <s v="OK"/>
  </r>
  <r>
    <n v="11425"/>
    <x v="1"/>
    <x v="0"/>
    <n v="4.63"/>
    <n v="9"/>
    <x v="2"/>
    <n v="55"/>
    <n v="7.1764999999999999"/>
    <n v="55.000000000000007"/>
    <s v="OK"/>
  </r>
  <r>
    <n v="11426"/>
    <x v="3"/>
    <x v="0"/>
    <n v="1.18"/>
    <n v="4"/>
    <x v="1"/>
    <n v="28"/>
    <n v="1.5104"/>
    <n v="28.000000000000004"/>
    <s v="OK"/>
  </r>
  <r>
    <n v="11427"/>
    <x v="0"/>
    <x v="1"/>
    <n v="10.19"/>
    <n v="3"/>
    <x v="0"/>
    <n v="15"/>
    <n v="11.718499999999999"/>
    <n v="14.999999999999991"/>
    <s v="OK"/>
  </r>
  <r>
    <n v="11428"/>
    <x v="0"/>
    <x v="0"/>
    <n v="13.01"/>
    <n v="1"/>
    <x v="0"/>
    <n v="12"/>
    <n v="14.571200000000001"/>
    <n v="12.000000000000011"/>
    <s v="OK"/>
  </r>
  <r>
    <n v="11429"/>
    <x v="3"/>
    <x v="1"/>
    <n v="2.86"/>
    <n v="2"/>
    <x v="0"/>
    <n v="15"/>
    <n v="3.2889999999999997"/>
    <n v="14.999999999999991"/>
    <s v="OK"/>
  </r>
  <r>
    <n v="11430"/>
    <x v="0"/>
    <x v="2"/>
    <n v="12.28"/>
    <n v="6"/>
    <x v="1"/>
    <n v="25"/>
    <n v="15.35"/>
    <n v="25"/>
    <s v="OK"/>
  </r>
  <r>
    <n v="11431"/>
    <x v="2"/>
    <x v="2"/>
    <n v="12.87"/>
    <n v="9"/>
    <x v="2"/>
    <n v="50"/>
    <n v="19.305"/>
    <n v="50"/>
    <s v="OK"/>
  </r>
  <r>
    <n v="11432"/>
    <x v="2"/>
    <x v="1"/>
    <n v="13.76"/>
    <n v="5"/>
    <x v="1"/>
    <n v="30"/>
    <n v="17.888000000000002"/>
    <n v="30.000000000000004"/>
    <s v="OK"/>
  </r>
  <r>
    <n v="11433"/>
    <x v="3"/>
    <x v="2"/>
    <n v="4.3499999999999996"/>
    <n v="4"/>
    <x v="1"/>
    <n v="25"/>
    <n v="5.4375"/>
    <n v="25"/>
    <s v="OK"/>
  </r>
  <r>
    <n v="11434"/>
    <x v="1"/>
    <x v="2"/>
    <n v="13.61"/>
    <n v="5"/>
    <x v="1"/>
    <n v="25"/>
    <n v="17.012499999999999"/>
    <n v="25"/>
    <s v="OK"/>
  </r>
  <r>
    <n v="11435"/>
    <x v="1"/>
    <x v="1"/>
    <n v="5.15"/>
    <n v="9"/>
    <x v="2"/>
    <n v="60"/>
    <n v="8.24"/>
    <n v="59.999999999999986"/>
    <s v="OK"/>
  </r>
  <r>
    <n v="11436"/>
    <x v="3"/>
    <x v="2"/>
    <n v="8.51"/>
    <n v="7"/>
    <x v="1"/>
    <n v="25"/>
    <n v="10.637499999999999"/>
    <n v="25"/>
    <s v="OK"/>
  </r>
  <r>
    <n v="11437"/>
    <x v="3"/>
    <x v="0"/>
    <n v="1.23"/>
    <n v="8"/>
    <x v="2"/>
    <n v="55"/>
    <n v="1.9065000000000001"/>
    <n v="55.000000000000007"/>
    <s v="OK"/>
  </r>
  <r>
    <n v="11438"/>
    <x v="2"/>
    <x v="0"/>
    <n v="1.1399999999999999"/>
    <n v="4"/>
    <x v="1"/>
    <n v="28"/>
    <n v="1.4591999999999998"/>
    <n v="28.000000000000004"/>
    <s v="OK"/>
  </r>
  <r>
    <n v="11439"/>
    <x v="1"/>
    <x v="1"/>
    <n v="10.95"/>
    <n v="8"/>
    <x v="2"/>
    <n v="60"/>
    <n v="17.52"/>
    <n v="60.000000000000007"/>
    <s v="OK"/>
  </r>
  <r>
    <n v="11440"/>
    <x v="0"/>
    <x v="2"/>
    <n v="6.94"/>
    <n v="6"/>
    <x v="1"/>
    <n v="25"/>
    <n v="8.6750000000000007"/>
    <n v="25"/>
    <s v="OK"/>
  </r>
  <r>
    <n v="11441"/>
    <x v="2"/>
    <x v="0"/>
    <n v="4.22"/>
    <n v="5"/>
    <x v="1"/>
    <n v="28"/>
    <n v="5.4016000000000002"/>
    <n v="28.000000000000004"/>
    <s v="OK"/>
  </r>
  <r>
    <n v="11442"/>
    <x v="3"/>
    <x v="0"/>
    <n v="3.26"/>
    <n v="7"/>
    <x v="1"/>
    <n v="28"/>
    <n v="4.1727999999999996"/>
    <n v="28.000000000000004"/>
    <s v="OK"/>
  </r>
  <r>
    <n v="11443"/>
    <x v="1"/>
    <x v="2"/>
    <n v="10.210000000000001"/>
    <n v="6"/>
    <x v="1"/>
    <n v="25"/>
    <n v="12.762500000000001"/>
    <n v="25"/>
    <s v="OK"/>
  </r>
  <r>
    <n v="11444"/>
    <x v="0"/>
    <x v="2"/>
    <n v="0.51"/>
    <n v="3"/>
    <x v="0"/>
    <n v="10"/>
    <n v="0.56100000000000005"/>
    <n v="10.000000000000009"/>
    <s v="OK"/>
  </r>
  <r>
    <n v="11445"/>
    <x v="0"/>
    <x v="0"/>
    <n v="12.19"/>
    <n v="5"/>
    <x v="1"/>
    <n v="28"/>
    <n v="15.603199999999999"/>
    <n v="28.000000000000004"/>
    <s v="OK"/>
  </r>
  <r>
    <n v="11446"/>
    <x v="2"/>
    <x v="0"/>
    <n v="1.65"/>
    <n v="9"/>
    <x v="2"/>
    <n v="55"/>
    <n v="2.5575000000000001"/>
    <n v="55.000000000000007"/>
    <s v="OK"/>
  </r>
  <r>
    <n v="11447"/>
    <x v="1"/>
    <x v="1"/>
    <n v="3.28"/>
    <n v="7"/>
    <x v="1"/>
    <n v="30"/>
    <n v="4.2640000000000002"/>
    <n v="30.000000000000004"/>
    <s v="OK"/>
  </r>
  <r>
    <n v="11448"/>
    <x v="1"/>
    <x v="1"/>
    <n v="6.1"/>
    <n v="4"/>
    <x v="1"/>
    <n v="30"/>
    <n v="7.93"/>
    <n v="30.000000000000004"/>
    <s v="OK"/>
  </r>
  <r>
    <n v="11449"/>
    <x v="3"/>
    <x v="0"/>
    <n v="7.53"/>
    <n v="7"/>
    <x v="1"/>
    <n v="28"/>
    <n v="9.6384000000000007"/>
    <n v="28.000000000000004"/>
    <s v="OK"/>
  </r>
  <r>
    <n v="11450"/>
    <x v="1"/>
    <x v="1"/>
    <n v="5.65"/>
    <n v="5"/>
    <x v="1"/>
    <n v="30"/>
    <n v="7.3450000000000006"/>
    <n v="30.000000000000004"/>
    <s v="OK"/>
  </r>
  <r>
    <n v="11451"/>
    <x v="1"/>
    <x v="0"/>
    <n v="5.15"/>
    <n v="2"/>
    <x v="0"/>
    <n v="12"/>
    <n v="5.7680000000000007"/>
    <n v="12.000000000000011"/>
    <s v="OK"/>
  </r>
  <r>
    <n v="11452"/>
    <x v="2"/>
    <x v="0"/>
    <n v="14.48"/>
    <n v="6"/>
    <x v="1"/>
    <n v="28"/>
    <n v="18.534400000000002"/>
    <n v="28.000000000000004"/>
    <s v="OK"/>
  </r>
  <r>
    <n v="11453"/>
    <x v="1"/>
    <x v="1"/>
    <n v="9.8000000000000007"/>
    <n v="7"/>
    <x v="1"/>
    <n v="30"/>
    <n v="12.740000000000002"/>
    <n v="30.000000000000004"/>
    <s v="OK"/>
  </r>
  <r>
    <n v="11454"/>
    <x v="0"/>
    <x v="1"/>
    <n v="0.84"/>
    <n v="8"/>
    <x v="2"/>
    <n v="60"/>
    <n v="1.3440000000000001"/>
    <n v="60.000000000000007"/>
    <s v="OK"/>
  </r>
  <r>
    <n v="11455"/>
    <x v="2"/>
    <x v="2"/>
    <n v="6.74"/>
    <n v="6"/>
    <x v="1"/>
    <n v="25"/>
    <n v="8.4250000000000007"/>
    <n v="25"/>
    <s v="OK"/>
  </r>
  <r>
    <n v="11456"/>
    <x v="2"/>
    <x v="2"/>
    <n v="13.19"/>
    <n v="8"/>
    <x v="2"/>
    <n v="50"/>
    <n v="19.785"/>
    <n v="50"/>
    <s v="OK"/>
  </r>
  <r>
    <n v="11457"/>
    <x v="3"/>
    <x v="2"/>
    <n v="4.87"/>
    <n v="7"/>
    <x v="1"/>
    <n v="25"/>
    <n v="6.0875000000000004"/>
    <n v="25"/>
    <s v="OK"/>
  </r>
  <r>
    <n v="11458"/>
    <x v="1"/>
    <x v="0"/>
    <n v="1.87"/>
    <n v="2"/>
    <x v="0"/>
    <n v="12"/>
    <n v="2.0944000000000003"/>
    <n v="12.000000000000011"/>
    <s v="OK"/>
  </r>
  <r>
    <n v="11459"/>
    <x v="3"/>
    <x v="1"/>
    <n v="11.5"/>
    <n v="6"/>
    <x v="1"/>
    <n v="30"/>
    <n v="14.950000000000001"/>
    <n v="30.000000000000004"/>
    <s v="OK"/>
  </r>
  <r>
    <n v="11460"/>
    <x v="0"/>
    <x v="0"/>
    <n v="9.2899999999999991"/>
    <n v="9"/>
    <x v="2"/>
    <n v="55"/>
    <n v="14.3995"/>
    <n v="55.000000000000007"/>
    <s v="OK"/>
  </r>
  <r>
    <n v="11461"/>
    <x v="2"/>
    <x v="1"/>
    <n v="8.77"/>
    <n v="6"/>
    <x v="1"/>
    <n v="30"/>
    <n v="11.401"/>
    <n v="30.000000000000004"/>
    <s v="OK"/>
  </r>
  <r>
    <n v="11462"/>
    <x v="2"/>
    <x v="0"/>
    <n v="1.28"/>
    <n v="4"/>
    <x v="1"/>
    <n v="28"/>
    <n v="1.6384000000000001"/>
    <n v="28.000000000000004"/>
    <s v="OK"/>
  </r>
  <r>
    <n v="11463"/>
    <x v="2"/>
    <x v="2"/>
    <n v="2.54"/>
    <n v="7"/>
    <x v="1"/>
    <n v="25"/>
    <n v="3.1749999999999998"/>
    <n v="25"/>
    <s v="OK"/>
  </r>
  <r>
    <n v="11464"/>
    <x v="0"/>
    <x v="2"/>
    <n v="9.5299999999999994"/>
    <n v="3"/>
    <x v="0"/>
    <n v="10"/>
    <n v="10.483000000000001"/>
    <n v="10.000000000000009"/>
    <s v="OK"/>
  </r>
  <r>
    <n v="11465"/>
    <x v="0"/>
    <x v="2"/>
    <n v="3.51"/>
    <n v="5"/>
    <x v="1"/>
    <n v="25"/>
    <n v="4.3874999999999993"/>
    <n v="24.999999999999979"/>
    <s v="OK"/>
  </r>
  <r>
    <n v="11466"/>
    <x v="3"/>
    <x v="0"/>
    <n v="7.81"/>
    <n v="1"/>
    <x v="0"/>
    <n v="12"/>
    <n v="8.7472000000000012"/>
    <n v="12.000000000000011"/>
    <s v="OK"/>
  </r>
  <r>
    <n v="11467"/>
    <x v="3"/>
    <x v="1"/>
    <n v="8.4"/>
    <n v="10"/>
    <x v="2"/>
    <n v="60"/>
    <n v="13.440000000000001"/>
    <n v="60.000000000000007"/>
    <s v="OK"/>
  </r>
  <r>
    <n v="11468"/>
    <x v="3"/>
    <x v="1"/>
    <n v="4.6100000000000003"/>
    <n v="3"/>
    <x v="0"/>
    <n v="15"/>
    <n v="5.3014999999999999"/>
    <n v="14.999999999999991"/>
    <s v="OK"/>
  </r>
  <r>
    <n v="11469"/>
    <x v="1"/>
    <x v="2"/>
    <n v="14.25"/>
    <n v="8"/>
    <x v="2"/>
    <n v="50"/>
    <n v="21.375"/>
    <n v="50"/>
    <s v="OK"/>
  </r>
  <r>
    <n v="11470"/>
    <x v="2"/>
    <x v="2"/>
    <n v="12.72"/>
    <n v="9"/>
    <x v="2"/>
    <n v="50"/>
    <n v="19.080000000000002"/>
    <n v="50"/>
    <s v="OK"/>
  </r>
  <r>
    <n v="11471"/>
    <x v="2"/>
    <x v="2"/>
    <n v="10.97"/>
    <n v="9"/>
    <x v="2"/>
    <n v="50"/>
    <n v="16.455000000000002"/>
    <n v="50"/>
    <s v="OK"/>
  </r>
  <r>
    <n v="11472"/>
    <x v="3"/>
    <x v="2"/>
    <n v="1.63"/>
    <n v="10"/>
    <x v="2"/>
    <n v="50"/>
    <n v="2.4449999999999998"/>
    <n v="50"/>
    <s v="OK"/>
  </r>
  <r>
    <n v="11473"/>
    <x v="2"/>
    <x v="1"/>
    <n v="2.04"/>
    <n v="2"/>
    <x v="0"/>
    <n v="15"/>
    <n v="2.3459999999999996"/>
    <n v="14.999999999999991"/>
    <s v="OK"/>
  </r>
  <r>
    <n v="11474"/>
    <x v="3"/>
    <x v="0"/>
    <n v="7.65"/>
    <n v="4"/>
    <x v="1"/>
    <n v="28"/>
    <n v="9.7919999999999998"/>
    <n v="28.000000000000004"/>
    <s v="OK"/>
  </r>
  <r>
    <n v="11475"/>
    <x v="1"/>
    <x v="0"/>
    <n v="2.83"/>
    <n v="5"/>
    <x v="1"/>
    <n v="28"/>
    <n v="3.6224000000000003"/>
    <n v="28.000000000000004"/>
    <s v="OK"/>
  </r>
  <r>
    <n v="11476"/>
    <x v="1"/>
    <x v="0"/>
    <n v="14.68"/>
    <n v="3"/>
    <x v="0"/>
    <n v="12"/>
    <n v="16.441600000000001"/>
    <n v="12.000000000000011"/>
    <s v="OK"/>
  </r>
  <r>
    <n v="11477"/>
    <x v="0"/>
    <x v="0"/>
    <n v="2.8"/>
    <n v="1"/>
    <x v="0"/>
    <n v="12"/>
    <n v="3.1360000000000001"/>
    <n v="12.000000000000011"/>
    <s v="OK"/>
  </r>
  <r>
    <n v="11478"/>
    <x v="1"/>
    <x v="2"/>
    <n v="7.57"/>
    <n v="6"/>
    <x v="1"/>
    <n v="25"/>
    <n v="9.4625000000000004"/>
    <n v="25"/>
    <s v="OK"/>
  </r>
  <r>
    <n v="11479"/>
    <x v="3"/>
    <x v="2"/>
    <n v="5.78"/>
    <n v="10"/>
    <x v="2"/>
    <n v="50"/>
    <n v="8.67"/>
    <n v="50"/>
    <s v="OK"/>
  </r>
  <r>
    <n v="11480"/>
    <x v="1"/>
    <x v="2"/>
    <n v="9.77"/>
    <n v="2"/>
    <x v="0"/>
    <n v="10"/>
    <n v="10.747"/>
    <n v="10.000000000000009"/>
    <s v="OK"/>
  </r>
  <r>
    <n v="11481"/>
    <x v="0"/>
    <x v="0"/>
    <n v="2.37"/>
    <n v="9"/>
    <x v="2"/>
    <n v="55"/>
    <n v="3.6735000000000002"/>
    <n v="55.000000000000007"/>
    <s v="OK"/>
  </r>
  <r>
    <n v="11482"/>
    <x v="2"/>
    <x v="2"/>
    <n v="6.74"/>
    <n v="1"/>
    <x v="0"/>
    <n v="10"/>
    <n v="7.4140000000000006"/>
    <n v="10.000000000000009"/>
    <s v="OK"/>
  </r>
  <r>
    <n v="11483"/>
    <x v="3"/>
    <x v="2"/>
    <n v="4.4800000000000004"/>
    <n v="9"/>
    <x v="2"/>
    <n v="50"/>
    <n v="6.7200000000000006"/>
    <n v="50"/>
    <s v="OK"/>
  </r>
  <r>
    <n v="11484"/>
    <x v="2"/>
    <x v="1"/>
    <n v="13.37"/>
    <n v="7"/>
    <x v="1"/>
    <n v="30"/>
    <n v="17.381"/>
    <n v="30.000000000000004"/>
    <s v="OK"/>
  </r>
  <r>
    <n v="11485"/>
    <x v="0"/>
    <x v="1"/>
    <n v="1.0900000000000001"/>
    <n v="10"/>
    <x v="2"/>
    <n v="60"/>
    <n v="1.7440000000000002"/>
    <n v="60.000000000000007"/>
    <s v="OK"/>
  </r>
  <r>
    <n v="11486"/>
    <x v="0"/>
    <x v="2"/>
    <n v="13.75"/>
    <n v="2"/>
    <x v="0"/>
    <n v="10"/>
    <n v="15.125000000000002"/>
    <n v="10.000000000000009"/>
    <s v="OK"/>
  </r>
  <r>
    <n v="11487"/>
    <x v="0"/>
    <x v="1"/>
    <n v="12.58"/>
    <n v="6"/>
    <x v="1"/>
    <n v="30"/>
    <n v="16.353999999999999"/>
    <n v="29.999999999999982"/>
    <s v="OK"/>
  </r>
  <r>
    <n v="11488"/>
    <x v="2"/>
    <x v="1"/>
    <n v="4.8099999999999996"/>
    <n v="8"/>
    <x v="2"/>
    <n v="60"/>
    <n v="7.6959999999999997"/>
    <n v="60.000000000000007"/>
    <s v="OK"/>
  </r>
  <r>
    <n v="11489"/>
    <x v="2"/>
    <x v="2"/>
    <n v="11.94"/>
    <n v="2"/>
    <x v="0"/>
    <n v="10"/>
    <n v="13.134"/>
    <n v="10.000000000000009"/>
    <s v="OK"/>
  </r>
  <r>
    <n v="11490"/>
    <x v="2"/>
    <x v="2"/>
    <n v="0.95"/>
    <n v="5"/>
    <x v="1"/>
    <n v="25"/>
    <n v="1.1875"/>
    <n v="25"/>
    <s v="OK"/>
  </r>
  <r>
    <n v="11491"/>
    <x v="2"/>
    <x v="2"/>
    <n v="14.52"/>
    <n v="6"/>
    <x v="1"/>
    <n v="25"/>
    <n v="18.149999999999999"/>
    <n v="25"/>
    <s v="OK"/>
  </r>
  <r>
    <n v="11492"/>
    <x v="0"/>
    <x v="2"/>
    <n v="8.14"/>
    <n v="3"/>
    <x v="0"/>
    <n v="10"/>
    <n v="8.9540000000000006"/>
    <n v="10.000000000000009"/>
    <s v="OK"/>
  </r>
  <r>
    <n v="11493"/>
    <x v="0"/>
    <x v="0"/>
    <n v="4.9000000000000004"/>
    <n v="2"/>
    <x v="0"/>
    <n v="12"/>
    <n v="5.4880000000000013"/>
    <n v="12.000000000000011"/>
    <s v="OK"/>
  </r>
  <r>
    <n v="11494"/>
    <x v="3"/>
    <x v="0"/>
    <n v="5.76"/>
    <n v="6"/>
    <x v="1"/>
    <n v="28"/>
    <n v="7.3727999999999998"/>
    <n v="28.000000000000004"/>
    <s v="OK"/>
  </r>
  <r>
    <n v="11495"/>
    <x v="3"/>
    <x v="2"/>
    <n v="1.46"/>
    <n v="3"/>
    <x v="0"/>
    <n v="10"/>
    <n v="1.6060000000000001"/>
    <n v="10.000000000000009"/>
    <s v="OK"/>
  </r>
  <r>
    <n v="11496"/>
    <x v="2"/>
    <x v="1"/>
    <n v="14.85"/>
    <n v="2"/>
    <x v="0"/>
    <n v="15"/>
    <n v="17.077499999999997"/>
    <n v="14.999999999999991"/>
    <s v="OK"/>
  </r>
  <r>
    <n v="11497"/>
    <x v="1"/>
    <x v="2"/>
    <n v="1.07"/>
    <n v="1"/>
    <x v="0"/>
    <n v="10"/>
    <n v="1.1770000000000003"/>
    <n v="10.000000000000009"/>
    <s v="OK"/>
  </r>
  <r>
    <n v="11498"/>
    <x v="1"/>
    <x v="2"/>
    <n v="10"/>
    <n v="8"/>
    <x v="2"/>
    <n v="50"/>
    <n v="15"/>
    <n v="50"/>
    <s v="OK"/>
  </r>
  <r>
    <n v="11499"/>
    <x v="0"/>
    <x v="1"/>
    <n v="6.92"/>
    <n v="1"/>
    <x v="0"/>
    <n v="15"/>
    <n v="7.9579999999999993"/>
    <n v="14.999999999999991"/>
    <s v="OK"/>
  </r>
  <r>
    <n v="11500"/>
    <x v="0"/>
    <x v="0"/>
    <n v="14.26"/>
    <n v="5"/>
    <x v="1"/>
    <n v="28"/>
    <n v="18.252800000000001"/>
    <n v="28.000000000000004"/>
    <s v="OK"/>
  </r>
  <r>
    <n v="11501"/>
    <x v="0"/>
    <x v="2"/>
    <n v="4.07"/>
    <n v="6"/>
    <x v="1"/>
    <n v="25"/>
    <n v="5.0875000000000004"/>
    <n v="25"/>
    <s v="OK"/>
  </r>
  <r>
    <n v="11502"/>
    <x v="3"/>
    <x v="2"/>
    <n v="8.2200000000000006"/>
    <n v="3"/>
    <x v="0"/>
    <n v="10"/>
    <n v="9.0420000000000016"/>
    <n v="10.000000000000009"/>
    <s v="OK"/>
  </r>
  <r>
    <n v="11503"/>
    <x v="3"/>
    <x v="0"/>
    <n v="7.49"/>
    <n v="7"/>
    <x v="1"/>
    <n v="28"/>
    <n v="9.5872000000000011"/>
    <n v="28.000000000000004"/>
    <s v="OK"/>
  </r>
  <r>
    <n v="11504"/>
    <x v="0"/>
    <x v="0"/>
    <n v="10.69"/>
    <n v="2"/>
    <x v="0"/>
    <n v="12"/>
    <n v="11.972800000000001"/>
    <n v="12.000000000000011"/>
    <s v="OK"/>
  </r>
  <r>
    <n v="11505"/>
    <x v="0"/>
    <x v="1"/>
    <n v="1.49"/>
    <n v="7"/>
    <x v="1"/>
    <n v="30"/>
    <n v="1.9370000000000001"/>
    <n v="30.000000000000004"/>
    <s v="OK"/>
  </r>
  <r>
    <n v="11506"/>
    <x v="0"/>
    <x v="0"/>
    <n v="3.31"/>
    <n v="2"/>
    <x v="0"/>
    <n v="12"/>
    <n v="3.7072000000000003"/>
    <n v="12.000000000000011"/>
    <s v="OK"/>
  </r>
  <r>
    <n v="11507"/>
    <x v="1"/>
    <x v="0"/>
    <n v="3.61"/>
    <n v="5"/>
    <x v="1"/>
    <n v="28"/>
    <n v="4.6208"/>
    <n v="28.000000000000004"/>
    <s v="OK"/>
  </r>
  <r>
    <n v="11508"/>
    <x v="3"/>
    <x v="0"/>
    <n v="11.2"/>
    <n v="7"/>
    <x v="1"/>
    <n v="28"/>
    <n v="14.335999999999999"/>
    <n v="28.000000000000004"/>
    <s v="OK"/>
  </r>
  <r>
    <n v="11509"/>
    <x v="1"/>
    <x v="1"/>
    <n v="3.24"/>
    <n v="3"/>
    <x v="0"/>
    <n v="15"/>
    <n v="3.726"/>
    <n v="14.999999999999991"/>
    <s v="OK"/>
  </r>
  <r>
    <n v="11510"/>
    <x v="1"/>
    <x v="0"/>
    <n v="8.82"/>
    <n v="4"/>
    <x v="1"/>
    <n v="28"/>
    <n v="11.2896"/>
    <n v="28.000000000000004"/>
    <s v="OK"/>
  </r>
  <r>
    <n v="11511"/>
    <x v="0"/>
    <x v="0"/>
    <n v="3.62"/>
    <n v="1"/>
    <x v="0"/>
    <n v="12"/>
    <n v="4.0544000000000002"/>
    <n v="12.000000000000011"/>
    <s v="OK"/>
  </r>
  <r>
    <n v="11512"/>
    <x v="0"/>
    <x v="1"/>
    <n v="12.99"/>
    <n v="3"/>
    <x v="0"/>
    <n v="15"/>
    <n v="14.938499999999999"/>
    <n v="14.999999999999991"/>
    <s v="OK"/>
  </r>
  <r>
    <n v="11513"/>
    <x v="2"/>
    <x v="0"/>
    <n v="14.16"/>
    <n v="9"/>
    <x v="2"/>
    <n v="55"/>
    <n v="21.948"/>
    <n v="55.000000000000007"/>
    <s v="OK"/>
  </r>
  <r>
    <n v="11514"/>
    <x v="2"/>
    <x v="0"/>
    <n v="8.02"/>
    <n v="10"/>
    <x v="2"/>
    <n v="55"/>
    <n v="12.430999999999999"/>
    <n v="55.000000000000007"/>
    <s v="OK"/>
  </r>
  <r>
    <n v="11515"/>
    <x v="1"/>
    <x v="1"/>
    <n v="5.61"/>
    <n v="5"/>
    <x v="1"/>
    <n v="30"/>
    <n v="7.293000000000001"/>
    <n v="30.000000000000004"/>
    <s v="OK"/>
  </r>
  <r>
    <n v="11516"/>
    <x v="3"/>
    <x v="2"/>
    <n v="3.89"/>
    <n v="8"/>
    <x v="2"/>
    <n v="50"/>
    <n v="5.835"/>
    <n v="50"/>
    <s v="OK"/>
  </r>
  <r>
    <n v="11517"/>
    <x v="0"/>
    <x v="1"/>
    <n v="1.22"/>
    <n v="2"/>
    <x v="0"/>
    <n v="15"/>
    <n v="1.4029999999999998"/>
    <n v="14.999999999999991"/>
    <s v="OK"/>
  </r>
  <r>
    <n v="11518"/>
    <x v="0"/>
    <x v="0"/>
    <n v="4.3899999999999997"/>
    <n v="3"/>
    <x v="0"/>
    <n v="12"/>
    <n v="4.9168000000000003"/>
    <n v="12.000000000000011"/>
    <s v="OK"/>
  </r>
  <r>
    <n v="11519"/>
    <x v="1"/>
    <x v="0"/>
    <n v="9.99"/>
    <n v="7"/>
    <x v="1"/>
    <n v="28"/>
    <n v="12.7872"/>
    <n v="28.000000000000004"/>
    <s v="OK"/>
  </r>
  <r>
    <n v="11520"/>
    <x v="2"/>
    <x v="0"/>
    <n v="8.24"/>
    <n v="10"/>
    <x v="2"/>
    <n v="55"/>
    <n v="12.772"/>
    <n v="55.000000000000007"/>
    <s v="OK"/>
  </r>
  <r>
    <n v="11521"/>
    <x v="3"/>
    <x v="1"/>
    <n v="14.19"/>
    <n v="4"/>
    <x v="1"/>
    <n v="30"/>
    <n v="18.446999999999999"/>
    <n v="30.000000000000004"/>
    <s v="OK"/>
  </r>
  <r>
    <n v="11522"/>
    <x v="2"/>
    <x v="0"/>
    <n v="6.25"/>
    <n v="9"/>
    <x v="2"/>
    <n v="55"/>
    <n v="9.6875"/>
    <n v="55.000000000000007"/>
    <s v="OK"/>
  </r>
  <r>
    <n v="11523"/>
    <x v="2"/>
    <x v="0"/>
    <n v="10.56"/>
    <n v="7"/>
    <x v="1"/>
    <n v="28"/>
    <n v="13.516800000000002"/>
    <n v="28.000000000000004"/>
    <s v="OK"/>
  </r>
  <r>
    <n v="11524"/>
    <x v="2"/>
    <x v="1"/>
    <n v="7.6"/>
    <n v="1"/>
    <x v="0"/>
    <n v="15"/>
    <n v="8.7399999999999984"/>
    <n v="14.999999999999991"/>
    <s v="OK"/>
  </r>
  <r>
    <n v="11525"/>
    <x v="2"/>
    <x v="2"/>
    <n v="7.93"/>
    <n v="4"/>
    <x v="1"/>
    <n v="25"/>
    <n v="9.9124999999999996"/>
    <n v="25"/>
    <s v="OK"/>
  </r>
  <r>
    <n v="11526"/>
    <x v="0"/>
    <x v="2"/>
    <n v="4.38"/>
    <n v="10"/>
    <x v="2"/>
    <n v="50"/>
    <n v="6.57"/>
    <n v="50"/>
    <s v="OK"/>
  </r>
  <r>
    <n v="11527"/>
    <x v="0"/>
    <x v="0"/>
    <n v="7.1"/>
    <n v="6"/>
    <x v="1"/>
    <n v="28"/>
    <n v="9.0879999999999992"/>
    <n v="28.000000000000004"/>
    <s v="OK"/>
  </r>
  <r>
    <n v="11528"/>
    <x v="2"/>
    <x v="1"/>
    <n v="7.33"/>
    <n v="6"/>
    <x v="1"/>
    <n v="30"/>
    <n v="9.5289999999999999"/>
    <n v="30.000000000000004"/>
    <s v="OK"/>
  </r>
  <r>
    <n v="11529"/>
    <x v="3"/>
    <x v="0"/>
    <n v="10.75"/>
    <n v="10"/>
    <x v="2"/>
    <n v="55"/>
    <n v="16.662500000000001"/>
    <n v="55.000000000000007"/>
    <s v="OK"/>
  </r>
  <r>
    <n v="11530"/>
    <x v="1"/>
    <x v="1"/>
    <n v="14.14"/>
    <n v="6"/>
    <x v="1"/>
    <n v="30"/>
    <n v="18.382000000000001"/>
    <n v="30.000000000000004"/>
    <s v="OK"/>
  </r>
  <r>
    <n v="11531"/>
    <x v="3"/>
    <x v="1"/>
    <n v="5.28"/>
    <n v="5"/>
    <x v="1"/>
    <n v="30"/>
    <n v="6.8640000000000008"/>
    <n v="30.000000000000004"/>
    <s v="OK"/>
  </r>
  <r>
    <n v="11532"/>
    <x v="3"/>
    <x v="2"/>
    <n v="1.1100000000000001"/>
    <n v="3"/>
    <x v="0"/>
    <n v="10"/>
    <n v="1.2210000000000003"/>
    <n v="10.000000000000009"/>
    <s v="OK"/>
  </r>
  <r>
    <n v="11533"/>
    <x v="3"/>
    <x v="2"/>
    <n v="7.7"/>
    <n v="2"/>
    <x v="0"/>
    <n v="10"/>
    <n v="8.4700000000000006"/>
    <n v="10.000000000000009"/>
    <s v="OK"/>
  </r>
  <r>
    <n v="11534"/>
    <x v="2"/>
    <x v="1"/>
    <n v="8.39"/>
    <n v="3"/>
    <x v="0"/>
    <n v="15"/>
    <n v="9.6485000000000003"/>
    <n v="14.999999999999991"/>
    <s v="OK"/>
  </r>
  <r>
    <n v="11535"/>
    <x v="0"/>
    <x v="0"/>
    <n v="2.94"/>
    <n v="9"/>
    <x v="2"/>
    <n v="55"/>
    <n v="4.5570000000000004"/>
    <n v="55.000000000000028"/>
    <s v="OK"/>
  </r>
  <r>
    <n v="11536"/>
    <x v="3"/>
    <x v="2"/>
    <n v="11.53"/>
    <n v="3"/>
    <x v="0"/>
    <n v="10"/>
    <n v="12.683"/>
    <n v="10.000000000000009"/>
    <s v="OK"/>
  </r>
  <r>
    <n v="11537"/>
    <x v="2"/>
    <x v="0"/>
    <n v="14.78"/>
    <n v="3"/>
    <x v="0"/>
    <n v="12"/>
    <n v="16.553599999999999"/>
    <n v="12.000000000000011"/>
    <s v="OK"/>
  </r>
  <r>
    <n v="11538"/>
    <x v="3"/>
    <x v="2"/>
    <n v="14.21"/>
    <n v="1"/>
    <x v="0"/>
    <n v="10"/>
    <n v="15.631000000000002"/>
    <n v="10.000000000000009"/>
    <s v="OK"/>
  </r>
  <r>
    <n v="11539"/>
    <x v="3"/>
    <x v="2"/>
    <n v="3.36"/>
    <n v="2"/>
    <x v="0"/>
    <n v="10"/>
    <n v="3.6960000000000002"/>
    <n v="10.000000000000009"/>
    <s v="OK"/>
  </r>
  <r>
    <n v="11540"/>
    <x v="2"/>
    <x v="0"/>
    <n v="13.19"/>
    <n v="3"/>
    <x v="0"/>
    <n v="12"/>
    <n v="14.7728"/>
    <n v="12.000000000000011"/>
    <s v="OK"/>
  </r>
  <r>
    <n v="11541"/>
    <x v="0"/>
    <x v="2"/>
    <n v="10.72"/>
    <n v="2"/>
    <x v="0"/>
    <n v="10"/>
    <n v="11.792000000000002"/>
    <n v="10.000000000000009"/>
    <s v="OK"/>
  </r>
  <r>
    <n v="11542"/>
    <x v="0"/>
    <x v="2"/>
    <n v="7.08"/>
    <n v="8"/>
    <x v="2"/>
    <n v="50"/>
    <n v="10.620000000000001"/>
    <n v="50.000000000000021"/>
    <s v="OK"/>
  </r>
  <r>
    <n v="11543"/>
    <x v="1"/>
    <x v="0"/>
    <n v="8.34"/>
    <n v="6"/>
    <x v="1"/>
    <n v="28"/>
    <n v="10.6752"/>
    <n v="28.000000000000004"/>
    <s v="OK"/>
  </r>
  <r>
    <n v="11544"/>
    <x v="2"/>
    <x v="2"/>
    <n v="12.82"/>
    <n v="7"/>
    <x v="1"/>
    <n v="25"/>
    <n v="16.024999999999999"/>
    <n v="24.999999999999979"/>
    <s v="OK"/>
  </r>
  <r>
    <n v="11545"/>
    <x v="1"/>
    <x v="2"/>
    <n v="7.46"/>
    <n v="1"/>
    <x v="0"/>
    <n v="10"/>
    <n v="8.2060000000000013"/>
    <n v="10.000000000000009"/>
    <s v="OK"/>
  </r>
  <r>
    <n v="11546"/>
    <x v="1"/>
    <x v="2"/>
    <n v="5.91"/>
    <n v="6"/>
    <x v="1"/>
    <n v="25"/>
    <n v="7.3875000000000002"/>
    <n v="25"/>
    <s v="OK"/>
  </r>
  <r>
    <n v="11547"/>
    <x v="1"/>
    <x v="0"/>
    <n v="7.65"/>
    <n v="2"/>
    <x v="0"/>
    <n v="12"/>
    <n v="8.5680000000000014"/>
    <n v="12.000000000000011"/>
    <s v="OK"/>
  </r>
  <r>
    <n v="11548"/>
    <x v="0"/>
    <x v="1"/>
    <n v="8.9"/>
    <n v="6"/>
    <x v="1"/>
    <n v="30"/>
    <n v="11.57"/>
    <n v="30.000000000000004"/>
    <s v="OK"/>
  </r>
  <r>
    <n v="11549"/>
    <x v="2"/>
    <x v="0"/>
    <n v="3.24"/>
    <n v="3"/>
    <x v="0"/>
    <n v="12"/>
    <n v="3.6288000000000005"/>
    <n v="12.000000000000011"/>
    <s v="OK"/>
  </r>
  <r>
    <n v="11550"/>
    <x v="1"/>
    <x v="1"/>
    <n v="13.56"/>
    <n v="7"/>
    <x v="1"/>
    <n v="30"/>
    <n v="17.628"/>
    <n v="30.000000000000004"/>
    <s v="OK"/>
  </r>
  <r>
    <n v="11551"/>
    <x v="2"/>
    <x v="2"/>
    <n v="10.28"/>
    <n v="3"/>
    <x v="0"/>
    <n v="10"/>
    <n v="11.308"/>
    <n v="10.000000000000009"/>
    <s v="OK"/>
  </r>
  <r>
    <n v="11552"/>
    <x v="2"/>
    <x v="1"/>
    <n v="9.68"/>
    <n v="9"/>
    <x v="2"/>
    <n v="60"/>
    <n v="15.488"/>
    <n v="60.000000000000007"/>
    <s v="OK"/>
  </r>
  <r>
    <n v="11553"/>
    <x v="0"/>
    <x v="0"/>
    <n v="1.94"/>
    <n v="3"/>
    <x v="0"/>
    <n v="12"/>
    <n v="2.1728000000000001"/>
    <n v="12.000000000000011"/>
    <s v="OK"/>
  </r>
  <r>
    <n v="11554"/>
    <x v="1"/>
    <x v="0"/>
    <n v="9.26"/>
    <n v="7"/>
    <x v="1"/>
    <n v="28"/>
    <n v="11.8528"/>
    <n v="28.000000000000004"/>
    <s v="OK"/>
  </r>
  <r>
    <n v="11555"/>
    <x v="1"/>
    <x v="2"/>
    <n v="2.25"/>
    <n v="4"/>
    <x v="1"/>
    <n v="25"/>
    <n v="2.8125"/>
    <n v="25"/>
    <s v="OK"/>
  </r>
  <r>
    <n v="11556"/>
    <x v="2"/>
    <x v="1"/>
    <n v="1.64"/>
    <n v="8"/>
    <x v="2"/>
    <n v="60"/>
    <n v="2.6240000000000001"/>
    <n v="60.000000000000007"/>
    <s v="OK"/>
  </r>
  <r>
    <n v="11557"/>
    <x v="3"/>
    <x v="2"/>
    <n v="8.15"/>
    <n v="2"/>
    <x v="0"/>
    <n v="10"/>
    <n v="8.9650000000000016"/>
    <n v="10.000000000000009"/>
    <s v="OK"/>
  </r>
  <r>
    <n v="11558"/>
    <x v="0"/>
    <x v="2"/>
    <n v="6.34"/>
    <n v="8"/>
    <x v="2"/>
    <n v="50"/>
    <n v="9.51"/>
    <n v="50"/>
    <s v="OK"/>
  </r>
  <r>
    <n v="11559"/>
    <x v="0"/>
    <x v="0"/>
    <n v="9.0399999999999991"/>
    <n v="9"/>
    <x v="2"/>
    <n v="55"/>
    <n v="14.011999999999999"/>
    <n v="55.000000000000007"/>
    <s v="OK"/>
  </r>
  <r>
    <n v="11560"/>
    <x v="0"/>
    <x v="1"/>
    <n v="1.79"/>
    <n v="8"/>
    <x v="2"/>
    <n v="60"/>
    <n v="2.8640000000000003"/>
    <n v="60.000000000000007"/>
    <s v="OK"/>
  </r>
  <r>
    <n v="11561"/>
    <x v="0"/>
    <x v="1"/>
    <n v="6.75"/>
    <n v="6"/>
    <x v="1"/>
    <n v="30"/>
    <n v="8.7750000000000004"/>
    <n v="30.000000000000004"/>
    <s v="OK"/>
  </r>
  <r>
    <n v="11562"/>
    <x v="1"/>
    <x v="1"/>
    <n v="3.03"/>
    <n v="10"/>
    <x v="2"/>
    <n v="60"/>
    <n v="4.8479999999999999"/>
    <n v="60.000000000000007"/>
    <s v="OK"/>
  </r>
  <r>
    <n v="11563"/>
    <x v="1"/>
    <x v="1"/>
    <n v="14.81"/>
    <n v="1"/>
    <x v="0"/>
    <n v="15"/>
    <n v="17.031499999999998"/>
    <n v="14.999999999999991"/>
    <s v="OK"/>
  </r>
  <r>
    <n v="11564"/>
    <x v="3"/>
    <x v="2"/>
    <n v="8.64"/>
    <n v="7"/>
    <x v="1"/>
    <n v="25"/>
    <n v="10.8"/>
    <n v="25"/>
    <s v="OK"/>
  </r>
  <r>
    <n v="11565"/>
    <x v="0"/>
    <x v="2"/>
    <n v="10.47"/>
    <n v="1"/>
    <x v="0"/>
    <n v="10"/>
    <n v="11.517000000000001"/>
    <n v="10.000000000000009"/>
    <s v="OK"/>
  </r>
  <r>
    <n v="11566"/>
    <x v="0"/>
    <x v="0"/>
    <n v="5.22"/>
    <n v="7"/>
    <x v="1"/>
    <n v="28"/>
    <n v="6.6815999999999995"/>
    <n v="28.000000000000004"/>
    <s v="OK"/>
  </r>
  <r>
    <n v="11567"/>
    <x v="2"/>
    <x v="2"/>
    <n v="1.87"/>
    <n v="2"/>
    <x v="0"/>
    <n v="10"/>
    <n v="2.0570000000000004"/>
    <n v="10.000000000000009"/>
    <s v="OK"/>
  </r>
  <r>
    <n v="11568"/>
    <x v="1"/>
    <x v="2"/>
    <n v="14.65"/>
    <n v="8"/>
    <x v="2"/>
    <n v="50"/>
    <n v="21.975000000000001"/>
    <n v="50"/>
    <s v="OK"/>
  </r>
  <r>
    <n v="11569"/>
    <x v="0"/>
    <x v="0"/>
    <n v="4.6500000000000004"/>
    <n v="2"/>
    <x v="0"/>
    <n v="12"/>
    <n v="5.2080000000000011"/>
    <n v="12.000000000000011"/>
    <s v="OK"/>
  </r>
  <r>
    <n v="11570"/>
    <x v="3"/>
    <x v="0"/>
    <n v="6.65"/>
    <n v="3"/>
    <x v="0"/>
    <n v="12"/>
    <n v="7.4480000000000013"/>
    <n v="12.000000000000011"/>
    <s v="OK"/>
  </r>
  <r>
    <n v="11571"/>
    <x v="3"/>
    <x v="0"/>
    <n v="9.92"/>
    <n v="3"/>
    <x v="0"/>
    <n v="12"/>
    <n v="11.1104"/>
    <n v="12.000000000000011"/>
    <s v="OK"/>
  </r>
  <r>
    <n v="11572"/>
    <x v="1"/>
    <x v="2"/>
    <n v="0.86"/>
    <n v="1"/>
    <x v="0"/>
    <n v="10"/>
    <n v="0.94600000000000006"/>
    <n v="10.000000000000009"/>
    <s v="OK"/>
  </r>
  <r>
    <n v="11573"/>
    <x v="3"/>
    <x v="2"/>
    <n v="12.25"/>
    <n v="5"/>
    <x v="1"/>
    <n v="25"/>
    <n v="15.3125"/>
    <n v="25"/>
    <s v="OK"/>
  </r>
  <r>
    <n v="11574"/>
    <x v="3"/>
    <x v="0"/>
    <n v="8.2799999999999994"/>
    <n v="5"/>
    <x v="1"/>
    <n v="28"/>
    <n v="10.5984"/>
    <n v="28.000000000000004"/>
    <s v="OK"/>
  </r>
  <r>
    <n v="11575"/>
    <x v="1"/>
    <x v="0"/>
    <n v="4.53"/>
    <n v="10"/>
    <x v="2"/>
    <n v="55"/>
    <n v="7.0215000000000005"/>
    <n v="55.000000000000007"/>
    <s v="OK"/>
  </r>
  <r>
    <n v="11576"/>
    <x v="0"/>
    <x v="0"/>
    <n v="1.39"/>
    <n v="5"/>
    <x v="1"/>
    <n v="28"/>
    <n v="1.7791999999999999"/>
    <n v="28.000000000000004"/>
    <s v="OK"/>
  </r>
  <r>
    <n v="11577"/>
    <x v="0"/>
    <x v="2"/>
    <n v="2.86"/>
    <n v="9"/>
    <x v="2"/>
    <n v="50"/>
    <n v="4.29"/>
    <n v="50"/>
    <s v="OK"/>
  </r>
  <r>
    <n v="11578"/>
    <x v="3"/>
    <x v="2"/>
    <n v="13.48"/>
    <n v="6"/>
    <x v="1"/>
    <n v="25"/>
    <n v="16.850000000000001"/>
    <n v="25"/>
    <s v="OK"/>
  </r>
  <r>
    <n v="11579"/>
    <x v="3"/>
    <x v="1"/>
    <n v="10.45"/>
    <n v="6"/>
    <x v="1"/>
    <n v="30"/>
    <n v="13.584999999999999"/>
    <n v="30.000000000000004"/>
    <s v="OK"/>
  </r>
  <r>
    <n v="11580"/>
    <x v="0"/>
    <x v="2"/>
    <n v="4.12"/>
    <n v="3"/>
    <x v="0"/>
    <n v="10"/>
    <n v="4.5320000000000009"/>
    <n v="10.000000000000009"/>
    <s v="OK"/>
  </r>
  <r>
    <n v="11581"/>
    <x v="1"/>
    <x v="2"/>
    <n v="1.45"/>
    <n v="5"/>
    <x v="1"/>
    <n v="25"/>
    <n v="1.8125"/>
    <n v="25"/>
    <s v="OK"/>
  </r>
  <r>
    <n v="11582"/>
    <x v="3"/>
    <x v="2"/>
    <n v="10.51"/>
    <n v="10"/>
    <x v="2"/>
    <n v="50"/>
    <n v="15.765000000000001"/>
    <n v="50"/>
    <s v="OK"/>
  </r>
  <r>
    <n v="11583"/>
    <x v="2"/>
    <x v="0"/>
    <n v="8.8000000000000007"/>
    <n v="7"/>
    <x v="1"/>
    <n v="28"/>
    <n v="11.264000000000001"/>
    <n v="28.000000000000004"/>
    <s v="OK"/>
  </r>
  <r>
    <n v="11584"/>
    <x v="1"/>
    <x v="2"/>
    <n v="6.37"/>
    <n v="3"/>
    <x v="0"/>
    <n v="10"/>
    <n v="7.0070000000000006"/>
    <n v="10.000000000000009"/>
    <s v="OK"/>
  </r>
  <r>
    <n v="11585"/>
    <x v="3"/>
    <x v="0"/>
    <n v="5.77"/>
    <n v="2"/>
    <x v="0"/>
    <n v="12"/>
    <n v="6.4623999999999997"/>
    <n v="12.000000000000011"/>
    <s v="OK"/>
  </r>
  <r>
    <n v="11586"/>
    <x v="3"/>
    <x v="1"/>
    <n v="3.64"/>
    <n v="5"/>
    <x v="1"/>
    <n v="30"/>
    <n v="4.7320000000000002"/>
    <n v="30.000000000000004"/>
    <s v="OK"/>
  </r>
  <r>
    <n v="11587"/>
    <x v="2"/>
    <x v="1"/>
    <n v="10.210000000000001"/>
    <n v="3"/>
    <x v="0"/>
    <n v="15"/>
    <n v="11.7415"/>
    <n v="14.999999999999991"/>
    <s v="OK"/>
  </r>
  <r>
    <n v="11588"/>
    <x v="2"/>
    <x v="0"/>
    <n v="14.57"/>
    <n v="5"/>
    <x v="1"/>
    <n v="28"/>
    <n v="18.6496"/>
    <n v="28.000000000000004"/>
    <s v="OK"/>
  </r>
  <r>
    <n v="11589"/>
    <x v="0"/>
    <x v="0"/>
    <n v="3.05"/>
    <n v="9"/>
    <x v="2"/>
    <n v="55"/>
    <n v="4.7275"/>
    <n v="55.000000000000007"/>
    <s v="OK"/>
  </r>
  <r>
    <n v="11590"/>
    <x v="1"/>
    <x v="0"/>
    <n v="9.16"/>
    <n v="10"/>
    <x v="2"/>
    <n v="55"/>
    <n v="14.198"/>
    <n v="55.000000000000007"/>
    <s v="OK"/>
  </r>
  <r>
    <n v="11591"/>
    <x v="1"/>
    <x v="2"/>
    <n v="6.65"/>
    <n v="1"/>
    <x v="0"/>
    <n v="10"/>
    <n v="7.3150000000000013"/>
    <n v="10.000000000000009"/>
    <s v="OK"/>
  </r>
  <r>
    <n v="11592"/>
    <x v="0"/>
    <x v="1"/>
    <n v="6.98"/>
    <n v="4"/>
    <x v="1"/>
    <n v="30"/>
    <n v="9.0740000000000016"/>
    <n v="30.000000000000004"/>
    <s v="OK"/>
  </r>
  <r>
    <n v="11593"/>
    <x v="1"/>
    <x v="0"/>
    <n v="4.1900000000000004"/>
    <n v="10"/>
    <x v="2"/>
    <n v="55"/>
    <n v="6.4945000000000004"/>
    <n v="55.000000000000007"/>
    <s v="OK"/>
  </r>
  <r>
    <n v="11594"/>
    <x v="1"/>
    <x v="2"/>
    <n v="12.46"/>
    <n v="5"/>
    <x v="1"/>
    <n v="25"/>
    <n v="15.575000000000001"/>
    <n v="25"/>
    <s v="OK"/>
  </r>
  <r>
    <n v="11595"/>
    <x v="1"/>
    <x v="1"/>
    <n v="7.54"/>
    <n v="2"/>
    <x v="0"/>
    <n v="15"/>
    <n v="8.6709999999999994"/>
    <n v="14.999999999999991"/>
    <s v="OK"/>
  </r>
  <r>
    <n v="11596"/>
    <x v="1"/>
    <x v="2"/>
    <n v="8.3800000000000008"/>
    <n v="2"/>
    <x v="0"/>
    <n v="10"/>
    <n v="9.2180000000000017"/>
    <n v="10.000000000000009"/>
    <s v="OK"/>
  </r>
  <r>
    <n v="11597"/>
    <x v="1"/>
    <x v="1"/>
    <n v="4.92"/>
    <n v="1"/>
    <x v="0"/>
    <n v="15"/>
    <n v="5.6579999999999995"/>
    <n v="14.999999999999991"/>
    <s v="OK"/>
  </r>
  <r>
    <n v="11598"/>
    <x v="2"/>
    <x v="2"/>
    <n v="3.14"/>
    <n v="8"/>
    <x v="2"/>
    <n v="50"/>
    <n v="4.71"/>
    <n v="50"/>
    <s v="OK"/>
  </r>
  <r>
    <n v="11599"/>
    <x v="1"/>
    <x v="1"/>
    <n v="1.75"/>
    <n v="2"/>
    <x v="0"/>
    <n v="15"/>
    <n v="2.0124999999999997"/>
    <n v="14.999999999999991"/>
    <s v="OK"/>
  </r>
  <r>
    <n v="11600"/>
    <x v="2"/>
    <x v="1"/>
    <n v="10.85"/>
    <n v="3"/>
    <x v="0"/>
    <n v="15"/>
    <n v="12.477499999999999"/>
    <n v="14.999999999999991"/>
    <s v="OK"/>
  </r>
  <r>
    <n v="11601"/>
    <x v="1"/>
    <x v="2"/>
    <n v="3.35"/>
    <n v="2"/>
    <x v="0"/>
    <n v="10"/>
    <n v="3.6850000000000005"/>
    <n v="10.000000000000009"/>
    <s v="OK"/>
  </r>
  <r>
    <n v="11602"/>
    <x v="0"/>
    <x v="0"/>
    <n v="10.51"/>
    <n v="4"/>
    <x v="1"/>
    <n v="28"/>
    <n v="13.4528"/>
    <n v="28.000000000000004"/>
    <s v="OK"/>
  </r>
  <r>
    <n v="11603"/>
    <x v="3"/>
    <x v="1"/>
    <n v="6.16"/>
    <n v="1"/>
    <x v="0"/>
    <n v="15"/>
    <n v="7.0839999999999996"/>
    <n v="14.999999999999991"/>
    <s v="OK"/>
  </r>
  <r>
    <n v="11604"/>
    <x v="2"/>
    <x v="0"/>
    <n v="6.53"/>
    <n v="3"/>
    <x v="0"/>
    <n v="12"/>
    <n v="7.313600000000001"/>
    <n v="12.000000000000011"/>
    <s v="OK"/>
  </r>
  <r>
    <n v="11605"/>
    <x v="1"/>
    <x v="2"/>
    <n v="7.3"/>
    <n v="5"/>
    <x v="1"/>
    <n v="25"/>
    <n v="9.125"/>
    <n v="25"/>
    <s v="OK"/>
  </r>
  <r>
    <n v="11606"/>
    <x v="0"/>
    <x v="0"/>
    <n v="5.83"/>
    <n v="10"/>
    <x v="2"/>
    <n v="55"/>
    <n v="9.0365000000000002"/>
    <n v="55.000000000000007"/>
    <s v="OK"/>
  </r>
  <r>
    <n v="11607"/>
    <x v="3"/>
    <x v="0"/>
    <n v="1.96"/>
    <n v="1"/>
    <x v="0"/>
    <n v="12"/>
    <n v="2.1952000000000003"/>
    <n v="12.000000000000011"/>
    <s v="OK"/>
  </r>
  <r>
    <n v="11608"/>
    <x v="2"/>
    <x v="0"/>
    <n v="4.99"/>
    <n v="4"/>
    <x v="1"/>
    <n v="28"/>
    <n v="6.3872"/>
    <n v="28.000000000000004"/>
    <s v="OK"/>
  </r>
  <r>
    <n v="11609"/>
    <x v="3"/>
    <x v="0"/>
    <n v="10.119999999999999"/>
    <n v="6"/>
    <x v="1"/>
    <n v="28"/>
    <n v="12.9536"/>
    <n v="28.000000000000004"/>
    <s v="OK"/>
  </r>
  <r>
    <n v="11610"/>
    <x v="0"/>
    <x v="0"/>
    <n v="10.15"/>
    <n v="4"/>
    <x v="1"/>
    <n v="28"/>
    <n v="12.992000000000001"/>
    <n v="28.000000000000004"/>
    <s v="OK"/>
  </r>
  <r>
    <n v="11611"/>
    <x v="2"/>
    <x v="1"/>
    <n v="4.6500000000000004"/>
    <n v="7"/>
    <x v="1"/>
    <n v="30"/>
    <n v="6.0450000000000008"/>
    <n v="30.000000000000004"/>
    <s v="OK"/>
  </r>
  <r>
    <n v="11612"/>
    <x v="3"/>
    <x v="1"/>
    <n v="7.17"/>
    <n v="7"/>
    <x v="1"/>
    <n v="30"/>
    <n v="9.3209999999999997"/>
    <n v="30.000000000000004"/>
    <s v="OK"/>
  </r>
  <r>
    <n v="11613"/>
    <x v="1"/>
    <x v="1"/>
    <n v="3.3"/>
    <n v="6"/>
    <x v="1"/>
    <n v="30"/>
    <n v="4.29"/>
    <n v="30.000000000000004"/>
    <s v="OK"/>
  </r>
  <r>
    <n v="11614"/>
    <x v="2"/>
    <x v="2"/>
    <n v="3.55"/>
    <n v="9"/>
    <x v="2"/>
    <n v="50"/>
    <n v="5.3249999999999993"/>
    <n v="49.999999999999979"/>
    <s v="OK"/>
  </r>
  <r>
    <n v="11615"/>
    <x v="3"/>
    <x v="0"/>
    <n v="0.83"/>
    <n v="2"/>
    <x v="0"/>
    <n v="12"/>
    <n v="0.92960000000000009"/>
    <n v="12.000000000000011"/>
    <s v="OK"/>
  </r>
  <r>
    <n v="11616"/>
    <x v="0"/>
    <x v="1"/>
    <n v="13.5"/>
    <n v="10"/>
    <x v="2"/>
    <n v="60"/>
    <n v="21.6"/>
    <n v="60.000000000000007"/>
    <s v="OK"/>
  </r>
  <r>
    <n v="11617"/>
    <x v="0"/>
    <x v="2"/>
    <n v="3.56"/>
    <n v="8"/>
    <x v="2"/>
    <n v="50"/>
    <n v="5.34"/>
    <n v="50"/>
    <s v="OK"/>
  </r>
  <r>
    <n v="11618"/>
    <x v="2"/>
    <x v="1"/>
    <n v="3.8"/>
    <n v="8"/>
    <x v="2"/>
    <n v="60"/>
    <n v="6.08"/>
    <n v="60.000000000000007"/>
    <s v="OK"/>
  </r>
  <r>
    <n v="11619"/>
    <x v="3"/>
    <x v="1"/>
    <n v="4.55"/>
    <n v="10"/>
    <x v="2"/>
    <n v="60"/>
    <n v="7.28"/>
    <n v="60.000000000000007"/>
    <s v="OK"/>
  </r>
  <r>
    <n v="11620"/>
    <x v="2"/>
    <x v="0"/>
    <n v="2.35"/>
    <n v="4"/>
    <x v="1"/>
    <n v="28"/>
    <n v="3.008"/>
    <n v="28.000000000000004"/>
    <s v="OK"/>
  </r>
  <r>
    <n v="11621"/>
    <x v="2"/>
    <x v="2"/>
    <n v="9.77"/>
    <n v="6"/>
    <x v="1"/>
    <n v="25"/>
    <n v="12.212499999999999"/>
    <n v="25"/>
    <s v="OK"/>
  </r>
  <r>
    <n v="11622"/>
    <x v="3"/>
    <x v="0"/>
    <n v="1.59"/>
    <n v="6"/>
    <x v="1"/>
    <n v="28"/>
    <n v="2.0352000000000001"/>
    <n v="28.000000000000004"/>
    <s v="OK"/>
  </r>
  <r>
    <n v="11623"/>
    <x v="3"/>
    <x v="0"/>
    <n v="2.4500000000000002"/>
    <n v="5"/>
    <x v="1"/>
    <n v="28"/>
    <n v="3.1360000000000001"/>
    <n v="28.000000000000004"/>
    <s v="OK"/>
  </r>
  <r>
    <n v="11624"/>
    <x v="1"/>
    <x v="1"/>
    <n v="9.85"/>
    <n v="1"/>
    <x v="0"/>
    <n v="15"/>
    <n v="11.327499999999999"/>
    <n v="14.999999999999991"/>
    <s v="OK"/>
  </r>
  <r>
    <n v="11625"/>
    <x v="3"/>
    <x v="0"/>
    <n v="5.43"/>
    <n v="3"/>
    <x v="0"/>
    <n v="12"/>
    <n v="6.0815999999999999"/>
    <n v="12.000000000000011"/>
    <s v="OK"/>
  </r>
  <r>
    <n v="11626"/>
    <x v="0"/>
    <x v="2"/>
    <n v="10.77"/>
    <n v="7"/>
    <x v="1"/>
    <n v="25"/>
    <n v="13.462499999999999"/>
    <n v="25"/>
    <s v="OK"/>
  </r>
  <r>
    <n v="11627"/>
    <x v="2"/>
    <x v="0"/>
    <n v="8.58"/>
    <n v="8"/>
    <x v="2"/>
    <n v="55"/>
    <n v="13.299000000000001"/>
    <n v="55.000000000000007"/>
    <s v="OK"/>
  </r>
  <r>
    <n v="11628"/>
    <x v="2"/>
    <x v="0"/>
    <n v="4.21"/>
    <n v="2"/>
    <x v="0"/>
    <n v="12"/>
    <n v="4.7152000000000003"/>
    <n v="12.000000000000011"/>
    <s v="OK"/>
  </r>
  <r>
    <n v="11629"/>
    <x v="0"/>
    <x v="0"/>
    <n v="9.94"/>
    <n v="3"/>
    <x v="0"/>
    <n v="12"/>
    <n v="11.132800000000001"/>
    <n v="12.000000000000011"/>
    <s v="OK"/>
  </r>
  <r>
    <n v="11630"/>
    <x v="3"/>
    <x v="1"/>
    <n v="2.19"/>
    <n v="4"/>
    <x v="1"/>
    <n v="30"/>
    <n v="2.847"/>
    <n v="30.000000000000004"/>
    <s v="OK"/>
  </r>
  <r>
    <n v="11631"/>
    <x v="0"/>
    <x v="2"/>
    <n v="8.2799999999999994"/>
    <n v="5"/>
    <x v="1"/>
    <n v="25"/>
    <n v="10.35"/>
    <n v="25"/>
    <s v="OK"/>
  </r>
  <r>
    <n v="11632"/>
    <x v="0"/>
    <x v="1"/>
    <n v="6.84"/>
    <n v="3"/>
    <x v="0"/>
    <n v="15"/>
    <n v="7.8659999999999997"/>
    <n v="14.999999999999991"/>
    <s v="OK"/>
  </r>
  <r>
    <n v="11633"/>
    <x v="1"/>
    <x v="1"/>
    <n v="4.38"/>
    <n v="5"/>
    <x v="1"/>
    <n v="30"/>
    <n v="5.694"/>
    <n v="30.000000000000004"/>
    <s v="OK"/>
  </r>
  <r>
    <n v="11634"/>
    <x v="0"/>
    <x v="1"/>
    <n v="9.26"/>
    <n v="8"/>
    <x v="2"/>
    <n v="60"/>
    <n v="14.816000000000001"/>
    <n v="60.000000000000007"/>
    <s v="OK"/>
  </r>
  <r>
    <n v="11635"/>
    <x v="2"/>
    <x v="1"/>
    <n v="13.13"/>
    <n v="8"/>
    <x v="2"/>
    <n v="60"/>
    <n v="21.008000000000003"/>
    <n v="60.000000000000007"/>
    <s v="OK"/>
  </r>
  <r>
    <n v="11636"/>
    <x v="0"/>
    <x v="1"/>
    <n v="14.98"/>
    <n v="2"/>
    <x v="0"/>
    <n v="15"/>
    <n v="17.227"/>
    <n v="14.999999999999991"/>
    <s v="OK"/>
  </r>
  <r>
    <n v="11637"/>
    <x v="2"/>
    <x v="2"/>
    <n v="9.31"/>
    <n v="6"/>
    <x v="1"/>
    <n v="25"/>
    <n v="11.637500000000001"/>
    <n v="25"/>
    <s v="OK"/>
  </r>
  <r>
    <n v="11638"/>
    <x v="2"/>
    <x v="0"/>
    <n v="6.37"/>
    <n v="4"/>
    <x v="1"/>
    <n v="28"/>
    <n v="8.1536000000000008"/>
    <n v="28.000000000000004"/>
    <s v="OK"/>
  </r>
  <r>
    <n v="11639"/>
    <x v="2"/>
    <x v="1"/>
    <n v="3.77"/>
    <n v="9"/>
    <x v="2"/>
    <n v="60"/>
    <n v="6.032"/>
    <n v="60.000000000000007"/>
    <s v="OK"/>
  </r>
  <r>
    <n v="11640"/>
    <x v="3"/>
    <x v="1"/>
    <n v="4.2300000000000004"/>
    <n v="10"/>
    <x v="2"/>
    <n v="60"/>
    <n v="6.7680000000000007"/>
    <n v="60.000000000000007"/>
    <s v="OK"/>
  </r>
  <r>
    <n v="11641"/>
    <x v="1"/>
    <x v="2"/>
    <n v="7.45"/>
    <n v="2"/>
    <x v="0"/>
    <n v="10"/>
    <n v="8.1950000000000003"/>
    <n v="10.000000000000009"/>
    <s v="OK"/>
  </r>
  <r>
    <n v="11642"/>
    <x v="2"/>
    <x v="2"/>
    <n v="5.83"/>
    <n v="8"/>
    <x v="2"/>
    <n v="50"/>
    <n v="8.745000000000001"/>
    <n v="50.000000000000021"/>
    <s v="OK"/>
  </r>
  <r>
    <n v="11643"/>
    <x v="2"/>
    <x v="0"/>
    <n v="13.75"/>
    <n v="1"/>
    <x v="0"/>
    <n v="12"/>
    <n v="15.400000000000002"/>
    <n v="12.000000000000011"/>
    <s v="OK"/>
  </r>
  <r>
    <n v="11644"/>
    <x v="3"/>
    <x v="2"/>
    <n v="5.84"/>
    <n v="6"/>
    <x v="1"/>
    <n v="25"/>
    <n v="7.3"/>
    <n v="25"/>
    <s v="OK"/>
  </r>
  <r>
    <n v="11645"/>
    <x v="2"/>
    <x v="0"/>
    <n v="5.91"/>
    <n v="10"/>
    <x v="2"/>
    <n v="55"/>
    <n v="9.1605000000000008"/>
    <n v="55.000000000000007"/>
    <s v="OK"/>
  </r>
  <r>
    <n v="11646"/>
    <x v="0"/>
    <x v="1"/>
    <n v="6.06"/>
    <n v="1"/>
    <x v="0"/>
    <n v="15"/>
    <n v="6.9689999999999994"/>
    <n v="14.999999999999991"/>
    <s v="OK"/>
  </r>
  <r>
    <n v="11647"/>
    <x v="0"/>
    <x v="1"/>
    <n v="12.63"/>
    <n v="2"/>
    <x v="0"/>
    <n v="15"/>
    <n v="14.5245"/>
    <n v="14.999999999999991"/>
    <s v="OK"/>
  </r>
  <r>
    <n v="11648"/>
    <x v="1"/>
    <x v="0"/>
    <n v="9.94"/>
    <n v="3"/>
    <x v="0"/>
    <n v="12"/>
    <n v="11.132800000000001"/>
    <n v="12.000000000000011"/>
    <s v="OK"/>
  </r>
  <r>
    <n v="11649"/>
    <x v="2"/>
    <x v="2"/>
    <n v="9.41"/>
    <n v="9"/>
    <x v="2"/>
    <n v="50"/>
    <n v="14.115"/>
    <n v="50"/>
    <s v="OK"/>
  </r>
  <r>
    <n v="11650"/>
    <x v="3"/>
    <x v="0"/>
    <n v="5.35"/>
    <n v="5"/>
    <x v="1"/>
    <n v="28"/>
    <n v="6.8479999999999999"/>
    <n v="28.000000000000004"/>
    <s v="OK"/>
  </r>
  <r>
    <n v="11651"/>
    <x v="0"/>
    <x v="2"/>
    <n v="12.36"/>
    <n v="10"/>
    <x v="2"/>
    <n v="50"/>
    <n v="18.54"/>
    <n v="50"/>
    <s v="OK"/>
  </r>
  <r>
    <n v="11652"/>
    <x v="3"/>
    <x v="1"/>
    <n v="1.06"/>
    <n v="10"/>
    <x v="2"/>
    <n v="60"/>
    <n v="1.6960000000000002"/>
    <n v="60.000000000000007"/>
    <s v="OK"/>
  </r>
  <r>
    <n v="11653"/>
    <x v="3"/>
    <x v="2"/>
    <n v="13.13"/>
    <n v="2"/>
    <x v="0"/>
    <n v="10"/>
    <n v="14.443000000000001"/>
    <n v="10.000000000000009"/>
    <s v="OK"/>
  </r>
  <r>
    <n v="11654"/>
    <x v="0"/>
    <x v="0"/>
    <n v="7.93"/>
    <n v="10"/>
    <x v="2"/>
    <n v="55"/>
    <n v="12.291499999999999"/>
    <n v="55.000000000000007"/>
    <s v="OK"/>
  </r>
  <r>
    <n v="11655"/>
    <x v="3"/>
    <x v="0"/>
    <n v="6.27"/>
    <n v="5"/>
    <x v="1"/>
    <n v="28"/>
    <n v="8.025599999999999"/>
    <n v="28.000000000000004"/>
    <s v="OK"/>
  </r>
  <r>
    <n v="11656"/>
    <x v="0"/>
    <x v="1"/>
    <n v="7.71"/>
    <n v="5"/>
    <x v="1"/>
    <n v="30"/>
    <n v="10.023"/>
    <n v="30.000000000000004"/>
    <s v="OK"/>
  </r>
  <r>
    <n v="11657"/>
    <x v="3"/>
    <x v="2"/>
    <n v="10.18"/>
    <n v="1"/>
    <x v="0"/>
    <n v="10"/>
    <n v="11.198"/>
    <n v="10.000000000000009"/>
    <s v="OK"/>
  </r>
  <r>
    <n v="11658"/>
    <x v="0"/>
    <x v="2"/>
    <n v="0.69"/>
    <n v="3"/>
    <x v="0"/>
    <n v="10"/>
    <n v="0.75900000000000001"/>
    <n v="10.000000000000009"/>
    <s v="OK"/>
  </r>
  <r>
    <n v="11659"/>
    <x v="2"/>
    <x v="2"/>
    <n v="13.14"/>
    <n v="5"/>
    <x v="1"/>
    <n v="25"/>
    <n v="16.425000000000001"/>
    <n v="25"/>
    <s v="OK"/>
  </r>
  <r>
    <n v="11660"/>
    <x v="1"/>
    <x v="1"/>
    <n v="6.98"/>
    <n v="9"/>
    <x v="2"/>
    <n v="60"/>
    <n v="11.168000000000001"/>
    <n v="60.000000000000007"/>
    <s v="OK"/>
  </r>
  <r>
    <n v="11661"/>
    <x v="0"/>
    <x v="2"/>
    <n v="5.47"/>
    <n v="10"/>
    <x v="2"/>
    <n v="50"/>
    <n v="8.2050000000000001"/>
    <n v="50"/>
    <s v="OK"/>
  </r>
  <r>
    <n v="11662"/>
    <x v="0"/>
    <x v="0"/>
    <n v="2.5"/>
    <n v="1"/>
    <x v="0"/>
    <n v="12"/>
    <n v="2.8000000000000003"/>
    <n v="12.000000000000011"/>
    <s v="OK"/>
  </r>
  <r>
    <n v="11663"/>
    <x v="1"/>
    <x v="2"/>
    <n v="6.87"/>
    <n v="8"/>
    <x v="2"/>
    <n v="50"/>
    <n v="10.305"/>
    <n v="50"/>
    <s v="OK"/>
  </r>
  <r>
    <n v="11664"/>
    <x v="0"/>
    <x v="1"/>
    <n v="7.7"/>
    <n v="1"/>
    <x v="0"/>
    <n v="15"/>
    <n v="8.8549999999999986"/>
    <n v="14.999999999999968"/>
    <s v="OK"/>
  </r>
  <r>
    <n v="11665"/>
    <x v="0"/>
    <x v="2"/>
    <n v="6.35"/>
    <n v="9"/>
    <x v="2"/>
    <n v="50"/>
    <n v="9.5249999999999986"/>
    <n v="49.999999999999979"/>
    <s v="OK"/>
  </r>
  <r>
    <n v="11666"/>
    <x v="3"/>
    <x v="2"/>
    <n v="10.34"/>
    <n v="6"/>
    <x v="1"/>
    <n v="25"/>
    <n v="12.925000000000001"/>
    <n v="25"/>
    <s v="OK"/>
  </r>
  <r>
    <n v="11667"/>
    <x v="1"/>
    <x v="0"/>
    <n v="6.6"/>
    <n v="1"/>
    <x v="0"/>
    <n v="12"/>
    <n v="7.3920000000000003"/>
    <n v="12.000000000000011"/>
    <s v="OK"/>
  </r>
  <r>
    <n v="11668"/>
    <x v="2"/>
    <x v="2"/>
    <n v="14.44"/>
    <n v="8"/>
    <x v="2"/>
    <n v="50"/>
    <n v="21.66"/>
    <n v="50"/>
    <s v="OK"/>
  </r>
  <r>
    <n v="11669"/>
    <x v="0"/>
    <x v="0"/>
    <n v="9.19"/>
    <n v="5"/>
    <x v="1"/>
    <n v="28"/>
    <n v="11.763199999999999"/>
    <n v="28.000000000000004"/>
    <s v="OK"/>
  </r>
  <r>
    <n v="11670"/>
    <x v="1"/>
    <x v="0"/>
    <n v="12.21"/>
    <n v="7"/>
    <x v="1"/>
    <n v="28"/>
    <n v="15.628800000000002"/>
    <n v="28.000000000000004"/>
    <s v="OK"/>
  </r>
  <r>
    <n v="11671"/>
    <x v="3"/>
    <x v="1"/>
    <n v="2.09"/>
    <n v="7"/>
    <x v="1"/>
    <n v="30"/>
    <n v="2.7170000000000001"/>
    <n v="30.000000000000004"/>
    <s v="OK"/>
  </r>
  <r>
    <n v="11672"/>
    <x v="2"/>
    <x v="0"/>
    <n v="6.26"/>
    <n v="7"/>
    <x v="1"/>
    <n v="28"/>
    <n v="8.0128000000000004"/>
    <n v="28.000000000000004"/>
    <s v="OK"/>
  </r>
  <r>
    <n v="11673"/>
    <x v="1"/>
    <x v="0"/>
    <n v="5.38"/>
    <n v="6"/>
    <x v="1"/>
    <n v="28"/>
    <n v="6.8864000000000001"/>
    <n v="28.000000000000004"/>
    <s v="OK"/>
  </r>
  <r>
    <n v="11674"/>
    <x v="2"/>
    <x v="1"/>
    <n v="8.76"/>
    <n v="8"/>
    <x v="2"/>
    <n v="60"/>
    <n v="14.016"/>
    <n v="60.000000000000007"/>
    <s v="OK"/>
  </r>
  <r>
    <n v="11675"/>
    <x v="2"/>
    <x v="0"/>
    <n v="12.99"/>
    <n v="9"/>
    <x v="2"/>
    <n v="55"/>
    <n v="20.134499999999999"/>
    <n v="54.999999999999986"/>
    <s v="OK"/>
  </r>
  <r>
    <n v="11676"/>
    <x v="2"/>
    <x v="1"/>
    <n v="1.64"/>
    <n v="2"/>
    <x v="0"/>
    <n v="15"/>
    <n v="1.8859999999999997"/>
    <n v="14.999999999999991"/>
    <s v="OK"/>
  </r>
  <r>
    <n v="11677"/>
    <x v="0"/>
    <x v="2"/>
    <n v="1.55"/>
    <n v="7"/>
    <x v="1"/>
    <n v="25"/>
    <n v="1.9375"/>
    <n v="25"/>
    <s v="OK"/>
  </r>
  <r>
    <n v="11678"/>
    <x v="0"/>
    <x v="1"/>
    <n v="12.83"/>
    <n v="2"/>
    <x v="0"/>
    <n v="15"/>
    <n v="14.754499999999998"/>
    <n v="14.999999999999991"/>
    <s v="OK"/>
  </r>
  <r>
    <n v="11679"/>
    <x v="3"/>
    <x v="0"/>
    <n v="3.59"/>
    <n v="6"/>
    <x v="1"/>
    <n v="28"/>
    <n v="4.5952000000000002"/>
    <n v="28.000000000000004"/>
    <s v="OK"/>
  </r>
  <r>
    <n v="11680"/>
    <x v="3"/>
    <x v="1"/>
    <n v="10.199999999999999"/>
    <n v="2"/>
    <x v="0"/>
    <n v="15"/>
    <n v="11.729999999999999"/>
    <n v="14.999999999999991"/>
    <s v="OK"/>
  </r>
  <r>
    <n v="11681"/>
    <x v="1"/>
    <x v="0"/>
    <n v="8.3699999999999992"/>
    <n v="10"/>
    <x v="2"/>
    <n v="55"/>
    <n v="12.9735"/>
    <n v="55.000000000000007"/>
    <s v="OK"/>
  </r>
  <r>
    <n v="11682"/>
    <x v="3"/>
    <x v="2"/>
    <n v="12.58"/>
    <n v="6"/>
    <x v="1"/>
    <n v="25"/>
    <n v="15.725"/>
    <n v="25"/>
    <s v="OK"/>
  </r>
  <r>
    <n v="11683"/>
    <x v="2"/>
    <x v="1"/>
    <n v="2.31"/>
    <n v="2"/>
    <x v="0"/>
    <n v="15"/>
    <n v="2.6564999999999999"/>
    <n v="14.999999999999991"/>
    <s v="OK"/>
  </r>
  <r>
    <n v="11684"/>
    <x v="2"/>
    <x v="2"/>
    <n v="2.38"/>
    <n v="1"/>
    <x v="0"/>
    <n v="10"/>
    <n v="2.6179999999999999"/>
    <n v="10.000000000000009"/>
    <s v="OK"/>
  </r>
  <r>
    <n v="11685"/>
    <x v="0"/>
    <x v="0"/>
    <n v="8.57"/>
    <n v="7"/>
    <x v="1"/>
    <n v="28"/>
    <n v="10.9696"/>
    <n v="28.000000000000004"/>
    <s v="OK"/>
  </r>
  <r>
    <n v="11686"/>
    <x v="2"/>
    <x v="0"/>
    <n v="14.22"/>
    <n v="3"/>
    <x v="0"/>
    <n v="12"/>
    <n v="15.926400000000003"/>
    <n v="12.000000000000011"/>
    <s v="OK"/>
  </r>
  <r>
    <n v="11687"/>
    <x v="1"/>
    <x v="2"/>
    <n v="6.52"/>
    <n v="4"/>
    <x v="1"/>
    <n v="25"/>
    <n v="8.1499999999999986"/>
    <n v="24.999999999999979"/>
    <s v="OK"/>
  </r>
  <r>
    <n v="11688"/>
    <x v="2"/>
    <x v="1"/>
    <n v="5.24"/>
    <n v="6"/>
    <x v="1"/>
    <n v="30"/>
    <n v="6.8120000000000003"/>
    <n v="30.000000000000004"/>
    <s v="OK"/>
  </r>
  <r>
    <n v="11689"/>
    <x v="2"/>
    <x v="1"/>
    <n v="9.3000000000000007"/>
    <n v="5"/>
    <x v="1"/>
    <n v="30"/>
    <n v="12.090000000000002"/>
    <n v="30.000000000000004"/>
    <s v="OK"/>
  </r>
  <r>
    <n v="11690"/>
    <x v="1"/>
    <x v="0"/>
    <n v="13.99"/>
    <n v="4"/>
    <x v="1"/>
    <n v="28"/>
    <n v="17.9072"/>
    <n v="28.000000000000004"/>
    <s v="OK"/>
  </r>
  <r>
    <n v="11691"/>
    <x v="3"/>
    <x v="2"/>
    <n v="12.64"/>
    <n v="9"/>
    <x v="2"/>
    <n v="50"/>
    <n v="18.96"/>
    <n v="50"/>
    <s v="OK"/>
  </r>
  <r>
    <n v="11692"/>
    <x v="3"/>
    <x v="2"/>
    <n v="14.93"/>
    <n v="6"/>
    <x v="1"/>
    <n v="25"/>
    <n v="18.662500000000001"/>
    <n v="25.000000000000021"/>
    <s v="OK"/>
  </r>
  <r>
    <n v="11693"/>
    <x v="1"/>
    <x v="1"/>
    <n v="0.83"/>
    <n v="6"/>
    <x v="1"/>
    <n v="30"/>
    <n v="1.079"/>
    <n v="30.000000000000004"/>
    <s v="OK"/>
  </r>
  <r>
    <n v="11694"/>
    <x v="0"/>
    <x v="1"/>
    <n v="2.14"/>
    <n v="2"/>
    <x v="0"/>
    <n v="15"/>
    <n v="2.4609999999999999"/>
    <n v="14.999999999999991"/>
    <s v="OK"/>
  </r>
  <r>
    <n v="11695"/>
    <x v="2"/>
    <x v="1"/>
    <n v="9.34"/>
    <n v="6"/>
    <x v="1"/>
    <n v="30"/>
    <n v="12.141999999999999"/>
    <n v="30.000000000000004"/>
    <s v="OK"/>
  </r>
  <r>
    <n v="11696"/>
    <x v="1"/>
    <x v="2"/>
    <n v="12.4"/>
    <n v="7"/>
    <x v="1"/>
    <n v="25"/>
    <n v="15.5"/>
    <n v="25"/>
    <s v="OK"/>
  </r>
  <r>
    <n v="11697"/>
    <x v="2"/>
    <x v="1"/>
    <n v="4.6399999999999997"/>
    <n v="8"/>
    <x v="2"/>
    <n v="60"/>
    <n v="7.4239999999999995"/>
    <n v="60.000000000000007"/>
    <s v="OK"/>
  </r>
  <r>
    <n v="11698"/>
    <x v="0"/>
    <x v="1"/>
    <n v="3.97"/>
    <n v="8"/>
    <x v="2"/>
    <n v="60"/>
    <n v="6.3520000000000003"/>
    <n v="60.000000000000007"/>
    <s v="OK"/>
  </r>
  <r>
    <n v="11699"/>
    <x v="2"/>
    <x v="0"/>
    <n v="11.91"/>
    <n v="9"/>
    <x v="2"/>
    <n v="55"/>
    <n v="18.4605"/>
    <n v="55.000000000000007"/>
    <s v="OK"/>
  </r>
  <r>
    <n v="11700"/>
    <x v="1"/>
    <x v="1"/>
    <n v="1.32"/>
    <n v="10"/>
    <x v="2"/>
    <n v="60"/>
    <n v="2.1120000000000001"/>
    <n v="60.000000000000007"/>
    <s v="OK"/>
  </r>
  <r>
    <n v="11701"/>
    <x v="2"/>
    <x v="1"/>
    <n v="5.86"/>
    <n v="3"/>
    <x v="0"/>
    <n v="15"/>
    <n v="6.7389999999999999"/>
    <n v="14.999999999999991"/>
    <s v="OK"/>
  </r>
  <r>
    <n v="11702"/>
    <x v="3"/>
    <x v="2"/>
    <n v="7.83"/>
    <n v="10"/>
    <x v="2"/>
    <n v="50"/>
    <n v="11.745000000000001"/>
    <n v="50.000000000000021"/>
    <s v="OK"/>
  </r>
  <r>
    <n v="11703"/>
    <x v="0"/>
    <x v="2"/>
    <n v="8.6300000000000008"/>
    <n v="7"/>
    <x v="1"/>
    <n v="25"/>
    <n v="10.787500000000001"/>
    <n v="25"/>
    <s v="OK"/>
  </r>
  <r>
    <n v="11704"/>
    <x v="0"/>
    <x v="0"/>
    <n v="11.06"/>
    <n v="7"/>
    <x v="1"/>
    <n v="28"/>
    <n v="14.1568"/>
    <n v="28.000000000000004"/>
    <s v="OK"/>
  </r>
  <r>
    <n v="11705"/>
    <x v="0"/>
    <x v="1"/>
    <n v="5.65"/>
    <n v="1"/>
    <x v="0"/>
    <n v="15"/>
    <n v="6.4974999999999996"/>
    <n v="14.999999999999991"/>
    <s v="OK"/>
  </r>
  <r>
    <n v="11706"/>
    <x v="1"/>
    <x v="0"/>
    <n v="9.3800000000000008"/>
    <n v="8"/>
    <x v="2"/>
    <n v="55"/>
    <n v="14.539000000000001"/>
    <n v="55.000000000000007"/>
    <s v="OK"/>
  </r>
  <r>
    <n v="11707"/>
    <x v="0"/>
    <x v="2"/>
    <n v="8.99"/>
    <n v="4"/>
    <x v="1"/>
    <n v="25"/>
    <n v="11.237500000000001"/>
    <n v="25"/>
    <s v="OK"/>
  </r>
  <r>
    <n v="11708"/>
    <x v="3"/>
    <x v="0"/>
    <n v="8.44"/>
    <n v="5"/>
    <x v="1"/>
    <n v="28"/>
    <n v="10.8032"/>
    <n v="28.000000000000004"/>
    <s v="OK"/>
  </r>
  <r>
    <n v="11709"/>
    <x v="1"/>
    <x v="2"/>
    <n v="9.7899999999999991"/>
    <n v="6"/>
    <x v="1"/>
    <n v="25"/>
    <n v="12.237499999999999"/>
    <n v="25"/>
    <s v="OK"/>
  </r>
  <r>
    <n v="11710"/>
    <x v="3"/>
    <x v="0"/>
    <n v="4.26"/>
    <n v="3"/>
    <x v="0"/>
    <n v="12"/>
    <n v="4.7712000000000003"/>
    <n v="12.000000000000011"/>
    <s v="OK"/>
  </r>
  <r>
    <n v="11711"/>
    <x v="2"/>
    <x v="0"/>
    <n v="1.73"/>
    <n v="5"/>
    <x v="1"/>
    <n v="28"/>
    <n v="2.2143999999999999"/>
    <n v="28.000000000000004"/>
    <s v="OK"/>
  </r>
  <r>
    <n v="11712"/>
    <x v="2"/>
    <x v="1"/>
    <n v="2.23"/>
    <n v="10"/>
    <x v="2"/>
    <n v="60"/>
    <n v="3.5680000000000001"/>
    <n v="60.000000000000007"/>
    <s v="OK"/>
  </r>
  <r>
    <n v="11713"/>
    <x v="2"/>
    <x v="0"/>
    <n v="3.76"/>
    <n v="5"/>
    <x v="1"/>
    <n v="28"/>
    <n v="4.8128000000000002"/>
    <n v="28.000000000000004"/>
    <s v="OK"/>
  </r>
  <r>
    <n v="11714"/>
    <x v="2"/>
    <x v="1"/>
    <n v="7.75"/>
    <n v="1"/>
    <x v="0"/>
    <n v="15"/>
    <n v="8.9124999999999996"/>
    <n v="14.999999999999991"/>
    <s v="OK"/>
  </r>
  <r>
    <n v="11715"/>
    <x v="3"/>
    <x v="1"/>
    <n v="12.69"/>
    <n v="3"/>
    <x v="0"/>
    <n v="15"/>
    <n v="14.593499999999999"/>
    <n v="14.999999999999991"/>
    <s v="OK"/>
  </r>
  <r>
    <n v="11716"/>
    <x v="1"/>
    <x v="1"/>
    <n v="10.67"/>
    <n v="3"/>
    <x v="0"/>
    <n v="15"/>
    <n v="12.270499999999998"/>
    <n v="14.999999999999991"/>
    <s v="OK"/>
  </r>
  <r>
    <n v="11717"/>
    <x v="1"/>
    <x v="1"/>
    <n v="11.94"/>
    <n v="1"/>
    <x v="0"/>
    <n v="15"/>
    <n v="13.730999999999998"/>
    <n v="14.999999999999991"/>
    <s v="OK"/>
  </r>
  <r>
    <n v="11718"/>
    <x v="0"/>
    <x v="0"/>
    <n v="5.59"/>
    <n v="7"/>
    <x v="1"/>
    <n v="28"/>
    <n v="7.1551999999999998"/>
    <n v="28.000000000000004"/>
    <s v="OK"/>
  </r>
  <r>
    <n v="11719"/>
    <x v="3"/>
    <x v="2"/>
    <n v="6.37"/>
    <n v="1"/>
    <x v="0"/>
    <n v="10"/>
    <n v="7.0070000000000006"/>
    <n v="10.000000000000009"/>
    <s v="OK"/>
  </r>
  <r>
    <n v="11720"/>
    <x v="2"/>
    <x v="2"/>
    <n v="6.21"/>
    <n v="7"/>
    <x v="1"/>
    <n v="25"/>
    <n v="7.7625000000000002"/>
    <n v="25"/>
    <s v="OK"/>
  </r>
  <r>
    <n v="11721"/>
    <x v="3"/>
    <x v="2"/>
    <n v="3.28"/>
    <n v="4"/>
    <x v="1"/>
    <n v="25"/>
    <n v="4.0999999999999996"/>
    <n v="25"/>
    <s v="OK"/>
  </r>
  <r>
    <n v="11722"/>
    <x v="0"/>
    <x v="0"/>
    <n v="1.39"/>
    <n v="9"/>
    <x v="2"/>
    <n v="55"/>
    <n v="2.1545000000000001"/>
    <n v="55.000000000000028"/>
    <s v="OK"/>
  </r>
  <r>
    <n v="11723"/>
    <x v="0"/>
    <x v="1"/>
    <n v="9.07"/>
    <n v="7"/>
    <x v="1"/>
    <n v="30"/>
    <n v="11.791"/>
    <n v="30.000000000000004"/>
    <s v="OK"/>
  </r>
  <r>
    <n v="11724"/>
    <x v="3"/>
    <x v="2"/>
    <n v="14.84"/>
    <n v="5"/>
    <x v="1"/>
    <n v="25"/>
    <n v="18.55"/>
    <n v="25"/>
    <s v="OK"/>
  </r>
  <r>
    <n v="11725"/>
    <x v="3"/>
    <x v="0"/>
    <n v="2.92"/>
    <n v="7"/>
    <x v="1"/>
    <n v="28"/>
    <n v="3.7376"/>
    <n v="28.000000000000004"/>
    <s v="OK"/>
  </r>
  <r>
    <n v="11726"/>
    <x v="3"/>
    <x v="1"/>
    <n v="1.18"/>
    <n v="9"/>
    <x v="2"/>
    <n v="60"/>
    <n v="1.8879999999999999"/>
    <n v="60.000000000000007"/>
    <s v="OK"/>
  </r>
  <r>
    <n v="11727"/>
    <x v="1"/>
    <x v="2"/>
    <n v="11.8"/>
    <n v="10"/>
    <x v="2"/>
    <n v="50"/>
    <n v="17.700000000000003"/>
    <n v="50.000000000000021"/>
    <s v="OK"/>
  </r>
  <r>
    <n v="11728"/>
    <x v="2"/>
    <x v="1"/>
    <n v="4.16"/>
    <n v="6"/>
    <x v="1"/>
    <n v="30"/>
    <n v="5.4080000000000004"/>
    <n v="30.000000000000004"/>
    <s v="OK"/>
  </r>
  <r>
    <n v="11729"/>
    <x v="3"/>
    <x v="2"/>
    <n v="12.53"/>
    <n v="1"/>
    <x v="0"/>
    <n v="10"/>
    <n v="13.783000000000001"/>
    <n v="10.000000000000009"/>
    <s v="OK"/>
  </r>
  <r>
    <n v="11730"/>
    <x v="3"/>
    <x v="2"/>
    <n v="10.71"/>
    <n v="6"/>
    <x v="1"/>
    <n v="25"/>
    <n v="13.387500000000001"/>
    <n v="25"/>
    <s v="OK"/>
  </r>
  <r>
    <n v="11731"/>
    <x v="3"/>
    <x v="2"/>
    <n v="14.21"/>
    <n v="1"/>
    <x v="0"/>
    <n v="10"/>
    <n v="15.631000000000002"/>
    <n v="10.000000000000009"/>
    <s v="OK"/>
  </r>
  <r>
    <n v="11732"/>
    <x v="0"/>
    <x v="1"/>
    <n v="6.43"/>
    <n v="4"/>
    <x v="1"/>
    <n v="30"/>
    <n v="8.359"/>
    <n v="30.000000000000004"/>
    <s v="OK"/>
  </r>
  <r>
    <n v="11733"/>
    <x v="0"/>
    <x v="0"/>
    <n v="10.1"/>
    <n v="8"/>
    <x v="2"/>
    <n v="55"/>
    <n v="15.654999999999999"/>
    <n v="55.000000000000007"/>
    <s v="OK"/>
  </r>
  <r>
    <n v="11734"/>
    <x v="1"/>
    <x v="1"/>
    <n v="7.24"/>
    <n v="5"/>
    <x v="1"/>
    <n v="30"/>
    <n v="9.4120000000000008"/>
    <n v="30.000000000000004"/>
    <s v="OK"/>
  </r>
  <r>
    <n v="11735"/>
    <x v="2"/>
    <x v="2"/>
    <n v="9.64"/>
    <n v="5"/>
    <x v="1"/>
    <n v="25"/>
    <n v="12.05"/>
    <n v="25"/>
    <s v="OK"/>
  </r>
  <r>
    <n v="11736"/>
    <x v="1"/>
    <x v="1"/>
    <n v="7.02"/>
    <n v="10"/>
    <x v="2"/>
    <n v="60"/>
    <n v="11.231999999999999"/>
    <n v="60.000000000000007"/>
    <s v="OK"/>
  </r>
  <r>
    <n v="11737"/>
    <x v="2"/>
    <x v="0"/>
    <n v="3.24"/>
    <n v="8"/>
    <x v="2"/>
    <n v="55"/>
    <n v="5.0220000000000002"/>
    <n v="55.000000000000007"/>
    <s v="OK"/>
  </r>
  <r>
    <n v="11738"/>
    <x v="0"/>
    <x v="1"/>
    <n v="7.86"/>
    <n v="8"/>
    <x v="2"/>
    <n v="60"/>
    <n v="12.576000000000001"/>
    <n v="60.000000000000007"/>
    <s v="OK"/>
  </r>
  <r>
    <n v="11739"/>
    <x v="0"/>
    <x v="0"/>
    <n v="8.16"/>
    <n v="1"/>
    <x v="0"/>
    <n v="12"/>
    <n v="9.1392000000000007"/>
    <n v="12.000000000000011"/>
    <s v="OK"/>
  </r>
  <r>
    <n v="11740"/>
    <x v="0"/>
    <x v="0"/>
    <n v="12.25"/>
    <n v="5"/>
    <x v="1"/>
    <n v="28"/>
    <n v="15.68"/>
    <n v="28.000000000000004"/>
    <s v="OK"/>
  </r>
  <r>
    <n v="11741"/>
    <x v="1"/>
    <x v="1"/>
    <n v="11.17"/>
    <n v="5"/>
    <x v="1"/>
    <n v="30"/>
    <n v="14.521000000000001"/>
    <n v="30.000000000000004"/>
    <s v="OK"/>
  </r>
  <r>
    <n v="11742"/>
    <x v="3"/>
    <x v="2"/>
    <n v="10.119999999999999"/>
    <n v="8"/>
    <x v="2"/>
    <n v="50"/>
    <n v="15.18"/>
    <n v="50"/>
    <s v="OK"/>
  </r>
  <r>
    <n v="11743"/>
    <x v="3"/>
    <x v="0"/>
    <n v="2.14"/>
    <n v="1"/>
    <x v="0"/>
    <n v="12"/>
    <n v="2.3968000000000003"/>
    <n v="12.000000000000011"/>
    <s v="OK"/>
  </r>
  <r>
    <n v="11744"/>
    <x v="0"/>
    <x v="1"/>
    <n v="10.95"/>
    <n v="7"/>
    <x v="1"/>
    <n v="30"/>
    <n v="14.234999999999999"/>
    <n v="30.000000000000004"/>
    <s v="OK"/>
  </r>
  <r>
    <n v="11745"/>
    <x v="3"/>
    <x v="0"/>
    <n v="7.75"/>
    <n v="7"/>
    <x v="1"/>
    <n v="28"/>
    <n v="9.92"/>
    <n v="28.000000000000004"/>
    <s v="OK"/>
  </r>
  <r>
    <n v="11746"/>
    <x v="3"/>
    <x v="2"/>
    <n v="13.46"/>
    <n v="9"/>
    <x v="2"/>
    <n v="50"/>
    <n v="20.190000000000001"/>
    <n v="50"/>
    <s v="OK"/>
  </r>
  <r>
    <n v="11747"/>
    <x v="1"/>
    <x v="1"/>
    <n v="13.84"/>
    <n v="2"/>
    <x v="0"/>
    <n v="15"/>
    <n v="15.915999999999999"/>
    <n v="14.999999999999991"/>
    <s v="OK"/>
  </r>
  <r>
    <n v="11748"/>
    <x v="2"/>
    <x v="1"/>
    <n v="1.3"/>
    <n v="3"/>
    <x v="0"/>
    <n v="15"/>
    <n v="1.4949999999999999"/>
    <n v="14.999999999999991"/>
    <s v="OK"/>
  </r>
  <r>
    <n v="11749"/>
    <x v="0"/>
    <x v="1"/>
    <n v="12.4"/>
    <n v="4"/>
    <x v="1"/>
    <n v="30"/>
    <n v="16.12"/>
    <n v="30.000000000000004"/>
    <s v="OK"/>
  </r>
  <r>
    <n v="11750"/>
    <x v="0"/>
    <x v="2"/>
    <n v="1.05"/>
    <n v="1"/>
    <x v="0"/>
    <n v="10"/>
    <n v="1.1550000000000002"/>
    <n v="10.000000000000009"/>
    <s v="OK"/>
  </r>
  <r>
    <n v="11751"/>
    <x v="1"/>
    <x v="0"/>
    <n v="5.82"/>
    <n v="7"/>
    <x v="1"/>
    <n v="28"/>
    <n v="7.4496000000000002"/>
    <n v="28.000000000000004"/>
    <s v="OK"/>
  </r>
  <r>
    <n v="11752"/>
    <x v="1"/>
    <x v="1"/>
    <n v="8.36"/>
    <n v="10"/>
    <x v="2"/>
    <n v="60"/>
    <n v="13.375999999999999"/>
    <n v="60.000000000000007"/>
    <s v="OK"/>
  </r>
  <r>
    <n v="11753"/>
    <x v="3"/>
    <x v="0"/>
    <n v="2.65"/>
    <n v="3"/>
    <x v="0"/>
    <n v="12"/>
    <n v="2.968"/>
    <n v="12.000000000000011"/>
    <s v="OK"/>
  </r>
  <r>
    <n v="11754"/>
    <x v="0"/>
    <x v="0"/>
    <n v="11.32"/>
    <n v="3"/>
    <x v="0"/>
    <n v="12"/>
    <n v="12.678400000000002"/>
    <n v="12.000000000000011"/>
    <s v="OK"/>
  </r>
  <r>
    <n v="11755"/>
    <x v="2"/>
    <x v="2"/>
    <n v="0.62"/>
    <n v="3"/>
    <x v="0"/>
    <n v="10"/>
    <n v="0.68200000000000005"/>
    <n v="10.000000000000009"/>
    <s v="OK"/>
  </r>
  <r>
    <n v="11756"/>
    <x v="1"/>
    <x v="1"/>
    <n v="2.94"/>
    <n v="8"/>
    <x v="2"/>
    <n v="60"/>
    <n v="4.7039999999999997"/>
    <n v="59.999999999999986"/>
    <s v="OK"/>
  </r>
  <r>
    <n v="11757"/>
    <x v="2"/>
    <x v="0"/>
    <n v="8.92"/>
    <n v="9"/>
    <x v="2"/>
    <n v="55"/>
    <n v="13.826000000000001"/>
    <n v="55.000000000000007"/>
    <s v="OK"/>
  </r>
  <r>
    <n v="11758"/>
    <x v="2"/>
    <x v="1"/>
    <n v="10.86"/>
    <n v="10"/>
    <x v="2"/>
    <n v="60"/>
    <n v="17.376000000000001"/>
    <n v="60.000000000000007"/>
    <s v="OK"/>
  </r>
  <r>
    <n v="11759"/>
    <x v="0"/>
    <x v="1"/>
    <n v="13.79"/>
    <n v="2"/>
    <x v="0"/>
    <n v="15"/>
    <n v="15.858499999999998"/>
    <n v="14.999999999999991"/>
    <s v="OK"/>
  </r>
  <r>
    <n v="11760"/>
    <x v="0"/>
    <x v="2"/>
    <n v="10.73"/>
    <n v="10"/>
    <x v="2"/>
    <n v="50"/>
    <n v="16.094999999999999"/>
    <n v="49.999999999999979"/>
    <s v="OK"/>
  </r>
  <r>
    <n v="11761"/>
    <x v="1"/>
    <x v="1"/>
    <n v="10.24"/>
    <n v="10"/>
    <x v="2"/>
    <n v="60"/>
    <n v="16.384"/>
    <n v="60.000000000000007"/>
    <s v="OK"/>
  </r>
  <r>
    <n v="11762"/>
    <x v="0"/>
    <x v="1"/>
    <n v="6.22"/>
    <n v="1"/>
    <x v="0"/>
    <n v="15"/>
    <n v="7.1529999999999996"/>
    <n v="14.999999999999991"/>
    <s v="OK"/>
  </r>
  <r>
    <n v="11763"/>
    <x v="0"/>
    <x v="0"/>
    <n v="0.52"/>
    <n v="9"/>
    <x v="2"/>
    <n v="55"/>
    <n v="0.80600000000000005"/>
    <n v="55.000000000000007"/>
    <s v="OK"/>
  </r>
  <r>
    <n v="11764"/>
    <x v="0"/>
    <x v="2"/>
    <n v="2.2400000000000002"/>
    <n v="6"/>
    <x v="1"/>
    <n v="25"/>
    <n v="2.8000000000000003"/>
    <n v="25"/>
    <s v="OK"/>
  </r>
  <r>
    <n v="11765"/>
    <x v="2"/>
    <x v="1"/>
    <n v="8.25"/>
    <n v="9"/>
    <x v="2"/>
    <n v="60"/>
    <n v="13.200000000000001"/>
    <n v="60.000000000000007"/>
    <s v="OK"/>
  </r>
  <r>
    <n v="11766"/>
    <x v="1"/>
    <x v="0"/>
    <n v="10.29"/>
    <n v="6"/>
    <x v="1"/>
    <n v="28"/>
    <n v="13.171199999999999"/>
    <n v="28.000000000000004"/>
    <s v="OK"/>
  </r>
  <r>
    <n v="11767"/>
    <x v="3"/>
    <x v="2"/>
    <n v="6.55"/>
    <n v="2"/>
    <x v="0"/>
    <n v="10"/>
    <n v="7.2050000000000001"/>
    <n v="10.000000000000009"/>
    <s v="OK"/>
  </r>
  <r>
    <n v="11768"/>
    <x v="2"/>
    <x v="2"/>
    <n v="11.09"/>
    <n v="1"/>
    <x v="0"/>
    <n v="10"/>
    <n v="12.199000000000002"/>
    <n v="10.000000000000009"/>
    <s v="OK"/>
  </r>
  <r>
    <n v="11769"/>
    <x v="0"/>
    <x v="0"/>
    <n v="8.07"/>
    <n v="8"/>
    <x v="2"/>
    <n v="55"/>
    <n v="12.508500000000002"/>
    <n v="55.000000000000007"/>
    <s v="OK"/>
  </r>
  <r>
    <n v="11770"/>
    <x v="2"/>
    <x v="0"/>
    <n v="1.58"/>
    <n v="3"/>
    <x v="0"/>
    <n v="12"/>
    <n v="1.7696000000000003"/>
    <n v="12.000000000000011"/>
    <s v="OK"/>
  </r>
  <r>
    <n v="11771"/>
    <x v="0"/>
    <x v="0"/>
    <n v="3.28"/>
    <n v="1"/>
    <x v="0"/>
    <n v="12"/>
    <n v="3.6736"/>
    <n v="12.000000000000011"/>
    <s v="OK"/>
  </r>
  <r>
    <n v="11772"/>
    <x v="0"/>
    <x v="0"/>
    <n v="12.68"/>
    <n v="8"/>
    <x v="2"/>
    <n v="55"/>
    <n v="19.654"/>
    <n v="55.000000000000007"/>
    <s v="OK"/>
  </r>
  <r>
    <n v="11773"/>
    <x v="2"/>
    <x v="0"/>
    <n v="11.01"/>
    <n v="1"/>
    <x v="0"/>
    <n v="12"/>
    <n v="12.331200000000001"/>
    <n v="12.000000000000011"/>
    <s v="OK"/>
  </r>
  <r>
    <n v="11774"/>
    <x v="1"/>
    <x v="1"/>
    <n v="13.47"/>
    <n v="8"/>
    <x v="2"/>
    <n v="60"/>
    <n v="21.552000000000003"/>
    <n v="60.000000000000007"/>
    <s v="OK"/>
  </r>
  <r>
    <n v="11775"/>
    <x v="0"/>
    <x v="1"/>
    <n v="2.2000000000000002"/>
    <n v="1"/>
    <x v="0"/>
    <n v="15"/>
    <n v="2.5299999999999998"/>
    <n v="14.999999999999991"/>
    <s v="OK"/>
  </r>
  <r>
    <n v="11776"/>
    <x v="1"/>
    <x v="2"/>
    <n v="14.86"/>
    <n v="9"/>
    <x v="2"/>
    <n v="50"/>
    <n v="22.29"/>
    <n v="50"/>
    <s v="OK"/>
  </r>
  <r>
    <n v="11777"/>
    <x v="3"/>
    <x v="1"/>
    <n v="3.54"/>
    <n v="9"/>
    <x v="2"/>
    <n v="60"/>
    <n v="5.6640000000000006"/>
    <n v="60.000000000000007"/>
    <s v="OK"/>
  </r>
  <r>
    <n v="11778"/>
    <x v="0"/>
    <x v="1"/>
    <n v="0.67"/>
    <n v="9"/>
    <x v="2"/>
    <n v="60"/>
    <n v="1.0720000000000001"/>
    <n v="60.000000000000007"/>
    <s v="OK"/>
  </r>
  <r>
    <n v="11779"/>
    <x v="1"/>
    <x v="1"/>
    <n v="14.96"/>
    <n v="3"/>
    <x v="0"/>
    <n v="15"/>
    <n v="17.204000000000001"/>
    <n v="14.999999999999991"/>
    <s v="OK"/>
  </r>
  <r>
    <n v="11780"/>
    <x v="1"/>
    <x v="0"/>
    <n v="4.58"/>
    <n v="4"/>
    <x v="1"/>
    <n v="28"/>
    <n v="5.8624000000000001"/>
    <n v="28.000000000000004"/>
    <s v="OK"/>
  </r>
  <r>
    <n v="11781"/>
    <x v="3"/>
    <x v="2"/>
    <n v="10.19"/>
    <n v="5"/>
    <x v="1"/>
    <n v="25"/>
    <n v="12.737499999999999"/>
    <n v="25"/>
    <s v="OK"/>
  </r>
  <r>
    <n v="11782"/>
    <x v="1"/>
    <x v="2"/>
    <n v="3.06"/>
    <n v="6"/>
    <x v="1"/>
    <n v="25"/>
    <n v="3.8250000000000002"/>
    <n v="25"/>
    <s v="OK"/>
  </r>
  <r>
    <n v="11783"/>
    <x v="1"/>
    <x v="2"/>
    <n v="8.91"/>
    <n v="9"/>
    <x v="2"/>
    <n v="50"/>
    <n v="13.365"/>
    <n v="50"/>
    <s v="OK"/>
  </r>
  <r>
    <n v="11784"/>
    <x v="3"/>
    <x v="2"/>
    <n v="13.61"/>
    <n v="4"/>
    <x v="1"/>
    <n v="25"/>
    <n v="17.012499999999999"/>
    <n v="25"/>
    <s v="OK"/>
  </r>
  <r>
    <n v="11785"/>
    <x v="0"/>
    <x v="1"/>
    <n v="5.14"/>
    <n v="6"/>
    <x v="1"/>
    <n v="30"/>
    <n v="6.6819999999999995"/>
    <n v="30.000000000000004"/>
    <s v="OK"/>
  </r>
  <r>
    <n v="11786"/>
    <x v="1"/>
    <x v="1"/>
    <n v="10.220000000000001"/>
    <n v="1"/>
    <x v="0"/>
    <n v="15"/>
    <n v="11.753"/>
    <n v="14.999999999999991"/>
    <s v="OK"/>
  </r>
  <r>
    <n v="11787"/>
    <x v="1"/>
    <x v="0"/>
    <n v="3.22"/>
    <n v="2"/>
    <x v="0"/>
    <n v="12"/>
    <n v="3.6064000000000007"/>
    <n v="12.000000000000011"/>
    <s v="OK"/>
  </r>
  <r>
    <n v="11788"/>
    <x v="1"/>
    <x v="2"/>
    <n v="9.56"/>
    <n v="8"/>
    <x v="2"/>
    <n v="50"/>
    <n v="14.34"/>
    <n v="50"/>
    <s v="OK"/>
  </r>
  <r>
    <n v="11789"/>
    <x v="2"/>
    <x v="1"/>
    <n v="5.38"/>
    <n v="4"/>
    <x v="1"/>
    <n v="30"/>
    <n v="6.9939999999999998"/>
    <n v="30.000000000000004"/>
    <s v="OK"/>
  </r>
  <r>
    <n v="11790"/>
    <x v="3"/>
    <x v="1"/>
    <n v="3.56"/>
    <n v="10"/>
    <x v="2"/>
    <n v="60"/>
    <n v="5.6960000000000006"/>
    <n v="60.000000000000007"/>
    <s v="OK"/>
  </r>
  <r>
    <n v="11791"/>
    <x v="2"/>
    <x v="0"/>
    <n v="5.04"/>
    <n v="7"/>
    <x v="1"/>
    <n v="28"/>
    <n v="6.4512"/>
    <n v="28.000000000000004"/>
    <s v="OK"/>
  </r>
  <r>
    <n v="11792"/>
    <x v="3"/>
    <x v="0"/>
    <n v="3.09"/>
    <n v="4"/>
    <x v="1"/>
    <n v="28"/>
    <n v="3.9552"/>
    <n v="28.000000000000004"/>
    <s v="OK"/>
  </r>
  <r>
    <n v="11793"/>
    <x v="0"/>
    <x v="0"/>
    <n v="13.58"/>
    <n v="9"/>
    <x v="2"/>
    <n v="55"/>
    <n v="21.048999999999999"/>
    <n v="55.000000000000007"/>
    <s v="OK"/>
  </r>
  <r>
    <n v="11794"/>
    <x v="0"/>
    <x v="1"/>
    <n v="6.26"/>
    <n v="9"/>
    <x v="2"/>
    <n v="60"/>
    <n v="10.016"/>
    <n v="60.000000000000007"/>
    <s v="OK"/>
  </r>
  <r>
    <n v="11795"/>
    <x v="1"/>
    <x v="1"/>
    <n v="4.0599999999999996"/>
    <n v="4"/>
    <x v="1"/>
    <n v="30"/>
    <n v="5.2779999999999996"/>
    <n v="30.000000000000004"/>
    <s v="OK"/>
  </r>
  <r>
    <n v="11796"/>
    <x v="3"/>
    <x v="0"/>
    <n v="7"/>
    <n v="8"/>
    <x v="2"/>
    <n v="55"/>
    <n v="10.85"/>
    <n v="55.000000000000007"/>
    <s v="OK"/>
  </r>
  <r>
    <n v="11797"/>
    <x v="0"/>
    <x v="2"/>
    <n v="5.15"/>
    <n v="6"/>
    <x v="1"/>
    <n v="25"/>
    <n v="6.4375"/>
    <n v="25"/>
    <s v="OK"/>
  </r>
  <r>
    <n v="11798"/>
    <x v="3"/>
    <x v="0"/>
    <n v="11.29"/>
    <n v="1"/>
    <x v="0"/>
    <n v="12"/>
    <n v="12.6448"/>
    <n v="12.000000000000011"/>
    <s v="OK"/>
  </r>
  <r>
    <n v="11799"/>
    <x v="0"/>
    <x v="0"/>
    <n v="14.58"/>
    <n v="7"/>
    <x v="1"/>
    <n v="28"/>
    <n v="18.662400000000002"/>
    <n v="28.000000000000004"/>
    <s v="OK"/>
  </r>
  <r>
    <n v="11800"/>
    <x v="2"/>
    <x v="0"/>
    <n v="6.85"/>
    <n v="1"/>
    <x v="0"/>
    <n v="12"/>
    <n v="7.6720000000000006"/>
    <n v="12.000000000000011"/>
    <s v="OK"/>
  </r>
  <r>
    <n v="11801"/>
    <x v="0"/>
    <x v="0"/>
    <n v="12.98"/>
    <n v="3"/>
    <x v="0"/>
    <n v="12"/>
    <n v="14.537600000000001"/>
    <n v="12.000000000000011"/>
    <s v="OK"/>
  </r>
  <r>
    <n v="11802"/>
    <x v="2"/>
    <x v="1"/>
    <n v="8.7100000000000009"/>
    <n v="8"/>
    <x v="2"/>
    <n v="60"/>
    <n v="13.936000000000002"/>
    <n v="60.000000000000007"/>
    <s v="OK"/>
  </r>
  <r>
    <n v="11803"/>
    <x v="0"/>
    <x v="2"/>
    <n v="2.78"/>
    <n v="9"/>
    <x v="2"/>
    <n v="50"/>
    <n v="4.17"/>
    <n v="50"/>
    <s v="OK"/>
  </r>
  <r>
    <n v="11804"/>
    <x v="1"/>
    <x v="0"/>
    <n v="10.51"/>
    <n v="3"/>
    <x v="0"/>
    <n v="12"/>
    <n v="11.7712"/>
    <n v="12.000000000000011"/>
    <s v="OK"/>
  </r>
  <r>
    <n v="11805"/>
    <x v="2"/>
    <x v="2"/>
    <n v="7.94"/>
    <n v="1"/>
    <x v="0"/>
    <n v="10"/>
    <n v="8.7340000000000018"/>
    <n v="10.000000000000009"/>
    <s v="OK"/>
  </r>
  <r>
    <n v="11806"/>
    <x v="0"/>
    <x v="2"/>
    <n v="9.93"/>
    <n v="1"/>
    <x v="0"/>
    <n v="10"/>
    <n v="10.923"/>
    <n v="10.000000000000009"/>
    <s v="OK"/>
  </r>
  <r>
    <n v="11807"/>
    <x v="1"/>
    <x v="2"/>
    <n v="13.4"/>
    <n v="7"/>
    <x v="1"/>
    <n v="25"/>
    <n v="16.75"/>
    <n v="25"/>
    <s v="OK"/>
  </r>
  <r>
    <n v="11808"/>
    <x v="2"/>
    <x v="0"/>
    <n v="6.89"/>
    <n v="5"/>
    <x v="1"/>
    <n v="28"/>
    <n v="8.8192000000000004"/>
    <n v="28.000000000000004"/>
    <s v="OK"/>
  </r>
  <r>
    <n v="11809"/>
    <x v="1"/>
    <x v="1"/>
    <n v="13.57"/>
    <n v="1"/>
    <x v="0"/>
    <n v="15"/>
    <n v="15.605499999999999"/>
    <n v="14.999999999999991"/>
    <s v="OK"/>
  </r>
  <r>
    <n v="11810"/>
    <x v="3"/>
    <x v="0"/>
    <n v="11.38"/>
    <n v="6"/>
    <x v="1"/>
    <n v="28"/>
    <n v="14.566400000000002"/>
    <n v="28.000000000000004"/>
    <s v="OK"/>
  </r>
  <r>
    <n v="11811"/>
    <x v="3"/>
    <x v="2"/>
    <n v="7.58"/>
    <n v="6"/>
    <x v="1"/>
    <n v="25"/>
    <n v="9.4749999999999996"/>
    <n v="25"/>
    <s v="OK"/>
  </r>
  <r>
    <n v="11812"/>
    <x v="2"/>
    <x v="2"/>
    <n v="9.25"/>
    <n v="4"/>
    <x v="1"/>
    <n v="25"/>
    <n v="11.5625"/>
    <n v="25"/>
    <s v="OK"/>
  </r>
  <r>
    <n v="11813"/>
    <x v="0"/>
    <x v="1"/>
    <n v="5.22"/>
    <n v="7"/>
    <x v="1"/>
    <n v="30"/>
    <n v="6.7859999999999996"/>
    <n v="30.000000000000004"/>
    <s v="OK"/>
  </r>
  <r>
    <n v="11814"/>
    <x v="2"/>
    <x v="0"/>
    <n v="14.76"/>
    <n v="7"/>
    <x v="1"/>
    <n v="28"/>
    <n v="18.892800000000001"/>
    <n v="28.000000000000004"/>
    <s v="OK"/>
  </r>
  <r>
    <n v="11815"/>
    <x v="1"/>
    <x v="2"/>
    <n v="10.18"/>
    <n v="9"/>
    <x v="2"/>
    <n v="50"/>
    <n v="15.27"/>
    <n v="50"/>
    <s v="OK"/>
  </r>
  <r>
    <n v="11816"/>
    <x v="0"/>
    <x v="1"/>
    <n v="1.1399999999999999"/>
    <n v="1"/>
    <x v="0"/>
    <n v="15"/>
    <n v="1.3109999999999997"/>
    <n v="14.999999999999991"/>
    <s v="OK"/>
  </r>
  <r>
    <n v="11817"/>
    <x v="3"/>
    <x v="2"/>
    <n v="5.24"/>
    <n v="5"/>
    <x v="1"/>
    <n v="25"/>
    <n v="6.5500000000000007"/>
    <n v="25"/>
    <s v="OK"/>
  </r>
  <r>
    <n v="11818"/>
    <x v="0"/>
    <x v="1"/>
    <n v="9.5399999999999991"/>
    <n v="10"/>
    <x v="2"/>
    <n v="60"/>
    <n v="15.263999999999999"/>
    <n v="60.000000000000007"/>
    <s v="OK"/>
  </r>
  <r>
    <n v="11819"/>
    <x v="3"/>
    <x v="1"/>
    <n v="1.32"/>
    <n v="3"/>
    <x v="0"/>
    <n v="15"/>
    <n v="1.518"/>
    <n v="14.999999999999991"/>
    <s v="OK"/>
  </r>
  <r>
    <n v="11820"/>
    <x v="0"/>
    <x v="0"/>
    <n v="0.85"/>
    <n v="7"/>
    <x v="1"/>
    <n v="28"/>
    <n v="1.0880000000000001"/>
    <n v="28.000000000000004"/>
    <s v="OK"/>
  </r>
  <r>
    <n v="11821"/>
    <x v="0"/>
    <x v="2"/>
    <n v="7.03"/>
    <n v="4"/>
    <x v="1"/>
    <n v="25"/>
    <n v="8.7874999999999996"/>
    <n v="25"/>
    <s v="OK"/>
  </r>
  <r>
    <n v="11822"/>
    <x v="0"/>
    <x v="0"/>
    <n v="5.32"/>
    <n v="4"/>
    <x v="1"/>
    <n v="28"/>
    <n v="6.8096000000000005"/>
    <n v="28.000000000000004"/>
    <s v="OK"/>
  </r>
  <r>
    <n v="11823"/>
    <x v="1"/>
    <x v="2"/>
    <n v="6.86"/>
    <n v="1"/>
    <x v="0"/>
    <n v="10"/>
    <n v="7.5460000000000012"/>
    <n v="10.000000000000009"/>
    <s v="OK"/>
  </r>
  <r>
    <n v="11824"/>
    <x v="1"/>
    <x v="0"/>
    <n v="4.3099999999999996"/>
    <n v="1"/>
    <x v="0"/>
    <n v="12"/>
    <n v="4.8272000000000004"/>
    <n v="12.000000000000011"/>
    <s v="OK"/>
  </r>
  <r>
    <n v="11825"/>
    <x v="2"/>
    <x v="2"/>
    <n v="2.89"/>
    <n v="10"/>
    <x v="2"/>
    <n v="50"/>
    <n v="4.335"/>
    <n v="50"/>
    <s v="OK"/>
  </r>
  <r>
    <n v="11826"/>
    <x v="2"/>
    <x v="0"/>
    <n v="10.49"/>
    <n v="2"/>
    <x v="0"/>
    <n v="12"/>
    <n v="11.748800000000001"/>
    <n v="12.000000000000011"/>
    <s v="OK"/>
  </r>
  <r>
    <n v="11827"/>
    <x v="3"/>
    <x v="1"/>
    <n v="7.96"/>
    <n v="2"/>
    <x v="0"/>
    <n v="15"/>
    <n v="9.1539999999999999"/>
    <n v="14.999999999999991"/>
    <s v="OK"/>
  </r>
  <r>
    <n v="11828"/>
    <x v="1"/>
    <x v="2"/>
    <n v="3.4"/>
    <n v="1"/>
    <x v="0"/>
    <n v="10"/>
    <n v="3.74"/>
    <n v="10.000000000000009"/>
    <s v="OK"/>
  </r>
  <r>
    <n v="11829"/>
    <x v="3"/>
    <x v="2"/>
    <n v="5.13"/>
    <n v="8"/>
    <x v="2"/>
    <n v="50"/>
    <n v="7.6950000000000003"/>
    <n v="50"/>
    <s v="OK"/>
  </r>
  <r>
    <n v="11830"/>
    <x v="2"/>
    <x v="1"/>
    <n v="9.08"/>
    <n v="6"/>
    <x v="1"/>
    <n v="30"/>
    <n v="11.804"/>
    <n v="30.000000000000004"/>
    <s v="OK"/>
  </r>
  <r>
    <n v="11831"/>
    <x v="3"/>
    <x v="0"/>
    <n v="1.55"/>
    <n v="6"/>
    <x v="1"/>
    <n v="28"/>
    <n v="1.9840000000000002"/>
    <n v="28.000000000000004"/>
    <s v="OK"/>
  </r>
  <r>
    <n v="11832"/>
    <x v="2"/>
    <x v="2"/>
    <n v="2.64"/>
    <n v="10"/>
    <x v="2"/>
    <n v="50"/>
    <n v="3.96"/>
    <n v="50"/>
    <s v="OK"/>
  </r>
  <r>
    <n v="11833"/>
    <x v="1"/>
    <x v="2"/>
    <n v="1.56"/>
    <n v="10"/>
    <x v="2"/>
    <n v="50"/>
    <n v="2.34"/>
    <n v="49.999999999999979"/>
    <s v="OK"/>
  </r>
  <r>
    <n v="11834"/>
    <x v="0"/>
    <x v="0"/>
    <n v="12.28"/>
    <n v="9"/>
    <x v="2"/>
    <n v="55"/>
    <n v="19.033999999999999"/>
    <n v="55.000000000000007"/>
    <s v="OK"/>
  </r>
  <r>
    <n v="11835"/>
    <x v="1"/>
    <x v="1"/>
    <n v="11.41"/>
    <n v="5"/>
    <x v="1"/>
    <n v="30"/>
    <n v="14.833"/>
    <n v="30.000000000000004"/>
    <s v="OK"/>
  </r>
  <r>
    <n v="11836"/>
    <x v="3"/>
    <x v="0"/>
    <n v="11.42"/>
    <n v="4"/>
    <x v="1"/>
    <n v="28"/>
    <n v="14.617599999999999"/>
    <n v="28.000000000000004"/>
    <s v="OK"/>
  </r>
  <r>
    <n v="11837"/>
    <x v="3"/>
    <x v="0"/>
    <n v="10.89"/>
    <n v="6"/>
    <x v="1"/>
    <n v="28"/>
    <n v="13.939200000000001"/>
    <n v="28.000000000000004"/>
    <s v="OK"/>
  </r>
  <r>
    <n v="11838"/>
    <x v="1"/>
    <x v="0"/>
    <n v="10.210000000000001"/>
    <n v="8"/>
    <x v="2"/>
    <n v="55"/>
    <n v="15.825500000000002"/>
    <n v="55.000000000000007"/>
    <s v="OK"/>
  </r>
  <r>
    <n v="11839"/>
    <x v="1"/>
    <x v="2"/>
    <n v="7.42"/>
    <n v="1"/>
    <x v="0"/>
    <n v="10"/>
    <n v="8.1620000000000008"/>
    <n v="10.000000000000009"/>
    <s v="OK"/>
  </r>
  <r>
    <n v="11840"/>
    <x v="2"/>
    <x v="1"/>
    <n v="9.81"/>
    <n v="7"/>
    <x v="1"/>
    <n v="30"/>
    <n v="12.753000000000002"/>
    <n v="30.000000000000004"/>
    <s v="OK"/>
  </r>
  <r>
    <n v="11841"/>
    <x v="3"/>
    <x v="1"/>
    <n v="1.06"/>
    <n v="8"/>
    <x v="2"/>
    <n v="60"/>
    <n v="1.6960000000000002"/>
    <n v="60.000000000000007"/>
    <s v="OK"/>
  </r>
  <r>
    <n v="11842"/>
    <x v="3"/>
    <x v="0"/>
    <n v="9.51"/>
    <n v="9"/>
    <x v="2"/>
    <n v="55"/>
    <n v="14.740500000000001"/>
    <n v="55.000000000000007"/>
    <s v="OK"/>
  </r>
  <r>
    <n v="11843"/>
    <x v="1"/>
    <x v="2"/>
    <n v="11.78"/>
    <n v="8"/>
    <x v="2"/>
    <n v="50"/>
    <n v="17.669999999999998"/>
    <n v="50"/>
    <s v="OK"/>
  </r>
  <r>
    <n v="11844"/>
    <x v="0"/>
    <x v="0"/>
    <n v="7.76"/>
    <n v="7"/>
    <x v="1"/>
    <n v="28"/>
    <n v="9.9328000000000003"/>
    <n v="28.000000000000004"/>
    <s v="OK"/>
  </r>
  <r>
    <n v="11845"/>
    <x v="3"/>
    <x v="2"/>
    <n v="5.68"/>
    <n v="3"/>
    <x v="0"/>
    <n v="10"/>
    <n v="6.2480000000000002"/>
    <n v="10.000000000000009"/>
    <s v="OK"/>
  </r>
  <r>
    <n v="11846"/>
    <x v="0"/>
    <x v="2"/>
    <n v="4.5199999999999996"/>
    <n v="2"/>
    <x v="0"/>
    <n v="10"/>
    <n v="4.9719999999999995"/>
    <n v="10.000000000000009"/>
    <s v="OK"/>
  </r>
  <r>
    <n v="11847"/>
    <x v="1"/>
    <x v="2"/>
    <n v="9.82"/>
    <n v="3"/>
    <x v="0"/>
    <n v="10"/>
    <n v="10.802000000000001"/>
    <n v="10.000000000000009"/>
    <s v="OK"/>
  </r>
  <r>
    <n v="11848"/>
    <x v="1"/>
    <x v="2"/>
    <n v="10.55"/>
    <n v="4"/>
    <x v="1"/>
    <n v="25"/>
    <n v="13.1875"/>
    <n v="25"/>
    <s v="OK"/>
  </r>
  <r>
    <n v="11849"/>
    <x v="2"/>
    <x v="1"/>
    <n v="13.13"/>
    <n v="4"/>
    <x v="1"/>
    <n v="30"/>
    <n v="17.069000000000003"/>
    <n v="30.000000000000004"/>
    <s v="OK"/>
  </r>
  <r>
    <n v="11850"/>
    <x v="3"/>
    <x v="2"/>
    <n v="5.46"/>
    <n v="6"/>
    <x v="1"/>
    <n v="25"/>
    <n v="6.8250000000000002"/>
    <n v="25"/>
    <s v="OK"/>
  </r>
  <r>
    <n v="11851"/>
    <x v="0"/>
    <x v="2"/>
    <n v="11.66"/>
    <n v="7"/>
    <x v="1"/>
    <n v="25"/>
    <n v="14.574999999999999"/>
    <n v="25"/>
    <s v="OK"/>
  </r>
  <r>
    <n v="11852"/>
    <x v="2"/>
    <x v="0"/>
    <n v="8.64"/>
    <n v="4"/>
    <x v="1"/>
    <n v="28"/>
    <n v="11.059200000000001"/>
    <n v="28.000000000000004"/>
    <s v="OK"/>
  </r>
  <r>
    <n v="11853"/>
    <x v="3"/>
    <x v="0"/>
    <n v="13.3"/>
    <n v="10"/>
    <x v="2"/>
    <n v="55"/>
    <n v="20.615000000000002"/>
    <n v="55.000000000000007"/>
    <s v="OK"/>
  </r>
  <r>
    <n v="11854"/>
    <x v="2"/>
    <x v="1"/>
    <n v="8.15"/>
    <n v="6"/>
    <x v="1"/>
    <n v="30"/>
    <n v="10.595000000000001"/>
    <n v="30.000000000000004"/>
    <s v="OK"/>
  </r>
  <r>
    <n v="11855"/>
    <x v="1"/>
    <x v="0"/>
    <n v="8.01"/>
    <n v="9"/>
    <x v="2"/>
    <n v="55"/>
    <n v="12.4155"/>
    <n v="55.000000000000007"/>
    <s v="OK"/>
  </r>
  <r>
    <n v="11856"/>
    <x v="3"/>
    <x v="2"/>
    <n v="8.8800000000000008"/>
    <n v="6"/>
    <x v="1"/>
    <n v="25"/>
    <n v="11.100000000000001"/>
    <n v="25"/>
    <s v="OK"/>
  </r>
  <r>
    <n v="11857"/>
    <x v="2"/>
    <x v="0"/>
    <n v="11.37"/>
    <n v="3"/>
    <x v="0"/>
    <n v="12"/>
    <n v="12.734400000000001"/>
    <n v="12.000000000000011"/>
    <s v="OK"/>
  </r>
  <r>
    <n v="11858"/>
    <x v="2"/>
    <x v="1"/>
    <n v="14.49"/>
    <n v="1"/>
    <x v="0"/>
    <n v="15"/>
    <n v="16.663499999999999"/>
    <n v="14.999999999999991"/>
    <s v="OK"/>
  </r>
  <r>
    <n v="11859"/>
    <x v="0"/>
    <x v="0"/>
    <n v="1.57"/>
    <n v="10"/>
    <x v="2"/>
    <n v="55"/>
    <n v="2.4335"/>
    <n v="55.000000000000007"/>
    <s v="OK"/>
  </r>
  <r>
    <n v="11860"/>
    <x v="2"/>
    <x v="0"/>
    <n v="1.27"/>
    <n v="10"/>
    <x v="2"/>
    <n v="55"/>
    <n v="1.9685000000000001"/>
    <n v="55.000000000000007"/>
    <s v="OK"/>
  </r>
  <r>
    <n v="11861"/>
    <x v="3"/>
    <x v="1"/>
    <n v="14.09"/>
    <n v="5"/>
    <x v="1"/>
    <n v="30"/>
    <n v="18.317"/>
    <n v="30.000000000000004"/>
    <s v="OK"/>
  </r>
  <r>
    <n v="11862"/>
    <x v="3"/>
    <x v="1"/>
    <n v="8.18"/>
    <n v="10"/>
    <x v="2"/>
    <n v="60"/>
    <n v="13.088000000000001"/>
    <n v="60.000000000000007"/>
    <s v="OK"/>
  </r>
  <r>
    <n v="11863"/>
    <x v="0"/>
    <x v="2"/>
    <n v="9.42"/>
    <n v="10"/>
    <x v="2"/>
    <n v="50"/>
    <n v="14.129999999999999"/>
    <n v="50"/>
    <s v="OK"/>
  </r>
  <r>
    <n v="11864"/>
    <x v="3"/>
    <x v="0"/>
    <n v="7.5"/>
    <n v="3"/>
    <x v="0"/>
    <n v="12"/>
    <n v="8.4"/>
    <n v="12.000000000000011"/>
    <s v="OK"/>
  </r>
  <r>
    <n v="11865"/>
    <x v="1"/>
    <x v="2"/>
    <n v="1.86"/>
    <n v="8"/>
    <x v="2"/>
    <n v="50"/>
    <n v="2.79"/>
    <n v="50"/>
    <s v="OK"/>
  </r>
  <r>
    <n v="11866"/>
    <x v="3"/>
    <x v="0"/>
    <n v="11.64"/>
    <n v="10"/>
    <x v="2"/>
    <n v="55"/>
    <n v="18.042000000000002"/>
    <n v="55.000000000000007"/>
    <s v="OK"/>
  </r>
  <r>
    <n v="11867"/>
    <x v="3"/>
    <x v="0"/>
    <n v="11.33"/>
    <n v="1"/>
    <x v="0"/>
    <n v="12"/>
    <n v="12.6896"/>
    <n v="12.000000000000011"/>
    <s v="OK"/>
  </r>
  <r>
    <n v="11868"/>
    <x v="2"/>
    <x v="2"/>
    <n v="5.0199999999999996"/>
    <n v="2"/>
    <x v="0"/>
    <n v="10"/>
    <n v="5.5220000000000002"/>
    <n v="10.000000000000009"/>
    <s v="OK"/>
  </r>
  <r>
    <n v="11869"/>
    <x v="2"/>
    <x v="0"/>
    <n v="4.9400000000000004"/>
    <n v="3"/>
    <x v="0"/>
    <n v="12"/>
    <n v="5.5328000000000008"/>
    <n v="12.000000000000011"/>
    <s v="OK"/>
  </r>
  <r>
    <n v="11870"/>
    <x v="3"/>
    <x v="0"/>
    <n v="12.65"/>
    <n v="3"/>
    <x v="0"/>
    <n v="12"/>
    <n v="14.168000000000001"/>
    <n v="12.000000000000011"/>
    <s v="OK"/>
  </r>
  <r>
    <n v="11871"/>
    <x v="0"/>
    <x v="0"/>
    <n v="1.55"/>
    <n v="8"/>
    <x v="2"/>
    <n v="55"/>
    <n v="2.4025000000000003"/>
    <n v="55.000000000000007"/>
    <s v="OK"/>
  </r>
  <r>
    <n v="11872"/>
    <x v="2"/>
    <x v="1"/>
    <n v="13.28"/>
    <n v="5"/>
    <x v="1"/>
    <n v="30"/>
    <n v="17.263999999999999"/>
    <n v="30.000000000000004"/>
    <s v="OK"/>
  </r>
  <r>
    <n v="11873"/>
    <x v="0"/>
    <x v="2"/>
    <n v="4.22"/>
    <n v="8"/>
    <x v="2"/>
    <n v="50"/>
    <n v="6.33"/>
    <n v="50"/>
    <s v="OK"/>
  </r>
  <r>
    <n v="11874"/>
    <x v="3"/>
    <x v="1"/>
    <n v="9.1"/>
    <n v="6"/>
    <x v="1"/>
    <n v="30"/>
    <n v="11.83"/>
    <n v="30.000000000000004"/>
    <s v="OK"/>
  </r>
  <r>
    <n v="11875"/>
    <x v="3"/>
    <x v="2"/>
    <n v="14.07"/>
    <n v="2"/>
    <x v="0"/>
    <n v="10"/>
    <n v="15.477000000000002"/>
    <n v="10.000000000000009"/>
    <s v="OK"/>
  </r>
  <r>
    <n v="11876"/>
    <x v="1"/>
    <x v="2"/>
    <n v="10.33"/>
    <n v="4"/>
    <x v="1"/>
    <n v="25"/>
    <n v="12.9125"/>
    <n v="25"/>
    <s v="OK"/>
  </r>
  <r>
    <n v="11877"/>
    <x v="2"/>
    <x v="0"/>
    <n v="6.51"/>
    <n v="9"/>
    <x v="2"/>
    <n v="55"/>
    <n v="10.0905"/>
    <n v="55.000000000000007"/>
    <s v="OK"/>
  </r>
  <r>
    <n v="11878"/>
    <x v="3"/>
    <x v="2"/>
    <n v="10.5"/>
    <n v="4"/>
    <x v="1"/>
    <n v="25"/>
    <n v="13.125"/>
    <n v="25"/>
    <s v="OK"/>
  </r>
  <r>
    <n v="11879"/>
    <x v="1"/>
    <x v="1"/>
    <n v="5.49"/>
    <n v="5"/>
    <x v="1"/>
    <n v="30"/>
    <n v="7.1370000000000005"/>
    <n v="30.000000000000004"/>
    <s v="OK"/>
  </r>
  <r>
    <n v="11880"/>
    <x v="2"/>
    <x v="1"/>
    <n v="4.5199999999999996"/>
    <n v="5"/>
    <x v="1"/>
    <n v="30"/>
    <n v="5.8759999999999994"/>
    <n v="30.000000000000004"/>
    <s v="OK"/>
  </r>
  <r>
    <n v="11881"/>
    <x v="3"/>
    <x v="1"/>
    <n v="14.95"/>
    <n v="10"/>
    <x v="2"/>
    <n v="60"/>
    <n v="23.92"/>
    <n v="60.000000000000007"/>
    <s v="OK"/>
  </r>
  <r>
    <n v="11882"/>
    <x v="3"/>
    <x v="2"/>
    <n v="11.39"/>
    <n v="8"/>
    <x v="2"/>
    <n v="50"/>
    <n v="17.085000000000001"/>
    <n v="50"/>
    <s v="OK"/>
  </r>
  <r>
    <n v="11883"/>
    <x v="2"/>
    <x v="1"/>
    <n v="9.85"/>
    <n v="6"/>
    <x v="1"/>
    <n v="30"/>
    <n v="12.805"/>
    <n v="30.000000000000004"/>
    <s v="OK"/>
  </r>
  <r>
    <n v="11884"/>
    <x v="2"/>
    <x v="2"/>
    <n v="5.65"/>
    <n v="10"/>
    <x v="2"/>
    <n v="50"/>
    <n v="8.4750000000000014"/>
    <n v="50.000000000000021"/>
    <s v="OK"/>
  </r>
  <r>
    <n v="11885"/>
    <x v="2"/>
    <x v="1"/>
    <n v="1.21"/>
    <n v="7"/>
    <x v="1"/>
    <n v="30"/>
    <n v="1.573"/>
    <n v="30.000000000000004"/>
    <s v="OK"/>
  </r>
  <r>
    <n v="11886"/>
    <x v="3"/>
    <x v="1"/>
    <n v="0.95"/>
    <n v="6"/>
    <x v="1"/>
    <n v="30"/>
    <n v="1.2349999999999999"/>
    <n v="29.999999999999982"/>
    <s v="OK"/>
  </r>
  <r>
    <n v="11887"/>
    <x v="3"/>
    <x v="2"/>
    <n v="8.5399999999999991"/>
    <n v="5"/>
    <x v="1"/>
    <n v="25"/>
    <n v="10.674999999999999"/>
    <n v="25"/>
    <s v="OK"/>
  </r>
  <r>
    <n v="11888"/>
    <x v="1"/>
    <x v="1"/>
    <n v="11.55"/>
    <n v="5"/>
    <x v="1"/>
    <n v="30"/>
    <n v="15.015000000000001"/>
    <n v="30.000000000000004"/>
    <s v="OK"/>
  </r>
  <r>
    <n v="11889"/>
    <x v="0"/>
    <x v="0"/>
    <n v="8.2899999999999991"/>
    <n v="3"/>
    <x v="0"/>
    <n v="12"/>
    <n v="9.2848000000000006"/>
    <n v="12.000000000000011"/>
    <s v="OK"/>
  </r>
  <r>
    <n v="11890"/>
    <x v="2"/>
    <x v="2"/>
    <n v="12.69"/>
    <n v="7"/>
    <x v="1"/>
    <n v="25"/>
    <n v="15.862499999999999"/>
    <n v="25"/>
    <s v="OK"/>
  </r>
  <r>
    <n v="11891"/>
    <x v="3"/>
    <x v="2"/>
    <n v="0.98"/>
    <n v="10"/>
    <x v="2"/>
    <n v="50"/>
    <n v="1.47"/>
    <n v="50"/>
    <s v="OK"/>
  </r>
  <r>
    <n v="11892"/>
    <x v="3"/>
    <x v="2"/>
    <n v="5.82"/>
    <n v="5"/>
    <x v="1"/>
    <n v="25"/>
    <n v="7.2750000000000004"/>
    <n v="25"/>
    <s v="OK"/>
  </r>
  <r>
    <n v="11893"/>
    <x v="2"/>
    <x v="0"/>
    <n v="3.94"/>
    <n v="7"/>
    <x v="1"/>
    <n v="28"/>
    <n v="5.0431999999999997"/>
    <n v="28.000000000000004"/>
    <s v="OK"/>
  </r>
  <r>
    <n v="11894"/>
    <x v="0"/>
    <x v="2"/>
    <n v="6.99"/>
    <n v="2"/>
    <x v="0"/>
    <n v="10"/>
    <n v="7.6890000000000009"/>
    <n v="10.000000000000009"/>
    <s v="OK"/>
  </r>
  <r>
    <n v="11895"/>
    <x v="2"/>
    <x v="1"/>
    <n v="1.55"/>
    <n v="9"/>
    <x v="2"/>
    <n v="60"/>
    <n v="2.4800000000000004"/>
    <n v="60.000000000000028"/>
    <s v="OK"/>
  </r>
  <r>
    <n v="11896"/>
    <x v="0"/>
    <x v="1"/>
    <n v="14.33"/>
    <n v="8"/>
    <x v="2"/>
    <n v="60"/>
    <n v="22.928000000000001"/>
    <n v="60.000000000000007"/>
    <s v="OK"/>
  </r>
  <r>
    <n v="11897"/>
    <x v="3"/>
    <x v="1"/>
    <n v="3.74"/>
    <n v="5"/>
    <x v="1"/>
    <n v="30"/>
    <n v="4.8620000000000001"/>
    <n v="30.000000000000004"/>
    <s v="OK"/>
  </r>
  <r>
    <n v="11898"/>
    <x v="0"/>
    <x v="2"/>
    <n v="13.87"/>
    <n v="2"/>
    <x v="0"/>
    <n v="10"/>
    <n v="15.257"/>
    <n v="10.000000000000009"/>
    <s v="OK"/>
  </r>
  <r>
    <n v="11899"/>
    <x v="1"/>
    <x v="1"/>
    <n v="6.68"/>
    <n v="6"/>
    <x v="1"/>
    <n v="30"/>
    <n v="8.6839999999999993"/>
    <n v="30.000000000000004"/>
    <s v="OK"/>
  </r>
  <r>
    <n v="11900"/>
    <x v="3"/>
    <x v="2"/>
    <n v="14.79"/>
    <n v="8"/>
    <x v="2"/>
    <n v="50"/>
    <n v="22.184999999999999"/>
    <n v="50"/>
    <s v="OK"/>
  </r>
  <r>
    <n v="11901"/>
    <x v="1"/>
    <x v="1"/>
    <n v="8.5299999999999994"/>
    <n v="7"/>
    <x v="1"/>
    <n v="30"/>
    <n v="11.089"/>
    <n v="30.000000000000004"/>
    <s v="OK"/>
  </r>
  <r>
    <n v="11902"/>
    <x v="2"/>
    <x v="0"/>
    <n v="14"/>
    <n v="8"/>
    <x v="2"/>
    <n v="55"/>
    <n v="21.7"/>
    <n v="55.000000000000007"/>
    <s v="OK"/>
  </r>
  <r>
    <n v="11903"/>
    <x v="2"/>
    <x v="0"/>
    <n v="0.57999999999999996"/>
    <n v="4"/>
    <x v="1"/>
    <n v="28"/>
    <n v="0.74239999999999995"/>
    <n v="28.000000000000004"/>
    <s v="OK"/>
  </r>
  <r>
    <n v="11904"/>
    <x v="2"/>
    <x v="0"/>
    <n v="11.35"/>
    <n v="3"/>
    <x v="0"/>
    <n v="12"/>
    <n v="12.712000000000002"/>
    <n v="12.000000000000011"/>
    <s v="OK"/>
  </r>
  <r>
    <n v="11905"/>
    <x v="0"/>
    <x v="0"/>
    <n v="13.59"/>
    <n v="7"/>
    <x v="1"/>
    <n v="28"/>
    <n v="17.395199999999999"/>
    <n v="28.000000000000004"/>
    <s v="OK"/>
  </r>
  <r>
    <n v="11906"/>
    <x v="3"/>
    <x v="2"/>
    <n v="2.5299999999999998"/>
    <n v="2"/>
    <x v="0"/>
    <n v="10"/>
    <n v="2.7829999999999999"/>
    <n v="10.000000000000009"/>
    <s v="OK"/>
  </r>
  <r>
    <n v="11907"/>
    <x v="2"/>
    <x v="1"/>
    <n v="1.89"/>
    <n v="5"/>
    <x v="1"/>
    <n v="30"/>
    <n v="2.4569999999999999"/>
    <n v="30.000000000000004"/>
    <s v="OK"/>
  </r>
  <r>
    <n v="11908"/>
    <x v="2"/>
    <x v="0"/>
    <n v="6.66"/>
    <n v="7"/>
    <x v="1"/>
    <n v="28"/>
    <n v="8.5248000000000008"/>
    <n v="28.000000000000004"/>
    <s v="OK"/>
  </r>
  <r>
    <n v="11909"/>
    <x v="3"/>
    <x v="2"/>
    <n v="14.04"/>
    <n v="1"/>
    <x v="0"/>
    <n v="10"/>
    <n v="15.444000000000001"/>
    <n v="10.000000000000009"/>
    <s v="OK"/>
  </r>
  <r>
    <n v="11910"/>
    <x v="2"/>
    <x v="0"/>
    <n v="8.36"/>
    <n v="4"/>
    <x v="1"/>
    <n v="28"/>
    <n v="10.700799999999999"/>
    <n v="28.000000000000004"/>
    <s v="OK"/>
  </r>
  <r>
    <n v="11911"/>
    <x v="1"/>
    <x v="0"/>
    <n v="8.15"/>
    <n v="2"/>
    <x v="0"/>
    <n v="12"/>
    <n v="9.1280000000000019"/>
    <n v="12.000000000000011"/>
    <s v="OK"/>
  </r>
  <r>
    <n v="11912"/>
    <x v="3"/>
    <x v="2"/>
    <n v="2.5499999999999998"/>
    <n v="6"/>
    <x v="1"/>
    <n v="25"/>
    <n v="3.1875"/>
    <n v="25"/>
    <s v="OK"/>
  </r>
  <r>
    <n v="11913"/>
    <x v="3"/>
    <x v="2"/>
    <n v="0.51"/>
    <n v="1"/>
    <x v="0"/>
    <n v="10"/>
    <n v="0.56100000000000005"/>
    <n v="10.000000000000009"/>
    <s v="OK"/>
  </r>
  <r>
    <n v="11914"/>
    <x v="3"/>
    <x v="1"/>
    <n v="12.25"/>
    <n v="7"/>
    <x v="1"/>
    <n v="30"/>
    <n v="15.925000000000001"/>
    <n v="30.000000000000004"/>
    <s v="OK"/>
  </r>
  <r>
    <n v="11915"/>
    <x v="1"/>
    <x v="1"/>
    <n v="1.77"/>
    <n v="3"/>
    <x v="0"/>
    <n v="15"/>
    <n v="2.0354999999999999"/>
    <n v="14.999999999999991"/>
    <s v="OK"/>
  </r>
  <r>
    <n v="11916"/>
    <x v="3"/>
    <x v="0"/>
    <n v="9.69"/>
    <n v="1"/>
    <x v="0"/>
    <n v="12"/>
    <n v="10.8528"/>
    <n v="12.000000000000011"/>
    <s v="OK"/>
  </r>
  <r>
    <n v="11917"/>
    <x v="1"/>
    <x v="0"/>
    <n v="13.76"/>
    <n v="8"/>
    <x v="2"/>
    <n v="55"/>
    <n v="21.327999999999999"/>
    <n v="55.000000000000007"/>
    <s v="OK"/>
  </r>
  <r>
    <n v="11918"/>
    <x v="3"/>
    <x v="1"/>
    <n v="3.53"/>
    <n v="7"/>
    <x v="1"/>
    <n v="30"/>
    <n v="4.5889999999999995"/>
    <n v="30.000000000000004"/>
    <s v="OK"/>
  </r>
  <r>
    <n v="11919"/>
    <x v="0"/>
    <x v="1"/>
    <n v="10.15"/>
    <n v="2"/>
    <x v="0"/>
    <n v="15"/>
    <n v="11.672499999999999"/>
    <n v="14.999999999999991"/>
    <s v="OK"/>
  </r>
  <r>
    <n v="11920"/>
    <x v="2"/>
    <x v="2"/>
    <n v="1.64"/>
    <n v="7"/>
    <x v="1"/>
    <n v="25"/>
    <n v="2.0499999999999998"/>
    <n v="25"/>
    <s v="OK"/>
  </r>
  <r>
    <n v="11921"/>
    <x v="0"/>
    <x v="1"/>
    <n v="9.25"/>
    <n v="3"/>
    <x v="0"/>
    <n v="15"/>
    <n v="10.637499999999999"/>
    <n v="14.999999999999991"/>
    <s v="OK"/>
  </r>
  <r>
    <n v="11922"/>
    <x v="2"/>
    <x v="1"/>
    <n v="2.88"/>
    <n v="9"/>
    <x v="2"/>
    <n v="60"/>
    <n v="4.6079999999999997"/>
    <n v="59.999999999999986"/>
    <s v="OK"/>
  </r>
  <r>
    <n v="11923"/>
    <x v="1"/>
    <x v="0"/>
    <n v="11.17"/>
    <n v="8"/>
    <x v="2"/>
    <n v="55"/>
    <n v="17.313500000000001"/>
    <n v="55.000000000000007"/>
    <s v="OK"/>
  </r>
  <r>
    <n v="11924"/>
    <x v="0"/>
    <x v="1"/>
    <n v="4.87"/>
    <n v="5"/>
    <x v="1"/>
    <n v="30"/>
    <n v="6.3310000000000004"/>
    <n v="30.000000000000004"/>
    <s v="OK"/>
  </r>
  <r>
    <n v="11925"/>
    <x v="3"/>
    <x v="0"/>
    <n v="7.22"/>
    <n v="7"/>
    <x v="1"/>
    <n v="28"/>
    <n v="9.2416"/>
    <n v="28.000000000000004"/>
    <s v="OK"/>
  </r>
  <r>
    <n v="11926"/>
    <x v="2"/>
    <x v="1"/>
    <n v="9.19"/>
    <n v="3"/>
    <x v="0"/>
    <n v="15"/>
    <n v="10.568499999999998"/>
    <n v="14.999999999999991"/>
    <s v="OK"/>
  </r>
  <r>
    <n v="11927"/>
    <x v="2"/>
    <x v="2"/>
    <n v="2.98"/>
    <n v="1"/>
    <x v="0"/>
    <n v="10"/>
    <n v="3.278"/>
    <n v="10.000000000000009"/>
    <s v="OK"/>
  </r>
  <r>
    <n v="11928"/>
    <x v="0"/>
    <x v="1"/>
    <n v="11.25"/>
    <n v="1"/>
    <x v="0"/>
    <n v="15"/>
    <n v="12.937499999999998"/>
    <n v="14.999999999999991"/>
    <s v="OK"/>
  </r>
  <r>
    <n v="11929"/>
    <x v="1"/>
    <x v="1"/>
    <n v="4.8899999999999997"/>
    <n v="2"/>
    <x v="0"/>
    <n v="15"/>
    <n v="5.6234999999999991"/>
    <n v="14.999999999999991"/>
    <s v="OK"/>
  </r>
  <r>
    <n v="11930"/>
    <x v="0"/>
    <x v="1"/>
    <n v="10.1"/>
    <n v="8"/>
    <x v="2"/>
    <n v="60"/>
    <n v="16.16"/>
    <n v="60.000000000000007"/>
    <s v="OK"/>
  </r>
  <r>
    <n v="11931"/>
    <x v="1"/>
    <x v="0"/>
    <n v="2.8"/>
    <n v="1"/>
    <x v="0"/>
    <n v="12"/>
    <n v="3.1360000000000001"/>
    <n v="12.000000000000011"/>
    <s v="OK"/>
  </r>
  <r>
    <n v="11932"/>
    <x v="1"/>
    <x v="2"/>
    <n v="10.48"/>
    <n v="5"/>
    <x v="1"/>
    <n v="25"/>
    <n v="13.100000000000001"/>
    <n v="25"/>
    <s v="OK"/>
  </r>
  <r>
    <n v="11933"/>
    <x v="2"/>
    <x v="1"/>
    <n v="2.36"/>
    <n v="9"/>
    <x v="2"/>
    <n v="60"/>
    <n v="3.7759999999999998"/>
    <n v="60.000000000000007"/>
    <s v="OK"/>
  </r>
  <r>
    <n v="11934"/>
    <x v="0"/>
    <x v="0"/>
    <n v="6.67"/>
    <n v="9"/>
    <x v="2"/>
    <n v="55"/>
    <n v="10.3385"/>
    <n v="55.000000000000007"/>
    <s v="OK"/>
  </r>
  <r>
    <n v="11935"/>
    <x v="0"/>
    <x v="2"/>
    <n v="4.08"/>
    <n v="2"/>
    <x v="0"/>
    <n v="10"/>
    <n v="4.4880000000000004"/>
    <n v="10.000000000000009"/>
    <s v="OK"/>
  </r>
  <r>
    <n v="11936"/>
    <x v="1"/>
    <x v="0"/>
    <n v="11.35"/>
    <n v="7"/>
    <x v="1"/>
    <n v="28"/>
    <n v="14.528"/>
    <n v="28.000000000000004"/>
    <s v="OK"/>
  </r>
  <r>
    <n v="11937"/>
    <x v="0"/>
    <x v="0"/>
    <n v="4.3"/>
    <n v="1"/>
    <x v="0"/>
    <n v="12"/>
    <n v="4.8159999999999998"/>
    <n v="12.000000000000011"/>
    <s v="OK"/>
  </r>
  <r>
    <n v="11938"/>
    <x v="3"/>
    <x v="2"/>
    <n v="13.28"/>
    <n v="3"/>
    <x v="0"/>
    <n v="10"/>
    <n v="14.608000000000001"/>
    <n v="10.000000000000009"/>
    <s v="OK"/>
  </r>
  <r>
    <n v="11939"/>
    <x v="3"/>
    <x v="1"/>
    <n v="13.43"/>
    <n v="6"/>
    <x v="1"/>
    <n v="30"/>
    <n v="17.459"/>
    <n v="30.000000000000004"/>
    <s v="OK"/>
  </r>
  <r>
    <n v="11940"/>
    <x v="0"/>
    <x v="0"/>
    <n v="3.35"/>
    <n v="9"/>
    <x v="2"/>
    <n v="55"/>
    <n v="5.1924999999999999"/>
    <n v="54.999999999999986"/>
    <s v="OK"/>
  </r>
  <r>
    <n v="11941"/>
    <x v="0"/>
    <x v="0"/>
    <n v="9.4"/>
    <n v="10"/>
    <x v="2"/>
    <n v="55"/>
    <n v="14.57"/>
    <n v="55.000000000000007"/>
    <s v="OK"/>
  </r>
  <r>
    <n v="11942"/>
    <x v="1"/>
    <x v="1"/>
    <n v="1.77"/>
    <n v="2"/>
    <x v="0"/>
    <n v="15"/>
    <n v="2.0354999999999999"/>
    <n v="14.999999999999991"/>
    <s v="OK"/>
  </r>
  <r>
    <n v="11943"/>
    <x v="3"/>
    <x v="1"/>
    <n v="6.18"/>
    <n v="7"/>
    <x v="1"/>
    <n v="30"/>
    <n v="8.0340000000000007"/>
    <n v="30.000000000000028"/>
    <s v="OK"/>
  </r>
  <r>
    <n v="11944"/>
    <x v="3"/>
    <x v="2"/>
    <n v="10.84"/>
    <n v="4"/>
    <x v="1"/>
    <n v="25"/>
    <n v="13.55"/>
    <n v="25"/>
    <s v="OK"/>
  </r>
  <r>
    <n v="11945"/>
    <x v="2"/>
    <x v="2"/>
    <n v="10.06"/>
    <n v="2"/>
    <x v="0"/>
    <n v="10"/>
    <n v="11.066000000000001"/>
    <n v="10.000000000000009"/>
    <s v="OK"/>
  </r>
  <r>
    <n v="11946"/>
    <x v="1"/>
    <x v="2"/>
    <n v="9.56"/>
    <n v="3"/>
    <x v="0"/>
    <n v="10"/>
    <n v="10.516000000000002"/>
    <n v="10.000000000000009"/>
    <s v="OK"/>
  </r>
  <r>
    <n v="11947"/>
    <x v="2"/>
    <x v="1"/>
    <n v="4.5999999999999996"/>
    <n v="6"/>
    <x v="1"/>
    <n v="30"/>
    <n v="5.9799999999999995"/>
    <n v="30.000000000000004"/>
    <s v="OK"/>
  </r>
  <r>
    <n v="11948"/>
    <x v="3"/>
    <x v="0"/>
    <n v="5.98"/>
    <n v="10"/>
    <x v="2"/>
    <n v="55"/>
    <n v="9.2690000000000001"/>
    <n v="54.999999999999986"/>
    <s v="OK"/>
  </r>
  <r>
    <n v="11949"/>
    <x v="1"/>
    <x v="0"/>
    <n v="1.99"/>
    <n v="9"/>
    <x v="2"/>
    <n v="55"/>
    <n v="3.0845000000000002"/>
    <n v="55.000000000000007"/>
    <s v="OK"/>
  </r>
  <r>
    <n v="11950"/>
    <x v="0"/>
    <x v="2"/>
    <n v="10.93"/>
    <n v="8"/>
    <x v="2"/>
    <n v="50"/>
    <n v="16.395"/>
    <n v="50"/>
    <s v="OK"/>
  </r>
  <r>
    <n v="11951"/>
    <x v="1"/>
    <x v="1"/>
    <n v="7.81"/>
    <n v="10"/>
    <x v="2"/>
    <n v="60"/>
    <n v="12.496"/>
    <n v="60.000000000000007"/>
    <s v="OK"/>
  </r>
  <r>
    <n v="11952"/>
    <x v="0"/>
    <x v="0"/>
    <n v="10.78"/>
    <n v="9"/>
    <x v="2"/>
    <n v="55"/>
    <n v="16.709"/>
    <n v="55.000000000000007"/>
    <s v="OK"/>
  </r>
  <r>
    <n v="11953"/>
    <x v="0"/>
    <x v="2"/>
    <n v="4.1100000000000003"/>
    <n v="4"/>
    <x v="1"/>
    <n v="25"/>
    <n v="5.1375000000000002"/>
    <n v="25"/>
    <s v="OK"/>
  </r>
  <r>
    <n v="11954"/>
    <x v="1"/>
    <x v="0"/>
    <n v="5.2"/>
    <n v="4"/>
    <x v="1"/>
    <n v="28"/>
    <n v="6.6560000000000006"/>
    <n v="28.000000000000004"/>
    <s v="OK"/>
  </r>
  <r>
    <n v="11955"/>
    <x v="0"/>
    <x v="0"/>
    <n v="5.35"/>
    <n v="9"/>
    <x v="2"/>
    <n v="55"/>
    <n v="8.2925000000000004"/>
    <n v="55.000000000000028"/>
    <s v="OK"/>
  </r>
  <r>
    <n v="11956"/>
    <x v="2"/>
    <x v="1"/>
    <n v="0.87"/>
    <n v="8"/>
    <x v="2"/>
    <n v="60"/>
    <n v="1.3920000000000001"/>
    <n v="60.000000000000007"/>
    <s v="OK"/>
  </r>
  <r>
    <n v="11957"/>
    <x v="3"/>
    <x v="1"/>
    <n v="5.45"/>
    <n v="2"/>
    <x v="0"/>
    <n v="15"/>
    <n v="6.2675000000000001"/>
    <n v="14.999999999999991"/>
    <s v="OK"/>
  </r>
  <r>
    <n v="11958"/>
    <x v="0"/>
    <x v="0"/>
    <n v="12.15"/>
    <n v="8"/>
    <x v="2"/>
    <n v="55"/>
    <n v="18.8325"/>
    <n v="54.999999999999986"/>
    <s v="OK"/>
  </r>
  <r>
    <n v="11959"/>
    <x v="2"/>
    <x v="2"/>
    <n v="13.51"/>
    <n v="1"/>
    <x v="0"/>
    <n v="10"/>
    <n v="14.861000000000001"/>
    <n v="10.000000000000009"/>
    <s v="OK"/>
  </r>
  <r>
    <n v="11960"/>
    <x v="0"/>
    <x v="1"/>
    <n v="8.01"/>
    <n v="9"/>
    <x v="2"/>
    <n v="60"/>
    <n v="12.816000000000001"/>
    <n v="60.000000000000007"/>
    <s v="OK"/>
  </r>
  <r>
    <n v="11961"/>
    <x v="3"/>
    <x v="0"/>
    <n v="7.1"/>
    <n v="9"/>
    <x v="2"/>
    <n v="55"/>
    <n v="11.004999999999999"/>
    <n v="55.000000000000007"/>
    <s v="OK"/>
  </r>
  <r>
    <n v="11962"/>
    <x v="2"/>
    <x v="1"/>
    <n v="0.95"/>
    <n v="8"/>
    <x v="2"/>
    <n v="60"/>
    <n v="1.52"/>
    <n v="60.000000000000007"/>
    <s v="OK"/>
  </r>
  <r>
    <n v="11963"/>
    <x v="3"/>
    <x v="1"/>
    <n v="13.25"/>
    <n v="5"/>
    <x v="1"/>
    <n v="30"/>
    <n v="17.225000000000001"/>
    <n v="30.000000000000004"/>
    <s v="OK"/>
  </r>
  <r>
    <n v="11964"/>
    <x v="3"/>
    <x v="1"/>
    <n v="0.69"/>
    <n v="5"/>
    <x v="1"/>
    <n v="30"/>
    <n v="0.89699999999999991"/>
    <n v="30.000000000000004"/>
    <s v="OK"/>
  </r>
  <r>
    <n v="11965"/>
    <x v="2"/>
    <x v="0"/>
    <n v="14.2"/>
    <n v="3"/>
    <x v="0"/>
    <n v="12"/>
    <n v="15.904"/>
    <n v="12.000000000000011"/>
    <s v="OK"/>
  </r>
  <r>
    <n v="11966"/>
    <x v="2"/>
    <x v="2"/>
    <n v="7.59"/>
    <n v="5"/>
    <x v="1"/>
    <n v="25"/>
    <n v="9.4875000000000007"/>
    <n v="25.000000000000021"/>
    <s v="OK"/>
  </r>
  <r>
    <n v="11967"/>
    <x v="2"/>
    <x v="2"/>
    <n v="5.46"/>
    <n v="4"/>
    <x v="1"/>
    <n v="25"/>
    <n v="6.8250000000000002"/>
    <n v="25"/>
    <s v="OK"/>
  </r>
  <r>
    <n v="11968"/>
    <x v="1"/>
    <x v="2"/>
    <n v="13.9"/>
    <n v="1"/>
    <x v="0"/>
    <n v="10"/>
    <n v="15.290000000000001"/>
    <n v="10.000000000000009"/>
    <s v="OK"/>
  </r>
  <r>
    <n v="11969"/>
    <x v="2"/>
    <x v="1"/>
    <n v="0.85"/>
    <n v="9"/>
    <x v="2"/>
    <n v="60"/>
    <n v="1.36"/>
    <n v="60.000000000000007"/>
    <s v="OK"/>
  </r>
  <r>
    <n v="11970"/>
    <x v="2"/>
    <x v="0"/>
    <n v="8.93"/>
    <n v="10"/>
    <x v="2"/>
    <n v="55"/>
    <n v="13.8415"/>
    <n v="55.000000000000007"/>
    <s v="OK"/>
  </r>
  <r>
    <n v="11971"/>
    <x v="2"/>
    <x v="1"/>
    <n v="8.4600000000000009"/>
    <n v="4"/>
    <x v="1"/>
    <n v="30"/>
    <n v="10.998000000000001"/>
    <n v="30.000000000000004"/>
    <s v="OK"/>
  </r>
  <r>
    <n v="11972"/>
    <x v="2"/>
    <x v="2"/>
    <n v="3.68"/>
    <n v="3"/>
    <x v="0"/>
    <n v="10"/>
    <n v="4.0480000000000009"/>
    <n v="10.000000000000032"/>
    <s v="OK"/>
  </r>
  <r>
    <n v="11973"/>
    <x v="0"/>
    <x v="2"/>
    <n v="6.72"/>
    <n v="6"/>
    <x v="1"/>
    <n v="25"/>
    <n v="8.4"/>
    <n v="25"/>
    <s v="OK"/>
  </r>
  <r>
    <n v="11974"/>
    <x v="1"/>
    <x v="0"/>
    <n v="9.9600000000000009"/>
    <n v="1"/>
    <x v="0"/>
    <n v="12"/>
    <n v="11.155200000000002"/>
    <n v="12.000000000000011"/>
    <s v="OK"/>
  </r>
  <r>
    <n v="11975"/>
    <x v="3"/>
    <x v="1"/>
    <n v="11.04"/>
    <n v="5"/>
    <x v="1"/>
    <n v="30"/>
    <n v="14.351999999999999"/>
    <n v="30.000000000000004"/>
    <s v="OK"/>
  </r>
  <r>
    <n v="11976"/>
    <x v="2"/>
    <x v="2"/>
    <n v="0.51"/>
    <n v="7"/>
    <x v="1"/>
    <n v="25"/>
    <n v="0.63749999999999996"/>
    <n v="25"/>
    <s v="OK"/>
  </r>
  <r>
    <n v="11977"/>
    <x v="0"/>
    <x v="0"/>
    <n v="14.08"/>
    <n v="2"/>
    <x v="0"/>
    <n v="12"/>
    <n v="15.769600000000002"/>
    <n v="12.000000000000011"/>
    <s v="OK"/>
  </r>
  <r>
    <n v="11978"/>
    <x v="0"/>
    <x v="1"/>
    <n v="2.89"/>
    <n v="10"/>
    <x v="2"/>
    <n v="60"/>
    <n v="4.6240000000000006"/>
    <n v="60.000000000000007"/>
    <s v="OK"/>
  </r>
  <r>
    <n v="11979"/>
    <x v="0"/>
    <x v="1"/>
    <n v="3.89"/>
    <n v="9"/>
    <x v="2"/>
    <n v="60"/>
    <n v="6.2240000000000002"/>
    <n v="60.000000000000007"/>
    <s v="OK"/>
  </r>
  <r>
    <n v="11980"/>
    <x v="3"/>
    <x v="2"/>
    <n v="4.32"/>
    <n v="6"/>
    <x v="1"/>
    <n v="25"/>
    <n v="5.4"/>
    <n v="25"/>
    <s v="OK"/>
  </r>
  <r>
    <n v="11981"/>
    <x v="2"/>
    <x v="2"/>
    <n v="1.05"/>
    <n v="2"/>
    <x v="0"/>
    <n v="10"/>
    <n v="1.1550000000000002"/>
    <n v="10.000000000000009"/>
    <s v="OK"/>
  </r>
  <r>
    <n v="11982"/>
    <x v="1"/>
    <x v="1"/>
    <n v="2.2799999999999998"/>
    <n v="8"/>
    <x v="2"/>
    <n v="60"/>
    <n v="3.6479999999999997"/>
    <n v="60.000000000000007"/>
    <s v="OK"/>
  </r>
  <r>
    <n v="11983"/>
    <x v="1"/>
    <x v="1"/>
    <n v="14.8"/>
    <n v="8"/>
    <x v="2"/>
    <n v="60"/>
    <n v="23.680000000000003"/>
    <n v="60.000000000000007"/>
    <s v="OK"/>
  </r>
  <r>
    <n v="11984"/>
    <x v="0"/>
    <x v="2"/>
    <n v="5.07"/>
    <n v="1"/>
    <x v="0"/>
    <n v="10"/>
    <n v="5.5770000000000008"/>
    <n v="10.000000000000009"/>
    <s v="OK"/>
  </r>
  <r>
    <n v="11985"/>
    <x v="3"/>
    <x v="1"/>
    <n v="2.17"/>
    <n v="1"/>
    <x v="0"/>
    <n v="15"/>
    <n v="2.4954999999999998"/>
    <n v="14.999999999999991"/>
    <s v="OK"/>
  </r>
  <r>
    <n v="11986"/>
    <x v="3"/>
    <x v="2"/>
    <n v="2.0499999999999998"/>
    <n v="1"/>
    <x v="0"/>
    <n v="10"/>
    <n v="2.2549999999999999"/>
    <n v="10.000000000000009"/>
    <s v="OK"/>
  </r>
  <r>
    <n v="11987"/>
    <x v="3"/>
    <x v="1"/>
    <n v="10.93"/>
    <n v="4"/>
    <x v="1"/>
    <n v="30"/>
    <n v="14.209"/>
    <n v="30.000000000000004"/>
    <s v="OK"/>
  </r>
  <r>
    <n v="11988"/>
    <x v="1"/>
    <x v="2"/>
    <n v="12.89"/>
    <n v="4"/>
    <x v="1"/>
    <n v="25"/>
    <n v="16.112500000000001"/>
    <n v="25"/>
    <s v="OK"/>
  </r>
  <r>
    <n v="11989"/>
    <x v="0"/>
    <x v="0"/>
    <n v="4.2300000000000004"/>
    <n v="8"/>
    <x v="2"/>
    <n v="55"/>
    <n v="6.5565000000000007"/>
    <n v="55.000000000000007"/>
    <s v="OK"/>
  </r>
  <r>
    <n v="11990"/>
    <x v="2"/>
    <x v="2"/>
    <n v="0.8"/>
    <n v="1"/>
    <x v="0"/>
    <n v="10"/>
    <n v="0.88000000000000012"/>
    <n v="10.000000000000009"/>
    <s v="OK"/>
  </r>
  <r>
    <n v="11991"/>
    <x v="1"/>
    <x v="2"/>
    <n v="3.73"/>
    <n v="10"/>
    <x v="2"/>
    <n v="50"/>
    <n v="5.5949999999999998"/>
    <n v="50"/>
    <s v="OK"/>
  </r>
  <r>
    <n v="11992"/>
    <x v="0"/>
    <x v="0"/>
    <n v="1.32"/>
    <n v="3"/>
    <x v="0"/>
    <n v="12"/>
    <n v="1.4784000000000002"/>
    <n v="12.000000000000011"/>
    <s v="OK"/>
  </r>
  <r>
    <n v="11993"/>
    <x v="0"/>
    <x v="1"/>
    <n v="2"/>
    <n v="1"/>
    <x v="0"/>
    <n v="15"/>
    <n v="2.2999999999999998"/>
    <n v="14.999999999999991"/>
    <s v="OK"/>
  </r>
  <r>
    <n v="11994"/>
    <x v="2"/>
    <x v="0"/>
    <n v="6.76"/>
    <n v="9"/>
    <x v="2"/>
    <n v="55"/>
    <n v="10.478"/>
    <n v="55.000000000000007"/>
    <s v="OK"/>
  </r>
  <r>
    <n v="11995"/>
    <x v="2"/>
    <x v="2"/>
    <n v="3.83"/>
    <n v="10"/>
    <x v="2"/>
    <n v="50"/>
    <n v="5.7450000000000001"/>
    <n v="50"/>
    <s v="OK"/>
  </r>
  <r>
    <n v="11996"/>
    <x v="2"/>
    <x v="1"/>
    <n v="7.98"/>
    <n v="9"/>
    <x v="2"/>
    <n v="60"/>
    <n v="12.768000000000001"/>
    <n v="60.000000000000007"/>
    <s v="OK"/>
  </r>
  <r>
    <n v="11997"/>
    <x v="3"/>
    <x v="0"/>
    <n v="4.18"/>
    <n v="7"/>
    <x v="1"/>
    <n v="28"/>
    <n v="5.3503999999999996"/>
    <n v="28.000000000000004"/>
    <s v="OK"/>
  </r>
  <r>
    <n v="11998"/>
    <x v="2"/>
    <x v="1"/>
    <n v="14.14"/>
    <n v="8"/>
    <x v="2"/>
    <n v="60"/>
    <n v="22.624000000000002"/>
    <n v="60.000000000000007"/>
    <s v="OK"/>
  </r>
  <r>
    <n v="11999"/>
    <x v="0"/>
    <x v="1"/>
    <n v="13.64"/>
    <n v="1"/>
    <x v="0"/>
    <n v="15"/>
    <n v="15.686"/>
    <n v="14.999999999999991"/>
    <s v="OK"/>
  </r>
  <r>
    <n v="12000"/>
    <x v="2"/>
    <x v="0"/>
    <n v="8.7200000000000006"/>
    <n v="5"/>
    <x v="1"/>
    <n v="28"/>
    <n v="11.161600000000002"/>
    <n v="28.000000000000004"/>
    <s v="OK"/>
  </r>
  <r>
    <n v="12001"/>
    <x v="0"/>
    <x v="1"/>
    <n v="5.64"/>
    <n v="2"/>
    <x v="0"/>
    <n v="15"/>
    <n v="6.4859999999999989"/>
    <n v="14.999999999999991"/>
    <s v="OK"/>
  </r>
  <r>
    <n v="12002"/>
    <x v="1"/>
    <x v="0"/>
    <n v="6.03"/>
    <n v="1"/>
    <x v="0"/>
    <n v="12"/>
    <n v="6.7536000000000005"/>
    <n v="12.000000000000011"/>
    <s v="OK"/>
  </r>
  <r>
    <n v="12003"/>
    <x v="3"/>
    <x v="2"/>
    <n v="6.47"/>
    <n v="3"/>
    <x v="0"/>
    <n v="10"/>
    <n v="7.117"/>
    <n v="10.000000000000009"/>
    <s v="OK"/>
  </r>
  <r>
    <n v="12004"/>
    <x v="1"/>
    <x v="1"/>
    <n v="11.05"/>
    <n v="7"/>
    <x v="1"/>
    <n v="30"/>
    <n v="14.365000000000002"/>
    <n v="30.000000000000004"/>
    <s v="OK"/>
  </r>
  <r>
    <n v="12005"/>
    <x v="1"/>
    <x v="2"/>
    <n v="7.05"/>
    <n v="1"/>
    <x v="0"/>
    <n v="10"/>
    <n v="7.7550000000000008"/>
    <n v="10.000000000000009"/>
    <s v="OK"/>
  </r>
  <r>
    <n v="12006"/>
    <x v="0"/>
    <x v="2"/>
    <n v="12.92"/>
    <n v="2"/>
    <x v="0"/>
    <n v="10"/>
    <n v="14.212000000000002"/>
    <n v="10.000000000000009"/>
    <s v="OK"/>
  </r>
  <r>
    <n v="12007"/>
    <x v="1"/>
    <x v="1"/>
    <n v="14.19"/>
    <n v="2"/>
    <x v="0"/>
    <n v="15"/>
    <n v="16.318499999999997"/>
    <n v="14.999999999999991"/>
    <s v="OK"/>
  </r>
  <r>
    <n v="12008"/>
    <x v="0"/>
    <x v="0"/>
    <n v="5.37"/>
    <n v="4"/>
    <x v="1"/>
    <n v="28"/>
    <n v="6.8736000000000006"/>
    <n v="28.000000000000004"/>
    <s v="OK"/>
  </r>
  <r>
    <n v="12009"/>
    <x v="2"/>
    <x v="1"/>
    <n v="8.6300000000000008"/>
    <n v="3"/>
    <x v="0"/>
    <n v="15"/>
    <n v="9.9245000000000001"/>
    <n v="14.999999999999991"/>
    <s v="OK"/>
  </r>
  <r>
    <n v="12010"/>
    <x v="2"/>
    <x v="2"/>
    <n v="1.88"/>
    <n v="3"/>
    <x v="0"/>
    <n v="10"/>
    <n v="2.0680000000000001"/>
    <n v="10.000000000000009"/>
    <s v="OK"/>
  </r>
  <r>
    <n v="12011"/>
    <x v="0"/>
    <x v="2"/>
    <n v="3.41"/>
    <n v="10"/>
    <x v="2"/>
    <n v="50"/>
    <n v="5.1150000000000002"/>
    <n v="50"/>
    <s v="OK"/>
  </r>
  <r>
    <n v="12012"/>
    <x v="2"/>
    <x v="0"/>
    <n v="6.5"/>
    <n v="5"/>
    <x v="1"/>
    <n v="28"/>
    <n v="8.32"/>
    <n v="28.000000000000004"/>
    <s v="OK"/>
  </r>
  <r>
    <n v="12013"/>
    <x v="3"/>
    <x v="1"/>
    <n v="3.49"/>
    <n v="3"/>
    <x v="0"/>
    <n v="15"/>
    <n v="4.0134999999999996"/>
    <n v="14.999999999999991"/>
    <s v="OK"/>
  </r>
  <r>
    <n v="12014"/>
    <x v="1"/>
    <x v="2"/>
    <n v="13.21"/>
    <n v="7"/>
    <x v="1"/>
    <n v="25"/>
    <n v="16.512500000000003"/>
    <n v="25.000000000000021"/>
    <s v="OK"/>
  </r>
  <r>
    <n v="12015"/>
    <x v="3"/>
    <x v="2"/>
    <n v="2.8"/>
    <n v="5"/>
    <x v="1"/>
    <n v="25"/>
    <n v="3.5"/>
    <n v="25"/>
    <s v="OK"/>
  </r>
  <r>
    <n v="12016"/>
    <x v="1"/>
    <x v="2"/>
    <n v="7.11"/>
    <n v="4"/>
    <x v="1"/>
    <n v="25"/>
    <n v="8.8875000000000011"/>
    <n v="25"/>
    <s v="OK"/>
  </r>
  <r>
    <n v="12017"/>
    <x v="2"/>
    <x v="0"/>
    <n v="9.2799999999999994"/>
    <n v="3"/>
    <x v="0"/>
    <n v="12"/>
    <n v="10.393600000000001"/>
    <n v="12.000000000000011"/>
    <s v="OK"/>
  </r>
  <r>
    <n v="12018"/>
    <x v="3"/>
    <x v="2"/>
    <n v="10.53"/>
    <n v="4"/>
    <x v="1"/>
    <n v="25"/>
    <n v="13.1625"/>
    <n v="25"/>
    <s v="OK"/>
  </r>
  <r>
    <n v="12019"/>
    <x v="2"/>
    <x v="2"/>
    <n v="6.05"/>
    <n v="2"/>
    <x v="0"/>
    <n v="10"/>
    <n v="6.6550000000000002"/>
    <n v="10.000000000000009"/>
    <s v="OK"/>
  </r>
  <r>
    <n v="12020"/>
    <x v="1"/>
    <x v="1"/>
    <n v="13.1"/>
    <n v="1"/>
    <x v="0"/>
    <n v="15"/>
    <n v="15.064999999999998"/>
    <n v="14.999999999999991"/>
    <s v="OK"/>
  </r>
  <r>
    <n v="12021"/>
    <x v="0"/>
    <x v="1"/>
    <n v="8.74"/>
    <n v="3"/>
    <x v="0"/>
    <n v="15"/>
    <n v="10.051"/>
    <n v="14.999999999999991"/>
    <s v="OK"/>
  </r>
  <r>
    <n v="12022"/>
    <x v="0"/>
    <x v="2"/>
    <n v="6.87"/>
    <n v="2"/>
    <x v="0"/>
    <n v="10"/>
    <n v="7.5570000000000004"/>
    <n v="10.000000000000009"/>
    <s v="OK"/>
  </r>
  <r>
    <n v="12023"/>
    <x v="3"/>
    <x v="2"/>
    <n v="1.47"/>
    <n v="1"/>
    <x v="0"/>
    <n v="10"/>
    <n v="1.617"/>
    <n v="10.000000000000009"/>
    <s v="OK"/>
  </r>
  <r>
    <n v="12024"/>
    <x v="2"/>
    <x v="1"/>
    <n v="7.24"/>
    <n v="1"/>
    <x v="0"/>
    <n v="15"/>
    <n v="8.3259999999999987"/>
    <n v="14.999999999999968"/>
    <s v="OK"/>
  </r>
  <r>
    <n v="12025"/>
    <x v="2"/>
    <x v="0"/>
    <n v="12.4"/>
    <n v="2"/>
    <x v="0"/>
    <n v="12"/>
    <n v="13.888000000000002"/>
    <n v="12.000000000000011"/>
    <s v="OK"/>
  </r>
  <r>
    <n v="12026"/>
    <x v="3"/>
    <x v="0"/>
    <n v="9.41"/>
    <n v="9"/>
    <x v="2"/>
    <n v="55"/>
    <n v="14.585500000000001"/>
    <n v="55.000000000000007"/>
    <s v="OK"/>
  </r>
  <r>
    <n v="12027"/>
    <x v="0"/>
    <x v="0"/>
    <n v="12.57"/>
    <n v="5"/>
    <x v="1"/>
    <n v="28"/>
    <n v="16.089600000000001"/>
    <n v="28.000000000000004"/>
    <s v="OK"/>
  </r>
  <r>
    <n v="12028"/>
    <x v="1"/>
    <x v="0"/>
    <n v="7.66"/>
    <n v="9"/>
    <x v="2"/>
    <n v="55"/>
    <n v="11.873000000000001"/>
    <n v="55.000000000000007"/>
    <s v="OK"/>
  </r>
  <r>
    <n v="12029"/>
    <x v="3"/>
    <x v="0"/>
    <n v="2.2200000000000002"/>
    <n v="8"/>
    <x v="2"/>
    <n v="55"/>
    <n v="3.4410000000000003"/>
    <n v="55.000000000000007"/>
    <s v="OK"/>
  </r>
  <r>
    <n v="12030"/>
    <x v="1"/>
    <x v="0"/>
    <n v="0.7"/>
    <n v="6"/>
    <x v="1"/>
    <n v="28"/>
    <n v="0.89599999999999991"/>
    <n v="28.000000000000004"/>
    <s v="OK"/>
  </r>
  <r>
    <n v="12031"/>
    <x v="0"/>
    <x v="0"/>
    <n v="4.9000000000000004"/>
    <n v="1"/>
    <x v="0"/>
    <n v="12"/>
    <n v="5.4880000000000013"/>
    <n v="12.000000000000011"/>
    <s v="OK"/>
  </r>
  <r>
    <n v="12032"/>
    <x v="2"/>
    <x v="0"/>
    <n v="10.62"/>
    <n v="10"/>
    <x v="2"/>
    <n v="55"/>
    <n v="16.460999999999999"/>
    <n v="55.000000000000007"/>
    <s v="OK"/>
  </r>
  <r>
    <n v="12033"/>
    <x v="0"/>
    <x v="1"/>
    <n v="11.96"/>
    <n v="5"/>
    <x v="1"/>
    <n v="30"/>
    <n v="15.548000000000002"/>
    <n v="30.000000000000004"/>
    <s v="OK"/>
  </r>
  <r>
    <n v="12034"/>
    <x v="3"/>
    <x v="0"/>
    <n v="4.79"/>
    <n v="1"/>
    <x v="0"/>
    <n v="12"/>
    <n v="5.3648000000000007"/>
    <n v="12.000000000000011"/>
    <s v="OK"/>
  </r>
  <r>
    <n v="12035"/>
    <x v="2"/>
    <x v="0"/>
    <n v="7.69"/>
    <n v="7"/>
    <x v="1"/>
    <n v="28"/>
    <n v="9.8432000000000013"/>
    <n v="28.000000000000004"/>
    <s v="OK"/>
  </r>
  <r>
    <n v="12036"/>
    <x v="3"/>
    <x v="0"/>
    <n v="6.61"/>
    <n v="10"/>
    <x v="2"/>
    <n v="55"/>
    <n v="10.245500000000002"/>
    <n v="55.000000000000028"/>
    <s v="OK"/>
  </r>
  <r>
    <n v="12037"/>
    <x v="3"/>
    <x v="2"/>
    <n v="6.45"/>
    <n v="8"/>
    <x v="2"/>
    <n v="50"/>
    <n v="9.6750000000000007"/>
    <n v="50"/>
    <s v="OK"/>
  </r>
  <r>
    <n v="12038"/>
    <x v="0"/>
    <x v="1"/>
    <n v="3.85"/>
    <n v="8"/>
    <x v="2"/>
    <n v="60"/>
    <n v="6.16"/>
    <n v="60.000000000000007"/>
    <s v="OK"/>
  </r>
  <r>
    <n v="12039"/>
    <x v="3"/>
    <x v="1"/>
    <n v="2.48"/>
    <n v="7"/>
    <x v="1"/>
    <n v="30"/>
    <n v="3.2240000000000002"/>
    <n v="30.000000000000004"/>
    <s v="OK"/>
  </r>
  <r>
    <n v="12040"/>
    <x v="0"/>
    <x v="1"/>
    <n v="3.35"/>
    <n v="2"/>
    <x v="0"/>
    <n v="15"/>
    <n v="3.8524999999999996"/>
    <n v="14.999999999999991"/>
    <s v="OK"/>
  </r>
  <r>
    <n v="12041"/>
    <x v="2"/>
    <x v="0"/>
    <n v="1.3"/>
    <n v="5"/>
    <x v="1"/>
    <n v="28"/>
    <n v="1.6640000000000001"/>
    <n v="28.000000000000004"/>
    <s v="OK"/>
  </r>
  <r>
    <n v="12042"/>
    <x v="0"/>
    <x v="0"/>
    <n v="3.37"/>
    <n v="4"/>
    <x v="1"/>
    <n v="28"/>
    <n v="4.3136000000000001"/>
    <n v="28.000000000000004"/>
    <s v="OK"/>
  </r>
  <r>
    <n v="12043"/>
    <x v="2"/>
    <x v="2"/>
    <n v="0.63"/>
    <n v="5"/>
    <x v="1"/>
    <n v="25"/>
    <n v="0.78749999999999998"/>
    <n v="25"/>
    <s v="OK"/>
  </r>
  <r>
    <n v="12044"/>
    <x v="0"/>
    <x v="1"/>
    <n v="9.6"/>
    <n v="10"/>
    <x v="2"/>
    <n v="60"/>
    <n v="15.36"/>
    <n v="60.000000000000007"/>
    <s v="OK"/>
  </r>
  <r>
    <n v="12045"/>
    <x v="1"/>
    <x v="0"/>
    <n v="5.09"/>
    <n v="9"/>
    <x v="2"/>
    <n v="55"/>
    <n v="7.8895"/>
    <n v="55.000000000000007"/>
    <s v="OK"/>
  </r>
  <r>
    <n v="12046"/>
    <x v="1"/>
    <x v="1"/>
    <n v="14.61"/>
    <n v="4"/>
    <x v="1"/>
    <n v="30"/>
    <n v="18.992999999999999"/>
    <n v="30.000000000000004"/>
    <s v="OK"/>
  </r>
  <r>
    <n v="12047"/>
    <x v="3"/>
    <x v="2"/>
    <n v="3.31"/>
    <n v="8"/>
    <x v="2"/>
    <n v="50"/>
    <n v="4.9649999999999999"/>
    <n v="50"/>
    <s v="OK"/>
  </r>
  <r>
    <n v="12048"/>
    <x v="0"/>
    <x v="2"/>
    <n v="5.51"/>
    <n v="8"/>
    <x v="2"/>
    <n v="50"/>
    <n v="8.2650000000000006"/>
    <n v="50.000000000000021"/>
    <s v="OK"/>
  </r>
  <r>
    <n v="12049"/>
    <x v="0"/>
    <x v="2"/>
    <n v="5.69"/>
    <n v="2"/>
    <x v="0"/>
    <n v="10"/>
    <n v="6.2590000000000012"/>
    <n v="10.000000000000009"/>
    <s v="OK"/>
  </r>
  <r>
    <n v="12050"/>
    <x v="2"/>
    <x v="1"/>
    <n v="0.62"/>
    <n v="6"/>
    <x v="1"/>
    <n v="30"/>
    <n v="0.80600000000000005"/>
    <n v="30.000000000000004"/>
    <s v="OK"/>
  </r>
  <r>
    <n v="12051"/>
    <x v="3"/>
    <x v="0"/>
    <n v="12.67"/>
    <n v="5"/>
    <x v="1"/>
    <n v="28"/>
    <n v="16.217600000000001"/>
    <n v="28.000000000000004"/>
    <s v="OK"/>
  </r>
  <r>
    <n v="12052"/>
    <x v="0"/>
    <x v="0"/>
    <n v="0.96"/>
    <n v="2"/>
    <x v="0"/>
    <n v="12"/>
    <n v="1.0752000000000002"/>
    <n v="12.000000000000011"/>
    <s v="OK"/>
  </r>
  <r>
    <n v="12053"/>
    <x v="3"/>
    <x v="2"/>
    <n v="14.13"/>
    <n v="10"/>
    <x v="2"/>
    <n v="50"/>
    <n v="21.195"/>
    <n v="50"/>
    <s v="OK"/>
  </r>
  <r>
    <n v="12054"/>
    <x v="1"/>
    <x v="0"/>
    <n v="13.44"/>
    <n v="4"/>
    <x v="1"/>
    <n v="28"/>
    <n v="17.203199999999999"/>
    <n v="28.000000000000004"/>
    <s v="OK"/>
  </r>
  <r>
    <n v="12055"/>
    <x v="0"/>
    <x v="2"/>
    <n v="8.27"/>
    <n v="7"/>
    <x v="1"/>
    <n v="25"/>
    <n v="10.337499999999999"/>
    <n v="25"/>
    <s v="OK"/>
  </r>
  <r>
    <n v="12056"/>
    <x v="0"/>
    <x v="1"/>
    <n v="8.3800000000000008"/>
    <n v="1"/>
    <x v="0"/>
    <n v="15"/>
    <n v="9.6370000000000005"/>
    <n v="14.999999999999991"/>
    <s v="OK"/>
  </r>
  <r>
    <n v="12057"/>
    <x v="3"/>
    <x v="2"/>
    <n v="9.98"/>
    <n v="9"/>
    <x v="2"/>
    <n v="50"/>
    <n v="14.97"/>
    <n v="50"/>
    <s v="OK"/>
  </r>
  <r>
    <n v="12058"/>
    <x v="0"/>
    <x v="1"/>
    <n v="6.11"/>
    <n v="10"/>
    <x v="2"/>
    <n v="60"/>
    <n v="9.7760000000000016"/>
    <n v="60.000000000000007"/>
    <s v="OK"/>
  </r>
  <r>
    <n v="12059"/>
    <x v="3"/>
    <x v="2"/>
    <n v="9.8800000000000008"/>
    <n v="1"/>
    <x v="0"/>
    <n v="10"/>
    <n v="10.868000000000002"/>
    <n v="10.000000000000009"/>
    <s v="OK"/>
  </r>
  <r>
    <n v="12060"/>
    <x v="0"/>
    <x v="0"/>
    <n v="1.1499999999999999"/>
    <n v="5"/>
    <x v="1"/>
    <n v="28"/>
    <n v="1.472"/>
    <n v="28.000000000000004"/>
    <s v="OK"/>
  </r>
  <r>
    <n v="12061"/>
    <x v="2"/>
    <x v="0"/>
    <n v="1.28"/>
    <n v="7"/>
    <x v="1"/>
    <n v="28"/>
    <n v="1.6384000000000001"/>
    <n v="28.000000000000004"/>
    <s v="OK"/>
  </r>
  <r>
    <n v="12062"/>
    <x v="3"/>
    <x v="2"/>
    <n v="7.13"/>
    <n v="8"/>
    <x v="2"/>
    <n v="50"/>
    <n v="10.695"/>
    <n v="50"/>
    <s v="OK"/>
  </r>
  <r>
    <n v="12063"/>
    <x v="0"/>
    <x v="0"/>
    <n v="8.4700000000000006"/>
    <n v="2"/>
    <x v="0"/>
    <n v="12"/>
    <n v="9.4864000000000015"/>
    <n v="12.000000000000011"/>
    <s v="OK"/>
  </r>
  <r>
    <n v="12064"/>
    <x v="1"/>
    <x v="0"/>
    <n v="13.37"/>
    <n v="4"/>
    <x v="1"/>
    <n v="28"/>
    <n v="17.113599999999998"/>
    <n v="28.000000000000004"/>
    <s v="OK"/>
  </r>
  <r>
    <n v="12065"/>
    <x v="0"/>
    <x v="0"/>
    <n v="2.02"/>
    <n v="2"/>
    <x v="0"/>
    <n v="12"/>
    <n v="2.2624000000000004"/>
    <n v="12.000000000000011"/>
    <s v="OK"/>
  </r>
  <r>
    <n v="12066"/>
    <x v="1"/>
    <x v="1"/>
    <n v="12.43"/>
    <n v="4"/>
    <x v="1"/>
    <n v="30"/>
    <n v="16.158999999999999"/>
    <n v="30.000000000000004"/>
    <s v="OK"/>
  </r>
  <r>
    <n v="12067"/>
    <x v="1"/>
    <x v="0"/>
    <n v="3.55"/>
    <n v="6"/>
    <x v="1"/>
    <n v="28"/>
    <n v="4.5439999999999996"/>
    <n v="28.000000000000004"/>
    <s v="OK"/>
  </r>
  <r>
    <n v="12068"/>
    <x v="2"/>
    <x v="1"/>
    <n v="6.21"/>
    <n v="6"/>
    <x v="1"/>
    <n v="30"/>
    <n v="8.0730000000000004"/>
    <n v="30.000000000000004"/>
    <s v="OK"/>
  </r>
  <r>
    <n v="12069"/>
    <x v="3"/>
    <x v="2"/>
    <n v="5.09"/>
    <n v="2"/>
    <x v="0"/>
    <n v="10"/>
    <n v="5.5990000000000002"/>
    <n v="10.000000000000009"/>
    <s v="OK"/>
  </r>
  <r>
    <n v="12070"/>
    <x v="0"/>
    <x v="0"/>
    <n v="6.3"/>
    <n v="4"/>
    <x v="1"/>
    <n v="28"/>
    <n v="8.0640000000000001"/>
    <n v="28.000000000000004"/>
    <s v="OK"/>
  </r>
  <r>
    <n v="12071"/>
    <x v="2"/>
    <x v="0"/>
    <n v="2.68"/>
    <n v="4"/>
    <x v="1"/>
    <n v="28"/>
    <n v="3.4304000000000001"/>
    <n v="28.000000000000004"/>
    <s v="OK"/>
  </r>
  <r>
    <n v="12072"/>
    <x v="0"/>
    <x v="0"/>
    <n v="7.8"/>
    <n v="1"/>
    <x v="0"/>
    <n v="12"/>
    <n v="8.7360000000000007"/>
    <n v="12.000000000000011"/>
    <s v="OK"/>
  </r>
  <r>
    <n v="12073"/>
    <x v="1"/>
    <x v="2"/>
    <n v="12.12"/>
    <n v="2"/>
    <x v="0"/>
    <n v="10"/>
    <n v="13.332000000000001"/>
    <n v="10.000000000000009"/>
    <s v="OK"/>
  </r>
  <r>
    <n v="12074"/>
    <x v="3"/>
    <x v="1"/>
    <n v="6.9"/>
    <n v="3"/>
    <x v="0"/>
    <n v="15"/>
    <n v="7.9349999999999996"/>
    <n v="14.999999999999991"/>
    <s v="OK"/>
  </r>
  <r>
    <n v="12075"/>
    <x v="0"/>
    <x v="1"/>
    <n v="7.61"/>
    <n v="5"/>
    <x v="1"/>
    <n v="30"/>
    <n v="9.8930000000000007"/>
    <n v="30.000000000000004"/>
    <s v="OK"/>
  </r>
  <r>
    <n v="12076"/>
    <x v="0"/>
    <x v="0"/>
    <n v="12.81"/>
    <n v="8"/>
    <x v="2"/>
    <n v="55"/>
    <n v="19.855500000000003"/>
    <n v="55.000000000000028"/>
    <s v="OK"/>
  </r>
  <r>
    <n v="12077"/>
    <x v="1"/>
    <x v="2"/>
    <n v="10.74"/>
    <n v="6"/>
    <x v="1"/>
    <n v="25"/>
    <n v="13.425000000000001"/>
    <n v="25"/>
    <s v="OK"/>
  </r>
  <r>
    <n v="12078"/>
    <x v="0"/>
    <x v="2"/>
    <n v="7.61"/>
    <n v="3"/>
    <x v="0"/>
    <n v="10"/>
    <n v="8.3710000000000004"/>
    <n v="10.000000000000009"/>
    <s v="OK"/>
  </r>
  <r>
    <n v="12079"/>
    <x v="0"/>
    <x v="2"/>
    <n v="4.24"/>
    <n v="6"/>
    <x v="1"/>
    <n v="25"/>
    <n v="5.3000000000000007"/>
    <n v="25"/>
    <s v="OK"/>
  </r>
  <r>
    <n v="12080"/>
    <x v="1"/>
    <x v="2"/>
    <n v="13.33"/>
    <n v="7"/>
    <x v="1"/>
    <n v="25"/>
    <n v="16.662500000000001"/>
    <n v="25"/>
    <s v="OK"/>
  </r>
  <r>
    <n v="12081"/>
    <x v="2"/>
    <x v="2"/>
    <n v="8.8699999999999992"/>
    <n v="6"/>
    <x v="1"/>
    <n v="25"/>
    <n v="11.087499999999999"/>
    <n v="25"/>
    <s v="OK"/>
  </r>
  <r>
    <n v="12082"/>
    <x v="1"/>
    <x v="1"/>
    <n v="3.71"/>
    <n v="10"/>
    <x v="2"/>
    <n v="60"/>
    <n v="5.9359999999999999"/>
    <n v="60.000000000000007"/>
    <s v="OK"/>
  </r>
  <r>
    <n v="12083"/>
    <x v="2"/>
    <x v="1"/>
    <n v="4.4000000000000004"/>
    <n v="6"/>
    <x v="1"/>
    <n v="30"/>
    <n v="5.7200000000000006"/>
    <n v="30.000000000000004"/>
    <s v="OK"/>
  </r>
  <r>
    <n v="12084"/>
    <x v="3"/>
    <x v="1"/>
    <n v="12.15"/>
    <n v="1"/>
    <x v="0"/>
    <n v="15"/>
    <n v="13.9725"/>
    <n v="14.999999999999991"/>
    <s v="OK"/>
  </r>
  <r>
    <n v="12085"/>
    <x v="2"/>
    <x v="0"/>
    <n v="1.1399999999999999"/>
    <n v="3"/>
    <x v="0"/>
    <n v="12"/>
    <n v="1.2767999999999999"/>
    <n v="12.000000000000011"/>
    <s v="OK"/>
  </r>
  <r>
    <n v="12086"/>
    <x v="2"/>
    <x v="2"/>
    <n v="14.89"/>
    <n v="7"/>
    <x v="1"/>
    <n v="25"/>
    <n v="18.612500000000001"/>
    <n v="25"/>
    <s v="OK"/>
  </r>
  <r>
    <n v="12087"/>
    <x v="3"/>
    <x v="0"/>
    <n v="2.39"/>
    <n v="4"/>
    <x v="1"/>
    <n v="28"/>
    <n v="3.0592000000000001"/>
    <n v="28.000000000000004"/>
    <s v="OK"/>
  </r>
  <r>
    <n v="12088"/>
    <x v="2"/>
    <x v="2"/>
    <n v="12.04"/>
    <n v="4"/>
    <x v="1"/>
    <n v="25"/>
    <n v="15.049999999999999"/>
    <n v="25"/>
    <s v="OK"/>
  </r>
  <r>
    <n v="12089"/>
    <x v="1"/>
    <x v="1"/>
    <n v="6.22"/>
    <n v="7"/>
    <x v="1"/>
    <n v="30"/>
    <n v="8.0860000000000003"/>
    <n v="30.000000000000004"/>
    <s v="OK"/>
  </r>
  <r>
    <n v="12090"/>
    <x v="2"/>
    <x v="0"/>
    <n v="7.64"/>
    <n v="9"/>
    <x v="2"/>
    <n v="55"/>
    <n v="11.842000000000001"/>
    <n v="55.000000000000007"/>
    <s v="OK"/>
  </r>
  <r>
    <n v="12091"/>
    <x v="3"/>
    <x v="1"/>
    <n v="13.27"/>
    <n v="2"/>
    <x v="0"/>
    <n v="15"/>
    <n v="15.260499999999999"/>
    <n v="14.999999999999991"/>
    <s v="OK"/>
  </r>
  <r>
    <n v="12092"/>
    <x v="1"/>
    <x v="2"/>
    <n v="6.49"/>
    <n v="9"/>
    <x v="2"/>
    <n v="50"/>
    <n v="9.7349999999999994"/>
    <n v="49.999999999999979"/>
    <s v="OK"/>
  </r>
  <r>
    <n v="12093"/>
    <x v="3"/>
    <x v="2"/>
    <n v="8.2899999999999991"/>
    <n v="3"/>
    <x v="0"/>
    <n v="10"/>
    <n v="9.1189999999999998"/>
    <n v="10.000000000000009"/>
    <s v="OK"/>
  </r>
  <r>
    <n v="12094"/>
    <x v="3"/>
    <x v="2"/>
    <n v="1.21"/>
    <n v="6"/>
    <x v="1"/>
    <n v="25"/>
    <n v="1.5125"/>
    <n v="25"/>
    <s v="OK"/>
  </r>
  <r>
    <n v="12095"/>
    <x v="0"/>
    <x v="1"/>
    <n v="0.53"/>
    <n v="4"/>
    <x v="1"/>
    <n v="30"/>
    <n v="0.68900000000000006"/>
    <n v="30.000000000000004"/>
    <s v="OK"/>
  </r>
  <r>
    <n v="12096"/>
    <x v="0"/>
    <x v="2"/>
    <n v="4.05"/>
    <n v="1"/>
    <x v="0"/>
    <n v="10"/>
    <n v="4.4550000000000001"/>
    <n v="10.000000000000009"/>
    <s v="OK"/>
  </r>
  <r>
    <n v="12097"/>
    <x v="3"/>
    <x v="1"/>
    <n v="10.37"/>
    <n v="9"/>
    <x v="2"/>
    <n v="60"/>
    <n v="16.591999999999999"/>
    <n v="60.000000000000007"/>
    <s v="OK"/>
  </r>
  <r>
    <n v="12098"/>
    <x v="3"/>
    <x v="0"/>
    <n v="2.2599999999999998"/>
    <n v="6"/>
    <x v="1"/>
    <n v="28"/>
    <n v="2.8927999999999998"/>
    <n v="28.000000000000004"/>
    <s v="OK"/>
  </r>
  <r>
    <n v="12099"/>
    <x v="3"/>
    <x v="2"/>
    <n v="2.15"/>
    <n v="8"/>
    <x v="2"/>
    <n v="50"/>
    <n v="3.2249999999999996"/>
    <n v="50"/>
    <s v="OK"/>
  </r>
  <r>
    <n v="12100"/>
    <x v="0"/>
    <x v="2"/>
    <n v="6.46"/>
    <n v="2"/>
    <x v="0"/>
    <n v="10"/>
    <n v="7.1060000000000008"/>
    <n v="10.000000000000009"/>
    <s v="OK"/>
  </r>
  <r>
    <n v="12101"/>
    <x v="0"/>
    <x v="2"/>
    <n v="9.89"/>
    <n v="7"/>
    <x v="1"/>
    <n v="25"/>
    <n v="12.362500000000001"/>
    <n v="25"/>
    <s v="OK"/>
  </r>
  <r>
    <n v="12102"/>
    <x v="2"/>
    <x v="0"/>
    <n v="10.83"/>
    <n v="6"/>
    <x v="1"/>
    <n v="28"/>
    <n v="13.862400000000001"/>
    <n v="28.000000000000004"/>
    <s v="OK"/>
  </r>
  <r>
    <n v="12103"/>
    <x v="2"/>
    <x v="2"/>
    <n v="3.09"/>
    <n v="2"/>
    <x v="0"/>
    <n v="10"/>
    <n v="3.399"/>
    <n v="10.000000000000009"/>
    <s v="OK"/>
  </r>
  <r>
    <n v="12104"/>
    <x v="3"/>
    <x v="1"/>
    <n v="1.65"/>
    <n v="2"/>
    <x v="0"/>
    <n v="15"/>
    <n v="1.8974999999999997"/>
    <n v="14.999999999999991"/>
    <s v="OK"/>
  </r>
  <r>
    <n v="12105"/>
    <x v="1"/>
    <x v="1"/>
    <n v="14.14"/>
    <n v="4"/>
    <x v="1"/>
    <n v="30"/>
    <n v="18.382000000000001"/>
    <n v="30.000000000000004"/>
    <s v="OK"/>
  </r>
  <r>
    <n v="12106"/>
    <x v="1"/>
    <x v="2"/>
    <n v="4.28"/>
    <n v="4"/>
    <x v="1"/>
    <n v="25"/>
    <n v="5.3500000000000005"/>
    <n v="25"/>
    <s v="OK"/>
  </r>
  <r>
    <n v="12107"/>
    <x v="0"/>
    <x v="2"/>
    <n v="12.87"/>
    <n v="3"/>
    <x v="0"/>
    <n v="10"/>
    <n v="14.157"/>
    <n v="10.000000000000009"/>
    <s v="OK"/>
  </r>
  <r>
    <n v="12108"/>
    <x v="0"/>
    <x v="0"/>
    <n v="13.02"/>
    <n v="8"/>
    <x v="2"/>
    <n v="55"/>
    <n v="20.181000000000001"/>
    <n v="55.000000000000007"/>
    <s v="OK"/>
  </r>
  <r>
    <n v="12109"/>
    <x v="0"/>
    <x v="0"/>
    <n v="11.7"/>
    <n v="7"/>
    <x v="1"/>
    <n v="28"/>
    <n v="14.975999999999999"/>
    <n v="28.000000000000004"/>
    <s v="OK"/>
  </r>
  <r>
    <n v="12110"/>
    <x v="3"/>
    <x v="0"/>
    <n v="2.95"/>
    <n v="2"/>
    <x v="0"/>
    <n v="12"/>
    <n v="3.3040000000000007"/>
    <n v="12.000000000000011"/>
    <s v="OK"/>
  </r>
  <r>
    <n v="12111"/>
    <x v="1"/>
    <x v="2"/>
    <n v="12.42"/>
    <n v="3"/>
    <x v="0"/>
    <n v="10"/>
    <n v="13.662000000000001"/>
    <n v="10.000000000000009"/>
    <s v="OK"/>
  </r>
  <r>
    <n v="12112"/>
    <x v="2"/>
    <x v="0"/>
    <n v="11.65"/>
    <n v="10"/>
    <x v="2"/>
    <n v="55"/>
    <n v="18.057500000000001"/>
    <n v="55.000000000000007"/>
    <s v="OK"/>
  </r>
  <r>
    <n v="12113"/>
    <x v="3"/>
    <x v="0"/>
    <n v="9.15"/>
    <n v="9"/>
    <x v="2"/>
    <n v="55"/>
    <n v="14.182500000000001"/>
    <n v="55.000000000000007"/>
    <s v="OK"/>
  </r>
  <r>
    <n v="12114"/>
    <x v="2"/>
    <x v="1"/>
    <n v="5.39"/>
    <n v="5"/>
    <x v="1"/>
    <n v="30"/>
    <n v="7.0069999999999997"/>
    <n v="30.000000000000004"/>
    <s v="OK"/>
  </r>
  <r>
    <n v="12115"/>
    <x v="2"/>
    <x v="0"/>
    <n v="4.3099999999999996"/>
    <n v="2"/>
    <x v="0"/>
    <n v="12"/>
    <n v="4.8272000000000004"/>
    <n v="12.000000000000011"/>
    <s v="OK"/>
  </r>
  <r>
    <n v="12116"/>
    <x v="3"/>
    <x v="1"/>
    <n v="2.27"/>
    <n v="3"/>
    <x v="0"/>
    <n v="15"/>
    <n v="2.6104999999999996"/>
    <n v="14.999999999999991"/>
    <s v="OK"/>
  </r>
  <r>
    <n v="12117"/>
    <x v="2"/>
    <x v="1"/>
    <n v="7.89"/>
    <n v="8"/>
    <x v="2"/>
    <n v="60"/>
    <n v="12.624000000000001"/>
    <n v="60.000000000000007"/>
    <s v="OK"/>
  </r>
  <r>
    <n v="12118"/>
    <x v="1"/>
    <x v="0"/>
    <n v="8.99"/>
    <n v="4"/>
    <x v="1"/>
    <n v="28"/>
    <n v="11.507200000000001"/>
    <n v="28.000000000000004"/>
    <s v="OK"/>
  </r>
  <r>
    <n v="12119"/>
    <x v="2"/>
    <x v="1"/>
    <n v="5.71"/>
    <n v="2"/>
    <x v="0"/>
    <n v="15"/>
    <n v="6.5664999999999996"/>
    <n v="14.999999999999991"/>
    <s v="OK"/>
  </r>
  <r>
    <n v="12120"/>
    <x v="1"/>
    <x v="2"/>
    <n v="7.39"/>
    <n v="2"/>
    <x v="0"/>
    <n v="10"/>
    <n v="8.1289999999999996"/>
    <n v="10.000000000000009"/>
    <s v="OK"/>
  </r>
  <r>
    <n v="12121"/>
    <x v="1"/>
    <x v="2"/>
    <n v="5.77"/>
    <n v="6"/>
    <x v="1"/>
    <n v="25"/>
    <n v="7.2124999999999995"/>
    <n v="25"/>
    <s v="OK"/>
  </r>
  <r>
    <n v="12122"/>
    <x v="1"/>
    <x v="0"/>
    <n v="9.7899999999999991"/>
    <n v="8"/>
    <x v="2"/>
    <n v="55"/>
    <n v="15.174499999999998"/>
    <n v="55.000000000000007"/>
    <s v="OK"/>
  </r>
  <r>
    <n v="12123"/>
    <x v="0"/>
    <x v="2"/>
    <n v="13.57"/>
    <n v="7"/>
    <x v="1"/>
    <n v="25"/>
    <n v="16.962499999999999"/>
    <n v="24.999999999999979"/>
    <s v="OK"/>
  </r>
  <r>
    <n v="12124"/>
    <x v="2"/>
    <x v="1"/>
    <n v="2.88"/>
    <n v="4"/>
    <x v="1"/>
    <n v="30"/>
    <n v="3.7439999999999998"/>
    <n v="30.000000000000004"/>
    <s v="OK"/>
  </r>
  <r>
    <n v="12125"/>
    <x v="3"/>
    <x v="2"/>
    <n v="6.03"/>
    <n v="2"/>
    <x v="0"/>
    <n v="10"/>
    <n v="6.6330000000000009"/>
    <n v="10.000000000000009"/>
    <s v="OK"/>
  </r>
  <r>
    <n v="12126"/>
    <x v="3"/>
    <x v="0"/>
    <n v="2.54"/>
    <n v="9"/>
    <x v="2"/>
    <n v="55"/>
    <n v="3.9370000000000003"/>
    <n v="55.000000000000007"/>
    <s v="OK"/>
  </r>
  <r>
    <n v="12127"/>
    <x v="2"/>
    <x v="0"/>
    <n v="9.56"/>
    <n v="4"/>
    <x v="1"/>
    <n v="28"/>
    <n v="12.236800000000001"/>
    <n v="28.000000000000004"/>
    <s v="OK"/>
  </r>
  <r>
    <n v="12128"/>
    <x v="0"/>
    <x v="1"/>
    <n v="11.07"/>
    <n v="9"/>
    <x v="2"/>
    <n v="60"/>
    <n v="17.712"/>
    <n v="59.999999999999986"/>
    <s v="OK"/>
  </r>
  <r>
    <n v="12129"/>
    <x v="0"/>
    <x v="0"/>
    <n v="14.01"/>
    <n v="5"/>
    <x v="1"/>
    <n v="28"/>
    <n v="17.9328"/>
    <n v="28.000000000000004"/>
    <s v="OK"/>
  </r>
  <r>
    <n v="12130"/>
    <x v="1"/>
    <x v="2"/>
    <n v="4.54"/>
    <n v="7"/>
    <x v="1"/>
    <n v="25"/>
    <n v="5.6749999999999998"/>
    <n v="25"/>
    <s v="OK"/>
  </r>
  <r>
    <n v="12131"/>
    <x v="2"/>
    <x v="0"/>
    <n v="14.28"/>
    <n v="5"/>
    <x v="1"/>
    <n v="28"/>
    <n v="18.278400000000001"/>
    <n v="28.000000000000025"/>
    <s v="OK"/>
  </r>
  <r>
    <n v="12132"/>
    <x v="2"/>
    <x v="1"/>
    <n v="1.42"/>
    <n v="2"/>
    <x v="0"/>
    <n v="15"/>
    <n v="1.6329999999999998"/>
    <n v="14.999999999999991"/>
    <s v="OK"/>
  </r>
  <r>
    <n v="12133"/>
    <x v="3"/>
    <x v="0"/>
    <n v="9.24"/>
    <n v="6"/>
    <x v="1"/>
    <n v="28"/>
    <n v="11.827200000000001"/>
    <n v="28.000000000000004"/>
    <s v="OK"/>
  </r>
  <r>
    <n v="12134"/>
    <x v="2"/>
    <x v="2"/>
    <n v="1.33"/>
    <n v="7"/>
    <x v="1"/>
    <n v="25"/>
    <n v="1.6625000000000001"/>
    <n v="25"/>
    <s v="OK"/>
  </r>
  <r>
    <n v="12135"/>
    <x v="0"/>
    <x v="1"/>
    <n v="13.46"/>
    <n v="6"/>
    <x v="1"/>
    <n v="30"/>
    <n v="17.498000000000001"/>
    <n v="30.000000000000004"/>
    <s v="OK"/>
  </r>
  <r>
    <n v="12136"/>
    <x v="2"/>
    <x v="2"/>
    <n v="8.18"/>
    <n v="3"/>
    <x v="0"/>
    <n v="10"/>
    <n v="8.9980000000000011"/>
    <n v="10.000000000000009"/>
    <s v="OK"/>
  </r>
  <r>
    <n v="12137"/>
    <x v="3"/>
    <x v="1"/>
    <n v="10.210000000000001"/>
    <n v="10"/>
    <x v="2"/>
    <n v="60"/>
    <n v="16.336000000000002"/>
    <n v="60.000000000000007"/>
    <s v="OK"/>
  </r>
  <r>
    <n v="12138"/>
    <x v="1"/>
    <x v="0"/>
    <n v="12.56"/>
    <n v="8"/>
    <x v="2"/>
    <n v="55"/>
    <n v="19.468"/>
    <n v="55.000000000000007"/>
    <s v="OK"/>
  </r>
  <r>
    <n v="12139"/>
    <x v="3"/>
    <x v="1"/>
    <n v="2.68"/>
    <n v="3"/>
    <x v="0"/>
    <n v="15"/>
    <n v="3.0819999999999999"/>
    <n v="14.999999999999991"/>
    <s v="OK"/>
  </r>
  <r>
    <n v="12140"/>
    <x v="3"/>
    <x v="1"/>
    <n v="1.06"/>
    <n v="5"/>
    <x v="1"/>
    <n v="30"/>
    <n v="1.3780000000000001"/>
    <n v="30.000000000000004"/>
    <s v="OK"/>
  </r>
  <r>
    <n v="12141"/>
    <x v="1"/>
    <x v="0"/>
    <n v="13.24"/>
    <n v="9"/>
    <x v="2"/>
    <n v="55"/>
    <n v="20.522000000000002"/>
    <n v="55.000000000000007"/>
    <s v="OK"/>
  </r>
  <r>
    <n v="12142"/>
    <x v="3"/>
    <x v="2"/>
    <n v="5.07"/>
    <n v="5"/>
    <x v="1"/>
    <n v="25"/>
    <n v="6.3375000000000004"/>
    <n v="25"/>
    <s v="OK"/>
  </r>
  <r>
    <n v="12143"/>
    <x v="3"/>
    <x v="0"/>
    <n v="2.37"/>
    <n v="7"/>
    <x v="1"/>
    <n v="28"/>
    <n v="3.0336000000000003"/>
    <n v="28.000000000000004"/>
    <s v="OK"/>
  </r>
  <r>
    <n v="12144"/>
    <x v="2"/>
    <x v="1"/>
    <n v="7.29"/>
    <n v="7"/>
    <x v="1"/>
    <n v="30"/>
    <n v="9.4770000000000003"/>
    <n v="30.000000000000004"/>
    <s v="OK"/>
  </r>
  <r>
    <n v="12145"/>
    <x v="2"/>
    <x v="0"/>
    <n v="9.18"/>
    <n v="5"/>
    <x v="1"/>
    <n v="28"/>
    <n v="11.750399999999999"/>
    <n v="28.000000000000004"/>
    <s v="OK"/>
  </r>
  <r>
    <n v="12146"/>
    <x v="1"/>
    <x v="1"/>
    <n v="0.95"/>
    <n v="2"/>
    <x v="0"/>
    <n v="15"/>
    <n v="1.0924999999999998"/>
    <n v="14.999999999999991"/>
    <s v="OK"/>
  </r>
  <r>
    <n v="12147"/>
    <x v="2"/>
    <x v="0"/>
    <n v="4.49"/>
    <n v="5"/>
    <x v="1"/>
    <n v="28"/>
    <n v="5.7472000000000003"/>
    <n v="28.000000000000004"/>
    <s v="OK"/>
  </r>
  <r>
    <n v="12148"/>
    <x v="2"/>
    <x v="0"/>
    <n v="0.98"/>
    <n v="7"/>
    <x v="1"/>
    <n v="28"/>
    <n v="1.2544"/>
    <n v="28.000000000000004"/>
    <s v="OK"/>
  </r>
  <r>
    <n v="12149"/>
    <x v="3"/>
    <x v="2"/>
    <n v="6.59"/>
    <n v="7"/>
    <x v="1"/>
    <n v="25"/>
    <n v="8.2375000000000007"/>
    <n v="25.000000000000021"/>
    <s v="OK"/>
  </r>
  <r>
    <n v="12150"/>
    <x v="0"/>
    <x v="1"/>
    <n v="13.48"/>
    <n v="4"/>
    <x v="1"/>
    <n v="30"/>
    <n v="17.524000000000001"/>
    <n v="30.000000000000004"/>
    <s v="OK"/>
  </r>
  <r>
    <n v="12151"/>
    <x v="2"/>
    <x v="2"/>
    <n v="14.75"/>
    <n v="1"/>
    <x v="0"/>
    <n v="10"/>
    <n v="16.225000000000001"/>
    <n v="10.000000000000009"/>
    <s v="OK"/>
  </r>
  <r>
    <n v="12152"/>
    <x v="0"/>
    <x v="1"/>
    <n v="9.74"/>
    <n v="6"/>
    <x v="1"/>
    <n v="30"/>
    <n v="12.662000000000001"/>
    <n v="30.000000000000004"/>
    <s v="OK"/>
  </r>
  <r>
    <n v="12153"/>
    <x v="2"/>
    <x v="0"/>
    <n v="2.84"/>
    <n v="3"/>
    <x v="0"/>
    <n v="12"/>
    <n v="3.1808000000000001"/>
    <n v="12.000000000000011"/>
    <s v="OK"/>
  </r>
  <r>
    <n v="12154"/>
    <x v="2"/>
    <x v="1"/>
    <n v="13.63"/>
    <n v="5"/>
    <x v="1"/>
    <n v="30"/>
    <n v="17.719000000000001"/>
    <n v="30.000000000000004"/>
    <s v="OK"/>
  </r>
  <r>
    <n v="12155"/>
    <x v="1"/>
    <x v="2"/>
    <n v="7.99"/>
    <n v="4"/>
    <x v="1"/>
    <n v="25"/>
    <n v="9.9875000000000007"/>
    <n v="25"/>
    <s v="OK"/>
  </r>
  <r>
    <n v="12156"/>
    <x v="1"/>
    <x v="2"/>
    <n v="2.73"/>
    <n v="2"/>
    <x v="0"/>
    <n v="10"/>
    <n v="3.0030000000000001"/>
    <n v="10.000000000000009"/>
    <s v="OK"/>
  </r>
  <r>
    <n v="12157"/>
    <x v="1"/>
    <x v="2"/>
    <n v="13.87"/>
    <n v="7"/>
    <x v="1"/>
    <n v="25"/>
    <n v="17.337499999999999"/>
    <n v="25"/>
    <s v="OK"/>
  </r>
  <r>
    <n v="12158"/>
    <x v="0"/>
    <x v="1"/>
    <n v="11.48"/>
    <n v="5"/>
    <x v="1"/>
    <n v="30"/>
    <n v="14.924000000000001"/>
    <n v="30.000000000000004"/>
    <s v="OK"/>
  </r>
  <r>
    <n v="12159"/>
    <x v="3"/>
    <x v="2"/>
    <n v="11.11"/>
    <n v="7"/>
    <x v="1"/>
    <n v="25"/>
    <n v="13.887499999999999"/>
    <n v="25"/>
    <s v="OK"/>
  </r>
  <r>
    <n v="12160"/>
    <x v="2"/>
    <x v="2"/>
    <n v="10.78"/>
    <n v="9"/>
    <x v="2"/>
    <n v="50"/>
    <n v="16.169999999999998"/>
    <n v="50"/>
    <s v="OK"/>
  </r>
  <r>
    <n v="12161"/>
    <x v="2"/>
    <x v="2"/>
    <n v="3.4"/>
    <n v="4"/>
    <x v="1"/>
    <n v="25"/>
    <n v="4.25"/>
    <n v="25"/>
    <s v="OK"/>
  </r>
  <r>
    <n v="12162"/>
    <x v="2"/>
    <x v="0"/>
    <n v="3.56"/>
    <n v="5"/>
    <x v="1"/>
    <n v="28"/>
    <n v="4.5568"/>
    <n v="28.000000000000004"/>
    <s v="OK"/>
  </r>
  <r>
    <n v="12163"/>
    <x v="0"/>
    <x v="0"/>
    <n v="10.48"/>
    <n v="9"/>
    <x v="2"/>
    <n v="55"/>
    <n v="16.244"/>
    <n v="54.999999999999986"/>
    <s v="OK"/>
  </r>
  <r>
    <n v="12164"/>
    <x v="1"/>
    <x v="1"/>
    <n v="3.69"/>
    <n v="10"/>
    <x v="2"/>
    <n v="60"/>
    <n v="5.9039999999999999"/>
    <n v="60.000000000000007"/>
    <s v="OK"/>
  </r>
  <r>
    <n v="12165"/>
    <x v="3"/>
    <x v="1"/>
    <n v="6.86"/>
    <n v="4"/>
    <x v="1"/>
    <n v="30"/>
    <n v="8.918000000000001"/>
    <n v="30.000000000000004"/>
    <s v="OK"/>
  </r>
  <r>
    <n v="12166"/>
    <x v="0"/>
    <x v="2"/>
    <n v="11.84"/>
    <n v="5"/>
    <x v="1"/>
    <n v="25"/>
    <n v="14.8"/>
    <n v="25"/>
    <s v="OK"/>
  </r>
  <r>
    <n v="12167"/>
    <x v="1"/>
    <x v="0"/>
    <n v="11.87"/>
    <n v="5"/>
    <x v="1"/>
    <n v="28"/>
    <n v="15.1936"/>
    <n v="28.000000000000004"/>
    <s v="OK"/>
  </r>
  <r>
    <n v="12168"/>
    <x v="0"/>
    <x v="2"/>
    <n v="7.07"/>
    <n v="8"/>
    <x v="2"/>
    <n v="50"/>
    <n v="10.605"/>
    <n v="50"/>
    <s v="OK"/>
  </r>
  <r>
    <n v="12169"/>
    <x v="3"/>
    <x v="2"/>
    <n v="11.99"/>
    <n v="4"/>
    <x v="1"/>
    <n v="25"/>
    <n v="14.987500000000001"/>
    <n v="25"/>
    <s v="OK"/>
  </r>
  <r>
    <n v="12170"/>
    <x v="1"/>
    <x v="0"/>
    <n v="12.66"/>
    <n v="4"/>
    <x v="1"/>
    <n v="28"/>
    <n v="16.204799999999999"/>
    <n v="27.999999999999979"/>
    <s v="OK"/>
  </r>
  <r>
    <n v="12171"/>
    <x v="0"/>
    <x v="0"/>
    <n v="9.99"/>
    <n v="7"/>
    <x v="1"/>
    <n v="28"/>
    <n v="12.7872"/>
    <n v="28.000000000000004"/>
    <s v="OK"/>
  </r>
  <r>
    <n v="12172"/>
    <x v="3"/>
    <x v="0"/>
    <n v="3.81"/>
    <n v="5"/>
    <x v="1"/>
    <n v="28"/>
    <n v="4.8768000000000002"/>
    <n v="28.000000000000004"/>
    <s v="OK"/>
  </r>
  <r>
    <n v="12173"/>
    <x v="2"/>
    <x v="1"/>
    <n v="4.47"/>
    <n v="6"/>
    <x v="1"/>
    <n v="30"/>
    <n v="5.8109999999999999"/>
    <n v="30.000000000000004"/>
    <s v="OK"/>
  </r>
  <r>
    <n v="12174"/>
    <x v="3"/>
    <x v="1"/>
    <n v="5.07"/>
    <n v="6"/>
    <x v="1"/>
    <n v="30"/>
    <n v="6.5910000000000002"/>
    <n v="30.000000000000004"/>
    <s v="OK"/>
  </r>
  <r>
    <n v="12175"/>
    <x v="2"/>
    <x v="2"/>
    <n v="2.19"/>
    <n v="6"/>
    <x v="1"/>
    <n v="25"/>
    <n v="2.7374999999999998"/>
    <n v="25"/>
    <s v="OK"/>
  </r>
  <r>
    <n v="12176"/>
    <x v="0"/>
    <x v="1"/>
    <n v="4.46"/>
    <n v="10"/>
    <x v="2"/>
    <n v="60"/>
    <n v="7.1360000000000001"/>
    <n v="60.000000000000007"/>
    <s v="OK"/>
  </r>
  <r>
    <n v="12177"/>
    <x v="1"/>
    <x v="0"/>
    <n v="3.54"/>
    <n v="5"/>
    <x v="1"/>
    <n v="28"/>
    <n v="4.5312000000000001"/>
    <n v="28.000000000000004"/>
    <s v="OK"/>
  </r>
  <r>
    <n v="12178"/>
    <x v="1"/>
    <x v="0"/>
    <n v="7.1"/>
    <n v="5"/>
    <x v="1"/>
    <n v="28"/>
    <n v="9.0879999999999992"/>
    <n v="28.000000000000004"/>
    <s v="OK"/>
  </r>
  <r>
    <n v="12179"/>
    <x v="0"/>
    <x v="1"/>
    <n v="13.67"/>
    <n v="9"/>
    <x v="2"/>
    <n v="60"/>
    <n v="21.872"/>
    <n v="60.000000000000007"/>
    <s v="OK"/>
  </r>
  <r>
    <n v="12180"/>
    <x v="1"/>
    <x v="2"/>
    <n v="2.0099999999999998"/>
    <n v="8"/>
    <x v="2"/>
    <n v="50"/>
    <n v="3.0149999999999997"/>
    <n v="50"/>
    <s v="OK"/>
  </r>
  <r>
    <n v="12181"/>
    <x v="1"/>
    <x v="2"/>
    <n v="10.94"/>
    <n v="4"/>
    <x v="1"/>
    <n v="25"/>
    <n v="13.674999999999999"/>
    <n v="25"/>
    <s v="OK"/>
  </r>
  <r>
    <n v="12182"/>
    <x v="2"/>
    <x v="1"/>
    <n v="10.47"/>
    <n v="7"/>
    <x v="1"/>
    <n v="30"/>
    <n v="13.611000000000001"/>
    <n v="30.000000000000004"/>
    <s v="OK"/>
  </r>
  <r>
    <n v="12183"/>
    <x v="0"/>
    <x v="2"/>
    <n v="1.89"/>
    <n v="8"/>
    <x v="2"/>
    <n v="50"/>
    <n v="2.835"/>
    <n v="50"/>
    <s v="OK"/>
  </r>
  <r>
    <n v="12184"/>
    <x v="3"/>
    <x v="2"/>
    <n v="13.88"/>
    <n v="9"/>
    <x v="2"/>
    <n v="50"/>
    <n v="20.82"/>
    <n v="50"/>
    <s v="OK"/>
  </r>
  <r>
    <n v="12185"/>
    <x v="2"/>
    <x v="2"/>
    <n v="8.74"/>
    <n v="5"/>
    <x v="1"/>
    <n v="25"/>
    <n v="10.925000000000001"/>
    <n v="25"/>
    <s v="OK"/>
  </r>
  <r>
    <n v="12186"/>
    <x v="0"/>
    <x v="0"/>
    <n v="5.77"/>
    <n v="3"/>
    <x v="0"/>
    <n v="12"/>
    <n v="6.4623999999999997"/>
    <n v="12.000000000000011"/>
    <s v="OK"/>
  </r>
  <r>
    <n v="12187"/>
    <x v="2"/>
    <x v="0"/>
    <n v="11.47"/>
    <n v="4"/>
    <x v="1"/>
    <n v="28"/>
    <n v="14.681600000000001"/>
    <n v="28.000000000000004"/>
    <s v="OK"/>
  </r>
  <r>
    <n v="12188"/>
    <x v="3"/>
    <x v="1"/>
    <n v="4.2300000000000004"/>
    <n v="10"/>
    <x v="2"/>
    <n v="60"/>
    <n v="6.7680000000000007"/>
    <n v="60.000000000000007"/>
    <s v="OK"/>
  </r>
  <r>
    <n v="12189"/>
    <x v="3"/>
    <x v="0"/>
    <n v="10.56"/>
    <n v="6"/>
    <x v="1"/>
    <n v="28"/>
    <n v="13.516800000000002"/>
    <n v="28.000000000000004"/>
    <s v="OK"/>
  </r>
  <r>
    <n v="12190"/>
    <x v="0"/>
    <x v="2"/>
    <n v="1.08"/>
    <n v="10"/>
    <x v="2"/>
    <n v="50"/>
    <n v="1.62"/>
    <n v="50"/>
    <s v="OK"/>
  </r>
  <r>
    <n v="12191"/>
    <x v="3"/>
    <x v="0"/>
    <n v="12.67"/>
    <n v="5"/>
    <x v="1"/>
    <n v="28"/>
    <n v="16.217600000000001"/>
    <n v="28.000000000000004"/>
    <s v="OK"/>
  </r>
  <r>
    <n v="12192"/>
    <x v="2"/>
    <x v="1"/>
    <n v="7"/>
    <n v="9"/>
    <x v="2"/>
    <n v="60"/>
    <n v="11.200000000000001"/>
    <n v="60.000000000000007"/>
    <s v="OK"/>
  </r>
  <r>
    <n v="12193"/>
    <x v="3"/>
    <x v="0"/>
    <n v="9.73"/>
    <n v="3"/>
    <x v="0"/>
    <n v="12"/>
    <n v="10.897600000000002"/>
    <n v="12.000000000000011"/>
    <s v="OK"/>
  </r>
  <r>
    <n v="12194"/>
    <x v="2"/>
    <x v="2"/>
    <n v="3.71"/>
    <n v="2"/>
    <x v="0"/>
    <n v="10"/>
    <n v="4.0810000000000004"/>
    <n v="10.000000000000009"/>
    <s v="OK"/>
  </r>
  <r>
    <n v="12195"/>
    <x v="2"/>
    <x v="2"/>
    <n v="10.32"/>
    <n v="6"/>
    <x v="1"/>
    <n v="25"/>
    <n v="12.9"/>
    <n v="25"/>
    <s v="OK"/>
  </r>
  <r>
    <n v="12196"/>
    <x v="3"/>
    <x v="1"/>
    <n v="11.7"/>
    <n v="7"/>
    <x v="1"/>
    <n v="30"/>
    <n v="15.209999999999999"/>
    <n v="30.000000000000004"/>
    <s v="OK"/>
  </r>
  <r>
    <n v="12197"/>
    <x v="0"/>
    <x v="0"/>
    <n v="7.36"/>
    <n v="5"/>
    <x v="1"/>
    <n v="28"/>
    <n v="9.4207999999999998"/>
    <n v="28.000000000000004"/>
    <s v="OK"/>
  </r>
  <r>
    <n v="12198"/>
    <x v="1"/>
    <x v="0"/>
    <n v="9.4600000000000009"/>
    <n v="1"/>
    <x v="0"/>
    <n v="12"/>
    <n v="10.595200000000002"/>
    <n v="12.000000000000011"/>
    <s v="OK"/>
  </r>
  <r>
    <n v="12199"/>
    <x v="3"/>
    <x v="0"/>
    <n v="7.12"/>
    <n v="3"/>
    <x v="0"/>
    <n v="12"/>
    <n v="7.974400000000001"/>
    <n v="12.000000000000011"/>
    <s v="OK"/>
  </r>
  <r>
    <n v="12200"/>
    <x v="2"/>
    <x v="2"/>
    <n v="13.46"/>
    <n v="3"/>
    <x v="0"/>
    <n v="10"/>
    <n v="14.806000000000003"/>
    <n v="10.000000000000009"/>
    <s v="OK"/>
  </r>
  <r>
    <n v="12201"/>
    <x v="2"/>
    <x v="1"/>
    <n v="7.72"/>
    <n v="4"/>
    <x v="1"/>
    <n v="30"/>
    <n v="10.036"/>
    <n v="30.000000000000004"/>
    <s v="OK"/>
  </r>
  <r>
    <n v="12202"/>
    <x v="3"/>
    <x v="0"/>
    <n v="12.71"/>
    <n v="10"/>
    <x v="2"/>
    <n v="55"/>
    <n v="19.700500000000002"/>
    <n v="55.000000000000007"/>
    <s v="OK"/>
  </r>
  <r>
    <n v="12203"/>
    <x v="0"/>
    <x v="2"/>
    <n v="12.12"/>
    <n v="6"/>
    <x v="1"/>
    <n v="25"/>
    <n v="15.149999999999999"/>
    <n v="25"/>
    <s v="OK"/>
  </r>
  <r>
    <n v="12204"/>
    <x v="0"/>
    <x v="2"/>
    <n v="6.45"/>
    <n v="5"/>
    <x v="1"/>
    <n v="25"/>
    <n v="8.0625"/>
    <n v="25"/>
    <s v="OK"/>
  </r>
  <r>
    <n v="12205"/>
    <x v="2"/>
    <x v="2"/>
    <n v="3.84"/>
    <n v="1"/>
    <x v="0"/>
    <n v="10"/>
    <n v="4.2240000000000002"/>
    <n v="10.000000000000009"/>
    <s v="OK"/>
  </r>
  <r>
    <n v="12206"/>
    <x v="2"/>
    <x v="0"/>
    <n v="6.39"/>
    <n v="6"/>
    <x v="1"/>
    <n v="28"/>
    <n v="8.1791999999999998"/>
    <n v="28.000000000000004"/>
    <s v="OK"/>
  </r>
  <r>
    <n v="12207"/>
    <x v="0"/>
    <x v="0"/>
    <n v="12.48"/>
    <n v="9"/>
    <x v="2"/>
    <n v="55"/>
    <n v="19.344000000000001"/>
    <n v="55.000000000000007"/>
    <s v="OK"/>
  </r>
  <r>
    <n v="12208"/>
    <x v="1"/>
    <x v="0"/>
    <n v="3.8"/>
    <n v="1"/>
    <x v="0"/>
    <n v="12"/>
    <n v="4.2560000000000002"/>
    <n v="12.000000000000011"/>
    <s v="OK"/>
  </r>
  <r>
    <n v="12209"/>
    <x v="3"/>
    <x v="0"/>
    <n v="8.1"/>
    <n v="8"/>
    <x v="2"/>
    <n v="55"/>
    <n v="12.555"/>
    <n v="55.000000000000007"/>
    <s v="OK"/>
  </r>
  <r>
    <n v="12210"/>
    <x v="2"/>
    <x v="0"/>
    <n v="12.19"/>
    <n v="8"/>
    <x v="2"/>
    <n v="55"/>
    <n v="18.894500000000001"/>
    <n v="55.000000000000007"/>
    <s v="OK"/>
  </r>
  <r>
    <n v="12211"/>
    <x v="2"/>
    <x v="0"/>
    <n v="5.63"/>
    <n v="3"/>
    <x v="0"/>
    <n v="12"/>
    <n v="6.3056000000000001"/>
    <n v="12.000000000000011"/>
    <s v="OK"/>
  </r>
  <r>
    <n v="12212"/>
    <x v="0"/>
    <x v="0"/>
    <n v="9.81"/>
    <n v="9"/>
    <x v="2"/>
    <n v="55"/>
    <n v="15.205500000000001"/>
    <n v="55.000000000000007"/>
    <s v="OK"/>
  </r>
  <r>
    <n v="12213"/>
    <x v="3"/>
    <x v="0"/>
    <n v="4.0599999999999996"/>
    <n v="8"/>
    <x v="2"/>
    <n v="55"/>
    <n v="6.2929999999999993"/>
    <n v="55.000000000000007"/>
    <s v="OK"/>
  </r>
  <r>
    <n v="12214"/>
    <x v="0"/>
    <x v="0"/>
    <n v="2.08"/>
    <n v="3"/>
    <x v="0"/>
    <n v="12"/>
    <n v="2.3296000000000001"/>
    <n v="12.000000000000011"/>
    <s v="OK"/>
  </r>
  <r>
    <n v="12215"/>
    <x v="3"/>
    <x v="2"/>
    <n v="12.02"/>
    <n v="10"/>
    <x v="2"/>
    <n v="50"/>
    <n v="18.03"/>
    <n v="50.000000000000021"/>
    <s v="OK"/>
  </r>
  <r>
    <n v="12216"/>
    <x v="3"/>
    <x v="0"/>
    <n v="1.94"/>
    <n v="5"/>
    <x v="1"/>
    <n v="28"/>
    <n v="2.4832000000000001"/>
    <n v="28.000000000000004"/>
    <s v="OK"/>
  </r>
  <r>
    <n v="12217"/>
    <x v="3"/>
    <x v="1"/>
    <n v="4.4400000000000004"/>
    <n v="3"/>
    <x v="0"/>
    <n v="15"/>
    <n v="5.1059999999999999"/>
    <n v="14.999999999999991"/>
    <s v="OK"/>
  </r>
  <r>
    <n v="12218"/>
    <x v="2"/>
    <x v="2"/>
    <n v="12.9"/>
    <n v="5"/>
    <x v="1"/>
    <n v="25"/>
    <n v="16.125"/>
    <n v="25"/>
    <s v="OK"/>
  </r>
  <r>
    <n v="12219"/>
    <x v="1"/>
    <x v="0"/>
    <n v="5.52"/>
    <n v="9"/>
    <x v="2"/>
    <n v="55"/>
    <n v="8.5559999999999992"/>
    <n v="55.000000000000007"/>
    <s v="OK"/>
  </r>
  <r>
    <n v="12220"/>
    <x v="0"/>
    <x v="1"/>
    <n v="14.61"/>
    <n v="4"/>
    <x v="1"/>
    <n v="30"/>
    <n v="18.992999999999999"/>
    <n v="30.000000000000004"/>
    <s v="OK"/>
  </r>
  <r>
    <n v="12221"/>
    <x v="1"/>
    <x v="0"/>
    <n v="14.71"/>
    <n v="6"/>
    <x v="1"/>
    <n v="28"/>
    <n v="18.828800000000001"/>
    <n v="28.000000000000004"/>
    <s v="OK"/>
  </r>
  <r>
    <n v="12222"/>
    <x v="0"/>
    <x v="1"/>
    <n v="4.3899999999999997"/>
    <n v="3"/>
    <x v="0"/>
    <n v="15"/>
    <n v="5.0484999999999989"/>
    <n v="14.999999999999991"/>
    <s v="OK"/>
  </r>
  <r>
    <n v="12223"/>
    <x v="3"/>
    <x v="1"/>
    <n v="1.0900000000000001"/>
    <n v="3"/>
    <x v="0"/>
    <n v="15"/>
    <n v="1.2535000000000001"/>
    <n v="14.999999999999991"/>
    <s v="OK"/>
  </r>
  <r>
    <n v="12224"/>
    <x v="2"/>
    <x v="1"/>
    <n v="10.72"/>
    <n v="5"/>
    <x v="1"/>
    <n v="30"/>
    <n v="13.936000000000002"/>
    <n v="30.000000000000004"/>
    <s v="OK"/>
  </r>
  <r>
    <n v="12225"/>
    <x v="1"/>
    <x v="1"/>
    <n v="7.04"/>
    <n v="8"/>
    <x v="2"/>
    <n v="60"/>
    <n v="11.264000000000001"/>
    <n v="60.000000000000007"/>
    <s v="OK"/>
  </r>
  <r>
    <n v="12226"/>
    <x v="2"/>
    <x v="2"/>
    <n v="1.96"/>
    <n v="8"/>
    <x v="2"/>
    <n v="50"/>
    <n v="2.94"/>
    <n v="50"/>
    <s v="OK"/>
  </r>
  <r>
    <n v="12227"/>
    <x v="0"/>
    <x v="2"/>
    <n v="10.76"/>
    <n v="3"/>
    <x v="0"/>
    <n v="10"/>
    <n v="11.836"/>
    <n v="10.000000000000009"/>
    <s v="OK"/>
  </r>
  <r>
    <n v="12228"/>
    <x v="2"/>
    <x v="1"/>
    <n v="0.95"/>
    <n v="8"/>
    <x v="2"/>
    <n v="60"/>
    <n v="1.52"/>
    <n v="60.000000000000007"/>
    <s v="OK"/>
  </r>
  <r>
    <n v="12229"/>
    <x v="2"/>
    <x v="0"/>
    <n v="13.12"/>
    <n v="8"/>
    <x v="2"/>
    <n v="55"/>
    <n v="20.335999999999999"/>
    <n v="55.000000000000007"/>
    <s v="OK"/>
  </r>
  <r>
    <n v="12230"/>
    <x v="1"/>
    <x v="1"/>
    <n v="2.5099999999999998"/>
    <n v="3"/>
    <x v="0"/>
    <n v="15"/>
    <n v="2.8864999999999994"/>
    <n v="14.999999999999991"/>
    <s v="OK"/>
  </r>
  <r>
    <n v="12231"/>
    <x v="3"/>
    <x v="2"/>
    <n v="2.35"/>
    <n v="10"/>
    <x v="2"/>
    <n v="50"/>
    <n v="3.5250000000000004"/>
    <n v="50"/>
    <s v="OK"/>
  </r>
  <r>
    <n v="12232"/>
    <x v="2"/>
    <x v="0"/>
    <n v="3.05"/>
    <n v="10"/>
    <x v="2"/>
    <n v="55"/>
    <n v="4.7275"/>
    <n v="55.000000000000007"/>
    <s v="OK"/>
  </r>
  <r>
    <n v="12233"/>
    <x v="3"/>
    <x v="2"/>
    <n v="14.42"/>
    <n v="2"/>
    <x v="0"/>
    <n v="10"/>
    <n v="15.862000000000002"/>
    <n v="10.000000000000009"/>
    <s v="OK"/>
  </r>
  <r>
    <n v="12234"/>
    <x v="0"/>
    <x v="2"/>
    <n v="10.55"/>
    <n v="10"/>
    <x v="2"/>
    <n v="50"/>
    <n v="15.825000000000001"/>
    <n v="50"/>
    <s v="OK"/>
  </r>
  <r>
    <n v="12235"/>
    <x v="2"/>
    <x v="0"/>
    <n v="12.12"/>
    <n v="2"/>
    <x v="0"/>
    <n v="12"/>
    <n v="13.574400000000001"/>
    <n v="12.000000000000011"/>
    <s v="OK"/>
  </r>
  <r>
    <n v="12236"/>
    <x v="1"/>
    <x v="1"/>
    <n v="6.27"/>
    <n v="9"/>
    <x v="2"/>
    <n v="60"/>
    <n v="10.032"/>
    <n v="60.000000000000007"/>
    <s v="OK"/>
  </r>
  <r>
    <n v="12237"/>
    <x v="0"/>
    <x v="1"/>
    <n v="5.38"/>
    <n v="7"/>
    <x v="1"/>
    <n v="30"/>
    <n v="6.9939999999999998"/>
    <n v="30.000000000000004"/>
    <s v="OK"/>
  </r>
  <r>
    <n v="12238"/>
    <x v="0"/>
    <x v="1"/>
    <n v="3.9"/>
    <n v="6"/>
    <x v="1"/>
    <n v="30"/>
    <n v="5.07"/>
    <n v="30.000000000000004"/>
    <s v="OK"/>
  </r>
  <r>
    <n v="12239"/>
    <x v="1"/>
    <x v="1"/>
    <n v="7.47"/>
    <n v="7"/>
    <x v="1"/>
    <n v="30"/>
    <n v="9.7110000000000003"/>
    <n v="30.000000000000004"/>
    <s v="OK"/>
  </r>
  <r>
    <n v="12240"/>
    <x v="2"/>
    <x v="0"/>
    <n v="8.5"/>
    <n v="8"/>
    <x v="2"/>
    <n v="55"/>
    <n v="13.175000000000001"/>
    <n v="55.000000000000007"/>
    <s v="OK"/>
  </r>
  <r>
    <n v="12241"/>
    <x v="2"/>
    <x v="0"/>
    <n v="9.66"/>
    <n v="1"/>
    <x v="0"/>
    <n v="12"/>
    <n v="10.8192"/>
    <n v="12.000000000000011"/>
    <s v="OK"/>
  </r>
  <r>
    <n v="12242"/>
    <x v="0"/>
    <x v="0"/>
    <n v="4.2300000000000004"/>
    <n v="8"/>
    <x v="2"/>
    <n v="55"/>
    <n v="6.5565000000000007"/>
    <n v="55.000000000000007"/>
    <s v="OK"/>
  </r>
  <r>
    <n v="12243"/>
    <x v="2"/>
    <x v="2"/>
    <n v="14.26"/>
    <n v="3"/>
    <x v="0"/>
    <n v="10"/>
    <n v="15.686000000000002"/>
    <n v="10.000000000000009"/>
    <s v="OK"/>
  </r>
  <r>
    <n v="12244"/>
    <x v="3"/>
    <x v="0"/>
    <n v="2.96"/>
    <n v="3"/>
    <x v="0"/>
    <n v="12"/>
    <n v="3.3152000000000004"/>
    <n v="12.000000000000011"/>
    <s v="OK"/>
  </r>
  <r>
    <n v="12245"/>
    <x v="1"/>
    <x v="1"/>
    <n v="14.5"/>
    <n v="6"/>
    <x v="1"/>
    <n v="30"/>
    <n v="18.850000000000001"/>
    <n v="30.000000000000004"/>
    <s v="OK"/>
  </r>
  <r>
    <n v="12246"/>
    <x v="3"/>
    <x v="2"/>
    <n v="0.72"/>
    <n v="4"/>
    <x v="1"/>
    <n v="25"/>
    <n v="0.89999999999999991"/>
    <n v="25"/>
    <s v="OK"/>
  </r>
  <r>
    <n v="12247"/>
    <x v="2"/>
    <x v="1"/>
    <n v="7.48"/>
    <n v="4"/>
    <x v="1"/>
    <n v="30"/>
    <n v="9.7240000000000002"/>
    <n v="30.000000000000004"/>
    <s v="OK"/>
  </r>
  <r>
    <n v="12248"/>
    <x v="0"/>
    <x v="1"/>
    <n v="5.33"/>
    <n v="4"/>
    <x v="1"/>
    <n v="30"/>
    <n v="6.9290000000000003"/>
    <n v="30.000000000000004"/>
    <s v="OK"/>
  </r>
  <r>
    <n v="12249"/>
    <x v="1"/>
    <x v="0"/>
    <n v="7.01"/>
    <n v="10"/>
    <x v="2"/>
    <n v="55"/>
    <n v="10.865500000000001"/>
    <n v="55.000000000000028"/>
    <s v="OK"/>
  </r>
  <r>
    <n v="12250"/>
    <x v="2"/>
    <x v="0"/>
    <n v="8.77"/>
    <n v="9"/>
    <x v="2"/>
    <n v="55"/>
    <n v="13.593500000000001"/>
    <n v="55.000000000000007"/>
    <s v="OK"/>
  </r>
  <r>
    <n v="12251"/>
    <x v="2"/>
    <x v="1"/>
    <n v="6.82"/>
    <n v="8"/>
    <x v="2"/>
    <n v="60"/>
    <n v="10.912000000000001"/>
    <n v="60.000000000000007"/>
    <s v="OK"/>
  </r>
  <r>
    <n v="12252"/>
    <x v="0"/>
    <x v="1"/>
    <n v="6.52"/>
    <n v="3"/>
    <x v="0"/>
    <n v="15"/>
    <n v="7.4979999999999993"/>
    <n v="14.999999999999991"/>
    <s v="OK"/>
  </r>
  <r>
    <n v="12253"/>
    <x v="0"/>
    <x v="2"/>
    <n v="11.12"/>
    <n v="1"/>
    <x v="0"/>
    <n v="10"/>
    <n v="12.231999999999999"/>
    <n v="10.000000000000009"/>
    <s v="OK"/>
  </r>
  <r>
    <n v="12254"/>
    <x v="3"/>
    <x v="0"/>
    <n v="10.45"/>
    <n v="1"/>
    <x v="0"/>
    <n v="12"/>
    <n v="11.704000000000001"/>
    <n v="12.000000000000011"/>
    <s v="OK"/>
  </r>
  <r>
    <n v="12255"/>
    <x v="1"/>
    <x v="2"/>
    <n v="12.58"/>
    <n v="1"/>
    <x v="0"/>
    <n v="10"/>
    <n v="13.838000000000001"/>
    <n v="10.000000000000009"/>
    <s v="OK"/>
  </r>
  <r>
    <n v="12256"/>
    <x v="1"/>
    <x v="2"/>
    <n v="4.12"/>
    <n v="4"/>
    <x v="1"/>
    <n v="25"/>
    <n v="5.15"/>
    <n v="25"/>
    <s v="OK"/>
  </r>
  <r>
    <n v="12257"/>
    <x v="0"/>
    <x v="2"/>
    <n v="9.34"/>
    <n v="6"/>
    <x v="1"/>
    <n v="25"/>
    <n v="11.675000000000001"/>
    <n v="25"/>
    <s v="OK"/>
  </r>
  <r>
    <n v="12258"/>
    <x v="3"/>
    <x v="1"/>
    <n v="8.99"/>
    <n v="4"/>
    <x v="1"/>
    <n v="30"/>
    <n v="11.687000000000001"/>
    <n v="30.000000000000004"/>
    <s v="OK"/>
  </r>
  <r>
    <n v="12259"/>
    <x v="1"/>
    <x v="2"/>
    <n v="5.86"/>
    <n v="3"/>
    <x v="0"/>
    <n v="10"/>
    <n v="6.4460000000000006"/>
    <n v="10.000000000000009"/>
    <s v="OK"/>
  </r>
  <r>
    <n v="12260"/>
    <x v="0"/>
    <x v="2"/>
    <n v="7.55"/>
    <n v="8"/>
    <x v="2"/>
    <n v="50"/>
    <n v="11.324999999999999"/>
    <n v="50"/>
    <s v="OK"/>
  </r>
  <r>
    <n v="12261"/>
    <x v="2"/>
    <x v="1"/>
    <n v="5.05"/>
    <n v="8"/>
    <x v="2"/>
    <n v="60"/>
    <n v="8.08"/>
    <n v="60.000000000000007"/>
    <s v="OK"/>
  </r>
  <r>
    <n v="12262"/>
    <x v="1"/>
    <x v="0"/>
    <n v="2.56"/>
    <n v="6"/>
    <x v="1"/>
    <n v="28"/>
    <n v="3.2768000000000002"/>
    <n v="28.000000000000004"/>
    <s v="OK"/>
  </r>
  <r>
    <n v="12263"/>
    <x v="3"/>
    <x v="0"/>
    <n v="3.6"/>
    <n v="9"/>
    <x v="2"/>
    <n v="55"/>
    <n v="5.58"/>
    <n v="55.000000000000007"/>
    <s v="OK"/>
  </r>
  <r>
    <n v="12264"/>
    <x v="3"/>
    <x v="2"/>
    <n v="2.0299999999999998"/>
    <n v="10"/>
    <x v="2"/>
    <n v="50"/>
    <n v="3.0449999999999999"/>
    <n v="50"/>
    <s v="OK"/>
  </r>
  <r>
    <n v="12265"/>
    <x v="3"/>
    <x v="1"/>
    <n v="10.4"/>
    <n v="1"/>
    <x v="0"/>
    <n v="15"/>
    <n v="11.959999999999999"/>
    <n v="14.999999999999991"/>
    <s v="OK"/>
  </r>
  <r>
    <n v="12266"/>
    <x v="2"/>
    <x v="0"/>
    <n v="10.08"/>
    <n v="8"/>
    <x v="2"/>
    <n v="55"/>
    <n v="15.624000000000001"/>
    <n v="55.000000000000007"/>
    <s v="OK"/>
  </r>
  <r>
    <n v="12267"/>
    <x v="1"/>
    <x v="2"/>
    <n v="14.28"/>
    <n v="6"/>
    <x v="1"/>
    <n v="25"/>
    <n v="17.849999999999998"/>
    <n v="25"/>
    <s v="OK"/>
  </r>
  <r>
    <n v="12268"/>
    <x v="1"/>
    <x v="2"/>
    <n v="11.08"/>
    <n v="1"/>
    <x v="0"/>
    <n v="10"/>
    <n v="12.188000000000001"/>
    <n v="10.000000000000009"/>
    <s v="OK"/>
  </r>
  <r>
    <n v="12269"/>
    <x v="2"/>
    <x v="1"/>
    <n v="1.25"/>
    <n v="4"/>
    <x v="1"/>
    <n v="30"/>
    <n v="1.625"/>
    <n v="30.000000000000004"/>
    <s v="OK"/>
  </r>
  <r>
    <n v="12270"/>
    <x v="1"/>
    <x v="2"/>
    <n v="13.32"/>
    <n v="5"/>
    <x v="1"/>
    <n v="25"/>
    <n v="16.649999999999999"/>
    <n v="24.999999999999979"/>
    <s v="OK"/>
  </r>
  <r>
    <n v="12271"/>
    <x v="2"/>
    <x v="0"/>
    <n v="13.01"/>
    <n v="7"/>
    <x v="1"/>
    <n v="28"/>
    <n v="16.652799999999999"/>
    <n v="28.000000000000004"/>
    <s v="OK"/>
  </r>
  <r>
    <n v="12272"/>
    <x v="2"/>
    <x v="1"/>
    <n v="6.93"/>
    <n v="8"/>
    <x v="2"/>
    <n v="60"/>
    <n v="11.088000000000001"/>
    <n v="60.000000000000028"/>
    <s v="OK"/>
  </r>
  <r>
    <n v="12273"/>
    <x v="2"/>
    <x v="0"/>
    <n v="9"/>
    <n v="9"/>
    <x v="2"/>
    <n v="55"/>
    <n v="13.950000000000001"/>
    <n v="55.000000000000007"/>
    <s v="OK"/>
  </r>
  <r>
    <n v="12274"/>
    <x v="3"/>
    <x v="0"/>
    <n v="14.65"/>
    <n v="6"/>
    <x v="1"/>
    <n v="28"/>
    <n v="18.752000000000002"/>
    <n v="28.000000000000004"/>
    <s v="OK"/>
  </r>
  <r>
    <n v="12275"/>
    <x v="1"/>
    <x v="0"/>
    <n v="8.2200000000000006"/>
    <n v="10"/>
    <x v="2"/>
    <n v="55"/>
    <n v="12.741000000000001"/>
    <n v="55.000000000000007"/>
    <s v="OK"/>
  </r>
  <r>
    <n v="12276"/>
    <x v="2"/>
    <x v="2"/>
    <n v="13.63"/>
    <n v="9"/>
    <x v="2"/>
    <n v="50"/>
    <n v="20.445"/>
    <n v="50"/>
    <s v="OK"/>
  </r>
  <r>
    <n v="12277"/>
    <x v="1"/>
    <x v="2"/>
    <n v="1.7"/>
    <n v="4"/>
    <x v="1"/>
    <n v="25"/>
    <n v="2.125"/>
    <n v="25"/>
    <s v="OK"/>
  </r>
  <r>
    <n v="12278"/>
    <x v="3"/>
    <x v="0"/>
    <n v="3.27"/>
    <n v="8"/>
    <x v="2"/>
    <n v="55"/>
    <n v="5.0685000000000002"/>
    <n v="55.000000000000007"/>
    <s v="OK"/>
  </r>
  <r>
    <n v="12279"/>
    <x v="2"/>
    <x v="0"/>
    <n v="6.89"/>
    <n v="3"/>
    <x v="0"/>
    <n v="12"/>
    <n v="7.7168000000000001"/>
    <n v="12.000000000000011"/>
    <s v="OK"/>
  </r>
  <r>
    <n v="12280"/>
    <x v="0"/>
    <x v="1"/>
    <n v="8.98"/>
    <n v="4"/>
    <x v="1"/>
    <n v="30"/>
    <n v="11.674000000000001"/>
    <n v="30.000000000000004"/>
    <s v="OK"/>
  </r>
  <r>
    <n v="12281"/>
    <x v="3"/>
    <x v="1"/>
    <n v="12.34"/>
    <n v="10"/>
    <x v="2"/>
    <n v="60"/>
    <n v="19.744"/>
    <n v="60.000000000000007"/>
    <s v="OK"/>
  </r>
  <r>
    <n v="12282"/>
    <x v="0"/>
    <x v="2"/>
    <n v="14.83"/>
    <n v="4"/>
    <x v="1"/>
    <n v="25"/>
    <n v="18.537500000000001"/>
    <n v="25"/>
    <s v="OK"/>
  </r>
  <r>
    <n v="12283"/>
    <x v="1"/>
    <x v="2"/>
    <n v="6.14"/>
    <n v="6"/>
    <x v="1"/>
    <n v="25"/>
    <n v="7.6749999999999998"/>
    <n v="25"/>
    <s v="OK"/>
  </r>
  <r>
    <n v="12284"/>
    <x v="1"/>
    <x v="1"/>
    <n v="1.19"/>
    <n v="9"/>
    <x v="2"/>
    <n v="60"/>
    <n v="1.9039999999999999"/>
    <n v="60.000000000000007"/>
    <s v="OK"/>
  </r>
  <r>
    <n v="12285"/>
    <x v="3"/>
    <x v="0"/>
    <n v="12.12"/>
    <n v="6"/>
    <x v="1"/>
    <n v="28"/>
    <n v="15.513599999999999"/>
    <n v="28.000000000000004"/>
    <s v="OK"/>
  </r>
  <r>
    <n v="12286"/>
    <x v="1"/>
    <x v="2"/>
    <n v="9.26"/>
    <n v="1"/>
    <x v="0"/>
    <n v="10"/>
    <n v="10.186"/>
    <n v="10.000000000000009"/>
    <s v="OK"/>
  </r>
  <r>
    <n v="12287"/>
    <x v="0"/>
    <x v="0"/>
    <n v="3.38"/>
    <n v="5"/>
    <x v="1"/>
    <n v="28"/>
    <n v="4.3263999999999996"/>
    <n v="28.000000000000004"/>
    <s v="OK"/>
  </r>
  <r>
    <n v="12288"/>
    <x v="2"/>
    <x v="1"/>
    <n v="7.68"/>
    <n v="9"/>
    <x v="2"/>
    <n v="60"/>
    <n v="12.288"/>
    <n v="60.000000000000007"/>
    <s v="OK"/>
  </r>
  <r>
    <n v="12289"/>
    <x v="2"/>
    <x v="2"/>
    <n v="11.26"/>
    <n v="5"/>
    <x v="1"/>
    <n v="25"/>
    <n v="14.074999999999999"/>
    <n v="25"/>
    <s v="OK"/>
  </r>
  <r>
    <n v="12290"/>
    <x v="2"/>
    <x v="2"/>
    <n v="11.67"/>
    <n v="6"/>
    <x v="1"/>
    <n v="25"/>
    <n v="14.5875"/>
    <n v="25"/>
    <s v="OK"/>
  </r>
  <r>
    <n v="12291"/>
    <x v="3"/>
    <x v="1"/>
    <n v="7.74"/>
    <n v="3"/>
    <x v="0"/>
    <n v="15"/>
    <n v="8.9009999999999998"/>
    <n v="14.999999999999991"/>
    <s v="OK"/>
  </r>
  <r>
    <n v="12292"/>
    <x v="1"/>
    <x v="2"/>
    <n v="4.93"/>
    <n v="8"/>
    <x v="2"/>
    <n v="50"/>
    <n v="7.3949999999999996"/>
    <n v="50"/>
    <s v="OK"/>
  </r>
  <r>
    <n v="12293"/>
    <x v="0"/>
    <x v="1"/>
    <n v="14.62"/>
    <n v="10"/>
    <x v="2"/>
    <n v="60"/>
    <n v="23.391999999999999"/>
    <n v="60.000000000000007"/>
    <s v="OK"/>
  </r>
  <r>
    <n v="12294"/>
    <x v="1"/>
    <x v="2"/>
    <n v="10.119999999999999"/>
    <n v="4"/>
    <x v="1"/>
    <n v="25"/>
    <n v="12.649999999999999"/>
    <n v="25"/>
    <s v="OK"/>
  </r>
  <r>
    <n v="12295"/>
    <x v="1"/>
    <x v="1"/>
    <n v="6.42"/>
    <n v="4"/>
    <x v="1"/>
    <n v="30"/>
    <n v="8.3460000000000001"/>
    <n v="30.000000000000004"/>
    <s v="OK"/>
  </r>
  <r>
    <n v="12296"/>
    <x v="1"/>
    <x v="2"/>
    <n v="4.57"/>
    <n v="5"/>
    <x v="1"/>
    <n v="25"/>
    <n v="5.7125000000000004"/>
    <n v="25"/>
    <s v="OK"/>
  </r>
  <r>
    <n v="12297"/>
    <x v="2"/>
    <x v="0"/>
    <n v="11.1"/>
    <n v="10"/>
    <x v="2"/>
    <n v="55"/>
    <n v="17.204999999999998"/>
    <n v="54.999999999999986"/>
    <s v="OK"/>
  </r>
  <r>
    <n v="12298"/>
    <x v="0"/>
    <x v="0"/>
    <n v="4.01"/>
    <n v="9"/>
    <x v="2"/>
    <n v="55"/>
    <n v="6.2154999999999996"/>
    <n v="55.000000000000007"/>
    <s v="OK"/>
  </r>
  <r>
    <n v="12299"/>
    <x v="0"/>
    <x v="0"/>
    <n v="2.99"/>
    <n v="8"/>
    <x v="2"/>
    <n v="55"/>
    <n v="4.6345000000000001"/>
    <n v="54.999999999999986"/>
    <s v="OK"/>
  </r>
  <r>
    <n v="12300"/>
    <x v="1"/>
    <x v="2"/>
    <n v="8.18"/>
    <n v="7"/>
    <x v="1"/>
    <n v="25"/>
    <n v="10.225"/>
    <n v="25"/>
    <s v="OK"/>
  </r>
  <r>
    <n v="12301"/>
    <x v="2"/>
    <x v="2"/>
    <n v="4.7"/>
    <n v="5"/>
    <x v="1"/>
    <n v="25"/>
    <n v="5.875"/>
    <n v="25"/>
    <s v="OK"/>
  </r>
  <r>
    <n v="12302"/>
    <x v="2"/>
    <x v="0"/>
    <n v="9.6199999999999992"/>
    <n v="9"/>
    <x v="2"/>
    <n v="55"/>
    <n v="14.911"/>
    <n v="55.000000000000007"/>
    <s v="OK"/>
  </r>
  <r>
    <n v="12303"/>
    <x v="0"/>
    <x v="0"/>
    <n v="2.21"/>
    <n v="9"/>
    <x v="2"/>
    <n v="55"/>
    <n v="3.4255"/>
    <n v="55.000000000000007"/>
    <s v="OK"/>
  </r>
  <r>
    <n v="12304"/>
    <x v="2"/>
    <x v="1"/>
    <n v="10"/>
    <n v="10"/>
    <x v="2"/>
    <n v="60"/>
    <n v="16"/>
    <n v="60.000000000000007"/>
    <s v="OK"/>
  </r>
  <r>
    <n v="12305"/>
    <x v="2"/>
    <x v="1"/>
    <n v="4.6100000000000003"/>
    <n v="10"/>
    <x v="2"/>
    <n v="60"/>
    <n v="7.3760000000000012"/>
    <n v="60.000000000000007"/>
    <s v="OK"/>
  </r>
  <r>
    <n v="12306"/>
    <x v="2"/>
    <x v="1"/>
    <n v="0.5"/>
    <n v="2"/>
    <x v="0"/>
    <n v="15"/>
    <n v="0.57499999999999996"/>
    <n v="14.999999999999991"/>
    <s v="OK"/>
  </r>
  <r>
    <n v="12307"/>
    <x v="3"/>
    <x v="0"/>
    <n v="2.34"/>
    <n v="4"/>
    <x v="1"/>
    <n v="28"/>
    <n v="2.9952000000000001"/>
    <n v="28.000000000000004"/>
    <s v="OK"/>
  </r>
  <r>
    <n v="12308"/>
    <x v="1"/>
    <x v="0"/>
    <n v="14.04"/>
    <n v="8"/>
    <x v="2"/>
    <n v="55"/>
    <n v="21.762"/>
    <n v="55.000000000000007"/>
    <s v="OK"/>
  </r>
  <r>
    <n v="12309"/>
    <x v="0"/>
    <x v="0"/>
    <n v="13.08"/>
    <n v="1"/>
    <x v="0"/>
    <n v="12"/>
    <n v="14.649600000000001"/>
    <n v="12.000000000000011"/>
    <s v="OK"/>
  </r>
  <r>
    <n v="12310"/>
    <x v="0"/>
    <x v="1"/>
    <n v="3.89"/>
    <n v="5"/>
    <x v="1"/>
    <n v="30"/>
    <n v="5.0570000000000004"/>
    <n v="30.000000000000004"/>
    <s v="OK"/>
  </r>
  <r>
    <n v="12311"/>
    <x v="3"/>
    <x v="2"/>
    <n v="11.79"/>
    <n v="8"/>
    <x v="2"/>
    <n v="50"/>
    <n v="17.684999999999999"/>
    <n v="50"/>
    <s v="OK"/>
  </r>
  <r>
    <n v="12312"/>
    <x v="1"/>
    <x v="0"/>
    <n v="9.32"/>
    <n v="2"/>
    <x v="0"/>
    <n v="12"/>
    <n v="10.438400000000001"/>
    <n v="12.000000000000011"/>
    <s v="OK"/>
  </r>
  <r>
    <n v="12313"/>
    <x v="0"/>
    <x v="2"/>
    <n v="14.58"/>
    <n v="2"/>
    <x v="0"/>
    <n v="10"/>
    <n v="16.038"/>
    <n v="10.000000000000009"/>
    <s v="OK"/>
  </r>
  <r>
    <n v="12314"/>
    <x v="2"/>
    <x v="2"/>
    <n v="5.92"/>
    <n v="8"/>
    <x v="2"/>
    <n v="50"/>
    <n v="8.879999999999999"/>
    <n v="49.999999999999979"/>
    <s v="OK"/>
  </r>
  <r>
    <n v="12315"/>
    <x v="0"/>
    <x v="2"/>
    <n v="10.38"/>
    <n v="10"/>
    <x v="2"/>
    <n v="50"/>
    <n v="15.57"/>
    <n v="50"/>
    <s v="OK"/>
  </r>
  <r>
    <n v="12316"/>
    <x v="2"/>
    <x v="1"/>
    <n v="1.42"/>
    <n v="9"/>
    <x v="2"/>
    <n v="60"/>
    <n v="2.2719999999999998"/>
    <n v="59.999999999999986"/>
    <s v="OK"/>
  </r>
  <r>
    <n v="12317"/>
    <x v="3"/>
    <x v="2"/>
    <n v="6.25"/>
    <n v="7"/>
    <x v="1"/>
    <n v="25"/>
    <n v="7.8125"/>
    <n v="25"/>
    <s v="OK"/>
  </r>
  <r>
    <n v="12318"/>
    <x v="2"/>
    <x v="0"/>
    <n v="14.48"/>
    <n v="8"/>
    <x v="2"/>
    <n v="55"/>
    <n v="22.444000000000003"/>
    <n v="55.000000000000007"/>
    <s v="OK"/>
  </r>
  <r>
    <n v="12319"/>
    <x v="0"/>
    <x v="1"/>
    <n v="8.32"/>
    <n v="5"/>
    <x v="1"/>
    <n v="30"/>
    <n v="10.816000000000001"/>
    <n v="30.000000000000004"/>
    <s v="OK"/>
  </r>
  <r>
    <n v="12320"/>
    <x v="0"/>
    <x v="0"/>
    <n v="4.67"/>
    <n v="1"/>
    <x v="0"/>
    <n v="12"/>
    <n v="5.2304000000000004"/>
    <n v="12.000000000000011"/>
    <s v="OK"/>
  </r>
  <r>
    <n v="12321"/>
    <x v="0"/>
    <x v="0"/>
    <n v="2.2400000000000002"/>
    <n v="4"/>
    <x v="1"/>
    <n v="28"/>
    <n v="2.8672000000000004"/>
    <n v="28.000000000000004"/>
    <s v="OK"/>
  </r>
  <r>
    <n v="12322"/>
    <x v="3"/>
    <x v="1"/>
    <n v="10.7"/>
    <n v="2"/>
    <x v="0"/>
    <n v="15"/>
    <n v="12.304999999999998"/>
    <n v="14.999999999999991"/>
    <s v="OK"/>
  </r>
  <r>
    <n v="12323"/>
    <x v="3"/>
    <x v="0"/>
    <n v="9.85"/>
    <n v="3"/>
    <x v="0"/>
    <n v="12"/>
    <n v="11.032"/>
    <n v="12.000000000000011"/>
    <s v="OK"/>
  </r>
  <r>
    <n v="12324"/>
    <x v="1"/>
    <x v="0"/>
    <n v="5.92"/>
    <n v="3"/>
    <x v="0"/>
    <n v="12"/>
    <n v="6.6304000000000007"/>
    <n v="12.000000000000011"/>
    <s v="OK"/>
  </r>
  <r>
    <n v="12325"/>
    <x v="0"/>
    <x v="1"/>
    <n v="14.29"/>
    <n v="9"/>
    <x v="2"/>
    <n v="60"/>
    <n v="22.864000000000001"/>
    <n v="60.000000000000007"/>
    <s v="OK"/>
  </r>
  <r>
    <n v="12326"/>
    <x v="2"/>
    <x v="0"/>
    <n v="0.82"/>
    <n v="10"/>
    <x v="2"/>
    <n v="55"/>
    <n v="1.2709999999999999"/>
    <n v="55.000000000000007"/>
    <s v="OK"/>
  </r>
  <r>
    <n v="12327"/>
    <x v="3"/>
    <x v="2"/>
    <n v="4.9000000000000004"/>
    <n v="4"/>
    <x v="1"/>
    <n v="25"/>
    <n v="6.125"/>
    <n v="25"/>
    <s v="OK"/>
  </r>
  <r>
    <n v="12328"/>
    <x v="0"/>
    <x v="0"/>
    <n v="13.86"/>
    <n v="2"/>
    <x v="0"/>
    <n v="12"/>
    <n v="15.523200000000001"/>
    <n v="12.000000000000011"/>
    <s v="OK"/>
  </r>
  <r>
    <n v="12329"/>
    <x v="0"/>
    <x v="2"/>
    <n v="5.15"/>
    <n v="3"/>
    <x v="0"/>
    <n v="10"/>
    <n v="5.6650000000000009"/>
    <n v="10.000000000000009"/>
    <s v="OK"/>
  </r>
  <r>
    <n v="12330"/>
    <x v="3"/>
    <x v="0"/>
    <n v="4.16"/>
    <n v="3"/>
    <x v="0"/>
    <n v="12"/>
    <n v="4.6592000000000002"/>
    <n v="12.000000000000011"/>
    <s v="OK"/>
  </r>
  <r>
    <n v="12331"/>
    <x v="1"/>
    <x v="1"/>
    <n v="8.25"/>
    <n v="7"/>
    <x v="1"/>
    <n v="30"/>
    <n v="10.725"/>
    <n v="30.000000000000004"/>
    <s v="OK"/>
  </r>
  <r>
    <n v="12332"/>
    <x v="3"/>
    <x v="1"/>
    <n v="12.45"/>
    <n v="8"/>
    <x v="2"/>
    <n v="60"/>
    <n v="19.920000000000002"/>
    <n v="60.000000000000028"/>
    <s v="OK"/>
  </r>
  <r>
    <n v="12333"/>
    <x v="3"/>
    <x v="0"/>
    <n v="2"/>
    <n v="6"/>
    <x v="1"/>
    <n v="28"/>
    <n v="2.56"/>
    <n v="28.000000000000004"/>
    <s v="OK"/>
  </r>
  <r>
    <n v="12334"/>
    <x v="2"/>
    <x v="1"/>
    <n v="14.17"/>
    <n v="4"/>
    <x v="1"/>
    <n v="30"/>
    <n v="18.420999999999999"/>
    <n v="30.000000000000004"/>
    <s v="OK"/>
  </r>
  <r>
    <n v="12335"/>
    <x v="2"/>
    <x v="0"/>
    <n v="12.03"/>
    <n v="6"/>
    <x v="1"/>
    <n v="28"/>
    <n v="15.398399999999999"/>
    <n v="28.000000000000004"/>
    <s v="OK"/>
  </r>
  <r>
    <n v="12336"/>
    <x v="1"/>
    <x v="1"/>
    <n v="3.13"/>
    <n v="1"/>
    <x v="0"/>
    <n v="15"/>
    <n v="3.5994999999999995"/>
    <n v="14.999999999999991"/>
    <s v="OK"/>
  </r>
  <r>
    <n v="12337"/>
    <x v="0"/>
    <x v="2"/>
    <n v="10.82"/>
    <n v="10"/>
    <x v="2"/>
    <n v="50"/>
    <n v="16.23"/>
    <n v="50"/>
    <s v="OK"/>
  </r>
  <r>
    <n v="12338"/>
    <x v="3"/>
    <x v="0"/>
    <n v="6.08"/>
    <n v="8"/>
    <x v="2"/>
    <n v="55"/>
    <n v="9.4240000000000013"/>
    <n v="55.000000000000028"/>
    <s v="OK"/>
  </r>
  <r>
    <n v="12339"/>
    <x v="1"/>
    <x v="2"/>
    <n v="6.33"/>
    <n v="1"/>
    <x v="0"/>
    <n v="10"/>
    <n v="6.963000000000001"/>
    <n v="10.000000000000009"/>
    <s v="OK"/>
  </r>
  <r>
    <n v="12340"/>
    <x v="2"/>
    <x v="2"/>
    <n v="11.86"/>
    <n v="5"/>
    <x v="1"/>
    <n v="25"/>
    <n v="14.824999999999999"/>
    <n v="25"/>
    <s v="OK"/>
  </r>
  <r>
    <n v="12341"/>
    <x v="3"/>
    <x v="0"/>
    <n v="14.46"/>
    <n v="2"/>
    <x v="0"/>
    <n v="12"/>
    <n v="16.195200000000003"/>
    <n v="12.000000000000011"/>
    <s v="OK"/>
  </r>
  <r>
    <n v="12342"/>
    <x v="0"/>
    <x v="2"/>
    <n v="2.34"/>
    <n v="6"/>
    <x v="1"/>
    <n v="25"/>
    <n v="2.9249999999999998"/>
    <n v="25"/>
    <s v="OK"/>
  </r>
  <r>
    <n v="12343"/>
    <x v="2"/>
    <x v="0"/>
    <n v="6.6"/>
    <n v="9"/>
    <x v="2"/>
    <n v="55"/>
    <n v="10.23"/>
    <n v="55.000000000000007"/>
    <s v="OK"/>
  </r>
  <r>
    <n v="12344"/>
    <x v="2"/>
    <x v="2"/>
    <n v="7.47"/>
    <n v="5"/>
    <x v="1"/>
    <n v="25"/>
    <n v="9.3375000000000004"/>
    <n v="25"/>
    <s v="OK"/>
  </r>
  <r>
    <n v="12345"/>
    <x v="2"/>
    <x v="0"/>
    <n v="5.96"/>
    <n v="4"/>
    <x v="1"/>
    <n v="28"/>
    <n v="7.6288"/>
    <n v="28.000000000000004"/>
    <s v="OK"/>
  </r>
  <r>
    <n v="12346"/>
    <x v="1"/>
    <x v="0"/>
    <n v="5.77"/>
    <n v="2"/>
    <x v="0"/>
    <n v="12"/>
    <n v="6.4623999999999997"/>
    <n v="12.000000000000011"/>
    <s v="OK"/>
  </r>
  <r>
    <n v="12347"/>
    <x v="0"/>
    <x v="1"/>
    <n v="1.26"/>
    <n v="3"/>
    <x v="0"/>
    <n v="15"/>
    <n v="1.4489999999999998"/>
    <n v="14.999999999999991"/>
    <s v="OK"/>
  </r>
  <r>
    <n v="12348"/>
    <x v="3"/>
    <x v="0"/>
    <n v="10.44"/>
    <n v="6"/>
    <x v="1"/>
    <n v="28"/>
    <n v="13.363199999999999"/>
    <n v="28.000000000000004"/>
    <s v="OK"/>
  </r>
  <r>
    <n v="12349"/>
    <x v="1"/>
    <x v="0"/>
    <n v="6.83"/>
    <n v="8"/>
    <x v="2"/>
    <n v="55"/>
    <n v="10.586500000000001"/>
    <n v="55.000000000000007"/>
    <s v="OK"/>
  </r>
  <r>
    <n v="12350"/>
    <x v="1"/>
    <x v="2"/>
    <n v="3.32"/>
    <n v="8"/>
    <x v="2"/>
    <n v="50"/>
    <n v="4.9799999999999995"/>
    <n v="50"/>
    <s v="OK"/>
  </r>
  <r>
    <n v="12351"/>
    <x v="1"/>
    <x v="0"/>
    <n v="12.33"/>
    <n v="5"/>
    <x v="1"/>
    <n v="28"/>
    <n v="15.782400000000001"/>
    <n v="28.000000000000004"/>
    <s v="OK"/>
  </r>
  <r>
    <n v="12352"/>
    <x v="2"/>
    <x v="1"/>
    <n v="12.14"/>
    <n v="5"/>
    <x v="1"/>
    <n v="30"/>
    <n v="15.782000000000002"/>
    <n v="30.000000000000004"/>
    <s v="OK"/>
  </r>
  <r>
    <n v="12353"/>
    <x v="0"/>
    <x v="2"/>
    <n v="7.55"/>
    <n v="10"/>
    <x v="2"/>
    <n v="50"/>
    <n v="11.324999999999999"/>
    <n v="50"/>
    <s v="OK"/>
  </r>
  <r>
    <n v="12354"/>
    <x v="1"/>
    <x v="2"/>
    <n v="4.83"/>
    <n v="3"/>
    <x v="0"/>
    <n v="10"/>
    <n v="5.3130000000000006"/>
    <n v="10.000000000000009"/>
    <s v="OK"/>
  </r>
  <r>
    <n v="12355"/>
    <x v="3"/>
    <x v="1"/>
    <n v="9.75"/>
    <n v="7"/>
    <x v="1"/>
    <n v="30"/>
    <n v="12.675000000000001"/>
    <n v="30.000000000000004"/>
    <s v="OK"/>
  </r>
  <r>
    <n v="12356"/>
    <x v="0"/>
    <x v="2"/>
    <n v="4.68"/>
    <n v="6"/>
    <x v="1"/>
    <n v="25"/>
    <n v="5.85"/>
    <n v="25"/>
    <s v="OK"/>
  </r>
  <r>
    <n v="12357"/>
    <x v="3"/>
    <x v="2"/>
    <n v="3.92"/>
    <n v="1"/>
    <x v="0"/>
    <n v="10"/>
    <n v="4.3120000000000003"/>
    <n v="10.000000000000009"/>
    <s v="OK"/>
  </r>
  <r>
    <n v="12358"/>
    <x v="0"/>
    <x v="2"/>
    <n v="11.09"/>
    <n v="4"/>
    <x v="1"/>
    <n v="25"/>
    <n v="13.862500000000001"/>
    <n v="25"/>
    <s v="OK"/>
  </r>
  <r>
    <n v="12359"/>
    <x v="3"/>
    <x v="2"/>
    <n v="1.08"/>
    <n v="6"/>
    <x v="1"/>
    <n v="25"/>
    <n v="1.35"/>
    <n v="25"/>
    <s v="OK"/>
  </r>
  <r>
    <n v="12360"/>
    <x v="2"/>
    <x v="1"/>
    <n v="1.87"/>
    <n v="6"/>
    <x v="1"/>
    <n v="30"/>
    <n v="2.431"/>
    <n v="30.000000000000004"/>
    <s v="OK"/>
  </r>
  <r>
    <n v="12361"/>
    <x v="1"/>
    <x v="1"/>
    <n v="0.6"/>
    <n v="3"/>
    <x v="0"/>
    <n v="15"/>
    <n v="0.69"/>
    <n v="14.999999999999991"/>
    <s v="OK"/>
  </r>
  <r>
    <n v="12362"/>
    <x v="3"/>
    <x v="2"/>
    <n v="2.72"/>
    <n v="6"/>
    <x v="1"/>
    <n v="25"/>
    <n v="3.4000000000000004"/>
    <n v="25"/>
    <s v="OK"/>
  </r>
  <r>
    <n v="12363"/>
    <x v="0"/>
    <x v="2"/>
    <n v="1.5"/>
    <n v="10"/>
    <x v="2"/>
    <n v="50"/>
    <n v="2.25"/>
    <n v="50"/>
    <s v="OK"/>
  </r>
  <r>
    <n v="12364"/>
    <x v="1"/>
    <x v="1"/>
    <n v="14.94"/>
    <n v="6"/>
    <x v="1"/>
    <n v="30"/>
    <n v="19.422000000000001"/>
    <n v="30.000000000000004"/>
    <s v="OK"/>
  </r>
  <r>
    <n v="12365"/>
    <x v="1"/>
    <x v="1"/>
    <n v="4.6900000000000004"/>
    <n v="9"/>
    <x v="2"/>
    <n v="60"/>
    <n v="7.5040000000000013"/>
    <n v="60.000000000000007"/>
    <s v="OK"/>
  </r>
  <r>
    <n v="12366"/>
    <x v="0"/>
    <x v="1"/>
    <n v="2.66"/>
    <n v="9"/>
    <x v="2"/>
    <n v="60"/>
    <n v="4.2560000000000002"/>
    <n v="60.000000000000007"/>
    <s v="OK"/>
  </r>
  <r>
    <n v="12367"/>
    <x v="3"/>
    <x v="2"/>
    <n v="3.99"/>
    <n v="2"/>
    <x v="0"/>
    <n v="10"/>
    <n v="4.3890000000000002"/>
    <n v="10.000000000000009"/>
    <s v="OK"/>
  </r>
  <r>
    <n v="12368"/>
    <x v="2"/>
    <x v="2"/>
    <n v="14.07"/>
    <n v="4"/>
    <x v="1"/>
    <n v="25"/>
    <n v="17.587499999999999"/>
    <n v="24.999999999999979"/>
    <s v="OK"/>
  </r>
  <r>
    <n v="12369"/>
    <x v="2"/>
    <x v="0"/>
    <n v="8.0399999999999991"/>
    <n v="9"/>
    <x v="2"/>
    <n v="55"/>
    <n v="12.462"/>
    <n v="55.000000000000007"/>
    <s v="OK"/>
  </r>
  <r>
    <n v="12370"/>
    <x v="3"/>
    <x v="1"/>
    <n v="5.79"/>
    <n v="4"/>
    <x v="1"/>
    <n v="30"/>
    <n v="7.5270000000000001"/>
    <n v="30.000000000000004"/>
    <s v="OK"/>
  </r>
  <r>
    <n v="12371"/>
    <x v="1"/>
    <x v="2"/>
    <n v="13.16"/>
    <n v="8"/>
    <x v="2"/>
    <n v="50"/>
    <n v="19.740000000000002"/>
    <n v="50.000000000000021"/>
    <s v="OK"/>
  </r>
  <r>
    <n v="12372"/>
    <x v="1"/>
    <x v="1"/>
    <n v="6.23"/>
    <n v="10"/>
    <x v="2"/>
    <n v="60"/>
    <n v="9.9680000000000017"/>
    <n v="60.000000000000007"/>
    <s v="OK"/>
  </r>
  <r>
    <n v="12373"/>
    <x v="1"/>
    <x v="2"/>
    <n v="5.36"/>
    <n v="3"/>
    <x v="0"/>
    <n v="10"/>
    <n v="5.8960000000000008"/>
    <n v="10.000000000000009"/>
    <s v="OK"/>
  </r>
  <r>
    <n v="12374"/>
    <x v="1"/>
    <x v="1"/>
    <n v="3.51"/>
    <n v="3"/>
    <x v="0"/>
    <n v="15"/>
    <n v="4.0364999999999993"/>
    <n v="14.999999999999991"/>
    <s v="OK"/>
  </r>
  <r>
    <n v="12375"/>
    <x v="3"/>
    <x v="2"/>
    <n v="5.98"/>
    <n v="9"/>
    <x v="2"/>
    <n v="50"/>
    <n v="8.9700000000000006"/>
    <n v="50"/>
    <s v="OK"/>
  </r>
  <r>
    <n v="12376"/>
    <x v="1"/>
    <x v="0"/>
    <n v="5.09"/>
    <n v="10"/>
    <x v="2"/>
    <n v="55"/>
    <n v="7.8895"/>
    <n v="55.000000000000007"/>
    <s v="OK"/>
  </r>
  <r>
    <n v="12377"/>
    <x v="0"/>
    <x v="0"/>
    <n v="10.32"/>
    <n v="8"/>
    <x v="2"/>
    <n v="55"/>
    <n v="15.996"/>
    <n v="55.000000000000007"/>
    <s v="OK"/>
  </r>
  <r>
    <n v="12378"/>
    <x v="1"/>
    <x v="1"/>
    <n v="4.7"/>
    <n v="1"/>
    <x v="0"/>
    <n v="15"/>
    <n v="5.4049999999999994"/>
    <n v="14.999999999999991"/>
    <s v="OK"/>
  </r>
  <r>
    <n v="12379"/>
    <x v="2"/>
    <x v="2"/>
    <n v="8.8699999999999992"/>
    <n v="10"/>
    <x v="2"/>
    <n v="50"/>
    <n v="13.305"/>
    <n v="50"/>
    <s v="OK"/>
  </r>
  <r>
    <n v="12380"/>
    <x v="1"/>
    <x v="2"/>
    <n v="1.46"/>
    <n v="2"/>
    <x v="0"/>
    <n v="10"/>
    <n v="1.6060000000000001"/>
    <n v="10.000000000000009"/>
    <s v="OK"/>
  </r>
  <r>
    <n v="12381"/>
    <x v="3"/>
    <x v="1"/>
    <n v="3.27"/>
    <n v="3"/>
    <x v="0"/>
    <n v="15"/>
    <n v="3.7604999999999995"/>
    <n v="14.999999999999991"/>
    <s v="OK"/>
  </r>
  <r>
    <n v="12382"/>
    <x v="2"/>
    <x v="2"/>
    <n v="6.41"/>
    <n v="2"/>
    <x v="0"/>
    <n v="10"/>
    <n v="7.051000000000001"/>
    <n v="10.000000000000009"/>
    <s v="OK"/>
  </r>
  <r>
    <n v="12383"/>
    <x v="3"/>
    <x v="1"/>
    <n v="14.09"/>
    <n v="3"/>
    <x v="0"/>
    <n v="15"/>
    <n v="16.203499999999998"/>
    <n v="14.999999999999991"/>
    <s v="OK"/>
  </r>
  <r>
    <n v="12384"/>
    <x v="3"/>
    <x v="2"/>
    <n v="5.97"/>
    <n v="8"/>
    <x v="2"/>
    <n v="50"/>
    <n v="8.9550000000000001"/>
    <n v="50"/>
    <s v="OK"/>
  </r>
  <r>
    <n v="12385"/>
    <x v="2"/>
    <x v="1"/>
    <n v="10.130000000000001"/>
    <n v="6"/>
    <x v="1"/>
    <n v="30"/>
    <n v="13.169000000000002"/>
    <n v="30.000000000000004"/>
    <s v="OK"/>
  </r>
  <r>
    <n v="12386"/>
    <x v="3"/>
    <x v="2"/>
    <n v="4.2"/>
    <n v="7"/>
    <x v="1"/>
    <n v="25"/>
    <n v="5.25"/>
    <n v="25"/>
    <s v="OK"/>
  </r>
  <r>
    <n v="12387"/>
    <x v="3"/>
    <x v="1"/>
    <n v="2.34"/>
    <n v="10"/>
    <x v="2"/>
    <n v="60"/>
    <n v="3.7439999999999998"/>
    <n v="60.000000000000007"/>
    <s v="OK"/>
  </r>
  <r>
    <n v="12388"/>
    <x v="1"/>
    <x v="2"/>
    <n v="1.35"/>
    <n v="10"/>
    <x v="2"/>
    <n v="50"/>
    <n v="2.0250000000000004"/>
    <n v="50.000000000000021"/>
    <s v="OK"/>
  </r>
  <r>
    <n v="12389"/>
    <x v="0"/>
    <x v="0"/>
    <n v="4.93"/>
    <n v="6"/>
    <x v="1"/>
    <n v="28"/>
    <n v="6.3103999999999996"/>
    <n v="28.000000000000004"/>
    <s v="OK"/>
  </r>
  <r>
    <n v="12390"/>
    <x v="3"/>
    <x v="2"/>
    <n v="2.79"/>
    <n v="1"/>
    <x v="0"/>
    <n v="10"/>
    <n v="3.0690000000000004"/>
    <n v="10.000000000000009"/>
    <s v="OK"/>
  </r>
  <r>
    <n v="12391"/>
    <x v="3"/>
    <x v="1"/>
    <n v="3.02"/>
    <n v="3"/>
    <x v="0"/>
    <n v="15"/>
    <n v="3.4729999999999999"/>
    <n v="14.999999999999991"/>
    <s v="OK"/>
  </r>
  <r>
    <n v="12392"/>
    <x v="3"/>
    <x v="0"/>
    <n v="11.53"/>
    <n v="1"/>
    <x v="0"/>
    <n v="12"/>
    <n v="12.913600000000001"/>
    <n v="12.000000000000011"/>
    <s v="OK"/>
  </r>
  <r>
    <n v="12393"/>
    <x v="1"/>
    <x v="2"/>
    <n v="0.73"/>
    <n v="10"/>
    <x v="2"/>
    <n v="50"/>
    <n v="1.095"/>
    <n v="50"/>
    <s v="OK"/>
  </r>
  <r>
    <n v="12394"/>
    <x v="0"/>
    <x v="0"/>
    <n v="8.59"/>
    <n v="9"/>
    <x v="2"/>
    <n v="55"/>
    <n v="13.314500000000001"/>
    <n v="55.000000000000007"/>
    <s v="OK"/>
  </r>
  <r>
    <n v="12395"/>
    <x v="2"/>
    <x v="2"/>
    <n v="6"/>
    <n v="9"/>
    <x v="2"/>
    <n v="50"/>
    <n v="9"/>
    <n v="50"/>
    <s v="OK"/>
  </r>
  <r>
    <n v="12396"/>
    <x v="1"/>
    <x v="0"/>
    <n v="7.84"/>
    <n v="5"/>
    <x v="1"/>
    <n v="28"/>
    <n v="10.0352"/>
    <n v="28.000000000000004"/>
    <s v="OK"/>
  </r>
  <r>
    <n v="12397"/>
    <x v="1"/>
    <x v="1"/>
    <n v="8.66"/>
    <n v="4"/>
    <x v="1"/>
    <n v="30"/>
    <n v="11.258000000000001"/>
    <n v="30.000000000000004"/>
    <s v="OK"/>
  </r>
  <r>
    <n v="12398"/>
    <x v="0"/>
    <x v="2"/>
    <n v="5.04"/>
    <n v="9"/>
    <x v="2"/>
    <n v="50"/>
    <n v="7.5600000000000005"/>
    <n v="50"/>
    <s v="OK"/>
  </r>
  <r>
    <n v="12399"/>
    <x v="0"/>
    <x v="2"/>
    <n v="4.78"/>
    <n v="9"/>
    <x v="2"/>
    <n v="50"/>
    <n v="7.17"/>
    <n v="50"/>
    <s v="OK"/>
  </r>
  <r>
    <n v="12400"/>
    <x v="1"/>
    <x v="1"/>
    <n v="11.13"/>
    <n v="3"/>
    <x v="0"/>
    <n v="15"/>
    <n v="12.7995"/>
    <n v="14.999999999999991"/>
    <s v="OK"/>
  </r>
  <r>
    <n v="12401"/>
    <x v="2"/>
    <x v="0"/>
    <n v="13.13"/>
    <n v="5"/>
    <x v="1"/>
    <n v="28"/>
    <n v="16.8064"/>
    <n v="28.000000000000004"/>
    <s v="OK"/>
  </r>
  <r>
    <n v="12402"/>
    <x v="1"/>
    <x v="1"/>
    <n v="3.29"/>
    <n v="3"/>
    <x v="0"/>
    <n v="15"/>
    <n v="3.7834999999999996"/>
    <n v="14.999999999999991"/>
    <s v="OK"/>
  </r>
  <r>
    <n v="12403"/>
    <x v="0"/>
    <x v="1"/>
    <n v="1.92"/>
    <n v="10"/>
    <x v="2"/>
    <n v="60"/>
    <n v="3.0720000000000001"/>
    <n v="60.000000000000007"/>
    <s v="OK"/>
  </r>
  <r>
    <n v="12404"/>
    <x v="2"/>
    <x v="0"/>
    <n v="13.52"/>
    <n v="2"/>
    <x v="0"/>
    <n v="12"/>
    <n v="15.1424"/>
    <n v="12.000000000000011"/>
    <s v="OK"/>
  </r>
  <r>
    <n v="12405"/>
    <x v="0"/>
    <x v="1"/>
    <n v="5.57"/>
    <n v="1"/>
    <x v="0"/>
    <n v="15"/>
    <n v="6.4055"/>
    <n v="14.999999999999991"/>
    <s v="OK"/>
  </r>
  <r>
    <n v="12406"/>
    <x v="2"/>
    <x v="2"/>
    <n v="8.49"/>
    <n v="10"/>
    <x v="2"/>
    <n v="50"/>
    <n v="12.734999999999999"/>
    <n v="50"/>
    <s v="OK"/>
  </r>
  <r>
    <n v="12407"/>
    <x v="3"/>
    <x v="2"/>
    <n v="5.71"/>
    <n v="2"/>
    <x v="0"/>
    <n v="10"/>
    <n v="6.2810000000000006"/>
    <n v="10.000000000000009"/>
    <s v="OK"/>
  </r>
  <r>
    <n v="12408"/>
    <x v="0"/>
    <x v="2"/>
    <n v="2.3199999999999998"/>
    <n v="8"/>
    <x v="2"/>
    <n v="50"/>
    <n v="3.4799999999999995"/>
    <n v="50"/>
    <s v="OK"/>
  </r>
  <r>
    <n v="12409"/>
    <x v="0"/>
    <x v="1"/>
    <n v="9.0500000000000007"/>
    <n v="8"/>
    <x v="2"/>
    <n v="60"/>
    <n v="14.480000000000002"/>
    <n v="60.000000000000007"/>
    <s v="OK"/>
  </r>
  <r>
    <n v="12410"/>
    <x v="1"/>
    <x v="2"/>
    <n v="8.11"/>
    <n v="3"/>
    <x v="0"/>
    <n v="10"/>
    <n v="8.9209999999999994"/>
    <n v="10.000000000000009"/>
    <s v="OK"/>
  </r>
  <r>
    <n v="12411"/>
    <x v="0"/>
    <x v="2"/>
    <n v="3.44"/>
    <n v="7"/>
    <x v="1"/>
    <n v="25"/>
    <n v="4.3"/>
    <n v="25"/>
    <s v="OK"/>
  </r>
  <r>
    <n v="12412"/>
    <x v="0"/>
    <x v="2"/>
    <n v="7.05"/>
    <n v="7"/>
    <x v="1"/>
    <n v="25"/>
    <n v="8.8125"/>
    <n v="25"/>
    <s v="OK"/>
  </r>
  <r>
    <n v="12413"/>
    <x v="3"/>
    <x v="2"/>
    <n v="12.06"/>
    <n v="2"/>
    <x v="0"/>
    <n v="10"/>
    <n v="13.266000000000002"/>
    <n v="10.000000000000009"/>
    <s v="OK"/>
  </r>
  <r>
    <n v="12414"/>
    <x v="0"/>
    <x v="2"/>
    <n v="9.06"/>
    <n v="9"/>
    <x v="2"/>
    <n v="50"/>
    <n v="13.59"/>
    <n v="50"/>
    <s v="OK"/>
  </r>
  <r>
    <n v="12415"/>
    <x v="3"/>
    <x v="2"/>
    <n v="1.91"/>
    <n v="3"/>
    <x v="0"/>
    <n v="10"/>
    <n v="2.101"/>
    <n v="10.000000000000009"/>
    <s v="OK"/>
  </r>
  <r>
    <n v="12416"/>
    <x v="3"/>
    <x v="1"/>
    <n v="8.4499999999999993"/>
    <n v="2"/>
    <x v="0"/>
    <n v="15"/>
    <n v="9.7174999999999976"/>
    <n v="14.999999999999991"/>
    <s v="OK"/>
  </r>
  <r>
    <n v="12417"/>
    <x v="3"/>
    <x v="2"/>
    <n v="10.69"/>
    <n v="3"/>
    <x v="0"/>
    <n v="10"/>
    <n v="11.759"/>
    <n v="10.000000000000009"/>
    <s v="OK"/>
  </r>
  <r>
    <n v="12418"/>
    <x v="3"/>
    <x v="2"/>
    <n v="11.99"/>
    <n v="2"/>
    <x v="0"/>
    <n v="10"/>
    <n v="13.189000000000002"/>
    <n v="10.000000000000009"/>
    <s v="OK"/>
  </r>
  <r>
    <n v="12419"/>
    <x v="2"/>
    <x v="0"/>
    <n v="9.6199999999999992"/>
    <n v="8"/>
    <x v="2"/>
    <n v="55"/>
    <n v="14.911"/>
    <n v="55.000000000000007"/>
    <s v="OK"/>
  </r>
  <r>
    <n v="12420"/>
    <x v="1"/>
    <x v="1"/>
    <n v="2.71"/>
    <n v="5"/>
    <x v="1"/>
    <n v="30"/>
    <n v="3.5230000000000001"/>
    <n v="30.000000000000004"/>
    <s v="OK"/>
  </r>
  <r>
    <n v="12421"/>
    <x v="2"/>
    <x v="1"/>
    <n v="10.8"/>
    <n v="3"/>
    <x v="0"/>
    <n v="15"/>
    <n v="12.42"/>
    <n v="14.999999999999991"/>
    <s v="OK"/>
  </r>
  <r>
    <n v="12422"/>
    <x v="0"/>
    <x v="1"/>
    <n v="10.32"/>
    <n v="5"/>
    <x v="1"/>
    <n v="30"/>
    <n v="13.416"/>
    <n v="30.000000000000004"/>
    <s v="OK"/>
  </r>
  <r>
    <n v="12423"/>
    <x v="2"/>
    <x v="1"/>
    <n v="0.85"/>
    <n v="8"/>
    <x v="2"/>
    <n v="60"/>
    <n v="1.36"/>
    <n v="60.000000000000007"/>
    <s v="OK"/>
  </r>
  <r>
    <n v="12424"/>
    <x v="2"/>
    <x v="2"/>
    <n v="6.47"/>
    <n v="7"/>
    <x v="1"/>
    <n v="25"/>
    <n v="8.0875000000000004"/>
    <n v="25"/>
    <s v="OK"/>
  </r>
  <r>
    <n v="12425"/>
    <x v="0"/>
    <x v="2"/>
    <n v="5.33"/>
    <n v="6"/>
    <x v="1"/>
    <n v="25"/>
    <n v="6.6624999999999996"/>
    <n v="25"/>
    <s v="OK"/>
  </r>
  <r>
    <n v="12426"/>
    <x v="0"/>
    <x v="0"/>
    <n v="10.210000000000001"/>
    <n v="1"/>
    <x v="0"/>
    <n v="12"/>
    <n v="11.435200000000002"/>
    <n v="12.000000000000011"/>
    <s v="OK"/>
  </r>
  <r>
    <n v="12427"/>
    <x v="0"/>
    <x v="0"/>
    <n v="3.63"/>
    <n v="10"/>
    <x v="2"/>
    <n v="55"/>
    <n v="5.6265000000000001"/>
    <n v="55.000000000000007"/>
    <s v="OK"/>
  </r>
  <r>
    <n v="12428"/>
    <x v="2"/>
    <x v="1"/>
    <n v="9.07"/>
    <n v="1"/>
    <x v="0"/>
    <n v="15"/>
    <n v="10.4305"/>
    <n v="14.999999999999991"/>
    <s v="OK"/>
  </r>
  <r>
    <n v="12429"/>
    <x v="2"/>
    <x v="0"/>
    <n v="13.74"/>
    <n v="1"/>
    <x v="0"/>
    <n v="12"/>
    <n v="15.388800000000002"/>
    <n v="12.000000000000011"/>
    <s v="OK"/>
  </r>
  <r>
    <n v="12430"/>
    <x v="0"/>
    <x v="0"/>
    <n v="12.07"/>
    <n v="10"/>
    <x v="2"/>
    <n v="55"/>
    <n v="18.708500000000001"/>
    <n v="55.000000000000007"/>
    <s v="OK"/>
  </r>
  <r>
    <n v="12431"/>
    <x v="1"/>
    <x v="1"/>
    <n v="13.86"/>
    <n v="8"/>
    <x v="2"/>
    <n v="60"/>
    <n v="22.176000000000002"/>
    <n v="60.000000000000028"/>
    <s v="OK"/>
  </r>
  <r>
    <n v="12432"/>
    <x v="1"/>
    <x v="1"/>
    <n v="14.69"/>
    <n v="8"/>
    <x v="2"/>
    <n v="60"/>
    <n v="23.504000000000001"/>
    <n v="60.000000000000007"/>
    <s v="OK"/>
  </r>
  <r>
    <n v="12433"/>
    <x v="3"/>
    <x v="0"/>
    <n v="0.65"/>
    <n v="7"/>
    <x v="1"/>
    <n v="28"/>
    <n v="0.83200000000000007"/>
    <n v="28.000000000000004"/>
    <s v="OK"/>
  </r>
  <r>
    <n v="12434"/>
    <x v="0"/>
    <x v="2"/>
    <n v="9.5299999999999994"/>
    <n v="6"/>
    <x v="1"/>
    <n v="25"/>
    <n v="11.9125"/>
    <n v="25"/>
    <s v="OK"/>
  </r>
  <r>
    <n v="12435"/>
    <x v="3"/>
    <x v="0"/>
    <n v="6.49"/>
    <n v="4"/>
    <x v="1"/>
    <n v="28"/>
    <n v="8.3071999999999999"/>
    <n v="28.000000000000004"/>
    <s v="OK"/>
  </r>
  <r>
    <n v="12436"/>
    <x v="1"/>
    <x v="0"/>
    <n v="12.97"/>
    <n v="1"/>
    <x v="0"/>
    <n v="12"/>
    <n v="14.526400000000002"/>
    <n v="12.000000000000011"/>
    <s v="OK"/>
  </r>
  <r>
    <n v="12437"/>
    <x v="3"/>
    <x v="2"/>
    <n v="4.1500000000000004"/>
    <n v="9"/>
    <x v="2"/>
    <n v="50"/>
    <n v="6.2250000000000005"/>
    <n v="50"/>
    <s v="OK"/>
  </r>
  <r>
    <n v="12438"/>
    <x v="0"/>
    <x v="2"/>
    <n v="14.72"/>
    <n v="1"/>
    <x v="0"/>
    <n v="10"/>
    <n v="16.192000000000004"/>
    <n v="10.000000000000032"/>
    <s v="OK"/>
  </r>
  <r>
    <n v="12439"/>
    <x v="0"/>
    <x v="1"/>
    <n v="9.4"/>
    <n v="4"/>
    <x v="1"/>
    <n v="30"/>
    <n v="12.22"/>
    <n v="30.000000000000004"/>
    <s v="OK"/>
  </r>
  <r>
    <n v="12440"/>
    <x v="0"/>
    <x v="1"/>
    <n v="12.01"/>
    <n v="3"/>
    <x v="0"/>
    <n v="15"/>
    <n v="13.811499999999999"/>
    <n v="14.999999999999991"/>
    <s v="OK"/>
  </r>
  <r>
    <n v="12441"/>
    <x v="2"/>
    <x v="0"/>
    <n v="1.74"/>
    <n v="7"/>
    <x v="1"/>
    <n v="28"/>
    <n v="2.2271999999999998"/>
    <n v="28.000000000000004"/>
    <s v="OK"/>
  </r>
  <r>
    <n v="12442"/>
    <x v="3"/>
    <x v="2"/>
    <n v="3.16"/>
    <n v="5"/>
    <x v="1"/>
    <n v="25"/>
    <n v="3.95"/>
    <n v="25"/>
    <s v="OK"/>
  </r>
  <r>
    <n v="12443"/>
    <x v="1"/>
    <x v="1"/>
    <n v="11.5"/>
    <n v="5"/>
    <x v="1"/>
    <n v="30"/>
    <n v="14.950000000000001"/>
    <n v="30.000000000000004"/>
    <s v="OK"/>
  </r>
  <r>
    <n v="12444"/>
    <x v="1"/>
    <x v="0"/>
    <n v="0.82"/>
    <n v="4"/>
    <x v="1"/>
    <n v="28"/>
    <n v="1.0495999999999999"/>
    <n v="27.999999999999979"/>
    <s v="OK"/>
  </r>
  <r>
    <n v="12445"/>
    <x v="1"/>
    <x v="2"/>
    <n v="12.34"/>
    <n v="1"/>
    <x v="0"/>
    <n v="10"/>
    <n v="13.574000000000002"/>
    <n v="10.000000000000009"/>
    <s v="OK"/>
  </r>
  <r>
    <n v="12446"/>
    <x v="2"/>
    <x v="0"/>
    <n v="0.7"/>
    <n v="5"/>
    <x v="1"/>
    <n v="28"/>
    <n v="0.89599999999999991"/>
    <n v="28.000000000000004"/>
    <s v="OK"/>
  </r>
  <r>
    <n v="12447"/>
    <x v="2"/>
    <x v="1"/>
    <n v="10.029999999999999"/>
    <n v="4"/>
    <x v="1"/>
    <n v="30"/>
    <n v="13.039"/>
    <n v="30.000000000000004"/>
    <s v="OK"/>
  </r>
  <r>
    <n v="12448"/>
    <x v="0"/>
    <x v="1"/>
    <n v="5.79"/>
    <n v="10"/>
    <x v="2"/>
    <n v="60"/>
    <n v="9.2640000000000011"/>
    <n v="60.000000000000007"/>
    <s v="OK"/>
  </r>
  <r>
    <n v="12449"/>
    <x v="1"/>
    <x v="2"/>
    <n v="9.3699999999999992"/>
    <n v="8"/>
    <x v="2"/>
    <n v="50"/>
    <n v="14.055"/>
    <n v="50"/>
    <s v="OK"/>
  </r>
  <r>
    <n v="12450"/>
    <x v="2"/>
    <x v="0"/>
    <n v="10.59"/>
    <n v="2"/>
    <x v="0"/>
    <n v="12"/>
    <n v="11.860800000000001"/>
    <n v="12.000000000000011"/>
    <s v="OK"/>
  </r>
  <r>
    <n v="12451"/>
    <x v="0"/>
    <x v="2"/>
    <n v="5.47"/>
    <n v="8"/>
    <x v="2"/>
    <n v="50"/>
    <n v="8.2050000000000001"/>
    <n v="50"/>
    <s v="OK"/>
  </r>
  <r>
    <n v="12452"/>
    <x v="1"/>
    <x v="1"/>
    <n v="2.0699999999999998"/>
    <n v="1"/>
    <x v="0"/>
    <n v="15"/>
    <n v="2.3804999999999996"/>
    <n v="14.999999999999991"/>
    <s v="OK"/>
  </r>
  <r>
    <n v="12453"/>
    <x v="3"/>
    <x v="1"/>
    <n v="1.51"/>
    <n v="4"/>
    <x v="1"/>
    <n v="30"/>
    <n v="1.9630000000000001"/>
    <n v="30.000000000000004"/>
    <s v="OK"/>
  </r>
  <r>
    <n v="12454"/>
    <x v="0"/>
    <x v="0"/>
    <n v="9.0399999999999991"/>
    <n v="3"/>
    <x v="0"/>
    <n v="12"/>
    <n v="10.1248"/>
    <n v="12.000000000000011"/>
    <s v="OK"/>
  </r>
  <r>
    <n v="12455"/>
    <x v="2"/>
    <x v="0"/>
    <n v="8.0500000000000007"/>
    <n v="5"/>
    <x v="1"/>
    <n v="28"/>
    <n v="10.304"/>
    <n v="28.000000000000004"/>
    <s v="OK"/>
  </r>
  <r>
    <n v="12456"/>
    <x v="2"/>
    <x v="0"/>
    <n v="11.26"/>
    <n v="5"/>
    <x v="1"/>
    <n v="28"/>
    <n v="14.412800000000001"/>
    <n v="28.000000000000004"/>
    <s v="OK"/>
  </r>
  <r>
    <n v="12457"/>
    <x v="0"/>
    <x v="2"/>
    <n v="7.89"/>
    <n v="5"/>
    <x v="1"/>
    <n v="25"/>
    <n v="9.8624999999999989"/>
    <n v="25"/>
    <s v="OK"/>
  </r>
  <r>
    <n v="12458"/>
    <x v="0"/>
    <x v="0"/>
    <n v="6.63"/>
    <n v="4"/>
    <x v="1"/>
    <n v="28"/>
    <n v="8.4863999999999997"/>
    <n v="28.000000000000004"/>
    <s v="OK"/>
  </r>
  <r>
    <n v="12459"/>
    <x v="2"/>
    <x v="0"/>
    <n v="6.27"/>
    <n v="8"/>
    <x v="2"/>
    <n v="55"/>
    <n v="9.7184999999999988"/>
    <n v="54.999999999999986"/>
    <s v="OK"/>
  </r>
  <r>
    <n v="12460"/>
    <x v="3"/>
    <x v="1"/>
    <n v="0.88"/>
    <n v="3"/>
    <x v="0"/>
    <n v="15"/>
    <n v="1.012"/>
    <n v="14.999999999999991"/>
    <s v="OK"/>
  </r>
  <r>
    <n v="12461"/>
    <x v="1"/>
    <x v="1"/>
    <n v="5.37"/>
    <n v="4"/>
    <x v="1"/>
    <n v="30"/>
    <n v="6.9810000000000008"/>
    <n v="30.000000000000004"/>
    <s v="OK"/>
  </r>
  <r>
    <n v="12462"/>
    <x v="3"/>
    <x v="0"/>
    <n v="14.65"/>
    <n v="1"/>
    <x v="0"/>
    <n v="12"/>
    <n v="16.408000000000001"/>
    <n v="12.000000000000011"/>
    <s v="OK"/>
  </r>
  <r>
    <n v="12463"/>
    <x v="0"/>
    <x v="0"/>
    <n v="13.17"/>
    <n v="7"/>
    <x v="1"/>
    <n v="28"/>
    <n v="16.857600000000001"/>
    <n v="28.000000000000004"/>
    <s v="OK"/>
  </r>
  <r>
    <n v="12464"/>
    <x v="3"/>
    <x v="1"/>
    <n v="5.28"/>
    <n v="1"/>
    <x v="0"/>
    <n v="15"/>
    <n v="6.0720000000000001"/>
    <n v="14.999999999999991"/>
    <s v="OK"/>
  </r>
  <r>
    <n v="12465"/>
    <x v="2"/>
    <x v="0"/>
    <n v="9.02"/>
    <n v="2"/>
    <x v="0"/>
    <n v="12"/>
    <n v="10.102400000000001"/>
    <n v="12.000000000000011"/>
    <s v="OK"/>
  </r>
  <r>
    <n v="12466"/>
    <x v="0"/>
    <x v="2"/>
    <n v="12.79"/>
    <n v="7"/>
    <x v="1"/>
    <n v="25"/>
    <n v="15.987499999999999"/>
    <n v="25"/>
    <s v="OK"/>
  </r>
  <r>
    <n v="12467"/>
    <x v="1"/>
    <x v="2"/>
    <n v="6.9"/>
    <n v="1"/>
    <x v="0"/>
    <n v="10"/>
    <n v="7.5900000000000007"/>
    <n v="10.000000000000009"/>
    <s v="OK"/>
  </r>
  <r>
    <n v="12468"/>
    <x v="2"/>
    <x v="2"/>
    <n v="0.76"/>
    <n v="3"/>
    <x v="0"/>
    <n v="10"/>
    <n v="0.83600000000000008"/>
    <n v="10.000000000000009"/>
    <s v="OK"/>
  </r>
  <r>
    <n v="12469"/>
    <x v="2"/>
    <x v="0"/>
    <n v="1.58"/>
    <n v="6"/>
    <x v="1"/>
    <n v="28"/>
    <n v="2.0224000000000002"/>
    <n v="28.000000000000004"/>
    <s v="OK"/>
  </r>
  <r>
    <n v="12470"/>
    <x v="1"/>
    <x v="1"/>
    <n v="7.9"/>
    <n v="6"/>
    <x v="1"/>
    <n v="30"/>
    <n v="10.270000000000001"/>
    <n v="30.000000000000004"/>
    <s v="OK"/>
  </r>
  <r>
    <n v="12471"/>
    <x v="1"/>
    <x v="0"/>
    <n v="14.56"/>
    <n v="6"/>
    <x v="1"/>
    <n v="28"/>
    <n v="18.636800000000001"/>
    <n v="28.000000000000004"/>
    <s v="OK"/>
  </r>
  <r>
    <n v="12472"/>
    <x v="3"/>
    <x v="0"/>
    <n v="10.55"/>
    <n v="2"/>
    <x v="0"/>
    <n v="12"/>
    <n v="11.816000000000003"/>
    <n v="12.000000000000011"/>
    <s v="OK"/>
  </r>
  <r>
    <n v="12473"/>
    <x v="0"/>
    <x v="1"/>
    <n v="1.53"/>
    <n v="2"/>
    <x v="0"/>
    <n v="15"/>
    <n v="1.7594999999999998"/>
    <n v="14.999999999999991"/>
    <s v="OK"/>
  </r>
  <r>
    <n v="12474"/>
    <x v="1"/>
    <x v="1"/>
    <n v="3.25"/>
    <n v="6"/>
    <x v="1"/>
    <n v="30"/>
    <n v="4.2250000000000005"/>
    <n v="30.000000000000028"/>
    <s v="OK"/>
  </r>
  <r>
    <n v="12475"/>
    <x v="1"/>
    <x v="1"/>
    <n v="11.68"/>
    <n v="10"/>
    <x v="2"/>
    <n v="60"/>
    <n v="18.687999999999999"/>
    <n v="59.999999999999986"/>
    <s v="OK"/>
  </r>
  <r>
    <n v="12476"/>
    <x v="0"/>
    <x v="2"/>
    <n v="12.7"/>
    <n v="5"/>
    <x v="1"/>
    <n v="25"/>
    <n v="15.875"/>
    <n v="25"/>
    <s v="OK"/>
  </r>
  <r>
    <n v="12477"/>
    <x v="1"/>
    <x v="0"/>
    <n v="9.4600000000000009"/>
    <n v="7"/>
    <x v="1"/>
    <n v="28"/>
    <n v="12.108800000000002"/>
    <n v="28.000000000000004"/>
    <s v="OK"/>
  </r>
  <r>
    <n v="12478"/>
    <x v="1"/>
    <x v="1"/>
    <n v="9.84"/>
    <n v="7"/>
    <x v="1"/>
    <n v="30"/>
    <n v="12.792"/>
    <n v="30.000000000000004"/>
    <s v="OK"/>
  </r>
  <r>
    <n v="12479"/>
    <x v="3"/>
    <x v="0"/>
    <n v="0.91"/>
    <n v="5"/>
    <x v="1"/>
    <n v="28"/>
    <n v="1.1648000000000001"/>
    <n v="28.000000000000004"/>
    <s v="OK"/>
  </r>
  <r>
    <n v="12480"/>
    <x v="2"/>
    <x v="2"/>
    <n v="12.51"/>
    <n v="8"/>
    <x v="2"/>
    <n v="50"/>
    <n v="18.765000000000001"/>
    <n v="50"/>
    <s v="OK"/>
  </r>
  <r>
    <n v="12481"/>
    <x v="2"/>
    <x v="2"/>
    <n v="11.93"/>
    <n v="10"/>
    <x v="2"/>
    <n v="50"/>
    <n v="17.895"/>
    <n v="50"/>
    <s v="OK"/>
  </r>
  <r>
    <n v="12482"/>
    <x v="2"/>
    <x v="1"/>
    <n v="4.26"/>
    <n v="6"/>
    <x v="1"/>
    <n v="30"/>
    <n v="5.5380000000000003"/>
    <n v="30.000000000000004"/>
    <s v="OK"/>
  </r>
  <r>
    <n v="12483"/>
    <x v="2"/>
    <x v="1"/>
    <n v="10.78"/>
    <n v="5"/>
    <x v="1"/>
    <n v="30"/>
    <n v="14.013999999999999"/>
    <n v="30.000000000000004"/>
    <s v="OK"/>
  </r>
  <r>
    <n v="12484"/>
    <x v="1"/>
    <x v="0"/>
    <n v="3.62"/>
    <n v="4"/>
    <x v="1"/>
    <n v="28"/>
    <n v="4.6336000000000004"/>
    <n v="28.000000000000004"/>
    <s v="OK"/>
  </r>
  <r>
    <n v="12485"/>
    <x v="0"/>
    <x v="1"/>
    <n v="1.08"/>
    <n v="7"/>
    <x v="1"/>
    <n v="30"/>
    <n v="1.4040000000000001"/>
    <n v="30.000000000000004"/>
    <s v="OK"/>
  </r>
  <r>
    <n v="12486"/>
    <x v="0"/>
    <x v="0"/>
    <n v="3.42"/>
    <n v="4"/>
    <x v="1"/>
    <n v="28"/>
    <n v="4.3776000000000002"/>
    <n v="28.000000000000004"/>
    <s v="OK"/>
  </r>
  <r>
    <n v="12487"/>
    <x v="3"/>
    <x v="1"/>
    <n v="3.09"/>
    <n v="5"/>
    <x v="1"/>
    <n v="30"/>
    <n v="4.0170000000000003"/>
    <n v="30.000000000000028"/>
    <s v="OK"/>
  </r>
  <r>
    <n v="12488"/>
    <x v="3"/>
    <x v="0"/>
    <n v="5.4"/>
    <n v="5"/>
    <x v="1"/>
    <n v="28"/>
    <n v="6.9120000000000008"/>
    <n v="28.000000000000004"/>
    <s v="OK"/>
  </r>
  <r>
    <n v="12489"/>
    <x v="1"/>
    <x v="0"/>
    <n v="6.57"/>
    <n v="1"/>
    <x v="0"/>
    <n v="12"/>
    <n v="7.3584000000000014"/>
    <n v="12.000000000000011"/>
    <s v="OK"/>
  </r>
  <r>
    <n v="12490"/>
    <x v="0"/>
    <x v="0"/>
    <n v="7.87"/>
    <n v="1"/>
    <x v="0"/>
    <n v="12"/>
    <n v="8.8144000000000009"/>
    <n v="12.000000000000011"/>
    <s v="OK"/>
  </r>
  <r>
    <n v="12491"/>
    <x v="0"/>
    <x v="0"/>
    <n v="7.41"/>
    <n v="3"/>
    <x v="0"/>
    <n v="12"/>
    <n v="8.2992000000000008"/>
    <n v="12.000000000000011"/>
    <s v="OK"/>
  </r>
  <r>
    <n v="12492"/>
    <x v="2"/>
    <x v="2"/>
    <n v="4.42"/>
    <n v="3"/>
    <x v="0"/>
    <n v="10"/>
    <n v="4.8620000000000001"/>
    <n v="10.000000000000009"/>
    <s v="OK"/>
  </r>
  <r>
    <n v="12493"/>
    <x v="1"/>
    <x v="0"/>
    <n v="0.92"/>
    <n v="2"/>
    <x v="0"/>
    <n v="12"/>
    <n v="1.0304000000000002"/>
    <n v="12.000000000000011"/>
    <s v="OK"/>
  </r>
  <r>
    <n v="12494"/>
    <x v="1"/>
    <x v="1"/>
    <n v="9.27"/>
    <n v="2"/>
    <x v="0"/>
    <n v="15"/>
    <n v="10.660499999999999"/>
    <n v="14.999999999999991"/>
    <s v="OK"/>
  </r>
  <r>
    <n v="12495"/>
    <x v="2"/>
    <x v="2"/>
    <n v="6.24"/>
    <n v="6"/>
    <x v="1"/>
    <n v="25"/>
    <n v="7.8000000000000007"/>
    <n v="25"/>
    <s v="OK"/>
  </r>
  <r>
    <n v="12496"/>
    <x v="1"/>
    <x v="2"/>
    <n v="4.83"/>
    <n v="1"/>
    <x v="0"/>
    <n v="10"/>
    <n v="5.3130000000000006"/>
    <n v="10.000000000000009"/>
    <s v="OK"/>
  </r>
  <r>
    <n v="12497"/>
    <x v="1"/>
    <x v="0"/>
    <n v="13.07"/>
    <n v="6"/>
    <x v="1"/>
    <n v="28"/>
    <n v="16.729600000000001"/>
    <n v="28.000000000000004"/>
    <s v="OK"/>
  </r>
  <r>
    <n v="12498"/>
    <x v="3"/>
    <x v="2"/>
    <n v="11.33"/>
    <n v="5"/>
    <x v="1"/>
    <n v="25"/>
    <n v="14.1625"/>
    <n v="25"/>
    <s v="OK"/>
  </r>
  <r>
    <n v="12499"/>
    <x v="0"/>
    <x v="0"/>
    <n v="12.94"/>
    <n v="6"/>
    <x v="1"/>
    <n v="28"/>
    <n v="16.563199999999998"/>
    <n v="28.000000000000004"/>
    <s v="OK"/>
  </r>
  <r>
    <n v="12500"/>
    <x v="1"/>
    <x v="1"/>
    <n v="7.68"/>
    <n v="5"/>
    <x v="1"/>
    <n v="30"/>
    <n v="9.984"/>
    <n v="30.000000000000004"/>
    <s v="OK"/>
  </r>
  <r>
    <n v="12501"/>
    <x v="3"/>
    <x v="0"/>
    <n v="2.4"/>
    <n v="7"/>
    <x v="1"/>
    <n v="28"/>
    <n v="3.0720000000000001"/>
    <n v="28.000000000000004"/>
    <s v="OK"/>
  </r>
  <r>
    <n v="12502"/>
    <x v="0"/>
    <x v="2"/>
    <n v="10.6"/>
    <n v="1"/>
    <x v="0"/>
    <n v="10"/>
    <n v="11.66"/>
    <n v="10.000000000000009"/>
    <s v="OK"/>
  </r>
  <r>
    <n v="12503"/>
    <x v="2"/>
    <x v="1"/>
    <n v="3.49"/>
    <n v="3"/>
    <x v="0"/>
    <n v="15"/>
    <n v="4.0134999999999996"/>
    <n v="14.999999999999991"/>
    <s v="OK"/>
  </r>
  <r>
    <n v="12504"/>
    <x v="3"/>
    <x v="0"/>
    <n v="6.9"/>
    <n v="6"/>
    <x v="1"/>
    <n v="28"/>
    <n v="8.8320000000000007"/>
    <n v="28.000000000000004"/>
    <s v="OK"/>
  </r>
  <r>
    <n v="12505"/>
    <x v="3"/>
    <x v="1"/>
    <n v="1.44"/>
    <n v="1"/>
    <x v="0"/>
    <n v="15"/>
    <n v="1.6559999999999999"/>
    <n v="14.999999999999991"/>
    <s v="OK"/>
  </r>
  <r>
    <n v="12506"/>
    <x v="0"/>
    <x v="1"/>
    <n v="12.47"/>
    <n v="7"/>
    <x v="1"/>
    <n v="30"/>
    <n v="16.211000000000002"/>
    <n v="30.000000000000004"/>
    <s v="OK"/>
  </r>
  <r>
    <n v="12507"/>
    <x v="2"/>
    <x v="2"/>
    <n v="2.33"/>
    <n v="4"/>
    <x v="1"/>
    <n v="25"/>
    <n v="2.9125000000000001"/>
    <n v="25"/>
    <s v="OK"/>
  </r>
  <r>
    <n v="12508"/>
    <x v="3"/>
    <x v="1"/>
    <n v="13.59"/>
    <n v="3"/>
    <x v="0"/>
    <n v="15"/>
    <n v="15.628499999999999"/>
    <n v="14.999999999999991"/>
    <s v="OK"/>
  </r>
  <r>
    <n v="12509"/>
    <x v="1"/>
    <x v="2"/>
    <n v="13.03"/>
    <n v="10"/>
    <x v="2"/>
    <n v="50"/>
    <n v="19.544999999999998"/>
    <n v="50"/>
    <s v="OK"/>
  </r>
  <r>
    <n v="12510"/>
    <x v="1"/>
    <x v="1"/>
    <n v="7.24"/>
    <n v="9"/>
    <x v="2"/>
    <n v="60"/>
    <n v="11.584000000000001"/>
    <n v="60.000000000000007"/>
    <s v="OK"/>
  </r>
  <r>
    <n v="12511"/>
    <x v="1"/>
    <x v="0"/>
    <n v="11.29"/>
    <n v="1"/>
    <x v="0"/>
    <n v="12"/>
    <n v="12.6448"/>
    <n v="12.000000000000011"/>
    <s v="OK"/>
  </r>
  <r>
    <n v="12512"/>
    <x v="2"/>
    <x v="1"/>
    <n v="9.48"/>
    <n v="8"/>
    <x v="2"/>
    <n v="60"/>
    <n v="15.168000000000001"/>
    <n v="60.000000000000007"/>
    <s v="OK"/>
  </r>
  <r>
    <n v="12513"/>
    <x v="3"/>
    <x v="0"/>
    <n v="12.14"/>
    <n v="1"/>
    <x v="0"/>
    <n v="12"/>
    <n v="13.596800000000002"/>
    <n v="12.000000000000011"/>
    <s v="OK"/>
  </r>
  <r>
    <n v="12514"/>
    <x v="1"/>
    <x v="0"/>
    <n v="6.76"/>
    <n v="5"/>
    <x v="1"/>
    <n v="28"/>
    <n v="8.6527999999999992"/>
    <n v="28.000000000000004"/>
    <s v="OK"/>
  </r>
  <r>
    <n v="12515"/>
    <x v="2"/>
    <x v="1"/>
    <n v="11.89"/>
    <n v="10"/>
    <x v="2"/>
    <n v="60"/>
    <n v="19.024000000000001"/>
    <n v="60.000000000000007"/>
    <s v="OK"/>
  </r>
  <r>
    <n v="12516"/>
    <x v="1"/>
    <x v="0"/>
    <n v="7.21"/>
    <n v="8"/>
    <x v="2"/>
    <n v="55"/>
    <n v="11.1755"/>
    <n v="55.000000000000007"/>
    <s v="OK"/>
  </r>
  <r>
    <n v="12517"/>
    <x v="0"/>
    <x v="1"/>
    <n v="14.14"/>
    <n v="6"/>
    <x v="1"/>
    <n v="30"/>
    <n v="18.382000000000001"/>
    <n v="30.000000000000004"/>
    <s v="OK"/>
  </r>
  <r>
    <n v="12518"/>
    <x v="3"/>
    <x v="1"/>
    <n v="7.55"/>
    <n v="7"/>
    <x v="1"/>
    <n v="30"/>
    <n v="9.8149999999999995"/>
    <n v="30.000000000000004"/>
    <s v="OK"/>
  </r>
  <r>
    <n v="12519"/>
    <x v="3"/>
    <x v="0"/>
    <n v="7.21"/>
    <n v="8"/>
    <x v="2"/>
    <n v="55"/>
    <n v="11.1755"/>
    <n v="55.000000000000007"/>
    <s v="OK"/>
  </r>
  <r>
    <n v="12520"/>
    <x v="2"/>
    <x v="0"/>
    <n v="11.88"/>
    <n v="6"/>
    <x v="1"/>
    <n v="28"/>
    <n v="15.206400000000002"/>
    <n v="28.000000000000004"/>
    <s v="OK"/>
  </r>
  <r>
    <n v="12521"/>
    <x v="2"/>
    <x v="2"/>
    <n v="12.41"/>
    <n v="6"/>
    <x v="1"/>
    <n v="25"/>
    <n v="15.512499999999999"/>
    <n v="25"/>
    <s v="OK"/>
  </r>
  <r>
    <n v="12522"/>
    <x v="3"/>
    <x v="0"/>
    <n v="8.5399999999999991"/>
    <n v="6"/>
    <x v="1"/>
    <n v="28"/>
    <n v="10.931199999999999"/>
    <n v="28.000000000000004"/>
    <s v="OK"/>
  </r>
  <r>
    <n v="12523"/>
    <x v="1"/>
    <x v="2"/>
    <n v="3.11"/>
    <n v="5"/>
    <x v="1"/>
    <n v="25"/>
    <n v="3.8874999999999997"/>
    <n v="25"/>
    <s v="OK"/>
  </r>
  <r>
    <n v="12524"/>
    <x v="1"/>
    <x v="0"/>
    <n v="7.28"/>
    <n v="8"/>
    <x v="2"/>
    <n v="55"/>
    <n v="11.284000000000001"/>
    <n v="55.000000000000007"/>
    <s v="OK"/>
  </r>
  <r>
    <n v="12525"/>
    <x v="0"/>
    <x v="1"/>
    <n v="14.54"/>
    <n v="2"/>
    <x v="0"/>
    <n v="15"/>
    <n v="16.720999999999997"/>
    <n v="14.999999999999991"/>
    <s v="OK"/>
  </r>
  <r>
    <n v="12526"/>
    <x v="1"/>
    <x v="0"/>
    <n v="11.42"/>
    <n v="7"/>
    <x v="1"/>
    <n v="28"/>
    <n v="14.617599999999999"/>
    <n v="28.000000000000004"/>
    <s v="OK"/>
  </r>
  <r>
    <n v="12527"/>
    <x v="2"/>
    <x v="1"/>
    <n v="12.26"/>
    <n v="4"/>
    <x v="1"/>
    <n v="30"/>
    <n v="15.938000000000001"/>
    <n v="30.000000000000004"/>
    <s v="OK"/>
  </r>
  <r>
    <n v="12528"/>
    <x v="2"/>
    <x v="1"/>
    <n v="0.98"/>
    <n v="1"/>
    <x v="0"/>
    <n v="15"/>
    <n v="1.127"/>
    <n v="15.000000000000014"/>
    <s v="OK"/>
  </r>
  <r>
    <n v="12529"/>
    <x v="1"/>
    <x v="1"/>
    <n v="7.28"/>
    <n v="5"/>
    <x v="1"/>
    <n v="30"/>
    <n v="9.4640000000000004"/>
    <n v="30.000000000000004"/>
    <s v="OK"/>
  </r>
  <r>
    <n v="12530"/>
    <x v="2"/>
    <x v="2"/>
    <n v="9.8800000000000008"/>
    <n v="3"/>
    <x v="0"/>
    <n v="10"/>
    <n v="10.868000000000002"/>
    <n v="10.000000000000009"/>
    <s v="OK"/>
  </r>
  <r>
    <n v="12531"/>
    <x v="3"/>
    <x v="0"/>
    <n v="12.54"/>
    <n v="4"/>
    <x v="1"/>
    <n v="28"/>
    <n v="16.051199999999998"/>
    <n v="28.000000000000004"/>
    <s v="OK"/>
  </r>
  <r>
    <n v="12532"/>
    <x v="3"/>
    <x v="1"/>
    <n v="1.21"/>
    <n v="7"/>
    <x v="1"/>
    <n v="30"/>
    <n v="1.573"/>
    <n v="30.000000000000004"/>
    <s v="OK"/>
  </r>
  <r>
    <n v="12533"/>
    <x v="1"/>
    <x v="1"/>
    <n v="12.86"/>
    <n v="5"/>
    <x v="1"/>
    <n v="30"/>
    <n v="16.718"/>
    <n v="30.000000000000004"/>
    <s v="OK"/>
  </r>
  <r>
    <n v="12534"/>
    <x v="3"/>
    <x v="2"/>
    <n v="8.4499999999999993"/>
    <n v="4"/>
    <x v="1"/>
    <n v="25"/>
    <n v="10.5625"/>
    <n v="25"/>
    <s v="OK"/>
  </r>
  <r>
    <n v="12535"/>
    <x v="3"/>
    <x v="0"/>
    <n v="3.36"/>
    <n v="1"/>
    <x v="0"/>
    <n v="12"/>
    <n v="3.7632000000000003"/>
    <n v="12.000000000000011"/>
    <s v="OK"/>
  </r>
  <r>
    <n v="12536"/>
    <x v="0"/>
    <x v="0"/>
    <n v="5.0999999999999996"/>
    <n v="6"/>
    <x v="1"/>
    <n v="28"/>
    <n v="6.5279999999999996"/>
    <n v="28.000000000000004"/>
    <s v="OK"/>
  </r>
  <r>
    <n v="12537"/>
    <x v="0"/>
    <x v="2"/>
    <n v="4.59"/>
    <n v="10"/>
    <x v="2"/>
    <n v="50"/>
    <n v="6.8849999999999998"/>
    <n v="50"/>
    <s v="OK"/>
  </r>
  <r>
    <n v="12538"/>
    <x v="3"/>
    <x v="2"/>
    <n v="8.1999999999999993"/>
    <n v="6"/>
    <x v="1"/>
    <n v="25"/>
    <n v="10.25"/>
    <n v="25"/>
    <s v="OK"/>
  </r>
  <r>
    <n v="12539"/>
    <x v="1"/>
    <x v="0"/>
    <n v="1.25"/>
    <n v="7"/>
    <x v="1"/>
    <n v="28"/>
    <n v="1.6"/>
    <n v="28.000000000000004"/>
    <s v="OK"/>
  </r>
  <r>
    <n v="12540"/>
    <x v="0"/>
    <x v="2"/>
    <n v="2.8"/>
    <n v="1"/>
    <x v="0"/>
    <n v="10"/>
    <n v="3.08"/>
    <n v="10.000000000000009"/>
    <s v="OK"/>
  </r>
  <r>
    <n v="12541"/>
    <x v="2"/>
    <x v="0"/>
    <n v="12.28"/>
    <n v="4"/>
    <x v="1"/>
    <n v="28"/>
    <n v="15.718399999999999"/>
    <n v="28.000000000000004"/>
    <s v="OK"/>
  </r>
  <r>
    <n v="12542"/>
    <x v="2"/>
    <x v="0"/>
    <n v="2.42"/>
    <n v="9"/>
    <x v="2"/>
    <n v="55"/>
    <n v="3.7509999999999999"/>
    <n v="55.000000000000007"/>
    <s v="OK"/>
  </r>
  <r>
    <n v="12543"/>
    <x v="2"/>
    <x v="1"/>
    <n v="3.88"/>
    <n v="10"/>
    <x v="2"/>
    <n v="60"/>
    <n v="6.2080000000000002"/>
    <n v="60.000000000000007"/>
    <s v="OK"/>
  </r>
  <r>
    <n v="12544"/>
    <x v="1"/>
    <x v="1"/>
    <n v="7.07"/>
    <n v="6"/>
    <x v="1"/>
    <n v="30"/>
    <n v="9.1910000000000007"/>
    <n v="30.000000000000004"/>
    <s v="OK"/>
  </r>
  <r>
    <n v="12545"/>
    <x v="3"/>
    <x v="0"/>
    <n v="8"/>
    <n v="2"/>
    <x v="0"/>
    <n v="12"/>
    <n v="8.9600000000000009"/>
    <n v="12.000000000000011"/>
    <s v="OK"/>
  </r>
  <r>
    <n v="12546"/>
    <x v="2"/>
    <x v="0"/>
    <n v="11.57"/>
    <n v="4"/>
    <x v="1"/>
    <n v="28"/>
    <n v="14.809600000000001"/>
    <n v="28.000000000000004"/>
    <s v="OK"/>
  </r>
  <r>
    <n v="12547"/>
    <x v="1"/>
    <x v="0"/>
    <n v="6.99"/>
    <n v="6"/>
    <x v="1"/>
    <n v="28"/>
    <n v="8.9472000000000005"/>
    <n v="28.000000000000004"/>
    <s v="OK"/>
  </r>
  <r>
    <n v="12548"/>
    <x v="0"/>
    <x v="0"/>
    <n v="11.95"/>
    <n v="4"/>
    <x v="1"/>
    <n v="28"/>
    <n v="15.295999999999999"/>
    <n v="28.000000000000004"/>
    <s v="OK"/>
  </r>
  <r>
    <n v="12549"/>
    <x v="3"/>
    <x v="0"/>
    <n v="9.4700000000000006"/>
    <n v="10"/>
    <x v="2"/>
    <n v="55"/>
    <n v="14.678500000000001"/>
    <n v="55.000000000000007"/>
    <s v="OK"/>
  </r>
  <r>
    <n v="12550"/>
    <x v="0"/>
    <x v="0"/>
    <n v="2.14"/>
    <n v="7"/>
    <x v="1"/>
    <n v="28"/>
    <n v="2.7392000000000003"/>
    <n v="28.000000000000004"/>
    <s v="OK"/>
  </r>
  <r>
    <n v="12551"/>
    <x v="1"/>
    <x v="2"/>
    <n v="2.77"/>
    <n v="3"/>
    <x v="0"/>
    <n v="10"/>
    <n v="3.0470000000000002"/>
    <n v="10.000000000000009"/>
    <s v="OK"/>
  </r>
  <r>
    <n v="12552"/>
    <x v="2"/>
    <x v="0"/>
    <n v="6.84"/>
    <n v="6"/>
    <x v="1"/>
    <n v="28"/>
    <n v="8.7552000000000003"/>
    <n v="28.000000000000004"/>
    <s v="OK"/>
  </r>
  <r>
    <n v="12553"/>
    <x v="2"/>
    <x v="2"/>
    <n v="6.25"/>
    <n v="4"/>
    <x v="1"/>
    <n v="25"/>
    <n v="7.8125"/>
    <n v="25"/>
    <s v="OK"/>
  </r>
  <r>
    <n v="12554"/>
    <x v="1"/>
    <x v="2"/>
    <n v="11.28"/>
    <n v="3"/>
    <x v="0"/>
    <n v="10"/>
    <n v="12.407999999999999"/>
    <n v="10.000000000000009"/>
    <s v="OK"/>
  </r>
  <r>
    <n v="12555"/>
    <x v="2"/>
    <x v="0"/>
    <n v="8.92"/>
    <n v="3"/>
    <x v="0"/>
    <n v="12"/>
    <n v="9.9904000000000011"/>
    <n v="12.000000000000011"/>
    <s v="OK"/>
  </r>
  <r>
    <n v="12556"/>
    <x v="3"/>
    <x v="0"/>
    <n v="6.13"/>
    <n v="2"/>
    <x v="0"/>
    <n v="12"/>
    <n v="6.8656000000000006"/>
    <n v="12.000000000000011"/>
    <s v="OK"/>
  </r>
  <r>
    <n v="12557"/>
    <x v="1"/>
    <x v="2"/>
    <n v="2.98"/>
    <n v="3"/>
    <x v="0"/>
    <n v="10"/>
    <n v="3.278"/>
    <n v="10.000000000000009"/>
    <s v="OK"/>
  </r>
  <r>
    <n v="12558"/>
    <x v="0"/>
    <x v="2"/>
    <n v="3.79"/>
    <n v="10"/>
    <x v="2"/>
    <n v="50"/>
    <n v="5.6850000000000005"/>
    <n v="50.000000000000021"/>
    <s v="OK"/>
  </r>
  <r>
    <n v="12559"/>
    <x v="1"/>
    <x v="0"/>
    <n v="8.84"/>
    <n v="1"/>
    <x v="0"/>
    <n v="12"/>
    <n v="9.9008000000000003"/>
    <n v="12.000000000000011"/>
    <s v="OK"/>
  </r>
  <r>
    <n v="12560"/>
    <x v="3"/>
    <x v="0"/>
    <n v="6.64"/>
    <n v="3"/>
    <x v="0"/>
    <n v="12"/>
    <n v="7.4368000000000007"/>
    <n v="12.000000000000011"/>
    <s v="OK"/>
  </r>
  <r>
    <n v="12561"/>
    <x v="3"/>
    <x v="2"/>
    <n v="7.97"/>
    <n v="9"/>
    <x v="2"/>
    <n v="50"/>
    <n v="11.955"/>
    <n v="50"/>
    <s v="OK"/>
  </r>
  <r>
    <n v="12562"/>
    <x v="1"/>
    <x v="2"/>
    <n v="2.97"/>
    <n v="4"/>
    <x v="1"/>
    <n v="25"/>
    <n v="3.7125000000000004"/>
    <n v="25"/>
    <s v="OK"/>
  </r>
  <r>
    <n v="12563"/>
    <x v="1"/>
    <x v="2"/>
    <n v="10.11"/>
    <n v="3"/>
    <x v="0"/>
    <n v="10"/>
    <n v="11.121"/>
    <n v="10.000000000000009"/>
    <s v="OK"/>
  </r>
  <r>
    <n v="12564"/>
    <x v="2"/>
    <x v="1"/>
    <n v="12.86"/>
    <n v="8"/>
    <x v="2"/>
    <n v="60"/>
    <n v="20.576000000000001"/>
    <n v="60.000000000000007"/>
    <s v="OK"/>
  </r>
  <r>
    <n v="12565"/>
    <x v="3"/>
    <x v="2"/>
    <n v="4.24"/>
    <n v="1"/>
    <x v="0"/>
    <n v="10"/>
    <n v="4.6640000000000006"/>
    <n v="10.000000000000009"/>
    <s v="OK"/>
  </r>
  <r>
    <n v="12566"/>
    <x v="1"/>
    <x v="1"/>
    <n v="7.63"/>
    <n v="5"/>
    <x v="1"/>
    <n v="30"/>
    <n v="9.9190000000000005"/>
    <n v="30.000000000000004"/>
    <s v="OK"/>
  </r>
  <r>
    <n v="12567"/>
    <x v="1"/>
    <x v="0"/>
    <n v="14.65"/>
    <n v="1"/>
    <x v="0"/>
    <n v="12"/>
    <n v="16.408000000000001"/>
    <n v="12.000000000000011"/>
    <s v="OK"/>
  </r>
  <r>
    <n v="12568"/>
    <x v="3"/>
    <x v="0"/>
    <n v="5.33"/>
    <n v="7"/>
    <x v="1"/>
    <n v="28"/>
    <n v="6.8224"/>
    <n v="28.000000000000004"/>
    <s v="OK"/>
  </r>
  <r>
    <n v="12569"/>
    <x v="1"/>
    <x v="2"/>
    <n v="9.1300000000000008"/>
    <n v="5"/>
    <x v="1"/>
    <n v="25"/>
    <n v="11.412500000000001"/>
    <n v="25"/>
    <s v="OK"/>
  </r>
  <r>
    <n v="12570"/>
    <x v="2"/>
    <x v="0"/>
    <n v="1.81"/>
    <n v="2"/>
    <x v="0"/>
    <n v="12"/>
    <n v="2.0272000000000001"/>
    <n v="12.000000000000011"/>
    <s v="OK"/>
  </r>
  <r>
    <n v="12571"/>
    <x v="3"/>
    <x v="0"/>
    <n v="9.2899999999999991"/>
    <n v="1"/>
    <x v="0"/>
    <n v="12"/>
    <n v="10.4048"/>
    <n v="12.000000000000011"/>
    <s v="OK"/>
  </r>
  <r>
    <n v="12572"/>
    <x v="2"/>
    <x v="0"/>
    <n v="1.8"/>
    <n v="7"/>
    <x v="1"/>
    <n v="28"/>
    <n v="2.3040000000000003"/>
    <n v="28.000000000000004"/>
    <s v="OK"/>
  </r>
  <r>
    <n v="12573"/>
    <x v="2"/>
    <x v="0"/>
    <n v="14.41"/>
    <n v="1"/>
    <x v="0"/>
    <n v="12"/>
    <n v="16.139200000000002"/>
    <n v="12.000000000000011"/>
    <s v="OK"/>
  </r>
  <r>
    <n v="12574"/>
    <x v="2"/>
    <x v="1"/>
    <n v="10.88"/>
    <n v="3"/>
    <x v="0"/>
    <n v="15"/>
    <n v="12.512"/>
    <n v="14.999999999999991"/>
    <s v="OK"/>
  </r>
  <r>
    <n v="12575"/>
    <x v="2"/>
    <x v="1"/>
    <n v="11.93"/>
    <n v="6"/>
    <x v="1"/>
    <n v="30"/>
    <n v="15.509"/>
    <n v="30.000000000000004"/>
    <s v="OK"/>
  </r>
  <r>
    <n v="12576"/>
    <x v="3"/>
    <x v="2"/>
    <n v="10.71"/>
    <n v="6"/>
    <x v="1"/>
    <n v="25"/>
    <n v="13.387500000000001"/>
    <n v="25"/>
    <s v="OK"/>
  </r>
  <r>
    <n v="12577"/>
    <x v="2"/>
    <x v="2"/>
    <n v="9.0500000000000007"/>
    <n v="7"/>
    <x v="1"/>
    <n v="25"/>
    <n v="11.3125"/>
    <n v="25"/>
    <s v="OK"/>
  </r>
  <r>
    <n v="12578"/>
    <x v="2"/>
    <x v="2"/>
    <n v="7.02"/>
    <n v="1"/>
    <x v="0"/>
    <n v="10"/>
    <n v="7.7220000000000004"/>
    <n v="10.000000000000009"/>
    <s v="OK"/>
  </r>
  <r>
    <n v="12579"/>
    <x v="1"/>
    <x v="0"/>
    <n v="12.95"/>
    <n v="7"/>
    <x v="1"/>
    <n v="28"/>
    <n v="16.576000000000001"/>
    <n v="28.000000000000004"/>
    <s v="OK"/>
  </r>
  <r>
    <n v="12580"/>
    <x v="3"/>
    <x v="0"/>
    <n v="14.37"/>
    <n v="2"/>
    <x v="0"/>
    <n v="12"/>
    <n v="16.0944"/>
    <n v="12.000000000000011"/>
    <s v="OK"/>
  </r>
  <r>
    <n v="12581"/>
    <x v="3"/>
    <x v="1"/>
    <n v="7.74"/>
    <n v="6"/>
    <x v="1"/>
    <n v="30"/>
    <n v="10.062000000000001"/>
    <n v="30.000000000000004"/>
    <s v="OK"/>
  </r>
  <r>
    <n v="12582"/>
    <x v="0"/>
    <x v="1"/>
    <n v="14.01"/>
    <n v="8"/>
    <x v="2"/>
    <n v="60"/>
    <n v="22.416"/>
    <n v="60.000000000000007"/>
    <s v="OK"/>
  </r>
  <r>
    <n v="12583"/>
    <x v="3"/>
    <x v="2"/>
    <n v="8.9600000000000009"/>
    <n v="5"/>
    <x v="1"/>
    <n v="25"/>
    <n v="11.200000000000001"/>
    <n v="25"/>
    <s v="OK"/>
  </r>
  <r>
    <n v="12584"/>
    <x v="3"/>
    <x v="1"/>
    <n v="8.31"/>
    <n v="10"/>
    <x v="2"/>
    <n v="60"/>
    <n v="13.296000000000001"/>
    <n v="60.000000000000007"/>
    <s v="OK"/>
  </r>
  <r>
    <n v="12585"/>
    <x v="0"/>
    <x v="1"/>
    <n v="7.09"/>
    <n v="3"/>
    <x v="0"/>
    <n v="15"/>
    <n v="8.1534999999999993"/>
    <n v="14.999999999999991"/>
    <s v="OK"/>
  </r>
  <r>
    <n v="12586"/>
    <x v="3"/>
    <x v="1"/>
    <n v="3.53"/>
    <n v="8"/>
    <x v="2"/>
    <n v="60"/>
    <n v="5.6479999999999997"/>
    <n v="60.000000000000007"/>
    <s v="OK"/>
  </r>
  <r>
    <n v="12587"/>
    <x v="3"/>
    <x v="1"/>
    <n v="0.55000000000000004"/>
    <n v="8"/>
    <x v="2"/>
    <n v="60"/>
    <n v="0.88000000000000012"/>
    <n v="60.000000000000007"/>
    <s v="OK"/>
  </r>
  <r>
    <n v="12588"/>
    <x v="3"/>
    <x v="1"/>
    <n v="4"/>
    <n v="4"/>
    <x v="1"/>
    <n v="30"/>
    <n v="5.2"/>
    <n v="30.000000000000004"/>
    <s v="OK"/>
  </r>
  <r>
    <n v="12589"/>
    <x v="3"/>
    <x v="2"/>
    <n v="7.89"/>
    <n v="8"/>
    <x v="2"/>
    <n v="50"/>
    <n v="11.834999999999999"/>
    <n v="50"/>
    <s v="OK"/>
  </r>
  <r>
    <n v="12590"/>
    <x v="0"/>
    <x v="2"/>
    <n v="6.01"/>
    <n v="5"/>
    <x v="1"/>
    <n v="25"/>
    <n v="7.5124999999999993"/>
    <n v="25"/>
    <s v="OK"/>
  </r>
  <r>
    <n v="12591"/>
    <x v="3"/>
    <x v="1"/>
    <n v="7"/>
    <n v="5"/>
    <x v="1"/>
    <n v="30"/>
    <n v="9.1"/>
    <n v="30.000000000000004"/>
    <s v="OK"/>
  </r>
  <r>
    <n v="12592"/>
    <x v="3"/>
    <x v="2"/>
    <n v="14.72"/>
    <n v="3"/>
    <x v="0"/>
    <n v="10"/>
    <n v="16.192000000000004"/>
    <n v="10.000000000000032"/>
    <s v="OK"/>
  </r>
  <r>
    <n v="12593"/>
    <x v="0"/>
    <x v="0"/>
    <n v="5.58"/>
    <n v="7"/>
    <x v="1"/>
    <n v="28"/>
    <n v="7.1424000000000003"/>
    <n v="28.000000000000004"/>
    <s v="OK"/>
  </r>
  <r>
    <n v="12594"/>
    <x v="1"/>
    <x v="1"/>
    <n v="7.06"/>
    <n v="9"/>
    <x v="2"/>
    <n v="60"/>
    <n v="11.295999999999999"/>
    <n v="60.000000000000007"/>
    <s v="OK"/>
  </r>
  <r>
    <n v="12595"/>
    <x v="2"/>
    <x v="0"/>
    <n v="2.44"/>
    <n v="9"/>
    <x v="2"/>
    <n v="55"/>
    <n v="3.782"/>
    <n v="55.000000000000007"/>
    <s v="OK"/>
  </r>
  <r>
    <n v="12596"/>
    <x v="1"/>
    <x v="2"/>
    <n v="1.2"/>
    <n v="1"/>
    <x v="0"/>
    <n v="10"/>
    <n v="1.32"/>
    <n v="10.000000000000009"/>
    <s v="OK"/>
  </r>
  <r>
    <n v="12597"/>
    <x v="0"/>
    <x v="2"/>
    <n v="11.74"/>
    <n v="1"/>
    <x v="0"/>
    <n v="10"/>
    <n v="12.914000000000001"/>
    <n v="10.000000000000009"/>
    <s v="OK"/>
  </r>
  <r>
    <n v="12598"/>
    <x v="2"/>
    <x v="0"/>
    <n v="8.77"/>
    <n v="10"/>
    <x v="2"/>
    <n v="55"/>
    <n v="13.593500000000001"/>
    <n v="55.000000000000007"/>
    <s v="OK"/>
  </r>
  <r>
    <n v="12599"/>
    <x v="0"/>
    <x v="2"/>
    <n v="11.53"/>
    <n v="5"/>
    <x v="1"/>
    <n v="25"/>
    <n v="14.4125"/>
    <n v="25"/>
    <s v="OK"/>
  </r>
  <r>
    <n v="12600"/>
    <x v="0"/>
    <x v="1"/>
    <n v="2.67"/>
    <n v="1"/>
    <x v="0"/>
    <n v="15"/>
    <n v="3.0704999999999996"/>
    <n v="14.999999999999991"/>
    <s v="OK"/>
  </r>
  <r>
    <n v="12601"/>
    <x v="3"/>
    <x v="0"/>
    <n v="8.7899999999999991"/>
    <n v="4"/>
    <x v="1"/>
    <n v="28"/>
    <n v="11.251199999999999"/>
    <n v="28.000000000000004"/>
    <s v="OK"/>
  </r>
  <r>
    <n v="12602"/>
    <x v="2"/>
    <x v="1"/>
    <n v="4.18"/>
    <n v="1"/>
    <x v="0"/>
    <n v="15"/>
    <n v="4.8069999999999995"/>
    <n v="14.999999999999991"/>
    <s v="OK"/>
  </r>
  <r>
    <n v="12603"/>
    <x v="3"/>
    <x v="0"/>
    <n v="3.81"/>
    <n v="2"/>
    <x v="0"/>
    <n v="12"/>
    <n v="4.2672000000000008"/>
    <n v="12.000000000000011"/>
    <s v="OK"/>
  </r>
  <r>
    <n v="12604"/>
    <x v="2"/>
    <x v="2"/>
    <n v="0.67"/>
    <n v="2"/>
    <x v="0"/>
    <n v="10"/>
    <n v="0.7370000000000001"/>
    <n v="10.000000000000009"/>
    <s v="OK"/>
  </r>
  <r>
    <n v="12605"/>
    <x v="0"/>
    <x v="0"/>
    <n v="2.39"/>
    <n v="4"/>
    <x v="1"/>
    <n v="28"/>
    <n v="3.0592000000000001"/>
    <n v="28.000000000000004"/>
    <s v="OK"/>
  </r>
  <r>
    <n v="12606"/>
    <x v="0"/>
    <x v="0"/>
    <n v="4.9800000000000004"/>
    <n v="8"/>
    <x v="2"/>
    <n v="55"/>
    <n v="7.7190000000000012"/>
    <n v="55.000000000000007"/>
    <s v="OK"/>
  </r>
  <r>
    <n v="12607"/>
    <x v="1"/>
    <x v="1"/>
    <n v="2.19"/>
    <n v="2"/>
    <x v="0"/>
    <n v="15"/>
    <n v="2.5185"/>
    <n v="14.999999999999991"/>
    <s v="OK"/>
  </r>
  <r>
    <n v="12608"/>
    <x v="2"/>
    <x v="2"/>
    <n v="14.79"/>
    <n v="9"/>
    <x v="2"/>
    <n v="50"/>
    <n v="22.184999999999999"/>
    <n v="50"/>
    <s v="OK"/>
  </r>
  <r>
    <n v="12609"/>
    <x v="3"/>
    <x v="1"/>
    <n v="4.9800000000000004"/>
    <n v="9"/>
    <x v="2"/>
    <n v="60"/>
    <n v="7.9680000000000009"/>
    <n v="60.000000000000007"/>
    <s v="OK"/>
  </r>
  <r>
    <n v="12610"/>
    <x v="1"/>
    <x v="2"/>
    <n v="2.39"/>
    <n v="2"/>
    <x v="0"/>
    <n v="10"/>
    <n v="2.6290000000000004"/>
    <n v="10.000000000000009"/>
    <s v="OK"/>
  </r>
  <r>
    <n v="12611"/>
    <x v="1"/>
    <x v="1"/>
    <n v="3.39"/>
    <n v="1"/>
    <x v="0"/>
    <n v="15"/>
    <n v="3.8984999999999999"/>
    <n v="14.999999999999991"/>
    <s v="OK"/>
  </r>
  <r>
    <n v="12612"/>
    <x v="1"/>
    <x v="0"/>
    <n v="9.02"/>
    <n v="10"/>
    <x v="2"/>
    <n v="55"/>
    <n v="13.981"/>
    <n v="55.000000000000007"/>
    <s v="OK"/>
  </r>
  <r>
    <n v="12613"/>
    <x v="3"/>
    <x v="1"/>
    <n v="1.43"/>
    <n v="10"/>
    <x v="2"/>
    <n v="60"/>
    <n v="2.2879999999999998"/>
    <n v="59.999999999999986"/>
    <s v="OK"/>
  </r>
  <r>
    <n v="12614"/>
    <x v="1"/>
    <x v="2"/>
    <n v="13.01"/>
    <n v="9"/>
    <x v="2"/>
    <n v="50"/>
    <n v="19.515000000000001"/>
    <n v="50"/>
    <s v="OK"/>
  </r>
  <r>
    <n v="12615"/>
    <x v="3"/>
    <x v="2"/>
    <n v="14.44"/>
    <n v="2"/>
    <x v="0"/>
    <n v="10"/>
    <n v="15.884"/>
    <n v="10.000000000000009"/>
    <s v="OK"/>
  </r>
  <r>
    <n v="12616"/>
    <x v="1"/>
    <x v="0"/>
    <n v="4.08"/>
    <n v="8"/>
    <x v="2"/>
    <n v="55"/>
    <n v="6.3240000000000007"/>
    <n v="55.000000000000007"/>
    <s v="OK"/>
  </r>
  <r>
    <n v="12617"/>
    <x v="3"/>
    <x v="2"/>
    <n v="7.03"/>
    <n v="3"/>
    <x v="0"/>
    <n v="10"/>
    <n v="7.7330000000000005"/>
    <n v="10.000000000000009"/>
    <s v="OK"/>
  </r>
  <r>
    <n v="12618"/>
    <x v="0"/>
    <x v="1"/>
    <n v="0.82"/>
    <n v="1"/>
    <x v="0"/>
    <n v="15"/>
    <n v="0.94299999999999984"/>
    <n v="14.999999999999991"/>
    <s v="OK"/>
  </r>
  <r>
    <n v="12619"/>
    <x v="0"/>
    <x v="0"/>
    <n v="9.7899999999999991"/>
    <n v="1"/>
    <x v="0"/>
    <n v="12"/>
    <n v="10.9648"/>
    <n v="12.000000000000011"/>
    <s v="OK"/>
  </r>
  <r>
    <n v="12620"/>
    <x v="0"/>
    <x v="2"/>
    <n v="6.5"/>
    <n v="10"/>
    <x v="2"/>
    <n v="50"/>
    <n v="9.75"/>
    <n v="50"/>
    <s v="OK"/>
  </r>
  <r>
    <n v="12621"/>
    <x v="0"/>
    <x v="2"/>
    <n v="4.42"/>
    <n v="2"/>
    <x v="0"/>
    <n v="10"/>
    <n v="4.8620000000000001"/>
    <n v="10.000000000000009"/>
    <s v="OK"/>
  </r>
  <r>
    <n v="12622"/>
    <x v="0"/>
    <x v="1"/>
    <n v="3.5"/>
    <n v="7"/>
    <x v="1"/>
    <n v="30"/>
    <n v="4.55"/>
    <n v="30.000000000000004"/>
    <s v="OK"/>
  </r>
  <r>
    <n v="12623"/>
    <x v="1"/>
    <x v="1"/>
    <n v="9.98"/>
    <n v="6"/>
    <x v="1"/>
    <n v="30"/>
    <n v="12.974"/>
    <n v="30.000000000000004"/>
    <s v="OK"/>
  </r>
  <r>
    <n v="12624"/>
    <x v="1"/>
    <x v="0"/>
    <n v="6.54"/>
    <n v="2"/>
    <x v="0"/>
    <n v="12"/>
    <n v="7.3248000000000006"/>
    <n v="12.000000000000011"/>
    <s v="OK"/>
  </r>
  <r>
    <n v="12625"/>
    <x v="1"/>
    <x v="2"/>
    <n v="3.11"/>
    <n v="4"/>
    <x v="1"/>
    <n v="25"/>
    <n v="3.8874999999999997"/>
    <n v="25"/>
    <s v="OK"/>
  </r>
  <r>
    <n v="12626"/>
    <x v="3"/>
    <x v="1"/>
    <n v="10.49"/>
    <n v="2"/>
    <x v="0"/>
    <n v="15"/>
    <n v="12.063499999999999"/>
    <n v="14.999999999999991"/>
    <s v="OK"/>
  </r>
  <r>
    <n v="12627"/>
    <x v="3"/>
    <x v="0"/>
    <n v="8.69"/>
    <n v="1"/>
    <x v="0"/>
    <n v="12"/>
    <n v="9.732800000000001"/>
    <n v="12.000000000000011"/>
    <s v="OK"/>
  </r>
  <r>
    <n v="12628"/>
    <x v="3"/>
    <x v="2"/>
    <n v="12.95"/>
    <n v="3"/>
    <x v="0"/>
    <n v="10"/>
    <n v="14.245000000000001"/>
    <n v="10.000000000000009"/>
    <s v="OK"/>
  </r>
  <r>
    <n v="12629"/>
    <x v="3"/>
    <x v="2"/>
    <n v="2.2000000000000002"/>
    <n v="4"/>
    <x v="1"/>
    <n v="25"/>
    <n v="2.75"/>
    <n v="25"/>
    <s v="OK"/>
  </r>
  <r>
    <n v="12630"/>
    <x v="0"/>
    <x v="0"/>
    <n v="11.89"/>
    <n v="10"/>
    <x v="2"/>
    <n v="55"/>
    <n v="18.429500000000001"/>
    <n v="55.000000000000007"/>
    <s v="OK"/>
  </r>
  <r>
    <n v="12631"/>
    <x v="0"/>
    <x v="0"/>
    <n v="10.27"/>
    <n v="5"/>
    <x v="1"/>
    <n v="28"/>
    <n v="13.1456"/>
    <n v="28.000000000000004"/>
    <s v="OK"/>
  </r>
  <r>
    <n v="12632"/>
    <x v="0"/>
    <x v="1"/>
    <n v="2.17"/>
    <n v="5"/>
    <x v="1"/>
    <n v="30"/>
    <n v="2.8210000000000002"/>
    <n v="30.000000000000004"/>
    <s v="OK"/>
  </r>
  <r>
    <n v="12633"/>
    <x v="2"/>
    <x v="2"/>
    <n v="10.57"/>
    <n v="7"/>
    <x v="1"/>
    <n v="25"/>
    <n v="13.2125"/>
    <n v="25"/>
    <s v="OK"/>
  </r>
  <r>
    <n v="12634"/>
    <x v="1"/>
    <x v="2"/>
    <n v="6.9"/>
    <n v="10"/>
    <x v="2"/>
    <n v="50"/>
    <n v="10.350000000000001"/>
    <n v="50.000000000000021"/>
    <s v="OK"/>
  </r>
  <r>
    <n v="12635"/>
    <x v="3"/>
    <x v="2"/>
    <n v="14.2"/>
    <n v="8"/>
    <x v="2"/>
    <n v="50"/>
    <n v="21.299999999999997"/>
    <n v="49.999999999999979"/>
    <s v="OK"/>
  </r>
  <r>
    <n v="12636"/>
    <x v="3"/>
    <x v="0"/>
    <n v="2.5499999999999998"/>
    <n v="9"/>
    <x v="2"/>
    <n v="55"/>
    <n v="3.9524999999999997"/>
    <n v="55.000000000000007"/>
    <s v="OK"/>
  </r>
  <r>
    <n v="12637"/>
    <x v="0"/>
    <x v="1"/>
    <n v="9.82"/>
    <n v="7"/>
    <x v="1"/>
    <n v="30"/>
    <n v="12.766"/>
    <n v="30.000000000000004"/>
    <s v="OK"/>
  </r>
  <r>
    <n v="12638"/>
    <x v="3"/>
    <x v="2"/>
    <n v="6.04"/>
    <n v="5"/>
    <x v="1"/>
    <n v="25"/>
    <n v="7.55"/>
    <n v="25"/>
    <s v="OK"/>
  </r>
  <r>
    <n v="12639"/>
    <x v="3"/>
    <x v="0"/>
    <n v="14.37"/>
    <n v="9"/>
    <x v="2"/>
    <n v="55"/>
    <n v="22.273499999999999"/>
    <n v="55.000000000000007"/>
    <s v="OK"/>
  </r>
  <r>
    <n v="12640"/>
    <x v="1"/>
    <x v="2"/>
    <n v="5.28"/>
    <n v="8"/>
    <x v="2"/>
    <n v="50"/>
    <n v="7.92"/>
    <n v="50"/>
    <s v="OK"/>
  </r>
  <r>
    <n v="12641"/>
    <x v="0"/>
    <x v="1"/>
    <n v="14.45"/>
    <n v="10"/>
    <x v="2"/>
    <n v="60"/>
    <n v="23.12"/>
    <n v="60.000000000000007"/>
    <s v="OK"/>
  </r>
  <r>
    <n v="12642"/>
    <x v="1"/>
    <x v="2"/>
    <n v="13.57"/>
    <n v="9"/>
    <x v="2"/>
    <n v="50"/>
    <n v="20.355"/>
    <n v="50"/>
    <s v="OK"/>
  </r>
  <r>
    <n v="12643"/>
    <x v="2"/>
    <x v="1"/>
    <n v="4.42"/>
    <n v="10"/>
    <x v="2"/>
    <n v="60"/>
    <n v="7.0720000000000001"/>
    <n v="60.000000000000007"/>
    <s v="OK"/>
  </r>
  <r>
    <n v="12644"/>
    <x v="2"/>
    <x v="1"/>
    <n v="12.15"/>
    <n v="8"/>
    <x v="2"/>
    <n v="60"/>
    <n v="19.440000000000001"/>
    <n v="60.000000000000007"/>
    <s v="OK"/>
  </r>
  <r>
    <n v="12645"/>
    <x v="2"/>
    <x v="2"/>
    <n v="14.94"/>
    <n v="6"/>
    <x v="1"/>
    <n v="25"/>
    <n v="18.675000000000001"/>
    <n v="25"/>
    <s v="OK"/>
  </r>
  <r>
    <n v="12646"/>
    <x v="0"/>
    <x v="2"/>
    <n v="4.16"/>
    <n v="4"/>
    <x v="1"/>
    <n v="25"/>
    <n v="5.2"/>
    <n v="25"/>
    <s v="OK"/>
  </r>
  <r>
    <n v="12647"/>
    <x v="3"/>
    <x v="1"/>
    <n v="6.83"/>
    <n v="9"/>
    <x v="2"/>
    <n v="60"/>
    <n v="10.928000000000001"/>
    <n v="60.000000000000007"/>
    <s v="OK"/>
  </r>
  <r>
    <n v="12648"/>
    <x v="0"/>
    <x v="0"/>
    <n v="8.0399999999999991"/>
    <n v="9"/>
    <x v="2"/>
    <n v="55"/>
    <n v="12.462"/>
    <n v="55.000000000000007"/>
    <s v="OK"/>
  </r>
  <r>
    <n v="12649"/>
    <x v="0"/>
    <x v="1"/>
    <n v="4.78"/>
    <n v="10"/>
    <x v="2"/>
    <n v="60"/>
    <n v="7.6480000000000006"/>
    <n v="60.000000000000007"/>
    <s v="OK"/>
  </r>
  <r>
    <n v="12650"/>
    <x v="3"/>
    <x v="2"/>
    <n v="0.72"/>
    <n v="10"/>
    <x v="2"/>
    <n v="50"/>
    <n v="1.08"/>
    <n v="50.000000000000021"/>
    <s v="OK"/>
  </r>
  <r>
    <n v="12651"/>
    <x v="1"/>
    <x v="2"/>
    <n v="3.69"/>
    <n v="9"/>
    <x v="2"/>
    <n v="50"/>
    <n v="5.5350000000000001"/>
    <n v="50"/>
    <s v="OK"/>
  </r>
  <r>
    <n v="12652"/>
    <x v="2"/>
    <x v="0"/>
    <n v="4.59"/>
    <n v="10"/>
    <x v="2"/>
    <n v="55"/>
    <n v="7.1144999999999996"/>
    <n v="55.000000000000007"/>
    <s v="OK"/>
  </r>
  <r>
    <n v="12653"/>
    <x v="1"/>
    <x v="1"/>
    <n v="6.93"/>
    <n v="3"/>
    <x v="0"/>
    <n v="15"/>
    <n v="7.9694999999999991"/>
    <n v="14.999999999999991"/>
    <s v="OK"/>
  </r>
  <r>
    <n v="12654"/>
    <x v="2"/>
    <x v="1"/>
    <n v="2.98"/>
    <n v="3"/>
    <x v="0"/>
    <n v="15"/>
    <n v="3.4269999999999996"/>
    <n v="14.999999999999991"/>
    <s v="OK"/>
  </r>
  <r>
    <n v="12655"/>
    <x v="0"/>
    <x v="1"/>
    <n v="13.16"/>
    <n v="6"/>
    <x v="1"/>
    <n v="30"/>
    <n v="17.108000000000001"/>
    <n v="30.000000000000004"/>
    <s v="OK"/>
  </r>
  <r>
    <n v="12656"/>
    <x v="2"/>
    <x v="2"/>
    <n v="10.72"/>
    <n v="6"/>
    <x v="1"/>
    <n v="25"/>
    <n v="13.4"/>
    <n v="25"/>
    <s v="OK"/>
  </r>
  <r>
    <n v="12657"/>
    <x v="0"/>
    <x v="1"/>
    <n v="1.74"/>
    <n v="6"/>
    <x v="1"/>
    <n v="30"/>
    <n v="2.262"/>
    <n v="30.000000000000004"/>
    <s v="OK"/>
  </r>
  <r>
    <n v="12658"/>
    <x v="1"/>
    <x v="0"/>
    <n v="9.93"/>
    <n v="5"/>
    <x v="1"/>
    <n v="28"/>
    <n v="12.7104"/>
    <n v="28.000000000000004"/>
    <s v="OK"/>
  </r>
  <r>
    <n v="12659"/>
    <x v="0"/>
    <x v="2"/>
    <n v="9.98"/>
    <n v="5"/>
    <x v="1"/>
    <n v="25"/>
    <n v="12.475000000000001"/>
    <n v="25"/>
    <s v="OK"/>
  </r>
  <r>
    <n v="12660"/>
    <x v="1"/>
    <x v="2"/>
    <n v="14.37"/>
    <n v="2"/>
    <x v="0"/>
    <n v="10"/>
    <n v="15.807"/>
    <n v="10.000000000000009"/>
    <s v="OK"/>
  </r>
  <r>
    <n v="12661"/>
    <x v="3"/>
    <x v="1"/>
    <n v="0.54"/>
    <n v="7"/>
    <x v="1"/>
    <n v="30"/>
    <n v="0.70200000000000007"/>
    <n v="30.000000000000004"/>
    <s v="OK"/>
  </r>
  <r>
    <n v="12662"/>
    <x v="3"/>
    <x v="0"/>
    <n v="4.0999999999999996"/>
    <n v="4"/>
    <x v="1"/>
    <n v="28"/>
    <n v="5.2479999999999993"/>
    <n v="28.000000000000004"/>
    <s v="OK"/>
  </r>
  <r>
    <n v="12663"/>
    <x v="3"/>
    <x v="2"/>
    <n v="13.95"/>
    <n v="3"/>
    <x v="0"/>
    <n v="10"/>
    <n v="15.345000000000001"/>
    <n v="10.000000000000009"/>
    <s v="OK"/>
  </r>
  <r>
    <n v="12664"/>
    <x v="0"/>
    <x v="2"/>
    <n v="14.02"/>
    <n v="8"/>
    <x v="2"/>
    <n v="50"/>
    <n v="21.03"/>
    <n v="50.000000000000021"/>
    <s v="OK"/>
  </r>
  <r>
    <n v="12665"/>
    <x v="3"/>
    <x v="1"/>
    <n v="10.95"/>
    <n v="4"/>
    <x v="1"/>
    <n v="30"/>
    <n v="14.234999999999999"/>
    <n v="30.000000000000004"/>
    <s v="OK"/>
  </r>
  <r>
    <n v="12666"/>
    <x v="2"/>
    <x v="1"/>
    <n v="11.6"/>
    <n v="4"/>
    <x v="1"/>
    <n v="30"/>
    <n v="15.08"/>
    <n v="30.000000000000004"/>
    <s v="OK"/>
  </r>
  <r>
    <n v="12667"/>
    <x v="1"/>
    <x v="0"/>
    <n v="1.83"/>
    <n v="8"/>
    <x v="2"/>
    <n v="55"/>
    <n v="2.8365"/>
    <n v="55.000000000000007"/>
    <s v="OK"/>
  </r>
  <r>
    <n v="12668"/>
    <x v="1"/>
    <x v="1"/>
    <n v="7.95"/>
    <n v="1"/>
    <x v="0"/>
    <n v="15"/>
    <n v="9.1425000000000001"/>
    <n v="14.999999999999991"/>
    <s v="OK"/>
  </r>
  <r>
    <n v="12669"/>
    <x v="2"/>
    <x v="0"/>
    <n v="3.86"/>
    <n v="9"/>
    <x v="2"/>
    <n v="55"/>
    <n v="5.9829999999999997"/>
    <n v="55.000000000000007"/>
    <s v="OK"/>
  </r>
  <r>
    <n v="12670"/>
    <x v="0"/>
    <x v="2"/>
    <n v="3.13"/>
    <n v="7"/>
    <x v="1"/>
    <n v="25"/>
    <n v="3.9124999999999996"/>
    <n v="25"/>
    <s v="OK"/>
  </r>
  <r>
    <n v="12671"/>
    <x v="0"/>
    <x v="0"/>
    <n v="12.25"/>
    <n v="2"/>
    <x v="0"/>
    <n v="12"/>
    <n v="13.72"/>
    <n v="12.000000000000011"/>
    <s v="OK"/>
  </r>
  <r>
    <n v="12672"/>
    <x v="1"/>
    <x v="0"/>
    <n v="2.46"/>
    <n v="6"/>
    <x v="1"/>
    <n v="28"/>
    <n v="3.1488"/>
    <n v="28.000000000000004"/>
    <s v="OK"/>
  </r>
  <r>
    <n v="12673"/>
    <x v="3"/>
    <x v="0"/>
    <n v="7.3"/>
    <n v="8"/>
    <x v="2"/>
    <n v="55"/>
    <n v="11.315"/>
    <n v="55.000000000000007"/>
    <s v="OK"/>
  </r>
  <r>
    <n v="12674"/>
    <x v="0"/>
    <x v="2"/>
    <n v="14.11"/>
    <n v="5"/>
    <x v="1"/>
    <n v="25"/>
    <n v="17.637499999999999"/>
    <n v="25"/>
    <s v="OK"/>
  </r>
  <r>
    <n v="12675"/>
    <x v="0"/>
    <x v="1"/>
    <n v="3.19"/>
    <n v="6"/>
    <x v="1"/>
    <n v="30"/>
    <n v="4.1470000000000002"/>
    <n v="30.000000000000004"/>
    <s v="OK"/>
  </r>
  <r>
    <n v="12676"/>
    <x v="2"/>
    <x v="2"/>
    <n v="14.68"/>
    <n v="10"/>
    <x v="2"/>
    <n v="50"/>
    <n v="22.02"/>
    <n v="50"/>
    <s v="OK"/>
  </r>
  <r>
    <n v="12677"/>
    <x v="2"/>
    <x v="1"/>
    <n v="14.92"/>
    <n v="8"/>
    <x v="2"/>
    <n v="60"/>
    <n v="23.872"/>
    <n v="60.000000000000007"/>
    <s v="OK"/>
  </r>
  <r>
    <n v="12678"/>
    <x v="3"/>
    <x v="0"/>
    <n v="8.56"/>
    <n v="6"/>
    <x v="1"/>
    <n v="28"/>
    <n v="10.956800000000001"/>
    <n v="28.000000000000004"/>
    <s v="OK"/>
  </r>
  <r>
    <n v="12679"/>
    <x v="0"/>
    <x v="0"/>
    <n v="2.97"/>
    <n v="9"/>
    <x v="2"/>
    <n v="55"/>
    <n v="4.6035000000000004"/>
    <n v="55.000000000000007"/>
    <s v="OK"/>
  </r>
  <r>
    <n v="12680"/>
    <x v="0"/>
    <x v="0"/>
    <n v="5.08"/>
    <n v="9"/>
    <x v="2"/>
    <n v="55"/>
    <n v="7.8740000000000006"/>
    <n v="55.000000000000007"/>
    <s v="OK"/>
  </r>
  <r>
    <n v="12681"/>
    <x v="2"/>
    <x v="0"/>
    <n v="6.66"/>
    <n v="9"/>
    <x v="2"/>
    <n v="55"/>
    <n v="10.323"/>
    <n v="55.000000000000007"/>
    <s v="OK"/>
  </r>
  <r>
    <n v="12682"/>
    <x v="0"/>
    <x v="0"/>
    <n v="4.99"/>
    <n v="6"/>
    <x v="1"/>
    <n v="28"/>
    <n v="6.3872"/>
    <n v="28.000000000000004"/>
    <s v="OK"/>
  </r>
  <r>
    <n v="12683"/>
    <x v="1"/>
    <x v="1"/>
    <n v="4.57"/>
    <n v="9"/>
    <x v="2"/>
    <n v="60"/>
    <n v="7.3120000000000012"/>
    <n v="60.000000000000007"/>
    <s v="OK"/>
  </r>
  <r>
    <n v="12684"/>
    <x v="2"/>
    <x v="1"/>
    <n v="14.6"/>
    <n v="3"/>
    <x v="0"/>
    <n v="15"/>
    <n v="16.79"/>
    <n v="14.999999999999991"/>
    <s v="OK"/>
  </r>
  <r>
    <n v="12685"/>
    <x v="3"/>
    <x v="0"/>
    <n v="2.72"/>
    <n v="5"/>
    <x v="1"/>
    <n v="28"/>
    <n v="3.4816000000000003"/>
    <n v="28.000000000000004"/>
    <s v="OK"/>
  </r>
  <r>
    <n v="12686"/>
    <x v="2"/>
    <x v="2"/>
    <n v="11.13"/>
    <n v="2"/>
    <x v="0"/>
    <n v="10"/>
    <n v="12.243000000000002"/>
    <n v="10.000000000000009"/>
    <s v="OK"/>
  </r>
  <r>
    <n v="12687"/>
    <x v="0"/>
    <x v="2"/>
    <n v="0.51"/>
    <n v="8"/>
    <x v="2"/>
    <n v="50"/>
    <n v="0.76500000000000001"/>
    <n v="50"/>
    <s v="OK"/>
  </r>
  <r>
    <n v="12688"/>
    <x v="3"/>
    <x v="0"/>
    <n v="9.14"/>
    <n v="4"/>
    <x v="1"/>
    <n v="28"/>
    <n v="11.699200000000001"/>
    <n v="28.000000000000004"/>
    <s v="OK"/>
  </r>
  <r>
    <n v="12689"/>
    <x v="2"/>
    <x v="1"/>
    <n v="13.78"/>
    <n v="6"/>
    <x v="1"/>
    <n v="30"/>
    <n v="17.914000000000001"/>
    <n v="30.000000000000028"/>
    <s v="OK"/>
  </r>
  <r>
    <n v="12690"/>
    <x v="1"/>
    <x v="2"/>
    <n v="4.68"/>
    <n v="6"/>
    <x v="1"/>
    <n v="25"/>
    <n v="5.85"/>
    <n v="25"/>
    <s v="OK"/>
  </r>
  <r>
    <n v="12691"/>
    <x v="1"/>
    <x v="2"/>
    <n v="3.19"/>
    <n v="5"/>
    <x v="1"/>
    <n v="25"/>
    <n v="3.9874999999999998"/>
    <n v="25"/>
    <s v="OK"/>
  </r>
  <r>
    <n v="12692"/>
    <x v="2"/>
    <x v="2"/>
    <n v="9.9499999999999993"/>
    <n v="1"/>
    <x v="0"/>
    <n v="10"/>
    <n v="10.945"/>
    <n v="10.000000000000009"/>
    <s v="OK"/>
  </r>
  <r>
    <n v="12693"/>
    <x v="1"/>
    <x v="0"/>
    <n v="10.83"/>
    <n v="7"/>
    <x v="1"/>
    <n v="28"/>
    <n v="13.862400000000001"/>
    <n v="28.000000000000004"/>
    <s v="OK"/>
  </r>
  <r>
    <n v="12694"/>
    <x v="1"/>
    <x v="2"/>
    <n v="10.48"/>
    <n v="10"/>
    <x v="2"/>
    <n v="50"/>
    <n v="15.72"/>
    <n v="50"/>
    <s v="OK"/>
  </r>
  <r>
    <n v="12695"/>
    <x v="1"/>
    <x v="2"/>
    <n v="5.13"/>
    <n v="8"/>
    <x v="2"/>
    <n v="50"/>
    <n v="7.6950000000000003"/>
    <n v="50"/>
    <s v="OK"/>
  </r>
  <r>
    <n v="12696"/>
    <x v="3"/>
    <x v="2"/>
    <n v="4.16"/>
    <n v="1"/>
    <x v="0"/>
    <n v="10"/>
    <n v="4.5760000000000005"/>
    <n v="10.000000000000009"/>
    <s v="OK"/>
  </r>
  <r>
    <n v="12697"/>
    <x v="1"/>
    <x v="2"/>
    <n v="14.36"/>
    <n v="10"/>
    <x v="2"/>
    <n v="50"/>
    <n v="21.54"/>
    <n v="50"/>
    <s v="OK"/>
  </r>
  <r>
    <n v="12698"/>
    <x v="1"/>
    <x v="1"/>
    <n v="13.89"/>
    <n v="7"/>
    <x v="1"/>
    <n v="30"/>
    <n v="18.057000000000002"/>
    <n v="30.000000000000004"/>
    <s v="OK"/>
  </r>
  <r>
    <n v="12699"/>
    <x v="1"/>
    <x v="0"/>
    <n v="7.13"/>
    <n v="4"/>
    <x v="1"/>
    <n v="28"/>
    <n v="9.1264000000000003"/>
    <n v="28.000000000000004"/>
    <s v="OK"/>
  </r>
  <r>
    <n v="12700"/>
    <x v="3"/>
    <x v="0"/>
    <n v="12.77"/>
    <n v="6"/>
    <x v="1"/>
    <n v="28"/>
    <n v="16.345600000000001"/>
    <n v="28.000000000000004"/>
    <s v="OK"/>
  </r>
  <r>
    <n v="12701"/>
    <x v="2"/>
    <x v="1"/>
    <n v="7.06"/>
    <n v="9"/>
    <x v="2"/>
    <n v="60"/>
    <n v="11.295999999999999"/>
    <n v="60.000000000000007"/>
    <s v="OK"/>
  </r>
  <r>
    <n v="12702"/>
    <x v="0"/>
    <x v="1"/>
    <n v="6.65"/>
    <n v="5"/>
    <x v="1"/>
    <n v="30"/>
    <n v="8.6450000000000014"/>
    <n v="30.000000000000004"/>
    <s v="OK"/>
  </r>
  <r>
    <n v="12703"/>
    <x v="1"/>
    <x v="0"/>
    <n v="2.77"/>
    <n v="8"/>
    <x v="2"/>
    <n v="55"/>
    <n v="4.2934999999999999"/>
    <n v="55.000000000000007"/>
    <s v="OK"/>
  </r>
  <r>
    <n v="12704"/>
    <x v="2"/>
    <x v="2"/>
    <n v="6.68"/>
    <n v="5"/>
    <x v="1"/>
    <n v="25"/>
    <n v="8.35"/>
    <n v="25"/>
    <s v="OK"/>
  </r>
  <r>
    <n v="12705"/>
    <x v="1"/>
    <x v="2"/>
    <n v="8.2899999999999991"/>
    <n v="2"/>
    <x v="0"/>
    <n v="10"/>
    <n v="9.1189999999999998"/>
    <n v="10.000000000000009"/>
    <s v="OK"/>
  </r>
  <r>
    <n v="12706"/>
    <x v="3"/>
    <x v="0"/>
    <n v="0.83"/>
    <n v="4"/>
    <x v="1"/>
    <n v="28"/>
    <n v="1.0624"/>
    <n v="28.000000000000004"/>
    <s v="OK"/>
  </r>
  <r>
    <n v="12707"/>
    <x v="2"/>
    <x v="2"/>
    <n v="6.94"/>
    <n v="2"/>
    <x v="0"/>
    <n v="10"/>
    <n v="7.6340000000000012"/>
    <n v="10.000000000000009"/>
    <s v="OK"/>
  </r>
  <r>
    <n v="12708"/>
    <x v="3"/>
    <x v="1"/>
    <n v="11.83"/>
    <n v="7"/>
    <x v="1"/>
    <n v="30"/>
    <n v="15.379000000000001"/>
    <n v="30.000000000000004"/>
    <s v="OK"/>
  </r>
  <r>
    <n v="12709"/>
    <x v="1"/>
    <x v="2"/>
    <n v="10.36"/>
    <n v="7"/>
    <x v="1"/>
    <n v="25"/>
    <n v="12.95"/>
    <n v="25"/>
    <s v="OK"/>
  </r>
  <r>
    <n v="12710"/>
    <x v="1"/>
    <x v="2"/>
    <n v="9.7100000000000009"/>
    <n v="3"/>
    <x v="0"/>
    <n v="10"/>
    <n v="10.681000000000001"/>
    <n v="10.000000000000009"/>
    <s v="OK"/>
  </r>
  <r>
    <n v="12711"/>
    <x v="3"/>
    <x v="2"/>
    <n v="13.69"/>
    <n v="7"/>
    <x v="1"/>
    <n v="25"/>
    <n v="17.112500000000001"/>
    <n v="25"/>
    <s v="OK"/>
  </r>
  <r>
    <n v="12712"/>
    <x v="0"/>
    <x v="0"/>
    <n v="0.76"/>
    <n v="1"/>
    <x v="0"/>
    <n v="12"/>
    <n v="0.85120000000000007"/>
    <n v="12.000000000000011"/>
    <s v="OK"/>
  </r>
  <r>
    <n v="12713"/>
    <x v="3"/>
    <x v="1"/>
    <n v="8.58"/>
    <n v="1"/>
    <x v="0"/>
    <n v="15"/>
    <n v="9.8669999999999991"/>
    <n v="14.999999999999991"/>
    <s v="OK"/>
  </r>
  <r>
    <n v="12714"/>
    <x v="1"/>
    <x v="2"/>
    <n v="11.92"/>
    <n v="9"/>
    <x v="2"/>
    <n v="50"/>
    <n v="17.88"/>
    <n v="50"/>
    <s v="OK"/>
  </r>
  <r>
    <n v="12715"/>
    <x v="3"/>
    <x v="0"/>
    <n v="8.35"/>
    <n v="6"/>
    <x v="1"/>
    <n v="28"/>
    <n v="10.688000000000001"/>
    <n v="28.000000000000004"/>
    <s v="OK"/>
  </r>
  <r>
    <n v="12716"/>
    <x v="0"/>
    <x v="2"/>
    <n v="5.2"/>
    <n v="5"/>
    <x v="1"/>
    <n v="25"/>
    <n v="6.5"/>
    <n v="25"/>
    <s v="OK"/>
  </r>
  <r>
    <n v="12717"/>
    <x v="3"/>
    <x v="1"/>
    <n v="2.48"/>
    <n v="6"/>
    <x v="1"/>
    <n v="30"/>
    <n v="3.2240000000000002"/>
    <n v="30.000000000000004"/>
    <s v="OK"/>
  </r>
  <r>
    <n v="12718"/>
    <x v="0"/>
    <x v="2"/>
    <n v="13.37"/>
    <n v="6"/>
    <x v="1"/>
    <n v="25"/>
    <n v="16.712499999999999"/>
    <n v="25"/>
    <s v="OK"/>
  </r>
  <r>
    <n v="12719"/>
    <x v="0"/>
    <x v="1"/>
    <n v="7.33"/>
    <n v="1"/>
    <x v="0"/>
    <n v="15"/>
    <n v="8.4294999999999991"/>
    <n v="14.999999999999991"/>
    <s v="OK"/>
  </r>
  <r>
    <n v="12720"/>
    <x v="3"/>
    <x v="2"/>
    <n v="13.23"/>
    <n v="5"/>
    <x v="1"/>
    <n v="25"/>
    <n v="16.537500000000001"/>
    <n v="25"/>
    <s v="OK"/>
  </r>
  <r>
    <n v="12721"/>
    <x v="3"/>
    <x v="1"/>
    <n v="8.99"/>
    <n v="9"/>
    <x v="2"/>
    <n v="60"/>
    <n v="14.384"/>
    <n v="60.000000000000007"/>
    <s v="OK"/>
  </r>
  <r>
    <n v="12722"/>
    <x v="2"/>
    <x v="2"/>
    <n v="10.28"/>
    <n v="4"/>
    <x v="1"/>
    <n v="25"/>
    <n v="12.85"/>
    <n v="25"/>
    <s v="OK"/>
  </r>
  <r>
    <n v="12723"/>
    <x v="1"/>
    <x v="1"/>
    <n v="12.16"/>
    <n v="3"/>
    <x v="0"/>
    <n v="15"/>
    <n v="13.983999999999998"/>
    <n v="14.999999999999991"/>
    <s v="OK"/>
  </r>
  <r>
    <n v="12724"/>
    <x v="0"/>
    <x v="2"/>
    <n v="10.06"/>
    <n v="1"/>
    <x v="0"/>
    <n v="10"/>
    <n v="11.066000000000001"/>
    <n v="10.000000000000009"/>
    <s v="OK"/>
  </r>
  <r>
    <n v="12725"/>
    <x v="2"/>
    <x v="2"/>
    <n v="6.27"/>
    <n v="2"/>
    <x v="0"/>
    <n v="10"/>
    <n v="6.8970000000000002"/>
    <n v="10.000000000000009"/>
    <s v="OK"/>
  </r>
  <r>
    <n v="12726"/>
    <x v="3"/>
    <x v="0"/>
    <n v="7.95"/>
    <n v="3"/>
    <x v="0"/>
    <n v="12"/>
    <n v="8.9040000000000017"/>
    <n v="12.000000000000011"/>
    <s v="OK"/>
  </r>
  <r>
    <n v="12727"/>
    <x v="1"/>
    <x v="0"/>
    <n v="12.14"/>
    <n v="4"/>
    <x v="1"/>
    <n v="28"/>
    <n v="15.539200000000001"/>
    <n v="28.000000000000004"/>
    <s v="OK"/>
  </r>
  <r>
    <n v="12728"/>
    <x v="2"/>
    <x v="1"/>
    <n v="5.92"/>
    <n v="7"/>
    <x v="1"/>
    <n v="30"/>
    <n v="7.6959999999999997"/>
    <n v="30.000000000000004"/>
    <s v="OK"/>
  </r>
  <r>
    <n v="12729"/>
    <x v="0"/>
    <x v="2"/>
    <n v="6.13"/>
    <n v="6"/>
    <x v="1"/>
    <n v="25"/>
    <n v="7.6624999999999996"/>
    <n v="25"/>
    <s v="OK"/>
  </r>
  <r>
    <n v="12730"/>
    <x v="2"/>
    <x v="1"/>
    <n v="1.89"/>
    <n v="8"/>
    <x v="2"/>
    <n v="60"/>
    <n v="3.024"/>
    <n v="60.000000000000007"/>
    <s v="OK"/>
  </r>
  <r>
    <n v="12731"/>
    <x v="0"/>
    <x v="0"/>
    <n v="13.76"/>
    <n v="9"/>
    <x v="2"/>
    <n v="55"/>
    <n v="21.327999999999999"/>
    <n v="55.000000000000007"/>
    <s v="OK"/>
  </r>
  <r>
    <n v="12732"/>
    <x v="3"/>
    <x v="1"/>
    <n v="1.82"/>
    <n v="6"/>
    <x v="1"/>
    <n v="30"/>
    <n v="2.3660000000000001"/>
    <n v="30.000000000000004"/>
    <s v="OK"/>
  </r>
  <r>
    <n v="12733"/>
    <x v="1"/>
    <x v="1"/>
    <n v="9.9"/>
    <n v="7"/>
    <x v="1"/>
    <n v="30"/>
    <n v="12.870000000000001"/>
    <n v="30.000000000000004"/>
    <s v="OK"/>
  </r>
  <r>
    <n v="12734"/>
    <x v="1"/>
    <x v="0"/>
    <n v="6.49"/>
    <n v="4"/>
    <x v="1"/>
    <n v="28"/>
    <n v="8.3071999999999999"/>
    <n v="28.000000000000004"/>
    <s v="OK"/>
  </r>
  <r>
    <n v="12735"/>
    <x v="1"/>
    <x v="2"/>
    <n v="6.38"/>
    <n v="2"/>
    <x v="0"/>
    <n v="10"/>
    <n v="7.0180000000000007"/>
    <n v="10.000000000000009"/>
    <s v="OK"/>
  </r>
  <r>
    <n v="12736"/>
    <x v="3"/>
    <x v="1"/>
    <n v="10.35"/>
    <n v="9"/>
    <x v="2"/>
    <n v="60"/>
    <n v="16.559999999999999"/>
    <n v="59.999999999999986"/>
    <s v="OK"/>
  </r>
  <r>
    <n v="12737"/>
    <x v="0"/>
    <x v="0"/>
    <n v="1.47"/>
    <n v="9"/>
    <x v="2"/>
    <n v="55"/>
    <n v="2.2785000000000002"/>
    <n v="55.000000000000028"/>
    <s v="OK"/>
  </r>
  <r>
    <n v="12738"/>
    <x v="3"/>
    <x v="2"/>
    <n v="9.11"/>
    <n v="4"/>
    <x v="1"/>
    <n v="25"/>
    <n v="11.387499999999999"/>
    <n v="25"/>
    <s v="OK"/>
  </r>
  <r>
    <n v="12739"/>
    <x v="1"/>
    <x v="0"/>
    <n v="11.69"/>
    <n v="3"/>
    <x v="0"/>
    <n v="12"/>
    <n v="13.0928"/>
    <n v="12.000000000000011"/>
    <s v="OK"/>
  </r>
  <r>
    <n v="12740"/>
    <x v="3"/>
    <x v="1"/>
    <n v="12.51"/>
    <n v="10"/>
    <x v="2"/>
    <n v="60"/>
    <n v="20.016000000000002"/>
    <n v="60.000000000000007"/>
    <s v="OK"/>
  </r>
  <r>
    <n v="12741"/>
    <x v="3"/>
    <x v="2"/>
    <n v="2.97"/>
    <n v="6"/>
    <x v="1"/>
    <n v="25"/>
    <n v="3.7125000000000004"/>
    <n v="25"/>
    <s v="OK"/>
  </r>
  <r>
    <n v="12742"/>
    <x v="3"/>
    <x v="2"/>
    <n v="13.51"/>
    <n v="3"/>
    <x v="0"/>
    <n v="10"/>
    <n v="14.861000000000001"/>
    <n v="10.000000000000009"/>
    <s v="OK"/>
  </r>
  <r>
    <n v="12743"/>
    <x v="0"/>
    <x v="0"/>
    <n v="10.01"/>
    <n v="1"/>
    <x v="0"/>
    <n v="12"/>
    <n v="11.211200000000002"/>
    <n v="12.000000000000011"/>
    <s v="OK"/>
  </r>
  <r>
    <n v="12744"/>
    <x v="2"/>
    <x v="0"/>
    <n v="13.29"/>
    <n v="4"/>
    <x v="1"/>
    <n v="28"/>
    <n v="17.011199999999999"/>
    <n v="28.000000000000004"/>
    <s v="OK"/>
  </r>
  <r>
    <n v="12745"/>
    <x v="2"/>
    <x v="0"/>
    <n v="7.54"/>
    <n v="1"/>
    <x v="0"/>
    <n v="12"/>
    <n v="8.4448000000000008"/>
    <n v="12.000000000000011"/>
    <s v="OK"/>
  </r>
  <r>
    <n v="12746"/>
    <x v="3"/>
    <x v="2"/>
    <n v="8.36"/>
    <n v="2"/>
    <x v="0"/>
    <n v="10"/>
    <n v="9.1959999999999997"/>
    <n v="10.000000000000009"/>
    <s v="OK"/>
  </r>
  <r>
    <n v="12747"/>
    <x v="2"/>
    <x v="2"/>
    <n v="13.83"/>
    <n v="3"/>
    <x v="0"/>
    <n v="10"/>
    <n v="15.213000000000001"/>
    <n v="10.000000000000009"/>
    <s v="OK"/>
  </r>
  <r>
    <n v="12748"/>
    <x v="2"/>
    <x v="1"/>
    <n v="13.55"/>
    <n v="8"/>
    <x v="2"/>
    <n v="60"/>
    <n v="21.680000000000003"/>
    <n v="60.000000000000007"/>
    <s v="OK"/>
  </r>
  <r>
    <n v="12749"/>
    <x v="3"/>
    <x v="2"/>
    <n v="7"/>
    <n v="10"/>
    <x v="2"/>
    <n v="50"/>
    <n v="10.5"/>
    <n v="50"/>
    <s v="OK"/>
  </r>
  <r>
    <n v="12750"/>
    <x v="3"/>
    <x v="1"/>
    <n v="4.4800000000000004"/>
    <n v="4"/>
    <x v="1"/>
    <n v="30"/>
    <n v="5.8240000000000007"/>
    <n v="30.000000000000004"/>
    <s v="OK"/>
  </r>
  <r>
    <n v="12751"/>
    <x v="1"/>
    <x v="0"/>
    <n v="6.2"/>
    <n v="4"/>
    <x v="1"/>
    <n v="28"/>
    <n v="7.9360000000000008"/>
    <n v="28.000000000000004"/>
    <s v="OK"/>
  </r>
  <r>
    <n v="12752"/>
    <x v="2"/>
    <x v="0"/>
    <n v="6.12"/>
    <n v="10"/>
    <x v="2"/>
    <n v="55"/>
    <n v="9.4860000000000007"/>
    <n v="55.000000000000007"/>
    <s v="OK"/>
  </r>
  <r>
    <n v="12753"/>
    <x v="0"/>
    <x v="2"/>
    <n v="4.66"/>
    <n v="9"/>
    <x v="2"/>
    <n v="50"/>
    <n v="6.99"/>
    <n v="50"/>
    <s v="OK"/>
  </r>
  <r>
    <n v="12754"/>
    <x v="3"/>
    <x v="0"/>
    <n v="4.3899999999999997"/>
    <n v="7"/>
    <x v="1"/>
    <n v="28"/>
    <n v="5.6191999999999993"/>
    <n v="28.000000000000004"/>
    <s v="OK"/>
  </r>
  <r>
    <n v="12755"/>
    <x v="1"/>
    <x v="0"/>
    <n v="12.99"/>
    <n v="2"/>
    <x v="0"/>
    <n v="12"/>
    <n v="14.548800000000002"/>
    <n v="12.000000000000011"/>
    <s v="OK"/>
  </r>
  <r>
    <n v="12756"/>
    <x v="0"/>
    <x v="2"/>
    <n v="1.51"/>
    <n v="3"/>
    <x v="0"/>
    <n v="10"/>
    <n v="1.6610000000000003"/>
    <n v="10.000000000000009"/>
    <s v="OK"/>
  </r>
  <r>
    <n v="12757"/>
    <x v="2"/>
    <x v="1"/>
    <n v="10.33"/>
    <n v="4"/>
    <x v="1"/>
    <n v="30"/>
    <n v="13.429"/>
    <n v="30.000000000000004"/>
    <s v="OK"/>
  </r>
  <r>
    <n v="12758"/>
    <x v="1"/>
    <x v="2"/>
    <n v="3.01"/>
    <n v="4"/>
    <x v="1"/>
    <n v="25"/>
    <n v="3.7624999999999997"/>
    <n v="25"/>
    <s v="OK"/>
  </r>
  <r>
    <n v="12759"/>
    <x v="3"/>
    <x v="1"/>
    <n v="5.5"/>
    <n v="10"/>
    <x v="2"/>
    <n v="60"/>
    <n v="8.8000000000000007"/>
    <n v="60.000000000000007"/>
    <s v="OK"/>
  </r>
  <r>
    <n v="12760"/>
    <x v="0"/>
    <x v="2"/>
    <n v="1.39"/>
    <n v="8"/>
    <x v="2"/>
    <n v="50"/>
    <n v="2.085"/>
    <n v="50"/>
    <s v="OK"/>
  </r>
  <r>
    <n v="12761"/>
    <x v="3"/>
    <x v="2"/>
    <n v="4.41"/>
    <n v="10"/>
    <x v="2"/>
    <n v="50"/>
    <n v="6.6150000000000002"/>
    <n v="50"/>
    <s v="OK"/>
  </r>
  <r>
    <n v="12762"/>
    <x v="2"/>
    <x v="0"/>
    <n v="11.64"/>
    <n v="10"/>
    <x v="2"/>
    <n v="55"/>
    <n v="18.042000000000002"/>
    <n v="55.000000000000007"/>
    <s v="OK"/>
  </r>
  <r>
    <n v="12763"/>
    <x v="0"/>
    <x v="2"/>
    <n v="13.33"/>
    <n v="6"/>
    <x v="1"/>
    <n v="25"/>
    <n v="16.662500000000001"/>
    <n v="25"/>
    <s v="OK"/>
  </r>
  <r>
    <n v="12764"/>
    <x v="2"/>
    <x v="2"/>
    <n v="3.71"/>
    <n v="3"/>
    <x v="0"/>
    <n v="10"/>
    <n v="4.0810000000000004"/>
    <n v="10.000000000000009"/>
    <s v="OK"/>
  </r>
  <r>
    <n v="12765"/>
    <x v="2"/>
    <x v="1"/>
    <n v="7.22"/>
    <n v="9"/>
    <x v="2"/>
    <n v="60"/>
    <n v="11.552"/>
    <n v="60.000000000000007"/>
    <s v="OK"/>
  </r>
  <r>
    <n v="12766"/>
    <x v="1"/>
    <x v="0"/>
    <n v="7.32"/>
    <n v="10"/>
    <x v="2"/>
    <n v="55"/>
    <n v="11.346"/>
    <n v="55.000000000000007"/>
    <s v="OK"/>
  </r>
  <r>
    <n v="12767"/>
    <x v="3"/>
    <x v="1"/>
    <n v="13.17"/>
    <n v="8"/>
    <x v="2"/>
    <n v="60"/>
    <n v="21.072000000000003"/>
    <n v="60.000000000000028"/>
    <s v="OK"/>
  </r>
  <r>
    <n v="12768"/>
    <x v="0"/>
    <x v="1"/>
    <n v="11.56"/>
    <n v="9"/>
    <x v="2"/>
    <n v="60"/>
    <n v="18.496000000000002"/>
    <n v="60.000000000000007"/>
    <s v="OK"/>
  </r>
  <r>
    <n v="12769"/>
    <x v="2"/>
    <x v="0"/>
    <n v="7.94"/>
    <n v="5"/>
    <x v="1"/>
    <n v="28"/>
    <n v="10.163200000000002"/>
    <n v="28.000000000000004"/>
    <s v="OK"/>
  </r>
  <r>
    <n v="12770"/>
    <x v="2"/>
    <x v="0"/>
    <n v="10.23"/>
    <n v="3"/>
    <x v="0"/>
    <n v="12"/>
    <n v="11.457600000000001"/>
    <n v="12.000000000000011"/>
    <s v="OK"/>
  </r>
  <r>
    <n v="12771"/>
    <x v="0"/>
    <x v="0"/>
    <n v="12.79"/>
    <n v="4"/>
    <x v="1"/>
    <n v="28"/>
    <n v="16.371199999999998"/>
    <n v="28.000000000000004"/>
    <s v="OK"/>
  </r>
  <r>
    <n v="12772"/>
    <x v="2"/>
    <x v="2"/>
    <n v="0.64"/>
    <n v="5"/>
    <x v="1"/>
    <n v="25"/>
    <n v="0.8"/>
    <n v="25"/>
    <s v="OK"/>
  </r>
  <r>
    <n v="12773"/>
    <x v="1"/>
    <x v="0"/>
    <n v="6.34"/>
    <n v="9"/>
    <x v="2"/>
    <n v="55"/>
    <n v="9.827"/>
    <n v="55.000000000000007"/>
    <s v="OK"/>
  </r>
  <r>
    <n v="12774"/>
    <x v="1"/>
    <x v="0"/>
    <n v="13.66"/>
    <n v="9"/>
    <x v="2"/>
    <n v="55"/>
    <n v="21.173000000000002"/>
    <n v="55.000000000000007"/>
    <s v="OK"/>
  </r>
  <r>
    <n v="12775"/>
    <x v="1"/>
    <x v="0"/>
    <n v="11.23"/>
    <n v="3"/>
    <x v="0"/>
    <n v="12"/>
    <n v="12.577600000000002"/>
    <n v="12.000000000000011"/>
    <s v="OK"/>
  </r>
  <r>
    <n v="12776"/>
    <x v="1"/>
    <x v="1"/>
    <n v="8.3699999999999992"/>
    <n v="7"/>
    <x v="1"/>
    <n v="30"/>
    <n v="10.881"/>
    <n v="30.000000000000004"/>
    <s v="OK"/>
  </r>
  <r>
    <n v="12777"/>
    <x v="2"/>
    <x v="1"/>
    <n v="8.18"/>
    <n v="6"/>
    <x v="1"/>
    <n v="30"/>
    <n v="10.634"/>
    <n v="30.000000000000004"/>
    <s v="OK"/>
  </r>
  <r>
    <n v="12778"/>
    <x v="0"/>
    <x v="2"/>
    <n v="5.54"/>
    <n v="4"/>
    <x v="1"/>
    <n v="25"/>
    <n v="6.9249999999999998"/>
    <n v="25"/>
    <s v="OK"/>
  </r>
  <r>
    <n v="12779"/>
    <x v="0"/>
    <x v="1"/>
    <n v="8.0500000000000007"/>
    <n v="5"/>
    <x v="1"/>
    <n v="30"/>
    <n v="10.465000000000002"/>
    <n v="30.000000000000004"/>
    <s v="OK"/>
  </r>
  <r>
    <n v="12780"/>
    <x v="0"/>
    <x v="2"/>
    <n v="10"/>
    <n v="10"/>
    <x v="2"/>
    <n v="50"/>
    <n v="15"/>
    <n v="50"/>
    <s v="OK"/>
  </r>
  <r>
    <n v="12781"/>
    <x v="0"/>
    <x v="1"/>
    <n v="6.57"/>
    <n v="2"/>
    <x v="0"/>
    <n v="15"/>
    <n v="7.5554999999999994"/>
    <n v="14.999999999999991"/>
    <s v="OK"/>
  </r>
  <r>
    <n v="12782"/>
    <x v="3"/>
    <x v="0"/>
    <n v="10.86"/>
    <n v="7"/>
    <x v="1"/>
    <n v="28"/>
    <n v="13.9008"/>
    <n v="28.000000000000004"/>
    <s v="OK"/>
  </r>
  <r>
    <n v="12783"/>
    <x v="0"/>
    <x v="1"/>
    <n v="12.99"/>
    <n v="4"/>
    <x v="1"/>
    <n v="30"/>
    <n v="16.887"/>
    <n v="30.000000000000004"/>
    <s v="OK"/>
  </r>
  <r>
    <n v="12784"/>
    <x v="3"/>
    <x v="2"/>
    <n v="2.74"/>
    <n v="2"/>
    <x v="0"/>
    <n v="10"/>
    <n v="3.0140000000000007"/>
    <n v="10.000000000000009"/>
    <s v="OK"/>
  </r>
  <r>
    <n v="12785"/>
    <x v="3"/>
    <x v="1"/>
    <n v="7.05"/>
    <n v="6"/>
    <x v="1"/>
    <n v="30"/>
    <n v="9.1650000000000009"/>
    <n v="30.000000000000028"/>
    <s v="OK"/>
  </r>
  <r>
    <n v="12786"/>
    <x v="1"/>
    <x v="0"/>
    <n v="6.42"/>
    <n v="2"/>
    <x v="0"/>
    <n v="12"/>
    <n v="7.1904000000000003"/>
    <n v="12.000000000000011"/>
    <s v="OK"/>
  </r>
  <r>
    <n v="12787"/>
    <x v="3"/>
    <x v="2"/>
    <n v="10.47"/>
    <n v="10"/>
    <x v="2"/>
    <n v="50"/>
    <n v="15.705000000000002"/>
    <n v="50"/>
    <s v="OK"/>
  </r>
  <r>
    <n v="12788"/>
    <x v="2"/>
    <x v="0"/>
    <n v="4.12"/>
    <n v="2"/>
    <x v="0"/>
    <n v="12"/>
    <n v="4.6144000000000007"/>
    <n v="12.000000000000011"/>
    <s v="OK"/>
  </r>
  <r>
    <n v="12789"/>
    <x v="3"/>
    <x v="0"/>
    <n v="9.7799999999999994"/>
    <n v="7"/>
    <x v="1"/>
    <n v="28"/>
    <n v="12.5184"/>
    <n v="28.000000000000004"/>
    <s v="OK"/>
  </r>
  <r>
    <n v="12790"/>
    <x v="1"/>
    <x v="2"/>
    <n v="13.22"/>
    <n v="1"/>
    <x v="0"/>
    <n v="10"/>
    <n v="14.542000000000002"/>
    <n v="10.000000000000009"/>
    <s v="OK"/>
  </r>
  <r>
    <n v="12791"/>
    <x v="3"/>
    <x v="0"/>
    <n v="6.56"/>
    <n v="7"/>
    <x v="1"/>
    <n v="28"/>
    <n v="8.3967999999999989"/>
    <n v="27.999999999999979"/>
    <s v="OK"/>
  </r>
  <r>
    <n v="12792"/>
    <x v="2"/>
    <x v="0"/>
    <n v="13.71"/>
    <n v="10"/>
    <x v="2"/>
    <n v="55"/>
    <n v="21.250500000000002"/>
    <n v="55.000000000000007"/>
    <s v="OK"/>
  </r>
  <r>
    <n v="12793"/>
    <x v="2"/>
    <x v="1"/>
    <n v="14.9"/>
    <n v="5"/>
    <x v="1"/>
    <n v="30"/>
    <n v="19.37"/>
    <n v="30.000000000000004"/>
    <s v="OK"/>
  </r>
  <r>
    <n v="12794"/>
    <x v="2"/>
    <x v="0"/>
    <n v="2.04"/>
    <n v="1"/>
    <x v="0"/>
    <n v="12"/>
    <n v="2.2848000000000002"/>
    <n v="12.000000000000011"/>
    <s v="OK"/>
  </r>
  <r>
    <n v="12795"/>
    <x v="1"/>
    <x v="0"/>
    <n v="3.88"/>
    <n v="6"/>
    <x v="1"/>
    <n v="28"/>
    <n v="4.9664000000000001"/>
    <n v="28.000000000000004"/>
    <s v="OK"/>
  </r>
  <r>
    <n v="12796"/>
    <x v="1"/>
    <x v="0"/>
    <n v="14.28"/>
    <n v="7"/>
    <x v="1"/>
    <n v="28"/>
    <n v="18.278400000000001"/>
    <n v="28.000000000000025"/>
    <s v="OK"/>
  </r>
  <r>
    <n v="12797"/>
    <x v="0"/>
    <x v="0"/>
    <n v="14.4"/>
    <n v="1"/>
    <x v="0"/>
    <n v="12"/>
    <n v="16.128000000000004"/>
    <n v="12.000000000000032"/>
    <s v="OK"/>
  </r>
  <r>
    <n v="12798"/>
    <x v="1"/>
    <x v="2"/>
    <n v="1.92"/>
    <n v="9"/>
    <x v="2"/>
    <n v="50"/>
    <n v="2.88"/>
    <n v="50"/>
    <s v="OK"/>
  </r>
  <r>
    <n v="12799"/>
    <x v="2"/>
    <x v="1"/>
    <n v="0.72"/>
    <n v="7"/>
    <x v="1"/>
    <n v="30"/>
    <n v="0.93599999999999994"/>
    <n v="30.000000000000004"/>
    <s v="OK"/>
  </r>
  <r>
    <n v="12800"/>
    <x v="2"/>
    <x v="0"/>
    <n v="2.84"/>
    <n v="1"/>
    <x v="0"/>
    <n v="12"/>
    <n v="3.1808000000000001"/>
    <n v="12.000000000000011"/>
    <s v="OK"/>
  </r>
  <r>
    <n v="12801"/>
    <x v="1"/>
    <x v="0"/>
    <n v="14.94"/>
    <n v="3"/>
    <x v="0"/>
    <n v="12"/>
    <n v="16.732800000000001"/>
    <n v="12.000000000000011"/>
    <s v="OK"/>
  </r>
  <r>
    <n v="12802"/>
    <x v="3"/>
    <x v="2"/>
    <n v="3.11"/>
    <n v="5"/>
    <x v="1"/>
    <n v="25"/>
    <n v="3.8874999999999997"/>
    <n v="25"/>
    <s v="OK"/>
  </r>
  <r>
    <n v="12803"/>
    <x v="1"/>
    <x v="0"/>
    <n v="7.79"/>
    <n v="4"/>
    <x v="1"/>
    <n v="28"/>
    <n v="9.9711999999999996"/>
    <n v="28.000000000000004"/>
    <s v="OK"/>
  </r>
  <r>
    <n v="12804"/>
    <x v="1"/>
    <x v="2"/>
    <n v="12.8"/>
    <n v="2"/>
    <x v="0"/>
    <n v="10"/>
    <n v="14.080000000000002"/>
    <n v="10.000000000000009"/>
    <s v="OK"/>
  </r>
  <r>
    <n v="12805"/>
    <x v="2"/>
    <x v="1"/>
    <n v="0.8"/>
    <n v="1"/>
    <x v="0"/>
    <n v="15"/>
    <n v="0.91999999999999993"/>
    <n v="14.999999999999991"/>
    <s v="OK"/>
  </r>
  <r>
    <n v="12806"/>
    <x v="0"/>
    <x v="1"/>
    <n v="9.27"/>
    <n v="4"/>
    <x v="1"/>
    <n v="30"/>
    <n v="12.051"/>
    <n v="30.000000000000004"/>
    <s v="OK"/>
  </r>
  <r>
    <n v="12807"/>
    <x v="2"/>
    <x v="0"/>
    <n v="4.5199999999999996"/>
    <n v="7"/>
    <x v="1"/>
    <n v="28"/>
    <n v="5.7855999999999996"/>
    <n v="28.000000000000004"/>
    <s v="OK"/>
  </r>
  <r>
    <n v="12808"/>
    <x v="0"/>
    <x v="0"/>
    <n v="13"/>
    <n v="4"/>
    <x v="1"/>
    <n v="28"/>
    <n v="16.64"/>
    <n v="28.000000000000004"/>
    <s v="OK"/>
  </r>
  <r>
    <n v="12809"/>
    <x v="2"/>
    <x v="0"/>
    <n v="4.6100000000000003"/>
    <n v="9"/>
    <x v="2"/>
    <n v="55"/>
    <n v="7.1455000000000011"/>
    <n v="55.000000000000007"/>
    <s v="OK"/>
  </r>
  <r>
    <n v="12810"/>
    <x v="1"/>
    <x v="2"/>
    <n v="10.46"/>
    <n v="8"/>
    <x v="2"/>
    <n v="50"/>
    <n v="15.690000000000001"/>
    <n v="50"/>
    <s v="OK"/>
  </r>
  <r>
    <n v="12811"/>
    <x v="2"/>
    <x v="0"/>
    <n v="10.28"/>
    <n v="8"/>
    <x v="2"/>
    <n v="55"/>
    <n v="15.933999999999999"/>
    <n v="55.000000000000007"/>
    <s v="OK"/>
  </r>
  <r>
    <n v="12812"/>
    <x v="2"/>
    <x v="0"/>
    <n v="3.71"/>
    <n v="5"/>
    <x v="1"/>
    <n v="28"/>
    <n v="4.7488000000000001"/>
    <n v="28.000000000000004"/>
    <s v="OK"/>
  </r>
  <r>
    <n v="12813"/>
    <x v="2"/>
    <x v="1"/>
    <n v="1"/>
    <n v="1"/>
    <x v="0"/>
    <n v="15"/>
    <n v="1.1499999999999999"/>
    <n v="14.999999999999991"/>
    <s v="OK"/>
  </r>
  <r>
    <n v="12814"/>
    <x v="1"/>
    <x v="0"/>
    <n v="6.43"/>
    <n v="9"/>
    <x v="2"/>
    <n v="55"/>
    <n v="9.9664999999999999"/>
    <n v="55.000000000000007"/>
    <s v="OK"/>
  </r>
  <r>
    <n v="12815"/>
    <x v="1"/>
    <x v="1"/>
    <n v="4.6900000000000004"/>
    <n v="2"/>
    <x v="0"/>
    <n v="15"/>
    <n v="5.3935000000000004"/>
    <n v="14.999999999999991"/>
    <s v="OK"/>
  </r>
  <r>
    <n v="12816"/>
    <x v="1"/>
    <x v="0"/>
    <n v="12.23"/>
    <n v="6"/>
    <x v="1"/>
    <n v="28"/>
    <n v="15.654400000000001"/>
    <n v="28.000000000000004"/>
    <s v="OK"/>
  </r>
  <r>
    <n v="12817"/>
    <x v="1"/>
    <x v="1"/>
    <n v="12.11"/>
    <n v="10"/>
    <x v="2"/>
    <n v="60"/>
    <n v="19.376000000000001"/>
    <n v="60.000000000000007"/>
    <s v="OK"/>
  </r>
  <r>
    <n v="12818"/>
    <x v="0"/>
    <x v="0"/>
    <n v="7.13"/>
    <n v="5"/>
    <x v="1"/>
    <n v="28"/>
    <n v="9.1264000000000003"/>
    <n v="28.000000000000004"/>
    <s v="OK"/>
  </r>
  <r>
    <n v="12819"/>
    <x v="0"/>
    <x v="1"/>
    <n v="9.2899999999999991"/>
    <n v="10"/>
    <x v="2"/>
    <n v="60"/>
    <n v="14.863999999999999"/>
    <n v="60.000000000000007"/>
    <s v="OK"/>
  </r>
  <r>
    <n v="12820"/>
    <x v="3"/>
    <x v="2"/>
    <n v="9.26"/>
    <n v="8"/>
    <x v="2"/>
    <n v="50"/>
    <n v="13.89"/>
    <n v="50"/>
    <s v="OK"/>
  </r>
  <r>
    <n v="12821"/>
    <x v="1"/>
    <x v="1"/>
    <n v="12.49"/>
    <n v="3"/>
    <x v="0"/>
    <n v="15"/>
    <n v="14.363499999999998"/>
    <n v="14.999999999999991"/>
    <s v="OK"/>
  </r>
  <r>
    <n v="12822"/>
    <x v="0"/>
    <x v="1"/>
    <n v="6.66"/>
    <n v="6"/>
    <x v="1"/>
    <n v="30"/>
    <n v="8.6580000000000013"/>
    <n v="30.000000000000028"/>
    <s v="OK"/>
  </r>
  <r>
    <n v="12823"/>
    <x v="2"/>
    <x v="1"/>
    <n v="4.49"/>
    <n v="6"/>
    <x v="1"/>
    <n v="30"/>
    <n v="5.8370000000000006"/>
    <n v="30.000000000000004"/>
    <s v="OK"/>
  </r>
  <r>
    <n v="12824"/>
    <x v="1"/>
    <x v="0"/>
    <n v="4.34"/>
    <n v="10"/>
    <x v="2"/>
    <n v="55"/>
    <n v="6.7270000000000003"/>
    <n v="55.000000000000007"/>
    <s v="OK"/>
  </r>
  <r>
    <n v="12825"/>
    <x v="3"/>
    <x v="0"/>
    <n v="8.27"/>
    <n v="3"/>
    <x v="0"/>
    <n v="12"/>
    <n v="9.2623999999999995"/>
    <n v="12.000000000000011"/>
    <s v="OK"/>
  </r>
  <r>
    <n v="12826"/>
    <x v="3"/>
    <x v="0"/>
    <n v="7.01"/>
    <n v="7"/>
    <x v="1"/>
    <n v="28"/>
    <n v="8.9727999999999994"/>
    <n v="28.000000000000004"/>
    <s v="OK"/>
  </r>
  <r>
    <n v="12827"/>
    <x v="3"/>
    <x v="2"/>
    <n v="6.88"/>
    <n v="4"/>
    <x v="1"/>
    <n v="25"/>
    <n v="8.6"/>
    <n v="25"/>
    <s v="OK"/>
  </r>
  <r>
    <n v="12828"/>
    <x v="2"/>
    <x v="2"/>
    <n v="1.82"/>
    <n v="5"/>
    <x v="1"/>
    <n v="25"/>
    <n v="2.2749999999999999"/>
    <n v="25"/>
    <s v="OK"/>
  </r>
  <r>
    <n v="12829"/>
    <x v="0"/>
    <x v="1"/>
    <n v="10.92"/>
    <n v="9"/>
    <x v="2"/>
    <n v="60"/>
    <n v="17.472000000000001"/>
    <n v="60.000000000000007"/>
    <s v="OK"/>
  </r>
  <r>
    <n v="12830"/>
    <x v="2"/>
    <x v="2"/>
    <n v="3.6"/>
    <n v="6"/>
    <x v="1"/>
    <n v="25"/>
    <n v="4.5"/>
    <n v="25"/>
    <s v="OK"/>
  </r>
  <r>
    <n v="12831"/>
    <x v="1"/>
    <x v="1"/>
    <n v="3.36"/>
    <n v="10"/>
    <x v="2"/>
    <n v="60"/>
    <n v="5.3760000000000003"/>
    <n v="60.000000000000007"/>
    <s v="OK"/>
  </r>
  <r>
    <n v="12832"/>
    <x v="3"/>
    <x v="1"/>
    <n v="6.48"/>
    <n v="4"/>
    <x v="1"/>
    <n v="30"/>
    <n v="8.4240000000000013"/>
    <n v="30.000000000000004"/>
    <s v="OK"/>
  </r>
  <r>
    <n v="12833"/>
    <x v="2"/>
    <x v="1"/>
    <n v="3.8"/>
    <n v="8"/>
    <x v="2"/>
    <n v="60"/>
    <n v="6.08"/>
    <n v="60.000000000000007"/>
    <s v="OK"/>
  </r>
  <r>
    <n v="12834"/>
    <x v="2"/>
    <x v="2"/>
    <n v="8.9700000000000006"/>
    <n v="9"/>
    <x v="2"/>
    <n v="50"/>
    <n v="13.455000000000002"/>
    <n v="50"/>
    <s v="OK"/>
  </r>
  <r>
    <n v="12835"/>
    <x v="0"/>
    <x v="0"/>
    <n v="5.89"/>
    <n v="10"/>
    <x v="2"/>
    <n v="55"/>
    <n v="9.1295000000000002"/>
    <n v="55.000000000000007"/>
    <s v="OK"/>
  </r>
  <r>
    <n v="12836"/>
    <x v="0"/>
    <x v="2"/>
    <n v="7.01"/>
    <n v="5"/>
    <x v="1"/>
    <n v="25"/>
    <n v="8.7624999999999993"/>
    <n v="25"/>
    <s v="OK"/>
  </r>
  <r>
    <n v="12837"/>
    <x v="3"/>
    <x v="1"/>
    <n v="8.2899999999999991"/>
    <n v="2"/>
    <x v="0"/>
    <n v="15"/>
    <n v="9.5334999999999983"/>
    <n v="14.999999999999991"/>
    <s v="OK"/>
  </r>
  <r>
    <n v="12838"/>
    <x v="2"/>
    <x v="1"/>
    <n v="3.45"/>
    <n v="6"/>
    <x v="1"/>
    <n v="30"/>
    <n v="4.4850000000000003"/>
    <n v="30.000000000000004"/>
    <s v="OK"/>
  </r>
  <r>
    <n v="12839"/>
    <x v="2"/>
    <x v="2"/>
    <n v="2.76"/>
    <n v="8"/>
    <x v="2"/>
    <n v="50"/>
    <n v="4.1399999999999997"/>
    <n v="50"/>
    <s v="OK"/>
  </r>
  <r>
    <n v="12840"/>
    <x v="0"/>
    <x v="1"/>
    <n v="13.27"/>
    <n v="5"/>
    <x v="1"/>
    <n v="30"/>
    <n v="17.251000000000001"/>
    <n v="30.000000000000004"/>
    <s v="OK"/>
  </r>
  <r>
    <n v="12841"/>
    <x v="2"/>
    <x v="1"/>
    <n v="6.79"/>
    <n v="1"/>
    <x v="0"/>
    <n v="15"/>
    <n v="7.8084999999999996"/>
    <n v="14.999999999999991"/>
    <s v="OK"/>
  </r>
  <r>
    <n v="12842"/>
    <x v="2"/>
    <x v="2"/>
    <n v="6.48"/>
    <n v="8"/>
    <x v="2"/>
    <n v="50"/>
    <n v="9.7200000000000006"/>
    <n v="50"/>
    <s v="OK"/>
  </r>
  <r>
    <n v="12843"/>
    <x v="2"/>
    <x v="2"/>
    <n v="1.02"/>
    <n v="9"/>
    <x v="2"/>
    <n v="50"/>
    <n v="1.53"/>
    <n v="50"/>
    <s v="OK"/>
  </r>
  <r>
    <n v="12844"/>
    <x v="0"/>
    <x v="2"/>
    <n v="7.72"/>
    <n v="1"/>
    <x v="0"/>
    <n v="10"/>
    <n v="8.4920000000000009"/>
    <n v="10.000000000000009"/>
    <s v="OK"/>
  </r>
  <r>
    <n v="12845"/>
    <x v="3"/>
    <x v="1"/>
    <n v="8.5399999999999991"/>
    <n v="8"/>
    <x v="2"/>
    <n v="60"/>
    <n v="13.664"/>
    <n v="60.000000000000007"/>
    <s v="OK"/>
  </r>
  <r>
    <n v="12846"/>
    <x v="1"/>
    <x v="1"/>
    <n v="8.6"/>
    <n v="10"/>
    <x v="2"/>
    <n v="60"/>
    <n v="13.76"/>
    <n v="60.000000000000007"/>
    <s v="OK"/>
  </r>
  <r>
    <n v="12847"/>
    <x v="3"/>
    <x v="0"/>
    <n v="10.75"/>
    <n v="2"/>
    <x v="0"/>
    <n v="12"/>
    <n v="12.040000000000001"/>
    <n v="12.000000000000011"/>
    <s v="OK"/>
  </r>
  <r>
    <n v="12848"/>
    <x v="1"/>
    <x v="0"/>
    <n v="3.07"/>
    <n v="4"/>
    <x v="1"/>
    <n v="28"/>
    <n v="3.9295999999999998"/>
    <n v="28.000000000000004"/>
    <s v="OK"/>
  </r>
  <r>
    <n v="12849"/>
    <x v="2"/>
    <x v="2"/>
    <n v="4.16"/>
    <n v="2"/>
    <x v="0"/>
    <n v="10"/>
    <n v="4.5760000000000005"/>
    <n v="10.000000000000009"/>
    <s v="OK"/>
  </r>
  <r>
    <n v="12850"/>
    <x v="3"/>
    <x v="0"/>
    <n v="12.26"/>
    <n v="2"/>
    <x v="0"/>
    <n v="12"/>
    <n v="13.731200000000001"/>
    <n v="12.000000000000011"/>
    <s v="OK"/>
  </r>
  <r>
    <n v="12851"/>
    <x v="1"/>
    <x v="1"/>
    <n v="14.23"/>
    <n v="10"/>
    <x v="2"/>
    <n v="60"/>
    <n v="22.768000000000001"/>
    <n v="60.000000000000007"/>
    <s v="OK"/>
  </r>
  <r>
    <n v="12852"/>
    <x v="0"/>
    <x v="0"/>
    <n v="2.4700000000000002"/>
    <n v="3"/>
    <x v="0"/>
    <n v="12"/>
    <n v="2.7664000000000004"/>
    <n v="12.000000000000011"/>
    <s v="OK"/>
  </r>
  <r>
    <n v="12853"/>
    <x v="0"/>
    <x v="1"/>
    <n v="7.72"/>
    <n v="8"/>
    <x v="2"/>
    <n v="60"/>
    <n v="12.352"/>
    <n v="60.000000000000007"/>
    <s v="OK"/>
  </r>
  <r>
    <n v="12854"/>
    <x v="3"/>
    <x v="2"/>
    <n v="3.61"/>
    <n v="4"/>
    <x v="1"/>
    <n v="25"/>
    <n v="4.5125000000000002"/>
    <n v="25"/>
    <s v="OK"/>
  </r>
  <r>
    <n v="12855"/>
    <x v="3"/>
    <x v="2"/>
    <n v="1.37"/>
    <n v="7"/>
    <x v="1"/>
    <n v="25"/>
    <n v="1.7125000000000001"/>
    <n v="25"/>
    <s v="OK"/>
  </r>
  <r>
    <n v="12856"/>
    <x v="2"/>
    <x v="1"/>
    <n v="5.22"/>
    <n v="10"/>
    <x v="2"/>
    <n v="60"/>
    <n v="8.3520000000000003"/>
    <n v="60.000000000000007"/>
    <s v="OK"/>
  </r>
  <r>
    <n v="12857"/>
    <x v="3"/>
    <x v="0"/>
    <n v="2.58"/>
    <n v="3"/>
    <x v="0"/>
    <n v="12"/>
    <n v="2.8896000000000002"/>
    <n v="12.000000000000011"/>
    <s v="OK"/>
  </r>
  <r>
    <n v="12858"/>
    <x v="2"/>
    <x v="2"/>
    <n v="10.79"/>
    <n v="10"/>
    <x v="2"/>
    <n v="50"/>
    <n v="16.184999999999999"/>
    <n v="50"/>
    <s v="OK"/>
  </r>
  <r>
    <n v="12859"/>
    <x v="2"/>
    <x v="2"/>
    <n v="8.24"/>
    <n v="3"/>
    <x v="0"/>
    <n v="10"/>
    <n v="9.0640000000000018"/>
    <n v="10.000000000000009"/>
    <s v="OK"/>
  </r>
  <r>
    <n v="12860"/>
    <x v="0"/>
    <x v="0"/>
    <n v="2.59"/>
    <n v="2"/>
    <x v="0"/>
    <n v="12"/>
    <n v="2.9008000000000003"/>
    <n v="12.000000000000011"/>
    <s v="OK"/>
  </r>
  <r>
    <n v="12861"/>
    <x v="0"/>
    <x v="0"/>
    <n v="0.63"/>
    <n v="6"/>
    <x v="1"/>
    <n v="28"/>
    <n v="0.80640000000000001"/>
    <n v="28.000000000000004"/>
    <s v="OK"/>
  </r>
  <r>
    <n v="12862"/>
    <x v="1"/>
    <x v="1"/>
    <n v="12.22"/>
    <n v="6"/>
    <x v="1"/>
    <n v="30"/>
    <n v="15.886000000000001"/>
    <n v="30.000000000000004"/>
    <s v="OK"/>
  </r>
  <r>
    <n v="12863"/>
    <x v="0"/>
    <x v="0"/>
    <n v="3.05"/>
    <n v="1"/>
    <x v="0"/>
    <n v="12"/>
    <n v="3.4159999999999999"/>
    <n v="12.000000000000011"/>
    <s v="OK"/>
  </r>
  <r>
    <n v="12864"/>
    <x v="0"/>
    <x v="0"/>
    <n v="9.2899999999999991"/>
    <n v="7"/>
    <x v="1"/>
    <n v="28"/>
    <n v="11.8912"/>
    <n v="28.000000000000004"/>
    <s v="OK"/>
  </r>
  <r>
    <n v="12865"/>
    <x v="3"/>
    <x v="0"/>
    <n v="5.39"/>
    <n v="4"/>
    <x v="1"/>
    <n v="28"/>
    <n v="6.8991999999999996"/>
    <n v="28.000000000000004"/>
    <s v="OK"/>
  </r>
  <r>
    <n v="12866"/>
    <x v="0"/>
    <x v="1"/>
    <n v="8.99"/>
    <n v="3"/>
    <x v="0"/>
    <n v="15"/>
    <n v="10.3385"/>
    <n v="14.999999999999991"/>
    <s v="OK"/>
  </r>
  <r>
    <n v="12867"/>
    <x v="1"/>
    <x v="1"/>
    <n v="5.08"/>
    <n v="8"/>
    <x v="2"/>
    <n v="60"/>
    <n v="8.1280000000000001"/>
    <n v="60.000000000000007"/>
    <s v="OK"/>
  </r>
  <r>
    <n v="12868"/>
    <x v="3"/>
    <x v="2"/>
    <n v="1.76"/>
    <n v="2"/>
    <x v="0"/>
    <n v="10"/>
    <n v="1.9360000000000002"/>
    <n v="10.000000000000009"/>
    <s v="OK"/>
  </r>
  <r>
    <n v="12869"/>
    <x v="1"/>
    <x v="1"/>
    <n v="3.73"/>
    <n v="9"/>
    <x v="2"/>
    <n v="60"/>
    <n v="5.968"/>
    <n v="60.000000000000007"/>
    <s v="OK"/>
  </r>
  <r>
    <n v="12870"/>
    <x v="0"/>
    <x v="2"/>
    <n v="3.23"/>
    <n v="8"/>
    <x v="2"/>
    <n v="50"/>
    <n v="4.8449999999999998"/>
    <n v="50"/>
    <s v="OK"/>
  </r>
  <r>
    <n v="12871"/>
    <x v="1"/>
    <x v="0"/>
    <n v="6.71"/>
    <n v="8"/>
    <x v="2"/>
    <n v="55"/>
    <n v="10.400500000000001"/>
    <n v="55.000000000000007"/>
    <s v="OK"/>
  </r>
  <r>
    <n v="12872"/>
    <x v="3"/>
    <x v="2"/>
    <n v="10.050000000000001"/>
    <n v="3"/>
    <x v="0"/>
    <n v="10"/>
    <n v="11.055000000000001"/>
    <n v="10.000000000000009"/>
    <s v="OK"/>
  </r>
  <r>
    <n v="12873"/>
    <x v="2"/>
    <x v="2"/>
    <n v="4.33"/>
    <n v="4"/>
    <x v="1"/>
    <n v="25"/>
    <n v="5.4124999999999996"/>
    <n v="25"/>
    <s v="OK"/>
  </r>
  <r>
    <n v="12874"/>
    <x v="1"/>
    <x v="0"/>
    <n v="0.68"/>
    <n v="2"/>
    <x v="0"/>
    <n v="12"/>
    <n v="0.76160000000000017"/>
    <n v="12.000000000000011"/>
    <s v="OK"/>
  </r>
  <r>
    <n v="12875"/>
    <x v="1"/>
    <x v="2"/>
    <n v="8.02"/>
    <n v="2"/>
    <x v="0"/>
    <n v="10"/>
    <n v="8.822000000000001"/>
    <n v="10.000000000000009"/>
    <s v="OK"/>
  </r>
  <r>
    <n v="12876"/>
    <x v="3"/>
    <x v="1"/>
    <n v="9.2799999999999994"/>
    <n v="4"/>
    <x v="1"/>
    <n v="30"/>
    <n v="12.064"/>
    <n v="30.000000000000004"/>
    <s v="OK"/>
  </r>
  <r>
    <n v="12877"/>
    <x v="3"/>
    <x v="1"/>
    <n v="14.46"/>
    <n v="6"/>
    <x v="1"/>
    <n v="30"/>
    <n v="18.798000000000002"/>
    <n v="30.000000000000004"/>
    <s v="OK"/>
  </r>
  <r>
    <n v="12878"/>
    <x v="1"/>
    <x v="1"/>
    <n v="9.0500000000000007"/>
    <n v="5"/>
    <x v="1"/>
    <n v="30"/>
    <n v="11.765000000000001"/>
    <n v="30.000000000000004"/>
    <s v="OK"/>
  </r>
  <r>
    <n v="12879"/>
    <x v="0"/>
    <x v="1"/>
    <n v="7.33"/>
    <n v="1"/>
    <x v="0"/>
    <n v="15"/>
    <n v="8.4294999999999991"/>
    <n v="14.999999999999991"/>
    <s v="OK"/>
  </r>
  <r>
    <n v="12880"/>
    <x v="1"/>
    <x v="2"/>
    <n v="8.81"/>
    <n v="10"/>
    <x v="2"/>
    <n v="50"/>
    <n v="13.215"/>
    <n v="50"/>
    <s v="OK"/>
  </r>
  <r>
    <n v="12881"/>
    <x v="3"/>
    <x v="2"/>
    <n v="13.95"/>
    <n v="1"/>
    <x v="0"/>
    <n v="10"/>
    <n v="15.345000000000001"/>
    <n v="10.000000000000009"/>
    <s v="OK"/>
  </r>
  <r>
    <n v="12882"/>
    <x v="2"/>
    <x v="0"/>
    <n v="12.51"/>
    <n v="6"/>
    <x v="1"/>
    <n v="28"/>
    <n v="16.012799999999999"/>
    <n v="27.999999999999979"/>
    <s v="OK"/>
  </r>
  <r>
    <n v="12883"/>
    <x v="2"/>
    <x v="2"/>
    <n v="5.18"/>
    <n v="3"/>
    <x v="0"/>
    <n v="10"/>
    <n v="5.6980000000000004"/>
    <n v="10.000000000000009"/>
    <s v="OK"/>
  </r>
  <r>
    <n v="12884"/>
    <x v="0"/>
    <x v="2"/>
    <n v="3.94"/>
    <n v="3"/>
    <x v="0"/>
    <n v="10"/>
    <n v="4.3340000000000005"/>
    <n v="10.000000000000009"/>
    <s v="OK"/>
  </r>
  <r>
    <n v="12885"/>
    <x v="1"/>
    <x v="2"/>
    <n v="4.3099999999999996"/>
    <n v="7"/>
    <x v="1"/>
    <n v="25"/>
    <n v="5.3874999999999993"/>
    <n v="25"/>
    <s v="OK"/>
  </r>
  <r>
    <n v="12886"/>
    <x v="2"/>
    <x v="0"/>
    <n v="7.81"/>
    <n v="1"/>
    <x v="0"/>
    <n v="12"/>
    <n v="8.7472000000000012"/>
    <n v="12.000000000000011"/>
    <s v="OK"/>
  </r>
  <r>
    <n v="12887"/>
    <x v="1"/>
    <x v="1"/>
    <n v="11.29"/>
    <n v="1"/>
    <x v="0"/>
    <n v="15"/>
    <n v="12.983499999999998"/>
    <n v="14.999999999999991"/>
    <s v="OK"/>
  </r>
  <r>
    <n v="12888"/>
    <x v="3"/>
    <x v="2"/>
    <n v="7.8"/>
    <n v="10"/>
    <x v="2"/>
    <n v="50"/>
    <n v="11.7"/>
    <n v="50"/>
    <s v="OK"/>
  </r>
  <r>
    <n v="12889"/>
    <x v="2"/>
    <x v="0"/>
    <n v="1.48"/>
    <n v="3"/>
    <x v="0"/>
    <n v="12"/>
    <n v="1.6576000000000002"/>
    <n v="12.000000000000011"/>
    <s v="OK"/>
  </r>
  <r>
    <n v="12890"/>
    <x v="0"/>
    <x v="0"/>
    <n v="10.99"/>
    <n v="8"/>
    <x v="2"/>
    <n v="55"/>
    <n v="17.034500000000001"/>
    <n v="55.000000000000007"/>
    <s v="OK"/>
  </r>
  <r>
    <n v="12891"/>
    <x v="3"/>
    <x v="0"/>
    <n v="12.19"/>
    <n v="1"/>
    <x v="0"/>
    <n v="12"/>
    <n v="13.652800000000001"/>
    <n v="12.000000000000011"/>
    <s v="OK"/>
  </r>
  <r>
    <n v="12892"/>
    <x v="0"/>
    <x v="1"/>
    <n v="4.7"/>
    <n v="10"/>
    <x v="2"/>
    <n v="60"/>
    <n v="7.5200000000000005"/>
    <n v="60.000000000000007"/>
    <s v="OK"/>
  </r>
  <r>
    <n v="12893"/>
    <x v="3"/>
    <x v="2"/>
    <n v="10.130000000000001"/>
    <n v="4"/>
    <x v="1"/>
    <n v="25"/>
    <n v="12.662500000000001"/>
    <n v="25"/>
    <s v="OK"/>
  </r>
  <r>
    <n v="12894"/>
    <x v="2"/>
    <x v="0"/>
    <n v="6.69"/>
    <n v="9"/>
    <x v="2"/>
    <n v="55"/>
    <n v="10.3695"/>
    <n v="55.000000000000007"/>
    <s v="OK"/>
  </r>
  <r>
    <n v="12895"/>
    <x v="0"/>
    <x v="1"/>
    <n v="13.39"/>
    <n v="4"/>
    <x v="1"/>
    <n v="30"/>
    <n v="17.407"/>
    <n v="30.000000000000004"/>
    <s v="OK"/>
  </r>
  <r>
    <n v="12896"/>
    <x v="0"/>
    <x v="0"/>
    <n v="12.76"/>
    <n v="10"/>
    <x v="2"/>
    <n v="55"/>
    <n v="19.777999999999999"/>
    <n v="54.999999999999986"/>
    <s v="OK"/>
  </r>
  <r>
    <n v="12897"/>
    <x v="3"/>
    <x v="0"/>
    <n v="8.1199999999999992"/>
    <n v="8"/>
    <x v="2"/>
    <n v="55"/>
    <n v="12.585999999999999"/>
    <n v="55.000000000000007"/>
    <s v="OK"/>
  </r>
  <r>
    <n v="12898"/>
    <x v="0"/>
    <x v="0"/>
    <n v="10.53"/>
    <n v="7"/>
    <x v="1"/>
    <n v="28"/>
    <n v="13.478399999999999"/>
    <n v="28.000000000000004"/>
    <s v="OK"/>
  </r>
  <r>
    <n v="12899"/>
    <x v="3"/>
    <x v="0"/>
    <n v="13.31"/>
    <n v="3"/>
    <x v="0"/>
    <n v="12"/>
    <n v="14.907200000000001"/>
    <n v="12.000000000000011"/>
    <s v="OK"/>
  </r>
  <r>
    <n v="12900"/>
    <x v="3"/>
    <x v="0"/>
    <n v="7.69"/>
    <n v="7"/>
    <x v="1"/>
    <n v="28"/>
    <n v="9.8432000000000013"/>
    <n v="28.000000000000004"/>
    <s v="OK"/>
  </r>
  <r>
    <n v="12901"/>
    <x v="3"/>
    <x v="1"/>
    <n v="5.04"/>
    <n v="7"/>
    <x v="1"/>
    <n v="30"/>
    <n v="6.5520000000000005"/>
    <n v="30.000000000000004"/>
    <s v="OK"/>
  </r>
  <r>
    <n v="12902"/>
    <x v="3"/>
    <x v="2"/>
    <n v="11.43"/>
    <n v="10"/>
    <x v="2"/>
    <n v="50"/>
    <n v="17.145"/>
    <n v="50"/>
    <s v="OK"/>
  </r>
  <r>
    <n v="12903"/>
    <x v="2"/>
    <x v="2"/>
    <n v="3.69"/>
    <n v="3"/>
    <x v="0"/>
    <n v="10"/>
    <n v="4.0590000000000002"/>
    <n v="10.000000000000009"/>
    <s v="OK"/>
  </r>
  <r>
    <n v="12904"/>
    <x v="3"/>
    <x v="2"/>
    <n v="6.13"/>
    <n v="2"/>
    <x v="0"/>
    <n v="10"/>
    <n v="6.7430000000000003"/>
    <n v="10.000000000000009"/>
    <s v="OK"/>
  </r>
  <r>
    <n v="12905"/>
    <x v="1"/>
    <x v="2"/>
    <n v="13.05"/>
    <n v="9"/>
    <x v="2"/>
    <n v="50"/>
    <n v="19.575000000000003"/>
    <n v="50.000000000000021"/>
    <s v="OK"/>
  </r>
  <r>
    <n v="12906"/>
    <x v="0"/>
    <x v="1"/>
    <n v="11"/>
    <n v="1"/>
    <x v="0"/>
    <n v="15"/>
    <n v="12.649999999999999"/>
    <n v="14.999999999999991"/>
    <s v="OK"/>
  </r>
  <r>
    <n v="12907"/>
    <x v="1"/>
    <x v="1"/>
    <n v="6.36"/>
    <n v="7"/>
    <x v="1"/>
    <n v="30"/>
    <n v="8.2680000000000007"/>
    <n v="30.000000000000004"/>
    <s v="OK"/>
  </r>
  <r>
    <n v="12908"/>
    <x v="2"/>
    <x v="1"/>
    <n v="3.61"/>
    <n v="4"/>
    <x v="1"/>
    <n v="30"/>
    <n v="4.6929999999999996"/>
    <n v="30.000000000000004"/>
    <s v="OK"/>
  </r>
  <r>
    <n v="12909"/>
    <x v="1"/>
    <x v="0"/>
    <n v="5.66"/>
    <n v="2"/>
    <x v="0"/>
    <n v="12"/>
    <n v="6.3392000000000008"/>
    <n v="12.000000000000011"/>
    <s v="OK"/>
  </r>
  <r>
    <n v="12910"/>
    <x v="0"/>
    <x v="0"/>
    <n v="4.62"/>
    <n v="2"/>
    <x v="0"/>
    <n v="12"/>
    <n v="5.1744000000000003"/>
    <n v="12.000000000000011"/>
    <s v="OK"/>
  </r>
  <r>
    <n v="12911"/>
    <x v="1"/>
    <x v="0"/>
    <n v="3.05"/>
    <n v="8"/>
    <x v="2"/>
    <n v="55"/>
    <n v="4.7275"/>
    <n v="55.000000000000007"/>
    <s v="OK"/>
  </r>
  <r>
    <n v="12912"/>
    <x v="2"/>
    <x v="2"/>
    <n v="11.28"/>
    <n v="7"/>
    <x v="1"/>
    <n v="25"/>
    <n v="14.1"/>
    <n v="25"/>
    <s v="OK"/>
  </r>
  <r>
    <n v="12913"/>
    <x v="3"/>
    <x v="0"/>
    <n v="4.16"/>
    <n v="7"/>
    <x v="1"/>
    <n v="28"/>
    <n v="5.3248000000000006"/>
    <n v="28.000000000000004"/>
    <s v="OK"/>
  </r>
  <r>
    <n v="12914"/>
    <x v="1"/>
    <x v="2"/>
    <n v="7.09"/>
    <n v="5"/>
    <x v="1"/>
    <n v="25"/>
    <n v="8.8625000000000007"/>
    <n v="25.000000000000021"/>
    <s v="OK"/>
  </r>
  <r>
    <n v="12915"/>
    <x v="2"/>
    <x v="0"/>
    <n v="6.09"/>
    <n v="10"/>
    <x v="2"/>
    <n v="55"/>
    <n v="9.4395000000000007"/>
    <n v="55.000000000000007"/>
    <s v="OK"/>
  </r>
  <r>
    <n v="12916"/>
    <x v="2"/>
    <x v="2"/>
    <n v="14.74"/>
    <n v="8"/>
    <x v="2"/>
    <n v="50"/>
    <n v="22.11"/>
    <n v="50"/>
    <s v="OK"/>
  </r>
  <r>
    <n v="12917"/>
    <x v="0"/>
    <x v="0"/>
    <n v="6.17"/>
    <n v="2"/>
    <x v="0"/>
    <n v="12"/>
    <n v="6.910400000000001"/>
    <n v="12.000000000000011"/>
    <s v="OK"/>
  </r>
  <r>
    <n v="12918"/>
    <x v="0"/>
    <x v="0"/>
    <n v="1.66"/>
    <n v="2"/>
    <x v="0"/>
    <n v="12"/>
    <n v="1.8592000000000002"/>
    <n v="12.000000000000011"/>
    <s v="OK"/>
  </r>
  <r>
    <n v="12919"/>
    <x v="1"/>
    <x v="1"/>
    <n v="1.8"/>
    <n v="5"/>
    <x v="1"/>
    <n v="30"/>
    <n v="2.3400000000000003"/>
    <n v="30.000000000000004"/>
    <s v="OK"/>
  </r>
  <r>
    <n v="12920"/>
    <x v="3"/>
    <x v="0"/>
    <n v="9.07"/>
    <n v="1"/>
    <x v="0"/>
    <n v="12"/>
    <n v="10.158400000000002"/>
    <n v="12.000000000000011"/>
    <s v="OK"/>
  </r>
  <r>
    <n v="12921"/>
    <x v="2"/>
    <x v="0"/>
    <n v="9.19"/>
    <n v="6"/>
    <x v="1"/>
    <n v="28"/>
    <n v="11.763199999999999"/>
    <n v="28.000000000000004"/>
    <s v="OK"/>
  </r>
  <r>
    <n v="12922"/>
    <x v="1"/>
    <x v="1"/>
    <n v="6.57"/>
    <n v="4"/>
    <x v="1"/>
    <n v="30"/>
    <n v="8.5410000000000004"/>
    <n v="30.000000000000004"/>
    <s v="OK"/>
  </r>
  <r>
    <n v="12923"/>
    <x v="2"/>
    <x v="2"/>
    <n v="6.76"/>
    <n v="6"/>
    <x v="1"/>
    <n v="25"/>
    <n v="8.4499999999999993"/>
    <n v="25"/>
    <s v="OK"/>
  </r>
  <r>
    <n v="12924"/>
    <x v="2"/>
    <x v="1"/>
    <n v="1.28"/>
    <n v="7"/>
    <x v="1"/>
    <n v="30"/>
    <n v="1.6640000000000001"/>
    <n v="30.000000000000004"/>
    <s v="OK"/>
  </r>
  <r>
    <n v="12925"/>
    <x v="3"/>
    <x v="1"/>
    <n v="7.99"/>
    <n v="3"/>
    <x v="0"/>
    <n v="15"/>
    <n v="9.1884999999999994"/>
    <n v="14.999999999999991"/>
    <s v="OK"/>
  </r>
  <r>
    <n v="12926"/>
    <x v="3"/>
    <x v="2"/>
    <n v="7.82"/>
    <n v="8"/>
    <x v="2"/>
    <n v="50"/>
    <n v="11.73"/>
    <n v="50"/>
    <s v="OK"/>
  </r>
  <r>
    <n v="12927"/>
    <x v="1"/>
    <x v="0"/>
    <n v="2.67"/>
    <n v="7"/>
    <x v="1"/>
    <n v="28"/>
    <n v="3.4176000000000002"/>
    <n v="28.000000000000004"/>
    <s v="OK"/>
  </r>
  <r>
    <n v="12928"/>
    <x v="3"/>
    <x v="2"/>
    <n v="2.0099999999999998"/>
    <n v="1"/>
    <x v="0"/>
    <n v="10"/>
    <n v="2.2109999999999999"/>
    <n v="10.000000000000009"/>
    <s v="OK"/>
  </r>
  <r>
    <n v="12929"/>
    <x v="3"/>
    <x v="0"/>
    <n v="2.29"/>
    <n v="6"/>
    <x v="1"/>
    <n v="28"/>
    <n v="2.9312"/>
    <n v="28.000000000000004"/>
    <s v="OK"/>
  </r>
  <r>
    <n v="12930"/>
    <x v="1"/>
    <x v="0"/>
    <n v="1.96"/>
    <n v="7"/>
    <x v="1"/>
    <n v="28"/>
    <n v="2.5087999999999999"/>
    <n v="28.000000000000004"/>
    <s v="OK"/>
  </r>
  <r>
    <n v="12931"/>
    <x v="3"/>
    <x v="2"/>
    <n v="9.34"/>
    <n v="4"/>
    <x v="1"/>
    <n v="25"/>
    <n v="11.675000000000001"/>
    <n v="25"/>
    <s v="OK"/>
  </r>
  <r>
    <n v="12932"/>
    <x v="0"/>
    <x v="1"/>
    <n v="3.35"/>
    <n v="2"/>
    <x v="0"/>
    <n v="15"/>
    <n v="3.8524999999999996"/>
    <n v="14.999999999999991"/>
    <s v="OK"/>
  </r>
  <r>
    <n v="12933"/>
    <x v="2"/>
    <x v="2"/>
    <n v="4.1500000000000004"/>
    <n v="10"/>
    <x v="2"/>
    <n v="50"/>
    <n v="6.2250000000000005"/>
    <n v="50"/>
    <s v="OK"/>
  </r>
  <r>
    <n v="12934"/>
    <x v="2"/>
    <x v="0"/>
    <n v="3.02"/>
    <n v="9"/>
    <x v="2"/>
    <n v="55"/>
    <n v="4.681"/>
    <n v="55.000000000000007"/>
    <s v="OK"/>
  </r>
  <r>
    <n v="12935"/>
    <x v="2"/>
    <x v="2"/>
    <n v="14.39"/>
    <n v="7"/>
    <x v="1"/>
    <n v="25"/>
    <n v="17.987500000000001"/>
    <n v="25"/>
    <s v="OK"/>
  </r>
  <r>
    <n v="12936"/>
    <x v="2"/>
    <x v="2"/>
    <n v="12.89"/>
    <n v="1"/>
    <x v="0"/>
    <n v="10"/>
    <n v="14.179000000000002"/>
    <n v="10.000000000000009"/>
    <s v="OK"/>
  </r>
  <r>
    <n v="12937"/>
    <x v="1"/>
    <x v="0"/>
    <n v="3.84"/>
    <n v="8"/>
    <x v="2"/>
    <n v="55"/>
    <n v="5.952"/>
    <n v="55.000000000000007"/>
    <s v="OK"/>
  </r>
  <r>
    <n v="12938"/>
    <x v="2"/>
    <x v="1"/>
    <n v="5.25"/>
    <n v="3"/>
    <x v="0"/>
    <n v="15"/>
    <n v="6.0374999999999996"/>
    <n v="14.999999999999991"/>
    <s v="OK"/>
  </r>
  <r>
    <n v="12939"/>
    <x v="2"/>
    <x v="2"/>
    <n v="3.54"/>
    <n v="4"/>
    <x v="1"/>
    <n v="25"/>
    <n v="4.4249999999999998"/>
    <n v="25"/>
    <s v="OK"/>
  </r>
  <r>
    <n v="12940"/>
    <x v="2"/>
    <x v="0"/>
    <n v="7.63"/>
    <n v="5"/>
    <x v="1"/>
    <n v="28"/>
    <n v="9.7664000000000009"/>
    <n v="28.000000000000004"/>
    <s v="OK"/>
  </r>
  <r>
    <n v="12941"/>
    <x v="2"/>
    <x v="0"/>
    <n v="0.78"/>
    <n v="1"/>
    <x v="0"/>
    <n v="12"/>
    <n v="0.87360000000000015"/>
    <n v="12.000000000000011"/>
    <s v="OK"/>
  </r>
  <r>
    <n v="12942"/>
    <x v="0"/>
    <x v="2"/>
    <n v="10.23"/>
    <n v="6"/>
    <x v="1"/>
    <n v="25"/>
    <n v="12.787500000000001"/>
    <n v="25"/>
    <s v="OK"/>
  </r>
  <r>
    <n v="12943"/>
    <x v="2"/>
    <x v="1"/>
    <n v="8.09"/>
    <n v="10"/>
    <x v="2"/>
    <n v="60"/>
    <n v="12.944000000000001"/>
    <n v="60.000000000000007"/>
    <s v="OK"/>
  </r>
  <r>
    <n v="12944"/>
    <x v="0"/>
    <x v="2"/>
    <n v="13.53"/>
    <n v="6"/>
    <x v="1"/>
    <n v="25"/>
    <n v="16.912499999999998"/>
    <n v="25"/>
    <s v="OK"/>
  </r>
  <r>
    <n v="12945"/>
    <x v="1"/>
    <x v="1"/>
    <n v="2.88"/>
    <n v="2"/>
    <x v="0"/>
    <n v="15"/>
    <n v="3.3119999999999998"/>
    <n v="14.999999999999991"/>
    <s v="OK"/>
  </r>
  <r>
    <n v="12946"/>
    <x v="3"/>
    <x v="1"/>
    <n v="12.16"/>
    <n v="10"/>
    <x v="2"/>
    <n v="60"/>
    <n v="19.456000000000003"/>
    <n v="60.000000000000028"/>
    <s v="OK"/>
  </r>
  <r>
    <n v="12947"/>
    <x v="2"/>
    <x v="1"/>
    <n v="11.98"/>
    <n v="6"/>
    <x v="1"/>
    <n v="30"/>
    <n v="15.574000000000002"/>
    <n v="30.000000000000004"/>
    <s v="OK"/>
  </r>
  <r>
    <n v="12948"/>
    <x v="3"/>
    <x v="1"/>
    <n v="2.34"/>
    <n v="8"/>
    <x v="2"/>
    <n v="60"/>
    <n v="3.7439999999999998"/>
    <n v="60.000000000000007"/>
    <s v="OK"/>
  </r>
  <r>
    <n v="12949"/>
    <x v="3"/>
    <x v="2"/>
    <n v="6.28"/>
    <n v="6"/>
    <x v="1"/>
    <n v="25"/>
    <n v="7.8500000000000005"/>
    <n v="25"/>
    <s v="OK"/>
  </r>
  <r>
    <n v="12950"/>
    <x v="1"/>
    <x v="0"/>
    <n v="2.97"/>
    <n v="4"/>
    <x v="1"/>
    <n v="28"/>
    <n v="3.8016000000000005"/>
    <n v="28.000000000000004"/>
    <s v="OK"/>
  </r>
  <r>
    <n v="12951"/>
    <x v="3"/>
    <x v="0"/>
    <n v="4.1900000000000004"/>
    <n v="4"/>
    <x v="1"/>
    <n v="28"/>
    <n v="5.3632000000000009"/>
    <n v="28.000000000000004"/>
    <s v="OK"/>
  </r>
  <r>
    <n v="12952"/>
    <x v="0"/>
    <x v="0"/>
    <n v="4.32"/>
    <n v="9"/>
    <x v="2"/>
    <n v="55"/>
    <n v="6.6960000000000006"/>
    <n v="55.000000000000007"/>
    <s v="OK"/>
  </r>
  <r>
    <n v="12953"/>
    <x v="3"/>
    <x v="0"/>
    <n v="8.57"/>
    <n v="6"/>
    <x v="1"/>
    <n v="28"/>
    <n v="10.9696"/>
    <n v="28.000000000000004"/>
    <s v="OK"/>
  </r>
  <r>
    <n v="12954"/>
    <x v="3"/>
    <x v="0"/>
    <n v="6.47"/>
    <n v="8"/>
    <x v="2"/>
    <n v="55"/>
    <n v="10.028499999999999"/>
    <n v="55.000000000000007"/>
    <s v="OK"/>
  </r>
  <r>
    <n v="12955"/>
    <x v="3"/>
    <x v="0"/>
    <n v="14.24"/>
    <n v="8"/>
    <x v="2"/>
    <n v="55"/>
    <n v="22.072000000000003"/>
    <n v="55.000000000000028"/>
    <s v="OK"/>
  </r>
  <r>
    <n v="12956"/>
    <x v="2"/>
    <x v="2"/>
    <n v="2.33"/>
    <n v="7"/>
    <x v="1"/>
    <n v="25"/>
    <n v="2.9125000000000001"/>
    <n v="25"/>
    <s v="OK"/>
  </r>
  <r>
    <n v="12957"/>
    <x v="2"/>
    <x v="1"/>
    <n v="14.62"/>
    <n v="3"/>
    <x v="0"/>
    <n v="15"/>
    <n v="16.812999999999999"/>
    <n v="14.999999999999991"/>
    <s v="OK"/>
  </r>
  <r>
    <n v="12958"/>
    <x v="0"/>
    <x v="0"/>
    <n v="3.84"/>
    <n v="10"/>
    <x v="2"/>
    <n v="55"/>
    <n v="5.952"/>
    <n v="55.000000000000007"/>
    <s v="OK"/>
  </r>
  <r>
    <n v="12959"/>
    <x v="0"/>
    <x v="2"/>
    <n v="11.71"/>
    <n v="1"/>
    <x v="0"/>
    <n v="10"/>
    <n v="12.881000000000002"/>
    <n v="10.000000000000009"/>
    <s v="OK"/>
  </r>
  <r>
    <n v="12960"/>
    <x v="2"/>
    <x v="0"/>
    <n v="5.42"/>
    <n v="5"/>
    <x v="1"/>
    <n v="28"/>
    <n v="6.9375999999999998"/>
    <n v="28.000000000000004"/>
    <s v="OK"/>
  </r>
  <r>
    <n v="12961"/>
    <x v="0"/>
    <x v="0"/>
    <n v="2.57"/>
    <n v="10"/>
    <x v="2"/>
    <n v="55"/>
    <n v="3.9834999999999998"/>
    <n v="55.000000000000007"/>
    <s v="OK"/>
  </r>
  <r>
    <n v="12962"/>
    <x v="2"/>
    <x v="1"/>
    <n v="12.94"/>
    <n v="10"/>
    <x v="2"/>
    <n v="60"/>
    <n v="20.704000000000001"/>
    <n v="60.000000000000007"/>
    <s v="OK"/>
  </r>
  <r>
    <n v="12963"/>
    <x v="1"/>
    <x v="1"/>
    <n v="4.9800000000000004"/>
    <n v="2"/>
    <x v="0"/>
    <n v="15"/>
    <n v="5.7270000000000003"/>
    <n v="14.999999999999991"/>
    <s v="OK"/>
  </r>
  <r>
    <n v="12964"/>
    <x v="3"/>
    <x v="1"/>
    <n v="10.050000000000001"/>
    <n v="10"/>
    <x v="2"/>
    <n v="60"/>
    <n v="16.080000000000002"/>
    <n v="60.000000000000007"/>
    <s v="OK"/>
  </r>
  <r>
    <n v="12965"/>
    <x v="3"/>
    <x v="0"/>
    <n v="8.7100000000000009"/>
    <n v="2"/>
    <x v="0"/>
    <n v="12"/>
    <n v="9.7552000000000021"/>
    <n v="12.000000000000011"/>
    <s v="OK"/>
  </r>
  <r>
    <n v="12966"/>
    <x v="0"/>
    <x v="0"/>
    <n v="7.34"/>
    <n v="7"/>
    <x v="1"/>
    <n v="28"/>
    <n v="9.3952000000000009"/>
    <n v="28.000000000000025"/>
    <s v="OK"/>
  </r>
  <r>
    <n v="12967"/>
    <x v="2"/>
    <x v="0"/>
    <n v="7.69"/>
    <n v="3"/>
    <x v="0"/>
    <n v="12"/>
    <n v="8.6128000000000018"/>
    <n v="12.000000000000011"/>
    <s v="OK"/>
  </r>
  <r>
    <n v="12968"/>
    <x v="2"/>
    <x v="1"/>
    <n v="11.12"/>
    <n v="8"/>
    <x v="2"/>
    <n v="60"/>
    <n v="17.791999999999998"/>
    <n v="59.999999999999986"/>
    <s v="OK"/>
  </r>
  <r>
    <n v="12969"/>
    <x v="0"/>
    <x v="2"/>
    <n v="1.77"/>
    <n v="9"/>
    <x v="2"/>
    <n v="50"/>
    <n v="2.6550000000000002"/>
    <n v="50.000000000000021"/>
    <s v="OK"/>
  </r>
  <r>
    <n v="12970"/>
    <x v="2"/>
    <x v="0"/>
    <n v="10.19"/>
    <n v="8"/>
    <x v="2"/>
    <n v="55"/>
    <n v="15.794499999999999"/>
    <n v="55.000000000000007"/>
    <s v="OK"/>
  </r>
  <r>
    <n v="12971"/>
    <x v="1"/>
    <x v="0"/>
    <n v="13.49"/>
    <n v="6"/>
    <x v="1"/>
    <n v="28"/>
    <n v="17.267199999999999"/>
    <n v="27.999999999999979"/>
    <s v="OK"/>
  </r>
  <r>
    <n v="12972"/>
    <x v="3"/>
    <x v="0"/>
    <n v="1.34"/>
    <n v="5"/>
    <x v="1"/>
    <n v="28"/>
    <n v="1.7152000000000001"/>
    <n v="28.000000000000004"/>
    <s v="OK"/>
  </r>
  <r>
    <n v="12973"/>
    <x v="0"/>
    <x v="2"/>
    <n v="2.54"/>
    <n v="3"/>
    <x v="0"/>
    <n v="10"/>
    <n v="2.7940000000000005"/>
    <n v="10.000000000000009"/>
    <s v="OK"/>
  </r>
  <r>
    <n v="12974"/>
    <x v="0"/>
    <x v="0"/>
    <n v="10.89"/>
    <n v="3"/>
    <x v="0"/>
    <n v="12"/>
    <n v="12.196800000000001"/>
    <n v="12.000000000000011"/>
    <s v="OK"/>
  </r>
  <r>
    <n v="12975"/>
    <x v="2"/>
    <x v="2"/>
    <n v="6.84"/>
    <n v="7"/>
    <x v="1"/>
    <n v="25"/>
    <n v="8.5500000000000007"/>
    <n v="25.000000000000021"/>
    <s v="OK"/>
  </r>
  <r>
    <n v="12976"/>
    <x v="0"/>
    <x v="0"/>
    <n v="6.35"/>
    <n v="5"/>
    <x v="1"/>
    <n v="28"/>
    <n v="8.1280000000000001"/>
    <n v="28.000000000000004"/>
    <s v="OK"/>
  </r>
  <r>
    <n v="12977"/>
    <x v="1"/>
    <x v="2"/>
    <n v="2.4900000000000002"/>
    <n v="6"/>
    <x v="1"/>
    <n v="25"/>
    <n v="3.1125000000000003"/>
    <n v="25"/>
    <s v="OK"/>
  </r>
  <r>
    <n v="12978"/>
    <x v="2"/>
    <x v="0"/>
    <n v="7.85"/>
    <n v="6"/>
    <x v="1"/>
    <n v="28"/>
    <n v="10.048"/>
    <n v="28.000000000000004"/>
    <s v="OK"/>
  </r>
  <r>
    <n v="12979"/>
    <x v="2"/>
    <x v="1"/>
    <n v="2.33"/>
    <n v="9"/>
    <x v="2"/>
    <n v="60"/>
    <n v="3.7280000000000002"/>
    <n v="60.000000000000007"/>
    <s v="OK"/>
  </r>
  <r>
    <n v="12980"/>
    <x v="2"/>
    <x v="1"/>
    <n v="7.41"/>
    <n v="1"/>
    <x v="0"/>
    <n v="15"/>
    <n v="8.5214999999999996"/>
    <n v="14.999999999999991"/>
    <s v="OK"/>
  </r>
  <r>
    <n v="12981"/>
    <x v="2"/>
    <x v="1"/>
    <n v="11.57"/>
    <n v="8"/>
    <x v="2"/>
    <n v="60"/>
    <n v="18.512"/>
    <n v="60.000000000000007"/>
    <s v="OK"/>
  </r>
  <r>
    <n v="12982"/>
    <x v="1"/>
    <x v="1"/>
    <n v="4.24"/>
    <n v="10"/>
    <x v="2"/>
    <n v="60"/>
    <n v="6.7840000000000007"/>
    <n v="60.000000000000007"/>
    <s v="OK"/>
  </r>
  <r>
    <n v="12983"/>
    <x v="2"/>
    <x v="0"/>
    <n v="7.47"/>
    <n v="5"/>
    <x v="1"/>
    <n v="28"/>
    <n v="9.5616000000000003"/>
    <n v="28.000000000000004"/>
    <s v="OK"/>
  </r>
  <r>
    <n v="12984"/>
    <x v="0"/>
    <x v="1"/>
    <n v="14.88"/>
    <n v="6"/>
    <x v="1"/>
    <n v="30"/>
    <n v="19.344000000000001"/>
    <n v="30.000000000000004"/>
    <s v="OK"/>
  </r>
  <r>
    <n v="12985"/>
    <x v="1"/>
    <x v="2"/>
    <n v="10.46"/>
    <n v="6"/>
    <x v="1"/>
    <n v="25"/>
    <n v="13.075000000000001"/>
    <n v="25"/>
    <s v="OK"/>
  </r>
  <r>
    <n v="12986"/>
    <x v="3"/>
    <x v="1"/>
    <n v="12.7"/>
    <n v="1"/>
    <x v="0"/>
    <n v="15"/>
    <n v="14.604999999999999"/>
    <n v="14.999999999999991"/>
    <s v="OK"/>
  </r>
  <r>
    <n v="12987"/>
    <x v="3"/>
    <x v="1"/>
    <n v="6.52"/>
    <n v="3"/>
    <x v="0"/>
    <n v="15"/>
    <n v="7.4979999999999993"/>
    <n v="14.999999999999991"/>
    <s v="OK"/>
  </r>
  <r>
    <n v="12988"/>
    <x v="0"/>
    <x v="1"/>
    <n v="11.63"/>
    <n v="6"/>
    <x v="1"/>
    <n v="30"/>
    <n v="15.119000000000002"/>
    <n v="30.000000000000004"/>
    <s v="OK"/>
  </r>
  <r>
    <n v="12989"/>
    <x v="0"/>
    <x v="0"/>
    <n v="1.0900000000000001"/>
    <n v="9"/>
    <x v="2"/>
    <n v="55"/>
    <n v="1.6895000000000002"/>
    <n v="55.000000000000007"/>
    <s v="OK"/>
  </r>
  <r>
    <n v="12990"/>
    <x v="1"/>
    <x v="1"/>
    <n v="2.2799999999999998"/>
    <n v="6"/>
    <x v="1"/>
    <n v="30"/>
    <n v="2.964"/>
    <n v="30.000000000000004"/>
    <s v="OK"/>
  </r>
  <r>
    <n v="12991"/>
    <x v="3"/>
    <x v="2"/>
    <n v="3.44"/>
    <n v="6"/>
    <x v="1"/>
    <n v="25"/>
    <n v="4.3"/>
    <n v="25"/>
    <s v="OK"/>
  </r>
  <r>
    <n v="12992"/>
    <x v="3"/>
    <x v="1"/>
    <n v="6.33"/>
    <n v="1"/>
    <x v="0"/>
    <n v="15"/>
    <n v="7.2794999999999996"/>
    <n v="14.999999999999991"/>
    <s v="OK"/>
  </r>
  <r>
    <n v="12993"/>
    <x v="3"/>
    <x v="1"/>
    <n v="12.76"/>
    <n v="9"/>
    <x v="2"/>
    <n v="60"/>
    <n v="20.416"/>
    <n v="60.000000000000007"/>
    <s v="OK"/>
  </r>
  <r>
    <n v="12994"/>
    <x v="3"/>
    <x v="1"/>
    <n v="5.52"/>
    <n v="4"/>
    <x v="1"/>
    <n v="30"/>
    <n v="7.1759999999999993"/>
    <n v="30.000000000000004"/>
    <s v="OK"/>
  </r>
  <r>
    <n v="12995"/>
    <x v="3"/>
    <x v="2"/>
    <n v="9.99"/>
    <n v="2"/>
    <x v="0"/>
    <n v="10"/>
    <n v="10.989000000000001"/>
    <n v="10.000000000000009"/>
    <s v="OK"/>
  </r>
  <r>
    <n v="12996"/>
    <x v="2"/>
    <x v="1"/>
    <n v="10.79"/>
    <n v="1"/>
    <x v="0"/>
    <n v="15"/>
    <n v="12.408499999999998"/>
    <n v="14.999999999999991"/>
    <s v="OK"/>
  </r>
  <r>
    <n v="12997"/>
    <x v="0"/>
    <x v="2"/>
    <n v="9"/>
    <n v="3"/>
    <x v="0"/>
    <n v="10"/>
    <n v="9.9"/>
    <n v="10.000000000000009"/>
    <s v="OK"/>
  </r>
  <r>
    <n v="12998"/>
    <x v="2"/>
    <x v="2"/>
    <n v="5.68"/>
    <n v="3"/>
    <x v="0"/>
    <n v="10"/>
    <n v="6.2480000000000002"/>
    <n v="10.000000000000009"/>
    <s v="OK"/>
  </r>
  <r>
    <n v="12999"/>
    <x v="3"/>
    <x v="1"/>
    <n v="8.8699999999999992"/>
    <n v="5"/>
    <x v="1"/>
    <n v="30"/>
    <n v="11.530999999999999"/>
    <n v="30.000000000000004"/>
    <s v="OK"/>
  </r>
  <r>
    <n v="13000"/>
    <x v="1"/>
    <x v="2"/>
    <n v="5.46"/>
    <n v="1"/>
    <x v="0"/>
    <n v="10"/>
    <n v="6.0060000000000002"/>
    <n v="10.000000000000009"/>
    <s v="OK"/>
  </r>
  <r>
    <n v="13001"/>
    <x v="1"/>
    <x v="0"/>
    <n v="1.72"/>
    <n v="7"/>
    <x v="1"/>
    <n v="28"/>
    <n v="2.2016"/>
    <n v="28.000000000000004"/>
    <s v="OK"/>
  </r>
  <r>
    <n v="13002"/>
    <x v="3"/>
    <x v="1"/>
    <n v="14.9"/>
    <n v="1"/>
    <x v="0"/>
    <n v="15"/>
    <n v="17.134999999999998"/>
    <n v="14.999999999999991"/>
    <s v="OK"/>
  </r>
  <r>
    <n v="13003"/>
    <x v="3"/>
    <x v="1"/>
    <n v="2.34"/>
    <n v="4"/>
    <x v="1"/>
    <n v="30"/>
    <n v="3.0419999999999998"/>
    <n v="30.000000000000004"/>
    <s v="OK"/>
  </r>
  <r>
    <n v="13004"/>
    <x v="1"/>
    <x v="2"/>
    <n v="1.55"/>
    <n v="6"/>
    <x v="1"/>
    <n v="25"/>
    <n v="1.9375"/>
    <n v="25"/>
    <s v="OK"/>
  </r>
  <r>
    <n v="13005"/>
    <x v="2"/>
    <x v="2"/>
    <n v="13.24"/>
    <n v="1"/>
    <x v="0"/>
    <n v="10"/>
    <n v="14.564000000000002"/>
    <n v="10.000000000000009"/>
    <s v="OK"/>
  </r>
  <r>
    <n v="13006"/>
    <x v="2"/>
    <x v="1"/>
    <n v="4.88"/>
    <n v="7"/>
    <x v="1"/>
    <n v="30"/>
    <n v="6.3440000000000003"/>
    <n v="30.000000000000004"/>
    <s v="OK"/>
  </r>
  <r>
    <n v="13007"/>
    <x v="3"/>
    <x v="0"/>
    <n v="9.93"/>
    <n v="10"/>
    <x v="2"/>
    <n v="55"/>
    <n v="15.391500000000001"/>
    <n v="55.000000000000007"/>
    <s v="OK"/>
  </r>
  <r>
    <n v="13008"/>
    <x v="2"/>
    <x v="2"/>
    <n v="5.27"/>
    <n v="7"/>
    <x v="1"/>
    <n v="25"/>
    <n v="6.5874999999999995"/>
    <n v="25"/>
    <s v="OK"/>
  </r>
  <r>
    <n v="13009"/>
    <x v="1"/>
    <x v="2"/>
    <n v="6.18"/>
    <n v="3"/>
    <x v="0"/>
    <n v="10"/>
    <n v="6.798"/>
    <n v="10.000000000000009"/>
    <s v="OK"/>
  </r>
  <r>
    <n v="13010"/>
    <x v="2"/>
    <x v="0"/>
    <n v="4.3"/>
    <n v="4"/>
    <x v="1"/>
    <n v="28"/>
    <n v="5.5039999999999996"/>
    <n v="28.000000000000004"/>
    <s v="OK"/>
  </r>
  <r>
    <n v="13011"/>
    <x v="3"/>
    <x v="0"/>
    <n v="5.47"/>
    <n v="6"/>
    <x v="1"/>
    <n v="28"/>
    <n v="7.0015999999999998"/>
    <n v="28.000000000000004"/>
    <s v="OK"/>
  </r>
  <r>
    <n v="13012"/>
    <x v="1"/>
    <x v="1"/>
    <n v="6.46"/>
    <n v="7"/>
    <x v="1"/>
    <n v="30"/>
    <n v="8.3979999999999997"/>
    <n v="30.000000000000004"/>
    <s v="OK"/>
  </r>
  <r>
    <n v="13013"/>
    <x v="2"/>
    <x v="0"/>
    <n v="10.95"/>
    <n v="4"/>
    <x v="1"/>
    <n v="28"/>
    <n v="14.016"/>
    <n v="28.000000000000004"/>
    <s v="OK"/>
  </r>
  <r>
    <n v="13014"/>
    <x v="0"/>
    <x v="1"/>
    <n v="7.92"/>
    <n v="10"/>
    <x v="2"/>
    <n v="60"/>
    <n v="12.672000000000001"/>
    <n v="60.000000000000007"/>
    <s v="OK"/>
  </r>
  <r>
    <n v="13015"/>
    <x v="1"/>
    <x v="0"/>
    <n v="14.18"/>
    <n v="9"/>
    <x v="2"/>
    <n v="55"/>
    <n v="21.978999999999999"/>
    <n v="55.000000000000007"/>
    <s v="OK"/>
  </r>
  <r>
    <n v="13016"/>
    <x v="1"/>
    <x v="2"/>
    <n v="1.1100000000000001"/>
    <n v="9"/>
    <x v="2"/>
    <n v="50"/>
    <n v="1.665"/>
    <n v="50"/>
    <s v="OK"/>
  </r>
  <r>
    <n v="13017"/>
    <x v="0"/>
    <x v="1"/>
    <n v="7.79"/>
    <n v="9"/>
    <x v="2"/>
    <n v="60"/>
    <n v="12.464"/>
    <n v="60.000000000000007"/>
    <s v="OK"/>
  </r>
  <r>
    <n v="13018"/>
    <x v="0"/>
    <x v="1"/>
    <n v="8.9700000000000006"/>
    <n v="10"/>
    <x v="2"/>
    <n v="60"/>
    <n v="14.352000000000002"/>
    <n v="60.000000000000007"/>
    <s v="OK"/>
  </r>
  <r>
    <n v="13019"/>
    <x v="1"/>
    <x v="1"/>
    <n v="13.84"/>
    <n v="6"/>
    <x v="1"/>
    <n v="30"/>
    <n v="17.992000000000001"/>
    <n v="30.000000000000004"/>
    <s v="OK"/>
  </r>
  <r>
    <n v="13020"/>
    <x v="0"/>
    <x v="0"/>
    <n v="1.21"/>
    <n v="2"/>
    <x v="0"/>
    <n v="12"/>
    <n v="1.3552000000000002"/>
    <n v="12.000000000000011"/>
    <s v="OK"/>
  </r>
  <r>
    <n v="13021"/>
    <x v="3"/>
    <x v="2"/>
    <n v="8.82"/>
    <n v="2"/>
    <x v="0"/>
    <n v="10"/>
    <n v="9.7020000000000017"/>
    <n v="10.000000000000009"/>
    <s v="OK"/>
  </r>
  <r>
    <n v="13022"/>
    <x v="3"/>
    <x v="1"/>
    <n v="12.88"/>
    <n v="4"/>
    <x v="1"/>
    <n v="30"/>
    <n v="16.744000000000003"/>
    <n v="30.000000000000028"/>
    <s v="OK"/>
  </r>
  <r>
    <n v="13023"/>
    <x v="3"/>
    <x v="1"/>
    <n v="4.01"/>
    <n v="9"/>
    <x v="2"/>
    <n v="60"/>
    <n v="6.4160000000000004"/>
    <n v="60.000000000000007"/>
    <s v="OK"/>
  </r>
  <r>
    <n v="13024"/>
    <x v="1"/>
    <x v="1"/>
    <n v="13.21"/>
    <n v="3"/>
    <x v="0"/>
    <n v="15"/>
    <n v="15.1915"/>
    <n v="14.999999999999991"/>
    <s v="OK"/>
  </r>
  <r>
    <n v="13025"/>
    <x v="0"/>
    <x v="1"/>
    <n v="0.78"/>
    <n v="6"/>
    <x v="1"/>
    <n v="30"/>
    <n v="1.014"/>
    <n v="30.000000000000004"/>
    <s v="OK"/>
  </r>
  <r>
    <n v="13026"/>
    <x v="0"/>
    <x v="2"/>
    <n v="11.12"/>
    <n v="2"/>
    <x v="0"/>
    <n v="10"/>
    <n v="12.231999999999999"/>
    <n v="10.000000000000009"/>
    <s v="OK"/>
  </r>
  <r>
    <n v="13027"/>
    <x v="2"/>
    <x v="0"/>
    <n v="14.03"/>
    <n v="1"/>
    <x v="0"/>
    <n v="12"/>
    <n v="15.713600000000001"/>
    <n v="12.000000000000011"/>
    <s v="OK"/>
  </r>
  <r>
    <n v="13028"/>
    <x v="2"/>
    <x v="2"/>
    <n v="10.029999999999999"/>
    <n v="5"/>
    <x v="1"/>
    <n v="25"/>
    <n v="12.5375"/>
    <n v="25"/>
    <s v="OK"/>
  </r>
  <r>
    <n v="13029"/>
    <x v="0"/>
    <x v="1"/>
    <n v="6.87"/>
    <n v="8"/>
    <x v="2"/>
    <n v="60"/>
    <n v="10.992000000000001"/>
    <n v="60.000000000000007"/>
    <s v="OK"/>
  </r>
  <r>
    <n v="13030"/>
    <x v="0"/>
    <x v="2"/>
    <n v="1.1499999999999999"/>
    <n v="10"/>
    <x v="2"/>
    <n v="50"/>
    <n v="1.7249999999999999"/>
    <n v="50"/>
    <s v="OK"/>
  </r>
  <r>
    <n v="13031"/>
    <x v="0"/>
    <x v="1"/>
    <n v="13.84"/>
    <n v="10"/>
    <x v="2"/>
    <n v="60"/>
    <n v="22.144000000000002"/>
    <n v="60.000000000000007"/>
    <s v="OK"/>
  </r>
  <r>
    <n v="13032"/>
    <x v="1"/>
    <x v="0"/>
    <n v="7.32"/>
    <n v="2"/>
    <x v="0"/>
    <n v="12"/>
    <n v="8.1984000000000012"/>
    <n v="12.000000000000011"/>
    <s v="OK"/>
  </r>
  <r>
    <n v="13033"/>
    <x v="0"/>
    <x v="0"/>
    <n v="0.92"/>
    <n v="10"/>
    <x v="2"/>
    <n v="55"/>
    <n v="1.4260000000000002"/>
    <n v="55.000000000000007"/>
    <s v="OK"/>
  </r>
  <r>
    <n v="13034"/>
    <x v="2"/>
    <x v="0"/>
    <n v="10.5"/>
    <n v="9"/>
    <x v="2"/>
    <n v="55"/>
    <n v="16.275000000000002"/>
    <n v="55.000000000000028"/>
    <s v="OK"/>
  </r>
  <r>
    <n v="13035"/>
    <x v="1"/>
    <x v="1"/>
    <n v="7.49"/>
    <n v="8"/>
    <x v="2"/>
    <n v="60"/>
    <n v="11.984000000000002"/>
    <n v="60.000000000000007"/>
    <s v="OK"/>
  </r>
  <r>
    <n v="13036"/>
    <x v="0"/>
    <x v="2"/>
    <n v="2.2999999999999998"/>
    <n v="3"/>
    <x v="0"/>
    <n v="10"/>
    <n v="2.5299999999999998"/>
    <n v="10.000000000000009"/>
    <s v="OK"/>
  </r>
  <r>
    <n v="13037"/>
    <x v="2"/>
    <x v="0"/>
    <n v="3.61"/>
    <n v="1"/>
    <x v="0"/>
    <n v="12"/>
    <n v="4.0432000000000006"/>
    <n v="12.000000000000011"/>
    <s v="OK"/>
  </r>
  <r>
    <n v="13038"/>
    <x v="1"/>
    <x v="1"/>
    <n v="1.44"/>
    <n v="4"/>
    <x v="1"/>
    <n v="30"/>
    <n v="1.8719999999999999"/>
    <n v="30.000000000000004"/>
    <s v="OK"/>
  </r>
  <r>
    <n v="13039"/>
    <x v="0"/>
    <x v="1"/>
    <n v="8.83"/>
    <n v="8"/>
    <x v="2"/>
    <n v="60"/>
    <n v="14.128"/>
    <n v="60.000000000000007"/>
    <s v="OK"/>
  </r>
  <r>
    <n v="13040"/>
    <x v="0"/>
    <x v="2"/>
    <n v="9.52"/>
    <n v="3"/>
    <x v="0"/>
    <n v="10"/>
    <n v="10.472"/>
    <n v="10.000000000000009"/>
    <s v="OK"/>
  </r>
  <r>
    <n v="13041"/>
    <x v="0"/>
    <x v="0"/>
    <n v="7.83"/>
    <n v="10"/>
    <x v="2"/>
    <n v="55"/>
    <n v="12.1365"/>
    <n v="55.000000000000007"/>
    <s v="OK"/>
  </r>
  <r>
    <n v="13042"/>
    <x v="1"/>
    <x v="1"/>
    <n v="12.35"/>
    <n v="2"/>
    <x v="0"/>
    <n v="15"/>
    <n v="14.202499999999999"/>
    <n v="14.999999999999991"/>
    <s v="OK"/>
  </r>
  <r>
    <n v="13043"/>
    <x v="2"/>
    <x v="2"/>
    <n v="12.98"/>
    <n v="7"/>
    <x v="1"/>
    <n v="25"/>
    <n v="16.225000000000001"/>
    <n v="25"/>
    <s v="OK"/>
  </r>
  <r>
    <n v="13044"/>
    <x v="2"/>
    <x v="0"/>
    <n v="9.43"/>
    <n v="4"/>
    <x v="1"/>
    <n v="28"/>
    <n v="12.070399999999999"/>
    <n v="28.000000000000004"/>
    <s v="OK"/>
  </r>
  <r>
    <n v="13045"/>
    <x v="3"/>
    <x v="2"/>
    <n v="0.68"/>
    <n v="6"/>
    <x v="1"/>
    <n v="25"/>
    <n v="0.85000000000000009"/>
    <n v="25"/>
    <s v="OK"/>
  </r>
  <r>
    <n v="13046"/>
    <x v="0"/>
    <x v="2"/>
    <n v="10.58"/>
    <n v="5"/>
    <x v="1"/>
    <n v="25"/>
    <n v="13.225"/>
    <n v="25"/>
    <s v="OK"/>
  </r>
  <r>
    <n v="13047"/>
    <x v="3"/>
    <x v="1"/>
    <n v="6.56"/>
    <n v="2"/>
    <x v="0"/>
    <n v="15"/>
    <n v="7.5439999999999987"/>
    <n v="14.999999999999991"/>
    <s v="OK"/>
  </r>
  <r>
    <n v="13048"/>
    <x v="3"/>
    <x v="1"/>
    <n v="8.6999999999999993"/>
    <n v="10"/>
    <x v="2"/>
    <n v="60"/>
    <n v="13.92"/>
    <n v="60.000000000000007"/>
    <s v="OK"/>
  </r>
  <r>
    <n v="13049"/>
    <x v="2"/>
    <x v="1"/>
    <n v="9.91"/>
    <n v="2"/>
    <x v="0"/>
    <n v="15"/>
    <n v="11.3965"/>
    <n v="14.999999999999991"/>
    <s v="OK"/>
  </r>
  <r>
    <n v="13050"/>
    <x v="1"/>
    <x v="2"/>
    <n v="5.58"/>
    <n v="9"/>
    <x v="2"/>
    <n v="50"/>
    <n v="8.370000000000001"/>
    <n v="50.000000000000021"/>
    <s v="OK"/>
  </r>
  <r>
    <n v="13051"/>
    <x v="1"/>
    <x v="1"/>
    <n v="13.8"/>
    <n v="10"/>
    <x v="2"/>
    <n v="60"/>
    <n v="22.080000000000002"/>
    <n v="60.000000000000007"/>
    <s v="OK"/>
  </r>
  <r>
    <n v="13052"/>
    <x v="2"/>
    <x v="2"/>
    <n v="2.44"/>
    <n v="2"/>
    <x v="0"/>
    <n v="10"/>
    <n v="2.6840000000000002"/>
    <n v="10.000000000000009"/>
    <s v="OK"/>
  </r>
  <r>
    <n v="13053"/>
    <x v="1"/>
    <x v="2"/>
    <n v="10.24"/>
    <n v="8"/>
    <x v="2"/>
    <n v="50"/>
    <n v="15.36"/>
    <n v="50"/>
    <s v="OK"/>
  </r>
  <r>
    <n v="13054"/>
    <x v="3"/>
    <x v="1"/>
    <n v="0.56000000000000005"/>
    <n v="8"/>
    <x v="2"/>
    <n v="60"/>
    <n v="0.89600000000000013"/>
    <n v="60.000000000000007"/>
    <s v="OK"/>
  </r>
  <r>
    <n v="13055"/>
    <x v="0"/>
    <x v="0"/>
    <n v="13.91"/>
    <n v="1"/>
    <x v="0"/>
    <n v="12"/>
    <n v="15.579200000000002"/>
    <n v="12.000000000000011"/>
    <s v="OK"/>
  </r>
  <r>
    <n v="13056"/>
    <x v="2"/>
    <x v="0"/>
    <n v="2.13"/>
    <n v="1"/>
    <x v="0"/>
    <n v="12"/>
    <n v="2.3856000000000002"/>
    <n v="12.000000000000011"/>
    <s v="OK"/>
  </r>
  <r>
    <n v="13057"/>
    <x v="0"/>
    <x v="0"/>
    <n v="1.88"/>
    <n v="4"/>
    <x v="1"/>
    <n v="28"/>
    <n v="2.4064000000000001"/>
    <n v="28.000000000000004"/>
    <s v="OK"/>
  </r>
  <r>
    <n v="13058"/>
    <x v="1"/>
    <x v="2"/>
    <n v="5.33"/>
    <n v="2"/>
    <x v="0"/>
    <n v="10"/>
    <n v="5.8630000000000004"/>
    <n v="10.000000000000009"/>
    <s v="OK"/>
  </r>
  <r>
    <n v="13059"/>
    <x v="0"/>
    <x v="2"/>
    <n v="5.92"/>
    <n v="1"/>
    <x v="0"/>
    <n v="10"/>
    <n v="6.5120000000000005"/>
    <n v="10.000000000000009"/>
    <s v="OK"/>
  </r>
  <r>
    <n v="13060"/>
    <x v="1"/>
    <x v="2"/>
    <n v="3.61"/>
    <n v="9"/>
    <x v="2"/>
    <n v="50"/>
    <n v="5.415"/>
    <n v="50"/>
    <s v="OK"/>
  </r>
  <r>
    <n v="13061"/>
    <x v="1"/>
    <x v="1"/>
    <n v="8.98"/>
    <n v="3"/>
    <x v="0"/>
    <n v="15"/>
    <n v="10.327"/>
    <n v="14.999999999999991"/>
    <s v="OK"/>
  </r>
  <r>
    <n v="13062"/>
    <x v="3"/>
    <x v="2"/>
    <n v="6.92"/>
    <n v="1"/>
    <x v="0"/>
    <n v="10"/>
    <n v="7.6120000000000001"/>
    <n v="10.000000000000009"/>
    <s v="OK"/>
  </r>
  <r>
    <n v="13063"/>
    <x v="1"/>
    <x v="1"/>
    <n v="1"/>
    <n v="2"/>
    <x v="0"/>
    <n v="15"/>
    <n v="1.1499999999999999"/>
    <n v="14.999999999999991"/>
    <s v="OK"/>
  </r>
  <r>
    <n v="13064"/>
    <x v="3"/>
    <x v="1"/>
    <n v="5.13"/>
    <n v="8"/>
    <x v="2"/>
    <n v="60"/>
    <n v="8.2080000000000002"/>
    <n v="60.000000000000007"/>
    <s v="OK"/>
  </r>
  <r>
    <n v="13065"/>
    <x v="3"/>
    <x v="0"/>
    <n v="12.25"/>
    <n v="5"/>
    <x v="1"/>
    <n v="28"/>
    <n v="15.68"/>
    <n v="28.000000000000004"/>
    <s v="OK"/>
  </r>
  <r>
    <n v="13066"/>
    <x v="3"/>
    <x v="0"/>
    <n v="10.5"/>
    <n v="7"/>
    <x v="1"/>
    <n v="28"/>
    <n v="13.44"/>
    <n v="28.000000000000004"/>
    <s v="OK"/>
  </r>
  <r>
    <n v="13067"/>
    <x v="2"/>
    <x v="0"/>
    <n v="11.01"/>
    <n v="6"/>
    <x v="1"/>
    <n v="28"/>
    <n v="14.0928"/>
    <n v="28.000000000000004"/>
    <s v="OK"/>
  </r>
  <r>
    <n v="13068"/>
    <x v="2"/>
    <x v="1"/>
    <n v="10.62"/>
    <n v="1"/>
    <x v="0"/>
    <n v="15"/>
    <n v="12.212999999999997"/>
    <n v="14.999999999999991"/>
    <s v="OK"/>
  </r>
  <r>
    <n v="13069"/>
    <x v="1"/>
    <x v="1"/>
    <n v="5.01"/>
    <n v="6"/>
    <x v="1"/>
    <n v="30"/>
    <n v="6.5129999999999999"/>
    <n v="30.000000000000004"/>
    <s v="OK"/>
  </r>
  <r>
    <n v="13070"/>
    <x v="3"/>
    <x v="1"/>
    <n v="1.95"/>
    <n v="7"/>
    <x v="1"/>
    <n v="30"/>
    <n v="2.5350000000000001"/>
    <n v="30.000000000000004"/>
    <s v="OK"/>
  </r>
  <r>
    <n v="13071"/>
    <x v="2"/>
    <x v="2"/>
    <n v="4.45"/>
    <n v="4"/>
    <x v="1"/>
    <n v="25"/>
    <n v="5.5625"/>
    <n v="25"/>
    <s v="OK"/>
  </r>
  <r>
    <n v="13072"/>
    <x v="3"/>
    <x v="1"/>
    <n v="12.56"/>
    <n v="8"/>
    <x v="2"/>
    <n v="60"/>
    <n v="20.096000000000004"/>
    <n v="60.000000000000028"/>
    <s v="OK"/>
  </r>
  <r>
    <n v="13073"/>
    <x v="0"/>
    <x v="0"/>
    <n v="14.72"/>
    <n v="8"/>
    <x v="2"/>
    <n v="55"/>
    <n v="22.816000000000003"/>
    <n v="55.000000000000007"/>
    <s v="OK"/>
  </r>
  <r>
    <n v="13074"/>
    <x v="0"/>
    <x v="0"/>
    <n v="7.66"/>
    <n v="7"/>
    <x v="1"/>
    <n v="28"/>
    <n v="9.8048000000000002"/>
    <n v="28.000000000000004"/>
    <s v="OK"/>
  </r>
  <r>
    <n v="13075"/>
    <x v="0"/>
    <x v="1"/>
    <n v="0.64"/>
    <n v="2"/>
    <x v="0"/>
    <n v="15"/>
    <n v="0.73599999999999999"/>
    <n v="14.999999999999991"/>
    <s v="OK"/>
  </r>
  <r>
    <n v="13076"/>
    <x v="1"/>
    <x v="1"/>
    <n v="2.5299999999999998"/>
    <n v="6"/>
    <x v="1"/>
    <n v="30"/>
    <n v="3.2889999999999997"/>
    <n v="30.000000000000004"/>
    <s v="OK"/>
  </r>
  <r>
    <n v="13077"/>
    <x v="3"/>
    <x v="0"/>
    <n v="5.17"/>
    <n v="6"/>
    <x v="1"/>
    <n v="28"/>
    <n v="6.6176000000000004"/>
    <n v="28.000000000000004"/>
    <s v="OK"/>
  </r>
  <r>
    <n v="13078"/>
    <x v="0"/>
    <x v="1"/>
    <n v="8.89"/>
    <n v="7"/>
    <x v="1"/>
    <n v="30"/>
    <n v="11.557"/>
    <n v="30.000000000000004"/>
    <s v="OK"/>
  </r>
  <r>
    <n v="13079"/>
    <x v="2"/>
    <x v="0"/>
    <n v="1.59"/>
    <n v="6"/>
    <x v="1"/>
    <n v="28"/>
    <n v="2.0352000000000001"/>
    <n v="28.000000000000004"/>
    <s v="OK"/>
  </r>
  <r>
    <n v="13080"/>
    <x v="0"/>
    <x v="2"/>
    <n v="14.18"/>
    <n v="2"/>
    <x v="0"/>
    <n v="10"/>
    <n v="15.598000000000001"/>
    <n v="10.000000000000009"/>
    <s v="OK"/>
  </r>
  <r>
    <n v="13081"/>
    <x v="0"/>
    <x v="0"/>
    <n v="5.79"/>
    <n v="8"/>
    <x v="2"/>
    <n v="55"/>
    <n v="8.9745000000000008"/>
    <n v="55.000000000000007"/>
    <s v="OK"/>
  </r>
  <r>
    <n v="13082"/>
    <x v="0"/>
    <x v="2"/>
    <n v="13.73"/>
    <n v="4"/>
    <x v="1"/>
    <n v="25"/>
    <n v="17.162500000000001"/>
    <n v="25"/>
    <s v="OK"/>
  </r>
  <r>
    <n v="13083"/>
    <x v="1"/>
    <x v="1"/>
    <n v="11.82"/>
    <n v="9"/>
    <x v="2"/>
    <n v="60"/>
    <n v="18.912000000000003"/>
    <n v="60.000000000000007"/>
    <s v="OK"/>
  </r>
  <r>
    <n v="13084"/>
    <x v="2"/>
    <x v="1"/>
    <n v="11.45"/>
    <n v="8"/>
    <x v="2"/>
    <n v="60"/>
    <n v="18.32"/>
    <n v="60.000000000000007"/>
    <s v="OK"/>
  </r>
  <r>
    <n v="13085"/>
    <x v="3"/>
    <x v="2"/>
    <n v="9.3000000000000007"/>
    <n v="3"/>
    <x v="0"/>
    <n v="10"/>
    <n v="10.230000000000002"/>
    <n v="10.000000000000009"/>
    <s v="OK"/>
  </r>
  <r>
    <n v="13086"/>
    <x v="2"/>
    <x v="1"/>
    <n v="9.59"/>
    <n v="3"/>
    <x v="0"/>
    <n v="15"/>
    <n v="11.028499999999999"/>
    <n v="14.999999999999991"/>
    <s v="OK"/>
  </r>
  <r>
    <n v="13087"/>
    <x v="3"/>
    <x v="2"/>
    <n v="9.75"/>
    <n v="8"/>
    <x v="2"/>
    <n v="50"/>
    <n v="14.625"/>
    <n v="50"/>
    <s v="OK"/>
  </r>
  <r>
    <n v="13088"/>
    <x v="1"/>
    <x v="1"/>
    <n v="9.6199999999999992"/>
    <n v="2"/>
    <x v="0"/>
    <n v="15"/>
    <n v="11.062999999999999"/>
    <n v="14.999999999999991"/>
    <s v="OK"/>
  </r>
  <r>
    <n v="13089"/>
    <x v="1"/>
    <x v="0"/>
    <n v="8.5299999999999994"/>
    <n v="9"/>
    <x v="2"/>
    <n v="55"/>
    <n v="13.221499999999999"/>
    <n v="55.000000000000007"/>
    <s v="OK"/>
  </r>
  <r>
    <n v="13090"/>
    <x v="1"/>
    <x v="1"/>
    <n v="14.8"/>
    <n v="4"/>
    <x v="1"/>
    <n v="30"/>
    <n v="19.240000000000002"/>
    <n v="30.000000000000004"/>
    <s v="OK"/>
  </r>
  <r>
    <n v="13091"/>
    <x v="1"/>
    <x v="0"/>
    <n v="11.12"/>
    <n v="6"/>
    <x v="1"/>
    <n v="28"/>
    <n v="14.233599999999999"/>
    <n v="28.000000000000004"/>
    <s v="OK"/>
  </r>
  <r>
    <n v="13092"/>
    <x v="3"/>
    <x v="0"/>
    <n v="11.77"/>
    <n v="3"/>
    <x v="0"/>
    <n v="12"/>
    <n v="13.182400000000001"/>
    <n v="12.000000000000011"/>
    <s v="OK"/>
  </r>
  <r>
    <n v="13093"/>
    <x v="0"/>
    <x v="2"/>
    <n v="13.15"/>
    <n v="3"/>
    <x v="0"/>
    <n v="10"/>
    <n v="14.465000000000002"/>
    <n v="10.000000000000009"/>
    <s v="OK"/>
  </r>
  <r>
    <n v="13094"/>
    <x v="3"/>
    <x v="1"/>
    <n v="3.63"/>
    <n v="3"/>
    <x v="0"/>
    <n v="15"/>
    <n v="4.1744999999999992"/>
    <n v="14.999999999999991"/>
    <s v="OK"/>
  </r>
  <r>
    <n v="13095"/>
    <x v="2"/>
    <x v="2"/>
    <n v="1.72"/>
    <n v="10"/>
    <x v="2"/>
    <n v="50"/>
    <n v="2.58"/>
    <n v="50"/>
    <s v="OK"/>
  </r>
  <r>
    <n v="13096"/>
    <x v="1"/>
    <x v="1"/>
    <n v="7.5"/>
    <n v="2"/>
    <x v="0"/>
    <n v="15"/>
    <n v="8.625"/>
    <n v="14.999999999999991"/>
    <s v="OK"/>
  </r>
  <r>
    <n v="13097"/>
    <x v="1"/>
    <x v="0"/>
    <n v="7.95"/>
    <n v="8"/>
    <x v="2"/>
    <n v="55"/>
    <n v="12.3225"/>
    <n v="55.000000000000007"/>
    <s v="OK"/>
  </r>
  <r>
    <n v="13098"/>
    <x v="2"/>
    <x v="0"/>
    <n v="12.52"/>
    <n v="9"/>
    <x v="2"/>
    <n v="55"/>
    <n v="19.405999999999999"/>
    <n v="55.000000000000007"/>
    <s v="OK"/>
  </r>
  <r>
    <n v="13099"/>
    <x v="3"/>
    <x v="1"/>
    <n v="6.93"/>
    <n v="8"/>
    <x v="2"/>
    <n v="60"/>
    <n v="11.088000000000001"/>
    <n v="60.000000000000028"/>
    <s v="OK"/>
  </r>
  <r>
    <n v="13100"/>
    <x v="0"/>
    <x v="1"/>
    <n v="8.7799999999999994"/>
    <n v="10"/>
    <x v="2"/>
    <n v="60"/>
    <n v="14.048"/>
    <n v="60.000000000000007"/>
    <s v="OK"/>
  </r>
  <r>
    <n v="13101"/>
    <x v="0"/>
    <x v="2"/>
    <n v="8.14"/>
    <n v="3"/>
    <x v="0"/>
    <n v="10"/>
    <n v="8.9540000000000006"/>
    <n v="10.000000000000009"/>
    <s v="OK"/>
  </r>
  <r>
    <n v="13102"/>
    <x v="2"/>
    <x v="1"/>
    <n v="1.05"/>
    <n v="7"/>
    <x v="1"/>
    <n v="30"/>
    <n v="1.3650000000000002"/>
    <n v="30.000000000000004"/>
    <s v="OK"/>
  </r>
  <r>
    <n v="13103"/>
    <x v="0"/>
    <x v="1"/>
    <n v="9.42"/>
    <n v="10"/>
    <x v="2"/>
    <n v="60"/>
    <n v="15.072000000000001"/>
    <n v="60.000000000000007"/>
    <s v="OK"/>
  </r>
  <r>
    <n v="13104"/>
    <x v="3"/>
    <x v="1"/>
    <n v="12.51"/>
    <n v="2"/>
    <x v="0"/>
    <n v="15"/>
    <n v="14.386499999999998"/>
    <n v="14.999999999999991"/>
    <s v="OK"/>
  </r>
  <r>
    <n v="13105"/>
    <x v="3"/>
    <x v="2"/>
    <n v="2.78"/>
    <n v="4"/>
    <x v="1"/>
    <n v="25"/>
    <n v="3.4749999999999996"/>
    <n v="25"/>
    <s v="OK"/>
  </r>
  <r>
    <n v="13106"/>
    <x v="2"/>
    <x v="1"/>
    <n v="9.1199999999999992"/>
    <n v="6"/>
    <x v="1"/>
    <n v="30"/>
    <n v="11.856"/>
    <n v="30.000000000000004"/>
    <s v="OK"/>
  </r>
  <r>
    <n v="13107"/>
    <x v="3"/>
    <x v="0"/>
    <n v="9.11"/>
    <n v="5"/>
    <x v="1"/>
    <n v="28"/>
    <n v="11.6608"/>
    <n v="28.000000000000004"/>
    <s v="OK"/>
  </r>
  <r>
    <n v="13108"/>
    <x v="1"/>
    <x v="2"/>
    <n v="2.88"/>
    <n v="9"/>
    <x v="2"/>
    <n v="50"/>
    <n v="4.32"/>
    <n v="50.000000000000021"/>
    <s v="OK"/>
  </r>
  <r>
    <n v="13109"/>
    <x v="2"/>
    <x v="2"/>
    <n v="2.29"/>
    <n v="10"/>
    <x v="2"/>
    <n v="50"/>
    <n v="3.4350000000000001"/>
    <n v="50"/>
    <s v="OK"/>
  </r>
  <r>
    <n v="13110"/>
    <x v="3"/>
    <x v="0"/>
    <n v="14.71"/>
    <n v="4"/>
    <x v="1"/>
    <n v="28"/>
    <n v="18.828800000000001"/>
    <n v="28.000000000000004"/>
    <s v="OK"/>
  </r>
  <r>
    <n v="13111"/>
    <x v="2"/>
    <x v="0"/>
    <n v="6.21"/>
    <n v="5"/>
    <x v="1"/>
    <n v="28"/>
    <n v="7.9488000000000003"/>
    <n v="28.000000000000004"/>
    <s v="OK"/>
  </r>
  <r>
    <n v="13112"/>
    <x v="0"/>
    <x v="0"/>
    <n v="3.8"/>
    <n v="4"/>
    <x v="1"/>
    <n v="28"/>
    <n v="4.8639999999999999"/>
    <n v="28.000000000000004"/>
    <s v="OK"/>
  </r>
  <r>
    <n v="13113"/>
    <x v="3"/>
    <x v="1"/>
    <n v="2.98"/>
    <n v="8"/>
    <x v="2"/>
    <n v="60"/>
    <n v="4.7679999999999998"/>
    <n v="59.999999999999986"/>
    <s v="OK"/>
  </r>
  <r>
    <n v="13114"/>
    <x v="1"/>
    <x v="0"/>
    <n v="10.18"/>
    <n v="8"/>
    <x v="2"/>
    <n v="55"/>
    <n v="15.779"/>
    <n v="55.000000000000007"/>
    <s v="OK"/>
  </r>
  <r>
    <n v="13115"/>
    <x v="3"/>
    <x v="1"/>
    <n v="9.34"/>
    <n v="3"/>
    <x v="0"/>
    <n v="15"/>
    <n v="10.741"/>
    <n v="14.999999999999991"/>
    <s v="OK"/>
  </r>
  <r>
    <n v="13116"/>
    <x v="2"/>
    <x v="2"/>
    <n v="9.83"/>
    <n v="1"/>
    <x v="0"/>
    <n v="10"/>
    <n v="10.813000000000001"/>
    <n v="10.000000000000009"/>
    <s v="OK"/>
  </r>
  <r>
    <n v="13117"/>
    <x v="2"/>
    <x v="2"/>
    <n v="1.78"/>
    <n v="6"/>
    <x v="1"/>
    <n v="25"/>
    <n v="2.2250000000000001"/>
    <n v="25"/>
    <s v="OK"/>
  </r>
  <r>
    <n v="13118"/>
    <x v="3"/>
    <x v="0"/>
    <n v="13.46"/>
    <n v="2"/>
    <x v="0"/>
    <n v="12"/>
    <n v="15.075200000000002"/>
    <n v="12.000000000000011"/>
    <s v="OK"/>
  </r>
  <r>
    <n v="13119"/>
    <x v="1"/>
    <x v="1"/>
    <n v="6.14"/>
    <n v="2"/>
    <x v="0"/>
    <n v="15"/>
    <n v="7.0609999999999991"/>
    <n v="14.999999999999991"/>
    <s v="OK"/>
  </r>
  <r>
    <n v="13120"/>
    <x v="1"/>
    <x v="0"/>
    <n v="5.04"/>
    <n v="3"/>
    <x v="0"/>
    <n v="12"/>
    <n v="5.6448000000000009"/>
    <n v="12.000000000000011"/>
    <s v="OK"/>
  </r>
  <r>
    <n v="13121"/>
    <x v="1"/>
    <x v="0"/>
    <n v="7.2"/>
    <n v="8"/>
    <x v="2"/>
    <n v="55"/>
    <n v="11.16"/>
    <n v="55.000000000000007"/>
    <s v="OK"/>
  </r>
  <r>
    <n v="13122"/>
    <x v="2"/>
    <x v="1"/>
    <n v="6.16"/>
    <n v="3"/>
    <x v="0"/>
    <n v="15"/>
    <n v="7.0839999999999996"/>
    <n v="14.999999999999991"/>
    <s v="OK"/>
  </r>
  <r>
    <n v="13123"/>
    <x v="3"/>
    <x v="0"/>
    <n v="13.02"/>
    <n v="7"/>
    <x v="1"/>
    <n v="28"/>
    <n v="16.665600000000001"/>
    <n v="28.000000000000025"/>
    <s v="OK"/>
  </r>
  <r>
    <n v="13124"/>
    <x v="0"/>
    <x v="2"/>
    <n v="13.97"/>
    <n v="10"/>
    <x v="2"/>
    <n v="50"/>
    <n v="20.955000000000002"/>
    <n v="50"/>
    <s v="OK"/>
  </r>
  <r>
    <n v="13125"/>
    <x v="2"/>
    <x v="0"/>
    <n v="4.9000000000000004"/>
    <n v="10"/>
    <x v="2"/>
    <n v="55"/>
    <n v="7.5950000000000006"/>
    <n v="55.000000000000007"/>
    <s v="OK"/>
  </r>
  <r>
    <n v="13126"/>
    <x v="1"/>
    <x v="1"/>
    <n v="13.03"/>
    <n v="9"/>
    <x v="2"/>
    <n v="60"/>
    <n v="20.847999999999999"/>
    <n v="60.000000000000007"/>
    <s v="OK"/>
  </r>
  <r>
    <n v="13127"/>
    <x v="3"/>
    <x v="1"/>
    <n v="11.83"/>
    <n v="8"/>
    <x v="2"/>
    <n v="60"/>
    <n v="18.928000000000001"/>
    <n v="60.000000000000007"/>
    <s v="OK"/>
  </r>
  <r>
    <n v="13128"/>
    <x v="1"/>
    <x v="2"/>
    <n v="14"/>
    <n v="1"/>
    <x v="0"/>
    <n v="10"/>
    <n v="15.400000000000002"/>
    <n v="10.000000000000009"/>
    <s v="OK"/>
  </r>
  <r>
    <n v="13129"/>
    <x v="0"/>
    <x v="1"/>
    <n v="4.0599999999999996"/>
    <n v="7"/>
    <x v="1"/>
    <n v="30"/>
    <n v="5.2779999999999996"/>
    <n v="30.000000000000004"/>
    <s v="OK"/>
  </r>
  <r>
    <n v="13130"/>
    <x v="1"/>
    <x v="1"/>
    <n v="8.8699999999999992"/>
    <n v="7"/>
    <x v="1"/>
    <n v="30"/>
    <n v="11.530999999999999"/>
    <n v="30.000000000000004"/>
    <s v="OK"/>
  </r>
  <r>
    <n v="13131"/>
    <x v="1"/>
    <x v="2"/>
    <n v="4.4800000000000004"/>
    <n v="8"/>
    <x v="2"/>
    <n v="50"/>
    <n v="6.7200000000000006"/>
    <n v="50"/>
    <s v="OK"/>
  </r>
  <r>
    <n v="13132"/>
    <x v="0"/>
    <x v="0"/>
    <n v="12.45"/>
    <n v="10"/>
    <x v="2"/>
    <n v="55"/>
    <n v="19.297499999999999"/>
    <n v="55.000000000000007"/>
    <s v="OK"/>
  </r>
  <r>
    <n v="13133"/>
    <x v="3"/>
    <x v="2"/>
    <n v="0.57999999999999996"/>
    <n v="5"/>
    <x v="1"/>
    <n v="25"/>
    <n v="0.72499999999999998"/>
    <n v="25"/>
    <s v="OK"/>
  </r>
  <r>
    <n v="13134"/>
    <x v="2"/>
    <x v="0"/>
    <n v="8.69"/>
    <n v="10"/>
    <x v="2"/>
    <n v="55"/>
    <n v="13.4695"/>
    <n v="55.000000000000007"/>
    <s v="OK"/>
  </r>
  <r>
    <n v="13135"/>
    <x v="3"/>
    <x v="2"/>
    <n v="5.42"/>
    <n v="9"/>
    <x v="2"/>
    <n v="50"/>
    <n v="8.129999999999999"/>
    <n v="49.999999999999979"/>
    <s v="OK"/>
  </r>
  <r>
    <n v="13136"/>
    <x v="0"/>
    <x v="0"/>
    <n v="5.18"/>
    <n v="9"/>
    <x v="2"/>
    <n v="55"/>
    <n v="8.0289999999999999"/>
    <n v="55.000000000000007"/>
    <s v="OK"/>
  </r>
  <r>
    <n v="13137"/>
    <x v="1"/>
    <x v="2"/>
    <n v="9.85"/>
    <n v="8"/>
    <x v="2"/>
    <n v="50"/>
    <n v="14.774999999999999"/>
    <n v="50"/>
    <s v="OK"/>
  </r>
  <r>
    <n v="13138"/>
    <x v="3"/>
    <x v="0"/>
    <n v="12.85"/>
    <n v="6"/>
    <x v="1"/>
    <n v="28"/>
    <n v="16.448"/>
    <n v="28.000000000000004"/>
    <s v="OK"/>
  </r>
  <r>
    <n v="13139"/>
    <x v="2"/>
    <x v="2"/>
    <n v="9.33"/>
    <n v="6"/>
    <x v="1"/>
    <n v="25"/>
    <n v="11.6625"/>
    <n v="25"/>
    <s v="OK"/>
  </r>
  <r>
    <n v="13140"/>
    <x v="0"/>
    <x v="0"/>
    <n v="12.87"/>
    <n v="1"/>
    <x v="0"/>
    <n v="12"/>
    <n v="14.414400000000001"/>
    <n v="12.000000000000011"/>
    <s v="OK"/>
  </r>
  <r>
    <n v="13141"/>
    <x v="3"/>
    <x v="2"/>
    <n v="4.34"/>
    <n v="6"/>
    <x v="1"/>
    <n v="25"/>
    <n v="5.4249999999999998"/>
    <n v="25"/>
    <s v="OK"/>
  </r>
  <r>
    <n v="13142"/>
    <x v="2"/>
    <x v="1"/>
    <n v="8.0299999999999994"/>
    <n v="4"/>
    <x v="1"/>
    <n v="30"/>
    <n v="10.439"/>
    <n v="30.000000000000004"/>
    <s v="OK"/>
  </r>
  <r>
    <n v="13143"/>
    <x v="0"/>
    <x v="0"/>
    <n v="7.03"/>
    <n v="4"/>
    <x v="1"/>
    <n v="28"/>
    <n v="8.9984000000000002"/>
    <n v="28.000000000000004"/>
    <s v="OK"/>
  </r>
  <r>
    <n v="13144"/>
    <x v="2"/>
    <x v="2"/>
    <n v="0.67"/>
    <n v="2"/>
    <x v="0"/>
    <n v="10"/>
    <n v="0.7370000000000001"/>
    <n v="10.000000000000009"/>
    <s v="OK"/>
  </r>
  <r>
    <n v="13145"/>
    <x v="0"/>
    <x v="0"/>
    <n v="8.57"/>
    <n v="4"/>
    <x v="1"/>
    <n v="28"/>
    <n v="10.9696"/>
    <n v="28.000000000000004"/>
    <s v="OK"/>
  </r>
  <r>
    <n v="13146"/>
    <x v="1"/>
    <x v="0"/>
    <n v="10.09"/>
    <n v="5"/>
    <x v="1"/>
    <n v="28"/>
    <n v="12.9152"/>
    <n v="28.000000000000004"/>
    <s v="OK"/>
  </r>
  <r>
    <n v="13147"/>
    <x v="3"/>
    <x v="2"/>
    <n v="9.08"/>
    <n v="5"/>
    <x v="1"/>
    <n v="25"/>
    <n v="11.35"/>
    <n v="25"/>
    <s v="OK"/>
  </r>
  <r>
    <n v="13148"/>
    <x v="2"/>
    <x v="0"/>
    <n v="11.18"/>
    <n v="5"/>
    <x v="1"/>
    <n v="28"/>
    <n v="14.3104"/>
    <n v="28.000000000000004"/>
    <s v="OK"/>
  </r>
  <r>
    <n v="13149"/>
    <x v="0"/>
    <x v="2"/>
    <n v="8.7799999999999994"/>
    <n v="4"/>
    <x v="1"/>
    <n v="25"/>
    <n v="10.975"/>
    <n v="25"/>
    <s v="OK"/>
  </r>
  <r>
    <n v="13150"/>
    <x v="2"/>
    <x v="1"/>
    <n v="1.47"/>
    <n v="1"/>
    <x v="0"/>
    <n v="15"/>
    <n v="1.6904999999999999"/>
    <n v="14.999999999999991"/>
    <s v="OK"/>
  </r>
  <r>
    <n v="13151"/>
    <x v="2"/>
    <x v="0"/>
    <n v="2.19"/>
    <n v="10"/>
    <x v="2"/>
    <n v="55"/>
    <n v="3.3944999999999999"/>
    <n v="55.000000000000007"/>
    <s v="OK"/>
  </r>
  <r>
    <n v="13152"/>
    <x v="3"/>
    <x v="1"/>
    <n v="9.15"/>
    <n v="8"/>
    <x v="2"/>
    <n v="60"/>
    <n v="14.64"/>
    <n v="60.000000000000007"/>
    <s v="OK"/>
  </r>
  <r>
    <n v="13153"/>
    <x v="1"/>
    <x v="0"/>
    <n v="4.49"/>
    <n v="3"/>
    <x v="0"/>
    <n v="12"/>
    <n v="5.0288000000000004"/>
    <n v="12.000000000000011"/>
    <s v="OK"/>
  </r>
  <r>
    <n v="13154"/>
    <x v="2"/>
    <x v="0"/>
    <n v="1.65"/>
    <n v="2"/>
    <x v="0"/>
    <n v="12"/>
    <n v="1.8480000000000001"/>
    <n v="12.000000000000011"/>
    <s v="OK"/>
  </r>
  <r>
    <n v="13155"/>
    <x v="0"/>
    <x v="0"/>
    <n v="6.73"/>
    <n v="9"/>
    <x v="2"/>
    <n v="55"/>
    <n v="10.431500000000002"/>
    <n v="55.000000000000007"/>
    <s v="OK"/>
  </r>
  <r>
    <n v="13156"/>
    <x v="0"/>
    <x v="2"/>
    <n v="8.5399999999999991"/>
    <n v="7"/>
    <x v="1"/>
    <n v="25"/>
    <n v="10.674999999999999"/>
    <n v="25"/>
    <s v="OK"/>
  </r>
  <r>
    <n v="13157"/>
    <x v="1"/>
    <x v="1"/>
    <n v="5.27"/>
    <n v="9"/>
    <x v="2"/>
    <n v="60"/>
    <n v="8.4320000000000004"/>
    <n v="60.000000000000028"/>
    <s v="OK"/>
  </r>
  <r>
    <n v="13158"/>
    <x v="0"/>
    <x v="0"/>
    <n v="10.95"/>
    <n v="2"/>
    <x v="0"/>
    <n v="12"/>
    <n v="12.264000000000001"/>
    <n v="12.000000000000011"/>
    <s v="OK"/>
  </r>
  <r>
    <n v="13159"/>
    <x v="1"/>
    <x v="2"/>
    <n v="9.83"/>
    <n v="9"/>
    <x v="2"/>
    <n v="50"/>
    <n v="14.745000000000001"/>
    <n v="50"/>
    <s v="OK"/>
  </r>
  <r>
    <n v="13160"/>
    <x v="0"/>
    <x v="0"/>
    <n v="5.33"/>
    <n v="10"/>
    <x v="2"/>
    <n v="55"/>
    <n v="8.2614999999999998"/>
    <n v="55.000000000000007"/>
    <s v="OK"/>
  </r>
  <r>
    <n v="13161"/>
    <x v="3"/>
    <x v="2"/>
    <n v="11.45"/>
    <n v="9"/>
    <x v="2"/>
    <n v="50"/>
    <n v="17.174999999999997"/>
    <n v="49.999999999999979"/>
    <s v="OK"/>
  </r>
  <r>
    <n v="13162"/>
    <x v="2"/>
    <x v="0"/>
    <n v="9.91"/>
    <n v="9"/>
    <x v="2"/>
    <n v="55"/>
    <n v="15.3605"/>
    <n v="55.000000000000007"/>
    <s v="OK"/>
  </r>
  <r>
    <n v="13163"/>
    <x v="3"/>
    <x v="1"/>
    <n v="9.74"/>
    <n v="10"/>
    <x v="2"/>
    <n v="60"/>
    <n v="15.584000000000001"/>
    <n v="60.000000000000007"/>
    <s v="OK"/>
  </r>
  <r>
    <n v="13164"/>
    <x v="2"/>
    <x v="1"/>
    <n v="8.52"/>
    <n v="10"/>
    <x v="2"/>
    <n v="60"/>
    <n v="13.632"/>
    <n v="60.000000000000007"/>
    <s v="OK"/>
  </r>
  <r>
    <n v="13165"/>
    <x v="2"/>
    <x v="0"/>
    <n v="0.67"/>
    <n v="4"/>
    <x v="1"/>
    <n v="28"/>
    <n v="0.85760000000000003"/>
    <n v="28.000000000000004"/>
    <s v="OK"/>
  </r>
  <r>
    <n v="13166"/>
    <x v="2"/>
    <x v="2"/>
    <n v="10.6"/>
    <n v="10"/>
    <x v="2"/>
    <n v="50"/>
    <n v="15.899999999999999"/>
    <n v="50"/>
    <s v="OK"/>
  </r>
  <r>
    <n v="13167"/>
    <x v="3"/>
    <x v="0"/>
    <n v="5.95"/>
    <n v="3"/>
    <x v="0"/>
    <n v="12"/>
    <n v="6.6640000000000006"/>
    <n v="12.000000000000011"/>
    <s v="OK"/>
  </r>
  <r>
    <n v="13168"/>
    <x v="2"/>
    <x v="2"/>
    <n v="14.17"/>
    <n v="6"/>
    <x v="1"/>
    <n v="25"/>
    <n v="17.712499999999999"/>
    <n v="25"/>
    <s v="OK"/>
  </r>
  <r>
    <n v="13169"/>
    <x v="3"/>
    <x v="0"/>
    <n v="12.36"/>
    <n v="3"/>
    <x v="0"/>
    <n v="12"/>
    <n v="13.843200000000001"/>
    <n v="12.000000000000011"/>
    <s v="OK"/>
  </r>
  <r>
    <n v="13170"/>
    <x v="1"/>
    <x v="2"/>
    <n v="9.02"/>
    <n v="9"/>
    <x v="2"/>
    <n v="50"/>
    <n v="13.53"/>
    <n v="50"/>
    <s v="OK"/>
  </r>
  <r>
    <n v="13171"/>
    <x v="0"/>
    <x v="1"/>
    <n v="4.16"/>
    <n v="3"/>
    <x v="0"/>
    <n v="15"/>
    <n v="4.7839999999999998"/>
    <n v="14.999999999999991"/>
    <s v="OK"/>
  </r>
  <r>
    <n v="13172"/>
    <x v="0"/>
    <x v="0"/>
    <n v="3.45"/>
    <n v="2"/>
    <x v="0"/>
    <n v="12"/>
    <n v="3.8640000000000008"/>
    <n v="12.000000000000011"/>
    <s v="OK"/>
  </r>
  <r>
    <n v="13173"/>
    <x v="2"/>
    <x v="1"/>
    <n v="5.44"/>
    <n v="8"/>
    <x v="2"/>
    <n v="60"/>
    <n v="8.7040000000000006"/>
    <n v="60.000000000000007"/>
    <s v="OK"/>
  </r>
  <r>
    <n v="13174"/>
    <x v="3"/>
    <x v="1"/>
    <n v="7.41"/>
    <n v="6"/>
    <x v="1"/>
    <n v="30"/>
    <n v="9.6330000000000009"/>
    <n v="30.000000000000004"/>
    <s v="OK"/>
  </r>
  <r>
    <n v="13175"/>
    <x v="0"/>
    <x v="0"/>
    <n v="4.79"/>
    <n v="8"/>
    <x v="2"/>
    <n v="55"/>
    <n v="7.4245000000000001"/>
    <n v="55.000000000000007"/>
    <s v="OK"/>
  </r>
  <r>
    <n v="13176"/>
    <x v="3"/>
    <x v="0"/>
    <n v="7.97"/>
    <n v="7"/>
    <x v="1"/>
    <n v="28"/>
    <n v="10.201599999999999"/>
    <n v="28.000000000000004"/>
    <s v="OK"/>
  </r>
  <r>
    <n v="13177"/>
    <x v="3"/>
    <x v="2"/>
    <n v="2.9"/>
    <n v="3"/>
    <x v="0"/>
    <n v="10"/>
    <n v="3.19"/>
    <n v="10.000000000000009"/>
    <s v="OK"/>
  </r>
  <r>
    <n v="13178"/>
    <x v="2"/>
    <x v="2"/>
    <n v="14.68"/>
    <n v="8"/>
    <x v="2"/>
    <n v="50"/>
    <n v="22.02"/>
    <n v="50"/>
    <s v="OK"/>
  </r>
  <r>
    <n v="13179"/>
    <x v="0"/>
    <x v="1"/>
    <n v="2.06"/>
    <n v="10"/>
    <x v="2"/>
    <n v="60"/>
    <n v="3.2960000000000003"/>
    <n v="60.000000000000007"/>
    <s v="OK"/>
  </r>
  <r>
    <n v="13180"/>
    <x v="2"/>
    <x v="2"/>
    <n v="14.01"/>
    <n v="1"/>
    <x v="0"/>
    <n v="10"/>
    <n v="15.411000000000001"/>
    <n v="10.000000000000009"/>
    <s v="OK"/>
  </r>
  <r>
    <n v="13181"/>
    <x v="2"/>
    <x v="2"/>
    <n v="13.75"/>
    <n v="1"/>
    <x v="0"/>
    <n v="10"/>
    <n v="15.125000000000002"/>
    <n v="10.000000000000009"/>
    <s v="OK"/>
  </r>
  <r>
    <n v="13182"/>
    <x v="0"/>
    <x v="0"/>
    <n v="8.1199999999999992"/>
    <n v="10"/>
    <x v="2"/>
    <n v="55"/>
    <n v="12.585999999999999"/>
    <n v="55.000000000000007"/>
    <s v="OK"/>
  </r>
  <r>
    <n v="13183"/>
    <x v="0"/>
    <x v="2"/>
    <n v="11.01"/>
    <n v="8"/>
    <x v="2"/>
    <n v="50"/>
    <n v="16.515000000000001"/>
    <n v="50"/>
    <s v="OK"/>
  </r>
  <r>
    <n v="13184"/>
    <x v="1"/>
    <x v="1"/>
    <n v="6.82"/>
    <n v="9"/>
    <x v="2"/>
    <n v="60"/>
    <n v="10.912000000000001"/>
    <n v="60.000000000000007"/>
    <s v="OK"/>
  </r>
  <r>
    <n v="13185"/>
    <x v="1"/>
    <x v="2"/>
    <n v="9.64"/>
    <n v="10"/>
    <x v="2"/>
    <n v="50"/>
    <n v="14.46"/>
    <n v="50"/>
    <s v="OK"/>
  </r>
  <r>
    <n v="13186"/>
    <x v="3"/>
    <x v="1"/>
    <n v="5.44"/>
    <n v="6"/>
    <x v="1"/>
    <n v="30"/>
    <n v="7.072000000000001"/>
    <n v="30.000000000000004"/>
    <s v="OK"/>
  </r>
  <r>
    <n v="13187"/>
    <x v="0"/>
    <x v="0"/>
    <n v="4.87"/>
    <n v="5"/>
    <x v="1"/>
    <n v="28"/>
    <n v="6.2336"/>
    <n v="28.000000000000004"/>
    <s v="OK"/>
  </r>
  <r>
    <n v="13188"/>
    <x v="1"/>
    <x v="1"/>
    <n v="8.8800000000000008"/>
    <n v="2"/>
    <x v="0"/>
    <n v="15"/>
    <n v="10.212"/>
    <n v="14.999999999999991"/>
    <s v="OK"/>
  </r>
  <r>
    <n v="13189"/>
    <x v="3"/>
    <x v="2"/>
    <n v="7.72"/>
    <n v="9"/>
    <x v="2"/>
    <n v="50"/>
    <n v="11.58"/>
    <n v="50"/>
    <s v="OK"/>
  </r>
  <r>
    <n v="13190"/>
    <x v="3"/>
    <x v="0"/>
    <n v="8.9"/>
    <n v="6"/>
    <x v="1"/>
    <n v="28"/>
    <n v="11.392000000000001"/>
    <n v="28.000000000000004"/>
    <s v="OK"/>
  </r>
  <r>
    <n v="13191"/>
    <x v="3"/>
    <x v="2"/>
    <n v="4.66"/>
    <n v="8"/>
    <x v="2"/>
    <n v="50"/>
    <n v="6.99"/>
    <n v="50"/>
    <s v="OK"/>
  </r>
  <r>
    <n v="13192"/>
    <x v="1"/>
    <x v="0"/>
    <n v="5.82"/>
    <n v="9"/>
    <x v="2"/>
    <n v="55"/>
    <n v="9.0210000000000008"/>
    <n v="55.000000000000007"/>
    <s v="OK"/>
  </r>
  <r>
    <n v="13193"/>
    <x v="0"/>
    <x v="0"/>
    <n v="1.72"/>
    <n v="9"/>
    <x v="2"/>
    <n v="55"/>
    <n v="2.6659999999999999"/>
    <n v="55.000000000000007"/>
    <s v="OK"/>
  </r>
  <r>
    <n v="13194"/>
    <x v="2"/>
    <x v="2"/>
    <n v="1.26"/>
    <n v="8"/>
    <x v="2"/>
    <n v="50"/>
    <n v="1.8900000000000001"/>
    <n v="50"/>
    <s v="OK"/>
  </r>
  <r>
    <n v="13195"/>
    <x v="3"/>
    <x v="2"/>
    <n v="4.18"/>
    <n v="10"/>
    <x v="2"/>
    <n v="50"/>
    <n v="6.27"/>
    <n v="50"/>
    <s v="OK"/>
  </r>
  <r>
    <n v="13196"/>
    <x v="1"/>
    <x v="0"/>
    <n v="1.58"/>
    <n v="8"/>
    <x v="2"/>
    <n v="55"/>
    <n v="2.4490000000000003"/>
    <n v="55.000000000000007"/>
    <s v="OK"/>
  </r>
  <r>
    <n v="13197"/>
    <x v="1"/>
    <x v="0"/>
    <n v="2"/>
    <n v="3"/>
    <x v="0"/>
    <n v="12"/>
    <n v="2.2400000000000002"/>
    <n v="12.000000000000011"/>
    <s v="OK"/>
  </r>
  <r>
    <n v="13198"/>
    <x v="2"/>
    <x v="2"/>
    <n v="12.29"/>
    <n v="3"/>
    <x v="0"/>
    <n v="10"/>
    <n v="13.519"/>
    <n v="10.000000000000009"/>
    <s v="OK"/>
  </r>
  <r>
    <n v="13199"/>
    <x v="2"/>
    <x v="1"/>
    <n v="1.06"/>
    <n v="2"/>
    <x v="0"/>
    <n v="15"/>
    <n v="1.2189999999999999"/>
    <n v="14.999999999999991"/>
    <s v="OK"/>
  </r>
  <r>
    <n v="13200"/>
    <x v="1"/>
    <x v="2"/>
    <n v="10.050000000000001"/>
    <n v="1"/>
    <x v="0"/>
    <n v="10"/>
    <n v="11.055000000000001"/>
    <n v="10.000000000000009"/>
    <s v="OK"/>
  </r>
  <r>
    <n v="13201"/>
    <x v="0"/>
    <x v="0"/>
    <n v="4.45"/>
    <n v="4"/>
    <x v="1"/>
    <n v="28"/>
    <n v="5.6960000000000006"/>
    <n v="28.000000000000004"/>
    <s v="OK"/>
  </r>
  <r>
    <n v="13202"/>
    <x v="2"/>
    <x v="2"/>
    <n v="13.14"/>
    <n v="2"/>
    <x v="0"/>
    <n v="10"/>
    <n v="14.454000000000002"/>
    <n v="10.000000000000009"/>
    <s v="OK"/>
  </r>
  <r>
    <n v="13203"/>
    <x v="1"/>
    <x v="1"/>
    <n v="7.53"/>
    <n v="2"/>
    <x v="0"/>
    <n v="15"/>
    <n v="8.6594999999999995"/>
    <n v="14.999999999999991"/>
    <s v="OK"/>
  </r>
  <r>
    <n v="13204"/>
    <x v="2"/>
    <x v="2"/>
    <n v="4.93"/>
    <n v="5"/>
    <x v="1"/>
    <n v="25"/>
    <n v="6.1624999999999996"/>
    <n v="25"/>
    <s v="OK"/>
  </r>
  <r>
    <n v="13205"/>
    <x v="0"/>
    <x v="0"/>
    <n v="8.01"/>
    <n v="4"/>
    <x v="1"/>
    <n v="28"/>
    <n v="10.252800000000001"/>
    <n v="28.000000000000004"/>
    <s v="OK"/>
  </r>
  <r>
    <n v="13206"/>
    <x v="3"/>
    <x v="2"/>
    <n v="6.04"/>
    <n v="1"/>
    <x v="0"/>
    <n v="10"/>
    <n v="6.644000000000001"/>
    <n v="10.000000000000009"/>
    <s v="OK"/>
  </r>
  <r>
    <n v="13207"/>
    <x v="2"/>
    <x v="0"/>
    <n v="8.68"/>
    <n v="9"/>
    <x v="2"/>
    <n v="55"/>
    <n v="13.454000000000001"/>
    <n v="55.000000000000007"/>
    <s v="OK"/>
  </r>
  <r>
    <n v="13208"/>
    <x v="0"/>
    <x v="0"/>
    <n v="2.16"/>
    <n v="4"/>
    <x v="1"/>
    <n v="28"/>
    <n v="2.7648000000000001"/>
    <n v="28.000000000000004"/>
    <s v="OK"/>
  </r>
  <r>
    <n v="13209"/>
    <x v="1"/>
    <x v="2"/>
    <n v="14.96"/>
    <n v="5"/>
    <x v="1"/>
    <n v="25"/>
    <n v="18.700000000000003"/>
    <n v="25.000000000000021"/>
    <s v="OK"/>
  </r>
  <r>
    <n v="13210"/>
    <x v="2"/>
    <x v="0"/>
    <n v="6.67"/>
    <n v="7"/>
    <x v="1"/>
    <n v="28"/>
    <n v="8.5375999999999994"/>
    <n v="28.000000000000004"/>
    <s v="OK"/>
  </r>
  <r>
    <n v="13211"/>
    <x v="2"/>
    <x v="0"/>
    <n v="5.55"/>
    <n v="2"/>
    <x v="0"/>
    <n v="12"/>
    <n v="6.2160000000000002"/>
    <n v="12.000000000000011"/>
    <s v="OK"/>
  </r>
  <r>
    <n v="13212"/>
    <x v="1"/>
    <x v="1"/>
    <n v="10.8"/>
    <n v="8"/>
    <x v="2"/>
    <n v="60"/>
    <n v="17.28"/>
    <n v="60.000000000000007"/>
    <s v="OK"/>
  </r>
  <r>
    <n v="13213"/>
    <x v="3"/>
    <x v="1"/>
    <n v="5.78"/>
    <n v="2"/>
    <x v="0"/>
    <n v="15"/>
    <n v="6.6469999999999994"/>
    <n v="14.999999999999991"/>
    <s v="OK"/>
  </r>
  <r>
    <n v="13214"/>
    <x v="1"/>
    <x v="1"/>
    <n v="12.58"/>
    <n v="10"/>
    <x v="2"/>
    <n v="60"/>
    <n v="20.128"/>
    <n v="60.000000000000007"/>
    <s v="OK"/>
  </r>
  <r>
    <n v="13215"/>
    <x v="2"/>
    <x v="1"/>
    <n v="7.09"/>
    <n v="5"/>
    <x v="1"/>
    <n v="30"/>
    <n v="9.2170000000000005"/>
    <n v="30.000000000000004"/>
    <s v="OK"/>
  </r>
  <r>
    <n v="13216"/>
    <x v="1"/>
    <x v="0"/>
    <n v="10.93"/>
    <n v="2"/>
    <x v="0"/>
    <n v="12"/>
    <n v="12.2416"/>
    <n v="12.000000000000011"/>
    <s v="OK"/>
  </r>
  <r>
    <n v="13217"/>
    <x v="0"/>
    <x v="2"/>
    <n v="2.06"/>
    <n v="2"/>
    <x v="0"/>
    <n v="10"/>
    <n v="2.2660000000000005"/>
    <n v="10.000000000000009"/>
    <s v="OK"/>
  </r>
  <r>
    <n v="13218"/>
    <x v="1"/>
    <x v="0"/>
    <n v="12.77"/>
    <n v="4"/>
    <x v="1"/>
    <n v="28"/>
    <n v="16.345600000000001"/>
    <n v="28.000000000000004"/>
    <s v="OK"/>
  </r>
  <r>
    <n v="13219"/>
    <x v="2"/>
    <x v="0"/>
    <n v="11.17"/>
    <n v="4"/>
    <x v="1"/>
    <n v="28"/>
    <n v="14.297600000000001"/>
    <n v="28.000000000000004"/>
    <s v="OK"/>
  </r>
  <r>
    <n v="13220"/>
    <x v="1"/>
    <x v="0"/>
    <n v="3.57"/>
    <n v="8"/>
    <x v="2"/>
    <n v="55"/>
    <n v="5.5335000000000001"/>
    <n v="55.000000000000007"/>
    <s v="OK"/>
  </r>
  <r>
    <n v="13221"/>
    <x v="3"/>
    <x v="2"/>
    <n v="2.61"/>
    <n v="6"/>
    <x v="1"/>
    <n v="25"/>
    <n v="3.2624999999999997"/>
    <n v="25"/>
    <s v="OK"/>
  </r>
  <r>
    <n v="13222"/>
    <x v="1"/>
    <x v="1"/>
    <n v="5.09"/>
    <n v="10"/>
    <x v="2"/>
    <n v="60"/>
    <n v="8.1440000000000001"/>
    <n v="60.000000000000007"/>
    <s v="OK"/>
  </r>
  <r>
    <n v="13223"/>
    <x v="3"/>
    <x v="0"/>
    <n v="14.65"/>
    <n v="8"/>
    <x v="2"/>
    <n v="55"/>
    <n v="22.7075"/>
    <n v="54.999999999999986"/>
    <s v="OK"/>
  </r>
  <r>
    <n v="13224"/>
    <x v="0"/>
    <x v="0"/>
    <n v="4.22"/>
    <n v="7"/>
    <x v="1"/>
    <n v="28"/>
    <n v="5.4016000000000002"/>
    <n v="28.000000000000004"/>
    <s v="OK"/>
  </r>
  <r>
    <n v="13225"/>
    <x v="3"/>
    <x v="1"/>
    <n v="7.11"/>
    <n v="10"/>
    <x v="2"/>
    <n v="60"/>
    <n v="11.376000000000001"/>
    <n v="60.000000000000007"/>
    <s v="OK"/>
  </r>
  <r>
    <n v="13226"/>
    <x v="1"/>
    <x v="0"/>
    <n v="0.94"/>
    <n v="4"/>
    <x v="1"/>
    <n v="28"/>
    <n v="1.2032"/>
    <n v="28.000000000000004"/>
    <s v="OK"/>
  </r>
  <r>
    <n v="13227"/>
    <x v="2"/>
    <x v="2"/>
    <n v="6.26"/>
    <n v="2"/>
    <x v="0"/>
    <n v="10"/>
    <n v="6.8860000000000001"/>
    <n v="10.000000000000009"/>
    <s v="OK"/>
  </r>
  <r>
    <n v="13228"/>
    <x v="3"/>
    <x v="0"/>
    <n v="8.7799999999999994"/>
    <n v="9"/>
    <x v="2"/>
    <n v="55"/>
    <n v="13.609"/>
    <n v="55.000000000000007"/>
    <s v="OK"/>
  </r>
  <r>
    <n v="13229"/>
    <x v="0"/>
    <x v="0"/>
    <n v="14.32"/>
    <n v="2"/>
    <x v="0"/>
    <n v="12"/>
    <n v="16.038400000000003"/>
    <n v="12.000000000000011"/>
    <s v="OK"/>
  </r>
  <r>
    <n v="13230"/>
    <x v="3"/>
    <x v="1"/>
    <n v="7.99"/>
    <n v="1"/>
    <x v="0"/>
    <n v="15"/>
    <n v="9.1884999999999994"/>
    <n v="14.999999999999991"/>
    <s v="OK"/>
  </r>
  <r>
    <n v="13231"/>
    <x v="3"/>
    <x v="0"/>
    <n v="12.38"/>
    <n v="8"/>
    <x v="2"/>
    <n v="55"/>
    <n v="19.189"/>
    <n v="54.999999999999986"/>
    <s v="OK"/>
  </r>
  <r>
    <n v="13232"/>
    <x v="3"/>
    <x v="0"/>
    <n v="8.43"/>
    <n v="10"/>
    <x v="2"/>
    <n v="55"/>
    <n v="13.0665"/>
    <n v="55.000000000000007"/>
    <s v="OK"/>
  </r>
  <r>
    <n v="13233"/>
    <x v="0"/>
    <x v="2"/>
    <n v="1.0900000000000001"/>
    <n v="9"/>
    <x v="2"/>
    <n v="50"/>
    <n v="1.6350000000000002"/>
    <n v="50"/>
    <s v="OK"/>
  </r>
  <r>
    <n v="13234"/>
    <x v="1"/>
    <x v="1"/>
    <n v="5.07"/>
    <n v="1"/>
    <x v="0"/>
    <n v="15"/>
    <n v="5.8304999999999998"/>
    <n v="14.999999999999991"/>
    <s v="OK"/>
  </r>
  <r>
    <n v="13235"/>
    <x v="3"/>
    <x v="1"/>
    <n v="8.85"/>
    <n v="7"/>
    <x v="1"/>
    <n v="30"/>
    <n v="11.505000000000001"/>
    <n v="30.000000000000004"/>
    <s v="OK"/>
  </r>
  <r>
    <n v="13236"/>
    <x v="3"/>
    <x v="2"/>
    <n v="14.28"/>
    <n v="2"/>
    <x v="0"/>
    <n v="10"/>
    <n v="15.708"/>
    <n v="10.000000000000009"/>
    <s v="OK"/>
  </r>
  <r>
    <n v="13237"/>
    <x v="2"/>
    <x v="0"/>
    <n v="12.96"/>
    <n v="6"/>
    <x v="1"/>
    <n v="28"/>
    <n v="16.588800000000003"/>
    <n v="28.000000000000004"/>
    <s v="OK"/>
  </r>
  <r>
    <n v="13238"/>
    <x v="0"/>
    <x v="1"/>
    <n v="3.81"/>
    <n v="5"/>
    <x v="1"/>
    <n v="30"/>
    <n v="4.9530000000000003"/>
    <n v="30.000000000000004"/>
    <s v="OK"/>
  </r>
  <r>
    <n v="13239"/>
    <x v="3"/>
    <x v="1"/>
    <n v="3.69"/>
    <n v="1"/>
    <x v="0"/>
    <n v="15"/>
    <n v="4.2435"/>
    <n v="15.000000000000014"/>
    <s v="OK"/>
  </r>
  <r>
    <n v="13240"/>
    <x v="0"/>
    <x v="0"/>
    <n v="3.42"/>
    <n v="2"/>
    <x v="0"/>
    <n v="12"/>
    <n v="3.8304000000000005"/>
    <n v="12.000000000000011"/>
    <s v="OK"/>
  </r>
  <r>
    <n v="13241"/>
    <x v="3"/>
    <x v="0"/>
    <n v="13.88"/>
    <n v="2"/>
    <x v="0"/>
    <n v="12"/>
    <n v="15.545600000000002"/>
    <n v="12.000000000000011"/>
    <s v="OK"/>
  </r>
  <r>
    <n v="13242"/>
    <x v="1"/>
    <x v="1"/>
    <n v="12.86"/>
    <n v="10"/>
    <x v="2"/>
    <n v="60"/>
    <n v="20.576000000000001"/>
    <n v="60.000000000000007"/>
    <s v="OK"/>
  </r>
  <r>
    <n v="13243"/>
    <x v="1"/>
    <x v="0"/>
    <n v="11.74"/>
    <n v="10"/>
    <x v="2"/>
    <n v="55"/>
    <n v="18.196999999999999"/>
    <n v="54.999999999999986"/>
    <s v="OK"/>
  </r>
  <r>
    <n v="13244"/>
    <x v="3"/>
    <x v="1"/>
    <n v="6.19"/>
    <n v="6"/>
    <x v="1"/>
    <n v="30"/>
    <n v="8.0470000000000006"/>
    <n v="30.000000000000004"/>
    <s v="OK"/>
  </r>
  <r>
    <n v="13245"/>
    <x v="1"/>
    <x v="0"/>
    <n v="7.81"/>
    <n v="1"/>
    <x v="0"/>
    <n v="12"/>
    <n v="8.7472000000000012"/>
    <n v="12.000000000000011"/>
    <s v="OK"/>
  </r>
  <r>
    <n v="13246"/>
    <x v="3"/>
    <x v="0"/>
    <n v="7.23"/>
    <n v="4"/>
    <x v="1"/>
    <n v="28"/>
    <n v="9.2544000000000004"/>
    <n v="28.000000000000004"/>
    <s v="OK"/>
  </r>
  <r>
    <n v="13247"/>
    <x v="1"/>
    <x v="2"/>
    <n v="4.17"/>
    <n v="10"/>
    <x v="2"/>
    <n v="50"/>
    <n v="6.2549999999999999"/>
    <n v="50"/>
    <s v="OK"/>
  </r>
  <r>
    <n v="13248"/>
    <x v="2"/>
    <x v="0"/>
    <n v="7.82"/>
    <n v="5"/>
    <x v="1"/>
    <n v="28"/>
    <n v="10.009600000000001"/>
    <n v="28.000000000000004"/>
    <s v="OK"/>
  </r>
  <r>
    <n v="13249"/>
    <x v="2"/>
    <x v="2"/>
    <n v="0.94"/>
    <n v="2"/>
    <x v="0"/>
    <n v="10"/>
    <n v="1.034"/>
    <n v="10.000000000000009"/>
    <s v="OK"/>
  </r>
  <r>
    <n v="13250"/>
    <x v="2"/>
    <x v="0"/>
    <n v="2.41"/>
    <n v="2"/>
    <x v="0"/>
    <n v="12"/>
    <n v="2.6992000000000003"/>
    <n v="12.000000000000011"/>
    <s v="OK"/>
  </r>
  <r>
    <n v="13251"/>
    <x v="0"/>
    <x v="1"/>
    <n v="13.36"/>
    <n v="7"/>
    <x v="1"/>
    <n v="30"/>
    <n v="17.367999999999999"/>
    <n v="30.000000000000004"/>
    <s v="OK"/>
  </r>
  <r>
    <n v="13252"/>
    <x v="0"/>
    <x v="1"/>
    <n v="11.4"/>
    <n v="7"/>
    <x v="1"/>
    <n v="30"/>
    <n v="14.82"/>
    <n v="30.000000000000004"/>
    <s v="OK"/>
  </r>
  <r>
    <n v="13253"/>
    <x v="2"/>
    <x v="0"/>
    <n v="6.63"/>
    <n v="6"/>
    <x v="1"/>
    <n v="28"/>
    <n v="8.4863999999999997"/>
    <n v="28.000000000000004"/>
    <s v="OK"/>
  </r>
  <r>
    <n v="13254"/>
    <x v="0"/>
    <x v="0"/>
    <n v="8"/>
    <n v="1"/>
    <x v="0"/>
    <n v="12"/>
    <n v="8.9600000000000009"/>
    <n v="12.000000000000011"/>
    <s v="OK"/>
  </r>
  <r>
    <n v="13255"/>
    <x v="1"/>
    <x v="1"/>
    <n v="5.86"/>
    <n v="3"/>
    <x v="0"/>
    <n v="15"/>
    <n v="6.7389999999999999"/>
    <n v="14.999999999999991"/>
    <s v="OK"/>
  </r>
  <r>
    <n v="13256"/>
    <x v="3"/>
    <x v="0"/>
    <n v="11.24"/>
    <n v="9"/>
    <x v="2"/>
    <n v="55"/>
    <n v="17.422000000000001"/>
    <n v="55.000000000000007"/>
    <s v="OK"/>
  </r>
  <r>
    <n v="13257"/>
    <x v="3"/>
    <x v="2"/>
    <n v="11.87"/>
    <n v="10"/>
    <x v="2"/>
    <n v="50"/>
    <n v="17.805"/>
    <n v="50"/>
    <s v="OK"/>
  </r>
  <r>
    <n v="13258"/>
    <x v="3"/>
    <x v="2"/>
    <n v="11.57"/>
    <n v="1"/>
    <x v="0"/>
    <n v="10"/>
    <n v="12.727000000000002"/>
    <n v="10.000000000000009"/>
    <s v="OK"/>
  </r>
  <r>
    <n v="13259"/>
    <x v="2"/>
    <x v="2"/>
    <n v="10.98"/>
    <n v="2"/>
    <x v="0"/>
    <n v="10"/>
    <n v="12.078000000000001"/>
    <n v="10.000000000000009"/>
    <s v="OK"/>
  </r>
  <r>
    <n v="13260"/>
    <x v="0"/>
    <x v="2"/>
    <n v="3.47"/>
    <n v="8"/>
    <x v="2"/>
    <n v="50"/>
    <n v="5.2050000000000001"/>
    <n v="50"/>
    <s v="OK"/>
  </r>
  <r>
    <n v="13261"/>
    <x v="1"/>
    <x v="2"/>
    <n v="5.4"/>
    <n v="7"/>
    <x v="1"/>
    <n v="25"/>
    <n v="6.75"/>
    <n v="25"/>
    <s v="OK"/>
  </r>
  <r>
    <n v="13262"/>
    <x v="1"/>
    <x v="0"/>
    <n v="7.31"/>
    <n v="9"/>
    <x v="2"/>
    <n v="55"/>
    <n v="11.330499999999999"/>
    <n v="54.999999999999986"/>
    <s v="OK"/>
  </r>
  <r>
    <n v="13263"/>
    <x v="2"/>
    <x v="0"/>
    <n v="5.3"/>
    <n v="10"/>
    <x v="2"/>
    <n v="55"/>
    <n v="8.2149999999999999"/>
    <n v="55.000000000000007"/>
    <s v="OK"/>
  </r>
  <r>
    <n v="13264"/>
    <x v="1"/>
    <x v="2"/>
    <n v="11.45"/>
    <n v="4"/>
    <x v="1"/>
    <n v="25"/>
    <n v="14.3125"/>
    <n v="25"/>
    <s v="OK"/>
  </r>
  <r>
    <n v="13265"/>
    <x v="1"/>
    <x v="0"/>
    <n v="5.28"/>
    <n v="4"/>
    <x v="1"/>
    <n v="28"/>
    <n v="6.7584000000000009"/>
    <n v="28.000000000000004"/>
    <s v="OK"/>
  </r>
  <r>
    <n v="13266"/>
    <x v="1"/>
    <x v="0"/>
    <n v="2.5"/>
    <n v="7"/>
    <x v="1"/>
    <n v="28"/>
    <n v="3.2"/>
    <n v="28.000000000000004"/>
    <s v="OK"/>
  </r>
  <r>
    <n v="13267"/>
    <x v="1"/>
    <x v="2"/>
    <n v="6.29"/>
    <n v="1"/>
    <x v="0"/>
    <n v="10"/>
    <n v="6.9190000000000005"/>
    <n v="10.000000000000009"/>
    <s v="OK"/>
  </r>
  <r>
    <n v="13268"/>
    <x v="0"/>
    <x v="0"/>
    <n v="14.71"/>
    <n v="10"/>
    <x v="2"/>
    <n v="55"/>
    <n v="22.800500000000003"/>
    <n v="55.000000000000007"/>
    <s v="OK"/>
  </r>
  <r>
    <n v="13269"/>
    <x v="1"/>
    <x v="0"/>
    <n v="3.78"/>
    <n v="9"/>
    <x v="2"/>
    <n v="55"/>
    <n v="5.859"/>
    <n v="55.000000000000007"/>
    <s v="OK"/>
  </r>
  <r>
    <n v="13270"/>
    <x v="3"/>
    <x v="0"/>
    <n v="9.3800000000000008"/>
    <n v="2"/>
    <x v="0"/>
    <n v="12"/>
    <n v="10.505600000000001"/>
    <n v="12.000000000000011"/>
    <s v="OK"/>
  </r>
  <r>
    <n v="13271"/>
    <x v="2"/>
    <x v="2"/>
    <n v="6.78"/>
    <n v="1"/>
    <x v="0"/>
    <n v="10"/>
    <n v="7.4580000000000011"/>
    <n v="10.000000000000009"/>
    <s v="OK"/>
  </r>
  <r>
    <n v="13272"/>
    <x v="0"/>
    <x v="0"/>
    <n v="1.53"/>
    <n v="7"/>
    <x v="1"/>
    <n v="28"/>
    <n v="1.9584000000000001"/>
    <n v="28.000000000000004"/>
    <s v="OK"/>
  </r>
  <r>
    <n v="13273"/>
    <x v="1"/>
    <x v="1"/>
    <n v="7.57"/>
    <n v="6"/>
    <x v="1"/>
    <n v="30"/>
    <n v="9.8410000000000011"/>
    <n v="30.000000000000004"/>
    <s v="OK"/>
  </r>
  <r>
    <n v="13274"/>
    <x v="0"/>
    <x v="1"/>
    <n v="10.68"/>
    <n v="3"/>
    <x v="0"/>
    <n v="15"/>
    <n v="12.281999999999998"/>
    <n v="14.999999999999991"/>
    <s v="OK"/>
  </r>
  <r>
    <n v="13275"/>
    <x v="1"/>
    <x v="2"/>
    <n v="7.94"/>
    <n v="1"/>
    <x v="0"/>
    <n v="10"/>
    <n v="8.7340000000000018"/>
    <n v="10.000000000000009"/>
    <s v="OK"/>
  </r>
  <r>
    <n v="13276"/>
    <x v="3"/>
    <x v="1"/>
    <n v="13.15"/>
    <n v="5"/>
    <x v="1"/>
    <n v="30"/>
    <n v="17.095000000000002"/>
    <n v="30.000000000000004"/>
    <s v="OK"/>
  </r>
  <r>
    <n v="13277"/>
    <x v="2"/>
    <x v="2"/>
    <n v="4.6900000000000004"/>
    <n v="10"/>
    <x v="2"/>
    <n v="50"/>
    <n v="7.0350000000000001"/>
    <n v="50"/>
    <s v="OK"/>
  </r>
  <r>
    <n v="13278"/>
    <x v="1"/>
    <x v="1"/>
    <n v="1.75"/>
    <n v="4"/>
    <x v="1"/>
    <n v="30"/>
    <n v="2.2749999999999999"/>
    <n v="30.000000000000004"/>
    <s v="OK"/>
  </r>
  <r>
    <n v="13279"/>
    <x v="1"/>
    <x v="1"/>
    <n v="14.08"/>
    <n v="5"/>
    <x v="1"/>
    <n v="30"/>
    <n v="18.304000000000002"/>
    <n v="30.000000000000004"/>
    <s v="OK"/>
  </r>
  <r>
    <n v="13280"/>
    <x v="1"/>
    <x v="1"/>
    <n v="5.98"/>
    <n v="1"/>
    <x v="0"/>
    <n v="15"/>
    <n v="6.8769999999999998"/>
    <n v="14.999999999999991"/>
    <s v="OK"/>
  </r>
  <r>
    <n v="13281"/>
    <x v="1"/>
    <x v="2"/>
    <n v="8.86"/>
    <n v="1"/>
    <x v="0"/>
    <n v="10"/>
    <n v="9.7460000000000004"/>
    <n v="10.000000000000009"/>
    <s v="OK"/>
  </r>
  <r>
    <n v="13282"/>
    <x v="2"/>
    <x v="2"/>
    <n v="11.98"/>
    <n v="5"/>
    <x v="1"/>
    <n v="25"/>
    <n v="14.975000000000001"/>
    <n v="25"/>
    <s v="OK"/>
  </r>
  <r>
    <n v="13283"/>
    <x v="2"/>
    <x v="0"/>
    <n v="5.2"/>
    <n v="6"/>
    <x v="1"/>
    <n v="28"/>
    <n v="6.6560000000000006"/>
    <n v="28.000000000000004"/>
    <s v="OK"/>
  </r>
  <r>
    <n v="13284"/>
    <x v="3"/>
    <x v="2"/>
    <n v="10.88"/>
    <n v="5"/>
    <x v="1"/>
    <n v="25"/>
    <n v="13.600000000000001"/>
    <n v="25"/>
    <s v="OK"/>
  </r>
  <r>
    <n v="13285"/>
    <x v="2"/>
    <x v="1"/>
    <n v="2.46"/>
    <n v="2"/>
    <x v="0"/>
    <n v="15"/>
    <n v="2.8289999999999997"/>
    <n v="14.999999999999991"/>
    <s v="OK"/>
  </r>
  <r>
    <n v="13286"/>
    <x v="1"/>
    <x v="1"/>
    <n v="4.72"/>
    <n v="9"/>
    <x v="2"/>
    <n v="60"/>
    <n v="7.5519999999999996"/>
    <n v="60.000000000000007"/>
    <s v="OK"/>
  </r>
  <r>
    <n v="13287"/>
    <x v="3"/>
    <x v="2"/>
    <n v="2.6"/>
    <n v="5"/>
    <x v="1"/>
    <n v="25"/>
    <n v="3.25"/>
    <n v="25"/>
    <s v="OK"/>
  </r>
  <r>
    <n v="13288"/>
    <x v="3"/>
    <x v="2"/>
    <n v="12.26"/>
    <n v="5"/>
    <x v="1"/>
    <n v="25"/>
    <n v="15.324999999999999"/>
    <n v="25"/>
    <s v="OK"/>
  </r>
  <r>
    <n v="13289"/>
    <x v="3"/>
    <x v="2"/>
    <n v="3.73"/>
    <n v="10"/>
    <x v="2"/>
    <n v="50"/>
    <n v="5.5949999999999998"/>
    <n v="50"/>
    <s v="OK"/>
  </r>
  <r>
    <n v="13290"/>
    <x v="1"/>
    <x v="0"/>
    <n v="10.9"/>
    <n v="9"/>
    <x v="2"/>
    <n v="55"/>
    <n v="16.895"/>
    <n v="54.999999999999986"/>
    <s v="OK"/>
  </r>
  <r>
    <n v="13291"/>
    <x v="0"/>
    <x v="1"/>
    <n v="14.18"/>
    <n v="3"/>
    <x v="0"/>
    <n v="15"/>
    <n v="16.306999999999999"/>
    <n v="14.999999999999991"/>
    <s v="OK"/>
  </r>
  <r>
    <n v="13292"/>
    <x v="1"/>
    <x v="0"/>
    <n v="8.15"/>
    <n v="5"/>
    <x v="1"/>
    <n v="28"/>
    <n v="10.432"/>
    <n v="28.000000000000004"/>
    <s v="OK"/>
  </r>
  <r>
    <n v="13293"/>
    <x v="2"/>
    <x v="0"/>
    <n v="8.33"/>
    <n v="5"/>
    <x v="1"/>
    <n v="28"/>
    <n v="10.6624"/>
    <n v="28.000000000000004"/>
    <s v="OK"/>
  </r>
  <r>
    <n v="13294"/>
    <x v="2"/>
    <x v="1"/>
    <n v="7.18"/>
    <n v="2"/>
    <x v="0"/>
    <n v="15"/>
    <n v="8.2569999999999997"/>
    <n v="14.999999999999991"/>
    <s v="OK"/>
  </r>
  <r>
    <n v="13295"/>
    <x v="1"/>
    <x v="1"/>
    <n v="5.23"/>
    <n v="4"/>
    <x v="1"/>
    <n v="30"/>
    <n v="6.7990000000000004"/>
    <n v="30.000000000000004"/>
    <s v="OK"/>
  </r>
  <r>
    <n v="13296"/>
    <x v="1"/>
    <x v="2"/>
    <n v="7.4"/>
    <n v="2"/>
    <x v="0"/>
    <n v="10"/>
    <n v="8.14"/>
    <n v="10.000000000000009"/>
    <s v="OK"/>
  </r>
  <r>
    <n v="13297"/>
    <x v="3"/>
    <x v="2"/>
    <n v="9.24"/>
    <n v="5"/>
    <x v="1"/>
    <n v="25"/>
    <n v="11.55"/>
    <n v="25"/>
    <s v="OK"/>
  </r>
  <r>
    <n v="13298"/>
    <x v="1"/>
    <x v="0"/>
    <n v="14.8"/>
    <n v="10"/>
    <x v="2"/>
    <n v="55"/>
    <n v="22.94"/>
    <n v="55.000000000000007"/>
    <s v="OK"/>
  </r>
  <r>
    <n v="13299"/>
    <x v="3"/>
    <x v="2"/>
    <n v="14.1"/>
    <n v="2"/>
    <x v="0"/>
    <n v="10"/>
    <n v="15.510000000000002"/>
    <n v="10.000000000000009"/>
    <s v="OK"/>
  </r>
  <r>
    <n v="13300"/>
    <x v="2"/>
    <x v="2"/>
    <n v="13"/>
    <n v="10"/>
    <x v="2"/>
    <n v="50"/>
    <n v="19.5"/>
    <n v="50"/>
    <s v="OK"/>
  </r>
  <r>
    <n v="13301"/>
    <x v="3"/>
    <x v="1"/>
    <n v="13.39"/>
    <n v="9"/>
    <x v="2"/>
    <n v="60"/>
    <n v="21.424000000000003"/>
    <n v="60.000000000000007"/>
    <s v="OK"/>
  </r>
  <r>
    <n v="13302"/>
    <x v="1"/>
    <x v="1"/>
    <n v="7.28"/>
    <n v="10"/>
    <x v="2"/>
    <n v="60"/>
    <n v="11.648000000000001"/>
    <n v="60.000000000000007"/>
    <s v="OK"/>
  </r>
  <r>
    <n v="13303"/>
    <x v="2"/>
    <x v="2"/>
    <n v="10.029999999999999"/>
    <n v="6"/>
    <x v="1"/>
    <n v="25"/>
    <n v="12.5375"/>
    <n v="25"/>
    <s v="OK"/>
  </r>
  <r>
    <n v="13304"/>
    <x v="0"/>
    <x v="1"/>
    <n v="13.48"/>
    <n v="8"/>
    <x v="2"/>
    <n v="60"/>
    <n v="21.568000000000001"/>
    <n v="60.000000000000007"/>
    <s v="OK"/>
  </r>
  <r>
    <n v="13305"/>
    <x v="3"/>
    <x v="2"/>
    <n v="6.2"/>
    <n v="9"/>
    <x v="2"/>
    <n v="50"/>
    <n v="9.3000000000000007"/>
    <n v="50"/>
    <s v="OK"/>
  </r>
  <r>
    <n v="13306"/>
    <x v="2"/>
    <x v="1"/>
    <n v="14.45"/>
    <n v="8"/>
    <x v="2"/>
    <n v="60"/>
    <n v="23.12"/>
    <n v="60.000000000000007"/>
    <s v="OK"/>
  </r>
  <r>
    <n v="13307"/>
    <x v="3"/>
    <x v="1"/>
    <n v="6.53"/>
    <n v="5"/>
    <x v="1"/>
    <n v="30"/>
    <n v="8.4890000000000008"/>
    <n v="30.000000000000004"/>
    <s v="OK"/>
  </r>
  <r>
    <n v="13308"/>
    <x v="2"/>
    <x v="1"/>
    <n v="9.2200000000000006"/>
    <n v="5"/>
    <x v="1"/>
    <n v="30"/>
    <n v="11.986000000000001"/>
    <n v="30.000000000000004"/>
    <s v="OK"/>
  </r>
  <r>
    <n v="13309"/>
    <x v="2"/>
    <x v="1"/>
    <n v="10.79"/>
    <n v="6"/>
    <x v="1"/>
    <n v="30"/>
    <n v="14.026999999999999"/>
    <n v="30.000000000000004"/>
    <s v="OK"/>
  </r>
  <r>
    <n v="13310"/>
    <x v="3"/>
    <x v="2"/>
    <n v="14.28"/>
    <n v="1"/>
    <x v="0"/>
    <n v="10"/>
    <n v="15.708"/>
    <n v="10.000000000000009"/>
    <s v="OK"/>
  </r>
  <r>
    <n v="13311"/>
    <x v="0"/>
    <x v="0"/>
    <n v="4.05"/>
    <n v="8"/>
    <x v="2"/>
    <n v="55"/>
    <n v="6.2774999999999999"/>
    <n v="55.000000000000007"/>
    <s v="OK"/>
  </r>
  <r>
    <n v="13312"/>
    <x v="2"/>
    <x v="1"/>
    <n v="11.32"/>
    <n v="2"/>
    <x v="0"/>
    <n v="15"/>
    <n v="13.017999999999999"/>
    <n v="14.999999999999991"/>
    <s v="OK"/>
  </r>
  <r>
    <n v="13313"/>
    <x v="2"/>
    <x v="2"/>
    <n v="8.0500000000000007"/>
    <n v="6"/>
    <x v="1"/>
    <n v="25"/>
    <n v="10.0625"/>
    <n v="25"/>
    <s v="OK"/>
  </r>
  <r>
    <n v="13314"/>
    <x v="2"/>
    <x v="2"/>
    <n v="4.3899999999999997"/>
    <n v="9"/>
    <x v="2"/>
    <n v="50"/>
    <n v="6.5849999999999991"/>
    <n v="50"/>
    <s v="OK"/>
  </r>
  <r>
    <n v="13315"/>
    <x v="0"/>
    <x v="1"/>
    <n v="11.76"/>
    <n v="3"/>
    <x v="0"/>
    <n v="15"/>
    <n v="13.523999999999999"/>
    <n v="14.999999999999991"/>
    <s v="OK"/>
  </r>
  <r>
    <n v="13316"/>
    <x v="0"/>
    <x v="0"/>
    <n v="8.51"/>
    <n v="2"/>
    <x v="0"/>
    <n v="12"/>
    <n v="9.5312000000000001"/>
    <n v="12.000000000000011"/>
    <s v="OK"/>
  </r>
  <r>
    <n v="13317"/>
    <x v="1"/>
    <x v="1"/>
    <n v="10.08"/>
    <n v="10"/>
    <x v="2"/>
    <n v="60"/>
    <n v="16.128"/>
    <n v="60.000000000000007"/>
    <s v="OK"/>
  </r>
  <r>
    <n v="13318"/>
    <x v="3"/>
    <x v="2"/>
    <n v="5.18"/>
    <n v="5"/>
    <x v="1"/>
    <n v="25"/>
    <n v="6.4749999999999996"/>
    <n v="25"/>
    <s v="OK"/>
  </r>
  <r>
    <n v="13319"/>
    <x v="0"/>
    <x v="0"/>
    <n v="7.48"/>
    <n v="9"/>
    <x v="2"/>
    <n v="55"/>
    <n v="11.594000000000001"/>
    <n v="55.000000000000007"/>
    <s v="OK"/>
  </r>
  <r>
    <n v="13320"/>
    <x v="3"/>
    <x v="2"/>
    <n v="9.4499999999999993"/>
    <n v="6"/>
    <x v="1"/>
    <n v="25"/>
    <n v="11.8125"/>
    <n v="25"/>
    <s v="OK"/>
  </r>
  <r>
    <n v="13321"/>
    <x v="1"/>
    <x v="1"/>
    <n v="6.37"/>
    <n v="8"/>
    <x v="2"/>
    <n v="60"/>
    <n v="10.192"/>
    <n v="60.000000000000007"/>
    <s v="OK"/>
  </r>
  <r>
    <n v="13322"/>
    <x v="3"/>
    <x v="0"/>
    <n v="3.38"/>
    <n v="8"/>
    <x v="2"/>
    <n v="55"/>
    <n v="5.2389999999999999"/>
    <n v="55.000000000000007"/>
    <s v="OK"/>
  </r>
  <r>
    <n v="13323"/>
    <x v="0"/>
    <x v="2"/>
    <n v="14.44"/>
    <n v="7"/>
    <x v="1"/>
    <n v="25"/>
    <n v="18.05"/>
    <n v="25"/>
    <s v="OK"/>
  </r>
  <r>
    <n v="13324"/>
    <x v="3"/>
    <x v="2"/>
    <n v="7.92"/>
    <n v="5"/>
    <x v="1"/>
    <n v="25"/>
    <n v="9.9"/>
    <n v="25"/>
    <s v="OK"/>
  </r>
  <r>
    <n v="13325"/>
    <x v="0"/>
    <x v="2"/>
    <n v="11.14"/>
    <n v="2"/>
    <x v="0"/>
    <n v="10"/>
    <n v="12.254000000000001"/>
    <n v="10.000000000000009"/>
    <s v="OK"/>
  </r>
  <r>
    <n v="13326"/>
    <x v="3"/>
    <x v="1"/>
    <n v="6.46"/>
    <n v="10"/>
    <x v="2"/>
    <n v="60"/>
    <n v="10.336"/>
    <n v="60.000000000000007"/>
    <s v="OK"/>
  </r>
  <r>
    <n v="13327"/>
    <x v="0"/>
    <x v="0"/>
    <n v="5.65"/>
    <n v="10"/>
    <x v="2"/>
    <n v="55"/>
    <n v="8.7575000000000003"/>
    <n v="55.000000000000007"/>
    <s v="OK"/>
  </r>
  <r>
    <n v="13328"/>
    <x v="0"/>
    <x v="1"/>
    <n v="6.4"/>
    <n v="5"/>
    <x v="1"/>
    <n v="30"/>
    <n v="8.32"/>
    <n v="30.000000000000004"/>
    <s v="OK"/>
  </r>
  <r>
    <n v="13329"/>
    <x v="3"/>
    <x v="1"/>
    <n v="6.43"/>
    <n v="7"/>
    <x v="1"/>
    <n v="30"/>
    <n v="8.359"/>
    <n v="30.000000000000004"/>
    <s v="OK"/>
  </r>
  <r>
    <n v="13330"/>
    <x v="1"/>
    <x v="1"/>
    <n v="8.39"/>
    <n v="7"/>
    <x v="1"/>
    <n v="30"/>
    <n v="10.907000000000002"/>
    <n v="30.000000000000004"/>
    <s v="OK"/>
  </r>
  <r>
    <n v="13331"/>
    <x v="2"/>
    <x v="0"/>
    <n v="8.3800000000000008"/>
    <n v="2"/>
    <x v="0"/>
    <n v="12"/>
    <n v="9.3856000000000019"/>
    <n v="12.000000000000011"/>
    <s v="OK"/>
  </r>
  <r>
    <n v="13332"/>
    <x v="1"/>
    <x v="1"/>
    <n v="7.71"/>
    <n v="7"/>
    <x v="1"/>
    <n v="30"/>
    <n v="10.023"/>
    <n v="30.000000000000004"/>
    <s v="OK"/>
  </r>
  <r>
    <n v="13333"/>
    <x v="3"/>
    <x v="1"/>
    <n v="2.4500000000000002"/>
    <n v="6"/>
    <x v="1"/>
    <n v="30"/>
    <n v="3.1850000000000005"/>
    <n v="30.000000000000004"/>
    <s v="OK"/>
  </r>
  <r>
    <n v="13334"/>
    <x v="1"/>
    <x v="1"/>
    <n v="7.69"/>
    <n v="7"/>
    <x v="1"/>
    <n v="30"/>
    <n v="9.9970000000000017"/>
    <n v="30.000000000000004"/>
    <s v="OK"/>
  </r>
  <r>
    <n v="13335"/>
    <x v="0"/>
    <x v="1"/>
    <n v="2.95"/>
    <n v="8"/>
    <x v="2"/>
    <n v="60"/>
    <n v="4.7200000000000006"/>
    <n v="60.000000000000007"/>
    <s v="OK"/>
  </r>
  <r>
    <n v="13336"/>
    <x v="2"/>
    <x v="2"/>
    <n v="2.33"/>
    <n v="4"/>
    <x v="1"/>
    <n v="25"/>
    <n v="2.9125000000000001"/>
    <n v="25"/>
    <s v="OK"/>
  </r>
  <r>
    <n v="13337"/>
    <x v="3"/>
    <x v="1"/>
    <n v="14.02"/>
    <n v="1"/>
    <x v="0"/>
    <n v="15"/>
    <n v="16.122999999999998"/>
    <n v="14.999999999999991"/>
    <s v="OK"/>
  </r>
  <r>
    <n v="13338"/>
    <x v="3"/>
    <x v="2"/>
    <n v="9.27"/>
    <n v="8"/>
    <x v="2"/>
    <n v="50"/>
    <n v="13.904999999999999"/>
    <n v="50"/>
    <s v="OK"/>
  </r>
  <r>
    <n v="13339"/>
    <x v="3"/>
    <x v="1"/>
    <n v="10.06"/>
    <n v="8"/>
    <x v="2"/>
    <n v="60"/>
    <n v="16.096"/>
    <n v="59.999999999999986"/>
    <s v="OK"/>
  </r>
  <r>
    <n v="13340"/>
    <x v="2"/>
    <x v="0"/>
    <n v="6.33"/>
    <n v="3"/>
    <x v="0"/>
    <n v="12"/>
    <n v="7.0896000000000008"/>
    <n v="12.000000000000011"/>
    <s v="OK"/>
  </r>
  <r>
    <n v="13341"/>
    <x v="0"/>
    <x v="2"/>
    <n v="13.68"/>
    <n v="3"/>
    <x v="0"/>
    <n v="10"/>
    <n v="15.048"/>
    <n v="10.000000000000009"/>
    <s v="OK"/>
  </r>
  <r>
    <n v="13342"/>
    <x v="3"/>
    <x v="2"/>
    <n v="9.75"/>
    <n v="5"/>
    <x v="1"/>
    <n v="25"/>
    <n v="12.1875"/>
    <n v="25"/>
    <s v="OK"/>
  </r>
  <r>
    <n v="13343"/>
    <x v="1"/>
    <x v="2"/>
    <n v="11.65"/>
    <n v="3"/>
    <x v="0"/>
    <n v="10"/>
    <n v="12.815000000000001"/>
    <n v="10.000000000000009"/>
    <s v="OK"/>
  </r>
  <r>
    <n v="13344"/>
    <x v="3"/>
    <x v="2"/>
    <n v="5.84"/>
    <n v="5"/>
    <x v="1"/>
    <n v="25"/>
    <n v="7.3"/>
    <n v="25"/>
    <s v="OK"/>
  </r>
  <r>
    <n v="13345"/>
    <x v="3"/>
    <x v="0"/>
    <n v="14.42"/>
    <n v="8"/>
    <x v="2"/>
    <n v="55"/>
    <n v="22.350999999999999"/>
    <n v="55.000000000000007"/>
    <s v="OK"/>
  </r>
  <r>
    <n v="13346"/>
    <x v="3"/>
    <x v="1"/>
    <n v="12.4"/>
    <n v="1"/>
    <x v="0"/>
    <n v="15"/>
    <n v="14.26"/>
    <n v="14.999999999999991"/>
    <s v="OK"/>
  </r>
  <r>
    <n v="13347"/>
    <x v="3"/>
    <x v="2"/>
    <n v="12.88"/>
    <n v="2"/>
    <x v="0"/>
    <n v="10"/>
    <n v="14.168000000000003"/>
    <n v="10.000000000000009"/>
    <s v="OK"/>
  </r>
  <r>
    <n v="13348"/>
    <x v="0"/>
    <x v="0"/>
    <n v="3"/>
    <n v="2"/>
    <x v="0"/>
    <n v="12"/>
    <n v="3.3600000000000003"/>
    <n v="12.000000000000011"/>
    <s v="OK"/>
  </r>
  <r>
    <n v="13349"/>
    <x v="1"/>
    <x v="2"/>
    <n v="4.43"/>
    <n v="4"/>
    <x v="1"/>
    <n v="25"/>
    <n v="5.5374999999999996"/>
    <n v="25"/>
    <s v="OK"/>
  </r>
  <r>
    <n v="13350"/>
    <x v="0"/>
    <x v="1"/>
    <n v="4.6399999999999997"/>
    <n v="9"/>
    <x v="2"/>
    <n v="60"/>
    <n v="7.4239999999999995"/>
    <n v="60.000000000000007"/>
    <s v="OK"/>
  </r>
  <r>
    <n v="13351"/>
    <x v="1"/>
    <x v="2"/>
    <n v="4.43"/>
    <n v="2"/>
    <x v="0"/>
    <n v="10"/>
    <n v="4.8730000000000002"/>
    <n v="10.000000000000009"/>
    <s v="OK"/>
  </r>
  <r>
    <n v="13352"/>
    <x v="3"/>
    <x v="0"/>
    <n v="12.9"/>
    <n v="9"/>
    <x v="2"/>
    <n v="55"/>
    <n v="19.995000000000001"/>
    <n v="55.000000000000007"/>
    <s v="OK"/>
  </r>
  <r>
    <n v="13353"/>
    <x v="2"/>
    <x v="1"/>
    <n v="0.96"/>
    <n v="7"/>
    <x v="1"/>
    <n v="30"/>
    <n v="1.248"/>
    <n v="30.000000000000004"/>
    <s v="OK"/>
  </r>
  <r>
    <n v="13354"/>
    <x v="0"/>
    <x v="0"/>
    <n v="1.6"/>
    <n v="10"/>
    <x v="2"/>
    <n v="55"/>
    <n v="2.4800000000000004"/>
    <n v="55.000000000000028"/>
    <s v="OK"/>
  </r>
  <r>
    <n v="13355"/>
    <x v="2"/>
    <x v="1"/>
    <n v="4.47"/>
    <n v="8"/>
    <x v="2"/>
    <n v="60"/>
    <n v="7.1520000000000001"/>
    <n v="60.000000000000007"/>
    <s v="OK"/>
  </r>
  <r>
    <n v="13356"/>
    <x v="0"/>
    <x v="1"/>
    <n v="3.4"/>
    <n v="1"/>
    <x v="0"/>
    <n v="15"/>
    <n v="3.9099999999999997"/>
    <n v="14.999999999999991"/>
    <s v="OK"/>
  </r>
  <r>
    <n v="13357"/>
    <x v="3"/>
    <x v="1"/>
    <n v="3.86"/>
    <n v="5"/>
    <x v="1"/>
    <n v="30"/>
    <n v="5.0179999999999998"/>
    <n v="30.000000000000004"/>
    <s v="OK"/>
  </r>
  <r>
    <n v="13358"/>
    <x v="0"/>
    <x v="2"/>
    <n v="12.07"/>
    <n v="9"/>
    <x v="2"/>
    <n v="50"/>
    <n v="18.105"/>
    <n v="50"/>
    <s v="OK"/>
  </r>
  <r>
    <n v="13359"/>
    <x v="3"/>
    <x v="0"/>
    <n v="8.67"/>
    <n v="4"/>
    <x v="1"/>
    <n v="28"/>
    <n v="11.0976"/>
    <n v="28.000000000000004"/>
    <s v="OK"/>
  </r>
  <r>
    <n v="13360"/>
    <x v="0"/>
    <x v="0"/>
    <n v="0.57999999999999996"/>
    <n v="2"/>
    <x v="0"/>
    <n v="12"/>
    <n v="0.64960000000000007"/>
    <n v="12.000000000000011"/>
    <s v="OK"/>
  </r>
  <r>
    <n v="13361"/>
    <x v="3"/>
    <x v="0"/>
    <n v="6.73"/>
    <n v="6"/>
    <x v="1"/>
    <n v="28"/>
    <n v="8.6144000000000016"/>
    <n v="28.000000000000025"/>
    <s v="OK"/>
  </r>
  <r>
    <n v="13362"/>
    <x v="3"/>
    <x v="1"/>
    <n v="6.41"/>
    <n v="2"/>
    <x v="0"/>
    <n v="15"/>
    <n v="7.3714999999999993"/>
    <n v="14.999999999999991"/>
    <s v="OK"/>
  </r>
  <r>
    <n v="13363"/>
    <x v="1"/>
    <x v="2"/>
    <n v="2.15"/>
    <n v="3"/>
    <x v="0"/>
    <n v="10"/>
    <n v="2.3650000000000002"/>
    <n v="10.000000000000009"/>
    <s v="OK"/>
  </r>
  <r>
    <n v="13364"/>
    <x v="3"/>
    <x v="1"/>
    <n v="10.3"/>
    <n v="8"/>
    <x v="2"/>
    <n v="60"/>
    <n v="16.48"/>
    <n v="59.999999999999986"/>
    <s v="OK"/>
  </r>
  <r>
    <n v="13365"/>
    <x v="1"/>
    <x v="0"/>
    <n v="10.68"/>
    <n v="3"/>
    <x v="0"/>
    <n v="12"/>
    <n v="11.961600000000001"/>
    <n v="12.000000000000011"/>
    <s v="OK"/>
  </r>
  <r>
    <n v="13366"/>
    <x v="3"/>
    <x v="2"/>
    <n v="10.95"/>
    <n v="2"/>
    <x v="0"/>
    <n v="10"/>
    <n v="12.045"/>
    <n v="10.000000000000009"/>
    <s v="OK"/>
  </r>
  <r>
    <n v="13367"/>
    <x v="2"/>
    <x v="2"/>
    <n v="11.06"/>
    <n v="6"/>
    <x v="1"/>
    <n v="25"/>
    <n v="13.825000000000001"/>
    <n v="25"/>
    <s v="OK"/>
  </r>
  <r>
    <n v="13368"/>
    <x v="3"/>
    <x v="2"/>
    <n v="0.5"/>
    <n v="3"/>
    <x v="0"/>
    <n v="10"/>
    <n v="0.55000000000000004"/>
    <n v="10.000000000000009"/>
    <s v="OK"/>
  </r>
  <r>
    <n v="13369"/>
    <x v="2"/>
    <x v="0"/>
    <n v="14.33"/>
    <n v="1"/>
    <x v="0"/>
    <n v="12"/>
    <n v="16.049600000000002"/>
    <n v="12.000000000000011"/>
    <s v="OK"/>
  </r>
  <r>
    <n v="13370"/>
    <x v="2"/>
    <x v="2"/>
    <n v="12.31"/>
    <n v="3"/>
    <x v="0"/>
    <n v="10"/>
    <n v="13.541000000000002"/>
    <n v="10.000000000000009"/>
    <s v="OK"/>
  </r>
  <r>
    <n v="13371"/>
    <x v="3"/>
    <x v="2"/>
    <n v="13.61"/>
    <n v="6"/>
    <x v="1"/>
    <n v="25"/>
    <n v="17.012499999999999"/>
    <n v="25"/>
    <s v="OK"/>
  </r>
  <r>
    <n v="13372"/>
    <x v="2"/>
    <x v="1"/>
    <n v="0.73"/>
    <n v="3"/>
    <x v="0"/>
    <n v="15"/>
    <n v="0.83949999999999991"/>
    <n v="14.999999999999991"/>
    <s v="OK"/>
  </r>
  <r>
    <n v="13373"/>
    <x v="1"/>
    <x v="1"/>
    <n v="14.04"/>
    <n v="9"/>
    <x v="2"/>
    <n v="60"/>
    <n v="22.463999999999999"/>
    <n v="60.000000000000007"/>
    <s v="OK"/>
  </r>
  <r>
    <n v="13374"/>
    <x v="0"/>
    <x v="2"/>
    <n v="12.24"/>
    <n v="7"/>
    <x v="1"/>
    <n v="25"/>
    <n v="15.3"/>
    <n v="25"/>
    <s v="OK"/>
  </r>
  <r>
    <n v="13375"/>
    <x v="3"/>
    <x v="2"/>
    <n v="12.64"/>
    <n v="5"/>
    <x v="1"/>
    <n v="25"/>
    <n v="15.8"/>
    <n v="25"/>
    <s v="OK"/>
  </r>
  <r>
    <n v="13376"/>
    <x v="2"/>
    <x v="1"/>
    <n v="1.85"/>
    <n v="2"/>
    <x v="0"/>
    <n v="15"/>
    <n v="2.1274999999999999"/>
    <n v="14.999999999999991"/>
    <s v="OK"/>
  </r>
  <r>
    <n v="13377"/>
    <x v="3"/>
    <x v="1"/>
    <n v="11.21"/>
    <n v="9"/>
    <x v="2"/>
    <n v="60"/>
    <n v="17.936000000000003"/>
    <n v="60.000000000000007"/>
    <s v="OK"/>
  </r>
  <r>
    <n v="13378"/>
    <x v="1"/>
    <x v="1"/>
    <n v="14.42"/>
    <n v="5"/>
    <x v="1"/>
    <n v="30"/>
    <n v="18.746000000000002"/>
    <n v="30.000000000000028"/>
    <s v="OK"/>
  </r>
  <r>
    <n v="13379"/>
    <x v="3"/>
    <x v="0"/>
    <n v="10.34"/>
    <n v="7"/>
    <x v="1"/>
    <n v="28"/>
    <n v="13.235200000000001"/>
    <n v="28.000000000000004"/>
    <s v="OK"/>
  </r>
  <r>
    <n v="13380"/>
    <x v="3"/>
    <x v="0"/>
    <n v="8.77"/>
    <n v="9"/>
    <x v="2"/>
    <n v="55"/>
    <n v="13.593500000000001"/>
    <n v="55.000000000000007"/>
    <s v="OK"/>
  </r>
  <r>
    <n v="13381"/>
    <x v="2"/>
    <x v="1"/>
    <n v="14.21"/>
    <n v="4"/>
    <x v="1"/>
    <n v="30"/>
    <n v="18.473000000000003"/>
    <n v="30.000000000000004"/>
    <s v="OK"/>
  </r>
  <r>
    <n v="13382"/>
    <x v="1"/>
    <x v="2"/>
    <n v="6.92"/>
    <n v="9"/>
    <x v="2"/>
    <n v="50"/>
    <n v="10.379999999999999"/>
    <n v="49.999999999999979"/>
    <s v="OK"/>
  </r>
  <r>
    <n v="13383"/>
    <x v="0"/>
    <x v="1"/>
    <n v="9.19"/>
    <n v="1"/>
    <x v="0"/>
    <n v="15"/>
    <n v="10.568499999999998"/>
    <n v="14.999999999999991"/>
    <s v="OK"/>
  </r>
  <r>
    <n v="13384"/>
    <x v="0"/>
    <x v="0"/>
    <n v="7.41"/>
    <n v="6"/>
    <x v="1"/>
    <n v="28"/>
    <n v="9.4847999999999999"/>
    <n v="28.000000000000004"/>
    <s v="OK"/>
  </r>
  <r>
    <n v="13385"/>
    <x v="2"/>
    <x v="2"/>
    <n v="14.03"/>
    <n v="2"/>
    <x v="0"/>
    <n v="10"/>
    <n v="15.433"/>
    <n v="10.000000000000009"/>
    <s v="OK"/>
  </r>
  <r>
    <n v="13386"/>
    <x v="3"/>
    <x v="0"/>
    <n v="1.6"/>
    <n v="8"/>
    <x v="2"/>
    <n v="55"/>
    <n v="2.4800000000000004"/>
    <n v="55.000000000000028"/>
    <s v="OK"/>
  </r>
  <r>
    <n v="13387"/>
    <x v="2"/>
    <x v="2"/>
    <n v="7.77"/>
    <n v="5"/>
    <x v="1"/>
    <n v="25"/>
    <n v="9.7124999999999986"/>
    <n v="24.999999999999979"/>
    <s v="OK"/>
  </r>
  <r>
    <n v="13388"/>
    <x v="2"/>
    <x v="0"/>
    <n v="10.46"/>
    <n v="3"/>
    <x v="0"/>
    <n v="12"/>
    <n v="11.715200000000003"/>
    <n v="12.000000000000011"/>
    <s v="OK"/>
  </r>
  <r>
    <n v="13389"/>
    <x v="2"/>
    <x v="2"/>
    <n v="11.98"/>
    <n v="2"/>
    <x v="0"/>
    <n v="10"/>
    <n v="13.178000000000001"/>
    <n v="10.000000000000009"/>
    <s v="OK"/>
  </r>
  <r>
    <n v="13390"/>
    <x v="3"/>
    <x v="2"/>
    <n v="8.9499999999999993"/>
    <n v="8"/>
    <x v="2"/>
    <n v="50"/>
    <n v="13.424999999999999"/>
    <n v="50"/>
    <s v="OK"/>
  </r>
  <r>
    <n v="13391"/>
    <x v="1"/>
    <x v="2"/>
    <n v="13.68"/>
    <n v="7"/>
    <x v="1"/>
    <n v="25"/>
    <n v="17.100000000000001"/>
    <n v="25.000000000000021"/>
    <s v="OK"/>
  </r>
  <r>
    <n v="13392"/>
    <x v="2"/>
    <x v="2"/>
    <n v="14.16"/>
    <n v="9"/>
    <x v="2"/>
    <n v="50"/>
    <n v="21.240000000000002"/>
    <n v="50.000000000000021"/>
    <s v="OK"/>
  </r>
  <r>
    <n v="13393"/>
    <x v="3"/>
    <x v="0"/>
    <n v="1.43"/>
    <n v="8"/>
    <x v="2"/>
    <n v="55"/>
    <n v="2.2164999999999999"/>
    <n v="55.000000000000007"/>
    <s v="OK"/>
  </r>
  <r>
    <n v="13394"/>
    <x v="1"/>
    <x v="0"/>
    <n v="6.33"/>
    <n v="4"/>
    <x v="1"/>
    <n v="28"/>
    <n v="8.1023999999999994"/>
    <n v="27.999999999999979"/>
    <s v="OK"/>
  </r>
  <r>
    <n v="13395"/>
    <x v="2"/>
    <x v="2"/>
    <n v="0.84"/>
    <n v="2"/>
    <x v="0"/>
    <n v="10"/>
    <n v="0.92400000000000004"/>
    <n v="10.000000000000009"/>
    <s v="OK"/>
  </r>
  <r>
    <n v="13396"/>
    <x v="0"/>
    <x v="2"/>
    <n v="5.28"/>
    <n v="2"/>
    <x v="0"/>
    <n v="10"/>
    <n v="5.8080000000000007"/>
    <n v="10.000000000000009"/>
    <s v="OK"/>
  </r>
  <r>
    <n v="13397"/>
    <x v="1"/>
    <x v="0"/>
    <n v="8.2799999999999994"/>
    <n v="2"/>
    <x v="0"/>
    <n v="12"/>
    <n v="9.2736000000000001"/>
    <n v="12.000000000000011"/>
    <s v="OK"/>
  </r>
  <r>
    <n v="13398"/>
    <x v="2"/>
    <x v="2"/>
    <n v="13.71"/>
    <n v="6"/>
    <x v="1"/>
    <n v="25"/>
    <n v="17.137500000000003"/>
    <n v="25.000000000000021"/>
    <s v="OK"/>
  </r>
  <r>
    <n v="13399"/>
    <x v="1"/>
    <x v="2"/>
    <n v="12.78"/>
    <n v="7"/>
    <x v="1"/>
    <n v="25"/>
    <n v="15.975"/>
    <n v="25"/>
    <s v="OK"/>
  </r>
  <r>
    <n v="13400"/>
    <x v="1"/>
    <x v="2"/>
    <n v="2.35"/>
    <n v="6"/>
    <x v="1"/>
    <n v="25"/>
    <n v="2.9375"/>
    <n v="25"/>
    <s v="OK"/>
  </r>
  <r>
    <n v="13401"/>
    <x v="1"/>
    <x v="1"/>
    <n v="1.85"/>
    <n v="2"/>
    <x v="0"/>
    <n v="15"/>
    <n v="2.1274999999999999"/>
    <n v="14.999999999999991"/>
    <s v="OK"/>
  </r>
  <r>
    <n v="13402"/>
    <x v="1"/>
    <x v="2"/>
    <n v="9.0399999999999991"/>
    <n v="4"/>
    <x v="1"/>
    <n v="25"/>
    <n v="11.299999999999999"/>
    <n v="25"/>
    <s v="OK"/>
  </r>
  <r>
    <n v="13403"/>
    <x v="1"/>
    <x v="1"/>
    <n v="8.2200000000000006"/>
    <n v="3"/>
    <x v="0"/>
    <n v="15"/>
    <n v="9.4529999999999994"/>
    <n v="14.999999999999991"/>
    <s v="OK"/>
  </r>
  <r>
    <n v="13404"/>
    <x v="1"/>
    <x v="2"/>
    <n v="4.3600000000000003"/>
    <n v="4"/>
    <x v="1"/>
    <n v="25"/>
    <n v="5.45"/>
    <n v="25"/>
    <s v="OK"/>
  </r>
  <r>
    <n v="13405"/>
    <x v="2"/>
    <x v="0"/>
    <n v="13.54"/>
    <n v="5"/>
    <x v="1"/>
    <n v="28"/>
    <n v="17.331199999999999"/>
    <n v="28.000000000000004"/>
    <s v="OK"/>
  </r>
  <r>
    <n v="13406"/>
    <x v="0"/>
    <x v="1"/>
    <n v="13.95"/>
    <n v="7"/>
    <x v="1"/>
    <n v="30"/>
    <n v="18.134999999999998"/>
    <n v="29.999999999999982"/>
    <s v="OK"/>
  </r>
  <r>
    <n v="13407"/>
    <x v="3"/>
    <x v="1"/>
    <n v="6.34"/>
    <n v="9"/>
    <x v="2"/>
    <n v="60"/>
    <n v="10.144"/>
    <n v="60.000000000000007"/>
    <s v="OK"/>
  </r>
  <r>
    <n v="13408"/>
    <x v="1"/>
    <x v="2"/>
    <n v="13.41"/>
    <n v="2"/>
    <x v="0"/>
    <n v="10"/>
    <n v="14.751000000000001"/>
    <n v="10.000000000000009"/>
    <s v="OK"/>
  </r>
  <r>
    <n v="13409"/>
    <x v="3"/>
    <x v="2"/>
    <n v="6.07"/>
    <n v="8"/>
    <x v="2"/>
    <n v="50"/>
    <n v="9.1050000000000004"/>
    <n v="50"/>
    <s v="OK"/>
  </r>
  <r>
    <n v="13410"/>
    <x v="2"/>
    <x v="1"/>
    <n v="11.18"/>
    <n v="3"/>
    <x v="0"/>
    <n v="15"/>
    <n v="12.856999999999999"/>
    <n v="14.999999999999991"/>
    <s v="OK"/>
  </r>
  <r>
    <n v="13411"/>
    <x v="1"/>
    <x v="0"/>
    <n v="7.4"/>
    <n v="9"/>
    <x v="2"/>
    <n v="55"/>
    <n v="11.47"/>
    <n v="55.000000000000007"/>
    <s v="OK"/>
  </r>
  <r>
    <n v="13412"/>
    <x v="0"/>
    <x v="0"/>
    <n v="2.2799999999999998"/>
    <n v="10"/>
    <x v="2"/>
    <n v="55"/>
    <n v="3.5339999999999998"/>
    <n v="55.000000000000007"/>
    <s v="OK"/>
  </r>
  <r>
    <n v="13413"/>
    <x v="3"/>
    <x v="2"/>
    <n v="13.96"/>
    <n v="4"/>
    <x v="1"/>
    <n v="25"/>
    <n v="17.450000000000003"/>
    <n v="25.000000000000021"/>
    <s v="OK"/>
  </r>
  <r>
    <n v="13414"/>
    <x v="1"/>
    <x v="0"/>
    <n v="7.08"/>
    <n v="3"/>
    <x v="0"/>
    <n v="12"/>
    <n v="7.9296000000000006"/>
    <n v="12.000000000000011"/>
    <s v="OK"/>
  </r>
  <r>
    <n v="13415"/>
    <x v="2"/>
    <x v="0"/>
    <n v="11.15"/>
    <n v="10"/>
    <x v="2"/>
    <n v="55"/>
    <n v="17.282500000000002"/>
    <n v="55.000000000000028"/>
    <s v="OK"/>
  </r>
  <r>
    <n v="13416"/>
    <x v="0"/>
    <x v="2"/>
    <n v="5.82"/>
    <n v="6"/>
    <x v="1"/>
    <n v="25"/>
    <n v="7.2750000000000004"/>
    <n v="25"/>
    <s v="OK"/>
  </r>
  <r>
    <n v="13417"/>
    <x v="3"/>
    <x v="0"/>
    <n v="0.77"/>
    <n v="10"/>
    <x v="2"/>
    <n v="55"/>
    <n v="1.1935"/>
    <n v="55.000000000000007"/>
    <s v="OK"/>
  </r>
  <r>
    <n v="13418"/>
    <x v="3"/>
    <x v="2"/>
    <n v="1.96"/>
    <n v="9"/>
    <x v="2"/>
    <n v="50"/>
    <n v="2.94"/>
    <n v="50"/>
    <s v="OK"/>
  </r>
  <r>
    <n v="13419"/>
    <x v="1"/>
    <x v="1"/>
    <n v="7.7"/>
    <n v="7"/>
    <x v="1"/>
    <n v="30"/>
    <n v="10.01"/>
    <n v="30.000000000000004"/>
    <s v="OK"/>
  </r>
  <r>
    <n v="13420"/>
    <x v="0"/>
    <x v="2"/>
    <n v="10.5"/>
    <n v="4"/>
    <x v="1"/>
    <n v="25"/>
    <n v="13.125"/>
    <n v="25"/>
    <s v="OK"/>
  </r>
  <r>
    <n v="13421"/>
    <x v="0"/>
    <x v="1"/>
    <n v="5.35"/>
    <n v="3"/>
    <x v="0"/>
    <n v="15"/>
    <n v="6.152499999999999"/>
    <n v="14.999999999999991"/>
    <s v="OK"/>
  </r>
  <r>
    <n v="13422"/>
    <x v="0"/>
    <x v="1"/>
    <n v="10.58"/>
    <n v="10"/>
    <x v="2"/>
    <n v="60"/>
    <n v="16.928000000000001"/>
    <n v="60.000000000000007"/>
    <s v="OK"/>
  </r>
  <r>
    <n v="13423"/>
    <x v="0"/>
    <x v="0"/>
    <n v="10.63"/>
    <n v="4"/>
    <x v="1"/>
    <n v="28"/>
    <n v="13.606400000000001"/>
    <n v="28.000000000000004"/>
    <s v="OK"/>
  </r>
  <r>
    <n v="13424"/>
    <x v="2"/>
    <x v="0"/>
    <n v="10.71"/>
    <n v="3"/>
    <x v="0"/>
    <n v="12"/>
    <n v="11.995200000000002"/>
    <n v="12.000000000000011"/>
    <s v="OK"/>
  </r>
  <r>
    <n v="13425"/>
    <x v="0"/>
    <x v="0"/>
    <n v="7.64"/>
    <n v="3"/>
    <x v="0"/>
    <n v="12"/>
    <n v="8.5568000000000008"/>
    <n v="12.000000000000011"/>
    <s v="OK"/>
  </r>
  <r>
    <n v="13426"/>
    <x v="3"/>
    <x v="2"/>
    <n v="13.77"/>
    <n v="9"/>
    <x v="2"/>
    <n v="50"/>
    <n v="20.655000000000001"/>
    <n v="50.000000000000021"/>
    <s v="OK"/>
  </r>
  <r>
    <n v="13427"/>
    <x v="3"/>
    <x v="0"/>
    <n v="7.59"/>
    <n v="4"/>
    <x v="1"/>
    <n v="28"/>
    <n v="9.7151999999999994"/>
    <n v="28.000000000000004"/>
    <s v="OK"/>
  </r>
  <r>
    <n v="13428"/>
    <x v="2"/>
    <x v="1"/>
    <n v="7.03"/>
    <n v="9"/>
    <x v="2"/>
    <n v="60"/>
    <n v="11.248000000000001"/>
    <n v="60.000000000000007"/>
    <s v="OK"/>
  </r>
  <r>
    <n v="13429"/>
    <x v="3"/>
    <x v="0"/>
    <n v="3.39"/>
    <n v="10"/>
    <x v="2"/>
    <n v="55"/>
    <n v="5.2545000000000002"/>
    <n v="55.000000000000007"/>
    <s v="OK"/>
  </r>
  <r>
    <n v="13430"/>
    <x v="3"/>
    <x v="0"/>
    <n v="4.96"/>
    <n v="5"/>
    <x v="1"/>
    <n v="28"/>
    <n v="6.3487999999999998"/>
    <n v="28.000000000000004"/>
    <s v="OK"/>
  </r>
  <r>
    <n v="13431"/>
    <x v="0"/>
    <x v="2"/>
    <n v="1.1100000000000001"/>
    <n v="7"/>
    <x v="1"/>
    <n v="25"/>
    <n v="1.3875000000000002"/>
    <n v="25"/>
    <s v="OK"/>
  </r>
  <r>
    <n v="13432"/>
    <x v="3"/>
    <x v="2"/>
    <n v="9.69"/>
    <n v="5"/>
    <x v="1"/>
    <n v="25"/>
    <n v="12.112499999999999"/>
    <n v="25"/>
    <s v="OK"/>
  </r>
  <r>
    <n v="13433"/>
    <x v="2"/>
    <x v="1"/>
    <n v="4.0999999999999996"/>
    <n v="1"/>
    <x v="0"/>
    <n v="15"/>
    <n v="4.714999999999999"/>
    <n v="14.999999999999991"/>
    <s v="OK"/>
  </r>
  <r>
    <n v="13434"/>
    <x v="0"/>
    <x v="2"/>
    <n v="4.91"/>
    <n v="2"/>
    <x v="0"/>
    <n v="10"/>
    <n v="5.4010000000000007"/>
    <n v="10.000000000000009"/>
    <s v="OK"/>
  </r>
  <r>
    <n v="13435"/>
    <x v="1"/>
    <x v="0"/>
    <n v="11.68"/>
    <n v="5"/>
    <x v="1"/>
    <n v="28"/>
    <n v="14.9504"/>
    <n v="28.000000000000004"/>
    <s v="OK"/>
  </r>
  <r>
    <n v="13436"/>
    <x v="0"/>
    <x v="2"/>
    <n v="5.24"/>
    <n v="6"/>
    <x v="1"/>
    <n v="25"/>
    <n v="6.5500000000000007"/>
    <n v="25"/>
    <s v="OK"/>
  </r>
  <r>
    <n v="13437"/>
    <x v="2"/>
    <x v="1"/>
    <n v="4.01"/>
    <n v="7"/>
    <x v="1"/>
    <n v="30"/>
    <n v="5.2130000000000001"/>
    <n v="30.000000000000004"/>
    <s v="OK"/>
  </r>
  <r>
    <n v="13438"/>
    <x v="0"/>
    <x v="0"/>
    <n v="2.95"/>
    <n v="2"/>
    <x v="0"/>
    <n v="12"/>
    <n v="3.3040000000000007"/>
    <n v="12.000000000000011"/>
    <s v="OK"/>
  </r>
  <r>
    <n v="13439"/>
    <x v="0"/>
    <x v="1"/>
    <n v="11.74"/>
    <n v="10"/>
    <x v="2"/>
    <n v="60"/>
    <n v="18.784000000000002"/>
    <n v="60.000000000000007"/>
    <s v="OK"/>
  </r>
  <r>
    <n v="13440"/>
    <x v="2"/>
    <x v="2"/>
    <n v="2.38"/>
    <n v="9"/>
    <x v="2"/>
    <n v="50"/>
    <n v="3.57"/>
    <n v="50"/>
    <s v="OK"/>
  </r>
  <r>
    <n v="13441"/>
    <x v="0"/>
    <x v="2"/>
    <n v="7.08"/>
    <n v="6"/>
    <x v="1"/>
    <n v="25"/>
    <n v="8.85"/>
    <n v="25"/>
    <s v="OK"/>
  </r>
  <r>
    <n v="13442"/>
    <x v="2"/>
    <x v="1"/>
    <n v="7.85"/>
    <n v="2"/>
    <x v="0"/>
    <n v="15"/>
    <n v="9.0274999999999981"/>
    <n v="14.999999999999991"/>
    <s v="OK"/>
  </r>
  <r>
    <n v="13443"/>
    <x v="2"/>
    <x v="0"/>
    <n v="10.47"/>
    <n v="2"/>
    <x v="0"/>
    <n v="12"/>
    <n v="11.726400000000002"/>
    <n v="12.000000000000011"/>
    <s v="OK"/>
  </r>
  <r>
    <n v="13444"/>
    <x v="1"/>
    <x v="2"/>
    <n v="9.68"/>
    <n v="3"/>
    <x v="0"/>
    <n v="10"/>
    <n v="10.648"/>
    <n v="10.000000000000009"/>
    <s v="OK"/>
  </r>
  <r>
    <n v="13445"/>
    <x v="3"/>
    <x v="2"/>
    <n v="12.26"/>
    <n v="1"/>
    <x v="0"/>
    <n v="10"/>
    <n v="13.486000000000001"/>
    <n v="10.000000000000009"/>
    <s v="OK"/>
  </r>
  <r>
    <n v="13446"/>
    <x v="3"/>
    <x v="0"/>
    <n v="1.1499999999999999"/>
    <n v="9"/>
    <x v="2"/>
    <n v="55"/>
    <n v="1.7825"/>
    <n v="55.000000000000007"/>
    <s v="OK"/>
  </r>
  <r>
    <n v="13447"/>
    <x v="0"/>
    <x v="2"/>
    <n v="4.8"/>
    <n v="10"/>
    <x v="2"/>
    <n v="50"/>
    <n v="7.1999999999999993"/>
    <n v="50"/>
    <s v="OK"/>
  </r>
  <r>
    <n v="13448"/>
    <x v="0"/>
    <x v="1"/>
    <n v="4.5599999999999996"/>
    <n v="4"/>
    <x v="1"/>
    <n v="30"/>
    <n v="5.9279999999999999"/>
    <n v="30.000000000000004"/>
    <s v="OK"/>
  </r>
  <r>
    <n v="13449"/>
    <x v="1"/>
    <x v="2"/>
    <n v="2.62"/>
    <n v="5"/>
    <x v="1"/>
    <n v="25"/>
    <n v="3.2750000000000004"/>
    <n v="25"/>
    <s v="OK"/>
  </r>
  <r>
    <n v="13450"/>
    <x v="1"/>
    <x v="2"/>
    <n v="4.6900000000000004"/>
    <n v="7"/>
    <x v="1"/>
    <n v="25"/>
    <n v="5.8625000000000007"/>
    <n v="25"/>
    <s v="OK"/>
  </r>
  <r>
    <n v="13451"/>
    <x v="1"/>
    <x v="0"/>
    <n v="4.99"/>
    <n v="1"/>
    <x v="0"/>
    <n v="12"/>
    <n v="5.5888000000000009"/>
    <n v="12.000000000000011"/>
    <s v="OK"/>
  </r>
  <r>
    <n v="13452"/>
    <x v="2"/>
    <x v="1"/>
    <n v="8.07"/>
    <n v="3"/>
    <x v="0"/>
    <n v="15"/>
    <n v="9.2805"/>
    <n v="14.999999999999991"/>
    <s v="OK"/>
  </r>
  <r>
    <n v="13453"/>
    <x v="1"/>
    <x v="0"/>
    <n v="10.119999999999999"/>
    <n v="3"/>
    <x v="0"/>
    <n v="12"/>
    <n v="11.3344"/>
    <n v="12.000000000000011"/>
    <s v="OK"/>
  </r>
  <r>
    <n v="13454"/>
    <x v="1"/>
    <x v="2"/>
    <n v="6.03"/>
    <n v="2"/>
    <x v="0"/>
    <n v="10"/>
    <n v="6.6330000000000009"/>
    <n v="10.000000000000009"/>
    <s v="OK"/>
  </r>
  <r>
    <n v="13455"/>
    <x v="0"/>
    <x v="2"/>
    <n v="10.93"/>
    <n v="8"/>
    <x v="2"/>
    <n v="50"/>
    <n v="16.395"/>
    <n v="50"/>
    <s v="OK"/>
  </r>
  <r>
    <n v="13456"/>
    <x v="1"/>
    <x v="0"/>
    <n v="5.37"/>
    <n v="5"/>
    <x v="1"/>
    <n v="28"/>
    <n v="6.8736000000000006"/>
    <n v="28.000000000000004"/>
    <s v="OK"/>
  </r>
  <r>
    <n v="13457"/>
    <x v="2"/>
    <x v="0"/>
    <n v="4.71"/>
    <n v="1"/>
    <x v="0"/>
    <n v="12"/>
    <n v="5.2752000000000008"/>
    <n v="12.000000000000011"/>
    <s v="OK"/>
  </r>
  <r>
    <n v="13458"/>
    <x v="2"/>
    <x v="0"/>
    <n v="8.35"/>
    <n v="2"/>
    <x v="0"/>
    <n v="12"/>
    <n v="9.3520000000000003"/>
    <n v="12.000000000000011"/>
    <s v="OK"/>
  </r>
  <r>
    <n v="13459"/>
    <x v="0"/>
    <x v="1"/>
    <n v="0.84"/>
    <n v="1"/>
    <x v="0"/>
    <n v="15"/>
    <n v="0.96599999999999986"/>
    <n v="14.999999999999991"/>
    <s v="OK"/>
  </r>
  <r>
    <n v="13460"/>
    <x v="1"/>
    <x v="2"/>
    <n v="1.66"/>
    <n v="6"/>
    <x v="1"/>
    <n v="25"/>
    <n v="2.0749999999999997"/>
    <n v="25"/>
    <s v="OK"/>
  </r>
  <r>
    <n v="13461"/>
    <x v="1"/>
    <x v="0"/>
    <n v="6.56"/>
    <n v="9"/>
    <x v="2"/>
    <n v="55"/>
    <n v="10.167999999999999"/>
    <n v="55.000000000000007"/>
    <s v="OK"/>
  </r>
  <r>
    <n v="13462"/>
    <x v="2"/>
    <x v="2"/>
    <n v="14.17"/>
    <n v="7"/>
    <x v="1"/>
    <n v="25"/>
    <n v="17.712499999999999"/>
    <n v="25"/>
    <s v="OK"/>
  </r>
  <r>
    <n v="13463"/>
    <x v="1"/>
    <x v="1"/>
    <n v="10.96"/>
    <n v="5"/>
    <x v="1"/>
    <n v="30"/>
    <n v="14.248000000000001"/>
    <n v="30.000000000000004"/>
    <s v="OK"/>
  </r>
  <r>
    <n v="13464"/>
    <x v="1"/>
    <x v="1"/>
    <n v="1.78"/>
    <n v="3"/>
    <x v="0"/>
    <n v="15"/>
    <n v="2.0469999999999997"/>
    <n v="14.999999999999991"/>
    <s v="OK"/>
  </r>
  <r>
    <n v="13465"/>
    <x v="1"/>
    <x v="1"/>
    <n v="12.77"/>
    <n v="8"/>
    <x v="2"/>
    <n v="60"/>
    <n v="20.432000000000002"/>
    <n v="60.000000000000028"/>
    <s v="OK"/>
  </r>
  <r>
    <n v="13466"/>
    <x v="3"/>
    <x v="1"/>
    <n v="11.12"/>
    <n v="10"/>
    <x v="2"/>
    <n v="60"/>
    <n v="17.791999999999998"/>
    <n v="59.999999999999986"/>
    <s v="OK"/>
  </r>
  <r>
    <n v="13467"/>
    <x v="0"/>
    <x v="2"/>
    <n v="9.36"/>
    <n v="4"/>
    <x v="1"/>
    <n v="25"/>
    <n v="11.7"/>
    <n v="25"/>
    <s v="OK"/>
  </r>
  <r>
    <n v="13468"/>
    <x v="3"/>
    <x v="1"/>
    <n v="12.39"/>
    <n v="9"/>
    <x v="2"/>
    <n v="60"/>
    <n v="19.824000000000002"/>
    <n v="60.000000000000007"/>
    <s v="OK"/>
  </r>
  <r>
    <n v="13469"/>
    <x v="0"/>
    <x v="1"/>
    <n v="6.36"/>
    <n v="5"/>
    <x v="1"/>
    <n v="30"/>
    <n v="8.2680000000000007"/>
    <n v="30.000000000000004"/>
    <s v="OK"/>
  </r>
  <r>
    <n v="13470"/>
    <x v="2"/>
    <x v="0"/>
    <n v="3.71"/>
    <n v="6"/>
    <x v="1"/>
    <n v="28"/>
    <n v="4.7488000000000001"/>
    <n v="28.000000000000004"/>
    <s v="OK"/>
  </r>
  <r>
    <n v="13471"/>
    <x v="1"/>
    <x v="1"/>
    <n v="7.92"/>
    <n v="5"/>
    <x v="1"/>
    <n v="30"/>
    <n v="10.295999999999999"/>
    <n v="29.999999999999982"/>
    <s v="OK"/>
  </r>
  <r>
    <n v="13472"/>
    <x v="0"/>
    <x v="0"/>
    <n v="8.4600000000000009"/>
    <n v="10"/>
    <x v="2"/>
    <n v="55"/>
    <n v="13.113000000000001"/>
    <n v="55.000000000000007"/>
    <s v="OK"/>
  </r>
  <r>
    <n v="13473"/>
    <x v="3"/>
    <x v="1"/>
    <n v="8.31"/>
    <n v="7"/>
    <x v="1"/>
    <n v="30"/>
    <n v="10.803000000000001"/>
    <n v="30.000000000000004"/>
    <s v="OK"/>
  </r>
  <r>
    <n v="13474"/>
    <x v="1"/>
    <x v="1"/>
    <n v="8.69"/>
    <n v="7"/>
    <x v="1"/>
    <n v="30"/>
    <n v="11.297000000000001"/>
    <n v="30.000000000000004"/>
    <s v="OK"/>
  </r>
  <r>
    <n v="13475"/>
    <x v="2"/>
    <x v="0"/>
    <n v="14.26"/>
    <n v="1"/>
    <x v="0"/>
    <n v="12"/>
    <n v="15.971200000000001"/>
    <n v="12.000000000000011"/>
    <s v="OK"/>
  </r>
  <r>
    <n v="13476"/>
    <x v="0"/>
    <x v="1"/>
    <n v="13.58"/>
    <n v="2"/>
    <x v="0"/>
    <n v="15"/>
    <n v="15.616999999999999"/>
    <n v="14.999999999999991"/>
    <s v="OK"/>
  </r>
  <r>
    <n v="13477"/>
    <x v="0"/>
    <x v="2"/>
    <n v="13.2"/>
    <n v="7"/>
    <x v="1"/>
    <n v="25"/>
    <n v="16.5"/>
    <n v="25"/>
    <s v="OK"/>
  </r>
  <r>
    <n v="13478"/>
    <x v="0"/>
    <x v="2"/>
    <n v="12.12"/>
    <n v="8"/>
    <x v="2"/>
    <n v="50"/>
    <n v="18.18"/>
    <n v="50"/>
    <s v="OK"/>
  </r>
  <r>
    <n v="13479"/>
    <x v="1"/>
    <x v="1"/>
    <n v="14.18"/>
    <n v="4"/>
    <x v="1"/>
    <n v="30"/>
    <n v="18.434000000000001"/>
    <n v="30.000000000000004"/>
    <s v="OK"/>
  </r>
  <r>
    <n v="13480"/>
    <x v="3"/>
    <x v="2"/>
    <n v="1.93"/>
    <n v="6"/>
    <x v="1"/>
    <n v="25"/>
    <n v="2.4125000000000001"/>
    <n v="25"/>
    <s v="OK"/>
  </r>
  <r>
    <n v="13481"/>
    <x v="3"/>
    <x v="0"/>
    <n v="4.34"/>
    <n v="10"/>
    <x v="2"/>
    <n v="55"/>
    <n v="6.7270000000000003"/>
    <n v="55.000000000000007"/>
    <s v="OK"/>
  </r>
  <r>
    <n v="13482"/>
    <x v="0"/>
    <x v="1"/>
    <n v="7.68"/>
    <n v="3"/>
    <x v="0"/>
    <n v="15"/>
    <n v="8.831999999999999"/>
    <n v="14.999999999999991"/>
    <s v="OK"/>
  </r>
  <r>
    <n v="13483"/>
    <x v="2"/>
    <x v="1"/>
    <n v="12.77"/>
    <n v="7"/>
    <x v="1"/>
    <n v="30"/>
    <n v="16.600999999999999"/>
    <n v="30.000000000000004"/>
    <s v="OK"/>
  </r>
  <r>
    <n v="13484"/>
    <x v="2"/>
    <x v="0"/>
    <n v="7.82"/>
    <n v="3"/>
    <x v="0"/>
    <n v="12"/>
    <n v="8.7584000000000017"/>
    <n v="12.000000000000011"/>
    <s v="OK"/>
  </r>
  <r>
    <n v="13485"/>
    <x v="3"/>
    <x v="0"/>
    <n v="11.35"/>
    <n v="7"/>
    <x v="1"/>
    <n v="28"/>
    <n v="14.528"/>
    <n v="28.000000000000004"/>
    <s v="OK"/>
  </r>
  <r>
    <n v="13486"/>
    <x v="2"/>
    <x v="0"/>
    <n v="2.5099999999999998"/>
    <n v="8"/>
    <x v="2"/>
    <n v="55"/>
    <n v="3.8904999999999998"/>
    <n v="55.000000000000007"/>
    <s v="OK"/>
  </r>
  <r>
    <n v="13487"/>
    <x v="3"/>
    <x v="1"/>
    <n v="4.16"/>
    <n v="3"/>
    <x v="0"/>
    <n v="15"/>
    <n v="4.7839999999999998"/>
    <n v="14.999999999999991"/>
    <s v="OK"/>
  </r>
  <r>
    <n v="13488"/>
    <x v="0"/>
    <x v="0"/>
    <n v="11.11"/>
    <n v="2"/>
    <x v="0"/>
    <n v="12"/>
    <n v="12.443200000000001"/>
    <n v="12.000000000000011"/>
    <s v="OK"/>
  </r>
  <r>
    <n v="13489"/>
    <x v="3"/>
    <x v="0"/>
    <n v="2.89"/>
    <n v="6"/>
    <x v="1"/>
    <n v="28"/>
    <n v="3.6992000000000003"/>
    <n v="28.000000000000004"/>
    <s v="OK"/>
  </r>
  <r>
    <n v="13490"/>
    <x v="3"/>
    <x v="2"/>
    <n v="5.59"/>
    <n v="4"/>
    <x v="1"/>
    <n v="25"/>
    <n v="6.9874999999999998"/>
    <n v="25"/>
    <s v="OK"/>
  </r>
  <r>
    <n v="13491"/>
    <x v="0"/>
    <x v="2"/>
    <n v="4.34"/>
    <n v="8"/>
    <x v="2"/>
    <n v="50"/>
    <n v="6.51"/>
    <n v="50"/>
    <s v="OK"/>
  </r>
  <r>
    <n v="13492"/>
    <x v="2"/>
    <x v="1"/>
    <n v="5.57"/>
    <n v="2"/>
    <x v="0"/>
    <n v="15"/>
    <n v="6.4055"/>
    <n v="14.999999999999991"/>
    <s v="OK"/>
  </r>
  <r>
    <n v="13493"/>
    <x v="3"/>
    <x v="2"/>
    <n v="10.77"/>
    <n v="4"/>
    <x v="1"/>
    <n v="25"/>
    <n v="13.462499999999999"/>
    <n v="25"/>
    <s v="OK"/>
  </r>
  <r>
    <n v="13494"/>
    <x v="3"/>
    <x v="2"/>
    <n v="5.83"/>
    <n v="2"/>
    <x v="0"/>
    <n v="10"/>
    <n v="6.4130000000000003"/>
    <n v="10.000000000000009"/>
    <s v="OK"/>
  </r>
  <r>
    <n v="13495"/>
    <x v="0"/>
    <x v="0"/>
    <n v="8.5500000000000007"/>
    <n v="2"/>
    <x v="0"/>
    <n v="12"/>
    <n v="9.5760000000000023"/>
    <n v="12.000000000000011"/>
    <s v="OK"/>
  </r>
  <r>
    <n v="13496"/>
    <x v="2"/>
    <x v="0"/>
    <n v="1.95"/>
    <n v="2"/>
    <x v="0"/>
    <n v="12"/>
    <n v="2.1840000000000002"/>
    <n v="12.000000000000011"/>
    <s v="OK"/>
  </r>
  <r>
    <n v="13497"/>
    <x v="3"/>
    <x v="2"/>
    <n v="12.17"/>
    <n v="1"/>
    <x v="0"/>
    <n v="10"/>
    <n v="13.387"/>
    <n v="10.000000000000009"/>
    <s v="OK"/>
  </r>
  <r>
    <n v="13498"/>
    <x v="0"/>
    <x v="2"/>
    <n v="5.86"/>
    <n v="4"/>
    <x v="1"/>
    <n v="25"/>
    <n v="7.3250000000000002"/>
    <n v="25"/>
    <s v="OK"/>
  </r>
  <r>
    <n v="13499"/>
    <x v="3"/>
    <x v="2"/>
    <n v="9.9"/>
    <n v="2"/>
    <x v="0"/>
    <n v="10"/>
    <n v="10.89"/>
    <n v="10.000000000000009"/>
    <s v="OK"/>
  </r>
  <r>
    <n v="13500"/>
    <x v="1"/>
    <x v="1"/>
    <n v="11.02"/>
    <n v="9"/>
    <x v="2"/>
    <n v="60"/>
    <n v="17.632000000000001"/>
    <n v="60.000000000000007"/>
    <s v="OK"/>
  </r>
  <r>
    <n v="13501"/>
    <x v="0"/>
    <x v="1"/>
    <n v="3.54"/>
    <n v="9"/>
    <x v="2"/>
    <n v="60"/>
    <n v="5.6640000000000006"/>
    <n v="60.000000000000007"/>
    <s v="OK"/>
  </r>
  <r>
    <n v="13502"/>
    <x v="2"/>
    <x v="1"/>
    <n v="13.33"/>
    <n v="7"/>
    <x v="1"/>
    <n v="30"/>
    <n v="17.329000000000001"/>
    <n v="30.000000000000004"/>
    <s v="OK"/>
  </r>
  <r>
    <n v="13503"/>
    <x v="2"/>
    <x v="2"/>
    <n v="9.44"/>
    <n v="6"/>
    <x v="1"/>
    <n v="25"/>
    <n v="11.799999999999999"/>
    <n v="25"/>
    <s v="OK"/>
  </r>
  <r>
    <n v="13504"/>
    <x v="2"/>
    <x v="2"/>
    <n v="6.72"/>
    <n v="3"/>
    <x v="0"/>
    <n v="10"/>
    <n v="7.3920000000000003"/>
    <n v="10.000000000000009"/>
    <s v="OK"/>
  </r>
  <r>
    <n v="13505"/>
    <x v="2"/>
    <x v="1"/>
    <n v="3.14"/>
    <n v="7"/>
    <x v="1"/>
    <n v="30"/>
    <n v="4.0820000000000007"/>
    <n v="30.000000000000028"/>
    <s v="OK"/>
  </r>
  <r>
    <n v="13506"/>
    <x v="3"/>
    <x v="1"/>
    <n v="14.16"/>
    <n v="1"/>
    <x v="0"/>
    <n v="15"/>
    <n v="16.283999999999999"/>
    <n v="14.999999999999991"/>
    <s v="OK"/>
  </r>
  <r>
    <n v="13507"/>
    <x v="3"/>
    <x v="2"/>
    <n v="11.45"/>
    <n v="9"/>
    <x v="2"/>
    <n v="50"/>
    <n v="17.174999999999997"/>
    <n v="49.999999999999979"/>
    <s v="OK"/>
  </r>
  <r>
    <n v="13508"/>
    <x v="2"/>
    <x v="0"/>
    <n v="3.52"/>
    <n v="4"/>
    <x v="1"/>
    <n v="28"/>
    <n v="4.5056000000000003"/>
    <n v="28.000000000000004"/>
    <s v="OK"/>
  </r>
  <r>
    <n v="13509"/>
    <x v="2"/>
    <x v="1"/>
    <n v="5.4"/>
    <n v="6"/>
    <x v="1"/>
    <n v="30"/>
    <n v="7.0200000000000005"/>
    <n v="30.000000000000004"/>
    <s v="OK"/>
  </r>
  <r>
    <n v="13510"/>
    <x v="2"/>
    <x v="2"/>
    <n v="12.24"/>
    <n v="6"/>
    <x v="1"/>
    <n v="25"/>
    <n v="15.3"/>
    <n v="25"/>
    <s v="OK"/>
  </r>
  <r>
    <n v="13511"/>
    <x v="3"/>
    <x v="2"/>
    <n v="10.59"/>
    <n v="3"/>
    <x v="0"/>
    <n v="10"/>
    <n v="11.649000000000001"/>
    <n v="10.000000000000009"/>
    <s v="OK"/>
  </r>
  <r>
    <n v="13512"/>
    <x v="2"/>
    <x v="0"/>
    <n v="11.6"/>
    <n v="4"/>
    <x v="1"/>
    <n v="28"/>
    <n v="14.847999999999999"/>
    <n v="28.000000000000004"/>
    <s v="OK"/>
  </r>
  <r>
    <n v="13513"/>
    <x v="2"/>
    <x v="2"/>
    <n v="6.9"/>
    <n v="10"/>
    <x v="2"/>
    <n v="50"/>
    <n v="10.350000000000001"/>
    <n v="50.000000000000021"/>
    <s v="OK"/>
  </r>
  <r>
    <n v="13514"/>
    <x v="1"/>
    <x v="2"/>
    <n v="10.89"/>
    <n v="3"/>
    <x v="0"/>
    <n v="10"/>
    <n v="11.979000000000001"/>
    <n v="10.000000000000009"/>
    <s v="OK"/>
  </r>
  <r>
    <n v="13515"/>
    <x v="1"/>
    <x v="1"/>
    <n v="6.1"/>
    <n v="6"/>
    <x v="1"/>
    <n v="30"/>
    <n v="7.93"/>
    <n v="30.000000000000004"/>
    <s v="OK"/>
  </r>
  <r>
    <n v="13516"/>
    <x v="2"/>
    <x v="1"/>
    <n v="3.56"/>
    <n v="1"/>
    <x v="0"/>
    <n v="15"/>
    <n v="4.0939999999999994"/>
    <n v="14.999999999999991"/>
    <s v="OK"/>
  </r>
  <r>
    <n v="13517"/>
    <x v="0"/>
    <x v="0"/>
    <n v="9.67"/>
    <n v="8"/>
    <x v="2"/>
    <n v="55"/>
    <n v="14.9885"/>
    <n v="55.000000000000007"/>
    <s v="OK"/>
  </r>
  <r>
    <n v="13518"/>
    <x v="2"/>
    <x v="0"/>
    <n v="14.65"/>
    <n v="8"/>
    <x v="2"/>
    <n v="55"/>
    <n v="22.7075"/>
    <n v="54.999999999999986"/>
    <s v="OK"/>
  </r>
  <r>
    <n v="13519"/>
    <x v="1"/>
    <x v="2"/>
    <n v="5"/>
    <n v="9"/>
    <x v="2"/>
    <n v="50"/>
    <n v="7.5"/>
    <n v="50"/>
    <s v="OK"/>
  </r>
  <r>
    <n v="13520"/>
    <x v="0"/>
    <x v="1"/>
    <n v="7.18"/>
    <n v="6"/>
    <x v="1"/>
    <n v="30"/>
    <n v="9.3339999999999996"/>
    <n v="30.000000000000004"/>
    <s v="OK"/>
  </r>
  <r>
    <n v="13521"/>
    <x v="0"/>
    <x v="0"/>
    <n v="10.27"/>
    <n v="1"/>
    <x v="0"/>
    <n v="12"/>
    <n v="11.5024"/>
    <n v="12.000000000000011"/>
    <s v="OK"/>
  </r>
  <r>
    <n v="13522"/>
    <x v="2"/>
    <x v="0"/>
    <n v="8.35"/>
    <n v="3"/>
    <x v="0"/>
    <n v="12"/>
    <n v="9.3520000000000003"/>
    <n v="12.000000000000011"/>
    <s v="OK"/>
  </r>
  <r>
    <n v="13523"/>
    <x v="1"/>
    <x v="0"/>
    <n v="12.73"/>
    <n v="1"/>
    <x v="0"/>
    <n v="12"/>
    <n v="14.257600000000002"/>
    <n v="12.000000000000011"/>
    <s v="OK"/>
  </r>
  <r>
    <n v="13524"/>
    <x v="1"/>
    <x v="2"/>
    <n v="11.55"/>
    <n v="5"/>
    <x v="1"/>
    <n v="25"/>
    <n v="14.4375"/>
    <n v="25"/>
    <s v="OK"/>
  </r>
  <r>
    <n v="13525"/>
    <x v="0"/>
    <x v="1"/>
    <n v="1.35"/>
    <n v="3"/>
    <x v="0"/>
    <n v="15"/>
    <n v="1.5525"/>
    <n v="14.999999999999991"/>
    <s v="OK"/>
  </r>
  <r>
    <n v="13526"/>
    <x v="2"/>
    <x v="0"/>
    <n v="14.98"/>
    <n v="2"/>
    <x v="0"/>
    <n v="12"/>
    <n v="16.777600000000003"/>
    <n v="12.000000000000011"/>
    <s v="OK"/>
  </r>
  <r>
    <n v="13527"/>
    <x v="3"/>
    <x v="1"/>
    <n v="11.41"/>
    <n v="3"/>
    <x v="0"/>
    <n v="15"/>
    <n v="13.121499999999999"/>
    <n v="14.999999999999991"/>
    <s v="OK"/>
  </r>
  <r>
    <n v="13528"/>
    <x v="3"/>
    <x v="0"/>
    <n v="13.03"/>
    <n v="9"/>
    <x v="2"/>
    <n v="55"/>
    <n v="20.1965"/>
    <n v="55.000000000000007"/>
    <s v="OK"/>
  </r>
  <r>
    <n v="13529"/>
    <x v="1"/>
    <x v="0"/>
    <n v="9.94"/>
    <n v="8"/>
    <x v="2"/>
    <n v="55"/>
    <n v="15.407"/>
    <n v="55.000000000000007"/>
    <s v="OK"/>
  </r>
  <r>
    <n v="13530"/>
    <x v="3"/>
    <x v="1"/>
    <n v="12.92"/>
    <n v="3"/>
    <x v="0"/>
    <n v="15"/>
    <n v="14.857999999999999"/>
    <n v="14.999999999999991"/>
    <s v="OK"/>
  </r>
  <r>
    <n v="13531"/>
    <x v="1"/>
    <x v="1"/>
    <n v="2.13"/>
    <n v="2"/>
    <x v="0"/>
    <n v="15"/>
    <n v="2.4494999999999996"/>
    <n v="14.999999999999991"/>
    <s v="OK"/>
  </r>
  <r>
    <n v="13532"/>
    <x v="1"/>
    <x v="1"/>
    <n v="5.54"/>
    <n v="5"/>
    <x v="1"/>
    <n v="30"/>
    <n v="7.202"/>
    <n v="30.000000000000004"/>
    <s v="OK"/>
  </r>
  <r>
    <n v="13533"/>
    <x v="1"/>
    <x v="2"/>
    <n v="13.21"/>
    <n v="1"/>
    <x v="0"/>
    <n v="10"/>
    <n v="14.531000000000002"/>
    <n v="10.000000000000009"/>
    <s v="OK"/>
  </r>
  <r>
    <n v="13534"/>
    <x v="3"/>
    <x v="0"/>
    <n v="3.42"/>
    <n v="4"/>
    <x v="1"/>
    <n v="28"/>
    <n v="4.3776000000000002"/>
    <n v="28.000000000000004"/>
    <s v="OK"/>
  </r>
  <r>
    <n v="13535"/>
    <x v="1"/>
    <x v="2"/>
    <n v="1.63"/>
    <n v="8"/>
    <x v="2"/>
    <n v="50"/>
    <n v="2.4449999999999998"/>
    <n v="50"/>
    <s v="OK"/>
  </r>
  <r>
    <n v="13536"/>
    <x v="0"/>
    <x v="1"/>
    <n v="11.93"/>
    <n v="1"/>
    <x v="0"/>
    <n v="15"/>
    <n v="13.719499999999998"/>
    <n v="14.999999999999991"/>
    <s v="OK"/>
  </r>
  <r>
    <n v="13537"/>
    <x v="2"/>
    <x v="0"/>
    <n v="12.61"/>
    <n v="5"/>
    <x v="1"/>
    <n v="28"/>
    <n v="16.140799999999999"/>
    <n v="28.000000000000004"/>
    <s v="OK"/>
  </r>
  <r>
    <n v="13538"/>
    <x v="2"/>
    <x v="2"/>
    <n v="2.86"/>
    <n v="4"/>
    <x v="1"/>
    <n v="25"/>
    <n v="3.5749999999999997"/>
    <n v="25"/>
    <s v="OK"/>
  </r>
  <r>
    <n v="13539"/>
    <x v="1"/>
    <x v="0"/>
    <n v="12.89"/>
    <n v="6"/>
    <x v="1"/>
    <n v="28"/>
    <n v="16.499200000000002"/>
    <n v="28.000000000000004"/>
    <s v="OK"/>
  </r>
  <r>
    <n v="13540"/>
    <x v="2"/>
    <x v="2"/>
    <n v="10.46"/>
    <n v="7"/>
    <x v="1"/>
    <n v="25"/>
    <n v="13.075000000000001"/>
    <n v="25"/>
    <s v="OK"/>
  </r>
  <r>
    <n v="13541"/>
    <x v="3"/>
    <x v="1"/>
    <n v="8.0399999999999991"/>
    <n v="9"/>
    <x v="2"/>
    <n v="60"/>
    <n v="12.863999999999999"/>
    <n v="60.000000000000007"/>
    <s v="OK"/>
  </r>
  <r>
    <n v="13542"/>
    <x v="3"/>
    <x v="2"/>
    <n v="12.54"/>
    <n v="1"/>
    <x v="0"/>
    <n v="10"/>
    <n v="13.794"/>
    <n v="10.000000000000009"/>
    <s v="OK"/>
  </r>
  <r>
    <n v="13543"/>
    <x v="2"/>
    <x v="0"/>
    <n v="6.58"/>
    <n v="10"/>
    <x v="2"/>
    <n v="55"/>
    <n v="10.199"/>
    <n v="55.000000000000007"/>
    <s v="OK"/>
  </r>
  <r>
    <n v="13544"/>
    <x v="3"/>
    <x v="0"/>
    <n v="3.31"/>
    <n v="4"/>
    <x v="1"/>
    <n v="28"/>
    <n v="4.2368000000000006"/>
    <n v="28.000000000000025"/>
    <s v="OK"/>
  </r>
  <r>
    <n v="13545"/>
    <x v="2"/>
    <x v="0"/>
    <n v="4.63"/>
    <n v="6"/>
    <x v="1"/>
    <n v="28"/>
    <n v="5.9264000000000001"/>
    <n v="28.000000000000004"/>
    <s v="OK"/>
  </r>
  <r>
    <n v="13546"/>
    <x v="2"/>
    <x v="0"/>
    <n v="7.82"/>
    <n v="10"/>
    <x v="2"/>
    <n v="55"/>
    <n v="12.121"/>
    <n v="55.000000000000007"/>
    <s v="OK"/>
  </r>
  <r>
    <n v="13547"/>
    <x v="2"/>
    <x v="1"/>
    <n v="8.1999999999999993"/>
    <n v="7"/>
    <x v="1"/>
    <n v="30"/>
    <n v="10.66"/>
    <n v="30.000000000000004"/>
    <s v="OK"/>
  </r>
  <r>
    <n v="13548"/>
    <x v="1"/>
    <x v="2"/>
    <n v="12.18"/>
    <n v="7"/>
    <x v="1"/>
    <n v="25"/>
    <n v="15.225"/>
    <n v="25"/>
    <s v="OK"/>
  </r>
  <r>
    <n v="13549"/>
    <x v="2"/>
    <x v="1"/>
    <n v="11.97"/>
    <n v="8"/>
    <x v="2"/>
    <n v="60"/>
    <n v="19.152000000000001"/>
    <n v="60.000000000000007"/>
    <s v="OK"/>
  </r>
  <r>
    <n v="13550"/>
    <x v="1"/>
    <x v="1"/>
    <n v="8.93"/>
    <n v="10"/>
    <x v="2"/>
    <n v="60"/>
    <n v="14.288"/>
    <n v="60.000000000000007"/>
    <s v="OK"/>
  </r>
  <r>
    <n v="13551"/>
    <x v="2"/>
    <x v="1"/>
    <n v="11.82"/>
    <n v="8"/>
    <x v="2"/>
    <n v="60"/>
    <n v="18.912000000000003"/>
    <n v="60.000000000000007"/>
    <s v="OK"/>
  </r>
  <r>
    <n v="13552"/>
    <x v="2"/>
    <x v="0"/>
    <n v="3.28"/>
    <n v="8"/>
    <x v="2"/>
    <n v="55"/>
    <n v="5.0839999999999996"/>
    <n v="55.000000000000007"/>
    <s v="OK"/>
  </r>
  <r>
    <n v="13553"/>
    <x v="2"/>
    <x v="0"/>
    <n v="1.23"/>
    <n v="8"/>
    <x v="2"/>
    <n v="55"/>
    <n v="1.9065000000000001"/>
    <n v="55.000000000000007"/>
    <s v="OK"/>
  </r>
  <r>
    <n v="13554"/>
    <x v="3"/>
    <x v="0"/>
    <n v="13.17"/>
    <n v="8"/>
    <x v="2"/>
    <n v="55"/>
    <n v="20.413499999999999"/>
    <n v="55.000000000000007"/>
    <s v="OK"/>
  </r>
  <r>
    <n v="13555"/>
    <x v="1"/>
    <x v="2"/>
    <n v="1.6"/>
    <n v="6"/>
    <x v="1"/>
    <n v="25"/>
    <n v="2"/>
    <n v="25"/>
    <s v="OK"/>
  </r>
  <r>
    <n v="13556"/>
    <x v="1"/>
    <x v="0"/>
    <n v="4.08"/>
    <n v="9"/>
    <x v="2"/>
    <n v="55"/>
    <n v="6.3240000000000007"/>
    <n v="55.000000000000007"/>
    <s v="OK"/>
  </r>
  <r>
    <n v="13557"/>
    <x v="2"/>
    <x v="2"/>
    <n v="10.58"/>
    <n v="3"/>
    <x v="0"/>
    <n v="10"/>
    <n v="11.638000000000002"/>
    <n v="10.000000000000009"/>
    <s v="OK"/>
  </r>
  <r>
    <n v="13558"/>
    <x v="2"/>
    <x v="0"/>
    <n v="6.44"/>
    <n v="6"/>
    <x v="1"/>
    <n v="28"/>
    <n v="8.2431999999999999"/>
    <n v="27.999999999999979"/>
    <s v="OK"/>
  </r>
  <r>
    <n v="13559"/>
    <x v="3"/>
    <x v="0"/>
    <n v="13.21"/>
    <n v="5"/>
    <x v="1"/>
    <n v="28"/>
    <n v="16.908800000000003"/>
    <n v="28.000000000000025"/>
    <s v="OK"/>
  </r>
  <r>
    <n v="13560"/>
    <x v="3"/>
    <x v="1"/>
    <n v="4.82"/>
    <n v="8"/>
    <x v="2"/>
    <n v="60"/>
    <n v="7.7120000000000006"/>
    <n v="60.000000000000007"/>
    <s v="OK"/>
  </r>
  <r>
    <n v="13561"/>
    <x v="3"/>
    <x v="1"/>
    <n v="0.67"/>
    <n v="4"/>
    <x v="1"/>
    <n v="30"/>
    <n v="0.87100000000000011"/>
    <n v="30.000000000000004"/>
    <s v="OK"/>
  </r>
  <r>
    <n v="13562"/>
    <x v="1"/>
    <x v="1"/>
    <n v="4.8600000000000003"/>
    <n v="4"/>
    <x v="1"/>
    <n v="30"/>
    <n v="6.3180000000000005"/>
    <n v="30.000000000000004"/>
    <s v="OK"/>
  </r>
  <r>
    <n v="13563"/>
    <x v="1"/>
    <x v="2"/>
    <n v="8.8800000000000008"/>
    <n v="10"/>
    <x v="2"/>
    <n v="50"/>
    <n v="13.32"/>
    <n v="50"/>
    <s v="OK"/>
  </r>
  <r>
    <n v="13564"/>
    <x v="1"/>
    <x v="2"/>
    <n v="5.95"/>
    <n v="10"/>
    <x v="2"/>
    <n v="50"/>
    <n v="8.9250000000000007"/>
    <n v="50"/>
    <s v="OK"/>
  </r>
  <r>
    <n v="13565"/>
    <x v="2"/>
    <x v="0"/>
    <n v="8.26"/>
    <n v="5"/>
    <x v="1"/>
    <n v="28"/>
    <n v="10.572799999999999"/>
    <n v="28.000000000000004"/>
    <s v="OK"/>
  </r>
  <r>
    <n v="13566"/>
    <x v="1"/>
    <x v="2"/>
    <n v="13.21"/>
    <n v="6"/>
    <x v="1"/>
    <n v="25"/>
    <n v="16.512500000000003"/>
    <n v="25.000000000000021"/>
    <s v="OK"/>
  </r>
  <r>
    <n v="13567"/>
    <x v="0"/>
    <x v="0"/>
    <n v="13.73"/>
    <n v="4"/>
    <x v="1"/>
    <n v="28"/>
    <n v="17.574400000000001"/>
    <n v="28.000000000000004"/>
    <s v="OK"/>
  </r>
  <r>
    <n v="13568"/>
    <x v="0"/>
    <x v="2"/>
    <n v="4.3600000000000003"/>
    <n v="2"/>
    <x v="0"/>
    <n v="10"/>
    <n v="4.7960000000000012"/>
    <n v="10.000000000000009"/>
    <s v="OK"/>
  </r>
  <r>
    <n v="13569"/>
    <x v="3"/>
    <x v="2"/>
    <n v="7.2"/>
    <n v="2"/>
    <x v="0"/>
    <n v="10"/>
    <n v="7.9200000000000008"/>
    <n v="10.000000000000009"/>
    <s v="OK"/>
  </r>
  <r>
    <n v="13570"/>
    <x v="1"/>
    <x v="2"/>
    <n v="8.4600000000000009"/>
    <n v="3"/>
    <x v="0"/>
    <n v="10"/>
    <n v="9.3060000000000009"/>
    <n v="10.000000000000009"/>
    <s v="OK"/>
  </r>
  <r>
    <n v="13571"/>
    <x v="0"/>
    <x v="1"/>
    <n v="14.26"/>
    <n v="2"/>
    <x v="0"/>
    <n v="15"/>
    <n v="16.398999999999997"/>
    <n v="14.999999999999991"/>
    <s v="OK"/>
  </r>
  <r>
    <n v="13572"/>
    <x v="3"/>
    <x v="2"/>
    <n v="14.98"/>
    <n v="1"/>
    <x v="0"/>
    <n v="10"/>
    <n v="16.478000000000002"/>
    <n v="10.000000000000009"/>
    <s v="OK"/>
  </r>
  <r>
    <n v="13573"/>
    <x v="1"/>
    <x v="1"/>
    <n v="3.91"/>
    <n v="8"/>
    <x v="2"/>
    <n v="60"/>
    <n v="6.2560000000000002"/>
    <n v="60.000000000000007"/>
    <s v="OK"/>
  </r>
  <r>
    <n v="13574"/>
    <x v="2"/>
    <x v="1"/>
    <n v="11.04"/>
    <n v="5"/>
    <x v="1"/>
    <n v="30"/>
    <n v="14.351999999999999"/>
    <n v="30.000000000000004"/>
    <s v="OK"/>
  </r>
  <r>
    <n v="13575"/>
    <x v="0"/>
    <x v="2"/>
    <n v="5.98"/>
    <n v="10"/>
    <x v="2"/>
    <n v="50"/>
    <n v="8.9700000000000006"/>
    <n v="50"/>
    <s v="OK"/>
  </r>
  <r>
    <n v="13576"/>
    <x v="2"/>
    <x v="0"/>
    <n v="0.62"/>
    <n v="1"/>
    <x v="0"/>
    <n v="12"/>
    <n v="0.69440000000000002"/>
    <n v="12.000000000000011"/>
    <s v="OK"/>
  </r>
  <r>
    <n v="13577"/>
    <x v="1"/>
    <x v="0"/>
    <n v="0.63"/>
    <n v="9"/>
    <x v="2"/>
    <n v="55"/>
    <n v="0.97650000000000003"/>
    <n v="55.000000000000007"/>
    <s v="OK"/>
  </r>
  <r>
    <n v="13578"/>
    <x v="0"/>
    <x v="0"/>
    <n v="7.18"/>
    <n v="8"/>
    <x v="2"/>
    <n v="55"/>
    <n v="11.129"/>
    <n v="55.000000000000007"/>
    <s v="OK"/>
  </r>
  <r>
    <n v="13579"/>
    <x v="1"/>
    <x v="2"/>
    <n v="7.58"/>
    <n v="4"/>
    <x v="1"/>
    <n v="25"/>
    <n v="9.4749999999999996"/>
    <n v="25"/>
    <s v="OK"/>
  </r>
  <r>
    <n v="13580"/>
    <x v="2"/>
    <x v="0"/>
    <n v="0.83"/>
    <n v="8"/>
    <x v="2"/>
    <n v="55"/>
    <n v="1.2865"/>
    <n v="55.000000000000007"/>
    <s v="OK"/>
  </r>
  <r>
    <n v="13581"/>
    <x v="0"/>
    <x v="1"/>
    <n v="10.46"/>
    <n v="10"/>
    <x v="2"/>
    <n v="60"/>
    <n v="16.736000000000001"/>
    <n v="59.999999999999986"/>
    <s v="OK"/>
  </r>
  <r>
    <n v="13582"/>
    <x v="2"/>
    <x v="0"/>
    <n v="4.76"/>
    <n v="7"/>
    <x v="1"/>
    <n v="28"/>
    <n v="6.0927999999999995"/>
    <n v="28.000000000000004"/>
    <s v="OK"/>
  </r>
  <r>
    <n v="13583"/>
    <x v="1"/>
    <x v="2"/>
    <n v="8.6199999999999992"/>
    <n v="7"/>
    <x v="1"/>
    <n v="25"/>
    <n v="10.774999999999999"/>
    <n v="25"/>
    <s v="OK"/>
  </r>
  <r>
    <n v="13584"/>
    <x v="1"/>
    <x v="0"/>
    <n v="4.8600000000000003"/>
    <n v="1"/>
    <x v="0"/>
    <n v="12"/>
    <n v="5.4432000000000009"/>
    <n v="12.000000000000011"/>
    <s v="OK"/>
  </r>
  <r>
    <n v="13585"/>
    <x v="2"/>
    <x v="1"/>
    <n v="2.92"/>
    <n v="6"/>
    <x v="1"/>
    <n v="30"/>
    <n v="3.7959999999999998"/>
    <n v="30.000000000000004"/>
    <s v="OK"/>
  </r>
  <r>
    <n v="13586"/>
    <x v="0"/>
    <x v="2"/>
    <n v="6.4"/>
    <n v="4"/>
    <x v="1"/>
    <n v="25"/>
    <n v="8"/>
    <n v="25"/>
    <s v="OK"/>
  </r>
  <r>
    <n v="13587"/>
    <x v="2"/>
    <x v="0"/>
    <n v="3.87"/>
    <n v="10"/>
    <x v="2"/>
    <n v="55"/>
    <n v="5.9984999999999999"/>
    <n v="55.000000000000007"/>
    <s v="OK"/>
  </r>
  <r>
    <n v="13588"/>
    <x v="1"/>
    <x v="2"/>
    <n v="8.25"/>
    <n v="10"/>
    <x v="2"/>
    <n v="50"/>
    <n v="12.375"/>
    <n v="50"/>
    <s v="OK"/>
  </r>
  <r>
    <n v="13589"/>
    <x v="2"/>
    <x v="2"/>
    <n v="3.38"/>
    <n v="10"/>
    <x v="2"/>
    <n v="50"/>
    <n v="5.07"/>
    <n v="50.000000000000021"/>
    <s v="OK"/>
  </r>
  <r>
    <n v="13590"/>
    <x v="1"/>
    <x v="2"/>
    <n v="7.87"/>
    <n v="2"/>
    <x v="0"/>
    <n v="10"/>
    <n v="8.657"/>
    <n v="10.000000000000009"/>
    <s v="OK"/>
  </r>
  <r>
    <n v="13591"/>
    <x v="2"/>
    <x v="0"/>
    <n v="2.78"/>
    <n v="10"/>
    <x v="2"/>
    <n v="55"/>
    <n v="4.3090000000000002"/>
    <n v="55.000000000000028"/>
    <s v="OK"/>
  </r>
  <r>
    <n v="13592"/>
    <x v="0"/>
    <x v="2"/>
    <n v="10.23"/>
    <n v="7"/>
    <x v="1"/>
    <n v="25"/>
    <n v="12.787500000000001"/>
    <n v="25"/>
    <s v="OK"/>
  </r>
  <r>
    <n v="13593"/>
    <x v="0"/>
    <x v="0"/>
    <n v="11.43"/>
    <n v="9"/>
    <x v="2"/>
    <n v="55"/>
    <n v="17.7165"/>
    <n v="55.000000000000007"/>
    <s v="OK"/>
  </r>
  <r>
    <n v="13594"/>
    <x v="2"/>
    <x v="1"/>
    <n v="2.1"/>
    <n v="5"/>
    <x v="1"/>
    <n v="30"/>
    <n v="2.7300000000000004"/>
    <n v="30.000000000000004"/>
    <s v="OK"/>
  </r>
  <r>
    <n v="13595"/>
    <x v="2"/>
    <x v="0"/>
    <n v="7.28"/>
    <n v="8"/>
    <x v="2"/>
    <n v="55"/>
    <n v="11.284000000000001"/>
    <n v="55.000000000000007"/>
    <s v="OK"/>
  </r>
  <r>
    <n v="13596"/>
    <x v="0"/>
    <x v="1"/>
    <n v="1.53"/>
    <n v="5"/>
    <x v="1"/>
    <n v="30"/>
    <n v="1.9890000000000001"/>
    <n v="30.000000000000004"/>
    <s v="OK"/>
  </r>
  <r>
    <n v="13597"/>
    <x v="1"/>
    <x v="0"/>
    <n v="9.17"/>
    <n v="7"/>
    <x v="1"/>
    <n v="28"/>
    <n v="11.7376"/>
    <n v="28.000000000000004"/>
    <s v="OK"/>
  </r>
  <r>
    <n v="13598"/>
    <x v="0"/>
    <x v="2"/>
    <n v="4.33"/>
    <n v="7"/>
    <x v="1"/>
    <n v="25"/>
    <n v="5.4124999999999996"/>
    <n v="25"/>
    <s v="OK"/>
  </r>
  <r>
    <n v="13599"/>
    <x v="1"/>
    <x v="0"/>
    <n v="8.15"/>
    <n v="9"/>
    <x v="2"/>
    <n v="55"/>
    <n v="12.6325"/>
    <n v="55.000000000000007"/>
    <s v="OK"/>
  </r>
  <r>
    <n v="13600"/>
    <x v="2"/>
    <x v="2"/>
    <n v="8"/>
    <n v="3"/>
    <x v="0"/>
    <n v="10"/>
    <n v="8.8000000000000007"/>
    <n v="10.000000000000009"/>
    <s v="OK"/>
  </r>
  <r>
    <n v="13601"/>
    <x v="2"/>
    <x v="1"/>
    <n v="13.9"/>
    <n v="1"/>
    <x v="0"/>
    <n v="15"/>
    <n v="15.984999999999999"/>
    <n v="14.999999999999991"/>
    <s v="OK"/>
  </r>
  <r>
    <n v="13602"/>
    <x v="1"/>
    <x v="0"/>
    <n v="8.4600000000000009"/>
    <n v="2"/>
    <x v="0"/>
    <n v="12"/>
    <n v="9.4752000000000027"/>
    <n v="12.000000000000011"/>
    <s v="OK"/>
  </r>
  <r>
    <n v="13603"/>
    <x v="2"/>
    <x v="2"/>
    <n v="8.9499999999999993"/>
    <n v="6"/>
    <x v="1"/>
    <n v="25"/>
    <n v="11.1875"/>
    <n v="25"/>
    <s v="OK"/>
  </r>
  <r>
    <n v="13604"/>
    <x v="1"/>
    <x v="1"/>
    <n v="6.32"/>
    <n v="10"/>
    <x v="2"/>
    <n v="60"/>
    <n v="10.112000000000002"/>
    <n v="60.000000000000028"/>
    <s v="OK"/>
  </r>
  <r>
    <n v="13605"/>
    <x v="3"/>
    <x v="1"/>
    <n v="14.26"/>
    <n v="10"/>
    <x v="2"/>
    <n v="60"/>
    <n v="22.816000000000003"/>
    <n v="60.000000000000007"/>
    <s v="OK"/>
  </r>
  <r>
    <n v="13606"/>
    <x v="0"/>
    <x v="0"/>
    <n v="11.77"/>
    <n v="9"/>
    <x v="2"/>
    <n v="55"/>
    <n v="18.243500000000001"/>
    <n v="55.000000000000007"/>
    <s v="OK"/>
  </r>
  <r>
    <n v="13607"/>
    <x v="3"/>
    <x v="1"/>
    <n v="4.6399999999999997"/>
    <n v="3"/>
    <x v="0"/>
    <n v="15"/>
    <n v="5.3359999999999994"/>
    <n v="14.999999999999991"/>
    <s v="OK"/>
  </r>
  <r>
    <n v="13608"/>
    <x v="1"/>
    <x v="2"/>
    <n v="12.74"/>
    <n v="10"/>
    <x v="2"/>
    <n v="50"/>
    <n v="19.11"/>
    <n v="50"/>
    <s v="OK"/>
  </r>
  <r>
    <n v="13609"/>
    <x v="0"/>
    <x v="1"/>
    <n v="6.77"/>
    <n v="2"/>
    <x v="0"/>
    <n v="15"/>
    <n v="7.785499999999999"/>
    <n v="14.999999999999991"/>
    <s v="OK"/>
  </r>
  <r>
    <n v="13610"/>
    <x v="1"/>
    <x v="1"/>
    <n v="12.52"/>
    <n v="1"/>
    <x v="0"/>
    <n v="15"/>
    <n v="14.397999999999998"/>
    <n v="14.999999999999991"/>
    <s v="OK"/>
  </r>
  <r>
    <n v="13611"/>
    <x v="0"/>
    <x v="2"/>
    <n v="12.43"/>
    <n v="2"/>
    <x v="0"/>
    <n v="10"/>
    <n v="13.673"/>
    <n v="10.000000000000009"/>
    <s v="OK"/>
  </r>
  <r>
    <n v="13612"/>
    <x v="0"/>
    <x v="1"/>
    <n v="3.24"/>
    <n v="3"/>
    <x v="0"/>
    <n v="15"/>
    <n v="3.726"/>
    <n v="14.999999999999991"/>
    <s v="OK"/>
  </r>
  <r>
    <n v="13613"/>
    <x v="0"/>
    <x v="1"/>
    <n v="10.67"/>
    <n v="7"/>
    <x v="1"/>
    <n v="30"/>
    <n v="13.871"/>
    <n v="30.000000000000004"/>
    <s v="OK"/>
  </r>
  <r>
    <n v="13614"/>
    <x v="0"/>
    <x v="1"/>
    <n v="4.71"/>
    <n v="2"/>
    <x v="0"/>
    <n v="15"/>
    <n v="5.4164999999999992"/>
    <n v="14.999999999999991"/>
    <s v="OK"/>
  </r>
  <r>
    <n v="13615"/>
    <x v="1"/>
    <x v="1"/>
    <n v="4.8099999999999996"/>
    <n v="5"/>
    <x v="1"/>
    <n v="30"/>
    <n v="6.2530000000000001"/>
    <n v="30.000000000000004"/>
    <s v="OK"/>
  </r>
  <r>
    <n v="13616"/>
    <x v="0"/>
    <x v="2"/>
    <n v="4.8"/>
    <n v="2"/>
    <x v="0"/>
    <n v="10"/>
    <n v="5.28"/>
    <n v="10.000000000000009"/>
    <s v="OK"/>
  </r>
  <r>
    <n v="13617"/>
    <x v="0"/>
    <x v="1"/>
    <n v="11.02"/>
    <n v="7"/>
    <x v="1"/>
    <n v="30"/>
    <n v="14.326000000000001"/>
    <n v="30.000000000000004"/>
    <s v="OK"/>
  </r>
  <r>
    <n v="13618"/>
    <x v="3"/>
    <x v="2"/>
    <n v="3.83"/>
    <n v="10"/>
    <x v="2"/>
    <n v="50"/>
    <n v="5.7450000000000001"/>
    <n v="50"/>
    <s v="OK"/>
  </r>
  <r>
    <n v="13619"/>
    <x v="2"/>
    <x v="1"/>
    <n v="0.51"/>
    <n v="8"/>
    <x v="2"/>
    <n v="60"/>
    <n v="0.81600000000000006"/>
    <n v="60.000000000000007"/>
    <s v="OK"/>
  </r>
  <r>
    <n v="13620"/>
    <x v="2"/>
    <x v="1"/>
    <n v="10.87"/>
    <n v="8"/>
    <x v="2"/>
    <n v="60"/>
    <n v="17.391999999999999"/>
    <n v="60.000000000000007"/>
    <s v="OK"/>
  </r>
  <r>
    <n v="13621"/>
    <x v="3"/>
    <x v="1"/>
    <n v="2.98"/>
    <n v="8"/>
    <x v="2"/>
    <n v="60"/>
    <n v="4.7679999999999998"/>
    <n v="59.999999999999986"/>
    <s v="OK"/>
  </r>
  <r>
    <n v="13622"/>
    <x v="3"/>
    <x v="1"/>
    <n v="2.0099999999999998"/>
    <n v="10"/>
    <x v="2"/>
    <n v="60"/>
    <n v="3.2159999999999997"/>
    <n v="60.000000000000007"/>
    <s v="OK"/>
  </r>
  <r>
    <n v="13623"/>
    <x v="1"/>
    <x v="2"/>
    <n v="3.94"/>
    <n v="9"/>
    <x v="2"/>
    <n v="50"/>
    <n v="5.91"/>
    <n v="50"/>
    <s v="OK"/>
  </r>
  <r>
    <n v="13624"/>
    <x v="1"/>
    <x v="2"/>
    <n v="6.01"/>
    <n v="1"/>
    <x v="0"/>
    <n v="10"/>
    <n v="6.6110000000000007"/>
    <n v="10.000000000000009"/>
    <s v="OK"/>
  </r>
  <r>
    <n v="13625"/>
    <x v="1"/>
    <x v="2"/>
    <n v="7.4"/>
    <n v="1"/>
    <x v="0"/>
    <n v="10"/>
    <n v="8.14"/>
    <n v="10.000000000000009"/>
    <s v="OK"/>
  </r>
  <r>
    <n v="13626"/>
    <x v="3"/>
    <x v="0"/>
    <n v="1.1499999999999999"/>
    <n v="10"/>
    <x v="2"/>
    <n v="55"/>
    <n v="1.7825"/>
    <n v="55.000000000000007"/>
    <s v="OK"/>
  </r>
  <r>
    <n v="13627"/>
    <x v="3"/>
    <x v="1"/>
    <n v="14.57"/>
    <n v="2"/>
    <x v="0"/>
    <n v="15"/>
    <n v="16.755499999999998"/>
    <n v="14.999999999999991"/>
    <s v="OK"/>
  </r>
  <r>
    <n v="13628"/>
    <x v="0"/>
    <x v="1"/>
    <n v="10.88"/>
    <n v="6"/>
    <x v="1"/>
    <n v="30"/>
    <n v="14.144000000000002"/>
    <n v="30.000000000000004"/>
    <s v="OK"/>
  </r>
  <r>
    <n v="13629"/>
    <x v="1"/>
    <x v="2"/>
    <n v="5.19"/>
    <n v="1"/>
    <x v="0"/>
    <n v="10"/>
    <n v="5.7090000000000005"/>
    <n v="10.000000000000009"/>
    <s v="OK"/>
  </r>
  <r>
    <n v="13630"/>
    <x v="1"/>
    <x v="0"/>
    <n v="5.12"/>
    <n v="5"/>
    <x v="1"/>
    <n v="28"/>
    <n v="6.5536000000000003"/>
    <n v="28.000000000000004"/>
    <s v="OK"/>
  </r>
  <r>
    <n v="13631"/>
    <x v="1"/>
    <x v="1"/>
    <n v="7"/>
    <n v="5"/>
    <x v="1"/>
    <n v="30"/>
    <n v="9.1"/>
    <n v="30.000000000000004"/>
    <s v="OK"/>
  </r>
  <r>
    <n v="13632"/>
    <x v="2"/>
    <x v="2"/>
    <n v="9.58"/>
    <n v="4"/>
    <x v="1"/>
    <n v="25"/>
    <n v="11.975"/>
    <n v="25"/>
    <s v="OK"/>
  </r>
  <r>
    <n v="13633"/>
    <x v="0"/>
    <x v="1"/>
    <n v="2.62"/>
    <n v="5"/>
    <x v="1"/>
    <n v="30"/>
    <n v="3.4060000000000001"/>
    <n v="30.000000000000004"/>
    <s v="OK"/>
  </r>
  <r>
    <n v="13634"/>
    <x v="1"/>
    <x v="1"/>
    <n v="3.24"/>
    <n v="1"/>
    <x v="0"/>
    <n v="15"/>
    <n v="3.726"/>
    <n v="14.999999999999991"/>
    <s v="OK"/>
  </r>
  <r>
    <n v="13635"/>
    <x v="1"/>
    <x v="2"/>
    <n v="12.96"/>
    <n v="6"/>
    <x v="1"/>
    <n v="25"/>
    <n v="16.200000000000003"/>
    <n v="25.000000000000021"/>
    <s v="OK"/>
  </r>
  <r>
    <n v="13636"/>
    <x v="1"/>
    <x v="2"/>
    <n v="4.22"/>
    <n v="7"/>
    <x v="1"/>
    <n v="25"/>
    <n v="5.2749999999999995"/>
    <n v="25"/>
    <s v="OK"/>
  </r>
  <r>
    <n v="13637"/>
    <x v="2"/>
    <x v="1"/>
    <n v="6.01"/>
    <n v="8"/>
    <x v="2"/>
    <n v="60"/>
    <n v="9.6159999999999997"/>
    <n v="60.000000000000007"/>
    <s v="OK"/>
  </r>
  <r>
    <n v="13638"/>
    <x v="2"/>
    <x v="1"/>
    <n v="13.13"/>
    <n v="2"/>
    <x v="0"/>
    <n v="15"/>
    <n v="15.099499999999999"/>
    <n v="14.999999999999991"/>
    <s v="OK"/>
  </r>
  <r>
    <n v="13639"/>
    <x v="3"/>
    <x v="2"/>
    <n v="10.119999999999999"/>
    <n v="7"/>
    <x v="1"/>
    <n v="25"/>
    <n v="12.649999999999999"/>
    <n v="25"/>
    <s v="OK"/>
  </r>
  <r>
    <n v="13640"/>
    <x v="0"/>
    <x v="1"/>
    <n v="5.45"/>
    <n v="6"/>
    <x v="1"/>
    <n v="30"/>
    <n v="7.0850000000000009"/>
    <n v="30.000000000000004"/>
    <s v="OK"/>
  </r>
  <r>
    <n v="13641"/>
    <x v="3"/>
    <x v="1"/>
    <n v="10.41"/>
    <n v="9"/>
    <x v="2"/>
    <n v="60"/>
    <n v="16.656000000000002"/>
    <n v="60.000000000000028"/>
    <s v="OK"/>
  </r>
  <r>
    <n v="13642"/>
    <x v="0"/>
    <x v="2"/>
    <n v="0.79"/>
    <n v="8"/>
    <x v="2"/>
    <n v="50"/>
    <n v="1.1850000000000001"/>
    <n v="50"/>
    <s v="OK"/>
  </r>
  <r>
    <n v="13643"/>
    <x v="2"/>
    <x v="1"/>
    <n v="11.17"/>
    <n v="4"/>
    <x v="1"/>
    <n v="30"/>
    <n v="14.521000000000001"/>
    <n v="30.000000000000004"/>
    <s v="OK"/>
  </r>
  <r>
    <n v="13644"/>
    <x v="1"/>
    <x v="1"/>
    <n v="7.56"/>
    <n v="9"/>
    <x v="2"/>
    <n v="60"/>
    <n v="12.096"/>
    <n v="60.000000000000007"/>
    <s v="OK"/>
  </r>
  <r>
    <n v="13645"/>
    <x v="3"/>
    <x v="0"/>
    <n v="12.29"/>
    <n v="1"/>
    <x v="0"/>
    <n v="12"/>
    <n v="13.764800000000001"/>
    <n v="12.000000000000011"/>
    <s v="OK"/>
  </r>
  <r>
    <n v="13646"/>
    <x v="1"/>
    <x v="2"/>
    <n v="14.34"/>
    <n v="6"/>
    <x v="1"/>
    <n v="25"/>
    <n v="17.925000000000001"/>
    <n v="25"/>
    <s v="OK"/>
  </r>
  <r>
    <n v="13647"/>
    <x v="3"/>
    <x v="0"/>
    <n v="13.92"/>
    <n v="8"/>
    <x v="2"/>
    <n v="55"/>
    <n v="21.576000000000001"/>
    <n v="55.000000000000007"/>
    <s v="OK"/>
  </r>
  <r>
    <n v="13648"/>
    <x v="2"/>
    <x v="0"/>
    <n v="13.68"/>
    <n v="4"/>
    <x v="1"/>
    <n v="28"/>
    <n v="17.510400000000001"/>
    <n v="28.000000000000004"/>
    <s v="OK"/>
  </r>
  <r>
    <n v="13649"/>
    <x v="2"/>
    <x v="0"/>
    <n v="7.93"/>
    <n v="2"/>
    <x v="0"/>
    <n v="12"/>
    <n v="8.8816000000000006"/>
    <n v="12.000000000000011"/>
    <s v="OK"/>
  </r>
  <r>
    <n v="13650"/>
    <x v="2"/>
    <x v="1"/>
    <n v="5.72"/>
    <n v="2"/>
    <x v="0"/>
    <n v="15"/>
    <n v="6.5779999999999994"/>
    <n v="14.999999999999991"/>
    <s v="OK"/>
  </r>
  <r>
    <n v="13651"/>
    <x v="3"/>
    <x v="1"/>
    <n v="7.24"/>
    <n v="10"/>
    <x v="2"/>
    <n v="60"/>
    <n v="11.584000000000001"/>
    <n v="60.000000000000007"/>
    <s v="OK"/>
  </r>
  <r>
    <n v="13652"/>
    <x v="0"/>
    <x v="0"/>
    <n v="10.5"/>
    <n v="1"/>
    <x v="0"/>
    <n v="12"/>
    <n v="11.760000000000002"/>
    <n v="12.000000000000011"/>
    <s v="OK"/>
  </r>
  <r>
    <n v="13653"/>
    <x v="3"/>
    <x v="0"/>
    <n v="13.32"/>
    <n v="5"/>
    <x v="1"/>
    <n v="28"/>
    <n v="17.049600000000002"/>
    <n v="28.000000000000004"/>
    <s v="OK"/>
  </r>
  <r>
    <n v="13654"/>
    <x v="0"/>
    <x v="0"/>
    <n v="3.5"/>
    <n v="6"/>
    <x v="1"/>
    <n v="28"/>
    <n v="4.4800000000000004"/>
    <n v="28.000000000000004"/>
    <s v="OK"/>
  </r>
  <r>
    <n v="13655"/>
    <x v="3"/>
    <x v="1"/>
    <n v="13.81"/>
    <n v="4"/>
    <x v="1"/>
    <n v="30"/>
    <n v="17.953000000000003"/>
    <n v="30.000000000000028"/>
    <s v="OK"/>
  </r>
  <r>
    <n v="13656"/>
    <x v="3"/>
    <x v="0"/>
    <n v="12.32"/>
    <n v="4"/>
    <x v="1"/>
    <n v="28"/>
    <n v="15.769600000000001"/>
    <n v="28.000000000000004"/>
    <s v="OK"/>
  </r>
  <r>
    <n v="13657"/>
    <x v="2"/>
    <x v="0"/>
    <n v="14.69"/>
    <n v="5"/>
    <x v="1"/>
    <n v="28"/>
    <n v="18.8032"/>
    <n v="28.000000000000004"/>
    <s v="OK"/>
  </r>
  <r>
    <n v="13658"/>
    <x v="1"/>
    <x v="2"/>
    <n v="13.26"/>
    <n v="5"/>
    <x v="1"/>
    <n v="25"/>
    <n v="16.574999999999999"/>
    <n v="25"/>
    <s v="OK"/>
  </r>
  <r>
    <n v="13659"/>
    <x v="1"/>
    <x v="2"/>
    <n v="4.5599999999999996"/>
    <n v="9"/>
    <x v="2"/>
    <n v="50"/>
    <n v="6.84"/>
    <n v="50"/>
    <s v="OK"/>
  </r>
  <r>
    <n v="13660"/>
    <x v="0"/>
    <x v="1"/>
    <n v="2.04"/>
    <n v="8"/>
    <x v="2"/>
    <n v="60"/>
    <n v="3.2640000000000002"/>
    <n v="60.000000000000007"/>
    <s v="OK"/>
  </r>
  <r>
    <n v="13661"/>
    <x v="1"/>
    <x v="2"/>
    <n v="2.13"/>
    <n v="9"/>
    <x v="2"/>
    <n v="50"/>
    <n v="3.1949999999999998"/>
    <n v="50"/>
    <s v="OK"/>
  </r>
  <r>
    <n v="13662"/>
    <x v="3"/>
    <x v="2"/>
    <n v="4.72"/>
    <n v="3"/>
    <x v="0"/>
    <n v="10"/>
    <n v="5.1920000000000002"/>
    <n v="10.000000000000009"/>
    <s v="OK"/>
  </r>
  <r>
    <n v="13663"/>
    <x v="3"/>
    <x v="2"/>
    <n v="9.41"/>
    <n v="3"/>
    <x v="0"/>
    <n v="10"/>
    <n v="10.351000000000001"/>
    <n v="10.000000000000009"/>
    <s v="OK"/>
  </r>
  <r>
    <n v="13664"/>
    <x v="2"/>
    <x v="1"/>
    <n v="12.16"/>
    <n v="1"/>
    <x v="0"/>
    <n v="15"/>
    <n v="13.983999999999998"/>
    <n v="14.999999999999991"/>
    <s v="OK"/>
  </r>
  <r>
    <n v="13665"/>
    <x v="2"/>
    <x v="2"/>
    <n v="13.54"/>
    <n v="10"/>
    <x v="2"/>
    <n v="50"/>
    <n v="20.309999999999999"/>
    <n v="50"/>
    <s v="OK"/>
  </r>
  <r>
    <n v="13666"/>
    <x v="1"/>
    <x v="1"/>
    <n v="9.5399999999999991"/>
    <n v="6"/>
    <x v="1"/>
    <n v="30"/>
    <n v="12.401999999999999"/>
    <n v="30.000000000000004"/>
    <s v="OK"/>
  </r>
  <r>
    <n v="13667"/>
    <x v="0"/>
    <x v="0"/>
    <n v="0.57999999999999996"/>
    <n v="4"/>
    <x v="1"/>
    <n v="28"/>
    <n v="0.74239999999999995"/>
    <n v="28.000000000000004"/>
    <s v="OK"/>
  </r>
  <r>
    <n v="13668"/>
    <x v="1"/>
    <x v="2"/>
    <n v="3.2"/>
    <n v="8"/>
    <x v="2"/>
    <n v="50"/>
    <n v="4.8000000000000007"/>
    <n v="50.000000000000021"/>
    <s v="OK"/>
  </r>
  <r>
    <n v="13669"/>
    <x v="1"/>
    <x v="1"/>
    <n v="1.95"/>
    <n v="2"/>
    <x v="0"/>
    <n v="15"/>
    <n v="2.2424999999999997"/>
    <n v="14.999999999999991"/>
    <s v="OK"/>
  </r>
  <r>
    <n v="13670"/>
    <x v="1"/>
    <x v="2"/>
    <n v="5.77"/>
    <n v="2"/>
    <x v="0"/>
    <n v="10"/>
    <n v="6.3470000000000004"/>
    <n v="10.000000000000009"/>
    <s v="OK"/>
  </r>
  <r>
    <n v="13671"/>
    <x v="1"/>
    <x v="0"/>
    <n v="7.77"/>
    <n v="7"/>
    <x v="1"/>
    <n v="28"/>
    <n v="9.9455999999999989"/>
    <n v="28.000000000000004"/>
    <s v="OK"/>
  </r>
  <r>
    <n v="13672"/>
    <x v="3"/>
    <x v="1"/>
    <n v="1.1299999999999999"/>
    <n v="5"/>
    <x v="1"/>
    <n v="30"/>
    <n v="1.4689999999999999"/>
    <n v="30.000000000000004"/>
    <s v="OK"/>
  </r>
  <r>
    <n v="13673"/>
    <x v="0"/>
    <x v="1"/>
    <n v="5.55"/>
    <n v="1"/>
    <x v="0"/>
    <n v="15"/>
    <n v="6.3824999999999994"/>
    <n v="14.999999999999991"/>
    <s v="OK"/>
  </r>
  <r>
    <n v="13674"/>
    <x v="3"/>
    <x v="1"/>
    <n v="3.1"/>
    <n v="7"/>
    <x v="1"/>
    <n v="30"/>
    <n v="4.03"/>
    <n v="30.000000000000004"/>
    <s v="OK"/>
  </r>
  <r>
    <n v="13675"/>
    <x v="0"/>
    <x v="0"/>
    <n v="9.8800000000000008"/>
    <n v="7"/>
    <x v="1"/>
    <n v="28"/>
    <n v="12.646400000000002"/>
    <n v="28.000000000000004"/>
    <s v="OK"/>
  </r>
  <r>
    <n v="13676"/>
    <x v="2"/>
    <x v="0"/>
    <n v="7.23"/>
    <n v="10"/>
    <x v="2"/>
    <n v="55"/>
    <n v="11.2065"/>
    <n v="54.999999999999986"/>
    <s v="OK"/>
  </r>
  <r>
    <n v="13677"/>
    <x v="1"/>
    <x v="0"/>
    <n v="7.68"/>
    <n v="6"/>
    <x v="1"/>
    <n v="28"/>
    <n v="9.8303999999999991"/>
    <n v="28.000000000000004"/>
    <s v="OK"/>
  </r>
  <r>
    <n v="13678"/>
    <x v="3"/>
    <x v="1"/>
    <n v="6.7"/>
    <n v="4"/>
    <x v="1"/>
    <n v="30"/>
    <n v="8.7100000000000009"/>
    <n v="30.000000000000004"/>
    <s v="OK"/>
  </r>
  <r>
    <n v="13679"/>
    <x v="0"/>
    <x v="0"/>
    <n v="14.36"/>
    <n v="8"/>
    <x v="2"/>
    <n v="55"/>
    <n v="22.257999999999999"/>
    <n v="55.000000000000007"/>
    <s v="OK"/>
  </r>
  <r>
    <n v="13680"/>
    <x v="2"/>
    <x v="2"/>
    <n v="3.61"/>
    <n v="2"/>
    <x v="0"/>
    <n v="10"/>
    <n v="3.9710000000000001"/>
    <n v="10.000000000000009"/>
    <s v="OK"/>
  </r>
  <r>
    <n v="13681"/>
    <x v="2"/>
    <x v="0"/>
    <n v="7.99"/>
    <n v="2"/>
    <x v="0"/>
    <n v="12"/>
    <n v="8.9488000000000003"/>
    <n v="12.000000000000011"/>
    <s v="OK"/>
  </r>
  <r>
    <n v="13682"/>
    <x v="1"/>
    <x v="1"/>
    <n v="11.17"/>
    <n v="2"/>
    <x v="0"/>
    <n v="15"/>
    <n v="12.845499999999999"/>
    <n v="14.999999999999991"/>
    <s v="OK"/>
  </r>
  <r>
    <n v="13683"/>
    <x v="0"/>
    <x v="2"/>
    <n v="8.57"/>
    <n v="3"/>
    <x v="0"/>
    <n v="10"/>
    <n v="9.4270000000000014"/>
    <n v="10.000000000000009"/>
    <s v="OK"/>
  </r>
  <r>
    <n v="13684"/>
    <x v="3"/>
    <x v="0"/>
    <n v="13.97"/>
    <n v="6"/>
    <x v="1"/>
    <n v="28"/>
    <n v="17.881600000000002"/>
    <n v="28.000000000000004"/>
    <s v="OK"/>
  </r>
  <r>
    <n v="13685"/>
    <x v="1"/>
    <x v="2"/>
    <n v="5.98"/>
    <n v="1"/>
    <x v="0"/>
    <n v="10"/>
    <n v="6.5780000000000012"/>
    <n v="10.000000000000009"/>
    <s v="OK"/>
  </r>
  <r>
    <n v="13686"/>
    <x v="3"/>
    <x v="2"/>
    <n v="7.22"/>
    <n v="2"/>
    <x v="0"/>
    <n v="10"/>
    <n v="7.9420000000000002"/>
    <n v="10.000000000000009"/>
    <s v="OK"/>
  </r>
  <r>
    <n v="13687"/>
    <x v="2"/>
    <x v="1"/>
    <n v="1.78"/>
    <n v="10"/>
    <x v="2"/>
    <n v="60"/>
    <n v="2.8480000000000003"/>
    <n v="60.000000000000007"/>
    <s v="OK"/>
  </r>
  <r>
    <n v="13688"/>
    <x v="3"/>
    <x v="2"/>
    <n v="9.33"/>
    <n v="2"/>
    <x v="0"/>
    <n v="10"/>
    <n v="10.263000000000002"/>
    <n v="10.000000000000009"/>
    <s v="OK"/>
  </r>
  <r>
    <n v="13689"/>
    <x v="3"/>
    <x v="2"/>
    <n v="4.68"/>
    <n v="1"/>
    <x v="0"/>
    <n v="10"/>
    <n v="5.1479999999999997"/>
    <n v="10.000000000000009"/>
    <s v="OK"/>
  </r>
  <r>
    <n v="13690"/>
    <x v="1"/>
    <x v="1"/>
    <n v="2.82"/>
    <n v="3"/>
    <x v="0"/>
    <n v="15"/>
    <n v="3.2429999999999994"/>
    <n v="14.999999999999991"/>
    <s v="OK"/>
  </r>
  <r>
    <n v="13691"/>
    <x v="3"/>
    <x v="1"/>
    <n v="8.4"/>
    <n v="10"/>
    <x v="2"/>
    <n v="60"/>
    <n v="13.440000000000001"/>
    <n v="60.000000000000007"/>
    <s v="OK"/>
  </r>
  <r>
    <n v="13692"/>
    <x v="1"/>
    <x v="1"/>
    <n v="8.2200000000000006"/>
    <n v="7"/>
    <x v="1"/>
    <n v="30"/>
    <n v="10.686000000000002"/>
    <n v="30.000000000000004"/>
    <s v="OK"/>
  </r>
  <r>
    <n v="13693"/>
    <x v="2"/>
    <x v="2"/>
    <n v="1.6"/>
    <n v="1"/>
    <x v="0"/>
    <n v="10"/>
    <n v="1.7600000000000002"/>
    <n v="10.000000000000009"/>
    <s v="OK"/>
  </r>
  <r>
    <n v="13694"/>
    <x v="1"/>
    <x v="2"/>
    <n v="10.62"/>
    <n v="7"/>
    <x v="1"/>
    <n v="25"/>
    <n v="13.274999999999999"/>
    <n v="25"/>
    <s v="OK"/>
  </r>
  <r>
    <n v="13695"/>
    <x v="1"/>
    <x v="2"/>
    <n v="9.5399999999999991"/>
    <n v="5"/>
    <x v="1"/>
    <n v="25"/>
    <n v="11.924999999999999"/>
    <n v="25"/>
    <s v="OK"/>
  </r>
  <r>
    <n v="13696"/>
    <x v="0"/>
    <x v="1"/>
    <n v="3.24"/>
    <n v="9"/>
    <x v="2"/>
    <n v="60"/>
    <n v="5.1840000000000011"/>
    <n v="60.000000000000028"/>
    <s v="OK"/>
  </r>
  <r>
    <n v="13697"/>
    <x v="3"/>
    <x v="0"/>
    <n v="7.31"/>
    <n v="2"/>
    <x v="0"/>
    <n v="12"/>
    <n v="8.1872000000000007"/>
    <n v="12.000000000000011"/>
    <s v="OK"/>
  </r>
  <r>
    <n v="13698"/>
    <x v="2"/>
    <x v="2"/>
    <n v="10.94"/>
    <n v="1"/>
    <x v="0"/>
    <n v="10"/>
    <n v="12.034000000000001"/>
    <n v="10.000000000000009"/>
    <s v="OK"/>
  </r>
  <r>
    <n v="13699"/>
    <x v="1"/>
    <x v="0"/>
    <n v="8.18"/>
    <n v="9"/>
    <x v="2"/>
    <n v="55"/>
    <n v="12.679"/>
    <n v="55.000000000000007"/>
    <s v="OK"/>
  </r>
  <r>
    <n v="13700"/>
    <x v="2"/>
    <x v="1"/>
    <n v="6.23"/>
    <n v="8"/>
    <x v="2"/>
    <n v="60"/>
    <n v="9.9680000000000017"/>
    <n v="60.000000000000007"/>
    <s v="OK"/>
  </r>
  <r>
    <n v="13701"/>
    <x v="0"/>
    <x v="2"/>
    <n v="5.17"/>
    <n v="10"/>
    <x v="2"/>
    <n v="50"/>
    <n v="7.7549999999999999"/>
    <n v="50"/>
    <s v="OK"/>
  </r>
  <r>
    <n v="13702"/>
    <x v="3"/>
    <x v="0"/>
    <n v="9.35"/>
    <n v="6"/>
    <x v="1"/>
    <n v="28"/>
    <n v="11.968"/>
    <n v="28.000000000000004"/>
    <s v="OK"/>
  </r>
  <r>
    <n v="13703"/>
    <x v="1"/>
    <x v="2"/>
    <n v="14.12"/>
    <n v="5"/>
    <x v="1"/>
    <n v="25"/>
    <n v="17.649999999999999"/>
    <n v="25"/>
    <s v="OK"/>
  </r>
  <r>
    <n v="13704"/>
    <x v="3"/>
    <x v="2"/>
    <n v="10.24"/>
    <n v="8"/>
    <x v="2"/>
    <n v="50"/>
    <n v="15.36"/>
    <n v="50"/>
    <s v="OK"/>
  </r>
  <r>
    <n v="13705"/>
    <x v="0"/>
    <x v="2"/>
    <n v="1.58"/>
    <n v="8"/>
    <x v="2"/>
    <n v="50"/>
    <n v="2.37"/>
    <n v="50"/>
    <s v="OK"/>
  </r>
  <r>
    <n v="13706"/>
    <x v="0"/>
    <x v="0"/>
    <n v="7.18"/>
    <n v="5"/>
    <x v="1"/>
    <n v="28"/>
    <n v="9.1904000000000003"/>
    <n v="28.000000000000004"/>
    <s v="OK"/>
  </r>
  <r>
    <n v="13707"/>
    <x v="2"/>
    <x v="1"/>
    <n v="13.42"/>
    <n v="7"/>
    <x v="1"/>
    <n v="30"/>
    <n v="17.446000000000002"/>
    <n v="30.000000000000004"/>
    <s v="OK"/>
  </r>
  <r>
    <n v="13708"/>
    <x v="1"/>
    <x v="2"/>
    <n v="1.87"/>
    <n v="1"/>
    <x v="0"/>
    <n v="10"/>
    <n v="2.0570000000000004"/>
    <n v="10.000000000000009"/>
    <s v="OK"/>
  </r>
  <r>
    <n v="13709"/>
    <x v="2"/>
    <x v="1"/>
    <n v="14.84"/>
    <n v="4"/>
    <x v="1"/>
    <n v="30"/>
    <n v="19.292000000000002"/>
    <n v="30.000000000000004"/>
    <s v="OK"/>
  </r>
  <r>
    <n v="13710"/>
    <x v="0"/>
    <x v="1"/>
    <n v="14.26"/>
    <n v="2"/>
    <x v="0"/>
    <n v="15"/>
    <n v="16.398999999999997"/>
    <n v="14.999999999999991"/>
    <s v="OK"/>
  </r>
  <r>
    <n v="13711"/>
    <x v="3"/>
    <x v="0"/>
    <n v="1.63"/>
    <n v="10"/>
    <x v="2"/>
    <n v="55"/>
    <n v="2.5265"/>
    <n v="55.000000000000007"/>
    <s v="OK"/>
  </r>
  <r>
    <n v="13712"/>
    <x v="2"/>
    <x v="0"/>
    <n v="14.03"/>
    <n v="3"/>
    <x v="0"/>
    <n v="12"/>
    <n v="15.713600000000001"/>
    <n v="12.000000000000011"/>
    <s v="OK"/>
  </r>
  <r>
    <n v="13713"/>
    <x v="2"/>
    <x v="1"/>
    <n v="5.77"/>
    <n v="1"/>
    <x v="0"/>
    <n v="15"/>
    <n v="6.6354999999999986"/>
    <n v="14.999999999999991"/>
    <s v="OK"/>
  </r>
  <r>
    <n v="13714"/>
    <x v="3"/>
    <x v="2"/>
    <n v="12.75"/>
    <n v="2"/>
    <x v="0"/>
    <n v="10"/>
    <n v="14.025"/>
    <n v="10.000000000000009"/>
    <s v="OK"/>
  </r>
  <r>
    <n v="13715"/>
    <x v="2"/>
    <x v="0"/>
    <n v="6.57"/>
    <n v="1"/>
    <x v="0"/>
    <n v="12"/>
    <n v="7.3584000000000014"/>
    <n v="12.000000000000011"/>
    <s v="OK"/>
  </r>
  <r>
    <n v="13716"/>
    <x v="3"/>
    <x v="2"/>
    <n v="6.89"/>
    <n v="8"/>
    <x v="2"/>
    <n v="50"/>
    <n v="10.334999999999999"/>
    <n v="50"/>
    <s v="OK"/>
  </r>
  <r>
    <n v="13717"/>
    <x v="1"/>
    <x v="2"/>
    <n v="9.6999999999999993"/>
    <n v="4"/>
    <x v="1"/>
    <n v="25"/>
    <n v="12.125"/>
    <n v="25"/>
    <s v="OK"/>
  </r>
  <r>
    <n v="13718"/>
    <x v="3"/>
    <x v="2"/>
    <n v="11.73"/>
    <n v="3"/>
    <x v="0"/>
    <n v="10"/>
    <n v="12.903000000000002"/>
    <n v="10.000000000000009"/>
    <s v="OK"/>
  </r>
  <r>
    <n v="13719"/>
    <x v="1"/>
    <x v="1"/>
    <n v="0.99"/>
    <n v="1"/>
    <x v="0"/>
    <n v="15"/>
    <n v="1.1384999999999998"/>
    <n v="14.999999999999991"/>
    <s v="OK"/>
  </r>
  <r>
    <n v="13720"/>
    <x v="3"/>
    <x v="2"/>
    <n v="9.1"/>
    <n v="2"/>
    <x v="0"/>
    <n v="10"/>
    <n v="10.01"/>
    <n v="10.000000000000009"/>
    <s v="OK"/>
  </r>
  <r>
    <n v="13721"/>
    <x v="0"/>
    <x v="1"/>
    <n v="3.21"/>
    <n v="3"/>
    <x v="0"/>
    <n v="15"/>
    <n v="3.6914999999999996"/>
    <n v="14.999999999999991"/>
    <s v="OK"/>
  </r>
  <r>
    <n v="13722"/>
    <x v="0"/>
    <x v="1"/>
    <n v="5.52"/>
    <n v="3"/>
    <x v="0"/>
    <n v="15"/>
    <n v="6.347999999999999"/>
    <n v="14.999999999999991"/>
    <s v="OK"/>
  </r>
  <r>
    <n v="13723"/>
    <x v="1"/>
    <x v="2"/>
    <n v="5.55"/>
    <n v="6"/>
    <x v="1"/>
    <n v="25"/>
    <n v="6.9375"/>
    <n v="25"/>
    <s v="OK"/>
  </r>
  <r>
    <n v="13724"/>
    <x v="1"/>
    <x v="2"/>
    <n v="7.3"/>
    <n v="10"/>
    <x v="2"/>
    <n v="50"/>
    <n v="10.95"/>
    <n v="50"/>
    <s v="OK"/>
  </r>
  <r>
    <n v="13725"/>
    <x v="0"/>
    <x v="2"/>
    <n v="5.34"/>
    <n v="8"/>
    <x v="2"/>
    <n v="50"/>
    <n v="8.01"/>
    <n v="50"/>
    <s v="OK"/>
  </r>
  <r>
    <n v="13726"/>
    <x v="1"/>
    <x v="2"/>
    <n v="2.06"/>
    <n v="6"/>
    <x v="1"/>
    <n v="25"/>
    <n v="2.5750000000000002"/>
    <n v="25"/>
    <s v="OK"/>
  </r>
  <r>
    <n v="13727"/>
    <x v="3"/>
    <x v="1"/>
    <n v="2.61"/>
    <n v="2"/>
    <x v="0"/>
    <n v="15"/>
    <n v="3.0014999999999996"/>
    <n v="14.999999999999991"/>
    <s v="OK"/>
  </r>
  <r>
    <n v="13728"/>
    <x v="3"/>
    <x v="2"/>
    <n v="0.98"/>
    <n v="2"/>
    <x v="0"/>
    <n v="10"/>
    <n v="1.0780000000000001"/>
    <n v="10.000000000000009"/>
    <s v="OK"/>
  </r>
  <r>
    <n v="13729"/>
    <x v="0"/>
    <x v="2"/>
    <n v="7.32"/>
    <n v="7"/>
    <x v="1"/>
    <n v="25"/>
    <n v="9.15"/>
    <n v="25"/>
    <s v="OK"/>
  </r>
  <r>
    <n v="13730"/>
    <x v="2"/>
    <x v="1"/>
    <n v="14.34"/>
    <n v="1"/>
    <x v="0"/>
    <n v="15"/>
    <n v="16.491"/>
    <n v="14.999999999999991"/>
    <s v="OK"/>
  </r>
  <r>
    <n v="13731"/>
    <x v="3"/>
    <x v="0"/>
    <n v="2.1800000000000002"/>
    <n v="1"/>
    <x v="0"/>
    <n v="12"/>
    <n v="2.4416000000000002"/>
    <n v="12.000000000000011"/>
    <s v="OK"/>
  </r>
  <r>
    <n v="13732"/>
    <x v="1"/>
    <x v="0"/>
    <n v="14.22"/>
    <n v="7"/>
    <x v="1"/>
    <n v="28"/>
    <n v="18.201600000000003"/>
    <n v="28.000000000000004"/>
    <s v="OK"/>
  </r>
  <r>
    <n v="13733"/>
    <x v="2"/>
    <x v="1"/>
    <n v="11.13"/>
    <n v="9"/>
    <x v="2"/>
    <n v="60"/>
    <n v="17.808000000000003"/>
    <n v="60.000000000000007"/>
    <s v="OK"/>
  </r>
  <r>
    <n v="13734"/>
    <x v="2"/>
    <x v="0"/>
    <n v="9.74"/>
    <n v="5"/>
    <x v="1"/>
    <n v="28"/>
    <n v="12.4672"/>
    <n v="28.000000000000004"/>
    <s v="OK"/>
  </r>
  <r>
    <n v="13735"/>
    <x v="3"/>
    <x v="1"/>
    <n v="9.86"/>
    <n v="1"/>
    <x v="0"/>
    <n v="15"/>
    <n v="11.338999999999999"/>
    <n v="14.999999999999991"/>
    <s v="OK"/>
  </r>
  <r>
    <n v="13736"/>
    <x v="3"/>
    <x v="2"/>
    <n v="12.49"/>
    <n v="5"/>
    <x v="1"/>
    <n v="25"/>
    <n v="15.612500000000001"/>
    <n v="25"/>
    <s v="OK"/>
  </r>
  <r>
    <n v="13737"/>
    <x v="2"/>
    <x v="2"/>
    <n v="2.0499999999999998"/>
    <n v="1"/>
    <x v="0"/>
    <n v="10"/>
    <n v="2.2549999999999999"/>
    <n v="10.000000000000009"/>
    <s v="OK"/>
  </r>
  <r>
    <n v="13738"/>
    <x v="2"/>
    <x v="0"/>
    <n v="7.82"/>
    <n v="10"/>
    <x v="2"/>
    <n v="55"/>
    <n v="12.121"/>
    <n v="55.000000000000007"/>
    <s v="OK"/>
  </r>
  <r>
    <n v="13739"/>
    <x v="0"/>
    <x v="2"/>
    <n v="10.61"/>
    <n v="9"/>
    <x v="2"/>
    <n v="50"/>
    <n v="15.914999999999999"/>
    <n v="50"/>
    <s v="OK"/>
  </r>
  <r>
    <n v="13740"/>
    <x v="1"/>
    <x v="0"/>
    <n v="9.01"/>
    <n v="4"/>
    <x v="1"/>
    <n v="28"/>
    <n v="11.5328"/>
    <n v="28.000000000000004"/>
    <s v="OK"/>
  </r>
  <r>
    <n v="13741"/>
    <x v="0"/>
    <x v="0"/>
    <n v="12.58"/>
    <n v="9"/>
    <x v="2"/>
    <n v="55"/>
    <n v="19.499000000000002"/>
    <n v="55.000000000000028"/>
    <s v="OK"/>
  </r>
  <r>
    <n v="13742"/>
    <x v="3"/>
    <x v="2"/>
    <n v="1.55"/>
    <n v="2"/>
    <x v="0"/>
    <n v="10"/>
    <n v="1.7050000000000003"/>
    <n v="10.000000000000009"/>
    <s v="OK"/>
  </r>
  <r>
    <n v="13743"/>
    <x v="0"/>
    <x v="2"/>
    <n v="10.52"/>
    <n v="7"/>
    <x v="1"/>
    <n v="25"/>
    <n v="13.149999999999999"/>
    <n v="25"/>
    <s v="OK"/>
  </r>
  <r>
    <n v="13744"/>
    <x v="0"/>
    <x v="0"/>
    <n v="8.24"/>
    <n v="2"/>
    <x v="0"/>
    <n v="12"/>
    <n v="9.2288000000000014"/>
    <n v="12.000000000000011"/>
    <s v="OK"/>
  </r>
  <r>
    <n v="13745"/>
    <x v="0"/>
    <x v="2"/>
    <n v="6"/>
    <n v="4"/>
    <x v="1"/>
    <n v="25"/>
    <n v="7.5"/>
    <n v="25"/>
    <s v="OK"/>
  </r>
  <r>
    <n v="13746"/>
    <x v="0"/>
    <x v="1"/>
    <n v="5.43"/>
    <n v="6"/>
    <x v="1"/>
    <n v="30"/>
    <n v="7.0590000000000002"/>
    <n v="30.000000000000004"/>
    <s v="OK"/>
  </r>
  <r>
    <n v="13747"/>
    <x v="1"/>
    <x v="2"/>
    <n v="9.5"/>
    <n v="2"/>
    <x v="0"/>
    <n v="10"/>
    <n v="10.450000000000001"/>
    <n v="10.000000000000009"/>
    <s v="OK"/>
  </r>
  <r>
    <n v="13748"/>
    <x v="1"/>
    <x v="2"/>
    <n v="13.42"/>
    <n v="2"/>
    <x v="0"/>
    <n v="10"/>
    <n v="14.762"/>
    <n v="10.000000000000009"/>
    <s v="OK"/>
  </r>
  <r>
    <n v="13749"/>
    <x v="2"/>
    <x v="1"/>
    <n v="7.69"/>
    <n v="2"/>
    <x v="0"/>
    <n v="15"/>
    <n v="8.8435000000000006"/>
    <n v="14.999999999999991"/>
    <s v="OK"/>
  </r>
  <r>
    <n v="13750"/>
    <x v="3"/>
    <x v="2"/>
    <n v="12.46"/>
    <n v="3"/>
    <x v="0"/>
    <n v="10"/>
    <n v="13.706000000000001"/>
    <n v="10.000000000000009"/>
    <s v="OK"/>
  </r>
  <r>
    <n v="13751"/>
    <x v="0"/>
    <x v="2"/>
    <n v="6.33"/>
    <n v="5"/>
    <x v="1"/>
    <n v="25"/>
    <n v="7.9124999999999996"/>
    <n v="25"/>
    <s v="OK"/>
  </r>
  <r>
    <n v="13752"/>
    <x v="2"/>
    <x v="0"/>
    <n v="1.98"/>
    <n v="9"/>
    <x v="2"/>
    <n v="55"/>
    <n v="3.069"/>
    <n v="55.000000000000007"/>
    <s v="OK"/>
  </r>
  <r>
    <n v="13753"/>
    <x v="2"/>
    <x v="2"/>
    <n v="1.39"/>
    <n v="6"/>
    <x v="1"/>
    <n v="25"/>
    <n v="1.7374999999999998"/>
    <n v="25"/>
    <s v="OK"/>
  </r>
  <r>
    <n v="13754"/>
    <x v="2"/>
    <x v="2"/>
    <n v="1.24"/>
    <n v="9"/>
    <x v="2"/>
    <n v="50"/>
    <n v="1.8599999999999999"/>
    <n v="50"/>
    <s v="OK"/>
  </r>
  <r>
    <n v="13755"/>
    <x v="1"/>
    <x v="1"/>
    <n v="6.01"/>
    <n v="10"/>
    <x v="2"/>
    <n v="60"/>
    <n v="9.6159999999999997"/>
    <n v="60.000000000000007"/>
    <s v="OK"/>
  </r>
  <r>
    <n v="13756"/>
    <x v="0"/>
    <x v="0"/>
    <n v="5.39"/>
    <n v="5"/>
    <x v="1"/>
    <n v="28"/>
    <n v="6.8991999999999996"/>
    <n v="28.000000000000004"/>
    <s v="OK"/>
  </r>
  <r>
    <n v="13757"/>
    <x v="0"/>
    <x v="0"/>
    <n v="10.91"/>
    <n v="6"/>
    <x v="1"/>
    <n v="28"/>
    <n v="13.9648"/>
    <n v="28.000000000000004"/>
    <s v="OK"/>
  </r>
  <r>
    <n v="13758"/>
    <x v="3"/>
    <x v="0"/>
    <n v="11.27"/>
    <n v="10"/>
    <x v="2"/>
    <n v="55"/>
    <n v="17.468499999999999"/>
    <n v="55.000000000000007"/>
    <s v="OK"/>
  </r>
  <r>
    <n v="13759"/>
    <x v="0"/>
    <x v="2"/>
    <n v="1.24"/>
    <n v="8"/>
    <x v="2"/>
    <n v="50"/>
    <n v="1.8599999999999999"/>
    <n v="50"/>
    <s v="OK"/>
  </r>
  <r>
    <n v="13760"/>
    <x v="0"/>
    <x v="0"/>
    <n v="3.71"/>
    <n v="3"/>
    <x v="0"/>
    <n v="12"/>
    <n v="4.1552000000000007"/>
    <n v="12.000000000000011"/>
    <s v="OK"/>
  </r>
  <r>
    <n v="13761"/>
    <x v="2"/>
    <x v="1"/>
    <n v="4.4800000000000004"/>
    <n v="2"/>
    <x v="0"/>
    <n v="15"/>
    <n v="5.1520000000000001"/>
    <n v="14.999999999999991"/>
    <s v="OK"/>
  </r>
  <r>
    <n v="13762"/>
    <x v="3"/>
    <x v="0"/>
    <n v="8.44"/>
    <n v="3"/>
    <x v="0"/>
    <n v="12"/>
    <n v="9.4527999999999999"/>
    <n v="12.000000000000011"/>
    <s v="OK"/>
  </r>
  <r>
    <n v="13763"/>
    <x v="0"/>
    <x v="1"/>
    <n v="2.6"/>
    <n v="9"/>
    <x v="2"/>
    <n v="60"/>
    <n v="4.16"/>
    <n v="60.000000000000007"/>
    <s v="OK"/>
  </r>
  <r>
    <n v="13764"/>
    <x v="1"/>
    <x v="0"/>
    <n v="2.44"/>
    <n v="6"/>
    <x v="1"/>
    <n v="28"/>
    <n v="3.1232000000000002"/>
    <n v="28.000000000000004"/>
    <s v="OK"/>
  </r>
  <r>
    <n v="13765"/>
    <x v="0"/>
    <x v="0"/>
    <n v="14.18"/>
    <n v="10"/>
    <x v="2"/>
    <n v="55"/>
    <n v="21.978999999999999"/>
    <n v="55.000000000000007"/>
    <s v="OK"/>
  </r>
  <r>
    <n v="13766"/>
    <x v="2"/>
    <x v="1"/>
    <n v="12.16"/>
    <n v="4"/>
    <x v="1"/>
    <n v="30"/>
    <n v="15.808000000000002"/>
    <n v="30.000000000000004"/>
    <s v="OK"/>
  </r>
  <r>
    <n v="13767"/>
    <x v="1"/>
    <x v="0"/>
    <n v="3.12"/>
    <n v="10"/>
    <x v="2"/>
    <n v="55"/>
    <n v="4.8360000000000003"/>
    <n v="55.000000000000007"/>
    <s v="OK"/>
  </r>
  <r>
    <n v="13768"/>
    <x v="2"/>
    <x v="0"/>
    <n v="6.4"/>
    <n v="3"/>
    <x v="0"/>
    <n v="12"/>
    <n v="7.168000000000001"/>
    <n v="12.000000000000011"/>
    <s v="OK"/>
  </r>
  <r>
    <n v="13769"/>
    <x v="0"/>
    <x v="0"/>
    <n v="5.66"/>
    <n v="2"/>
    <x v="0"/>
    <n v="12"/>
    <n v="6.3392000000000008"/>
    <n v="12.000000000000011"/>
    <s v="OK"/>
  </r>
  <r>
    <n v="13770"/>
    <x v="1"/>
    <x v="2"/>
    <n v="11.97"/>
    <n v="4"/>
    <x v="1"/>
    <n v="25"/>
    <n v="14.9625"/>
    <n v="25"/>
    <s v="OK"/>
  </r>
  <r>
    <n v="13771"/>
    <x v="3"/>
    <x v="1"/>
    <n v="7.9"/>
    <n v="9"/>
    <x v="2"/>
    <n v="60"/>
    <n v="12.64"/>
    <n v="60.000000000000007"/>
    <s v="OK"/>
  </r>
  <r>
    <n v="13772"/>
    <x v="3"/>
    <x v="0"/>
    <n v="2.35"/>
    <n v="4"/>
    <x v="1"/>
    <n v="28"/>
    <n v="3.008"/>
    <n v="28.000000000000004"/>
    <s v="OK"/>
  </r>
  <r>
    <n v="13773"/>
    <x v="1"/>
    <x v="1"/>
    <n v="11.22"/>
    <n v="5"/>
    <x v="1"/>
    <n v="30"/>
    <n v="14.586000000000002"/>
    <n v="30.000000000000004"/>
    <s v="OK"/>
  </r>
  <r>
    <n v="13774"/>
    <x v="1"/>
    <x v="1"/>
    <n v="6.25"/>
    <n v="8"/>
    <x v="2"/>
    <n v="60"/>
    <n v="10"/>
    <n v="60.000000000000007"/>
    <s v="OK"/>
  </r>
  <r>
    <n v="13775"/>
    <x v="2"/>
    <x v="1"/>
    <n v="4.3099999999999996"/>
    <n v="2"/>
    <x v="0"/>
    <n v="15"/>
    <n v="4.9564999999999992"/>
    <n v="14.999999999999991"/>
    <s v="OK"/>
  </r>
  <r>
    <n v="13776"/>
    <x v="1"/>
    <x v="0"/>
    <n v="5.94"/>
    <n v="3"/>
    <x v="0"/>
    <n v="12"/>
    <n v="6.6528000000000009"/>
    <n v="12.000000000000011"/>
    <s v="OK"/>
  </r>
  <r>
    <n v="13777"/>
    <x v="2"/>
    <x v="0"/>
    <n v="7.72"/>
    <n v="6"/>
    <x v="1"/>
    <n v="28"/>
    <n v="9.8816000000000006"/>
    <n v="28.000000000000004"/>
    <s v="OK"/>
  </r>
  <r>
    <n v="13778"/>
    <x v="0"/>
    <x v="1"/>
    <n v="5.48"/>
    <n v="7"/>
    <x v="1"/>
    <n v="30"/>
    <n v="7.1240000000000006"/>
    <n v="30.000000000000004"/>
    <s v="OK"/>
  </r>
  <r>
    <n v="13779"/>
    <x v="2"/>
    <x v="2"/>
    <n v="4.01"/>
    <n v="4"/>
    <x v="1"/>
    <n v="25"/>
    <n v="5.0124999999999993"/>
    <n v="25"/>
    <s v="OK"/>
  </r>
  <r>
    <n v="13780"/>
    <x v="1"/>
    <x v="1"/>
    <n v="6.28"/>
    <n v="1"/>
    <x v="0"/>
    <n v="15"/>
    <n v="7.2219999999999995"/>
    <n v="14.999999999999991"/>
    <s v="OK"/>
  </r>
  <r>
    <n v="13781"/>
    <x v="1"/>
    <x v="2"/>
    <n v="0.78"/>
    <n v="7"/>
    <x v="1"/>
    <n v="25"/>
    <n v="0.97500000000000009"/>
    <n v="25"/>
    <s v="OK"/>
  </r>
  <r>
    <n v="13782"/>
    <x v="0"/>
    <x v="1"/>
    <n v="11.7"/>
    <n v="9"/>
    <x v="2"/>
    <n v="60"/>
    <n v="18.72"/>
    <n v="60.000000000000007"/>
    <s v="OK"/>
  </r>
  <r>
    <n v="13783"/>
    <x v="1"/>
    <x v="1"/>
    <n v="2.98"/>
    <n v="1"/>
    <x v="0"/>
    <n v="15"/>
    <n v="3.4269999999999996"/>
    <n v="14.999999999999991"/>
    <s v="OK"/>
  </r>
  <r>
    <n v="13784"/>
    <x v="1"/>
    <x v="1"/>
    <n v="1.1399999999999999"/>
    <n v="1"/>
    <x v="0"/>
    <n v="15"/>
    <n v="1.3109999999999997"/>
    <n v="14.999999999999991"/>
    <s v="OK"/>
  </r>
  <r>
    <n v="13785"/>
    <x v="3"/>
    <x v="0"/>
    <n v="9.98"/>
    <n v="1"/>
    <x v="0"/>
    <n v="12"/>
    <n v="11.177600000000002"/>
    <n v="12.000000000000011"/>
    <s v="OK"/>
  </r>
  <r>
    <n v="13786"/>
    <x v="3"/>
    <x v="2"/>
    <n v="11.72"/>
    <n v="10"/>
    <x v="2"/>
    <n v="50"/>
    <n v="17.580000000000002"/>
    <n v="50"/>
    <s v="OK"/>
  </r>
  <r>
    <n v="13787"/>
    <x v="0"/>
    <x v="2"/>
    <n v="12.3"/>
    <n v="7"/>
    <x v="1"/>
    <n v="25"/>
    <n v="15.375"/>
    <n v="25"/>
    <s v="OK"/>
  </r>
  <r>
    <n v="13788"/>
    <x v="2"/>
    <x v="1"/>
    <n v="7.66"/>
    <n v="9"/>
    <x v="2"/>
    <n v="60"/>
    <n v="12.256"/>
    <n v="60.000000000000007"/>
    <s v="OK"/>
  </r>
  <r>
    <n v="13789"/>
    <x v="3"/>
    <x v="0"/>
    <n v="3.48"/>
    <n v="3"/>
    <x v="0"/>
    <n v="12"/>
    <n v="3.8976000000000002"/>
    <n v="12.000000000000011"/>
    <s v="OK"/>
  </r>
  <r>
    <n v="13790"/>
    <x v="2"/>
    <x v="0"/>
    <n v="11.19"/>
    <n v="8"/>
    <x v="2"/>
    <n v="55"/>
    <n v="17.3445"/>
    <n v="55.000000000000007"/>
    <s v="OK"/>
  </r>
  <r>
    <n v="13791"/>
    <x v="1"/>
    <x v="2"/>
    <n v="10.65"/>
    <n v="9"/>
    <x v="2"/>
    <n v="50"/>
    <n v="15.975000000000001"/>
    <n v="50"/>
    <s v="OK"/>
  </r>
  <r>
    <n v="13792"/>
    <x v="3"/>
    <x v="0"/>
    <n v="4.07"/>
    <n v="3"/>
    <x v="0"/>
    <n v="12"/>
    <n v="4.5584000000000007"/>
    <n v="12.000000000000011"/>
    <s v="OK"/>
  </r>
  <r>
    <n v="13793"/>
    <x v="0"/>
    <x v="2"/>
    <n v="13.6"/>
    <n v="3"/>
    <x v="0"/>
    <n v="10"/>
    <n v="14.96"/>
    <n v="10.000000000000009"/>
    <s v="OK"/>
  </r>
  <r>
    <n v="13794"/>
    <x v="0"/>
    <x v="2"/>
    <n v="2.0099999999999998"/>
    <n v="1"/>
    <x v="0"/>
    <n v="10"/>
    <n v="2.2109999999999999"/>
    <n v="10.000000000000009"/>
    <s v="OK"/>
  </r>
  <r>
    <n v="13795"/>
    <x v="0"/>
    <x v="2"/>
    <n v="14.75"/>
    <n v="2"/>
    <x v="0"/>
    <n v="10"/>
    <n v="16.225000000000001"/>
    <n v="10.000000000000009"/>
    <s v="OK"/>
  </r>
  <r>
    <n v="13796"/>
    <x v="3"/>
    <x v="0"/>
    <n v="12.97"/>
    <n v="7"/>
    <x v="1"/>
    <n v="28"/>
    <n v="16.601600000000001"/>
    <n v="28.000000000000004"/>
    <s v="OK"/>
  </r>
  <r>
    <n v="13797"/>
    <x v="2"/>
    <x v="2"/>
    <n v="10.47"/>
    <n v="3"/>
    <x v="0"/>
    <n v="10"/>
    <n v="11.517000000000001"/>
    <n v="10.000000000000009"/>
    <s v="OK"/>
  </r>
  <r>
    <n v="13798"/>
    <x v="1"/>
    <x v="2"/>
    <n v="14.11"/>
    <n v="7"/>
    <x v="1"/>
    <n v="25"/>
    <n v="17.637499999999999"/>
    <n v="25"/>
    <s v="OK"/>
  </r>
  <r>
    <n v="13799"/>
    <x v="2"/>
    <x v="1"/>
    <n v="10.97"/>
    <n v="5"/>
    <x v="1"/>
    <n v="30"/>
    <n v="14.261000000000001"/>
    <n v="30.000000000000004"/>
    <s v="OK"/>
  </r>
  <r>
    <n v="13800"/>
    <x v="2"/>
    <x v="2"/>
    <n v="3.26"/>
    <n v="10"/>
    <x v="2"/>
    <n v="50"/>
    <n v="4.8899999999999997"/>
    <n v="50"/>
    <s v="OK"/>
  </r>
  <r>
    <n v="13801"/>
    <x v="1"/>
    <x v="2"/>
    <n v="6.91"/>
    <n v="8"/>
    <x v="2"/>
    <n v="50"/>
    <n v="10.365"/>
    <n v="50"/>
    <s v="OK"/>
  </r>
  <r>
    <n v="13802"/>
    <x v="1"/>
    <x v="1"/>
    <n v="1.54"/>
    <n v="5"/>
    <x v="1"/>
    <n v="30"/>
    <n v="2.0020000000000002"/>
    <n v="30.000000000000004"/>
    <s v="OK"/>
  </r>
  <r>
    <n v="13803"/>
    <x v="3"/>
    <x v="1"/>
    <n v="6.15"/>
    <n v="3"/>
    <x v="0"/>
    <n v="15"/>
    <n v="7.0724999999999998"/>
    <n v="14.999999999999991"/>
    <s v="OK"/>
  </r>
  <r>
    <n v="13804"/>
    <x v="3"/>
    <x v="0"/>
    <n v="11.25"/>
    <n v="9"/>
    <x v="2"/>
    <n v="55"/>
    <n v="17.4375"/>
    <n v="55.000000000000007"/>
    <s v="OK"/>
  </r>
  <r>
    <n v="13805"/>
    <x v="3"/>
    <x v="2"/>
    <n v="6.1"/>
    <n v="7"/>
    <x v="1"/>
    <n v="25"/>
    <n v="7.625"/>
    <n v="25"/>
    <s v="OK"/>
  </r>
  <r>
    <n v="13806"/>
    <x v="3"/>
    <x v="0"/>
    <n v="5.29"/>
    <n v="5"/>
    <x v="1"/>
    <n v="28"/>
    <n v="6.7712000000000003"/>
    <n v="28.000000000000004"/>
    <s v="OK"/>
  </r>
  <r>
    <n v="13807"/>
    <x v="3"/>
    <x v="0"/>
    <n v="9.1300000000000008"/>
    <n v="7"/>
    <x v="1"/>
    <n v="28"/>
    <n v="11.686400000000001"/>
    <n v="28.000000000000004"/>
    <s v="OK"/>
  </r>
  <r>
    <n v="13808"/>
    <x v="1"/>
    <x v="1"/>
    <n v="13.15"/>
    <n v="10"/>
    <x v="2"/>
    <n v="60"/>
    <n v="21.040000000000003"/>
    <n v="60.000000000000007"/>
    <s v="OK"/>
  </r>
  <r>
    <n v="13809"/>
    <x v="2"/>
    <x v="0"/>
    <n v="1.19"/>
    <n v="9"/>
    <x v="2"/>
    <n v="55"/>
    <n v="1.8445"/>
    <n v="55.000000000000007"/>
    <s v="OK"/>
  </r>
  <r>
    <n v="13810"/>
    <x v="3"/>
    <x v="2"/>
    <n v="6.09"/>
    <n v="5"/>
    <x v="1"/>
    <n v="25"/>
    <n v="7.6124999999999998"/>
    <n v="25"/>
    <s v="OK"/>
  </r>
  <r>
    <n v="13811"/>
    <x v="3"/>
    <x v="1"/>
    <n v="2.79"/>
    <n v="7"/>
    <x v="1"/>
    <n v="30"/>
    <n v="3.6270000000000002"/>
    <n v="30.000000000000004"/>
    <s v="OK"/>
  </r>
  <r>
    <n v="13812"/>
    <x v="2"/>
    <x v="2"/>
    <n v="10.58"/>
    <n v="9"/>
    <x v="2"/>
    <n v="50"/>
    <n v="15.870000000000001"/>
    <n v="50"/>
    <s v="OK"/>
  </r>
  <r>
    <n v="13813"/>
    <x v="3"/>
    <x v="2"/>
    <n v="2.0299999999999998"/>
    <n v="1"/>
    <x v="0"/>
    <n v="10"/>
    <n v="2.2330000000000001"/>
    <n v="10.000000000000009"/>
    <s v="OK"/>
  </r>
  <r>
    <n v="13814"/>
    <x v="2"/>
    <x v="1"/>
    <n v="10.14"/>
    <n v="4"/>
    <x v="1"/>
    <n v="30"/>
    <n v="13.182"/>
    <n v="30.000000000000004"/>
    <s v="OK"/>
  </r>
  <r>
    <n v="13815"/>
    <x v="2"/>
    <x v="2"/>
    <n v="4.6500000000000004"/>
    <n v="1"/>
    <x v="0"/>
    <n v="10"/>
    <n v="5.1150000000000011"/>
    <n v="10.000000000000009"/>
    <s v="OK"/>
  </r>
  <r>
    <n v="13816"/>
    <x v="1"/>
    <x v="1"/>
    <n v="3.38"/>
    <n v="8"/>
    <x v="2"/>
    <n v="60"/>
    <n v="5.4080000000000004"/>
    <n v="60.000000000000007"/>
    <s v="OK"/>
  </r>
  <r>
    <n v="13817"/>
    <x v="0"/>
    <x v="2"/>
    <n v="14.08"/>
    <n v="3"/>
    <x v="0"/>
    <n v="10"/>
    <n v="15.488000000000001"/>
    <n v="10.000000000000009"/>
    <s v="OK"/>
  </r>
  <r>
    <n v="13818"/>
    <x v="1"/>
    <x v="1"/>
    <n v="0.77"/>
    <n v="2"/>
    <x v="0"/>
    <n v="15"/>
    <n v="0.88549999999999995"/>
    <n v="14.999999999999991"/>
    <s v="OK"/>
  </r>
  <r>
    <n v="13819"/>
    <x v="0"/>
    <x v="0"/>
    <n v="6.85"/>
    <n v="4"/>
    <x v="1"/>
    <n v="28"/>
    <n v="8.7679999999999989"/>
    <n v="27.999999999999979"/>
    <s v="OK"/>
  </r>
  <r>
    <n v="13820"/>
    <x v="0"/>
    <x v="2"/>
    <n v="0.81"/>
    <n v="3"/>
    <x v="0"/>
    <n v="10"/>
    <n v="0.89100000000000013"/>
    <n v="10.000000000000009"/>
    <s v="OK"/>
  </r>
  <r>
    <n v="13821"/>
    <x v="0"/>
    <x v="1"/>
    <n v="7.51"/>
    <n v="5"/>
    <x v="1"/>
    <n v="30"/>
    <n v="9.7629999999999999"/>
    <n v="30.000000000000004"/>
    <s v="OK"/>
  </r>
  <r>
    <n v="13822"/>
    <x v="3"/>
    <x v="2"/>
    <n v="7.77"/>
    <n v="8"/>
    <x v="2"/>
    <n v="50"/>
    <n v="11.654999999999999"/>
    <n v="50"/>
    <s v="OK"/>
  </r>
  <r>
    <n v="13823"/>
    <x v="1"/>
    <x v="2"/>
    <n v="5.16"/>
    <n v="10"/>
    <x v="2"/>
    <n v="50"/>
    <n v="7.74"/>
    <n v="50"/>
    <s v="OK"/>
  </r>
  <r>
    <n v="13824"/>
    <x v="0"/>
    <x v="2"/>
    <n v="2.42"/>
    <n v="8"/>
    <x v="2"/>
    <n v="50"/>
    <n v="3.63"/>
    <n v="50"/>
    <s v="OK"/>
  </r>
  <r>
    <n v="13825"/>
    <x v="2"/>
    <x v="1"/>
    <n v="5.96"/>
    <n v="7"/>
    <x v="1"/>
    <n v="30"/>
    <n v="7.7480000000000002"/>
    <n v="30.000000000000004"/>
    <s v="OK"/>
  </r>
  <r>
    <n v="13826"/>
    <x v="3"/>
    <x v="0"/>
    <n v="10.25"/>
    <n v="8"/>
    <x v="2"/>
    <n v="55"/>
    <n v="15.887500000000001"/>
    <n v="55.000000000000007"/>
    <s v="OK"/>
  </r>
  <r>
    <n v="13827"/>
    <x v="1"/>
    <x v="0"/>
    <n v="11.84"/>
    <n v="5"/>
    <x v="1"/>
    <n v="28"/>
    <n v="15.155200000000001"/>
    <n v="28.000000000000004"/>
    <s v="OK"/>
  </r>
  <r>
    <n v="13828"/>
    <x v="0"/>
    <x v="0"/>
    <n v="8.1999999999999993"/>
    <n v="10"/>
    <x v="2"/>
    <n v="55"/>
    <n v="12.709999999999999"/>
    <n v="55.000000000000007"/>
    <s v="OK"/>
  </r>
  <r>
    <n v="13829"/>
    <x v="2"/>
    <x v="1"/>
    <n v="9.0500000000000007"/>
    <n v="10"/>
    <x v="2"/>
    <n v="60"/>
    <n v="14.480000000000002"/>
    <n v="60.000000000000007"/>
    <s v="OK"/>
  </r>
  <r>
    <n v="13830"/>
    <x v="1"/>
    <x v="0"/>
    <n v="3.41"/>
    <n v="6"/>
    <x v="1"/>
    <n v="28"/>
    <n v="4.3648000000000007"/>
    <n v="28.000000000000025"/>
    <s v="OK"/>
  </r>
  <r>
    <n v="13831"/>
    <x v="1"/>
    <x v="1"/>
    <n v="4.67"/>
    <n v="8"/>
    <x v="2"/>
    <n v="60"/>
    <n v="7.4720000000000004"/>
    <n v="60.000000000000007"/>
    <s v="OK"/>
  </r>
  <r>
    <n v="13832"/>
    <x v="3"/>
    <x v="2"/>
    <n v="2.85"/>
    <n v="1"/>
    <x v="0"/>
    <n v="10"/>
    <n v="3.1350000000000002"/>
    <n v="10.000000000000009"/>
    <s v="OK"/>
  </r>
  <r>
    <n v="13833"/>
    <x v="1"/>
    <x v="2"/>
    <n v="4.1100000000000003"/>
    <n v="6"/>
    <x v="1"/>
    <n v="25"/>
    <n v="5.1375000000000002"/>
    <n v="25"/>
    <s v="OK"/>
  </r>
  <r>
    <n v="13834"/>
    <x v="3"/>
    <x v="0"/>
    <n v="3.76"/>
    <n v="6"/>
    <x v="1"/>
    <n v="28"/>
    <n v="4.8128000000000002"/>
    <n v="28.000000000000004"/>
    <s v="OK"/>
  </r>
  <r>
    <n v="13835"/>
    <x v="0"/>
    <x v="1"/>
    <n v="8.0299999999999994"/>
    <n v="5"/>
    <x v="1"/>
    <n v="30"/>
    <n v="10.439"/>
    <n v="30.000000000000004"/>
    <s v="OK"/>
  </r>
  <r>
    <n v="13836"/>
    <x v="3"/>
    <x v="2"/>
    <n v="8.66"/>
    <n v="4"/>
    <x v="1"/>
    <n v="25"/>
    <n v="10.824999999999999"/>
    <n v="25"/>
    <s v="OK"/>
  </r>
  <r>
    <n v="13837"/>
    <x v="2"/>
    <x v="1"/>
    <n v="14.2"/>
    <n v="1"/>
    <x v="0"/>
    <n v="15"/>
    <n v="16.329999999999998"/>
    <n v="14.999999999999991"/>
    <s v="OK"/>
  </r>
  <r>
    <n v="13838"/>
    <x v="3"/>
    <x v="1"/>
    <n v="3.34"/>
    <n v="10"/>
    <x v="2"/>
    <n v="60"/>
    <n v="5.3440000000000003"/>
    <n v="60.000000000000007"/>
    <s v="OK"/>
  </r>
  <r>
    <n v="13839"/>
    <x v="2"/>
    <x v="2"/>
    <n v="9.8000000000000007"/>
    <n v="8"/>
    <x v="2"/>
    <n v="50"/>
    <n v="14.700000000000001"/>
    <n v="50"/>
    <s v="OK"/>
  </r>
  <r>
    <n v="13840"/>
    <x v="3"/>
    <x v="1"/>
    <n v="12.35"/>
    <n v="6"/>
    <x v="1"/>
    <n v="30"/>
    <n v="16.055"/>
    <n v="30.000000000000004"/>
    <s v="OK"/>
  </r>
  <r>
    <n v="13841"/>
    <x v="1"/>
    <x v="2"/>
    <n v="8.6199999999999992"/>
    <n v="3"/>
    <x v="0"/>
    <n v="10"/>
    <n v="9.4819999999999993"/>
    <n v="10.000000000000009"/>
    <s v="OK"/>
  </r>
  <r>
    <n v="13842"/>
    <x v="0"/>
    <x v="2"/>
    <n v="4.2"/>
    <n v="3"/>
    <x v="0"/>
    <n v="10"/>
    <n v="4.620000000000001"/>
    <n v="10.000000000000009"/>
    <s v="OK"/>
  </r>
  <r>
    <n v="13843"/>
    <x v="2"/>
    <x v="2"/>
    <n v="4.3099999999999996"/>
    <n v="6"/>
    <x v="1"/>
    <n v="25"/>
    <n v="5.3874999999999993"/>
    <n v="25"/>
    <s v="OK"/>
  </r>
  <r>
    <n v="13844"/>
    <x v="3"/>
    <x v="1"/>
    <n v="1.07"/>
    <n v="7"/>
    <x v="1"/>
    <n v="30"/>
    <n v="1.3910000000000002"/>
    <n v="30.000000000000004"/>
    <s v="OK"/>
  </r>
  <r>
    <n v="13845"/>
    <x v="3"/>
    <x v="2"/>
    <n v="4.93"/>
    <n v="8"/>
    <x v="2"/>
    <n v="50"/>
    <n v="7.3949999999999996"/>
    <n v="50"/>
    <s v="OK"/>
  </r>
  <r>
    <n v="13846"/>
    <x v="3"/>
    <x v="1"/>
    <n v="11.3"/>
    <n v="5"/>
    <x v="1"/>
    <n v="30"/>
    <n v="14.690000000000001"/>
    <n v="30.000000000000004"/>
    <s v="OK"/>
  </r>
  <r>
    <n v="13847"/>
    <x v="1"/>
    <x v="2"/>
    <n v="1.19"/>
    <n v="10"/>
    <x v="2"/>
    <n v="50"/>
    <n v="1.7849999999999999"/>
    <n v="50"/>
    <s v="OK"/>
  </r>
  <r>
    <n v="13848"/>
    <x v="1"/>
    <x v="2"/>
    <n v="3.68"/>
    <n v="6"/>
    <x v="1"/>
    <n v="25"/>
    <n v="4.6000000000000005"/>
    <n v="25"/>
    <s v="OK"/>
  </r>
  <r>
    <n v="13849"/>
    <x v="2"/>
    <x v="0"/>
    <n v="10.74"/>
    <n v="1"/>
    <x v="0"/>
    <n v="12"/>
    <n v="12.028800000000002"/>
    <n v="12.000000000000011"/>
    <s v="OK"/>
  </r>
  <r>
    <n v="13850"/>
    <x v="2"/>
    <x v="0"/>
    <n v="11.85"/>
    <n v="6"/>
    <x v="1"/>
    <n v="28"/>
    <n v="15.167999999999999"/>
    <n v="28.000000000000004"/>
    <s v="OK"/>
  </r>
  <r>
    <n v="13851"/>
    <x v="1"/>
    <x v="0"/>
    <n v="7.1"/>
    <n v="9"/>
    <x v="2"/>
    <n v="55"/>
    <n v="11.004999999999999"/>
    <n v="55.000000000000007"/>
    <s v="OK"/>
  </r>
  <r>
    <n v="13852"/>
    <x v="2"/>
    <x v="1"/>
    <n v="10.62"/>
    <n v="10"/>
    <x v="2"/>
    <n v="60"/>
    <n v="16.992000000000001"/>
    <n v="60.000000000000028"/>
    <s v="OK"/>
  </r>
  <r>
    <n v="13853"/>
    <x v="0"/>
    <x v="1"/>
    <n v="6.13"/>
    <n v="4"/>
    <x v="1"/>
    <n v="30"/>
    <n v="7.9690000000000003"/>
    <n v="30.000000000000004"/>
    <s v="OK"/>
  </r>
  <r>
    <n v="13854"/>
    <x v="0"/>
    <x v="2"/>
    <n v="2.82"/>
    <n v="10"/>
    <x v="2"/>
    <n v="50"/>
    <n v="4.2299999999999995"/>
    <n v="50"/>
    <s v="OK"/>
  </r>
  <r>
    <n v="13855"/>
    <x v="1"/>
    <x v="2"/>
    <n v="6.27"/>
    <n v="1"/>
    <x v="0"/>
    <n v="10"/>
    <n v="6.8970000000000002"/>
    <n v="10.000000000000009"/>
    <s v="OK"/>
  </r>
  <r>
    <n v="13856"/>
    <x v="2"/>
    <x v="2"/>
    <n v="8.91"/>
    <n v="9"/>
    <x v="2"/>
    <n v="50"/>
    <n v="13.365"/>
    <n v="50"/>
    <s v="OK"/>
  </r>
  <r>
    <n v="13857"/>
    <x v="3"/>
    <x v="2"/>
    <n v="14.25"/>
    <n v="4"/>
    <x v="1"/>
    <n v="25"/>
    <n v="17.8125"/>
    <n v="25"/>
    <s v="OK"/>
  </r>
  <r>
    <n v="13858"/>
    <x v="0"/>
    <x v="1"/>
    <n v="1.5"/>
    <n v="2"/>
    <x v="0"/>
    <n v="15"/>
    <n v="1.7249999999999999"/>
    <n v="14.999999999999991"/>
    <s v="OK"/>
  </r>
  <r>
    <n v="13859"/>
    <x v="1"/>
    <x v="2"/>
    <n v="7.86"/>
    <n v="1"/>
    <x v="0"/>
    <n v="10"/>
    <n v="8.6460000000000008"/>
    <n v="10.000000000000009"/>
    <s v="OK"/>
  </r>
  <r>
    <n v="13860"/>
    <x v="2"/>
    <x v="2"/>
    <n v="5.27"/>
    <n v="3"/>
    <x v="0"/>
    <n v="10"/>
    <n v="5.7969999999999997"/>
    <n v="10.000000000000009"/>
    <s v="OK"/>
  </r>
  <r>
    <n v="13861"/>
    <x v="1"/>
    <x v="0"/>
    <n v="7.87"/>
    <n v="7"/>
    <x v="1"/>
    <n v="28"/>
    <n v="10.073600000000001"/>
    <n v="28.000000000000004"/>
    <s v="OK"/>
  </r>
  <r>
    <n v="13862"/>
    <x v="3"/>
    <x v="2"/>
    <n v="0.85"/>
    <n v="10"/>
    <x v="2"/>
    <n v="50"/>
    <n v="1.2749999999999999"/>
    <n v="50"/>
    <s v="OK"/>
  </r>
  <r>
    <n v="13863"/>
    <x v="0"/>
    <x v="2"/>
    <n v="5.04"/>
    <n v="2"/>
    <x v="0"/>
    <n v="10"/>
    <n v="5.5440000000000005"/>
    <n v="10.000000000000009"/>
    <s v="OK"/>
  </r>
  <r>
    <n v="13864"/>
    <x v="1"/>
    <x v="2"/>
    <n v="12.39"/>
    <n v="9"/>
    <x v="2"/>
    <n v="50"/>
    <n v="18.585000000000001"/>
    <n v="50"/>
    <s v="OK"/>
  </r>
  <r>
    <n v="13865"/>
    <x v="1"/>
    <x v="1"/>
    <n v="8.5299999999999994"/>
    <n v="2"/>
    <x v="0"/>
    <n v="15"/>
    <n v="9.8094999999999981"/>
    <n v="14.999999999999991"/>
    <s v="OK"/>
  </r>
  <r>
    <n v="13866"/>
    <x v="1"/>
    <x v="0"/>
    <n v="7.03"/>
    <n v="5"/>
    <x v="1"/>
    <n v="28"/>
    <n v="8.9984000000000002"/>
    <n v="28.000000000000004"/>
    <s v="OK"/>
  </r>
  <r>
    <n v="13867"/>
    <x v="3"/>
    <x v="2"/>
    <n v="4.6399999999999997"/>
    <n v="8"/>
    <x v="2"/>
    <n v="50"/>
    <n v="6.9599999999999991"/>
    <n v="50"/>
    <s v="OK"/>
  </r>
  <r>
    <n v="13868"/>
    <x v="1"/>
    <x v="2"/>
    <n v="4.82"/>
    <n v="10"/>
    <x v="2"/>
    <n v="50"/>
    <n v="7.23"/>
    <n v="50"/>
    <s v="OK"/>
  </r>
  <r>
    <n v="13869"/>
    <x v="3"/>
    <x v="0"/>
    <n v="6.05"/>
    <n v="8"/>
    <x v="2"/>
    <n v="55"/>
    <n v="9.3774999999999995"/>
    <n v="55.000000000000007"/>
    <s v="OK"/>
  </r>
  <r>
    <n v="13870"/>
    <x v="3"/>
    <x v="2"/>
    <n v="12.62"/>
    <n v="3"/>
    <x v="0"/>
    <n v="10"/>
    <n v="13.882"/>
    <n v="10.000000000000009"/>
    <s v="OK"/>
  </r>
  <r>
    <n v="13871"/>
    <x v="3"/>
    <x v="1"/>
    <n v="14.52"/>
    <n v="2"/>
    <x v="0"/>
    <n v="15"/>
    <n v="16.697999999999997"/>
    <n v="14.999999999999991"/>
    <s v="OK"/>
  </r>
  <r>
    <n v="13872"/>
    <x v="0"/>
    <x v="2"/>
    <n v="6.86"/>
    <n v="9"/>
    <x v="2"/>
    <n v="50"/>
    <n v="10.290000000000001"/>
    <n v="50"/>
    <s v="OK"/>
  </r>
  <r>
    <n v="13873"/>
    <x v="0"/>
    <x v="1"/>
    <n v="6.2"/>
    <n v="3"/>
    <x v="0"/>
    <n v="15"/>
    <n v="7.13"/>
    <n v="14.999999999999991"/>
    <s v="OK"/>
  </r>
  <r>
    <n v="13874"/>
    <x v="1"/>
    <x v="1"/>
    <n v="12.77"/>
    <n v="8"/>
    <x v="2"/>
    <n v="60"/>
    <n v="20.432000000000002"/>
    <n v="60.000000000000028"/>
    <s v="OK"/>
  </r>
  <r>
    <n v="13875"/>
    <x v="1"/>
    <x v="2"/>
    <n v="6.69"/>
    <n v="2"/>
    <x v="0"/>
    <n v="10"/>
    <n v="7.3590000000000009"/>
    <n v="10.000000000000009"/>
    <s v="OK"/>
  </r>
  <r>
    <n v="13876"/>
    <x v="0"/>
    <x v="0"/>
    <n v="8.5"/>
    <n v="3"/>
    <x v="0"/>
    <n v="12"/>
    <n v="9.5200000000000014"/>
    <n v="12.000000000000011"/>
    <s v="OK"/>
  </r>
  <r>
    <n v="13877"/>
    <x v="2"/>
    <x v="1"/>
    <n v="3.85"/>
    <n v="1"/>
    <x v="0"/>
    <n v="15"/>
    <n v="4.4274999999999993"/>
    <n v="14.999999999999968"/>
    <s v="OK"/>
  </r>
  <r>
    <n v="13878"/>
    <x v="0"/>
    <x v="0"/>
    <n v="11.28"/>
    <n v="6"/>
    <x v="1"/>
    <n v="28"/>
    <n v="14.4384"/>
    <n v="28.000000000000004"/>
    <s v="OK"/>
  </r>
  <r>
    <n v="13879"/>
    <x v="3"/>
    <x v="2"/>
    <n v="8.2100000000000009"/>
    <n v="7"/>
    <x v="1"/>
    <n v="25"/>
    <n v="10.262500000000001"/>
    <n v="25"/>
    <s v="OK"/>
  </r>
  <r>
    <n v="13880"/>
    <x v="0"/>
    <x v="1"/>
    <n v="12.23"/>
    <n v="4"/>
    <x v="1"/>
    <n v="30"/>
    <n v="15.899000000000001"/>
    <n v="30.000000000000004"/>
    <s v="OK"/>
  </r>
  <r>
    <n v="13881"/>
    <x v="3"/>
    <x v="2"/>
    <n v="11.82"/>
    <n v="1"/>
    <x v="0"/>
    <n v="10"/>
    <n v="13.002000000000001"/>
    <n v="10.000000000000009"/>
    <s v="OK"/>
  </r>
  <r>
    <n v="13882"/>
    <x v="1"/>
    <x v="0"/>
    <n v="3.62"/>
    <n v="3"/>
    <x v="0"/>
    <n v="12"/>
    <n v="4.0544000000000002"/>
    <n v="12.000000000000011"/>
    <s v="OK"/>
  </r>
  <r>
    <n v="13883"/>
    <x v="2"/>
    <x v="2"/>
    <n v="10.88"/>
    <n v="9"/>
    <x v="2"/>
    <n v="50"/>
    <n v="16.32"/>
    <n v="50"/>
    <s v="OK"/>
  </r>
  <r>
    <n v="13884"/>
    <x v="1"/>
    <x v="2"/>
    <n v="12.1"/>
    <n v="5"/>
    <x v="1"/>
    <n v="25"/>
    <n v="15.125"/>
    <n v="25"/>
    <s v="OK"/>
  </r>
  <r>
    <n v="13885"/>
    <x v="3"/>
    <x v="1"/>
    <n v="5.52"/>
    <n v="6"/>
    <x v="1"/>
    <n v="30"/>
    <n v="7.1759999999999993"/>
    <n v="30.000000000000004"/>
    <s v="OK"/>
  </r>
  <r>
    <n v="13886"/>
    <x v="3"/>
    <x v="2"/>
    <n v="3"/>
    <n v="4"/>
    <x v="1"/>
    <n v="25"/>
    <n v="3.75"/>
    <n v="25"/>
    <s v="OK"/>
  </r>
  <r>
    <n v="13887"/>
    <x v="3"/>
    <x v="2"/>
    <n v="0.54"/>
    <n v="1"/>
    <x v="0"/>
    <n v="10"/>
    <n v="0.59400000000000008"/>
    <n v="10.000000000000009"/>
    <s v="OK"/>
  </r>
  <r>
    <n v="13888"/>
    <x v="2"/>
    <x v="2"/>
    <n v="7.04"/>
    <n v="5"/>
    <x v="1"/>
    <n v="25"/>
    <n v="8.8000000000000007"/>
    <n v="25"/>
    <s v="OK"/>
  </r>
  <r>
    <n v="13889"/>
    <x v="0"/>
    <x v="1"/>
    <n v="5.61"/>
    <n v="5"/>
    <x v="1"/>
    <n v="30"/>
    <n v="7.293000000000001"/>
    <n v="30.000000000000004"/>
    <s v="OK"/>
  </r>
  <r>
    <n v="13890"/>
    <x v="1"/>
    <x v="0"/>
    <n v="8.5500000000000007"/>
    <n v="5"/>
    <x v="1"/>
    <n v="28"/>
    <n v="10.944000000000001"/>
    <n v="28.000000000000004"/>
    <s v="OK"/>
  </r>
  <r>
    <n v="13891"/>
    <x v="1"/>
    <x v="0"/>
    <n v="3.23"/>
    <n v="6"/>
    <x v="1"/>
    <n v="28"/>
    <n v="4.1344000000000003"/>
    <n v="28.000000000000004"/>
    <s v="OK"/>
  </r>
  <r>
    <n v="13892"/>
    <x v="0"/>
    <x v="2"/>
    <n v="12.97"/>
    <n v="2"/>
    <x v="0"/>
    <n v="10"/>
    <n v="14.267000000000001"/>
    <n v="10.000000000000009"/>
    <s v="OK"/>
  </r>
  <r>
    <n v="13893"/>
    <x v="1"/>
    <x v="1"/>
    <n v="4.24"/>
    <n v="1"/>
    <x v="0"/>
    <n v="15"/>
    <n v="4.8759999999999994"/>
    <n v="14.999999999999991"/>
    <s v="OK"/>
  </r>
  <r>
    <n v="13894"/>
    <x v="2"/>
    <x v="2"/>
    <n v="3.78"/>
    <n v="2"/>
    <x v="0"/>
    <n v="10"/>
    <n v="4.1580000000000004"/>
    <n v="10.000000000000009"/>
    <s v="OK"/>
  </r>
  <r>
    <n v="13895"/>
    <x v="1"/>
    <x v="0"/>
    <n v="7.47"/>
    <n v="10"/>
    <x v="2"/>
    <n v="55"/>
    <n v="11.5785"/>
    <n v="55.000000000000007"/>
    <s v="OK"/>
  </r>
  <r>
    <n v="13896"/>
    <x v="3"/>
    <x v="1"/>
    <n v="7.73"/>
    <n v="6"/>
    <x v="1"/>
    <n v="30"/>
    <n v="10.049000000000001"/>
    <n v="30.000000000000004"/>
    <s v="OK"/>
  </r>
  <r>
    <n v="13897"/>
    <x v="0"/>
    <x v="0"/>
    <n v="3.62"/>
    <n v="5"/>
    <x v="1"/>
    <n v="28"/>
    <n v="4.6336000000000004"/>
    <n v="28.000000000000004"/>
    <s v="OK"/>
  </r>
  <r>
    <n v="13898"/>
    <x v="2"/>
    <x v="0"/>
    <n v="4.4400000000000004"/>
    <n v="5"/>
    <x v="1"/>
    <n v="28"/>
    <n v="5.6832000000000003"/>
    <n v="28.000000000000004"/>
    <s v="OK"/>
  </r>
  <r>
    <n v="13899"/>
    <x v="0"/>
    <x v="1"/>
    <n v="2.96"/>
    <n v="6"/>
    <x v="1"/>
    <n v="30"/>
    <n v="3.8479999999999999"/>
    <n v="30.000000000000004"/>
    <s v="OK"/>
  </r>
  <r>
    <n v="13900"/>
    <x v="2"/>
    <x v="1"/>
    <n v="10.92"/>
    <n v="10"/>
    <x v="2"/>
    <n v="60"/>
    <n v="17.472000000000001"/>
    <n v="60.000000000000007"/>
    <s v="OK"/>
  </r>
  <r>
    <n v="13901"/>
    <x v="3"/>
    <x v="2"/>
    <n v="11.67"/>
    <n v="7"/>
    <x v="1"/>
    <n v="25"/>
    <n v="14.5875"/>
    <n v="25"/>
    <s v="OK"/>
  </r>
  <r>
    <n v="13902"/>
    <x v="0"/>
    <x v="2"/>
    <n v="7.2"/>
    <n v="9"/>
    <x v="2"/>
    <n v="50"/>
    <n v="10.8"/>
    <n v="50"/>
    <s v="OK"/>
  </r>
  <r>
    <n v="13903"/>
    <x v="1"/>
    <x v="0"/>
    <n v="10.85"/>
    <n v="7"/>
    <x v="1"/>
    <n v="28"/>
    <n v="13.888"/>
    <n v="28.000000000000004"/>
    <s v="OK"/>
  </r>
  <r>
    <n v="13904"/>
    <x v="2"/>
    <x v="1"/>
    <n v="11.17"/>
    <n v="2"/>
    <x v="0"/>
    <n v="15"/>
    <n v="12.845499999999999"/>
    <n v="14.999999999999991"/>
    <s v="OK"/>
  </r>
  <r>
    <n v="13905"/>
    <x v="0"/>
    <x v="1"/>
    <n v="2.5"/>
    <n v="6"/>
    <x v="1"/>
    <n v="30"/>
    <n v="3.25"/>
    <n v="30.000000000000004"/>
    <s v="OK"/>
  </r>
  <r>
    <n v="13906"/>
    <x v="1"/>
    <x v="2"/>
    <n v="14.51"/>
    <n v="9"/>
    <x v="2"/>
    <n v="50"/>
    <n v="21.765000000000001"/>
    <n v="50"/>
    <s v="OK"/>
  </r>
  <r>
    <n v="13907"/>
    <x v="0"/>
    <x v="0"/>
    <n v="12.4"/>
    <n v="7"/>
    <x v="1"/>
    <n v="28"/>
    <n v="15.872000000000002"/>
    <n v="28.000000000000004"/>
    <s v="OK"/>
  </r>
  <r>
    <n v="13908"/>
    <x v="0"/>
    <x v="0"/>
    <n v="3.47"/>
    <n v="2"/>
    <x v="0"/>
    <n v="12"/>
    <n v="3.8864000000000005"/>
    <n v="12.000000000000011"/>
    <s v="OK"/>
  </r>
  <r>
    <n v="13909"/>
    <x v="0"/>
    <x v="2"/>
    <n v="3.2"/>
    <n v="3"/>
    <x v="0"/>
    <n v="10"/>
    <n v="3.5200000000000005"/>
    <n v="10.000000000000009"/>
    <s v="OK"/>
  </r>
  <r>
    <n v="13910"/>
    <x v="2"/>
    <x v="1"/>
    <n v="2.3199999999999998"/>
    <n v="8"/>
    <x v="2"/>
    <n v="60"/>
    <n v="3.7119999999999997"/>
    <n v="60.000000000000007"/>
    <s v="OK"/>
  </r>
  <r>
    <n v="13911"/>
    <x v="1"/>
    <x v="2"/>
    <n v="2.5099999999999998"/>
    <n v="9"/>
    <x v="2"/>
    <n v="50"/>
    <n v="3.7649999999999997"/>
    <n v="50"/>
    <s v="OK"/>
  </r>
  <r>
    <n v="13912"/>
    <x v="3"/>
    <x v="2"/>
    <n v="11.35"/>
    <n v="4"/>
    <x v="1"/>
    <n v="25"/>
    <n v="14.1875"/>
    <n v="25"/>
    <s v="OK"/>
  </r>
  <r>
    <n v="13913"/>
    <x v="2"/>
    <x v="2"/>
    <n v="7.31"/>
    <n v="9"/>
    <x v="2"/>
    <n v="50"/>
    <n v="10.965"/>
    <n v="50"/>
    <s v="OK"/>
  </r>
  <r>
    <n v="13914"/>
    <x v="2"/>
    <x v="2"/>
    <n v="11.85"/>
    <n v="2"/>
    <x v="0"/>
    <n v="10"/>
    <n v="13.035"/>
    <n v="10.000000000000009"/>
    <s v="OK"/>
  </r>
  <r>
    <n v="13915"/>
    <x v="2"/>
    <x v="1"/>
    <n v="11.32"/>
    <n v="5"/>
    <x v="1"/>
    <n v="30"/>
    <n v="14.716000000000001"/>
    <n v="30.000000000000004"/>
    <s v="OK"/>
  </r>
  <r>
    <n v="13916"/>
    <x v="3"/>
    <x v="2"/>
    <n v="9.27"/>
    <n v="2"/>
    <x v="0"/>
    <n v="10"/>
    <n v="10.197000000000001"/>
    <n v="10.000000000000009"/>
    <s v="OK"/>
  </r>
  <r>
    <n v="13917"/>
    <x v="1"/>
    <x v="1"/>
    <n v="10.45"/>
    <n v="1"/>
    <x v="0"/>
    <n v="15"/>
    <n v="12.017499999999998"/>
    <n v="14.999999999999991"/>
    <s v="OK"/>
  </r>
  <r>
    <n v="13918"/>
    <x v="1"/>
    <x v="2"/>
    <n v="0.77"/>
    <n v="5"/>
    <x v="1"/>
    <n v="25"/>
    <n v="0.96250000000000002"/>
    <n v="25"/>
    <s v="OK"/>
  </r>
  <r>
    <n v="13919"/>
    <x v="1"/>
    <x v="0"/>
    <n v="5.0199999999999996"/>
    <n v="2"/>
    <x v="0"/>
    <n v="12"/>
    <n v="5.6223999999999998"/>
    <n v="12.000000000000011"/>
    <s v="OK"/>
  </r>
  <r>
    <n v="13920"/>
    <x v="0"/>
    <x v="1"/>
    <n v="9.75"/>
    <n v="7"/>
    <x v="1"/>
    <n v="30"/>
    <n v="12.675000000000001"/>
    <n v="30.000000000000004"/>
    <s v="OK"/>
  </r>
  <r>
    <n v="13921"/>
    <x v="0"/>
    <x v="0"/>
    <n v="0.64"/>
    <n v="8"/>
    <x v="2"/>
    <n v="55"/>
    <n v="0.9920000000000001"/>
    <n v="55.000000000000007"/>
    <s v="OK"/>
  </r>
  <r>
    <n v="13922"/>
    <x v="0"/>
    <x v="2"/>
    <n v="0.98"/>
    <n v="2"/>
    <x v="0"/>
    <n v="10"/>
    <n v="1.0780000000000001"/>
    <n v="10.000000000000009"/>
    <s v="OK"/>
  </r>
  <r>
    <n v="13923"/>
    <x v="3"/>
    <x v="2"/>
    <n v="12.85"/>
    <n v="7"/>
    <x v="1"/>
    <n v="25"/>
    <n v="16.0625"/>
    <n v="25"/>
    <s v="OK"/>
  </r>
  <r>
    <n v="13924"/>
    <x v="0"/>
    <x v="2"/>
    <n v="10.42"/>
    <n v="4"/>
    <x v="1"/>
    <n v="25"/>
    <n v="13.025"/>
    <n v="25"/>
    <s v="OK"/>
  </r>
  <r>
    <n v="13925"/>
    <x v="3"/>
    <x v="1"/>
    <n v="4.3499999999999996"/>
    <n v="1"/>
    <x v="0"/>
    <n v="15"/>
    <n v="5.0024999999999995"/>
    <n v="14.999999999999991"/>
    <s v="OK"/>
  </r>
  <r>
    <n v="13926"/>
    <x v="1"/>
    <x v="0"/>
    <n v="10.48"/>
    <n v="3"/>
    <x v="0"/>
    <n v="12"/>
    <n v="11.737600000000002"/>
    <n v="12.000000000000011"/>
    <s v="OK"/>
  </r>
  <r>
    <n v="13927"/>
    <x v="0"/>
    <x v="1"/>
    <n v="11.99"/>
    <n v="1"/>
    <x v="0"/>
    <n v="15"/>
    <n v="13.788499999999999"/>
    <n v="14.999999999999991"/>
    <s v="OK"/>
  </r>
  <r>
    <n v="13928"/>
    <x v="0"/>
    <x v="1"/>
    <n v="4.95"/>
    <n v="5"/>
    <x v="1"/>
    <n v="30"/>
    <n v="6.4350000000000005"/>
    <n v="30.000000000000004"/>
    <s v="OK"/>
  </r>
  <r>
    <n v="13929"/>
    <x v="2"/>
    <x v="2"/>
    <n v="1.02"/>
    <n v="8"/>
    <x v="2"/>
    <n v="50"/>
    <n v="1.53"/>
    <n v="50"/>
    <s v="OK"/>
  </r>
  <r>
    <n v="13930"/>
    <x v="3"/>
    <x v="0"/>
    <n v="14.03"/>
    <n v="1"/>
    <x v="0"/>
    <n v="12"/>
    <n v="15.713600000000001"/>
    <n v="12.000000000000011"/>
    <s v="OK"/>
  </r>
  <r>
    <n v="13931"/>
    <x v="1"/>
    <x v="2"/>
    <n v="5.51"/>
    <n v="9"/>
    <x v="2"/>
    <n v="50"/>
    <n v="8.2650000000000006"/>
    <n v="50.000000000000021"/>
    <s v="OK"/>
  </r>
  <r>
    <n v="13932"/>
    <x v="2"/>
    <x v="1"/>
    <n v="2.04"/>
    <n v="3"/>
    <x v="0"/>
    <n v="15"/>
    <n v="2.3459999999999996"/>
    <n v="14.999999999999991"/>
    <s v="OK"/>
  </r>
  <r>
    <n v="13933"/>
    <x v="2"/>
    <x v="2"/>
    <n v="7.63"/>
    <n v="5"/>
    <x v="1"/>
    <n v="25"/>
    <n v="9.5374999999999996"/>
    <n v="25"/>
    <s v="OK"/>
  </r>
  <r>
    <n v="13934"/>
    <x v="1"/>
    <x v="0"/>
    <n v="11.64"/>
    <n v="9"/>
    <x v="2"/>
    <n v="55"/>
    <n v="18.042000000000002"/>
    <n v="55.000000000000007"/>
    <s v="OK"/>
  </r>
  <r>
    <n v="13935"/>
    <x v="2"/>
    <x v="2"/>
    <n v="3.71"/>
    <n v="5"/>
    <x v="1"/>
    <n v="25"/>
    <n v="4.6375000000000002"/>
    <n v="25"/>
    <s v="OK"/>
  </r>
  <r>
    <n v="13936"/>
    <x v="3"/>
    <x v="0"/>
    <n v="4.41"/>
    <n v="9"/>
    <x v="2"/>
    <n v="55"/>
    <n v="6.8355000000000006"/>
    <n v="55.000000000000007"/>
    <s v="OK"/>
  </r>
  <r>
    <n v="13937"/>
    <x v="3"/>
    <x v="0"/>
    <n v="4.0199999999999996"/>
    <n v="10"/>
    <x v="2"/>
    <n v="55"/>
    <n v="6.2309999999999999"/>
    <n v="55.000000000000007"/>
    <s v="OK"/>
  </r>
  <r>
    <n v="13938"/>
    <x v="0"/>
    <x v="2"/>
    <n v="14.88"/>
    <n v="8"/>
    <x v="2"/>
    <n v="50"/>
    <n v="22.32"/>
    <n v="50"/>
    <s v="OK"/>
  </r>
  <r>
    <n v="13939"/>
    <x v="2"/>
    <x v="1"/>
    <n v="3.36"/>
    <n v="7"/>
    <x v="1"/>
    <n v="30"/>
    <n v="4.3680000000000003"/>
    <n v="30.000000000000004"/>
    <s v="OK"/>
  </r>
  <r>
    <n v="13940"/>
    <x v="0"/>
    <x v="2"/>
    <n v="8.85"/>
    <n v="1"/>
    <x v="0"/>
    <n v="10"/>
    <n v="9.7350000000000012"/>
    <n v="10.000000000000009"/>
    <s v="OK"/>
  </r>
  <r>
    <n v="13941"/>
    <x v="2"/>
    <x v="1"/>
    <n v="13.92"/>
    <n v="4"/>
    <x v="1"/>
    <n v="30"/>
    <n v="18.096"/>
    <n v="30.000000000000004"/>
    <s v="OK"/>
  </r>
  <r>
    <n v="13942"/>
    <x v="3"/>
    <x v="1"/>
    <n v="2.63"/>
    <n v="9"/>
    <x v="2"/>
    <n v="60"/>
    <n v="4.2080000000000002"/>
    <n v="60.000000000000007"/>
    <s v="OK"/>
  </r>
  <r>
    <n v="13943"/>
    <x v="3"/>
    <x v="2"/>
    <n v="14.58"/>
    <n v="10"/>
    <x v="2"/>
    <n v="50"/>
    <n v="21.87"/>
    <n v="50"/>
    <s v="OK"/>
  </r>
  <r>
    <n v="13944"/>
    <x v="3"/>
    <x v="1"/>
    <n v="14.24"/>
    <n v="8"/>
    <x v="2"/>
    <n v="60"/>
    <n v="22.784000000000002"/>
    <n v="60.000000000000007"/>
    <s v="OK"/>
  </r>
  <r>
    <n v="13945"/>
    <x v="2"/>
    <x v="1"/>
    <n v="13.33"/>
    <n v="4"/>
    <x v="1"/>
    <n v="30"/>
    <n v="17.329000000000001"/>
    <n v="30.000000000000004"/>
    <s v="OK"/>
  </r>
  <r>
    <n v="13946"/>
    <x v="3"/>
    <x v="2"/>
    <n v="3.61"/>
    <n v="1"/>
    <x v="0"/>
    <n v="10"/>
    <n v="3.9710000000000001"/>
    <n v="10.000000000000009"/>
    <s v="OK"/>
  </r>
  <r>
    <n v="13947"/>
    <x v="2"/>
    <x v="2"/>
    <n v="9.69"/>
    <n v="10"/>
    <x v="2"/>
    <n v="50"/>
    <n v="14.535"/>
    <n v="50"/>
    <s v="OK"/>
  </r>
  <r>
    <n v="13948"/>
    <x v="0"/>
    <x v="2"/>
    <n v="11.53"/>
    <n v="4"/>
    <x v="1"/>
    <n v="25"/>
    <n v="14.4125"/>
    <n v="25"/>
    <s v="OK"/>
  </r>
  <r>
    <n v="13949"/>
    <x v="2"/>
    <x v="1"/>
    <n v="14.8"/>
    <n v="3"/>
    <x v="0"/>
    <n v="15"/>
    <n v="17.02"/>
    <n v="14.999999999999991"/>
    <s v="OK"/>
  </r>
  <r>
    <n v="13950"/>
    <x v="0"/>
    <x v="0"/>
    <n v="3.12"/>
    <n v="6"/>
    <x v="1"/>
    <n v="28"/>
    <n v="3.9936000000000003"/>
    <n v="28.000000000000004"/>
    <s v="OK"/>
  </r>
  <r>
    <n v="13951"/>
    <x v="2"/>
    <x v="1"/>
    <n v="11.61"/>
    <n v="5"/>
    <x v="1"/>
    <n v="30"/>
    <n v="15.093"/>
    <n v="30.000000000000004"/>
    <s v="OK"/>
  </r>
  <r>
    <n v="13952"/>
    <x v="0"/>
    <x v="0"/>
    <n v="5.41"/>
    <n v="5"/>
    <x v="1"/>
    <n v="28"/>
    <n v="6.9248000000000003"/>
    <n v="28.000000000000004"/>
    <s v="OK"/>
  </r>
  <r>
    <n v="13953"/>
    <x v="3"/>
    <x v="2"/>
    <n v="3.05"/>
    <n v="2"/>
    <x v="0"/>
    <n v="10"/>
    <n v="3.355"/>
    <n v="10.000000000000009"/>
    <s v="OK"/>
  </r>
  <r>
    <n v="13954"/>
    <x v="0"/>
    <x v="0"/>
    <n v="6.61"/>
    <n v="3"/>
    <x v="0"/>
    <n v="12"/>
    <n v="7.4032000000000009"/>
    <n v="12.000000000000011"/>
    <s v="OK"/>
  </r>
  <r>
    <n v="13955"/>
    <x v="3"/>
    <x v="2"/>
    <n v="12.01"/>
    <n v="6"/>
    <x v="1"/>
    <n v="25"/>
    <n v="15.012499999999999"/>
    <n v="25"/>
    <s v="OK"/>
  </r>
  <r>
    <n v="13956"/>
    <x v="3"/>
    <x v="2"/>
    <n v="7.24"/>
    <n v="2"/>
    <x v="0"/>
    <n v="10"/>
    <n v="7.9640000000000013"/>
    <n v="10.000000000000009"/>
    <s v="OK"/>
  </r>
  <r>
    <n v="13957"/>
    <x v="0"/>
    <x v="0"/>
    <n v="8.2899999999999991"/>
    <n v="4"/>
    <x v="1"/>
    <n v="28"/>
    <n v="10.611199999999998"/>
    <n v="28.000000000000004"/>
    <s v="OK"/>
  </r>
  <r>
    <n v="13958"/>
    <x v="2"/>
    <x v="2"/>
    <n v="14.93"/>
    <n v="2"/>
    <x v="0"/>
    <n v="10"/>
    <n v="16.423000000000002"/>
    <n v="10.000000000000009"/>
    <s v="OK"/>
  </r>
  <r>
    <n v="13959"/>
    <x v="2"/>
    <x v="0"/>
    <n v="6.29"/>
    <n v="9"/>
    <x v="2"/>
    <n v="55"/>
    <n v="9.7495000000000012"/>
    <n v="55.000000000000028"/>
    <s v="OK"/>
  </r>
  <r>
    <n v="13960"/>
    <x v="1"/>
    <x v="2"/>
    <n v="9.42"/>
    <n v="3"/>
    <x v="0"/>
    <n v="10"/>
    <n v="10.362"/>
    <n v="10.000000000000009"/>
    <s v="OK"/>
  </r>
  <r>
    <n v="13961"/>
    <x v="2"/>
    <x v="1"/>
    <n v="5.8"/>
    <n v="10"/>
    <x v="2"/>
    <n v="60"/>
    <n v="9.2799999999999994"/>
    <n v="59.999999999999986"/>
    <s v="OK"/>
  </r>
  <r>
    <n v="13962"/>
    <x v="1"/>
    <x v="1"/>
    <n v="6.2"/>
    <n v="10"/>
    <x v="2"/>
    <n v="60"/>
    <n v="9.9200000000000017"/>
    <n v="60.000000000000028"/>
    <s v="OK"/>
  </r>
  <r>
    <n v="13963"/>
    <x v="2"/>
    <x v="2"/>
    <n v="10.59"/>
    <n v="6"/>
    <x v="1"/>
    <n v="25"/>
    <n v="13.237500000000001"/>
    <n v="25"/>
    <s v="OK"/>
  </r>
  <r>
    <n v="13964"/>
    <x v="2"/>
    <x v="2"/>
    <n v="14.1"/>
    <n v="1"/>
    <x v="0"/>
    <n v="10"/>
    <n v="15.510000000000002"/>
    <n v="10.000000000000009"/>
    <s v="OK"/>
  </r>
  <r>
    <n v="13965"/>
    <x v="3"/>
    <x v="0"/>
    <n v="8.36"/>
    <n v="10"/>
    <x v="2"/>
    <n v="55"/>
    <n v="12.958"/>
    <n v="55.000000000000007"/>
    <s v="OK"/>
  </r>
  <r>
    <n v="13966"/>
    <x v="1"/>
    <x v="1"/>
    <n v="11.64"/>
    <n v="3"/>
    <x v="0"/>
    <n v="15"/>
    <n v="13.385999999999999"/>
    <n v="14.999999999999991"/>
    <s v="OK"/>
  </r>
  <r>
    <n v="13967"/>
    <x v="2"/>
    <x v="0"/>
    <n v="1.79"/>
    <n v="8"/>
    <x v="2"/>
    <n v="55"/>
    <n v="2.7745000000000002"/>
    <n v="55.000000000000007"/>
    <s v="OK"/>
  </r>
  <r>
    <n v="13968"/>
    <x v="1"/>
    <x v="2"/>
    <n v="3.56"/>
    <n v="5"/>
    <x v="1"/>
    <n v="25"/>
    <n v="4.45"/>
    <n v="25"/>
    <s v="OK"/>
  </r>
  <r>
    <n v="13969"/>
    <x v="3"/>
    <x v="2"/>
    <n v="7.78"/>
    <n v="8"/>
    <x v="2"/>
    <n v="50"/>
    <n v="11.67"/>
    <n v="50"/>
    <s v="OK"/>
  </r>
  <r>
    <n v="13970"/>
    <x v="3"/>
    <x v="0"/>
    <n v="0.79"/>
    <n v="2"/>
    <x v="0"/>
    <n v="12"/>
    <n v="0.88480000000000014"/>
    <n v="12.000000000000011"/>
    <s v="OK"/>
  </r>
  <r>
    <n v="13971"/>
    <x v="1"/>
    <x v="2"/>
    <n v="4.17"/>
    <n v="7"/>
    <x v="1"/>
    <n v="25"/>
    <n v="5.2125000000000004"/>
    <n v="25"/>
    <s v="OK"/>
  </r>
  <r>
    <n v="13972"/>
    <x v="3"/>
    <x v="1"/>
    <n v="8"/>
    <n v="9"/>
    <x v="2"/>
    <n v="60"/>
    <n v="12.8"/>
    <n v="60.000000000000007"/>
    <s v="OK"/>
  </r>
  <r>
    <n v="13973"/>
    <x v="0"/>
    <x v="0"/>
    <n v="0.72"/>
    <n v="7"/>
    <x v="1"/>
    <n v="28"/>
    <n v="0.92159999999999997"/>
    <n v="28.000000000000004"/>
    <s v="OK"/>
  </r>
  <r>
    <n v="13974"/>
    <x v="0"/>
    <x v="1"/>
    <n v="4.34"/>
    <n v="3"/>
    <x v="0"/>
    <n v="15"/>
    <n v="4.9909999999999997"/>
    <n v="14.999999999999991"/>
    <s v="OK"/>
  </r>
  <r>
    <n v="13975"/>
    <x v="3"/>
    <x v="1"/>
    <n v="7.95"/>
    <n v="7"/>
    <x v="1"/>
    <n v="30"/>
    <n v="10.335000000000001"/>
    <n v="30.000000000000004"/>
    <s v="OK"/>
  </r>
  <r>
    <n v="13976"/>
    <x v="0"/>
    <x v="1"/>
    <n v="8.81"/>
    <n v="8"/>
    <x v="2"/>
    <n v="60"/>
    <n v="14.096000000000002"/>
    <n v="60.000000000000007"/>
    <s v="OK"/>
  </r>
  <r>
    <n v="13977"/>
    <x v="2"/>
    <x v="0"/>
    <n v="13.92"/>
    <n v="1"/>
    <x v="0"/>
    <n v="12"/>
    <n v="15.590400000000001"/>
    <n v="12.000000000000011"/>
    <s v="OK"/>
  </r>
  <r>
    <n v="13978"/>
    <x v="1"/>
    <x v="2"/>
    <n v="9.86"/>
    <n v="3"/>
    <x v="0"/>
    <n v="10"/>
    <n v="10.846"/>
    <n v="10.000000000000009"/>
    <s v="OK"/>
  </r>
  <r>
    <n v="13979"/>
    <x v="2"/>
    <x v="1"/>
    <n v="6.51"/>
    <n v="5"/>
    <x v="1"/>
    <n v="30"/>
    <n v="8.4629999999999992"/>
    <n v="29.999999999999982"/>
    <s v="OK"/>
  </r>
  <r>
    <n v="13980"/>
    <x v="1"/>
    <x v="1"/>
    <n v="13.99"/>
    <n v="6"/>
    <x v="1"/>
    <n v="30"/>
    <n v="18.187000000000001"/>
    <n v="30.000000000000004"/>
    <s v="OK"/>
  </r>
  <r>
    <n v="13981"/>
    <x v="3"/>
    <x v="1"/>
    <n v="11.88"/>
    <n v="3"/>
    <x v="0"/>
    <n v="15"/>
    <n v="13.661999999999999"/>
    <n v="14.999999999999991"/>
    <s v="OK"/>
  </r>
  <r>
    <n v="13982"/>
    <x v="2"/>
    <x v="2"/>
    <n v="3.4"/>
    <n v="4"/>
    <x v="1"/>
    <n v="25"/>
    <n v="4.25"/>
    <n v="25"/>
    <s v="OK"/>
  </r>
  <r>
    <n v="13983"/>
    <x v="3"/>
    <x v="2"/>
    <n v="2.4"/>
    <n v="5"/>
    <x v="1"/>
    <n v="25"/>
    <n v="3"/>
    <n v="25"/>
    <s v="OK"/>
  </r>
  <r>
    <n v="13984"/>
    <x v="3"/>
    <x v="0"/>
    <n v="10.3"/>
    <n v="3"/>
    <x v="0"/>
    <n v="12"/>
    <n v="11.536000000000001"/>
    <n v="12.000000000000011"/>
    <s v="OK"/>
  </r>
  <r>
    <n v="13985"/>
    <x v="1"/>
    <x v="2"/>
    <n v="8.6199999999999992"/>
    <n v="4"/>
    <x v="1"/>
    <n v="25"/>
    <n v="10.774999999999999"/>
    <n v="25"/>
    <s v="OK"/>
  </r>
  <r>
    <n v="13986"/>
    <x v="1"/>
    <x v="0"/>
    <n v="11.95"/>
    <n v="5"/>
    <x v="1"/>
    <n v="28"/>
    <n v="15.295999999999999"/>
    <n v="28.000000000000004"/>
    <s v="OK"/>
  </r>
  <r>
    <n v="13987"/>
    <x v="1"/>
    <x v="0"/>
    <n v="11.21"/>
    <n v="2"/>
    <x v="0"/>
    <n v="12"/>
    <n v="12.555200000000003"/>
    <n v="12.000000000000011"/>
    <s v="OK"/>
  </r>
  <r>
    <n v="13988"/>
    <x v="2"/>
    <x v="0"/>
    <n v="9.57"/>
    <n v="10"/>
    <x v="2"/>
    <n v="55"/>
    <n v="14.833500000000001"/>
    <n v="55.000000000000007"/>
    <s v="OK"/>
  </r>
  <r>
    <n v="13989"/>
    <x v="0"/>
    <x v="0"/>
    <n v="14.8"/>
    <n v="9"/>
    <x v="2"/>
    <n v="55"/>
    <n v="22.94"/>
    <n v="55.000000000000007"/>
    <s v="OK"/>
  </r>
  <r>
    <n v="13990"/>
    <x v="1"/>
    <x v="0"/>
    <n v="8.24"/>
    <n v="10"/>
    <x v="2"/>
    <n v="55"/>
    <n v="12.772"/>
    <n v="55.000000000000007"/>
    <s v="OK"/>
  </r>
  <r>
    <n v="13991"/>
    <x v="1"/>
    <x v="1"/>
    <n v="2.14"/>
    <n v="8"/>
    <x v="2"/>
    <n v="60"/>
    <n v="3.4240000000000004"/>
    <n v="60.000000000000007"/>
    <s v="OK"/>
  </r>
  <r>
    <n v="13992"/>
    <x v="2"/>
    <x v="2"/>
    <n v="12.51"/>
    <n v="6"/>
    <x v="1"/>
    <n v="25"/>
    <n v="15.637499999999999"/>
    <n v="25"/>
    <s v="OK"/>
  </r>
  <r>
    <n v="13993"/>
    <x v="1"/>
    <x v="1"/>
    <n v="4.1500000000000004"/>
    <n v="10"/>
    <x v="2"/>
    <n v="60"/>
    <n v="6.6400000000000006"/>
    <n v="60.000000000000007"/>
    <s v="OK"/>
  </r>
  <r>
    <n v="13994"/>
    <x v="2"/>
    <x v="0"/>
    <n v="11.77"/>
    <n v="3"/>
    <x v="0"/>
    <n v="12"/>
    <n v="13.182400000000001"/>
    <n v="12.000000000000011"/>
    <s v="OK"/>
  </r>
  <r>
    <n v="13995"/>
    <x v="3"/>
    <x v="2"/>
    <n v="14.38"/>
    <n v="2"/>
    <x v="0"/>
    <n v="10"/>
    <n v="15.818000000000001"/>
    <n v="10.000000000000009"/>
    <s v="OK"/>
  </r>
  <r>
    <n v="13996"/>
    <x v="1"/>
    <x v="1"/>
    <n v="10.6"/>
    <n v="7"/>
    <x v="1"/>
    <n v="30"/>
    <n v="13.78"/>
    <n v="30.000000000000004"/>
    <s v="OK"/>
  </r>
  <r>
    <n v="13997"/>
    <x v="1"/>
    <x v="1"/>
    <n v="9.14"/>
    <n v="8"/>
    <x v="2"/>
    <n v="60"/>
    <n v="14.624000000000002"/>
    <n v="60.000000000000007"/>
    <s v="OK"/>
  </r>
  <r>
    <n v="13998"/>
    <x v="3"/>
    <x v="0"/>
    <n v="7.18"/>
    <n v="10"/>
    <x v="2"/>
    <n v="55"/>
    <n v="11.129"/>
    <n v="55.000000000000007"/>
    <s v="OK"/>
  </r>
  <r>
    <n v="13999"/>
    <x v="3"/>
    <x v="1"/>
    <n v="5.78"/>
    <n v="1"/>
    <x v="0"/>
    <n v="15"/>
    <n v="6.6469999999999994"/>
    <n v="14.999999999999991"/>
    <s v="OK"/>
  </r>
  <r>
    <n v="14000"/>
    <x v="3"/>
    <x v="1"/>
    <n v="5.62"/>
    <n v="6"/>
    <x v="1"/>
    <n v="30"/>
    <n v="7.306"/>
    <n v="30.000000000000004"/>
    <s v="OK"/>
  </r>
  <r>
    <n v="14001"/>
    <x v="1"/>
    <x v="1"/>
    <n v="9.73"/>
    <n v="7"/>
    <x v="1"/>
    <n v="30"/>
    <n v="12.649000000000001"/>
    <n v="30.000000000000004"/>
    <s v="OK"/>
  </r>
  <r>
    <n v="14002"/>
    <x v="0"/>
    <x v="1"/>
    <n v="11.39"/>
    <n v="9"/>
    <x v="2"/>
    <n v="60"/>
    <n v="18.224"/>
    <n v="59.999999999999986"/>
    <s v="OK"/>
  </r>
  <r>
    <n v="14003"/>
    <x v="0"/>
    <x v="1"/>
    <n v="10.34"/>
    <n v="3"/>
    <x v="0"/>
    <n v="15"/>
    <n v="11.890999999999998"/>
    <n v="14.999999999999991"/>
    <s v="OK"/>
  </r>
  <r>
    <n v="14004"/>
    <x v="0"/>
    <x v="0"/>
    <n v="3.38"/>
    <n v="2"/>
    <x v="0"/>
    <n v="12"/>
    <n v="3.7856000000000001"/>
    <n v="12.000000000000011"/>
    <s v="OK"/>
  </r>
  <r>
    <n v="14005"/>
    <x v="1"/>
    <x v="0"/>
    <n v="7.66"/>
    <n v="5"/>
    <x v="1"/>
    <n v="28"/>
    <n v="9.8048000000000002"/>
    <n v="28.000000000000004"/>
    <s v="OK"/>
  </r>
  <r>
    <n v="14006"/>
    <x v="3"/>
    <x v="1"/>
    <n v="11.98"/>
    <n v="10"/>
    <x v="2"/>
    <n v="60"/>
    <n v="19.168000000000003"/>
    <n v="60.000000000000007"/>
    <s v="OK"/>
  </r>
  <r>
    <n v="14007"/>
    <x v="1"/>
    <x v="0"/>
    <n v="7.4"/>
    <n v="1"/>
    <x v="0"/>
    <n v="12"/>
    <n v="8.288000000000002"/>
    <n v="12.000000000000032"/>
    <s v="OK"/>
  </r>
  <r>
    <n v="14008"/>
    <x v="3"/>
    <x v="0"/>
    <n v="8.2799999999999994"/>
    <n v="6"/>
    <x v="1"/>
    <n v="28"/>
    <n v="10.5984"/>
    <n v="28.000000000000004"/>
    <s v="OK"/>
  </r>
  <r>
    <n v="14009"/>
    <x v="1"/>
    <x v="2"/>
    <n v="11.68"/>
    <n v="9"/>
    <x v="2"/>
    <n v="50"/>
    <n v="17.52"/>
    <n v="50"/>
    <s v="OK"/>
  </r>
  <r>
    <n v="14010"/>
    <x v="1"/>
    <x v="1"/>
    <n v="10.09"/>
    <n v="10"/>
    <x v="2"/>
    <n v="60"/>
    <n v="16.144000000000002"/>
    <n v="60.000000000000028"/>
    <s v="OK"/>
  </r>
  <r>
    <n v="14011"/>
    <x v="3"/>
    <x v="0"/>
    <n v="6.44"/>
    <n v="9"/>
    <x v="2"/>
    <n v="55"/>
    <n v="9.9820000000000011"/>
    <n v="55.000000000000007"/>
    <s v="OK"/>
  </r>
  <r>
    <n v="14012"/>
    <x v="0"/>
    <x v="0"/>
    <n v="13.48"/>
    <n v="7"/>
    <x v="1"/>
    <n v="28"/>
    <n v="17.2544"/>
    <n v="28.000000000000004"/>
    <s v="OK"/>
  </r>
  <r>
    <n v="14013"/>
    <x v="3"/>
    <x v="1"/>
    <n v="2.86"/>
    <n v="7"/>
    <x v="1"/>
    <n v="30"/>
    <n v="3.718"/>
    <n v="30.000000000000004"/>
    <s v="OK"/>
  </r>
  <r>
    <n v="14014"/>
    <x v="2"/>
    <x v="2"/>
    <n v="14.93"/>
    <n v="8"/>
    <x v="2"/>
    <n v="50"/>
    <n v="22.395"/>
    <n v="50"/>
    <s v="OK"/>
  </r>
  <r>
    <n v="14015"/>
    <x v="2"/>
    <x v="1"/>
    <n v="2.2200000000000002"/>
    <n v="10"/>
    <x v="2"/>
    <n v="60"/>
    <n v="3.5520000000000005"/>
    <n v="60.000000000000007"/>
    <s v="OK"/>
  </r>
  <r>
    <n v="14016"/>
    <x v="3"/>
    <x v="2"/>
    <n v="0.72"/>
    <n v="2"/>
    <x v="0"/>
    <n v="10"/>
    <n v="0.79200000000000004"/>
    <n v="10.000000000000009"/>
    <s v="OK"/>
  </r>
  <r>
    <n v="14017"/>
    <x v="1"/>
    <x v="1"/>
    <n v="13.41"/>
    <n v="6"/>
    <x v="1"/>
    <n v="30"/>
    <n v="17.433"/>
    <n v="30.000000000000004"/>
    <s v="OK"/>
  </r>
  <r>
    <n v="14018"/>
    <x v="2"/>
    <x v="1"/>
    <n v="4.05"/>
    <n v="5"/>
    <x v="1"/>
    <n v="30"/>
    <n v="5.2649999999999997"/>
    <n v="30.000000000000004"/>
    <s v="OK"/>
  </r>
  <r>
    <n v="14019"/>
    <x v="2"/>
    <x v="1"/>
    <n v="11.08"/>
    <n v="5"/>
    <x v="1"/>
    <n v="30"/>
    <n v="14.404"/>
    <n v="30.000000000000004"/>
    <s v="OK"/>
  </r>
  <r>
    <n v="14020"/>
    <x v="1"/>
    <x v="1"/>
    <n v="12.26"/>
    <n v="3"/>
    <x v="0"/>
    <n v="15"/>
    <n v="14.098999999999998"/>
    <n v="14.999999999999991"/>
    <s v="OK"/>
  </r>
  <r>
    <n v="14021"/>
    <x v="1"/>
    <x v="2"/>
    <n v="12.96"/>
    <n v="3"/>
    <x v="0"/>
    <n v="10"/>
    <n v="14.256000000000002"/>
    <n v="10.000000000000009"/>
    <s v="OK"/>
  </r>
  <r>
    <n v="14022"/>
    <x v="0"/>
    <x v="2"/>
    <n v="14.88"/>
    <n v="6"/>
    <x v="1"/>
    <n v="25"/>
    <n v="18.600000000000001"/>
    <n v="25"/>
    <s v="OK"/>
  </r>
  <r>
    <n v="14023"/>
    <x v="1"/>
    <x v="0"/>
    <n v="4.76"/>
    <n v="10"/>
    <x v="2"/>
    <n v="55"/>
    <n v="7.3780000000000001"/>
    <n v="55.000000000000007"/>
    <s v="OK"/>
  </r>
  <r>
    <n v="14024"/>
    <x v="3"/>
    <x v="1"/>
    <n v="10.8"/>
    <n v="10"/>
    <x v="2"/>
    <n v="60"/>
    <n v="17.28"/>
    <n v="60.000000000000007"/>
    <s v="OK"/>
  </r>
  <r>
    <n v="14025"/>
    <x v="3"/>
    <x v="2"/>
    <n v="2.17"/>
    <n v="7"/>
    <x v="1"/>
    <n v="25"/>
    <n v="2.7124999999999999"/>
    <n v="25"/>
    <s v="OK"/>
  </r>
  <r>
    <n v="14026"/>
    <x v="0"/>
    <x v="2"/>
    <n v="6.4"/>
    <n v="1"/>
    <x v="0"/>
    <n v="10"/>
    <n v="7.0400000000000009"/>
    <n v="10.000000000000009"/>
    <s v="OK"/>
  </r>
  <r>
    <n v="14027"/>
    <x v="2"/>
    <x v="2"/>
    <n v="12.8"/>
    <n v="3"/>
    <x v="0"/>
    <n v="10"/>
    <n v="14.080000000000002"/>
    <n v="10.000000000000009"/>
    <s v="OK"/>
  </r>
  <r>
    <n v="14028"/>
    <x v="2"/>
    <x v="1"/>
    <n v="5.83"/>
    <n v="1"/>
    <x v="0"/>
    <n v="15"/>
    <n v="6.7044999999999995"/>
    <n v="14.999999999999991"/>
    <s v="OK"/>
  </r>
  <r>
    <n v="14029"/>
    <x v="1"/>
    <x v="0"/>
    <n v="9.07"/>
    <n v="10"/>
    <x v="2"/>
    <n v="55"/>
    <n v="14.0585"/>
    <n v="55.000000000000007"/>
    <s v="OK"/>
  </r>
  <r>
    <n v="14030"/>
    <x v="3"/>
    <x v="2"/>
    <n v="7.8"/>
    <n v="3"/>
    <x v="0"/>
    <n v="10"/>
    <n v="8.58"/>
    <n v="10.000000000000009"/>
    <s v="OK"/>
  </r>
  <r>
    <n v="14031"/>
    <x v="2"/>
    <x v="1"/>
    <n v="9.8699999999999992"/>
    <n v="5"/>
    <x v="1"/>
    <n v="30"/>
    <n v="12.831"/>
    <n v="30.000000000000004"/>
    <s v="OK"/>
  </r>
  <r>
    <n v="14032"/>
    <x v="0"/>
    <x v="2"/>
    <n v="14.61"/>
    <n v="9"/>
    <x v="2"/>
    <n v="50"/>
    <n v="21.914999999999999"/>
    <n v="50"/>
    <s v="OK"/>
  </r>
  <r>
    <n v="14033"/>
    <x v="0"/>
    <x v="2"/>
    <n v="1.31"/>
    <n v="3"/>
    <x v="0"/>
    <n v="10"/>
    <n v="1.4410000000000003"/>
    <n v="10.000000000000009"/>
    <s v="OK"/>
  </r>
  <r>
    <n v="14034"/>
    <x v="3"/>
    <x v="0"/>
    <n v="8.82"/>
    <n v="10"/>
    <x v="2"/>
    <n v="55"/>
    <n v="13.671000000000001"/>
    <n v="55.000000000000007"/>
    <s v="OK"/>
  </r>
  <r>
    <n v="14035"/>
    <x v="0"/>
    <x v="2"/>
    <n v="13.01"/>
    <n v="10"/>
    <x v="2"/>
    <n v="50"/>
    <n v="19.515000000000001"/>
    <n v="50"/>
    <s v="OK"/>
  </r>
  <r>
    <n v="14036"/>
    <x v="0"/>
    <x v="2"/>
    <n v="7.48"/>
    <n v="9"/>
    <x v="2"/>
    <n v="50"/>
    <n v="11.22"/>
    <n v="50"/>
    <s v="OK"/>
  </r>
  <r>
    <n v="14037"/>
    <x v="3"/>
    <x v="1"/>
    <n v="1.64"/>
    <n v="1"/>
    <x v="0"/>
    <n v="15"/>
    <n v="1.8859999999999997"/>
    <n v="14.999999999999991"/>
    <s v="OK"/>
  </r>
  <r>
    <n v="14038"/>
    <x v="1"/>
    <x v="1"/>
    <n v="8.6300000000000008"/>
    <n v="6"/>
    <x v="1"/>
    <n v="30"/>
    <n v="11.219000000000001"/>
    <n v="30.000000000000004"/>
    <s v="OK"/>
  </r>
  <r>
    <n v="14039"/>
    <x v="1"/>
    <x v="0"/>
    <n v="5.32"/>
    <n v="9"/>
    <x v="2"/>
    <n v="55"/>
    <n v="8.2460000000000004"/>
    <n v="55.000000000000007"/>
    <s v="OK"/>
  </r>
  <r>
    <n v="14040"/>
    <x v="0"/>
    <x v="1"/>
    <n v="2.75"/>
    <n v="5"/>
    <x v="1"/>
    <n v="30"/>
    <n v="3.5750000000000002"/>
    <n v="30.000000000000004"/>
    <s v="OK"/>
  </r>
  <r>
    <n v="14041"/>
    <x v="1"/>
    <x v="1"/>
    <n v="12.81"/>
    <n v="10"/>
    <x v="2"/>
    <n v="60"/>
    <n v="20.496000000000002"/>
    <n v="60.000000000000007"/>
    <s v="OK"/>
  </r>
  <r>
    <n v="14042"/>
    <x v="1"/>
    <x v="0"/>
    <n v="8.06"/>
    <n v="2"/>
    <x v="0"/>
    <n v="12"/>
    <n v="9.0272000000000006"/>
    <n v="12.000000000000011"/>
    <s v="OK"/>
  </r>
  <r>
    <n v="14043"/>
    <x v="0"/>
    <x v="2"/>
    <n v="14.03"/>
    <n v="5"/>
    <x v="1"/>
    <n v="25"/>
    <n v="17.537499999999998"/>
    <n v="25"/>
    <s v="OK"/>
  </r>
  <r>
    <n v="14044"/>
    <x v="1"/>
    <x v="0"/>
    <n v="12.19"/>
    <n v="1"/>
    <x v="0"/>
    <n v="12"/>
    <n v="13.652800000000001"/>
    <n v="12.000000000000011"/>
    <s v="OK"/>
  </r>
  <r>
    <n v="14045"/>
    <x v="0"/>
    <x v="1"/>
    <n v="10.55"/>
    <n v="9"/>
    <x v="2"/>
    <n v="60"/>
    <n v="16.880000000000003"/>
    <n v="60.000000000000007"/>
    <s v="OK"/>
  </r>
  <r>
    <n v="14046"/>
    <x v="2"/>
    <x v="0"/>
    <n v="0.56999999999999995"/>
    <n v="10"/>
    <x v="2"/>
    <n v="55"/>
    <n v="0.88349999999999995"/>
    <n v="55.000000000000007"/>
    <s v="OK"/>
  </r>
  <r>
    <n v="14047"/>
    <x v="3"/>
    <x v="2"/>
    <n v="6.7"/>
    <n v="10"/>
    <x v="2"/>
    <n v="50"/>
    <n v="10.050000000000001"/>
    <n v="50"/>
    <s v="OK"/>
  </r>
  <r>
    <n v="14048"/>
    <x v="3"/>
    <x v="0"/>
    <n v="3.36"/>
    <n v="9"/>
    <x v="2"/>
    <n v="55"/>
    <n v="5.2080000000000002"/>
    <n v="55.000000000000007"/>
    <s v="OK"/>
  </r>
  <r>
    <n v="14049"/>
    <x v="1"/>
    <x v="1"/>
    <n v="13.71"/>
    <n v="6"/>
    <x v="1"/>
    <n v="30"/>
    <n v="17.823"/>
    <n v="30.000000000000004"/>
    <s v="OK"/>
  </r>
  <r>
    <n v="14050"/>
    <x v="1"/>
    <x v="1"/>
    <n v="3.03"/>
    <n v="9"/>
    <x v="2"/>
    <n v="60"/>
    <n v="4.8479999999999999"/>
    <n v="60.000000000000007"/>
    <s v="OK"/>
  </r>
  <r>
    <n v="14051"/>
    <x v="1"/>
    <x v="0"/>
    <n v="4.6500000000000004"/>
    <n v="3"/>
    <x v="0"/>
    <n v="12"/>
    <n v="5.2080000000000011"/>
    <n v="12.000000000000011"/>
    <s v="OK"/>
  </r>
  <r>
    <n v="14052"/>
    <x v="3"/>
    <x v="2"/>
    <n v="7.99"/>
    <n v="4"/>
    <x v="1"/>
    <n v="25"/>
    <n v="9.9875000000000007"/>
    <n v="25"/>
    <s v="OK"/>
  </r>
  <r>
    <n v="14053"/>
    <x v="2"/>
    <x v="0"/>
    <n v="4.32"/>
    <n v="6"/>
    <x v="1"/>
    <n v="28"/>
    <n v="5.5296000000000003"/>
    <n v="28.000000000000004"/>
    <s v="OK"/>
  </r>
  <r>
    <n v="14054"/>
    <x v="2"/>
    <x v="2"/>
    <n v="3.54"/>
    <n v="4"/>
    <x v="1"/>
    <n v="25"/>
    <n v="4.4249999999999998"/>
    <n v="25"/>
    <s v="OK"/>
  </r>
  <r>
    <n v="14055"/>
    <x v="3"/>
    <x v="2"/>
    <n v="9.19"/>
    <n v="1"/>
    <x v="0"/>
    <n v="10"/>
    <n v="10.109"/>
    <n v="10.000000000000009"/>
    <s v="OK"/>
  </r>
  <r>
    <n v="14056"/>
    <x v="2"/>
    <x v="0"/>
    <n v="1.79"/>
    <n v="7"/>
    <x v="1"/>
    <n v="28"/>
    <n v="2.2911999999999999"/>
    <n v="28.000000000000004"/>
    <s v="OK"/>
  </r>
  <r>
    <n v="14057"/>
    <x v="3"/>
    <x v="2"/>
    <n v="1.34"/>
    <n v="5"/>
    <x v="1"/>
    <n v="25"/>
    <n v="1.675"/>
    <n v="25"/>
    <s v="OK"/>
  </r>
  <r>
    <n v="14058"/>
    <x v="2"/>
    <x v="1"/>
    <n v="5.9"/>
    <n v="8"/>
    <x v="2"/>
    <n v="60"/>
    <n v="9.4400000000000013"/>
    <n v="60.000000000000007"/>
    <s v="OK"/>
  </r>
  <r>
    <n v="14059"/>
    <x v="0"/>
    <x v="0"/>
    <n v="10.95"/>
    <n v="9"/>
    <x v="2"/>
    <n v="55"/>
    <n v="16.9725"/>
    <n v="55.000000000000007"/>
    <s v="OK"/>
  </r>
  <r>
    <n v="14060"/>
    <x v="0"/>
    <x v="2"/>
    <n v="8.5399999999999991"/>
    <n v="5"/>
    <x v="1"/>
    <n v="25"/>
    <n v="10.674999999999999"/>
    <n v="25"/>
    <s v="OK"/>
  </r>
  <r>
    <n v="14061"/>
    <x v="3"/>
    <x v="1"/>
    <n v="6.63"/>
    <n v="8"/>
    <x v="2"/>
    <n v="60"/>
    <n v="10.608000000000001"/>
    <n v="60.000000000000007"/>
    <s v="OK"/>
  </r>
  <r>
    <n v="14062"/>
    <x v="2"/>
    <x v="0"/>
    <n v="8.6999999999999993"/>
    <n v="1"/>
    <x v="0"/>
    <n v="12"/>
    <n v="9.7439999999999998"/>
    <n v="12.000000000000011"/>
    <s v="OK"/>
  </r>
  <r>
    <n v="14063"/>
    <x v="1"/>
    <x v="1"/>
    <n v="5.8"/>
    <n v="1"/>
    <x v="0"/>
    <n v="15"/>
    <n v="6.669999999999999"/>
    <n v="14.999999999999991"/>
    <s v="OK"/>
  </r>
  <r>
    <n v="14064"/>
    <x v="2"/>
    <x v="1"/>
    <n v="14.07"/>
    <n v="7"/>
    <x v="1"/>
    <n v="30"/>
    <n v="18.291"/>
    <n v="30.000000000000004"/>
    <s v="OK"/>
  </r>
  <r>
    <n v="14065"/>
    <x v="0"/>
    <x v="1"/>
    <n v="1.3"/>
    <n v="6"/>
    <x v="1"/>
    <n v="30"/>
    <n v="1.6900000000000002"/>
    <n v="30.000000000000004"/>
    <s v="OK"/>
  </r>
  <r>
    <n v="14066"/>
    <x v="0"/>
    <x v="2"/>
    <n v="10.26"/>
    <n v="5"/>
    <x v="1"/>
    <n v="25"/>
    <n v="12.824999999999999"/>
    <n v="25"/>
    <s v="OK"/>
  </r>
  <r>
    <n v="14067"/>
    <x v="2"/>
    <x v="0"/>
    <n v="13.42"/>
    <n v="5"/>
    <x v="1"/>
    <n v="28"/>
    <n v="17.177600000000002"/>
    <n v="28.000000000000004"/>
    <s v="OK"/>
  </r>
  <r>
    <n v="14068"/>
    <x v="2"/>
    <x v="0"/>
    <n v="12.16"/>
    <n v="9"/>
    <x v="2"/>
    <n v="55"/>
    <n v="18.848000000000003"/>
    <n v="55.000000000000028"/>
    <s v="OK"/>
  </r>
  <r>
    <n v="14069"/>
    <x v="1"/>
    <x v="2"/>
    <n v="3.17"/>
    <n v="1"/>
    <x v="0"/>
    <n v="10"/>
    <n v="3.4870000000000001"/>
    <n v="10.000000000000009"/>
    <s v="OK"/>
  </r>
  <r>
    <n v="14070"/>
    <x v="1"/>
    <x v="0"/>
    <n v="4.79"/>
    <n v="8"/>
    <x v="2"/>
    <n v="55"/>
    <n v="7.4245000000000001"/>
    <n v="55.000000000000007"/>
    <s v="OK"/>
  </r>
  <r>
    <n v="14071"/>
    <x v="2"/>
    <x v="1"/>
    <n v="10.9"/>
    <n v="2"/>
    <x v="0"/>
    <n v="15"/>
    <n v="12.535"/>
    <n v="14.999999999999991"/>
    <s v="OK"/>
  </r>
  <r>
    <n v="14072"/>
    <x v="2"/>
    <x v="0"/>
    <n v="1.72"/>
    <n v="7"/>
    <x v="1"/>
    <n v="28"/>
    <n v="2.2016"/>
    <n v="28.000000000000004"/>
    <s v="OK"/>
  </r>
  <r>
    <n v="14073"/>
    <x v="2"/>
    <x v="2"/>
    <n v="12.27"/>
    <n v="6"/>
    <x v="1"/>
    <n v="25"/>
    <n v="15.337499999999999"/>
    <n v="25"/>
    <s v="OK"/>
  </r>
  <r>
    <n v="14074"/>
    <x v="2"/>
    <x v="1"/>
    <n v="10.92"/>
    <n v="10"/>
    <x v="2"/>
    <n v="60"/>
    <n v="17.472000000000001"/>
    <n v="60.000000000000007"/>
    <s v="OK"/>
  </r>
  <r>
    <n v="14075"/>
    <x v="3"/>
    <x v="2"/>
    <n v="11.08"/>
    <n v="2"/>
    <x v="0"/>
    <n v="10"/>
    <n v="12.188000000000001"/>
    <n v="10.000000000000009"/>
    <s v="OK"/>
  </r>
  <r>
    <n v="14076"/>
    <x v="2"/>
    <x v="1"/>
    <n v="1.95"/>
    <n v="3"/>
    <x v="0"/>
    <n v="15"/>
    <n v="2.2424999999999997"/>
    <n v="14.999999999999991"/>
    <s v="OK"/>
  </r>
  <r>
    <n v="14077"/>
    <x v="1"/>
    <x v="1"/>
    <n v="10.91"/>
    <n v="4"/>
    <x v="1"/>
    <n v="30"/>
    <n v="14.183"/>
    <n v="30.000000000000004"/>
    <s v="OK"/>
  </r>
  <r>
    <n v="14078"/>
    <x v="0"/>
    <x v="0"/>
    <n v="10.36"/>
    <n v="7"/>
    <x v="1"/>
    <n v="28"/>
    <n v="13.2608"/>
    <n v="28.000000000000004"/>
    <s v="OK"/>
  </r>
  <r>
    <n v="14079"/>
    <x v="3"/>
    <x v="1"/>
    <n v="12.55"/>
    <n v="8"/>
    <x v="2"/>
    <n v="60"/>
    <n v="20.080000000000002"/>
    <n v="60.000000000000007"/>
    <s v="OK"/>
  </r>
  <r>
    <n v="14080"/>
    <x v="2"/>
    <x v="2"/>
    <n v="1.1000000000000001"/>
    <n v="2"/>
    <x v="0"/>
    <n v="10"/>
    <n v="1.2100000000000002"/>
    <n v="10.000000000000009"/>
    <s v="OK"/>
  </r>
  <r>
    <n v="14081"/>
    <x v="0"/>
    <x v="0"/>
    <n v="0.84"/>
    <n v="8"/>
    <x v="2"/>
    <n v="55"/>
    <n v="1.302"/>
    <n v="55.000000000000007"/>
    <s v="OK"/>
  </r>
  <r>
    <n v="14082"/>
    <x v="3"/>
    <x v="2"/>
    <n v="5.91"/>
    <n v="9"/>
    <x v="2"/>
    <n v="50"/>
    <n v="8.8650000000000002"/>
    <n v="50"/>
    <s v="OK"/>
  </r>
  <r>
    <n v="14083"/>
    <x v="0"/>
    <x v="1"/>
    <n v="2.66"/>
    <n v="7"/>
    <x v="1"/>
    <n v="30"/>
    <n v="3.4580000000000002"/>
    <n v="30.000000000000004"/>
    <s v="OK"/>
  </r>
  <r>
    <n v="14084"/>
    <x v="2"/>
    <x v="2"/>
    <n v="8.6"/>
    <n v="1"/>
    <x v="0"/>
    <n v="10"/>
    <n v="9.4600000000000009"/>
    <n v="10.000000000000009"/>
    <s v="OK"/>
  </r>
  <r>
    <n v="14085"/>
    <x v="2"/>
    <x v="2"/>
    <n v="13.8"/>
    <n v="6"/>
    <x v="1"/>
    <n v="25"/>
    <n v="17.25"/>
    <n v="25"/>
    <s v="OK"/>
  </r>
  <r>
    <n v="14086"/>
    <x v="1"/>
    <x v="1"/>
    <n v="6.18"/>
    <n v="8"/>
    <x v="2"/>
    <n v="60"/>
    <n v="9.8879999999999999"/>
    <n v="60.000000000000007"/>
    <s v="OK"/>
  </r>
  <r>
    <n v="14087"/>
    <x v="2"/>
    <x v="0"/>
    <n v="12.75"/>
    <n v="5"/>
    <x v="1"/>
    <n v="28"/>
    <n v="16.32"/>
    <n v="28.000000000000004"/>
    <s v="OK"/>
  </r>
  <r>
    <n v="14088"/>
    <x v="2"/>
    <x v="2"/>
    <n v="0.5"/>
    <n v="2"/>
    <x v="0"/>
    <n v="10"/>
    <n v="0.55000000000000004"/>
    <n v="10.000000000000009"/>
    <s v="OK"/>
  </r>
  <r>
    <n v="14089"/>
    <x v="3"/>
    <x v="1"/>
    <n v="2.94"/>
    <n v="5"/>
    <x v="1"/>
    <n v="30"/>
    <n v="3.8220000000000001"/>
    <n v="30.000000000000004"/>
    <s v="OK"/>
  </r>
  <r>
    <n v="14090"/>
    <x v="1"/>
    <x v="0"/>
    <n v="0.94"/>
    <n v="8"/>
    <x v="2"/>
    <n v="55"/>
    <n v="1.4569999999999999"/>
    <n v="54.999999999999986"/>
    <s v="OK"/>
  </r>
  <r>
    <n v="14091"/>
    <x v="3"/>
    <x v="0"/>
    <n v="5.26"/>
    <n v="2"/>
    <x v="0"/>
    <n v="12"/>
    <n v="5.8912000000000004"/>
    <n v="12.000000000000011"/>
    <s v="OK"/>
  </r>
  <r>
    <n v="14092"/>
    <x v="0"/>
    <x v="0"/>
    <n v="13.67"/>
    <n v="1"/>
    <x v="0"/>
    <n v="12"/>
    <n v="15.310400000000001"/>
    <n v="12.000000000000011"/>
    <s v="OK"/>
  </r>
  <r>
    <n v="14093"/>
    <x v="2"/>
    <x v="2"/>
    <n v="1.91"/>
    <n v="4"/>
    <x v="1"/>
    <n v="25"/>
    <n v="2.3874999999999997"/>
    <n v="25"/>
    <s v="OK"/>
  </r>
  <r>
    <n v="14094"/>
    <x v="0"/>
    <x v="2"/>
    <n v="9.2899999999999991"/>
    <n v="4"/>
    <x v="1"/>
    <n v="25"/>
    <n v="11.612499999999999"/>
    <n v="25"/>
    <s v="OK"/>
  </r>
  <r>
    <n v="14095"/>
    <x v="3"/>
    <x v="2"/>
    <n v="7.05"/>
    <n v="9"/>
    <x v="2"/>
    <n v="50"/>
    <n v="10.574999999999999"/>
    <n v="50"/>
    <s v="OK"/>
  </r>
  <r>
    <n v="14096"/>
    <x v="2"/>
    <x v="0"/>
    <n v="14.11"/>
    <n v="3"/>
    <x v="0"/>
    <n v="12"/>
    <n v="15.8032"/>
    <n v="12.000000000000011"/>
    <s v="OK"/>
  </r>
  <r>
    <n v="14097"/>
    <x v="2"/>
    <x v="2"/>
    <n v="2.2799999999999998"/>
    <n v="4"/>
    <x v="1"/>
    <n v="25"/>
    <n v="2.8499999999999996"/>
    <n v="25"/>
    <s v="OK"/>
  </r>
  <r>
    <n v="14098"/>
    <x v="3"/>
    <x v="1"/>
    <n v="3.57"/>
    <n v="3"/>
    <x v="0"/>
    <n v="15"/>
    <n v="4.1054999999999993"/>
    <n v="14.999999999999991"/>
    <s v="OK"/>
  </r>
  <r>
    <n v="14099"/>
    <x v="3"/>
    <x v="2"/>
    <n v="0.93"/>
    <n v="2"/>
    <x v="0"/>
    <n v="10"/>
    <n v="1.0230000000000001"/>
    <n v="10.000000000000009"/>
    <s v="OK"/>
  </r>
  <r>
    <n v="14100"/>
    <x v="3"/>
    <x v="2"/>
    <n v="6.79"/>
    <n v="4"/>
    <x v="1"/>
    <n v="25"/>
    <n v="8.4875000000000007"/>
    <n v="25"/>
    <s v="OK"/>
  </r>
  <r>
    <n v="14101"/>
    <x v="3"/>
    <x v="0"/>
    <n v="4.53"/>
    <n v="8"/>
    <x v="2"/>
    <n v="55"/>
    <n v="7.0215000000000005"/>
    <n v="55.000000000000007"/>
    <s v="OK"/>
  </r>
  <r>
    <n v="14102"/>
    <x v="3"/>
    <x v="2"/>
    <n v="13.11"/>
    <n v="1"/>
    <x v="0"/>
    <n v="10"/>
    <n v="14.421000000000001"/>
    <n v="10.000000000000009"/>
    <s v="OK"/>
  </r>
  <r>
    <n v="14103"/>
    <x v="2"/>
    <x v="1"/>
    <n v="9.27"/>
    <n v="8"/>
    <x v="2"/>
    <n v="60"/>
    <n v="14.832000000000001"/>
    <n v="60.000000000000007"/>
    <s v="OK"/>
  </r>
  <r>
    <n v="14104"/>
    <x v="3"/>
    <x v="0"/>
    <n v="9.4"/>
    <n v="8"/>
    <x v="2"/>
    <n v="55"/>
    <n v="14.57"/>
    <n v="55.000000000000007"/>
    <s v="OK"/>
  </r>
  <r>
    <n v="14105"/>
    <x v="2"/>
    <x v="1"/>
    <n v="8.2100000000000009"/>
    <n v="3"/>
    <x v="0"/>
    <n v="15"/>
    <n v="9.4414999999999996"/>
    <n v="14.999999999999991"/>
    <s v="OK"/>
  </r>
  <r>
    <n v="14106"/>
    <x v="2"/>
    <x v="0"/>
    <n v="1.83"/>
    <n v="10"/>
    <x v="2"/>
    <n v="55"/>
    <n v="2.8365"/>
    <n v="55.000000000000007"/>
    <s v="OK"/>
  </r>
  <r>
    <n v="14107"/>
    <x v="3"/>
    <x v="0"/>
    <n v="6.95"/>
    <n v="10"/>
    <x v="2"/>
    <n v="55"/>
    <n v="10.772500000000001"/>
    <n v="55.000000000000007"/>
    <s v="OK"/>
  </r>
  <r>
    <n v="14108"/>
    <x v="3"/>
    <x v="2"/>
    <n v="14.99"/>
    <n v="6"/>
    <x v="1"/>
    <n v="25"/>
    <n v="18.737500000000001"/>
    <n v="25"/>
    <s v="OK"/>
  </r>
  <r>
    <n v="14109"/>
    <x v="1"/>
    <x v="1"/>
    <n v="12.61"/>
    <n v="4"/>
    <x v="1"/>
    <n v="30"/>
    <n v="16.393000000000001"/>
    <n v="30.000000000000004"/>
    <s v="OK"/>
  </r>
  <r>
    <n v="14110"/>
    <x v="2"/>
    <x v="0"/>
    <n v="13.46"/>
    <n v="1"/>
    <x v="0"/>
    <n v="12"/>
    <n v="15.075200000000002"/>
    <n v="12.000000000000011"/>
    <s v="OK"/>
  </r>
  <r>
    <n v="14111"/>
    <x v="3"/>
    <x v="2"/>
    <n v="12.44"/>
    <n v="1"/>
    <x v="0"/>
    <n v="10"/>
    <n v="13.684000000000001"/>
    <n v="10.000000000000009"/>
    <s v="OK"/>
  </r>
  <r>
    <n v="14112"/>
    <x v="3"/>
    <x v="0"/>
    <n v="1.99"/>
    <n v="5"/>
    <x v="1"/>
    <n v="28"/>
    <n v="2.5472000000000001"/>
    <n v="28.000000000000004"/>
    <s v="OK"/>
  </r>
  <r>
    <n v="14113"/>
    <x v="3"/>
    <x v="0"/>
    <n v="3.8"/>
    <n v="8"/>
    <x v="2"/>
    <n v="55"/>
    <n v="5.89"/>
    <n v="55.000000000000007"/>
    <s v="OK"/>
  </r>
  <r>
    <n v="14114"/>
    <x v="1"/>
    <x v="0"/>
    <n v="0.55000000000000004"/>
    <n v="1"/>
    <x v="0"/>
    <n v="12"/>
    <n v="0.6160000000000001"/>
    <n v="12.000000000000011"/>
    <s v="OK"/>
  </r>
  <r>
    <n v="14115"/>
    <x v="1"/>
    <x v="0"/>
    <n v="4.9000000000000004"/>
    <n v="2"/>
    <x v="0"/>
    <n v="12"/>
    <n v="5.4880000000000013"/>
    <n v="12.000000000000011"/>
    <s v="OK"/>
  </r>
  <r>
    <n v="14116"/>
    <x v="0"/>
    <x v="0"/>
    <n v="2.0699999999999998"/>
    <n v="7"/>
    <x v="1"/>
    <n v="28"/>
    <n v="2.6496"/>
    <n v="28.000000000000004"/>
    <s v="OK"/>
  </r>
  <r>
    <n v="14117"/>
    <x v="2"/>
    <x v="0"/>
    <n v="7.36"/>
    <n v="8"/>
    <x v="2"/>
    <n v="55"/>
    <n v="11.408000000000001"/>
    <n v="55.000000000000007"/>
    <s v="OK"/>
  </r>
  <r>
    <n v="14118"/>
    <x v="0"/>
    <x v="2"/>
    <n v="10.32"/>
    <n v="3"/>
    <x v="0"/>
    <n v="10"/>
    <n v="11.352000000000002"/>
    <n v="10.000000000000009"/>
    <s v="OK"/>
  </r>
  <r>
    <n v="14119"/>
    <x v="3"/>
    <x v="0"/>
    <n v="13.18"/>
    <n v="8"/>
    <x v="2"/>
    <n v="55"/>
    <n v="20.428999999999998"/>
    <n v="54.999999999999986"/>
    <s v="OK"/>
  </r>
  <r>
    <n v="14120"/>
    <x v="1"/>
    <x v="1"/>
    <n v="11.36"/>
    <n v="1"/>
    <x v="0"/>
    <n v="15"/>
    <n v="13.063999999999998"/>
    <n v="14.999999999999991"/>
    <s v="OK"/>
  </r>
  <r>
    <n v="14121"/>
    <x v="1"/>
    <x v="2"/>
    <n v="14.11"/>
    <n v="9"/>
    <x v="2"/>
    <n v="50"/>
    <n v="21.164999999999999"/>
    <n v="50"/>
    <s v="OK"/>
  </r>
  <r>
    <n v="14122"/>
    <x v="0"/>
    <x v="1"/>
    <n v="1.28"/>
    <n v="2"/>
    <x v="0"/>
    <n v="15"/>
    <n v="1.472"/>
    <n v="14.999999999999991"/>
    <s v="OK"/>
  </r>
  <r>
    <n v="14123"/>
    <x v="1"/>
    <x v="0"/>
    <n v="0.68"/>
    <n v="2"/>
    <x v="0"/>
    <n v="12"/>
    <n v="0.76160000000000017"/>
    <n v="12.000000000000011"/>
    <s v="OK"/>
  </r>
  <r>
    <n v="14124"/>
    <x v="3"/>
    <x v="1"/>
    <n v="10.09"/>
    <n v="4"/>
    <x v="1"/>
    <n v="30"/>
    <n v="13.117000000000001"/>
    <n v="30.000000000000004"/>
    <s v="OK"/>
  </r>
  <r>
    <n v="14125"/>
    <x v="1"/>
    <x v="0"/>
    <n v="4.7"/>
    <n v="10"/>
    <x v="2"/>
    <n v="55"/>
    <n v="7.2850000000000001"/>
    <n v="55.000000000000007"/>
    <s v="OK"/>
  </r>
  <r>
    <n v="14126"/>
    <x v="0"/>
    <x v="0"/>
    <n v="4.18"/>
    <n v="3"/>
    <x v="0"/>
    <n v="12"/>
    <n v="4.6816000000000004"/>
    <n v="12.000000000000011"/>
    <s v="OK"/>
  </r>
  <r>
    <n v="14127"/>
    <x v="3"/>
    <x v="2"/>
    <n v="5.3"/>
    <n v="4"/>
    <x v="1"/>
    <n v="25"/>
    <n v="6.625"/>
    <n v="25"/>
    <s v="OK"/>
  </r>
  <r>
    <n v="14128"/>
    <x v="0"/>
    <x v="2"/>
    <n v="4.41"/>
    <n v="6"/>
    <x v="1"/>
    <n v="25"/>
    <n v="5.5125000000000002"/>
    <n v="25"/>
    <s v="OK"/>
  </r>
  <r>
    <n v="14129"/>
    <x v="1"/>
    <x v="0"/>
    <n v="7.92"/>
    <n v="7"/>
    <x v="1"/>
    <n v="28"/>
    <n v="10.137600000000001"/>
    <n v="28.000000000000004"/>
    <s v="OK"/>
  </r>
  <r>
    <n v="14130"/>
    <x v="0"/>
    <x v="2"/>
    <n v="6.88"/>
    <n v="5"/>
    <x v="1"/>
    <n v="25"/>
    <n v="8.6"/>
    <n v="25"/>
    <s v="OK"/>
  </r>
  <r>
    <n v="14131"/>
    <x v="0"/>
    <x v="1"/>
    <n v="7.93"/>
    <n v="2"/>
    <x v="0"/>
    <n v="15"/>
    <n v="9.1194999999999986"/>
    <n v="14.999999999999991"/>
    <s v="OK"/>
  </r>
  <r>
    <n v="14132"/>
    <x v="2"/>
    <x v="2"/>
    <n v="10.25"/>
    <n v="3"/>
    <x v="0"/>
    <n v="10"/>
    <n v="11.275"/>
    <n v="10.000000000000009"/>
    <s v="OK"/>
  </r>
  <r>
    <n v="14133"/>
    <x v="1"/>
    <x v="2"/>
    <n v="6.11"/>
    <n v="10"/>
    <x v="2"/>
    <n v="50"/>
    <n v="9.1650000000000009"/>
    <n v="50"/>
    <s v="OK"/>
  </r>
  <r>
    <n v="14134"/>
    <x v="1"/>
    <x v="1"/>
    <n v="4.1399999999999997"/>
    <n v="3"/>
    <x v="0"/>
    <n v="15"/>
    <n v="4.7609999999999992"/>
    <n v="14.999999999999991"/>
    <s v="OK"/>
  </r>
  <r>
    <n v="14135"/>
    <x v="0"/>
    <x v="2"/>
    <n v="2.91"/>
    <n v="5"/>
    <x v="1"/>
    <n v="25"/>
    <n v="3.6375000000000002"/>
    <n v="25"/>
    <s v="OK"/>
  </r>
  <r>
    <n v="14136"/>
    <x v="2"/>
    <x v="0"/>
    <n v="5.57"/>
    <n v="5"/>
    <x v="1"/>
    <n v="28"/>
    <n v="7.1296000000000008"/>
    <n v="28.000000000000004"/>
    <s v="OK"/>
  </r>
  <r>
    <n v="14137"/>
    <x v="1"/>
    <x v="1"/>
    <n v="11.26"/>
    <n v="4"/>
    <x v="1"/>
    <n v="30"/>
    <n v="14.638"/>
    <n v="30.000000000000004"/>
    <s v="OK"/>
  </r>
  <r>
    <n v="14138"/>
    <x v="3"/>
    <x v="0"/>
    <n v="11.47"/>
    <n v="8"/>
    <x v="2"/>
    <n v="55"/>
    <n v="17.778500000000001"/>
    <n v="55.000000000000007"/>
    <s v="OK"/>
  </r>
  <r>
    <n v="14139"/>
    <x v="0"/>
    <x v="1"/>
    <n v="10.17"/>
    <n v="6"/>
    <x v="1"/>
    <n v="30"/>
    <n v="13.221"/>
    <n v="30.000000000000004"/>
    <s v="OK"/>
  </r>
  <r>
    <n v="14140"/>
    <x v="1"/>
    <x v="0"/>
    <n v="3.89"/>
    <n v="6"/>
    <x v="1"/>
    <n v="28"/>
    <n v="4.9792000000000005"/>
    <n v="28.000000000000004"/>
    <s v="OK"/>
  </r>
  <r>
    <n v="14141"/>
    <x v="3"/>
    <x v="0"/>
    <n v="9.0299999999999994"/>
    <n v="1"/>
    <x v="0"/>
    <n v="12"/>
    <n v="10.1136"/>
    <n v="12.000000000000011"/>
    <s v="OK"/>
  </r>
  <r>
    <n v="14142"/>
    <x v="1"/>
    <x v="2"/>
    <n v="8.7799999999999994"/>
    <n v="6"/>
    <x v="1"/>
    <n v="25"/>
    <n v="10.975"/>
    <n v="25"/>
    <s v="OK"/>
  </r>
  <r>
    <n v="14143"/>
    <x v="3"/>
    <x v="0"/>
    <n v="7.52"/>
    <n v="3"/>
    <x v="0"/>
    <n v="12"/>
    <n v="8.4223999999999997"/>
    <n v="12.000000000000011"/>
    <s v="OK"/>
  </r>
  <r>
    <n v="14144"/>
    <x v="0"/>
    <x v="2"/>
    <n v="8.4700000000000006"/>
    <n v="6"/>
    <x v="1"/>
    <n v="25"/>
    <n v="10.5875"/>
    <n v="25"/>
    <s v="OK"/>
  </r>
  <r>
    <n v="14145"/>
    <x v="1"/>
    <x v="1"/>
    <n v="7.63"/>
    <n v="10"/>
    <x v="2"/>
    <n v="60"/>
    <n v="12.208"/>
    <n v="60.000000000000007"/>
    <s v="OK"/>
  </r>
  <r>
    <n v="14146"/>
    <x v="1"/>
    <x v="0"/>
    <n v="8.6999999999999993"/>
    <n v="6"/>
    <x v="1"/>
    <n v="28"/>
    <n v="11.135999999999999"/>
    <n v="28.000000000000004"/>
    <s v="OK"/>
  </r>
  <r>
    <n v="14147"/>
    <x v="2"/>
    <x v="0"/>
    <n v="10.87"/>
    <n v="2"/>
    <x v="0"/>
    <n v="12"/>
    <n v="12.1744"/>
    <n v="12.000000000000011"/>
    <s v="OK"/>
  </r>
  <r>
    <n v="14148"/>
    <x v="0"/>
    <x v="1"/>
    <n v="2.09"/>
    <n v="1"/>
    <x v="0"/>
    <n v="15"/>
    <n v="2.4034999999999997"/>
    <n v="14.999999999999991"/>
    <s v="OK"/>
  </r>
  <r>
    <n v="14149"/>
    <x v="3"/>
    <x v="1"/>
    <n v="11.37"/>
    <n v="3"/>
    <x v="0"/>
    <n v="15"/>
    <n v="13.075499999999998"/>
    <n v="14.999999999999991"/>
    <s v="OK"/>
  </r>
  <r>
    <n v="14150"/>
    <x v="1"/>
    <x v="0"/>
    <n v="2.4700000000000002"/>
    <n v="5"/>
    <x v="1"/>
    <n v="28"/>
    <n v="3.1616000000000004"/>
    <n v="28.000000000000004"/>
    <s v="OK"/>
  </r>
  <r>
    <n v="14151"/>
    <x v="1"/>
    <x v="1"/>
    <n v="1.47"/>
    <n v="4"/>
    <x v="1"/>
    <n v="30"/>
    <n v="1.911"/>
    <n v="30.000000000000004"/>
    <s v="OK"/>
  </r>
  <r>
    <n v="14152"/>
    <x v="3"/>
    <x v="2"/>
    <n v="14.65"/>
    <n v="7"/>
    <x v="1"/>
    <n v="25"/>
    <n v="18.3125"/>
    <n v="25"/>
    <s v="OK"/>
  </r>
  <r>
    <n v="14153"/>
    <x v="0"/>
    <x v="1"/>
    <n v="14.38"/>
    <n v="4"/>
    <x v="1"/>
    <n v="30"/>
    <n v="18.694000000000003"/>
    <n v="30.000000000000004"/>
    <s v="OK"/>
  </r>
  <r>
    <n v="14154"/>
    <x v="2"/>
    <x v="1"/>
    <n v="1.38"/>
    <n v="8"/>
    <x v="2"/>
    <n v="60"/>
    <n v="2.2079999999999997"/>
    <n v="59.999999999999986"/>
    <s v="OK"/>
  </r>
  <r>
    <n v="14155"/>
    <x v="2"/>
    <x v="0"/>
    <n v="6.93"/>
    <n v="7"/>
    <x v="1"/>
    <n v="28"/>
    <n v="8.8704000000000001"/>
    <n v="28.000000000000004"/>
    <s v="OK"/>
  </r>
  <r>
    <n v="14156"/>
    <x v="1"/>
    <x v="2"/>
    <n v="3.2"/>
    <n v="10"/>
    <x v="2"/>
    <n v="50"/>
    <n v="4.8000000000000007"/>
    <n v="50.000000000000021"/>
    <s v="OK"/>
  </r>
  <r>
    <n v="14157"/>
    <x v="3"/>
    <x v="1"/>
    <n v="7.54"/>
    <n v="9"/>
    <x v="2"/>
    <n v="60"/>
    <n v="12.064"/>
    <n v="60.000000000000007"/>
    <s v="OK"/>
  </r>
  <r>
    <n v="14158"/>
    <x v="1"/>
    <x v="2"/>
    <n v="12.54"/>
    <n v="1"/>
    <x v="0"/>
    <n v="10"/>
    <n v="13.794"/>
    <n v="10.000000000000009"/>
    <s v="OK"/>
  </r>
  <r>
    <n v="14159"/>
    <x v="3"/>
    <x v="2"/>
    <n v="14.28"/>
    <n v="5"/>
    <x v="1"/>
    <n v="25"/>
    <n v="17.849999999999998"/>
    <n v="25"/>
    <s v="OK"/>
  </r>
  <r>
    <n v="14160"/>
    <x v="2"/>
    <x v="2"/>
    <n v="9.6999999999999993"/>
    <n v="4"/>
    <x v="1"/>
    <n v="25"/>
    <n v="12.125"/>
    <n v="25"/>
    <s v="OK"/>
  </r>
  <r>
    <n v="14161"/>
    <x v="0"/>
    <x v="0"/>
    <n v="5.63"/>
    <n v="6"/>
    <x v="1"/>
    <n v="28"/>
    <n v="7.2064000000000004"/>
    <n v="28.000000000000004"/>
    <s v="OK"/>
  </r>
  <r>
    <n v="14162"/>
    <x v="3"/>
    <x v="1"/>
    <n v="9.25"/>
    <n v="1"/>
    <x v="0"/>
    <n v="15"/>
    <n v="10.637499999999999"/>
    <n v="14.999999999999991"/>
    <s v="OK"/>
  </r>
  <r>
    <n v="14163"/>
    <x v="2"/>
    <x v="0"/>
    <n v="5.0199999999999996"/>
    <n v="6"/>
    <x v="1"/>
    <n v="28"/>
    <n v="6.4255999999999993"/>
    <n v="28.000000000000004"/>
    <s v="OK"/>
  </r>
  <r>
    <n v="14164"/>
    <x v="1"/>
    <x v="1"/>
    <n v="13.69"/>
    <n v="1"/>
    <x v="0"/>
    <n v="15"/>
    <n v="15.743499999999997"/>
    <n v="14.999999999999991"/>
    <s v="OK"/>
  </r>
  <r>
    <n v="14165"/>
    <x v="3"/>
    <x v="1"/>
    <n v="13.12"/>
    <n v="1"/>
    <x v="0"/>
    <n v="15"/>
    <n v="15.087999999999997"/>
    <n v="14.999999999999991"/>
    <s v="OK"/>
  </r>
  <r>
    <n v="14166"/>
    <x v="0"/>
    <x v="0"/>
    <n v="8.59"/>
    <n v="8"/>
    <x v="2"/>
    <n v="55"/>
    <n v="13.314500000000001"/>
    <n v="55.000000000000007"/>
    <s v="OK"/>
  </r>
  <r>
    <n v="14167"/>
    <x v="1"/>
    <x v="2"/>
    <n v="5.21"/>
    <n v="2"/>
    <x v="0"/>
    <n v="10"/>
    <n v="5.7310000000000008"/>
    <n v="10.000000000000009"/>
    <s v="OK"/>
  </r>
  <r>
    <n v="14168"/>
    <x v="1"/>
    <x v="2"/>
    <n v="4.75"/>
    <n v="10"/>
    <x v="2"/>
    <n v="50"/>
    <n v="7.125"/>
    <n v="50"/>
    <s v="OK"/>
  </r>
  <r>
    <n v="14169"/>
    <x v="2"/>
    <x v="1"/>
    <n v="0.98"/>
    <n v="6"/>
    <x v="1"/>
    <n v="30"/>
    <n v="1.274"/>
    <n v="30.000000000000004"/>
    <s v="OK"/>
  </r>
  <r>
    <n v="14170"/>
    <x v="3"/>
    <x v="0"/>
    <n v="12.33"/>
    <n v="6"/>
    <x v="1"/>
    <n v="28"/>
    <n v="15.782400000000001"/>
    <n v="28.000000000000004"/>
    <s v="OK"/>
  </r>
  <r>
    <n v="14171"/>
    <x v="1"/>
    <x v="2"/>
    <n v="7.03"/>
    <n v="6"/>
    <x v="1"/>
    <n v="25"/>
    <n v="8.7874999999999996"/>
    <n v="25"/>
    <s v="OK"/>
  </r>
  <r>
    <n v="14172"/>
    <x v="0"/>
    <x v="2"/>
    <n v="5.21"/>
    <n v="8"/>
    <x v="2"/>
    <n v="50"/>
    <n v="7.8149999999999995"/>
    <n v="50"/>
    <s v="OK"/>
  </r>
  <r>
    <n v="14173"/>
    <x v="3"/>
    <x v="1"/>
    <n v="7.33"/>
    <n v="4"/>
    <x v="1"/>
    <n v="30"/>
    <n v="9.5289999999999999"/>
    <n v="30.000000000000004"/>
    <s v="OK"/>
  </r>
  <r>
    <n v="14174"/>
    <x v="0"/>
    <x v="1"/>
    <n v="12.37"/>
    <n v="3"/>
    <x v="0"/>
    <n v="15"/>
    <n v="14.225499999999998"/>
    <n v="14.999999999999991"/>
    <s v="OK"/>
  </r>
  <r>
    <n v="14175"/>
    <x v="1"/>
    <x v="0"/>
    <n v="2.31"/>
    <n v="6"/>
    <x v="1"/>
    <n v="28"/>
    <n v="2.9568000000000003"/>
    <n v="28.000000000000004"/>
    <s v="OK"/>
  </r>
  <r>
    <n v="14176"/>
    <x v="0"/>
    <x v="1"/>
    <n v="12.94"/>
    <n v="4"/>
    <x v="1"/>
    <n v="30"/>
    <n v="16.821999999999999"/>
    <n v="30.000000000000004"/>
    <s v="OK"/>
  </r>
  <r>
    <n v="14177"/>
    <x v="2"/>
    <x v="2"/>
    <n v="13.51"/>
    <n v="2"/>
    <x v="0"/>
    <n v="10"/>
    <n v="14.861000000000001"/>
    <n v="10.000000000000009"/>
    <s v="OK"/>
  </r>
  <r>
    <n v="14178"/>
    <x v="0"/>
    <x v="2"/>
    <n v="14.23"/>
    <n v="6"/>
    <x v="1"/>
    <n v="25"/>
    <n v="17.787500000000001"/>
    <n v="25"/>
    <s v="OK"/>
  </r>
  <r>
    <n v="14179"/>
    <x v="3"/>
    <x v="2"/>
    <n v="6.26"/>
    <n v="10"/>
    <x v="2"/>
    <n v="50"/>
    <n v="9.39"/>
    <n v="50.000000000000021"/>
    <s v="OK"/>
  </r>
  <r>
    <n v="14180"/>
    <x v="0"/>
    <x v="2"/>
    <n v="3.65"/>
    <n v="5"/>
    <x v="1"/>
    <n v="25"/>
    <n v="4.5625"/>
    <n v="25"/>
    <s v="OK"/>
  </r>
  <r>
    <n v="14181"/>
    <x v="0"/>
    <x v="0"/>
    <n v="5.92"/>
    <n v="9"/>
    <x v="2"/>
    <n v="55"/>
    <n v="9.1760000000000002"/>
    <n v="55.000000000000007"/>
    <s v="OK"/>
  </r>
  <r>
    <n v="14182"/>
    <x v="2"/>
    <x v="0"/>
    <n v="5.33"/>
    <n v="6"/>
    <x v="1"/>
    <n v="28"/>
    <n v="6.8224"/>
    <n v="28.000000000000004"/>
    <s v="OK"/>
  </r>
  <r>
    <n v="14183"/>
    <x v="0"/>
    <x v="1"/>
    <n v="3.05"/>
    <n v="3"/>
    <x v="0"/>
    <n v="15"/>
    <n v="3.5074999999999994"/>
    <n v="14.999999999999991"/>
    <s v="OK"/>
  </r>
  <r>
    <n v="14184"/>
    <x v="0"/>
    <x v="1"/>
    <n v="9.31"/>
    <n v="5"/>
    <x v="1"/>
    <n v="30"/>
    <n v="12.103000000000002"/>
    <n v="30.000000000000004"/>
    <s v="OK"/>
  </r>
  <r>
    <n v="14185"/>
    <x v="1"/>
    <x v="1"/>
    <n v="7.41"/>
    <n v="10"/>
    <x v="2"/>
    <n v="60"/>
    <n v="11.856000000000002"/>
    <n v="60.000000000000007"/>
    <s v="OK"/>
  </r>
  <r>
    <n v="14186"/>
    <x v="1"/>
    <x v="0"/>
    <n v="13.05"/>
    <n v="8"/>
    <x v="2"/>
    <n v="55"/>
    <n v="20.227500000000003"/>
    <n v="55.000000000000007"/>
    <s v="OK"/>
  </r>
  <r>
    <n v="14187"/>
    <x v="3"/>
    <x v="2"/>
    <n v="0.97"/>
    <n v="9"/>
    <x v="2"/>
    <n v="50"/>
    <n v="1.4550000000000001"/>
    <n v="50.000000000000021"/>
    <s v="OK"/>
  </r>
  <r>
    <n v="14188"/>
    <x v="1"/>
    <x v="1"/>
    <n v="9.84"/>
    <n v="8"/>
    <x v="2"/>
    <n v="60"/>
    <n v="15.744"/>
    <n v="60.000000000000007"/>
    <s v="OK"/>
  </r>
  <r>
    <n v="14189"/>
    <x v="1"/>
    <x v="2"/>
    <n v="11.56"/>
    <n v="3"/>
    <x v="0"/>
    <n v="10"/>
    <n v="12.716000000000001"/>
    <n v="10.000000000000009"/>
    <s v="OK"/>
  </r>
  <r>
    <n v="14190"/>
    <x v="1"/>
    <x v="1"/>
    <n v="11.51"/>
    <n v="9"/>
    <x v="2"/>
    <n v="60"/>
    <n v="18.416"/>
    <n v="60.000000000000007"/>
    <s v="OK"/>
  </r>
  <r>
    <n v="14191"/>
    <x v="1"/>
    <x v="1"/>
    <n v="13.35"/>
    <n v="3"/>
    <x v="0"/>
    <n v="15"/>
    <n v="15.352499999999999"/>
    <n v="14.999999999999991"/>
    <s v="OK"/>
  </r>
  <r>
    <n v="14192"/>
    <x v="2"/>
    <x v="1"/>
    <n v="11.07"/>
    <n v="8"/>
    <x v="2"/>
    <n v="60"/>
    <n v="17.712"/>
    <n v="59.999999999999986"/>
    <s v="OK"/>
  </r>
  <r>
    <n v="14193"/>
    <x v="1"/>
    <x v="1"/>
    <n v="13.95"/>
    <n v="10"/>
    <x v="2"/>
    <n v="60"/>
    <n v="22.32"/>
    <n v="60.000000000000007"/>
    <s v="OK"/>
  </r>
  <r>
    <n v="14194"/>
    <x v="2"/>
    <x v="1"/>
    <n v="5.32"/>
    <n v="9"/>
    <x v="2"/>
    <n v="60"/>
    <n v="8.5120000000000005"/>
    <n v="60.000000000000007"/>
    <s v="OK"/>
  </r>
  <r>
    <n v="14195"/>
    <x v="2"/>
    <x v="2"/>
    <n v="7.8"/>
    <n v="7"/>
    <x v="1"/>
    <n v="25"/>
    <n v="9.75"/>
    <n v="25"/>
    <s v="OK"/>
  </r>
  <r>
    <n v="14196"/>
    <x v="1"/>
    <x v="1"/>
    <n v="0.7"/>
    <n v="4"/>
    <x v="1"/>
    <n v="30"/>
    <n v="0.90999999999999992"/>
    <n v="30.000000000000004"/>
    <s v="OK"/>
  </r>
  <r>
    <n v="14197"/>
    <x v="0"/>
    <x v="2"/>
    <n v="0.6"/>
    <n v="10"/>
    <x v="2"/>
    <n v="50"/>
    <n v="0.89999999999999991"/>
    <n v="50"/>
    <s v="OK"/>
  </r>
  <r>
    <n v="14198"/>
    <x v="2"/>
    <x v="0"/>
    <n v="3.98"/>
    <n v="9"/>
    <x v="2"/>
    <n v="55"/>
    <n v="6.1690000000000005"/>
    <n v="55.000000000000007"/>
    <s v="OK"/>
  </r>
  <r>
    <n v="14199"/>
    <x v="0"/>
    <x v="1"/>
    <n v="1.96"/>
    <n v="3"/>
    <x v="0"/>
    <n v="15"/>
    <n v="2.254"/>
    <n v="15.000000000000014"/>
    <s v="OK"/>
  </r>
  <r>
    <n v="14200"/>
    <x v="0"/>
    <x v="2"/>
    <n v="4.2699999999999996"/>
    <n v="3"/>
    <x v="0"/>
    <n v="10"/>
    <n v="4.6970000000000001"/>
    <n v="10.000000000000009"/>
    <s v="OK"/>
  </r>
  <r>
    <n v="14201"/>
    <x v="1"/>
    <x v="0"/>
    <n v="3.07"/>
    <n v="2"/>
    <x v="0"/>
    <n v="12"/>
    <n v="3.4384000000000001"/>
    <n v="12.000000000000011"/>
    <s v="OK"/>
  </r>
  <r>
    <n v="14202"/>
    <x v="3"/>
    <x v="0"/>
    <n v="0.91"/>
    <n v="10"/>
    <x v="2"/>
    <n v="55"/>
    <n v="1.4105000000000001"/>
    <n v="55.000000000000007"/>
    <s v="OK"/>
  </r>
  <r>
    <n v="14203"/>
    <x v="1"/>
    <x v="0"/>
    <n v="13.68"/>
    <n v="3"/>
    <x v="0"/>
    <n v="12"/>
    <n v="15.321600000000002"/>
    <n v="12.000000000000011"/>
    <s v="OK"/>
  </r>
  <r>
    <n v="14204"/>
    <x v="3"/>
    <x v="2"/>
    <n v="0.62"/>
    <n v="1"/>
    <x v="0"/>
    <n v="10"/>
    <n v="0.68200000000000005"/>
    <n v="10.000000000000009"/>
    <s v="OK"/>
  </r>
  <r>
    <n v="14205"/>
    <x v="3"/>
    <x v="1"/>
    <n v="11.17"/>
    <n v="4"/>
    <x v="1"/>
    <n v="30"/>
    <n v="14.521000000000001"/>
    <n v="30.000000000000004"/>
    <s v="OK"/>
  </r>
  <r>
    <n v="14206"/>
    <x v="1"/>
    <x v="1"/>
    <n v="2.71"/>
    <n v="8"/>
    <x v="2"/>
    <n v="60"/>
    <n v="4.3360000000000003"/>
    <n v="60.000000000000007"/>
    <s v="OK"/>
  </r>
  <r>
    <n v="14207"/>
    <x v="1"/>
    <x v="2"/>
    <n v="13.73"/>
    <n v="5"/>
    <x v="1"/>
    <n v="25"/>
    <n v="17.162500000000001"/>
    <n v="25"/>
    <s v="OK"/>
  </r>
  <r>
    <n v="14208"/>
    <x v="3"/>
    <x v="1"/>
    <n v="13.45"/>
    <n v="2"/>
    <x v="0"/>
    <n v="15"/>
    <n v="15.467499999999998"/>
    <n v="14.999999999999991"/>
    <s v="OK"/>
  </r>
  <r>
    <n v="14209"/>
    <x v="1"/>
    <x v="2"/>
    <n v="9.98"/>
    <n v="3"/>
    <x v="0"/>
    <n v="10"/>
    <n v="10.978000000000002"/>
    <n v="10.000000000000009"/>
    <s v="OK"/>
  </r>
  <r>
    <n v="14210"/>
    <x v="3"/>
    <x v="1"/>
    <n v="10.25"/>
    <n v="1"/>
    <x v="0"/>
    <n v="15"/>
    <n v="11.7875"/>
    <n v="14.999999999999991"/>
    <s v="OK"/>
  </r>
  <r>
    <n v="14211"/>
    <x v="0"/>
    <x v="0"/>
    <n v="0.57999999999999996"/>
    <n v="2"/>
    <x v="0"/>
    <n v="12"/>
    <n v="0.64960000000000007"/>
    <n v="12.000000000000011"/>
    <s v="OK"/>
  </r>
  <r>
    <n v="14212"/>
    <x v="1"/>
    <x v="1"/>
    <n v="14.78"/>
    <n v="1"/>
    <x v="0"/>
    <n v="15"/>
    <n v="16.996999999999996"/>
    <n v="14.999999999999991"/>
    <s v="OK"/>
  </r>
  <r>
    <n v="14213"/>
    <x v="0"/>
    <x v="2"/>
    <n v="13.23"/>
    <n v="2"/>
    <x v="0"/>
    <n v="10"/>
    <n v="14.553000000000001"/>
    <n v="10.000000000000009"/>
    <s v="OK"/>
  </r>
  <r>
    <n v="14214"/>
    <x v="2"/>
    <x v="2"/>
    <n v="13.48"/>
    <n v="3"/>
    <x v="0"/>
    <n v="10"/>
    <n v="14.828000000000001"/>
    <n v="10.000000000000009"/>
    <s v="OK"/>
  </r>
  <r>
    <n v="14215"/>
    <x v="0"/>
    <x v="0"/>
    <n v="10.06"/>
    <n v="1"/>
    <x v="0"/>
    <n v="12"/>
    <n v="11.267200000000001"/>
    <n v="12.000000000000011"/>
    <s v="OK"/>
  </r>
  <r>
    <n v="14216"/>
    <x v="0"/>
    <x v="2"/>
    <n v="5.5"/>
    <n v="9"/>
    <x v="2"/>
    <n v="50"/>
    <n v="8.25"/>
    <n v="50"/>
    <s v="OK"/>
  </r>
  <r>
    <n v="14217"/>
    <x v="3"/>
    <x v="1"/>
    <n v="13.46"/>
    <n v="10"/>
    <x v="2"/>
    <n v="60"/>
    <n v="21.536000000000001"/>
    <n v="60.000000000000007"/>
    <s v="OK"/>
  </r>
  <r>
    <n v="14218"/>
    <x v="0"/>
    <x v="1"/>
    <n v="4.7300000000000004"/>
    <n v="5"/>
    <x v="1"/>
    <n v="30"/>
    <n v="6.1490000000000009"/>
    <n v="30.000000000000004"/>
    <s v="OK"/>
  </r>
  <r>
    <n v="14219"/>
    <x v="1"/>
    <x v="0"/>
    <n v="8.66"/>
    <n v="8"/>
    <x v="2"/>
    <n v="55"/>
    <n v="13.423"/>
    <n v="55.000000000000007"/>
    <s v="OK"/>
  </r>
  <r>
    <n v="14220"/>
    <x v="3"/>
    <x v="2"/>
    <n v="1.95"/>
    <n v="5"/>
    <x v="1"/>
    <n v="25"/>
    <n v="2.4375"/>
    <n v="25"/>
    <s v="OK"/>
  </r>
  <r>
    <n v="14221"/>
    <x v="2"/>
    <x v="0"/>
    <n v="13.87"/>
    <n v="8"/>
    <x v="2"/>
    <n v="55"/>
    <n v="21.4985"/>
    <n v="55.000000000000007"/>
    <s v="OK"/>
  </r>
  <r>
    <n v="14222"/>
    <x v="1"/>
    <x v="1"/>
    <n v="2.54"/>
    <n v="7"/>
    <x v="1"/>
    <n v="30"/>
    <n v="3.302"/>
    <n v="30.000000000000004"/>
    <s v="OK"/>
  </r>
  <r>
    <n v="14223"/>
    <x v="2"/>
    <x v="0"/>
    <n v="3.76"/>
    <n v="4"/>
    <x v="1"/>
    <n v="28"/>
    <n v="4.8128000000000002"/>
    <n v="28.000000000000004"/>
    <s v="OK"/>
  </r>
  <r>
    <n v="14224"/>
    <x v="0"/>
    <x v="2"/>
    <n v="8.59"/>
    <n v="7"/>
    <x v="1"/>
    <n v="25"/>
    <n v="10.737500000000001"/>
    <n v="25"/>
    <s v="OK"/>
  </r>
  <r>
    <n v="14225"/>
    <x v="1"/>
    <x v="0"/>
    <n v="11.58"/>
    <n v="6"/>
    <x v="1"/>
    <n v="28"/>
    <n v="14.8224"/>
    <n v="28.000000000000004"/>
    <s v="OK"/>
  </r>
  <r>
    <n v="14226"/>
    <x v="1"/>
    <x v="2"/>
    <n v="9.48"/>
    <n v="3"/>
    <x v="0"/>
    <n v="10"/>
    <n v="10.428000000000001"/>
    <n v="10.000000000000009"/>
    <s v="OK"/>
  </r>
  <r>
    <n v="14227"/>
    <x v="2"/>
    <x v="2"/>
    <n v="3.87"/>
    <n v="9"/>
    <x v="2"/>
    <n v="50"/>
    <n v="5.8049999999999997"/>
    <n v="49.999999999999979"/>
    <s v="OK"/>
  </r>
  <r>
    <n v="14228"/>
    <x v="1"/>
    <x v="1"/>
    <n v="0.51"/>
    <n v="10"/>
    <x v="2"/>
    <n v="60"/>
    <n v="0.81600000000000006"/>
    <n v="60.000000000000007"/>
    <s v="OK"/>
  </r>
  <r>
    <n v="14229"/>
    <x v="1"/>
    <x v="1"/>
    <n v="11.48"/>
    <n v="9"/>
    <x v="2"/>
    <n v="60"/>
    <n v="18.368000000000002"/>
    <n v="60.000000000000007"/>
    <s v="OK"/>
  </r>
  <r>
    <n v="14230"/>
    <x v="1"/>
    <x v="1"/>
    <n v="14.79"/>
    <n v="5"/>
    <x v="1"/>
    <n v="30"/>
    <n v="19.227"/>
    <n v="30.000000000000004"/>
    <s v="OK"/>
  </r>
  <r>
    <n v="14231"/>
    <x v="0"/>
    <x v="2"/>
    <n v="12.24"/>
    <n v="8"/>
    <x v="2"/>
    <n v="50"/>
    <n v="18.36"/>
    <n v="50"/>
    <s v="OK"/>
  </r>
  <r>
    <n v="14232"/>
    <x v="2"/>
    <x v="0"/>
    <n v="7.17"/>
    <n v="7"/>
    <x v="1"/>
    <n v="28"/>
    <n v="9.1776"/>
    <n v="28.000000000000004"/>
    <s v="OK"/>
  </r>
  <r>
    <n v="14233"/>
    <x v="1"/>
    <x v="2"/>
    <n v="13.6"/>
    <n v="9"/>
    <x v="2"/>
    <n v="50"/>
    <n v="20.399999999999999"/>
    <n v="50"/>
    <s v="OK"/>
  </r>
  <r>
    <n v="14234"/>
    <x v="3"/>
    <x v="1"/>
    <n v="6.44"/>
    <n v="7"/>
    <x v="1"/>
    <n v="30"/>
    <n v="8.3720000000000017"/>
    <n v="30.000000000000028"/>
    <s v="OK"/>
  </r>
  <r>
    <n v="14235"/>
    <x v="3"/>
    <x v="1"/>
    <n v="8.11"/>
    <n v="4"/>
    <x v="1"/>
    <n v="30"/>
    <n v="10.542999999999999"/>
    <n v="30.000000000000004"/>
    <s v="OK"/>
  </r>
  <r>
    <n v="14236"/>
    <x v="3"/>
    <x v="0"/>
    <n v="7.42"/>
    <n v="4"/>
    <x v="1"/>
    <n v="28"/>
    <n v="9.4976000000000003"/>
    <n v="28.000000000000004"/>
    <s v="OK"/>
  </r>
  <r>
    <n v="14237"/>
    <x v="3"/>
    <x v="1"/>
    <n v="6.99"/>
    <n v="8"/>
    <x v="2"/>
    <n v="60"/>
    <n v="11.184000000000001"/>
    <n v="60.000000000000007"/>
    <s v="OK"/>
  </r>
  <r>
    <n v="14238"/>
    <x v="0"/>
    <x v="1"/>
    <n v="11.74"/>
    <n v="6"/>
    <x v="1"/>
    <n v="30"/>
    <n v="15.262"/>
    <n v="30.000000000000004"/>
    <s v="OK"/>
  </r>
  <r>
    <n v="14239"/>
    <x v="1"/>
    <x v="1"/>
    <n v="8.14"/>
    <n v="9"/>
    <x v="2"/>
    <n v="60"/>
    <n v="13.024000000000001"/>
    <n v="60.000000000000007"/>
    <s v="OK"/>
  </r>
  <r>
    <n v="14240"/>
    <x v="2"/>
    <x v="0"/>
    <n v="5.09"/>
    <n v="10"/>
    <x v="2"/>
    <n v="55"/>
    <n v="7.8895"/>
    <n v="55.000000000000007"/>
    <s v="OK"/>
  </r>
  <r>
    <n v="14241"/>
    <x v="1"/>
    <x v="2"/>
    <n v="4.24"/>
    <n v="7"/>
    <x v="1"/>
    <n v="25"/>
    <n v="5.3000000000000007"/>
    <n v="25"/>
    <s v="OK"/>
  </r>
  <r>
    <n v="14242"/>
    <x v="0"/>
    <x v="1"/>
    <n v="1.05"/>
    <n v="7"/>
    <x v="1"/>
    <n v="30"/>
    <n v="1.3650000000000002"/>
    <n v="30.000000000000004"/>
    <s v="OK"/>
  </r>
  <r>
    <n v="14243"/>
    <x v="3"/>
    <x v="0"/>
    <n v="8.9600000000000009"/>
    <n v="4"/>
    <x v="1"/>
    <n v="28"/>
    <n v="11.468800000000002"/>
    <n v="28.000000000000004"/>
    <s v="OK"/>
  </r>
  <r>
    <n v="14244"/>
    <x v="0"/>
    <x v="1"/>
    <n v="3.83"/>
    <n v="3"/>
    <x v="0"/>
    <n v="15"/>
    <n v="4.4044999999999996"/>
    <n v="14.999999999999991"/>
    <s v="OK"/>
  </r>
  <r>
    <n v="14245"/>
    <x v="1"/>
    <x v="0"/>
    <n v="2.65"/>
    <n v="8"/>
    <x v="2"/>
    <n v="55"/>
    <n v="4.1074999999999999"/>
    <n v="55.000000000000007"/>
    <s v="OK"/>
  </r>
  <r>
    <n v="14246"/>
    <x v="2"/>
    <x v="1"/>
    <n v="9.98"/>
    <n v="7"/>
    <x v="1"/>
    <n v="30"/>
    <n v="12.974"/>
    <n v="30.000000000000004"/>
    <s v="OK"/>
  </r>
  <r>
    <n v="14247"/>
    <x v="0"/>
    <x v="0"/>
    <n v="10.38"/>
    <n v="4"/>
    <x v="1"/>
    <n v="28"/>
    <n v="13.2864"/>
    <n v="28.000000000000004"/>
    <s v="OK"/>
  </r>
  <r>
    <n v="14248"/>
    <x v="2"/>
    <x v="1"/>
    <n v="11.41"/>
    <n v="4"/>
    <x v="1"/>
    <n v="30"/>
    <n v="14.833"/>
    <n v="30.000000000000004"/>
    <s v="OK"/>
  </r>
  <r>
    <n v="14249"/>
    <x v="0"/>
    <x v="2"/>
    <n v="7.8"/>
    <n v="1"/>
    <x v="0"/>
    <n v="10"/>
    <n v="8.58"/>
    <n v="10.000000000000009"/>
    <s v="OK"/>
  </r>
  <r>
    <n v="14250"/>
    <x v="2"/>
    <x v="1"/>
    <n v="13.46"/>
    <n v="7"/>
    <x v="1"/>
    <n v="30"/>
    <n v="17.498000000000001"/>
    <n v="30.000000000000004"/>
    <s v="OK"/>
  </r>
  <r>
    <n v="14251"/>
    <x v="2"/>
    <x v="0"/>
    <n v="14.08"/>
    <n v="1"/>
    <x v="0"/>
    <n v="12"/>
    <n v="15.769600000000002"/>
    <n v="12.000000000000011"/>
    <s v="OK"/>
  </r>
  <r>
    <n v="14252"/>
    <x v="3"/>
    <x v="1"/>
    <n v="12.21"/>
    <n v="10"/>
    <x v="2"/>
    <n v="60"/>
    <n v="19.536000000000001"/>
    <n v="60.000000000000007"/>
    <s v="OK"/>
  </r>
  <r>
    <n v="14253"/>
    <x v="2"/>
    <x v="2"/>
    <n v="9.7200000000000006"/>
    <n v="10"/>
    <x v="2"/>
    <n v="50"/>
    <n v="14.580000000000002"/>
    <n v="50"/>
    <s v="OK"/>
  </r>
  <r>
    <n v="14254"/>
    <x v="3"/>
    <x v="1"/>
    <n v="4.9000000000000004"/>
    <n v="4"/>
    <x v="1"/>
    <n v="30"/>
    <n v="6.370000000000001"/>
    <n v="30.000000000000004"/>
    <s v="OK"/>
  </r>
  <r>
    <n v="14255"/>
    <x v="1"/>
    <x v="0"/>
    <n v="14.75"/>
    <n v="3"/>
    <x v="0"/>
    <n v="12"/>
    <n v="16.520000000000003"/>
    <n v="12.000000000000011"/>
    <s v="OK"/>
  </r>
  <r>
    <n v="14256"/>
    <x v="1"/>
    <x v="0"/>
    <n v="4.47"/>
    <n v="3"/>
    <x v="0"/>
    <n v="12"/>
    <n v="5.0064000000000002"/>
    <n v="12.000000000000011"/>
    <s v="OK"/>
  </r>
  <r>
    <n v="14257"/>
    <x v="3"/>
    <x v="2"/>
    <n v="3.44"/>
    <n v="1"/>
    <x v="0"/>
    <n v="10"/>
    <n v="3.7840000000000003"/>
    <n v="10.000000000000009"/>
    <s v="OK"/>
  </r>
  <r>
    <n v="14258"/>
    <x v="3"/>
    <x v="0"/>
    <n v="6.91"/>
    <n v="4"/>
    <x v="1"/>
    <n v="28"/>
    <n v="8.8448000000000011"/>
    <n v="28.000000000000004"/>
    <s v="OK"/>
  </r>
  <r>
    <n v="14259"/>
    <x v="0"/>
    <x v="1"/>
    <n v="1.32"/>
    <n v="1"/>
    <x v="0"/>
    <n v="15"/>
    <n v="1.518"/>
    <n v="14.999999999999991"/>
    <s v="OK"/>
  </r>
  <r>
    <n v="14260"/>
    <x v="0"/>
    <x v="1"/>
    <n v="14.69"/>
    <n v="8"/>
    <x v="2"/>
    <n v="60"/>
    <n v="23.504000000000001"/>
    <n v="60.000000000000007"/>
    <s v="OK"/>
  </r>
  <r>
    <n v="14261"/>
    <x v="0"/>
    <x v="1"/>
    <n v="9.0299999999999994"/>
    <n v="1"/>
    <x v="0"/>
    <n v="15"/>
    <n v="10.384499999999999"/>
    <n v="14.999999999999991"/>
    <s v="OK"/>
  </r>
  <r>
    <n v="14262"/>
    <x v="1"/>
    <x v="0"/>
    <n v="8.58"/>
    <n v="6"/>
    <x v="1"/>
    <n v="28"/>
    <n v="10.9824"/>
    <n v="28.000000000000004"/>
    <s v="OK"/>
  </r>
  <r>
    <n v="14263"/>
    <x v="0"/>
    <x v="1"/>
    <n v="10.01"/>
    <n v="7"/>
    <x v="1"/>
    <n v="30"/>
    <n v="13.013"/>
    <n v="30.000000000000004"/>
    <s v="OK"/>
  </r>
  <r>
    <n v="14264"/>
    <x v="2"/>
    <x v="1"/>
    <n v="7.71"/>
    <n v="10"/>
    <x v="2"/>
    <n v="60"/>
    <n v="12.336"/>
    <n v="60.000000000000007"/>
    <s v="OK"/>
  </r>
  <r>
    <n v="14265"/>
    <x v="2"/>
    <x v="1"/>
    <n v="0.96"/>
    <n v="2"/>
    <x v="0"/>
    <n v="15"/>
    <n v="1.1039999999999999"/>
    <n v="14.999999999999991"/>
    <s v="OK"/>
  </r>
  <r>
    <n v="14266"/>
    <x v="0"/>
    <x v="2"/>
    <n v="9.3800000000000008"/>
    <n v="4"/>
    <x v="1"/>
    <n v="25"/>
    <n v="11.725000000000001"/>
    <n v="25"/>
    <s v="OK"/>
  </r>
  <r>
    <n v="14267"/>
    <x v="2"/>
    <x v="0"/>
    <n v="10.88"/>
    <n v="3"/>
    <x v="0"/>
    <n v="12"/>
    <n v="12.185600000000003"/>
    <n v="12.000000000000011"/>
    <s v="OK"/>
  </r>
  <r>
    <n v="14268"/>
    <x v="1"/>
    <x v="0"/>
    <n v="6.54"/>
    <n v="9"/>
    <x v="2"/>
    <n v="55"/>
    <n v="10.137"/>
    <n v="55.000000000000007"/>
    <s v="OK"/>
  </r>
  <r>
    <n v="14269"/>
    <x v="2"/>
    <x v="0"/>
    <n v="11.48"/>
    <n v="7"/>
    <x v="1"/>
    <n v="28"/>
    <n v="14.694400000000002"/>
    <n v="28.000000000000004"/>
    <s v="OK"/>
  </r>
  <r>
    <n v="14270"/>
    <x v="1"/>
    <x v="2"/>
    <n v="3.79"/>
    <n v="2"/>
    <x v="0"/>
    <n v="10"/>
    <n v="4.1690000000000005"/>
    <n v="10.000000000000009"/>
    <s v="OK"/>
  </r>
  <r>
    <n v="14271"/>
    <x v="3"/>
    <x v="0"/>
    <n v="3.71"/>
    <n v="6"/>
    <x v="1"/>
    <n v="28"/>
    <n v="4.7488000000000001"/>
    <n v="28.000000000000004"/>
    <s v="OK"/>
  </r>
  <r>
    <n v="14272"/>
    <x v="3"/>
    <x v="2"/>
    <n v="2.84"/>
    <n v="9"/>
    <x v="2"/>
    <n v="50"/>
    <n v="4.26"/>
    <n v="50"/>
    <s v="OK"/>
  </r>
  <r>
    <n v="14273"/>
    <x v="3"/>
    <x v="2"/>
    <n v="5.89"/>
    <n v="3"/>
    <x v="0"/>
    <n v="10"/>
    <n v="6.4790000000000001"/>
    <n v="10.000000000000009"/>
    <s v="OK"/>
  </r>
  <r>
    <n v="14274"/>
    <x v="3"/>
    <x v="0"/>
    <n v="12.78"/>
    <n v="6"/>
    <x v="1"/>
    <n v="28"/>
    <n v="16.3584"/>
    <n v="28.000000000000004"/>
    <s v="OK"/>
  </r>
  <r>
    <n v="14275"/>
    <x v="2"/>
    <x v="1"/>
    <n v="12.5"/>
    <n v="3"/>
    <x v="0"/>
    <n v="15"/>
    <n v="14.374999999999998"/>
    <n v="14.999999999999991"/>
    <s v="OK"/>
  </r>
  <r>
    <n v="14276"/>
    <x v="0"/>
    <x v="1"/>
    <n v="6.05"/>
    <n v="3"/>
    <x v="0"/>
    <n v="15"/>
    <n v="6.9574999999999996"/>
    <n v="14.999999999999991"/>
    <s v="OK"/>
  </r>
  <r>
    <n v="14277"/>
    <x v="2"/>
    <x v="0"/>
    <n v="9.0399999999999991"/>
    <n v="4"/>
    <x v="1"/>
    <n v="28"/>
    <n v="11.571199999999999"/>
    <n v="28.000000000000004"/>
    <s v="OK"/>
  </r>
  <r>
    <n v="14278"/>
    <x v="1"/>
    <x v="0"/>
    <n v="10.95"/>
    <n v="9"/>
    <x v="2"/>
    <n v="55"/>
    <n v="16.9725"/>
    <n v="55.000000000000007"/>
    <s v="OK"/>
  </r>
  <r>
    <n v="14279"/>
    <x v="2"/>
    <x v="2"/>
    <n v="4"/>
    <n v="8"/>
    <x v="2"/>
    <n v="50"/>
    <n v="6"/>
    <n v="50"/>
    <s v="OK"/>
  </r>
  <r>
    <n v="14280"/>
    <x v="2"/>
    <x v="0"/>
    <n v="2.94"/>
    <n v="1"/>
    <x v="0"/>
    <n v="12"/>
    <n v="3.2928000000000002"/>
    <n v="12.000000000000011"/>
    <s v="OK"/>
  </r>
  <r>
    <n v="14281"/>
    <x v="1"/>
    <x v="2"/>
    <n v="14.6"/>
    <n v="1"/>
    <x v="0"/>
    <n v="10"/>
    <n v="16.060000000000002"/>
    <n v="10.000000000000009"/>
    <s v="OK"/>
  </r>
  <r>
    <n v="14282"/>
    <x v="3"/>
    <x v="0"/>
    <n v="9.4499999999999993"/>
    <n v="7"/>
    <x v="1"/>
    <n v="28"/>
    <n v="12.096"/>
    <n v="28.000000000000004"/>
    <s v="OK"/>
  </r>
  <r>
    <n v="14283"/>
    <x v="3"/>
    <x v="1"/>
    <n v="14.73"/>
    <n v="3"/>
    <x v="0"/>
    <n v="15"/>
    <n v="16.939499999999999"/>
    <n v="14.999999999999991"/>
    <s v="OK"/>
  </r>
  <r>
    <n v="14284"/>
    <x v="3"/>
    <x v="1"/>
    <n v="5.4"/>
    <n v="7"/>
    <x v="1"/>
    <n v="30"/>
    <n v="7.0200000000000005"/>
    <n v="30.000000000000004"/>
    <s v="OK"/>
  </r>
  <r>
    <n v="14285"/>
    <x v="0"/>
    <x v="0"/>
    <n v="10.69"/>
    <n v="9"/>
    <x v="2"/>
    <n v="55"/>
    <n v="16.569500000000001"/>
    <n v="55.000000000000028"/>
    <s v="OK"/>
  </r>
  <r>
    <n v="14286"/>
    <x v="1"/>
    <x v="2"/>
    <n v="3.73"/>
    <n v="3"/>
    <x v="0"/>
    <n v="10"/>
    <n v="4.1030000000000006"/>
    <n v="10.000000000000009"/>
    <s v="OK"/>
  </r>
  <r>
    <n v="14287"/>
    <x v="1"/>
    <x v="1"/>
    <n v="4.29"/>
    <n v="3"/>
    <x v="0"/>
    <n v="15"/>
    <n v="4.9334999999999996"/>
    <n v="14.999999999999991"/>
    <s v="OK"/>
  </r>
  <r>
    <n v="14288"/>
    <x v="2"/>
    <x v="2"/>
    <n v="7.92"/>
    <n v="2"/>
    <x v="0"/>
    <n v="10"/>
    <n v="8.7119999999999997"/>
    <n v="9.9999999999999858"/>
    <s v="OK"/>
  </r>
  <r>
    <n v="14289"/>
    <x v="0"/>
    <x v="0"/>
    <n v="5.13"/>
    <n v="10"/>
    <x v="2"/>
    <n v="55"/>
    <n v="7.9515000000000002"/>
    <n v="55.000000000000007"/>
    <s v="OK"/>
  </r>
  <r>
    <n v="14290"/>
    <x v="3"/>
    <x v="0"/>
    <n v="2.93"/>
    <n v="1"/>
    <x v="0"/>
    <n v="12"/>
    <n v="3.2816000000000005"/>
    <n v="12.000000000000011"/>
    <s v="OK"/>
  </r>
  <r>
    <n v="14291"/>
    <x v="0"/>
    <x v="1"/>
    <n v="4.3099999999999996"/>
    <n v="9"/>
    <x v="2"/>
    <n v="60"/>
    <n v="6.8959999999999999"/>
    <n v="60.000000000000007"/>
    <s v="OK"/>
  </r>
  <r>
    <n v="14292"/>
    <x v="1"/>
    <x v="0"/>
    <n v="1.02"/>
    <n v="6"/>
    <x v="1"/>
    <n v="28"/>
    <n v="1.3056000000000001"/>
    <n v="28.000000000000004"/>
    <s v="OK"/>
  </r>
  <r>
    <n v="14293"/>
    <x v="1"/>
    <x v="1"/>
    <n v="10.71"/>
    <n v="6"/>
    <x v="1"/>
    <n v="30"/>
    <n v="13.923000000000002"/>
    <n v="30.000000000000004"/>
    <s v="OK"/>
  </r>
  <r>
    <n v="14294"/>
    <x v="2"/>
    <x v="2"/>
    <n v="7.64"/>
    <n v="8"/>
    <x v="2"/>
    <n v="50"/>
    <n v="11.459999999999999"/>
    <n v="50"/>
    <s v="OK"/>
  </r>
  <r>
    <n v="14295"/>
    <x v="2"/>
    <x v="1"/>
    <n v="1.87"/>
    <n v="5"/>
    <x v="1"/>
    <n v="30"/>
    <n v="2.431"/>
    <n v="30.000000000000004"/>
    <s v="OK"/>
  </r>
  <r>
    <n v="14296"/>
    <x v="1"/>
    <x v="1"/>
    <n v="2.99"/>
    <n v="9"/>
    <x v="2"/>
    <n v="60"/>
    <n v="4.7840000000000007"/>
    <n v="60.000000000000007"/>
    <s v="OK"/>
  </r>
  <r>
    <n v="14297"/>
    <x v="3"/>
    <x v="2"/>
    <n v="1.99"/>
    <n v="5"/>
    <x v="1"/>
    <n v="25"/>
    <n v="2.4874999999999998"/>
    <n v="25"/>
    <s v="OK"/>
  </r>
  <r>
    <n v="14298"/>
    <x v="3"/>
    <x v="1"/>
    <n v="9.3800000000000008"/>
    <n v="2"/>
    <x v="0"/>
    <n v="15"/>
    <n v="10.787000000000001"/>
    <n v="14.999999999999991"/>
    <s v="OK"/>
  </r>
  <r>
    <n v="14299"/>
    <x v="0"/>
    <x v="1"/>
    <n v="1.87"/>
    <n v="6"/>
    <x v="1"/>
    <n v="30"/>
    <n v="2.431"/>
    <n v="30.000000000000004"/>
    <s v="OK"/>
  </r>
  <r>
    <n v="14300"/>
    <x v="1"/>
    <x v="0"/>
    <n v="11.44"/>
    <n v="9"/>
    <x v="2"/>
    <n v="55"/>
    <n v="17.731999999999999"/>
    <n v="55.000000000000007"/>
    <s v="OK"/>
  </r>
  <r>
    <n v="14301"/>
    <x v="1"/>
    <x v="2"/>
    <n v="0.8"/>
    <n v="3"/>
    <x v="0"/>
    <n v="10"/>
    <n v="0.88000000000000012"/>
    <n v="10.000000000000009"/>
    <s v="OK"/>
  </r>
  <r>
    <n v="14302"/>
    <x v="3"/>
    <x v="1"/>
    <n v="4.12"/>
    <n v="10"/>
    <x v="2"/>
    <n v="60"/>
    <n v="6.5920000000000005"/>
    <n v="60.000000000000007"/>
    <s v="OK"/>
  </r>
  <r>
    <n v="14303"/>
    <x v="3"/>
    <x v="2"/>
    <n v="13.41"/>
    <n v="4"/>
    <x v="1"/>
    <n v="25"/>
    <n v="16.762499999999999"/>
    <n v="25"/>
    <s v="OK"/>
  </r>
  <r>
    <n v="14304"/>
    <x v="1"/>
    <x v="2"/>
    <n v="10.92"/>
    <n v="10"/>
    <x v="2"/>
    <n v="50"/>
    <n v="16.38"/>
    <n v="50"/>
    <s v="OK"/>
  </r>
  <r>
    <n v="14305"/>
    <x v="2"/>
    <x v="1"/>
    <n v="1.56"/>
    <n v="8"/>
    <x v="2"/>
    <n v="60"/>
    <n v="2.4960000000000004"/>
    <n v="60.000000000000028"/>
    <s v="OK"/>
  </r>
  <r>
    <n v="14306"/>
    <x v="1"/>
    <x v="0"/>
    <n v="12.41"/>
    <n v="6"/>
    <x v="1"/>
    <n v="28"/>
    <n v="15.8848"/>
    <n v="28.000000000000004"/>
    <s v="OK"/>
  </r>
  <r>
    <n v="14307"/>
    <x v="1"/>
    <x v="2"/>
    <n v="7.65"/>
    <n v="7"/>
    <x v="1"/>
    <n v="25"/>
    <n v="9.5625"/>
    <n v="25"/>
    <s v="OK"/>
  </r>
  <r>
    <n v="14308"/>
    <x v="3"/>
    <x v="1"/>
    <n v="12.78"/>
    <n v="7"/>
    <x v="1"/>
    <n v="30"/>
    <n v="16.614000000000001"/>
    <n v="30.000000000000004"/>
    <s v="OK"/>
  </r>
  <r>
    <n v="14309"/>
    <x v="3"/>
    <x v="2"/>
    <n v="9.2100000000000009"/>
    <n v="4"/>
    <x v="1"/>
    <n v="25"/>
    <n v="11.512500000000001"/>
    <n v="25"/>
    <s v="OK"/>
  </r>
  <r>
    <n v="14310"/>
    <x v="2"/>
    <x v="0"/>
    <n v="10.39"/>
    <n v="6"/>
    <x v="1"/>
    <n v="28"/>
    <n v="13.299200000000001"/>
    <n v="28.000000000000004"/>
    <s v="OK"/>
  </r>
  <r>
    <n v="14311"/>
    <x v="2"/>
    <x v="0"/>
    <n v="14.91"/>
    <n v="9"/>
    <x v="2"/>
    <n v="55"/>
    <n v="23.110500000000002"/>
    <n v="55.000000000000007"/>
    <s v="OK"/>
  </r>
  <r>
    <n v="14312"/>
    <x v="0"/>
    <x v="0"/>
    <n v="3.87"/>
    <n v="3"/>
    <x v="0"/>
    <n v="12"/>
    <n v="4.3344000000000005"/>
    <n v="12.000000000000011"/>
    <s v="OK"/>
  </r>
  <r>
    <n v="14313"/>
    <x v="1"/>
    <x v="1"/>
    <n v="9.5500000000000007"/>
    <n v="8"/>
    <x v="2"/>
    <n v="60"/>
    <n v="15.280000000000001"/>
    <n v="60.000000000000007"/>
    <s v="OK"/>
  </r>
  <r>
    <n v="14314"/>
    <x v="3"/>
    <x v="1"/>
    <n v="7.17"/>
    <n v="7"/>
    <x v="1"/>
    <n v="30"/>
    <n v="9.3209999999999997"/>
    <n v="30.000000000000004"/>
    <s v="OK"/>
  </r>
  <r>
    <n v="14315"/>
    <x v="2"/>
    <x v="0"/>
    <n v="1.07"/>
    <n v="4"/>
    <x v="1"/>
    <n v="28"/>
    <n v="1.3696000000000002"/>
    <n v="28.000000000000004"/>
    <s v="OK"/>
  </r>
  <r>
    <n v="14316"/>
    <x v="0"/>
    <x v="1"/>
    <n v="0.71"/>
    <n v="10"/>
    <x v="2"/>
    <n v="60"/>
    <n v="1.1359999999999999"/>
    <n v="59.999999999999986"/>
    <s v="OK"/>
  </r>
  <r>
    <n v="14317"/>
    <x v="0"/>
    <x v="0"/>
    <n v="2.23"/>
    <n v="3"/>
    <x v="0"/>
    <n v="12"/>
    <n v="2.4976000000000003"/>
    <n v="12.000000000000011"/>
    <s v="OK"/>
  </r>
  <r>
    <n v="14318"/>
    <x v="3"/>
    <x v="1"/>
    <n v="9.91"/>
    <n v="7"/>
    <x v="1"/>
    <n v="30"/>
    <n v="12.883000000000001"/>
    <n v="30.000000000000004"/>
    <s v="OK"/>
  </r>
  <r>
    <n v="14319"/>
    <x v="3"/>
    <x v="0"/>
    <n v="8.7200000000000006"/>
    <n v="10"/>
    <x v="2"/>
    <n v="55"/>
    <n v="13.516000000000002"/>
    <n v="55.000000000000007"/>
    <s v="OK"/>
  </r>
  <r>
    <n v="14320"/>
    <x v="0"/>
    <x v="2"/>
    <n v="8.52"/>
    <n v="9"/>
    <x v="2"/>
    <n v="50"/>
    <n v="12.78"/>
    <n v="50"/>
    <s v="OK"/>
  </r>
  <r>
    <n v="14321"/>
    <x v="2"/>
    <x v="0"/>
    <n v="0.96"/>
    <n v="10"/>
    <x v="2"/>
    <n v="55"/>
    <n v="1.488"/>
    <n v="55.000000000000007"/>
    <s v="OK"/>
  </r>
  <r>
    <n v="14322"/>
    <x v="0"/>
    <x v="0"/>
    <n v="7.3"/>
    <n v="3"/>
    <x v="0"/>
    <n v="12"/>
    <n v="8.1760000000000002"/>
    <n v="12.000000000000011"/>
    <s v="OK"/>
  </r>
  <r>
    <n v="14323"/>
    <x v="1"/>
    <x v="1"/>
    <n v="13.91"/>
    <n v="10"/>
    <x v="2"/>
    <n v="60"/>
    <n v="22.256"/>
    <n v="60.000000000000007"/>
    <s v="OK"/>
  </r>
  <r>
    <n v="14324"/>
    <x v="1"/>
    <x v="1"/>
    <n v="6.27"/>
    <n v="9"/>
    <x v="2"/>
    <n v="60"/>
    <n v="10.032"/>
    <n v="60.000000000000007"/>
    <s v="OK"/>
  </r>
  <r>
    <n v="14325"/>
    <x v="3"/>
    <x v="1"/>
    <n v="9.56"/>
    <n v="8"/>
    <x v="2"/>
    <n v="60"/>
    <n v="15.296000000000001"/>
    <n v="60.000000000000007"/>
    <s v="OK"/>
  </r>
  <r>
    <n v="14326"/>
    <x v="2"/>
    <x v="1"/>
    <n v="11.81"/>
    <n v="3"/>
    <x v="0"/>
    <n v="15"/>
    <n v="13.5815"/>
    <n v="14.999999999999991"/>
    <s v="OK"/>
  </r>
  <r>
    <n v="14327"/>
    <x v="2"/>
    <x v="1"/>
    <n v="11.87"/>
    <n v="8"/>
    <x v="2"/>
    <n v="60"/>
    <n v="18.992000000000001"/>
    <n v="60.000000000000007"/>
    <s v="OK"/>
  </r>
  <r>
    <n v="14328"/>
    <x v="1"/>
    <x v="1"/>
    <n v="8.0299999999999994"/>
    <n v="4"/>
    <x v="1"/>
    <n v="30"/>
    <n v="10.439"/>
    <n v="30.000000000000004"/>
    <s v="OK"/>
  </r>
  <r>
    <n v="14329"/>
    <x v="0"/>
    <x v="2"/>
    <n v="12.94"/>
    <n v="6"/>
    <x v="1"/>
    <n v="25"/>
    <n v="16.175000000000001"/>
    <n v="25"/>
    <s v="OK"/>
  </r>
  <r>
    <n v="14330"/>
    <x v="3"/>
    <x v="0"/>
    <n v="6.17"/>
    <n v="10"/>
    <x v="2"/>
    <n v="55"/>
    <n v="9.5634999999999994"/>
    <n v="54.999999999999986"/>
    <s v="OK"/>
  </r>
  <r>
    <n v="14331"/>
    <x v="0"/>
    <x v="0"/>
    <n v="13.39"/>
    <n v="2"/>
    <x v="0"/>
    <n v="12"/>
    <n v="14.996800000000002"/>
    <n v="12.000000000000011"/>
    <s v="OK"/>
  </r>
  <r>
    <n v="14332"/>
    <x v="0"/>
    <x v="0"/>
    <n v="3.98"/>
    <n v="8"/>
    <x v="2"/>
    <n v="55"/>
    <n v="6.1690000000000005"/>
    <n v="55.000000000000007"/>
    <s v="OK"/>
  </r>
  <r>
    <n v="14333"/>
    <x v="0"/>
    <x v="2"/>
    <n v="4.5599999999999996"/>
    <n v="9"/>
    <x v="2"/>
    <n v="50"/>
    <n v="6.84"/>
    <n v="50"/>
    <s v="OK"/>
  </r>
  <r>
    <n v="14334"/>
    <x v="2"/>
    <x v="0"/>
    <n v="1.27"/>
    <n v="7"/>
    <x v="1"/>
    <n v="28"/>
    <n v="1.6256000000000002"/>
    <n v="28.000000000000004"/>
    <s v="OK"/>
  </r>
  <r>
    <n v="14335"/>
    <x v="1"/>
    <x v="2"/>
    <n v="12.04"/>
    <n v="8"/>
    <x v="2"/>
    <n v="50"/>
    <n v="18.059999999999999"/>
    <n v="50"/>
    <s v="OK"/>
  </r>
  <r>
    <n v="14336"/>
    <x v="2"/>
    <x v="2"/>
    <n v="6.55"/>
    <n v="7"/>
    <x v="1"/>
    <n v="25"/>
    <n v="8.1875"/>
    <n v="25"/>
    <s v="OK"/>
  </r>
  <r>
    <n v="14337"/>
    <x v="1"/>
    <x v="2"/>
    <n v="3.82"/>
    <n v="10"/>
    <x v="2"/>
    <n v="50"/>
    <n v="5.7299999999999995"/>
    <n v="50"/>
    <s v="OK"/>
  </r>
  <r>
    <n v="14338"/>
    <x v="3"/>
    <x v="0"/>
    <n v="3.86"/>
    <n v="4"/>
    <x v="1"/>
    <n v="28"/>
    <n v="4.9408000000000003"/>
    <n v="28.000000000000004"/>
    <s v="OK"/>
  </r>
  <r>
    <n v="14339"/>
    <x v="3"/>
    <x v="2"/>
    <n v="13.57"/>
    <n v="1"/>
    <x v="0"/>
    <n v="10"/>
    <n v="14.927000000000001"/>
    <n v="10.000000000000009"/>
    <s v="OK"/>
  </r>
  <r>
    <n v="14340"/>
    <x v="0"/>
    <x v="0"/>
    <n v="12.59"/>
    <n v="3"/>
    <x v="0"/>
    <n v="12"/>
    <n v="14.100800000000001"/>
    <n v="12.000000000000011"/>
    <s v="OK"/>
  </r>
  <r>
    <n v="14341"/>
    <x v="1"/>
    <x v="0"/>
    <n v="8.5299999999999994"/>
    <n v="7"/>
    <x v="1"/>
    <n v="28"/>
    <n v="10.9184"/>
    <n v="28.000000000000004"/>
    <s v="OK"/>
  </r>
  <r>
    <n v="14342"/>
    <x v="1"/>
    <x v="1"/>
    <n v="9.43"/>
    <n v="7"/>
    <x v="1"/>
    <n v="30"/>
    <n v="12.259"/>
    <n v="30.000000000000004"/>
    <s v="OK"/>
  </r>
  <r>
    <n v="14343"/>
    <x v="1"/>
    <x v="1"/>
    <n v="7.38"/>
    <n v="3"/>
    <x v="0"/>
    <n v="15"/>
    <n v="8.4870000000000001"/>
    <n v="15.000000000000014"/>
    <s v="OK"/>
  </r>
  <r>
    <n v="14344"/>
    <x v="0"/>
    <x v="2"/>
    <n v="6.18"/>
    <n v="1"/>
    <x v="0"/>
    <n v="10"/>
    <n v="6.798"/>
    <n v="10.000000000000009"/>
    <s v="OK"/>
  </r>
  <r>
    <n v="14345"/>
    <x v="0"/>
    <x v="2"/>
    <n v="13.77"/>
    <n v="10"/>
    <x v="2"/>
    <n v="50"/>
    <n v="20.655000000000001"/>
    <n v="50.000000000000021"/>
    <s v="OK"/>
  </r>
  <r>
    <n v="14346"/>
    <x v="3"/>
    <x v="0"/>
    <n v="2.3199999999999998"/>
    <n v="9"/>
    <x v="2"/>
    <n v="55"/>
    <n v="3.5959999999999996"/>
    <n v="55.000000000000007"/>
    <s v="OK"/>
  </r>
  <r>
    <n v="14347"/>
    <x v="2"/>
    <x v="2"/>
    <n v="6.57"/>
    <n v="6"/>
    <x v="1"/>
    <n v="25"/>
    <n v="8.2125000000000004"/>
    <n v="25"/>
    <s v="OK"/>
  </r>
  <r>
    <n v="14348"/>
    <x v="1"/>
    <x v="2"/>
    <n v="5.5"/>
    <n v="7"/>
    <x v="1"/>
    <n v="25"/>
    <n v="6.875"/>
    <n v="25"/>
    <s v="OK"/>
  </r>
  <r>
    <n v="14349"/>
    <x v="1"/>
    <x v="0"/>
    <n v="7.72"/>
    <n v="1"/>
    <x v="0"/>
    <n v="12"/>
    <n v="8.6463999999999999"/>
    <n v="12.000000000000011"/>
    <s v="OK"/>
  </r>
  <r>
    <n v="14350"/>
    <x v="2"/>
    <x v="2"/>
    <n v="7.14"/>
    <n v="1"/>
    <x v="0"/>
    <n v="10"/>
    <n v="7.8540000000000001"/>
    <n v="10.000000000000009"/>
    <s v="OK"/>
  </r>
  <r>
    <n v="14351"/>
    <x v="1"/>
    <x v="2"/>
    <n v="8.02"/>
    <n v="4"/>
    <x v="1"/>
    <n v="25"/>
    <n v="10.024999999999999"/>
    <n v="25"/>
    <s v="OK"/>
  </r>
  <r>
    <n v="14352"/>
    <x v="0"/>
    <x v="0"/>
    <n v="2.5299999999999998"/>
    <n v="7"/>
    <x v="1"/>
    <n v="28"/>
    <n v="3.2383999999999999"/>
    <n v="28.000000000000004"/>
    <s v="OK"/>
  </r>
  <r>
    <n v="14353"/>
    <x v="0"/>
    <x v="0"/>
    <n v="7.94"/>
    <n v="8"/>
    <x v="2"/>
    <n v="55"/>
    <n v="12.307"/>
    <n v="55.000000000000007"/>
    <s v="OK"/>
  </r>
  <r>
    <n v="14354"/>
    <x v="1"/>
    <x v="1"/>
    <n v="4.0199999999999996"/>
    <n v="10"/>
    <x v="2"/>
    <n v="60"/>
    <n v="6.4319999999999995"/>
    <n v="60.000000000000007"/>
    <s v="OK"/>
  </r>
  <r>
    <n v="14355"/>
    <x v="0"/>
    <x v="0"/>
    <n v="3.17"/>
    <n v="9"/>
    <x v="2"/>
    <n v="55"/>
    <n v="4.9135"/>
    <n v="55.000000000000007"/>
    <s v="OK"/>
  </r>
  <r>
    <n v="14356"/>
    <x v="0"/>
    <x v="1"/>
    <n v="1.44"/>
    <n v="1"/>
    <x v="0"/>
    <n v="15"/>
    <n v="1.6559999999999999"/>
    <n v="14.999999999999991"/>
    <s v="OK"/>
  </r>
  <r>
    <n v="14357"/>
    <x v="1"/>
    <x v="2"/>
    <n v="11.56"/>
    <n v="4"/>
    <x v="1"/>
    <n v="25"/>
    <n v="14.450000000000001"/>
    <n v="25"/>
    <s v="OK"/>
  </r>
  <r>
    <n v="14358"/>
    <x v="3"/>
    <x v="0"/>
    <n v="6.7"/>
    <n v="4"/>
    <x v="1"/>
    <n v="28"/>
    <n v="8.5760000000000005"/>
    <n v="28.000000000000004"/>
    <s v="OK"/>
  </r>
  <r>
    <n v="14359"/>
    <x v="2"/>
    <x v="0"/>
    <n v="9.59"/>
    <n v="3"/>
    <x v="0"/>
    <n v="12"/>
    <n v="10.7408"/>
    <n v="12.000000000000011"/>
    <s v="OK"/>
  </r>
  <r>
    <n v="14360"/>
    <x v="0"/>
    <x v="0"/>
    <n v="11.05"/>
    <n v="7"/>
    <x v="1"/>
    <n v="28"/>
    <n v="14.144000000000002"/>
    <n v="28.000000000000004"/>
    <s v="OK"/>
  </r>
  <r>
    <n v="14361"/>
    <x v="3"/>
    <x v="2"/>
    <n v="10.35"/>
    <n v="1"/>
    <x v="0"/>
    <n v="10"/>
    <n v="11.385"/>
    <n v="10.000000000000009"/>
    <s v="OK"/>
  </r>
  <r>
    <n v="14362"/>
    <x v="0"/>
    <x v="1"/>
    <n v="7.32"/>
    <n v="9"/>
    <x v="2"/>
    <n v="60"/>
    <n v="11.712000000000002"/>
    <n v="60.000000000000007"/>
    <s v="OK"/>
  </r>
  <r>
    <n v="14363"/>
    <x v="0"/>
    <x v="2"/>
    <n v="6.12"/>
    <n v="8"/>
    <x v="2"/>
    <n v="50"/>
    <n v="9.18"/>
    <n v="50"/>
    <s v="OK"/>
  </r>
  <r>
    <n v="14364"/>
    <x v="2"/>
    <x v="2"/>
    <n v="5.95"/>
    <n v="2"/>
    <x v="0"/>
    <n v="10"/>
    <n v="6.5450000000000008"/>
    <n v="10.000000000000009"/>
    <s v="OK"/>
  </r>
  <r>
    <n v="14365"/>
    <x v="0"/>
    <x v="0"/>
    <n v="9.7799999999999994"/>
    <n v="2"/>
    <x v="0"/>
    <n v="12"/>
    <n v="10.9536"/>
    <n v="12.000000000000011"/>
    <s v="OK"/>
  </r>
  <r>
    <n v="14366"/>
    <x v="2"/>
    <x v="1"/>
    <n v="7.67"/>
    <n v="8"/>
    <x v="2"/>
    <n v="60"/>
    <n v="12.272"/>
    <n v="60.000000000000007"/>
    <s v="OK"/>
  </r>
  <r>
    <n v="14367"/>
    <x v="2"/>
    <x v="2"/>
    <n v="12.81"/>
    <n v="1"/>
    <x v="0"/>
    <n v="10"/>
    <n v="14.091000000000001"/>
    <n v="10.000000000000009"/>
    <s v="OK"/>
  </r>
  <r>
    <n v="14368"/>
    <x v="2"/>
    <x v="0"/>
    <n v="13.18"/>
    <n v="7"/>
    <x v="1"/>
    <n v="28"/>
    <n v="16.8704"/>
    <n v="28.000000000000004"/>
    <s v="OK"/>
  </r>
  <r>
    <n v="14369"/>
    <x v="3"/>
    <x v="2"/>
    <n v="2.97"/>
    <n v="9"/>
    <x v="2"/>
    <n v="50"/>
    <n v="4.4550000000000001"/>
    <n v="50"/>
    <s v="OK"/>
  </r>
  <r>
    <n v="14370"/>
    <x v="1"/>
    <x v="2"/>
    <n v="2.48"/>
    <n v="3"/>
    <x v="0"/>
    <n v="10"/>
    <n v="2.7280000000000002"/>
    <n v="10.000000000000009"/>
    <s v="OK"/>
  </r>
  <r>
    <n v="14371"/>
    <x v="3"/>
    <x v="0"/>
    <n v="9.64"/>
    <n v="7"/>
    <x v="1"/>
    <n v="28"/>
    <n v="12.339200000000002"/>
    <n v="28.000000000000004"/>
    <s v="OK"/>
  </r>
  <r>
    <n v="14372"/>
    <x v="1"/>
    <x v="0"/>
    <n v="4.87"/>
    <n v="6"/>
    <x v="1"/>
    <n v="28"/>
    <n v="6.2336"/>
    <n v="28.000000000000004"/>
    <s v="OK"/>
  </r>
  <r>
    <n v="14373"/>
    <x v="1"/>
    <x v="1"/>
    <n v="0.77"/>
    <n v="7"/>
    <x v="1"/>
    <n v="30"/>
    <n v="1.0010000000000001"/>
    <n v="30.000000000000004"/>
    <s v="OK"/>
  </r>
  <r>
    <n v="14374"/>
    <x v="2"/>
    <x v="2"/>
    <n v="13.39"/>
    <n v="7"/>
    <x v="1"/>
    <n v="25"/>
    <n v="16.737500000000001"/>
    <n v="25"/>
    <s v="OK"/>
  </r>
  <r>
    <n v="14375"/>
    <x v="0"/>
    <x v="0"/>
    <n v="3.79"/>
    <n v="10"/>
    <x v="2"/>
    <n v="55"/>
    <n v="5.8745000000000003"/>
    <n v="55.000000000000007"/>
    <s v="OK"/>
  </r>
  <r>
    <n v="14376"/>
    <x v="2"/>
    <x v="0"/>
    <n v="13.97"/>
    <n v="1"/>
    <x v="0"/>
    <n v="12"/>
    <n v="15.646400000000002"/>
    <n v="12.000000000000011"/>
    <s v="OK"/>
  </r>
  <r>
    <n v="14377"/>
    <x v="0"/>
    <x v="1"/>
    <n v="10.9"/>
    <n v="3"/>
    <x v="0"/>
    <n v="15"/>
    <n v="12.535"/>
    <n v="14.999999999999991"/>
    <s v="OK"/>
  </r>
  <r>
    <n v="14378"/>
    <x v="1"/>
    <x v="1"/>
    <n v="11.56"/>
    <n v="10"/>
    <x v="2"/>
    <n v="60"/>
    <n v="18.496000000000002"/>
    <n v="60.000000000000007"/>
    <s v="OK"/>
  </r>
  <r>
    <n v="14379"/>
    <x v="2"/>
    <x v="0"/>
    <n v="3.42"/>
    <n v="1"/>
    <x v="0"/>
    <n v="12"/>
    <n v="3.8304000000000005"/>
    <n v="12.000000000000011"/>
    <s v="OK"/>
  </r>
  <r>
    <n v="14380"/>
    <x v="0"/>
    <x v="1"/>
    <n v="3.9"/>
    <n v="5"/>
    <x v="1"/>
    <n v="30"/>
    <n v="5.07"/>
    <n v="30.000000000000004"/>
    <s v="OK"/>
  </r>
  <r>
    <n v="14381"/>
    <x v="3"/>
    <x v="0"/>
    <n v="8.06"/>
    <n v="3"/>
    <x v="0"/>
    <n v="12"/>
    <n v="9.0272000000000006"/>
    <n v="12.000000000000011"/>
    <s v="OK"/>
  </r>
  <r>
    <n v="14382"/>
    <x v="0"/>
    <x v="2"/>
    <n v="3"/>
    <n v="1"/>
    <x v="0"/>
    <n v="10"/>
    <n v="3.3000000000000003"/>
    <n v="10.000000000000009"/>
    <s v="OK"/>
  </r>
  <r>
    <n v="14383"/>
    <x v="2"/>
    <x v="1"/>
    <n v="4.93"/>
    <n v="2"/>
    <x v="0"/>
    <n v="15"/>
    <n v="5.6694999999999993"/>
    <n v="14.999999999999991"/>
    <s v="OK"/>
  </r>
  <r>
    <n v="14384"/>
    <x v="3"/>
    <x v="2"/>
    <n v="5.16"/>
    <n v="10"/>
    <x v="2"/>
    <n v="50"/>
    <n v="7.74"/>
    <n v="50"/>
    <s v="OK"/>
  </r>
  <r>
    <n v="14385"/>
    <x v="0"/>
    <x v="2"/>
    <n v="2.81"/>
    <n v="5"/>
    <x v="1"/>
    <n v="25"/>
    <n v="3.5125000000000002"/>
    <n v="25"/>
    <s v="OK"/>
  </r>
  <r>
    <n v="14386"/>
    <x v="0"/>
    <x v="2"/>
    <n v="3.48"/>
    <n v="3"/>
    <x v="0"/>
    <n v="10"/>
    <n v="3.8280000000000003"/>
    <n v="10.000000000000009"/>
    <s v="OK"/>
  </r>
  <r>
    <n v="14387"/>
    <x v="0"/>
    <x v="0"/>
    <n v="11.93"/>
    <n v="6"/>
    <x v="1"/>
    <n v="28"/>
    <n v="15.2704"/>
    <n v="28.000000000000004"/>
    <s v="OK"/>
  </r>
  <r>
    <n v="14388"/>
    <x v="0"/>
    <x v="2"/>
    <n v="2.92"/>
    <n v="9"/>
    <x v="2"/>
    <n v="50"/>
    <n v="4.38"/>
    <n v="50"/>
    <s v="OK"/>
  </r>
  <r>
    <n v="14389"/>
    <x v="0"/>
    <x v="2"/>
    <n v="0.91"/>
    <n v="6"/>
    <x v="1"/>
    <n v="25"/>
    <n v="1.1375"/>
    <n v="25"/>
    <s v="OK"/>
  </r>
  <r>
    <n v="14390"/>
    <x v="3"/>
    <x v="2"/>
    <n v="9.6300000000000008"/>
    <n v="2"/>
    <x v="0"/>
    <n v="10"/>
    <n v="10.593000000000002"/>
    <n v="10.000000000000009"/>
    <s v="OK"/>
  </r>
  <r>
    <n v="14391"/>
    <x v="1"/>
    <x v="0"/>
    <n v="14.65"/>
    <n v="2"/>
    <x v="0"/>
    <n v="12"/>
    <n v="16.408000000000001"/>
    <n v="12.000000000000011"/>
    <s v="OK"/>
  </r>
  <r>
    <n v="14392"/>
    <x v="3"/>
    <x v="2"/>
    <n v="5.3"/>
    <n v="8"/>
    <x v="2"/>
    <n v="50"/>
    <n v="7.9499999999999993"/>
    <n v="50"/>
    <s v="OK"/>
  </r>
  <r>
    <n v="14393"/>
    <x v="3"/>
    <x v="2"/>
    <n v="2.2200000000000002"/>
    <n v="8"/>
    <x v="2"/>
    <n v="50"/>
    <n v="3.33"/>
    <n v="50"/>
    <s v="OK"/>
  </r>
  <r>
    <n v="14394"/>
    <x v="3"/>
    <x v="1"/>
    <n v="8.77"/>
    <n v="6"/>
    <x v="1"/>
    <n v="30"/>
    <n v="11.401"/>
    <n v="30.000000000000004"/>
    <s v="OK"/>
  </r>
  <r>
    <n v="14395"/>
    <x v="1"/>
    <x v="0"/>
    <n v="13.64"/>
    <n v="10"/>
    <x v="2"/>
    <n v="55"/>
    <n v="21.142000000000003"/>
    <n v="55.000000000000028"/>
    <s v="OK"/>
  </r>
  <r>
    <n v="14396"/>
    <x v="2"/>
    <x v="2"/>
    <n v="11.87"/>
    <n v="7"/>
    <x v="1"/>
    <n v="25"/>
    <n v="14.837499999999999"/>
    <n v="25"/>
    <s v="OK"/>
  </r>
  <r>
    <n v="14397"/>
    <x v="1"/>
    <x v="1"/>
    <n v="9.5299999999999994"/>
    <n v="1"/>
    <x v="0"/>
    <n v="15"/>
    <n v="10.959499999999998"/>
    <n v="14.999999999999991"/>
    <s v="OK"/>
  </r>
  <r>
    <n v="14398"/>
    <x v="3"/>
    <x v="0"/>
    <n v="5.07"/>
    <n v="9"/>
    <x v="2"/>
    <n v="55"/>
    <n v="7.8585000000000003"/>
    <n v="55.000000000000007"/>
    <s v="OK"/>
  </r>
  <r>
    <n v="14399"/>
    <x v="0"/>
    <x v="0"/>
    <n v="8.36"/>
    <n v="5"/>
    <x v="1"/>
    <n v="28"/>
    <n v="10.700799999999999"/>
    <n v="28.000000000000004"/>
    <s v="OK"/>
  </r>
  <r>
    <n v="14400"/>
    <x v="0"/>
    <x v="0"/>
    <n v="1.82"/>
    <n v="9"/>
    <x v="2"/>
    <n v="55"/>
    <n v="2.8210000000000002"/>
    <n v="55.000000000000007"/>
    <s v="OK"/>
  </r>
  <r>
    <n v="14401"/>
    <x v="3"/>
    <x v="0"/>
    <n v="10.34"/>
    <n v="2"/>
    <x v="0"/>
    <n v="12"/>
    <n v="11.580800000000002"/>
    <n v="12.000000000000011"/>
    <s v="OK"/>
  </r>
  <r>
    <n v="14402"/>
    <x v="0"/>
    <x v="0"/>
    <n v="11.01"/>
    <n v="8"/>
    <x v="2"/>
    <n v="55"/>
    <n v="17.0655"/>
    <n v="55.000000000000007"/>
    <s v="OK"/>
  </r>
  <r>
    <n v="14403"/>
    <x v="3"/>
    <x v="0"/>
    <n v="14.49"/>
    <n v="7"/>
    <x v="1"/>
    <n v="28"/>
    <n v="18.5472"/>
    <n v="28.000000000000004"/>
    <s v="OK"/>
  </r>
  <r>
    <n v="14404"/>
    <x v="0"/>
    <x v="2"/>
    <n v="4.28"/>
    <n v="4"/>
    <x v="1"/>
    <n v="25"/>
    <n v="5.3500000000000005"/>
    <n v="25"/>
    <s v="OK"/>
  </r>
  <r>
    <n v="14405"/>
    <x v="1"/>
    <x v="2"/>
    <n v="0.77"/>
    <n v="3"/>
    <x v="0"/>
    <n v="10"/>
    <n v="0.84700000000000009"/>
    <n v="10.000000000000009"/>
    <s v="OK"/>
  </r>
  <r>
    <n v="14406"/>
    <x v="2"/>
    <x v="2"/>
    <n v="8.41"/>
    <n v="4"/>
    <x v="1"/>
    <n v="25"/>
    <n v="10.512499999999999"/>
    <n v="25"/>
    <s v="OK"/>
  </r>
  <r>
    <n v="14407"/>
    <x v="2"/>
    <x v="2"/>
    <n v="10.75"/>
    <n v="4"/>
    <x v="1"/>
    <n v="25"/>
    <n v="13.4375"/>
    <n v="25"/>
    <s v="OK"/>
  </r>
  <r>
    <n v="14408"/>
    <x v="1"/>
    <x v="1"/>
    <n v="11.96"/>
    <n v="10"/>
    <x v="2"/>
    <n v="60"/>
    <n v="19.136000000000003"/>
    <n v="60.000000000000007"/>
    <s v="OK"/>
  </r>
  <r>
    <n v="14409"/>
    <x v="1"/>
    <x v="2"/>
    <n v="3.31"/>
    <n v="10"/>
    <x v="2"/>
    <n v="50"/>
    <n v="4.9649999999999999"/>
    <n v="50"/>
    <s v="OK"/>
  </r>
  <r>
    <n v="14410"/>
    <x v="3"/>
    <x v="0"/>
    <n v="4.3"/>
    <n v="8"/>
    <x v="2"/>
    <n v="55"/>
    <n v="6.665"/>
    <n v="55.000000000000007"/>
    <s v="OK"/>
  </r>
  <r>
    <n v="14411"/>
    <x v="3"/>
    <x v="2"/>
    <n v="7.93"/>
    <n v="4"/>
    <x v="1"/>
    <n v="25"/>
    <n v="9.9124999999999996"/>
    <n v="25"/>
    <s v="OK"/>
  </r>
  <r>
    <n v="14412"/>
    <x v="3"/>
    <x v="2"/>
    <n v="5.29"/>
    <n v="5"/>
    <x v="1"/>
    <n v="25"/>
    <n v="6.6124999999999998"/>
    <n v="25"/>
    <s v="OK"/>
  </r>
  <r>
    <n v="14413"/>
    <x v="0"/>
    <x v="0"/>
    <n v="12.98"/>
    <n v="2"/>
    <x v="0"/>
    <n v="12"/>
    <n v="14.537600000000001"/>
    <n v="12.000000000000011"/>
    <s v="OK"/>
  </r>
  <r>
    <n v="14414"/>
    <x v="3"/>
    <x v="2"/>
    <n v="7.37"/>
    <n v="4"/>
    <x v="1"/>
    <n v="25"/>
    <n v="9.2125000000000004"/>
    <n v="25"/>
    <s v="OK"/>
  </r>
  <r>
    <n v="14415"/>
    <x v="1"/>
    <x v="2"/>
    <n v="12.09"/>
    <n v="7"/>
    <x v="1"/>
    <n v="25"/>
    <n v="15.112500000000001"/>
    <n v="25"/>
    <s v="OK"/>
  </r>
  <r>
    <n v="14416"/>
    <x v="2"/>
    <x v="2"/>
    <n v="8.92"/>
    <n v="3"/>
    <x v="0"/>
    <n v="10"/>
    <n v="9.8120000000000012"/>
    <n v="10.000000000000009"/>
    <s v="OK"/>
  </r>
  <r>
    <n v="14417"/>
    <x v="0"/>
    <x v="1"/>
    <n v="11.71"/>
    <n v="1"/>
    <x v="0"/>
    <n v="15"/>
    <n v="13.4665"/>
    <n v="14.999999999999991"/>
    <s v="OK"/>
  </r>
  <r>
    <n v="14418"/>
    <x v="3"/>
    <x v="2"/>
    <n v="5.32"/>
    <n v="8"/>
    <x v="2"/>
    <n v="50"/>
    <n v="7.98"/>
    <n v="50"/>
    <s v="OK"/>
  </r>
  <r>
    <n v="14419"/>
    <x v="0"/>
    <x v="0"/>
    <n v="12.56"/>
    <n v="8"/>
    <x v="2"/>
    <n v="55"/>
    <n v="19.468"/>
    <n v="55.000000000000007"/>
    <s v="OK"/>
  </r>
  <r>
    <n v="14420"/>
    <x v="0"/>
    <x v="0"/>
    <n v="4.4800000000000004"/>
    <n v="6"/>
    <x v="1"/>
    <n v="28"/>
    <n v="5.7344000000000008"/>
    <n v="28.000000000000004"/>
    <s v="OK"/>
  </r>
  <r>
    <n v="14421"/>
    <x v="3"/>
    <x v="2"/>
    <n v="8.42"/>
    <n v="7"/>
    <x v="1"/>
    <n v="25"/>
    <n v="10.525"/>
    <n v="25"/>
    <s v="OK"/>
  </r>
  <r>
    <n v="14422"/>
    <x v="0"/>
    <x v="2"/>
    <n v="3.6"/>
    <n v="10"/>
    <x v="2"/>
    <n v="50"/>
    <n v="5.4"/>
    <n v="50"/>
    <s v="OK"/>
  </r>
  <r>
    <n v="14423"/>
    <x v="2"/>
    <x v="2"/>
    <n v="7.4"/>
    <n v="2"/>
    <x v="0"/>
    <n v="10"/>
    <n v="8.14"/>
    <n v="10.000000000000009"/>
    <s v="OK"/>
  </r>
  <r>
    <n v="14424"/>
    <x v="1"/>
    <x v="0"/>
    <n v="5.1100000000000003"/>
    <n v="5"/>
    <x v="1"/>
    <n v="28"/>
    <n v="6.5408000000000008"/>
    <n v="28.000000000000004"/>
    <s v="OK"/>
  </r>
  <r>
    <n v="14425"/>
    <x v="1"/>
    <x v="0"/>
    <n v="4.37"/>
    <n v="7"/>
    <x v="1"/>
    <n v="28"/>
    <n v="5.5936000000000003"/>
    <n v="28.000000000000004"/>
    <s v="OK"/>
  </r>
  <r>
    <n v="14426"/>
    <x v="2"/>
    <x v="1"/>
    <n v="14.52"/>
    <n v="9"/>
    <x v="2"/>
    <n v="60"/>
    <n v="23.231999999999999"/>
    <n v="60.000000000000007"/>
    <s v="OK"/>
  </r>
  <r>
    <n v="14427"/>
    <x v="0"/>
    <x v="1"/>
    <n v="2.82"/>
    <n v="1"/>
    <x v="0"/>
    <n v="15"/>
    <n v="3.2429999999999994"/>
    <n v="14.999999999999991"/>
    <s v="OK"/>
  </r>
  <r>
    <n v="14428"/>
    <x v="3"/>
    <x v="1"/>
    <n v="11.92"/>
    <n v="3"/>
    <x v="0"/>
    <n v="15"/>
    <n v="13.707999999999998"/>
    <n v="14.999999999999991"/>
    <s v="OK"/>
  </r>
  <r>
    <n v="14429"/>
    <x v="0"/>
    <x v="0"/>
    <n v="14.77"/>
    <n v="6"/>
    <x v="1"/>
    <n v="28"/>
    <n v="18.9056"/>
    <n v="28.000000000000004"/>
    <s v="OK"/>
  </r>
  <r>
    <n v="14430"/>
    <x v="2"/>
    <x v="1"/>
    <n v="0.79"/>
    <n v="7"/>
    <x v="1"/>
    <n v="30"/>
    <n v="1.0270000000000001"/>
    <n v="30.000000000000004"/>
    <s v="OK"/>
  </r>
  <r>
    <n v="14431"/>
    <x v="0"/>
    <x v="2"/>
    <n v="10.64"/>
    <n v="6"/>
    <x v="1"/>
    <n v="25"/>
    <n v="13.3"/>
    <n v="25"/>
    <s v="OK"/>
  </r>
  <r>
    <n v="14432"/>
    <x v="1"/>
    <x v="2"/>
    <n v="4.17"/>
    <n v="1"/>
    <x v="0"/>
    <n v="10"/>
    <n v="4.5870000000000006"/>
    <n v="10.000000000000009"/>
    <s v="OK"/>
  </r>
  <r>
    <n v="14433"/>
    <x v="0"/>
    <x v="0"/>
    <n v="1.0900000000000001"/>
    <n v="4"/>
    <x v="1"/>
    <n v="28"/>
    <n v="1.3952000000000002"/>
    <n v="28.000000000000004"/>
    <s v="OK"/>
  </r>
  <r>
    <n v="14434"/>
    <x v="2"/>
    <x v="1"/>
    <n v="6.34"/>
    <n v="6"/>
    <x v="1"/>
    <n v="30"/>
    <n v="8.2420000000000009"/>
    <n v="30.000000000000028"/>
    <s v="OK"/>
  </r>
  <r>
    <n v="14435"/>
    <x v="1"/>
    <x v="2"/>
    <n v="14.06"/>
    <n v="8"/>
    <x v="2"/>
    <n v="50"/>
    <n v="21.09"/>
    <n v="50"/>
    <s v="OK"/>
  </r>
  <r>
    <n v="14436"/>
    <x v="0"/>
    <x v="0"/>
    <n v="0.67"/>
    <n v="10"/>
    <x v="2"/>
    <n v="55"/>
    <n v="1.0385000000000002"/>
    <n v="55.000000000000028"/>
    <s v="OK"/>
  </r>
  <r>
    <n v="14437"/>
    <x v="0"/>
    <x v="1"/>
    <n v="9.02"/>
    <n v="4"/>
    <x v="1"/>
    <n v="30"/>
    <n v="11.725999999999999"/>
    <n v="30.000000000000004"/>
    <s v="OK"/>
  </r>
  <r>
    <n v="14438"/>
    <x v="1"/>
    <x v="2"/>
    <n v="7.77"/>
    <n v="7"/>
    <x v="1"/>
    <n v="25"/>
    <n v="9.7124999999999986"/>
    <n v="24.999999999999979"/>
    <s v="OK"/>
  </r>
  <r>
    <n v="14439"/>
    <x v="3"/>
    <x v="1"/>
    <n v="13.16"/>
    <n v="3"/>
    <x v="0"/>
    <n v="15"/>
    <n v="15.133999999999999"/>
    <n v="14.999999999999991"/>
    <s v="OK"/>
  </r>
  <r>
    <n v="14440"/>
    <x v="1"/>
    <x v="0"/>
    <n v="1.72"/>
    <n v="8"/>
    <x v="2"/>
    <n v="55"/>
    <n v="2.6659999999999999"/>
    <n v="55.000000000000007"/>
    <s v="OK"/>
  </r>
  <r>
    <n v="14441"/>
    <x v="3"/>
    <x v="1"/>
    <n v="10.38"/>
    <n v="1"/>
    <x v="0"/>
    <n v="15"/>
    <n v="11.936999999999999"/>
    <n v="14.999999999999991"/>
    <s v="OK"/>
  </r>
  <r>
    <n v="14442"/>
    <x v="2"/>
    <x v="0"/>
    <n v="10.36"/>
    <n v="4"/>
    <x v="1"/>
    <n v="28"/>
    <n v="13.2608"/>
    <n v="28.000000000000004"/>
    <s v="OK"/>
  </r>
  <r>
    <n v="14443"/>
    <x v="2"/>
    <x v="1"/>
    <n v="10.199999999999999"/>
    <n v="8"/>
    <x v="2"/>
    <n v="60"/>
    <n v="16.32"/>
    <n v="60.000000000000007"/>
    <s v="OK"/>
  </r>
  <r>
    <n v="14444"/>
    <x v="1"/>
    <x v="2"/>
    <n v="14.16"/>
    <n v="10"/>
    <x v="2"/>
    <n v="50"/>
    <n v="21.240000000000002"/>
    <n v="50.000000000000021"/>
    <s v="OK"/>
  </r>
  <r>
    <n v="14445"/>
    <x v="1"/>
    <x v="0"/>
    <n v="12.43"/>
    <n v="4"/>
    <x v="1"/>
    <n v="28"/>
    <n v="15.910399999999999"/>
    <n v="28.000000000000004"/>
    <s v="OK"/>
  </r>
  <r>
    <n v="14446"/>
    <x v="2"/>
    <x v="0"/>
    <n v="1.1100000000000001"/>
    <n v="2"/>
    <x v="0"/>
    <n v="12"/>
    <n v="1.2432000000000003"/>
    <n v="12.000000000000011"/>
    <s v="OK"/>
  </r>
  <r>
    <n v="14447"/>
    <x v="3"/>
    <x v="0"/>
    <n v="7.33"/>
    <n v="2"/>
    <x v="0"/>
    <n v="12"/>
    <n v="8.2096"/>
    <n v="11.999999999999989"/>
    <s v="OK"/>
  </r>
  <r>
    <n v="14448"/>
    <x v="2"/>
    <x v="1"/>
    <n v="6.27"/>
    <n v="4"/>
    <x v="1"/>
    <n v="30"/>
    <n v="8.1509999999999998"/>
    <n v="30.000000000000004"/>
    <s v="OK"/>
  </r>
  <r>
    <n v="14449"/>
    <x v="1"/>
    <x v="1"/>
    <n v="5"/>
    <n v="4"/>
    <x v="1"/>
    <n v="30"/>
    <n v="6.5"/>
    <n v="30.000000000000004"/>
    <s v="OK"/>
  </r>
  <r>
    <n v="14450"/>
    <x v="2"/>
    <x v="2"/>
    <n v="7.04"/>
    <n v="2"/>
    <x v="0"/>
    <n v="10"/>
    <n v="7.7440000000000007"/>
    <n v="10.000000000000009"/>
    <s v="OK"/>
  </r>
  <r>
    <n v="14451"/>
    <x v="1"/>
    <x v="0"/>
    <n v="6.07"/>
    <n v="7"/>
    <x v="1"/>
    <n v="28"/>
    <n v="7.7696000000000005"/>
    <n v="28.000000000000004"/>
    <s v="OK"/>
  </r>
  <r>
    <n v="14452"/>
    <x v="1"/>
    <x v="0"/>
    <n v="6.77"/>
    <n v="6"/>
    <x v="1"/>
    <n v="28"/>
    <n v="8.6655999999999995"/>
    <n v="28.000000000000004"/>
    <s v="OK"/>
  </r>
  <r>
    <n v="14453"/>
    <x v="2"/>
    <x v="1"/>
    <n v="14.7"/>
    <n v="3"/>
    <x v="0"/>
    <n v="15"/>
    <n v="16.904999999999998"/>
    <n v="14.999999999999991"/>
    <s v="OK"/>
  </r>
  <r>
    <n v="14454"/>
    <x v="3"/>
    <x v="1"/>
    <n v="1.79"/>
    <n v="8"/>
    <x v="2"/>
    <n v="60"/>
    <n v="2.8640000000000003"/>
    <n v="60.000000000000007"/>
    <s v="OK"/>
  </r>
  <r>
    <n v="14455"/>
    <x v="0"/>
    <x v="2"/>
    <n v="13.87"/>
    <n v="8"/>
    <x v="2"/>
    <n v="50"/>
    <n v="20.805"/>
    <n v="50"/>
    <s v="OK"/>
  </r>
  <r>
    <n v="14456"/>
    <x v="2"/>
    <x v="2"/>
    <n v="7.46"/>
    <n v="1"/>
    <x v="0"/>
    <n v="10"/>
    <n v="8.2060000000000013"/>
    <n v="10.000000000000009"/>
    <s v="OK"/>
  </r>
  <r>
    <n v="14457"/>
    <x v="0"/>
    <x v="1"/>
    <n v="9.5399999999999991"/>
    <n v="3"/>
    <x v="0"/>
    <n v="15"/>
    <n v="10.970999999999998"/>
    <n v="14.999999999999991"/>
    <s v="OK"/>
  </r>
  <r>
    <n v="14458"/>
    <x v="2"/>
    <x v="0"/>
    <n v="12.54"/>
    <n v="5"/>
    <x v="1"/>
    <n v="28"/>
    <n v="16.051199999999998"/>
    <n v="28.000000000000004"/>
    <s v="OK"/>
  </r>
  <r>
    <n v="14459"/>
    <x v="0"/>
    <x v="2"/>
    <n v="5.73"/>
    <n v="2"/>
    <x v="0"/>
    <n v="10"/>
    <n v="6.3030000000000008"/>
    <n v="10.000000000000009"/>
    <s v="OK"/>
  </r>
  <r>
    <n v="14460"/>
    <x v="3"/>
    <x v="1"/>
    <n v="6.74"/>
    <n v="5"/>
    <x v="1"/>
    <n v="30"/>
    <n v="8.7620000000000005"/>
    <n v="30.000000000000004"/>
    <s v="OK"/>
  </r>
  <r>
    <n v="14461"/>
    <x v="3"/>
    <x v="1"/>
    <n v="6.44"/>
    <n v="10"/>
    <x v="2"/>
    <n v="60"/>
    <n v="10.304000000000002"/>
    <n v="60.000000000000028"/>
    <s v="OK"/>
  </r>
  <r>
    <n v="14462"/>
    <x v="2"/>
    <x v="0"/>
    <n v="5.93"/>
    <n v="3"/>
    <x v="0"/>
    <n v="12"/>
    <n v="6.6416000000000004"/>
    <n v="12.000000000000011"/>
    <s v="OK"/>
  </r>
  <r>
    <n v="14463"/>
    <x v="1"/>
    <x v="1"/>
    <n v="13.92"/>
    <n v="9"/>
    <x v="2"/>
    <n v="60"/>
    <n v="22.272000000000002"/>
    <n v="60.000000000000007"/>
    <s v="OK"/>
  </r>
  <r>
    <n v="14464"/>
    <x v="0"/>
    <x v="1"/>
    <n v="12.52"/>
    <n v="1"/>
    <x v="0"/>
    <n v="15"/>
    <n v="14.397999999999998"/>
    <n v="14.999999999999991"/>
    <s v="OK"/>
  </r>
  <r>
    <n v="14465"/>
    <x v="1"/>
    <x v="2"/>
    <n v="2.08"/>
    <n v="4"/>
    <x v="1"/>
    <n v="25"/>
    <n v="2.6"/>
    <n v="25"/>
    <s v="OK"/>
  </r>
  <r>
    <n v="14466"/>
    <x v="1"/>
    <x v="1"/>
    <n v="2.0699999999999998"/>
    <n v="10"/>
    <x v="2"/>
    <n v="60"/>
    <n v="3.3119999999999998"/>
    <n v="60.000000000000007"/>
    <s v="OK"/>
  </r>
  <r>
    <n v="14467"/>
    <x v="1"/>
    <x v="1"/>
    <n v="6.7"/>
    <n v="6"/>
    <x v="1"/>
    <n v="30"/>
    <n v="8.7100000000000009"/>
    <n v="30.000000000000004"/>
    <s v="OK"/>
  </r>
  <r>
    <n v="14468"/>
    <x v="3"/>
    <x v="2"/>
    <n v="1.93"/>
    <n v="9"/>
    <x v="2"/>
    <n v="50"/>
    <n v="2.895"/>
    <n v="50"/>
    <s v="OK"/>
  </r>
  <r>
    <n v="14469"/>
    <x v="2"/>
    <x v="0"/>
    <n v="9.48"/>
    <n v="3"/>
    <x v="0"/>
    <n v="12"/>
    <n v="10.617600000000001"/>
    <n v="12.000000000000011"/>
    <s v="OK"/>
  </r>
  <r>
    <n v="14470"/>
    <x v="2"/>
    <x v="0"/>
    <n v="2.58"/>
    <n v="3"/>
    <x v="0"/>
    <n v="12"/>
    <n v="2.8896000000000002"/>
    <n v="12.000000000000011"/>
    <s v="OK"/>
  </r>
  <r>
    <n v="14471"/>
    <x v="3"/>
    <x v="2"/>
    <n v="8.07"/>
    <n v="5"/>
    <x v="1"/>
    <n v="25"/>
    <n v="10.0875"/>
    <n v="25"/>
    <s v="OK"/>
  </r>
  <r>
    <n v="14472"/>
    <x v="3"/>
    <x v="2"/>
    <n v="0.6"/>
    <n v="7"/>
    <x v="1"/>
    <n v="25"/>
    <n v="0.75"/>
    <n v="25"/>
    <s v="OK"/>
  </r>
  <r>
    <n v="14473"/>
    <x v="2"/>
    <x v="0"/>
    <n v="5.09"/>
    <n v="5"/>
    <x v="1"/>
    <n v="28"/>
    <n v="6.5152000000000001"/>
    <n v="28.000000000000004"/>
    <s v="OK"/>
  </r>
  <r>
    <n v="14474"/>
    <x v="1"/>
    <x v="0"/>
    <n v="10.32"/>
    <n v="8"/>
    <x v="2"/>
    <n v="55"/>
    <n v="15.996"/>
    <n v="55.000000000000007"/>
    <s v="OK"/>
  </r>
  <r>
    <n v="14475"/>
    <x v="0"/>
    <x v="0"/>
    <n v="7.52"/>
    <n v="5"/>
    <x v="1"/>
    <n v="28"/>
    <n v="9.6256000000000004"/>
    <n v="28.000000000000004"/>
    <s v="OK"/>
  </r>
  <r>
    <n v="14476"/>
    <x v="0"/>
    <x v="0"/>
    <n v="14.68"/>
    <n v="7"/>
    <x v="1"/>
    <n v="28"/>
    <n v="18.790400000000002"/>
    <n v="28.000000000000025"/>
    <s v="OK"/>
  </r>
  <r>
    <n v="14477"/>
    <x v="0"/>
    <x v="0"/>
    <n v="13.17"/>
    <n v="6"/>
    <x v="1"/>
    <n v="28"/>
    <n v="16.857600000000001"/>
    <n v="28.000000000000004"/>
    <s v="OK"/>
  </r>
  <r>
    <n v="14478"/>
    <x v="1"/>
    <x v="2"/>
    <n v="5.71"/>
    <n v="10"/>
    <x v="2"/>
    <n v="50"/>
    <n v="8.5649999999999995"/>
    <n v="50"/>
    <s v="OK"/>
  </r>
  <r>
    <n v="14479"/>
    <x v="2"/>
    <x v="1"/>
    <n v="1.1599999999999999"/>
    <n v="2"/>
    <x v="0"/>
    <n v="15"/>
    <n v="1.3339999999999999"/>
    <n v="14.999999999999991"/>
    <s v="OK"/>
  </r>
  <r>
    <n v="14480"/>
    <x v="3"/>
    <x v="0"/>
    <n v="12.76"/>
    <n v="3"/>
    <x v="0"/>
    <n v="12"/>
    <n v="14.291200000000002"/>
    <n v="12.000000000000011"/>
    <s v="OK"/>
  </r>
  <r>
    <n v="14481"/>
    <x v="2"/>
    <x v="0"/>
    <n v="13.71"/>
    <n v="4"/>
    <x v="1"/>
    <n v="28"/>
    <n v="17.5488"/>
    <n v="28.000000000000004"/>
    <s v="OK"/>
  </r>
  <r>
    <n v="14482"/>
    <x v="1"/>
    <x v="1"/>
    <n v="12.4"/>
    <n v="5"/>
    <x v="1"/>
    <n v="30"/>
    <n v="16.12"/>
    <n v="30.000000000000004"/>
    <s v="OK"/>
  </r>
  <r>
    <n v="14483"/>
    <x v="3"/>
    <x v="1"/>
    <n v="2.36"/>
    <n v="9"/>
    <x v="2"/>
    <n v="60"/>
    <n v="3.7759999999999998"/>
    <n v="60.000000000000007"/>
    <s v="OK"/>
  </r>
  <r>
    <n v="14484"/>
    <x v="1"/>
    <x v="1"/>
    <n v="14.97"/>
    <n v="6"/>
    <x v="1"/>
    <n v="30"/>
    <n v="19.461000000000002"/>
    <n v="30.000000000000004"/>
    <s v="OK"/>
  </r>
  <r>
    <n v="14485"/>
    <x v="0"/>
    <x v="1"/>
    <n v="4.25"/>
    <n v="1"/>
    <x v="0"/>
    <n v="15"/>
    <n v="4.8874999999999993"/>
    <n v="14.999999999999991"/>
    <s v="OK"/>
  </r>
  <r>
    <n v="14486"/>
    <x v="0"/>
    <x v="1"/>
    <n v="11"/>
    <n v="3"/>
    <x v="0"/>
    <n v="15"/>
    <n v="12.649999999999999"/>
    <n v="14.999999999999991"/>
    <s v="OK"/>
  </r>
  <r>
    <n v="14487"/>
    <x v="1"/>
    <x v="1"/>
    <n v="13.67"/>
    <n v="7"/>
    <x v="1"/>
    <n v="30"/>
    <n v="17.771000000000001"/>
    <n v="30.000000000000004"/>
    <s v="OK"/>
  </r>
  <r>
    <n v="14488"/>
    <x v="3"/>
    <x v="2"/>
    <n v="3.92"/>
    <n v="8"/>
    <x v="2"/>
    <n v="50"/>
    <n v="5.88"/>
    <n v="50"/>
    <s v="OK"/>
  </r>
  <r>
    <n v="14489"/>
    <x v="3"/>
    <x v="1"/>
    <n v="13.67"/>
    <n v="7"/>
    <x v="1"/>
    <n v="30"/>
    <n v="17.771000000000001"/>
    <n v="30.000000000000004"/>
    <s v="OK"/>
  </r>
  <r>
    <n v="14490"/>
    <x v="2"/>
    <x v="1"/>
    <n v="4.99"/>
    <n v="5"/>
    <x v="1"/>
    <n v="30"/>
    <n v="6.4870000000000001"/>
    <n v="30.000000000000004"/>
    <s v="OK"/>
  </r>
  <r>
    <n v="14491"/>
    <x v="0"/>
    <x v="2"/>
    <n v="14.66"/>
    <n v="10"/>
    <x v="2"/>
    <n v="50"/>
    <n v="21.990000000000002"/>
    <n v="50.000000000000021"/>
    <s v="OK"/>
  </r>
  <r>
    <n v="14492"/>
    <x v="2"/>
    <x v="1"/>
    <n v="4.58"/>
    <n v="8"/>
    <x v="2"/>
    <n v="60"/>
    <n v="7.3280000000000003"/>
    <n v="60.000000000000007"/>
    <s v="OK"/>
  </r>
  <r>
    <n v="14493"/>
    <x v="2"/>
    <x v="0"/>
    <n v="14.32"/>
    <n v="9"/>
    <x v="2"/>
    <n v="55"/>
    <n v="22.196000000000002"/>
    <n v="55.000000000000007"/>
    <s v="OK"/>
  </r>
  <r>
    <n v="14494"/>
    <x v="1"/>
    <x v="0"/>
    <n v="1.28"/>
    <n v="7"/>
    <x v="1"/>
    <n v="28"/>
    <n v="1.6384000000000001"/>
    <n v="28.000000000000004"/>
    <s v="OK"/>
  </r>
  <r>
    <n v="14495"/>
    <x v="1"/>
    <x v="1"/>
    <n v="10.78"/>
    <n v="9"/>
    <x v="2"/>
    <n v="60"/>
    <n v="17.248000000000001"/>
    <n v="60.000000000000007"/>
    <s v="OK"/>
  </r>
  <r>
    <n v="14496"/>
    <x v="2"/>
    <x v="2"/>
    <n v="8.2200000000000006"/>
    <n v="1"/>
    <x v="0"/>
    <n v="10"/>
    <n v="9.0420000000000016"/>
    <n v="10.000000000000009"/>
    <s v="OK"/>
  </r>
  <r>
    <n v="14497"/>
    <x v="0"/>
    <x v="0"/>
    <n v="7.43"/>
    <n v="9"/>
    <x v="2"/>
    <n v="55"/>
    <n v="11.516500000000001"/>
    <n v="55.000000000000007"/>
    <s v="OK"/>
  </r>
  <r>
    <n v="14498"/>
    <x v="1"/>
    <x v="2"/>
    <n v="3.74"/>
    <n v="3"/>
    <x v="0"/>
    <n v="10"/>
    <n v="4.1140000000000008"/>
    <n v="10.000000000000009"/>
    <s v="OK"/>
  </r>
  <r>
    <n v="14499"/>
    <x v="2"/>
    <x v="0"/>
    <n v="10.73"/>
    <n v="6"/>
    <x v="1"/>
    <n v="28"/>
    <n v="13.734400000000001"/>
    <n v="28.000000000000004"/>
    <s v="OK"/>
  </r>
  <r>
    <n v="14500"/>
    <x v="2"/>
    <x v="1"/>
    <n v="3.27"/>
    <n v="8"/>
    <x v="2"/>
    <n v="60"/>
    <n v="5.2320000000000002"/>
    <n v="60.000000000000007"/>
    <s v="OK"/>
  </r>
  <r>
    <n v="14501"/>
    <x v="2"/>
    <x v="2"/>
    <n v="8.52"/>
    <n v="3"/>
    <x v="0"/>
    <n v="10"/>
    <n v="9.3719999999999999"/>
    <n v="10.000000000000009"/>
    <s v="OK"/>
  </r>
  <r>
    <n v="14502"/>
    <x v="2"/>
    <x v="2"/>
    <n v="4.17"/>
    <n v="4"/>
    <x v="1"/>
    <n v="25"/>
    <n v="5.2125000000000004"/>
    <n v="25"/>
    <s v="OK"/>
  </r>
  <r>
    <n v="14503"/>
    <x v="2"/>
    <x v="2"/>
    <n v="14.36"/>
    <n v="7"/>
    <x v="1"/>
    <n v="25"/>
    <n v="17.95"/>
    <n v="25"/>
    <s v="OK"/>
  </r>
  <r>
    <n v="14504"/>
    <x v="2"/>
    <x v="0"/>
    <n v="0.92"/>
    <n v="7"/>
    <x v="1"/>
    <n v="28"/>
    <n v="1.1776"/>
    <n v="28.000000000000004"/>
    <s v="OK"/>
  </r>
  <r>
    <n v="14505"/>
    <x v="1"/>
    <x v="0"/>
    <n v="3.4"/>
    <n v="4"/>
    <x v="1"/>
    <n v="28"/>
    <n v="4.3520000000000003"/>
    <n v="28.000000000000004"/>
    <s v="OK"/>
  </r>
  <r>
    <n v="14506"/>
    <x v="0"/>
    <x v="0"/>
    <n v="4.01"/>
    <n v="9"/>
    <x v="2"/>
    <n v="55"/>
    <n v="6.2154999999999996"/>
    <n v="55.000000000000007"/>
    <s v="OK"/>
  </r>
  <r>
    <n v="14507"/>
    <x v="2"/>
    <x v="1"/>
    <n v="6.5"/>
    <n v="3"/>
    <x v="0"/>
    <n v="15"/>
    <n v="7.4749999999999996"/>
    <n v="14.999999999999991"/>
    <s v="OK"/>
  </r>
  <r>
    <n v="14508"/>
    <x v="3"/>
    <x v="0"/>
    <n v="3.87"/>
    <n v="8"/>
    <x v="2"/>
    <n v="55"/>
    <n v="5.9984999999999999"/>
    <n v="55.000000000000007"/>
    <s v="OK"/>
  </r>
  <r>
    <n v="14509"/>
    <x v="1"/>
    <x v="1"/>
    <n v="7.62"/>
    <n v="8"/>
    <x v="2"/>
    <n v="60"/>
    <n v="12.192"/>
    <n v="60.000000000000007"/>
    <s v="OK"/>
  </r>
  <r>
    <n v="14510"/>
    <x v="1"/>
    <x v="2"/>
    <n v="13.15"/>
    <n v="4"/>
    <x v="1"/>
    <n v="25"/>
    <n v="16.4375"/>
    <n v="25"/>
    <s v="OK"/>
  </r>
  <r>
    <n v="14511"/>
    <x v="2"/>
    <x v="2"/>
    <n v="10.82"/>
    <n v="7"/>
    <x v="1"/>
    <n v="25"/>
    <n v="13.525"/>
    <n v="25"/>
    <s v="OK"/>
  </r>
  <r>
    <n v="14512"/>
    <x v="1"/>
    <x v="1"/>
    <n v="8.91"/>
    <n v="4"/>
    <x v="1"/>
    <n v="30"/>
    <n v="11.583"/>
    <n v="30.000000000000004"/>
    <s v="OK"/>
  </r>
  <r>
    <n v="14513"/>
    <x v="2"/>
    <x v="0"/>
    <n v="1.79"/>
    <n v="1"/>
    <x v="0"/>
    <n v="12"/>
    <n v="2.0048000000000004"/>
    <n v="12.000000000000011"/>
    <s v="OK"/>
  </r>
  <r>
    <n v="14514"/>
    <x v="0"/>
    <x v="1"/>
    <n v="10.56"/>
    <n v="1"/>
    <x v="0"/>
    <n v="15"/>
    <n v="12.144"/>
    <n v="14.999999999999991"/>
    <s v="OK"/>
  </r>
  <r>
    <n v="14515"/>
    <x v="0"/>
    <x v="2"/>
    <n v="2.91"/>
    <n v="1"/>
    <x v="0"/>
    <n v="10"/>
    <n v="3.2010000000000005"/>
    <n v="10.000000000000009"/>
    <s v="OK"/>
  </r>
  <r>
    <n v="14516"/>
    <x v="1"/>
    <x v="2"/>
    <n v="11.9"/>
    <n v="2"/>
    <x v="0"/>
    <n v="10"/>
    <n v="13.090000000000002"/>
    <n v="10.000000000000009"/>
    <s v="OK"/>
  </r>
  <r>
    <n v="14517"/>
    <x v="1"/>
    <x v="1"/>
    <n v="4.13"/>
    <n v="6"/>
    <x v="1"/>
    <n v="30"/>
    <n v="5.3689999999999998"/>
    <n v="30.000000000000004"/>
    <s v="OK"/>
  </r>
  <r>
    <n v="14518"/>
    <x v="3"/>
    <x v="0"/>
    <n v="6.55"/>
    <n v="10"/>
    <x v="2"/>
    <n v="55"/>
    <n v="10.1525"/>
    <n v="55.000000000000007"/>
    <s v="OK"/>
  </r>
  <r>
    <n v="14519"/>
    <x v="1"/>
    <x v="0"/>
    <n v="5.58"/>
    <n v="5"/>
    <x v="1"/>
    <n v="28"/>
    <n v="7.1424000000000003"/>
    <n v="28.000000000000004"/>
    <s v="OK"/>
  </r>
  <r>
    <n v="14520"/>
    <x v="3"/>
    <x v="1"/>
    <n v="12.95"/>
    <n v="2"/>
    <x v="0"/>
    <n v="15"/>
    <n v="14.892499999999998"/>
    <n v="14.999999999999991"/>
    <s v="OK"/>
  </r>
  <r>
    <n v="14521"/>
    <x v="0"/>
    <x v="1"/>
    <n v="2.33"/>
    <n v="8"/>
    <x v="2"/>
    <n v="60"/>
    <n v="3.7280000000000002"/>
    <n v="60.000000000000007"/>
    <s v="OK"/>
  </r>
  <r>
    <n v="14522"/>
    <x v="0"/>
    <x v="0"/>
    <n v="8.6999999999999993"/>
    <n v="9"/>
    <x v="2"/>
    <n v="55"/>
    <n v="13.484999999999999"/>
    <n v="55.000000000000007"/>
    <s v="OK"/>
  </r>
  <r>
    <n v="14523"/>
    <x v="2"/>
    <x v="2"/>
    <n v="2.56"/>
    <n v="7"/>
    <x v="1"/>
    <n v="25"/>
    <n v="3.2"/>
    <n v="25"/>
    <s v="OK"/>
  </r>
  <r>
    <n v="14524"/>
    <x v="0"/>
    <x v="1"/>
    <n v="10.72"/>
    <n v="9"/>
    <x v="2"/>
    <n v="60"/>
    <n v="17.152000000000001"/>
    <n v="60.000000000000007"/>
    <s v="OK"/>
  </r>
  <r>
    <n v="14525"/>
    <x v="3"/>
    <x v="0"/>
    <n v="13.62"/>
    <n v="4"/>
    <x v="1"/>
    <n v="28"/>
    <n v="17.433599999999998"/>
    <n v="28.000000000000004"/>
    <s v="OK"/>
  </r>
  <r>
    <n v="14526"/>
    <x v="1"/>
    <x v="0"/>
    <n v="6.8"/>
    <n v="7"/>
    <x v="1"/>
    <n v="28"/>
    <n v="8.7040000000000006"/>
    <n v="28.000000000000004"/>
    <s v="OK"/>
  </r>
  <r>
    <n v="14527"/>
    <x v="2"/>
    <x v="2"/>
    <n v="7.58"/>
    <n v="5"/>
    <x v="1"/>
    <n v="25"/>
    <n v="9.4749999999999996"/>
    <n v="25"/>
    <s v="OK"/>
  </r>
  <r>
    <n v="14528"/>
    <x v="3"/>
    <x v="2"/>
    <n v="13.95"/>
    <n v="5"/>
    <x v="1"/>
    <n v="25"/>
    <n v="17.4375"/>
    <n v="25"/>
    <s v="OK"/>
  </r>
  <r>
    <n v="14529"/>
    <x v="1"/>
    <x v="2"/>
    <n v="8.0500000000000007"/>
    <n v="3"/>
    <x v="0"/>
    <n v="10"/>
    <n v="8.8550000000000022"/>
    <n v="10.000000000000009"/>
    <s v="OK"/>
  </r>
  <r>
    <n v="14530"/>
    <x v="2"/>
    <x v="2"/>
    <n v="7.57"/>
    <n v="9"/>
    <x v="2"/>
    <n v="50"/>
    <n v="11.355"/>
    <n v="50"/>
    <s v="OK"/>
  </r>
  <r>
    <n v="14531"/>
    <x v="0"/>
    <x v="2"/>
    <n v="8.89"/>
    <n v="10"/>
    <x v="2"/>
    <n v="50"/>
    <n v="13.335000000000001"/>
    <n v="50"/>
    <s v="OK"/>
  </r>
  <r>
    <n v="14532"/>
    <x v="3"/>
    <x v="1"/>
    <n v="10.49"/>
    <n v="5"/>
    <x v="1"/>
    <n v="30"/>
    <n v="13.637"/>
    <n v="30.000000000000004"/>
    <s v="OK"/>
  </r>
  <r>
    <n v="14533"/>
    <x v="1"/>
    <x v="0"/>
    <n v="2.0499999999999998"/>
    <n v="6"/>
    <x v="1"/>
    <n v="28"/>
    <n v="2.6239999999999997"/>
    <n v="28.000000000000004"/>
    <s v="OK"/>
  </r>
  <r>
    <n v="14534"/>
    <x v="2"/>
    <x v="1"/>
    <n v="12.41"/>
    <n v="3"/>
    <x v="0"/>
    <n v="15"/>
    <n v="14.2715"/>
    <n v="14.999999999999991"/>
    <s v="OK"/>
  </r>
  <r>
    <n v="14535"/>
    <x v="2"/>
    <x v="1"/>
    <n v="6.81"/>
    <n v="10"/>
    <x v="2"/>
    <n v="60"/>
    <n v="10.896000000000001"/>
    <n v="60.000000000000028"/>
    <s v="OK"/>
  </r>
  <r>
    <n v="14536"/>
    <x v="0"/>
    <x v="1"/>
    <n v="1.55"/>
    <n v="7"/>
    <x v="1"/>
    <n v="30"/>
    <n v="2.0150000000000001"/>
    <n v="30.000000000000004"/>
    <s v="OK"/>
  </r>
  <r>
    <n v="14537"/>
    <x v="1"/>
    <x v="1"/>
    <n v="11.9"/>
    <n v="9"/>
    <x v="2"/>
    <n v="60"/>
    <n v="19.040000000000003"/>
    <n v="60.000000000000007"/>
    <s v="OK"/>
  </r>
  <r>
    <n v="14538"/>
    <x v="0"/>
    <x v="1"/>
    <n v="5.97"/>
    <n v="9"/>
    <x v="2"/>
    <n v="60"/>
    <n v="9.5519999999999996"/>
    <n v="60.000000000000007"/>
    <s v="OK"/>
  </r>
  <r>
    <n v="14539"/>
    <x v="0"/>
    <x v="2"/>
    <n v="1.96"/>
    <n v="10"/>
    <x v="2"/>
    <n v="50"/>
    <n v="2.94"/>
    <n v="50"/>
    <s v="OK"/>
  </r>
  <r>
    <n v="14540"/>
    <x v="1"/>
    <x v="2"/>
    <n v="9.69"/>
    <n v="10"/>
    <x v="2"/>
    <n v="50"/>
    <n v="14.535"/>
    <n v="50"/>
    <s v="OK"/>
  </r>
  <r>
    <n v="14541"/>
    <x v="1"/>
    <x v="0"/>
    <n v="13.26"/>
    <n v="5"/>
    <x v="1"/>
    <n v="28"/>
    <n v="16.972799999999999"/>
    <n v="28.000000000000004"/>
    <s v="OK"/>
  </r>
  <r>
    <n v="14542"/>
    <x v="1"/>
    <x v="1"/>
    <n v="13.37"/>
    <n v="7"/>
    <x v="1"/>
    <n v="30"/>
    <n v="17.381"/>
    <n v="30.000000000000004"/>
    <s v="OK"/>
  </r>
  <r>
    <n v="14543"/>
    <x v="3"/>
    <x v="0"/>
    <n v="14.39"/>
    <n v="3"/>
    <x v="0"/>
    <n v="12"/>
    <n v="16.116800000000001"/>
    <n v="12.000000000000011"/>
    <s v="OK"/>
  </r>
  <r>
    <n v="14544"/>
    <x v="1"/>
    <x v="2"/>
    <n v="13.08"/>
    <n v="6"/>
    <x v="1"/>
    <n v="25"/>
    <n v="16.350000000000001"/>
    <n v="25"/>
    <s v="OK"/>
  </r>
  <r>
    <n v="14545"/>
    <x v="2"/>
    <x v="2"/>
    <n v="0.53"/>
    <n v="8"/>
    <x v="2"/>
    <n v="50"/>
    <n v="0.79500000000000004"/>
    <n v="50"/>
    <s v="OK"/>
  </r>
  <r>
    <n v="14546"/>
    <x v="0"/>
    <x v="2"/>
    <n v="6.01"/>
    <n v="8"/>
    <x v="2"/>
    <n v="50"/>
    <n v="9.0150000000000006"/>
    <n v="50.000000000000021"/>
    <s v="OK"/>
  </r>
  <r>
    <n v="14547"/>
    <x v="3"/>
    <x v="1"/>
    <n v="12.37"/>
    <n v="2"/>
    <x v="0"/>
    <n v="15"/>
    <n v="14.225499999999998"/>
    <n v="14.999999999999991"/>
    <s v="OK"/>
  </r>
  <r>
    <n v="14548"/>
    <x v="1"/>
    <x v="1"/>
    <n v="5.81"/>
    <n v="6"/>
    <x v="1"/>
    <n v="30"/>
    <n v="7.5529999999999999"/>
    <n v="30.000000000000004"/>
    <s v="OK"/>
  </r>
  <r>
    <n v="14549"/>
    <x v="3"/>
    <x v="2"/>
    <n v="9.2200000000000006"/>
    <n v="7"/>
    <x v="1"/>
    <n v="25"/>
    <n v="11.525"/>
    <n v="25"/>
    <s v="OK"/>
  </r>
  <r>
    <n v="14550"/>
    <x v="1"/>
    <x v="0"/>
    <n v="9.2899999999999991"/>
    <n v="7"/>
    <x v="1"/>
    <n v="28"/>
    <n v="11.8912"/>
    <n v="28.000000000000004"/>
    <s v="OK"/>
  </r>
  <r>
    <n v="14551"/>
    <x v="3"/>
    <x v="0"/>
    <n v="5.79"/>
    <n v="3"/>
    <x v="0"/>
    <n v="12"/>
    <n v="6.4848000000000008"/>
    <n v="12.000000000000011"/>
    <s v="OK"/>
  </r>
  <r>
    <n v="14552"/>
    <x v="0"/>
    <x v="2"/>
    <n v="13.61"/>
    <n v="9"/>
    <x v="2"/>
    <n v="50"/>
    <n v="20.414999999999999"/>
    <n v="50"/>
    <s v="OK"/>
  </r>
  <r>
    <n v="14553"/>
    <x v="0"/>
    <x v="0"/>
    <n v="7.8"/>
    <n v="2"/>
    <x v="0"/>
    <n v="12"/>
    <n v="8.7360000000000007"/>
    <n v="12.000000000000011"/>
    <s v="OK"/>
  </r>
  <r>
    <n v="14554"/>
    <x v="2"/>
    <x v="2"/>
    <n v="7.24"/>
    <n v="3"/>
    <x v="0"/>
    <n v="10"/>
    <n v="7.9640000000000013"/>
    <n v="10.000000000000009"/>
    <s v="OK"/>
  </r>
  <r>
    <n v="14555"/>
    <x v="2"/>
    <x v="0"/>
    <n v="14.96"/>
    <n v="2"/>
    <x v="0"/>
    <n v="12"/>
    <n v="16.755200000000002"/>
    <n v="12.000000000000011"/>
    <s v="OK"/>
  </r>
  <r>
    <n v="14556"/>
    <x v="1"/>
    <x v="2"/>
    <n v="7.66"/>
    <n v="9"/>
    <x v="2"/>
    <n v="50"/>
    <n v="11.49"/>
    <n v="50"/>
    <s v="OK"/>
  </r>
  <r>
    <n v="14557"/>
    <x v="0"/>
    <x v="0"/>
    <n v="3.09"/>
    <n v="4"/>
    <x v="1"/>
    <n v="28"/>
    <n v="3.9552"/>
    <n v="28.000000000000004"/>
    <s v="OK"/>
  </r>
  <r>
    <n v="14558"/>
    <x v="3"/>
    <x v="1"/>
    <n v="7.94"/>
    <n v="2"/>
    <x v="0"/>
    <n v="15"/>
    <n v="9.1310000000000002"/>
    <n v="14.999999999999991"/>
    <s v="OK"/>
  </r>
  <r>
    <n v="14559"/>
    <x v="3"/>
    <x v="2"/>
    <n v="12.3"/>
    <n v="3"/>
    <x v="0"/>
    <n v="10"/>
    <n v="13.530000000000001"/>
    <n v="10.000000000000009"/>
    <s v="OK"/>
  </r>
  <r>
    <n v="14560"/>
    <x v="3"/>
    <x v="2"/>
    <n v="11.76"/>
    <n v="4"/>
    <x v="1"/>
    <n v="25"/>
    <n v="14.7"/>
    <n v="25"/>
    <s v="OK"/>
  </r>
  <r>
    <n v="14561"/>
    <x v="2"/>
    <x v="0"/>
    <n v="11.93"/>
    <n v="10"/>
    <x v="2"/>
    <n v="55"/>
    <n v="18.491499999999998"/>
    <n v="54.999999999999986"/>
    <s v="OK"/>
  </r>
  <r>
    <n v="14562"/>
    <x v="3"/>
    <x v="2"/>
    <n v="10.77"/>
    <n v="6"/>
    <x v="1"/>
    <n v="25"/>
    <n v="13.462499999999999"/>
    <n v="25"/>
    <s v="OK"/>
  </r>
  <r>
    <n v="14563"/>
    <x v="2"/>
    <x v="2"/>
    <n v="4.1900000000000004"/>
    <n v="5"/>
    <x v="1"/>
    <n v="25"/>
    <n v="5.2375000000000007"/>
    <n v="25"/>
    <s v="OK"/>
  </r>
  <r>
    <n v="14564"/>
    <x v="2"/>
    <x v="2"/>
    <n v="13"/>
    <n v="3"/>
    <x v="0"/>
    <n v="10"/>
    <n v="14.3"/>
    <n v="10.000000000000009"/>
    <s v="OK"/>
  </r>
  <r>
    <n v="14565"/>
    <x v="1"/>
    <x v="1"/>
    <n v="13.45"/>
    <n v="10"/>
    <x v="2"/>
    <n v="60"/>
    <n v="21.52"/>
    <n v="60.000000000000007"/>
    <s v="OK"/>
  </r>
  <r>
    <n v="14566"/>
    <x v="3"/>
    <x v="1"/>
    <n v="3.32"/>
    <n v="8"/>
    <x v="2"/>
    <n v="60"/>
    <n v="5.3120000000000003"/>
    <n v="60.000000000000007"/>
    <s v="OK"/>
  </r>
  <r>
    <n v="14567"/>
    <x v="3"/>
    <x v="0"/>
    <n v="2.39"/>
    <n v="8"/>
    <x v="2"/>
    <n v="55"/>
    <n v="3.7045000000000003"/>
    <n v="55.000000000000007"/>
    <s v="OK"/>
  </r>
  <r>
    <n v="14568"/>
    <x v="0"/>
    <x v="1"/>
    <n v="14.65"/>
    <n v="7"/>
    <x v="1"/>
    <n v="30"/>
    <n v="19.045000000000002"/>
    <n v="30.000000000000004"/>
    <s v="OK"/>
  </r>
  <r>
    <n v="14569"/>
    <x v="1"/>
    <x v="0"/>
    <n v="13.09"/>
    <n v="3"/>
    <x v="0"/>
    <n v="12"/>
    <n v="14.660800000000002"/>
    <n v="12.000000000000011"/>
    <s v="OK"/>
  </r>
  <r>
    <n v="14570"/>
    <x v="0"/>
    <x v="1"/>
    <n v="13.45"/>
    <n v="1"/>
    <x v="0"/>
    <n v="15"/>
    <n v="15.467499999999998"/>
    <n v="14.999999999999991"/>
    <s v="OK"/>
  </r>
  <r>
    <n v="14571"/>
    <x v="1"/>
    <x v="0"/>
    <n v="13.35"/>
    <n v="5"/>
    <x v="1"/>
    <n v="28"/>
    <n v="17.088000000000001"/>
    <n v="28.000000000000004"/>
    <s v="OK"/>
  </r>
  <r>
    <n v="14572"/>
    <x v="3"/>
    <x v="1"/>
    <n v="8.35"/>
    <n v="1"/>
    <x v="0"/>
    <n v="15"/>
    <n v="9.6024999999999991"/>
    <n v="14.999999999999991"/>
    <s v="OK"/>
  </r>
  <r>
    <n v="14573"/>
    <x v="2"/>
    <x v="1"/>
    <n v="9.8699999999999992"/>
    <n v="6"/>
    <x v="1"/>
    <n v="30"/>
    <n v="12.831"/>
    <n v="30.000000000000004"/>
    <s v="OK"/>
  </r>
  <r>
    <n v="14574"/>
    <x v="2"/>
    <x v="0"/>
    <n v="8.41"/>
    <n v="7"/>
    <x v="1"/>
    <n v="28"/>
    <n v="10.764800000000001"/>
    <n v="28.000000000000004"/>
    <s v="OK"/>
  </r>
  <r>
    <n v="14575"/>
    <x v="2"/>
    <x v="2"/>
    <n v="1.24"/>
    <n v="5"/>
    <x v="1"/>
    <n v="25"/>
    <n v="1.55"/>
    <n v="25"/>
    <s v="OK"/>
  </r>
  <r>
    <n v="14576"/>
    <x v="2"/>
    <x v="2"/>
    <n v="11.31"/>
    <n v="4"/>
    <x v="1"/>
    <n v="25"/>
    <n v="14.137500000000001"/>
    <n v="25"/>
    <s v="OK"/>
  </r>
  <r>
    <n v="14577"/>
    <x v="2"/>
    <x v="1"/>
    <n v="7.83"/>
    <n v="2"/>
    <x v="0"/>
    <n v="15"/>
    <n v="9.0045000000000002"/>
    <n v="14.999999999999991"/>
    <s v="OK"/>
  </r>
  <r>
    <n v="14578"/>
    <x v="0"/>
    <x v="0"/>
    <n v="9.89"/>
    <n v="5"/>
    <x v="1"/>
    <n v="28"/>
    <n v="12.6592"/>
    <n v="28.000000000000004"/>
    <s v="OK"/>
  </r>
  <r>
    <n v="14579"/>
    <x v="1"/>
    <x v="2"/>
    <n v="7.79"/>
    <n v="9"/>
    <x v="2"/>
    <n v="50"/>
    <n v="11.685"/>
    <n v="50"/>
    <s v="OK"/>
  </r>
  <r>
    <n v="14580"/>
    <x v="3"/>
    <x v="0"/>
    <n v="7.63"/>
    <n v="4"/>
    <x v="1"/>
    <n v="28"/>
    <n v="9.7664000000000009"/>
    <n v="28.000000000000004"/>
    <s v="OK"/>
  </r>
  <r>
    <n v="14581"/>
    <x v="0"/>
    <x v="2"/>
    <n v="2.99"/>
    <n v="2"/>
    <x v="0"/>
    <n v="10"/>
    <n v="3.2890000000000006"/>
    <n v="10.000000000000009"/>
    <s v="OK"/>
  </r>
  <r>
    <n v="14582"/>
    <x v="1"/>
    <x v="0"/>
    <n v="4.54"/>
    <n v="6"/>
    <x v="1"/>
    <n v="28"/>
    <n v="5.8112000000000004"/>
    <n v="28.000000000000004"/>
    <s v="OK"/>
  </r>
  <r>
    <n v="14583"/>
    <x v="2"/>
    <x v="1"/>
    <n v="2.8"/>
    <n v="8"/>
    <x v="2"/>
    <n v="60"/>
    <n v="4.4799999999999995"/>
    <n v="59.999999999999986"/>
    <s v="OK"/>
  </r>
  <r>
    <n v="14584"/>
    <x v="1"/>
    <x v="0"/>
    <n v="3.34"/>
    <n v="2"/>
    <x v="0"/>
    <n v="12"/>
    <n v="3.7408000000000001"/>
    <n v="12.000000000000011"/>
    <s v="OK"/>
  </r>
  <r>
    <n v="14585"/>
    <x v="1"/>
    <x v="2"/>
    <n v="14.61"/>
    <n v="9"/>
    <x v="2"/>
    <n v="50"/>
    <n v="21.914999999999999"/>
    <n v="50"/>
    <s v="OK"/>
  </r>
  <r>
    <n v="14586"/>
    <x v="2"/>
    <x v="1"/>
    <n v="2.72"/>
    <n v="7"/>
    <x v="1"/>
    <n v="30"/>
    <n v="3.5360000000000005"/>
    <n v="30.000000000000004"/>
    <s v="OK"/>
  </r>
  <r>
    <n v="14587"/>
    <x v="2"/>
    <x v="0"/>
    <n v="4.4000000000000004"/>
    <n v="2"/>
    <x v="0"/>
    <n v="12"/>
    <n v="4.9280000000000008"/>
    <n v="12.000000000000011"/>
    <s v="OK"/>
  </r>
  <r>
    <n v="14588"/>
    <x v="2"/>
    <x v="2"/>
    <n v="9.06"/>
    <n v="5"/>
    <x v="1"/>
    <n v="25"/>
    <n v="11.325000000000001"/>
    <n v="25"/>
    <s v="OK"/>
  </r>
  <r>
    <n v="14589"/>
    <x v="3"/>
    <x v="1"/>
    <n v="9.35"/>
    <n v="5"/>
    <x v="1"/>
    <n v="30"/>
    <n v="12.154999999999999"/>
    <n v="30.000000000000004"/>
    <s v="OK"/>
  </r>
  <r>
    <n v="14590"/>
    <x v="2"/>
    <x v="0"/>
    <n v="2.73"/>
    <n v="7"/>
    <x v="1"/>
    <n v="28"/>
    <n v="3.4944000000000002"/>
    <n v="28.000000000000004"/>
    <s v="OK"/>
  </r>
  <r>
    <n v="14591"/>
    <x v="3"/>
    <x v="2"/>
    <n v="12.01"/>
    <n v="5"/>
    <x v="1"/>
    <n v="25"/>
    <n v="15.012499999999999"/>
    <n v="25"/>
    <s v="OK"/>
  </r>
  <r>
    <n v="14592"/>
    <x v="2"/>
    <x v="0"/>
    <n v="11.89"/>
    <n v="6"/>
    <x v="1"/>
    <n v="28"/>
    <n v="15.219200000000001"/>
    <n v="28.000000000000004"/>
    <s v="OK"/>
  </r>
  <r>
    <n v="14593"/>
    <x v="3"/>
    <x v="0"/>
    <n v="3.94"/>
    <n v="9"/>
    <x v="2"/>
    <n v="55"/>
    <n v="6.1070000000000002"/>
    <n v="55.000000000000007"/>
    <s v="OK"/>
  </r>
  <r>
    <n v="14594"/>
    <x v="1"/>
    <x v="1"/>
    <n v="4.6900000000000004"/>
    <n v="3"/>
    <x v="0"/>
    <n v="15"/>
    <n v="5.3935000000000004"/>
    <n v="14.999999999999991"/>
    <s v="OK"/>
  </r>
  <r>
    <n v="14595"/>
    <x v="0"/>
    <x v="1"/>
    <n v="14.1"/>
    <n v="3"/>
    <x v="0"/>
    <n v="15"/>
    <n v="16.215"/>
    <n v="14.999999999999991"/>
    <s v="OK"/>
  </r>
  <r>
    <n v="14596"/>
    <x v="1"/>
    <x v="2"/>
    <n v="12.47"/>
    <n v="8"/>
    <x v="2"/>
    <n v="50"/>
    <n v="18.705000000000002"/>
    <n v="50"/>
    <s v="OK"/>
  </r>
  <r>
    <n v="14597"/>
    <x v="1"/>
    <x v="1"/>
    <n v="10.62"/>
    <n v="10"/>
    <x v="2"/>
    <n v="60"/>
    <n v="16.992000000000001"/>
    <n v="60.000000000000028"/>
    <s v="OK"/>
  </r>
  <r>
    <n v="14598"/>
    <x v="2"/>
    <x v="2"/>
    <n v="1.69"/>
    <n v="6"/>
    <x v="1"/>
    <n v="25"/>
    <n v="2.1124999999999998"/>
    <n v="25"/>
    <s v="OK"/>
  </r>
  <r>
    <n v="14599"/>
    <x v="3"/>
    <x v="0"/>
    <n v="6.56"/>
    <n v="10"/>
    <x v="2"/>
    <n v="55"/>
    <n v="10.167999999999999"/>
    <n v="55.000000000000007"/>
    <s v="OK"/>
  </r>
  <r>
    <n v="14600"/>
    <x v="0"/>
    <x v="0"/>
    <n v="8.61"/>
    <n v="3"/>
    <x v="0"/>
    <n v="12"/>
    <n v="9.6432000000000002"/>
    <n v="12.000000000000011"/>
    <s v="OK"/>
  </r>
  <r>
    <n v="14601"/>
    <x v="2"/>
    <x v="2"/>
    <n v="3.22"/>
    <n v="2"/>
    <x v="0"/>
    <n v="10"/>
    <n v="3.5420000000000007"/>
    <n v="10.000000000000009"/>
    <s v="OK"/>
  </r>
  <r>
    <n v="14602"/>
    <x v="2"/>
    <x v="0"/>
    <n v="7"/>
    <n v="2"/>
    <x v="0"/>
    <n v="12"/>
    <n v="7.8400000000000007"/>
    <n v="12.000000000000011"/>
    <s v="OK"/>
  </r>
  <r>
    <n v="14603"/>
    <x v="2"/>
    <x v="1"/>
    <n v="9.2100000000000009"/>
    <n v="2"/>
    <x v="0"/>
    <n v="15"/>
    <n v="10.5915"/>
    <n v="14.999999999999991"/>
    <s v="OK"/>
  </r>
  <r>
    <n v="14604"/>
    <x v="1"/>
    <x v="0"/>
    <n v="5.25"/>
    <n v="5"/>
    <x v="1"/>
    <n v="28"/>
    <n v="6.72"/>
    <n v="28.000000000000004"/>
    <s v="OK"/>
  </r>
  <r>
    <n v="14605"/>
    <x v="3"/>
    <x v="1"/>
    <n v="11.82"/>
    <n v="5"/>
    <x v="1"/>
    <n v="30"/>
    <n v="15.366000000000001"/>
    <n v="30.000000000000004"/>
    <s v="OK"/>
  </r>
  <r>
    <n v="14606"/>
    <x v="3"/>
    <x v="2"/>
    <n v="12.69"/>
    <n v="1"/>
    <x v="0"/>
    <n v="10"/>
    <n v="13.959000000000001"/>
    <n v="10.000000000000009"/>
    <s v="OK"/>
  </r>
  <r>
    <n v="14607"/>
    <x v="0"/>
    <x v="2"/>
    <n v="5.19"/>
    <n v="2"/>
    <x v="0"/>
    <n v="10"/>
    <n v="5.7090000000000005"/>
    <n v="10.000000000000009"/>
    <s v="OK"/>
  </r>
  <r>
    <n v="14608"/>
    <x v="3"/>
    <x v="0"/>
    <n v="12.66"/>
    <n v="2"/>
    <x v="0"/>
    <n v="12"/>
    <n v="14.179200000000002"/>
    <n v="12.000000000000011"/>
    <s v="OK"/>
  </r>
  <r>
    <n v="14609"/>
    <x v="3"/>
    <x v="0"/>
    <n v="2"/>
    <n v="4"/>
    <x v="1"/>
    <n v="28"/>
    <n v="2.56"/>
    <n v="28.000000000000004"/>
    <s v="OK"/>
  </r>
  <r>
    <n v="14610"/>
    <x v="2"/>
    <x v="1"/>
    <n v="12.65"/>
    <n v="7"/>
    <x v="1"/>
    <n v="30"/>
    <n v="16.445"/>
    <n v="30.000000000000004"/>
    <s v="OK"/>
  </r>
  <r>
    <n v="14611"/>
    <x v="2"/>
    <x v="1"/>
    <n v="2.71"/>
    <n v="3"/>
    <x v="0"/>
    <n v="15"/>
    <n v="3.1164999999999998"/>
    <n v="14.999999999999991"/>
    <s v="OK"/>
  </r>
  <r>
    <n v="14612"/>
    <x v="1"/>
    <x v="0"/>
    <n v="1.7"/>
    <n v="5"/>
    <x v="1"/>
    <n v="28"/>
    <n v="2.1760000000000002"/>
    <n v="28.000000000000004"/>
    <s v="OK"/>
  </r>
  <r>
    <n v="14613"/>
    <x v="2"/>
    <x v="0"/>
    <n v="9.81"/>
    <n v="9"/>
    <x v="2"/>
    <n v="55"/>
    <n v="15.205500000000001"/>
    <n v="55.000000000000007"/>
    <s v="OK"/>
  </r>
  <r>
    <n v="14614"/>
    <x v="2"/>
    <x v="2"/>
    <n v="7.34"/>
    <n v="5"/>
    <x v="1"/>
    <n v="25"/>
    <n v="9.1750000000000007"/>
    <n v="25.000000000000021"/>
    <s v="OK"/>
  </r>
  <r>
    <n v="14615"/>
    <x v="2"/>
    <x v="2"/>
    <n v="13.66"/>
    <n v="9"/>
    <x v="2"/>
    <n v="50"/>
    <n v="20.490000000000002"/>
    <n v="50.000000000000021"/>
    <s v="OK"/>
  </r>
  <r>
    <n v="14616"/>
    <x v="2"/>
    <x v="2"/>
    <n v="5.77"/>
    <n v="1"/>
    <x v="0"/>
    <n v="10"/>
    <n v="6.3470000000000004"/>
    <n v="10.000000000000009"/>
    <s v="OK"/>
  </r>
  <r>
    <n v="14617"/>
    <x v="1"/>
    <x v="0"/>
    <n v="4.66"/>
    <n v="9"/>
    <x v="2"/>
    <n v="55"/>
    <n v="7.2230000000000008"/>
    <n v="55.000000000000007"/>
    <s v="OK"/>
  </r>
  <r>
    <n v="14618"/>
    <x v="2"/>
    <x v="0"/>
    <n v="7.76"/>
    <n v="5"/>
    <x v="1"/>
    <n v="28"/>
    <n v="9.9328000000000003"/>
    <n v="28.000000000000004"/>
    <s v="OK"/>
  </r>
  <r>
    <n v="14619"/>
    <x v="0"/>
    <x v="0"/>
    <n v="7.11"/>
    <n v="8"/>
    <x v="2"/>
    <n v="55"/>
    <n v="11.0205"/>
    <n v="55.000000000000007"/>
    <s v="OK"/>
  </r>
  <r>
    <n v="14620"/>
    <x v="0"/>
    <x v="2"/>
    <n v="5.49"/>
    <n v="5"/>
    <x v="1"/>
    <n v="25"/>
    <n v="6.8625000000000007"/>
    <n v="25"/>
    <s v="OK"/>
  </r>
  <r>
    <n v="14621"/>
    <x v="0"/>
    <x v="0"/>
    <n v="10.56"/>
    <n v="6"/>
    <x v="1"/>
    <n v="28"/>
    <n v="13.516800000000002"/>
    <n v="28.000000000000004"/>
    <s v="OK"/>
  </r>
  <r>
    <n v="14622"/>
    <x v="0"/>
    <x v="1"/>
    <n v="11.51"/>
    <n v="8"/>
    <x v="2"/>
    <n v="60"/>
    <n v="18.416"/>
    <n v="60.000000000000007"/>
    <s v="OK"/>
  </r>
  <r>
    <n v="14623"/>
    <x v="2"/>
    <x v="0"/>
    <n v="12.87"/>
    <n v="2"/>
    <x v="0"/>
    <n v="12"/>
    <n v="14.414400000000001"/>
    <n v="12.000000000000011"/>
    <s v="OK"/>
  </r>
  <r>
    <n v="14624"/>
    <x v="0"/>
    <x v="0"/>
    <n v="14.61"/>
    <n v="3"/>
    <x v="0"/>
    <n v="12"/>
    <n v="16.363200000000003"/>
    <n v="12.000000000000032"/>
    <s v="OK"/>
  </r>
  <r>
    <n v="14625"/>
    <x v="2"/>
    <x v="0"/>
    <n v="4.37"/>
    <n v="9"/>
    <x v="2"/>
    <n v="55"/>
    <n v="6.7735000000000003"/>
    <n v="55.000000000000007"/>
    <s v="OK"/>
  </r>
  <r>
    <n v="14626"/>
    <x v="1"/>
    <x v="0"/>
    <n v="10.88"/>
    <n v="5"/>
    <x v="1"/>
    <n v="28"/>
    <n v="13.926400000000001"/>
    <n v="28.000000000000004"/>
    <s v="OK"/>
  </r>
  <r>
    <n v="14627"/>
    <x v="0"/>
    <x v="0"/>
    <n v="6.22"/>
    <n v="5"/>
    <x v="1"/>
    <n v="28"/>
    <n v="7.9615999999999998"/>
    <n v="28.000000000000004"/>
    <s v="OK"/>
  </r>
  <r>
    <n v="14628"/>
    <x v="3"/>
    <x v="1"/>
    <n v="10.32"/>
    <n v="9"/>
    <x v="2"/>
    <n v="60"/>
    <n v="16.512"/>
    <n v="60.000000000000007"/>
    <s v="OK"/>
  </r>
  <r>
    <n v="14629"/>
    <x v="0"/>
    <x v="1"/>
    <n v="7.4"/>
    <n v="10"/>
    <x v="2"/>
    <n v="60"/>
    <n v="11.840000000000002"/>
    <n v="60.000000000000007"/>
    <s v="OK"/>
  </r>
  <r>
    <n v="14630"/>
    <x v="0"/>
    <x v="0"/>
    <n v="14.91"/>
    <n v="3"/>
    <x v="0"/>
    <n v="12"/>
    <n v="16.699200000000001"/>
    <n v="12.000000000000011"/>
    <s v="OK"/>
  </r>
  <r>
    <n v="14631"/>
    <x v="2"/>
    <x v="2"/>
    <n v="11.07"/>
    <n v="4"/>
    <x v="1"/>
    <n v="25"/>
    <n v="13.8375"/>
    <n v="25"/>
    <s v="OK"/>
  </r>
  <r>
    <n v="14632"/>
    <x v="0"/>
    <x v="0"/>
    <n v="14.31"/>
    <n v="7"/>
    <x v="1"/>
    <n v="28"/>
    <n v="18.316800000000001"/>
    <n v="28.000000000000004"/>
    <s v="OK"/>
  </r>
  <r>
    <n v="14633"/>
    <x v="3"/>
    <x v="0"/>
    <n v="12.61"/>
    <n v="2"/>
    <x v="0"/>
    <n v="12"/>
    <n v="14.123200000000001"/>
    <n v="12.000000000000011"/>
    <s v="OK"/>
  </r>
  <r>
    <n v="14634"/>
    <x v="2"/>
    <x v="0"/>
    <n v="13.59"/>
    <n v="8"/>
    <x v="2"/>
    <n v="55"/>
    <n v="21.064499999999999"/>
    <n v="55.000000000000007"/>
    <s v="OK"/>
  </r>
  <r>
    <n v="14635"/>
    <x v="2"/>
    <x v="2"/>
    <n v="12.31"/>
    <n v="5"/>
    <x v="1"/>
    <n v="25"/>
    <n v="15.387500000000001"/>
    <n v="25"/>
    <s v="OK"/>
  </r>
  <r>
    <n v="14636"/>
    <x v="1"/>
    <x v="2"/>
    <n v="7.16"/>
    <n v="1"/>
    <x v="0"/>
    <n v="10"/>
    <n v="7.8760000000000012"/>
    <n v="10.000000000000009"/>
    <s v="OK"/>
  </r>
  <r>
    <n v="14637"/>
    <x v="1"/>
    <x v="2"/>
    <n v="4.1500000000000004"/>
    <n v="3"/>
    <x v="0"/>
    <n v="10"/>
    <n v="4.5650000000000004"/>
    <n v="10.000000000000009"/>
    <s v="OK"/>
  </r>
  <r>
    <n v="14638"/>
    <x v="0"/>
    <x v="1"/>
    <n v="5.87"/>
    <n v="9"/>
    <x v="2"/>
    <n v="60"/>
    <n v="9.3920000000000012"/>
    <n v="60.000000000000007"/>
    <s v="OK"/>
  </r>
  <r>
    <n v="14639"/>
    <x v="1"/>
    <x v="2"/>
    <n v="0.79"/>
    <n v="5"/>
    <x v="1"/>
    <n v="25"/>
    <n v="0.98750000000000004"/>
    <n v="25"/>
    <s v="OK"/>
  </r>
  <r>
    <n v="14640"/>
    <x v="1"/>
    <x v="1"/>
    <n v="8.1"/>
    <n v="8"/>
    <x v="2"/>
    <n v="60"/>
    <n v="12.96"/>
    <n v="60.000000000000007"/>
    <s v="OK"/>
  </r>
  <r>
    <n v="14641"/>
    <x v="1"/>
    <x v="1"/>
    <n v="7.82"/>
    <n v="1"/>
    <x v="0"/>
    <n v="15"/>
    <n v="8.9930000000000003"/>
    <n v="14.999999999999991"/>
    <s v="OK"/>
  </r>
  <r>
    <n v="14642"/>
    <x v="2"/>
    <x v="2"/>
    <n v="8.1199999999999992"/>
    <n v="7"/>
    <x v="1"/>
    <n v="25"/>
    <n v="10.149999999999999"/>
    <n v="25"/>
    <s v="OK"/>
  </r>
  <r>
    <n v="14643"/>
    <x v="2"/>
    <x v="2"/>
    <n v="14.62"/>
    <n v="7"/>
    <x v="1"/>
    <n v="25"/>
    <n v="18.274999999999999"/>
    <n v="25"/>
    <s v="OK"/>
  </r>
  <r>
    <n v="14644"/>
    <x v="2"/>
    <x v="2"/>
    <n v="13.72"/>
    <n v="8"/>
    <x v="2"/>
    <n v="50"/>
    <n v="20.580000000000002"/>
    <n v="50"/>
    <s v="OK"/>
  </r>
  <r>
    <n v="14645"/>
    <x v="1"/>
    <x v="1"/>
    <n v="2.84"/>
    <n v="3"/>
    <x v="0"/>
    <n v="15"/>
    <n v="3.2659999999999996"/>
    <n v="14.999999999999991"/>
    <s v="OK"/>
  </r>
  <r>
    <n v="14646"/>
    <x v="2"/>
    <x v="0"/>
    <n v="5.85"/>
    <n v="1"/>
    <x v="0"/>
    <n v="12"/>
    <n v="6.5520000000000005"/>
    <n v="12.000000000000011"/>
    <s v="OK"/>
  </r>
  <r>
    <n v="14647"/>
    <x v="1"/>
    <x v="2"/>
    <n v="6.65"/>
    <n v="9"/>
    <x v="2"/>
    <n v="50"/>
    <n v="9.9750000000000014"/>
    <n v="50.000000000000021"/>
    <s v="OK"/>
  </r>
  <r>
    <n v="14648"/>
    <x v="2"/>
    <x v="2"/>
    <n v="5.73"/>
    <n v="1"/>
    <x v="0"/>
    <n v="10"/>
    <n v="6.3030000000000008"/>
    <n v="10.000000000000009"/>
    <s v="OK"/>
  </r>
  <r>
    <n v="14649"/>
    <x v="2"/>
    <x v="2"/>
    <n v="12.08"/>
    <n v="6"/>
    <x v="1"/>
    <n v="25"/>
    <n v="15.1"/>
    <n v="25"/>
    <s v="OK"/>
  </r>
  <r>
    <n v="14650"/>
    <x v="3"/>
    <x v="1"/>
    <n v="8.1"/>
    <n v="9"/>
    <x v="2"/>
    <n v="60"/>
    <n v="12.96"/>
    <n v="60.000000000000007"/>
    <s v="OK"/>
  </r>
  <r>
    <n v="14651"/>
    <x v="0"/>
    <x v="1"/>
    <n v="8.8000000000000007"/>
    <n v="2"/>
    <x v="0"/>
    <n v="15"/>
    <n v="10.119999999999999"/>
    <n v="14.999999999999991"/>
    <s v="OK"/>
  </r>
  <r>
    <n v="14652"/>
    <x v="1"/>
    <x v="0"/>
    <n v="12.87"/>
    <n v="4"/>
    <x v="1"/>
    <n v="28"/>
    <n v="16.473599999999998"/>
    <n v="27.999999999999979"/>
    <s v="OK"/>
  </r>
  <r>
    <n v="14653"/>
    <x v="3"/>
    <x v="2"/>
    <n v="12.19"/>
    <n v="2"/>
    <x v="0"/>
    <n v="10"/>
    <n v="13.409000000000001"/>
    <n v="10.000000000000009"/>
    <s v="OK"/>
  </r>
  <r>
    <n v="14654"/>
    <x v="2"/>
    <x v="1"/>
    <n v="2.42"/>
    <n v="4"/>
    <x v="1"/>
    <n v="30"/>
    <n v="3.1459999999999999"/>
    <n v="30.000000000000004"/>
    <s v="OK"/>
  </r>
  <r>
    <n v="14655"/>
    <x v="1"/>
    <x v="0"/>
    <n v="10.85"/>
    <n v="2"/>
    <x v="0"/>
    <n v="12"/>
    <n v="12.152000000000001"/>
    <n v="12.000000000000011"/>
    <s v="OK"/>
  </r>
  <r>
    <n v="14656"/>
    <x v="2"/>
    <x v="2"/>
    <n v="6.81"/>
    <n v="1"/>
    <x v="0"/>
    <n v="10"/>
    <n v="7.4910000000000005"/>
    <n v="10.000000000000009"/>
    <s v="OK"/>
  </r>
  <r>
    <n v="14657"/>
    <x v="0"/>
    <x v="1"/>
    <n v="4.7699999999999996"/>
    <n v="3"/>
    <x v="0"/>
    <n v="15"/>
    <n v="5.4854999999999992"/>
    <n v="14.999999999999991"/>
    <s v="OK"/>
  </r>
  <r>
    <n v="14658"/>
    <x v="3"/>
    <x v="2"/>
    <n v="1.23"/>
    <n v="8"/>
    <x v="2"/>
    <n v="50"/>
    <n v="1.845"/>
    <n v="50"/>
    <s v="OK"/>
  </r>
  <r>
    <n v="14659"/>
    <x v="0"/>
    <x v="2"/>
    <n v="7.57"/>
    <n v="5"/>
    <x v="1"/>
    <n v="25"/>
    <n v="9.4625000000000004"/>
    <n v="25"/>
    <s v="OK"/>
  </r>
  <r>
    <n v="14660"/>
    <x v="3"/>
    <x v="1"/>
    <n v="5.65"/>
    <n v="4"/>
    <x v="1"/>
    <n v="30"/>
    <n v="7.3450000000000006"/>
    <n v="30.000000000000004"/>
    <s v="OK"/>
  </r>
  <r>
    <n v="14661"/>
    <x v="2"/>
    <x v="1"/>
    <n v="4.1500000000000004"/>
    <n v="5"/>
    <x v="1"/>
    <n v="30"/>
    <n v="5.3950000000000005"/>
    <n v="30.000000000000004"/>
    <s v="OK"/>
  </r>
  <r>
    <n v="14662"/>
    <x v="0"/>
    <x v="1"/>
    <n v="10.57"/>
    <n v="6"/>
    <x v="1"/>
    <n v="30"/>
    <n v="13.741000000000001"/>
    <n v="30.000000000000004"/>
    <s v="OK"/>
  </r>
  <r>
    <n v="14663"/>
    <x v="0"/>
    <x v="2"/>
    <n v="11.66"/>
    <n v="6"/>
    <x v="1"/>
    <n v="25"/>
    <n v="14.574999999999999"/>
    <n v="25"/>
    <s v="OK"/>
  </r>
  <r>
    <n v="14664"/>
    <x v="2"/>
    <x v="2"/>
    <n v="4.05"/>
    <n v="5"/>
    <x v="1"/>
    <n v="25"/>
    <n v="5.0625"/>
    <n v="25"/>
    <s v="OK"/>
  </r>
  <r>
    <n v="14665"/>
    <x v="0"/>
    <x v="0"/>
    <n v="1.22"/>
    <n v="6"/>
    <x v="1"/>
    <n v="28"/>
    <n v="1.5616000000000001"/>
    <n v="28.000000000000004"/>
    <s v="OK"/>
  </r>
  <r>
    <n v="14666"/>
    <x v="1"/>
    <x v="2"/>
    <n v="12.81"/>
    <n v="9"/>
    <x v="2"/>
    <n v="50"/>
    <n v="19.215"/>
    <n v="50"/>
    <s v="OK"/>
  </r>
  <r>
    <n v="14667"/>
    <x v="3"/>
    <x v="1"/>
    <n v="0.64"/>
    <n v="5"/>
    <x v="1"/>
    <n v="30"/>
    <n v="0.83200000000000007"/>
    <n v="30.000000000000004"/>
    <s v="OK"/>
  </r>
  <r>
    <n v="14668"/>
    <x v="3"/>
    <x v="2"/>
    <n v="14.09"/>
    <n v="6"/>
    <x v="1"/>
    <n v="25"/>
    <n v="17.612500000000001"/>
    <n v="25"/>
    <s v="OK"/>
  </r>
  <r>
    <n v="14669"/>
    <x v="3"/>
    <x v="0"/>
    <n v="9.6"/>
    <n v="4"/>
    <x v="1"/>
    <n v="28"/>
    <n v="12.288"/>
    <n v="28.000000000000004"/>
    <s v="OK"/>
  </r>
  <r>
    <n v="14670"/>
    <x v="1"/>
    <x v="0"/>
    <n v="5.17"/>
    <n v="3"/>
    <x v="0"/>
    <n v="12"/>
    <n v="5.7904000000000009"/>
    <n v="12.000000000000011"/>
    <s v="OK"/>
  </r>
  <r>
    <n v="14671"/>
    <x v="3"/>
    <x v="1"/>
    <n v="4.07"/>
    <n v="6"/>
    <x v="1"/>
    <n v="30"/>
    <n v="5.2910000000000004"/>
    <n v="30.000000000000004"/>
    <s v="OK"/>
  </r>
  <r>
    <n v="14672"/>
    <x v="2"/>
    <x v="1"/>
    <n v="0.63"/>
    <n v="5"/>
    <x v="1"/>
    <n v="30"/>
    <n v="0.81900000000000006"/>
    <n v="30.000000000000004"/>
    <s v="OK"/>
  </r>
  <r>
    <n v="14673"/>
    <x v="0"/>
    <x v="0"/>
    <n v="3.91"/>
    <n v="4"/>
    <x v="1"/>
    <n v="28"/>
    <n v="5.0048000000000004"/>
    <n v="28.000000000000004"/>
    <s v="OK"/>
  </r>
  <r>
    <n v="14674"/>
    <x v="1"/>
    <x v="0"/>
    <n v="2.5"/>
    <n v="5"/>
    <x v="1"/>
    <n v="28"/>
    <n v="3.2"/>
    <n v="28.000000000000004"/>
    <s v="OK"/>
  </r>
  <r>
    <n v="14675"/>
    <x v="3"/>
    <x v="0"/>
    <n v="9.3800000000000008"/>
    <n v="7"/>
    <x v="1"/>
    <n v="28"/>
    <n v="12.006400000000001"/>
    <n v="28.000000000000004"/>
    <s v="OK"/>
  </r>
  <r>
    <n v="14676"/>
    <x v="2"/>
    <x v="1"/>
    <n v="2.91"/>
    <n v="1"/>
    <x v="0"/>
    <n v="15"/>
    <n v="3.3464999999999998"/>
    <n v="14.999999999999991"/>
    <s v="OK"/>
  </r>
  <r>
    <n v="14677"/>
    <x v="0"/>
    <x v="0"/>
    <n v="8.17"/>
    <n v="1"/>
    <x v="0"/>
    <n v="12"/>
    <n v="9.1504000000000012"/>
    <n v="12.000000000000011"/>
    <s v="OK"/>
  </r>
  <r>
    <n v="14678"/>
    <x v="0"/>
    <x v="0"/>
    <n v="9.06"/>
    <n v="1"/>
    <x v="0"/>
    <n v="12"/>
    <n v="10.147200000000002"/>
    <n v="12.000000000000011"/>
    <s v="OK"/>
  </r>
  <r>
    <n v="14679"/>
    <x v="1"/>
    <x v="1"/>
    <n v="4.82"/>
    <n v="2"/>
    <x v="0"/>
    <n v="15"/>
    <n v="5.5430000000000001"/>
    <n v="14.999999999999991"/>
    <s v="OK"/>
  </r>
  <r>
    <n v="14680"/>
    <x v="1"/>
    <x v="2"/>
    <n v="1.01"/>
    <n v="9"/>
    <x v="2"/>
    <n v="50"/>
    <n v="1.5150000000000001"/>
    <n v="50"/>
    <s v="OK"/>
  </r>
  <r>
    <n v="14681"/>
    <x v="1"/>
    <x v="2"/>
    <n v="1.04"/>
    <n v="5"/>
    <x v="1"/>
    <n v="25"/>
    <n v="1.3"/>
    <n v="25"/>
    <s v="OK"/>
  </r>
  <r>
    <n v="14682"/>
    <x v="2"/>
    <x v="0"/>
    <n v="0.88"/>
    <n v="9"/>
    <x v="2"/>
    <n v="55"/>
    <n v="1.3640000000000001"/>
    <n v="55.000000000000007"/>
    <s v="OK"/>
  </r>
  <r>
    <n v="14683"/>
    <x v="2"/>
    <x v="2"/>
    <n v="11.22"/>
    <n v="5"/>
    <x v="1"/>
    <n v="25"/>
    <n v="14.025"/>
    <n v="25"/>
    <s v="OK"/>
  </r>
  <r>
    <n v="14684"/>
    <x v="1"/>
    <x v="2"/>
    <n v="5.1100000000000003"/>
    <n v="7"/>
    <x v="1"/>
    <n v="25"/>
    <n v="6.3875000000000002"/>
    <n v="25"/>
    <s v="OK"/>
  </r>
  <r>
    <n v="14685"/>
    <x v="3"/>
    <x v="2"/>
    <n v="12.05"/>
    <n v="6"/>
    <x v="1"/>
    <n v="25"/>
    <n v="15.0625"/>
    <n v="25"/>
    <s v="OK"/>
  </r>
  <r>
    <n v="14686"/>
    <x v="0"/>
    <x v="2"/>
    <n v="6.76"/>
    <n v="2"/>
    <x v="0"/>
    <n v="10"/>
    <n v="7.4359999999999999"/>
    <n v="10.000000000000009"/>
    <s v="OK"/>
  </r>
  <r>
    <n v="14687"/>
    <x v="0"/>
    <x v="0"/>
    <n v="7.07"/>
    <n v="3"/>
    <x v="0"/>
    <n v="12"/>
    <n v="7.918400000000001"/>
    <n v="12.000000000000011"/>
    <s v="OK"/>
  </r>
  <r>
    <n v="14688"/>
    <x v="2"/>
    <x v="2"/>
    <n v="7.94"/>
    <n v="5"/>
    <x v="1"/>
    <n v="25"/>
    <n v="9.9250000000000007"/>
    <n v="25"/>
    <s v="OK"/>
  </r>
  <r>
    <n v="14689"/>
    <x v="0"/>
    <x v="2"/>
    <n v="10.84"/>
    <n v="4"/>
    <x v="1"/>
    <n v="25"/>
    <n v="13.55"/>
    <n v="25"/>
    <s v="OK"/>
  </r>
  <r>
    <n v="14690"/>
    <x v="3"/>
    <x v="1"/>
    <n v="4.47"/>
    <n v="6"/>
    <x v="1"/>
    <n v="30"/>
    <n v="5.8109999999999999"/>
    <n v="30.000000000000004"/>
    <s v="OK"/>
  </r>
  <r>
    <n v="14691"/>
    <x v="0"/>
    <x v="0"/>
    <n v="2.2599999999999998"/>
    <n v="8"/>
    <x v="2"/>
    <n v="55"/>
    <n v="3.5029999999999997"/>
    <n v="55.000000000000007"/>
    <s v="OK"/>
  </r>
  <r>
    <n v="14692"/>
    <x v="2"/>
    <x v="1"/>
    <n v="8.56"/>
    <n v="8"/>
    <x v="2"/>
    <n v="60"/>
    <n v="13.696000000000002"/>
    <n v="60.000000000000007"/>
    <s v="OK"/>
  </r>
  <r>
    <n v="14693"/>
    <x v="2"/>
    <x v="1"/>
    <n v="5.24"/>
    <n v="3"/>
    <x v="0"/>
    <n v="15"/>
    <n v="6.0259999999999998"/>
    <n v="14.999999999999991"/>
    <s v="OK"/>
  </r>
  <r>
    <n v="14694"/>
    <x v="3"/>
    <x v="0"/>
    <n v="6.92"/>
    <n v="4"/>
    <x v="1"/>
    <n v="28"/>
    <n v="8.8575999999999997"/>
    <n v="28.000000000000004"/>
    <s v="OK"/>
  </r>
  <r>
    <n v="14695"/>
    <x v="3"/>
    <x v="2"/>
    <n v="9.8800000000000008"/>
    <n v="1"/>
    <x v="0"/>
    <n v="10"/>
    <n v="10.868000000000002"/>
    <n v="10.000000000000009"/>
    <s v="OK"/>
  </r>
  <r>
    <n v="14696"/>
    <x v="0"/>
    <x v="1"/>
    <n v="7.66"/>
    <n v="2"/>
    <x v="0"/>
    <n v="15"/>
    <n v="8.8089999999999993"/>
    <n v="14.999999999999991"/>
    <s v="OK"/>
  </r>
  <r>
    <n v="14697"/>
    <x v="0"/>
    <x v="0"/>
    <n v="9.49"/>
    <n v="9"/>
    <x v="2"/>
    <n v="55"/>
    <n v="14.7095"/>
    <n v="55.000000000000007"/>
    <s v="OK"/>
  </r>
  <r>
    <n v="14698"/>
    <x v="2"/>
    <x v="2"/>
    <n v="8.39"/>
    <n v="10"/>
    <x v="2"/>
    <n v="50"/>
    <n v="12.585000000000001"/>
    <n v="50"/>
    <s v="OK"/>
  </r>
  <r>
    <n v="14699"/>
    <x v="3"/>
    <x v="0"/>
    <n v="11.23"/>
    <n v="10"/>
    <x v="2"/>
    <n v="55"/>
    <n v="17.406500000000001"/>
    <n v="55.000000000000007"/>
    <s v="OK"/>
  </r>
  <r>
    <n v="14700"/>
    <x v="3"/>
    <x v="1"/>
    <n v="10.74"/>
    <n v="2"/>
    <x v="0"/>
    <n v="15"/>
    <n v="12.350999999999999"/>
    <n v="14.999999999999991"/>
    <s v="OK"/>
  </r>
  <r>
    <n v="14701"/>
    <x v="3"/>
    <x v="2"/>
    <n v="8.25"/>
    <n v="6"/>
    <x v="1"/>
    <n v="25"/>
    <n v="10.3125"/>
    <n v="25"/>
    <s v="OK"/>
  </r>
  <r>
    <n v="14702"/>
    <x v="0"/>
    <x v="2"/>
    <n v="10.34"/>
    <n v="7"/>
    <x v="1"/>
    <n v="25"/>
    <n v="12.925000000000001"/>
    <n v="25"/>
    <s v="OK"/>
  </r>
  <r>
    <n v="14703"/>
    <x v="3"/>
    <x v="0"/>
    <n v="13.17"/>
    <n v="6"/>
    <x v="1"/>
    <n v="28"/>
    <n v="16.857600000000001"/>
    <n v="28.000000000000004"/>
    <s v="OK"/>
  </r>
  <r>
    <n v="14704"/>
    <x v="2"/>
    <x v="2"/>
    <n v="6.77"/>
    <n v="8"/>
    <x v="2"/>
    <n v="50"/>
    <n v="10.154999999999999"/>
    <n v="50"/>
    <s v="OK"/>
  </r>
  <r>
    <n v="14705"/>
    <x v="2"/>
    <x v="1"/>
    <n v="6.49"/>
    <n v="9"/>
    <x v="2"/>
    <n v="60"/>
    <n v="10.384"/>
    <n v="60.000000000000007"/>
    <s v="OK"/>
  </r>
  <r>
    <n v="14706"/>
    <x v="0"/>
    <x v="1"/>
    <n v="11.58"/>
    <n v="8"/>
    <x v="2"/>
    <n v="60"/>
    <n v="18.528000000000002"/>
    <n v="60.000000000000007"/>
    <s v="OK"/>
  </r>
  <r>
    <n v="14707"/>
    <x v="1"/>
    <x v="1"/>
    <n v="8.9499999999999993"/>
    <n v="5"/>
    <x v="1"/>
    <n v="30"/>
    <n v="11.635"/>
    <n v="30.000000000000004"/>
    <s v="OK"/>
  </r>
  <r>
    <n v="14708"/>
    <x v="0"/>
    <x v="0"/>
    <n v="1.53"/>
    <n v="8"/>
    <x v="2"/>
    <n v="55"/>
    <n v="2.3715000000000002"/>
    <n v="55.000000000000007"/>
    <s v="OK"/>
  </r>
  <r>
    <n v="14709"/>
    <x v="1"/>
    <x v="2"/>
    <n v="13.44"/>
    <n v="10"/>
    <x v="2"/>
    <n v="50"/>
    <n v="20.16"/>
    <n v="50"/>
    <s v="OK"/>
  </r>
  <r>
    <n v="14710"/>
    <x v="3"/>
    <x v="2"/>
    <n v="0.95"/>
    <n v="10"/>
    <x v="2"/>
    <n v="50"/>
    <n v="1.4249999999999998"/>
    <n v="49.999999999999979"/>
    <s v="OK"/>
  </r>
  <r>
    <n v="14711"/>
    <x v="0"/>
    <x v="2"/>
    <n v="11.35"/>
    <n v="9"/>
    <x v="2"/>
    <n v="50"/>
    <n v="17.024999999999999"/>
    <n v="50"/>
    <s v="OK"/>
  </r>
  <r>
    <n v="14712"/>
    <x v="2"/>
    <x v="1"/>
    <n v="11.5"/>
    <n v="8"/>
    <x v="2"/>
    <n v="60"/>
    <n v="18.400000000000002"/>
    <n v="60.000000000000007"/>
    <s v="OK"/>
  </r>
  <r>
    <n v="14713"/>
    <x v="3"/>
    <x v="2"/>
    <n v="14.32"/>
    <n v="2"/>
    <x v="0"/>
    <n v="10"/>
    <n v="15.752000000000002"/>
    <n v="10.000000000000009"/>
    <s v="OK"/>
  </r>
  <r>
    <n v="14714"/>
    <x v="2"/>
    <x v="1"/>
    <n v="1.28"/>
    <n v="2"/>
    <x v="0"/>
    <n v="15"/>
    <n v="1.472"/>
    <n v="14.999999999999991"/>
    <s v="OK"/>
  </r>
  <r>
    <n v="14715"/>
    <x v="3"/>
    <x v="2"/>
    <n v="9.15"/>
    <n v="3"/>
    <x v="0"/>
    <n v="10"/>
    <n v="10.065000000000001"/>
    <n v="10.000000000000009"/>
    <s v="OK"/>
  </r>
  <r>
    <n v="14716"/>
    <x v="0"/>
    <x v="1"/>
    <n v="6.7"/>
    <n v="7"/>
    <x v="1"/>
    <n v="30"/>
    <n v="8.7100000000000009"/>
    <n v="30.000000000000004"/>
    <s v="OK"/>
  </r>
  <r>
    <n v="14717"/>
    <x v="1"/>
    <x v="2"/>
    <n v="5.29"/>
    <n v="9"/>
    <x v="2"/>
    <n v="50"/>
    <n v="7.9350000000000005"/>
    <n v="50"/>
    <s v="OK"/>
  </r>
  <r>
    <n v="14718"/>
    <x v="3"/>
    <x v="0"/>
    <n v="1.81"/>
    <n v="8"/>
    <x v="2"/>
    <n v="55"/>
    <n v="2.8055000000000003"/>
    <n v="55.000000000000007"/>
    <s v="OK"/>
  </r>
  <r>
    <n v="14719"/>
    <x v="1"/>
    <x v="0"/>
    <n v="8.66"/>
    <n v="9"/>
    <x v="2"/>
    <n v="55"/>
    <n v="13.423"/>
    <n v="55.000000000000007"/>
    <s v="OK"/>
  </r>
  <r>
    <n v="14720"/>
    <x v="3"/>
    <x v="1"/>
    <n v="7.45"/>
    <n v="6"/>
    <x v="1"/>
    <n v="30"/>
    <n v="9.6850000000000005"/>
    <n v="30.000000000000004"/>
    <s v="OK"/>
  </r>
  <r>
    <n v="14721"/>
    <x v="2"/>
    <x v="1"/>
    <n v="2.02"/>
    <n v="1"/>
    <x v="0"/>
    <n v="15"/>
    <n v="2.323"/>
    <n v="14.999999999999991"/>
    <s v="OK"/>
  </r>
  <r>
    <n v="14722"/>
    <x v="2"/>
    <x v="2"/>
    <n v="9.3800000000000008"/>
    <n v="4"/>
    <x v="1"/>
    <n v="25"/>
    <n v="11.725000000000001"/>
    <n v="25"/>
    <s v="OK"/>
  </r>
  <r>
    <n v="14723"/>
    <x v="3"/>
    <x v="2"/>
    <n v="11.2"/>
    <n v="6"/>
    <x v="1"/>
    <n v="25"/>
    <n v="14"/>
    <n v="25"/>
    <s v="OK"/>
  </r>
  <r>
    <n v="14724"/>
    <x v="1"/>
    <x v="0"/>
    <n v="11.63"/>
    <n v="6"/>
    <x v="1"/>
    <n v="28"/>
    <n v="14.886400000000002"/>
    <n v="28.000000000000004"/>
    <s v="OK"/>
  </r>
  <r>
    <n v="14725"/>
    <x v="0"/>
    <x v="2"/>
    <n v="13.63"/>
    <n v="8"/>
    <x v="2"/>
    <n v="50"/>
    <n v="20.445"/>
    <n v="50"/>
    <s v="OK"/>
  </r>
  <r>
    <n v="14726"/>
    <x v="0"/>
    <x v="1"/>
    <n v="6.44"/>
    <n v="1"/>
    <x v="0"/>
    <n v="15"/>
    <n v="7.4059999999999997"/>
    <n v="14.999999999999991"/>
    <s v="OK"/>
  </r>
  <r>
    <n v="14727"/>
    <x v="2"/>
    <x v="1"/>
    <n v="14.32"/>
    <n v="2"/>
    <x v="0"/>
    <n v="15"/>
    <n v="16.468"/>
    <n v="14.999999999999991"/>
    <s v="OK"/>
  </r>
  <r>
    <n v="14728"/>
    <x v="0"/>
    <x v="1"/>
    <n v="13.05"/>
    <n v="2"/>
    <x v="0"/>
    <n v="15"/>
    <n v="15.0075"/>
    <n v="14.999999999999991"/>
    <s v="OK"/>
  </r>
  <r>
    <n v="14729"/>
    <x v="2"/>
    <x v="1"/>
    <n v="4.8"/>
    <n v="6"/>
    <x v="1"/>
    <n v="30"/>
    <n v="6.24"/>
    <n v="30.000000000000004"/>
    <s v="OK"/>
  </r>
  <r>
    <n v="14730"/>
    <x v="0"/>
    <x v="1"/>
    <n v="2.81"/>
    <n v="7"/>
    <x v="1"/>
    <n v="30"/>
    <n v="3.653"/>
    <n v="30.000000000000004"/>
    <s v="OK"/>
  </r>
  <r>
    <n v="14731"/>
    <x v="3"/>
    <x v="0"/>
    <n v="6.81"/>
    <n v="2"/>
    <x v="0"/>
    <n v="12"/>
    <n v="7.6272000000000002"/>
    <n v="12.000000000000011"/>
    <s v="OK"/>
  </r>
  <r>
    <n v="14732"/>
    <x v="2"/>
    <x v="0"/>
    <n v="6.33"/>
    <n v="5"/>
    <x v="1"/>
    <n v="28"/>
    <n v="8.1023999999999994"/>
    <n v="27.999999999999979"/>
    <s v="OK"/>
  </r>
  <r>
    <n v="14733"/>
    <x v="2"/>
    <x v="1"/>
    <n v="8.85"/>
    <n v="6"/>
    <x v="1"/>
    <n v="30"/>
    <n v="11.505000000000001"/>
    <n v="30.000000000000004"/>
    <s v="OK"/>
  </r>
  <r>
    <n v="14734"/>
    <x v="3"/>
    <x v="2"/>
    <n v="8.9600000000000009"/>
    <n v="4"/>
    <x v="1"/>
    <n v="25"/>
    <n v="11.200000000000001"/>
    <n v="25"/>
    <s v="OK"/>
  </r>
  <r>
    <n v="14735"/>
    <x v="2"/>
    <x v="1"/>
    <n v="11.37"/>
    <n v="1"/>
    <x v="0"/>
    <n v="15"/>
    <n v="13.075499999999998"/>
    <n v="14.999999999999991"/>
    <s v="OK"/>
  </r>
  <r>
    <n v="14736"/>
    <x v="0"/>
    <x v="0"/>
    <n v="7.89"/>
    <n v="3"/>
    <x v="0"/>
    <n v="12"/>
    <n v="8.8368000000000002"/>
    <n v="12.000000000000011"/>
    <s v="OK"/>
  </r>
  <r>
    <n v="14737"/>
    <x v="0"/>
    <x v="1"/>
    <n v="2.02"/>
    <n v="10"/>
    <x v="2"/>
    <n v="60"/>
    <n v="3.2320000000000002"/>
    <n v="60.000000000000007"/>
    <s v="OK"/>
  </r>
  <r>
    <n v="14738"/>
    <x v="2"/>
    <x v="0"/>
    <n v="12.95"/>
    <n v="9"/>
    <x v="2"/>
    <n v="55"/>
    <n v="20.072499999999998"/>
    <n v="54.999999999999986"/>
    <s v="OK"/>
  </r>
  <r>
    <n v="14739"/>
    <x v="0"/>
    <x v="0"/>
    <n v="4.99"/>
    <n v="6"/>
    <x v="1"/>
    <n v="28"/>
    <n v="6.3872"/>
    <n v="28.000000000000004"/>
    <s v="OK"/>
  </r>
  <r>
    <n v="14740"/>
    <x v="1"/>
    <x v="1"/>
    <n v="14.58"/>
    <n v="2"/>
    <x v="0"/>
    <n v="15"/>
    <n v="16.766999999999999"/>
    <n v="14.999999999999991"/>
    <s v="OK"/>
  </r>
  <r>
    <n v="14741"/>
    <x v="2"/>
    <x v="1"/>
    <n v="2.21"/>
    <n v="9"/>
    <x v="2"/>
    <n v="60"/>
    <n v="3.536"/>
    <n v="60.000000000000007"/>
    <s v="OK"/>
  </r>
  <r>
    <n v="14742"/>
    <x v="3"/>
    <x v="2"/>
    <n v="14.39"/>
    <n v="4"/>
    <x v="1"/>
    <n v="25"/>
    <n v="17.987500000000001"/>
    <n v="25"/>
    <s v="OK"/>
  </r>
  <r>
    <n v="14743"/>
    <x v="1"/>
    <x v="0"/>
    <n v="1.82"/>
    <n v="8"/>
    <x v="2"/>
    <n v="55"/>
    <n v="2.8210000000000002"/>
    <n v="55.000000000000007"/>
    <s v="OK"/>
  </r>
  <r>
    <n v="14744"/>
    <x v="2"/>
    <x v="2"/>
    <n v="3.85"/>
    <n v="10"/>
    <x v="2"/>
    <n v="50"/>
    <n v="5.7750000000000004"/>
    <n v="50"/>
    <s v="OK"/>
  </r>
  <r>
    <n v="14745"/>
    <x v="3"/>
    <x v="1"/>
    <n v="1.18"/>
    <n v="7"/>
    <x v="1"/>
    <n v="30"/>
    <n v="1.534"/>
    <n v="30.000000000000004"/>
    <s v="OK"/>
  </r>
  <r>
    <n v="14746"/>
    <x v="0"/>
    <x v="0"/>
    <n v="10.72"/>
    <n v="3"/>
    <x v="0"/>
    <n v="12"/>
    <n v="12.006400000000001"/>
    <n v="12.000000000000011"/>
    <s v="OK"/>
  </r>
  <r>
    <n v="14747"/>
    <x v="3"/>
    <x v="2"/>
    <n v="12.83"/>
    <n v="8"/>
    <x v="2"/>
    <n v="50"/>
    <n v="19.245000000000001"/>
    <n v="50"/>
    <s v="OK"/>
  </r>
  <r>
    <n v="14748"/>
    <x v="1"/>
    <x v="2"/>
    <n v="6.79"/>
    <n v="4"/>
    <x v="1"/>
    <n v="25"/>
    <n v="8.4875000000000007"/>
    <n v="25"/>
    <s v="OK"/>
  </r>
  <r>
    <n v="14749"/>
    <x v="0"/>
    <x v="2"/>
    <n v="13.96"/>
    <n v="2"/>
    <x v="0"/>
    <n v="10"/>
    <n v="15.356000000000002"/>
    <n v="10.000000000000009"/>
    <s v="OK"/>
  </r>
  <r>
    <n v="14750"/>
    <x v="2"/>
    <x v="1"/>
    <n v="9.06"/>
    <n v="5"/>
    <x v="1"/>
    <n v="30"/>
    <n v="11.778"/>
    <n v="30.000000000000004"/>
    <s v="OK"/>
  </r>
  <r>
    <n v="14751"/>
    <x v="0"/>
    <x v="1"/>
    <n v="9.64"/>
    <n v="1"/>
    <x v="0"/>
    <n v="15"/>
    <n v="11.086"/>
    <n v="14.999999999999991"/>
    <s v="OK"/>
  </r>
  <r>
    <n v="14752"/>
    <x v="2"/>
    <x v="1"/>
    <n v="12.76"/>
    <n v="8"/>
    <x v="2"/>
    <n v="60"/>
    <n v="20.416"/>
    <n v="60.000000000000007"/>
    <s v="OK"/>
  </r>
  <r>
    <n v="14753"/>
    <x v="2"/>
    <x v="0"/>
    <n v="4.8"/>
    <n v="8"/>
    <x v="2"/>
    <n v="55"/>
    <n v="7.4399999999999995"/>
    <n v="55.000000000000007"/>
    <s v="OK"/>
  </r>
  <r>
    <n v="14754"/>
    <x v="3"/>
    <x v="1"/>
    <n v="5.64"/>
    <n v="3"/>
    <x v="0"/>
    <n v="15"/>
    <n v="6.4859999999999989"/>
    <n v="14.999999999999991"/>
    <s v="OK"/>
  </r>
  <r>
    <n v="14755"/>
    <x v="3"/>
    <x v="0"/>
    <n v="13.64"/>
    <n v="1"/>
    <x v="0"/>
    <n v="12"/>
    <n v="15.276800000000001"/>
    <n v="12.000000000000011"/>
    <s v="OK"/>
  </r>
  <r>
    <n v="14756"/>
    <x v="3"/>
    <x v="2"/>
    <n v="13.56"/>
    <n v="4"/>
    <x v="1"/>
    <n v="25"/>
    <n v="16.95"/>
    <n v="25"/>
    <s v="OK"/>
  </r>
  <r>
    <n v="14757"/>
    <x v="1"/>
    <x v="2"/>
    <n v="14.66"/>
    <n v="9"/>
    <x v="2"/>
    <n v="50"/>
    <n v="21.990000000000002"/>
    <n v="50.000000000000021"/>
    <s v="OK"/>
  </r>
  <r>
    <n v="14758"/>
    <x v="1"/>
    <x v="1"/>
    <n v="13.58"/>
    <n v="9"/>
    <x v="2"/>
    <n v="60"/>
    <n v="21.728000000000002"/>
    <n v="60.000000000000007"/>
    <s v="OK"/>
  </r>
  <r>
    <n v="14759"/>
    <x v="3"/>
    <x v="2"/>
    <n v="2.35"/>
    <n v="1"/>
    <x v="0"/>
    <n v="10"/>
    <n v="2.5850000000000004"/>
    <n v="10.000000000000009"/>
    <s v="OK"/>
  </r>
  <r>
    <n v="14760"/>
    <x v="1"/>
    <x v="1"/>
    <n v="12.44"/>
    <n v="7"/>
    <x v="1"/>
    <n v="30"/>
    <n v="16.172000000000001"/>
    <n v="30.000000000000004"/>
    <s v="OK"/>
  </r>
  <r>
    <n v="14761"/>
    <x v="0"/>
    <x v="0"/>
    <n v="6.44"/>
    <n v="6"/>
    <x v="1"/>
    <n v="28"/>
    <n v="8.2431999999999999"/>
    <n v="27.999999999999979"/>
    <s v="OK"/>
  </r>
  <r>
    <n v="14762"/>
    <x v="0"/>
    <x v="2"/>
    <n v="14.87"/>
    <n v="7"/>
    <x v="1"/>
    <n v="25"/>
    <n v="18.587499999999999"/>
    <n v="25"/>
    <s v="OK"/>
  </r>
  <r>
    <n v="14763"/>
    <x v="1"/>
    <x v="1"/>
    <n v="7.35"/>
    <n v="7"/>
    <x v="1"/>
    <n v="30"/>
    <n v="9.5549999999999997"/>
    <n v="30.000000000000004"/>
    <s v="OK"/>
  </r>
  <r>
    <n v="14764"/>
    <x v="1"/>
    <x v="2"/>
    <n v="8.5299999999999994"/>
    <n v="8"/>
    <x v="2"/>
    <n v="50"/>
    <n v="12.794999999999998"/>
    <n v="50"/>
    <s v="OK"/>
  </r>
  <r>
    <n v="14765"/>
    <x v="0"/>
    <x v="2"/>
    <n v="8.18"/>
    <n v="8"/>
    <x v="2"/>
    <n v="50"/>
    <n v="12.27"/>
    <n v="50"/>
    <s v="OK"/>
  </r>
  <r>
    <n v="14766"/>
    <x v="2"/>
    <x v="1"/>
    <n v="5.17"/>
    <n v="10"/>
    <x v="2"/>
    <n v="60"/>
    <n v="8.2720000000000002"/>
    <n v="60.000000000000007"/>
    <s v="OK"/>
  </r>
  <r>
    <n v="14767"/>
    <x v="0"/>
    <x v="2"/>
    <n v="1.59"/>
    <n v="2"/>
    <x v="0"/>
    <n v="10"/>
    <n v="1.7490000000000003"/>
    <n v="10.000000000000009"/>
    <s v="OK"/>
  </r>
  <r>
    <n v="14768"/>
    <x v="0"/>
    <x v="2"/>
    <n v="13.49"/>
    <n v="4"/>
    <x v="1"/>
    <n v="25"/>
    <n v="16.862500000000001"/>
    <n v="25"/>
    <s v="OK"/>
  </r>
  <r>
    <n v="14769"/>
    <x v="1"/>
    <x v="2"/>
    <n v="12.14"/>
    <n v="4"/>
    <x v="1"/>
    <n v="25"/>
    <n v="15.175000000000001"/>
    <n v="25"/>
    <s v="OK"/>
  </r>
  <r>
    <n v="14770"/>
    <x v="0"/>
    <x v="2"/>
    <n v="2.52"/>
    <n v="10"/>
    <x v="2"/>
    <n v="50"/>
    <n v="3.7800000000000002"/>
    <n v="50"/>
    <s v="OK"/>
  </r>
  <r>
    <n v="14771"/>
    <x v="1"/>
    <x v="0"/>
    <n v="11.76"/>
    <n v="8"/>
    <x v="2"/>
    <n v="55"/>
    <n v="18.228000000000002"/>
    <n v="55.000000000000028"/>
    <s v="OK"/>
  </r>
  <r>
    <n v="14772"/>
    <x v="1"/>
    <x v="2"/>
    <n v="9.57"/>
    <n v="3"/>
    <x v="0"/>
    <n v="10"/>
    <n v="10.527000000000001"/>
    <n v="10.000000000000009"/>
    <s v="OK"/>
  </r>
  <r>
    <n v="14773"/>
    <x v="3"/>
    <x v="2"/>
    <n v="6.43"/>
    <n v="3"/>
    <x v="0"/>
    <n v="10"/>
    <n v="7.0730000000000004"/>
    <n v="10.000000000000009"/>
    <s v="OK"/>
  </r>
  <r>
    <n v="14774"/>
    <x v="0"/>
    <x v="1"/>
    <n v="4.18"/>
    <n v="2"/>
    <x v="0"/>
    <n v="15"/>
    <n v="4.8069999999999995"/>
    <n v="14.999999999999991"/>
    <s v="OK"/>
  </r>
  <r>
    <n v="14775"/>
    <x v="2"/>
    <x v="0"/>
    <n v="12.97"/>
    <n v="1"/>
    <x v="0"/>
    <n v="12"/>
    <n v="14.526400000000002"/>
    <n v="12.000000000000011"/>
    <s v="OK"/>
  </r>
  <r>
    <n v="14776"/>
    <x v="3"/>
    <x v="1"/>
    <n v="10.65"/>
    <n v="8"/>
    <x v="2"/>
    <n v="60"/>
    <n v="17.040000000000003"/>
    <n v="60.000000000000028"/>
    <s v="OK"/>
  </r>
  <r>
    <n v="14777"/>
    <x v="1"/>
    <x v="1"/>
    <n v="8.44"/>
    <n v="9"/>
    <x v="2"/>
    <n v="60"/>
    <n v="13.504"/>
    <n v="60.000000000000007"/>
    <s v="OK"/>
  </r>
  <r>
    <n v="14778"/>
    <x v="1"/>
    <x v="1"/>
    <n v="9.34"/>
    <n v="9"/>
    <x v="2"/>
    <n v="60"/>
    <n v="14.944000000000001"/>
    <n v="60.000000000000007"/>
    <s v="OK"/>
  </r>
  <r>
    <n v="14779"/>
    <x v="2"/>
    <x v="0"/>
    <n v="1.82"/>
    <n v="8"/>
    <x v="2"/>
    <n v="55"/>
    <n v="2.8210000000000002"/>
    <n v="55.000000000000007"/>
    <s v="OK"/>
  </r>
  <r>
    <n v="14780"/>
    <x v="1"/>
    <x v="1"/>
    <n v="7.37"/>
    <n v="5"/>
    <x v="1"/>
    <n v="30"/>
    <n v="9.5810000000000013"/>
    <n v="30.000000000000028"/>
    <s v="OK"/>
  </r>
  <r>
    <n v="14781"/>
    <x v="0"/>
    <x v="1"/>
    <n v="3.31"/>
    <n v="1"/>
    <x v="0"/>
    <n v="15"/>
    <n v="3.8064999999999998"/>
    <n v="14.999999999999991"/>
    <s v="OK"/>
  </r>
  <r>
    <n v="14782"/>
    <x v="3"/>
    <x v="1"/>
    <n v="3.52"/>
    <n v="9"/>
    <x v="2"/>
    <n v="60"/>
    <n v="5.6320000000000006"/>
    <n v="60.000000000000007"/>
    <s v="OK"/>
  </r>
  <r>
    <n v="14783"/>
    <x v="1"/>
    <x v="2"/>
    <n v="10.09"/>
    <n v="6"/>
    <x v="1"/>
    <n v="25"/>
    <n v="12.612500000000001"/>
    <n v="25"/>
    <s v="OK"/>
  </r>
  <r>
    <n v="14784"/>
    <x v="1"/>
    <x v="1"/>
    <n v="13.71"/>
    <n v="7"/>
    <x v="1"/>
    <n v="30"/>
    <n v="17.823"/>
    <n v="30.000000000000004"/>
    <s v="OK"/>
  </r>
  <r>
    <n v="14785"/>
    <x v="2"/>
    <x v="0"/>
    <n v="6.35"/>
    <n v="8"/>
    <x v="2"/>
    <n v="55"/>
    <n v="9.8424999999999994"/>
    <n v="55.000000000000007"/>
    <s v="OK"/>
  </r>
  <r>
    <n v="14786"/>
    <x v="0"/>
    <x v="0"/>
    <n v="3.51"/>
    <n v="5"/>
    <x v="1"/>
    <n v="28"/>
    <n v="4.4927999999999999"/>
    <n v="28.000000000000004"/>
    <s v="OK"/>
  </r>
  <r>
    <n v="14787"/>
    <x v="1"/>
    <x v="2"/>
    <n v="9.91"/>
    <n v="6"/>
    <x v="1"/>
    <n v="25"/>
    <n v="12.387499999999999"/>
    <n v="25"/>
    <s v="OK"/>
  </r>
  <r>
    <n v="14788"/>
    <x v="2"/>
    <x v="0"/>
    <n v="13.13"/>
    <n v="7"/>
    <x v="1"/>
    <n v="28"/>
    <n v="16.8064"/>
    <n v="28.000000000000004"/>
    <s v="OK"/>
  </r>
  <r>
    <n v="14789"/>
    <x v="1"/>
    <x v="0"/>
    <n v="11.35"/>
    <n v="7"/>
    <x v="1"/>
    <n v="28"/>
    <n v="14.528"/>
    <n v="28.000000000000004"/>
    <s v="OK"/>
  </r>
  <r>
    <n v="14790"/>
    <x v="2"/>
    <x v="2"/>
    <n v="13.1"/>
    <n v="2"/>
    <x v="0"/>
    <n v="10"/>
    <n v="14.41"/>
    <n v="10.000000000000009"/>
    <s v="OK"/>
  </r>
  <r>
    <n v="14791"/>
    <x v="2"/>
    <x v="1"/>
    <n v="8.2799999999999994"/>
    <n v="1"/>
    <x v="0"/>
    <n v="15"/>
    <n v="9.5219999999999985"/>
    <n v="14.999999999999991"/>
    <s v="OK"/>
  </r>
  <r>
    <n v="14792"/>
    <x v="0"/>
    <x v="2"/>
    <n v="11.4"/>
    <n v="8"/>
    <x v="2"/>
    <n v="50"/>
    <n v="17.100000000000001"/>
    <n v="50"/>
    <s v="OK"/>
  </r>
  <r>
    <n v="14793"/>
    <x v="1"/>
    <x v="1"/>
    <n v="2.5299999999999998"/>
    <n v="5"/>
    <x v="1"/>
    <n v="30"/>
    <n v="3.2889999999999997"/>
    <n v="30.000000000000004"/>
    <s v="OK"/>
  </r>
  <r>
    <n v="14794"/>
    <x v="0"/>
    <x v="1"/>
    <n v="5.55"/>
    <n v="10"/>
    <x v="2"/>
    <n v="60"/>
    <n v="8.8800000000000008"/>
    <n v="60.000000000000007"/>
    <s v="OK"/>
  </r>
  <r>
    <n v="14795"/>
    <x v="2"/>
    <x v="0"/>
    <n v="6.15"/>
    <n v="2"/>
    <x v="0"/>
    <n v="12"/>
    <n v="6.8880000000000008"/>
    <n v="12.000000000000011"/>
    <s v="OK"/>
  </r>
  <r>
    <n v="14796"/>
    <x v="3"/>
    <x v="2"/>
    <n v="7.91"/>
    <n v="3"/>
    <x v="0"/>
    <n v="10"/>
    <n v="8.7010000000000005"/>
    <n v="10.000000000000009"/>
    <s v="OK"/>
  </r>
  <r>
    <n v="14797"/>
    <x v="1"/>
    <x v="0"/>
    <n v="13.97"/>
    <n v="6"/>
    <x v="1"/>
    <n v="28"/>
    <n v="17.881600000000002"/>
    <n v="28.000000000000004"/>
    <s v="OK"/>
  </r>
  <r>
    <n v="14798"/>
    <x v="3"/>
    <x v="0"/>
    <n v="13.18"/>
    <n v="10"/>
    <x v="2"/>
    <n v="55"/>
    <n v="20.428999999999998"/>
    <n v="54.999999999999986"/>
    <s v="OK"/>
  </r>
  <r>
    <n v="14799"/>
    <x v="1"/>
    <x v="1"/>
    <n v="2.4500000000000002"/>
    <n v="6"/>
    <x v="1"/>
    <n v="30"/>
    <n v="3.1850000000000005"/>
    <n v="30.000000000000004"/>
    <s v="OK"/>
  </r>
  <r>
    <n v="14800"/>
    <x v="0"/>
    <x v="0"/>
    <n v="3.01"/>
    <n v="8"/>
    <x v="2"/>
    <n v="55"/>
    <n v="4.6654999999999998"/>
    <n v="55.000000000000007"/>
    <s v="OK"/>
  </r>
  <r>
    <n v="14801"/>
    <x v="0"/>
    <x v="2"/>
    <n v="5.69"/>
    <n v="5"/>
    <x v="1"/>
    <n v="25"/>
    <n v="7.1125000000000007"/>
    <n v="25"/>
    <s v="OK"/>
  </r>
  <r>
    <n v="14802"/>
    <x v="0"/>
    <x v="0"/>
    <n v="4.72"/>
    <n v="5"/>
    <x v="1"/>
    <n v="28"/>
    <n v="6.0415999999999999"/>
    <n v="28.000000000000004"/>
    <s v="OK"/>
  </r>
  <r>
    <n v="14803"/>
    <x v="0"/>
    <x v="0"/>
    <n v="9.41"/>
    <n v="7"/>
    <x v="1"/>
    <n v="28"/>
    <n v="12.0448"/>
    <n v="28.000000000000004"/>
    <s v="OK"/>
  </r>
  <r>
    <n v="14804"/>
    <x v="0"/>
    <x v="1"/>
    <n v="13.59"/>
    <n v="10"/>
    <x v="2"/>
    <n v="60"/>
    <n v="21.744"/>
    <n v="60.000000000000007"/>
    <s v="OK"/>
  </r>
  <r>
    <n v="14805"/>
    <x v="3"/>
    <x v="2"/>
    <n v="14.45"/>
    <n v="5"/>
    <x v="1"/>
    <n v="25"/>
    <n v="18.0625"/>
    <n v="25"/>
    <s v="OK"/>
  </r>
  <r>
    <n v="14806"/>
    <x v="0"/>
    <x v="0"/>
    <n v="9.98"/>
    <n v="9"/>
    <x v="2"/>
    <n v="55"/>
    <n v="15.469000000000001"/>
    <n v="55.000000000000007"/>
    <s v="OK"/>
  </r>
  <r>
    <n v="14807"/>
    <x v="2"/>
    <x v="1"/>
    <n v="12.65"/>
    <n v="6"/>
    <x v="1"/>
    <n v="30"/>
    <n v="16.445"/>
    <n v="30.000000000000004"/>
    <s v="OK"/>
  </r>
  <r>
    <n v="14808"/>
    <x v="2"/>
    <x v="0"/>
    <n v="8.1199999999999992"/>
    <n v="7"/>
    <x v="1"/>
    <n v="28"/>
    <n v="10.393599999999999"/>
    <n v="28.000000000000004"/>
    <s v="OK"/>
  </r>
  <r>
    <n v="14809"/>
    <x v="3"/>
    <x v="2"/>
    <n v="3.52"/>
    <n v="8"/>
    <x v="2"/>
    <n v="50"/>
    <n v="5.28"/>
    <n v="50"/>
    <s v="OK"/>
  </r>
  <r>
    <n v="14810"/>
    <x v="1"/>
    <x v="0"/>
    <n v="8.11"/>
    <n v="5"/>
    <x v="1"/>
    <n v="28"/>
    <n v="10.380799999999999"/>
    <n v="28.000000000000004"/>
    <s v="OK"/>
  </r>
  <r>
    <n v="14811"/>
    <x v="2"/>
    <x v="0"/>
    <n v="8.5500000000000007"/>
    <n v="4"/>
    <x v="1"/>
    <n v="28"/>
    <n v="10.944000000000001"/>
    <n v="28.000000000000004"/>
    <s v="OK"/>
  </r>
  <r>
    <n v="14812"/>
    <x v="1"/>
    <x v="1"/>
    <n v="11.27"/>
    <n v="8"/>
    <x v="2"/>
    <n v="60"/>
    <n v="18.032"/>
    <n v="60.000000000000007"/>
    <s v="OK"/>
  </r>
  <r>
    <n v="14813"/>
    <x v="3"/>
    <x v="0"/>
    <n v="3.69"/>
    <n v="10"/>
    <x v="2"/>
    <n v="55"/>
    <n v="5.7195"/>
    <n v="55.000000000000007"/>
    <s v="OK"/>
  </r>
  <r>
    <n v="14814"/>
    <x v="1"/>
    <x v="1"/>
    <n v="5.84"/>
    <n v="9"/>
    <x v="2"/>
    <n v="60"/>
    <n v="9.3439999999999994"/>
    <n v="59.999999999999986"/>
    <s v="OK"/>
  </r>
  <r>
    <n v="14815"/>
    <x v="1"/>
    <x v="2"/>
    <n v="5.78"/>
    <n v="1"/>
    <x v="0"/>
    <n v="10"/>
    <n v="6.3580000000000005"/>
    <n v="10.000000000000009"/>
    <s v="OK"/>
  </r>
  <r>
    <n v="14816"/>
    <x v="1"/>
    <x v="0"/>
    <n v="14.41"/>
    <n v="3"/>
    <x v="0"/>
    <n v="12"/>
    <n v="16.139200000000002"/>
    <n v="12.000000000000011"/>
    <s v="OK"/>
  </r>
  <r>
    <n v="14817"/>
    <x v="1"/>
    <x v="2"/>
    <n v="6.94"/>
    <n v="4"/>
    <x v="1"/>
    <n v="25"/>
    <n v="8.6750000000000007"/>
    <n v="25"/>
    <s v="OK"/>
  </r>
  <r>
    <n v="14818"/>
    <x v="3"/>
    <x v="2"/>
    <n v="11.45"/>
    <n v="7"/>
    <x v="1"/>
    <n v="25"/>
    <n v="14.3125"/>
    <n v="25"/>
    <s v="OK"/>
  </r>
  <r>
    <n v="14819"/>
    <x v="2"/>
    <x v="0"/>
    <n v="11.39"/>
    <n v="6"/>
    <x v="1"/>
    <n v="28"/>
    <n v="14.5792"/>
    <n v="28.000000000000004"/>
    <s v="OK"/>
  </r>
  <r>
    <n v="14820"/>
    <x v="0"/>
    <x v="1"/>
    <n v="4.3499999999999996"/>
    <n v="10"/>
    <x v="2"/>
    <n v="60"/>
    <n v="6.96"/>
    <n v="60.000000000000007"/>
    <s v="OK"/>
  </r>
  <r>
    <n v="14821"/>
    <x v="1"/>
    <x v="2"/>
    <n v="8.7899999999999991"/>
    <n v="10"/>
    <x v="2"/>
    <n v="50"/>
    <n v="13.184999999999999"/>
    <n v="50"/>
    <s v="OK"/>
  </r>
  <r>
    <n v="14822"/>
    <x v="2"/>
    <x v="2"/>
    <n v="13.47"/>
    <n v="1"/>
    <x v="0"/>
    <n v="10"/>
    <n v="14.817000000000002"/>
    <n v="10.000000000000009"/>
    <s v="OK"/>
  </r>
  <r>
    <n v="14823"/>
    <x v="2"/>
    <x v="0"/>
    <n v="7.39"/>
    <n v="4"/>
    <x v="1"/>
    <n v="28"/>
    <n v="9.4591999999999992"/>
    <n v="28.000000000000004"/>
    <s v="OK"/>
  </r>
  <r>
    <n v="14824"/>
    <x v="3"/>
    <x v="0"/>
    <n v="14.2"/>
    <n v="6"/>
    <x v="1"/>
    <n v="28"/>
    <n v="18.175999999999998"/>
    <n v="28.000000000000004"/>
    <s v="OK"/>
  </r>
  <r>
    <n v="14825"/>
    <x v="2"/>
    <x v="0"/>
    <n v="3.61"/>
    <n v="3"/>
    <x v="0"/>
    <n v="12"/>
    <n v="4.0432000000000006"/>
    <n v="12.000000000000011"/>
    <s v="OK"/>
  </r>
  <r>
    <n v="14826"/>
    <x v="3"/>
    <x v="0"/>
    <n v="1.58"/>
    <n v="2"/>
    <x v="0"/>
    <n v="12"/>
    <n v="1.7696000000000003"/>
    <n v="12.000000000000011"/>
    <s v="OK"/>
  </r>
  <r>
    <n v="14827"/>
    <x v="1"/>
    <x v="0"/>
    <n v="13.43"/>
    <n v="2"/>
    <x v="0"/>
    <n v="12"/>
    <n v="15.041600000000001"/>
    <n v="12.000000000000011"/>
    <s v="OK"/>
  </r>
  <r>
    <n v="14828"/>
    <x v="1"/>
    <x v="0"/>
    <n v="12.79"/>
    <n v="10"/>
    <x v="2"/>
    <n v="55"/>
    <n v="19.8245"/>
    <n v="55.000000000000007"/>
    <s v="OK"/>
  </r>
  <r>
    <n v="14829"/>
    <x v="0"/>
    <x v="1"/>
    <n v="14.89"/>
    <n v="4"/>
    <x v="1"/>
    <n v="30"/>
    <n v="19.357000000000003"/>
    <n v="30.000000000000004"/>
    <s v="OK"/>
  </r>
  <r>
    <n v="14830"/>
    <x v="0"/>
    <x v="2"/>
    <n v="10.35"/>
    <n v="1"/>
    <x v="0"/>
    <n v="10"/>
    <n v="11.385"/>
    <n v="10.000000000000009"/>
    <s v="OK"/>
  </r>
  <r>
    <n v="14831"/>
    <x v="0"/>
    <x v="1"/>
    <n v="14.08"/>
    <n v="10"/>
    <x v="2"/>
    <n v="60"/>
    <n v="22.528000000000002"/>
    <n v="60.000000000000007"/>
    <s v="OK"/>
  </r>
  <r>
    <n v="14832"/>
    <x v="2"/>
    <x v="1"/>
    <n v="12.49"/>
    <n v="2"/>
    <x v="0"/>
    <n v="15"/>
    <n v="14.363499999999998"/>
    <n v="14.999999999999991"/>
    <s v="OK"/>
  </r>
  <r>
    <n v="14833"/>
    <x v="1"/>
    <x v="0"/>
    <n v="12.74"/>
    <n v="10"/>
    <x v="2"/>
    <n v="55"/>
    <n v="19.747"/>
    <n v="55.000000000000007"/>
    <s v="OK"/>
  </r>
  <r>
    <n v="14834"/>
    <x v="3"/>
    <x v="2"/>
    <n v="8.75"/>
    <n v="2"/>
    <x v="0"/>
    <n v="10"/>
    <n v="9.625"/>
    <n v="10.000000000000009"/>
    <s v="OK"/>
  </r>
  <r>
    <n v="14835"/>
    <x v="0"/>
    <x v="1"/>
    <n v="6.04"/>
    <n v="4"/>
    <x v="1"/>
    <n v="30"/>
    <n v="7.8520000000000003"/>
    <n v="30.000000000000004"/>
    <s v="OK"/>
  </r>
  <r>
    <n v="14836"/>
    <x v="3"/>
    <x v="0"/>
    <n v="14.05"/>
    <n v="4"/>
    <x v="1"/>
    <n v="28"/>
    <n v="17.984000000000002"/>
    <n v="28.000000000000004"/>
    <s v="OK"/>
  </r>
  <r>
    <n v="14837"/>
    <x v="3"/>
    <x v="0"/>
    <n v="6.77"/>
    <n v="1"/>
    <x v="0"/>
    <n v="12"/>
    <n v="7.5823999999999998"/>
    <n v="12.000000000000011"/>
    <s v="OK"/>
  </r>
  <r>
    <n v="14838"/>
    <x v="0"/>
    <x v="2"/>
    <n v="8.31"/>
    <n v="7"/>
    <x v="1"/>
    <n v="25"/>
    <n v="10.387500000000001"/>
    <n v="25"/>
    <s v="OK"/>
  </r>
  <r>
    <n v="14839"/>
    <x v="1"/>
    <x v="1"/>
    <n v="6.97"/>
    <n v="7"/>
    <x v="1"/>
    <n v="30"/>
    <n v="9.0609999999999999"/>
    <n v="30.000000000000004"/>
    <s v="OK"/>
  </r>
  <r>
    <n v="14840"/>
    <x v="0"/>
    <x v="1"/>
    <n v="8.69"/>
    <n v="10"/>
    <x v="2"/>
    <n v="60"/>
    <n v="13.904"/>
    <n v="60.000000000000007"/>
    <s v="OK"/>
  </r>
  <r>
    <n v="14841"/>
    <x v="3"/>
    <x v="1"/>
    <n v="7.32"/>
    <n v="10"/>
    <x v="2"/>
    <n v="60"/>
    <n v="11.712000000000002"/>
    <n v="60.000000000000007"/>
    <s v="OK"/>
  </r>
  <r>
    <n v="14842"/>
    <x v="0"/>
    <x v="0"/>
    <n v="1.2"/>
    <n v="10"/>
    <x v="2"/>
    <n v="55"/>
    <n v="1.8599999999999999"/>
    <n v="55.000000000000007"/>
    <s v="OK"/>
  </r>
  <r>
    <n v="14843"/>
    <x v="3"/>
    <x v="2"/>
    <n v="13.29"/>
    <n v="1"/>
    <x v="0"/>
    <n v="10"/>
    <n v="14.619"/>
    <n v="10.000000000000009"/>
    <s v="OK"/>
  </r>
  <r>
    <n v="14844"/>
    <x v="3"/>
    <x v="2"/>
    <n v="6.94"/>
    <n v="8"/>
    <x v="2"/>
    <n v="50"/>
    <n v="10.41"/>
    <n v="50"/>
    <s v="OK"/>
  </r>
  <r>
    <n v="14845"/>
    <x v="0"/>
    <x v="1"/>
    <n v="9.0399999999999991"/>
    <n v="10"/>
    <x v="2"/>
    <n v="60"/>
    <n v="14.463999999999999"/>
    <n v="60.000000000000007"/>
    <s v="OK"/>
  </r>
  <r>
    <n v="14846"/>
    <x v="2"/>
    <x v="0"/>
    <n v="2.52"/>
    <n v="7"/>
    <x v="1"/>
    <n v="28"/>
    <n v="3.2256"/>
    <n v="28.000000000000004"/>
    <s v="OK"/>
  </r>
  <r>
    <n v="14847"/>
    <x v="0"/>
    <x v="1"/>
    <n v="0.55000000000000004"/>
    <n v="7"/>
    <x v="1"/>
    <n v="30"/>
    <n v="0.71500000000000008"/>
    <n v="30.000000000000004"/>
    <s v="OK"/>
  </r>
  <r>
    <n v="14848"/>
    <x v="2"/>
    <x v="2"/>
    <n v="4.0599999999999996"/>
    <n v="6"/>
    <x v="1"/>
    <n v="25"/>
    <n v="5.0749999999999993"/>
    <n v="25"/>
    <s v="OK"/>
  </r>
  <r>
    <n v="14849"/>
    <x v="3"/>
    <x v="0"/>
    <n v="10.72"/>
    <n v="4"/>
    <x v="1"/>
    <n v="28"/>
    <n v="13.7216"/>
    <n v="28.000000000000004"/>
    <s v="OK"/>
  </r>
  <r>
    <n v="14850"/>
    <x v="3"/>
    <x v="1"/>
    <n v="1.94"/>
    <n v="8"/>
    <x v="2"/>
    <n v="60"/>
    <n v="3.1040000000000001"/>
    <n v="60.000000000000007"/>
    <s v="OK"/>
  </r>
  <r>
    <n v="14851"/>
    <x v="2"/>
    <x v="1"/>
    <n v="13.68"/>
    <n v="2"/>
    <x v="0"/>
    <n v="15"/>
    <n v="15.731999999999999"/>
    <n v="14.999999999999991"/>
    <s v="OK"/>
  </r>
  <r>
    <n v="14852"/>
    <x v="3"/>
    <x v="0"/>
    <n v="3.62"/>
    <n v="7"/>
    <x v="1"/>
    <n v="28"/>
    <n v="4.6336000000000004"/>
    <n v="28.000000000000004"/>
    <s v="OK"/>
  </r>
  <r>
    <n v="14853"/>
    <x v="2"/>
    <x v="2"/>
    <n v="3.47"/>
    <n v="3"/>
    <x v="0"/>
    <n v="10"/>
    <n v="3.8170000000000006"/>
    <n v="10.000000000000009"/>
    <s v="OK"/>
  </r>
  <r>
    <n v="14854"/>
    <x v="2"/>
    <x v="0"/>
    <n v="3.13"/>
    <n v="3"/>
    <x v="0"/>
    <n v="12"/>
    <n v="3.5056000000000003"/>
    <n v="12.000000000000011"/>
    <s v="OK"/>
  </r>
  <r>
    <n v="14855"/>
    <x v="3"/>
    <x v="1"/>
    <n v="0.7"/>
    <n v="7"/>
    <x v="1"/>
    <n v="30"/>
    <n v="0.90999999999999992"/>
    <n v="30.000000000000004"/>
    <s v="OK"/>
  </r>
  <r>
    <n v="14856"/>
    <x v="1"/>
    <x v="1"/>
    <n v="11.69"/>
    <n v="3"/>
    <x v="0"/>
    <n v="15"/>
    <n v="13.443499999999998"/>
    <n v="14.999999999999991"/>
    <s v="OK"/>
  </r>
  <r>
    <n v="14857"/>
    <x v="2"/>
    <x v="1"/>
    <n v="13.19"/>
    <n v="5"/>
    <x v="1"/>
    <n v="30"/>
    <n v="17.146999999999998"/>
    <n v="29.999999999999982"/>
    <s v="OK"/>
  </r>
  <r>
    <n v="14858"/>
    <x v="0"/>
    <x v="1"/>
    <n v="9.41"/>
    <n v="8"/>
    <x v="2"/>
    <n v="60"/>
    <n v="15.056000000000001"/>
    <n v="60.000000000000007"/>
    <s v="OK"/>
  </r>
  <r>
    <n v="14859"/>
    <x v="0"/>
    <x v="2"/>
    <n v="3.23"/>
    <n v="4"/>
    <x v="1"/>
    <n v="25"/>
    <n v="4.0374999999999996"/>
    <n v="25"/>
    <s v="OK"/>
  </r>
  <r>
    <n v="14860"/>
    <x v="3"/>
    <x v="2"/>
    <n v="4.6399999999999997"/>
    <n v="7"/>
    <x v="1"/>
    <n v="25"/>
    <n v="5.8"/>
    <n v="25"/>
    <s v="OK"/>
  </r>
  <r>
    <n v="14861"/>
    <x v="1"/>
    <x v="1"/>
    <n v="7.4"/>
    <n v="7"/>
    <x v="1"/>
    <n v="30"/>
    <n v="9.620000000000001"/>
    <n v="30.000000000000004"/>
    <s v="OK"/>
  </r>
  <r>
    <n v="14862"/>
    <x v="3"/>
    <x v="2"/>
    <n v="14.34"/>
    <n v="2"/>
    <x v="0"/>
    <n v="10"/>
    <n v="15.774000000000001"/>
    <n v="10.000000000000009"/>
    <s v="OK"/>
  </r>
  <r>
    <n v="14863"/>
    <x v="1"/>
    <x v="2"/>
    <n v="4.09"/>
    <n v="8"/>
    <x v="2"/>
    <n v="50"/>
    <n v="6.1349999999999998"/>
    <n v="50"/>
    <s v="OK"/>
  </r>
  <r>
    <n v="14864"/>
    <x v="2"/>
    <x v="2"/>
    <n v="11.11"/>
    <n v="10"/>
    <x v="2"/>
    <n v="50"/>
    <n v="16.664999999999999"/>
    <n v="50"/>
    <s v="OK"/>
  </r>
  <r>
    <n v="14865"/>
    <x v="2"/>
    <x v="1"/>
    <n v="6.87"/>
    <n v="10"/>
    <x v="2"/>
    <n v="60"/>
    <n v="10.992000000000001"/>
    <n v="60.000000000000007"/>
    <s v="OK"/>
  </r>
  <r>
    <n v="14866"/>
    <x v="2"/>
    <x v="0"/>
    <n v="4.82"/>
    <n v="9"/>
    <x v="2"/>
    <n v="55"/>
    <n v="7.471000000000001"/>
    <n v="55.000000000000007"/>
    <s v="OK"/>
  </r>
  <r>
    <n v="14867"/>
    <x v="2"/>
    <x v="0"/>
    <n v="7.11"/>
    <n v="6"/>
    <x v="1"/>
    <n v="28"/>
    <n v="9.1008000000000013"/>
    <n v="28.000000000000004"/>
    <s v="OK"/>
  </r>
  <r>
    <n v="14868"/>
    <x v="0"/>
    <x v="0"/>
    <n v="1.53"/>
    <n v="5"/>
    <x v="1"/>
    <n v="28"/>
    <n v="1.9584000000000001"/>
    <n v="28.000000000000004"/>
    <s v="OK"/>
  </r>
  <r>
    <n v="14869"/>
    <x v="0"/>
    <x v="1"/>
    <n v="12.08"/>
    <n v="1"/>
    <x v="0"/>
    <n v="15"/>
    <n v="13.891999999999999"/>
    <n v="14.999999999999991"/>
    <s v="OK"/>
  </r>
  <r>
    <n v="14870"/>
    <x v="3"/>
    <x v="2"/>
    <n v="4.03"/>
    <n v="1"/>
    <x v="0"/>
    <n v="10"/>
    <n v="4.4330000000000007"/>
    <n v="10.000000000000009"/>
    <s v="OK"/>
  </r>
  <r>
    <n v="14871"/>
    <x v="1"/>
    <x v="2"/>
    <n v="11.02"/>
    <n v="9"/>
    <x v="2"/>
    <n v="50"/>
    <n v="16.53"/>
    <n v="50.000000000000021"/>
    <s v="OK"/>
  </r>
  <r>
    <n v="14872"/>
    <x v="2"/>
    <x v="1"/>
    <n v="1.49"/>
    <n v="4"/>
    <x v="1"/>
    <n v="30"/>
    <n v="1.9370000000000001"/>
    <n v="30.000000000000004"/>
    <s v="OK"/>
  </r>
  <r>
    <n v="14873"/>
    <x v="2"/>
    <x v="1"/>
    <n v="14.35"/>
    <n v="1"/>
    <x v="0"/>
    <n v="15"/>
    <n v="16.502499999999998"/>
    <n v="14.999999999999991"/>
    <s v="OK"/>
  </r>
  <r>
    <n v="14874"/>
    <x v="1"/>
    <x v="0"/>
    <n v="3.3"/>
    <n v="10"/>
    <x v="2"/>
    <n v="55"/>
    <n v="5.1150000000000002"/>
    <n v="55.000000000000007"/>
    <s v="OK"/>
  </r>
  <r>
    <n v="14875"/>
    <x v="1"/>
    <x v="0"/>
    <n v="13.3"/>
    <n v="3"/>
    <x v="0"/>
    <n v="12"/>
    <n v="14.896000000000003"/>
    <n v="12.000000000000011"/>
    <s v="OK"/>
  </r>
  <r>
    <n v="14876"/>
    <x v="3"/>
    <x v="1"/>
    <n v="12.24"/>
    <n v="6"/>
    <x v="1"/>
    <n v="30"/>
    <n v="15.912000000000001"/>
    <n v="30.000000000000004"/>
    <s v="OK"/>
  </r>
  <r>
    <n v="14877"/>
    <x v="1"/>
    <x v="0"/>
    <n v="14.53"/>
    <n v="8"/>
    <x v="2"/>
    <n v="55"/>
    <n v="22.5215"/>
    <n v="55.000000000000007"/>
    <s v="OK"/>
  </r>
  <r>
    <n v="14878"/>
    <x v="2"/>
    <x v="2"/>
    <n v="7.43"/>
    <n v="10"/>
    <x v="2"/>
    <n v="50"/>
    <n v="11.145"/>
    <n v="50"/>
    <s v="OK"/>
  </r>
  <r>
    <n v="14879"/>
    <x v="2"/>
    <x v="1"/>
    <n v="11.05"/>
    <n v="2"/>
    <x v="0"/>
    <n v="15"/>
    <n v="12.7075"/>
    <n v="14.999999999999991"/>
    <s v="OK"/>
  </r>
  <r>
    <n v="14880"/>
    <x v="2"/>
    <x v="1"/>
    <n v="5.88"/>
    <n v="8"/>
    <x v="2"/>
    <n v="60"/>
    <n v="9.4079999999999995"/>
    <n v="59.999999999999986"/>
    <s v="OK"/>
  </r>
  <r>
    <n v="14881"/>
    <x v="2"/>
    <x v="2"/>
    <n v="3.17"/>
    <n v="1"/>
    <x v="0"/>
    <n v="10"/>
    <n v="3.4870000000000001"/>
    <n v="10.000000000000009"/>
    <s v="OK"/>
  </r>
  <r>
    <n v="14882"/>
    <x v="2"/>
    <x v="2"/>
    <n v="6.92"/>
    <n v="2"/>
    <x v="0"/>
    <n v="10"/>
    <n v="7.6120000000000001"/>
    <n v="10.000000000000009"/>
    <s v="OK"/>
  </r>
  <r>
    <n v="14883"/>
    <x v="3"/>
    <x v="2"/>
    <n v="2.9"/>
    <n v="8"/>
    <x v="2"/>
    <n v="50"/>
    <n v="4.3499999999999996"/>
    <n v="50"/>
    <s v="OK"/>
  </r>
  <r>
    <n v="14884"/>
    <x v="2"/>
    <x v="0"/>
    <n v="14.74"/>
    <n v="7"/>
    <x v="1"/>
    <n v="28"/>
    <n v="18.8672"/>
    <n v="28.000000000000004"/>
    <s v="OK"/>
  </r>
  <r>
    <n v="14885"/>
    <x v="3"/>
    <x v="1"/>
    <n v="1.9"/>
    <n v="5"/>
    <x v="1"/>
    <n v="30"/>
    <n v="2.4699999999999998"/>
    <n v="29.999999999999982"/>
    <s v="OK"/>
  </r>
  <r>
    <n v="14886"/>
    <x v="2"/>
    <x v="0"/>
    <n v="9.0399999999999991"/>
    <n v="10"/>
    <x v="2"/>
    <n v="55"/>
    <n v="14.011999999999999"/>
    <n v="55.000000000000007"/>
    <s v="OK"/>
  </r>
  <r>
    <n v="14887"/>
    <x v="0"/>
    <x v="2"/>
    <n v="9.58"/>
    <n v="2"/>
    <x v="0"/>
    <n v="10"/>
    <n v="10.538"/>
    <n v="10.000000000000009"/>
    <s v="OK"/>
  </r>
  <r>
    <n v="14888"/>
    <x v="0"/>
    <x v="0"/>
    <n v="8.3000000000000007"/>
    <n v="9"/>
    <x v="2"/>
    <n v="55"/>
    <n v="12.865000000000002"/>
    <n v="55.000000000000007"/>
    <s v="OK"/>
  </r>
  <r>
    <n v="14889"/>
    <x v="0"/>
    <x v="2"/>
    <n v="10.1"/>
    <n v="5"/>
    <x v="1"/>
    <n v="25"/>
    <n v="12.625"/>
    <n v="25"/>
    <s v="OK"/>
  </r>
  <r>
    <n v="14890"/>
    <x v="0"/>
    <x v="0"/>
    <n v="2.1800000000000002"/>
    <n v="8"/>
    <x v="2"/>
    <n v="55"/>
    <n v="3.3790000000000004"/>
    <n v="55.000000000000007"/>
    <s v="OK"/>
  </r>
  <r>
    <n v="14891"/>
    <x v="3"/>
    <x v="0"/>
    <n v="8.5500000000000007"/>
    <n v="4"/>
    <x v="1"/>
    <n v="28"/>
    <n v="10.944000000000001"/>
    <n v="28.000000000000004"/>
    <s v="OK"/>
  </r>
  <r>
    <n v="14892"/>
    <x v="3"/>
    <x v="2"/>
    <n v="4.66"/>
    <n v="9"/>
    <x v="2"/>
    <n v="50"/>
    <n v="6.99"/>
    <n v="50"/>
    <s v="OK"/>
  </r>
  <r>
    <n v="14893"/>
    <x v="1"/>
    <x v="0"/>
    <n v="14.13"/>
    <n v="10"/>
    <x v="2"/>
    <n v="55"/>
    <n v="21.901500000000002"/>
    <n v="55.000000000000007"/>
    <s v="OK"/>
  </r>
  <r>
    <n v="14894"/>
    <x v="2"/>
    <x v="1"/>
    <n v="11.55"/>
    <n v="7"/>
    <x v="1"/>
    <n v="30"/>
    <n v="15.015000000000001"/>
    <n v="30.000000000000004"/>
    <s v="OK"/>
  </r>
  <r>
    <n v="14895"/>
    <x v="0"/>
    <x v="0"/>
    <n v="14.6"/>
    <n v="2"/>
    <x v="0"/>
    <n v="12"/>
    <n v="16.352"/>
    <n v="12.000000000000011"/>
    <s v="OK"/>
  </r>
  <r>
    <n v="14896"/>
    <x v="3"/>
    <x v="0"/>
    <n v="1.04"/>
    <n v="3"/>
    <x v="0"/>
    <n v="12"/>
    <n v="1.1648000000000001"/>
    <n v="12.000000000000011"/>
    <s v="OK"/>
  </r>
  <r>
    <n v="14897"/>
    <x v="2"/>
    <x v="1"/>
    <n v="4.63"/>
    <n v="2"/>
    <x v="0"/>
    <n v="15"/>
    <n v="5.3244999999999996"/>
    <n v="14.999999999999991"/>
    <s v="OK"/>
  </r>
  <r>
    <n v="14898"/>
    <x v="2"/>
    <x v="2"/>
    <n v="3.33"/>
    <n v="5"/>
    <x v="1"/>
    <n v="25"/>
    <n v="4.1624999999999996"/>
    <n v="24.999999999999979"/>
    <s v="OK"/>
  </r>
  <r>
    <n v="14899"/>
    <x v="3"/>
    <x v="1"/>
    <n v="0.66"/>
    <n v="2"/>
    <x v="0"/>
    <n v="15"/>
    <n v="0.75900000000000001"/>
    <n v="14.999999999999991"/>
    <s v="OK"/>
  </r>
  <r>
    <n v="14900"/>
    <x v="0"/>
    <x v="0"/>
    <n v="4.01"/>
    <n v="5"/>
    <x v="1"/>
    <n v="28"/>
    <n v="5.1327999999999996"/>
    <n v="28.000000000000004"/>
    <s v="OK"/>
  </r>
  <r>
    <n v="14901"/>
    <x v="1"/>
    <x v="2"/>
    <n v="10.34"/>
    <n v="9"/>
    <x v="2"/>
    <n v="50"/>
    <n v="15.51"/>
    <n v="50"/>
    <s v="OK"/>
  </r>
  <r>
    <n v="14902"/>
    <x v="2"/>
    <x v="0"/>
    <n v="3.85"/>
    <n v="2"/>
    <x v="0"/>
    <n v="12"/>
    <n v="4.3120000000000003"/>
    <n v="12.000000000000011"/>
    <s v="OK"/>
  </r>
  <r>
    <n v="14903"/>
    <x v="1"/>
    <x v="0"/>
    <n v="7.88"/>
    <n v="9"/>
    <x v="2"/>
    <n v="55"/>
    <n v="12.214"/>
    <n v="55.000000000000007"/>
    <s v="OK"/>
  </r>
  <r>
    <n v="14904"/>
    <x v="0"/>
    <x v="1"/>
    <n v="13.37"/>
    <n v="7"/>
    <x v="1"/>
    <n v="30"/>
    <n v="17.381"/>
    <n v="30.000000000000004"/>
    <s v="OK"/>
  </r>
  <r>
    <n v="14905"/>
    <x v="0"/>
    <x v="1"/>
    <n v="10.56"/>
    <n v="7"/>
    <x v="1"/>
    <n v="30"/>
    <n v="13.728000000000002"/>
    <n v="30.000000000000004"/>
    <s v="OK"/>
  </r>
  <r>
    <n v="14906"/>
    <x v="1"/>
    <x v="2"/>
    <n v="6.22"/>
    <n v="5"/>
    <x v="1"/>
    <n v="25"/>
    <n v="7.7749999999999995"/>
    <n v="25"/>
    <s v="OK"/>
  </r>
  <r>
    <n v="14907"/>
    <x v="0"/>
    <x v="2"/>
    <n v="5.9"/>
    <n v="8"/>
    <x v="2"/>
    <n v="50"/>
    <n v="8.8500000000000014"/>
    <n v="50.000000000000021"/>
    <s v="OK"/>
  </r>
  <r>
    <n v="14908"/>
    <x v="2"/>
    <x v="2"/>
    <n v="7.11"/>
    <n v="7"/>
    <x v="1"/>
    <n v="25"/>
    <n v="8.8875000000000011"/>
    <n v="25"/>
    <s v="OK"/>
  </r>
  <r>
    <n v="14909"/>
    <x v="1"/>
    <x v="0"/>
    <n v="3.07"/>
    <n v="6"/>
    <x v="1"/>
    <n v="28"/>
    <n v="3.9295999999999998"/>
    <n v="28.000000000000004"/>
    <s v="OK"/>
  </r>
  <r>
    <n v="14910"/>
    <x v="0"/>
    <x v="1"/>
    <n v="9.69"/>
    <n v="2"/>
    <x v="0"/>
    <n v="15"/>
    <n v="11.143499999999998"/>
    <n v="14.999999999999991"/>
    <s v="OK"/>
  </r>
  <r>
    <n v="14911"/>
    <x v="1"/>
    <x v="1"/>
    <n v="5.78"/>
    <n v="6"/>
    <x v="1"/>
    <n v="30"/>
    <n v="7.5140000000000002"/>
    <n v="30.000000000000004"/>
    <s v="OK"/>
  </r>
  <r>
    <n v="14912"/>
    <x v="2"/>
    <x v="1"/>
    <n v="12.86"/>
    <n v="2"/>
    <x v="0"/>
    <n v="15"/>
    <n v="14.788999999999998"/>
    <n v="14.999999999999991"/>
    <s v="OK"/>
  </r>
  <r>
    <n v="14913"/>
    <x v="0"/>
    <x v="2"/>
    <n v="11.47"/>
    <n v="1"/>
    <x v="0"/>
    <n v="10"/>
    <n v="12.617000000000001"/>
    <n v="10.000000000000009"/>
    <s v="OK"/>
  </r>
  <r>
    <n v="14914"/>
    <x v="2"/>
    <x v="1"/>
    <n v="9.35"/>
    <n v="9"/>
    <x v="2"/>
    <n v="60"/>
    <n v="14.96"/>
    <n v="60.000000000000007"/>
    <s v="OK"/>
  </r>
  <r>
    <n v="14915"/>
    <x v="0"/>
    <x v="1"/>
    <n v="5.78"/>
    <n v="5"/>
    <x v="1"/>
    <n v="30"/>
    <n v="7.5140000000000002"/>
    <n v="30.000000000000004"/>
    <s v="OK"/>
  </r>
  <r>
    <n v="14916"/>
    <x v="3"/>
    <x v="1"/>
    <n v="3.54"/>
    <n v="10"/>
    <x v="2"/>
    <n v="60"/>
    <n v="5.6640000000000006"/>
    <n v="60.000000000000007"/>
    <s v="OK"/>
  </r>
  <r>
    <n v="14917"/>
    <x v="0"/>
    <x v="2"/>
    <n v="11.75"/>
    <n v="10"/>
    <x v="2"/>
    <n v="50"/>
    <n v="17.625"/>
    <n v="50"/>
    <s v="OK"/>
  </r>
  <r>
    <n v="14918"/>
    <x v="1"/>
    <x v="1"/>
    <n v="7.55"/>
    <n v="4"/>
    <x v="1"/>
    <n v="30"/>
    <n v="9.8149999999999995"/>
    <n v="30.000000000000004"/>
    <s v="OK"/>
  </r>
  <r>
    <n v="14919"/>
    <x v="0"/>
    <x v="2"/>
    <n v="3.76"/>
    <n v="8"/>
    <x v="2"/>
    <n v="50"/>
    <n v="5.64"/>
    <n v="50"/>
    <s v="OK"/>
  </r>
  <r>
    <n v="14920"/>
    <x v="2"/>
    <x v="1"/>
    <n v="3.33"/>
    <n v="5"/>
    <x v="1"/>
    <n v="30"/>
    <n v="4.3290000000000006"/>
    <n v="30.000000000000028"/>
    <s v="OK"/>
  </r>
  <r>
    <n v="14921"/>
    <x v="2"/>
    <x v="1"/>
    <n v="2.9"/>
    <n v="7"/>
    <x v="1"/>
    <n v="30"/>
    <n v="3.77"/>
    <n v="30.000000000000004"/>
    <s v="OK"/>
  </r>
  <r>
    <n v="14922"/>
    <x v="0"/>
    <x v="1"/>
    <n v="11.77"/>
    <n v="3"/>
    <x v="0"/>
    <n v="15"/>
    <n v="13.535499999999999"/>
    <n v="14.999999999999991"/>
    <s v="OK"/>
  </r>
  <r>
    <n v="14923"/>
    <x v="1"/>
    <x v="2"/>
    <n v="3.82"/>
    <n v="8"/>
    <x v="2"/>
    <n v="50"/>
    <n v="5.7299999999999995"/>
    <n v="50"/>
    <s v="OK"/>
  </r>
  <r>
    <n v="14924"/>
    <x v="3"/>
    <x v="2"/>
    <n v="8.14"/>
    <n v="8"/>
    <x v="2"/>
    <n v="50"/>
    <n v="12.21"/>
    <n v="50"/>
    <s v="OK"/>
  </r>
  <r>
    <n v="14925"/>
    <x v="1"/>
    <x v="1"/>
    <n v="7.05"/>
    <n v="3"/>
    <x v="0"/>
    <n v="15"/>
    <n v="8.1074999999999999"/>
    <n v="14.999999999999991"/>
    <s v="OK"/>
  </r>
  <r>
    <n v="14926"/>
    <x v="3"/>
    <x v="0"/>
    <n v="8.9"/>
    <n v="9"/>
    <x v="2"/>
    <n v="55"/>
    <n v="13.795000000000002"/>
    <n v="55.000000000000007"/>
    <s v="OK"/>
  </r>
  <r>
    <n v="14927"/>
    <x v="2"/>
    <x v="2"/>
    <n v="13.22"/>
    <n v="8"/>
    <x v="2"/>
    <n v="50"/>
    <n v="19.830000000000002"/>
    <n v="50"/>
    <s v="OK"/>
  </r>
  <r>
    <n v="14928"/>
    <x v="1"/>
    <x v="2"/>
    <n v="13.08"/>
    <n v="1"/>
    <x v="0"/>
    <n v="10"/>
    <n v="14.388000000000002"/>
    <n v="10.000000000000009"/>
    <s v="OK"/>
  </r>
  <r>
    <n v="14929"/>
    <x v="3"/>
    <x v="1"/>
    <n v="7.04"/>
    <n v="8"/>
    <x v="2"/>
    <n v="60"/>
    <n v="11.264000000000001"/>
    <n v="60.000000000000007"/>
    <s v="OK"/>
  </r>
  <r>
    <n v="14930"/>
    <x v="0"/>
    <x v="0"/>
    <n v="0.72"/>
    <n v="4"/>
    <x v="1"/>
    <n v="28"/>
    <n v="0.92159999999999997"/>
    <n v="28.000000000000004"/>
    <s v="OK"/>
  </r>
  <r>
    <n v="14931"/>
    <x v="2"/>
    <x v="1"/>
    <n v="6.68"/>
    <n v="6"/>
    <x v="1"/>
    <n v="30"/>
    <n v="8.6839999999999993"/>
    <n v="30.000000000000004"/>
    <s v="OK"/>
  </r>
  <r>
    <n v="14932"/>
    <x v="0"/>
    <x v="2"/>
    <n v="9.2899999999999991"/>
    <n v="10"/>
    <x v="2"/>
    <n v="50"/>
    <n v="13.934999999999999"/>
    <n v="50"/>
    <s v="OK"/>
  </r>
  <r>
    <n v="14933"/>
    <x v="2"/>
    <x v="2"/>
    <n v="8.59"/>
    <n v="9"/>
    <x v="2"/>
    <n v="50"/>
    <n v="12.885"/>
    <n v="50"/>
    <s v="OK"/>
  </r>
  <r>
    <n v="14934"/>
    <x v="1"/>
    <x v="1"/>
    <n v="9.94"/>
    <n v="5"/>
    <x v="1"/>
    <n v="30"/>
    <n v="12.922000000000001"/>
    <n v="30.000000000000004"/>
    <s v="OK"/>
  </r>
  <r>
    <n v="14935"/>
    <x v="1"/>
    <x v="1"/>
    <n v="2.73"/>
    <n v="7"/>
    <x v="1"/>
    <n v="30"/>
    <n v="3.5489999999999999"/>
    <n v="30.000000000000004"/>
    <s v="OK"/>
  </r>
  <r>
    <n v="14936"/>
    <x v="2"/>
    <x v="0"/>
    <n v="9.8699999999999992"/>
    <n v="1"/>
    <x v="0"/>
    <n v="12"/>
    <n v="11.054399999999999"/>
    <n v="12.000000000000011"/>
    <s v="OK"/>
  </r>
  <r>
    <n v="14937"/>
    <x v="2"/>
    <x v="0"/>
    <n v="3.15"/>
    <n v="9"/>
    <x v="2"/>
    <n v="55"/>
    <n v="4.8825000000000003"/>
    <n v="55.000000000000007"/>
    <s v="OK"/>
  </r>
  <r>
    <n v="14938"/>
    <x v="2"/>
    <x v="2"/>
    <n v="11.38"/>
    <n v="6"/>
    <x v="1"/>
    <n v="25"/>
    <n v="14.225000000000001"/>
    <n v="25"/>
    <s v="OK"/>
  </r>
  <r>
    <n v="14939"/>
    <x v="1"/>
    <x v="0"/>
    <n v="5.42"/>
    <n v="4"/>
    <x v="1"/>
    <n v="28"/>
    <n v="6.9375999999999998"/>
    <n v="28.000000000000004"/>
    <s v="OK"/>
  </r>
  <r>
    <n v="14940"/>
    <x v="3"/>
    <x v="0"/>
    <n v="10.79"/>
    <n v="6"/>
    <x v="1"/>
    <n v="28"/>
    <n v="13.811199999999999"/>
    <n v="28.000000000000004"/>
    <s v="OK"/>
  </r>
  <r>
    <n v="14941"/>
    <x v="0"/>
    <x v="2"/>
    <n v="1.19"/>
    <n v="5"/>
    <x v="1"/>
    <n v="25"/>
    <n v="1.4874999999999998"/>
    <n v="25"/>
    <s v="OK"/>
  </r>
  <r>
    <n v="14942"/>
    <x v="0"/>
    <x v="2"/>
    <n v="6.41"/>
    <n v="3"/>
    <x v="0"/>
    <n v="10"/>
    <n v="7.051000000000001"/>
    <n v="10.000000000000009"/>
    <s v="OK"/>
  </r>
  <r>
    <n v="14943"/>
    <x v="1"/>
    <x v="2"/>
    <n v="10.72"/>
    <n v="7"/>
    <x v="1"/>
    <n v="25"/>
    <n v="13.4"/>
    <n v="25"/>
    <s v="OK"/>
  </r>
  <r>
    <n v="14944"/>
    <x v="0"/>
    <x v="2"/>
    <n v="3.79"/>
    <n v="3"/>
    <x v="0"/>
    <n v="10"/>
    <n v="4.1690000000000005"/>
    <n v="10.000000000000009"/>
    <s v="OK"/>
  </r>
  <r>
    <n v="14945"/>
    <x v="2"/>
    <x v="1"/>
    <n v="12.03"/>
    <n v="2"/>
    <x v="0"/>
    <n v="15"/>
    <n v="13.834499999999998"/>
    <n v="14.999999999999991"/>
    <s v="OK"/>
  </r>
  <r>
    <n v="14946"/>
    <x v="3"/>
    <x v="2"/>
    <n v="9.65"/>
    <n v="4"/>
    <x v="1"/>
    <n v="25"/>
    <n v="12.0625"/>
    <n v="25"/>
    <s v="OK"/>
  </r>
  <r>
    <n v="14947"/>
    <x v="0"/>
    <x v="2"/>
    <n v="9.02"/>
    <n v="7"/>
    <x v="1"/>
    <n v="25"/>
    <n v="11.274999999999999"/>
    <n v="25"/>
    <s v="OK"/>
  </r>
  <r>
    <n v="14948"/>
    <x v="3"/>
    <x v="2"/>
    <n v="5.63"/>
    <n v="5"/>
    <x v="1"/>
    <n v="25"/>
    <n v="7.0374999999999996"/>
    <n v="25"/>
    <s v="OK"/>
  </r>
  <r>
    <n v="14949"/>
    <x v="2"/>
    <x v="0"/>
    <n v="7.5"/>
    <n v="9"/>
    <x v="2"/>
    <n v="55"/>
    <n v="11.625"/>
    <n v="55.000000000000007"/>
    <s v="OK"/>
  </r>
  <r>
    <n v="14950"/>
    <x v="0"/>
    <x v="2"/>
    <n v="9.16"/>
    <n v="10"/>
    <x v="2"/>
    <n v="50"/>
    <n v="13.74"/>
    <n v="50"/>
    <s v="OK"/>
  </r>
  <r>
    <n v="14951"/>
    <x v="1"/>
    <x v="1"/>
    <n v="7.35"/>
    <n v="7"/>
    <x v="1"/>
    <n v="30"/>
    <n v="9.5549999999999997"/>
    <n v="30.000000000000004"/>
    <s v="OK"/>
  </r>
  <r>
    <n v="14952"/>
    <x v="3"/>
    <x v="1"/>
    <n v="10.63"/>
    <n v="9"/>
    <x v="2"/>
    <n v="60"/>
    <n v="17.008000000000003"/>
    <n v="60.000000000000007"/>
    <s v="OK"/>
  </r>
  <r>
    <n v="14953"/>
    <x v="2"/>
    <x v="2"/>
    <n v="6.79"/>
    <n v="9"/>
    <x v="2"/>
    <n v="50"/>
    <n v="10.185"/>
    <n v="50"/>
    <s v="OK"/>
  </r>
  <r>
    <n v="14954"/>
    <x v="3"/>
    <x v="1"/>
    <n v="3.43"/>
    <n v="2"/>
    <x v="0"/>
    <n v="15"/>
    <n v="3.9444999999999997"/>
    <n v="14.999999999999991"/>
    <s v="OK"/>
  </r>
  <r>
    <n v="14955"/>
    <x v="0"/>
    <x v="0"/>
    <n v="3.6"/>
    <n v="1"/>
    <x v="0"/>
    <n v="12"/>
    <n v="4.0320000000000009"/>
    <n v="12.000000000000032"/>
    <s v="OK"/>
  </r>
  <r>
    <n v="14956"/>
    <x v="0"/>
    <x v="2"/>
    <n v="0.57999999999999996"/>
    <n v="4"/>
    <x v="1"/>
    <n v="25"/>
    <n v="0.72499999999999998"/>
    <n v="25"/>
    <s v="OK"/>
  </r>
  <r>
    <n v="14957"/>
    <x v="1"/>
    <x v="1"/>
    <n v="4.8600000000000003"/>
    <n v="4"/>
    <x v="1"/>
    <n v="30"/>
    <n v="6.3180000000000005"/>
    <n v="30.000000000000004"/>
    <s v="OK"/>
  </r>
  <r>
    <n v="14958"/>
    <x v="2"/>
    <x v="1"/>
    <n v="11.36"/>
    <n v="2"/>
    <x v="0"/>
    <n v="15"/>
    <n v="13.063999999999998"/>
    <n v="14.999999999999991"/>
    <s v="OK"/>
  </r>
  <r>
    <n v="14959"/>
    <x v="2"/>
    <x v="2"/>
    <n v="12.02"/>
    <n v="3"/>
    <x v="0"/>
    <n v="10"/>
    <n v="13.222000000000001"/>
    <n v="10.000000000000009"/>
    <s v="OK"/>
  </r>
  <r>
    <n v="14960"/>
    <x v="1"/>
    <x v="1"/>
    <n v="3.44"/>
    <n v="3"/>
    <x v="0"/>
    <n v="15"/>
    <n v="3.9559999999999995"/>
    <n v="14.999999999999991"/>
    <s v="OK"/>
  </r>
  <r>
    <n v="14961"/>
    <x v="1"/>
    <x v="2"/>
    <n v="14.41"/>
    <n v="5"/>
    <x v="1"/>
    <n v="25"/>
    <n v="18.012499999999999"/>
    <n v="25"/>
    <s v="OK"/>
  </r>
  <r>
    <n v="14962"/>
    <x v="2"/>
    <x v="1"/>
    <n v="7.78"/>
    <n v="1"/>
    <x v="0"/>
    <n v="15"/>
    <n v="8.9469999999999992"/>
    <n v="14.999999999999991"/>
    <s v="OK"/>
  </r>
  <r>
    <n v="14963"/>
    <x v="3"/>
    <x v="0"/>
    <n v="13.8"/>
    <n v="9"/>
    <x v="2"/>
    <n v="55"/>
    <n v="21.39"/>
    <n v="55.000000000000007"/>
    <s v="OK"/>
  </r>
  <r>
    <n v="14964"/>
    <x v="3"/>
    <x v="1"/>
    <n v="10.75"/>
    <n v="8"/>
    <x v="2"/>
    <n v="60"/>
    <n v="17.2"/>
    <n v="59.999999999999986"/>
    <s v="OK"/>
  </r>
  <r>
    <n v="14965"/>
    <x v="1"/>
    <x v="1"/>
    <n v="10.98"/>
    <n v="8"/>
    <x v="2"/>
    <n v="60"/>
    <n v="17.568000000000001"/>
    <n v="60.000000000000007"/>
    <s v="OK"/>
  </r>
  <r>
    <n v="14966"/>
    <x v="3"/>
    <x v="2"/>
    <n v="1.73"/>
    <n v="3"/>
    <x v="0"/>
    <n v="10"/>
    <n v="1.903"/>
    <n v="10.000000000000009"/>
    <s v="OK"/>
  </r>
  <r>
    <n v="14967"/>
    <x v="2"/>
    <x v="1"/>
    <n v="3.69"/>
    <n v="2"/>
    <x v="0"/>
    <n v="15"/>
    <n v="4.2435"/>
    <n v="15.000000000000014"/>
    <s v="OK"/>
  </r>
  <r>
    <n v="14968"/>
    <x v="0"/>
    <x v="2"/>
    <n v="0.63"/>
    <n v="1"/>
    <x v="0"/>
    <n v="10"/>
    <n v="0.69300000000000006"/>
    <n v="10.000000000000009"/>
    <s v="OK"/>
  </r>
  <r>
    <n v="14969"/>
    <x v="0"/>
    <x v="0"/>
    <n v="10.88"/>
    <n v="6"/>
    <x v="1"/>
    <n v="28"/>
    <n v="13.926400000000001"/>
    <n v="28.000000000000004"/>
    <s v="OK"/>
  </r>
  <r>
    <n v="14970"/>
    <x v="3"/>
    <x v="2"/>
    <n v="5.49"/>
    <n v="10"/>
    <x v="2"/>
    <n v="50"/>
    <n v="8.2349999999999994"/>
    <n v="49.999999999999979"/>
    <s v="OK"/>
  </r>
  <r>
    <n v="14971"/>
    <x v="1"/>
    <x v="2"/>
    <n v="11.91"/>
    <n v="1"/>
    <x v="0"/>
    <n v="10"/>
    <n v="13.101000000000001"/>
    <n v="10.000000000000009"/>
    <s v="OK"/>
  </r>
  <r>
    <n v="14972"/>
    <x v="1"/>
    <x v="1"/>
    <n v="5.41"/>
    <n v="5"/>
    <x v="1"/>
    <n v="30"/>
    <n v="7.0330000000000004"/>
    <n v="30.000000000000004"/>
    <s v="OK"/>
  </r>
  <r>
    <n v="14973"/>
    <x v="1"/>
    <x v="0"/>
    <n v="12.38"/>
    <n v="9"/>
    <x v="2"/>
    <n v="55"/>
    <n v="19.189"/>
    <n v="54.999999999999986"/>
    <s v="OK"/>
  </r>
  <r>
    <n v="14974"/>
    <x v="1"/>
    <x v="2"/>
    <n v="2.4"/>
    <n v="9"/>
    <x v="2"/>
    <n v="50"/>
    <n v="3.5999999999999996"/>
    <n v="50"/>
    <s v="OK"/>
  </r>
  <r>
    <n v="14975"/>
    <x v="1"/>
    <x v="1"/>
    <n v="3.01"/>
    <n v="4"/>
    <x v="1"/>
    <n v="30"/>
    <n v="3.9129999999999998"/>
    <n v="30.000000000000004"/>
    <s v="OK"/>
  </r>
  <r>
    <n v="14976"/>
    <x v="3"/>
    <x v="1"/>
    <n v="5.44"/>
    <n v="7"/>
    <x v="1"/>
    <n v="30"/>
    <n v="7.072000000000001"/>
    <n v="30.000000000000004"/>
    <s v="OK"/>
  </r>
  <r>
    <n v="14977"/>
    <x v="0"/>
    <x v="2"/>
    <n v="6.42"/>
    <n v="7"/>
    <x v="1"/>
    <n v="25"/>
    <n v="8.0250000000000004"/>
    <n v="25"/>
    <s v="OK"/>
  </r>
  <r>
    <n v="14978"/>
    <x v="0"/>
    <x v="1"/>
    <n v="5.56"/>
    <n v="4"/>
    <x v="1"/>
    <n v="30"/>
    <n v="7.2279999999999998"/>
    <n v="30.000000000000004"/>
    <s v="OK"/>
  </r>
  <r>
    <n v="14979"/>
    <x v="3"/>
    <x v="2"/>
    <n v="11.57"/>
    <n v="5"/>
    <x v="1"/>
    <n v="25"/>
    <n v="14.4625"/>
    <n v="25"/>
    <s v="OK"/>
  </r>
  <r>
    <n v="14980"/>
    <x v="1"/>
    <x v="2"/>
    <n v="1.91"/>
    <n v="9"/>
    <x v="2"/>
    <n v="50"/>
    <n v="2.8649999999999998"/>
    <n v="50"/>
    <s v="OK"/>
  </r>
  <r>
    <n v="14981"/>
    <x v="3"/>
    <x v="2"/>
    <n v="5.59"/>
    <n v="7"/>
    <x v="1"/>
    <n v="25"/>
    <n v="6.9874999999999998"/>
    <n v="25"/>
    <s v="OK"/>
  </r>
  <r>
    <n v="14982"/>
    <x v="0"/>
    <x v="0"/>
    <n v="12.64"/>
    <n v="7"/>
    <x v="1"/>
    <n v="28"/>
    <n v="16.179200000000002"/>
    <n v="28.000000000000004"/>
    <s v="OK"/>
  </r>
  <r>
    <n v="14983"/>
    <x v="2"/>
    <x v="2"/>
    <n v="1.47"/>
    <n v="10"/>
    <x v="2"/>
    <n v="50"/>
    <n v="2.2050000000000001"/>
    <n v="50"/>
    <s v="OK"/>
  </r>
  <r>
    <n v="14984"/>
    <x v="3"/>
    <x v="1"/>
    <n v="14.16"/>
    <n v="7"/>
    <x v="1"/>
    <n v="30"/>
    <n v="18.408000000000001"/>
    <n v="30.000000000000004"/>
    <s v="OK"/>
  </r>
  <r>
    <n v="14985"/>
    <x v="1"/>
    <x v="0"/>
    <n v="14.8"/>
    <n v="9"/>
    <x v="2"/>
    <n v="55"/>
    <n v="22.94"/>
    <n v="55.000000000000007"/>
    <s v="OK"/>
  </r>
  <r>
    <n v="14986"/>
    <x v="0"/>
    <x v="1"/>
    <n v="1.78"/>
    <n v="5"/>
    <x v="1"/>
    <n v="30"/>
    <n v="2.3140000000000001"/>
    <n v="30.000000000000004"/>
    <s v="OK"/>
  </r>
  <r>
    <n v="14987"/>
    <x v="0"/>
    <x v="0"/>
    <n v="4.72"/>
    <n v="6"/>
    <x v="1"/>
    <n v="28"/>
    <n v="6.0415999999999999"/>
    <n v="28.000000000000004"/>
    <s v="OK"/>
  </r>
  <r>
    <n v="14988"/>
    <x v="0"/>
    <x v="0"/>
    <n v="5.9"/>
    <n v="3"/>
    <x v="0"/>
    <n v="12"/>
    <n v="6.6080000000000014"/>
    <n v="12.000000000000011"/>
    <s v="OK"/>
  </r>
  <r>
    <n v="14989"/>
    <x v="0"/>
    <x v="0"/>
    <n v="11.76"/>
    <n v="1"/>
    <x v="0"/>
    <n v="12"/>
    <n v="13.171200000000001"/>
    <n v="12.000000000000011"/>
    <s v="OK"/>
  </r>
  <r>
    <n v="14990"/>
    <x v="1"/>
    <x v="0"/>
    <n v="9.14"/>
    <n v="2"/>
    <x v="0"/>
    <n v="12"/>
    <n v="10.236800000000002"/>
    <n v="12.000000000000011"/>
    <s v="OK"/>
  </r>
  <r>
    <n v="14991"/>
    <x v="2"/>
    <x v="1"/>
    <n v="9.84"/>
    <n v="8"/>
    <x v="2"/>
    <n v="60"/>
    <n v="15.744"/>
    <n v="60.000000000000007"/>
    <s v="OK"/>
  </r>
  <r>
    <n v="14992"/>
    <x v="0"/>
    <x v="2"/>
    <n v="11.48"/>
    <n v="1"/>
    <x v="0"/>
    <n v="10"/>
    <n v="12.628000000000002"/>
    <n v="10.000000000000009"/>
    <s v="OK"/>
  </r>
  <r>
    <n v="14993"/>
    <x v="3"/>
    <x v="1"/>
    <n v="2.21"/>
    <n v="10"/>
    <x v="2"/>
    <n v="60"/>
    <n v="3.536"/>
    <n v="60.000000000000007"/>
    <s v="OK"/>
  </r>
  <r>
    <n v="14994"/>
    <x v="2"/>
    <x v="2"/>
    <n v="12.58"/>
    <n v="7"/>
    <x v="1"/>
    <n v="25"/>
    <n v="15.725"/>
    <n v="25"/>
    <s v="OK"/>
  </r>
  <r>
    <n v="14995"/>
    <x v="0"/>
    <x v="1"/>
    <n v="10.73"/>
    <n v="5"/>
    <x v="1"/>
    <n v="30"/>
    <n v="13.949000000000002"/>
    <n v="30.000000000000004"/>
    <s v="OK"/>
  </r>
  <r>
    <n v="14996"/>
    <x v="2"/>
    <x v="0"/>
    <n v="8.8699999999999992"/>
    <n v="6"/>
    <x v="1"/>
    <n v="28"/>
    <n v="11.353599999999998"/>
    <n v="28.000000000000004"/>
    <s v="OK"/>
  </r>
  <r>
    <n v="14997"/>
    <x v="3"/>
    <x v="0"/>
    <n v="13.4"/>
    <n v="8"/>
    <x v="2"/>
    <n v="55"/>
    <n v="20.77"/>
    <n v="54.999999999999986"/>
    <s v="OK"/>
  </r>
  <r>
    <n v="14998"/>
    <x v="0"/>
    <x v="2"/>
    <n v="10.65"/>
    <n v="4"/>
    <x v="1"/>
    <n v="25"/>
    <n v="13.3125"/>
    <n v="25"/>
    <s v="OK"/>
  </r>
  <r>
    <n v="14999"/>
    <x v="3"/>
    <x v="2"/>
    <n v="3.42"/>
    <n v="6"/>
    <x v="1"/>
    <n v="25"/>
    <n v="4.2750000000000004"/>
    <n v="25.000000000000021"/>
    <s v="OK"/>
  </r>
  <r>
    <n v="15000"/>
    <x v="1"/>
    <x v="1"/>
    <n v="6.73"/>
    <n v="3"/>
    <x v="0"/>
    <n v="15"/>
    <n v="7.7394999999999996"/>
    <n v="14.999999999999991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1AD8C-D85F-CB4F-B1F6-19A48277826B}" name="Mark up analysis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A38:F43" firstHeaderRow="1" firstDataRow="2" firstDataCol="1"/>
  <pivotFields count="10">
    <pivotField showAll="0"/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Max Allowed Mark up%" fld="6" subtotal="average" baseField="0" baseItem="0" numFmtId="2"/>
  </dataFields>
  <formats count="1">
    <format dxfId="0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6ACE9-96E7-EB43-82EF-FE40CB5A91FD}" name="Average Price by Category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A20:B24" firstHeaderRow="1" firstDataRow="1" firstDataCol="1"/>
  <pivotFields count="10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commended Selling Price" fld="7" subtotal="average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78A97-9BA4-CB42-A494-1E771C2F3107}" name="Tier Mix by Region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3">
  <location ref="A1:E7" firstHeaderRow="1" firstDataRow="2" firstDataCol="1"/>
  <pivotFields count="10">
    <pivotField dataField="1"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Product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C585DCD-9703-8742-B6CF-53D8B6696C8C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Region" tableColumnId="2"/>
      <queryTableField id="3" name="Category" tableColumnId="3"/>
      <queryTableField id="4" name="Base_Cost" tableColumnId="4"/>
      <queryTableField id="5" name="Brand_Strength_Score" tableColumnId="5"/>
      <queryTableField id="6" name="Price_Tier" tableColumnId="6"/>
      <queryTableField id="7" name="Max Allowed Mark up%" tableColumnId="7"/>
      <queryTableField id="8" name="Recommended Selling Price" tableColumnId="8"/>
      <queryTableField id="9" name="Mark up % Used" tableColumnId="9"/>
      <queryTableField id="10" name="Warning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A16B23-6564-4748-8ADB-2AA9747A2438}" name="Unilever_products__3" displayName="Unilever_products__3" ref="A1:J5001" tableType="queryTable" totalsRowShown="0">
  <autoFilter ref="A1:J5001" xr:uid="{A5A16B23-6564-4748-8ADB-2AA9747A2438}"/>
  <tableColumns count="10">
    <tableColumn id="1" xr3:uid="{1F5E8938-0C6B-4240-9434-1AC973A10D61}" uniqueName="1" name="Product_ID" queryTableFieldId="1"/>
    <tableColumn id="2" xr3:uid="{B17104C6-9E01-074A-98EE-96E14BCAFEF2}" uniqueName="2" name="Region" queryTableFieldId="2" dataDxfId="4"/>
    <tableColumn id="3" xr3:uid="{2FCB4516-825F-5745-B757-E7737988A01A}" uniqueName="3" name="Category" queryTableFieldId="3" dataDxfId="3"/>
    <tableColumn id="4" xr3:uid="{7ACDD080-9A96-524C-A75E-89A66EC7E652}" uniqueName="4" name="Base_Cost" queryTableFieldId="4"/>
    <tableColumn id="5" xr3:uid="{59ABBEF1-8090-2B46-8D12-F22DAFACC8DD}" uniqueName="5" name="Brand_Strength_Score" queryTableFieldId="5"/>
    <tableColumn id="6" xr3:uid="{95EA4E4D-4A26-4D40-8A17-420A454DE751}" uniqueName="6" name="Price_Tier" queryTableFieldId="6" dataDxfId="2"/>
    <tableColumn id="7" xr3:uid="{F82F33EC-097F-C145-83B6-595B3831209B}" uniqueName="7" name="Max Allowed Mark up%" queryTableFieldId="7"/>
    <tableColumn id="8" xr3:uid="{643851EB-7D95-AF40-B126-C3EB24BFB7F0}" uniqueName="8" name="Recommended_selling_price" queryTableFieldId="8"/>
    <tableColumn id="9" xr3:uid="{0AD4DE7C-ECF1-954A-A7C0-996E618D8CCC}" uniqueName="9" name="Mark up % Used" queryTableFieldId="9"/>
    <tableColumn id="10" xr3:uid="{CFE21C77-932D-1A44-9C29-0DC78BF80E0D}" uniqueName="10" name="Warning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../Finance_target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6391-5210-C541-85EF-B034E3399595}">
  <sheetPr codeName="Sheet2"/>
  <dimension ref="A1:J5001"/>
  <sheetViews>
    <sheetView topLeftCell="C1" workbookViewId="0">
      <selection activeCell="H1" sqref="H1"/>
    </sheetView>
  </sheetViews>
  <sheetFormatPr baseColWidth="10" defaultRowHeight="16" x14ac:dyDescent="0.2"/>
  <cols>
    <col min="1" max="1" width="12.83203125" bestFit="1" customWidth="1"/>
    <col min="2" max="2" width="9.33203125" bestFit="1" customWidth="1"/>
    <col min="3" max="3" width="17.5" bestFit="1" customWidth="1"/>
    <col min="4" max="4" width="12.6640625" bestFit="1" customWidth="1"/>
    <col min="5" max="5" width="22" bestFit="1" customWidth="1"/>
    <col min="6" max="6" width="11.83203125" bestFit="1" customWidth="1"/>
    <col min="7" max="7" width="22.33203125" bestFit="1" customWidth="1"/>
    <col min="8" max="8" width="27" bestFit="1" customWidth="1"/>
    <col min="9" max="9" width="16.5" bestFit="1" customWidth="1"/>
    <col min="10" max="10" width="10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17</v>
      </c>
      <c r="H1" t="s">
        <v>41</v>
      </c>
      <c r="I1" t="s">
        <v>18</v>
      </c>
      <c r="J1" t="s">
        <v>19</v>
      </c>
    </row>
    <row r="2" spans="1:10" x14ac:dyDescent="0.2">
      <c r="A2">
        <v>10001</v>
      </c>
      <c r="B2" t="s">
        <v>5</v>
      </c>
      <c r="C2" t="s">
        <v>6</v>
      </c>
      <c r="D2">
        <v>12.72</v>
      </c>
      <c r="E2">
        <v>2</v>
      </c>
      <c r="F2" t="s">
        <v>14</v>
      </c>
      <c r="G2">
        <v>12</v>
      </c>
      <c r="H2">
        <v>14.246400000000001</v>
      </c>
      <c r="I2">
        <v>12.000000000000011</v>
      </c>
      <c r="J2" t="s">
        <v>20</v>
      </c>
    </row>
    <row r="3" spans="1:10" x14ac:dyDescent="0.2">
      <c r="A3">
        <v>10002</v>
      </c>
      <c r="B3" t="s">
        <v>7</v>
      </c>
      <c r="C3" t="s">
        <v>6</v>
      </c>
      <c r="D3">
        <v>6.97</v>
      </c>
      <c r="E3">
        <v>4</v>
      </c>
      <c r="F3" t="s">
        <v>15</v>
      </c>
      <c r="G3">
        <v>28</v>
      </c>
      <c r="H3">
        <v>8.9215999999999998</v>
      </c>
      <c r="I3">
        <v>28.000000000000004</v>
      </c>
      <c r="J3" t="s">
        <v>20</v>
      </c>
    </row>
    <row r="4" spans="1:10" x14ac:dyDescent="0.2">
      <c r="A4">
        <v>10003</v>
      </c>
      <c r="B4" t="s">
        <v>8</v>
      </c>
      <c r="C4" t="s">
        <v>6</v>
      </c>
      <c r="D4">
        <v>10.77</v>
      </c>
      <c r="E4">
        <v>2</v>
      </c>
      <c r="F4" t="s">
        <v>14</v>
      </c>
      <c r="G4">
        <v>12</v>
      </c>
      <c r="H4">
        <v>12.0624</v>
      </c>
      <c r="I4">
        <v>12.000000000000011</v>
      </c>
      <c r="J4" t="s">
        <v>20</v>
      </c>
    </row>
    <row r="5" spans="1:10" x14ac:dyDescent="0.2">
      <c r="A5">
        <v>10004</v>
      </c>
      <c r="B5" t="s">
        <v>5</v>
      </c>
      <c r="C5" t="s">
        <v>6</v>
      </c>
      <c r="D5">
        <v>11.11</v>
      </c>
      <c r="E5">
        <v>3</v>
      </c>
      <c r="F5" t="s">
        <v>14</v>
      </c>
      <c r="G5">
        <v>12</v>
      </c>
      <c r="H5">
        <v>12.443200000000001</v>
      </c>
      <c r="I5">
        <v>12.000000000000011</v>
      </c>
      <c r="J5" t="s">
        <v>20</v>
      </c>
    </row>
    <row r="6" spans="1:10" x14ac:dyDescent="0.2">
      <c r="A6">
        <v>10005</v>
      </c>
      <c r="B6" t="s">
        <v>5</v>
      </c>
      <c r="C6" t="s">
        <v>6</v>
      </c>
      <c r="D6">
        <v>3.02</v>
      </c>
      <c r="E6">
        <v>4</v>
      </c>
      <c r="F6" t="s">
        <v>15</v>
      </c>
      <c r="G6">
        <v>28</v>
      </c>
      <c r="H6">
        <v>3.8656000000000001</v>
      </c>
      <c r="I6">
        <v>28.000000000000004</v>
      </c>
      <c r="J6" t="s">
        <v>20</v>
      </c>
    </row>
    <row r="7" spans="1:10" x14ac:dyDescent="0.2">
      <c r="A7">
        <v>10006</v>
      </c>
      <c r="B7" t="s">
        <v>7</v>
      </c>
      <c r="C7" t="s">
        <v>9</v>
      </c>
      <c r="D7">
        <v>5.74</v>
      </c>
      <c r="E7">
        <v>4</v>
      </c>
      <c r="F7" t="s">
        <v>15</v>
      </c>
      <c r="G7">
        <v>30</v>
      </c>
      <c r="H7">
        <v>7.4620000000000006</v>
      </c>
      <c r="I7">
        <v>30.000000000000004</v>
      </c>
      <c r="J7" t="s">
        <v>20</v>
      </c>
    </row>
    <row r="8" spans="1:10" x14ac:dyDescent="0.2">
      <c r="A8">
        <v>10007</v>
      </c>
      <c r="B8" t="s">
        <v>8</v>
      </c>
      <c r="C8" t="s">
        <v>6</v>
      </c>
      <c r="D8">
        <v>9.74</v>
      </c>
      <c r="E8">
        <v>10</v>
      </c>
      <c r="F8" t="s">
        <v>16</v>
      </c>
      <c r="G8">
        <v>55</v>
      </c>
      <c r="H8">
        <v>15.097000000000001</v>
      </c>
      <c r="I8">
        <v>55.000000000000007</v>
      </c>
      <c r="J8" t="s">
        <v>20</v>
      </c>
    </row>
    <row r="9" spans="1:10" x14ac:dyDescent="0.2">
      <c r="A9">
        <v>10008</v>
      </c>
      <c r="B9" t="s">
        <v>8</v>
      </c>
      <c r="C9" t="s">
        <v>6</v>
      </c>
      <c r="D9">
        <v>1.53</v>
      </c>
      <c r="E9">
        <v>9</v>
      </c>
      <c r="F9" t="s">
        <v>16</v>
      </c>
      <c r="G9">
        <v>55</v>
      </c>
      <c r="H9">
        <v>2.3715000000000002</v>
      </c>
      <c r="I9">
        <v>55.000000000000007</v>
      </c>
      <c r="J9" t="s">
        <v>20</v>
      </c>
    </row>
    <row r="10" spans="1:10" x14ac:dyDescent="0.2">
      <c r="A10">
        <v>10009</v>
      </c>
      <c r="B10" t="s">
        <v>5</v>
      </c>
      <c r="C10" t="s">
        <v>9</v>
      </c>
      <c r="D10">
        <v>5.74</v>
      </c>
      <c r="E10">
        <v>10</v>
      </c>
      <c r="F10" t="s">
        <v>16</v>
      </c>
      <c r="G10">
        <v>60</v>
      </c>
      <c r="H10">
        <v>9.1840000000000011</v>
      </c>
      <c r="I10">
        <v>60.000000000000007</v>
      </c>
      <c r="J10" t="s">
        <v>20</v>
      </c>
    </row>
    <row r="11" spans="1:10" x14ac:dyDescent="0.2">
      <c r="A11">
        <v>10010</v>
      </c>
      <c r="B11" t="s">
        <v>10</v>
      </c>
      <c r="C11" t="s">
        <v>9</v>
      </c>
      <c r="D11">
        <v>8.25</v>
      </c>
      <c r="E11">
        <v>6</v>
      </c>
      <c r="F11" t="s">
        <v>15</v>
      </c>
      <c r="G11">
        <v>30</v>
      </c>
      <c r="H11">
        <v>10.725</v>
      </c>
      <c r="I11">
        <v>30.000000000000004</v>
      </c>
      <c r="J11" t="s">
        <v>20</v>
      </c>
    </row>
    <row r="12" spans="1:10" x14ac:dyDescent="0.2">
      <c r="A12">
        <v>10011</v>
      </c>
      <c r="B12" t="s">
        <v>5</v>
      </c>
      <c r="C12" t="s">
        <v>9</v>
      </c>
      <c r="D12">
        <v>14.95</v>
      </c>
      <c r="E12">
        <v>9</v>
      </c>
      <c r="F12" t="s">
        <v>16</v>
      </c>
      <c r="G12">
        <v>60</v>
      </c>
      <c r="H12">
        <v>23.92</v>
      </c>
      <c r="I12">
        <v>60.000000000000007</v>
      </c>
      <c r="J12" t="s">
        <v>20</v>
      </c>
    </row>
    <row r="13" spans="1:10" x14ac:dyDescent="0.2">
      <c r="A13">
        <v>10012</v>
      </c>
      <c r="B13" t="s">
        <v>5</v>
      </c>
      <c r="C13" t="s">
        <v>9</v>
      </c>
      <c r="D13">
        <v>7.38</v>
      </c>
      <c r="E13">
        <v>4</v>
      </c>
      <c r="F13" t="s">
        <v>15</v>
      </c>
      <c r="G13">
        <v>30</v>
      </c>
      <c r="H13">
        <v>9.5939999999999994</v>
      </c>
      <c r="I13">
        <v>30.000000000000004</v>
      </c>
      <c r="J13" t="s">
        <v>20</v>
      </c>
    </row>
    <row r="14" spans="1:10" x14ac:dyDescent="0.2">
      <c r="A14">
        <v>10013</v>
      </c>
      <c r="B14" t="s">
        <v>5</v>
      </c>
      <c r="C14" t="s">
        <v>9</v>
      </c>
      <c r="D14">
        <v>12.33</v>
      </c>
      <c r="E14">
        <v>9</v>
      </c>
      <c r="F14" t="s">
        <v>16</v>
      </c>
      <c r="G14">
        <v>60</v>
      </c>
      <c r="H14">
        <v>19.728000000000002</v>
      </c>
      <c r="I14">
        <v>60.000000000000007</v>
      </c>
      <c r="J14" t="s">
        <v>20</v>
      </c>
    </row>
    <row r="15" spans="1:10" x14ac:dyDescent="0.2">
      <c r="A15">
        <v>10014</v>
      </c>
      <c r="B15" t="s">
        <v>5</v>
      </c>
      <c r="C15" t="s">
        <v>9</v>
      </c>
      <c r="D15">
        <v>6.76</v>
      </c>
      <c r="E15">
        <v>9</v>
      </c>
      <c r="F15" t="s">
        <v>16</v>
      </c>
      <c r="G15">
        <v>60</v>
      </c>
      <c r="H15">
        <v>10.816000000000001</v>
      </c>
      <c r="I15">
        <v>60.000000000000007</v>
      </c>
      <c r="J15" t="s">
        <v>20</v>
      </c>
    </row>
    <row r="16" spans="1:10" x14ac:dyDescent="0.2">
      <c r="A16">
        <v>10015</v>
      </c>
      <c r="B16" t="s">
        <v>7</v>
      </c>
      <c r="C16" t="s">
        <v>6</v>
      </c>
      <c r="D16">
        <v>12.05</v>
      </c>
      <c r="E16">
        <v>6</v>
      </c>
      <c r="F16" t="s">
        <v>15</v>
      </c>
      <c r="G16">
        <v>28</v>
      </c>
      <c r="H16">
        <v>15.424000000000001</v>
      </c>
      <c r="I16">
        <v>28.000000000000004</v>
      </c>
      <c r="J16" t="s">
        <v>20</v>
      </c>
    </row>
    <row r="17" spans="1:10" x14ac:dyDescent="0.2">
      <c r="A17">
        <v>10016</v>
      </c>
      <c r="B17" t="s">
        <v>8</v>
      </c>
      <c r="C17" t="s">
        <v>6</v>
      </c>
      <c r="D17">
        <v>9.1300000000000008</v>
      </c>
      <c r="E17">
        <v>5</v>
      </c>
      <c r="F17" t="s">
        <v>15</v>
      </c>
      <c r="G17">
        <v>28</v>
      </c>
      <c r="H17">
        <v>11.686400000000001</v>
      </c>
      <c r="I17">
        <v>28.000000000000004</v>
      </c>
      <c r="J17" t="s">
        <v>20</v>
      </c>
    </row>
    <row r="18" spans="1:10" x14ac:dyDescent="0.2">
      <c r="A18">
        <v>10017</v>
      </c>
      <c r="B18" t="s">
        <v>7</v>
      </c>
      <c r="C18" t="s">
        <v>11</v>
      </c>
      <c r="D18">
        <v>13.36</v>
      </c>
      <c r="E18">
        <v>3</v>
      </c>
      <c r="F18" t="s">
        <v>14</v>
      </c>
      <c r="G18">
        <v>10</v>
      </c>
      <c r="H18">
        <v>14.696</v>
      </c>
      <c r="I18">
        <v>10.000000000000009</v>
      </c>
      <c r="J18" t="s">
        <v>20</v>
      </c>
    </row>
    <row r="19" spans="1:10" x14ac:dyDescent="0.2">
      <c r="A19">
        <v>10018</v>
      </c>
      <c r="B19" t="s">
        <v>7</v>
      </c>
      <c r="C19" t="s">
        <v>6</v>
      </c>
      <c r="D19">
        <v>6.46</v>
      </c>
      <c r="E19">
        <v>5</v>
      </c>
      <c r="F19" t="s">
        <v>15</v>
      </c>
      <c r="G19">
        <v>28</v>
      </c>
      <c r="H19">
        <v>8.2688000000000006</v>
      </c>
      <c r="I19">
        <v>28.000000000000004</v>
      </c>
      <c r="J19" t="s">
        <v>20</v>
      </c>
    </row>
    <row r="20" spans="1:10" x14ac:dyDescent="0.2">
      <c r="A20">
        <v>10019</v>
      </c>
      <c r="B20" t="s">
        <v>7</v>
      </c>
      <c r="C20" t="s">
        <v>6</v>
      </c>
      <c r="D20">
        <v>9.26</v>
      </c>
      <c r="E20">
        <v>3</v>
      </c>
      <c r="F20" t="s">
        <v>14</v>
      </c>
      <c r="G20">
        <v>12</v>
      </c>
      <c r="H20">
        <v>10.3712</v>
      </c>
      <c r="I20">
        <v>12.000000000000011</v>
      </c>
      <c r="J20" t="s">
        <v>20</v>
      </c>
    </row>
    <row r="21" spans="1:10" x14ac:dyDescent="0.2">
      <c r="A21">
        <v>10020</v>
      </c>
      <c r="B21" t="s">
        <v>5</v>
      </c>
      <c r="C21" t="s">
        <v>9</v>
      </c>
      <c r="D21">
        <v>9.64</v>
      </c>
      <c r="E21">
        <v>5</v>
      </c>
      <c r="F21" t="s">
        <v>15</v>
      </c>
      <c r="G21">
        <v>30</v>
      </c>
      <c r="H21">
        <v>12.532000000000002</v>
      </c>
      <c r="I21">
        <v>30.000000000000004</v>
      </c>
      <c r="J21" t="s">
        <v>20</v>
      </c>
    </row>
    <row r="22" spans="1:10" x14ac:dyDescent="0.2">
      <c r="A22">
        <v>10021</v>
      </c>
      <c r="B22" t="s">
        <v>10</v>
      </c>
      <c r="C22" t="s">
        <v>9</v>
      </c>
      <c r="D22">
        <v>6.55</v>
      </c>
      <c r="E22">
        <v>5</v>
      </c>
      <c r="F22" t="s">
        <v>15</v>
      </c>
      <c r="G22">
        <v>30</v>
      </c>
      <c r="H22">
        <v>8.5150000000000006</v>
      </c>
      <c r="I22">
        <v>30.000000000000004</v>
      </c>
      <c r="J22" t="s">
        <v>20</v>
      </c>
    </row>
    <row r="23" spans="1:10" x14ac:dyDescent="0.2">
      <c r="A23">
        <v>10022</v>
      </c>
      <c r="B23" t="s">
        <v>8</v>
      </c>
      <c r="C23" t="s">
        <v>6</v>
      </c>
      <c r="D23">
        <v>2.59</v>
      </c>
      <c r="E23">
        <v>2</v>
      </c>
      <c r="F23" t="s">
        <v>14</v>
      </c>
      <c r="G23">
        <v>12</v>
      </c>
      <c r="H23">
        <v>2.9008000000000003</v>
      </c>
      <c r="I23">
        <v>12.000000000000011</v>
      </c>
      <c r="J23" t="s">
        <v>20</v>
      </c>
    </row>
    <row r="24" spans="1:10" x14ac:dyDescent="0.2">
      <c r="A24">
        <v>10023</v>
      </c>
      <c r="B24" t="s">
        <v>10</v>
      </c>
      <c r="C24" t="s">
        <v>11</v>
      </c>
      <c r="D24">
        <v>1.86</v>
      </c>
      <c r="E24">
        <v>9</v>
      </c>
      <c r="F24" t="s">
        <v>16</v>
      </c>
      <c r="G24">
        <v>50</v>
      </c>
      <c r="H24">
        <v>2.79</v>
      </c>
      <c r="I24">
        <v>50</v>
      </c>
      <c r="J24" t="s">
        <v>20</v>
      </c>
    </row>
    <row r="25" spans="1:10" x14ac:dyDescent="0.2">
      <c r="A25">
        <v>10024</v>
      </c>
      <c r="B25" t="s">
        <v>7</v>
      </c>
      <c r="C25" t="s">
        <v>9</v>
      </c>
      <c r="D25">
        <v>0.74</v>
      </c>
      <c r="E25">
        <v>7</v>
      </c>
      <c r="F25" t="s">
        <v>15</v>
      </c>
      <c r="G25">
        <v>30</v>
      </c>
      <c r="H25">
        <v>0.96199999999999997</v>
      </c>
      <c r="I25">
        <v>30.000000000000004</v>
      </c>
      <c r="J25" t="s">
        <v>20</v>
      </c>
    </row>
    <row r="26" spans="1:10" x14ac:dyDescent="0.2">
      <c r="A26">
        <v>10025</v>
      </c>
      <c r="B26" t="s">
        <v>7</v>
      </c>
      <c r="C26" t="s">
        <v>6</v>
      </c>
      <c r="D26">
        <v>13.17</v>
      </c>
      <c r="E26">
        <v>6</v>
      </c>
      <c r="F26" t="s">
        <v>15</v>
      </c>
      <c r="G26">
        <v>28</v>
      </c>
      <c r="H26">
        <v>16.857600000000001</v>
      </c>
      <c r="I26">
        <v>28.000000000000004</v>
      </c>
      <c r="J26" t="s">
        <v>20</v>
      </c>
    </row>
    <row r="27" spans="1:10" x14ac:dyDescent="0.2">
      <c r="A27">
        <v>10026</v>
      </c>
      <c r="B27" t="s">
        <v>10</v>
      </c>
      <c r="C27" t="s">
        <v>6</v>
      </c>
      <c r="D27">
        <v>3.93</v>
      </c>
      <c r="E27">
        <v>5</v>
      </c>
      <c r="F27" t="s">
        <v>15</v>
      </c>
      <c r="G27">
        <v>28</v>
      </c>
      <c r="H27">
        <v>5.0304000000000002</v>
      </c>
      <c r="I27">
        <v>28.000000000000004</v>
      </c>
      <c r="J27" t="s">
        <v>20</v>
      </c>
    </row>
    <row r="28" spans="1:10" x14ac:dyDescent="0.2">
      <c r="A28">
        <v>10027</v>
      </c>
      <c r="B28" t="s">
        <v>10</v>
      </c>
      <c r="C28" t="s">
        <v>11</v>
      </c>
      <c r="D28">
        <v>3.57</v>
      </c>
      <c r="E28">
        <v>4</v>
      </c>
      <c r="F28" t="s">
        <v>15</v>
      </c>
      <c r="G28">
        <v>25</v>
      </c>
      <c r="H28">
        <v>4.4624999999999995</v>
      </c>
      <c r="I28">
        <v>25</v>
      </c>
      <c r="J28" t="s">
        <v>20</v>
      </c>
    </row>
    <row r="29" spans="1:10" x14ac:dyDescent="0.2">
      <c r="A29">
        <v>10028</v>
      </c>
      <c r="B29" t="s">
        <v>10</v>
      </c>
      <c r="C29" t="s">
        <v>11</v>
      </c>
      <c r="D29">
        <v>11.17</v>
      </c>
      <c r="E29">
        <v>8</v>
      </c>
      <c r="F29" t="s">
        <v>16</v>
      </c>
      <c r="G29">
        <v>50</v>
      </c>
      <c r="H29">
        <v>16.754999999999999</v>
      </c>
      <c r="I29">
        <v>50</v>
      </c>
      <c r="J29" t="s">
        <v>20</v>
      </c>
    </row>
    <row r="30" spans="1:10" x14ac:dyDescent="0.2">
      <c r="A30">
        <v>10029</v>
      </c>
      <c r="B30" t="s">
        <v>7</v>
      </c>
      <c r="C30" t="s">
        <v>9</v>
      </c>
      <c r="D30">
        <v>5.14</v>
      </c>
      <c r="E30">
        <v>2</v>
      </c>
      <c r="F30" t="s">
        <v>14</v>
      </c>
      <c r="G30">
        <v>15</v>
      </c>
      <c r="H30">
        <v>5.9109999999999996</v>
      </c>
      <c r="I30">
        <v>14.999999999999991</v>
      </c>
      <c r="J30" t="s">
        <v>20</v>
      </c>
    </row>
    <row r="31" spans="1:10" x14ac:dyDescent="0.2">
      <c r="A31">
        <v>10030</v>
      </c>
      <c r="B31" t="s">
        <v>7</v>
      </c>
      <c r="C31" t="s">
        <v>11</v>
      </c>
      <c r="D31">
        <v>7.84</v>
      </c>
      <c r="E31">
        <v>8</v>
      </c>
      <c r="F31" t="s">
        <v>16</v>
      </c>
      <c r="G31">
        <v>50</v>
      </c>
      <c r="H31">
        <v>11.76</v>
      </c>
      <c r="I31">
        <v>50</v>
      </c>
      <c r="J31" t="s">
        <v>20</v>
      </c>
    </row>
    <row r="32" spans="1:10" x14ac:dyDescent="0.2">
      <c r="A32">
        <v>10031</v>
      </c>
      <c r="B32" t="s">
        <v>8</v>
      </c>
      <c r="C32" t="s">
        <v>6</v>
      </c>
      <c r="D32">
        <v>2.86</v>
      </c>
      <c r="E32">
        <v>1</v>
      </c>
      <c r="F32" t="s">
        <v>14</v>
      </c>
      <c r="G32">
        <v>12</v>
      </c>
      <c r="H32">
        <v>3.2032000000000003</v>
      </c>
      <c r="I32">
        <v>12.000000000000011</v>
      </c>
      <c r="J32" t="s">
        <v>20</v>
      </c>
    </row>
    <row r="33" spans="1:10" x14ac:dyDescent="0.2">
      <c r="A33">
        <v>10032</v>
      </c>
      <c r="B33" t="s">
        <v>8</v>
      </c>
      <c r="C33" t="s">
        <v>6</v>
      </c>
      <c r="D33">
        <v>14.42</v>
      </c>
      <c r="E33">
        <v>10</v>
      </c>
      <c r="F33" t="s">
        <v>16</v>
      </c>
      <c r="G33">
        <v>55</v>
      </c>
      <c r="H33">
        <v>22.350999999999999</v>
      </c>
      <c r="I33">
        <v>55.000000000000007</v>
      </c>
      <c r="J33" t="s">
        <v>20</v>
      </c>
    </row>
    <row r="34" spans="1:10" x14ac:dyDescent="0.2">
      <c r="A34">
        <v>10033</v>
      </c>
      <c r="B34" t="s">
        <v>7</v>
      </c>
      <c r="C34" t="s">
        <v>11</v>
      </c>
      <c r="D34">
        <v>12.85</v>
      </c>
      <c r="E34">
        <v>1</v>
      </c>
      <c r="F34" t="s">
        <v>14</v>
      </c>
      <c r="G34">
        <v>10</v>
      </c>
      <c r="H34">
        <v>14.135000000000002</v>
      </c>
      <c r="I34">
        <v>10.000000000000009</v>
      </c>
      <c r="J34" t="s">
        <v>20</v>
      </c>
    </row>
    <row r="35" spans="1:10" x14ac:dyDescent="0.2">
      <c r="A35">
        <v>10034</v>
      </c>
      <c r="B35" t="s">
        <v>10</v>
      </c>
      <c r="C35" t="s">
        <v>11</v>
      </c>
      <c r="D35">
        <v>13.02</v>
      </c>
      <c r="E35">
        <v>3</v>
      </c>
      <c r="F35" t="s">
        <v>14</v>
      </c>
      <c r="G35">
        <v>10</v>
      </c>
      <c r="H35">
        <v>14.322000000000001</v>
      </c>
      <c r="I35">
        <v>10.000000000000009</v>
      </c>
      <c r="J35" t="s">
        <v>20</v>
      </c>
    </row>
    <row r="36" spans="1:10" x14ac:dyDescent="0.2">
      <c r="A36">
        <v>10035</v>
      </c>
      <c r="B36" t="s">
        <v>10</v>
      </c>
      <c r="C36" t="s">
        <v>11</v>
      </c>
      <c r="D36">
        <v>6.4</v>
      </c>
      <c r="E36">
        <v>5</v>
      </c>
      <c r="F36" t="s">
        <v>15</v>
      </c>
      <c r="G36">
        <v>25</v>
      </c>
      <c r="H36">
        <v>8</v>
      </c>
      <c r="I36">
        <v>25</v>
      </c>
      <c r="J36" t="s">
        <v>20</v>
      </c>
    </row>
    <row r="37" spans="1:10" x14ac:dyDescent="0.2">
      <c r="A37">
        <v>10036</v>
      </c>
      <c r="B37" t="s">
        <v>8</v>
      </c>
      <c r="C37" t="s">
        <v>11</v>
      </c>
      <c r="D37">
        <v>11.55</v>
      </c>
      <c r="E37">
        <v>6</v>
      </c>
      <c r="F37" t="s">
        <v>15</v>
      </c>
      <c r="G37">
        <v>25</v>
      </c>
      <c r="H37">
        <v>14.4375</v>
      </c>
      <c r="I37">
        <v>25</v>
      </c>
      <c r="J37" t="s">
        <v>20</v>
      </c>
    </row>
    <row r="38" spans="1:10" x14ac:dyDescent="0.2">
      <c r="A38">
        <v>10037</v>
      </c>
      <c r="B38" t="s">
        <v>7</v>
      </c>
      <c r="C38" t="s">
        <v>9</v>
      </c>
      <c r="D38">
        <v>2.59</v>
      </c>
      <c r="E38">
        <v>4</v>
      </c>
      <c r="F38" t="s">
        <v>15</v>
      </c>
      <c r="G38">
        <v>30</v>
      </c>
      <c r="H38">
        <v>3.367</v>
      </c>
      <c r="I38">
        <v>30.000000000000004</v>
      </c>
      <c r="J38" t="s">
        <v>20</v>
      </c>
    </row>
    <row r="39" spans="1:10" x14ac:dyDescent="0.2">
      <c r="A39">
        <v>10038</v>
      </c>
      <c r="B39" t="s">
        <v>8</v>
      </c>
      <c r="C39" t="s">
        <v>11</v>
      </c>
      <c r="D39">
        <v>0.62</v>
      </c>
      <c r="E39">
        <v>7</v>
      </c>
      <c r="F39" t="s">
        <v>15</v>
      </c>
      <c r="G39">
        <v>25</v>
      </c>
      <c r="H39">
        <v>0.77500000000000002</v>
      </c>
      <c r="I39">
        <v>25</v>
      </c>
      <c r="J39" t="s">
        <v>20</v>
      </c>
    </row>
    <row r="40" spans="1:10" x14ac:dyDescent="0.2">
      <c r="A40">
        <v>10039</v>
      </c>
      <c r="B40" t="s">
        <v>8</v>
      </c>
      <c r="C40" t="s">
        <v>9</v>
      </c>
      <c r="D40">
        <v>0.79</v>
      </c>
      <c r="E40">
        <v>7</v>
      </c>
      <c r="F40" t="s">
        <v>15</v>
      </c>
      <c r="G40">
        <v>30</v>
      </c>
      <c r="H40">
        <v>1.0270000000000001</v>
      </c>
      <c r="I40">
        <v>30.000000000000004</v>
      </c>
      <c r="J40" t="s">
        <v>20</v>
      </c>
    </row>
    <row r="41" spans="1:10" x14ac:dyDescent="0.2">
      <c r="A41">
        <v>10040</v>
      </c>
      <c r="B41" t="s">
        <v>5</v>
      </c>
      <c r="C41" t="s">
        <v>6</v>
      </c>
      <c r="D41">
        <v>9.01</v>
      </c>
      <c r="E41">
        <v>2</v>
      </c>
      <c r="F41" t="s">
        <v>14</v>
      </c>
      <c r="G41">
        <v>12</v>
      </c>
      <c r="H41">
        <v>10.091200000000001</v>
      </c>
      <c r="I41">
        <v>12.000000000000011</v>
      </c>
      <c r="J41" t="s">
        <v>20</v>
      </c>
    </row>
    <row r="42" spans="1:10" x14ac:dyDescent="0.2">
      <c r="A42">
        <v>10041</v>
      </c>
      <c r="B42" t="s">
        <v>5</v>
      </c>
      <c r="C42" t="s">
        <v>11</v>
      </c>
      <c r="D42">
        <v>7.1</v>
      </c>
      <c r="E42">
        <v>2</v>
      </c>
      <c r="F42" t="s">
        <v>14</v>
      </c>
      <c r="G42">
        <v>10</v>
      </c>
      <c r="H42">
        <v>7.8100000000000005</v>
      </c>
      <c r="I42">
        <v>10.000000000000009</v>
      </c>
      <c r="J42" t="s">
        <v>20</v>
      </c>
    </row>
    <row r="43" spans="1:10" x14ac:dyDescent="0.2">
      <c r="A43">
        <v>10042</v>
      </c>
      <c r="B43" t="s">
        <v>5</v>
      </c>
      <c r="C43" t="s">
        <v>9</v>
      </c>
      <c r="D43">
        <v>8.01</v>
      </c>
      <c r="E43">
        <v>2</v>
      </c>
      <c r="F43" t="s">
        <v>14</v>
      </c>
      <c r="G43">
        <v>15</v>
      </c>
      <c r="H43">
        <v>9.2114999999999991</v>
      </c>
      <c r="I43">
        <v>14.999999999999991</v>
      </c>
      <c r="J43" t="s">
        <v>20</v>
      </c>
    </row>
    <row r="44" spans="1:10" x14ac:dyDescent="0.2">
      <c r="A44">
        <v>10043</v>
      </c>
      <c r="B44" t="s">
        <v>10</v>
      </c>
      <c r="C44" t="s">
        <v>11</v>
      </c>
      <c r="D44">
        <v>0.61</v>
      </c>
      <c r="E44">
        <v>2</v>
      </c>
      <c r="F44" t="s">
        <v>14</v>
      </c>
      <c r="G44">
        <v>10</v>
      </c>
      <c r="H44">
        <v>0.67100000000000004</v>
      </c>
      <c r="I44">
        <v>10.000000000000009</v>
      </c>
      <c r="J44" t="s">
        <v>20</v>
      </c>
    </row>
    <row r="45" spans="1:10" x14ac:dyDescent="0.2">
      <c r="A45">
        <v>10044</v>
      </c>
      <c r="B45" t="s">
        <v>7</v>
      </c>
      <c r="C45" t="s">
        <v>6</v>
      </c>
      <c r="D45">
        <v>6.63</v>
      </c>
      <c r="E45">
        <v>9</v>
      </c>
      <c r="F45" t="s">
        <v>16</v>
      </c>
      <c r="G45">
        <v>55</v>
      </c>
      <c r="H45">
        <v>10.2765</v>
      </c>
      <c r="I45">
        <v>55.000000000000007</v>
      </c>
      <c r="J45" t="s">
        <v>20</v>
      </c>
    </row>
    <row r="46" spans="1:10" x14ac:dyDescent="0.2">
      <c r="A46">
        <v>10045</v>
      </c>
      <c r="B46" t="s">
        <v>7</v>
      </c>
      <c r="C46" t="s">
        <v>6</v>
      </c>
      <c r="D46">
        <v>10.91</v>
      </c>
      <c r="E46">
        <v>5</v>
      </c>
      <c r="F46" t="s">
        <v>15</v>
      </c>
      <c r="G46">
        <v>28</v>
      </c>
      <c r="H46">
        <v>13.9648</v>
      </c>
      <c r="I46">
        <v>28.000000000000004</v>
      </c>
      <c r="J46" t="s">
        <v>20</v>
      </c>
    </row>
    <row r="47" spans="1:10" x14ac:dyDescent="0.2">
      <c r="A47">
        <v>10046</v>
      </c>
      <c r="B47" t="s">
        <v>7</v>
      </c>
      <c r="C47" t="s">
        <v>6</v>
      </c>
      <c r="D47">
        <v>6.92</v>
      </c>
      <c r="E47">
        <v>8</v>
      </c>
      <c r="F47" t="s">
        <v>16</v>
      </c>
      <c r="G47">
        <v>55</v>
      </c>
      <c r="H47">
        <v>10.726000000000001</v>
      </c>
      <c r="I47">
        <v>55.000000000000007</v>
      </c>
      <c r="J47" t="s">
        <v>20</v>
      </c>
    </row>
    <row r="48" spans="1:10" x14ac:dyDescent="0.2">
      <c r="A48">
        <v>10047</v>
      </c>
      <c r="B48" t="s">
        <v>7</v>
      </c>
      <c r="C48" t="s">
        <v>11</v>
      </c>
      <c r="D48">
        <v>11.12</v>
      </c>
      <c r="E48">
        <v>5</v>
      </c>
      <c r="F48" t="s">
        <v>15</v>
      </c>
      <c r="G48">
        <v>25</v>
      </c>
      <c r="H48">
        <v>13.899999999999999</v>
      </c>
      <c r="I48">
        <v>25</v>
      </c>
      <c r="J48" t="s">
        <v>20</v>
      </c>
    </row>
    <row r="49" spans="1:10" x14ac:dyDescent="0.2">
      <c r="A49">
        <v>10048</v>
      </c>
      <c r="B49" t="s">
        <v>5</v>
      </c>
      <c r="C49" t="s">
        <v>11</v>
      </c>
      <c r="D49">
        <v>3.88</v>
      </c>
      <c r="E49">
        <v>5</v>
      </c>
      <c r="F49" t="s">
        <v>15</v>
      </c>
      <c r="G49">
        <v>25</v>
      </c>
      <c r="H49">
        <v>4.8499999999999996</v>
      </c>
      <c r="I49">
        <v>25</v>
      </c>
      <c r="J49" t="s">
        <v>20</v>
      </c>
    </row>
    <row r="50" spans="1:10" x14ac:dyDescent="0.2">
      <c r="A50">
        <v>10049</v>
      </c>
      <c r="B50" t="s">
        <v>10</v>
      </c>
      <c r="C50" t="s">
        <v>9</v>
      </c>
      <c r="D50">
        <v>12.29</v>
      </c>
      <c r="E50">
        <v>1</v>
      </c>
      <c r="F50" t="s">
        <v>14</v>
      </c>
      <c r="G50">
        <v>15</v>
      </c>
      <c r="H50">
        <v>14.133499999999998</v>
      </c>
      <c r="I50">
        <v>14.999999999999991</v>
      </c>
      <c r="J50" t="s">
        <v>20</v>
      </c>
    </row>
    <row r="51" spans="1:10" x14ac:dyDescent="0.2">
      <c r="A51">
        <v>10050</v>
      </c>
      <c r="B51" t="s">
        <v>10</v>
      </c>
      <c r="C51" t="s">
        <v>6</v>
      </c>
      <c r="D51">
        <v>9.0299999999999994</v>
      </c>
      <c r="E51">
        <v>6</v>
      </c>
      <c r="F51" t="s">
        <v>15</v>
      </c>
      <c r="G51">
        <v>28</v>
      </c>
      <c r="H51">
        <v>11.558399999999999</v>
      </c>
      <c r="I51">
        <v>28.000000000000004</v>
      </c>
      <c r="J51" t="s">
        <v>20</v>
      </c>
    </row>
    <row r="52" spans="1:10" x14ac:dyDescent="0.2">
      <c r="A52">
        <v>10051</v>
      </c>
      <c r="B52" t="s">
        <v>5</v>
      </c>
      <c r="C52" t="s">
        <v>11</v>
      </c>
      <c r="D52">
        <v>3.56</v>
      </c>
      <c r="E52">
        <v>4</v>
      </c>
      <c r="F52" t="s">
        <v>15</v>
      </c>
      <c r="G52">
        <v>25</v>
      </c>
      <c r="H52">
        <v>4.45</v>
      </c>
      <c r="I52">
        <v>25</v>
      </c>
      <c r="J52" t="s">
        <v>20</v>
      </c>
    </row>
    <row r="53" spans="1:10" x14ac:dyDescent="0.2">
      <c r="A53">
        <v>10052</v>
      </c>
      <c r="B53" t="s">
        <v>10</v>
      </c>
      <c r="C53" t="s">
        <v>6</v>
      </c>
      <c r="D53">
        <v>3.93</v>
      </c>
      <c r="E53">
        <v>3</v>
      </c>
      <c r="F53" t="s">
        <v>14</v>
      </c>
      <c r="G53">
        <v>12</v>
      </c>
      <c r="H53">
        <v>4.4016000000000002</v>
      </c>
      <c r="I53">
        <v>12.000000000000011</v>
      </c>
      <c r="J53" t="s">
        <v>20</v>
      </c>
    </row>
    <row r="54" spans="1:10" x14ac:dyDescent="0.2">
      <c r="A54">
        <v>10053</v>
      </c>
      <c r="B54" t="s">
        <v>5</v>
      </c>
      <c r="C54" t="s">
        <v>6</v>
      </c>
      <c r="D54">
        <v>9.61</v>
      </c>
      <c r="E54">
        <v>6</v>
      </c>
      <c r="F54" t="s">
        <v>15</v>
      </c>
      <c r="G54">
        <v>28</v>
      </c>
      <c r="H54">
        <v>12.300799999999999</v>
      </c>
      <c r="I54">
        <v>28.000000000000004</v>
      </c>
      <c r="J54" t="s">
        <v>20</v>
      </c>
    </row>
    <row r="55" spans="1:10" x14ac:dyDescent="0.2">
      <c r="A55">
        <v>10054</v>
      </c>
      <c r="B55" t="s">
        <v>7</v>
      </c>
      <c r="C55" t="s">
        <v>9</v>
      </c>
      <c r="D55">
        <v>12.53</v>
      </c>
      <c r="E55">
        <v>2</v>
      </c>
      <c r="F55" t="s">
        <v>14</v>
      </c>
      <c r="G55">
        <v>15</v>
      </c>
      <c r="H55">
        <v>14.409499999999998</v>
      </c>
      <c r="I55">
        <v>14.999999999999991</v>
      </c>
      <c r="J55" t="s">
        <v>20</v>
      </c>
    </row>
    <row r="56" spans="1:10" x14ac:dyDescent="0.2">
      <c r="A56">
        <v>10055</v>
      </c>
      <c r="B56" t="s">
        <v>5</v>
      </c>
      <c r="C56" t="s">
        <v>9</v>
      </c>
      <c r="D56">
        <v>6.53</v>
      </c>
      <c r="E56">
        <v>8</v>
      </c>
      <c r="F56" t="s">
        <v>16</v>
      </c>
      <c r="G56">
        <v>60</v>
      </c>
      <c r="H56">
        <v>10.448</v>
      </c>
      <c r="I56">
        <v>60.000000000000007</v>
      </c>
      <c r="J56" t="s">
        <v>20</v>
      </c>
    </row>
    <row r="57" spans="1:10" x14ac:dyDescent="0.2">
      <c r="A57">
        <v>10056</v>
      </c>
      <c r="B57" t="s">
        <v>7</v>
      </c>
      <c r="C57" t="s">
        <v>9</v>
      </c>
      <c r="D57">
        <v>4.25</v>
      </c>
      <c r="E57">
        <v>1</v>
      </c>
      <c r="F57" t="s">
        <v>14</v>
      </c>
      <c r="G57">
        <v>15</v>
      </c>
      <c r="H57">
        <v>4.8874999999999993</v>
      </c>
      <c r="I57">
        <v>14.999999999999991</v>
      </c>
      <c r="J57" t="s">
        <v>20</v>
      </c>
    </row>
    <row r="58" spans="1:10" x14ac:dyDescent="0.2">
      <c r="A58">
        <v>10057</v>
      </c>
      <c r="B58" t="s">
        <v>7</v>
      </c>
      <c r="C58" t="s">
        <v>9</v>
      </c>
      <c r="D58">
        <v>13.07</v>
      </c>
      <c r="E58">
        <v>9</v>
      </c>
      <c r="F58" t="s">
        <v>16</v>
      </c>
      <c r="G58">
        <v>60</v>
      </c>
      <c r="H58">
        <v>20.912000000000003</v>
      </c>
      <c r="I58">
        <v>60.000000000000007</v>
      </c>
      <c r="J58" t="s">
        <v>20</v>
      </c>
    </row>
    <row r="59" spans="1:10" x14ac:dyDescent="0.2">
      <c r="A59">
        <v>10058</v>
      </c>
      <c r="B59" t="s">
        <v>8</v>
      </c>
      <c r="C59" t="s">
        <v>6</v>
      </c>
      <c r="D59">
        <v>10.199999999999999</v>
      </c>
      <c r="E59">
        <v>8</v>
      </c>
      <c r="F59" t="s">
        <v>16</v>
      </c>
      <c r="G59">
        <v>55</v>
      </c>
      <c r="H59">
        <v>15.809999999999999</v>
      </c>
      <c r="I59">
        <v>55.000000000000007</v>
      </c>
      <c r="J59" t="s">
        <v>20</v>
      </c>
    </row>
    <row r="60" spans="1:10" x14ac:dyDescent="0.2">
      <c r="A60">
        <v>10059</v>
      </c>
      <c r="B60" t="s">
        <v>5</v>
      </c>
      <c r="C60" t="s">
        <v>9</v>
      </c>
      <c r="D60">
        <v>7</v>
      </c>
      <c r="E60">
        <v>1</v>
      </c>
      <c r="F60" t="s">
        <v>14</v>
      </c>
      <c r="G60">
        <v>15</v>
      </c>
      <c r="H60">
        <v>8.0499999999999989</v>
      </c>
      <c r="I60">
        <v>14.999999999999991</v>
      </c>
      <c r="J60" t="s">
        <v>20</v>
      </c>
    </row>
    <row r="61" spans="1:10" x14ac:dyDescent="0.2">
      <c r="A61">
        <v>10060</v>
      </c>
      <c r="B61" t="s">
        <v>8</v>
      </c>
      <c r="C61" t="s">
        <v>9</v>
      </c>
      <c r="D61">
        <v>7.57</v>
      </c>
      <c r="E61">
        <v>10</v>
      </c>
      <c r="F61" t="s">
        <v>16</v>
      </c>
      <c r="G61">
        <v>60</v>
      </c>
      <c r="H61">
        <v>12.112000000000002</v>
      </c>
      <c r="I61">
        <v>60.000000000000007</v>
      </c>
      <c r="J61" t="s">
        <v>20</v>
      </c>
    </row>
    <row r="62" spans="1:10" x14ac:dyDescent="0.2">
      <c r="A62">
        <v>10061</v>
      </c>
      <c r="B62" t="s">
        <v>5</v>
      </c>
      <c r="C62" t="s">
        <v>9</v>
      </c>
      <c r="D62">
        <v>3.46</v>
      </c>
      <c r="E62">
        <v>9</v>
      </c>
      <c r="F62" t="s">
        <v>16</v>
      </c>
      <c r="G62">
        <v>60</v>
      </c>
      <c r="H62">
        <v>5.5360000000000005</v>
      </c>
      <c r="I62">
        <v>60.000000000000007</v>
      </c>
      <c r="J62" t="s">
        <v>20</v>
      </c>
    </row>
    <row r="63" spans="1:10" x14ac:dyDescent="0.2">
      <c r="A63">
        <v>10062</v>
      </c>
      <c r="B63" t="s">
        <v>5</v>
      </c>
      <c r="C63" t="s">
        <v>9</v>
      </c>
      <c r="D63">
        <v>9.59</v>
      </c>
      <c r="E63">
        <v>2</v>
      </c>
      <c r="F63" t="s">
        <v>14</v>
      </c>
      <c r="G63">
        <v>15</v>
      </c>
      <c r="H63">
        <v>11.028499999999999</v>
      </c>
      <c r="I63">
        <v>14.999999999999991</v>
      </c>
      <c r="J63" t="s">
        <v>20</v>
      </c>
    </row>
    <row r="64" spans="1:10" x14ac:dyDescent="0.2">
      <c r="A64">
        <v>10063</v>
      </c>
      <c r="B64" t="s">
        <v>8</v>
      </c>
      <c r="C64" t="s">
        <v>6</v>
      </c>
      <c r="D64">
        <v>5.7</v>
      </c>
      <c r="E64">
        <v>3</v>
      </c>
      <c r="F64" t="s">
        <v>14</v>
      </c>
      <c r="G64">
        <v>12</v>
      </c>
      <c r="H64">
        <v>6.3840000000000012</v>
      </c>
      <c r="I64">
        <v>12.000000000000011</v>
      </c>
      <c r="J64" t="s">
        <v>20</v>
      </c>
    </row>
    <row r="65" spans="1:10" x14ac:dyDescent="0.2">
      <c r="A65">
        <v>10064</v>
      </c>
      <c r="B65" t="s">
        <v>8</v>
      </c>
      <c r="C65" t="s">
        <v>9</v>
      </c>
      <c r="D65">
        <v>14.94</v>
      </c>
      <c r="E65">
        <v>2</v>
      </c>
      <c r="F65" t="s">
        <v>14</v>
      </c>
      <c r="G65">
        <v>15</v>
      </c>
      <c r="H65">
        <v>17.180999999999997</v>
      </c>
      <c r="I65">
        <v>14.999999999999991</v>
      </c>
      <c r="J65" t="s">
        <v>20</v>
      </c>
    </row>
    <row r="66" spans="1:10" x14ac:dyDescent="0.2">
      <c r="A66">
        <v>10065</v>
      </c>
      <c r="B66" t="s">
        <v>5</v>
      </c>
      <c r="C66" t="s">
        <v>6</v>
      </c>
      <c r="D66">
        <v>7.46</v>
      </c>
      <c r="E66">
        <v>8</v>
      </c>
      <c r="F66" t="s">
        <v>16</v>
      </c>
      <c r="G66">
        <v>55</v>
      </c>
      <c r="H66">
        <v>11.563000000000001</v>
      </c>
      <c r="I66">
        <v>55.000000000000007</v>
      </c>
      <c r="J66" t="s">
        <v>20</v>
      </c>
    </row>
    <row r="67" spans="1:10" x14ac:dyDescent="0.2">
      <c r="A67">
        <v>10066</v>
      </c>
      <c r="B67" t="s">
        <v>10</v>
      </c>
      <c r="C67" t="s">
        <v>11</v>
      </c>
      <c r="D67">
        <v>7.55</v>
      </c>
      <c r="E67">
        <v>2</v>
      </c>
      <c r="F67" t="s">
        <v>14</v>
      </c>
      <c r="G67">
        <v>10</v>
      </c>
      <c r="H67">
        <v>8.3049999999999997</v>
      </c>
      <c r="I67">
        <v>10.000000000000009</v>
      </c>
      <c r="J67" t="s">
        <v>20</v>
      </c>
    </row>
    <row r="68" spans="1:10" x14ac:dyDescent="0.2">
      <c r="A68">
        <v>10067</v>
      </c>
      <c r="B68" t="s">
        <v>7</v>
      </c>
      <c r="C68" t="s">
        <v>6</v>
      </c>
      <c r="D68">
        <v>8.6999999999999993</v>
      </c>
      <c r="E68">
        <v>10</v>
      </c>
      <c r="F68" t="s">
        <v>16</v>
      </c>
      <c r="G68">
        <v>55</v>
      </c>
      <c r="H68">
        <v>13.484999999999999</v>
      </c>
      <c r="I68">
        <v>55.000000000000007</v>
      </c>
      <c r="J68" t="s">
        <v>20</v>
      </c>
    </row>
    <row r="69" spans="1:10" x14ac:dyDescent="0.2">
      <c r="A69">
        <v>10068</v>
      </c>
      <c r="B69" t="s">
        <v>8</v>
      </c>
      <c r="C69" t="s">
        <v>6</v>
      </c>
      <c r="D69">
        <v>13.79</v>
      </c>
      <c r="E69">
        <v>2</v>
      </c>
      <c r="F69" t="s">
        <v>14</v>
      </c>
      <c r="G69">
        <v>12</v>
      </c>
      <c r="H69">
        <v>15.444800000000001</v>
      </c>
      <c r="I69">
        <v>12.000000000000011</v>
      </c>
      <c r="J69" t="s">
        <v>20</v>
      </c>
    </row>
    <row r="70" spans="1:10" x14ac:dyDescent="0.2">
      <c r="A70">
        <v>10069</v>
      </c>
      <c r="B70" t="s">
        <v>7</v>
      </c>
      <c r="C70" t="s">
        <v>9</v>
      </c>
      <c r="D70">
        <v>12.11</v>
      </c>
      <c r="E70">
        <v>1</v>
      </c>
      <c r="F70" t="s">
        <v>14</v>
      </c>
      <c r="G70">
        <v>15</v>
      </c>
      <c r="H70">
        <v>13.926499999999999</v>
      </c>
      <c r="I70">
        <v>14.999999999999991</v>
      </c>
      <c r="J70" t="s">
        <v>20</v>
      </c>
    </row>
    <row r="71" spans="1:10" x14ac:dyDescent="0.2">
      <c r="A71">
        <v>10070</v>
      </c>
      <c r="B71" t="s">
        <v>10</v>
      </c>
      <c r="C71" t="s">
        <v>11</v>
      </c>
      <c r="D71">
        <v>7.04</v>
      </c>
      <c r="E71">
        <v>7</v>
      </c>
      <c r="F71" t="s">
        <v>15</v>
      </c>
      <c r="G71">
        <v>25</v>
      </c>
      <c r="H71">
        <v>8.8000000000000007</v>
      </c>
      <c r="I71">
        <v>25</v>
      </c>
      <c r="J71" t="s">
        <v>20</v>
      </c>
    </row>
    <row r="72" spans="1:10" x14ac:dyDescent="0.2">
      <c r="A72">
        <v>10071</v>
      </c>
      <c r="B72" t="s">
        <v>10</v>
      </c>
      <c r="C72" t="s">
        <v>11</v>
      </c>
      <c r="D72">
        <v>10.92</v>
      </c>
      <c r="E72">
        <v>2</v>
      </c>
      <c r="F72" t="s">
        <v>14</v>
      </c>
      <c r="G72">
        <v>10</v>
      </c>
      <c r="H72">
        <v>12.012</v>
      </c>
      <c r="I72">
        <v>10.000000000000009</v>
      </c>
      <c r="J72" t="s">
        <v>20</v>
      </c>
    </row>
    <row r="73" spans="1:10" x14ac:dyDescent="0.2">
      <c r="A73">
        <v>10072</v>
      </c>
      <c r="B73" t="s">
        <v>10</v>
      </c>
      <c r="C73" t="s">
        <v>11</v>
      </c>
      <c r="D73">
        <v>9</v>
      </c>
      <c r="E73">
        <v>10</v>
      </c>
      <c r="F73" t="s">
        <v>16</v>
      </c>
      <c r="G73">
        <v>50</v>
      </c>
      <c r="H73">
        <v>13.5</v>
      </c>
      <c r="I73">
        <v>50</v>
      </c>
      <c r="J73" t="s">
        <v>20</v>
      </c>
    </row>
    <row r="74" spans="1:10" x14ac:dyDescent="0.2">
      <c r="A74">
        <v>10073</v>
      </c>
      <c r="B74" t="s">
        <v>8</v>
      </c>
      <c r="C74" t="s">
        <v>11</v>
      </c>
      <c r="D74">
        <v>7.64</v>
      </c>
      <c r="E74">
        <v>5</v>
      </c>
      <c r="F74" t="s">
        <v>15</v>
      </c>
      <c r="G74">
        <v>25</v>
      </c>
      <c r="H74">
        <v>9.5499999999999989</v>
      </c>
      <c r="I74">
        <v>25</v>
      </c>
      <c r="J74" t="s">
        <v>20</v>
      </c>
    </row>
    <row r="75" spans="1:10" x14ac:dyDescent="0.2">
      <c r="A75">
        <v>10074</v>
      </c>
      <c r="B75" t="s">
        <v>10</v>
      </c>
      <c r="C75" t="s">
        <v>6</v>
      </c>
      <c r="D75">
        <v>3.29</v>
      </c>
      <c r="E75">
        <v>5</v>
      </c>
      <c r="F75" t="s">
        <v>15</v>
      </c>
      <c r="G75">
        <v>28</v>
      </c>
      <c r="H75">
        <v>4.2111999999999998</v>
      </c>
      <c r="I75">
        <v>28.000000000000004</v>
      </c>
      <c r="J75" t="s">
        <v>20</v>
      </c>
    </row>
    <row r="76" spans="1:10" x14ac:dyDescent="0.2">
      <c r="A76">
        <v>10075</v>
      </c>
      <c r="B76" t="s">
        <v>8</v>
      </c>
      <c r="C76" t="s">
        <v>11</v>
      </c>
      <c r="D76">
        <v>7.23</v>
      </c>
      <c r="E76">
        <v>3</v>
      </c>
      <c r="F76" t="s">
        <v>14</v>
      </c>
      <c r="G76">
        <v>10</v>
      </c>
      <c r="H76">
        <v>7.9530000000000012</v>
      </c>
      <c r="I76">
        <v>10.000000000000009</v>
      </c>
      <c r="J76" t="s">
        <v>20</v>
      </c>
    </row>
    <row r="77" spans="1:10" x14ac:dyDescent="0.2">
      <c r="A77">
        <v>10076</v>
      </c>
      <c r="B77" t="s">
        <v>10</v>
      </c>
      <c r="C77" t="s">
        <v>6</v>
      </c>
      <c r="D77">
        <v>4.0599999999999996</v>
      </c>
      <c r="E77">
        <v>3</v>
      </c>
      <c r="F77" t="s">
        <v>14</v>
      </c>
      <c r="G77">
        <v>12</v>
      </c>
      <c r="H77">
        <v>4.5472000000000001</v>
      </c>
      <c r="I77">
        <v>12.000000000000011</v>
      </c>
      <c r="J77" t="s">
        <v>20</v>
      </c>
    </row>
    <row r="78" spans="1:10" x14ac:dyDescent="0.2">
      <c r="A78">
        <v>10077</v>
      </c>
      <c r="B78" t="s">
        <v>7</v>
      </c>
      <c r="C78" t="s">
        <v>6</v>
      </c>
      <c r="D78">
        <v>13.77</v>
      </c>
      <c r="E78">
        <v>3</v>
      </c>
      <c r="F78" t="s">
        <v>14</v>
      </c>
      <c r="G78">
        <v>12</v>
      </c>
      <c r="H78">
        <v>15.422400000000001</v>
      </c>
      <c r="I78">
        <v>12.000000000000011</v>
      </c>
      <c r="J78" t="s">
        <v>20</v>
      </c>
    </row>
    <row r="79" spans="1:10" x14ac:dyDescent="0.2">
      <c r="A79">
        <v>10078</v>
      </c>
      <c r="B79" t="s">
        <v>7</v>
      </c>
      <c r="C79" t="s">
        <v>6</v>
      </c>
      <c r="D79">
        <v>5.36</v>
      </c>
      <c r="E79">
        <v>6</v>
      </c>
      <c r="F79" t="s">
        <v>15</v>
      </c>
      <c r="G79">
        <v>28</v>
      </c>
      <c r="H79">
        <v>6.8608000000000002</v>
      </c>
      <c r="I79">
        <v>28.000000000000004</v>
      </c>
      <c r="J79" t="s">
        <v>20</v>
      </c>
    </row>
    <row r="80" spans="1:10" x14ac:dyDescent="0.2">
      <c r="A80">
        <v>10079</v>
      </c>
      <c r="B80" t="s">
        <v>5</v>
      </c>
      <c r="C80" t="s">
        <v>11</v>
      </c>
      <c r="D80">
        <v>14.31</v>
      </c>
      <c r="E80">
        <v>4</v>
      </c>
      <c r="F80" t="s">
        <v>15</v>
      </c>
      <c r="G80">
        <v>25</v>
      </c>
      <c r="H80">
        <v>17.887499999999999</v>
      </c>
      <c r="I80">
        <v>25</v>
      </c>
      <c r="J80" t="s">
        <v>20</v>
      </c>
    </row>
    <row r="81" spans="1:10" x14ac:dyDescent="0.2">
      <c r="A81">
        <v>10080</v>
      </c>
      <c r="B81" t="s">
        <v>7</v>
      </c>
      <c r="C81" t="s">
        <v>9</v>
      </c>
      <c r="D81">
        <v>8.23</v>
      </c>
      <c r="E81">
        <v>3</v>
      </c>
      <c r="F81" t="s">
        <v>14</v>
      </c>
      <c r="G81">
        <v>15</v>
      </c>
      <c r="H81">
        <v>9.4644999999999992</v>
      </c>
      <c r="I81">
        <v>14.999999999999991</v>
      </c>
      <c r="J81" t="s">
        <v>20</v>
      </c>
    </row>
    <row r="82" spans="1:10" x14ac:dyDescent="0.2">
      <c r="A82">
        <v>10081</v>
      </c>
      <c r="B82" t="s">
        <v>5</v>
      </c>
      <c r="C82" t="s">
        <v>9</v>
      </c>
      <c r="D82">
        <v>9.66</v>
      </c>
      <c r="E82">
        <v>2</v>
      </c>
      <c r="F82" t="s">
        <v>14</v>
      </c>
      <c r="G82">
        <v>15</v>
      </c>
      <c r="H82">
        <v>11.109</v>
      </c>
      <c r="I82">
        <v>14.999999999999991</v>
      </c>
      <c r="J82" t="s">
        <v>20</v>
      </c>
    </row>
    <row r="83" spans="1:10" x14ac:dyDescent="0.2">
      <c r="A83">
        <v>10082</v>
      </c>
      <c r="B83" t="s">
        <v>7</v>
      </c>
      <c r="C83" t="s">
        <v>11</v>
      </c>
      <c r="D83">
        <v>8.3699999999999992</v>
      </c>
      <c r="E83">
        <v>3</v>
      </c>
      <c r="F83" t="s">
        <v>14</v>
      </c>
      <c r="G83">
        <v>10</v>
      </c>
      <c r="H83">
        <v>9.2070000000000007</v>
      </c>
      <c r="I83">
        <v>10.000000000000009</v>
      </c>
      <c r="J83" t="s">
        <v>20</v>
      </c>
    </row>
    <row r="84" spans="1:10" x14ac:dyDescent="0.2">
      <c r="A84">
        <v>10083</v>
      </c>
      <c r="B84" t="s">
        <v>8</v>
      </c>
      <c r="C84" t="s">
        <v>9</v>
      </c>
      <c r="D84">
        <v>2.38</v>
      </c>
      <c r="E84">
        <v>4</v>
      </c>
      <c r="F84" t="s">
        <v>15</v>
      </c>
      <c r="G84">
        <v>30</v>
      </c>
      <c r="H84">
        <v>3.0939999999999999</v>
      </c>
      <c r="I84">
        <v>30.000000000000004</v>
      </c>
      <c r="J84" t="s">
        <v>20</v>
      </c>
    </row>
    <row r="85" spans="1:10" x14ac:dyDescent="0.2">
      <c r="A85">
        <v>10084</v>
      </c>
      <c r="B85" t="s">
        <v>7</v>
      </c>
      <c r="C85" t="s">
        <v>9</v>
      </c>
      <c r="D85">
        <v>5.95</v>
      </c>
      <c r="E85">
        <v>6</v>
      </c>
      <c r="F85" t="s">
        <v>15</v>
      </c>
      <c r="G85">
        <v>30</v>
      </c>
      <c r="H85">
        <v>7.7350000000000003</v>
      </c>
      <c r="I85">
        <v>30.000000000000004</v>
      </c>
      <c r="J85" t="s">
        <v>20</v>
      </c>
    </row>
    <row r="86" spans="1:10" x14ac:dyDescent="0.2">
      <c r="A86">
        <v>10085</v>
      </c>
      <c r="B86" t="s">
        <v>5</v>
      </c>
      <c r="C86" t="s">
        <v>6</v>
      </c>
      <c r="D86">
        <v>1.94</v>
      </c>
      <c r="E86">
        <v>4</v>
      </c>
      <c r="F86" t="s">
        <v>15</v>
      </c>
      <c r="G86">
        <v>28</v>
      </c>
      <c r="H86">
        <v>2.4832000000000001</v>
      </c>
      <c r="I86">
        <v>28.000000000000004</v>
      </c>
      <c r="J86" t="s">
        <v>20</v>
      </c>
    </row>
    <row r="87" spans="1:10" x14ac:dyDescent="0.2">
      <c r="A87">
        <v>10086</v>
      </c>
      <c r="B87" t="s">
        <v>5</v>
      </c>
      <c r="C87" t="s">
        <v>6</v>
      </c>
      <c r="D87">
        <v>9.5299999999999994</v>
      </c>
      <c r="E87">
        <v>8</v>
      </c>
      <c r="F87" t="s">
        <v>16</v>
      </c>
      <c r="G87">
        <v>55</v>
      </c>
      <c r="H87">
        <v>14.7715</v>
      </c>
      <c r="I87">
        <v>55.000000000000007</v>
      </c>
      <c r="J87" t="s">
        <v>20</v>
      </c>
    </row>
    <row r="88" spans="1:10" x14ac:dyDescent="0.2">
      <c r="A88">
        <v>10087</v>
      </c>
      <c r="B88" t="s">
        <v>10</v>
      </c>
      <c r="C88" t="s">
        <v>11</v>
      </c>
      <c r="D88">
        <v>6.98</v>
      </c>
      <c r="E88">
        <v>3</v>
      </c>
      <c r="F88" t="s">
        <v>14</v>
      </c>
      <c r="G88">
        <v>10</v>
      </c>
      <c r="H88">
        <v>7.6780000000000008</v>
      </c>
      <c r="I88">
        <v>10.000000000000009</v>
      </c>
      <c r="J88" t="s">
        <v>20</v>
      </c>
    </row>
    <row r="89" spans="1:10" x14ac:dyDescent="0.2">
      <c r="A89">
        <v>10088</v>
      </c>
      <c r="B89" t="s">
        <v>8</v>
      </c>
      <c r="C89" t="s">
        <v>11</v>
      </c>
      <c r="D89">
        <v>11.78</v>
      </c>
      <c r="E89">
        <v>3</v>
      </c>
      <c r="F89" t="s">
        <v>14</v>
      </c>
      <c r="G89">
        <v>10</v>
      </c>
      <c r="H89">
        <v>12.958</v>
      </c>
      <c r="I89">
        <v>10.000000000000009</v>
      </c>
      <c r="J89" t="s">
        <v>20</v>
      </c>
    </row>
    <row r="90" spans="1:10" x14ac:dyDescent="0.2">
      <c r="A90">
        <v>10089</v>
      </c>
      <c r="B90" t="s">
        <v>7</v>
      </c>
      <c r="C90" t="s">
        <v>9</v>
      </c>
      <c r="D90">
        <v>3.7</v>
      </c>
      <c r="E90">
        <v>3</v>
      </c>
      <c r="F90" t="s">
        <v>14</v>
      </c>
      <c r="G90">
        <v>15</v>
      </c>
      <c r="H90">
        <v>4.2549999999999999</v>
      </c>
      <c r="I90">
        <v>14.999999999999991</v>
      </c>
      <c r="J90" t="s">
        <v>20</v>
      </c>
    </row>
    <row r="91" spans="1:10" x14ac:dyDescent="0.2">
      <c r="A91">
        <v>10090</v>
      </c>
      <c r="B91" t="s">
        <v>10</v>
      </c>
      <c r="C91" t="s">
        <v>6</v>
      </c>
      <c r="D91">
        <v>2.89</v>
      </c>
      <c r="E91">
        <v>8</v>
      </c>
      <c r="F91" t="s">
        <v>16</v>
      </c>
      <c r="G91">
        <v>55</v>
      </c>
      <c r="H91">
        <v>4.4795000000000007</v>
      </c>
      <c r="I91">
        <v>55.000000000000028</v>
      </c>
      <c r="J91" t="s">
        <v>20</v>
      </c>
    </row>
    <row r="92" spans="1:10" x14ac:dyDescent="0.2">
      <c r="A92">
        <v>10091</v>
      </c>
      <c r="B92" t="s">
        <v>7</v>
      </c>
      <c r="C92" t="s">
        <v>11</v>
      </c>
      <c r="D92">
        <v>6.39</v>
      </c>
      <c r="E92">
        <v>4</v>
      </c>
      <c r="F92" t="s">
        <v>15</v>
      </c>
      <c r="G92">
        <v>25</v>
      </c>
      <c r="H92">
        <v>7.9874999999999998</v>
      </c>
      <c r="I92">
        <v>25</v>
      </c>
      <c r="J92" t="s">
        <v>20</v>
      </c>
    </row>
    <row r="93" spans="1:10" x14ac:dyDescent="0.2">
      <c r="A93">
        <v>10092</v>
      </c>
      <c r="B93" t="s">
        <v>7</v>
      </c>
      <c r="C93" t="s">
        <v>11</v>
      </c>
      <c r="D93">
        <v>13.94</v>
      </c>
      <c r="E93">
        <v>1</v>
      </c>
      <c r="F93" t="s">
        <v>14</v>
      </c>
      <c r="G93">
        <v>10</v>
      </c>
      <c r="H93">
        <v>15.334000000000001</v>
      </c>
      <c r="I93">
        <v>10.000000000000009</v>
      </c>
      <c r="J93" t="s">
        <v>20</v>
      </c>
    </row>
    <row r="94" spans="1:10" x14ac:dyDescent="0.2">
      <c r="A94">
        <v>10093</v>
      </c>
      <c r="B94" t="s">
        <v>10</v>
      </c>
      <c r="C94" t="s">
        <v>11</v>
      </c>
      <c r="D94">
        <v>10.8</v>
      </c>
      <c r="E94">
        <v>2</v>
      </c>
      <c r="F94" t="s">
        <v>14</v>
      </c>
      <c r="G94">
        <v>10</v>
      </c>
      <c r="H94">
        <v>11.880000000000003</v>
      </c>
      <c r="I94">
        <v>10.000000000000009</v>
      </c>
      <c r="J94" t="s">
        <v>20</v>
      </c>
    </row>
    <row r="95" spans="1:10" x14ac:dyDescent="0.2">
      <c r="A95">
        <v>10094</v>
      </c>
      <c r="B95" t="s">
        <v>10</v>
      </c>
      <c r="C95" t="s">
        <v>11</v>
      </c>
      <c r="D95">
        <v>6.57</v>
      </c>
      <c r="E95">
        <v>10</v>
      </c>
      <c r="F95" t="s">
        <v>16</v>
      </c>
      <c r="G95">
        <v>50</v>
      </c>
      <c r="H95">
        <v>9.8550000000000004</v>
      </c>
      <c r="I95">
        <v>50</v>
      </c>
      <c r="J95" t="s">
        <v>20</v>
      </c>
    </row>
    <row r="96" spans="1:10" x14ac:dyDescent="0.2">
      <c r="A96">
        <v>10095</v>
      </c>
      <c r="B96" t="s">
        <v>10</v>
      </c>
      <c r="C96" t="s">
        <v>11</v>
      </c>
      <c r="D96">
        <v>8</v>
      </c>
      <c r="E96">
        <v>2</v>
      </c>
      <c r="F96" t="s">
        <v>14</v>
      </c>
      <c r="G96">
        <v>10</v>
      </c>
      <c r="H96">
        <v>8.8000000000000007</v>
      </c>
      <c r="I96">
        <v>10.000000000000009</v>
      </c>
      <c r="J96" t="s">
        <v>20</v>
      </c>
    </row>
    <row r="97" spans="1:10" x14ac:dyDescent="0.2">
      <c r="A97">
        <v>10096</v>
      </c>
      <c r="B97" t="s">
        <v>10</v>
      </c>
      <c r="C97" t="s">
        <v>11</v>
      </c>
      <c r="D97">
        <v>1.72</v>
      </c>
      <c r="E97">
        <v>3</v>
      </c>
      <c r="F97" t="s">
        <v>14</v>
      </c>
      <c r="G97">
        <v>10</v>
      </c>
      <c r="H97">
        <v>1.8920000000000001</v>
      </c>
      <c r="I97">
        <v>10.000000000000009</v>
      </c>
      <c r="J97" t="s">
        <v>20</v>
      </c>
    </row>
    <row r="98" spans="1:10" x14ac:dyDescent="0.2">
      <c r="A98">
        <v>10097</v>
      </c>
      <c r="B98" t="s">
        <v>10</v>
      </c>
      <c r="C98" t="s">
        <v>9</v>
      </c>
      <c r="D98">
        <v>14.78</v>
      </c>
      <c r="E98">
        <v>6</v>
      </c>
      <c r="F98" t="s">
        <v>15</v>
      </c>
      <c r="G98">
        <v>30</v>
      </c>
      <c r="H98">
        <v>19.213999999999999</v>
      </c>
      <c r="I98">
        <v>30.000000000000004</v>
      </c>
      <c r="J98" t="s">
        <v>20</v>
      </c>
    </row>
    <row r="99" spans="1:10" x14ac:dyDescent="0.2">
      <c r="A99">
        <v>10098</v>
      </c>
      <c r="B99" t="s">
        <v>7</v>
      </c>
      <c r="C99" t="s">
        <v>6</v>
      </c>
      <c r="D99">
        <v>10.16</v>
      </c>
      <c r="E99">
        <v>8</v>
      </c>
      <c r="F99" t="s">
        <v>16</v>
      </c>
      <c r="G99">
        <v>55</v>
      </c>
      <c r="H99">
        <v>15.748000000000001</v>
      </c>
      <c r="I99">
        <v>55.000000000000007</v>
      </c>
      <c r="J99" t="s">
        <v>20</v>
      </c>
    </row>
    <row r="100" spans="1:10" x14ac:dyDescent="0.2">
      <c r="A100">
        <v>10099</v>
      </c>
      <c r="B100" t="s">
        <v>10</v>
      </c>
      <c r="C100" t="s">
        <v>6</v>
      </c>
      <c r="D100">
        <v>4.6399999999999997</v>
      </c>
      <c r="E100">
        <v>1</v>
      </c>
      <c r="F100" t="s">
        <v>14</v>
      </c>
      <c r="G100">
        <v>12</v>
      </c>
      <c r="H100">
        <v>5.1968000000000005</v>
      </c>
      <c r="I100">
        <v>12.000000000000011</v>
      </c>
      <c r="J100" t="s">
        <v>20</v>
      </c>
    </row>
    <row r="101" spans="1:10" x14ac:dyDescent="0.2">
      <c r="A101">
        <v>10100</v>
      </c>
      <c r="B101" t="s">
        <v>8</v>
      </c>
      <c r="C101" t="s">
        <v>11</v>
      </c>
      <c r="D101">
        <v>8.99</v>
      </c>
      <c r="E101">
        <v>9</v>
      </c>
      <c r="F101" t="s">
        <v>16</v>
      </c>
      <c r="G101">
        <v>50</v>
      </c>
      <c r="H101">
        <v>13.484999999999999</v>
      </c>
      <c r="I101">
        <v>50</v>
      </c>
      <c r="J101" t="s">
        <v>20</v>
      </c>
    </row>
    <row r="102" spans="1:10" x14ac:dyDescent="0.2">
      <c r="A102">
        <v>10101</v>
      </c>
      <c r="B102" t="s">
        <v>5</v>
      </c>
      <c r="C102" t="s">
        <v>6</v>
      </c>
      <c r="D102">
        <v>2.09</v>
      </c>
      <c r="E102">
        <v>1</v>
      </c>
      <c r="F102" t="s">
        <v>14</v>
      </c>
      <c r="G102">
        <v>12</v>
      </c>
      <c r="H102">
        <v>2.3408000000000002</v>
      </c>
      <c r="I102">
        <v>12.000000000000011</v>
      </c>
      <c r="J102" t="s">
        <v>20</v>
      </c>
    </row>
    <row r="103" spans="1:10" x14ac:dyDescent="0.2">
      <c r="A103">
        <v>10102</v>
      </c>
      <c r="B103" t="s">
        <v>10</v>
      </c>
      <c r="C103" t="s">
        <v>6</v>
      </c>
      <c r="D103">
        <v>14.5</v>
      </c>
      <c r="E103">
        <v>10</v>
      </c>
      <c r="F103" t="s">
        <v>16</v>
      </c>
      <c r="G103">
        <v>55</v>
      </c>
      <c r="H103">
        <v>22.475000000000001</v>
      </c>
      <c r="I103">
        <v>55.000000000000007</v>
      </c>
      <c r="J103" t="s">
        <v>20</v>
      </c>
    </row>
    <row r="104" spans="1:10" x14ac:dyDescent="0.2">
      <c r="A104">
        <v>10103</v>
      </c>
      <c r="B104" t="s">
        <v>10</v>
      </c>
      <c r="C104" t="s">
        <v>6</v>
      </c>
      <c r="D104">
        <v>3.03</v>
      </c>
      <c r="E104">
        <v>2</v>
      </c>
      <c r="F104" t="s">
        <v>14</v>
      </c>
      <c r="G104">
        <v>12</v>
      </c>
      <c r="H104">
        <v>3.3936000000000002</v>
      </c>
      <c r="I104">
        <v>12.000000000000011</v>
      </c>
      <c r="J104" t="s">
        <v>20</v>
      </c>
    </row>
    <row r="105" spans="1:10" x14ac:dyDescent="0.2">
      <c r="A105">
        <v>10104</v>
      </c>
      <c r="B105" t="s">
        <v>7</v>
      </c>
      <c r="C105" t="s">
        <v>11</v>
      </c>
      <c r="D105">
        <v>9.9</v>
      </c>
      <c r="E105">
        <v>3</v>
      </c>
      <c r="F105" t="s">
        <v>14</v>
      </c>
      <c r="G105">
        <v>10</v>
      </c>
      <c r="H105">
        <v>10.89</v>
      </c>
      <c r="I105">
        <v>10.000000000000009</v>
      </c>
      <c r="J105" t="s">
        <v>20</v>
      </c>
    </row>
    <row r="106" spans="1:10" x14ac:dyDescent="0.2">
      <c r="A106">
        <v>10105</v>
      </c>
      <c r="B106" t="s">
        <v>10</v>
      </c>
      <c r="C106" t="s">
        <v>11</v>
      </c>
      <c r="D106">
        <v>4.0599999999999996</v>
      </c>
      <c r="E106">
        <v>7</v>
      </c>
      <c r="F106" t="s">
        <v>15</v>
      </c>
      <c r="G106">
        <v>25</v>
      </c>
      <c r="H106">
        <v>5.0749999999999993</v>
      </c>
      <c r="I106">
        <v>25</v>
      </c>
      <c r="J106" t="s">
        <v>20</v>
      </c>
    </row>
    <row r="107" spans="1:10" x14ac:dyDescent="0.2">
      <c r="A107">
        <v>10106</v>
      </c>
      <c r="B107" t="s">
        <v>10</v>
      </c>
      <c r="C107" t="s">
        <v>6</v>
      </c>
      <c r="D107">
        <v>10.9</v>
      </c>
      <c r="E107">
        <v>9</v>
      </c>
      <c r="F107" t="s">
        <v>16</v>
      </c>
      <c r="G107">
        <v>55</v>
      </c>
      <c r="H107">
        <v>16.895</v>
      </c>
      <c r="I107">
        <v>54.999999999999986</v>
      </c>
      <c r="J107" t="s">
        <v>20</v>
      </c>
    </row>
    <row r="108" spans="1:10" x14ac:dyDescent="0.2">
      <c r="A108">
        <v>10107</v>
      </c>
      <c r="B108" t="s">
        <v>10</v>
      </c>
      <c r="C108" t="s">
        <v>6</v>
      </c>
      <c r="D108">
        <v>11.76</v>
      </c>
      <c r="E108">
        <v>3</v>
      </c>
      <c r="F108" t="s">
        <v>14</v>
      </c>
      <c r="G108">
        <v>12</v>
      </c>
      <c r="H108">
        <v>13.171200000000001</v>
      </c>
      <c r="I108">
        <v>12.000000000000011</v>
      </c>
      <c r="J108" t="s">
        <v>20</v>
      </c>
    </row>
    <row r="109" spans="1:10" x14ac:dyDescent="0.2">
      <c r="A109">
        <v>10108</v>
      </c>
      <c r="B109" t="s">
        <v>7</v>
      </c>
      <c r="C109" t="s">
        <v>11</v>
      </c>
      <c r="D109">
        <v>10.26</v>
      </c>
      <c r="E109">
        <v>8</v>
      </c>
      <c r="F109" t="s">
        <v>16</v>
      </c>
      <c r="G109">
        <v>50</v>
      </c>
      <c r="H109">
        <v>15.39</v>
      </c>
      <c r="I109">
        <v>50</v>
      </c>
      <c r="J109" t="s">
        <v>20</v>
      </c>
    </row>
    <row r="110" spans="1:10" x14ac:dyDescent="0.2">
      <c r="A110">
        <v>10109</v>
      </c>
      <c r="B110" t="s">
        <v>10</v>
      </c>
      <c r="C110" t="s">
        <v>9</v>
      </c>
      <c r="D110">
        <v>9.41</v>
      </c>
      <c r="E110">
        <v>9</v>
      </c>
      <c r="F110" t="s">
        <v>16</v>
      </c>
      <c r="G110">
        <v>60</v>
      </c>
      <c r="H110">
        <v>15.056000000000001</v>
      </c>
      <c r="I110">
        <v>60.000000000000007</v>
      </c>
      <c r="J110" t="s">
        <v>20</v>
      </c>
    </row>
    <row r="111" spans="1:10" x14ac:dyDescent="0.2">
      <c r="A111">
        <v>10110</v>
      </c>
      <c r="B111" t="s">
        <v>5</v>
      </c>
      <c r="C111" t="s">
        <v>6</v>
      </c>
      <c r="D111">
        <v>13.44</v>
      </c>
      <c r="E111">
        <v>10</v>
      </c>
      <c r="F111" t="s">
        <v>16</v>
      </c>
      <c r="G111">
        <v>55</v>
      </c>
      <c r="H111">
        <v>20.832000000000001</v>
      </c>
      <c r="I111">
        <v>55.000000000000007</v>
      </c>
      <c r="J111" t="s">
        <v>20</v>
      </c>
    </row>
    <row r="112" spans="1:10" x14ac:dyDescent="0.2">
      <c r="A112">
        <v>10111</v>
      </c>
      <c r="B112" t="s">
        <v>7</v>
      </c>
      <c r="C112" t="s">
        <v>9</v>
      </c>
      <c r="D112">
        <v>1.64</v>
      </c>
      <c r="E112">
        <v>7</v>
      </c>
      <c r="F112" t="s">
        <v>15</v>
      </c>
      <c r="G112">
        <v>30</v>
      </c>
      <c r="H112">
        <v>2.1320000000000001</v>
      </c>
      <c r="I112">
        <v>30.000000000000004</v>
      </c>
      <c r="J112" t="s">
        <v>20</v>
      </c>
    </row>
    <row r="113" spans="1:10" x14ac:dyDescent="0.2">
      <c r="A113">
        <v>10112</v>
      </c>
      <c r="B113" t="s">
        <v>5</v>
      </c>
      <c r="C113" t="s">
        <v>6</v>
      </c>
      <c r="D113">
        <v>5.3</v>
      </c>
      <c r="E113">
        <v>4</v>
      </c>
      <c r="F113" t="s">
        <v>15</v>
      </c>
      <c r="G113">
        <v>28</v>
      </c>
      <c r="H113">
        <v>6.7839999999999998</v>
      </c>
      <c r="I113">
        <v>28.000000000000004</v>
      </c>
      <c r="J113" t="s">
        <v>20</v>
      </c>
    </row>
    <row r="114" spans="1:10" x14ac:dyDescent="0.2">
      <c r="A114">
        <v>10113</v>
      </c>
      <c r="B114" t="s">
        <v>7</v>
      </c>
      <c r="C114" t="s">
        <v>9</v>
      </c>
      <c r="D114">
        <v>4.0999999999999996</v>
      </c>
      <c r="E114">
        <v>4</v>
      </c>
      <c r="F114" t="s">
        <v>15</v>
      </c>
      <c r="G114">
        <v>30</v>
      </c>
      <c r="H114">
        <v>5.33</v>
      </c>
      <c r="I114">
        <v>30.000000000000004</v>
      </c>
      <c r="J114" t="s">
        <v>20</v>
      </c>
    </row>
    <row r="115" spans="1:10" x14ac:dyDescent="0.2">
      <c r="A115">
        <v>10114</v>
      </c>
      <c r="B115" t="s">
        <v>10</v>
      </c>
      <c r="C115" t="s">
        <v>9</v>
      </c>
      <c r="D115">
        <v>14.83</v>
      </c>
      <c r="E115">
        <v>4</v>
      </c>
      <c r="F115" t="s">
        <v>15</v>
      </c>
      <c r="G115">
        <v>30</v>
      </c>
      <c r="H115">
        <v>19.279</v>
      </c>
      <c r="I115">
        <v>30.000000000000004</v>
      </c>
      <c r="J115" t="s">
        <v>20</v>
      </c>
    </row>
    <row r="116" spans="1:10" x14ac:dyDescent="0.2">
      <c r="A116">
        <v>10115</v>
      </c>
      <c r="B116" t="s">
        <v>5</v>
      </c>
      <c r="C116" t="s">
        <v>9</v>
      </c>
      <c r="D116">
        <v>6.15</v>
      </c>
      <c r="E116">
        <v>6</v>
      </c>
      <c r="F116" t="s">
        <v>15</v>
      </c>
      <c r="G116">
        <v>30</v>
      </c>
      <c r="H116">
        <v>7.995000000000001</v>
      </c>
      <c r="I116">
        <v>30.000000000000004</v>
      </c>
      <c r="J116" t="s">
        <v>20</v>
      </c>
    </row>
    <row r="117" spans="1:10" x14ac:dyDescent="0.2">
      <c r="A117">
        <v>10116</v>
      </c>
      <c r="B117" t="s">
        <v>7</v>
      </c>
      <c r="C117" t="s">
        <v>11</v>
      </c>
      <c r="D117">
        <v>11.12</v>
      </c>
      <c r="E117">
        <v>4</v>
      </c>
      <c r="F117" t="s">
        <v>15</v>
      </c>
      <c r="G117">
        <v>25</v>
      </c>
      <c r="H117">
        <v>13.899999999999999</v>
      </c>
      <c r="I117">
        <v>25</v>
      </c>
      <c r="J117" t="s">
        <v>20</v>
      </c>
    </row>
    <row r="118" spans="1:10" x14ac:dyDescent="0.2">
      <c r="A118">
        <v>10117</v>
      </c>
      <c r="B118" t="s">
        <v>8</v>
      </c>
      <c r="C118" t="s">
        <v>9</v>
      </c>
      <c r="D118">
        <v>10.43</v>
      </c>
      <c r="E118">
        <v>5</v>
      </c>
      <c r="F118" t="s">
        <v>15</v>
      </c>
      <c r="G118">
        <v>30</v>
      </c>
      <c r="H118">
        <v>13.558999999999999</v>
      </c>
      <c r="I118">
        <v>30.000000000000004</v>
      </c>
      <c r="J118" t="s">
        <v>20</v>
      </c>
    </row>
    <row r="119" spans="1:10" x14ac:dyDescent="0.2">
      <c r="A119">
        <v>10118</v>
      </c>
      <c r="B119" t="s">
        <v>10</v>
      </c>
      <c r="C119" t="s">
        <v>9</v>
      </c>
      <c r="D119">
        <v>3.58</v>
      </c>
      <c r="E119">
        <v>9</v>
      </c>
      <c r="F119" t="s">
        <v>16</v>
      </c>
      <c r="G119">
        <v>60</v>
      </c>
      <c r="H119">
        <v>5.7280000000000006</v>
      </c>
      <c r="I119">
        <v>60.000000000000007</v>
      </c>
      <c r="J119" t="s">
        <v>20</v>
      </c>
    </row>
    <row r="120" spans="1:10" x14ac:dyDescent="0.2">
      <c r="A120">
        <v>10119</v>
      </c>
      <c r="B120" t="s">
        <v>7</v>
      </c>
      <c r="C120" t="s">
        <v>9</v>
      </c>
      <c r="D120">
        <v>3.97</v>
      </c>
      <c r="E120">
        <v>7</v>
      </c>
      <c r="F120" t="s">
        <v>15</v>
      </c>
      <c r="G120">
        <v>30</v>
      </c>
      <c r="H120">
        <v>5.1610000000000005</v>
      </c>
      <c r="I120">
        <v>30.000000000000004</v>
      </c>
      <c r="J120" t="s">
        <v>20</v>
      </c>
    </row>
    <row r="121" spans="1:10" x14ac:dyDescent="0.2">
      <c r="A121">
        <v>10120</v>
      </c>
      <c r="B121" t="s">
        <v>8</v>
      </c>
      <c r="C121" t="s">
        <v>6</v>
      </c>
      <c r="D121">
        <v>4.58</v>
      </c>
      <c r="E121">
        <v>8</v>
      </c>
      <c r="F121" t="s">
        <v>16</v>
      </c>
      <c r="G121">
        <v>55</v>
      </c>
      <c r="H121">
        <v>7.0990000000000002</v>
      </c>
      <c r="I121">
        <v>55.000000000000007</v>
      </c>
      <c r="J121" t="s">
        <v>20</v>
      </c>
    </row>
    <row r="122" spans="1:10" x14ac:dyDescent="0.2">
      <c r="A122">
        <v>10121</v>
      </c>
      <c r="B122" t="s">
        <v>7</v>
      </c>
      <c r="C122" t="s">
        <v>9</v>
      </c>
      <c r="D122">
        <v>6.46</v>
      </c>
      <c r="E122">
        <v>5</v>
      </c>
      <c r="F122" t="s">
        <v>15</v>
      </c>
      <c r="G122">
        <v>30</v>
      </c>
      <c r="H122">
        <v>8.3979999999999997</v>
      </c>
      <c r="I122">
        <v>30.000000000000004</v>
      </c>
      <c r="J122" t="s">
        <v>20</v>
      </c>
    </row>
    <row r="123" spans="1:10" x14ac:dyDescent="0.2">
      <c r="A123">
        <v>10122</v>
      </c>
      <c r="B123" t="s">
        <v>8</v>
      </c>
      <c r="C123" t="s">
        <v>6</v>
      </c>
      <c r="D123">
        <v>3.9</v>
      </c>
      <c r="E123">
        <v>5</v>
      </c>
      <c r="F123" t="s">
        <v>15</v>
      </c>
      <c r="G123">
        <v>28</v>
      </c>
      <c r="H123">
        <v>4.992</v>
      </c>
      <c r="I123">
        <v>28.000000000000004</v>
      </c>
      <c r="J123" t="s">
        <v>20</v>
      </c>
    </row>
    <row r="124" spans="1:10" x14ac:dyDescent="0.2">
      <c r="A124">
        <v>10123</v>
      </c>
      <c r="B124" t="s">
        <v>10</v>
      </c>
      <c r="C124" t="s">
        <v>9</v>
      </c>
      <c r="D124">
        <v>0.78</v>
      </c>
      <c r="E124">
        <v>7</v>
      </c>
      <c r="F124" t="s">
        <v>15</v>
      </c>
      <c r="G124">
        <v>30</v>
      </c>
      <c r="H124">
        <v>1.014</v>
      </c>
      <c r="I124">
        <v>30.000000000000004</v>
      </c>
      <c r="J124" t="s">
        <v>20</v>
      </c>
    </row>
    <row r="125" spans="1:10" x14ac:dyDescent="0.2">
      <c r="A125">
        <v>10124</v>
      </c>
      <c r="B125" t="s">
        <v>5</v>
      </c>
      <c r="C125" t="s">
        <v>9</v>
      </c>
      <c r="D125">
        <v>13.25</v>
      </c>
      <c r="E125">
        <v>8</v>
      </c>
      <c r="F125" t="s">
        <v>16</v>
      </c>
      <c r="G125">
        <v>60</v>
      </c>
      <c r="H125">
        <v>21.200000000000003</v>
      </c>
      <c r="I125">
        <v>60.000000000000028</v>
      </c>
      <c r="J125" t="s">
        <v>20</v>
      </c>
    </row>
    <row r="126" spans="1:10" x14ac:dyDescent="0.2">
      <c r="A126">
        <v>10125</v>
      </c>
      <c r="B126" t="s">
        <v>8</v>
      </c>
      <c r="C126" t="s">
        <v>11</v>
      </c>
      <c r="D126">
        <v>14.5</v>
      </c>
      <c r="E126">
        <v>9</v>
      </c>
      <c r="F126" t="s">
        <v>16</v>
      </c>
      <c r="G126">
        <v>50</v>
      </c>
      <c r="H126">
        <v>21.75</v>
      </c>
      <c r="I126">
        <v>50</v>
      </c>
      <c r="J126" t="s">
        <v>20</v>
      </c>
    </row>
    <row r="127" spans="1:10" x14ac:dyDescent="0.2">
      <c r="A127">
        <v>10126</v>
      </c>
      <c r="B127" t="s">
        <v>7</v>
      </c>
      <c r="C127" t="s">
        <v>6</v>
      </c>
      <c r="D127">
        <v>5.45</v>
      </c>
      <c r="E127">
        <v>2</v>
      </c>
      <c r="F127" t="s">
        <v>14</v>
      </c>
      <c r="G127">
        <v>12</v>
      </c>
      <c r="H127">
        <v>6.104000000000001</v>
      </c>
      <c r="I127">
        <v>12.000000000000011</v>
      </c>
      <c r="J127" t="s">
        <v>20</v>
      </c>
    </row>
    <row r="128" spans="1:10" x14ac:dyDescent="0.2">
      <c r="A128">
        <v>10127</v>
      </c>
      <c r="B128" t="s">
        <v>10</v>
      </c>
      <c r="C128" t="s">
        <v>9</v>
      </c>
      <c r="D128">
        <v>5.41</v>
      </c>
      <c r="E128">
        <v>3</v>
      </c>
      <c r="F128" t="s">
        <v>14</v>
      </c>
      <c r="G128">
        <v>15</v>
      </c>
      <c r="H128">
        <v>6.2214999999999998</v>
      </c>
      <c r="I128">
        <v>14.999999999999991</v>
      </c>
      <c r="J128" t="s">
        <v>20</v>
      </c>
    </row>
    <row r="129" spans="1:10" x14ac:dyDescent="0.2">
      <c r="A129">
        <v>10128</v>
      </c>
      <c r="B129" t="s">
        <v>8</v>
      </c>
      <c r="C129" t="s">
        <v>6</v>
      </c>
      <c r="D129">
        <v>0.6</v>
      </c>
      <c r="E129">
        <v>2</v>
      </c>
      <c r="F129" t="s">
        <v>14</v>
      </c>
      <c r="G129">
        <v>12</v>
      </c>
      <c r="H129">
        <v>0.67200000000000004</v>
      </c>
      <c r="I129">
        <v>12.000000000000011</v>
      </c>
      <c r="J129" t="s">
        <v>20</v>
      </c>
    </row>
    <row r="130" spans="1:10" x14ac:dyDescent="0.2">
      <c r="A130">
        <v>10129</v>
      </c>
      <c r="B130" t="s">
        <v>7</v>
      </c>
      <c r="C130" t="s">
        <v>6</v>
      </c>
      <c r="D130">
        <v>10.36</v>
      </c>
      <c r="E130">
        <v>10</v>
      </c>
      <c r="F130" t="s">
        <v>16</v>
      </c>
      <c r="G130">
        <v>55</v>
      </c>
      <c r="H130">
        <v>16.058</v>
      </c>
      <c r="I130">
        <v>55.000000000000007</v>
      </c>
      <c r="J130" t="s">
        <v>20</v>
      </c>
    </row>
    <row r="131" spans="1:10" x14ac:dyDescent="0.2">
      <c r="A131">
        <v>10130</v>
      </c>
      <c r="B131" t="s">
        <v>7</v>
      </c>
      <c r="C131" t="s">
        <v>11</v>
      </c>
      <c r="D131">
        <v>12.47</v>
      </c>
      <c r="E131">
        <v>7</v>
      </c>
      <c r="F131" t="s">
        <v>15</v>
      </c>
      <c r="G131">
        <v>25</v>
      </c>
      <c r="H131">
        <v>15.5875</v>
      </c>
      <c r="I131">
        <v>25</v>
      </c>
      <c r="J131" t="s">
        <v>20</v>
      </c>
    </row>
    <row r="132" spans="1:10" x14ac:dyDescent="0.2">
      <c r="A132">
        <v>10131</v>
      </c>
      <c r="B132" t="s">
        <v>7</v>
      </c>
      <c r="C132" t="s">
        <v>11</v>
      </c>
      <c r="D132">
        <v>2.63</v>
      </c>
      <c r="E132">
        <v>2</v>
      </c>
      <c r="F132" t="s">
        <v>14</v>
      </c>
      <c r="G132">
        <v>10</v>
      </c>
      <c r="H132">
        <v>2.8930000000000002</v>
      </c>
      <c r="I132">
        <v>10.000000000000009</v>
      </c>
      <c r="J132" t="s">
        <v>20</v>
      </c>
    </row>
    <row r="133" spans="1:10" x14ac:dyDescent="0.2">
      <c r="A133">
        <v>10132</v>
      </c>
      <c r="B133" t="s">
        <v>8</v>
      </c>
      <c r="C133" t="s">
        <v>11</v>
      </c>
      <c r="D133">
        <v>2.82</v>
      </c>
      <c r="E133">
        <v>2</v>
      </c>
      <c r="F133" t="s">
        <v>14</v>
      </c>
      <c r="G133">
        <v>10</v>
      </c>
      <c r="H133">
        <v>3.1019999999999999</v>
      </c>
      <c r="I133">
        <v>10.000000000000009</v>
      </c>
      <c r="J133" t="s">
        <v>20</v>
      </c>
    </row>
    <row r="134" spans="1:10" x14ac:dyDescent="0.2">
      <c r="A134">
        <v>10133</v>
      </c>
      <c r="B134" t="s">
        <v>8</v>
      </c>
      <c r="C134" t="s">
        <v>11</v>
      </c>
      <c r="D134">
        <v>11.96</v>
      </c>
      <c r="E134">
        <v>2</v>
      </c>
      <c r="F134" t="s">
        <v>14</v>
      </c>
      <c r="G134">
        <v>10</v>
      </c>
      <c r="H134">
        <v>13.156000000000002</v>
      </c>
      <c r="I134">
        <v>10.000000000000009</v>
      </c>
      <c r="J134" t="s">
        <v>20</v>
      </c>
    </row>
    <row r="135" spans="1:10" x14ac:dyDescent="0.2">
      <c r="A135">
        <v>10134</v>
      </c>
      <c r="B135" t="s">
        <v>8</v>
      </c>
      <c r="C135" t="s">
        <v>11</v>
      </c>
      <c r="D135">
        <v>9.44</v>
      </c>
      <c r="E135">
        <v>4</v>
      </c>
      <c r="F135" t="s">
        <v>15</v>
      </c>
      <c r="G135">
        <v>25</v>
      </c>
      <c r="H135">
        <v>11.799999999999999</v>
      </c>
      <c r="I135">
        <v>25</v>
      </c>
      <c r="J135" t="s">
        <v>20</v>
      </c>
    </row>
    <row r="136" spans="1:10" x14ac:dyDescent="0.2">
      <c r="A136">
        <v>10135</v>
      </c>
      <c r="B136" t="s">
        <v>5</v>
      </c>
      <c r="C136" t="s">
        <v>11</v>
      </c>
      <c r="D136">
        <v>1.1499999999999999</v>
      </c>
      <c r="E136">
        <v>1</v>
      </c>
      <c r="F136" t="s">
        <v>14</v>
      </c>
      <c r="G136">
        <v>10</v>
      </c>
      <c r="H136">
        <v>1.2649999999999999</v>
      </c>
      <c r="I136">
        <v>10.000000000000009</v>
      </c>
      <c r="J136" t="s">
        <v>20</v>
      </c>
    </row>
    <row r="137" spans="1:10" x14ac:dyDescent="0.2">
      <c r="A137">
        <v>10136</v>
      </c>
      <c r="B137" t="s">
        <v>8</v>
      </c>
      <c r="C137" t="s">
        <v>11</v>
      </c>
      <c r="D137">
        <v>9.5299999999999994</v>
      </c>
      <c r="E137">
        <v>2</v>
      </c>
      <c r="F137" t="s">
        <v>14</v>
      </c>
      <c r="G137">
        <v>10</v>
      </c>
      <c r="H137">
        <v>10.483000000000001</v>
      </c>
      <c r="I137">
        <v>10.000000000000009</v>
      </c>
      <c r="J137" t="s">
        <v>20</v>
      </c>
    </row>
    <row r="138" spans="1:10" x14ac:dyDescent="0.2">
      <c r="A138">
        <v>10137</v>
      </c>
      <c r="B138" t="s">
        <v>8</v>
      </c>
      <c r="C138" t="s">
        <v>11</v>
      </c>
      <c r="D138">
        <v>4.9800000000000004</v>
      </c>
      <c r="E138">
        <v>3</v>
      </c>
      <c r="F138" t="s">
        <v>14</v>
      </c>
      <c r="G138">
        <v>10</v>
      </c>
      <c r="H138">
        <v>5.4780000000000006</v>
      </c>
      <c r="I138">
        <v>10.000000000000009</v>
      </c>
      <c r="J138" t="s">
        <v>20</v>
      </c>
    </row>
    <row r="139" spans="1:10" x14ac:dyDescent="0.2">
      <c r="A139">
        <v>10138</v>
      </c>
      <c r="B139" t="s">
        <v>8</v>
      </c>
      <c r="C139" t="s">
        <v>9</v>
      </c>
      <c r="D139">
        <v>5.85</v>
      </c>
      <c r="E139">
        <v>7</v>
      </c>
      <c r="F139" t="s">
        <v>15</v>
      </c>
      <c r="G139">
        <v>30</v>
      </c>
      <c r="H139">
        <v>7.6049999999999995</v>
      </c>
      <c r="I139">
        <v>30.000000000000004</v>
      </c>
      <c r="J139" t="s">
        <v>20</v>
      </c>
    </row>
    <row r="140" spans="1:10" x14ac:dyDescent="0.2">
      <c r="A140">
        <v>10139</v>
      </c>
      <c r="B140" t="s">
        <v>5</v>
      </c>
      <c r="C140" t="s">
        <v>6</v>
      </c>
      <c r="D140">
        <v>11.66</v>
      </c>
      <c r="E140">
        <v>10</v>
      </c>
      <c r="F140" t="s">
        <v>16</v>
      </c>
      <c r="G140">
        <v>55</v>
      </c>
      <c r="H140">
        <v>18.073</v>
      </c>
      <c r="I140">
        <v>55.000000000000007</v>
      </c>
      <c r="J140" t="s">
        <v>20</v>
      </c>
    </row>
    <row r="141" spans="1:10" x14ac:dyDescent="0.2">
      <c r="A141">
        <v>10140</v>
      </c>
      <c r="B141" t="s">
        <v>8</v>
      </c>
      <c r="C141" t="s">
        <v>11</v>
      </c>
      <c r="D141">
        <v>12.26</v>
      </c>
      <c r="E141">
        <v>1</v>
      </c>
      <c r="F141" t="s">
        <v>14</v>
      </c>
      <c r="G141">
        <v>10</v>
      </c>
      <c r="H141">
        <v>13.486000000000001</v>
      </c>
      <c r="I141">
        <v>10.000000000000009</v>
      </c>
      <c r="J141" t="s">
        <v>20</v>
      </c>
    </row>
    <row r="142" spans="1:10" x14ac:dyDescent="0.2">
      <c r="A142">
        <v>10141</v>
      </c>
      <c r="B142" t="s">
        <v>7</v>
      </c>
      <c r="C142" t="s">
        <v>11</v>
      </c>
      <c r="D142">
        <v>6.31</v>
      </c>
      <c r="E142">
        <v>6</v>
      </c>
      <c r="F142" t="s">
        <v>15</v>
      </c>
      <c r="G142">
        <v>25</v>
      </c>
      <c r="H142">
        <v>7.8874999999999993</v>
      </c>
      <c r="I142">
        <v>25</v>
      </c>
      <c r="J142" t="s">
        <v>20</v>
      </c>
    </row>
    <row r="143" spans="1:10" x14ac:dyDescent="0.2">
      <c r="A143">
        <v>10142</v>
      </c>
      <c r="B143" t="s">
        <v>8</v>
      </c>
      <c r="C143" t="s">
        <v>6</v>
      </c>
      <c r="D143">
        <v>14.23</v>
      </c>
      <c r="E143">
        <v>3</v>
      </c>
      <c r="F143" t="s">
        <v>14</v>
      </c>
      <c r="G143">
        <v>12</v>
      </c>
      <c r="H143">
        <v>15.937600000000002</v>
      </c>
      <c r="I143">
        <v>12.000000000000011</v>
      </c>
      <c r="J143" t="s">
        <v>20</v>
      </c>
    </row>
    <row r="144" spans="1:10" x14ac:dyDescent="0.2">
      <c r="A144">
        <v>10143</v>
      </c>
      <c r="B144" t="s">
        <v>7</v>
      </c>
      <c r="C144" t="s">
        <v>9</v>
      </c>
      <c r="D144">
        <v>6.39</v>
      </c>
      <c r="E144">
        <v>3</v>
      </c>
      <c r="F144" t="s">
        <v>14</v>
      </c>
      <c r="G144">
        <v>15</v>
      </c>
      <c r="H144">
        <v>7.3484999999999987</v>
      </c>
      <c r="I144">
        <v>14.999999999999991</v>
      </c>
      <c r="J144" t="s">
        <v>20</v>
      </c>
    </row>
    <row r="145" spans="1:10" x14ac:dyDescent="0.2">
      <c r="A145">
        <v>10144</v>
      </c>
      <c r="B145" t="s">
        <v>7</v>
      </c>
      <c r="C145" t="s">
        <v>6</v>
      </c>
      <c r="D145">
        <v>11.69</v>
      </c>
      <c r="E145">
        <v>4</v>
      </c>
      <c r="F145" t="s">
        <v>15</v>
      </c>
      <c r="G145">
        <v>28</v>
      </c>
      <c r="H145">
        <v>14.963200000000001</v>
      </c>
      <c r="I145">
        <v>28.000000000000004</v>
      </c>
      <c r="J145" t="s">
        <v>20</v>
      </c>
    </row>
    <row r="146" spans="1:10" x14ac:dyDescent="0.2">
      <c r="A146">
        <v>10145</v>
      </c>
      <c r="B146" t="s">
        <v>7</v>
      </c>
      <c r="C146" t="s">
        <v>6</v>
      </c>
      <c r="D146">
        <v>7.52</v>
      </c>
      <c r="E146">
        <v>4</v>
      </c>
      <c r="F146" t="s">
        <v>15</v>
      </c>
      <c r="G146">
        <v>28</v>
      </c>
      <c r="H146">
        <v>9.6256000000000004</v>
      </c>
      <c r="I146">
        <v>28.000000000000004</v>
      </c>
      <c r="J146" t="s">
        <v>20</v>
      </c>
    </row>
    <row r="147" spans="1:10" x14ac:dyDescent="0.2">
      <c r="A147">
        <v>10146</v>
      </c>
      <c r="B147" t="s">
        <v>5</v>
      </c>
      <c r="C147" t="s">
        <v>11</v>
      </c>
      <c r="D147">
        <v>13.51</v>
      </c>
      <c r="E147">
        <v>7</v>
      </c>
      <c r="F147" t="s">
        <v>15</v>
      </c>
      <c r="G147">
        <v>25</v>
      </c>
      <c r="H147">
        <v>16.887499999999999</v>
      </c>
      <c r="I147">
        <v>25</v>
      </c>
      <c r="J147" t="s">
        <v>20</v>
      </c>
    </row>
    <row r="148" spans="1:10" x14ac:dyDescent="0.2">
      <c r="A148">
        <v>10147</v>
      </c>
      <c r="B148" t="s">
        <v>5</v>
      </c>
      <c r="C148" t="s">
        <v>6</v>
      </c>
      <c r="D148">
        <v>13.66</v>
      </c>
      <c r="E148">
        <v>3</v>
      </c>
      <c r="F148" t="s">
        <v>14</v>
      </c>
      <c r="G148">
        <v>12</v>
      </c>
      <c r="H148">
        <v>15.299200000000001</v>
      </c>
      <c r="I148">
        <v>12.000000000000011</v>
      </c>
      <c r="J148" t="s">
        <v>20</v>
      </c>
    </row>
    <row r="149" spans="1:10" x14ac:dyDescent="0.2">
      <c r="A149">
        <v>10148</v>
      </c>
      <c r="B149" t="s">
        <v>5</v>
      </c>
      <c r="C149" t="s">
        <v>6</v>
      </c>
      <c r="D149">
        <v>1.77</v>
      </c>
      <c r="E149">
        <v>8</v>
      </c>
      <c r="F149" t="s">
        <v>16</v>
      </c>
      <c r="G149">
        <v>55</v>
      </c>
      <c r="H149">
        <v>2.7435</v>
      </c>
      <c r="I149">
        <v>55.000000000000007</v>
      </c>
      <c r="J149" t="s">
        <v>20</v>
      </c>
    </row>
    <row r="150" spans="1:10" x14ac:dyDescent="0.2">
      <c r="A150">
        <v>10149</v>
      </c>
      <c r="B150" t="s">
        <v>8</v>
      </c>
      <c r="C150" t="s">
        <v>11</v>
      </c>
      <c r="D150">
        <v>14.08</v>
      </c>
      <c r="E150">
        <v>8</v>
      </c>
      <c r="F150" t="s">
        <v>16</v>
      </c>
      <c r="G150">
        <v>50</v>
      </c>
      <c r="H150">
        <v>21.12</v>
      </c>
      <c r="I150">
        <v>50</v>
      </c>
      <c r="J150" t="s">
        <v>20</v>
      </c>
    </row>
    <row r="151" spans="1:10" x14ac:dyDescent="0.2">
      <c r="A151">
        <v>10150</v>
      </c>
      <c r="B151" t="s">
        <v>7</v>
      </c>
      <c r="C151" t="s">
        <v>11</v>
      </c>
      <c r="D151">
        <v>12.47</v>
      </c>
      <c r="E151">
        <v>7</v>
      </c>
      <c r="F151" t="s">
        <v>15</v>
      </c>
      <c r="G151">
        <v>25</v>
      </c>
      <c r="H151">
        <v>15.5875</v>
      </c>
      <c r="I151">
        <v>25</v>
      </c>
      <c r="J151" t="s">
        <v>20</v>
      </c>
    </row>
    <row r="152" spans="1:10" x14ac:dyDescent="0.2">
      <c r="A152">
        <v>10151</v>
      </c>
      <c r="B152" t="s">
        <v>5</v>
      </c>
      <c r="C152" t="s">
        <v>11</v>
      </c>
      <c r="D152">
        <v>11.97</v>
      </c>
      <c r="E152">
        <v>2</v>
      </c>
      <c r="F152" t="s">
        <v>14</v>
      </c>
      <c r="G152">
        <v>10</v>
      </c>
      <c r="H152">
        <v>13.167000000000002</v>
      </c>
      <c r="I152">
        <v>10.000000000000009</v>
      </c>
      <c r="J152" t="s">
        <v>20</v>
      </c>
    </row>
    <row r="153" spans="1:10" x14ac:dyDescent="0.2">
      <c r="A153">
        <v>10152</v>
      </c>
      <c r="B153" t="s">
        <v>5</v>
      </c>
      <c r="C153" t="s">
        <v>11</v>
      </c>
      <c r="D153">
        <v>3.41</v>
      </c>
      <c r="E153">
        <v>5</v>
      </c>
      <c r="F153" t="s">
        <v>15</v>
      </c>
      <c r="G153">
        <v>25</v>
      </c>
      <c r="H153">
        <v>4.2625000000000002</v>
      </c>
      <c r="I153">
        <v>25</v>
      </c>
      <c r="J153" t="s">
        <v>20</v>
      </c>
    </row>
    <row r="154" spans="1:10" x14ac:dyDescent="0.2">
      <c r="A154">
        <v>10153</v>
      </c>
      <c r="B154" t="s">
        <v>8</v>
      </c>
      <c r="C154" t="s">
        <v>6</v>
      </c>
      <c r="D154">
        <v>12.17</v>
      </c>
      <c r="E154">
        <v>6</v>
      </c>
      <c r="F154" t="s">
        <v>15</v>
      </c>
      <c r="G154">
        <v>28</v>
      </c>
      <c r="H154">
        <v>15.5776</v>
      </c>
      <c r="I154">
        <v>28.000000000000004</v>
      </c>
      <c r="J154" t="s">
        <v>20</v>
      </c>
    </row>
    <row r="155" spans="1:10" x14ac:dyDescent="0.2">
      <c r="A155">
        <v>10154</v>
      </c>
      <c r="B155" t="s">
        <v>5</v>
      </c>
      <c r="C155" t="s">
        <v>6</v>
      </c>
      <c r="D155">
        <v>12.83</v>
      </c>
      <c r="E155">
        <v>10</v>
      </c>
      <c r="F155" t="s">
        <v>16</v>
      </c>
      <c r="G155">
        <v>55</v>
      </c>
      <c r="H155">
        <v>19.886500000000002</v>
      </c>
      <c r="I155">
        <v>55.000000000000007</v>
      </c>
      <c r="J155" t="s">
        <v>20</v>
      </c>
    </row>
    <row r="156" spans="1:10" x14ac:dyDescent="0.2">
      <c r="A156">
        <v>10155</v>
      </c>
      <c r="B156" t="s">
        <v>8</v>
      </c>
      <c r="C156" t="s">
        <v>9</v>
      </c>
      <c r="D156">
        <v>4.6900000000000004</v>
      </c>
      <c r="E156">
        <v>4</v>
      </c>
      <c r="F156" t="s">
        <v>15</v>
      </c>
      <c r="G156">
        <v>30</v>
      </c>
      <c r="H156">
        <v>6.0970000000000004</v>
      </c>
      <c r="I156">
        <v>30.000000000000004</v>
      </c>
      <c r="J156" t="s">
        <v>20</v>
      </c>
    </row>
    <row r="157" spans="1:10" x14ac:dyDescent="0.2">
      <c r="A157">
        <v>10156</v>
      </c>
      <c r="B157" t="s">
        <v>10</v>
      </c>
      <c r="C157" t="s">
        <v>9</v>
      </c>
      <c r="D157">
        <v>14.31</v>
      </c>
      <c r="E157">
        <v>10</v>
      </c>
      <c r="F157" t="s">
        <v>16</v>
      </c>
      <c r="G157">
        <v>60</v>
      </c>
      <c r="H157">
        <v>22.896000000000001</v>
      </c>
      <c r="I157">
        <v>60.000000000000007</v>
      </c>
      <c r="J157" t="s">
        <v>20</v>
      </c>
    </row>
    <row r="158" spans="1:10" x14ac:dyDescent="0.2">
      <c r="A158">
        <v>10157</v>
      </c>
      <c r="B158" t="s">
        <v>5</v>
      </c>
      <c r="C158" t="s">
        <v>6</v>
      </c>
      <c r="D158">
        <v>1.22</v>
      </c>
      <c r="E158">
        <v>5</v>
      </c>
      <c r="F158" t="s">
        <v>15</v>
      </c>
      <c r="G158">
        <v>28</v>
      </c>
      <c r="H158">
        <v>1.5616000000000001</v>
      </c>
      <c r="I158">
        <v>28.000000000000004</v>
      </c>
      <c r="J158" t="s">
        <v>20</v>
      </c>
    </row>
    <row r="159" spans="1:10" x14ac:dyDescent="0.2">
      <c r="A159">
        <v>10158</v>
      </c>
      <c r="B159" t="s">
        <v>10</v>
      </c>
      <c r="C159" t="s">
        <v>9</v>
      </c>
      <c r="D159">
        <v>2.67</v>
      </c>
      <c r="E159">
        <v>9</v>
      </c>
      <c r="F159" t="s">
        <v>16</v>
      </c>
      <c r="G159">
        <v>60</v>
      </c>
      <c r="H159">
        <v>4.2720000000000002</v>
      </c>
      <c r="I159">
        <v>60.000000000000007</v>
      </c>
      <c r="J159" t="s">
        <v>20</v>
      </c>
    </row>
    <row r="160" spans="1:10" x14ac:dyDescent="0.2">
      <c r="A160">
        <v>10159</v>
      </c>
      <c r="B160" t="s">
        <v>8</v>
      </c>
      <c r="C160" t="s">
        <v>6</v>
      </c>
      <c r="D160">
        <v>8.2899999999999991</v>
      </c>
      <c r="E160">
        <v>7</v>
      </c>
      <c r="F160" t="s">
        <v>15</v>
      </c>
      <c r="G160">
        <v>28</v>
      </c>
      <c r="H160">
        <v>10.611199999999998</v>
      </c>
      <c r="I160">
        <v>28.000000000000004</v>
      </c>
      <c r="J160" t="s">
        <v>20</v>
      </c>
    </row>
    <row r="161" spans="1:10" x14ac:dyDescent="0.2">
      <c r="A161">
        <v>10160</v>
      </c>
      <c r="B161" t="s">
        <v>7</v>
      </c>
      <c r="C161" t="s">
        <v>9</v>
      </c>
      <c r="D161">
        <v>8.85</v>
      </c>
      <c r="E161">
        <v>2</v>
      </c>
      <c r="F161" t="s">
        <v>14</v>
      </c>
      <c r="G161">
        <v>15</v>
      </c>
      <c r="H161">
        <v>10.177499999999998</v>
      </c>
      <c r="I161">
        <v>14.999999999999991</v>
      </c>
      <c r="J161" t="s">
        <v>20</v>
      </c>
    </row>
    <row r="162" spans="1:10" x14ac:dyDescent="0.2">
      <c r="A162">
        <v>10161</v>
      </c>
      <c r="B162" t="s">
        <v>5</v>
      </c>
      <c r="C162" t="s">
        <v>11</v>
      </c>
      <c r="D162">
        <v>9.85</v>
      </c>
      <c r="E162">
        <v>1</v>
      </c>
      <c r="F162" t="s">
        <v>14</v>
      </c>
      <c r="G162">
        <v>10</v>
      </c>
      <c r="H162">
        <v>10.835000000000001</v>
      </c>
      <c r="I162">
        <v>10.000000000000009</v>
      </c>
      <c r="J162" t="s">
        <v>20</v>
      </c>
    </row>
    <row r="163" spans="1:10" x14ac:dyDescent="0.2">
      <c r="A163">
        <v>10162</v>
      </c>
      <c r="B163" t="s">
        <v>8</v>
      </c>
      <c r="C163" t="s">
        <v>9</v>
      </c>
      <c r="D163">
        <v>0.75</v>
      </c>
      <c r="E163">
        <v>2</v>
      </c>
      <c r="F163" t="s">
        <v>14</v>
      </c>
      <c r="G163">
        <v>15</v>
      </c>
      <c r="H163">
        <v>0.86249999999999993</v>
      </c>
      <c r="I163">
        <v>14.999999999999991</v>
      </c>
      <c r="J163" t="s">
        <v>20</v>
      </c>
    </row>
    <row r="164" spans="1:10" x14ac:dyDescent="0.2">
      <c r="A164">
        <v>10163</v>
      </c>
      <c r="B164" t="s">
        <v>7</v>
      </c>
      <c r="C164" t="s">
        <v>11</v>
      </c>
      <c r="D164">
        <v>14.43</v>
      </c>
      <c r="E164">
        <v>3</v>
      </c>
      <c r="F164" t="s">
        <v>14</v>
      </c>
      <c r="G164">
        <v>10</v>
      </c>
      <c r="H164">
        <v>15.873000000000001</v>
      </c>
      <c r="I164">
        <v>10.000000000000009</v>
      </c>
      <c r="J164" t="s">
        <v>20</v>
      </c>
    </row>
    <row r="165" spans="1:10" x14ac:dyDescent="0.2">
      <c r="A165">
        <v>10164</v>
      </c>
      <c r="B165" t="s">
        <v>7</v>
      </c>
      <c r="C165" t="s">
        <v>11</v>
      </c>
      <c r="D165">
        <v>1.1499999999999999</v>
      </c>
      <c r="E165">
        <v>2</v>
      </c>
      <c r="F165" t="s">
        <v>14</v>
      </c>
      <c r="G165">
        <v>10</v>
      </c>
      <c r="H165">
        <v>1.2649999999999999</v>
      </c>
      <c r="I165">
        <v>10.000000000000009</v>
      </c>
      <c r="J165" t="s">
        <v>20</v>
      </c>
    </row>
    <row r="166" spans="1:10" x14ac:dyDescent="0.2">
      <c r="A166">
        <v>10165</v>
      </c>
      <c r="B166" t="s">
        <v>10</v>
      </c>
      <c r="C166" t="s">
        <v>11</v>
      </c>
      <c r="D166">
        <v>2.57</v>
      </c>
      <c r="E166">
        <v>3</v>
      </c>
      <c r="F166" t="s">
        <v>14</v>
      </c>
      <c r="G166">
        <v>10</v>
      </c>
      <c r="H166">
        <v>2.827</v>
      </c>
      <c r="I166">
        <v>10.000000000000009</v>
      </c>
      <c r="J166" t="s">
        <v>20</v>
      </c>
    </row>
    <row r="167" spans="1:10" x14ac:dyDescent="0.2">
      <c r="A167">
        <v>10166</v>
      </c>
      <c r="B167" t="s">
        <v>8</v>
      </c>
      <c r="C167" t="s">
        <v>11</v>
      </c>
      <c r="D167">
        <v>0.7</v>
      </c>
      <c r="E167">
        <v>10</v>
      </c>
      <c r="F167" t="s">
        <v>16</v>
      </c>
      <c r="G167">
        <v>50</v>
      </c>
      <c r="H167">
        <v>1.0499999999999998</v>
      </c>
      <c r="I167">
        <v>49.999999999999979</v>
      </c>
      <c r="J167" t="s">
        <v>20</v>
      </c>
    </row>
    <row r="168" spans="1:10" x14ac:dyDescent="0.2">
      <c r="A168">
        <v>10167</v>
      </c>
      <c r="B168" t="s">
        <v>7</v>
      </c>
      <c r="C168" t="s">
        <v>9</v>
      </c>
      <c r="D168">
        <v>8.7200000000000006</v>
      </c>
      <c r="E168">
        <v>9</v>
      </c>
      <c r="F168" t="s">
        <v>16</v>
      </c>
      <c r="G168">
        <v>60</v>
      </c>
      <c r="H168">
        <v>13.952000000000002</v>
      </c>
      <c r="I168">
        <v>60.000000000000007</v>
      </c>
      <c r="J168" t="s">
        <v>20</v>
      </c>
    </row>
    <row r="169" spans="1:10" x14ac:dyDescent="0.2">
      <c r="A169">
        <v>10168</v>
      </c>
      <c r="B169" t="s">
        <v>5</v>
      </c>
      <c r="C169" t="s">
        <v>6</v>
      </c>
      <c r="D169">
        <v>14.02</v>
      </c>
      <c r="E169">
        <v>4</v>
      </c>
      <c r="F169" t="s">
        <v>15</v>
      </c>
      <c r="G169">
        <v>28</v>
      </c>
      <c r="H169">
        <v>17.945599999999999</v>
      </c>
      <c r="I169">
        <v>28.000000000000004</v>
      </c>
      <c r="J169" t="s">
        <v>20</v>
      </c>
    </row>
    <row r="170" spans="1:10" x14ac:dyDescent="0.2">
      <c r="A170">
        <v>10169</v>
      </c>
      <c r="B170" t="s">
        <v>5</v>
      </c>
      <c r="C170" t="s">
        <v>11</v>
      </c>
      <c r="D170">
        <v>10.16</v>
      </c>
      <c r="E170">
        <v>9</v>
      </c>
      <c r="F170" t="s">
        <v>16</v>
      </c>
      <c r="G170">
        <v>50</v>
      </c>
      <c r="H170">
        <v>15.24</v>
      </c>
      <c r="I170">
        <v>50</v>
      </c>
      <c r="J170" t="s">
        <v>20</v>
      </c>
    </row>
    <row r="171" spans="1:10" x14ac:dyDescent="0.2">
      <c r="A171">
        <v>10170</v>
      </c>
      <c r="B171" t="s">
        <v>10</v>
      </c>
      <c r="C171" t="s">
        <v>9</v>
      </c>
      <c r="D171">
        <v>12.43</v>
      </c>
      <c r="E171">
        <v>3</v>
      </c>
      <c r="F171" t="s">
        <v>14</v>
      </c>
      <c r="G171">
        <v>15</v>
      </c>
      <c r="H171">
        <v>14.294499999999999</v>
      </c>
      <c r="I171">
        <v>14.999999999999991</v>
      </c>
      <c r="J171" t="s">
        <v>20</v>
      </c>
    </row>
    <row r="172" spans="1:10" x14ac:dyDescent="0.2">
      <c r="A172">
        <v>10171</v>
      </c>
      <c r="B172" t="s">
        <v>7</v>
      </c>
      <c r="C172" t="s">
        <v>11</v>
      </c>
      <c r="D172">
        <v>0.69</v>
      </c>
      <c r="E172">
        <v>1</v>
      </c>
      <c r="F172" t="s">
        <v>14</v>
      </c>
      <c r="G172">
        <v>10</v>
      </c>
      <c r="H172">
        <v>0.75900000000000001</v>
      </c>
      <c r="I172">
        <v>10.000000000000009</v>
      </c>
      <c r="J172" t="s">
        <v>20</v>
      </c>
    </row>
    <row r="173" spans="1:10" x14ac:dyDescent="0.2">
      <c r="A173">
        <v>10172</v>
      </c>
      <c r="B173" t="s">
        <v>8</v>
      </c>
      <c r="C173" t="s">
        <v>9</v>
      </c>
      <c r="D173">
        <v>8.36</v>
      </c>
      <c r="E173">
        <v>5</v>
      </c>
      <c r="F173" t="s">
        <v>15</v>
      </c>
      <c r="G173">
        <v>30</v>
      </c>
      <c r="H173">
        <v>10.868</v>
      </c>
      <c r="I173">
        <v>30.000000000000004</v>
      </c>
      <c r="J173" t="s">
        <v>20</v>
      </c>
    </row>
    <row r="174" spans="1:10" x14ac:dyDescent="0.2">
      <c r="A174">
        <v>10173</v>
      </c>
      <c r="B174" t="s">
        <v>5</v>
      </c>
      <c r="C174" t="s">
        <v>9</v>
      </c>
      <c r="D174">
        <v>7.16</v>
      </c>
      <c r="E174">
        <v>10</v>
      </c>
      <c r="F174" t="s">
        <v>16</v>
      </c>
      <c r="G174">
        <v>60</v>
      </c>
      <c r="H174">
        <v>11.456000000000001</v>
      </c>
      <c r="I174">
        <v>60.000000000000007</v>
      </c>
      <c r="J174" t="s">
        <v>20</v>
      </c>
    </row>
    <row r="175" spans="1:10" x14ac:dyDescent="0.2">
      <c r="A175">
        <v>10174</v>
      </c>
      <c r="B175" t="s">
        <v>7</v>
      </c>
      <c r="C175" t="s">
        <v>9</v>
      </c>
      <c r="D175">
        <v>7.74</v>
      </c>
      <c r="E175">
        <v>10</v>
      </c>
      <c r="F175" t="s">
        <v>16</v>
      </c>
      <c r="G175">
        <v>60</v>
      </c>
      <c r="H175">
        <v>12.384</v>
      </c>
      <c r="I175">
        <v>60.000000000000007</v>
      </c>
      <c r="J175" t="s">
        <v>20</v>
      </c>
    </row>
    <row r="176" spans="1:10" x14ac:dyDescent="0.2">
      <c r="A176">
        <v>10175</v>
      </c>
      <c r="B176" t="s">
        <v>7</v>
      </c>
      <c r="C176" t="s">
        <v>6</v>
      </c>
      <c r="D176">
        <v>1.55</v>
      </c>
      <c r="E176">
        <v>2</v>
      </c>
      <c r="F176" t="s">
        <v>14</v>
      </c>
      <c r="G176">
        <v>12</v>
      </c>
      <c r="H176">
        <v>1.7360000000000002</v>
      </c>
      <c r="I176">
        <v>12.000000000000011</v>
      </c>
      <c r="J176" t="s">
        <v>20</v>
      </c>
    </row>
    <row r="177" spans="1:10" x14ac:dyDescent="0.2">
      <c r="A177">
        <v>10176</v>
      </c>
      <c r="B177" t="s">
        <v>10</v>
      </c>
      <c r="C177" t="s">
        <v>9</v>
      </c>
      <c r="D177">
        <v>10.42</v>
      </c>
      <c r="E177">
        <v>4</v>
      </c>
      <c r="F177" t="s">
        <v>15</v>
      </c>
      <c r="G177">
        <v>30</v>
      </c>
      <c r="H177">
        <v>13.546000000000001</v>
      </c>
      <c r="I177">
        <v>30.000000000000004</v>
      </c>
      <c r="J177" t="s">
        <v>20</v>
      </c>
    </row>
    <row r="178" spans="1:10" x14ac:dyDescent="0.2">
      <c r="A178">
        <v>10177</v>
      </c>
      <c r="B178" t="s">
        <v>5</v>
      </c>
      <c r="C178" t="s">
        <v>9</v>
      </c>
      <c r="D178">
        <v>7.8</v>
      </c>
      <c r="E178">
        <v>2</v>
      </c>
      <c r="F178" t="s">
        <v>14</v>
      </c>
      <c r="G178">
        <v>15</v>
      </c>
      <c r="H178">
        <v>8.9699999999999989</v>
      </c>
      <c r="I178">
        <v>14.999999999999991</v>
      </c>
      <c r="J178" t="s">
        <v>20</v>
      </c>
    </row>
    <row r="179" spans="1:10" x14ac:dyDescent="0.2">
      <c r="A179">
        <v>10178</v>
      </c>
      <c r="B179" t="s">
        <v>5</v>
      </c>
      <c r="C179" t="s">
        <v>6</v>
      </c>
      <c r="D179">
        <v>11.59</v>
      </c>
      <c r="E179">
        <v>2</v>
      </c>
      <c r="F179" t="s">
        <v>14</v>
      </c>
      <c r="G179">
        <v>12</v>
      </c>
      <c r="H179">
        <v>12.9808</v>
      </c>
      <c r="I179">
        <v>12.000000000000011</v>
      </c>
      <c r="J179" t="s">
        <v>20</v>
      </c>
    </row>
    <row r="180" spans="1:10" x14ac:dyDescent="0.2">
      <c r="A180">
        <v>10179</v>
      </c>
      <c r="B180" t="s">
        <v>8</v>
      </c>
      <c r="C180" t="s">
        <v>6</v>
      </c>
      <c r="D180">
        <v>7.54</v>
      </c>
      <c r="E180">
        <v>3</v>
      </c>
      <c r="F180" t="s">
        <v>14</v>
      </c>
      <c r="G180">
        <v>12</v>
      </c>
      <c r="H180">
        <v>8.4448000000000008</v>
      </c>
      <c r="I180">
        <v>12.000000000000011</v>
      </c>
      <c r="J180" t="s">
        <v>20</v>
      </c>
    </row>
    <row r="181" spans="1:10" x14ac:dyDescent="0.2">
      <c r="A181">
        <v>10180</v>
      </c>
      <c r="B181" t="s">
        <v>5</v>
      </c>
      <c r="C181" t="s">
        <v>9</v>
      </c>
      <c r="D181">
        <v>2.67</v>
      </c>
      <c r="E181">
        <v>5</v>
      </c>
      <c r="F181" t="s">
        <v>15</v>
      </c>
      <c r="G181">
        <v>30</v>
      </c>
      <c r="H181">
        <v>3.4710000000000001</v>
      </c>
      <c r="I181">
        <v>30.000000000000004</v>
      </c>
      <c r="J181" t="s">
        <v>20</v>
      </c>
    </row>
    <row r="182" spans="1:10" x14ac:dyDescent="0.2">
      <c r="A182">
        <v>10181</v>
      </c>
      <c r="B182" t="s">
        <v>8</v>
      </c>
      <c r="C182" t="s">
        <v>6</v>
      </c>
      <c r="D182">
        <v>9.9</v>
      </c>
      <c r="E182">
        <v>4</v>
      </c>
      <c r="F182" t="s">
        <v>15</v>
      </c>
      <c r="G182">
        <v>28</v>
      </c>
      <c r="H182">
        <v>12.672000000000001</v>
      </c>
      <c r="I182">
        <v>28.000000000000004</v>
      </c>
      <c r="J182" t="s">
        <v>20</v>
      </c>
    </row>
    <row r="183" spans="1:10" x14ac:dyDescent="0.2">
      <c r="A183">
        <v>10182</v>
      </c>
      <c r="B183" t="s">
        <v>5</v>
      </c>
      <c r="C183" t="s">
        <v>11</v>
      </c>
      <c r="D183">
        <v>3</v>
      </c>
      <c r="E183">
        <v>2</v>
      </c>
      <c r="F183" t="s">
        <v>14</v>
      </c>
      <c r="G183">
        <v>10</v>
      </c>
      <c r="H183">
        <v>3.3000000000000003</v>
      </c>
      <c r="I183">
        <v>10.000000000000009</v>
      </c>
      <c r="J183" t="s">
        <v>20</v>
      </c>
    </row>
    <row r="184" spans="1:10" x14ac:dyDescent="0.2">
      <c r="A184">
        <v>10183</v>
      </c>
      <c r="B184" t="s">
        <v>10</v>
      </c>
      <c r="C184" t="s">
        <v>11</v>
      </c>
      <c r="D184">
        <v>13.15</v>
      </c>
      <c r="E184">
        <v>10</v>
      </c>
      <c r="F184" t="s">
        <v>16</v>
      </c>
      <c r="G184">
        <v>50</v>
      </c>
      <c r="H184">
        <v>19.725000000000001</v>
      </c>
      <c r="I184">
        <v>50</v>
      </c>
      <c r="J184" t="s">
        <v>20</v>
      </c>
    </row>
    <row r="185" spans="1:10" x14ac:dyDescent="0.2">
      <c r="A185">
        <v>10184</v>
      </c>
      <c r="B185" t="s">
        <v>5</v>
      </c>
      <c r="C185" t="s">
        <v>6</v>
      </c>
      <c r="D185">
        <v>9.39</v>
      </c>
      <c r="E185">
        <v>2</v>
      </c>
      <c r="F185" t="s">
        <v>14</v>
      </c>
      <c r="G185">
        <v>12</v>
      </c>
      <c r="H185">
        <v>10.516800000000002</v>
      </c>
      <c r="I185">
        <v>12.000000000000011</v>
      </c>
      <c r="J185" t="s">
        <v>20</v>
      </c>
    </row>
    <row r="186" spans="1:10" x14ac:dyDescent="0.2">
      <c r="A186">
        <v>10185</v>
      </c>
      <c r="B186" t="s">
        <v>8</v>
      </c>
      <c r="C186" t="s">
        <v>6</v>
      </c>
      <c r="D186">
        <v>2.78</v>
      </c>
      <c r="E186">
        <v>6</v>
      </c>
      <c r="F186" t="s">
        <v>15</v>
      </c>
      <c r="G186">
        <v>28</v>
      </c>
      <c r="H186">
        <v>3.5583999999999998</v>
      </c>
      <c r="I186">
        <v>28.000000000000004</v>
      </c>
      <c r="J186" t="s">
        <v>20</v>
      </c>
    </row>
    <row r="187" spans="1:10" x14ac:dyDescent="0.2">
      <c r="A187">
        <v>10186</v>
      </c>
      <c r="B187" t="s">
        <v>8</v>
      </c>
      <c r="C187" t="s">
        <v>9</v>
      </c>
      <c r="D187">
        <v>14.45</v>
      </c>
      <c r="E187">
        <v>7</v>
      </c>
      <c r="F187" t="s">
        <v>15</v>
      </c>
      <c r="G187">
        <v>30</v>
      </c>
      <c r="H187">
        <v>18.785</v>
      </c>
      <c r="I187">
        <v>30.000000000000004</v>
      </c>
      <c r="J187" t="s">
        <v>20</v>
      </c>
    </row>
    <row r="188" spans="1:10" x14ac:dyDescent="0.2">
      <c r="A188">
        <v>10187</v>
      </c>
      <c r="B188" t="s">
        <v>10</v>
      </c>
      <c r="C188" t="s">
        <v>6</v>
      </c>
      <c r="D188">
        <v>8.02</v>
      </c>
      <c r="E188">
        <v>10</v>
      </c>
      <c r="F188" t="s">
        <v>16</v>
      </c>
      <c r="G188">
        <v>55</v>
      </c>
      <c r="H188">
        <v>12.430999999999999</v>
      </c>
      <c r="I188">
        <v>55.000000000000007</v>
      </c>
      <c r="J188" t="s">
        <v>20</v>
      </c>
    </row>
    <row r="189" spans="1:10" x14ac:dyDescent="0.2">
      <c r="A189">
        <v>10188</v>
      </c>
      <c r="B189" t="s">
        <v>5</v>
      </c>
      <c r="C189" t="s">
        <v>9</v>
      </c>
      <c r="D189">
        <v>1.56</v>
      </c>
      <c r="E189">
        <v>6</v>
      </c>
      <c r="F189" t="s">
        <v>15</v>
      </c>
      <c r="G189">
        <v>30</v>
      </c>
      <c r="H189">
        <v>2.028</v>
      </c>
      <c r="I189">
        <v>30.000000000000004</v>
      </c>
      <c r="J189" t="s">
        <v>20</v>
      </c>
    </row>
    <row r="190" spans="1:10" x14ac:dyDescent="0.2">
      <c r="A190">
        <v>10189</v>
      </c>
      <c r="B190" t="s">
        <v>5</v>
      </c>
      <c r="C190" t="s">
        <v>11</v>
      </c>
      <c r="D190">
        <v>9.59</v>
      </c>
      <c r="E190">
        <v>7</v>
      </c>
      <c r="F190" t="s">
        <v>15</v>
      </c>
      <c r="G190">
        <v>25</v>
      </c>
      <c r="H190">
        <v>11.987500000000001</v>
      </c>
      <c r="I190">
        <v>25</v>
      </c>
      <c r="J190" t="s">
        <v>20</v>
      </c>
    </row>
    <row r="191" spans="1:10" x14ac:dyDescent="0.2">
      <c r="A191">
        <v>10190</v>
      </c>
      <c r="B191" t="s">
        <v>10</v>
      </c>
      <c r="C191" t="s">
        <v>6</v>
      </c>
      <c r="D191">
        <v>4.17</v>
      </c>
      <c r="E191">
        <v>1</v>
      </c>
      <c r="F191" t="s">
        <v>14</v>
      </c>
      <c r="G191">
        <v>12</v>
      </c>
      <c r="H191">
        <v>4.6704000000000008</v>
      </c>
      <c r="I191">
        <v>12.000000000000011</v>
      </c>
      <c r="J191" t="s">
        <v>20</v>
      </c>
    </row>
    <row r="192" spans="1:10" x14ac:dyDescent="0.2">
      <c r="A192">
        <v>10191</v>
      </c>
      <c r="B192" t="s">
        <v>5</v>
      </c>
      <c r="C192" t="s">
        <v>9</v>
      </c>
      <c r="D192">
        <v>12.15</v>
      </c>
      <c r="E192">
        <v>6</v>
      </c>
      <c r="F192" t="s">
        <v>15</v>
      </c>
      <c r="G192">
        <v>30</v>
      </c>
      <c r="H192">
        <v>15.795000000000002</v>
      </c>
      <c r="I192">
        <v>30.000000000000004</v>
      </c>
      <c r="J192" t="s">
        <v>20</v>
      </c>
    </row>
    <row r="193" spans="1:10" x14ac:dyDescent="0.2">
      <c r="A193">
        <v>10192</v>
      </c>
      <c r="B193" t="s">
        <v>5</v>
      </c>
      <c r="C193" t="s">
        <v>9</v>
      </c>
      <c r="D193">
        <v>12.36</v>
      </c>
      <c r="E193">
        <v>3</v>
      </c>
      <c r="F193" t="s">
        <v>14</v>
      </c>
      <c r="G193">
        <v>15</v>
      </c>
      <c r="H193">
        <v>14.213999999999999</v>
      </c>
      <c r="I193">
        <v>14.999999999999991</v>
      </c>
      <c r="J193" t="s">
        <v>20</v>
      </c>
    </row>
    <row r="194" spans="1:10" x14ac:dyDescent="0.2">
      <c r="A194">
        <v>10193</v>
      </c>
      <c r="B194" t="s">
        <v>8</v>
      </c>
      <c r="C194" t="s">
        <v>11</v>
      </c>
      <c r="D194">
        <v>14.69</v>
      </c>
      <c r="E194">
        <v>1</v>
      </c>
      <c r="F194" t="s">
        <v>14</v>
      </c>
      <c r="G194">
        <v>10</v>
      </c>
      <c r="H194">
        <v>16.159000000000002</v>
      </c>
      <c r="I194">
        <v>10.000000000000032</v>
      </c>
      <c r="J194" t="s">
        <v>20</v>
      </c>
    </row>
    <row r="195" spans="1:10" x14ac:dyDescent="0.2">
      <c r="A195">
        <v>10194</v>
      </c>
      <c r="B195" t="s">
        <v>5</v>
      </c>
      <c r="C195" t="s">
        <v>6</v>
      </c>
      <c r="D195">
        <v>7.78</v>
      </c>
      <c r="E195">
        <v>8</v>
      </c>
      <c r="F195" t="s">
        <v>16</v>
      </c>
      <c r="G195">
        <v>55</v>
      </c>
      <c r="H195">
        <v>12.059000000000001</v>
      </c>
      <c r="I195">
        <v>55.000000000000007</v>
      </c>
      <c r="J195" t="s">
        <v>20</v>
      </c>
    </row>
    <row r="196" spans="1:10" x14ac:dyDescent="0.2">
      <c r="A196">
        <v>10195</v>
      </c>
      <c r="B196" t="s">
        <v>5</v>
      </c>
      <c r="C196" t="s">
        <v>11</v>
      </c>
      <c r="D196">
        <v>7.1</v>
      </c>
      <c r="E196">
        <v>4</v>
      </c>
      <c r="F196" t="s">
        <v>15</v>
      </c>
      <c r="G196">
        <v>25</v>
      </c>
      <c r="H196">
        <v>8.875</v>
      </c>
      <c r="I196">
        <v>25</v>
      </c>
      <c r="J196" t="s">
        <v>20</v>
      </c>
    </row>
    <row r="197" spans="1:10" x14ac:dyDescent="0.2">
      <c r="A197">
        <v>10196</v>
      </c>
      <c r="B197" t="s">
        <v>10</v>
      </c>
      <c r="C197" t="s">
        <v>9</v>
      </c>
      <c r="D197">
        <v>11.43</v>
      </c>
      <c r="E197">
        <v>10</v>
      </c>
      <c r="F197" t="s">
        <v>16</v>
      </c>
      <c r="G197">
        <v>60</v>
      </c>
      <c r="H197">
        <v>18.288</v>
      </c>
      <c r="I197">
        <v>60.000000000000007</v>
      </c>
      <c r="J197" t="s">
        <v>20</v>
      </c>
    </row>
    <row r="198" spans="1:10" x14ac:dyDescent="0.2">
      <c r="A198">
        <v>10197</v>
      </c>
      <c r="B198" t="s">
        <v>10</v>
      </c>
      <c r="C198" t="s">
        <v>9</v>
      </c>
      <c r="D198">
        <v>2.42</v>
      </c>
      <c r="E198">
        <v>8</v>
      </c>
      <c r="F198" t="s">
        <v>16</v>
      </c>
      <c r="G198">
        <v>60</v>
      </c>
      <c r="H198">
        <v>3.8719999999999999</v>
      </c>
      <c r="I198">
        <v>60.000000000000007</v>
      </c>
      <c r="J198" t="s">
        <v>20</v>
      </c>
    </row>
    <row r="199" spans="1:10" x14ac:dyDescent="0.2">
      <c r="A199">
        <v>10198</v>
      </c>
      <c r="B199" t="s">
        <v>7</v>
      </c>
      <c r="C199" t="s">
        <v>6</v>
      </c>
      <c r="D199">
        <v>8.43</v>
      </c>
      <c r="E199">
        <v>10</v>
      </c>
      <c r="F199" t="s">
        <v>16</v>
      </c>
      <c r="G199">
        <v>55</v>
      </c>
      <c r="H199">
        <v>13.0665</v>
      </c>
      <c r="I199">
        <v>55.000000000000007</v>
      </c>
      <c r="J199" t="s">
        <v>20</v>
      </c>
    </row>
    <row r="200" spans="1:10" x14ac:dyDescent="0.2">
      <c r="A200">
        <v>10199</v>
      </c>
      <c r="B200" t="s">
        <v>8</v>
      </c>
      <c r="C200" t="s">
        <v>9</v>
      </c>
      <c r="D200">
        <v>8.42</v>
      </c>
      <c r="E200">
        <v>4</v>
      </c>
      <c r="F200" t="s">
        <v>15</v>
      </c>
      <c r="G200">
        <v>30</v>
      </c>
      <c r="H200">
        <v>10.946</v>
      </c>
      <c r="I200">
        <v>30.000000000000004</v>
      </c>
      <c r="J200" t="s">
        <v>20</v>
      </c>
    </row>
    <row r="201" spans="1:10" x14ac:dyDescent="0.2">
      <c r="A201">
        <v>10200</v>
      </c>
      <c r="B201" t="s">
        <v>5</v>
      </c>
      <c r="C201" t="s">
        <v>6</v>
      </c>
      <c r="D201">
        <v>1.8</v>
      </c>
      <c r="E201">
        <v>4</v>
      </c>
      <c r="F201" t="s">
        <v>15</v>
      </c>
      <c r="G201">
        <v>28</v>
      </c>
      <c r="H201">
        <v>2.3040000000000003</v>
      </c>
      <c r="I201">
        <v>28.000000000000004</v>
      </c>
      <c r="J201" t="s">
        <v>20</v>
      </c>
    </row>
    <row r="202" spans="1:10" x14ac:dyDescent="0.2">
      <c r="A202">
        <v>10201</v>
      </c>
      <c r="B202" t="s">
        <v>5</v>
      </c>
      <c r="C202" t="s">
        <v>11</v>
      </c>
      <c r="D202">
        <v>6.56</v>
      </c>
      <c r="E202">
        <v>10</v>
      </c>
      <c r="F202" t="s">
        <v>16</v>
      </c>
      <c r="G202">
        <v>50</v>
      </c>
      <c r="H202">
        <v>9.84</v>
      </c>
      <c r="I202">
        <v>50</v>
      </c>
      <c r="J202" t="s">
        <v>20</v>
      </c>
    </row>
    <row r="203" spans="1:10" x14ac:dyDescent="0.2">
      <c r="A203">
        <v>10202</v>
      </c>
      <c r="B203" t="s">
        <v>7</v>
      </c>
      <c r="C203" t="s">
        <v>6</v>
      </c>
      <c r="D203">
        <v>12.87</v>
      </c>
      <c r="E203">
        <v>4</v>
      </c>
      <c r="F203" t="s">
        <v>15</v>
      </c>
      <c r="G203">
        <v>28</v>
      </c>
      <c r="H203">
        <v>16.473599999999998</v>
      </c>
      <c r="I203">
        <v>27.999999999999979</v>
      </c>
      <c r="J203" t="s">
        <v>20</v>
      </c>
    </row>
    <row r="204" spans="1:10" x14ac:dyDescent="0.2">
      <c r="A204">
        <v>10203</v>
      </c>
      <c r="B204" t="s">
        <v>5</v>
      </c>
      <c r="C204" t="s">
        <v>6</v>
      </c>
      <c r="D204">
        <v>12.91</v>
      </c>
      <c r="E204">
        <v>6</v>
      </c>
      <c r="F204" t="s">
        <v>15</v>
      </c>
      <c r="G204">
        <v>28</v>
      </c>
      <c r="H204">
        <v>16.524799999999999</v>
      </c>
      <c r="I204">
        <v>27.999999999999979</v>
      </c>
      <c r="J204" t="s">
        <v>20</v>
      </c>
    </row>
    <row r="205" spans="1:10" x14ac:dyDescent="0.2">
      <c r="A205">
        <v>10204</v>
      </c>
      <c r="B205" t="s">
        <v>8</v>
      </c>
      <c r="C205" t="s">
        <v>9</v>
      </c>
      <c r="D205">
        <v>1.94</v>
      </c>
      <c r="E205">
        <v>9</v>
      </c>
      <c r="F205" t="s">
        <v>16</v>
      </c>
      <c r="G205">
        <v>60</v>
      </c>
      <c r="H205">
        <v>3.1040000000000001</v>
      </c>
      <c r="I205">
        <v>60.000000000000007</v>
      </c>
      <c r="J205" t="s">
        <v>20</v>
      </c>
    </row>
    <row r="206" spans="1:10" x14ac:dyDescent="0.2">
      <c r="A206">
        <v>10205</v>
      </c>
      <c r="B206" t="s">
        <v>7</v>
      </c>
      <c r="C206" t="s">
        <v>9</v>
      </c>
      <c r="D206">
        <v>1.82</v>
      </c>
      <c r="E206">
        <v>5</v>
      </c>
      <c r="F206" t="s">
        <v>15</v>
      </c>
      <c r="G206">
        <v>30</v>
      </c>
      <c r="H206">
        <v>2.3660000000000001</v>
      </c>
      <c r="I206">
        <v>30.000000000000004</v>
      </c>
      <c r="J206" t="s">
        <v>20</v>
      </c>
    </row>
    <row r="207" spans="1:10" x14ac:dyDescent="0.2">
      <c r="A207">
        <v>10206</v>
      </c>
      <c r="B207" t="s">
        <v>8</v>
      </c>
      <c r="C207" t="s">
        <v>6</v>
      </c>
      <c r="D207">
        <v>4.3099999999999996</v>
      </c>
      <c r="E207">
        <v>10</v>
      </c>
      <c r="F207" t="s">
        <v>16</v>
      </c>
      <c r="G207">
        <v>55</v>
      </c>
      <c r="H207">
        <v>6.6804999999999994</v>
      </c>
      <c r="I207">
        <v>55.000000000000007</v>
      </c>
      <c r="J207" t="s">
        <v>20</v>
      </c>
    </row>
    <row r="208" spans="1:10" x14ac:dyDescent="0.2">
      <c r="A208">
        <v>10207</v>
      </c>
      <c r="B208" t="s">
        <v>7</v>
      </c>
      <c r="C208" t="s">
        <v>9</v>
      </c>
      <c r="D208">
        <v>13.18</v>
      </c>
      <c r="E208">
        <v>8</v>
      </c>
      <c r="F208" t="s">
        <v>16</v>
      </c>
      <c r="G208">
        <v>60</v>
      </c>
      <c r="H208">
        <v>21.088000000000001</v>
      </c>
      <c r="I208">
        <v>60.000000000000007</v>
      </c>
      <c r="J208" t="s">
        <v>20</v>
      </c>
    </row>
    <row r="209" spans="1:10" x14ac:dyDescent="0.2">
      <c r="A209">
        <v>10208</v>
      </c>
      <c r="B209" t="s">
        <v>7</v>
      </c>
      <c r="C209" t="s">
        <v>9</v>
      </c>
      <c r="D209">
        <v>2.37</v>
      </c>
      <c r="E209">
        <v>8</v>
      </c>
      <c r="F209" t="s">
        <v>16</v>
      </c>
      <c r="G209">
        <v>60</v>
      </c>
      <c r="H209">
        <v>3.7920000000000003</v>
      </c>
      <c r="I209">
        <v>60.000000000000007</v>
      </c>
      <c r="J209" t="s">
        <v>20</v>
      </c>
    </row>
    <row r="210" spans="1:10" x14ac:dyDescent="0.2">
      <c r="A210">
        <v>10209</v>
      </c>
      <c r="B210" t="s">
        <v>10</v>
      </c>
      <c r="C210" t="s">
        <v>9</v>
      </c>
      <c r="D210">
        <v>10.94</v>
      </c>
      <c r="E210">
        <v>4</v>
      </c>
      <c r="F210" t="s">
        <v>15</v>
      </c>
      <c r="G210">
        <v>30</v>
      </c>
      <c r="H210">
        <v>14.222</v>
      </c>
      <c r="I210">
        <v>30.000000000000004</v>
      </c>
      <c r="J210" t="s">
        <v>20</v>
      </c>
    </row>
    <row r="211" spans="1:10" x14ac:dyDescent="0.2">
      <c r="A211">
        <v>10210</v>
      </c>
      <c r="B211" t="s">
        <v>8</v>
      </c>
      <c r="C211" t="s">
        <v>6</v>
      </c>
      <c r="D211">
        <v>1.97</v>
      </c>
      <c r="E211">
        <v>10</v>
      </c>
      <c r="F211" t="s">
        <v>16</v>
      </c>
      <c r="G211">
        <v>55</v>
      </c>
      <c r="H211">
        <v>3.0535000000000001</v>
      </c>
      <c r="I211">
        <v>55.000000000000007</v>
      </c>
      <c r="J211" t="s">
        <v>20</v>
      </c>
    </row>
    <row r="212" spans="1:10" x14ac:dyDescent="0.2">
      <c r="A212">
        <v>10211</v>
      </c>
      <c r="B212" t="s">
        <v>5</v>
      </c>
      <c r="C212" t="s">
        <v>9</v>
      </c>
      <c r="D212">
        <v>9.5399999999999991</v>
      </c>
      <c r="E212">
        <v>9</v>
      </c>
      <c r="F212" t="s">
        <v>16</v>
      </c>
      <c r="G212">
        <v>60</v>
      </c>
      <c r="H212">
        <v>15.263999999999999</v>
      </c>
      <c r="I212">
        <v>60.000000000000007</v>
      </c>
      <c r="J212" t="s">
        <v>20</v>
      </c>
    </row>
    <row r="213" spans="1:10" x14ac:dyDescent="0.2">
      <c r="A213">
        <v>10212</v>
      </c>
      <c r="B213" t="s">
        <v>5</v>
      </c>
      <c r="C213" t="s">
        <v>6</v>
      </c>
      <c r="D213">
        <v>5.66</v>
      </c>
      <c r="E213">
        <v>9</v>
      </c>
      <c r="F213" t="s">
        <v>16</v>
      </c>
      <c r="G213">
        <v>55</v>
      </c>
      <c r="H213">
        <v>8.7729999999999997</v>
      </c>
      <c r="I213">
        <v>54.999999999999986</v>
      </c>
      <c r="J213" t="s">
        <v>20</v>
      </c>
    </row>
    <row r="214" spans="1:10" x14ac:dyDescent="0.2">
      <c r="A214">
        <v>10213</v>
      </c>
      <c r="B214" t="s">
        <v>8</v>
      </c>
      <c r="C214" t="s">
        <v>9</v>
      </c>
      <c r="D214">
        <v>11.94</v>
      </c>
      <c r="E214">
        <v>5</v>
      </c>
      <c r="F214" t="s">
        <v>15</v>
      </c>
      <c r="G214">
        <v>30</v>
      </c>
      <c r="H214">
        <v>15.522</v>
      </c>
      <c r="I214">
        <v>30.000000000000004</v>
      </c>
      <c r="J214" t="s">
        <v>20</v>
      </c>
    </row>
    <row r="215" spans="1:10" x14ac:dyDescent="0.2">
      <c r="A215">
        <v>10214</v>
      </c>
      <c r="B215" t="s">
        <v>5</v>
      </c>
      <c r="C215" t="s">
        <v>11</v>
      </c>
      <c r="D215">
        <v>3.89</v>
      </c>
      <c r="E215">
        <v>6</v>
      </c>
      <c r="F215" t="s">
        <v>15</v>
      </c>
      <c r="G215">
        <v>25</v>
      </c>
      <c r="H215">
        <v>4.8624999999999998</v>
      </c>
      <c r="I215">
        <v>25</v>
      </c>
      <c r="J215" t="s">
        <v>20</v>
      </c>
    </row>
    <row r="216" spans="1:10" x14ac:dyDescent="0.2">
      <c r="A216">
        <v>10215</v>
      </c>
      <c r="B216" t="s">
        <v>5</v>
      </c>
      <c r="C216" t="s">
        <v>9</v>
      </c>
      <c r="D216">
        <v>9.77</v>
      </c>
      <c r="E216">
        <v>5</v>
      </c>
      <c r="F216" t="s">
        <v>15</v>
      </c>
      <c r="G216">
        <v>30</v>
      </c>
      <c r="H216">
        <v>12.701000000000001</v>
      </c>
      <c r="I216">
        <v>30.000000000000004</v>
      </c>
      <c r="J216" t="s">
        <v>20</v>
      </c>
    </row>
    <row r="217" spans="1:10" x14ac:dyDescent="0.2">
      <c r="A217">
        <v>10216</v>
      </c>
      <c r="B217" t="s">
        <v>8</v>
      </c>
      <c r="C217" t="s">
        <v>9</v>
      </c>
      <c r="D217">
        <v>3.92</v>
      </c>
      <c r="E217">
        <v>3</v>
      </c>
      <c r="F217" t="s">
        <v>14</v>
      </c>
      <c r="G217">
        <v>15</v>
      </c>
      <c r="H217">
        <v>4.508</v>
      </c>
      <c r="I217">
        <v>15.000000000000014</v>
      </c>
      <c r="J217" t="s">
        <v>20</v>
      </c>
    </row>
    <row r="218" spans="1:10" x14ac:dyDescent="0.2">
      <c r="A218">
        <v>10217</v>
      </c>
      <c r="B218" t="s">
        <v>7</v>
      </c>
      <c r="C218" t="s">
        <v>6</v>
      </c>
      <c r="D218">
        <v>10.85</v>
      </c>
      <c r="E218">
        <v>8</v>
      </c>
      <c r="F218" t="s">
        <v>16</v>
      </c>
      <c r="G218">
        <v>55</v>
      </c>
      <c r="H218">
        <v>16.817499999999999</v>
      </c>
      <c r="I218">
        <v>55.000000000000007</v>
      </c>
      <c r="J218" t="s">
        <v>20</v>
      </c>
    </row>
    <row r="219" spans="1:10" x14ac:dyDescent="0.2">
      <c r="A219">
        <v>10218</v>
      </c>
      <c r="B219" t="s">
        <v>8</v>
      </c>
      <c r="C219" t="s">
        <v>6</v>
      </c>
      <c r="D219">
        <v>13.17</v>
      </c>
      <c r="E219">
        <v>9</v>
      </c>
      <c r="F219" t="s">
        <v>16</v>
      </c>
      <c r="G219">
        <v>55</v>
      </c>
      <c r="H219">
        <v>20.413499999999999</v>
      </c>
      <c r="I219">
        <v>55.000000000000007</v>
      </c>
      <c r="J219" t="s">
        <v>20</v>
      </c>
    </row>
    <row r="220" spans="1:10" x14ac:dyDescent="0.2">
      <c r="A220">
        <v>10219</v>
      </c>
      <c r="B220" t="s">
        <v>7</v>
      </c>
      <c r="C220" t="s">
        <v>9</v>
      </c>
      <c r="D220">
        <v>2.34</v>
      </c>
      <c r="E220">
        <v>4</v>
      </c>
      <c r="F220" t="s">
        <v>15</v>
      </c>
      <c r="G220">
        <v>30</v>
      </c>
      <c r="H220">
        <v>3.0419999999999998</v>
      </c>
      <c r="I220">
        <v>30.000000000000004</v>
      </c>
      <c r="J220" t="s">
        <v>20</v>
      </c>
    </row>
    <row r="221" spans="1:10" x14ac:dyDescent="0.2">
      <c r="A221">
        <v>10220</v>
      </c>
      <c r="B221" t="s">
        <v>5</v>
      </c>
      <c r="C221" t="s">
        <v>11</v>
      </c>
      <c r="D221">
        <v>13.07</v>
      </c>
      <c r="E221">
        <v>9</v>
      </c>
      <c r="F221" t="s">
        <v>16</v>
      </c>
      <c r="G221">
        <v>50</v>
      </c>
      <c r="H221">
        <v>19.605</v>
      </c>
      <c r="I221">
        <v>50</v>
      </c>
      <c r="J221" t="s">
        <v>20</v>
      </c>
    </row>
    <row r="222" spans="1:10" x14ac:dyDescent="0.2">
      <c r="A222">
        <v>10221</v>
      </c>
      <c r="B222" t="s">
        <v>5</v>
      </c>
      <c r="C222" t="s">
        <v>9</v>
      </c>
      <c r="D222">
        <v>9.11</v>
      </c>
      <c r="E222">
        <v>9</v>
      </c>
      <c r="F222" t="s">
        <v>16</v>
      </c>
      <c r="G222">
        <v>60</v>
      </c>
      <c r="H222">
        <v>14.576000000000001</v>
      </c>
      <c r="I222">
        <v>60.000000000000007</v>
      </c>
      <c r="J222" t="s">
        <v>20</v>
      </c>
    </row>
    <row r="223" spans="1:10" x14ac:dyDescent="0.2">
      <c r="A223">
        <v>10222</v>
      </c>
      <c r="B223" t="s">
        <v>5</v>
      </c>
      <c r="C223" t="s">
        <v>9</v>
      </c>
      <c r="D223">
        <v>2.34</v>
      </c>
      <c r="E223">
        <v>7</v>
      </c>
      <c r="F223" t="s">
        <v>15</v>
      </c>
      <c r="G223">
        <v>30</v>
      </c>
      <c r="H223">
        <v>3.0419999999999998</v>
      </c>
      <c r="I223">
        <v>30.000000000000004</v>
      </c>
      <c r="J223" t="s">
        <v>20</v>
      </c>
    </row>
    <row r="224" spans="1:10" x14ac:dyDescent="0.2">
      <c r="A224">
        <v>10223</v>
      </c>
      <c r="B224" t="s">
        <v>10</v>
      </c>
      <c r="C224" t="s">
        <v>11</v>
      </c>
      <c r="D224">
        <v>6.7</v>
      </c>
      <c r="E224">
        <v>8</v>
      </c>
      <c r="F224" t="s">
        <v>16</v>
      </c>
      <c r="G224">
        <v>50</v>
      </c>
      <c r="H224">
        <v>10.050000000000001</v>
      </c>
      <c r="I224">
        <v>50</v>
      </c>
      <c r="J224" t="s">
        <v>20</v>
      </c>
    </row>
    <row r="225" spans="1:10" x14ac:dyDescent="0.2">
      <c r="A225">
        <v>10224</v>
      </c>
      <c r="B225" t="s">
        <v>7</v>
      </c>
      <c r="C225" t="s">
        <v>6</v>
      </c>
      <c r="D225">
        <v>2.83</v>
      </c>
      <c r="E225">
        <v>3</v>
      </c>
      <c r="F225" t="s">
        <v>14</v>
      </c>
      <c r="G225">
        <v>12</v>
      </c>
      <c r="H225">
        <v>3.1696000000000004</v>
      </c>
      <c r="I225">
        <v>12.000000000000011</v>
      </c>
      <c r="J225" t="s">
        <v>20</v>
      </c>
    </row>
    <row r="226" spans="1:10" x14ac:dyDescent="0.2">
      <c r="A226">
        <v>10225</v>
      </c>
      <c r="B226" t="s">
        <v>10</v>
      </c>
      <c r="C226" t="s">
        <v>9</v>
      </c>
      <c r="D226">
        <v>10.66</v>
      </c>
      <c r="E226">
        <v>5</v>
      </c>
      <c r="F226" t="s">
        <v>15</v>
      </c>
      <c r="G226">
        <v>30</v>
      </c>
      <c r="H226">
        <v>13.858000000000001</v>
      </c>
      <c r="I226">
        <v>30.000000000000004</v>
      </c>
      <c r="J226" t="s">
        <v>20</v>
      </c>
    </row>
    <row r="227" spans="1:10" x14ac:dyDescent="0.2">
      <c r="A227">
        <v>10226</v>
      </c>
      <c r="B227" t="s">
        <v>10</v>
      </c>
      <c r="C227" t="s">
        <v>6</v>
      </c>
      <c r="D227">
        <v>11.5</v>
      </c>
      <c r="E227">
        <v>3</v>
      </c>
      <c r="F227" t="s">
        <v>14</v>
      </c>
      <c r="G227">
        <v>12</v>
      </c>
      <c r="H227">
        <v>12.88</v>
      </c>
      <c r="I227">
        <v>12.000000000000011</v>
      </c>
      <c r="J227" t="s">
        <v>20</v>
      </c>
    </row>
    <row r="228" spans="1:10" x14ac:dyDescent="0.2">
      <c r="A228">
        <v>10227</v>
      </c>
      <c r="B228" t="s">
        <v>8</v>
      </c>
      <c r="C228" t="s">
        <v>6</v>
      </c>
      <c r="D228">
        <v>2.0299999999999998</v>
      </c>
      <c r="E228">
        <v>7</v>
      </c>
      <c r="F228" t="s">
        <v>15</v>
      </c>
      <c r="G228">
        <v>28</v>
      </c>
      <c r="H228">
        <v>2.5983999999999998</v>
      </c>
      <c r="I228">
        <v>28.000000000000004</v>
      </c>
      <c r="J228" t="s">
        <v>20</v>
      </c>
    </row>
    <row r="229" spans="1:10" x14ac:dyDescent="0.2">
      <c r="A229">
        <v>10228</v>
      </c>
      <c r="B229" t="s">
        <v>10</v>
      </c>
      <c r="C229" t="s">
        <v>11</v>
      </c>
      <c r="D229">
        <v>7.84</v>
      </c>
      <c r="E229">
        <v>6</v>
      </c>
      <c r="F229" t="s">
        <v>15</v>
      </c>
      <c r="G229">
        <v>25</v>
      </c>
      <c r="H229">
        <v>9.8000000000000007</v>
      </c>
      <c r="I229">
        <v>25.000000000000021</v>
      </c>
      <c r="J229" t="s">
        <v>20</v>
      </c>
    </row>
    <row r="230" spans="1:10" x14ac:dyDescent="0.2">
      <c r="A230">
        <v>10229</v>
      </c>
      <c r="B230" t="s">
        <v>8</v>
      </c>
      <c r="C230" t="s">
        <v>11</v>
      </c>
      <c r="D230">
        <v>12.31</v>
      </c>
      <c r="E230">
        <v>3</v>
      </c>
      <c r="F230" t="s">
        <v>14</v>
      </c>
      <c r="G230">
        <v>10</v>
      </c>
      <c r="H230">
        <v>13.541000000000002</v>
      </c>
      <c r="I230">
        <v>10.000000000000009</v>
      </c>
      <c r="J230" t="s">
        <v>20</v>
      </c>
    </row>
    <row r="231" spans="1:10" x14ac:dyDescent="0.2">
      <c r="A231">
        <v>10230</v>
      </c>
      <c r="B231" t="s">
        <v>8</v>
      </c>
      <c r="C231" t="s">
        <v>6</v>
      </c>
      <c r="D231">
        <v>14.07</v>
      </c>
      <c r="E231">
        <v>9</v>
      </c>
      <c r="F231" t="s">
        <v>16</v>
      </c>
      <c r="G231">
        <v>55</v>
      </c>
      <c r="H231">
        <v>21.808500000000002</v>
      </c>
      <c r="I231">
        <v>55.000000000000007</v>
      </c>
      <c r="J231" t="s">
        <v>20</v>
      </c>
    </row>
    <row r="232" spans="1:10" x14ac:dyDescent="0.2">
      <c r="A232">
        <v>10231</v>
      </c>
      <c r="B232" t="s">
        <v>10</v>
      </c>
      <c r="C232" t="s">
        <v>9</v>
      </c>
      <c r="D232">
        <v>7.95</v>
      </c>
      <c r="E232">
        <v>1</v>
      </c>
      <c r="F232" t="s">
        <v>14</v>
      </c>
      <c r="G232">
        <v>15</v>
      </c>
      <c r="H232">
        <v>9.1425000000000001</v>
      </c>
      <c r="I232">
        <v>14.999999999999991</v>
      </c>
      <c r="J232" t="s">
        <v>20</v>
      </c>
    </row>
    <row r="233" spans="1:10" x14ac:dyDescent="0.2">
      <c r="A233">
        <v>10232</v>
      </c>
      <c r="B233" t="s">
        <v>7</v>
      </c>
      <c r="C233" t="s">
        <v>6</v>
      </c>
      <c r="D233">
        <v>14.28</v>
      </c>
      <c r="E233">
        <v>10</v>
      </c>
      <c r="F233" t="s">
        <v>16</v>
      </c>
      <c r="G233">
        <v>55</v>
      </c>
      <c r="H233">
        <v>22.134</v>
      </c>
      <c r="I233">
        <v>55.000000000000007</v>
      </c>
      <c r="J233" t="s">
        <v>20</v>
      </c>
    </row>
    <row r="234" spans="1:10" x14ac:dyDescent="0.2">
      <c r="A234">
        <v>10233</v>
      </c>
      <c r="B234" t="s">
        <v>7</v>
      </c>
      <c r="C234" t="s">
        <v>9</v>
      </c>
      <c r="D234">
        <v>8.27</v>
      </c>
      <c r="E234">
        <v>3</v>
      </c>
      <c r="F234" t="s">
        <v>14</v>
      </c>
      <c r="G234">
        <v>15</v>
      </c>
      <c r="H234">
        <v>9.5104999999999986</v>
      </c>
      <c r="I234">
        <v>14.999999999999991</v>
      </c>
      <c r="J234" t="s">
        <v>20</v>
      </c>
    </row>
    <row r="235" spans="1:10" x14ac:dyDescent="0.2">
      <c r="A235">
        <v>10234</v>
      </c>
      <c r="B235" t="s">
        <v>7</v>
      </c>
      <c r="C235" t="s">
        <v>9</v>
      </c>
      <c r="D235">
        <v>6.22</v>
      </c>
      <c r="E235">
        <v>10</v>
      </c>
      <c r="F235" t="s">
        <v>16</v>
      </c>
      <c r="G235">
        <v>60</v>
      </c>
      <c r="H235">
        <v>9.952</v>
      </c>
      <c r="I235">
        <v>60.000000000000007</v>
      </c>
      <c r="J235" t="s">
        <v>20</v>
      </c>
    </row>
    <row r="236" spans="1:10" x14ac:dyDescent="0.2">
      <c r="A236">
        <v>10235</v>
      </c>
      <c r="B236" t="s">
        <v>7</v>
      </c>
      <c r="C236" t="s">
        <v>11</v>
      </c>
      <c r="D236">
        <v>12.8</v>
      </c>
      <c r="E236">
        <v>7</v>
      </c>
      <c r="F236" t="s">
        <v>15</v>
      </c>
      <c r="G236">
        <v>25</v>
      </c>
      <c r="H236">
        <v>16</v>
      </c>
      <c r="I236">
        <v>25</v>
      </c>
      <c r="J236" t="s">
        <v>20</v>
      </c>
    </row>
    <row r="237" spans="1:10" x14ac:dyDescent="0.2">
      <c r="A237">
        <v>10236</v>
      </c>
      <c r="B237" t="s">
        <v>7</v>
      </c>
      <c r="C237" t="s">
        <v>9</v>
      </c>
      <c r="D237">
        <v>7.65</v>
      </c>
      <c r="E237">
        <v>3</v>
      </c>
      <c r="F237" t="s">
        <v>14</v>
      </c>
      <c r="G237">
        <v>15</v>
      </c>
      <c r="H237">
        <v>8.7974999999999994</v>
      </c>
      <c r="I237">
        <v>14.999999999999991</v>
      </c>
      <c r="J237" t="s">
        <v>20</v>
      </c>
    </row>
    <row r="238" spans="1:10" x14ac:dyDescent="0.2">
      <c r="A238">
        <v>10237</v>
      </c>
      <c r="B238" t="s">
        <v>10</v>
      </c>
      <c r="C238" t="s">
        <v>9</v>
      </c>
      <c r="D238">
        <v>7.34</v>
      </c>
      <c r="E238">
        <v>3</v>
      </c>
      <c r="F238" t="s">
        <v>14</v>
      </c>
      <c r="G238">
        <v>15</v>
      </c>
      <c r="H238">
        <v>8.4409999999999989</v>
      </c>
      <c r="I238">
        <v>14.999999999999991</v>
      </c>
      <c r="J238" t="s">
        <v>20</v>
      </c>
    </row>
    <row r="239" spans="1:10" x14ac:dyDescent="0.2">
      <c r="A239">
        <v>10238</v>
      </c>
      <c r="B239" t="s">
        <v>10</v>
      </c>
      <c r="C239" t="s">
        <v>6</v>
      </c>
      <c r="D239">
        <v>7.61</v>
      </c>
      <c r="E239">
        <v>2</v>
      </c>
      <c r="F239" t="s">
        <v>14</v>
      </c>
      <c r="G239">
        <v>12</v>
      </c>
      <c r="H239">
        <v>8.523200000000001</v>
      </c>
      <c r="I239">
        <v>12.000000000000011</v>
      </c>
      <c r="J239" t="s">
        <v>20</v>
      </c>
    </row>
    <row r="240" spans="1:10" x14ac:dyDescent="0.2">
      <c r="A240">
        <v>10239</v>
      </c>
      <c r="B240" t="s">
        <v>5</v>
      </c>
      <c r="C240" t="s">
        <v>11</v>
      </c>
      <c r="D240">
        <v>12.78</v>
      </c>
      <c r="E240">
        <v>9</v>
      </c>
      <c r="F240" t="s">
        <v>16</v>
      </c>
      <c r="G240">
        <v>50</v>
      </c>
      <c r="H240">
        <v>19.169999999999998</v>
      </c>
      <c r="I240">
        <v>50</v>
      </c>
      <c r="J240" t="s">
        <v>20</v>
      </c>
    </row>
    <row r="241" spans="1:10" x14ac:dyDescent="0.2">
      <c r="A241">
        <v>10240</v>
      </c>
      <c r="B241" t="s">
        <v>7</v>
      </c>
      <c r="C241" t="s">
        <v>9</v>
      </c>
      <c r="D241">
        <v>12.56</v>
      </c>
      <c r="E241">
        <v>4</v>
      </c>
      <c r="F241" t="s">
        <v>15</v>
      </c>
      <c r="G241">
        <v>30</v>
      </c>
      <c r="H241">
        <v>16.328000000000003</v>
      </c>
      <c r="I241">
        <v>30.000000000000028</v>
      </c>
      <c r="J241" t="s">
        <v>20</v>
      </c>
    </row>
    <row r="242" spans="1:10" x14ac:dyDescent="0.2">
      <c r="A242">
        <v>10241</v>
      </c>
      <c r="B242" t="s">
        <v>10</v>
      </c>
      <c r="C242" t="s">
        <v>9</v>
      </c>
      <c r="D242">
        <v>6.35</v>
      </c>
      <c r="E242">
        <v>10</v>
      </c>
      <c r="F242" t="s">
        <v>16</v>
      </c>
      <c r="G242">
        <v>60</v>
      </c>
      <c r="H242">
        <v>10.16</v>
      </c>
      <c r="I242">
        <v>60.000000000000007</v>
      </c>
      <c r="J242" t="s">
        <v>20</v>
      </c>
    </row>
    <row r="243" spans="1:10" x14ac:dyDescent="0.2">
      <c r="A243">
        <v>10242</v>
      </c>
      <c r="B243" t="s">
        <v>5</v>
      </c>
      <c r="C243" t="s">
        <v>11</v>
      </c>
      <c r="D243">
        <v>5.33</v>
      </c>
      <c r="E243">
        <v>6</v>
      </c>
      <c r="F243" t="s">
        <v>15</v>
      </c>
      <c r="G243">
        <v>25</v>
      </c>
      <c r="H243">
        <v>6.6624999999999996</v>
      </c>
      <c r="I243">
        <v>25</v>
      </c>
      <c r="J243" t="s">
        <v>20</v>
      </c>
    </row>
    <row r="244" spans="1:10" x14ac:dyDescent="0.2">
      <c r="A244">
        <v>10243</v>
      </c>
      <c r="B244" t="s">
        <v>7</v>
      </c>
      <c r="C244" t="s">
        <v>6</v>
      </c>
      <c r="D244">
        <v>7.63</v>
      </c>
      <c r="E244">
        <v>2</v>
      </c>
      <c r="F244" t="s">
        <v>14</v>
      </c>
      <c r="G244">
        <v>12</v>
      </c>
      <c r="H244">
        <v>8.5456000000000003</v>
      </c>
      <c r="I244">
        <v>12.000000000000011</v>
      </c>
      <c r="J244" t="s">
        <v>20</v>
      </c>
    </row>
    <row r="245" spans="1:10" x14ac:dyDescent="0.2">
      <c r="A245">
        <v>10244</v>
      </c>
      <c r="B245" t="s">
        <v>8</v>
      </c>
      <c r="C245" t="s">
        <v>11</v>
      </c>
      <c r="D245">
        <v>8.81</v>
      </c>
      <c r="E245">
        <v>9</v>
      </c>
      <c r="F245" t="s">
        <v>16</v>
      </c>
      <c r="G245">
        <v>50</v>
      </c>
      <c r="H245">
        <v>13.215</v>
      </c>
      <c r="I245">
        <v>50</v>
      </c>
      <c r="J245" t="s">
        <v>20</v>
      </c>
    </row>
    <row r="246" spans="1:10" x14ac:dyDescent="0.2">
      <c r="A246">
        <v>10245</v>
      </c>
      <c r="B246" t="s">
        <v>5</v>
      </c>
      <c r="C246" t="s">
        <v>11</v>
      </c>
      <c r="D246">
        <v>3.96</v>
      </c>
      <c r="E246">
        <v>7</v>
      </c>
      <c r="F246" t="s">
        <v>15</v>
      </c>
      <c r="G246">
        <v>25</v>
      </c>
      <c r="H246">
        <v>4.95</v>
      </c>
      <c r="I246">
        <v>25</v>
      </c>
      <c r="J246" t="s">
        <v>20</v>
      </c>
    </row>
    <row r="247" spans="1:10" x14ac:dyDescent="0.2">
      <c r="A247">
        <v>10246</v>
      </c>
      <c r="B247" t="s">
        <v>10</v>
      </c>
      <c r="C247" t="s">
        <v>9</v>
      </c>
      <c r="D247">
        <v>12.01</v>
      </c>
      <c r="E247">
        <v>10</v>
      </c>
      <c r="F247" t="s">
        <v>16</v>
      </c>
      <c r="G247">
        <v>60</v>
      </c>
      <c r="H247">
        <v>19.216000000000001</v>
      </c>
      <c r="I247">
        <v>60.000000000000007</v>
      </c>
      <c r="J247" t="s">
        <v>20</v>
      </c>
    </row>
    <row r="248" spans="1:10" x14ac:dyDescent="0.2">
      <c r="A248">
        <v>10247</v>
      </c>
      <c r="B248" t="s">
        <v>8</v>
      </c>
      <c r="C248" t="s">
        <v>9</v>
      </c>
      <c r="D248">
        <v>7.55</v>
      </c>
      <c r="E248">
        <v>5</v>
      </c>
      <c r="F248" t="s">
        <v>15</v>
      </c>
      <c r="G248">
        <v>30</v>
      </c>
      <c r="H248">
        <v>9.8149999999999995</v>
      </c>
      <c r="I248">
        <v>30.000000000000004</v>
      </c>
      <c r="J248" t="s">
        <v>20</v>
      </c>
    </row>
    <row r="249" spans="1:10" x14ac:dyDescent="0.2">
      <c r="A249">
        <v>10248</v>
      </c>
      <c r="B249" t="s">
        <v>8</v>
      </c>
      <c r="C249" t="s">
        <v>6</v>
      </c>
      <c r="D249">
        <v>5.34</v>
      </c>
      <c r="E249">
        <v>7</v>
      </c>
      <c r="F249" t="s">
        <v>15</v>
      </c>
      <c r="G249">
        <v>28</v>
      </c>
      <c r="H249">
        <v>6.8352000000000004</v>
      </c>
      <c r="I249">
        <v>28.000000000000004</v>
      </c>
      <c r="J249" t="s">
        <v>20</v>
      </c>
    </row>
    <row r="250" spans="1:10" x14ac:dyDescent="0.2">
      <c r="A250">
        <v>10249</v>
      </c>
      <c r="B250" t="s">
        <v>8</v>
      </c>
      <c r="C250" t="s">
        <v>9</v>
      </c>
      <c r="D250">
        <v>2.0499999999999998</v>
      </c>
      <c r="E250">
        <v>4</v>
      </c>
      <c r="F250" t="s">
        <v>15</v>
      </c>
      <c r="G250">
        <v>30</v>
      </c>
      <c r="H250">
        <v>2.665</v>
      </c>
      <c r="I250">
        <v>30.000000000000004</v>
      </c>
      <c r="J250" t="s">
        <v>20</v>
      </c>
    </row>
    <row r="251" spans="1:10" x14ac:dyDescent="0.2">
      <c r="A251">
        <v>10250</v>
      </c>
      <c r="B251" t="s">
        <v>5</v>
      </c>
      <c r="C251" t="s">
        <v>9</v>
      </c>
      <c r="D251">
        <v>3.96</v>
      </c>
      <c r="E251">
        <v>10</v>
      </c>
      <c r="F251" t="s">
        <v>16</v>
      </c>
      <c r="G251">
        <v>60</v>
      </c>
      <c r="H251">
        <v>6.3360000000000003</v>
      </c>
      <c r="I251">
        <v>60.000000000000007</v>
      </c>
      <c r="J251" t="s">
        <v>20</v>
      </c>
    </row>
    <row r="252" spans="1:10" x14ac:dyDescent="0.2">
      <c r="A252">
        <v>10251</v>
      </c>
      <c r="B252" t="s">
        <v>10</v>
      </c>
      <c r="C252" t="s">
        <v>11</v>
      </c>
      <c r="D252">
        <v>14.26</v>
      </c>
      <c r="E252">
        <v>7</v>
      </c>
      <c r="F252" t="s">
        <v>15</v>
      </c>
      <c r="G252">
        <v>25</v>
      </c>
      <c r="H252">
        <v>17.824999999999999</v>
      </c>
      <c r="I252">
        <v>25</v>
      </c>
      <c r="J252" t="s">
        <v>20</v>
      </c>
    </row>
    <row r="253" spans="1:10" x14ac:dyDescent="0.2">
      <c r="A253">
        <v>10252</v>
      </c>
      <c r="B253" t="s">
        <v>8</v>
      </c>
      <c r="C253" t="s">
        <v>9</v>
      </c>
      <c r="D253">
        <v>4.92</v>
      </c>
      <c r="E253">
        <v>2</v>
      </c>
      <c r="F253" t="s">
        <v>14</v>
      </c>
      <c r="G253">
        <v>15</v>
      </c>
      <c r="H253">
        <v>5.6579999999999995</v>
      </c>
      <c r="I253">
        <v>14.999999999999991</v>
      </c>
      <c r="J253" t="s">
        <v>20</v>
      </c>
    </row>
    <row r="254" spans="1:10" x14ac:dyDescent="0.2">
      <c r="A254">
        <v>10253</v>
      </c>
      <c r="B254" t="s">
        <v>7</v>
      </c>
      <c r="C254" t="s">
        <v>6</v>
      </c>
      <c r="D254">
        <v>2.95</v>
      </c>
      <c r="E254">
        <v>7</v>
      </c>
      <c r="F254" t="s">
        <v>15</v>
      </c>
      <c r="G254">
        <v>28</v>
      </c>
      <c r="H254">
        <v>3.7760000000000002</v>
      </c>
      <c r="I254">
        <v>28.000000000000004</v>
      </c>
      <c r="J254" t="s">
        <v>20</v>
      </c>
    </row>
    <row r="255" spans="1:10" x14ac:dyDescent="0.2">
      <c r="A255">
        <v>10254</v>
      </c>
      <c r="B255" t="s">
        <v>8</v>
      </c>
      <c r="C255" t="s">
        <v>11</v>
      </c>
      <c r="D255">
        <v>7.18</v>
      </c>
      <c r="E255">
        <v>4</v>
      </c>
      <c r="F255" t="s">
        <v>15</v>
      </c>
      <c r="G255">
        <v>25</v>
      </c>
      <c r="H255">
        <v>8.9749999999999996</v>
      </c>
      <c r="I255">
        <v>25</v>
      </c>
      <c r="J255" t="s">
        <v>20</v>
      </c>
    </row>
    <row r="256" spans="1:10" x14ac:dyDescent="0.2">
      <c r="A256">
        <v>10255</v>
      </c>
      <c r="B256" t="s">
        <v>8</v>
      </c>
      <c r="C256" t="s">
        <v>6</v>
      </c>
      <c r="D256">
        <v>4.95</v>
      </c>
      <c r="E256">
        <v>4</v>
      </c>
      <c r="F256" t="s">
        <v>15</v>
      </c>
      <c r="G256">
        <v>28</v>
      </c>
      <c r="H256">
        <v>6.3360000000000003</v>
      </c>
      <c r="I256">
        <v>28.000000000000004</v>
      </c>
      <c r="J256" t="s">
        <v>20</v>
      </c>
    </row>
    <row r="257" spans="1:10" x14ac:dyDescent="0.2">
      <c r="A257">
        <v>10256</v>
      </c>
      <c r="B257" t="s">
        <v>5</v>
      </c>
      <c r="C257" t="s">
        <v>11</v>
      </c>
      <c r="D257">
        <v>1.01</v>
      </c>
      <c r="E257">
        <v>1</v>
      </c>
      <c r="F257" t="s">
        <v>14</v>
      </c>
      <c r="G257">
        <v>10</v>
      </c>
      <c r="H257">
        <v>1.1110000000000002</v>
      </c>
      <c r="I257">
        <v>10.000000000000009</v>
      </c>
      <c r="J257" t="s">
        <v>20</v>
      </c>
    </row>
    <row r="258" spans="1:10" x14ac:dyDescent="0.2">
      <c r="A258">
        <v>10257</v>
      </c>
      <c r="B258" t="s">
        <v>5</v>
      </c>
      <c r="C258" t="s">
        <v>9</v>
      </c>
      <c r="D258">
        <v>5.19</v>
      </c>
      <c r="E258">
        <v>3</v>
      </c>
      <c r="F258" t="s">
        <v>14</v>
      </c>
      <c r="G258">
        <v>15</v>
      </c>
      <c r="H258">
        <v>5.9684999999999997</v>
      </c>
      <c r="I258">
        <v>14.999999999999991</v>
      </c>
      <c r="J258" t="s">
        <v>20</v>
      </c>
    </row>
    <row r="259" spans="1:10" x14ac:dyDescent="0.2">
      <c r="A259">
        <v>10258</v>
      </c>
      <c r="B259" t="s">
        <v>10</v>
      </c>
      <c r="C259" t="s">
        <v>11</v>
      </c>
      <c r="D259">
        <v>8.39</v>
      </c>
      <c r="E259">
        <v>5</v>
      </c>
      <c r="F259" t="s">
        <v>15</v>
      </c>
      <c r="G259">
        <v>25</v>
      </c>
      <c r="H259">
        <v>10.487500000000001</v>
      </c>
      <c r="I259">
        <v>25</v>
      </c>
      <c r="J259" t="s">
        <v>20</v>
      </c>
    </row>
    <row r="260" spans="1:10" x14ac:dyDescent="0.2">
      <c r="A260">
        <v>10259</v>
      </c>
      <c r="B260" t="s">
        <v>7</v>
      </c>
      <c r="C260" t="s">
        <v>11</v>
      </c>
      <c r="D260">
        <v>8.5</v>
      </c>
      <c r="E260">
        <v>5</v>
      </c>
      <c r="F260" t="s">
        <v>15</v>
      </c>
      <c r="G260">
        <v>25</v>
      </c>
      <c r="H260">
        <v>10.625</v>
      </c>
      <c r="I260">
        <v>25</v>
      </c>
      <c r="J260" t="s">
        <v>20</v>
      </c>
    </row>
    <row r="261" spans="1:10" x14ac:dyDescent="0.2">
      <c r="A261">
        <v>10260</v>
      </c>
      <c r="B261" t="s">
        <v>5</v>
      </c>
      <c r="C261" t="s">
        <v>9</v>
      </c>
      <c r="D261">
        <v>5.67</v>
      </c>
      <c r="E261">
        <v>2</v>
      </c>
      <c r="F261" t="s">
        <v>14</v>
      </c>
      <c r="G261">
        <v>15</v>
      </c>
      <c r="H261">
        <v>6.5204999999999993</v>
      </c>
      <c r="I261">
        <v>14.999999999999991</v>
      </c>
      <c r="J261" t="s">
        <v>20</v>
      </c>
    </row>
    <row r="262" spans="1:10" x14ac:dyDescent="0.2">
      <c r="A262">
        <v>10261</v>
      </c>
      <c r="B262" t="s">
        <v>8</v>
      </c>
      <c r="C262" t="s">
        <v>9</v>
      </c>
      <c r="D262">
        <v>6.99</v>
      </c>
      <c r="E262">
        <v>4</v>
      </c>
      <c r="F262" t="s">
        <v>15</v>
      </c>
      <c r="G262">
        <v>30</v>
      </c>
      <c r="H262">
        <v>9.0869999999999997</v>
      </c>
      <c r="I262">
        <v>29.999999999999982</v>
      </c>
      <c r="J262" t="s">
        <v>20</v>
      </c>
    </row>
    <row r="263" spans="1:10" x14ac:dyDescent="0.2">
      <c r="A263">
        <v>10262</v>
      </c>
      <c r="B263" t="s">
        <v>10</v>
      </c>
      <c r="C263" t="s">
        <v>6</v>
      </c>
      <c r="D263">
        <v>14.5</v>
      </c>
      <c r="E263">
        <v>1</v>
      </c>
      <c r="F263" t="s">
        <v>14</v>
      </c>
      <c r="G263">
        <v>12</v>
      </c>
      <c r="H263">
        <v>16.240000000000002</v>
      </c>
      <c r="I263">
        <v>12.000000000000011</v>
      </c>
      <c r="J263" t="s">
        <v>20</v>
      </c>
    </row>
    <row r="264" spans="1:10" x14ac:dyDescent="0.2">
      <c r="A264">
        <v>10263</v>
      </c>
      <c r="B264" t="s">
        <v>8</v>
      </c>
      <c r="C264" t="s">
        <v>6</v>
      </c>
      <c r="D264">
        <v>5.97</v>
      </c>
      <c r="E264">
        <v>9</v>
      </c>
      <c r="F264" t="s">
        <v>16</v>
      </c>
      <c r="G264">
        <v>55</v>
      </c>
      <c r="H264">
        <v>9.2535000000000007</v>
      </c>
      <c r="I264">
        <v>55.000000000000028</v>
      </c>
      <c r="J264" t="s">
        <v>20</v>
      </c>
    </row>
    <row r="265" spans="1:10" x14ac:dyDescent="0.2">
      <c r="A265">
        <v>10264</v>
      </c>
      <c r="B265" t="s">
        <v>8</v>
      </c>
      <c r="C265" t="s">
        <v>9</v>
      </c>
      <c r="D265">
        <v>4.24</v>
      </c>
      <c r="E265">
        <v>1</v>
      </c>
      <c r="F265" t="s">
        <v>14</v>
      </c>
      <c r="G265">
        <v>15</v>
      </c>
      <c r="H265">
        <v>4.8759999999999994</v>
      </c>
      <c r="I265">
        <v>14.999999999999991</v>
      </c>
      <c r="J265" t="s">
        <v>20</v>
      </c>
    </row>
    <row r="266" spans="1:10" x14ac:dyDescent="0.2">
      <c r="A266">
        <v>10265</v>
      </c>
      <c r="B266" t="s">
        <v>5</v>
      </c>
      <c r="C266" t="s">
        <v>9</v>
      </c>
      <c r="D266">
        <v>4.03</v>
      </c>
      <c r="E266">
        <v>6</v>
      </c>
      <c r="F266" t="s">
        <v>15</v>
      </c>
      <c r="G266">
        <v>30</v>
      </c>
      <c r="H266">
        <v>5.2390000000000008</v>
      </c>
      <c r="I266">
        <v>30.000000000000004</v>
      </c>
      <c r="J266" t="s">
        <v>20</v>
      </c>
    </row>
    <row r="267" spans="1:10" x14ac:dyDescent="0.2">
      <c r="A267">
        <v>10266</v>
      </c>
      <c r="B267" t="s">
        <v>10</v>
      </c>
      <c r="C267" t="s">
        <v>9</v>
      </c>
      <c r="D267">
        <v>7.14</v>
      </c>
      <c r="E267">
        <v>7</v>
      </c>
      <c r="F267" t="s">
        <v>15</v>
      </c>
      <c r="G267">
        <v>30</v>
      </c>
      <c r="H267">
        <v>9.282</v>
      </c>
      <c r="I267">
        <v>30.000000000000004</v>
      </c>
      <c r="J267" t="s">
        <v>20</v>
      </c>
    </row>
    <row r="268" spans="1:10" x14ac:dyDescent="0.2">
      <c r="A268">
        <v>10267</v>
      </c>
      <c r="B268" t="s">
        <v>7</v>
      </c>
      <c r="C268" t="s">
        <v>11</v>
      </c>
      <c r="D268">
        <v>11.51</v>
      </c>
      <c r="E268">
        <v>3</v>
      </c>
      <c r="F268" t="s">
        <v>14</v>
      </c>
      <c r="G268">
        <v>10</v>
      </c>
      <c r="H268">
        <v>12.661000000000001</v>
      </c>
      <c r="I268">
        <v>10.000000000000009</v>
      </c>
      <c r="J268" t="s">
        <v>20</v>
      </c>
    </row>
    <row r="269" spans="1:10" x14ac:dyDescent="0.2">
      <c r="A269">
        <v>10268</v>
      </c>
      <c r="B269" t="s">
        <v>7</v>
      </c>
      <c r="C269" t="s">
        <v>11</v>
      </c>
      <c r="D269">
        <v>3.49</v>
      </c>
      <c r="E269">
        <v>1</v>
      </c>
      <c r="F269" t="s">
        <v>14</v>
      </c>
      <c r="G269">
        <v>10</v>
      </c>
      <c r="H269">
        <v>3.8390000000000004</v>
      </c>
      <c r="I269">
        <v>10.000000000000009</v>
      </c>
      <c r="J269" t="s">
        <v>20</v>
      </c>
    </row>
    <row r="270" spans="1:10" x14ac:dyDescent="0.2">
      <c r="A270">
        <v>10269</v>
      </c>
      <c r="B270" t="s">
        <v>5</v>
      </c>
      <c r="C270" t="s">
        <v>11</v>
      </c>
      <c r="D270">
        <v>10.78</v>
      </c>
      <c r="E270">
        <v>7</v>
      </c>
      <c r="F270" t="s">
        <v>15</v>
      </c>
      <c r="G270">
        <v>25</v>
      </c>
      <c r="H270">
        <v>13.475</v>
      </c>
      <c r="I270">
        <v>25</v>
      </c>
      <c r="J270" t="s">
        <v>20</v>
      </c>
    </row>
    <row r="271" spans="1:10" x14ac:dyDescent="0.2">
      <c r="A271">
        <v>10270</v>
      </c>
      <c r="B271" t="s">
        <v>5</v>
      </c>
      <c r="C271" t="s">
        <v>9</v>
      </c>
      <c r="D271">
        <v>0.81</v>
      </c>
      <c r="E271">
        <v>3</v>
      </c>
      <c r="F271" t="s">
        <v>14</v>
      </c>
      <c r="G271">
        <v>15</v>
      </c>
      <c r="H271">
        <v>0.93149999999999999</v>
      </c>
      <c r="I271">
        <v>14.999999999999991</v>
      </c>
      <c r="J271" t="s">
        <v>20</v>
      </c>
    </row>
    <row r="272" spans="1:10" x14ac:dyDescent="0.2">
      <c r="A272">
        <v>10271</v>
      </c>
      <c r="B272" t="s">
        <v>10</v>
      </c>
      <c r="C272" t="s">
        <v>6</v>
      </c>
      <c r="D272">
        <v>6.57</v>
      </c>
      <c r="E272">
        <v>10</v>
      </c>
      <c r="F272" t="s">
        <v>16</v>
      </c>
      <c r="G272">
        <v>55</v>
      </c>
      <c r="H272">
        <v>10.1835</v>
      </c>
      <c r="I272">
        <v>55.000000000000007</v>
      </c>
      <c r="J272" t="s">
        <v>20</v>
      </c>
    </row>
    <row r="273" spans="1:10" x14ac:dyDescent="0.2">
      <c r="A273">
        <v>10272</v>
      </c>
      <c r="B273" t="s">
        <v>7</v>
      </c>
      <c r="C273" t="s">
        <v>9</v>
      </c>
      <c r="D273">
        <v>11.75</v>
      </c>
      <c r="E273">
        <v>6</v>
      </c>
      <c r="F273" t="s">
        <v>15</v>
      </c>
      <c r="G273">
        <v>30</v>
      </c>
      <c r="H273">
        <v>15.275</v>
      </c>
      <c r="I273">
        <v>30.000000000000004</v>
      </c>
      <c r="J273" t="s">
        <v>20</v>
      </c>
    </row>
    <row r="274" spans="1:10" x14ac:dyDescent="0.2">
      <c r="A274">
        <v>10273</v>
      </c>
      <c r="B274" t="s">
        <v>7</v>
      </c>
      <c r="C274" t="s">
        <v>11</v>
      </c>
      <c r="D274">
        <v>5.41</v>
      </c>
      <c r="E274">
        <v>6</v>
      </c>
      <c r="F274" t="s">
        <v>15</v>
      </c>
      <c r="G274">
        <v>25</v>
      </c>
      <c r="H274">
        <v>6.7625000000000002</v>
      </c>
      <c r="I274">
        <v>25</v>
      </c>
      <c r="J274" t="s">
        <v>20</v>
      </c>
    </row>
    <row r="275" spans="1:10" x14ac:dyDescent="0.2">
      <c r="A275">
        <v>10274</v>
      </c>
      <c r="B275" t="s">
        <v>7</v>
      </c>
      <c r="C275" t="s">
        <v>11</v>
      </c>
      <c r="D275">
        <v>8.67</v>
      </c>
      <c r="E275">
        <v>4</v>
      </c>
      <c r="F275" t="s">
        <v>15</v>
      </c>
      <c r="G275">
        <v>25</v>
      </c>
      <c r="H275">
        <v>10.8375</v>
      </c>
      <c r="I275">
        <v>25</v>
      </c>
      <c r="J275" t="s">
        <v>20</v>
      </c>
    </row>
    <row r="276" spans="1:10" x14ac:dyDescent="0.2">
      <c r="A276">
        <v>10275</v>
      </c>
      <c r="B276" t="s">
        <v>8</v>
      </c>
      <c r="C276" t="s">
        <v>9</v>
      </c>
      <c r="D276">
        <v>3.47</v>
      </c>
      <c r="E276">
        <v>6</v>
      </c>
      <c r="F276" t="s">
        <v>15</v>
      </c>
      <c r="G276">
        <v>30</v>
      </c>
      <c r="H276">
        <v>4.5110000000000001</v>
      </c>
      <c r="I276">
        <v>30.000000000000004</v>
      </c>
      <c r="J276" t="s">
        <v>20</v>
      </c>
    </row>
    <row r="277" spans="1:10" x14ac:dyDescent="0.2">
      <c r="A277">
        <v>10276</v>
      </c>
      <c r="B277" t="s">
        <v>7</v>
      </c>
      <c r="C277" t="s">
        <v>9</v>
      </c>
      <c r="D277">
        <v>11.26</v>
      </c>
      <c r="E277">
        <v>10</v>
      </c>
      <c r="F277" t="s">
        <v>16</v>
      </c>
      <c r="G277">
        <v>60</v>
      </c>
      <c r="H277">
        <v>18.016000000000002</v>
      </c>
      <c r="I277">
        <v>60.000000000000007</v>
      </c>
      <c r="J277" t="s">
        <v>20</v>
      </c>
    </row>
    <row r="278" spans="1:10" x14ac:dyDescent="0.2">
      <c r="A278">
        <v>10277</v>
      </c>
      <c r="B278" t="s">
        <v>8</v>
      </c>
      <c r="C278" t="s">
        <v>11</v>
      </c>
      <c r="D278">
        <v>1.26</v>
      </c>
      <c r="E278">
        <v>4</v>
      </c>
      <c r="F278" t="s">
        <v>15</v>
      </c>
      <c r="G278">
        <v>25</v>
      </c>
      <c r="H278">
        <v>1.575</v>
      </c>
      <c r="I278">
        <v>25</v>
      </c>
      <c r="J278" t="s">
        <v>20</v>
      </c>
    </row>
    <row r="279" spans="1:10" x14ac:dyDescent="0.2">
      <c r="A279">
        <v>10278</v>
      </c>
      <c r="B279" t="s">
        <v>10</v>
      </c>
      <c r="C279" t="s">
        <v>11</v>
      </c>
      <c r="D279">
        <v>12.86</v>
      </c>
      <c r="E279">
        <v>8</v>
      </c>
      <c r="F279" t="s">
        <v>16</v>
      </c>
      <c r="G279">
        <v>50</v>
      </c>
      <c r="H279">
        <v>19.29</v>
      </c>
      <c r="I279">
        <v>50</v>
      </c>
      <c r="J279" t="s">
        <v>20</v>
      </c>
    </row>
    <row r="280" spans="1:10" x14ac:dyDescent="0.2">
      <c r="A280">
        <v>10279</v>
      </c>
      <c r="B280" t="s">
        <v>8</v>
      </c>
      <c r="C280" t="s">
        <v>11</v>
      </c>
      <c r="D280">
        <v>3.37</v>
      </c>
      <c r="E280">
        <v>9</v>
      </c>
      <c r="F280" t="s">
        <v>16</v>
      </c>
      <c r="G280">
        <v>50</v>
      </c>
      <c r="H280">
        <v>5.0549999999999997</v>
      </c>
      <c r="I280">
        <v>49.999999999999979</v>
      </c>
      <c r="J280" t="s">
        <v>20</v>
      </c>
    </row>
    <row r="281" spans="1:10" x14ac:dyDescent="0.2">
      <c r="A281">
        <v>10280</v>
      </c>
      <c r="B281" t="s">
        <v>10</v>
      </c>
      <c r="C281" t="s">
        <v>9</v>
      </c>
      <c r="D281">
        <v>13.18</v>
      </c>
      <c r="E281">
        <v>2</v>
      </c>
      <c r="F281" t="s">
        <v>14</v>
      </c>
      <c r="G281">
        <v>15</v>
      </c>
      <c r="H281">
        <v>15.156999999999998</v>
      </c>
      <c r="I281">
        <v>14.999999999999991</v>
      </c>
      <c r="J281" t="s">
        <v>20</v>
      </c>
    </row>
    <row r="282" spans="1:10" x14ac:dyDescent="0.2">
      <c r="A282">
        <v>10281</v>
      </c>
      <c r="B282" t="s">
        <v>7</v>
      </c>
      <c r="C282" t="s">
        <v>11</v>
      </c>
      <c r="D282">
        <v>5.61</v>
      </c>
      <c r="E282">
        <v>7</v>
      </c>
      <c r="F282" t="s">
        <v>15</v>
      </c>
      <c r="G282">
        <v>25</v>
      </c>
      <c r="H282">
        <v>7.0125000000000002</v>
      </c>
      <c r="I282">
        <v>25</v>
      </c>
      <c r="J282" t="s">
        <v>20</v>
      </c>
    </row>
    <row r="283" spans="1:10" x14ac:dyDescent="0.2">
      <c r="A283">
        <v>10282</v>
      </c>
      <c r="B283" t="s">
        <v>7</v>
      </c>
      <c r="C283" t="s">
        <v>11</v>
      </c>
      <c r="D283">
        <v>10.98</v>
      </c>
      <c r="E283">
        <v>9</v>
      </c>
      <c r="F283" t="s">
        <v>16</v>
      </c>
      <c r="G283">
        <v>50</v>
      </c>
      <c r="H283">
        <v>16.47</v>
      </c>
      <c r="I283">
        <v>49.999999999999979</v>
      </c>
      <c r="J283" t="s">
        <v>20</v>
      </c>
    </row>
    <row r="284" spans="1:10" x14ac:dyDescent="0.2">
      <c r="A284">
        <v>10283</v>
      </c>
      <c r="B284" t="s">
        <v>10</v>
      </c>
      <c r="C284" t="s">
        <v>6</v>
      </c>
      <c r="D284">
        <v>5.13</v>
      </c>
      <c r="E284">
        <v>9</v>
      </c>
      <c r="F284" t="s">
        <v>16</v>
      </c>
      <c r="G284">
        <v>55</v>
      </c>
      <c r="H284">
        <v>7.9515000000000002</v>
      </c>
      <c r="I284">
        <v>55.000000000000007</v>
      </c>
      <c r="J284" t="s">
        <v>20</v>
      </c>
    </row>
    <row r="285" spans="1:10" x14ac:dyDescent="0.2">
      <c r="A285">
        <v>10284</v>
      </c>
      <c r="B285" t="s">
        <v>5</v>
      </c>
      <c r="C285" t="s">
        <v>9</v>
      </c>
      <c r="D285">
        <v>13.64</v>
      </c>
      <c r="E285">
        <v>5</v>
      </c>
      <c r="F285" t="s">
        <v>15</v>
      </c>
      <c r="G285">
        <v>30</v>
      </c>
      <c r="H285">
        <v>17.732000000000003</v>
      </c>
      <c r="I285">
        <v>30.000000000000028</v>
      </c>
      <c r="J285" t="s">
        <v>20</v>
      </c>
    </row>
    <row r="286" spans="1:10" x14ac:dyDescent="0.2">
      <c r="A286">
        <v>10285</v>
      </c>
      <c r="B286" t="s">
        <v>10</v>
      </c>
      <c r="C286" t="s">
        <v>6</v>
      </c>
      <c r="D286">
        <v>2.34</v>
      </c>
      <c r="E286">
        <v>1</v>
      </c>
      <c r="F286" t="s">
        <v>14</v>
      </c>
      <c r="G286">
        <v>12</v>
      </c>
      <c r="H286">
        <v>2.6208</v>
      </c>
      <c r="I286">
        <v>12.000000000000011</v>
      </c>
      <c r="J286" t="s">
        <v>20</v>
      </c>
    </row>
    <row r="287" spans="1:10" x14ac:dyDescent="0.2">
      <c r="A287">
        <v>10286</v>
      </c>
      <c r="B287" t="s">
        <v>5</v>
      </c>
      <c r="C287" t="s">
        <v>6</v>
      </c>
      <c r="D287">
        <v>3.09</v>
      </c>
      <c r="E287">
        <v>6</v>
      </c>
      <c r="F287" t="s">
        <v>15</v>
      </c>
      <c r="G287">
        <v>28</v>
      </c>
      <c r="H287">
        <v>3.9552</v>
      </c>
      <c r="I287">
        <v>28.000000000000004</v>
      </c>
      <c r="J287" t="s">
        <v>20</v>
      </c>
    </row>
    <row r="288" spans="1:10" x14ac:dyDescent="0.2">
      <c r="A288">
        <v>10287</v>
      </c>
      <c r="B288" t="s">
        <v>8</v>
      </c>
      <c r="C288" t="s">
        <v>11</v>
      </c>
      <c r="D288">
        <v>7.65</v>
      </c>
      <c r="E288">
        <v>8</v>
      </c>
      <c r="F288" t="s">
        <v>16</v>
      </c>
      <c r="G288">
        <v>50</v>
      </c>
      <c r="H288">
        <v>11.475000000000001</v>
      </c>
      <c r="I288">
        <v>50.000000000000021</v>
      </c>
      <c r="J288" t="s">
        <v>20</v>
      </c>
    </row>
    <row r="289" spans="1:10" x14ac:dyDescent="0.2">
      <c r="A289">
        <v>10288</v>
      </c>
      <c r="B289" t="s">
        <v>8</v>
      </c>
      <c r="C289" t="s">
        <v>9</v>
      </c>
      <c r="D289">
        <v>1.69</v>
      </c>
      <c r="E289">
        <v>1</v>
      </c>
      <c r="F289" t="s">
        <v>14</v>
      </c>
      <c r="G289">
        <v>15</v>
      </c>
      <c r="H289">
        <v>1.9434999999999998</v>
      </c>
      <c r="I289">
        <v>14.999999999999991</v>
      </c>
      <c r="J289" t="s">
        <v>20</v>
      </c>
    </row>
    <row r="290" spans="1:10" x14ac:dyDescent="0.2">
      <c r="A290">
        <v>10289</v>
      </c>
      <c r="B290" t="s">
        <v>8</v>
      </c>
      <c r="C290" t="s">
        <v>11</v>
      </c>
      <c r="D290">
        <v>3.34</v>
      </c>
      <c r="E290">
        <v>2</v>
      </c>
      <c r="F290" t="s">
        <v>14</v>
      </c>
      <c r="G290">
        <v>10</v>
      </c>
      <c r="H290">
        <v>3.6739999999999999</v>
      </c>
      <c r="I290">
        <v>10.000000000000009</v>
      </c>
      <c r="J290" t="s">
        <v>20</v>
      </c>
    </row>
    <row r="291" spans="1:10" x14ac:dyDescent="0.2">
      <c r="A291">
        <v>10290</v>
      </c>
      <c r="B291" t="s">
        <v>7</v>
      </c>
      <c r="C291" t="s">
        <v>9</v>
      </c>
      <c r="D291">
        <v>14.18</v>
      </c>
      <c r="E291">
        <v>1</v>
      </c>
      <c r="F291" t="s">
        <v>14</v>
      </c>
      <c r="G291">
        <v>15</v>
      </c>
      <c r="H291">
        <v>16.306999999999999</v>
      </c>
      <c r="I291">
        <v>14.999999999999991</v>
      </c>
      <c r="J291" t="s">
        <v>20</v>
      </c>
    </row>
    <row r="292" spans="1:10" x14ac:dyDescent="0.2">
      <c r="A292">
        <v>10291</v>
      </c>
      <c r="B292" t="s">
        <v>8</v>
      </c>
      <c r="C292" t="s">
        <v>6</v>
      </c>
      <c r="D292">
        <v>14.66</v>
      </c>
      <c r="E292">
        <v>5</v>
      </c>
      <c r="F292" t="s">
        <v>15</v>
      </c>
      <c r="G292">
        <v>28</v>
      </c>
      <c r="H292">
        <v>18.764800000000001</v>
      </c>
      <c r="I292">
        <v>28.000000000000004</v>
      </c>
      <c r="J292" t="s">
        <v>20</v>
      </c>
    </row>
    <row r="293" spans="1:10" x14ac:dyDescent="0.2">
      <c r="A293">
        <v>10292</v>
      </c>
      <c r="B293" t="s">
        <v>5</v>
      </c>
      <c r="C293" t="s">
        <v>9</v>
      </c>
      <c r="D293">
        <v>5.96</v>
      </c>
      <c r="E293">
        <v>2</v>
      </c>
      <c r="F293" t="s">
        <v>14</v>
      </c>
      <c r="G293">
        <v>15</v>
      </c>
      <c r="H293">
        <v>6.8539999999999992</v>
      </c>
      <c r="I293">
        <v>14.999999999999991</v>
      </c>
      <c r="J293" t="s">
        <v>20</v>
      </c>
    </row>
    <row r="294" spans="1:10" x14ac:dyDescent="0.2">
      <c r="A294">
        <v>10293</v>
      </c>
      <c r="B294" t="s">
        <v>8</v>
      </c>
      <c r="C294" t="s">
        <v>11</v>
      </c>
      <c r="D294">
        <v>13.89</v>
      </c>
      <c r="E294">
        <v>10</v>
      </c>
      <c r="F294" t="s">
        <v>16</v>
      </c>
      <c r="G294">
        <v>50</v>
      </c>
      <c r="H294">
        <v>20.835000000000001</v>
      </c>
      <c r="I294">
        <v>50</v>
      </c>
      <c r="J294" t="s">
        <v>20</v>
      </c>
    </row>
    <row r="295" spans="1:10" x14ac:dyDescent="0.2">
      <c r="A295">
        <v>10294</v>
      </c>
      <c r="B295" t="s">
        <v>10</v>
      </c>
      <c r="C295" t="s">
        <v>11</v>
      </c>
      <c r="D295">
        <v>8.4</v>
      </c>
      <c r="E295">
        <v>10</v>
      </c>
      <c r="F295" t="s">
        <v>16</v>
      </c>
      <c r="G295">
        <v>50</v>
      </c>
      <c r="H295">
        <v>12.600000000000001</v>
      </c>
      <c r="I295">
        <v>50</v>
      </c>
      <c r="J295" t="s">
        <v>20</v>
      </c>
    </row>
    <row r="296" spans="1:10" x14ac:dyDescent="0.2">
      <c r="A296">
        <v>10295</v>
      </c>
      <c r="B296" t="s">
        <v>10</v>
      </c>
      <c r="C296" t="s">
        <v>11</v>
      </c>
      <c r="D296">
        <v>4.41</v>
      </c>
      <c r="E296">
        <v>4</v>
      </c>
      <c r="F296" t="s">
        <v>15</v>
      </c>
      <c r="G296">
        <v>25</v>
      </c>
      <c r="H296">
        <v>5.5125000000000002</v>
      </c>
      <c r="I296">
        <v>25</v>
      </c>
      <c r="J296" t="s">
        <v>20</v>
      </c>
    </row>
    <row r="297" spans="1:10" x14ac:dyDescent="0.2">
      <c r="A297">
        <v>10296</v>
      </c>
      <c r="B297" t="s">
        <v>7</v>
      </c>
      <c r="C297" t="s">
        <v>9</v>
      </c>
      <c r="D297">
        <v>10.68</v>
      </c>
      <c r="E297">
        <v>1</v>
      </c>
      <c r="F297" t="s">
        <v>14</v>
      </c>
      <c r="G297">
        <v>15</v>
      </c>
      <c r="H297">
        <v>12.281999999999998</v>
      </c>
      <c r="I297">
        <v>14.999999999999991</v>
      </c>
      <c r="J297" t="s">
        <v>20</v>
      </c>
    </row>
    <row r="298" spans="1:10" x14ac:dyDescent="0.2">
      <c r="A298">
        <v>10297</v>
      </c>
      <c r="B298" t="s">
        <v>10</v>
      </c>
      <c r="C298" t="s">
        <v>6</v>
      </c>
      <c r="D298">
        <v>10.050000000000001</v>
      </c>
      <c r="E298">
        <v>7</v>
      </c>
      <c r="F298" t="s">
        <v>15</v>
      </c>
      <c r="G298">
        <v>28</v>
      </c>
      <c r="H298">
        <v>12.864000000000001</v>
      </c>
      <c r="I298">
        <v>28.000000000000004</v>
      </c>
      <c r="J298" t="s">
        <v>20</v>
      </c>
    </row>
    <row r="299" spans="1:10" x14ac:dyDescent="0.2">
      <c r="A299">
        <v>10298</v>
      </c>
      <c r="B299" t="s">
        <v>5</v>
      </c>
      <c r="C299" t="s">
        <v>6</v>
      </c>
      <c r="D299">
        <v>14.84</v>
      </c>
      <c r="E299">
        <v>8</v>
      </c>
      <c r="F299" t="s">
        <v>16</v>
      </c>
      <c r="G299">
        <v>55</v>
      </c>
      <c r="H299">
        <v>23.001999999999999</v>
      </c>
      <c r="I299">
        <v>55.000000000000007</v>
      </c>
      <c r="J299" t="s">
        <v>20</v>
      </c>
    </row>
    <row r="300" spans="1:10" x14ac:dyDescent="0.2">
      <c r="A300">
        <v>10299</v>
      </c>
      <c r="B300" t="s">
        <v>8</v>
      </c>
      <c r="C300" t="s">
        <v>9</v>
      </c>
      <c r="D300">
        <v>4.34</v>
      </c>
      <c r="E300">
        <v>5</v>
      </c>
      <c r="F300" t="s">
        <v>15</v>
      </c>
      <c r="G300">
        <v>30</v>
      </c>
      <c r="H300">
        <v>5.6420000000000003</v>
      </c>
      <c r="I300">
        <v>30.000000000000004</v>
      </c>
      <c r="J300" t="s">
        <v>20</v>
      </c>
    </row>
    <row r="301" spans="1:10" x14ac:dyDescent="0.2">
      <c r="A301">
        <v>10300</v>
      </c>
      <c r="B301" t="s">
        <v>7</v>
      </c>
      <c r="C301" t="s">
        <v>11</v>
      </c>
      <c r="D301">
        <v>10.24</v>
      </c>
      <c r="E301">
        <v>2</v>
      </c>
      <c r="F301" t="s">
        <v>14</v>
      </c>
      <c r="G301">
        <v>10</v>
      </c>
      <c r="H301">
        <v>11.264000000000001</v>
      </c>
      <c r="I301">
        <v>10.000000000000009</v>
      </c>
      <c r="J301" t="s">
        <v>20</v>
      </c>
    </row>
    <row r="302" spans="1:10" x14ac:dyDescent="0.2">
      <c r="A302">
        <v>10301</v>
      </c>
      <c r="B302" t="s">
        <v>8</v>
      </c>
      <c r="C302" t="s">
        <v>6</v>
      </c>
      <c r="D302">
        <v>1.25</v>
      </c>
      <c r="E302">
        <v>8</v>
      </c>
      <c r="F302" t="s">
        <v>16</v>
      </c>
      <c r="G302">
        <v>55</v>
      </c>
      <c r="H302">
        <v>1.9375</v>
      </c>
      <c r="I302">
        <v>55.000000000000007</v>
      </c>
      <c r="J302" t="s">
        <v>20</v>
      </c>
    </row>
    <row r="303" spans="1:10" x14ac:dyDescent="0.2">
      <c r="A303">
        <v>10302</v>
      </c>
      <c r="B303" t="s">
        <v>8</v>
      </c>
      <c r="C303" t="s">
        <v>11</v>
      </c>
      <c r="D303">
        <v>2.15</v>
      </c>
      <c r="E303">
        <v>1</v>
      </c>
      <c r="F303" t="s">
        <v>14</v>
      </c>
      <c r="G303">
        <v>10</v>
      </c>
      <c r="H303">
        <v>2.3650000000000002</v>
      </c>
      <c r="I303">
        <v>10.000000000000009</v>
      </c>
      <c r="J303" t="s">
        <v>20</v>
      </c>
    </row>
    <row r="304" spans="1:10" x14ac:dyDescent="0.2">
      <c r="A304">
        <v>10303</v>
      </c>
      <c r="B304" t="s">
        <v>5</v>
      </c>
      <c r="C304" t="s">
        <v>9</v>
      </c>
      <c r="D304">
        <v>0.56000000000000005</v>
      </c>
      <c r="E304">
        <v>7</v>
      </c>
      <c r="F304" t="s">
        <v>15</v>
      </c>
      <c r="G304">
        <v>30</v>
      </c>
      <c r="H304">
        <v>0.72800000000000009</v>
      </c>
      <c r="I304">
        <v>30.000000000000004</v>
      </c>
      <c r="J304" t="s">
        <v>20</v>
      </c>
    </row>
    <row r="305" spans="1:10" x14ac:dyDescent="0.2">
      <c r="A305">
        <v>10304</v>
      </c>
      <c r="B305" t="s">
        <v>10</v>
      </c>
      <c r="C305" t="s">
        <v>11</v>
      </c>
      <c r="D305">
        <v>14.99</v>
      </c>
      <c r="E305">
        <v>1</v>
      </c>
      <c r="F305" t="s">
        <v>14</v>
      </c>
      <c r="G305">
        <v>10</v>
      </c>
      <c r="H305">
        <v>16.489000000000001</v>
      </c>
      <c r="I305">
        <v>10.000000000000009</v>
      </c>
      <c r="J305" t="s">
        <v>20</v>
      </c>
    </row>
    <row r="306" spans="1:10" x14ac:dyDescent="0.2">
      <c r="A306">
        <v>10305</v>
      </c>
      <c r="B306" t="s">
        <v>10</v>
      </c>
      <c r="C306" t="s">
        <v>6</v>
      </c>
      <c r="D306">
        <v>12.13</v>
      </c>
      <c r="E306">
        <v>6</v>
      </c>
      <c r="F306" t="s">
        <v>15</v>
      </c>
      <c r="G306">
        <v>28</v>
      </c>
      <c r="H306">
        <v>15.526400000000001</v>
      </c>
      <c r="I306">
        <v>28.000000000000004</v>
      </c>
      <c r="J306" t="s">
        <v>20</v>
      </c>
    </row>
    <row r="307" spans="1:10" x14ac:dyDescent="0.2">
      <c r="A307">
        <v>10306</v>
      </c>
      <c r="B307" t="s">
        <v>8</v>
      </c>
      <c r="C307" t="s">
        <v>6</v>
      </c>
      <c r="D307">
        <v>11.91</v>
      </c>
      <c r="E307">
        <v>6</v>
      </c>
      <c r="F307" t="s">
        <v>15</v>
      </c>
      <c r="G307">
        <v>28</v>
      </c>
      <c r="H307">
        <v>15.2448</v>
      </c>
      <c r="I307">
        <v>28.000000000000004</v>
      </c>
      <c r="J307" t="s">
        <v>20</v>
      </c>
    </row>
    <row r="308" spans="1:10" x14ac:dyDescent="0.2">
      <c r="A308">
        <v>10307</v>
      </c>
      <c r="B308" t="s">
        <v>7</v>
      </c>
      <c r="C308" t="s">
        <v>11</v>
      </c>
      <c r="D308">
        <v>7.89</v>
      </c>
      <c r="E308">
        <v>5</v>
      </c>
      <c r="F308" t="s">
        <v>15</v>
      </c>
      <c r="G308">
        <v>25</v>
      </c>
      <c r="H308">
        <v>9.8624999999999989</v>
      </c>
      <c r="I308">
        <v>25</v>
      </c>
      <c r="J308" t="s">
        <v>20</v>
      </c>
    </row>
    <row r="309" spans="1:10" x14ac:dyDescent="0.2">
      <c r="A309">
        <v>10308</v>
      </c>
      <c r="B309" t="s">
        <v>10</v>
      </c>
      <c r="C309" t="s">
        <v>9</v>
      </c>
      <c r="D309">
        <v>4.8499999999999996</v>
      </c>
      <c r="E309">
        <v>2</v>
      </c>
      <c r="F309" t="s">
        <v>14</v>
      </c>
      <c r="G309">
        <v>15</v>
      </c>
      <c r="H309">
        <v>5.5774999999999988</v>
      </c>
      <c r="I309">
        <v>14.999999999999991</v>
      </c>
      <c r="J309" t="s">
        <v>20</v>
      </c>
    </row>
    <row r="310" spans="1:10" x14ac:dyDescent="0.2">
      <c r="A310">
        <v>10309</v>
      </c>
      <c r="B310" t="s">
        <v>7</v>
      </c>
      <c r="C310" t="s">
        <v>11</v>
      </c>
      <c r="D310">
        <v>2.69</v>
      </c>
      <c r="E310">
        <v>2</v>
      </c>
      <c r="F310" t="s">
        <v>14</v>
      </c>
      <c r="G310">
        <v>10</v>
      </c>
      <c r="H310">
        <v>2.9590000000000001</v>
      </c>
      <c r="I310">
        <v>10.000000000000009</v>
      </c>
      <c r="J310" t="s">
        <v>20</v>
      </c>
    </row>
    <row r="311" spans="1:10" x14ac:dyDescent="0.2">
      <c r="A311">
        <v>10310</v>
      </c>
      <c r="B311" t="s">
        <v>10</v>
      </c>
      <c r="C311" t="s">
        <v>9</v>
      </c>
      <c r="D311">
        <v>4.63</v>
      </c>
      <c r="E311">
        <v>9</v>
      </c>
      <c r="F311" t="s">
        <v>16</v>
      </c>
      <c r="G311">
        <v>60</v>
      </c>
      <c r="H311">
        <v>7.4080000000000004</v>
      </c>
      <c r="I311">
        <v>60.000000000000007</v>
      </c>
      <c r="J311" t="s">
        <v>20</v>
      </c>
    </row>
    <row r="312" spans="1:10" x14ac:dyDescent="0.2">
      <c r="A312">
        <v>10311</v>
      </c>
      <c r="B312" t="s">
        <v>7</v>
      </c>
      <c r="C312" t="s">
        <v>11</v>
      </c>
      <c r="D312">
        <v>5.95</v>
      </c>
      <c r="E312">
        <v>5</v>
      </c>
      <c r="F312" t="s">
        <v>15</v>
      </c>
      <c r="G312">
        <v>25</v>
      </c>
      <c r="H312">
        <v>7.4375</v>
      </c>
      <c r="I312">
        <v>25</v>
      </c>
      <c r="J312" t="s">
        <v>20</v>
      </c>
    </row>
    <row r="313" spans="1:10" x14ac:dyDescent="0.2">
      <c r="A313">
        <v>10312</v>
      </c>
      <c r="B313" t="s">
        <v>5</v>
      </c>
      <c r="C313" t="s">
        <v>6</v>
      </c>
      <c r="D313">
        <v>11.47</v>
      </c>
      <c r="E313">
        <v>5</v>
      </c>
      <c r="F313" t="s">
        <v>15</v>
      </c>
      <c r="G313">
        <v>28</v>
      </c>
      <c r="H313">
        <v>14.681600000000001</v>
      </c>
      <c r="I313">
        <v>28.000000000000004</v>
      </c>
      <c r="J313" t="s">
        <v>20</v>
      </c>
    </row>
    <row r="314" spans="1:10" x14ac:dyDescent="0.2">
      <c r="A314">
        <v>10313</v>
      </c>
      <c r="B314" t="s">
        <v>7</v>
      </c>
      <c r="C314" t="s">
        <v>9</v>
      </c>
      <c r="D314">
        <v>8.33</v>
      </c>
      <c r="E314">
        <v>7</v>
      </c>
      <c r="F314" t="s">
        <v>15</v>
      </c>
      <c r="G314">
        <v>30</v>
      </c>
      <c r="H314">
        <v>10.829000000000001</v>
      </c>
      <c r="I314">
        <v>30.000000000000004</v>
      </c>
      <c r="J314" t="s">
        <v>20</v>
      </c>
    </row>
    <row r="315" spans="1:10" x14ac:dyDescent="0.2">
      <c r="A315">
        <v>10314</v>
      </c>
      <c r="B315" t="s">
        <v>5</v>
      </c>
      <c r="C315" t="s">
        <v>9</v>
      </c>
      <c r="D315">
        <v>1.62</v>
      </c>
      <c r="E315">
        <v>6</v>
      </c>
      <c r="F315" t="s">
        <v>15</v>
      </c>
      <c r="G315">
        <v>30</v>
      </c>
      <c r="H315">
        <v>2.1060000000000003</v>
      </c>
      <c r="I315">
        <v>30.000000000000004</v>
      </c>
      <c r="J315" t="s">
        <v>20</v>
      </c>
    </row>
    <row r="316" spans="1:10" x14ac:dyDescent="0.2">
      <c r="A316">
        <v>10315</v>
      </c>
      <c r="B316" t="s">
        <v>5</v>
      </c>
      <c r="C316" t="s">
        <v>9</v>
      </c>
      <c r="D316">
        <v>0.76</v>
      </c>
      <c r="E316">
        <v>2</v>
      </c>
      <c r="F316" t="s">
        <v>14</v>
      </c>
      <c r="G316">
        <v>15</v>
      </c>
      <c r="H316">
        <v>0.87399999999999989</v>
      </c>
      <c r="I316">
        <v>14.999999999999991</v>
      </c>
      <c r="J316" t="s">
        <v>20</v>
      </c>
    </row>
    <row r="317" spans="1:10" x14ac:dyDescent="0.2">
      <c r="A317">
        <v>10316</v>
      </c>
      <c r="B317" t="s">
        <v>7</v>
      </c>
      <c r="C317" t="s">
        <v>6</v>
      </c>
      <c r="D317">
        <v>1.98</v>
      </c>
      <c r="E317">
        <v>1</v>
      </c>
      <c r="F317" t="s">
        <v>14</v>
      </c>
      <c r="G317">
        <v>12</v>
      </c>
      <c r="H317">
        <v>2.2176</v>
      </c>
      <c r="I317">
        <v>12.000000000000011</v>
      </c>
      <c r="J317" t="s">
        <v>20</v>
      </c>
    </row>
    <row r="318" spans="1:10" x14ac:dyDescent="0.2">
      <c r="A318">
        <v>10317</v>
      </c>
      <c r="B318" t="s">
        <v>5</v>
      </c>
      <c r="C318" t="s">
        <v>11</v>
      </c>
      <c r="D318">
        <v>6.45</v>
      </c>
      <c r="E318">
        <v>5</v>
      </c>
      <c r="F318" t="s">
        <v>15</v>
      </c>
      <c r="G318">
        <v>25</v>
      </c>
      <c r="H318">
        <v>8.0625</v>
      </c>
      <c r="I318">
        <v>25</v>
      </c>
      <c r="J318" t="s">
        <v>20</v>
      </c>
    </row>
    <row r="319" spans="1:10" x14ac:dyDescent="0.2">
      <c r="A319">
        <v>10318</v>
      </c>
      <c r="B319" t="s">
        <v>8</v>
      </c>
      <c r="C319" t="s">
        <v>6</v>
      </c>
      <c r="D319">
        <v>14.03</v>
      </c>
      <c r="E319">
        <v>4</v>
      </c>
      <c r="F319" t="s">
        <v>15</v>
      </c>
      <c r="G319">
        <v>28</v>
      </c>
      <c r="H319">
        <v>17.958400000000001</v>
      </c>
      <c r="I319">
        <v>28.000000000000004</v>
      </c>
      <c r="J319" t="s">
        <v>20</v>
      </c>
    </row>
    <row r="320" spans="1:10" x14ac:dyDescent="0.2">
      <c r="A320">
        <v>10319</v>
      </c>
      <c r="B320" t="s">
        <v>5</v>
      </c>
      <c r="C320" t="s">
        <v>9</v>
      </c>
      <c r="D320">
        <v>9.74</v>
      </c>
      <c r="E320">
        <v>3</v>
      </c>
      <c r="F320" t="s">
        <v>14</v>
      </c>
      <c r="G320">
        <v>15</v>
      </c>
      <c r="H320">
        <v>11.200999999999999</v>
      </c>
      <c r="I320">
        <v>14.999999999999991</v>
      </c>
      <c r="J320" t="s">
        <v>20</v>
      </c>
    </row>
    <row r="321" spans="1:10" x14ac:dyDescent="0.2">
      <c r="A321">
        <v>10320</v>
      </c>
      <c r="B321" t="s">
        <v>10</v>
      </c>
      <c r="C321" t="s">
        <v>11</v>
      </c>
      <c r="D321">
        <v>12.13</v>
      </c>
      <c r="E321">
        <v>2</v>
      </c>
      <c r="F321" t="s">
        <v>14</v>
      </c>
      <c r="G321">
        <v>10</v>
      </c>
      <c r="H321">
        <v>13.343000000000002</v>
      </c>
      <c r="I321">
        <v>10.000000000000009</v>
      </c>
      <c r="J321" t="s">
        <v>20</v>
      </c>
    </row>
    <row r="322" spans="1:10" x14ac:dyDescent="0.2">
      <c r="A322">
        <v>10321</v>
      </c>
      <c r="B322" t="s">
        <v>7</v>
      </c>
      <c r="C322" t="s">
        <v>6</v>
      </c>
      <c r="D322">
        <v>7.26</v>
      </c>
      <c r="E322">
        <v>10</v>
      </c>
      <c r="F322" t="s">
        <v>16</v>
      </c>
      <c r="G322">
        <v>55</v>
      </c>
      <c r="H322">
        <v>11.253</v>
      </c>
      <c r="I322">
        <v>55.000000000000007</v>
      </c>
      <c r="J322" t="s">
        <v>20</v>
      </c>
    </row>
    <row r="323" spans="1:10" x14ac:dyDescent="0.2">
      <c r="A323">
        <v>10322</v>
      </c>
      <c r="B323" t="s">
        <v>8</v>
      </c>
      <c r="C323" t="s">
        <v>9</v>
      </c>
      <c r="D323">
        <v>5.74</v>
      </c>
      <c r="E323">
        <v>2</v>
      </c>
      <c r="F323" t="s">
        <v>14</v>
      </c>
      <c r="G323">
        <v>15</v>
      </c>
      <c r="H323">
        <v>6.601</v>
      </c>
      <c r="I323">
        <v>14.999999999999991</v>
      </c>
      <c r="J323" t="s">
        <v>20</v>
      </c>
    </row>
    <row r="324" spans="1:10" x14ac:dyDescent="0.2">
      <c r="A324">
        <v>10323</v>
      </c>
      <c r="B324" t="s">
        <v>7</v>
      </c>
      <c r="C324" t="s">
        <v>9</v>
      </c>
      <c r="D324">
        <v>2.0699999999999998</v>
      </c>
      <c r="E324">
        <v>4</v>
      </c>
      <c r="F324" t="s">
        <v>15</v>
      </c>
      <c r="G324">
        <v>30</v>
      </c>
      <c r="H324">
        <v>2.6909999999999998</v>
      </c>
      <c r="I324">
        <v>30.000000000000004</v>
      </c>
      <c r="J324" t="s">
        <v>20</v>
      </c>
    </row>
    <row r="325" spans="1:10" x14ac:dyDescent="0.2">
      <c r="A325">
        <v>10324</v>
      </c>
      <c r="B325" t="s">
        <v>10</v>
      </c>
      <c r="C325" t="s">
        <v>6</v>
      </c>
      <c r="D325">
        <v>13.2</v>
      </c>
      <c r="E325">
        <v>2</v>
      </c>
      <c r="F325" t="s">
        <v>14</v>
      </c>
      <c r="G325">
        <v>12</v>
      </c>
      <c r="H325">
        <v>14.784000000000001</v>
      </c>
      <c r="I325">
        <v>12.000000000000011</v>
      </c>
      <c r="J325" t="s">
        <v>20</v>
      </c>
    </row>
    <row r="326" spans="1:10" x14ac:dyDescent="0.2">
      <c r="A326">
        <v>10325</v>
      </c>
      <c r="B326" t="s">
        <v>10</v>
      </c>
      <c r="C326" t="s">
        <v>6</v>
      </c>
      <c r="D326">
        <v>11.86</v>
      </c>
      <c r="E326">
        <v>4</v>
      </c>
      <c r="F326" t="s">
        <v>15</v>
      </c>
      <c r="G326">
        <v>28</v>
      </c>
      <c r="H326">
        <v>15.1808</v>
      </c>
      <c r="I326">
        <v>28.000000000000004</v>
      </c>
      <c r="J326" t="s">
        <v>20</v>
      </c>
    </row>
    <row r="327" spans="1:10" x14ac:dyDescent="0.2">
      <c r="A327">
        <v>10326</v>
      </c>
      <c r="B327" t="s">
        <v>10</v>
      </c>
      <c r="C327" t="s">
        <v>6</v>
      </c>
      <c r="D327">
        <v>2.94</v>
      </c>
      <c r="E327">
        <v>3</v>
      </c>
      <c r="F327" t="s">
        <v>14</v>
      </c>
      <c r="G327">
        <v>12</v>
      </c>
      <c r="H327">
        <v>3.2928000000000002</v>
      </c>
      <c r="I327">
        <v>12.000000000000011</v>
      </c>
      <c r="J327" t="s">
        <v>20</v>
      </c>
    </row>
    <row r="328" spans="1:10" x14ac:dyDescent="0.2">
      <c r="A328">
        <v>10327</v>
      </c>
      <c r="B328" t="s">
        <v>5</v>
      </c>
      <c r="C328" t="s">
        <v>9</v>
      </c>
      <c r="D328">
        <v>7.93</v>
      </c>
      <c r="E328">
        <v>9</v>
      </c>
      <c r="F328" t="s">
        <v>16</v>
      </c>
      <c r="G328">
        <v>60</v>
      </c>
      <c r="H328">
        <v>12.688000000000001</v>
      </c>
      <c r="I328">
        <v>60.000000000000007</v>
      </c>
      <c r="J328" t="s">
        <v>20</v>
      </c>
    </row>
    <row r="329" spans="1:10" x14ac:dyDescent="0.2">
      <c r="A329">
        <v>10328</v>
      </c>
      <c r="B329" t="s">
        <v>5</v>
      </c>
      <c r="C329" t="s">
        <v>6</v>
      </c>
      <c r="D329">
        <v>7.57</v>
      </c>
      <c r="E329">
        <v>7</v>
      </c>
      <c r="F329" t="s">
        <v>15</v>
      </c>
      <c r="G329">
        <v>28</v>
      </c>
      <c r="H329">
        <v>9.6896000000000004</v>
      </c>
      <c r="I329">
        <v>28.000000000000004</v>
      </c>
      <c r="J329" t="s">
        <v>20</v>
      </c>
    </row>
    <row r="330" spans="1:10" x14ac:dyDescent="0.2">
      <c r="A330">
        <v>10329</v>
      </c>
      <c r="B330" t="s">
        <v>7</v>
      </c>
      <c r="C330" t="s">
        <v>9</v>
      </c>
      <c r="D330">
        <v>9.56</v>
      </c>
      <c r="E330">
        <v>3</v>
      </c>
      <c r="F330" t="s">
        <v>14</v>
      </c>
      <c r="G330">
        <v>15</v>
      </c>
      <c r="H330">
        <v>10.994</v>
      </c>
      <c r="I330">
        <v>14.999999999999991</v>
      </c>
      <c r="J330" t="s">
        <v>20</v>
      </c>
    </row>
    <row r="331" spans="1:10" x14ac:dyDescent="0.2">
      <c r="A331">
        <v>10330</v>
      </c>
      <c r="B331" t="s">
        <v>7</v>
      </c>
      <c r="C331" t="s">
        <v>6</v>
      </c>
      <c r="D331">
        <v>14.22</v>
      </c>
      <c r="E331">
        <v>8</v>
      </c>
      <c r="F331" t="s">
        <v>16</v>
      </c>
      <c r="G331">
        <v>55</v>
      </c>
      <c r="H331">
        <v>22.041</v>
      </c>
      <c r="I331">
        <v>55.000000000000007</v>
      </c>
      <c r="J331" t="s">
        <v>20</v>
      </c>
    </row>
    <row r="332" spans="1:10" x14ac:dyDescent="0.2">
      <c r="A332">
        <v>10331</v>
      </c>
      <c r="B332" t="s">
        <v>8</v>
      </c>
      <c r="C332" t="s">
        <v>9</v>
      </c>
      <c r="D332">
        <v>8.91</v>
      </c>
      <c r="E332">
        <v>9</v>
      </c>
      <c r="F332" t="s">
        <v>16</v>
      </c>
      <c r="G332">
        <v>60</v>
      </c>
      <c r="H332">
        <v>14.256</v>
      </c>
      <c r="I332">
        <v>60.000000000000007</v>
      </c>
      <c r="J332" t="s">
        <v>20</v>
      </c>
    </row>
    <row r="333" spans="1:10" x14ac:dyDescent="0.2">
      <c r="A333">
        <v>10332</v>
      </c>
      <c r="B333" t="s">
        <v>8</v>
      </c>
      <c r="C333" t="s">
        <v>9</v>
      </c>
      <c r="D333">
        <v>8.33</v>
      </c>
      <c r="E333">
        <v>7</v>
      </c>
      <c r="F333" t="s">
        <v>15</v>
      </c>
      <c r="G333">
        <v>30</v>
      </c>
      <c r="H333">
        <v>10.829000000000001</v>
      </c>
      <c r="I333">
        <v>30.000000000000004</v>
      </c>
      <c r="J333" t="s">
        <v>20</v>
      </c>
    </row>
    <row r="334" spans="1:10" x14ac:dyDescent="0.2">
      <c r="A334">
        <v>10333</v>
      </c>
      <c r="B334" t="s">
        <v>7</v>
      </c>
      <c r="C334" t="s">
        <v>11</v>
      </c>
      <c r="D334">
        <v>1.23</v>
      </c>
      <c r="E334">
        <v>6</v>
      </c>
      <c r="F334" t="s">
        <v>15</v>
      </c>
      <c r="G334">
        <v>25</v>
      </c>
      <c r="H334">
        <v>1.5375000000000001</v>
      </c>
      <c r="I334">
        <v>25</v>
      </c>
      <c r="J334" t="s">
        <v>20</v>
      </c>
    </row>
    <row r="335" spans="1:10" x14ac:dyDescent="0.2">
      <c r="A335">
        <v>10334</v>
      </c>
      <c r="B335" t="s">
        <v>5</v>
      </c>
      <c r="C335" t="s">
        <v>6</v>
      </c>
      <c r="D335">
        <v>1.41</v>
      </c>
      <c r="E335">
        <v>4</v>
      </c>
      <c r="F335" t="s">
        <v>15</v>
      </c>
      <c r="G335">
        <v>28</v>
      </c>
      <c r="H335">
        <v>1.8048</v>
      </c>
      <c r="I335">
        <v>28.000000000000004</v>
      </c>
      <c r="J335" t="s">
        <v>20</v>
      </c>
    </row>
    <row r="336" spans="1:10" x14ac:dyDescent="0.2">
      <c r="A336">
        <v>10335</v>
      </c>
      <c r="B336" t="s">
        <v>10</v>
      </c>
      <c r="C336" t="s">
        <v>6</v>
      </c>
      <c r="D336">
        <v>3.22</v>
      </c>
      <c r="E336">
        <v>5</v>
      </c>
      <c r="F336" t="s">
        <v>15</v>
      </c>
      <c r="G336">
        <v>28</v>
      </c>
      <c r="H336">
        <v>4.1215999999999999</v>
      </c>
      <c r="I336">
        <v>27.999999999999979</v>
      </c>
      <c r="J336" t="s">
        <v>20</v>
      </c>
    </row>
    <row r="337" spans="1:10" x14ac:dyDescent="0.2">
      <c r="A337">
        <v>10336</v>
      </c>
      <c r="B337" t="s">
        <v>7</v>
      </c>
      <c r="C337" t="s">
        <v>9</v>
      </c>
      <c r="D337">
        <v>0.97</v>
      </c>
      <c r="E337">
        <v>8</v>
      </c>
      <c r="F337" t="s">
        <v>16</v>
      </c>
      <c r="G337">
        <v>60</v>
      </c>
      <c r="H337">
        <v>1.552</v>
      </c>
      <c r="I337">
        <v>60.000000000000007</v>
      </c>
      <c r="J337" t="s">
        <v>20</v>
      </c>
    </row>
    <row r="338" spans="1:10" x14ac:dyDescent="0.2">
      <c r="A338">
        <v>10337</v>
      </c>
      <c r="B338" t="s">
        <v>8</v>
      </c>
      <c r="C338" t="s">
        <v>9</v>
      </c>
      <c r="D338">
        <v>11.28</v>
      </c>
      <c r="E338">
        <v>3</v>
      </c>
      <c r="F338" t="s">
        <v>14</v>
      </c>
      <c r="G338">
        <v>15</v>
      </c>
      <c r="H338">
        <v>12.971999999999998</v>
      </c>
      <c r="I338">
        <v>14.999999999999991</v>
      </c>
      <c r="J338" t="s">
        <v>20</v>
      </c>
    </row>
    <row r="339" spans="1:10" x14ac:dyDescent="0.2">
      <c r="A339">
        <v>10338</v>
      </c>
      <c r="B339" t="s">
        <v>5</v>
      </c>
      <c r="C339" t="s">
        <v>9</v>
      </c>
      <c r="D339">
        <v>10.99</v>
      </c>
      <c r="E339">
        <v>2</v>
      </c>
      <c r="F339" t="s">
        <v>14</v>
      </c>
      <c r="G339">
        <v>15</v>
      </c>
      <c r="H339">
        <v>12.638499999999999</v>
      </c>
      <c r="I339">
        <v>14.999999999999991</v>
      </c>
      <c r="J339" t="s">
        <v>20</v>
      </c>
    </row>
    <row r="340" spans="1:10" x14ac:dyDescent="0.2">
      <c r="A340">
        <v>10339</v>
      </c>
      <c r="B340" t="s">
        <v>7</v>
      </c>
      <c r="C340" t="s">
        <v>11</v>
      </c>
      <c r="D340">
        <v>2.4700000000000002</v>
      </c>
      <c r="E340">
        <v>3</v>
      </c>
      <c r="F340" t="s">
        <v>14</v>
      </c>
      <c r="G340">
        <v>10</v>
      </c>
      <c r="H340">
        <v>2.7170000000000005</v>
      </c>
      <c r="I340">
        <v>10.000000000000009</v>
      </c>
      <c r="J340" t="s">
        <v>20</v>
      </c>
    </row>
    <row r="341" spans="1:10" x14ac:dyDescent="0.2">
      <c r="A341">
        <v>10340</v>
      </c>
      <c r="B341" t="s">
        <v>7</v>
      </c>
      <c r="C341" t="s">
        <v>11</v>
      </c>
      <c r="D341">
        <v>12.62</v>
      </c>
      <c r="E341">
        <v>7</v>
      </c>
      <c r="F341" t="s">
        <v>15</v>
      </c>
      <c r="G341">
        <v>25</v>
      </c>
      <c r="H341">
        <v>15.774999999999999</v>
      </c>
      <c r="I341">
        <v>25</v>
      </c>
      <c r="J341" t="s">
        <v>20</v>
      </c>
    </row>
    <row r="342" spans="1:10" x14ac:dyDescent="0.2">
      <c r="A342">
        <v>10341</v>
      </c>
      <c r="B342" t="s">
        <v>5</v>
      </c>
      <c r="C342" t="s">
        <v>9</v>
      </c>
      <c r="D342">
        <v>2.74</v>
      </c>
      <c r="E342">
        <v>8</v>
      </c>
      <c r="F342" t="s">
        <v>16</v>
      </c>
      <c r="G342">
        <v>60</v>
      </c>
      <c r="H342">
        <v>4.3840000000000003</v>
      </c>
      <c r="I342">
        <v>60.000000000000007</v>
      </c>
      <c r="J342" t="s">
        <v>20</v>
      </c>
    </row>
    <row r="343" spans="1:10" x14ac:dyDescent="0.2">
      <c r="A343">
        <v>10342</v>
      </c>
      <c r="B343" t="s">
        <v>7</v>
      </c>
      <c r="C343" t="s">
        <v>6</v>
      </c>
      <c r="D343">
        <v>4.87</v>
      </c>
      <c r="E343">
        <v>1</v>
      </c>
      <c r="F343" t="s">
        <v>14</v>
      </c>
      <c r="G343">
        <v>12</v>
      </c>
      <c r="H343">
        <v>5.4544000000000006</v>
      </c>
      <c r="I343">
        <v>12.000000000000011</v>
      </c>
      <c r="J343" t="s">
        <v>20</v>
      </c>
    </row>
    <row r="344" spans="1:10" x14ac:dyDescent="0.2">
      <c r="A344">
        <v>10343</v>
      </c>
      <c r="B344" t="s">
        <v>5</v>
      </c>
      <c r="C344" t="s">
        <v>6</v>
      </c>
      <c r="D344">
        <v>4.1100000000000003</v>
      </c>
      <c r="E344">
        <v>7</v>
      </c>
      <c r="F344" t="s">
        <v>15</v>
      </c>
      <c r="G344">
        <v>28</v>
      </c>
      <c r="H344">
        <v>5.2608000000000006</v>
      </c>
      <c r="I344">
        <v>28.000000000000004</v>
      </c>
      <c r="J344" t="s">
        <v>20</v>
      </c>
    </row>
    <row r="345" spans="1:10" x14ac:dyDescent="0.2">
      <c r="A345">
        <v>10344</v>
      </c>
      <c r="B345" t="s">
        <v>10</v>
      </c>
      <c r="C345" t="s">
        <v>11</v>
      </c>
      <c r="D345">
        <v>5.9</v>
      </c>
      <c r="E345">
        <v>9</v>
      </c>
      <c r="F345" t="s">
        <v>16</v>
      </c>
      <c r="G345">
        <v>50</v>
      </c>
      <c r="H345">
        <v>8.8500000000000014</v>
      </c>
      <c r="I345">
        <v>50.000000000000021</v>
      </c>
      <c r="J345" t="s">
        <v>20</v>
      </c>
    </row>
    <row r="346" spans="1:10" x14ac:dyDescent="0.2">
      <c r="A346">
        <v>10345</v>
      </c>
      <c r="B346" t="s">
        <v>5</v>
      </c>
      <c r="C346" t="s">
        <v>11</v>
      </c>
      <c r="D346">
        <v>4.1900000000000004</v>
      </c>
      <c r="E346">
        <v>3</v>
      </c>
      <c r="F346" t="s">
        <v>14</v>
      </c>
      <c r="G346">
        <v>10</v>
      </c>
      <c r="H346">
        <v>4.6090000000000009</v>
      </c>
      <c r="I346">
        <v>10.000000000000009</v>
      </c>
      <c r="J346" t="s">
        <v>20</v>
      </c>
    </row>
    <row r="347" spans="1:10" x14ac:dyDescent="0.2">
      <c r="A347">
        <v>10346</v>
      </c>
      <c r="B347" t="s">
        <v>5</v>
      </c>
      <c r="C347" t="s">
        <v>9</v>
      </c>
      <c r="D347">
        <v>7.59</v>
      </c>
      <c r="E347">
        <v>3</v>
      </c>
      <c r="F347" t="s">
        <v>14</v>
      </c>
      <c r="G347">
        <v>15</v>
      </c>
      <c r="H347">
        <v>8.7284999999999986</v>
      </c>
      <c r="I347">
        <v>14.999999999999991</v>
      </c>
      <c r="J347" t="s">
        <v>20</v>
      </c>
    </row>
    <row r="348" spans="1:10" x14ac:dyDescent="0.2">
      <c r="A348">
        <v>10347</v>
      </c>
      <c r="B348" t="s">
        <v>5</v>
      </c>
      <c r="C348" t="s">
        <v>6</v>
      </c>
      <c r="D348">
        <v>6.41</v>
      </c>
      <c r="E348">
        <v>8</v>
      </c>
      <c r="F348" t="s">
        <v>16</v>
      </c>
      <c r="G348">
        <v>55</v>
      </c>
      <c r="H348">
        <v>9.9355000000000011</v>
      </c>
      <c r="I348">
        <v>55.000000000000007</v>
      </c>
      <c r="J348" t="s">
        <v>20</v>
      </c>
    </row>
    <row r="349" spans="1:10" x14ac:dyDescent="0.2">
      <c r="A349">
        <v>10348</v>
      </c>
      <c r="B349" t="s">
        <v>7</v>
      </c>
      <c r="C349" t="s">
        <v>9</v>
      </c>
      <c r="D349">
        <v>14.81</v>
      </c>
      <c r="E349">
        <v>4</v>
      </c>
      <c r="F349" t="s">
        <v>15</v>
      </c>
      <c r="G349">
        <v>30</v>
      </c>
      <c r="H349">
        <v>19.253</v>
      </c>
      <c r="I349">
        <v>30.000000000000004</v>
      </c>
      <c r="J349" t="s">
        <v>20</v>
      </c>
    </row>
    <row r="350" spans="1:10" x14ac:dyDescent="0.2">
      <c r="A350">
        <v>10349</v>
      </c>
      <c r="B350" t="s">
        <v>7</v>
      </c>
      <c r="C350" t="s">
        <v>11</v>
      </c>
      <c r="D350">
        <v>1.31</v>
      </c>
      <c r="E350">
        <v>8</v>
      </c>
      <c r="F350" t="s">
        <v>16</v>
      </c>
      <c r="G350">
        <v>50</v>
      </c>
      <c r="H350">
        <v>1.9650000000000001</v>
      </c>
      <c r="I350">
        <v>50</v>
      </c>
      <c r="J350" t="s">
        <v>20</v>
      </c>
    </row>
    <row r="351" spans="1:10" x14ac:dyDescent="0.2">
      <c r="A351">
        <v>10350</v>
      </c>
      <c r="B351" t="s">
        <v>5</v>
      </c>
      <c r="C351" t="s">
        <v>6</v>
      </c>
      <c r="D351">
        <v>2.56</v>
      </c>
      <c r="E351">
        <v>5</v>
      </c>
      <c r="F351" t="s">
        <v>15</v>
      </c>
      <c r="G351">
        <v>28</v>
      </c>
      <c r="H351">
        <v>3.2768000000000002</v>
      </c>
      <c r="I351">
        <v>28.000000000000004</v>
      </c>
      <c r="J351" t="s">
        <v>20</v>
      </c>
    </row>
    <row r="352" spans="1:10" x14ac:dyDescent="0.2">
      <c r="A352">
        <v>10351</v>
      </c>
      <c r="B352" t="s">
        <v>7</v>
      </c>
      <c r="C352" t="s">
        <v>6</v>
      </c>
      <c r="D352">
        <v>1.27</v>
      </c>
      <c r="E352">
        <v>3</v>
      </c>
      <c r="F352" t="s">
        <v>14</v>
      </c>
      <c r="G352">
        <v>12</v>
      </c>
      <c r="H352">
        <v>1.4224000000000001</v>
      </c>
      <c r="I352">
        <v>12.000000000000011</v>
      </c>
      <c r="J352" t="s">
        <v>20</v>
      </c>
    </row>
    <row r="353" spans="1:10" x14ac:dyDescent="0.2">
      <c r="A353">
        <v>10352</v>
      </c>
      <c r="B353" t="s">
        <v>8</v>
      </c>
      <c r="C353" t="s">
        <v>11</v>
      </c>
      <c r="D353">
        <v>9.57</v>
      </c>
      <c r="E353">
        <v>4</v>
      </c>
      <c r="F353" t="s">
        <v>15</v>
      </c>
      <c r="G353">
        <v>25</v>
      </c>
      <c r="H353">
        <v>11.9625</v>
      </c>
      <c r="I353">
        <v>25</v>
      </c>
      <c r="J353" t="s">
        <v>20</v>
      </c>
    </row>
    <row r="354" spans="1:10" x14ac:dyDescent="0.2">
      <c r="A354">
        <v>10353</v>
      </c>
      <c r="B354" t="s">
        <v>8</v>
      </c>
      <c r="C354" t="s">
        <v>9</v>
      </c>
      <c r="D354">
        <v>1.29</v>
      </c>
      <c r="E354">
        <v>4</v>
      </c>
      <c r="F354" t="s">
        <v>15</v>
      </c>
      <c r="G354">
        <v>30</v>
      </c>
      <c r="H354">
        <v>1.677</v>
      </c>
      <c r="I354">
        <v>30.000000000000004</v>
      </c>
      <c r="J354" t="s">
        <v>20</v>
      </c>
    </row>
    <row r="355" spans="1:10" x14ac:dyDescent="0.2">
      <c r="A355">
        <v>10354</v>
      </c>
      <c r="B355" t="s">
        <v>7</v>
      </c>
      <c r="C355" t="s">
        <v>9</v>
      </c>
      <c r="D355">
        <v>12.63</v>
      </c>
      <c r="E355">
        <v>8</v>
      </c>
      <c r="F355" t="s">
        <v>16</v>
      </c>
      <c r="G355">
        <v>60</v>
      </c>
      <c r="H355">
        <v>20.208000000000002</v>
      </c>
      <c r="I355">
        <v>60.000000000000007</v>
      </c>
      <c r="J355" t="s">
        <v>20</v>
      </c>
    </row>
    <row r="356" spans="1:10" x14ac:dyDescent="0.2">
      <c r="A356">
        <v>10355</v>
      </c>
      <c r="B356" t="s">
        <v>7</v>
      </c>
      <c r="C356" t="s">
        <v>6</v>
      </c>
      <c r="D356">
        <v>7.92</v>
      </c>
      <c r="E356">
        <v>6</v>
      </c>
      <c r="F356" t="s">
        <v>15</v>
      </c>
      <c r="G356">
        <v>28</v>
      </c>
      <c r="H356">
        <v>10.137600000000001</v>
      </c>
      <c r="I356">
        <v>28.000000000000004</v>
      </c>
      <c r="J356" t="s">
        <v>20</v>
      </c>
    </row>
    <row r="357" spans="1:10" x14ac:dyDescent="0.2">
      <c r="A357">
        <v>10356</v>
      </c>
      <c r="B357" t="s">
        <v>5</v>
      </c>
      <c r="C357" t="s">
        <v>11</v>
      </c>
      <c r="D357">
        <v>8.14</v>
      </c>
      <c r="E357">
        <v>7</v>
      </c>
      <c r="F357" t="s">
        <v>15</v>
      </c>
      <c r="G357">
        <v>25</v>
      </c>
      <c r="H357">
        <v>10.175000000000001</v>
      </c>
      <c r="I357">
        <v>25</v>
      </c>
      <c r="J357" t="s">
        <v>20</v>
      </c>
    </row>
    <row r="358" spans="1:10" x14ac:dyDescent="0.2">
      <c r="A358">
        <v>10357</v>
      </c>
      <c r="B358" t="s">
        <v>10</v>
      </c>
      <c r="C358" t="s">
        <v>6</v>
      </c>
      <c r="D358">
        <v>8.64</v>
      </c>
      <c r="E358">
        <v>9</v>
      </c>
      <c r="F358" t="s">
        <v>16</v>
      </c>
      <c r="G358">
        <v>55</v>
      </c>
      <c r="H358">
        <v>13.392000000000001</v>
      </c>
      <c r="I358">
        <v>55.000000000000007</v>
      </c>
      <c r="J358" t="s">
        <v>20</v>
      </c>
    </row>
    <row r="359" spans="1:10" x14ac:dyDescent="0.2">
      <c r="A359">
        <v>10358</v>
      </c>
      <c r="B359" t="s">
        <v>7</v>
      </c>
      <c r="C359" t="s">
        <v>11</v>
      </c>
      <c r="D359">
        <v>2.98</v>
      </c>
      <c r="E359">
        <v>6</v>
      </c>
      <c r="F359" t="s">
        <v>15</v>
      </c>
      <c r="G359">
        <v>25</v>
      </c>
      <c r="H359">
        <v>3.7250000000000001</v>
      </c>
      <c r="I359">
        <v>25</v>
      </c>
      <c r="J359" t="s">
        <v>20</v>
      </c>
    </row>
    <row r="360" spans="1:10" x14ac:dyDescent="0.2">
      <c r="A360">
        <v>10359</v>
      </c>
      <c r="B360" t="s">
        <v>8</v>
      </c>
      <c r="C360" t="s">
        <v>9</v>
      </c>
      <c r="D360">
        <v>3.37</v>
      </c>
      <c r="E360">
        <v>3</v>
      </c>
      <c r="F360" t="s">
        <v>14</v>
      </c>
      <c r="G360">
        <v>15</v>
      </c>
      <c r="H360">
        <v>3.8754999999999997</v>
      </c>
      <c r="I360">
        <v>14.999999999999991</v>
      </c>
      <c r="J360" t="s">
        <v>20</v>
      </c>
    </row>
    <row r="361" spans="1:10" x14ac:dyDescent="0.2">
      <c r="A361">
        <v>10360</v>
      </c>
      <c r="B361" t="s">
        <v>5</v>
      </c>
      <c r="C361" t="s">
        <v>11</v>
      </c>
      <c r="D361">
        <v>5.12</v>
      </c>
      <c r="E361">
        <v>3</v>
      </c>
      <c r="F361" t="s">
        <v>14</v>
      </c>
      <c r="G361">
        <v>10</v>
      </c>
      <c r="H361">
        <v>5.6320000000000006</v>
      </c>
      <c r="I361">
        <v>10.000000000000009</v>
      </c>
      <c r="J361" t="s">
        <v>20</v>
      </c>
    </row>
    <row r="362" spans="1:10" x14ac:dyDescent="0.2">
      <c r="A362">
        <v>10361</v>
      </c>
      <c r="B362" t="s">
        <v>7</v>
      </c>
      <c r="C362" t="s">
        <v>9</v>
      </c>
      <c r="D362">
        <v>9.11</v>
      </c>
      <c r="E362">
        <v>3</v>
      </c>
      <c r="F362" t="s">
        <v>14</v>
      </c>
      <c r="G362">
        <v>15</v>
      </c>
      <c r="H362">
        <v>10.476499999999998</v>
      </c>
      <c r="I362">
        <v>14.999999999999991</v>
      </c>
      <c r="J362" t="s">
        <v>20</v>
      </c>
    </row>
    <row r="363" spans="1:10" x14ac:dyDescent="0.2">
      <c r="A363">
        <v>10362</v>
      </c>
      <c r="B363" t="s">
        <v>8</v>
      </c>
      <c r="C363" t="s">
        <v>11</v>
      </c>
      <c r="D363">
        <v>3.55</v>
      </c>
      <c r="E363">
        <v>10</v>
      </c>
      <c r="F363" t="s">
        <v>16</v>
      </c>
      <c r="G363">
        <v>50</v>
      </c>
      <c r="H363">
        <v>5.3249999999999993</v>
      </c>
      <c r="I363">
        <v>49.999999999999979</v>
      </c>
      <c r="J363" t="s">
        <v>20</v>
      </c>
    </row>
    <row r="364" spans="1:10" x14ac:dyDescent="0.2">
      <c r="A364">
        <v>10363</v>
      </c>
      <c r="B364" t="s">
        <v>8</v>
      </c>
      <c r="C364" t="s">
        <v>6</v>
      </c>
      <c r="D364">
        <v>2.19</v>
      </c>
      <c r="E364">
        <v>2</v>
      </c>
      <c r="F364" t="s">
        <v>14</v>
      </c>
      <c r="G364">
        <v>12</v>
      </c>
      <c r="H364">
        <v>2.4528000000000003</v>
      </c>
      <c r="I364">
        <v>12.000000000000011</v>
      </c>
      <c r="J364" t="s">
        <v>20</v>
      </c>
    </row>
    <row r="365" spans="1:10" x14ac:dyDescent="0.2">
      <c r="A365">
        <v>10364</v>
      </c>
      <c r="B365" t="s">
        <v>10</v>
      </c>
      <c r="C365" t="s">
        <v>9</v>
      </c>
      <c r="D365">
        <v>14.57</v>
      </c>
      <c r="E365">
        <v>1</v>
      </c>
      <c r="F365" t="s">
        <v>14</v>
      </c>
      <c r="G365">
        <v>15</v>
      </c>
      <c r="H365">
        <v>16.755499999999998</v>
      </c>
      <c r="I365">
        <v>14.999999999999991</v>
      </c>
      <c r="J365" t="s">
        <v>20</v>
      </c>
    </row>
    <row r="366" spans="1:10" x14ac:dyDescent="0.2">
      <c r="A366">
        <v>10365</v>
      </c>
      <c r="B366" t="s">
        <v>5</v>
      </c>
      <c r="C366" t="s">
        <v>6</v>
      </c>
      <c r="D366">
        <v>0.82</v>
      </c>
      <c r="E366">
        <v>10</v>
      </c>
      <c r="F366" t="s">
        <v>16</v>
      </c>
      <c r="G366">
        <v>55</v>
      </c>
      <c r="H366">
        <v>1.2709999999999999</v>
      </c>
      <c r="I366">
        <v>55.000000000000007</v>
      </c>
      <c r="J366" t="s">
        <v>20</v>
      </c>
    </row>
    <row r="367" spans="1:10" x14ac:dyDescent="0.2">
      <c r="A367">
        <v>10366</v>
      </c>
      <c r="B367" t="s">
        <v>5</v>
      </c>
      <c r="C367" t="s">
        <v>6</v>
      </c>
      <c r="D367">
        <v>12.14</v>
      </c>
      <c r="E367">
        <v>1</v>
      </c>
      <c r="F367" t="s">
        <v>14</v>
      </c>
      <c r="G367">
        <v>12</v>
      </c>
      <c r="H367">
        <v>13.596800000000002</v>
      </c>
      <c r="I367">
        <v>12.000000000000011</v>
      </c>
      <c r="J367" t="s">
        <v>20</v>
      </c>
    </row>
    <row r="368" spans="1:10" x14ac:dyDescent="0.2">
      <c r="A368">
        <v>10367</v>
      </c>
      <c r="B368" t="s">
        <v>10</v>
      </c>
      <c r="C368" t="s">
        <v>9</v>
      </c>
      <c r="D368">
        <v>11.93</v>
      </c>
      <c r="E368">
        <v>4</v>
      </c>
      <c r="F368" t="s">
        <v>15</v>
      </c>
      <c r="G368">
        <v>30</v>
      </c>
      <c r="H368">
        <v>15.509</v>
      </c>
      <c r="I368">
        <v>30.000000000000004</v>
      </c>
      <c r="J368" t="s">
        <v>20</v>
      </c>
    </row>
    <row r="369" spans="1:10" x14ac:dyDescent="0.2">
      <c r="A369">
        <v>10368</v>
      </c>
      <c r="B369" t="s">
        <v>10</v>
      </c>
      <c r="C369" t="s">
        <v>9</v>
      </c>
      <c r="D369">
        <v>4.8099999999999996</v>
      </c>
      <c r="E369">
        <v>3</v>
      </c>
      <c r="F369" t="s">
        <v>14</v>
      </c>
      <c r="G369">
        <v>15</v>
      </c>
      <c r="H369">
        <v>5.5314999999999994</v>
      </c>
      <c r="I369">
        <v>14.999999999999991</v>
      </c>
      <c r="J369" t="s">
        <v>20</v>
      </c>
    </row>
    <row r="370" spans="1:10" x14ac:dyDescent="0.2">
      <c r="A370">
        <v>10369</v>
      </c>
      <c r="B370" t="s">
        <v>5</v>
      </c>
      <c r="C370" t="s">
        <v>6</v>
      </c>
      <c r="D370">
        <v>2.4700000000000002</v>
      </c>
      <c r="E370">
        <v>5</v>
      </c>
      <c r="F370" t="s">
        <v>15</v>
      </c>
      <c r="G370">
        <v>28</v>
      </c>
      <c r="H370">
        <v>3.1616000000000004</v>
      </c>
      <c r="I370">
        <v>28.000000000000004</v>
      </c>
      <c r="J370" t="s">
        <v>20</v>
      </c>
    </row>
    <row r="371" spans="1:10" x14ac:dyDescent="0.2">
      <c r="A371">
        <v>10370</v>
      </c>
      <c r="B371" t="s">
        <v>5</v>
      </c>
      <c r="C371" t="s">
        <v>6</v>
      </c>
      <c r="D371">
        <v>2.61</v>
      </c>
      <c r="E371">
        <v>9</v>
      </c>
      <c r="F371" t="s">
        <v>16</v>
      </c>
      <c r="G371">
        <v>55</v>
      </c>
      <c r="H371">
        <v>4.0454999999999997</v>
      </c>
      <c r="I371">
        <v>55.000000000000007</v>
      </c>
      <c r="J371" t="s">
        <v>20</v>
      </c>
    </row>
    <row r="372" spans="1:10" x14ac:dyDescent="0.2">
      <c r="A372">
        <v>10371</v>
      </c>
      <c r="B372" t="s">
        <v>7</v>
      </c>
      <c r="C372" t="s">
        <v>6</v>
      </c>
      <c r="D372">
        <v>10.61</v>
      </c>
      <c r="E372">
        <v>8</v>
      </c>
      <c r="F372" t="s">
        <v>16</v>
      </c>
      <c r="G372">
        <v>55</v>
      </c>
      <c r="H372">
        <v>16.445499999999999</v>
      </c>
      <c r="I372">
        <v>55.000000000000007</v>
      </c>
      <c r="J372" t="s">
        <v>20</v>
      </c>
    </row>
    <row r="373" spans="1:10" x14ac:dyDescent="0.2">
      <c r="A373">
        <v>10372</v>
      </c>
      <c r="B373" t="s">
        <v>7</v>
      </c>
      <c r="C373" t="s">
        <v>6</v>
      </c>
      <c r="D373">
        <v>9.82</v>
      </c>
      <c r="E373">
        <v>9</v>
      </c>
      <c r="F373" t="s">
        <v>16</v>
      </c>
      <c r="G373">
        <v>55</v>
      </c>
      <c r="H373">
        <v>15.221</v>
      </c>
      <c r="I373">
        <v>55.000000000000007</v>
      </c>
      <c r="J373" t="s">
        <v>20</v>
      </c>
    </row>
    <row r="374" spans="1:10" x14ac:dyDescent="0.2">
      <c r="A374">
        <v>10373</v>
      </c>
      <c r="B374" t="s">
        <v>10</v>
      </c>
      <c r="C374" t="s">
        <v>9</v>
      </c>
      <c r="D374">
        <v>11.85</v>
      </c>
      <c r="E374">
        <v>5</v>
      </c>
      <c r="F374" t="s">
        <v>15</v>
      </c>
      <c r="G374">
        <v>30</v>
      </c>
      <c r="H374">
        <v>15.404999999999999</v>
      </c>
      <c r="I374">
        <v>30.000000000000004</v>
      </c>
      <c r="J374" t="s">
        <v>20</v>
      </c>
    </row>
    <row r="375" spans="1:10" x14ac:dyDescent="0.2">
      <c r="A375">
        <v>10374</v>
      </c>
      <c r="B375" t="s">
        <v>7</v>
      </c>
      <c r="C375" t="s">
        <v>9</v>
      </c>
      <c r="D375">
        <v>14.09</v>
      </c>
      <c r="E375">
        <v>8</v>
      </c>
      <c r="F375" t="s">
        <v>16</v>
      </c>
      <c r="G375">
        <v>60</v>
      </c>
      <c r="H375">
        <v>22.544</v>
      </c>
      <c r="I375">
        <v>60.000000000000007</v>
      </c>
      <c r="J375" t="s">
        <v>20</v>
      </c>
    </row>
    <row r="376" spans="1:10" x14ac:dyDescent="0.2">
      <c r="A376">
        <v>10375</v>
      </c>
      <c r="B376" t="s">
        <v>8</v>
      </c>
      <c r="C376" t="s">
        <v>6</v>
      </c>
      <c r="D376">
        <v>10.53</v>
      </c>
      <c r="E376">
        <v>4</v>
      </c>
      <c r="F376" t="s">
        <v>15</v>
      </c>
      <c r="G376">
        <v>28</v>
      </c>
      <c r="H376">
        <v>13.478399999999999</v>
      </c>
      <c r="I376">
        <v>28.000000000000004</v>
      </c>
      <c r="J376" t="s">
        <v>20</v>
      </c>
    </row>
    <row r="377" spans="1:10" x14ac:dyDescent="0.2">
      <c r="A377">
        <v>10376</v>
      </c>
      <c r="B377" t="s">
        <v>7</v>
      </c>
      <c r="C377" t="s">
        <v>11</v>
      </c>
      <c r="D377">
        <v>2.76</v>
      </c>
      <c r="E377">
        <v>5</v>
      </c>
      <c r="F377" t="s">
        <v>15</v>
      </c>
      <c r="G377">
        <v>25</v>
      </c>
      <c r="H377">
        <v>3.4499999999999997</v>
      </c>
      <c r="I377">
        <v>25</v>
      </c>
      <c r="J377" t="s">
        <v>20</v>
      </c>
    </row>
    <row r="378" spans="1:10" x14ac:dyDescent="0.2">
      <c r="A378">
        <v>10377</v>
      </c>
      <c r="B378" t="s">
        <v>7</v>
      </c>
      <c r="C378" t="s">
        <v>11</v>
      </c>
      <c r="D378">
        <v>4.03</v>
      </c>
      <c r="E378">
        <v>3</v>
      </c>
      <c r="F378" t="s">
        <v>14</v>
      </c>
      <c r="G378">
        <v>10</v>
      </c>
      <c r="H378">
        <v>4.4330000000000007</v>
      </c>
      <c r="I378">
        <v>10.000000000000009</v>
      </c>
      <c r="J378" t="s">
        <v>20</v>
      </c>
    </row>
    <row r="379" spans="1:10" x14ac:dyDescent="0.2">
      <c r="A379">
        <v>10378</v>
      </c>
      <c r="B379" t="s">
        <v>8</v>
      </c>
      <c r="C379" t="s">
        <v>9</v>
      </c>
      <c r="D379">
        <v>12.71</v>
      </c>
      <c r="E379">
        <v>5</v>
      </c>
      <c r="F379" t="s">
        <v>15</v>
      </c>
      <c r="G379">
        <v>30</v>
      </c>
      <c r="H379">
        <v>16.523000000000003</v>
      </c>
      <c r="I379">
        <v>30.000000000000028</v>
      </c>
      <c r="J379" t="s">
        <v>20</v>
      </c>
    </row>
    <row r="380" spans="1:10" x14ac:dyDescent="0.2">
      <c r="A380">
        <v>10379</v>
      </c>
      <c r="B380" t="s">
        <v>10</v>
      </c>
      <c r="C380" t="s">
        <v>6</v>
      </c>
      <c r="D380">
        <v>3.53</v>
      </c>
      <c r="E380">
        <v>3</v>
      </c>
      <c r="F380" t="s">
        <v>14</v>
      </c>
      <c r="G380">
        <v>12</v>
      </c>
      <c r="H380">
        <v>3.9536000000000002</v>
      </c>
      <c r="I380">
        <v>12.000000000000011</v>
      </c>
      <c r="J380" t="s">
        <v>20</v>
      </c>
    </row>
    <row r="381" spans="1:10" x14ac:dyDescent="0.2">
      <c r="A381">
        <v>10380</v>
      </c>
      <c r="B381" t="s">
        <v>8</v>
      </c>
      <c r="C381" t="s">
        <v>6</v>
      </c>
      <c r="D381">
        <v>1.55</v>
      </c>
      <c r="E381">
        <v>5</v>
      </c>
      <c r="F381" t="s">
        <v>15</v>
      </c>
      <c r="G381">
        <v>28</v>
      </c>
      <c r="H381">
        <v>1.9840000000000002</v>
      </c>
      <c r="I381">
        <v>28.000000000000004</v>
      </c>
      <c r="J381" t="s">
        <v>20</v>
      </c>
    </row>
    <row r="382" spans="1:10" x14ac:dyDescent="0.2">
      <c r="A382">
        <v>10381</v>
      </c>
      <c r="B382" t="s">
        <v>7</v>
      </c>
      <c r="C382" t="s">
        <v>9</v>
      </c>
      <c r="D382">
        <v>10.7</v>
      </c>
      <c r="E382">
        <v>5</v>
      </c>
      <c r="F382" t="s">
        <v>15</v>
      </c>
      <c r="G382">
        <v>30</v>
      </c>
      <c r="H382">
        <v>13.91</v>
      </c>
      <c r="I382">
        <v>30.000000000000004</v>
      </c>
      <c r="J382" t="s">
        <v>20</v>
      </c>
    </row>
    <row r="383" spans="1:10" x14ac:dyDescent="0.2">
      <c r="A383">
        <v>10382</v>
      </c>
      <c r="B383" t="s">
        <v>10</v>
      </c>
      <c r="C383" t="s">
        <v>11</v>
      </c>
      <c r="D383">
        <v>6.34</v>
      </c>
      <c r="E383">
        <v>6</v>
      </c>
      <c r="F383" t="s">
        <v>15</v>
      </c>
      <c r="G383">
        <v>25</v>
      </c>
      <c r="H383">
        <v>7.9249999999999998</v>
      </c>
      <c r="I383">
        <v>25</v>
      </c>
      <c r="J383" t="s">
        <v>20</v>
      </c>
    </row>
    <row r="384" spans="1:10" x14ac:dyDescent="0.2">
      <c r="A384">
        <v>10383</v>
      </c>
      <c r="B384" t="s">
        <v>7</v>
      </c>
      <c r="C384" t="s">
        <v>11</v>
      </c>
      <c r="D384">
        <v>13.84</v>
      </c>
      <c r="E384">
        <v>9</v>
      </c>
      <c r="F384" t="s">
        <v>16</v>
      </c>
      <c r="G384">
        <v>50</v>
      </c>
      <c r="H384">
        <v>20.759999999999998</v>
      </c>
      <c r="I384">
        <v>49.999999999999979</v>
      </c>
      <c r="J384" t="s">
        <v>20</v>
      </c>
    </row>
    <row r="385" spans="1:10" x14ac:dyDescent="0.2">
      <c r="A385">
        <v>10384</v>
      </c>
      <c r="B385" t="s">
        <v>8</v>
      </c>
      <c r="C385" t="s">
        <v>11</v>
      </c>
      <c r="D385">
        <v>9.93</v>
      </c>
      <c r="E385">
        <v>1</v>
      </c>
      <c r="F385" t="s">
        <v>14</v>
      </c>
      <c r="G385">
        <v>10</v>
      </c>
      <c r="H385">
        <v>10.923</v>
      </c>
      <c r="I385">
        <v>10.000000000000009</v>
      </c>
      <c r="J385" t="s">
        <v>20</v>
      </c>
    </row>
    <row r="386" spans="1:10" x14ac:dyDescent="0.2">
      <c r="A386">
        <v>10385</v>
      </c>
      <c r="B386" t="s">
        <v>8</v>
      </c>
      <c r="C386" t="s">
        <v>9</v>
      </c>
      <c r="D386">
        <v>1.81</v>
      </c>
      <c r="E386">
        <v>10</v>
      </c>
      <c r="F386" t="s">
        <v>16</v>
      </c>
      <c r="G386">
        <v>60</v>
      </c>
      <c r="H386">
        <v>2.8960000000000004</v>
      </c>
      <c r="I386">
        <v>60.000000000000007</v>
      </c>
      <c r="J386" t="s">
        <v>20</v>
      </c>
    </row>
    <row r="387" spans="1:10" x14ac:dyDescent="0.2">
      <c r="A387">
        <v>10386</v>
      </c>
      <c r="B387" t="s">
        <v>7</v>
      </c>
      <c r="C387" t="s">
        <v>11</v>
      </c>
      <c r="D387">
        <v>14.24</v>
      </c>
      <c r="E387">
        <v>6</v>
      </c>
      <c r="F387" t="s">
        <v>15</v>
      </c>
      <c r="G387">
        <v>25</v>
      </c>
      <c r="H387">
        <v>17.8</v>
      </c>
      <c r="I387">
        <v>25</v>
      </c>
      <c r="J387" t="s">
        <v>20</v>
      </c>
    </row>
    <row r="388" spans="1:10" x14ac:dyDescent="0.2">
      <c r="A388">
        <v>10387</v>
      </c>
      <c r="B388" t="s">
        <v>5</v>
      </c>
      <c r="C388" t="s">
        <v>9</v>
      </c>
      <c r="D388">
        <v>4.25</v>
      </c>
      <c r="E388">
        <v>1</v>
      </c>
      <c r="F388" t="s">
        <v>14</v>
      </c>
      <c r="G388">
        <v>15</v>
      </c>
      <c r="H388">
        <v>4.8874999999999993</v>
      </c>
      <c r="I388">
        <v>14.999999999999991</v>
      </c>
      <c r="J388" t="s">
        <v>20</v>
      </c>
    </row>
    <row r="389" spans="1:10" x14ac:dyDescent="0.2">
      <c r="A389">
        <v>10388</v>
      </c>
      <c r="B389" t="s">
        <v>5</v>
      </c>
      <c r="C389" t="s">
        <v>9</v>
      </c>
      <c r="D389">
        <v>5.39</v>
      </c>
      <c r="E389">
        <v>6</v>
      </c>
      <c r="F389" t="s">
        <v>15</v>
      </c>
      <c r="G389">
        <v>30</v>
      </c>
      <c r="H389">
        <v>7.0069999999999997</v>
      </c>
      <c r="I389">
        <v>30.000000000000004</v>
      </c>
      <c r="J389" t="s">
        <v>20</v>
      </c>
    </row>
    <row r="390" spans="1:10" x14ac:dyDescent="0.2">
      <c r="A390">
        <v>10389</v>
      </c>
      <c r="B390" t="s">
        <v>8</v>
      </c>
      <c r="C390" t="s">
        <v>6</v>
      </c>
      <c r="D390">
        <v>6.33</v>
      </c>
      <c r="E390">
        <v>2</v>
      </c>
      <c r="F390" t="s">
        <v>14</v>
      </c>
      <c r="G390">
        <v>12</v>
      </c>
      <c r="H390">
        <v>7.0896000000000008</v>
      </c>
      <c r="I390">
        <v>12.000000000000011</v>
      </c>
      <c r="J390" t="s">
        <v>20</v>
      </c>
    </row>
    <row r="391" spans="1:10" x14ac:dyDescent="0.2">
      <c r="A391">
        <v>10390</v>
      </c>
      <c r="B391" t="s">
        <v>8</v>
      </c>
      <c r="C391" t="s">
        <v>11</v>
      </c>
      <c r="D391">
        <v>1.24</v>
      </c>
      <c r="E391">
        <v>8</v>
      </c>
      <c r="F391" t="s">
        <v>16</v>
      </c>
      <c r="G391">
        <v>50</v>
      </c>
      <c r="H391">
        <v>1.8599999999999999</v>
      </c>
      <c r="I391">
        <v>50</v>
      </c>
      <c r="J391" t="s">
        <v>20</v>
      </c>
    </row>
    <row r="392" spans="1:10" x14ac:dyDescent="0.2">
      <c r="A392">
        <v>10391</v>
      </c>
      <c r="B392" t="s">
        <v>5</v>
      </c>
      <c r="C392" t="s">
        <v>9</v>
      </c>
      <c r="D392">
        <v>7.7</v>
      </c>
      <c r="E392">
        <v>3</v>
      </c>
      <c r="F392" t="s">
        <v>14</v>
      </c>
      <c r="G392">
        <v>15</v>
      </c>
      <c r="H392">
        <v>8.8549999999999986</v>
      </c>
      <c r="I392">
        <v>14.999999999999968</v>
      </c>
      <c r="J392" t="s">
        <v>20</v>
      </c>
    </row>
    <row r="393" spans="1:10" x14ac:dyDescent="0.2">
      <c r="A393">
        <v>10392</v>
      </c>
      <c r="B393" t="s">
        <v>5</v>
      </c>
      <c r="C393" t="s">
        <v>11</v>
      </c>
      <c r="D393">
        <v>2.29</v>
      </c>
      <c r="E393">
        <v>10</v>
      </c>
      <c r="F393" t="s">
        <v>16</v>
      </c>
      <c r="G393">
        <v>50</v>
      </c>
      <c r="H393">
        <v>3.4350000000000001</v>
      </c>
      <c r="I393">
        <v>50</v>
      </c>
      <c r="J393" t="s">
        <v>20</v>
      </c>
    </row>
    <row r="394" spans="1:10" x14ac:dyDescent="0.2">
      <c r="A394">
        <v>10393</v>
      </c>
      <c r="B394" t="s">
        <v>7</v>
      </c>
      <c r="C394" t="s">
        <v>11</v>
      </c>
      <c r="D394">
        <v>6.31</v>
      </c>
      <c r="E394">
        <v>6</v>
      </c>
      <c r="F394" t="s">
        <v>15</v>
      </c>
      <c r="G394">
        <v>25</v>
      </c>
      <c r="H394">
        <v>7.8874999999999993</v>
      </c>
      <c r="I394">
        <v>25</v>
      </c>
      <c r="J394" t="s">
        <v>20</v>
      </c>
    </row>
    <row r="395" spans="1:10" x14ac:dyDescent="0.2">
      <c r="A395">
        <v>10394</v>
      </c>
      <c r="B395" t="s">
        <v>7</v>
      </c>
      <c r="C395" t="s">
        <v>6</v>
      </c>
      <c r="D395">
        <v>5.59</v>
      </c>
      <c r="E395">
        <v>6</v>
      </c>
      <c r="F395" t="s">
        <v>15</v>
      </c>
      <c r="G395">
        <v>28</v>
      </c>
      <c r="H395">
        <v>7.1551999999999998</v>
      </c>
      <c r="I395">
        <v>28.000000000000004</v>
      </c>
      <c r="J395" t="s">
        <v>20</v>
      </c>
    </row>
    <row r="396" spans="1:10" x14ac:dyDescent="0.2">
      <c r="A396">
        <v>10395</v>
      </c>
      <c r="B396" t="s">
        <v>5</v>
      </c>
      <c r="C396" t="s">
        <v>11</v>
      </c>
      <c r="D396">
        <v>11.71</v>
      </c>
      <c r="E396">
        <v>4</v>
      </c>
      <c r="F396" t="s">
        <v>15</v>
      </c>
      <c r="G396">
        <v>25</v>
      </c>
      <c r="H396">
        <v>14.637500000000001</v>
      </c>
      <c r="I396">
        <v>25</v>
      </c>
      <c r="J396" t="s">
        <v>20</v>
      </c>
    </row>
    <row r="397" spans="1:10" x14ac:dyDescent="0.2">
      <c r="A397">
        <v>10396</v>
      </c>
      <c r="B397" t="s">
        <v>7</v>
      </c>
      <c r="C397" t="s">
        <v>6</v>
      </c>
      <c r="D397">
        <v>12.15</v>
      </c>
      <c r="E397">
        <v>5</v>
      </c>
      <c r="F397" t="s">
        <v>15</v>
      </c>
      <c r="G397">
        <v>28</v>
      </c>
      <c r="H397">
        <v>15.552000000000001</v>
      </c>
      <c r="I397">
        <v>28.000000000000004</v>
      </c>
      <c r="J397" t="s">
        <v>20</v>
      </c>
    </row>
    <row r="398" spans="1:10" x14ac:dyDescent="0.2">
      <c r="A398">
        <v>10397</v>
      </c>
      <c r="B398" t="s">
        <v>7</v>
      </c>
      <c r="C398" t="s">
        <v>9</v>
      </c>
      <c r="D398">
        <v>2.72</v>
      </c>
      <c r="E398">
        <v>2</v>
      </c>
      <c r="F398" t="s">
        <v>14</v>
      </c>
      <c r="G398">
        <v>15</v>
      </c>
      <c r="H398">
        <v>3.1280000000000001</v>
      </c>
      <c r="I398">
        <v>14.999999999999991</v>
      </c>
      <c r="J398" t="s">
        <v>20</v>
      </c>
    </row>
    <row r="399" spans="1:10" x14ac:dyDescent="0.2">
      <c r="A399">
        <v>10398</v>
      </c>
      <c r="B399" t="s">
        <v>10</v>
      </c>
      <c r="C399" t="s">
        <v>11</v>
      </c>
      <c r="D399">
        <v>5.81</v>
      </c>
      <c r="E399">
        <v>10</v>
      </c>
      <c r="F399" t="s">
        <v>16</v>
      </c>
      <c r="G399">
        <v>50</v>
      </c>
      <c r="H399">
        <v>8.7149999999999999</v>
      </c>
      <c r="I399">
        <v>50</v>
      </c>
      <c r="J399" t="s">
        <v>20</v>
      </c>
    </row>
    <row r="400" spans="1:10" x14ac:dyDescent="0.2">
      <c r="A400">
        <v>10399</v>
      </c>
      <c r="B400" t="s">
        <v>7</v>
      </c>
      <c r="C400" t="s">
        <v>9</v>
      </c>
      <c r="D400">
        <v>5.91</v>
      </c>
      <c r="E400">
        <v>10</v>
      </c>
      <c r="F400" t="s">
        <v>16</v>
      </c>
      <c r="G400">
        <v>60</v>
      </c>
      <c r="H400">
        <v>9.4560000000000013</v>
      </c>
      <c r="I400">
        <v>60.000000000000007</v>
      </c>
      <c r="J400" t="s">
        <v>20</v>
      </c>
    </row>
    <row r="401" spans="1:10" x14ac:dyDescent="0.2">
      <c r="A401">
        <v>10400</v>
      </c>
      <c r="B401" t="s">
        <v>8</v>
      </c>
      <c r="C401" t="s">
        <v>11</v>
      </c>
      <c r="D401">
        <v>2.7</v>
      </c>
      <c r="E401">
        <v>8</v>
      </c>
      <c r="F401" t="s">
        <v>16</v>
      </c>
      <c r="G401">
        <v>50</v>
      </c>
      <c r="H401">
        <v>4.0500000000000007</v>
      </c>
      <c r="I401">
        <v>50.000000000000021</v>
      </c>
      <c r="J401" t="s">
        <v>20</v>
      </c>
    </row>
    <row r="402" spans="1:10" x14ac:dyDescent="0.2">
      <c r="A402">
        <v>10401</v>
      </c>
      <c r="B402" t="s">
        <v>7</v>
      </c>
      <c r="C402" t="s">
        <v>9</v>
      </c>
      <c r="D402">
        <v>12.08</v>
      </c>
      <c r="E402">
        <v>10</v>
      </c>
      <c r="F402" t="s">
        <v>16</v>
      </c>
      <c r="G402">
        <v>60</v>
      </c>
      <c r="H402">
        <v>19.328000000000003</v>
      </c>
      <c r="I402">
        <v>60.000000000000028</v>
      </c>
      <c r="J402" t="s">
        <v>20</v>
      </c>
    </row>
    <row r="403" spans="1:10" x14ac:dyDescent="0.2">
      <c r="A403">
        <v>10402</v>
      </c>
      <c r="B403" t="s">
        <v>7</v>
      </c>
      <c r="C403" t="s">
        <v>11</v>
      </c>
      <c r="D403">
        <v>10.75</v>
      </c>
      <c r="E403">
        <v>7</v>
      </c>
      <c r="F403" t="s">
        <v>15</v>
      </c>
      <c r="G403">
        <v>25</v>
      </c>
      <c r="H403">
        <v>13.4375</v>
      </c>
      <c r="I403">
        <v>25</v>
      </c>
      <c r="J403" t="s">
        <v>20</v>
      </c>
    </row>
    <row r="404" spans="1:10" x14ac:dyDescent="0.2">
      <c r="A404">
        <v>10403</v>
      </c>
      <c r="B404" t="s">
        <v>5</v>
      </c>
      <c r="C404" t="s">
        <v>11</v>
      </c>
      <c r="D404">
        <v>3.26</v>
      </c>
      <c r="E404">
        <v>10</v>
      </c>
      <c r="F404" t="s">
        <v>16</v>
      </c>
      <c r="G404">
        <v>50</v>
      </c>
      <c r="H404">
        <v>4.8899999999999997</v>
      </c>
      <c r="I404">
        <v>50</v>
      </c>
      <c r="J404" t="s">
        <v>20</v>
      </c>
    </row>
    <row r="405" spans="1:10" x14ac:dyDescent="0.2">
      <c r="A405">
        <v>10404</v>
      </c>
      <c r="B405" t="s">
        <v>8</v>
      </c>
      <c r="C405" t="s">
        <v>11</v>
      </c>
      <c r="D405">
        <v>5.82</v>
      </c>
      <c r="E405">
        <v>6</v>
      </c>
      <c r="F405" t="s">
        <v>15</v>
      </c>
      <c r="G405">
        <v>25</v>
      </c>
      <c r="H405">
        <v>7.2750000000000004</v>
      </c>
      <c r="I405">
        <v>25</v>
      </c>
      <c r="J405" t="s">
        <v>20</v>
      </c>
    </row>
    <row r="406" spans="1:10" x14ac:dyDescent="0.2">
      <c r="A406">
        <v>10405</v>
      </c>
      <c r="B406" t="s">
        <v>7</v>
      </c>
      <c r="C406" t="s">
        <v>11</v>
      </c>
      <c r="D406">
        <v>2.0299999999999998</v>
      </c>
      <c r="E406">
        <v>7</v>
      </c>
      <c r="F406" t="s">
        <v>15</v>
      </c>
      <c r="G406">
        <v>25</v>
      </c>
      <c r="H406">
        <v>2.5374999999999996</v>
      </c>
      <c r="I406">
        <v>25</v>
      </c>
      <c r="J406" t="s">
        <v>20</v>
      </c>
    </row>
    <row r="407" spans="1:10" x14ac:dyDescent="0.2">
      <c r="A407">
        <v>10406</v>
      </c>
      <c r="B407" t="s">
        <v>7</v>
      </c>
      <c r="C407" t="s">
        <v>11</v>
      </c>
      <c r="D407">
        <v>9.61</v>
      </c>
      <c r="E407">
        <v>1</v>
      </c>
      <c r="F407" t="s">
        <v>14</v>
      </c>
      <c r="G407">
        <v>10</v>
      </c>
      <c r="H407">
        <v>10.571</v>
      </c>
      <c r="I407">
        <v>10.000000000000009</v>
      </c>
      <c r="J407" t="s">
        <v>20</v>
      </c>
    </row>
    <row r="408" spans="1:10" x14ac:dyDescent="0.2">
      <c r="A408">
        <v>10407</v>
      </c>
      <c r="B408" t="s">
        <v>10</v>
      </c>
      <c r="C408" t="s">
        <v>11</v>
      </c>
      <c r="D408">
        <v>2.2599999999999998</v>
      </c>
      <c r="E408">
        <v>5</v>
      </c>
      <c r="F408" t="s">
        <v>15</v>
      </c>
      <c r="G408">
        <v>25</v>
      </c>
      <c r="H408">
        <v>2.8249999999999997</v>
      </c>
      <c r="I408">
        <v>25</v>
      </c>
      <c r="J408" t="s">
        <v>20</v>
      </c>
    </row>
    <row r="409" spans="1:10" x14ac:dyDescent="0.2">
      <c r="A409">
        <v>10408</v>
      </c>
      <c r="B409" t="s">
        <v>7</v>
      </c>
      <c r="C409" t="s">
        <v>11</v>
      </c>
      <c r="D409">
        <v>14.8</v>
      </c>
      <c r="E409">
        <v>7</v>
      </c>
      <c r="F409" t="s">
        <v>15</v>
      </c>
      <c r="G409">
        <v>25</v>
      </c>
      <c r="H409">
        <v>18.5</v>
      </c>
      <c r="I409">
        <v>25</v>
      </c>
      <c r="J409" t="s">
        <v>20</v>
      </c>
    </row>
    <row r="410" spans="1:10" x14ac:dyDescent="0.2">
      <c r="A410">
        <v>10409</v>
      </c>
      <c r="B410" t="s">
        <v>7</v>
      </c>
      <c r="C410" t="s">
        <v>11</v>
      </c>
      <c r="D410">
        <v>11.82</v>
      </c>
      <c r="E410">
        <v>1</v>
      </c>
      <c r="F410" t="s">
        <v>14</v>
      </c>
      <c r="G410">
        <v>10</v>
      </c>
      <c r="H410">
        <v>13.002000000000001</v>
      </c>
      <c r="I410">
        <v>10.000000000000009</v>
      </c>
      <c r="J410" t="s">
        <v>20</v>
      </c>
    </row>
    <row r="411" spans="1:10" x14ac:dyDescent="0.2">
      <c r="A411">
        <v>10410</v>
      </c>
      <c r="B411" t="s">
        <v>10</v>
      </c>
      <c r="C411" t="s">
        <v>11</v>
      </c>
      <c r="D411">
        <v>6.16</v>
      </c>
      <c r="E411">
        <v>2</v>
      </c>
      <c r="F411" t="s">
        <v>14</v>
      </c>
      <c r="G411">
        <v>10</v>
      </c>
      <c r="H411">
        <v>6.7760000000000007</v>
      </c>
      <c r="I411">
        <v>10.000000000000009</v>
      </c>
      <c r="J411" t="s">
        <v>20</v>
      </c>
    </row>
    <row r="412" spans="1:10" x14ac:dyDescent="0.2">
      <c r="A412">
        <v>10411</v>
      </c>
      <c r="B412" t="s">
        <v>5</v>
      </c>
      <c r="C412" t="s">
        <v>9</v>
      </c>
      <c r="D412">
        <v>8.89</v>
      </c>
      <c r="E412">
        <v>9</v>
      </c>
      <c r="F412" t="s">
        <v>16</v>
      </c>
      <c r="G412">
        <v>60</v>
      </c>
      <c r="H412">
        <v>14.224000000000002</v>
      </c>
      <c r="I412">
        <v>60.000000000000007</v>
      </c>
      <c r="J412" t="s">
        <v>20</v>
      </c>
    </row>
    <row r="413" spans="1:10" x14ac:dyDescent="0.2">
      <c r="A413">
        <v>10412</v>
      </c>
      <c r="B413" t="s">
        <v>7</v>
      </c>
      <c r="C413" t="s">
        <v>6</v>
      </c>
      <c r="D413">
        <v>13.71</v>
      </c>
      <c r="E413">
        <v>3</v>
      </c>
      <c r="F413" t="s">
        <v>14</v>
      </c>
      <c r="G413">
        <v>12</v>
      </c>
      <c r="H413">
        <v>15.355200000000002</v>
      </c>
      <c r="I413">
        <v>12.000000000000011</v>
      </c>
      <c r="J413" t="s">
        <v>20</v>
      </c>
    </row>
    <row r="414" spans="1:10" x14ac:dyDescent="0.2">
      <c r="A414">
        <v>10413</v>
      </c>
      <c r="B414" t="s">
        <v>10</v>
      </c>
      <c r="C414" t="s">
        <v>11</v>
      </c>
      <c r="D414">
        <v>8.5299999999999994</v>
      </c>
      <c r="E414">
        <v>6</v>
      </c>
      <c r="F414" t="s">
        <v>15</v>
      </c>
      <c r="G414">
        <v>25</v>
      </c>
      <c r="H414">
        <v>10.6625</v>
      </c>
      <c r="I414">
        <v>25</v>
      </c>
      <c r="J414" t="s">
        <v>20</v>
      </c>
    </row>
    <row r="415" spans="1:10" x14ac:dyDescent="0.2">
      <c r="A415">
        <v>10414</v>
      </c>
      <c r="B415" t="s">
        <v>8</v>
      </c>
      <c r="C415" t="s">
        <v>6</v>
      </c>
      <c r="D415">
        <v>3.03</v>
      </c>
      <c r="E415">
        <v>7</v>
      </c>
      <c r="F415" t="s">
        <v>15</v>
      </c>
      <c r="G415">
        <v>28</v>
      </c>
      <c r="H415">
        <v>3.8783999999999996</v>
      </c>
      <c r="I415">
        <v>28.000000000000004</v>
      </c>
      <c r="J415" t="s">
        <v>20</v>
      </c>
    </row>
    <row r="416" spans="1:10" x14ac:dyDescent="0.2">
      <c r="A416">
        <v>10415</v>
      </c>
      <c r="B416" t="s">
        <v>5</v>
      </c>
      <c r="C416" t="s">
        <v>11</v>
      </c>
      <c r="D416">
        <v>5.99</v>
      </c>
      <c r="E416">
        <v>9</v>
      </c>
      <c r="F416" t="s">
        <v>16</v>
      </c>
      <c r="G416">
        <v>50</v>
      </c>
      <c r="H416">
        <v>8.9849999999999994</v>
      </c>
      <c r="I416">
        <v>49.999999999999979</v>
      </c>
      <c r="J416" t="s">
        <v>20</v>
      </c>
    </row>
    <row r="417" spans="1:10" x14ac:dyDescent="0.2">
      <c r="A417">
        <v>10416</v>
      </c>
      <c r="B417" t="s">
        <v>8</v>
      </c>
      <c r="C417" t="s">
        <v>11</v>
      </c>
      <c r="D417">
        <v>12.73</v>
      </c>
      <c r="E417">
        <v>5</v>
      </c>
      <c r="F417" t="s">
        <v>15</v>
      </c>
      <c r="G417">
        <v>25</v>
      </c>
      <c r="H417">
        <v>15.912500000000001</v>
      </c>
      <c r="I417">
        <v>25</v>
      </c>
      <c r="J417" t="s">
        <v>20</v>
      </c>
    </row>
    <row r="418" spans="1:10" x14ac:dyDescent="0.2">
      <c r="A418">
        <v>10417</v>
      </c>
      <c r="B418" t="s">
        <v>8</v>
      </c>
      <c r="C418" t="s">
        <v>9</v>
      </c>
      <c r="D418">
        <v>9.84</v>
      </c>
      <c r="E418">
        <v>4</v>
      </c>
      <c r="F418" t="s">
        <v>15</v>
      </c>
      <c r="G418">
        <v>30</v>
      </c>
      <c r="H418">
        <v>12.792</v>
      </c>
      <c r="I418">
        <v>30.000000000000004</v>
      </c>
      <c r="J418" t="s">
        <v>20</v>
      </c>
    </row>
    <row r="419" spans="1:10" x14ac:dyDescent="0.2">
      <c r="A419">
        <v>10418</v>
      </c>
      <c r="B419" t="s">
        <v>10</v>
      </c>
      <c r="C419" t="s">
        <v>9</v>
      </c>
      <c r="D419">
        <v>9.94</v>
      </c>
      <c r="E419">
        <v>2</v>
      </c>
      <c r="F419" t="s">
        <v>14</v>
      </c>
      <c r="G419">
        <v>15</v>
      </c>
      <c r="H419">
        <v>11.430999999999999</v>
      </c>
      <c r="I419">
        <v>14.999999999999991</v>
      </c>
      <c r="J419" t="s">
        <v>20</v>
      </c>
    </row>
    <row r="420" spans="1:10" x14ac:dyDescent="0.2">
      <c r="A420">
        <v>10419</v>
      </c>
      <c r="B420" t="s">
        <v>7</v>
      </c>
      <c r="C420" t="s">
        <v>6</v>
      </c>
      <c r="D420">
        <v>13.07</v>
      </c>
      <c r="E420">
        <v>3</v>
      </c>
      <c r="F420" t="s">
        <v>14</v>
      </c>
      <c r="G420">
        <v>12</v>
      </c>
      <c r="H420">
        <v>14.638400000000003</v>
      </c>
      <c r="I420">
        <v>12.000000000000011</v>
      </c>
      <c r="J420" t="s">
        <v>20</v>
      </c>
    </row>
    <row r="421" spans="1:10" x14ac:dyDescent="0.2">
      <c r="A421">
        <v>10420</v>
      </c>
      <c r="B421" t="s">
        <v>10</v>
      </c>
      <c r="C421" t="s">
        <v>9</v>
      </c>
      <c r="D421">
        <v>13.46</v>
      </c>
      <c r="E421">
        <v>5</v>
      </c>
      <c r="F421" t="s">
        <v>15</v>
      </c>
      <c r="G421">
        <v>30</v>
      </c>
      <c r="H421">
        <v>17.498000000000001</v>
      </c>
      <c r="I421">
        <v>30.000000000000004</v>
      </c>
      <c r="J421" t="s">
        <v>20</v>
      </c>
    </row>
    <row r="422" spans="1:10" x14ac:dyDescent="0.2">
      <c r="A422">
        <v>10421</v>
      </c>
      <c r="B422" t="s">
        <v>10</v>
      </c>
      <c r="C422" t="s">
        <v>9</v>
      </c>
      <c r="D422">
        <v>13.84</v>
      </c>
      <c r="E422">
        <v>2</v>
      </c>
      <c r="F422" t="s">
        <v>14</v>
      </c>
      <c r="G422">
        <v>15</v>
      </c>
      <c r="H422">
        <v>15.915999999999999</v>
      </c>
      <c r="I422">
        <v>14.999999999999991</v>
      </c>
      <c r="J422" t="s">
        <v>20</v>
      </c>
    </row>
    <row r="423" spans="1:10" x14ac:dyDescent="0.2">
      <c r="A423">
        <v>10422</v>
      </c>
      <c r="B423" t="s">
        <v>10</v>
      </c>
      <c r="C423" t="s">
        <v>6</v>
      </c>
      <c r="D423">
        <v>1.88</v>
      </c>
      <c r="E423">
        <v>4</v>
      </c>
      <c r="F423" t="s">
        <v>15</v>
      </c>
      <c r="G423">
        <v>28</v>
      </c>
      <c r="H423">
        <v>2.4064000000000001</v>
      </c>
      <c r="I423">
        <v>28.000000000000004</v>
      </c>
      <c r="J423" t="s">
        <v>20</v>
      </c>
    </row>
    <row r="424" spans="1:10" x14ac:dyDescent="0.2">
      <c r="A424">
        <v>10423</v>
      </c>
      <c r="B424" t="s">
        <v>10</v>
      </c>
      <c r="C424" t="s">
        <v>9</v>
      </c>
      <c r="D424">
        <v>8.39</v>
      </c>
      <c r="E424">
        <v>1</v>
      </c>
      <c r="F424" t="s">
        <v>14</v>
      </c>
      <c r="G424">
        <v>15</v>
      </c>
      <c r="H424">
        <v>9.6485000000000003</v>
      </c>
      <c r="I424">
        <v>14.999999999999991</v>
      </c>
      <c r="J424" t="s">
        <v>20</v>
      </c>
    </row>
    <row r="425" spans="1:10" x14ac:dyDescent="0.2">
      <c r="A425">
        <v>10424</v>
      </c>
      <c r="B425" t="s">
        <v>5</v>
      </c>
      <c r="C425" t="s">
        <v>11</v>
      </c>
      <c r="D425">
        <v>11.24</v>
      </c>
      <c r="E425">
        <v>4</v>
      </c>
      <c r="F425" t="s">
        <v>15</v>
      </c>
      <c r="G425">
        <v>25</v>
      </c>
      <c r="H425">
        <v>14.05</v>
      </c>
      <c r="I425">
        <v>25</v>
      </c>
      <c r="J425" t="s">
        <v>20</v>
      </c>
    </row>
    <row r="426" spans="1:10" x14ac:dyDescent="0.2">
      <c r="A426">
        <v>10425</v>
      </c>
      <c r="B426" t="s">
        <v>7</v>
      </c>
      <c r="C426" t="s">
        <v>6</v>
      </c>
      <c r="D426">
        <v>11.48</v>
      </c>
      <c r="E426">
        <v>7</v>
      </c>
      <c r="F426" t="s">
        <v>15</v>
      </c>
      <c r="G426">
        <v>28</v>
      </c>
      <c r="H426">
        <v>14.694400000000002</v>
      </c>
      <c r="I426">
        <v>28.000000000000004</v>
      </c>
      <c r="J426" t="s">
        <v>20</v>
      </c>
    </row>
    <row r="427" spans="1:10" x14ac:dyDescent="0.2">
      <c r="A427">
        <v>10426</v>
      </c>
      <c r="B427" t="s">
        <v>8</v>
      </c>
      <c r="C427" t="s">
        <v>6</v>
      </c>
      <c r="D427">
        <v>9.3000000000000007</v>
      </c>
      <c r="E427">
        <v>3</v>
      </c>
      <c r="F427" t="s">
        <v>14</v>
      </c>
      <c r="G427">
        <v>12</v>
      </c>
      <c r="H427">
        <v>10.416000000000002</v>
      </c>
      <c r="I427">
        <v>12.000000000000011</v>
      </c>
      <c r="J427" t="s">
        <v>20</v>
      </c>
    </row>
    <row r="428" spans="1:10" x14ac:dyDescent="0.2">
      <c r="A428">
        <v>10427</v>
      </c>
      <c r="B428" t="s">
        <v>8</v>
      </c>
      <c r="C428" t="s">
        <v>11</v>
      </c>
      <c r="D428">
        <v>2.92</v>
      </c>
      <c r="E428">
        <v>10</v>
      </c>
      <c r="F428" t="s">
        <v>16</v>
      </c>
      <c r="G428">
        <v>50</v>
      </c>
      <c r="H428">
        <v>4.38</v>
      </c>
      <c r="I428">
        <v>50</v>
      </c>
      <c r="J428" t="s">
        <v>20</v>
      </c>
    </row>
    <row r="429" spans="1:10" x14ac:dyDescent="0.2">
      <c r="A429">
        <v>10428</v>
      </c>
      <c r="B429" t="s">
        <v>7</v>
      </c>
      <c r="C429" t="s">
        <v>9</v>
      </c>
      <c r="D429">
        <v>12.06</v>
      </c>
      <c r="E429">
        <v>8</v>
      </c>
      <c r="F429" t="s">
        <v>16</v>
      </c>
      <c r="G429">
        <v>60</v>
      </c>
      <c r="H429">
        <v>19.296000000000003</v>
      </c>
      <c r="I429">
        <v>60.000000000000007</v>
      </c>
      <c r="J429" t="s">
        <v>20</v>
      </c>
    </row>
    <row r="430" spans="1:10" x14ac:dyDescent="0.2">
      <c r="A430">
        <v>10429</v>
      </c>
      <c r="B430" t="s">
        <v>8</v>
      </c>
      <c r="C430" t="s">
        <v>6</v>
      </c>
      <c r="D430">
        <v>10.94</v>
      </c>
      <c r="E430">
        <v>6</v>
      </c>
      <c r="F430" t="s">
        <v>15</v>
      </c>
      <c r="G430">
        <v>28</v>
      </c>
      <c r="H430">
        <v>14.0032</v>
      </c>
      <c r="I430">
        <v>28.000000000000004</v>
      </c>
      <c r="J430" t="s">
        <v>20</v>
      </c>
    </row>
    <row r="431" spans="1:10" x14ac:dyDescent="0.2">
      <c r="A431">
        <v>10430</v>
      </c>
      <c r="B431" t="s">
        <v>7</v>
      </c>
      <c r="C431" t="s">
        <v>6</v>
      </c>
      <c r="D431">
        <v>1.75</v>
      </c>
      <c r="E431">
        <v>6</v>
      </c>
      <c r="F431" t="s">
        <v>15</v>
      </c>
      <c r="G431">
        <v>28</v>
      </c>
      <c r="H431">
        <v>2.2400000000000002</v>
      </c>
      <c r="I431">
        <v>28.000000000000004</v>
      </c>
      <c r="J431" t="s">
        <v>20</v>
      </c>
    </row>
    <row r="432" spans="1:10" x14ac:dyDescent="0.2">
      <c r="A432">
        <v>10431</v>
      </c>
      <c r="B432" t="s">
        <v>8</v>
      </c>
      <c r="C432" t="s">
        <v>11</v>
      </c>
      <c r="D432">
        <v>7.23</v>
      </c>
      <c r="E432">
        <v>1</v>
      </c>
      <c r="F432" t="s">
        <v>14</v>
      </c>
      <c r="G432">
        <v>10</v>
      </c>
      <c r="H432">
        <v>7.9530000000000012</v>
      </c>
      <c r="I432">
        <v>10.000000000000009</v>
      </c>
      <c r="J432" t="s">
        <v>20</v>
      </c>
    </row>
    <row r="433" spans="1:10" x14ac:dyDescent="0.2">
      <c r="A433">
        <v>10432</v>
      </c>
      <c r="B433" t="s">
        <v>10</v>
      </c>
      <c r="C433" t="s">
        <v>11</v>
      </c>
      <c r="D433">
        <v>3.02</v>
      </c>
      <c r="E433">
        <v>5</v>
      </c>
      <c r="F433" t="s">
        <v>15</v>
      </c>
      <c r="G433">
        <v>25</v>
      </c>
      <c r="H433">
        <v>3.7749999999999999</v>
      </c>
      <c r="I433">
        <v>25</v>
      </c>
      <c r="J433" t="s">
        <v>20</v>
      </c>
    </row>
    <row r="434" spans="1:10" x14ac:dyDescent="0.2">
      <c r="A434">
        <v>10433</v>
      </c>
      <c r="B434" t="s">
        <v>8</v>
      </c>
      <c r="C434" t="s">
        <v>9</v>
      </c>
      <c r="D434">
        <v>5.39</v>
      </c>
      <c r="E434">
        <v>3</v>
      </c>
      <c r="F434" t="s">
        <v>14</v>
      </c>
      <c r="G434">
        <v>15</v>
      </c>
      <c r="H434">
        <v>6.1984999999999992</v>
      </c>
      <c r="I434">
        <v>14.999999999999991</v>
      </c>
      <c r="J434" t="s">
        <v>20</v>
      </c>
    </row>
    <row r="435" spans="1:10" x14ac:dyDescent="0.2">
      <c r="A435">
        <v>10434</v>
      </c>
      <c r="B435" t="s">
        <v>7</v>
      </c>
      <c r="C435" t="s">
        <v>6</v>
      </c>
      <c r="D435">
        <v>0.76</v>
      </c>
      <c r="E435">
        <v>10</v>
      </c>
      <c r="F435" t="s">
        <v>16</v>
      </c>
      <c r="G435">
        <v>55</v>
      </c>
      <c r="H435">
        <v>1.1780000000000002</v>
      </c>
      <c r="I435">
        <v>55.000000000000028</v>
      </c>
      <c r="J435" t="s">
        <v>20</v>
      </c>
    </row>
    <row r="436" spans="1:10" x14ac:dyDescent="0.2">
      <c r="A436">
        <v>10435</v>
      </c>
      <c r="B436" t="s">
        <v>7</v>
      </c>
      <c r="C436" t="s">
        <v>9</v>
      </c>
      <c r="D436">
        <v>6.3</v>
      </c>
      <c r="E436">
        <v>1</v>
      </c>
      <c r="F436" t="s">
        <v>14</v>
      </c>
      <c r="G436">
        <v>15</v>
      </c>
      <c r="H436">
        <v>7.2449999999999992</v>
      </c>
      <c r="I436">
        <v>14.999999999999991</v>
      </c>
      <c r="J436" t="s">
        <v>20</v>
      </c>
    </row>
    <row r="437" spans="1:10" x14ac:dyDescent="0.2">
      <c r="A437">
        <v>10436</v>
      </c>
      <c r="B437" t="s">
        <v>7</v>
      </c>
      <c r="C437" t="s">
        <v>9</v>
      </c>
      <c r="D437">
        <v>8.4700000000000006</v>
      </c>
      <c r="E437">
        <v>8</v>
      </c>
      <c r="F437" t="s">
        <v>16</v>
      </c>
      <c r="G437">
        <v>60</v>
      </c>
      <c r="H437">
        <v>13.552000000000001</v>
      </c>
      <c r="I437">
        <v>60.000000000000007</v>
      </c>
      <c r="J437" t="s">
        <v>20</v>
      </c>
    </row>
    <row r="438" spans="1:10" x14ac:dyDescent="0.2">
      <c r="A438">
        <v>10437</v>
      </c>
      <c r="B438" t="s">
        <v>7</v>
      </c>
      <c r="C438" t="s">
        <v>11</v>
      </c>
      <c r="D438">
        <v>9.48</v>
      </c>
      <c r="E438">
        <v>7</v>
      </c>
      <c r="F438" t="s">
        <v>15</v>
      </c>
      <c r="G438">
        <v>25</v>
      </c>
      <c r="H438">
        <v>11.850000000000001</v>
      </c>
      <c r="I438">
        <v>25</v>
      </c>
      <c r="J438" t="s">
        <v>20</v>
      </c>
    </row>
    <row r="439" spans="1:10" x14ac:dyDescent="0.2">
      <c r="A439">
        <v>10438</v>
      </c>
      <c r="B439" t="s">
        <v>7</v>
      </c>
      <c r="C439" t="s">
        <v>6</v>
      </c>
      <c r="D439">
        <v>10.119999999999999</v>
      </c>
      <c r="E439">
        <v>7</v>
      </c>
      <c r="F439" t="s">
        <v>15</v>
      </c>
      <c r="G439">
        <v>28</v>
      </c>
      <c r="H439">
        <v>12.9536</v>
      </c>
      <c r="I439">
        <v>28.000000000000004</v>
      </c>
      <c r="J439" t="s">
        <v>20</v>
      </c>
    </row>
    <row r="440" spans="1:10" x14ac:dyDescent="0.2">
      <c r="A440">
        <v>10439</v>
      </c>
      <c r="B440" t="s">
        <v>5</v>
      </c>
      <c r="C440" t="s">
        <v>6</v>
      </c>
      <c r="D440">
        <v>12.63</v>
      </c>
      <c r="E440">
        <v>10</v>
      </c>
      <c r="F440" t="s">
        <v>16</v>
      </c>
      <c r="G440">
        <v>55</v>
      </c>
      <c r="H440">
        <v>19.576500000000003</v>
      </c>
      <c r="I440">
        <v>55.000000000000007</v>
      </c>
      <c r="J440" t="s">
        <v>20</v>
      </c>
    </row>
    <row r="441" spans="1:10" x14ac:dyDescent="0.2">
      <c r="A441">
        <v>10440</v>
      </c>
      <c r="B441" t="s">
        <v>5</v>
      </c>
      <c r="C441" t="s">
        <v>6</v>
      </c>
      <c r="D441">
        <v>3.62</v>
      </c>
      <c r="E441">
        <v>10</v>
      </c>
      <c r="F441" t="s">
        <v>16</v>
      </c>
      <c r="G441">
        <v>55</v>
      </c>
      <c r="H441">
        <v>5.6110000000000007</v>
      </c>
      <c r="I441">
        <v>55.000000000000007</v>
      </c>
      <c r="J441" t="s">
        <v>20</v>
      </c>
    </row>
    <row r="442" spans="1:10" x14ac:dyDescent="0.2">
      <c r="A442">
        <v>10441</v>
      </c>
      <c r="B442" t="s">
        <v>8</v>
      </c>
      <c r="C442" t="s">
        <v>11</v>
      </c>
      <c r="D442">
        <v>2.25</v>
      </c>
      <c r="E442">
        <v>10</v>
      </c>
      <c r="F442" t="s">
        <v>16</v>
      </c>
      <c r="G442">
        <v>50</v>
      </c>
      <c r="H442">
        <v>3.375</v>
      </c>
      <c r="I442">
        <v>50</v>
      </c>
      <c r="J442" t="s">
        <v>20</v>
      </c>
    </row>
    <row r="443" spans="1:10" x14ac:dyDescent="0.2">
      <c r="A443">
        <v>10442</v>
      </c>
      <c r="B443" t="s">
        <v>7</v>
      </c>
      <c r="C443" t="s">
        <v>11</v>
      </c>
      <c r="D443">
        <v>12.85</v>
      </c>
      <c r="E443">
        <v>4</v>
      </c>
      <c r="F443" t="s">
        <v>15</v>
      </c>
      <c r="G443">
        <v>25</v>
      </c>
      <c r="H443">
        <v>16.0625</v>
      </c>
      <c r="I443">
        <v>25</v>
      </c>
      <c r="J443" t="s">
        <v>20</v>
      </c>
    </row>
    <row r="444" spans="1:10" x14ac:dyDescent="0.2">
      <c r="A444">
        <v>10443</v>
      </c>
      <c r="B444" t="s">
        <v>8</v>
      </c>
      <c r="C444" t="s">
        <v>11</v>
      </c>
      <c r="D444">
        <v>2.77</v>
      </c>
      <c r="E444">
        <v>6</v>
      </c>
      <c r="F444" t="s">
        <v>15</v>
      </c>
      <c r="G444">
        <v>25</v>
      </c>
      <c r="H444">
        <v>3.4624999999999999</v>
      </c>
      <c r="I444">
        <v>25</v>
      </c>
      <c r="J444" t="s">
        <v>20</v>
      </c>
    </row>
    <row r="445" spans="1:10" x14ac:dyDescent="0.2">
      <c r="A445">
        <v>10444</v>
      </c>
      <c r="B445" t="s">
        <v>7</v>
      </c>
      <c r="C445" t="s">
        <v>11</v>
      </c>
      <c r="D445">
        <v>14.63</v>
      </c>
      <c r="E445">
        <v>9</v>
      </c>
      <c r="F445" t="s">
        <v>16</v>
      </c>
      <c r="G445">
        <v>50</v>
      </c>
      <c r="H445">
        <v>21.945</v>
      </c>
      <c r="I445">
        <v>50</v>
      </c>
      <c r="J445" t="s">
        <v>20</v>
      </c>
    </row>
    <row r="446" spans="1:10" x14ac:dyDescent="0.2">
      <c r="A446">
        <v>10445</v>
      </c>
      <c r="B446" t="s">
        <v>7</v>
      </c>
      <c r="C446" t="s">
        <v>11</v>
      </c>
      <c r="D446">
        <v>12.72</v>
      </c>
      <c r="E446">
        <v>3</v>
      </c>
      <c r="F446" t="s">
        <v>14</v>
      </c>
      <c r="G446">
        <v>10</v>
      </c>
      <c r="H446">
        <v>13.992000000000003</v>
      </c>
      <c r="I446">
        <v>10.000000000000009</v>
      </c>
      <c r="J446" t="s">
        <v>20</v>
      </c>
    </row>
    <row r="447" spans="1:10" x14ac:dyDescent="0.2">
      <c r="A447">
        <v>10446</v>
      </c>
      <c r="B447" t="s">
        <v>5</v>
      </c>
      <c r="C447" t="s">
        <v>6</v>
      </c>
      <c r="D447">
        <v>7.76</v>
      </c>
      <c r="E447">
        <v>9</v>
      </c>
      <c r="F447" t="s">
        <v>16</v>
      </c>
      <c r="G447">
        <v>55</v>
      </c>
      <c r="H447">
        <v>12.028</v>
      </c>
      <c r="I447">
        <v>55.000000000000007</v>
      </c>
      <c r="J447" t="s">
        <v>20</v>
      </c>
    </row>
    <row r="448" spans="1:10" x14ac:dyDescent="0.2">
      <c r="A448">
        <v>10447</v>
      </c>
      <c r="B448" t="s">
        <v>5</v>
      </c>
      <c r="C448" t="s">
        <v>9</v>
      </c>
      <c r="D448">
        <v>14.73</v>
      </c>
      <c r="E448">
        <v>4</v>
      </c>
      <c r="F448" t="s">
        <v>15</v>
      </c>
      <c r="G448">
        <v>30</v>
      </c>
      <c r="H448">
        <v>19.149000000000001</v>
      </c>
      <c r="I448">
        <v>30.000000000000004</v>
      </c>
      <c r="J448" t="s">
        <v>20</v>
      </c>
    </row>
    <row r="449" spans="1:10" x14ac:dyDescent="0.2">
      <c r="A449">
        <v>10448</v>
      </c>
      <c r="B449" t="s">
        <v>10</v>
      </c>
      <c r="C449" t="s">
        <v>6</v>
      </c>
      <c r="D449">
        <v>1.91</v>
      </c>
      <c r="E449">
        <v>5</v>
      </c>
      <c r="F449" t="s">
        <v>15</v>
      </c>
      <c r="G449">
        <v>28</v>
      </c>
      <c r="H449">
        <v>2.4447999999999999</v>
      </c>
      <c r="I449">
        <v>28.000000000000004</v>
      </c>
      <c r="J449" t="s">
        <v>20</v>
      </c>
    </row>
    <row r="450" spans="1:10" x14ac:dyDescent="0.2">
      <c r="A450">
        <v>10449</v>
      </c>
      <c r="B450" t="s">
        <v>5</v>
      </c>
      <c r="C450" t="s">
        <v>9</v>
      </c>
      <c r="D450">
        <v>4.8899999999999997</v>
      </c>
      <c r="E450">
        <v>7</v>
      </c>
      <c r="F450" t="s">
        <v>15</v>
      </c>
      <c r="G450">
        <v>30</v>
      </c>
      <c r="H450">
        <v>6.3570000000000002</v>
      </c>
      <c r="I450">
        <v>30.000000000000004</v>
      </c>
      <c r="J450" t="s">
        <v>20</v>
      </c>
    </row>
    <row r="451" spans="1:10" x14ac:dyDescent="0.2">
      <c r="A451">
        <v>10450</v>
      </c>
      <c r="B451" t="s">
        <v>10</v>
      </c>
      <c r="C451" t="s">
        <v>11</v>
      </c>
      <c r="D451">
        <v>9.75</v>
      </c>
      <c r="E451">
        <v>6</v>
      </c>
      <c r="F451" t="s">
        <v>15</v>
      </c>
      <c r="G451">
        <v>25</v>
      </c>
      <c r="H451">
        <v>12.1875</v>
      </c>
      <c r="I451">
        <v>25</v>
      </c>
      <c r="J451" t="s">
        <v>20</v>
      </c>
    </row>
    <row r="452" spans="1:10" x14ac:dyDescent="0.2">
      <c r="A452">
        <v>10451</v>
      </c>
      <c r="B452" t="s">
        <v>10</v>
      </c>
      <c r="C452" t="s">
        <v>9</v>
      </c>
      <c r="D452">
        <v>5.58</v>
      </c>
      <c r="E452">
        <v>10</v>
      </c>
      <c r="F452" t="s">
        <v>16</v>
      </c>
      <c r="G452">
        <v>60</v>
      </c>
      <c r="H452">
        <v>8.9280000000000008</v>
      </c>
      <c r="I452">
        <v>60.000000000000007</v>
      </c>
      <c r="J452" t="s">
        <v>20</v>
      </c>
    </row>
    <row r="453" spans="1:10" x14ac:dyDescent="0.2">
      <c r="A453">
        <v>10452</v>
      </c>
      <c r="B453" t="s">
        <v>10</v>
      </c>
      <c r="C453" t="s">
        <v>6</v>
      </c>
      <c r="D453">
        <v>13.96</v>
      </c>
      <c r="E453">
        <v>8</v>
      </c>
      <c r="F453" t="s">
        <v>16</v>
      </c>
      <c r="G453">
        <v>55</v>
      </c>
      <c r="H453">
        <v>21.638000000000002</v>
      </c>
      <c r="I453">
        <v>55.000000000000007</v>
      </c>
      <c r="J453" t="s">
        <v>20</v>
      </c>
    </row>
    <row r="454" spans="1:10" x14ac:dyDescent="0.2">
      <c r="A454">
        <v>10453</v>
      </c>
      <c r="B454" t="s">
        <v>10</v>
      </c>
      <c r="C454" t="s">
        <v>6</v>
      </c>
      <c r="D454">
        <v>1.45</v>
      </c>
      <c r="E454">
        <v>8</v>
      </c>
      <c r="F454" t="s">
        <v>16</v>
      </c>
      <c r="G454">
        <v>55</v>
      </c>
      <c r="H454">
        <v>2.2475000000000001</v>
      </c>
      <c r="I454">
        <v>55.000000000000007</v>
      </c>
      <c r="J454" t="s">
        <v>20</v>
      </c>
    </row>
    <row r="455" spans="1:10" x14ac:dyDescent="0.2">
      <c r="A455">
        <v>10454</v>
      </c>
      <c r="B455" t="s">
        <v>10</v>
      </c>
      <c r="C455" t="s">
        <v>9</v>
      </c>
      <c r="D455">
        <v>8.4700000000000006</v>
      </c>
      <c r="E455">
        <v>8</v>
      </c>
      <c r="F455" t="s">
        <v>16</v>
      </c>
      <c r="G455">
        <v>60</v>
      </c>
      <c r="H455">
        <v>13.552000000000001</v>
      </c>
      <c r="I455">
        <v>60.000000000000007</v>
      </c>
      <c r="J455" t="s">
        <v>20</v>
      </c>
    </row>
    <row r="456" spans="1:10" x14ac:dyDescent="0.2">
      <c r="A456">
        <v>10455</v>
      </c>
      <c r="B456" t="s">
        <v>8</v>
      </c>
      <c r="C456" t="s">
        <v>11</v>
      </c>
      <c r="D456">
        <v>9.07</v>
      </c>
      <c r="E456">
        <v>3</v>
      </c>
      <c r="F456" t="s">
        <v>14</v>
      </c>
      <c r="G456">
        <v>10</v>
      </c>
      <c r="H456">
        <v>9.9770000000000003</v>
      </c>
      <c r="I456">
        <v>10.000000000000009</v>
      </c>
      <c r="J456" t="s">
        <v>20</v>
      </c>
    </row>
    <row r="457" spans="1:10" x14ac:dyDescent="0.2">
      <c r="A457">
        <v>10456</v>
      </c>
      <c r="B457" t="s">
        <v>5</v>
      </c>
      <c r="C457" t="s">
        <v>11</v>
      </c>
      <c r="D457">
        <v>9.9600000000000009</v>
      </c>
      <c r="E457">
        <v>10</v>
      </c>
      <c r="F457" t="s">
        <v>16</v>
      </c>
      <c r="G457">
        <v>50</v>
      </c>
      <c r="H457">
        <v>14.940000000000001</v>
      </c>
      <c r="I457">
        <v>50</v>
      </c>
      <c r="J457" t="s">
        <v>20</v>
      </c>
    </row>
    <row r="458" spans="1:10" x14ac:dyDescent="0.2">
      <c r="A458">
        <v>10457</v>
      </c>
      <c r="B458" t="s">
        <v>10</v>
      </c>
      <c r="C458" t="s">
        <v>6</v>
      </c>
      <c r="D458">
        <v>4.21</v>
      </c>
      <c r="E458">
        <v>6</v>
      </c>
      <c r="F458" t="s">
        <v>15</v>
      </c>
      <c r="G458">
        <v>28</v>
      </c>
      <c r="H458">
        <v>5.3887999999999998</v>
      </c>
      <c r="I458">
        <v>28.000000000000004</v>
      </c>
      <c r="J458" t="s">
        <v>20</v>
      </c>
    </row>
    <row r="459" spans="1:10" x14ac:dyDescent="0.2">
      <c r="A459">
        <v>10458</v>
      </c>
      <c r="B459" t="s">
        <v>7</v>
      </c>
      <c r="C459" t="s">
        <v>9</v>
      </c>
      <c r="D459">
        <v>5.79</v>
      </c>
      <c r="E459">
        <v>7</v>
      </c>
      <c r="F459" t="s">
        <v>15</v>
      </c>
      <c r="G459">
        <v>30</v>
      </c>
      <c r="H459">
        <v>7.5270000000000001</v>
      </c>
      <c r="I459">
        <v>30.000000000000004</v>
      </c>
      <c r="J459" t="s">
        <v>20</v>
      </c>
    </row>
    <row r="460" spans="1:10" x14ac:dyDescent="0.2">
      <c r="A460">
        <v>10459</v>
      </c>
      <c r="B460" t="s">
        <v>5</v>
      </c>
      <c r="C460" t="s">
        <v>11</v>
      </c>
      <c r="D460">
        <v>12.73</v>
      </c>
      <c r="E460">
        <v>9</v>
      </c>
      <c r="F460" t="s">
        <v>16</v>
      </c>
      <c r="G460">
        <v>50</v>
      </c>
      <c r="H460">
        <v>19.094999999999999</v>
      </c>
      <c r="I460">
        <v>49.999999999999979</v>
      </c>
      <c r="J460" t="s">
        <v>20</v>
      </c>
    </row>
    <row r="461" spans="1:10" x14ac:dyDescent="0.2">
      <c r="A461">
        <v>10460</v>
      </c>
      <c r="B461" t="s">
        <v>5</v>
      </c>
      <c r="C461" t="s">
        <v>11</v>
      </c>
      <c r="D461">
        <v>3.33</v>
      </c>
      <c r="E461">
        <v>10</v>
      </c>
      <c r="F461" t="s">
        <v>16</v>
      </c>
      <c r="G461">
        <v>50</v>
      </c>
      <c r="H461">
        <v>4.9950000000000001</v>
      </c>
      <c r="I461">
        <v>50</v>
      </c>
      <c r="J461" t="s">
        <v>20</v>
      </c>
    </row>
    <row r="462" spans="1:10" x14ac:dyDescent="0.2">
      <c r="A462">
        <v>10461</v>
      </c>
      <c r="B462" t="s">
        <v>10</v>
      </c>
      <c r="C462" t="s">
        <v>6</v>
      </c>
      <c r="D462">
        <v>12.49</v>
      </c>
      <c r="E462">
        <v>10</v>
      </c>
      <c r="F462" t="s">
        <v>16</v>
      </c>
      <c r="G462">
        <v>55</v>
      </c>
      <c r="H462">
        <v>19.359500000000001</v>
      </c>
      <c r="I462">
        <v>55.000000000000007</v>
      </c>
      <c r="J462" t="s">
        <v>20</v>
      </c>
    </row>
    <row r="463" spans="1:10" x14ac:dyDescent="0.2">
      <c r="A463">
        <v>10462</v>
      </c>
      <c r="B463" t="s">
        <v>8</v>
      </c>
      <c r="C463" t="s">
        <v>11</v>
      </c>
      <c r="D463">
        <v>8.66</v>
      </c>
      <c r="E463">
        <v>4</v>
      </c>
      <c r="F463" t="s">
        <v>15</v>
      </c>
      <c r="G463">
        <v>25</v>
      </c>
      <c r="H463">
        <v>10.824999999999999</v>
      </c>
      <c r="I463">
        <v>25</v>
      </c>
      <c r="J463" t="s">
        <v>20</v>
      </c>
    </row>
    <row r="464" spans="1:10" x14ac:dyDescent="0.2">
      <c r="A464">
        <v>10463</v>
      </c>
      <c r="B464" t="s">
        <v>10</v>
      </c>
      <c r="C464" t="s">
        <v>9</v>
      </c>
      <c r="D464">
        <v>11.55</v>
      </c>
      <c r="E464">
        <v>5</v>
      </c>
      <c r="F464" t="s">
        <v>15</v>
      </c>
      <c r="G464">
        <v>30</v>
      </c>
      <c r="H464">
        <v>15.015000000000001</v>
      </c>
      <c r="I464">
        <v>30.000000000000004</v>
      </c>
      <c r="J464" t="s">
        <v>20</v>
      </c>
    </row>
    <row r="465" spans="1:10" x14ac:dyDescent="0.2">
      <c r="A465">
        <v>10464</v>
      </c>
      <c r="B465" t="s">
        <v>8</v>
      </c>
      <c r="C465" t="s">
        <v>6</v>
      </c>
      <c r="D465">
        <v>10.85</v>
      </c>
      <c r="E465">
        <v>8</v>
      </c>
      <c r="F465" t="s">
        <v>16</v>
      </c>
      <c r="G465">
        <v>55</v>
      </c>
      <c r="H465">
        <v>16.817499999999999</v>
      </c>
      <c r="I465">
        <v>55.000000000000007</v>
      </c>
      <c r="J465" t="s">
        <v>20</v>
      </c>
    </row>
    <row r="466" spans="1:10" x14ac:dyDescent="0.2">
      <c r="A466">
        <v>10465</v>
      </c>
      <c r="B466" t="s">
        <v>7</v>
      </c>
      <c r="C466" t="s">
        <v>6</v>
      </c>
      <c r="D466">
        <v>3.51</v>
      </c>
      <c r="E466">
        <v>1</v>
      </c>
      <c r="F466" t="s">
        <v>14</v>
      </c>
      <c r="G466">
        <v>12</v>
      </c>
      <c r="H466">
        <v>3.9312</v>
      </c>
      <c r="I466">
        <v>12.000000000000011</v>
      </c>
      <c r="J466" t="s">
        <v>20</v>
      </c>
    </row>
    <row r="467" spans="1:10" x14ac:dyDescent="0.2">
      <c r="A467">
        <v>10466</v>
      </c>
      <c r="B467" t="s">
        <v>5</v>
      </c>
      <c r="C467" t="s">
        <v>9</v>
      </c>
      <c r="D467">
        <v>8.75</v>
      </c>
      <c r="E467">
        <v>6</v>
      </c>
      <c r="F467" t="s">
        <v>15</v>
      </c>
      <c r="G467">
        <v>30</v>
      </c>
      <c r="H467">
        <v>11.375</v>
      </c>
      <c r="I467">
        <v>30.000000000000004</v>
      </c>
      <c r="J467" t="s">
        <v>20</v>
      </c>
    </row>
    <row r="468" spans="1:10" x14ac:dyDescent="0.2">
      <c r="A468">
        <v>10467</v>
      </c>
      <c r="B468" t="s">
        <v>7</v>
      </c>
      <c r="C468" t="s">
        <v>6</v>
      </c>
      <c r="D468">
        <v>13.08</v>
      </c>
      <c r="E468">
        <v>4</v>
      </c>
      <c r="F468" t="s">
        <v>15</v>
      </c>
      <c r="G468">
        <v>28</v>
      </c>
      <c r="H468">
        <v>16.7424</v>
      </c>
      <c r="I468">
        <v>28.000000000000004</v>
      </c>
      <c r="J468" t="s">
        <v>20</v>
      </c>
    </row>
    <row r="469" spans="1:10" x14ac:dyDescent="0.2">
      <c r="A469">
        <v>10468</v>
      </c>
      <c r="B469" t="s">
        <v>8</v>
      </c>
      <c r="C469" t="s">
        <v>11</v>
      </c>
      <c r="D469">
        <v>6.77</v>
      </c>
      <c r="E469">
        <v>5</v>
      </c>
      <c r="F469" t="s">
        <v>15</v>
      </c>
      <c r="G469">
        <v>25</v>
      </c>
      <c r="H469">
        <v>8.4624999999999986</v>
      </c>
      <c r="I469">
        <v>24.999999999999979</v>
      </c>
      <c r="J469" t="s">
        <v>20</v>
      </c>
    </row>
    <row r="470" spans="1:10" x14ac:dyDescent="0.2">
      <c r="A470">
        <v>10469</v>
      </c>
      <c r="B470" t="s">
        <v>8</v>
      </c>
      <c r="C470" t="s">
        <v>11</v>
      </c>
      <c r="D470">
        <v>14.52</v>
      </c>
      <c r="E470">
        <v>5</v>
      </c>
      <c r="F470" t="s">
        <v>15</v>
      </c>
      <c r="G470">
        <v>25</v>
      </c>
      <c r="H470">
        <v>18.149999999999999</v>
      </c>
      <c r="I470">
        <v>25</v>
      </c>
      <c r="J470" t="s">
        <v>20</v>
      </c>
    </row>
    <row r="471" spans="1:10" x14ac:dyDescent="0.2">
      <c r="A471">
        <v>10470</v>
      </c>
      <c r="B471" t="s">
        <v>7</v>
      </c>
      <c r="C471" t="s">
        <v>9</v>
      </c>
      <c r="D471">
        <v>7.06</v>
      </c>
      <c r="E471">
        <v>2</v>
      </c>
      <c r="F471" t="s">
        <v>14</v>
      </c>
      <c r="G471">
        <v>15</v>
      </c>
      <c r="H471">
        <v>8.1189999999999998</v>
      </c>
      <c r="I471">
        <v>15.000000000000014</v>
      </c>
      <c r="J471" t="s">
        <v>20</v>
      </c>
    </row>
    <row r="472" spans="1:10" x14ac:dyDescent="0.2">
      <c r="A472">
        <v>10471</v>
      </c>
      <c r="B472" t="s">
        <v>8</v>
      </c>
      <c r="C472" t="s">
        <v>11</v>
      </c>
      <c r="D472">
        <v>2.57</v>
      </c>
      <c r="E472">
        <v>8</v>
      </c>
      <c r="F472" t="s">
        <v>16</v>
      </c>
      <c r="G472">
        <v>50</v>
      </c>
      <c r="H472">
        <v>3.8549999999999995</v>
      </c>
      <c r="I472">
        <v>50</v>
      </c>
      <c r="J472" t="s">
        <v>20</v>
      </c>
    </row>
    <row r="473" spans="1:10" x14ac:dyDescent="0.2">
      <c r="A473">
        <v>10472</v>
      </c>
      <c r="B473" t="s">
        <v>7</v>
      </c>
      <c r="C473" t="s">
        <v>9</v>
      </c>
      <c r="D473">
        <v>6.15</v>
      </c>
      <c r="E473">
        <v>2</v>
      </c>
      <c r="F473" t="s">
        <v>14</v>
      </c>
      <c r="G473">
        <v>15</v>
      </c>
      <c r="H473">
        <v>7.0724999999999998</v>
      </c>
      <c r="I473">
        <v>14.999999999999991</v>
      </c>
      <c r="J473" t="s">
        <v>20</v>
      </c>
    </row>
    <row r="474" spans="1:10" x14ac:dyDescent="0.2">
      <c r="A474">
        <v>10473</v>
      </c>
      <c r="B474" t="s">
        <v>5</v>
      </c>
      <c r="C474" t="s">
        <v>9</v>
      </c>
      <c r="D474">
        <v>14.3</v>
      </c>
      <c r="E474">
        <v>4</v>
      </c>
      <c r="F474" t="s">
        <v>15</v>
      </c>
      <c r="G474">
        <v>30</v>
      </c>
      <c r="H474">
        <v>18.59</v>
      </c>
      <c r="I474">
        <v>29.999999999999982</v>
      </c>
      <c r="J474" t="s">
        <v>20</v>
      </c>
    </row>
    <row r="475" spans="1:10" x14ac:dyDescent="0.2">
      <c r="A475">
        <v>10474</v>
      </c>
      <c r="B475" t="s">
        <v>7</v>
      </c>
      <c r="C475" t="s">
        <v>11</v>
      </c>
      <c r="D475">
        <v>5.14</v>
      </c>
      <c r="E475">
        <v>5</v>
      </c>
      <c r="F475" t="s">
        <v>15</v>
      </c>
      <c r="G475">
        <v>25</v>
      </c>
      <c r="H475">
        <v>6.4249999999999998</v>
      </c>
      <c r="I475">
        <v>25</v>
      </c>
      <c r="J475" t="s">
        <v>20</v>
      </c>
    </row>
    <row r="476" spans="1:10" x14ac:dyDescent="0.2">
      <c r="A476">
        <v>10475</v>
      </c>
      <c r="B476" t="s">
        <v>5</v>
      </c>
      <c r="C476" t="s">
        <v>9</v>
      </c>
      <c r="D476">
        <v>13.09</v>
      </c>
      <c r="E476">
        <v>1</v>
      </c>
      <c r="F476" t="s">
        <v>14</v>
      </c>
      <c r="G476">
        <v>15</v>
      </c>
      <c r="H476">
        <v>15.053499999999998</v>
      </c>
      <c r="I476">
        <v>14.999999999999991</v>
      </c>
      <c r="J476" t="s">
        <v>20</v>
      </c>
    </row>
    <row r="477" spans="1:10" x14ac:dyDescent="0.2">
      <c r="A477">
        <v>10476</v>
      </c>
      <c r="B477" t="s">
        <v>7</v>
      </c>
      <c r="C477" t="s">
        <v>11</v>
      </c>
      <c r="D477">
        <v>13.28</v>
      </c>
      <c r="E477">
        <v>6</v>
      </c>
      <c r="F477" t="s">
        <v>15</v>
      </c>
      <c r="G477">
        <v>25</v>
      </c>
      <c r="H477">
        <v>16.599999999999998</v>
      </c>
      <c r="I477">
        <v>25</v>
      </c>
      <c r="J477" t="s">
        <v>20</v>
      </c>
    </row>
    <row r="478" spans="1:10" x14ac:dyDescent="0.2">
      <c r="A478">
        <v>10477</v>
      </c>
      <c r="B478" t="s">
        <v>8</v>
      </c>
      <c r="C478" t="s">
        <v>6</v>
      </c>
      <c r="D478">
        <v>5.58</v>
      </c>
      <c r="E478">
        <v>2</v>
      </c>
      <c r="F478" t="s">
        <v>14</v>
      </c>
      <c r="G478">
        <v>12</v>
      </c>
      <c r="H478">
        <v>6.2496000000000009</v>
      </c>
      <c r="I478">
        <v>12.000000000000011</v>
      </c>
      <c r="J478" t="s">
        <v>20</v>
      </c>
    </row>
    <row r="479" spans="1:10" x14ac:dyDescent="0.2">
      <c r="A479">
        <v>10478</v>
      </c>
      <c r="B479" t="s">
        <v>7</v>
      </c>
      <c r="C479" t="s">
        <v>6</v>
      </c>
      <c r="D479">
        <v>1.71</v>
      </c>
      <c r="E479">
        <v>5</v>
      </c>
      <c r="F479" t="s">
        <v>15</v>
      </c>
      <c r="G479">
        <v>28</v>
      </c>
      <c r="H479">
        <v>2.1888000000000001</v>
      </c>
      <c r="I479">
        <v>28.000000000000004</v>
      </c>
      <c r="J479" t="s">
        <v>20</v>
      </c>
    </row>
    <row r="480" spans="1:10" x14ac:dyDescent="0.2">
      <c r="A480">
        <v>10479</v>
      </c>
      <c r="B480" t="s">
        <v>8</v>
      </c>
      <c r="C480" t="s">
        <v>9</v>
      </c>
      <c r="D480">
        <v>11.01</v>
      </c>
      <c r="E480">
        <v>6</v>
      </c>
      <c r="F480" t="s">
        <v>15</v>
      </c>
      <c r="G480">
        <v>30</v>
      </c>
      <c r="H480">
        <v>14.313000000000001</v>
      </c>
      <c r="I480">
        <v>30.000000000000004</v>
      </c>
      <c r="J480" t="s">
        <v>20</v>
      </c>
    </row>
    <row r="481" spans="1:10" x14ac:dyDescent="0.2">
      <c r="A481">
        <v>10480</v>
      </c>
      <c r="B481" t="s">
        <v>7</v>
      </c>
      <c r="C481" t="s">
        <v>11</v>
      </c>
      <c r="D481">
        <v>5.0199999999999996</v>
      </c>
      <c r="E481">
        <v>8</v>
      </c>
      <c r="F481" t="s">
        <v>16</v>
      </c>
      <c r="G481">
        <v>50</v>
      </c>
      <c r="H481">
        <v>7.5299999999999994</v>
      </c>
      <c r="I481">
        <v>50</v>
      </c>
      <c r="J481" t="s">
        <v>20</v>
      </c>
    </row>
    <row r="482" spans="1:10" x14ac:dyDescent="0.2">
      <c r="A482">
        <v>10481</v>
      </c>
      <c r="B482" t="s">
        <v>7</v>
      </c>
      <c r="C482" t="s">
        <v>11</v>
      </c>
      <c r="D482">
        <v>11.85</v>
      </c>
      <c r="E482">
        <v>9</v>
      </c>
      <c r="F482" t="s">
        <v>16</v>
      </c>
      <c r="G482">
        <v>50</v>
      </c>
      <c r="H482">
        <v>17.774999999999999</v>
      </c>
      <c r="I482">
        <v>50</v>
      </c>
      <c r="J482" t="s">
        <v>20</v>
      </c>
    </row>
    <row r="483" spans="1:10" x14ac:dyDescent="0.2">
      <c r="A483">
        <v>10482</v>
      </c>
      <c r="B483" t="s">
        <v>10</v>
      </c>
      <c r="C483" t="s">
        <v>6</v>
      </c>
      <c r="D483">
        <v>6.92</v>
      </c>
      <c r="E483">
        <v>6</v>
      </c>
      <c r="F483" t="s">
        <v>15</v>
      </c>
      <c r="G483">
        <v>28</v>
      </c>
      <c r="H483">
        <v>8.8575999999999997</v>
      </c>
      <c r="I483">
        <v>28.000000000000004</v>
      </c>
      <c r="J483" t="s">
        <v>20</v>
      </c>
    </row>
    <row r="484" spans="1:10" x14ac:dyDescent="0.2">
      <c r="A484">
        <v>10483</v>
      </c>
      <c r="B484" t="s">
        <v>8</v>
      </c>
      <c r="C484" t="s">
        <v>6</v>
      </c>
      <c r="D484">
        <v>7.54</v>
      </c>
      <c r="E484">
        <v>5</v>
      </c>
      <c r="F484" t="s">
        <v>15</v>
      </c>
      <c r="G484">
        <v>28</v>
      </c>
      <c r="H484">
        <v>9.6512000000000011</v>
      </c>
      <c r="I484">
        <v>28.000000000000025</v>
      </c>
      <c r="J484" t="s">
        <v>20</v>
      </c>
    </row>
    <row r="485" spans="1:10" x14ac:dyDescent="0.2">
      <c r="A485">
        <v>10484</v>
      </c>
      <c r="B485" t="s">
        <v>10</v>
      </c>
      <c r="C485" t="s">
        <v>11</v>
      </c>
      <c r="D485">
        <v>11.78</v>
      </c>
      <c r="E485">
        <v>4</v>
      </c>
      <c r="F485" t="s">
        <v>15</v>
      </c>
      <c r="G485">
        <v>25</v>
      </c>
      <c r="H485">
        <v>14.725</v>
      </c>
      <c r="I485">
        <v>25</v>
      </c>
      <c r="J485" t="s">
        <v>20</v>
      </c>
    </row>
    <row r="486" spans="1:10" x14ac:dyDescent="0.2">
      <c r="A486">
        <v>10485</v>
      </c>
      <c r="B486" t="s">
        <v>8</v>
      </c>
      <c r="C486" t="s">
        <v>9</v>
      </c>
      <c r="D486">
        <v>6.04</v>
      </c>
      <c r="E486">
        <v>2</v>
      </c>
      <c r="F486" t="s">
        <v>14</v>
      </c>
      <c r="G486">
        <v>15</v>
      </c>
      <c r="H486">
        <v>6.9459999999999997</v>
      </c>
      <c r="I486">
        <v>14.999999999999991</v>
      </c>
      <c r="J486" t="s">
        <v>20</v>
      </c>
    </row>
    <row r="487" spans="1:10" x14ac:dyDescent="0.2">
      <c r="A487">
        <v>10486</v>
      </c>
      <c r="B487" t="s">
        <v>10</v>
      </c>
      <c r="C487" t="s">
        <v>6</v>
      </c>
      <c r="D487">
        <v>6.93</v>
      </c>
      <c r="E487">
        <v>2</v>
      </c>
      <c r="F487" t="s">
        <v>14</v>
      </c>
      <c r="G487">
        <v>12</v>
      </c>
      <c r="H487">
        <v>7.7616000000000005</v>
      </c>
      <c r="I487">
        <v>12.000000000000011</v>
      </c>
      <c r="J487" t="s">
        <v>20</v>
      </c>
    </row>
    <row r="488" spans="1:10" x14ac:dyDescent="0.2">
      <c r="A488">
        <v>10487</v>
      </c>
      <c r="B488" t="s">
        <v>5</v>
      </c>
      <c r="C488" t="s">
        <v>9</v>
      </c>
      <c r="D488">
        <v>5.95</v>
      </c>
      <c r="E488">
        <v>7</v>
      </c>
      <c r="F488" t="s">
        <v>15</v>
      </c>
      <c r="G488">
        <v>30</v>
      </c>
      <c r="H488">
        <v>7.7350000000000003</v>
      </c>
      <c r="I488">
        <v>30.000000000000004</v>
      </c>
      <c r="J488" t="s">
        <v>20</v>
      </c>
    </row>
    <row r="489" spans="1:10" x14ac:dyDescent="0.2">
      <c r="A489">
        <v>10488</v>
      </c>
      <c r="B489" t="s">
        <v>7</v>
      </c>
      <c r="C489" t="s">
        <v>9</v>
      </c>
      <c r="D489">
        <v>5.83</v>
      </c>
      <c r="E489">
        <v>5</v>
      </c>
      <c r="F489" t="s">
        <v>15</v>
      </c>
      <c r="G489">
        <v>30</v>
      </c>
      <c r="H489">
        <v>7.5790000000000006</v>
      </c>
      <c r="I489">
        <v>30.000000000000004</v>
      </c>
      <c r="J489" t="s">
        <v>20</v>
      </c>
    </row>
    <row r="490" spans="1:10" x14ac:dyDescent="0.2">
      <c r="A490">
        <v>10489</v>
      </c>
      <c r="B490" t="s">
        <v>8</v>
      </c>
      <c r="C490" t="s">
        <v>6</v>
      </c>
      <c r="D490">
        <v>8.1300000000000008</v>
      </c>
      <c r="E490">
        <v>7</v>
      </c>
      <c r="F490" t="s">
        <v>15</v>
      </c>
      <c r="G490">
        <v>28</v>
      </c>
      <c r="H490">
        <v>10.406400000000001</v>
      </c>
      <c r="I490">
        <v>28.000000000000004</v>
      </c>
      <c r="J490" t="s">
        <v>20</v>
      </c>
    </row>
    <row r="491" spans="1:10" x14ac:dyDescent="0.2">
      <c r="A491">
        <v>10490</v>
      </c>
      <c r="B491" t="s">
        <v>8</v>
      </c>
      <c r="C491" t="s">
        <v>9</v>
      </c>
      <c r="D491">
        <v>12.23</v>
      </c>
      <c r="E491">
        <v>1</v>
      </c>
      <c r="F491" t="s">
        <v>14</v>
      </c>
      <c r="G491">
        <v>15</v>
      </c>
      <c r="H491">
        <v>14.064499999999999</v>
      </c>
      <c r="I491">
        <v>14.999999999999991</v>
      </c>
      <c r="J491" t="s">
        <v>20</v>
      </c>
    </row>
    <row r="492" spans="1:10" x14ac:dyDescent="0.2">
      <c r="A492">
        <v>10491</v>
      </c>
      <c r="B492" t="s">
        <v>7</v>
      </c>
      <c r="C492" t="s">
        <v>9</v>
      </c>
      <c r="D492">
        <v>5.75</v>
      </c>
      <c r="E492">
        <v>1</v>
      </c>
      <c r="F492" t="s">
        <v>14</v>
      </c>
      <c r="G492">
        <v>15</v>
      </c>
      <c r="H492">
        <v>6.6124999999999998</v>
      </c>
      <c r="I492">
        <v>14.999999999999991</v>
      </c>
      <c r="J492" t="s">
        <v>20</v>
      </c>
    </row>
    <row r="493" spans="1:10" x14ac:dyDescent="0.2">
      <c r="A493">
        <v>10492</v>
      </c>
      <c r="B493" t="s">
        <v>8</v>
      </c>
      <c r="C493" t="s">
        <v>11</v>
      </c>
      <c r="D493">
        <v>8.1</v>
      </c>
      <c r="E493">
        <v>5</v>
      </c>
      <c r="F493" t="s">
        <v>15</v>
      </c>
      <c r="G493">
        <v>25</v>
      </c>
      <c r="H493">
        <v>10.125</v>
      </c>
      <c r="I493">
        <v>25</v>
      </c>
      <c r="J493" t="s">
        <v>20</v>
      </c>
    </row>
    <row r="494" spans="1:10" x14ac:dyDescent="0.2">
      <c r="A494">
        <v>10493</v>
      </c>
      <c r="B494" t="s">
        <v>8</v>
      </c>
      <c r="C494" t="s">
        <v>9</v>
      </c>
      <c r="D494">
        <v>10.23</v>
      </c>
      <c r="E494">
        <v>2</v>
      </c>
      <c r="F494" t="s">
        <v>14</v>
      </c>
      <c r="G494">
        <v>15</v>
      </c>
      <c r="H494">
        <v>11.7645</v>
      </c>
      <c r="I494">
        <v>14.999999999999991</v>
      </c>
      <c r="J494" t="s">
        <v>20</v>
      </c>
    </row>
    <row r="495" spans="1:10" x14ac:dyDescent="0.2">
      <c r="A495">
        <v>10494</v>
      </c>
      <c r="B495" t="s">
        <v>10</v>
      </c>
      <c r="C495" t="s">
        <v>11</v>
      </c>
      <c r="D495">
        <v>4.41</v>
      </c>
      <c r="E495">
        <v>8</v>
      </c>
      <c r="F495" t="s">
        <v>16</v>
      </c>
      <c r="G495">
        <v>50</v>
      </c>
      <c r="H495">
        <v>6.6150000000000002</v>
      </c>
      <c r="I495">
        <v>50</v>
      </c>
      <c r="J495" t="s">
        <v>20</v>
      </c>
    </row>
    <row r="496" spans="1:10" x14ac:dyDescent="0.2">
      <c r="A496">
        <v>10495</v>
      </c>
      <c r="B496" t="s">
        <v>8</v>
      </c>
      <c r="C496" t="s">
        <v>6</v>
      </c>
      <c r="D496">
        <v>4.5199999999999996</v>
      </c>
      <c r="E496">
        <v>3</v>
      </c>
      <c r="F496" t="s">
        <v>14</v>
      </c>
      <c r="G496">
        <v>12</v>
      </c>
      <c r="H496">
        <v>5.0624000000000002</v>
      </c>
      <c r="I496">
        <v>12.000000000000011</v>
      </c>
      <c r="J496" t="s">
        <v>20</v>
      </c>
    </row>
    <row r="497" spans="1:10" x14ac:dyDescent="0.2">
      <c r="A497">
        <v>10496</v>
      </c>
      <c r="B497" t="s">
        <v>5</v>
      </c>
      <c r="C497" t="s">
        <v>6</v>
      </c>
      <c r="D497">
        <v>14.03</v>
      </c>
      <c r="E497">
        <v>1</v>
      </c>
      <c r="F497" t="s">
        <v>14</v>
      </c>
      <c r="G497">
        <v>12</v>
      </c>
      <c r="H497">
        <v>15.713600000000001</v>
      </c>
      <c r="I497">
        <v>12.000000000000011</v>
      </c>
      <c r="J497" t="s">
        <v>20</v>
      </c>
    </row>
    <row r="498" spans="1:10" x14ac:dyDescent="0.2">
      <c r="A498">
        <v>10497</v>
      </c>
      <c r="B498" t="s">
        <v>5</v>
      </c>
      <c r="C498" t="s">
        <v>11</v>
      </c>
      <c r="D498">
        <v>10.99</v>
      </c>
      <c r="E498">
        <v>2</v>
      </c>
      <c r="F498" t="s">
        <v>14</v>
      </c>
      <c r="G498">
        <v>10</v>
      </c>
      <c r="H498">
        <v>12.089</v>
      </c>
      <c r="I498">
        <v>10.000000000000009</v>
      </c>
      <c r="J498" t="s">
        <v>20</v>
      </c>
    </row>
    <row r="499" spans="1:10" x14ac:dyDescent="0.2">
      <c r="A499">
        <v>10498</v>
      </c>
      <c r="B499" t="s">
        <v>7</v>
      </c>
      <c r="C499" t="s">
        <v>6</v>
      </c>
      <c r="D499">
        <v>8.8699999999999992</v>
      </c>
      <c r="E499">
        <v>10</v>
      </c>
      <c r="F499" t="s">
        <v>16</v>
      </c>
      <c r="G499">
        <v>55</v>
      </c>
      <c r="H499">
        <v>13.7485</v>
      </c>
      <c r="I499">
        <v>55.000000000000007</v>
      </c>
      <c r="J499" t="s">
        <v>20</v>
      </c>
    </row>
    <row r="500" spans="1:10" x14ac:dyDescent="0.2">
      <c r="A500">
        <v>10499</v>
      </c>
      <c r="B500" t="s">
        <v>8</v>
      </c>
      <c r="C500" t="s">
        <v>9</v>
      </c>
      <c r="D500">
        <v>9.89</v>
      </c>
      <c r="E500">
        <v>10</v>
      </c>
      <c r="F500" t="s">
        <v>16</v>
      </c>
      <c r="G500">
        <v>60</v>
      </c>
      <c r="H500">
        <v>15.824000000000002</v>
      </c>
      <c r="I500">
        <v>60.000000000000007</v>
      </c>
      <c r="J500" t="s">
        <v>20</v>
      </c>
    </row>
    <row r="501" spans="1:10" x14ac:dyDescent="0.2">
      <c r="A501">
        <v>10500</v>
      </c>
      <c r="B501" t="s">
        <v>7</v>
      </c>
      <c r="C501" t="s">
        <v>9</v>
      </c>
      <c r="D501">
        <v>0.92</v>
      </c>
      <c r="E501">
        <v>7</v>
      </c>
      <c r="F501" t="s">
        <v>15</v>
      </c>
      <c r="G501">
        <v>30</v>
      </c>
      <c r="H501">
        <v>1.1960000000000002</v>
      </c>
      <c r="I501">
        <v>30.000000000000004</v>
      </c>
      <c r="J501" t="s">
        <v>20</v>
      </c>
    </row>
    <row r="502" spans="1:10" x14ac:dyDescent="0.2">
      <c r="A502">
        <v>10501</v>
      </c>
      <c r="B502" t="s">
        <v>5</v>
      </c>
      <c r="C502" t="s">
        <v>9</v>
      </c>
      <c r="D502">
        <v>9.4600000000000009</v>
      </c>
      <c r="E502">
        <v>6</v>
      </c>
      <c r="F502" t="s">
        <v>15</v>
      </c>
      <c r="G502">
        <v>30</v>
      </c>
      <c r="H502">
        <v>12.298000000000002</v>
      </c>
      <c r="I502">
        <v>30.000000000000004</v>
      </c>
      <c r="J502" t="s">
        <v>20</v>
      </c>
    </row>
    <row r="503" spans="1:10" x14ac:dyDescent="0.2">
      <c r="A503">
        <v>10502</v>
      </c>
      <c r="B503" t="s">
        <v>8</v>
      </c>
      <c r="C503" t="s">
        <v>6</v>
      </c>
      <c r="D503">
        <v>7.89</v>
      </c>
      <c r="E503">
        <v>8</v>
      </c>
      <c r="F503" t="s">
        <v>16</v>
      </c>
      <c r="G503">
        <v>55</v>
      </c>
      <c r="H503">
        <v>12.2295</v>
      </c>
      <c r="I503">
        <v>55.000000000000007</v>
      </c>
      <c r="J503" t="s">
        <v>20</v>
      </c>
    </row>
    <row r="504" spans="1:10" x14ac:dyDescent="0.2">
      <c r="A504">
        <v>10503</v>
      </c>
      <c r="B504" t="s">
        <v>8</v>
      </c>
      <c r="C504" t="s">
        <v>9</v>
      </c>
      <c r="D504">
        <v>8.41</v>
      </c>
      <c r="E504">
        <v>7</v>
      </c>
      <c r="F504" t="s">
        <v>15</v>
      </c>
      <c r="G504">
        <v>30</v>
      </c>
      <c r="H504">
        <v>10.933</v>
      </c>
      <c r="I504">
        <v>30.000000000000004</v>
      </c>
      <c r="J504" t="s">
        <v>20</v>
      </c>
    </row>
    <row r="505" spans="1:10" x14ac:dyDescent="0.2">
      <c r="A505">
        <v>10504</v>
      </c>
      <c r="B505" t="s">
        <v>7</v>
      </c>
      <c r="C505" t="s">
        <v>6</v>
      </c>
      <c r="D505">
        <v>5.71</v>
      </c>
      <c r="E505">
        <v>10</v>
      </c>
      <c r="F505" t="s">
        <v>16</v>
      </c>
      <c r="G505">
        <v>55</v>
      </c>
      <c r="H505">
        <v>8.8505000000000003</v>
      </c>
      <c r="I505">
        <v>55.000000000000007</v>
      </c>
      <c r="J505" t="s">
        <v>20</v>
      </c>
    </row>
    <row r="506" spans="1:10" x14ac:dyDescent="0.2">
      <c r="A506">
        <v>10505</v>
      </c>
      <c r="B506" t="s">
        <v>5</v>
      </c>
      <c r="C506" t="s">
        <v>9</v>
      </c>
      <c r="D506">
        <v>1.68</v>
      </c>
      <c r="E506">
        <v>8</v>
      </c>
      <c r="F506" t="s">
        <v>16</v>
      </c>
      <c r="G506">
        <v>60</v>
      </c>
      <c r="H506">
        <v>2.6880000000000002</v>
      </c>
      <c r="I506">
        <v>60.000000000000007</v>
      </c>
      <c r="J506" t="s">
        <v>20</v>
      </c>
    </row>
    <row r="507" spans="1:10" x14ac:dyDescent="0.2">
      <c r="A507">
        <v>10506</v>
      </c>
      <c r="B507" t="s">
        <v>8</v>
      </c>
      <c r="C507" t="s">
        <v>11</v>
      </c>
      <c r="D507">
        <v>3.3</v>
      </c>
      <c r="E507">
        <v>3</v>
      </c>
      <c r="F507" t="s">
        <v>14</v>
      </c>
      <c r="G507">
        <v>10</v>
      </c>
      <c r="H507">
        <v>3.63</v>
      </c>
      <c r="I507">
        <v>10.000000000000009</v>
      </c>
      <c r="J507" t="s">
        <v>20</v>
      </c>
    </row>
    <row r="508" spans="1:10" x14ac:dyDescent="0.2">
      <c r="A508">
        <v>10507</v>
      </c>
      <c r="B508" t="s">
        <v>7</v>
      </c>
      <c r="C508" t="s">
        <v>6</v>
      </c>
      <c r="D508">
        <v>14.29</v>
      </c>
      <c r="E508">
        <v>6</v>
      </c>
      <c r="F508" t="s">
        <v>15</v>
      </c>
      <c r="G508">
        <v>28</v>
      </c>
      <c r="H508">
        <v>18.2912</v>
      </c>
      <c r="I508">
        <v>28.000000000000004</v>
      </c>
      <c r="J508" t="s">
        <v>20</v>
      </c>
    </row>
    <row r="509" spans="1:10" x14ac:dyDescent="0.2">
      <c r="A509">
        <v>10508</v>
      </c>
      <c r="B509" t="s">
        <v>5</v>
      </c>
      <c r="C509" t="s">
        <v>6</v>
      </c>
      <c r="D509">
        <v>6.43</v>
      </c>
      <c r="E509">
        <v>7</v>
      </c>
      <c r="F509" t="s">
        <v>15</v>
      </c>
      <c r="G509">
        <v>28</v>
      </c>
      <c r="H509">
        <v>8.2303999999999995</v>
      </c>
      <c r="I509">
        <v>28.000000000000004</v>
      </c>
      <c r="J509" t="s">
        <v>20</v>
      </c>
    </row>
    <row r="510" spans="1:10" x14ac:dyDescent="0.2">
      <c r="A510">
        <v>10509</v>
      </c>
      <c r="B510" t="s">
        <v>7</v>
      </c>
      <c r="C510" t="s">
        <v>9</v>
      </c>
      <c r="D510">
        <v>7.27</v>
      </c>
      <c r="E510">
        <v>10</v>
      </c>
      <c r="F510" t="s">
        <v>16</v>
      </c>
      <c r="G510">
        <v>60</v>
      </c>
      <c r="H510">
        <v>11.632</v>
      </c>
      <c r="I510">
        <v>60.000000000000007</v>
      </c>
      <c r="J510" t="s">
        <v>20</v>
      </c>
    </row>
    <row r="511" spans="1:10" x14ac:dyDescent="0.2">
      <c r="A511">
        <v>10510</v>
      </c>
      <c r="B511" t="s">
        <v>10</v>
      </c>
      <c r="C511" t="s">
        <v>6</v>
      </c>
      <c r="D511">
        <v>1.26</v>
      </c>
      <c r="E511">
        <v>1</v>
      </c>
      <c r="F511" t="s">
        <v>14</v>
      </c>
      <c r="G511">
        <v>12</v>
      </c>
      <c r="H511">
        <v>1.4112000000000002</v>
      </c>
      <c r="I511">
        <v>12.000000000000011</v>
      </c>
      <c r="J511" t="s">
        <v>20</v>
      </c>
    </row>
    <row r="512" spans="1:10" x14ac:dyDescent="0.2">
      <c r="A512">
        <v>10511</v>
      </c>
      <c r="B512" t="s">
        <v>8</v>
      </c>
      <c r="C512" t="s">
        <v>6</v>
      </c>
      <c r="D512">
        <v>1.04</v>
      </c>
      <c r="E512">
        <v>1</v>
      </c>
      <c r="F512" t="s">
        <v>14</v>
      </c>
      <c r="G512">
        <v>12</v>
      </c>
      <c r="H512">
        <v>1.1648000000000001</v>
      </c>
      <c r="I512">
        <v>12.000000000000011</v>
      </c>
      <c r="J512" t="s">
        <v>20</v>
      </c>
    </row>
    <row r="513" spans="1:10" x14ac:dyDescent="0.2">
      <c r="A513">
        <v>10512</v>
      </c>
      <c r="B513" t="s">
        <v>10</v>
      </c>
      <c r="C513" t="s">
        <v>11</v>
      </c>
      <c r="D513">
        <v>10.9</v>
      </c>
      <c r="E513">
        <v>7</v>
      </c>
      <c r="F513" t="s">
        <v>15</v>
      </c>
      <c r="G513">
        <v>25</v>
      </c>
      <c r="H513">
        <v>13.625</v>
      </c>
      <c r="I513">
        <v>25</v>
      </c>
      <c r="J513" t="s">
        <v>20</v>
      </c>
    </row>
    <row r="514" spans="1:10" x14ac:dyDescent="0.2">
      <c r="A514">
        <v>10513</v>
      </c>
      <c r="B514" t="s">
        <v>5</v>
      </c>
      <c r="C514" t="s">
        <v>11</v>
      </c>
      <c r="D514">
        <v>8.3000000000000007</v>
      </c>
      <c r="E514">
        <v>3</v>
      </c>
      <c r="F514" t="s">
        <v>14</v>
      </c>
      <c r="G514">
        <v>10</v>
      </c>
      <c r="H514">
        <v>9.1300000000000008</v>
      </c>
      <c r="I514">
        <v>10.000000000000009</v>
      </c>
      <c r="J514" t="s">
        <v>20</v>
      </c>
    </row>
    <row r="515" spans="1:10" x14ac:dyDescent="0.2">
      <c r="A515">
        <v>10514</v>
      </c>
      <c r="B515" t="s">
        <v>10</v>
      </c>
      <c r="C515" t="s">
        <v>9</v>
      </c>
      <c r="D515">
        <v>7.88</v>
      </c>
      <c r="E515">
        <v>3</v>
      </c>
      <c r="F515" t="s">
        <v>14</v>
      </c>
      <c r="G515">
        <v>15</v>
      </c>
      <c r="H515">
        <v>9.0619999999999994</v>
      </c>
      <c r="I515">
        <v>14.999999999999991</v>
      </c>
      <c r="J515" t="s">
        <v>20</v>
      </c>
    </row>
    <row r="516" spans="1:10" x14ac:dyDescent="0.2">
      <c r="A516">
        <v>10515</v>
      </c>
      <c r="B516" t="s">
        <v>10</v>
      </c>
      <c r="C516" t="s">
        <v>11</v>
      </c>
      <c r="D516">
        <v>4.03</v>
      </c>
      <c r="E516">
        <v>5</v>
      </c>
      <c r="F516" t="s">
        <v>15</v>
      </c>
      <c r="G516">
        <v>25</v>
      </c>
      <c r="H516">
        <v>5.0375000000000005</v>
      </c>
      <c r="I516">
        <v>25</v>
      </c>
      <c r="J516" t="s">
        <v>20</v>
      </c>
    </row>
    <row r="517" spans="1:10" x14ac:dyDescent="0.2">
      <c r="A517">
        <v>10516</v>
      </c>
      <c r="B517" t="s">
        <v>5</v>
      </c>
      <c r="C517" t="s">
        <v>9</v>
      </c>
      <c r="D517">
        <v>11.3</v>
      </c>
      <c r="E517">
        <v>6</v>
      </c>
      <c r="F517" t="s">
        <v>15</v>
      </c>
      <c r="G517">
        <v>30</v>
      </c>
      <c r="H517">
        <v>14.690000000000001</v>
      </c>
      <c r="I517">
        <v>30.000000000000004</v>
      </c>
      <c r="J517" t="s">
        <v>20</v>
      </c>
    </row>
    <row r="518" spans="1:10" x14ac:dyDescent="0.2">
      <c r="A518">
        <v>10517</v>
      </c>
      <c r="B518" t="s">
        <v>7</v>
      </c>
      <c r="C518" t="s">
        <v>9</v>
      </c>
      <c r="D518">
        <v>2.94</v>
      </c>
      <c r="E518">
        <v>2</v>
      </c>
      <c r="F518" t="s">
        <v>14</v>
      </c>
      <c r="G518">
        <v>15</v>
      </c>
      <c r="H518">
        <v>3.3809999999999998</v>
      </c>
      <c r="I518">
        <v>14.999999999999991</v>
      </c>
      <c r="J518" t="s">
        <v>20</v>
      </c>
    </row>
    <row r="519" spans="1:10" x14ac:dyDescent="0.2">
      <c r="A519">
        <v>10518</v>
      </c>
      <c r="B519" t="s">
        <v>10</v>
      </c>
      <c r="C519" t="s">
        <v>9</v>
      </c>
      <c r="D519">
        <v>3.25</v>
      </c>
      <c r="E519">
        <v>3</v>
      </c>
      <c r="F519" t="s">
        <v>14</v>
      </c>
      <c r="G519">
        <v>15</v>
      </c>
      <c r="H519">
        <v>3.7374999999999998</v>
      </c>
      <c r="I519">
        <v>14.999999999999991</v>
      </c>
      <c r="J519" t="s">
        <v>20</v>
      </c>
    </row>
    <row r="520" spans="1:10" x14ac:dyDescent="0.2">
      <c r="A520">
        <v>10519</v>
      </c>
      <c r="B520" t="s">
        <v>7</v>
      </c>
      <c r="C520" t="s">
        <v>6</v>
      </c>
      <c r="D520">
        <v>7.18</v>
      </c>
      <c r="E520">
        <v>6</v>
      </c>
      <c r="F520" t="s">
        <v>15</v>
      </c>
      <c r="G520">
        <v>28</v>
      </c>
      <c r="H520">
        <v>9.1904000000000003</v>
      </c>
      <c r="I520">
        <v>28.000000000000004</v>
      </c>
      <c r="J520" t="s">
        <v>20</v>
      </c>
    </row>
    <row r="521" spans="1:10" x14ac:dyDescent="0.2">
      <c r="A521">
        <v>10520</v>
      </c>
      <c r="B521" t="s">
        <v>10</v>
      </c>
      <c r="C521" t="s">
        <v>11</v>
      </c>
      <c r="D521">
        <v>4.6500000000000004</v>
      </c>
      <c r="E521">
        <v>3</v>
      </c>
      <c r="F521" t="s">
        <v>14</v>
      </c>
      <c r="G521">
        <v>10</v>
      </c>
      <c r="H521">
        <v>5.1150000000000011</v>
      </c>
      <c r="I521">
        <v>10.000000000000009</v>
      </c>
      <c r="J521" t="s">
        <v>20</v>
      </c>
    </row>
    <row r="522" spans="1:10" x14ac:dyDescent="0.2">
      <c r="A522">
        <v>10521</v>
      </c>
      <c r="B522" t="s">
        <v>7</v>
      </c>
      <c r="C522" t="s">
        <v>9</v>
      </c>
      <c r="D522">
        <v>4.09</v>
      </c>
      <c r="E522">
        <v>5</v>
      </c>
      <c r="F522" t="s">
        <v>15</v>
      </c>
      <c r="G522">
        <v>30</v>
      </c>
      <c r="H522">
        <v>5.3170000000000002</v>
      </c>
      <c r="I522">
        <v>30.000000000000004</v>
      </c>
      <c r="J522" t="s">
        <v>20</v>
      </c>
    </row>
    <row r="523" spans="1:10" x14ac:dyDescent="0.2">
      <c r="A523">
        <v>10522</v>
      </c>
      <c r="B523" t="s">
        <v>5</v>
      </c>
      <c r="C523" t="s">
        <v>11</v>
      </c>
      <c r="D523">
        <v>9.86</v>
      </c>
      <c r="E523">
        <v>9</v>
      </c>
      <c r="F523" t="s">
        <v>16</v>
      </c>
      <c r="G523">
        <v>50</v>
      </c>
      <c r="H523">
        <v>14.79</v>
      </c>
      <c r="I523">
        <v>50</v>
      </c>
      <c r="J523" t="s">
        <v>20</v>
      </c>
    </row>
    <row r="524" spans="1:10" x14ac:dyDescent="0.2">
      <c r="A524">
        <v>10523</v>
      </c>
      <c r="B524" t="s">
        <v>10</v>
      </c>
      <c r="C524" t="s">
        <v>9</v>
      </c>
      <c r="D524">
        <v>9.94</v>
      </c>
      <c r="E524">
        <v>3</v>
      </c>
      <c r="F524" t="s">
        <v>14</v>
      </c>
      <c r="G524">
        <v>15</v>
      </c>
      <c r="H524">
        <v>11.430999999999999</v>
      </c>
      <c r="I524">
        <v>14.999999999999991</v>
      </c>
      <c r="J524" t="s">
        <v>20</v>
      </c>
    </row>
    <row r="525" spans="1:10" x14ac:dyDescent="0.2">
      <c r="A525">
        <v>10524</v>
      </c>
      <c r="B525" t="s">
        <v>5</v>
      </c>
      <c r="C525" t="s">
        <v>11</v>
      </c>
      <c r="D525">
        <v>12.46</v>
      </c>
      <c r="E525">
        <v>6</v>
      </c>
      <c r="F525" t="s">
        <v>15</v>
      </c>
      <c r="G525">
        <v>25</v>
      </c>
      <c r="H525">
        <v>15.575000000000001</v>
      </c>
      <c r="I525">
        <v>25</v>
      </c>
      <c r="J525" t="s">
        <v>20</v>
      </c>
    </row>
    <row r="526" spans="1:10" x14ac:dyDescent="0.2">
      <c r="A526">
        <v>10525</v>
      </c>
      <c r="B526" t="s">
        <v>10</v>
      </c>
      <c r="C526" t="s">
        <v>11</v>
      </c>
      <c r="D526">
        <v>6.56</v>
      </c>
      <c r="E526">
        <v>5</v>
      </c>
      <c r="F526" t="s">
        <v>15</v>
      </c>
      <c r="G526">
        <v>25</v>
      </c>
      <c r="H526">
        <v>8.1999999999999993</v>
      </c>
      <c r="I526">
        <v>25</v>
      </c>
      <c r="J526" t="s">
        <v>20</v>
      </c>
    </row>
    <row r="527" spans="1:10" x14ac:dyDescent="0.2">
      <c r="A527">
        <v>10526</v>
      </c>
      <c r="B527" t="s">
        <v>5</v>
      </c>
      <c r="C527" t="s">
        <v>9</v>
      </c>
      <c r="D527">
        <v>1.56</v>
      </c>
      <c r="E527">
        <v>5</v>
      </c>
      <c r="F527" t="s">
        <v>15</v>
      </c>
      <c r="G527">
        <v>30</v>
      </c>
      <c r="H527">
        <v>2.028</v>
      </c>
      <c r="I527">
        <v>30.000000000000004</v>
      </c>
      <c r="J527" t="s">
        <v>20</v>
      </c>
    </row>
    <row r="528" spans="1:10" x14ac:dyDescent="0.2">
      <c r="A528">
        <v>10527</v>
      </c>
      <c r="B528" t="s">
        <v>5</v>
      </c>
      <c r="C528" t="s">
        <v>6</v>
      </c>
      <c r="D528">
        <v>4.47</v>
      </c>
      <c r="E528">
        <v>6</v>
      </c>
      <c r="F528" t="s">
        <v>15</v>
      </c>
      <c r="G528">
        <v>28</v>
      </c>
      <c r="H528">
        <v>5.7215999999999996</v>
      </c>
      <c r="I528">
        <v>28.000000000000004</v>
      </c>
      <c r="J528" t="s">
        <v>20</v>
      </c>
    </row>
    <row r="529" spans="1:10" x14ac:dyDescent="0.2">
      <c r="A529">
        <v>10528</v>
      </c>
      <c r="B529" t="s">
        <v>10</v>
      </c>
      <c r="C529" t="s">
        <v>11</v>
      </c>
      <c r="D529">
        <v>14.71</v>
      </c>
      <c r="E529">
        <v>6</v>
      </c>
      <c r="F529" t="s">
        <v>15</v>
      </c>
      <c r="G529">
        <v>25</v>
      </c>
      <c r="H529">
        <v>18.387500000000003</v>
      </c>
      <c r="I529">
        <v>25.000000000000021</v>
      </c>
      <c r="J529" t="s">
        <v>20</v>
      </c>
    </row>
    <row r="530" spans="1:10" x14ac:dyDescent="0.2">
      <c r="A530">
        <v>10529</v>
      </c>
      <c r="B530" t="s">
        <v>10</v>
      </c>
      <c r="C530" t="s">
        <v>6</v>
      </c>
      <c r="D530">
        <v>9.15</v>
      </c>
      <c r="E530">
        <v>1</v>
      </c>
      <c r="F530" t="s">
        <v>14</v>
      </c>
      <c r="G530">
        <v>12</v>
      </c>
      <c r="H530">
        <v>10.248000000000001</v>
      </c>
      <c r="I530">
        <v>12.000000000000011</v>
      </c>
      <c r="J530" t="s">
        <v>20</v>
      </c>
    </row>
    <row r="531" spans="1:10" x14ac:dyDescent="0.2">
      <c r="A531">
        <v>10530</v>
      </c>
      <c r="B531" t="s">
        <v>10</v>
      </c>
      <c r="C531" t="s">
        <v>6</v>
      </c>
      <c r="D531">
        <v>10.79</v>
      </c>
      <c r="E531">
        <v>9</v>
      </c>
      <c r="F531" t="s">
        <v>16</v>
      </c>
      <c r="G531">
        <v>55</v>
      </c>
      <c r="H531">
        <v>16.724499999999999</v>
      </c>
      <c r="I531">
        <v>55.000000000000007</v>
      </c>
      <c r="J531" t="s">
        <v>20</v>
      </c>
    </row>
    <row r="532" spans="1:10" x14ac:dyDescent="0.2">
      <c r="A532">
        <v>10531</v>
      </c>
      <c r="B532" t="s">
        <v>8</v>
      </c>
      <c r="C532" t="s">
        <v>9</v>
      </c>
      <c r="D532">
        <v>0.61</v>
      </c>
      <c r="E532">
        <v>5</v>
      </c>
      <c r="F532" t="s">
        <v>15</v>
      </c>
      <c r="G532">
        <v>30</v>
      </c>
      <c r="H532">
        <v>0.79300000000000004</v>
      </c>
      <c r="I532">
        <v>30.000000000000004</v>
      </c>
      <c r="J532" t="s">
        <v>20</v>
      </c>
    </row>
    <row r="533" spans="1:10" x14ac:dyDescent="0.2">
      <c r="A533">
        <v>10532</v>
      </c>
      <c r="B533" t="s">
        <v>7</v>
      </c>
      <c r="C533" t="s">
        <v>9</v>
      </c>
      <c r="D533">
        <v>8.01</v>
      </c>
      <c r="E533">
        <v>1</v>
      </c>
      <c r="F533" t="s">
        <v>14</v>
      </c>
      <c r="G533">
        <v>15</v>
      </c>
      <c r="H533">
        <v>9.2114999999999991</v>
      </c>
      <c r="I533">
        <v>14.999999999999991</v>
      </c>
      <c r="J533" t="s">
        <v>20</v>
      </c>
    </row>
    <row r="534" spans="1:10" x14ac:dyDescent="0.2">
      <c r="A534">
        <v>10533</v>
      </c>
      <c r="B534" t="s">
        <v>8</v>
      </c>
      <c r="C534" t="s">
        <v>9</v>
      </c>
      <c r="D534">
        <v>1.04</v>
      </c>
      <c r="E534">
        <v>8</v>
      </c>
      <c r="F534" t="s">
        <v>16</v>
      </c>
      <c r="G534">
        <v>60</v>
      </c>
      <c r="H534">
        <v>1.6640000000000001</v>
      </c>
      <c r="I534">
        <v>60.000000000000007</v>
      </c>
      <c r="J534" t="s">
        <v>20</v>
      </c>
    </row>
    <row r="535" spans="1:10" x14ac:dyDescent="0.2">
      <c r="A535">
        <v>10534</v>
      </c>
      <c r="B535" t="s">
        <v>8</v>
      </c>
      <c r="C535" t="s">
        <v>11</v>
      </c>
      <c r="D535">
        <v>8.75</v>
      </c>
      <c r="E535">
        <v>7</v>
      </c>
      <c r="F535" t="s">
        <v>15</v>
      </c>
      <c r="G535">
        <v>25</v>
      </c>
      <c r="H535">
        <v>10.9375</v>
      </c>
      <c r="I535">
        <v>25</v>
      </c>
      <c r="J535" t="s">
        <v>20</v>
      </c>
    </row>
    <row r="536" spans="1:10" x14ac:dyDescent="0.2">
      <c r="A536">
        <v>10535</v>
      </c>
      <c r="B536" t="s">
        <v>5</v>
      </c>
      <c r="C536" t="s">
        <v>9</v>
      </c>
      <c r="D536">
        <v>13.85</v>
      </c>
      <c r="E536">
        <v>7</v>
      </c>
      <c r="F536" t="s">
        <v>15</v>
      </c>
      <c r="G536">
        <v>30</v>
      </c>
      <c r="H536">
        <v>18.004999999999999</v>
      </c>
      <c r="I536">
        <v>30.000000000000004</v>
      </c>
      <c r="J536" t="s">
        <v>20</v>
      </c>
    </row>
    <row r="537" spans="1:10" x14ac:dyDescent="0.2">
      <c r="A537">
        <v>10536</v>
      </c>
      <c r="B537" t="s">
        <v>10</v>
      </c>
      <c r="C537" t="s">
        <v>9</v>
      </c>
      <c r="D537">
        <v>14.54</v>
      </c>
      <c r="E537">
        <v>5</v>
      </c>
      <c r="F537" t="s">
        <v>15</v>
      </c>
      <c r="G537">
        <v>30</v>
      </c>
      <c r="H537">
        <v>18.902000000000001</v>
      </c>
      <c r="I537">
        <v>30.000000000000004</v>
      </c>
      <c r="J537" t="s">
        <v>20</v>
      </c>
    </row>
    <row r="538" spans="1:10" x14ac:dyDescent="0.2">
      <c r="A538">
        <v>10537</v>
      </c>
      <c r="B538" t="s">
        <v>7</v>
      </c>
      <c r="C538" t="s">
        <v>11</v>
      </c>
      <c r="D538">
        <v>8.34</v>
      </c>
      <c r="E538">
        <v>1</v>
      </c>
      <c r="F538" t="s">
        <v>14</v>
      </c>
      <c r="G538">
        <v>10</v>
      </c>
      <c r="H538">
        <v>9.1740000000000013</v>
      </c>
      <c r="I538">
        <v>10.000000000000009</v>
      </c>
      <c r="J538" t="s">
        <v>20</v>
      </c>
    </row>
    <row r="539" spans="1:10" x14ac:dyDescent="0.2">
      <c r="A539">
        <v>10538</v>
      </c>
      <c r="B539" t="s">
        <v>5</v>
      </c>
      <c r="C539" t="s">
        <v>11</v>
      </c>
      <c r="D539">
        <v>7.14</v>
      </c>
      <c r="E539">
        <v>9</v>
      </c>
      <c r="F539" t="s">
        <v>16</v>
      </c>
      <c r="G539">
        <v>50</v>
      </c>
      <c r="H539">
        <v>10.709999999999999</v>
      </c>
      <c r="I539">
        <v>50</v>
      </c>
      <c r="J539" t="s">
        <v>20</v>
      </c>
    </row>
    <row r="540" spans="1:10" x14ac:dyDescent="0.2">
      <c r="A540">
        <v>10539</v>
      </c>
      <c r="B540" t="s">
        <v>8</v>
      </c>
      <c r="C540" t="s">
        <v>9</v>
      </c>
      <c r="D540">
        <v>14.2</v>
      </c>
      <c r="E540">
        <v>9</v>
      </c>
      <c r="F540" t="s">
        <v>16</v>
      </c>
      <c r="G540">
        <v>60</v>
      </c>
      <c r="H540">
        <v>22.72</v>
      </c>
      <c r="I540">
        <v>60.000000000000007</v>
      </c>
      <c r="J540" t="s">
        <v>20</v>
      </c>
    </row>
    <row r="541" spans="1:10" x14ac:dyDescent="0.2">
      <c r="A541">
        <v>10540</v>
      </c>
      <c r="B541" t="s">
        <v>10</v>
      </c>
      <c r="C541" t="s">
        <v>9</v>
      </c>
      <c r="D541">
        <v>10.27</v>
      </c>
      <c r="E541">
        <v>8</v>
      </c>
      <c r="F541" t="s">
        <v>16</v>
      </c>
      <c r="G541">
        <v>60</v>
      </c>
      <c r="H541">
        <v>16.431999999999999</v>
      </c>
      <c r="I541">
        <v>59.999999999999986</v>
      </c>
      <c r="J541" t="s">
        <v>20</v>
      </c>
    </row>
    <row r="542" spans="1:10" x14ac:dyDescent="0.2">
      <c r="A542">
        <v>10541</v>
      </c>
      <c r="B542" t="s">
        <v>5</v>
      </c>
      <c r="C542" t="s">
        <v>9</v>
      </c>
      <c r="D542">
        <v>1.44</v>
      </c>
      <c r="E542">
        <v>5</v>
      </c>
      <c r="F542" t="s">
        <v>15</v>
      </c>
      <c r="G542">
        <v>30</v>
      </c>
      <c r="H542">
        <v>1.8719999999999999</v>
      </c>
      <c r="I542">
        <v>30.000000000000004</v>
      </c>
      <c r="J542" t="s">
        <v>20</v>
      </c>
    </row>
    <row r="543" spans="1:10" x14ac:dyDescent="0.2">
      <c r="A543">
        <v>10542</v>
      </c>
      <c r="B543" t="s">
        <v>10</v>
      </c>
      <c r="C543" t="s">
        <v>9</v>
      </c>
      <c r="D543">
        <v>7.25</v>
      </c>
      <c r="E543">
        <v>3</v>
      </c>
      <c r="F543" t="s">
        <v>14</v>
      </c>
      <c r="G543">
        <v>15</v>
      </c>
      <c r="H543">
        <v>8.3374999999999986</v>
      </c>
      <c r="I543">
        <v>14.999999999999991</v>
      </c>
      <c r="J543" t="s">
        <v>20</v>
      </c>
    </row>
    <row r="544" spans="1:10" x14ac:dyDescent="0.2">
      <c r="A544">
        <v>10543</v>
      </c>
      <c r="B544" t="s">
        <v>5</v>
      </c>
      <c r="C544" t="s">
        <v>6</v>
      </c>
      <c r="D544">
        <v>3.98</v>
      </c>
      <c r="E544">
        <v>8</v>
      </c>
      <c r="F544" t="s">
        <v>16</v>
      </c>
      <c r="G544">
        <v>55</v>
      </c>
      <c r="H544">
        <v>6.1690000000000005</v>
      </c>
      <c r="I544">
        <v>55.000000000000007</v>
      </c>
      <c r="J544" t="s">
        <v>20</v>
      </c>
    </row>
    <row r="545" spans="1:10" x14ac:dyDescent="0.2">
      <c r="A545">
        <v>10544</v>
      </c>
      <c r="B545" t="s">
        <v>10</v>
      </c>
      <c r="C545" t="s">
        <v>6</v>
      </c>
      <c r="D545">
        <v>7.31</v>
      </c>
      <c r="E545">
        <v>1</v>
      </c>
      <c r="F545" t="s">
        <v>14</v>
      </c>
      <c r="G545">
        <v>12</v>
      </c>
      <c r="H545">
        <v>8.1872000000000007</v>
      </c>
      <c r="I545">
        <v>12.000000000000011</v>
      </c>
      <c r="J545" t="s">
        <v>20</v>
      </c>
    </row>
    <row r="546" spans="1:10" x14ac:dyDescent="0.2">
      <c r="A546">
        <v>10545</v>
      </c>
      <c r="B546" t="s">
        <v>8</v>
      </c>
      <c r="C546" t="s">
        <v>9</v>
      </c>
      <c r="D546">
        <v>7.1</v>
      </c>
      <c r="E546">
        <v>3</v>
      </c>
      <c r="F546" t="s">
        <v>14</v>
      </c>
      <c r="G546">
        <v>15</v>
      </c>
      <c r="H546">
        <v>8.1649999999999991</v>
      </c>
      <c r="I546">
        <v>14.999999999999991</v>
      </c>
      <c r="J546" t="s">
        <v>20</v>
      </c>
    </row>
    <row r="547" spans="1:10" x14ac:dyDescent="0.2">
      <c r="A547">
        <v>10546</v>
      </c>
      <c r="B547" t="s">
        <v>7</v>
      </c>
      <c r="C547" t="s">
        <v>6</v>
      </c>
      <c r="D547">
        <v>8.94</v>
      </c>
      <c r="E547">
        <v>7</v>
      </c>
      <c r="F547" t="s">
        <v>15</v>
      </c>
      <c r="G547">
        <v>28</v>
      </c>
      <c r="H547">
        <v>11.443199999999999</v>
      </c>
      <c r="I547">
        <v>28.000000000000004</v>
      </c>
      <c r="J547" t="s">
        <v>20</v>
      </c>
    </row>
    <row r="548" spans="1:10" x14ac:dyDescent="0.2">
      <c r="A548">
        <v>10547</v>
      </c>
      <c r="B548" t="s">
        <v>8</v>
      </c>
      <c r="C548" t="s">
        <v>11</v>
      </c>
      <c r="D548">
        <v>5.67</v>
      </c>
      <c r="E548">
        <v>4</v>
      </c>
      <c r="F548" t="s">
        <v>15</v>
      </c>
      <c r="G548">
        <v>25</v>
      </c>
      <c r="H548">
        <v>7.0875000000000004</v>
      </c>
      <c r="I548">
        <v>25</v>
      </c>
      <c r="J548" t="s">
        <v>20</v>
      </c>
    </row>
    <row r="549" spans="1:10" x14ac:dyDescent="0.2">
      <c r="A549">
        <v>10548</v>
      </c>
      <c r="B549" t="s">
        <v>7</v>
      </c>
      <c r="C549" t="s">
        <v>6</v>
      </c>
      <c r="D549">
        <v>2.88</v>
      </c>
      <c r="E549">
        <v>7</v>
      </c>
      <c r="F549" t="s">
        <v>15</v>
      </c>
      <c r="G549">
        <v>28</v>
      </c>
      <c r="H549">
        <v>3.6863999999999999</v>
      </c>
      <c r="I549">
        <v>28.000000000000004</v>
      </c>
      <c r="J549" t="s">
        <v>20</v>
      </c>
    </row>
    <row r="550" spans="1:10" x14ac:dyDescent="0.2">
      <c r="A550">
        <v>10549</v>
      </c>
      <c r="B550" t="s">
        <v>10</v>
      </c>
      <c r="C550" t="s">
        <v>6</v>
      </c>
      <c r="D550">
        <v>7.8</v>
      </c>
      <c r="E550">
        <v>5</v>
      </c>
      <c r="F550" t="s">
        <v>15</v>
      </c>
      <c r="G550">
        <v>28</v>
      </c>
      <c r="H550">
        <v>9.984</v>
      </c>
      <c r="I550">
        <v>28.000000000000004</v>
      </c>
      <c r="J550" t="s">
        <v>20</v>
      </c>
    </row>
    <row r="551" spans="1:10" x14ac:dyDescent="0.2">
      <c r="A551">
        <v>10550</v>
      </c>
      <c r="B551" t="s">
        <v>5</v>
      </c>
      <c r="C551" t="s">
        <v>9</v>
      </c>
      <c r="D551">
        <v>12.54</v>
      </c>
      <c r="E551">
        <v>6</v>
      </c>
      <c r="F551" t="s">
        <v>15</v>
      </c>
      <c r="G551">
        <v>30</v>
      </c>
      <c r="H551">
        <v>16.302</v>
      </c>
      <c r="I551">
        <v>30.000000000000004</v>
      </c>
      <c r="J551" t="s">
        <v>20</v>
      </c>
    </row>
    <row r="552" spans="1:10" x14ac:dyDescent="0.2">
      <c r="A552">
        <v>10551</v>
      </c>
      <c r="B552" t="s">
        <v>8</v>
      </c>
      <c r="C552" t="s">
        <v>6</v>
      </c>
      <c r="D552">
        <v>10.130000000000001</v>
      </c>
      <c r="E552">
        <v>7</v>
      </c>
      <c r="F552" t="s">
        <v>15</v>
      </c>
      <c r="G552">
        <v>28</v>
      </c>
      <c r="H552">
        <v>12.966400000000002</v>
      </c>
      <c r="I552">
        <v>28.000000000000004</v>
      </c>
      <c r="J552" t="s">
        <v>20</v>
      </c>
    </row>
    <row r="553" spans="1:10" x14ac:dyDescent="0.2">
      <c r="A553">
        <v>10552</v>
      </c>
      <c r="B553" t="s">
        <v>7</v>
      </c>
      <c r="C553" t="s">
        <v>6</v>
      </c>
      <c r="D553">
        <v>5.41</v>
      </c>
      <c r="E553">
        <v>10</v>
      </c>
      <c r="F553" t="s">
        <v>16</v>
      </c>
      <c r="G553">
        <v>55</v>
      </c>
      <c r="H553">
        <v>8.3855000000000004</v>
      </c>
      <c r="I553">
        <v>55.000000000000007</v>
      </c>
      <c r="J553" t="s">
        <v>20</v>
      </c>
    </row>
    <row r="554" spans="1:10" x14ac:dyDescent="0.2">
      <c r="A554">
        <v>10553</v>
      </c>
      <c r="B554" t="s">
        <v>8</v>
      </c>
      <c r="C554" t="s">
        <v>6</v>
      </c>
      <c r="D554">
        <v>14.07</v>
      </c>
      <c r="E554">
        <v>7</v>
      </c>
      <c r="F554" t="s">
        <v>15</v>
      </c>
      <c r="G554">
        <v>28</v>
      </c>
      <c r="H554">
        <v>18.009600000000002</v>
      </c>
      <c r="I554">
        <v>28.000000000000025</v>
      </c>
      <c r="J554" t="s">
        <v>20</v>
      </c>
    </row>
    <row r="555" spans="1:10" x14ac:dyDescent="0.2">
      <c r="A555">
        <v>10554</v>
      </c>
      <c r="B555" t="s">
        <v>7</v>
      </c>
      <c r="C555" t="s">
        <v>6</v>
      </c>
      <c r="D555">
        <v>13.73</v>
      </c>
      <c r="E555">
        <v>7</v>
      </c>
      <c r="F555" t="s">
        <v>15</v>
      </c>
      <c r="G555">
        <v>28</v>
      </c>
      <c r="H555">
        <v>17.574400000000001</v>
      </c>
      <c r="I555">
        <v>28.000000000000004</v>
      </c>
      <c r="J555" t="s">
        <v>20</v>
      </c>
    </row>
    <row r="556" spans="1:10" x14ac:dyDescent="0.2">
      <c r="A556">
        <v>10555</v>
      </c>
      <c r="B556" t="s">
        <v>8</v>
      </c>
      <c r="C556" t="s">
        <v>11</v>
      </c>
      <c r="D556">
        <v>3.54</v>
      </c>
      <c r="E556">
        <v>7</v>
      </c>
      <c r="F556" t="s">
        <v>15</v>
      </c>
      <c r="G556">
        <v>25</v>
      </c>
      <c r="H556">
        <v>4.4249999999999998</v>
      </c>
      <c r="I556">
        <v>25</v>
      </c>
      <c r="J556" t="s">
        <v>20</v>
      </c>
    </row>
    <row r="557" spans="1:10" x14ac:dyDescent="0.2">
      <c r="A557">
        <v>10556</v>
      </c>
      <c r="B557" t="s">
        <v>7</v>
      </c>
      <c r="C557" t="s">
        <v>9</v>
      </c>
      <c r="D557">
        <v>1.07</v>
      </c>
      <c r="E557">
        <v>7</v>
      </c>
      <c r="F557" t="s">
        <v>15</v>
      </c>
      <c r="G557">
        <v>30</v>
      </c>
      <c r="H557">
        <v>1.3910000000000002</v>
      </c>
      <c r="I557">
        <v>30.000000000000004</v>
      </c>
      <c r="J557" t="s">
        <v>20</v>
      </c>
    </row>
    <row r="558" spans="1:10" x14ac:dyDescent="0.2">
      <c r="A558">
        <v>10557</v>
      </c>
      <c r="B558" t="s">
        <v>7</v>
      </c>
      <c r="C558" t="s">
        <v>9</v>
      </c>
      <c r="D558">
        <v>11.25</v>
      </c>
      <c r="E558">
        <v>3</v>
      </c>
      <c r="F558" t="s">
        <v>14</v>
      </c>
      <c r="G558">
        <v>15</v>
      </c>
      <c r="H558">
        <v>12.937499999999998</v>
      </c>
      <c r="I558">
        <v>14.999999999999991</v>
      </c>
      <c r="J558" t="s">
        <v>20</v>
      </c>
    </row>
    <row r="559" spans="1:10" x14ac:dyDescent="0.2">
      <c r="A559">
        <v>10558</v>
      </c>
      <c r="B559" t="s">
        <v>10</v>
      </c>
      <c r="C559" t="s">
        <v>11</v>
      </c>
      <c r="D559">
        <v>12.5</v>
      </c>
      <c r="E559">
        <v>3</v>
      </c>
      <c r="F559" t="s">
        <v>14</v>
      </c>
      <c r="G559">
        <v>10</v>
      </c>
      <c r="H559">
        <v>13.750000000000002</v>
      </c>
      <c r="I559">
        <v>10.000000000000009</v>
      </c>
      <c r="J559" t="s">
        <v>20</v>
      </c>
    </row>
    <row r="560" spans="1:10" x14ac:dyDescent="0.2">
      <c r="A560">
        <v>10559</v>
      </c>
      <c r="B560" t="s">
        <v>7</v>
      </c>
      <c r="C560" t="s">
        <v>6</v>
      </c>
      <c r="D560">
        <v>14.53</v>
      </c>
      <c r="E560">
        <v>7</v>
      </c>
      <c r="F560" t="s">
        <v>15</v>
      </c>
      <c r="G560">
        <v>28</v>
      </c>
      <c r="H560">
        <v>18.598399999999998</v>
      </c>
      <c r="I560">
        <v>28.000000000000004</v>
      </c>
      <c r="J560" t="s">
        <v>20</v>
      </c>
    </row>
    <row r="561" spans="1:10" x14ac:dyDescent="0.2">
      <c r="A561">
        <v>10560</v>
      </c>
      <c r="B561" t="s">
        <v>10</v>
      </c>
      <c r="C561" t="s">
        <v>11</v>
      </c>
      <c r="D561">
        <v>13.4</v>
      </c>
      <c r="E561">
        <v>2</v>
      </c>
      <c r="F561" t="s">
        <v>14</v>
      </c>
      <c r="G561">
        <v>10</v>
      </c>
      <c r="H561">
        <v>14.740000000000002</v>
      </c>
      <c r="I561">
        <v>10.000000000000009</v>
      </c>
      <c r="J561" t="s">
        <v>20</v>
      </c>
    </row>
    <row r="562" spans="1:10" x14ac:dyDescent="0.2">
      <c r="A562">
        <v>10561</v>
      </c>
      <c r="B562" t="s">
        <v>7</v>
      </c>
      <c r="C562" t="s">
        <v>6</v>
      </c>
      <c r="D562">
        <v>9.2100000000000009</v>
      </c>
      <c r="E562">
        <v>2</v>
      </c>
      <c r="F562" t="s">
        <v>14</v>
      </c>
      <c r="G562">
        <v>12</v>
      </c>
      <c r="H562">
        <v>10.315200000000003</v>
      </c>
      <c r="I562">
        <v>12.000000000000011</v>
      </c>
      <c r="J562" t="s">
        <v>20</v>
      </c>
    </row>
    <row r="563" spans="1:10" x14ac:dyDescent="0.2">
      <c r="A563">
        <v>10562</v>
      </c>
      <c r="B563" t="s">
        <v>5</v>
      </c>
      <c r="C563" t="s">
        <v>11</v>
      </c>
      <c r="D563">
        <v>8.19</v>
      </c>
      <c r="E563">
        <v>3</v>
      </c>
      <c r="F563" t="s">
        <v>14</v>
      </c>
      <c r="G563">
        <v>10</v>
      </c>
      <c r="H563">
        <v>9.0090000000000003</v>
      </c>
      <c r="I563">
        <v>10.000000000000009</v>
      </c>
      <c r="J563" t="s">
        <v>20</v>
      </c>
    </row>
    <row r="564" spans="1:10" x14ac:dyDescent="0.2">
      <c r="A564">
        <v>10563</v>
      </c>
      <c r="B564" t="s">
        <v>5</v>
      </c>
      <c r="C564" t="s">
        <v>9</v>
      </c>
      <c r="D564">
        <v>0.9</v>
      </c>
      <c r="E564">
        <v>4</v>
      </c>
      <c r="F564" t="s">
        <v>15</v>
      </c>
      <c r="G564">
        <v>30</v>
      </c>
      <c r="H564">
        <v>1.1700000000000002</v>
      </c>
      <c r="I564">
        <v>30.000000000000004</v>
      </c>
      <c r="J564" t="s">
        <v>20</v>
      </c>
    </row>
    <row r="565" spans="1:10" x14ac:dyDescent="0.2">
      <c r="A565">
        <v>10564</v>
      </c>
      <c r="B565" t="s">
        <v>5</v>
      </c>
      <c r="C565" t="s">
        <v>9</v>
      </c>
      <c r="D565">
        <v>4.08</v>
      </c>
      <c r="E565">
        <v>6</v>
      </c>
      <c r="F565" t="s">
        <v>15</v>
      </c>
      <c r="G565">
        <v>30</v>
      </c>
      <c r="H565">
        <v>5.3040000000000003</v>
      </c>
      <c r="I565">
        <v>30.000000000000004</v>
      </c>
      <c r="J565" t="s">
        <v>20</v>
      </c>
    </row>
    <row r="566" spans="1:10" x14ac:dyDescent="0.2">
      <c r="A566">
        <v>10565</v>
      </c>
      <c r="B566" t="s">
        <v>7</v>
      </c>
      <c r="C566" t="s">
        <v>9</v>
      </c>
      <c r="D566">
        <v>7.16</v>
      </c>
      <c r="E566">
        <v>8</v>
      </c>
      <c r="F566" t="s">
        <v>16</v>
      </c>
      <c r="G566">
        <v>60</v>
      </c>
      <c r="H566">
        <v>11.456000000000001</v>
      </c>
      <c r="I566">
        <v>60.000000000000007</v>
      </c>
      <c r="J566" t="s">
        <v>20</v>
      </c>
    </row>
    <row r="567" spans="1:10" x14ac:dyDescent="0.2">
      <c r="A567">
        <v>10566</v>
      </c>
      <c r="B567" t="s">
        <v>10</v>
      </c>
      <c r="C567" t="s">
        <v>6</v>
      </c>
      <c r="D567">
        <v>9.61</v>
      </c>
      <c r="E567">
        <v>10</v>
      </c>
      <c r="F567" t="s">
        <v>16</v>
      </c>
      <c r="G567">
        <v>55</v>
      </c>
      <c r="H567">
        <v>14.8955</v>
      </c>
      <c r="I567">
        <v>55.000000000000007</v>
      </c>
      <c r="J567" t="s">
        <v>20</v>
      </c>
    </row>
    <row r="568" spans="1:10" x14ac:dyDescent="0.2">
      <c r="A568">
        <v>10567</v>
      </c>
      <c r="B568" t="s">
        <v>10</v>
      </c>
      <c r="C568" t="s">
        <v>6</v>
      </c>
      <c r="D568">
        <v>8.58</v>
      </c>
      <c r="E568">
        <v>10</v>
      </c>
      <c r="F568" t="s">
        <v>16</v>
      </c>
      <c r="G568">
        <v>55</v>
      </c>
      <c r="H568">
        <v>13.299000000000001</v>
      </c>
      <c r="I568">
        <v>55.000000000000007</v>
      </c>
      <c r="J568" t="s">
        <v>20</v>
      </c>
    </row>
    <row r="569" spans="1:10" x14ac:dyDescent="0.2">
      <c r="A569">
        <v>10568</v>
      </c>
      <c r="B569" t="s">
        <v>7</v>
      </c>
      <c r="C569" t="s">
        <v>11</v>
      </c>
      <c r="D569">
        <v>11.27</v>
      </c>
      <c r="E569">
        <v>7</v>
      </c>
      <c r="F569" t="s">
        <v>15</v>
      </c>
      <c r="G569">
        <v>25</v>
      </c>
      <c r="H569">
        <v>14.087499999999999</v>
      </c>
      <c r="I569">
        <v>25</v>
      </c>
      <c r="J569" t="s">
        <v>20</v>
      </c>
    </row>
    <row r="570" spans="1:10" x14ac:dyDescent="0.2">
      <c r="A570">
        <v>10569</v>
      </c>
      <c r="B570" t="s">
        <v>5</v>
      </c>
      <c r="C570" t="s">
        <v>11</v>
      </c>
      <c r="D570">
        <v>4.5599999999999996</v>
      </c>
      <c r="E570">
        <v>4</v>
      </c>
      <c r="F570" t="s">
        <v>15</v>
      </c>
      <c r="G570">
        <v>25</v>
      </c>
      <c r="H570">
        <v>5.6999999999999993</v>
      </c>
      <c r="I570">
        <v>25</v>
      </c>
      <c r="J570" t="s">
        <v>20</v>
      </c>
    </row>
    <row r="571" spans="1:10" x14ac:dyDescent="0.2">
      <c r="A571">
        <v>10570</v>
      </c>
      <c r="B571" t="s">
        <v>5</v>
      </c>
      <c r="C571" t="s">
        <v>9</v>
      </c>
      <c r="D571">
        <v>8.69</v>
      </c>
      <c r="E571">
        <v>2</v>
      </c>
      <c r="F571" t="s">
        <v>14</v>
      </c>
      <c r="G571">
        <v>15</v>
      </c>
      <c r="H571">
        <v>9.9934999999999992</v>
      </c>
      <c r="I571">
        <v>14.999999999999991</v>
      </c>
      <c r="J571" t="s">
        <v>20</v>
      </c>
    </row>
    <row r="572" spans="1:10" x14ac:dyDescent="0.2">
      <c r="A572">
        <v>10571</v>
      </c>
      <c r="B572" t="s">
        <v>10</v>
      </c>
      <c r="C572" t="s">
        <v>6</v>
      </c>
      <c r="D572">
        <v>1.78</v>
      </c>
      <c r="E572">
        <v>2</v>
      </c>
      <c r="F572" t="s">
        <v>14</v>
      </c>
      <c r="G572">
        <v>12</v>
      </c>
      <c r="H572">
        <v>1.9936000000000003</v>
      </c>
      <c r="I572">
        <v>12.000000000000011</v>
      </c>
      <c r="J572" t="s">
        <v>20</v>
      </c>
    </row>
    <row r="573" spans="1:10" x14ac:dyDescent="0.2">
      <c r="A573">
        <v>10572</v>
      </c>
      <c r="B573" t="s">
        <v>5</v>
      </c>
      <c r="C573" t="s">
        <v>11</v>
      </c>
      <c r="D573">
        <v>6.5</v>
      </c>
      <c r="E573">
        <v>4</v>
      </c>
      <c r="F573" t="s">
        <v>15</v>
      </c>
      <c r="G573">
        <v>25</v>
      </c>
      <c r="H573">
        <v>8.125</v>
      </c>
      <c r="I573">
        <v>25</v>
      </c>
      <c r="J573" t="s">
        <v>20</v>
      </c>
    </row>
    <row r="574" spans="1:10" x14ac:dyDescent="0.2">
      <c r="A574">
        <v>10573</v>
      </c>
      <c r="B574" t="s">
        <v>8</v>
      </c>
      <c r="C574" t="s">
        <v>6</v>
      </c>
      <c r="D574">
        <v>11.38</v>
      </c>
      <c r="E574">
        <v>6</v>
      </c>
      <c r="F574" t="s">
        <v>15</v>
      </c>
      <c r="G574">
        <v>28</v>
      </c>
      <c r="H574">
        <v>14.566400000000002</v>
      </c>
      <c r="I574">
        <v>28.000000000000004</v>
      </c>
      <c r="J574" t="s">
        <v>20</v>
      </c>
    </row>
    <row r="575" spans="1:10" x14ac:dyDescent="0.2">
      <c r="A575">
        <v>10574</v>
      </c>
      <c r="B575" t="s">
        <v>10</v>
      </c>
      <c r="C575" t="s">
        <v>6</v>
      </c>
      <c r="D575">
        <v>10.55</v>
      </c>
      <c r="E575">
        <v>3</v>
      </c>
      <c r="F575" t="s">
        <v>14</v>
      </c>
      <c r="G575">
        <v>12</v>
      </c>
      <c r="H575">
        <v>11.816000000000003</v>
      </c>
      <c r="I575">
        <v>12.000000000000011</v>
      </c>
      <c r="J575" t="s">
        <v>20</v>
      </c>
    </row>
    <row r="576" spans="1:10" x14ac:dyDescent="0.2">
      <c r="A576">
        <v>10575</v>
      </c>
      <c r="B576" t="s">
        <v>5</v>
      </c>
      <c r="C576" t="s">
        <v>9</v>
      </c>
      <c r="D576">
        <v>14.86</v>
      </c>
      <c r="E576">
        <v>6</v>
      </c>
      <c r="F576" t="s">
        <v>15</v>
      </c>
      <c r="G576">
        <v>30</v>
      </c>
      <c r="H576">
        <v>19.318000000000001</v>
      </c>
      <c r="I576">
        <v>30.000000000000004</v>
      </c>
      <c r="J576" t="s">
        <v>20</v>
      </c>
    </row>
    <row r="577" spans="1:10" x14ac:dyDescent="0.2">
      <c r="A577">
        <v>10576</v>
      </c>
      <c r="B577" t="s">
        <v>10</v>
      </c>
      <c r="C577" t="s">
        <v>9</v>
      </c>
      <c r="D577">
        <v>4.53</v>
      </c>
      <c r="E577">
        <v>5</v>
      </c>
      <c r="F577" t="s">
        <v>15</v>
      </c>
      <c r="G577">
        <v>30</v>
      </c>
      <c r="H577">
        <v>5.8890000000000002</v>
      </c>
      <c r="I577">
        <v>30.000000000000004</v>
      </c>
      <c r="J577" t="s">
        <v>20</v>
      </c>
    </row>
    <row r="578" spans="1:10" x14ac:dyDescent="0.2">
      <c r="A578">
        <v>10577</v>
      </c>
      <c r="B578" t="s">
        <v>8</v>
      </c>
      <c r="C578" t="s">
        <v>6</v>
      </c>
      <c r="D578">
        <v>7.72</v>
      </c>
      <c r="E578">
        <v>5</v>
      </c>
      <c r="F578" t="s">
        <v>15</v>
      </c>
      <c r="G578">
        <v>28</v>
      </c>
      <c r="H578">
        <v>9.8816000000000006</v>
      </c>
      <c r="I578">
        <v>28.000000000000004</v>
      </c>
      <c r="J578" t="s">
        <v>20</v>
      </c>
    </row>
    <row r="579" spans="1:10" x14ac:dyDescent="0.2">
      <c r="A579">
        <v>10578</v>
      </c>
      <c r="B579" t="s">
        <v>10</v>
      </c>
      <c r="C579" t="s">
        <v>6</v>
      </c>
      <c r="D579">
        <v>5.28</v>
      </c>
      <c r="E579">
        <v>2</v>
      </c>
      <c r="F579" t="s">
        <v>14</v>
      </c>
      <c r="G579">
        <v>12</v>
      </c>
      <c r="H579">
        <v>5.9136000000000006</v>
      </c>
      <c r="I579">
        <v>12.000000000000011</v>
      </c>
      <c r="J579" t="s">
        <v>20</v>
      </c>
    </row>
    <row r="580" spans="1:10" x14ac:dyDescent="0.2">
      <c r="A580">
        <v>10579</v>
      </c>
      <c r="B580" t="s">
        <v>10</v>
      </c>
      <c r="C580" t="s">
        <v>6</v>
      </c>
      <c r="D580">
        <v>6.89</v>
      </c>
      <c r="E580">
        <v>8</v>
      </c>
      <c r="F580" t="s">
        <v>16</v>
      </c>
      <c r="G580">
        <v>55</v>
      </c>
      <c r="H580">
        <v>10.679499999999999</v>
      </c>
      <c r="I580">
        <v>55.000000000000007</v>
      </c>
      <c r="J580" t="s">
        <v>20</v>
      </c>
    </row>
    <row r="581" spans="1:10" x14ac:dyDescent="0.2">
      <c r="A581">
        <v>10580</v>
      </c>
      <c r="B581" t="s">
        <v>10</v>
      </c>
      <c r="C581" t="s">
        <v>6</v>
      </c>
      <c r="D581">
        <v>12.93</v>
      </c>
      <c r="E581">
        <v>5</v>
      </c>
      <c r="F581" t="s">
        <v>15</v>
      </c>
      <c r="G581">
        <v>28</v>
      </c>
      <c r="H581">
        <v>16.5504</v>
      </c>
      <c r="I581">
        <v>28.000000000000004</v>
      </c>
      <c r="J581" t="s">
        <v>20</v>
      </c>
    </row>
    <row r="582" spans="1:10" x14ac:dyDescent="0.2">
      <c r="A582">
        <v>10581</v>
      </c>
      <c r="B582" t="s">
        <v>10</v>
      </c>
      <c r="C582" t="s">
        <v>9</v>
      </c>
      <c r="D582">
        <v>10.42</v>
      </c>
      <c r="E582">
        <v>2</v>
      </c>
      <c r="F582" t="s">
        <v>14</v>
      </c>
      <c r="G582">
        <v>15</v>
      </c>
      <c r="H582">
        <v>11.982999999999999</v>
      </c>
      <c r="I582">
        <v>14.999999999999991</v>
      </c>
      <c r="J582" t="s">
        <v>20</v>
      </c>
    </row>
    <row r="583" spans="1:10" x14ac:dyDescent="0.2">
      <c r="A583">
        <v>10582</v>
      </c>
      <c r="B583" t="s">
        <v>8</v>
      </c>
      <c r="C583" t="s">
        <v>11</v>
      </c>
      <c r="D583">
        <v>13.3</v>
      </c>
      <c r="E583">
        <v>7</v>
      </c>
      <c r="F583" t="s">
        <v>15</v>
      </c>
      <c r="G583">
        <v>25</v>
      </c>
      <c r="H583">
        <v>16.625</v>
      </c>
      <c r="I583">
        <v>25</v>
      </c>
      <c r="J583" t="s">
        <v>20</v>
      </c>
    </row>
    <row r="584" spans="1:10" x14ac:dyDescent="0.2">
      <c r="A584">
        <v>10583</v>
      </c>
      <c r="B584" t="s">
        <v>7</v>
      </c>
      <c r="C584" t="s">
        <v>9</v>
      </c>
      <c r="D584">
        <v>3.45</v>
      </c>
      <c r="E584">
        <v>9</v>
      </c>
      <c r="F584" t="s">
        <v>16</v>
      </c>
      <c r="G584">
        <v>60</v>
      </c>
      <c r="H584">
        <v>5.5200000000000005</v>
      </c>
      <c r="I584">
        <v>60.000000000000007</v>
      </c>
      <c r="J584" t="s">
        <v>20</v>
      </c>
    </row>
    <row r="585" spans="1:10" x14ac:dyDescent="0.2">
      <c r="A585">
        <v>10584</v>
      </c>
      <c r="B585" t="s">
        <v>10</v>
      </c>
      <c r="C585" t="s">
        <v>11</v>
      </c>
      <c r="D585">
        <v>13.16</v>
      </c>
      <c r="E585">
        <v>9</v>
      </c>
      <c r="F585" t="s">
        <v>16</v>
      </c>
      <c r="G585">
        <v>50</v>
      </c>
      <c r="H585">
        <v>19.740000000000002</v>
      </c>
      <c r="I585">
        <v>50.000000000000021</v>
      </c>
      <c r="J585" t="s">
        <v>20</v>
      </c>
    </row>
    <row r="586" spans="1:10" x14ac:dyDescent="0.2">
      <c r="A586">
        <v>10585</v>
      </c>
      <c r="B586" t="s">
        <v>10</v>
      </c>
      <c r="C586" t="s">
        <v>6</v>
      </c>
      <c r="D586">
        <v>1.37</v>
      </c>
      <c r="E586">
        <v>1</v>
      </c>
      <c r="F586" t="s">
        <v>14</v>
      </c>
      <c r="G586">
        <v>12</v>
      </c>
      <c r="H586">
        <v>1.5344000000000002</v>
      </c>
      <c r="I586">
        <v>12.000000000000011</v>
      </c>
      <c r="J586" t="s">
        <v>20</v>
      </c>
    </row>
    <row r="587" spans="1:10" x14ac:dyDescent="0.2">
      <c r="A587">
        <v>10586</v>
      </c>
      <c r="B587" t="s">
        <v>5</v>
      </c>
      <c r="C587" t="s">
        <v>11</v>
      </c>
      <c r="D587">
        <v>13.38</v>
      </c>
      <c r="E587">
        <v>7</v>
      </c>
      <c r="F587" t="s">
        <v>15</v>
      </c>
      <c r="G587">
        <v>25</v>
      </c>
      <c r="H587">
        <v>16.725000000000001</v>
      </c>
      <c r="I587">
        <v>25</v>
      </c>
      <c r="J587" t="s">
        <v>20</v>
      </c>
    </row>
    <row r="588" spans="1:10" x14ac:dyDescent="0.2">
      <c r="A588">
        <v>10587</v>
      </c>
      <c r="B588" t="s">
        <v>10</v>
      </c>
      <c r="C588" t="s">
        <v>9</v>
      </c>
      <c r="D588">
        <v>5.27</v>
      </c>
      <c r="E588">
        <v>9</v>
      </c>
      <c r="F588" t="s">
        <v>16</v>
      </c>
      <c r="G588">
        <v>60</v>
      </c>
      <c r="H588">
        <v>8.4320000000000004</v>
      </c>
      <c r="I588">
        <v>60.000000000000028</v>
      </c>
      <c r="J588" t="s">
        <v>20</v>
      </c>
    </row>
    <row r="589" spans="1:10" x14ac:dyDescent="0.2">
      <c r="A589">
        <v>10588</v>
      </c>
      <c r="B589" t="s">
        <v>5</v>
      </c>
      <c r="C589" t="s">
        <v>9</v>
      </c>
      <c r="D589">
        <v>5.0599999999999996</v>
      </c>
      <c r="E589">
        <v>6</v>
      </c>
      <c r="F589" t="s">
        <v>15</v>
      </c>
      <c r="G589">
        <v>30</v>
      </c>
      <c r="H589">
        <v>6.5779999999999994</v>
      </c>
      <c r="I589">
        <v>30.000000000000004</v>
      </c>
      <c r="J589" t="s">
        <v>20</v>
      </c>
    </row>
    <row r="590" spans="1:10" x14ac:dyDescent="0.2">
      <c r="A590">
        <v>10589</v>
      </c>
      <c r="B590" t="s">
        <v>7</v>
      </c>
      <c r="C590" t="s">
        <v>6</v>
      </c>
      <c r="D590">
        <v>7.93</v>
      </c>
      <c r="E590">
        <v>1</v>
      </c>
      <c r="F590" t="s">
        <v>14</v>
      </c>
      <c r="G590">
        <v>12</v>
      </c>
      <c r="H590">
        <v>8.8816000000000006</v>
      </c>
      <c r="I590">
        <v>12.000000000000011</v>
      </c>
      <c r="J590" t="s">
        <v>20</v>
      </c>
    </row>
    <row r="591" spans="1:10" x14ac:dyDescent="0.2">
      <c r="A591">
        <v>10590</v>
      </c>
      <c r="B591" t="s">
        <v>8</v>
      </c>
      <c r="C591" t="s">
        <v>9</v>
      </c>
      <c r="D591">
        <v>14.14</v>
      </c>
      <c r="E591">
        <v>2</v>
      </c>
      <c r="F591" t="s">
        <v>14</v>
      </c>
      <c r="G591">
        <v>15</v>
      </c>
      <c r="H591">
        <v>16.260999999999999</v>
      </c>
      <c r="I591">
        <v>14.999999999999991</v>
      </c>
      <c r="J591" t="s">
        <v>20</v>
      </c>
    </row>
    <row r="592" spans="1:10" x14ac:dyDescent="0.2">
      <c r="A592">
        <v>10591</v>
      </c>
      <c r="B592" t="s">
        <v>8</v>
      </c>
      <c r="C592" t="s">
        <v>6</v>
      </c>
      <c r="D592">
        <v>1.19</v>
      </c>
      <c r="E592">
        <v>4</v>
      </c>
      <c r="F592" t="s">
        <v>15</v>
      </c>
      <c r="G592">
        <v>28</v>
      </c>
      <c r="H592">
        <v>1.5231999999999999</v>
      </c>
      <c r="I592">
        <v>28.000000000000004</v>
      </c>
      <c r="J592" t="s">
        <v>20</v>
      </c>
    </row>
    <row r="593" spans="1:10" x14ac:dyDescent="0.2">
      <c r="A593">
        <v>10592</v>
      </c>
      <c r="B593" t="s">
        <v>7</v>
      </c>
      <c r="C593" t="s">
        <v>9</v>
      </c>
      <c r="D593">
        <v>5.61</v>
      </c>
      <c r="E593">
        <v>4</v>
      </c>
      <c r="F593" t="s">
        <v>15</v>
      </c>
      <c r="G593">
        <v>30</v>
      </c>
      <c r="H593">
        <v>7.293000000000001</v>
      </c>
      <c r="I593">
        <v>30.000000000000004</v>
      </c>
      <c r="J593" t="s">
        <v>20</v>
      </c>
    </row>
    <row r="594" spans="1:10" x14ac:dyDescent="0.2">
      <c r="A594">
        <v>10593</v>
      </c>
      <c r="B594" t="s">
        <v>8</v>
      </c>
      <c r="C594" t="s">
        <v>9</v>
      </c>
      <c r="D594">
        <v>12.92</v>
      </c>
      <c r="E594">
        <v>2</v>
      </c>
      <c r="F594" t="s">
        <v>14</v>
      </c>
      <c r="G594">
        <v>15</v>
      </c>
      <c r="H594">
        <v>14.857999999999999</v>
      </c>
      <c r="I594">
        <v>14.999999999999991</v>
      </c>
      <c r="J594" t="s">
        <v>20</v>
      </c>
    </row>
    <row r="595" spans="1:10" x14ac:dyDescent="0.2">
      <c r="A595">
        <v>10594</v>
      </c>
      <c r="B595" t="s">
        <v>7</v>
      </c>
      <c r="C595" t="s">
        <v>6</v>
      </c>
      <c r="D595">
        <v>6.24</v>
      </c>
      <c r="E595">
        <v>8</v>
      </c>
      <c r="F595" t="s">
        <v>16</v>
      </c>
      <c r="G595">
        <v>55</v>
      </c>
      <c r="H595">
        <v>9.6720000000000006</v>
      </c>
      <c r="I595">
        <v>55.000000000000007</v>
      </c>
      <c r="J595" t="s">
        <v>20</v>
      </c>
    </row>
    <row r="596" spans="1:10" x14ac:dyDescent="0.2">
      <c r="A596">
        <v>10595</v>
      </c>
      <c r="B596" t="s">
        <v>7</v>
      </c>
      <c r="C596" t="s">
        <v>11</v>
      </c>
      <c r="D596">
        <v>3.39</v>
      </c>
      <c r="E596">
        <v>2</v>
      </c>
      <c r="F596" t="s">
        <v>14</v>
      </c>
      <c r="G596">
        <v>10</v>
      </c>
      <c r="H596">
        <v>3.7290000000000005</v>
      </c>
      <c r="I596">
        <v>10.000000000000009</v>
      </c>
      <c r="J596" t="s">
        <v>20</v>
      </c>
    </row>
    <row r="597" spans="1:10" x14ac:dyDescent="0.2">
      <c r="A597">
        <v>10596</v>
      </c>
      <c r="B597" t="s">
        <v>7</v>
      </c>
      <c r="C597" t="s">
        <v>9</v>
      </c>
      <c r="D597">
        <v>6.66</v>
      </c>
      <c r="E597">
        <v>3</v>
      </c>
      <c r="F597" t="s">
        <v>14</v>
      </c>
      <c r="G597">
        <v>15</v>
      </c>
      <c r="H597">
        <v>7.6589999999999998</v>
      </c>
      <c r="I597">
        <v>14.999999999999991</v>
      </c>
      <c r="J597" t="s">
        <v>20</v>
      </c>
    </row>
    <row r="598" spans="1:10" x14ac:dyDescent="0.2">
      <c r="A598">
        <v>10597</v>
      </c>
      <c r="B598" t="s">
        <v>8</v>
      </c>
      <c r="C598" t="s">
        <v>11</v>
      </c>
      <c r="D598">
        <v>6.09</v>
      </c>
      <c r="E598">
        <v>4</v>
      </c>
      <c r="F598" t="s">
        <v>15</v>
      </c>
      <c r="G598">
        <v>25</v>
      </c>
      <c r="H598">
        <v>7.6124999999999998</v>
      </c>
      <c r="I598">
        <v>25</v>
      </c>
      <c r="J598" t="s">
        <v>20</v>
      </c>
    </row>
    <row r="599" spans="1:10" x14ac:dyDescent="0.2">
      <c r="A599">
        <v>10598</v>
      </c>
      <c r="B599" t="s">
        <v>5</v>
      </c>
      <c r="C599" t="s">
        <v>9</v>
      </c>
      <c r="D599">
        <v>13.77</v>
      </c>
      <c r="E599">
        <v>9</v>
      </c>
      <c r="F599" t="s">
        <v>16</v>
      </c>
      <c r="G599">
        <v>60</v>
      </c>
      <c r="H599">
        <v>22.032</v>
      </c>
      <c r="I599">
        <v>60.000000000000007</v>
      </c>
      <c r="J599" t="s">
        <v>20</v>
      </c>
    </row>
    <row r="600" spans="1:10" x14ac:dyDescent="0.2">
      <c r="A600">
        <v>10599</v>
      </c>
      <c r="B600" t="s">
        <v>7</v>
      </c>
      <c r="C600" t="s">
        <v>9</v>
      </c>
      <c r="D600">
        <v>11.55</v>
      </c>
      <c r="E600">
        <v>10</v>
      </c>
      <c r="F600" t="s">
        <v>16</v>
      </c>
      <c r="G600">
        <v>60</v>
      </c>
      <c r="H600">
        <v>18.48</v>
      </c>
      <c r="I600">
        <v>59.999999999999986</v>
      </c>
      <c r="J600" t="s">
        <v>20</v>
      </c>
    </row>
    <row r="601" spans="1:10" x14ac:dyDescent="0.2">
      <c r="A601">
        <v>10600</v>
      </c>
      <c r="B601" t="s">
        <v>10</v>
      </c>
      <c r="C601" t="s">
        <v>9</v>
      </c>
      <c r="D601">
        <v>7.82</v>
      </c>
      <c r="E601">
        <v>1</v>
      </c>
      <c r="F601" t="s">
        <v>14</v>
      </c>
      <c r="G601">
        <v>15</v>
      </c>
      <c r="H601">
        <v>8.9930000000000003</v>
      </c>
      <c r="I601">
        <v>14.999999999999991</v>
      </c>
      <c r="J601" t="s">
        <v>20</v>
      </c>
    </row>
    <row r="602" spans="1:10" x14ac:dyDescent="0.2">
      <c r="A602">
        <v>10601</v>
      </c>
      <c r="B602" t="s">
        <v>8</v>
      </c>
      <c r="C602" t="s">
        <v>9</v>
      </c>
      <c r="D602">
        <v>14.83</v>
      </c>
      <c r="E602">
        <v>8</v>
      </c>
      <c r="F602" t="s">
        <v>16</v>
      </c>
      <c r="G602">
        <v>60</v>
      </c>
      <c r="H602">
        <v>23.728000000000002</v>
      </c>
      <c r="I602">
        <v>60.000000000000007</v>
      </c>
      <c r="J602" t="s">
        <v>20</v>
      </c>
    </row>
    <row r="603" spans="1:10" x14ac:dyDescent="0.2">
      <c r="A603">
        <v>10602</v>
      </c>
      <c r="B603" t="s">
        <v>7</v>
      </c>
      <c r="C603" t="s">
        <v>11</v>
      </c>
      <c r="D603">
        <v>7.25</v>
      </c>
      <c r="E603">
        <v>5</v>
      </c>
      <c r="F603" t="s">
        <v>15</v>
      </c>
      <c r="G603">
        <v>25</v>
      </c>
      <c r="H603">
        <v>9.0625</v>
      </c>
      <c r="I603">
        <v>25</v>
      </c>
      <c r="J603" t="s">
        <v>20</v>
      </c>
    </row>
    <row r="604" spans="1:10" x14ac:dyDescent="0.2">
      <c r="A604">
        <v>10603</v>
      </c>
      <c r="B604" t="s">
        <v>7</v>
      </c>
      <c r="C604" t="s">
        <v>11</v>
      </c>
      <c r="D604">
        <v>1.34</v>
      </c>
      <c r="E604">
        <v>7</v>
      </c>
      <c r="F604" t="s">
        <v>15</v>
      </c>
      <c r="G604">
        <v>25</v>
      </c>
      <c r="H604">
        <v>1.675</v>
      </c>
      <c r="I604">
        <v>25</v>
      </c>
      <c r="J604" t="s">
        <v>20</v>
      </c>
    </row>
    <row r="605" spans="1:10" x14ac:dyDescent="0.2">
      <c r="A605">
        <v>10604</v>
      </c>
      <c r="B605" t="s">
        <v>10</v>
      </c>
      <c r="C605" t="s">
        <v>9</v>
      </c>
      <c r="D605">
        <v>4.3</v>
      </c>
      <c r="E605">
        <v>8</v>
      </c>
      <c r="F605" t="s">
        <v>16</v>
      </c>
      <c r="G605">
        <v>60</v>
      </c>
      <c r="H605">
        <v>6.88</v>
      </c>
      <c r="I605">
        <v>60.000000000000007</v>
      </c>
      <c r="J605" t="s">
        <v>20</v>
      </c>
    </row>
    <row r="606" spans="1:10" x14ac:dyDescent="0.2">
      <c r="A606">
        <v>10605</v>
      </c>
      <c r="B606" t="s">
        <v>5</v>
      </c>
      <c r="C606" t="s">
        <v>9</v>
      </c>
      <c r="D606">
        <v>6.82</v>
      </c>
      <c r="E606">
        <v>5</v>
      </c>
      <c r="F606" t="s">
        <v>15</v>
      </c>
      <c r="G606">
        <v>30</v>
      </c>
      <c r="H606">
        <v>8.8660000000000014</v>
      </c>
      <c r="I606">
        <v>30.000000000000028</v>
      </c>
      <c r="J606" t="s">
        <v>20</v>
      </c>
    </row>
    <row r="607" spans="1:10" x14ac:dyDescent="0.2">
      <c r="A607">
        <v>10606</v>
      </c>
      <c r="B607" t="s">
        <v>5</v>
      </c>
      <c r="C607" t="s">
        <v>11</v>
      </c>
      <c r="D607">
        <v>2.78</v>
      </c>
      <c r="E607">
        <v>8</v>
      </c>
      <c r="F607" t="s">
        <v>16</v>
      </c>
      <c r="G607">
        <v>50</v>
      </c>
      <c r="H607">
        <v>4.17</v>
      </c>
      <c r="I607">
        <v>50</v>
      </c>
      <c r="J607" t="s">
        <v>20</v>
      </c>
    </row>
    <row r="608" spans="1:10" x14ac:dyDescent="0.2">
      <c r="A608">
        <v>10607</v>
      </c>
      <c r="B608" t="s">
        <v>5</v>
      </c>
      <c r="C608" t="s">
        <v>6</v>
      </c>
      <c r="D608">
        <v>14.24</v>
      </c>
      <c r="E608">
        <v>10</v>
      </c>
      <c r="F608" t="s">
        <v>16</v>
      </c>
      <c r="G608">
        <v>55</v>
      </c>
      <c r="H608">
        <v>22.072000000000003</v>
      </c>
      <c r="I608">
        <v>55.000000000000028</v>
      </c>
      <c r="J608" t="s">
        <v>20</v>
      </c>
    </row>
    <row r="609" spans="1:10" x14ac:dyDescent="0.2">
      <c r="A609">
        <v>10608</v>
      </c>
      <c r="B609" t="s">
        <v>7</v>
      </c>
      <c r="C609" t="s">
        <v>6</v>
      </c>
      <c r="D609">
        <v>11.62</v>
      </c>
      <c r="E609">
        <v>8</v>
      </c>
      <c r="F609" t="s">
        <v>16</v>
      </c>
      <c r="G609">
        <v>55</v>
      </c>
      <c r="H609">
        <v>18.010999999999999</v>
      </c>
      <c r="I609">
        <v>55.000000000000007</v>
      </c>
      <c r="J609" t="s">
        <v>20</v>
      </c>
    </row>
    <row r="610" spans="1:10" x14ac:dyDescent="0.2">
      <c r="A610">
        <v>10609</v>
      </c>
      <c r="B610" t="s">
        <v>7</v>
      </c>
      <c r="C610" t="s">
        <v>11</v>
      </c>
      <c r="D610">
        <v>4.3899999999999997</v>
      </c>
      <c r="E610">
        <v>9</v>
      </c>
      <c r="F610" t="s">
        <v>16</v>
      </c>
      <c r="G610">
        <v>50</v>
      </c>
      <c r="H610">
        <v>6.5849999999999991</v>
      </c>
      <c r="I610">
        <v>50</v>
      </c>
      <c r="J610" t="s">
        <v>20</v>
      </c>
    </row>
    <row r="611" spans="1:10" x14ac:dyDescent="0.2">
      <c r="A611">
        <v>10610</v>
      </c>
      <c r="B611" t="s">
        <v>7</v>
      </c>
      <c r="C611" t="s">
        <v>9</v>
      </c>
      <c r="D611">
        <v>9.07</v>
      </c>
      <c r="E611">
        <v>2</v>
      </c>
      <c r="F611" t="s">
        <v>14</v>
      </c>
      <c r="G611">
        <v>15</v>
      </c>
      <c r="H611">
        <v>10.4305</v>
      </c>
      <c r="I611">
        <v>14.999999999999991</v>
      </c>
      <c r="J611" t="s">
        <v>20</v>
      </c>
    </row>
    <row r="612" spans="1:10" x14ac:dyDescent="0.2">
      <c r="A612">
        <v>10611</v>
      </c>
      <c r="B612" t="s">
        <v>8</v>
      </c>
      <c r="C612" t="s">
        <v>9</v>
      </c>
      <c r="D612">
        <v>10.96</v>
      </c>
      <c r="E612">
        <v>3</v>
      </c>
      <c r="F612" t="s">
        <v>14</v>
      </c>
      <c r="G612">
        <v>15</v>
      </c>
      <c r="H612">
        <v>12.603999999999999</v>
      </c>
      <c r="I612">
        <v>14.999999999999991</v>
      </c>
      <c r="J612" t="s">
        <v>20</v>
      </c>
    </row>
    <row r="613" spans="1:10" x14ac:dyDescent="0.2">
      <c r="A613">
        <v>10612</v>
      </c>
      <c r="B613" t="s">
        <v>10</v>
      </c>
      <c r="C613" t="s">
        <v>6</v>
      </c>
      <c r="D613">
        <v>14.15</v>
      </c>
      <c r="E613">
        <v>1</v>
      </c>
      <c r="F613" t="s">
        <v>14</v>
      </c>
      <c r="G613">
        <v>12</v>
      </c>
      <c r="H613">
        <v>15.848000000000003</v>
      </c>
      <c r="I613">
        <v>12.000000000000011</v>
      </c>
      <c r="J613" t="s">
        <v>20</v>
      </c>
    </row>
    <row r="614" spans="1:10" x14ac:dyDescent="0.2">
      <c r="A614">
        <v>10613</v>
      </c>
      <c r="B614" t="s">
        <v>7</v>
      </c>
      <c r="C614" t="s">
        <v>6</v>
      </c>
      <c r="D614">
        <v>13.28</v>
      </c>
      <c r="E614">
        <v>4</v>
      </c>
      <c r="F614" t="s">
        <v>15</v>
      </c>
      <c r="G614">
        <v>28</v>
      </c>
      <c r="H614">
        <v>16.9984</v>
      </c>
      <c r="I614">
        <v>28.000000000000004</v>
      </c>
      <c r="J614" t="s">
        <v>20</v>
      </c>
    </row>
    <row r="615" spans="1:10" x14ac:dyDescent="0.2">
      <c r="A615">
        <v>10614</v>
      </c>
      <c r="B615" t="s">
        <v>10</v>
      </c>
      <c r="C615" t="s">
        <v>11</v>
      </c>
      <c r="D615">
        <v>7.97</v>
      </c>
      <c r="E615">
        <v>5</v>
      </c>
      <c r="F615" t="s">
        <v>15</v>
      </c>
      <c r="G615">
        <v>25</v>
      </c>
      <c r="H615">
        <v>9.9625000000000004</v>
      </c>
      <c r="I615">
        <v>25</v>
      </c>
      <c r="J615" t="s">
        <v>20</v>
      </c>
    </row>
    <row r="616" spans="1:10" x14ac:dyDescent="0.2">
      <c r="A616">
        <v>10615</v>
      </c>
      <c r="B616" t="s">
        <v>10</v>
      </c>
      <c r="C616" t="s">
        <v>6</v>
      </c>
      <c r="D616">
        <v>11.73</v>
      </c>
      <c r="E616">
        <v>1</v>
      </c>
      <c r="F616" t="s">
        <v>14</v>
      </c>
      <c r="G616">
        <v>12</v>
      </c>
      <c r="H616">
        <v>13.137600000000003</v>
      </c>
      <c r="I616">
        <v>12.000000000000011</v>
      </c>
      <c r="J616" t="s">
        <v>20</v>
      </c>
    </row>
    <row r="617" spans="1:10" x14ac:dyDescent="0.2">
      <c r="A617">
        <v>10616</v>
      </c>
      <c r="B617" t="s">
        <v>5</v>
      </c>
      <c r="C617" t="s">
        <v>11</v>
      </c>
      <c r="D617">
        <v>8.65</v>
      </c>
      <c r="E617">
        <v>8</v>
      </c>
      <c r="F617" t="s">
        <v>16</v>
      </c>
      <c r="G617">
        <v>50</v>
      </c>
      <c r="H617">
        <v>12.975000000000001</v>
      </c>
      <c r="I617">
        <v>50</v>
      </c>
      <c r="J617" t="s">
        <v>20</v>
      </c>
    </row>
    <row r="618" spans="1:10" x14ac:dyDescent="0.2">
      <c r="A618">
        <v>10617</v>
      </c>
      <c r="B618" t="s">
        <v>8</v>
      </c>
      <c r="C618" t="s">
        <v>6</v>
      </c>
      <c r="D618">
        <v>8.51</v>
      </c>
      <c r="E618">
        <v>2</v>
      </c>
      <c r="F618" t="s">
        <v>14</v>
      </c>
      <c r="G618">
        <v>12</v>
      </c>
      <c r="H618">
        <v>9.5312000000000001</v>
      </c>
      <c r="I618">
        <v>12.000000000000011</v>
      </c>
      <c r="J618" t="s">
        <v>20</v>
      </c>
    </row>
    <row r="619" spans="1:10" x14ac:dyDescent="0.2">
      <c r="A619">
        <v>10618</v>
      </c>
      <c r="B619" t="s">
        <v>7</v>
      </c>
      <c r="C619" t="s">
        <v>6</v>
      </c>
      <c r="D619">
        <v>2.16</v>
      </c>
      <c r="E619">
        <v>1</v>
      </c>
      <c r="F619" t="s">
        <v>14</v>
      </c>
      <c r="G619">
        <v>12</v>
      </c>
      <c r="H619">
        <v>2.4192000000000005</v>
      </c>
      <c r="I619">
        <v>12.000000000000011</v>
      </c>
      <c r="J619" t="s">
        <v>20</v>
      </c>
    </row>
    <row r="620" spans="1:10" x14ac:dyDescent="0.2">
      <c r="A620">
        <v>10619</v>
      </c>
      <c r="B620" t="s">
        <v>5</v>
      </c>
      <c r="C620" t="s">
        <v>6</v>
      </c>
      <c r="D620">
        <v>2.33</v>
      </c>
      <c r="E620">
        <v>2</v>
      </c>
      <c r="F620" t="s">
        <v>14</v>
      </c>
      <c r="G620">
        <v>12</v>
      </c>
      <c r="H620">
        <v>2.6096000000000004</v>
      </c>
      <c r="I620">
        <v>12.000000000000011</v>
      </c>
      <c r="J620" t="s">
        <v>20</v>
      </c>
    </row>
    <row r="621" spans="1:10" x14ac:dyDescent="0.2">
      <c r="A621">
        <v>10620</v>
      </c>
      <c r="B621" t="s">
        <v>5</v>
      </c>
      <c r="C621" t="s">
        <v>9</v>
      </c>
      <c r="D621">
        <v>8.18</v>
      </c>
      <c r="E621">
        <v>5</v>
      </c>
      <c r="F621" t="s">
        <v>15</v>
      </c>
      <c r="G621">
        <v>30</v>
      </c>
      <c r="H621">
        <v>10.634</v>
      </c>
      <c r="I621">
        <v>30.000000000000004</v>
      </c>
      <c r="J621" t="s">
        <v>20</v>
      </c>
    </row>
    <row r="622" spans="1:10" x14ac:dyDescent="0.2">
      <c r="A622">
        <v>10621</v>
      </c>
      <c r="B622" t="s">
        <v>7</v>
      </c>
      <c r="C622" t="s">
        <v>9</v>
      </c>
      <c r="D622">
        <v>4.4000000000000004</v>
      </c>
      <c r="E622">
        <v>9</v>
      </c>
      <c r="F622" t="s">
        <v>16</v>
      </c>
      <c r="G622">
        <v>60</v>
      </c>
      <c r="H622">
        <v>7.0400000000000009</v>
      </c>
      <c r="I622">
        <v>60.000000000000007</v>
      </c>
      <c r="J622" t="s">
        <v>20</v>
      </c>
    </row>
    <row r="623" spans="1:10" x14ac:dyDescent="0.2">
      <c r="A623">
        <v>10622</v>
      </c>
      <c r="B623" t="s">
        <v>10</v>
      </c>
      <c r="C623" t="s">
        <v>9</v>
      </c>
      <c r="D623">
        <v>0.81</v>
      </c>
      <c r="E623">
        <v>9</v>
      </c>
      <c r="F623" t="s">
        <v>16</v>
      </c>
      <c r="G623">
        <v>60</v>
      </c>
      <c r="H623">
        <v>1.2960000000000003</v>
      </c>
      <c r="I623">
        <v>60.000000000000028</v>
      </c>
      <c r="J623" t="s">
        <v>20</v>
      </c>
    </row>
    <row r="624" spans="1:10" x14ac:dyDescent="0.2">
      <c r="A624">
        <v>10623</v>
      </c>
      <c r="B624" t="s">
        <v>5</v>
      </c>
      <c r="C624" t="s">
        <v>6</v>
      </c>
      <c r="D624">
        <v>10.98</v>
      </c>
      <c r="E624">
        <v>2</v>
      </c>
      <c r="F624" t="s">
        <v>14</v>
      </c>
      <c r="G624">
        <v>12</v>
      </c>
      <c r="H624">
        <v>12.297600000000001</v>
      </c>
      <c r="I624">
        <v>12.000000000000011</v>
      </c>
      <c r="J624" t="s">
        <v>20</v>
      </c>
    </row>
    <row r="625" spans="1:10" x14ac:dyDescent="0.2">
      <c r="A625">
        <v>10624</v>
      </c>
      <c r="B625" t="s">
        <v>10</v>
      </c>
      <c r="C625" t="s">
        <v>11</v>
      </c>
      <c r="D625">
        <v>0.97</v>
      </c>
      <c r="E625">
        <v>2</v>
      </c>
      <c r="F625" t="s">
        <v>14</v>
      </c>
      <c r="G625">
        <v>10</v>
      </c>
      <c r="H625">
        <v>1.0669999999999999</v>
      </c>
      <c r="I625">
        <v>9.9999999999999858</v>
      </c>
      <c r="J625" t="s">
        <v>20</v>
      </c>
    </row>
    <row r="626" spans="1:10" x14ac:dyDescent="0.2">
      <c r="A626">
        <v>10625</v>
      </c>
      <c r="B626" t="s">
        <v>8</v>
      </c>
      <c r="C626" t="s">
        <v>11</v>
      </c>
      <c r="D626">
        <v>9.1300000000000008</v>
      </c>
      <c r="E626">
        <v>3</v>
      </c>
      <c r="F626" t="s">
        <v>14</v>
      </c>
      <c r="G626">
        <v>10</v>
      </c>
      <c r="H626">
        <v>10.043000000000001</v>
      </c>
      <c r="I626">
        <v>10.000000000000009</v>
      </c>
      <c r="J626" t="s">
        <v>20</v>
      </c>
    </row>
    <row r="627" spans="1:10" x14ac:dyDescent="0.2">
      <c r="A627">
        <v>10626</v>
      </c>
      <c r="B627" t="s">
        <v>10</v>
      </c>
      <c r="C627" t="s">
        <v>11</v>
      </c>
      <c r="D627">
        <v>8.32</v>
      </c>
      <c r="E627">
        <v>7</v>
      </c>
      <c r="F627" t="s">
        <v>15</v>
      </c>
      <c r="G627">
        <v>25</v>
      </c>
      <c r="H627">
        <v>10.4</v>
      </c>
      <c r="I627">
        <v>25</v>
      </c>
      <c r="J627" t="s">
        <v>20</v>
      </c>
    </row>
    <row r="628" spans="1:10" x14ac:dyDescent="0.2">
      <c r="A628">
        <v>10627</v>
      </c>
      <c r="B628" t="s">
        <v>8</v>
      </c>
      <c r="C628" t="s">
        <v>11</v>
      </c>
      <c r="D628">
        <v>14.55</v>
      </c>
      <c r="E628">
        <v>3</v>
      </c>
      <c r="F628" t="s">
        <v>14</v>
      </c>
      <c r="G628">
        <v>10</v>
      </c>
      <c r="H628">
        <v>16.005000000000003</v>
      </c>
      <c r="I628">
        <v>10.000000000000009</v>
      </c>
      <c r="J628" t="s">
        <v>20</v>
      </c>
    </row>
    <row r="629" spans="1:10" x14ac:dyDescent="0.2">
      <c r="A629">
        <v>10628</v>
      </c>
      <c r="B629" t="s">
        <v>10</v>
      </c>
      <c r="C629" t="s">
        <v>9</v>
      </c>
      <c r="D629">
        <v>7.52</v>
      </c>
      <c r="E629">
        <v>1</v>
      </c>
      <c r="F629" t="s">
        <v>14</v>
      </c>
      <c r="G629">
        <v>15</v>
      </c>
      <c r="H629">
        <v>8.6479999999999997</v>
      </c>
      <c r="I629">
        <v>15.000000000000014</v>
      </c>
      <c r="J629" t="s">
        <v>20</v>
      </c>
    </row>
    <row r="630" spans="1:10" x14ac:dyDescent="0.2">
      <c r="A630">
        <v>10629</v>
      </c>
      <c r="B630" t="s">
        <v>5</v>
      </c>
      <c r="C630" t="s">
        <v>9</v>
      </c>
      <c r="D630">
        <v>1.42</v>
      </c>
      <c r="E630">
        <v>6</v>
      </c>
      <c r="F630" t="s">
        <v>15</v>
      </c>
      <c r="G630">
        <v>30</v>
      </c>
      <c r="H630">
        <v>1.8459999999999999</v>
      </c>
      <c r="I630">
        <v>30.000000000000004</v>
      </c>
      <c r="J630" t="s">
        <v>20</v>
      </c>
    </row>
    <row r="631" spans="1:10" x14ac:dyDescent="0.2">
      <c r="A631">
        <v>10630</v>
      </c>
      <c r="B631" t="s">
        <v>5</v>
      </c>
      <c r="C631" t="s">
        <v>6</v>
      </c>
      <c r="D631">
        <v>8.5</v>
      </c>
      <c r="E631">
        <v>3</v>
      </c>
      <c r="F631" t="s">
        <v>14</v>
      </c>
      <c r="G631">
        <v>12</v>
      </c>
      <c r="H631">
        <v>9.5200000000000014</v>
      </c>
      <c r="I631">
        <v>12.000000000000011</v>
      </c>
      <c r="J631" t="s">
        <v>20</v>
      </c>
    </row>
    <row r="632" spans="1:10" x14ac:dyDescent="0.2">
      <c r="A632">
        <v>10631</v>
      </c>
      <c r="B632" t="s">
        <v>8</v>
      </c>
      <c r="C632" t="s">
        <v>6</v>
      </c>
      <c r="D632">
        <v>12.7</v>
      </c>
      <c r="E632">
        <v>1</v>
      </c>
      <c r="F632" t="s">
        <v>14</v>
      </c>
      <c r="G632">
        <v>12</v>
      </c>
      <c r="H632">
        <v>14.224</v>
      </c>
      <c r="I632">
        <v>12.000000000000011</v>
      </c>
      <c r="J632" t="s">
        <v>20</v>
      </c>
    </row>
    <row r="633" spans="1:10" x14ac:dyDescent="0.2">
      <c r="A633">
        <v>10632</v>
      </c>
      <c r="B633" t="s">
        <v>7</v>
      </c>
      <c r="C633" t="s">
        <v>11</v>
      </c>
      <c r="D633">
        <v>14.95</v>
      </c>
      <c r="E633">
        <v>4</v>
      </c>
      <c r="F633" t="s">
        <v>15</v>
      </c>
      <c r="G633">
        <v>25</v>
      </c>
      <c r="H633">
        <v>18.6875</v>
      </c>
      <c r="I633">
        <v>25</v>
      </c>
      <c r="J633" t="s">
        <v>20</v>
      </c>
    </row>
    <row r="634" spans="1:10" x14ac:dyDescent="0.2">
      <c r="A634">
        <v>10633</v>
      </c>
      <c r="B634" t="s">
        <v>8</v>
      </c>
      <c r="C634" t="s">
        <v>9</v>
      </c>
      <c r="D634">
        <v>6.74</v>
      </c>
      <c r="E634">
        <v>1</v>
      </c>
      <c r="F634" t="s">
        <v>14</v>
      </c>
      <c r="G634">
        <v>15</v>
      </c>
      <c r="H634">
        <v>7.7509999999999994</v>
      </c>
      <c r="I634">
        <v>14.999999999999991</v>
      </c>
      <c r="J634" t="s">
        <v>20</v>
      </c>
    </row>
    <row r="635" spans="1:10" x14ac:dyDescent="0.2">
      <c r="A635">
        <v>10634</v>
      </c>
      <c r="B635" t="s">
        <v>8</v>
      </c>
      <c r="C635" t="s">
        <v>11</v>
      </c>
      <c r="D635">
        <v>5.14</v>
      </c>
      <c r="E635">
        <v>1</v>
      </c>
      <c r="F635" t="s">
        <v>14</v>
      </c>
      <c r="G635">
        <v>10</v>
      </c>
      <c r="H635">
        <v>5.6539999999999999</v>
      </c>
      <c r="I635">
        <v>10.000000000000009</v>
      </c>
      <c r="J635" t="s">
        <v>20</v>
      </c>
    </row>
    <row r="636" spans="1:10" x14ac:dyDescent="0.2">
      <c r="A636">
        <v>10635</v>
      </c>
      <c r="B636" t="s">
        <v>10</v>
      </c>
      <c r="C636" t="s">
        <v>6</v>
      </c>
      <c r="D636">
        <v>13.65</v>
      </c>
      <c r="E636">
        <v>2</v>
      </c>
      <c r="F636" t="s">
        <v>14</v>
      </c>
      <c r="G636">
        <v>12</v>
      </c>
      <c r="H636">
        <v>15.288000000000002</v>
      </c>
      <c r="I636">
        <v>12.000000000000011</v>
      </c>
      <c r="J636" t="s">
        <v>20</v>
      </c>
    </row>
    <row r="637" spans="1:10" x14ac:dyDescent="0.2">
      <c r="A637">
        <v>10636</v>
      </c>
      <c r="B637" t="s">
        <v>10</v>
      </c>
      <c r="C637" t="s">
        <v>6</v>
      </c>
      <c r="D637">
        <v>3.27</v>
      </c>
      <c r="E637">
        <v>10</v>
      </c>
      <c r="F637" t="s">
        <v>16</v>
      </c>
      <c r="G637">
        <v>55</v>
      </c>
      <c r="H637">
        <v>5.0685000000000002</v>
      </c>
      <c r="I637">
        <v>55.000000000000007</v>
      </c>
      <c r="J637" t="s">
        <v>20</v>
      </c>
    </row>
    <row r="638" spans="1:10" x14ac:dyDescent="0.2">
      <c r="A638">
        <v>10637</v>
      </c>
      <c r="B638" t="s">
        <v>8</v>
      </c>
      <c r="C638" t="s">
        <v>11</v>
      </c>
      <c r="D638">
        <v>9.42</v>
      </c>
      <c r="E638">
        <v>8</v>
      </c>
      <c r="F638" t="s">
        <v>16</v>
      </c>
      <c r="G638">
        <v>50</v>
      </c>
      <c r="H638">
        <v>14.129999999999999</v>
      </c>
      <c r="I638">
        <v>50</v>
      </c>
      <c r="J638" t="s">
        <v>20</v>
      </c>
    </row>
    <row r="639" spans="1:10" x14ac:dyDescent="0.2">
      <c r="A639">
        <v>10638</v>
      </c>
      <c r="B639" t="s">
        <v>5</v>
      </c>
      <c r="C639" t="s">
        <v>6</v>
      </c>
      <c r="D639">
        <v>6.38</v>
      </c>
      <c r="E639">
        <v>2</v>
      </c>
      <c r="F639" t="s">
        <v>14</v>
      </c>
      <c r="G639">
        <v>12</v>
      </c>
      <c r="H639">
        <v>7.1456000000000008</v>
      </c>
      <c r="I639">
        <v>12.000000000000011</v>
      </c>
      <c r="J639" t="s">
        <v>20</v>
      </c>
    </row>
    <row r="640" spans="1:10" x14ac:dyDescent="0.2">
      <c r="A640">
        <v>10639</v>
      </c>
      <c r="B640" t="s">
        <v>10</v>
      </c>
      <c r="C640" t="s">
        <v>11</v>
      </c>
      <c r="D640">
        <v>1.1000000000000001</v>
      </c>
      <c r="E640">
        <v>2</v>
      </c>
      <c r="F640" t="s">
        <v>14</v>
      </c>
      <c r="G640">
        <v>10</v>
      </c>
      <c r="H640">
        <v>1.2100000000000002</v>
      </c>
      <c r="I640">
        <v>10.000000000000009</v>
      </c>
      <c r="J640" t="s">
        <v>20</v>
      </c>
    </row>
    <row r="641" spans="1:10" x14ac:dyDescent="0.2">
      <c r="A641">
        <v>10640</v>
      </c>
      <c r="B641" t="s">
        <v>7</v>
      </c>
      <c r="C641" t="s">
        <v>9</v>
      </c>
      <c r="D641">
        <v>5.54</v>
      </c>
      <c r="E641">
        <v>10</v>
      </c>
      <c r="F641" t="s">
        <v>16</v>
      </c>
      <c r="G641">
        <v>60</v>
      </c>
      <c r="H641">
        <v>8.8640000000000008</v>
      </c>
      <c r="I641">
        <v>60.000000000000007</v>
      </c>
      <c r="J641" t="s">
        <v>20</v>
      </c>
    </row>
    <row r="642" spans="1:10" x14ac:dyDescent="0.2">
      <c r="A642">
        <v>10641</v>
      </c>
      <c r="B642" t="s">
        <v>10</v>
      </c>
      <c r="C642" t="s">
        <v>11</v>
      </c>
      <c r="D642">
        <v>4.3499999999999996</v>
      </c>
      <c r="E642">
        <v>10</v>
      </c>
      <c r="F642" t="s">
        <v>16</v>
      </c>
      <c r="G642">
        <v>50</v>
      </c>
      <c r="H642">
        <v>6.5249999999999995</v>
      </c>
      <c r="I642">
        <v>50</v>
      </c>
      <c r="J642" t="s">
        <v>20</v>
      </c>
    </row>
    <row r="643" spans="1:10" x14ac:dyDescent="0.2">
      <c r="A643">
        <v>10642</v>
      </c>
      <c r="B643" t="s">
        <v>10</v>
      </c>
      <c r="C643" t="s">
        <v>9</v>
      </c>
      <c r="D643">
        <v>10.45</v>
      </c>
      <c r="E643">
        <v>8</v>
      </c>
      <c r="F643" t="s">
        <v>16</v>
      </c>
      <c r="G643">
        <v>60</v>
      </c>
      <c r="H643">
        <v>16.72</v>
      </c>
      <c r="I643">
        <v>60.000000000000007</v>
      </c>
      <c r="J643" t="s">
        <v>20</v>
      </c>
    </row>
    <row r="644" spans="1:10" x14ac:dyDescent="0.2">
      <c r="A644">
        <v>10643</v>
      </c>
      <c r="B644" t="s">
        <v>7</v>
      </c>
      <c r="C644" t="s">
        <v>9</v>
      </c>
      <c r="D644">
        <v>14.26</v>
      </c>
      <c r="E644">
        <v>6</v>
      </c>
      <c r="F644" t="s">
        <v>15</v>
      </c>
      <c r="G644">
        <v>30</v>
      </c>
      <c r="H644">
        <v>18.538</v>
      </c>
      <c r="I644">
        <v>30.000000000000004</v>
      </c>
      <c r="J644" t="s">
        <v>20</v>
      </c>
    </row>
    <row r="645" spans="1:10" x14ac:dyDescent="0.2">
      <c r="A645">
        <v>10644</v>
      </c>
      <c r="B645" t="s">
        <v>8</v>
      </c>
      <c r="C645" t="s">
        <v>6</v>
      </c>
      <c r="D645">
        <v>4.3899999999999997</v>
      </c>
      <c r="E645">
        <v>4</v>
      </c>
      <c r="F645" t="s">
        <v>15</v>
      </c>
      <c r="G645">
        <v>28</v>
      </c>
      <c r="H645">
        <v>5.6191999999999993</v>
      </c>
      <c r="I645">
        <v>28.000000000000004</v>
      </c>
      <c r="J645" t="s">
        <v>20</v>
      </c>
    </row>
    <row r="646" spans="1:10" x14ac:dyDescent="0.2">
      <c r="A646">
        <v>10645</v>
      </c>
      <c r="B646" t="s">
        <v>7</v>
      </c>
      <c r="C646" t="s">
        <v>6</v>
      </c>
      <c r="D646">
        <v>12.27</v>
      </c>
      <c r="E646">
        <v>3</v>
      </c>
      <c r="F646" t="s">
        <v>14</v>
      </c>
      <c r="G646">
        <v>12</v>
      </c>
      <c r="H646">
        <v>13.7424</v>
      </c>
      <c r="I646">
        <v>12.000000000000011</v>
      </c>
      <c r="J646" t="s">
        <v>20</v>
      </c>
    </row>
    <row r="647" spans="1:10" x14ac:dyDescent="0.2">
      <c r="A647">
        <v>10646</v>
      </c>
      <c r="B647" t="s">
        <v>8</v>
      </c>
      <c r="C647" t="s">
        <v>6</v>
      </c>
      <c r="D647">
        <v>1.3</v>
      </c>
      <c r="E647">
        <v>1</v>
      </c>
      <c r="F647" t="s">
        <v>14</v>
      </c>
      <c r="G647">
        <v>12</v>
      </c>
      <c r="H647">
        <v>1.4560000000000002</v>
      </c>
      <c r="I647">
        <v>12.000000000000011</v>
      </c>
      <c r="J647" t="s">
        <v>20</v>
      </c>
    </row>
    <row r="648" spans="1:10" x14ac:dyDescent="0.2">
      <c r="A648">
        <v>10647</v>
      </c>
      <c r="B648" t="s">
        <v>8</v>
      </c>
      <c r="C648" t="s">
        <v>11</v>
      </c>
      <c r="D648">
        <v>8.3000000000000007</v>
      </c>
      <c r="E648">
        <v>3</v>
      </c>
      <c r="F648" t="s">
        <v>14</v>
      </c>
      <c r="G648">
        <v>10</v>
      </c>
      <c r="H648">
        <v>9.1300000000000008</v>
      </c>
      <c r="I648">
        <v>10.000000000000009</v>
      </c>
      <c r="J648" t="s">
        <v>20</v>
      </c>
    </row>
    <row r="649" spans="1:10" x14ac:dyDescent="0.2">
      <c r="A649">
        <v>10648</v>
      </c>
      <c r="B649" t="s">
        <v>8</v>
      </c>
      <c r="C649" t="s">
        <v>11</v>
      </c>
      <c r="D649">
        <v>1.52</v>
      </c>
      <c r="E649">
        <v>9</v>
      </c>
      <c r="F649" t="s">
        <v>16</v>
      </c>
      <c r="G649">
        <v>50</v>
      </c>
      <c r="H649">
        <v>2.2800000000000002</v>
      </c>
      <c r="I649">
        <v>50.000000000000021</v>
      </c>
      <c r="J649" t="s">
        <v>20</v>
      </c>
    </row>
    <row r="650" spans="1:10" x14ac:dyDescent="0.2">
      <c r="A650">
        <v>10649</v>
      </c>
      <c r="B650" t="s">
        <v>7</v>
      </c>
      <c r="C650" t="s">
        <v>6</v>
      </c>
      <c r="D650">
        <v>14.04</v>
      </c>
      <c r="E650">
        <v>5</v>
      </c>
      <c r="F650" t="s">
        <v>15</v>
      </c>
      <c r="G650">
        <v>28</v>
      </c>
      <c r="H650">
        <v>17.9712</v>
      </c>
      <c r="I650">
        <v>28.000000000000004</v>
      </c>
      <c r="J650" t="s">
        <v>20</v>
      </c>
    </row>
    <row r="651" spans="1:10" x14ac:dyDescent="0.2">
      <c r="A651">
        <v>10650</v>
      </c>
      <c r="B651" t="s">
        <v>8</v>
      </c>
      <c r="C651" t="s">
        <v>11</v>
      </c>
      <c r="D651">
        <v>11.61</v>
      </c>
      <c r="E651">
        <v>6</v>
      </c>
      <c r="F651" t="s">
        <v>15</v>
      </c>
      <c r="G651">
        <v>25</v>
      </c>
      <c r="H651">
        <v>14.512499999999999</v>
      </c>
      <c r="I651">
        <v>25</v>
      </c>
      <c r="J651" t="s">
        <v>20</v>
      </c>
    </row>
    <row r="652" spans="1:10" x14ac:dyDescent="0.2">
      <c r="A652">
        <v>10651</v>
      </c>
      <c r="B652" t="s">
        <v>5</v>
      </c>
      <c r="C652" t="s">
        <v>6</v>
      </c>
      <c r="D652">
        <v>10.039999999999999</v>
      </c>
      <c r="E652">
        <v>5</v>
      </c>
      <c r="F652" t="s">
        <v>15</v>
      </c>
      <c r="G652">
        <v>28</v>
      </c>
      <c r="H652">
        <v>12.851199999999999</v>
      </c>
      <c r="I652">
        <v>28.000000000000004</v>
      </c>
      <c r="J652" t="s">
        <v>20</v>
      </c>
    </row>
    <row r="653" spans="1:10" x14ac:dyDescent="0.2">
      <c r="A653">
        <v>10652</v>
      </c>
      <c r="B653" t="s">
        <v>7</v>
      </c>
      <c r="C653" t="s">
        <v>11</v>
      </c>
      <c r="D653">
        <v>12.45</v>
      </c>
      <c r="E653">
        <v>1</v>
      </c>
      <c r="F653" t="s">
        <v>14</v>
      </c>
      <c r="G653">
        <v>10</v>
      </c>
      <c r="H653">
        <v>13.695</v>
      </c>
      <c r="I653">
        <v>10.000000000000009</v>
      </c>
      <c r="J653" t="s">
        <v>20</v>
      </c>
    </row>
    <row r="654" spans="1:10" x14ac:dyDescent="0.2">
      <c r="A654">
        <v>10653</v>
      </c>
      <c r="B654" t="s">
        <v>5</v>
      </c>
      <c r="C654" t="s">
        <v>9</v>
      </c>
      <c r="D654">
        <v>9.89</v>
      </c>
      <c r="E654">
        <v>10</v>
      </c>
      <c r="F654" t="s">
        <v>16</v>
      </c>
      <c r="G654">
        <v>60</v>
      </c>
      <c r="H654">
        <v>15.824000000000002</v>
      </c>
      <c r="I654">
        <v>60.000000000000007</v>
      </c>
      <c r="J654" t="s">
        <v>20</v>
      </c>
    </row>
    <row r="655" spans="1:10" x14ac:dyDescent="0.2">
      <c r="A655">
        <v>10654</v>
      </c>
      <c r="B655" t="s">
        <v>8</v>
      </c>
      <c r="C655" t="s">
        <v>9</v>
      </c>
      <c r="D655">
        <v>14.55</v>
      </c>
      <c r="E655">
        <v>1</v>
      </c>
      <c r="F655" t="s">
        <v>14</v>
      </c>
      <c r="G655">
        <v>15</v>
      </c>
      <c r="H655">
        <v>16.732499999999998</v>
      </c>
      <c r="I655">
        <v>14.999999999999991</v>
      </c>
      <c r="J655" t="s">
        <v>20</v>
      </c>
    </row>
    <row r="656" spans="1:10" x14ac:dyDescent="0.2">
      <c r="A656">
        <v>10655</v>
      </c>
      <c r="B656" t="s">
        <v>10</v>
      </c>
      <c r="C656" t="s">
        <v>6</v>
      </c>
      <c r="D656">
        <v>10.85</v>
      </c>
      <c r="E656">
        <v>4</v>
      </c>
      <c r="F656" t="s">
        <v>15</v>
      </c>
      <c r="G656">
        <v>28</v>
      </c>
      <c r="H656">
        <v>13.888</v>
      </c>
      <c r="I656">
        <v>28.000000000000004</v>
      </c>
      <c r="J656" t="s">
        <v>20</v>
      </c>
    </row>
    <row r="657" spans="1:10" x14ac:dyDescent="0.2">
      <c r="A657">
        <v>10656</v>
      </c>
      <c r="B657" t="s">
        <v>8</v>
      </c>
      <c r="C657" t="s">
        <v>11</v>
      </c>
      <c r="D657">
        <v>13.91</v>
      </c>
      <c r="E657">
        <v>3</v>
      </c>
      <c r="F657" t="s">
        <v>14</v>
      </c>
      <c r="G657">
        <v>10</v>
      </c>
      <c r="H657">
        <v>15.301000000000002</v>
      </c>
      <c r="I657">
        <v>10.000000000000009</v>
      </c>
      <c r="J657" t="s">
        <v>20</v>
      </c>
    </row>
    <row r="658" spans="1:10" x14ac:dyDescent="0.2">
      <c r="A658">
        <v>10657</v>
      </c>
      <c r="B658" t="s">
        <v>5</v>
      </c>
      <c r="C658" t="s">
        <v>11</v>
      </c>
      <c r="D658">
        <v>8</v>
      </c>
      <c r="E658">
        <v>8</v>
      </c>
      <c r="F658" t="s">
        <v>16</v>
      </c>
      <c r="G658">
        <v>50</v>
      </c>
      <c r="H658">
        <v>12</v>
      </c>
      <c r="I658">
        <v>50</v>
      </c>
      <c r="J658" t="s">
        <v>20</v>
      </c>
    </row>
    <row r="659" spans="1:10" x14ac:dyDescent="0.2">
      <c r="A659">
        <v>10658</v>
      </c>
      <c r="B659" t="s">
        <v>5</v>
      </c>
      <c r="C659" t="s">
        <v>9</v>
      </c>
      <c r="D659">
        <v>2.2000000000000002</v>
      </c>
      <c r="E659">
        <v>7</v>
      </c>
      <c r="F659" t="s">
        <v>15</v>
      </c>
      <c r="G659">
        <v>30</v>
      </c>
      <c r="H659">
        <v>2.8600000000000003</v>
      </c>
      <c r="I659">
        <v>30.000000000000004</v>
      </c>
      <c r="J659" t="s">
        <v>20</v>
      </c>
    </row>
    <row r="660" spans="1:10" x14ac:dyDescent="0.2">
      <c r="A660">
        <v>10659</v>
      </c>
      <c r="B660" t="s">
        <v>7</v>
      </c>
      <c r="C660" t="s">
        <v>9</v>
      </c>
      <c r="D660">
        <v>8.16</v>
      </c>
      <c r="E660">
        <v>7</v>
      </c>
      <c r="F660" t="s">
        <v>15</v>
      </c>
      <c r="G660">
        <v>30</v>
      </c>
      <c r="H660">
        <v>10.608000000000001</v>
      </c>
      <c r="I660">
        <v>30.000000000000004</v>
      </c>
      <c r="J660" t="s">
        <v>20</v>
      </c>
    </row>
    <row r="661" spans="1:10" x14ac:dyDescent="0.2">
      <c r="A661">
        <v>10660</v>
      </c>
      <c r="B661" t="s">
        <v>10</v>
      </c>
      <c r="C661" t="s">
        <v>6</v>
      </c>
      <c r="D661">
        <v>2.34</v>
      </c>
      <c r="E661">
        <v>8</v>
      </c>
      <c r="F661" t="s">
        <v>16</v>
      </c>
      <c r="G661">
        <v>55</v>
      </c>
      <c r="H661">
        <v>3.6269999999999998</v>
      </c>
      <c r="I661">
        <v>55.000000000000007</v>
      </c>
      <c r="J661" t="s">
        <v>20</v>
      </c>
    </row>
    <row r="662" spans="1:10" x14ac:dyDescent="0.2">
      <c r="A662">
        <v>10661</v>
      </c>
      <c r="B662" t="s">
        <v>7</v>
      </c>
      <c r="C662" t="s">
        <v>9</v>
      </c>
      <c r="D662">
        <v>9.09</v>
      </c>
      <c r="E662">
        <v>10</v>
      </c>
      <c r="F662" t="s">
        <v>16</v>
      </c>
      <c r="G662">
        <v>60</v>
      </c>
      <c r="H662">
        <v>14.544</v>
      </c>
      <c r="I662">
        <v>60.000000000000007</v>
      </c>
      <c r="J662" t="s">
        <v>20</v>
      </c>
    </row>
    <row r="663" spans="1:10" x14ac:dyDescent="0.2">
      <c r="A663">
        <v>10662</v>
      </c>
      <c r="B663" t="s">
        <v>5</v>
      </c>
      <c r="C663" t="s">
        <v>6</v>
      </c>
      <c r="D663">
        <v>7.5</v>
      </c>
      <c r="E663">
        <v>7</v>
      </c>
      <c r="F663" t="s">
        <v>15</v>
      </c>
      <c r="G663">
        <v>28</v>
      </c>
      <c r="H663">
        <v>9.6</v>
      </c>
      <c r="I663">
        <v>28.000000000000004</v>
      </c>
      <c r="J663" t="s">
        <v>20</v>
      </c>
    </row>
    <row r="664" spans="1:10" x14ac:dyDescent="0.2">
      <c r="A664">
        <v>10663</v>
      </c>
      <c r="B664" t="s">
        <v>8</v>
      </c>
      <c r="C664" t="s">
        <v>9</v>
      </c>
      <c r="D664">
        <v>9.5299999999999994</v>
      </c>
      <c r="E664">
        <v>10</v>
      </c>
      <c r="F664" t="s">
        <v>16</v>
      </c>
      <c r="G664">
        <v>60</v>
      </c>
      <c r="H664">
        <v>15.247999999999999</v>
      </c>
      <c r="I664">
        <v>60.000000000000007</v>
      </c>
      <c r="J664" t="s">
        <v>20</v>
      </c>
    </row>
    <row r="665" spans="1:10" x14ac:dyDescent="0.2">
      <c r="A665">
        <v>10664</v>
      </c>
      <c r="B665" t="s">
        <v>10</v>
      </c>
      <c r="C665" t="s">
        <v>9</v>
      </c>
      <c r="D665">
        <v>0.65</v>
      </c>
      <c r="E665">
        <v>2</v>
      </c>
      <c r="F665" t="s">
        <v>14</v>
      </c>
      <c r="G665">
        <v>15</v>
      </c>
      <c r="H665">
        <v>0.74749999999999994</v>
      </c>
      <c r="I665">
        <v>14.999999999999991</v>
      </c>
      <c r="J665" t="s">
        <v>20</v>
      </c>
    </row>
    <row r="666" spans="1:10" x14ac:dyDescent="0.2">
      <c r="A666">
        <v>10665</v>
      </c>
      <c r="B666" t="s">
        <v>8</v>
      </c>
      <c r="C666" t="s">
        <v>11</v>
      </c>
      <c r="D666">
        <v>3.33</v>
      </c>
      <c r="E666">
        <v>4</v>
      </c>
      <c r="F666" t="s">
        <v>15</v>
      </c>
      <c r="G666">
        <v>25</v>
      </c>
      <c r="H666">
        <v>4.1624999999999996</v>
      </c>
      <c r="I666">
        <v>24.999999999999979</v>
      </c>
      <c r="J666" t="s">
        <v>20</v>
      </c>
    </row>
    <row r="667" spans="1:10" x14ac:dyDescent="0.2">
      <c r="A667">
        <v>10666</v>
      </c>
      <c r="B667" t="s">
        <v>8</v>
      </c>
      <c r="C667" t="s">
        <v>9</v>
      </c>
      <c r="D667">
        <v>7.62</v>
      </c>
      <c r="E667">
        <v>6</v>
      </c>
      <c r="F667" t="s">
        <v>15</v>
      </c>
      <c r="G667">
        <v>30</v>
      </c>
      <c r="H667">
        <v>9.9060000000000006</v>
      </c>
      <c r="I667">
        <v>30.000000000000004</v>
      </c>
      <c r="J667" t="s">
        <v>20</v>
      </c>
    </row>
    <row r="668" spans="1:10" x14ac:dyDescent="0.2">
      <c r="A668">
        <v>10667</v>
      </c>
      <c r="B668" t="s">
        <v>10</v>
      </c>
      <c r="C668" t="s">
        <v>9</v>
      </c>
      <c r="D668">
        <v>14.28</v>
      </c>
      <c r="E668">
        <v>3</v>
      </c>
      <c r="F668" t="s">
        <v>14</v>
      </c>
      <c r="G668">
        <v>15</v>
      </c>
      <c r="H668">
        <v>16.421999999999997</v>
      </c>
      <c r="I668">
        <v>14.999999999999991</v>
      </c>
      <c r="J668" t="s">
        <v>20</v>
      </c>
    </row>
    <row r="669" spans="1:10" x14ac:dyDescent="0.2">
      <c r="A669">
        <v>10668</v>
      </c>
      <c r="B669" t="s">
        <v>7</v>
      </c>
      <c r="C669" t="s">
        <v>6</v>
      </c>
      <c r="D669">
        <v>6.06</v>
      </c>
      <c r="E669">
        <v>3</v>
      </c>
      <c r="F669" t="s">
        <v>14</v>
      </c>
      <c r="G669">
        <v>12</v>
      </c>
      <c r="H669">
        <v>6.7872000000000003</v>
      </c>
      <c r="I669">
        <v>12.000000000000011</v>
      </c>
      <c r="J669" t="s">
        <v>20</v>
      </c>
    </row>
    <row r="670" spans="1:10" x14ac:dyDescent="0.2">
      <c r="A670">
        <v>10669</v>
      </c>
      <c r="B670" t="s">
        <v>8</v>
      </c>
      <c r="C670" t="s">
        <v>9</v>
      </c>
      <c r="D670">
        <v>6.65</v>
      </c>
      <c r="E670">
        <v>6</v>
      </c>
      <c r="F670" t="s">
        <v>15</v>
      </c>
      <c r="G670">
        <v>30</v>
      </c>
      <c r="H670">
        <v>8.6450000000000014</v>
      </c>
      <c r="I670">
        <v>30.000000000000004</v>
      </c>
      <c r="J670" t="s">
        <v>20</v>
      </c>
    </row>
    <row r="671" spans="1:10" x14ac:dyDescent="0.2">
      <c r="A671">
        <v>10670</v>
      </c>
      <c r="B671" t="s">
        <v>5</v>
      </c>
      <c r="C671" t="s">
        <v>6</v>
      </c>
      <c r="D671">
        <v>10.86</v>
      </c>
      <c r="E671">
        <v>1</v>
      </c>
      <c r="F671" t="s">
        <v>14</v>
      </c>
      <c r="G671">
        <v>12</v>
      </c>
      <c r="H671">
        <v>12.1632</v>
      </c>
      <c r="I671">
        <v>12.000000000000011</v>
      </c>
      <c r="J671" t="s">
        <v>20</v>
      </c>
    </row>
    <row r="672" spans="1:10" x14ac:dyDescent="0.2">
      <c r="A672">
        <v>10671</v>
      </c>
      <c r="B672" t="s">
        <v>8</v>
      </c>
      <c r="C672" t="s">
        <v>9</v>
      </c>
      <c r="D672">
        <v>9.25</v>
      </c>
      <c r="E672">
        <v>1</v>
      </c>
      <c r="F672" t="s">
        <v>14</v>
      </c>
      <c r="G672">
        <v>15</v>
      </c>
      <c r="H672">
        <v>10.637499999999999</v>
      </c>
      <c r="I672">
        <v>14.999999999999991</v>
      </c>
      <c r="J672" t="s">
        <v>20</v>
      </c>
    </row>
    <row r="673" spans="1:10" x14ac:dyDescent="0.2">
      <c r="A673">
        <v>10672</v>
      </c>
      <c r="B673" t="s">
        <v>10</v>
      </c>
      <c r="C673" t="s">
        <v>9</v>
      </c>
      <c r="D673">
        <v>4.83</v>
      </c>
      <c r="E673">
        <v>5</v>
      </c>
      <c r="F673" t="s">
        <v>15</v>
      </c>
      <c r="G673">
        <v>30</v>
      </c>
      <c r="H673">
        <v>6.2789999999999999</v>
      </c>
      <c r="I673">
        <v>30.000000000000004</v>
      </c>
      <c r="J673" t="s">
        <v>20</v>
      </c>
    </row>
    <row r="674" spans="1:10" x14ac:dyDescent="0.2">
      <c r="A674">
        <v>10673</v>
      </c>
      <c r="B674" t="s">
        <v>10</v>
      </c>
      <c r="C674" t="s">
        <v>6</v>
      </c>
      <c r="D674">
        <v>6.46</v>
      </c>
      <c r="E674">
        <v>1</v>
      </c>
      <c r="F674" t="s">
        <v>14</v>
      </c>
      <c r="G674">
        <v>12</v>
      </c>
      <c r="H674">
        <v>7.2352000000000007</v>
      </c>
      <c r="I674">
        <v>12.000000000000011</v>
      </c>
      <c r="J674" t="s">
        <v>20</v>
      </c>
    </row>
    <row r="675" spans="1:10" x14ac:dyDescent="0.2">
      <c r="A675">
        <v>10674</v>
      </c>
      <c r="B675" t="s">
        <v>10</v>
      </c>
      <c r="C675" t="s">
        <v>11</v>
      </c>
      <c r="D675">
        <v>3.66</v>
      </c>
      <c r="E675">
        <v>10</v>
      </c>
      <c r="F675" t="s">
        <v>16</v>
      </c>
      <c r="G675">
        <v>50</v>
      </c>
      <c r="H675">
        <v>5.49</v>
      </c>
      <c r="I675">
        <v>50</v>
      </c>
      <c r="J675" t="s">
        <v>20</v>
      </c>
    </row>
    <row r="676" spans="1:10" x14ac:dyDescent="0.2">
      <c r="A676">
        <v>10675</v>
      </c>
      <c r="B676" t="s">
        <v>7</v>
      </c>
      <c r="C676" t="s">
        <v>6</v>
      </c>
      <c r="D676">
        <v>14.51</v>
      </c>
      <c r="E676">
        <v>8</v>
      </c>
      <c r="F676" t="s">
        <v>16</v>
      </c>
      <c r="G676">
        <v>55</v>
      </c>
      <c r="H676">
        <v>22.490500000000001</v>
      </c>
      <c r="I676">
        <v>55.000000000000007</v>
      </c>
      <c r="J676" t="s">
        <v>20</v>
      </c>
    </row>
    <row r="677" spans="1:10" x14ac:dyDescent="0.2">
      <c r="A677">
        <v>10676</v>
      </c>
      <c r="B677" t="s">
        <v>8</v>
      </c>
      <c r="C677" t="s">
        <v>6</v>
      </c>
      <c r="D677">
        <v>2.39</v>
      </c>
      <c r="E677">
        <v>2</v>
      </c>
      <c r="F677" t="s">
        <v>14</v>
      </c>
      <c r="G677">
        <v>12</v>
      </c>
      <c r="H677">
        <v>2.6768000000000005</v>
      </c>
      <c r="I677">
        <v>12.000000000000011</v>
      </c>
      <c r="J677" t="s">
        <v>20</v>
      </c>
    </row>
    <row r="678" spans="1:10" x14ac:dyDescent="0.2">
      <c r="A678">
        <v>10677</v>
      </c>
      <c r="B678" t="s">
        <v>7</v>
      </c>
      <c r="C678" t="s">
        <v>6</v>
      </c>
      <c r="D678">
        <v>5.89</v>
      </c>
      <c r="E678">
        <v>6</v>
      </c>
      <c r="F678" t="s">
        <v>15</v>
      </c>
      <c r="G678">
        <v>28</v>
      </c>
      <c r="H678">
        <v>7.5392000000000001</v>
      </c>
      <c r="I678">
        <v>28.000000000000004</v>
      </c>
      <c r="J678" t="s">
        <v>20</v>
      </c>
    </row>
    <row r="679" spans="1:10" x14ac:dyDescent="0.2">
      <c r="A679">
        <v>10678</v>
      </c>
      <c r="B679" t="s">
        <v>7</v>
      </c>
      <c r="C679" t="s">
        <v>11</v>
      </c>
      <c r="D679">
        <v>0.87</v>
      </c>
      <c r="E679">
        <v>10</v>
      </c>
      <c r="F679" t="s">
        <v>16</v>
      </c>
      <c r="G679">
        <v>50</v>
      </c>
      <c r="H679">
        <v>1.3049999999999999</v>
      </c>
      <c r="I679">
        <v>50</v>
      </c>
      <c r="J679" t="s">
        <v>20</v>
      </c>
    </row>
    <row r="680" spans="1:10" x14ac:dyDescent="0.2">
      <c r="A680">
        <v>10679</v>
      </c>
      <c r="B680" t="s">
        <v>10</v>
      </c>
      <c r="C680" t="s">
        <v>9</v>
      </c>
      <c r="D680">
        <v>3.72</v>
      </c>
      <c r="E680">
        <v>10</v>
      </c>
      <c r="F680" t="s">
        <v>16</v>
      </c>
      <c r="G680">
        <v>60</v>
      </c>
      <c r="H680">
        <v>5.9520000000000008</v>
      </c>
      <c r="I680">
        <v>60.000000000000007</v>
      </c>
      <c r="J680" t="s">
        <v>20</v>
      </c>
    </row>
    <row r="681" spans="1:10" x14ac:dyDescent="0.2">
      <c r="A681">
        <v>10680</v>
      </c>
      <c r="B681" t="s">
        <v>10</v>
      </c>
      <c r="C681" t="s">
        <v>6</v>
      </c>
      <c r="D681">
        <v>11.82</v>
      </c>
      <c r="E681">
        <v>5</v>
      </c>
      <c r="F681" t="s">
        <v>15</v>
      </c>
      <c r="G681">
        <v>28</v>
      </c>
      <c r="H681">
        <v>15.1296</v>
      </c>
      <c r="I681">
        <v>28.000000000000004</v>
      </c>
      <c r="J681" t="s">
        <v>20</v>
      </c>
    </row>
    <row r="682" spans="1:10" x14ac:dyDescent="0.2">
      <c r="A682">
        <v>10681</v>
      </c>
      <c r="B682" t="s">
        <v>7</v>
      </c>
      <c r="C682" t="s">
        <v>6</v>
      </c>
      <c r="D682">
        <v>3.42</v>
      </c>
      <c r="E682">
        <v>10</v>
      </c>
      <c r="F682" t="s">
        <v>16</v>
      </c>
      <c r="G682">
        <v>55</v>
      </c>
      <c r="H682">
        <v>5.3010000000000002</v>
      </c>
      <c r="I682">
        <v>55.000000000000007</v>
      </c>
      <c r="J682" t="s">
        <v>20</v>
      </c>
    </row>
    <row r="683" spans="1:10" x14ac:dyDescent="0.2">
      <c r="A683">
        <v>10682</v>
      </c>
      <c r="B683" t="s">
        <v>8</v>
      </c>
      <c r="C683" t="s">
        <v>11</v>
      </c>
      <c r="D683">
        <v>1.66</v>
      </c>
      <c r="E683">
        <v>4</v>
      </c>
      <c r="F683" t="s">
        <v>15</v>
      </c>
      <c r="G683">
        <v>25</v>
      </c>
      <c r="H683">
        <v>2.0749999999999997</v>
      </c>
      <c r="I683">
        <v>25</v>
      </c>
      <c r="J683" t="s">
        <v>20</v>
      </c>
    </row>
    <row r="684" spans="1:10" x14ac:dyDescent="0.2">
      <c r="A684">
        <v>10683</v>
      </c>
      <c r="B684" t="s">
        <v>5</v>
      </c>
      <c r="C684" t="s">
        <v>6</v>
      </c>
      <c r="D684">
        <v>7.38</v>
      </c>
      <c r="E684">
        <v>1</v>
      </c>
      <c r="F684" t="s">
        <v>14</v>
      </c>
      <c r="G684">
        <v>12</v>
      </c>
      <c r="H684">
        <v>8.2656000000000009</v>
      </c>
      <c r="I684">
        <v>12.000000000000011</v>
      </c>
      <c r="J684" t="s">
        <v>20</v>
      </c>
    </row>
    <row r="685" spans="1:10" x14ac:dyDescent="0.2">
      <c r="A685">
        <v>10684</v>
      </c>
      <c r="B685" t="s">
        <v>7</v>
      </c>
      <c r="C685" t="s">
        <v>9</v>
      </c>
      <c r="D685">
        <v>0.64</v>
      </c>
      <c r="E685">
        <v>3</v>
      </c>
      <c r="F685" t="s">
        <v>14</v>
      </c>
      <c r="G685">
        <v>15</v>
      </c>
      <c r="H685">
        <v>0.73599999999999999</v>
      </c>
      <c r="I685">
        <v>14.999999999999991</v>
      </c>
      <c r="J685" t="s">
        <v>20</v>
      </c>
    </row>
    <row r="686" spans="1:10" x14ac:dyDescent="0.2">
      <c r="A686">
        <v>10685</v>
      </c>
      <c r="B686" t="s">
        <v>8</v>
      </c>
      <c r="C686" t="s">
        <v>11</v>
      </c>
      <c r="D686">
        <v>1.73</v>
      </c>
      <c r="E686">
        <v>4</v>
      </c>
      <c r="F686" t="s">
        <v>15</v>
      </c>
      <c r="G686">
        <v>25</v>
      </c>
      <c r="H686">
        <v>2.1625000000000001</v>
      </c>
      <c r="I686">
        <v>25</v>
      </c>
      <c r="J686" t="s">
        <v>20</v>
      </c>
    </row>
    <row r="687" spans="1:10" x14ac:dyDescent="0.2">
      <c r="A687">
        <v>10686</v>
      </c>
      <c r="B687" t="s">
        <v>10</v>
      </c>
      <c r="C687" t="s">
        <v>9</v>
      </c>
      <c r="D687">
        <v>12.21</v>
      </c>
      <c r="E687">
        <v>2</v>
      </c>
      <c r="F687" t="s">
        <v>14</v>
      </c>
      <c r="G687">
        <v>15</v>
      </c>
      <c r="H687">
        <v>14.041499999999999</v>
      </c>
      <c r="I687">
        <v>14.999999999999991</v>
      </c>
      <c r="J687" t="s">
        <v>20</v>
      </c>
    </row>
    <row r="688" spans="1:10" x14ac:dyDescent="0.2">
      <c r="A688">
        <v>10687</v>
      </c>
      <c r="B688" t="s">
        <v>10</v>
      </c>
      <c r="C688" t="s">
        <v>9</v>
      </c>
      <c r="D688">
        <v>11.69</v>
      </c>
      <c r="E688">
        <v>2</v>
      </c>
      <c r="F688" t="s">
        <v>14</v>
      </c>
      <c r="G688">
        <v>15</v>
      </c>
      <c r="H688">
        <v>13.443499999999998</v>
      </c>
      <c r="I688">
        <v>14.999999999999991</v>
      </c>
      <c r="J688" t="s">
        <v>20</v>
      </c>
    </row>
    <row r="689" spans="1:10" x14ac:dyDescent="0.2">
      <c r="A689">
        <v>10688</v>
      </c>
      <c r="B689" t="s">
        <v>8</v>
      </c>
      <c r="C689" t="s">
        <v>11</v>
      </c>
      <c r="D689">
        <v>13.77</v>
      </c>
      <c r="E689">
        <v>2</v>
      </c>
      <c r="F689" t="s">
        <v>14</v>
      </c>
      <c r="G689">
        <v>10</v>
      </c>
      <c r="H689">
        <v>15.147</v>
      </c>
      <c r="I689">
        <v>10.000000000000009</v>
      </c>
      <c r="J689" t="s">
        <v>20</v>
      </c>
    </row>
    <row r="690" spans="1:10" x14ac:dyDescent="0.2">
      <c r="A690">
        <v>10689</v>
      </c>
      <c r="B690" t="s">
        <v>5</v>
      </c>
      <c r="C690" t="s">
        <v>6</v>
      </c>
      <c r="D690">
        <v>12.89</v>
      </c>
      <c r="E690">
        <v>1</v>
      </c>
      <c r="F690" t="s">
        <v>14</v>
      </c>
      <c r="G690">
        <v>12</v>
      </c>
      <c r="H690">
        <v>14.436800000000002</v>
      </c>
      <c r="I690">
        <v>12.000000000000011</v>
      </c>
      <c r="J690" t="s">
        <v>20</v>
      </c>
    </row>
    <row r="691" spans="1:10" x14ac:dyDescent="0.2">
      <c r="A691">
        <v>10690</v>
      </c>
      <c r="B691" t="s">
        <v>10</v>
      </c>
      <c r="C691" t="s">
        <v>9</v>
      </c>
      <c r="D691">
        <v>10.41</v>
      </c>
      <c r="E691">
        <v>10</v>
      </c>
      <c r="F691" t="s">
        <v>16</v>
      </c>
      <c r="G691">
        <v>60</v>
      </c>
      <c r="H691">
        <v>16.656000000000002</v>
      </c>
      <c r="I691">
        <v>60.000000000000028</v>
      </c>
      <c r="J691" t="s">
        <v>20</v>
      </c>
    </row>
    <row r="692" spans="1:10" x14ac:dyDescent="0.2">
      <c r="A692">
        <v>10691</v>
      </c>
      <c r="B692" t="s">
        <v>10</v>
      </c>
      <c r="C692" t="s">
        <v>9</v>
      </c>
      <c r="D692">
        <v>1.26</v>
      </c>
      <c r="E692">
        <v>2</v>
      </c>
      <c r="F692" t="s">
        <v>14</v>
      </c>
      <c r="G692">
        <v>15</v>
      </c>
      <c r="H692">
        <v>1.4489999999999998</v>
      </c>
      <c r="I692">
        <v>14.999999999999991</v>
      </c>
      <c r="J692" t="s">
        <v>20</v>
      </c>
    </row>
    <row r="693" spans="1:10" x14ac:dyDescent="0.2">
      <c r="A693">
        <v>10692</v>
      </c>
      <c r="B693" t="s">
        <v>10</v>
      </c>
      <c r="C693" t="s">
        <v>9</v>
      </c>
      <c r="D693">
        <v>11.85</v>
      </c>
      <c r="E693">
        <v>6</v>
      </c>
      <c r="F693" t="s">
        <v>15</v>
      </c>
      <c r="G693">
        <v>30</v>
      </c>
      <c r="H693">
        <v>15.404999999999999</v>
      </c>
      <c r="I693">
        <v>30.000000000000004</v>
      </c>
      <c r="J693" t="s">
        <v>20</v>
      </c>
    </row>
    <row r="694" spans="1:10" x14ac:dyDescent="0.2">
      <c r="A694">
        <v>10693</v>
      </c>
      <c r="B694" t="s">
        <v>8</v>
      </c>
      <c r="C694" t="s">
        <v>9</v>
      </c>
      <c r="D694">
        <v>12.76</v>
      </c>
      <c r="E694">
        <v>3</v>
      </c>
      <c r="F694" t="s">
        <v>14</v>
      </c>
      <c r="G694">
        <v>15</v>
      </c>
      <c r="H694">
        <v>14.673999999999999</v>
      </c>
      <c r="I694">
        <v>14.999999999999991</v>
      </c>
      <c r="J694" t="s">
        <v>20</v>
      </c>
    </row>
    <row r="695" spans="1:10" x14ac:dyDescent="0.2">
      <c r="A695">
        <v>10694</v>
      </c>
      <c r="B695" t="s">
        <v>7</v>
      </c>
      <c r="C695" t="s">
        <v>11</v>
      </c>
      <c r="D695">
        <v>12.09</v>
      </c>
      <c r="E695">
        <v>10</v>
      </c>
      <c r="F695" t="s">
        <v>16</v>
      </c>
      <c r="G695">
        <v>50</v>
      </c>
      <c r="H695">
        <v>18.134999999999998</v>
      </c>
      <c r="I695">
        <v>49.999999999999979</v>
      </c>
      <c r="J695" t="s">
        <v>20</v>
      </c>
    </row>
    <row r="696" spans="1:10" x14ac:dyDescent="0.2">
      <c r="A696">
        <v>10695</v>
      </c>
      <c r="B696" t="s">
        <v>10</v>
      </c>
      <c r="C696" t="s">
        <v>11</v>
      </c>
      <c r="D696">
        <v>7.87</v>
      </c>
      <c r="E696">
        <v>5</v>
      </c>
      <c r="F696" t="s">
        <v>15</v>
      </c>
      <c r="G696">
        <v>25</v>
      </c>
      <c r="H696">
        <v>9.8375000000000004</v>
      </c>
      <c r="I696">
        <v>25</v>
      </c>
      <c r="J696" t="s">
        <v>20</v>
      </c>
    </row>
    <row r="697" spans="1:10" x14ac:dyDescent="0.2">
      <c r="A697">
        <v>10696</v>
      </c>
      <c r="B697" t="s">
        <v>7</v>
      </c>
      <c r="C697" t="s">
        <v>9</v>
      </c>
      <c r="D697">
        <v>3.88</v>
      </c>
      <c r="E697">
        <v>1</v>
      </c>
      <c r="F697" t="s">
        <v>14</v>
      </c>
      <c r="G697">
        <v>15</v>
      </c>
      <c r="H697">
        <v>4.4619999999999997</v>
      </c>
      <c r="I697">
        <v>14.999999999999991</v>
      </c>
      <c r="J697" t="s">
        <v>20</v>
      </c>
    </row>
    <row r="698" spans="1:10" x14ac:dyDescent="0.2">
      <c r="A698">
        <v>10697</v>
      </c>
      <c r="B698" t="s">
        <v>5</v>
      </c>
      <c r="C698" t="s">
        <v>6</v>
      </c>
      <c r="D698">
        <v>12.76</v>
      </c>
      <c r="E698">
        <v>8</v>
      </c>
      <c r="F698" t="s">
        <v>16</v>
      </c>
      <c r="G698">
        <v>55</v>
      </c>
      <c r="H698">
        <v>19.777999999999999</v>
      </c>
      <c r="I698">
        <v>54.999999999999986</v>
      </c>
      <c r="J698" t="s">
        <v>20</v>
      </c>
    </row>
    <row r="699" spans="1:10" x14ac:dyDescent="0.2">
      <c r="A699">
        <v>10698</v>
      </c>
      <c r="B699" t="s">
        <v>10</v>
      </c>
      <c r="C699" t="s">
        <v>9</v>
      </c>
      <c r="D699">
        <v>11.04</v>
      </c>
      <c r="E699">
        <v>4</v>
      </c>
      <c r="F699" t="s">
        <v>15</v>
      </c>
      <c r="G699">
        <v>30</v>
      </c>
      <c r="H699">
        <v>14.351999999999999</v>
      </c>
      <c r="I699">
        <v>30.000000000000004</v>
      </c>
      <c r="J699" t="s">
        <v>20</v>
      </c>
    </row>
    <row r="700" spans="1:10" x14ac:dyDescent="0.2">
      <c r="A700">
        <v>10699</v>
      </c>
      <c r="B700" t="s">
        <v>10</v>
      </c>
      <c r="C700" t="s">
        <v>6</v>
      </c>
      <c r="D700">
        <v>14.72</v>
      </c>
      <c r="E700">
        <v>9</v>
      </c>
      <c r="F700" t="s">
        <v>16</v>
      </c>
      <c r="G700">
        <v>55</v>
      </c>
      <c r="H700">
        <v>22.816000000000003</v>
      </c>
      <c r="I700">
        <v>55.000000000000007</v>
      </c>
      <c r="J700" t="s">
        <v>20</v>
      </c>
    </row>
    <row r="701" spans="1:10" x14ac:dyDescent="0.2">
      <c r="A701">
        <v>10700</v>
      </c>
      <c r="B701" t="s">
        <v>5</v>
      </c>
      <c r="C701" t="s">
        <v>9</v>
      </c>
      <c r="D701">
        <v>2.76</v>
      </c>
      <c r="E701">
        <v>4</v>
      </c>
      <c r="F701" t="s">
        <v>15</v>
      </c>
      <c r="G701">
        <v>30</v>
      </c>
      <c r="H701">
        <v>3.5879999999999996</v>
      </c>
      <c r="I701">
        <v>30.000000000000004</v>
      </c>
      <c r="J701" t="s">
        <v>20</v>
      </c>
    </row>
    <row r="702" spans="1:10" x14ac:dyDescent="0.2">
      <c r="A702">
        <v>10701</v>
      </c>
      <c r="B702" t="s">
        <v>10</v>
      </c>
      <c r="C702" t="s">
        <v>6</v>
      </c>
      <c r="D702">
        <v>3.77</v>
      </c>
      <c r="E702">
        <v>2</v>
      </c>
      <c r="F702" t="s">
        <v>14</v>
      </c>
      <c r="G702">
        <v>12</v>
      </c>
      <c r="H702">
        <v>4.2224000000000004</v>
      </c>
      <c r="I702">
        <v>12.000000000000011</v>
      </c>
      <c r="J702" t="s">
        <v>20</v>
      </c>
    </row>
    <row r="703" spans="1:10" x14ac:dyDescent="0.2">
      <c r="A703">
        <v>10702</v>
      </c>
      <c r="B703" t="s">
        <v>7</v>
      </c>
      <c r="C703" t="s">
        <v>9</v>
      </c>
      <c r="D703">
        <v>3.57</v>
      </c>
      <c r="E703">
        <v>3</v>
      </c>
      <c r="F703" t="s">
        <v>14</v>
      </c>
      <c r="G703">
        <v>15</v>
      </c>
      <c r="H703">
        <v>4.1054999999999993</v>
      </c>
      <c r="I703">
        <v>14.999999999999991</v>
      </c>
      <c r="J703" t="s">
        <v>20</v>
      </c>
    </row>
    <row r="704" spans="1:10" x14ac:dyDescent="0.2">
      <c r="A704">
        <v>10703</v>
      </c>
      <c r="B704" t="s">
        <v>8</v>
      </c>
      <c r="C704" t="s">
        <v>6</v>
      </c>
      <c r="D704">
        <v>11.99</v>
      </c>
      <c r="E704">
        <v>5</v>
      </c>
      <c r="F704" t="s">
        <v>15</v>
      </c>
      <c r="G704">
        <v>28</v>
      </c>
      <c r="H704">
        <v>15.347200000000001</v>
      </c>
      <c r="I704">
        <v>28.000000000000004</v>
      </c>
      <c r="J704" t="s">
        <v>20</v>
      </c>
    </row>
    <row r="705" spans="1:10" x14ac:dyDescent="0.2">
      <c r="A705">
        <v>10704</v>
      </c>
      <c r="B705" t="s">
        <v>7</v>
      </c>
      <c r="C705" t="s">
        <v>9</v>
      </c>
      <c r="D705">
        <v>3.21</v>
      </c>
      <c r="E705">
        <v>10</v>
      </c>
      <c r="F705" t="s">
        <v>16</v>
      </c>
      <c r="G705">
        <v>60</v>
      </c>
      <c r="H705">
        <v>5.1360000000000001</v>
      </c>
      <c r="I705">
        <v>60.000000000000007</v>
      </c>
      <c r="J705" t="s">
        <v>20</v>
      </c>
    </row>
    <row r="706" spans="1:10" x14ac:dyDescent="0.2">
      <c r="A706">
        <v>10705</v>
      </c>
      <c r="B706" t="s">
        <v>8</v>
      </c>
      <c r="C706" t="s">
        <v>9</v>
      </c>
      <c r="D706">
        <v>1.47</v>
      </c>
      <c r="E706">
        <v>6</v>
      </c>
      <c r="F706" t="s">
        <v>15</v>
      </c>
      <c r="G706">
        <v>30</v>
      </c>
      <c r="H706">
        <v>1.911</v>
      </c>
      <c r="I706">
        <v>30.000000000000004</v>
      </c>
      <c r="J706" t="s">
        <v>20</v>
      </c>
    </row>
    <row r="707" spans="1:10" x14ac:dyDescent="0.2">
      <c r="A707">
        <v>10706</v>
      </c>
      <c r="B707" t="s">
        <v>8</v>
      </c>
      <c r="C707" t="s">
        <v>6</v>
      </c>
      <c r="D707">
        <v>14.98</v>
      </c>
      <c r="E707">
        <v>7</v>
      </c>
      <c r="F707" t="s">
        <v>15</v>
      </c>
      <c r="G707">
        <v>28</v>
      </c>
      <c r="H707">
        <v>19.174400000000002</v>
      </c>
      <c r="I707">
        <v>28.000000000000004</v>
      </c>
      <c r="J707" t="s">
        <v>20</v>
      </c>
    </row>
    <row r="708" spans="1:10" x14ac:dyDescent="0.2">
      <c r="A708">
        <v>10707</v>
      </c>
      <c r="B708" t="s">
        <v>7</v>
      </c>
      <c r="C708" t="s">
        <v>11</v>
      </c>
      <c r="D708">
        <v>0.86</v>
      </c>
      <c r="E708">
        <v>4</v>
      </c>
      <c r="F708" t="s">
        <v>15</v>
      </c>
      <c r="G708">
        <v>25</v>
      </c>
      <c r="H708">
        <v>1.075</v>
      </c>
      <c r="I708">
        <v>25</v>
      </c>
      <c r="J708" t="s">
        <v>20</v>
      </c>
    </row>
    <row r="709" spans="1:10" x14ac:dyDescent="0.2">
      <c r="A709">
        <v>10708</v>
      </c>
      <c r="B709" t="s">
        <v>7</v>
      </c>
      <c r="C709" t="s">
        <v>6</v>
      </c>
      <c r="D709">
        <v>12.61</v>
      </c>
      <c r="E709">
        <v>7</v>
      </c>
      <c r="F709" t="s">
        <v>15</v>
      </c>
      <c r="G709">
        <v>28</v>
      </c>
      <c r="H709">
        <v>16.140799999999999</v>
      </c>
      <c r="I709">
        <v>28.000000000000004</v>
      </c>
      <c r="J709" t="s">
        <v>20</v>
      </c>
    </row>
    <row r="710" spans="1:10" x14ac:dyDescent="0.2">
      <c r="A710">
        <v>10709</v>
      </c>
      <c r="B710" t="s">
        <v>7</v>
      </c>
      <c r="C710" t="s">
        <v>11</v>
      </c>
      <c r="D710">
        <v>5.8</v>
      </c>
      <c r="E710">
        <v>10</v>
      </c>
      <c r="F710" t="s">
        <v>16</v>
      </c>
      <c r="G710">
        <v>50</v>
      </c>
      <c r="H710">
        <v>8.6999999999999993</v>
      </c>
      <c r="I710">
        <v>50</v>
      </c>
      <c r="J710" t="s">
        <v>20</v>
      </c>
    </row>
    <row r="711" spans="1:10" x14ac:dyDescent="0.2">
      <c r="A711">
        <v>10710</v>
      </c>
      <c r="B711" t="s">
        <v>7</v>
      </c>
      <c r="C711" t="s">
        <v>9</v>
      </c>
      <c r="D711">
        <v>12.7</v>
      </c>
      <c r="E711">
        <v>3</v>
      </c>
      <c r="F711" t="s">
        <v>14</v>
      </c>
      <c r="G711">
        <v>15</v>
      </c>
      <c r="H711">
        <v>14.604999999999999</v>
      </c>
      <c r="I711">
        <v>14.999999999999991</v>
      </c>
      <c r="J711" t="s">
        <v>20</v>
      </c>
    </row>
    <row r="712" spans="1:10" x14ac:dyDescent="0.2">
      <c r="A712">
        <v>10711</v>
      </c>
      <c r="B712" t="s">
        <v>5</v>
      </c>
      <c r="C712" t="s">
        <v>6</v>
      </c>
      <c r="D712">
        <v>8.5399999999999991</v>
      </c>
      <c r="E712">
        <v>7</v>
      </c>
      <c r="F712" t="s">
        <v>15</v>
      </c>
      <c r="G712">
        <v>28</v>
      </c>
      <c r="H712">
        <v>10.931199999999999</v>
      </c>
      <c r="I712">
        <v>28.000000000000004</v>
      </c>
      <c r="J712" t="s">
        <v>20</v>
      </c>
    </row>
    <row r="713" spans="1:10" x14ac:dyDescent="0.2">
      <c r="A713">
        <v>10712</v>
      </c>
      <c r="B713" t="s">
        <v>10</v>
      </c>
      <c r="C713" t="s">
        <v>6</v>
      </c>
      <c r="D713">
        <v>13.57</v>
      </c>
      <c r="E713">
        <v>4</v>
      </c>
      <c r="F713" t="s">
        <v>15</v>
      </c>
      <c r="G713">
        <v>28</v>
      </c>
      <c r="H713">
        <v>17.369600000000002</v>
      </c>
      <c r="I713">
        <v>28.000000000000004</v>
      </c>
      <c r="J713" t="s">
        <v>20</v>
      </c>
    </row>
    <row r="714" spans="1:10" x14ac:dyDescent="0.2">
      <c r="A714">
        <v>10713</v>
      </c>
      <c r="B714" t="s">
        <v>8</v>
      </c>
      <c r="C714" t="s">
        <v>6</v>
      </c>
      <c r="D714">
        <v>13.93</v>
      </c>
      <c r="E714">
        <v>8</v>
      </c>
      <c r="F714" t="s">
        <v>16</v>
      </c>
      <c r="G714">
        <v>55</v>
      </c>
      <c r="H714">
        <v>21.5915</v>
      </c>
      <c r="I714">
        <v>55.000000000000007</v>
      </c>
      <c r="J714" t="s">
        <v>20</v>
      </c>
    </row>
    <row r="715" spans="1:10" x14ac:dyDescent="0.2">
      <c r="A715">
        <v>10714</v>
      </c>
      <c r="B715" t="s">
        <v>7</v>
      </c>
      <c r="C715" t="s">
        <v>11</v>
      </c>
      <c r="D715">
        <v>0.63</v>
      </c>
      <c r="E715">
        <v>9</v>
      </c>
      <c r="F715" t="s">
        <v>16</v>
      </c>
      <c r="G715">
        <v>50</v>
      </c>
      <c r="H715">
        <v>0.94500000000000006</v>
      </c>
      <c r="I715">
        <v>50</v>
      </c>
      <c r="J715" t="s">
        <v>20</v>
      </c>
    </row>
    <row r="716" spans="1:10" x14ac:dyDescent="0.2">
      <c r="A716">
        <v>10715</v>
      </c>
      <c r="B716" t="s">
        <v>7</v>
      </c>
      <c r="C716" t="s">
        <v>11</v>
      </c>
      <c r="D716">
        <v>1.59</v>
      </c>
      <c r="E716">
        <v>7</v>
      </c>
      <c r="F716" t="s">
        <v>15</v>
      </c>
      <c r="G716">
        <v>25</v>
      </c>
      <c r="H716">
        <v>1.9875</v>
      </c>
      <c r="I716">
        <v>25</v>
      </c>
      <c r="J716" t="s">
        <v>20</v>
      </c>
    </row>
    <row r="717" spans="1:10" x14ac:dyDescent="0.2">
      <c r="A717">
        <v>10716</v>
      </c>
      <c r="B717" t="s">
        <v>7</v>
      </c>
      <c r="C717" t="s">
        <v>9</v>
      </c>
      <c r="D717">
        <v>4.13</v>
      </c>
      <c r="E717">
        <v>8</v>
      </c>
      <c r="F717" t="s">
        <v>16</v>
      </c>
      <c r="G717">
        <v>60</v>
      </c>
      <c r="H717">
        <v>6.6080000000000005</v>
      </c>
      <c r="I717">
        <v>60.000000000000007</v>
      </c>
      <c r="J717" t="s">
        <v>20</v>
      </c>
    </row>
    <row r="718" spans="1:10" x14ac:dyDescent="0.2">
      <c r="A718">
        <v>10717</v>
      </c>
      <c r="B718" t="s">
        <v>5</v>
      </c>
      <c r="C718" t="s">
        <v>11</v>
      </c>
      <c r="D718">
        <v>10.210000000000001</v>
      </c>
      <c r="E718">
        <v>8</v>
      </c>
      <c r="F718" t="s">
        <v>16</v>
      </c>
      <c r="G718">
        <v>50</v>
      </c>
      <c r="H718">
        <v>15.315000000000001</v>
      </c>
      <c r="I718">
        <v>50</v>
      </c>
      <c r="J718" t="s">
        <v>20</v>
      </c>
    </row>
    <row r="719" spans="1:10" x14ac:dyDescent="0.2">
      <c r="A719">
        <v>10718</v>
      </c>
      <c r="B719" t="s">
        <v>7</v>
      </c>
      <c r="C719" t="s">
        <v>11</v>
      </c>
      <c r="D719">
        <v>13.38</v>
      </c>
      <c r="E719">
        <v>2</v>
      </c>
      <c r="F719" t="s">
        <v>14</v>
      </c>
      <c r="G719">
        <v>10</v>
      </c>
      <c r="H719">
        <v>14.718000000000002</v>
      </c>
      <c r="I719">
        <v>10.000000000000009</v>
      </c>
      <c r="J719" t="s">
        <v>20</v>
      </c>
    </row>
    <row r="720" spans="1:10" x14ac:dyDescent="0.2">
      <c r="A720">
        <v>10719</v>
      </c>
      <c r="B720" t="s">
        <v>7</v>
      </c>
      <c r="C720" t="s">
        <v>9</v>
      </c>
      <c r="D720">
        <v>7.17</v>
      </c>
      <c r="E720">
        <v>9</v>
      </c>
      <c r="F720" t="s">
        <v>16</v>
      </c>
      <c r="G720">
        <v>60</v>
      </c>
      <c r="H720">
        <v>11.472000000000001</v>
      </c>
      <c r="I720">
        <v>60.000000000000007</v>
      </c>
      <c r="J720" t="s">
        <v>20</v>
      </c>
    </row>
    <row r="721" spans="1:10" x14ac:dyDescent="0.2">
      <c r="A721">
        <v>10720</v>
      </c>
      <c r="B721" t="s">
        <v>7</v>
      </c>
      <c r="C721" t="s">
        <v>6</v>
      </c>
      <c r="D721">
        <v>9.3000000000000007</v>
      </c>
      <c r="E721">
        <v>6</v>
      </c>
      <c r="F721" t="s">
        <v>15</v>
      </c>
      <c r="G721">
        <v>28</v>
      </c>
      <c r="H721">
        <v>11.904000000000002</v>
      </c>
      <c r="I721">
        <v>28.000000000000004</v>
      </c>
      <c r="J721" t="s">
        <v>20</v>
      </c>
    </row>
    <row r="722" spans="1:10" x14ac:dyDescent="0.2">
      <c r="A722">
        <v>10721</v>
      </c>
      <c r="B722" t="s">
        <v>10</v>
      </c>
      <c r="C722" t="s">
        <v>6</v>
      </c>
      <c r="D722">
        <v>3.23</v>
      </c>
      <c r="E722">
        <v>4</v>
      </c>
      <c r="F722" t="s">
        <v>15</v>
      </c>
      <c r="G722">
        <v>28</v>
      </c>
      <c r="H722">
        <v>4.1344000000000003</v>
      </c>
      <c r="I722">
        <v>28.000000000000004</v>
      </c>
      <c r="J722" t="s">
        <v>20</v>
      </c>
    </row>
    <row r="723" spans="1:10" x14ac:dyDescent="0.2">
      <c r="A723">
        <v>10722</v>
      </c>
      <c r="B723" t="s">
        <v>5</v>
      </c>
      <c r="C723" t="s">
        <v>9</v>
      </c>
      <c r="D723">
        <v>12.17</v>
      </c>
      <c r="E723">
        <v>5</v>
      </c>
      <c r="F723" t="s">
        <v>15</v>
      </c>
      <c r="G723">
        <v>30</v>
      </c>
      <c r="H723">
        <v>15.821</v>
      </c>
      <c r="I723">
        <v>30.000000000000004</v>
      </c>
      <c r="J723" t="s">
        <v>20</v>
      </c>
    </row>
    <row r="724" spans="1:10" x14ac:dyDescent="0.2">
      <c r="A724">
        <v>10723</v>
      </c>
      <c r="B724" t="s">
        <v>7</v>
      </c>
      <c r="C724" t="s">
        <v>6</v>
      </c>
      <c r="D724">
        <v>14.53</v>
      </c>
      <c r="E724">
        <v>10</v>
      </c>
      <c r="F724" t="s">
        <v>16</v>
      </c>
      <c r="G724">
        <v>55</v>
      </c>
      <c r="H724">
        <v>22.5215</v>
      </c>
      <c r="I724">
        <v>55.000000000000007</v>
      </c>
      <c r="J724" t="s">
        <v>20</v>
      </c>
    </row>
    <row r="725" spans="1:10" x14ac:dyDescent="0.2">
      <c r="A725">
        <v>10724</v>
      </c>
      <c r="B725" t="s">
        <v>8</v>
      </c>
      <c r="C725" t="s">
        <v>11</v>
      </c>
      <c r="D725">
        <v>4.3899999999999997</v>
      </c>
      <c r="E725">
        <v>5</v>
      </c>
      <c r="F725" t="s">
        <v>15</v>
      </c>
      <c r="G725">
        <v>25</v>
      </c>
      <c r="H725">
        <v>5.4874999999999998</v>
      </c>
      <c r="I725">
        <v>25</v>
      </c>
      <c r="J725" t="s">
        <v>20</v>
      </c>
    </row>
    <row r="726" spans="1:10" x14ac:dyDescent="0.2">
      <c r="A726">
        <v>10725</v>
      </c>
      <c r="B726" t="s">
        <v>8</v>
      </c>
      <c r="C726" t="s">
        <v>9</v>
      </c>
      <c r="D726">
        <v>7.67</v>
      </c>
      <c r="E726">
        <v>7</v>
      </c>
      <c r="F726" t="s">
        <v>15</v>
      </c>
      <c r="G726">
        <v>30</v>
      </c>
      <c r="H726">
        <v>9.9710000000000001</v>
      </c>
      <c r="I726">
        <v>30.000000000000004</v>
      </c>
      <c r="J726" t="s">
        <v>20</v>
      </c>
    </row>
    <row r="727" spans="1:10" x14ac:dyDescent="0.2">
      <c r="A727">
        <v>10726</v>
      </c>
      <c r="B727" t="s">
        <v>8</v>
      </c>
      <c r="C727" t="s">
        <v>9</v>
      </c>
      <c r="D727">
        <v>1.75</v>
      </c>
      <c r="E727">
        <v>9</v>
      </c>
      <c r="F727" t="s">
        <v>16</v>
      </c>
      <c r="G727">
        <v>60</v>
      </c>
      <c r="H727">
        <v>2.8000000000000003</v>
      </c>
      <c r="I727">
        <v>60.000000000000007</v>
      </c>
      <c r="J727" t="s">
        <v>20</v>
      </c>
    </row>
    <row r="728" spans="1:10" x14ac:dyDescent="0.2">
      <c r="A728">
        <v>10727</v>
      </c>
      <c r="B728" t="s">
        <v>5</v>
      </c>
      <c r="C728" t="s">
        <v>9</v>
      </c>
      <c r="D728">
        <v>8.61</v>
      </c>
      <c r="E728">
        <v>7</v>
      </c>
      <c r="F728" t="s">
        <v>15</v>
      </c>
      <c r="G728">
        <v>30</v>
      </c>
      <c r="H728">
        <v>11.193</v>
      </c>
      <c r="I728">
        <v>30.000000000000004</v>
      </c>
      <c r="J728" t="s">
        <v>20</v>
      </c>
    </row>
    <row r="729" spans="1:10" x14ac:dyDescent="0.2">
      <c r="A729">
        <v>10728</v>
      </c>
      <c r="B729" t="s">
        <v>5</v>
      </c>
      <c r="C729" t="s">
        <v>6</v>
      </c>
      <c r="D729">
        <v>7.79</v>
      </c>
      <c r="E729">
        <v>9</v>
      </c>
      <c r="F729" t="s">
        <v>16</v>
      </c>
      <c r="G729">
        <v>55</v>
      </c>
      <c r="H729">
        <v>12.0745</v>
      </c>
      <c r="I729">
        <v>55.000000000000007</v>
      </c>
      <c r="J729" t="s">
        <v>20</v>
      </c>
    </row>
    <row r="730" spans="1:10" x14ac:dyDescent="0.2">
      <c r="A730">
        <v>10729</v>
      </c>
      <c r="B730" t="s">
        <v>8</v>
      </c>
      <c r="C730" t="s">
        <v>9</v>
      </c>
      <c r="D730">
        <v>2.59</v>
      </c>
      <c r="E730">
        <v>4</v>
      </c>
      <c r="F730" t="s">
        <v>15</v>
      </c>
      <c r="G730">
        <v>30</v>
      </c>
      <c r="H730">
        <v>3.367</v>
      </c>
      <c r="I730">
        <v>30.000000000000004</v>
      </c>
      <c r="J730" t="s">
        <v>20</v>
      </c>
    </row>
    <row r="731" spans="1:10" x14ac:dyDescent="0.2">
      <c r="A731">
        <v>10730</v>
      </c>
      <c r="B731" t="s">
        <v>7</v>
      </c>
      <c r="C731" t="s">
        <v>9</v>
      </c>
      <c r="D731">
        <v>6.91</v>
      </c>
      <c r="E731">
        <v>10</v>
      </c>
      <c r="F731" t="s">
        <v>16</v>
      </c>
      <c r="G731">
        <v>60</v>
      </c>
      <c r="H731">
        <v>11.056000000000001</v>
      </c>
      <c r="I731">
        <v>60.000000000000007</v>
      </c>
      <c r="J731" t="s">
        <v>20</v>
      </c>
    </row>
    <row r="732" spans="1:10" x14ac:dyDescent="0.2">
      <c r="A732">
        <v>10731</v>
      </c>
      <c r="B732" t="s">
        <v>5</v>
      </c>
      <c r="C732" t="s">
        <v>9</v>
      </c>
      <c r="D732">
        <v>5.34</v>
      </c>
      <c r="E732">
        <v>10</v>
      </c>
      <c r="F732" t="s">
        <v>16</v>
      </c>
      <c r="G732">
        <v>60</v>
      </c>
      <c r="H732">
        <v>8.5440000000000005</v>
      </c>
      <c r="I732">
        <v>60.000000000000007</v>
      </c>
      <c r="J732" t="s">
        <v>20</v>
      </c>
    </row>
    <row r="733" spans="1:10" x14ac:dyDescent="0.2">
      <c r="A733">
        <v>10732</v>
      </c>
      <c r="B733" t="s">
        <v>8</v>
      </c>
      <c r="C733" t="s">
        <v>6</v>
      </c>
      <c r="D733">
        <v>8.07</v>
      </c>
      <c r="E733">
        <v>4</v>
      </c>
      <c r="F733" t="s">
        <v>15</v>
      </c>
      <c r="G733">
        <v>28</v>
      </c>
      <c r="H733">
        <v>10.329600000000001</v>
      </c>
      <c r="I733">
        <v>28.000000000000004</v>
      </c>
      <c r="J733" t="s">
        <v>20</v>
      </c>
    </row>
    <row r="734" spans="1:10" x14ac:dyDescent="0.2">
      <c r="A734">
        <v>10733</v>
      </c>
      <c r="B734" t="s">
        <v>8</v>
      </c>
      <c r="C734" t="s">
        <v>11</v>
      </c>
      <c r="D734">
        <v>8.99</v>
      </c>
      <c r="E734">
        <v>6</v>
      </c>
      <c r="F734" t="s">
        <v>15</v>
      </c>
      <c r="G734">
        <v>25</v>
      </c>
      <c r="H734">
        <v>11.237500000000001</v>
      </c>
      <c r="I734">
        <v>25</v>
      </c>
      <c r="J734" t="s">
        <v>20</v>
      </c>
    </row>
    <row r="735" spans="1:10" x14ac:dyDescent="0.2">
      <c r="A735">
        <v>10734</v>
      </c>
      <c r="B735" t="s">
        <v>7</v>
      </c>
      <c r="C735" t="s">
        <v>9</v>
      </c>
      <c r="D735">
        <v>0.62</v>
      </c>
      <c r="E735">
        <v>8</v>
      </c>
      <c r="F735" t="s">
        <v>16</v>
      </c>
      <c r="G735">
        <v>60</v>
      </c>
      <c r="H735">
        <v>0.99199999999999999</v>
      </c>
      <c r="I735">
        <v>60.000000000000007</v>
      </c>
      <c r="J735" t="s">
        <v>20</v>
      </c>
    </row>
    <row r="736" spans="1:10" x14ac:dyDescent="0.2">
      <c r="A736">
        <v>10735</v>
      </c>
      <c r="B736" t="s">
        <v>10</v>
      </c>
      <c r="C736" t="s">
        <v>11</v>
      </c>
      <c r="D736">
        <v>11.53</v>
      </c>
      <c r="E736">
        <v>9</v>
      </c>
      <c r="F736" t="s">
        <v>16</v>
      </c>
      <c r="G736">
        <v>50</v>
      </c>
      <c r="H736">
        <v>17.294999999999998</v>
      </c>
      <c r="I736">
        <v>50</v>
      </c>
      <c r="J736" t="s">
        <v>20</v>
      </c>
    </row>
    <row r="737" spans="1:10" x14ac:dyDescent="0.2">
      <c r="A737">
        <v>10736</v>
      </c>
      <c r="B737" t="s">
        <v>5</v>
      </c>
      <c r="C737" t="s">
        <v>6</v>
      </c>
      <c r="D737">
        <v>10.84</v>
      </c>
      <c r="E737">
        <v>1</v>
      </c>
      <c r="F737" t="s">
        <v>14</v>
      </c>
      <c r="G737">
        <v>12</v>
      </c>
      <c r="H737">
        <v>12.1408</v>
      </c>
      <c r="I737">
        <v>12.000000000000011</v>
      </c>
      <c r="J737" t="s">
        <v>20</v>
      </c>
    </row>
    <row r="738" spans="1:10" x14ac:dyDescent="0.2">
      <c r="A738">
        <v>10737</v>
      </c>
      <c r="B738" t="s">
        <v>7</v>
      </c>
      <c r="C738" t="s">
        <v>6</v>
      </c>
      <c r="D738">
        <v>5.81</v>
      </c>
      <c r="E738">
        <v>1</v>
      </c>
      <c r="F738" t="s">
        <v>14</v>
      </c>
      <c r="G738">
        <v>12</v>
      </c>
      <c r="H738">
        <v>6.5072000000000001</v>
      </c>
      <c r="I738">
        <v>12.000000000000011</v>
      </c>
      <c r="J738" t="s">
        <v>20</v>
      </c>
    </row>
    <row r="739" spans="1:10" x14ac:dyDescent="0.2">
      <c r="A739">
        <v>10738</v>
      </c>
      <c r="B739" t="s">
        <v>8</v>
      </c>
      <c r="C739" t="s">
        <v>6</v>
      </c>
      <c r="D739">
        <v>1.27</v>
      </c>
      <c r="E739">
        <v>8</v>
      </c>
      <c r="F739" t="s">
        <v>16</v>
      </c>
      <c r="G739">
        <v>55</v>
      </c>
      <c r="H739">
        <v>1.9685000000000001</v>
      </c>
      <c r="I739">
        <v>55.000000000000007</v>
      </c>
      <c r="J739" t="s">
        <v>20</v>
      </c>
    </row>
    <row r="740" spans="1:10" x14ac:dyDescent="0.2">
      <c r="A740">
        <v>10739</v>
      </c>
      <c r="B740" t="s">
        <v>8</v>
      </c>
      <c r="C740" t="s">
        <v>6</v>
      </c>
      <c r="D740">
        <v>11.45</v>
      </c>
      <c r="E740">
        <v>7</v>
      </c>
      <c r="F740" t="s">
        <v>15</v>
      </c>
      <c r="G740">
        <v>28</v>
      </c>
      <c r="H740">
        <v>14.655999999999999</v>
      </c>
      <c r="I740">
        <v>28.000000000000004</v>
      </c>
      <c r="J740" t="s">
        <v>20</v>
      </c>
    </row>
    <row r="741" spans="1:10" x14ac:dyDescent="0.2">
      <c r="A741">
        <v>10740</v>
      </c>
      <c r="B741" t="s">
        <v>7</v>
      </c>
      <c r="C741" t="s">
        <v>11</v>
      </c>
      <c r="D741">
        <v>14.35</v>
      </c>
      <c r="E741">
        <v>9</v>
      </c>
      <c r="F741" t="s">
        <v>16</v>
      </c>
      <c r="G741">
        <v>50</v>
      </c>
      <c r="H741">
        <v>21.524999999999999</v>
      </c>
      <c r="I741">
        <v>50</v>
      </c>
      <c r="J741" t="s">
        <v>20</v>
      </c>
    </row>
    <row r="742" spans="1:10" x14ac:dyDescent="0.2">
      <c r="A742">
        <v>10741</v>
      </c>
      <c r="B742" t="s">
        <v>5</v>
      </c>
      <c r="C742" t="s">
        <v>9</v>
      </c>
      <c r="D742">
        <v>3.98</v>
      </c>
      <c r="E742">
        <v>3</v>
      </c>
      <c r="F742" t="s">
        <v>14</v>
      </c>
      <c r="G742">
        <v>15</v>
      </c>
      <c r="H742">
        <v>4.577</v>
      </c>
      <c r="I742">
        <v>14.999999999999991</v>
      </c>
      <c r="J742" t="s">
        <v>20</v>
      </c>
    </row>
    <row r="743" spans="1:10" x14ac:dyDescent="0.2">
      <c r="A743">
        <v>10742</v>
      </c>
      <c r="B743" t="s">
        <v>10</v>
      </c>
      <c r="C743" t="s">
        <v>6</v>
      </c>
      <c r="D743">
        <v>5.19</v>
      </c>
      <c r="E743">
        <v>10</v>
      </c>
      <c r="F743" t="s">
        <v>16</v>
      </c>
      <c r="G743">
        <v>55</v>
      </c>
      <c r="H743">
        <v>8.0445000000000011</v>
      </c>
      <c r="I743">
        <v>55.000000000000007</v>
      </c>
      <c r="J743" t="s">
        <v>20</v>
      </c>
    </row>
    <row r="744" spans="1:10" x14ac:dyDescent="0.2">
      <c r="A744">
        <v>10743</v>
      </c>
      <c r="B744" t="s">
        <v>10</v>
      </c>
      <c r="C744" t="s">
        <v>6</v>
      </c>
      <c r="D744">
        <v>3.17</v>
      </c>
      <c r="E744">
        <v>5</v>
      </c>
      <c r="F744" t="s">
        <v>15</v>
      </c>
      <c r="G744">
        <v>28</v>
      </c>
      <c r="H744">
        <v>4.0575999999999999</v>
      </c>
      <c r="I744">
        <v>28.000000000000004</v>
      </c>
      <c r="J744" t="s">
        <v>20</v>
      </c>
    </row>
    <row r="745" spans="1:10" x14ac:dyDescent="0.2">
      <c r="A745">
        <v>10744</v>
      </c>
      <c r="B745" t="s">
        <v>8</v>
      </c>
      <c r="C745" t="s">
        <v>11</v>
      </c>
      <c r="D745">
        <v>8.8699999999999992</v>
      </c>
      <c r="E745">
        <v>3</v>
      </c>
      <c r="F745" t="s">
        <v>14</v>
      </c>
      <c r="G745">
        <v>10</v>
      </c>
      <c r="H745">
        <v>9.7569999999999997</v>
      </c>
      <c r="I745">
        <v>10.000000000000009</v>
      </c>
      <c r="J745" t="s">
        <v>20</v>
      </c>
    </row>
    <row r="746" spans="1:10" x14ac:dyDescent="0.2">
      <c r="A746">
        <v>10745</v>
      </c>
      <c r="B746" t="s">
        <v>5</v>
      </c>
      <c r="C746" t="s">
        <v>11</v>
      </c>
      <c r="D746">
        <v>2.75</v>
      </c>
      <c r="E746">
        <v>5</v>
      </c>
      <c r="F746" t="s">
        <v>15</v>
      </c>
      <c r="G746">
        <v>25</v>
      </c>
      <c r="H746">
        <v>3.4375</v>
      </c>
      <c r="I746">
        <v>25</v>
      </c>
      <c r="J746" t="s">
        <v>20</v>
      </c>
    </row>
    <row r="747" spans="1:10" x14ac:dyDescent="0.2">
      <c r="A747">
        <v>10746</v>
      </c>
      <c r="B747" t="s">
        <v>10</v>
      </c>
      <c r="C747" t="s">
        <v>6</v>
      </c>
      <c r="D747">
        <v>5.66</v>
      </c>
      <c r="E747">
        <v>10</v>
      </c>
      <c r="F747" t="s">
        <v>16</v>
      </c>
      <c r="G747">
        <v>55</v>
      </c>
      <c r="H747">
        <v>8.7729999999999997</v>
      </c>
      <c r="I747">
        <v>54.999999999999986</v>
      </c>
      <c r="J747" t="s">
        <v>20</v>
      </c>
    </row>
    <row r="748" spans="1:10" x14ac:dyDescent="0.2">
      <c r="A748">
        <v>10747</v>
      </c>
      <c r="B748" t="s">
        <v>5</v>
      </c>
      <c r="C748" t="s">
        <v>9</v>
      </c>
      <c r="D748">
        <v>10.61</v>
      </c>
      <c r="E748">
        <v>1</v>
      </c>
      <c r="F748" t="s">
        <v>14</v>
      </c>
      <c r="G748">
        <v>15</v>
      </c>
      <c r="H748">
        <v>12.201499999999998</v>
      </c>
      <c r="I748">
        <v>14.999999999999991</v>
      </c>
      <c r="J748" t="s">
        <v>20</v>
      </c>
    </row>
    <row r="749" spans="1:10" x14ac:dyDescent="0.2">
      <c r="A749">
        <v>10748</v>
      </c>
      <c r="B749" t="s">
        <v>5</v>
      </c>
      <c r="C749" t="s">
        <v>9</v>
      </c>
      <c r="D749">
        <v>8.6199999999999992</v>
      </c>
      <c r="E749">
        <v>4</v>
      </c>
      <c r="F749" t="s">
        <v>15</v>
      </c>
      <c r="G749">
        <v>30</v>
      </c>
      <c r="H749">
        <v>11.206</v>
      </c>
      <c r="I749">
        <v>30.000000000000004</v>
      </c>
      <c r="J749" t="s">
        <v>20</v>
      </c>
    </row>
    <row r="750" spans="1:10" x14ac:dyDescent="0.2">
      <c r="A750">
        <v>10749</v>
      </c>
      <c r="B750" t="s">
        <v>8</v>
      </c>
      <c r="C750" t="s">
        <v>6</v>
      </c>
      <c r="D750">
        <v>6.1</v>
      </c>
      <c r="E750">
        <v>6</v>
      </c>
      <c r="F750" t="s">
        <v>15</v>
      </c>
      <c r="G750">
        <v>28</v>
      </c>
      <c r="H750">
        <v>7.8079999999999998</v>
      </c>
      <c r="I750">
        <v>28.000000000000004</v>
      </c>
      <c r="J750" t="s">
        <v>20</v>
      </c>
    </row>
    <row r="751" spans="1:10" x14ac:dyDescent="0.2">
      <c r="A751">
        <v>10750</v>
      </c>
      <c r="B751" t="s">
        <v>10</v>
      </c>
      <c r="C751" t="s">
        <v>11</v>
      </c>
      <c r="D751">
        <v>6.59</v>
      </c>
      <c r="E751">
        <v>2</v>
      </c>
      <c r="F751" t="s">
        <v>14</v>
      </c>
      <c r="G751">
        <v>10</v>
      </c>
      <c r="H751">
        <v>7.2490000000000006</v>
      </c>
      <c r="I751">
        <v>10.000000000000009</v>
      </c>
      <c r="J751" t="s">
        <v>20</v>
      </c>
    </row>
    <row r="752" spans="1:10" x14ac:dyDescent="0.2">
      <c r="A752">
        <v>10751</v>
      </c>
      <c r="B752" t="s">
        <v>7</v>
      </c>
      <c r="C752" t="s">
        <v>6</v>
      </c>
      <c r="D752">
        <v>8.65</v>
      </c>
      <c r="E752">
        <v>7</v>
      </c>
      <c r="F752" t="s">
        <v>15</v>
      </c>
      <c r="G752">
        <v>28</v>
      </c>
      <c r="H752">
        <v>11.072000000000001</v>
      </c>
      <c r="I752">
        <v>28.000000000000004</v>
      </c>
      <c r="J752" t="s">
        <v>20</v>
      </c>
    </row>
    <row r="753" spans="1:10" x14ac:dyDescent="0.2">
      <c r="A753">
        <v>10752</v>
      </c>
      <c r="B753" t="s">
        <v>8</v>
      </c>
      <c r="C753" t="s">
        <v>6</v>
      </c>
      <c r="D753">
        <v>0.59</v>
      </c>
      <c r="E753">
        <v>8</v>
      </c>
      <c r="F753" t="s">
        <v>16</v>
      </c>
      <c r="G753">
        <v>55</v>
      </c>
      <c r="H753">
        <v>0.91449999999999998</v>
      </c>
      <c r="I753">
        <v>55.000000000000007</v>
      </c>
      <c r="J753" t="s">
        <v>20</v>
      </c>
    </row>
    <row r="754" spans="1:10" x14ac:dyDescent="0.2">
      <c r="A754">
        <v>10753</v>
      </c>
      <c r="B754" t="s">
        <v>10</v>
      </c>
      <c r="C754" t="s">
        <v>11</v>
      </c>
      <c r="D754">
        <v>1.64</v>
      </c>
      <c r="E754">
        <v>1</v>
      </c>
      <c r="F754" t="s">
        <v>14</v>
      </c>
      <c r="G754">
        <v>10</v>
      </c>
      <c r="H754">
        <v>1.804</v>
      </c>
      <c r="I754">
        <v>10.000000000000009</v>
      </c>
      <c r="J754" t="s">
        <v>20</v>
      </c>
    </row>
    <row r="755" spans="1:10" x14ac:dyDescent="0.2">
      <c r="A755">
        <v>10754</v>
      </c>
      <c r="B755" t="s">
        <v>10</v>
      </c>
      <c r="C755" t="s">
        <v>6</v>
      </c>
      <c r="D755">
        <v>13.28</v>
      </c>
      <c r="E755">
        <v>4</v>
      </c>
      <c r="F755" t="s">
        <v>15</v>
      </c>
      <c r="G755">
        <v>28</v>
      </c>
      <c r="H755">
        <v>16.9984</v>
      </c>
      <c r="I755">
        <v>28.000000000000004</v>
      </c>
      <c r="J755" t="s">
        <v>20</v>
      </c>
    </row>
    <row r="756" spans="1:10" x14ac:dyDescent="0.2">
      <c r="A756">
        <v>10755</v>
      </c>
      <c r="B756" t="s">
        <v>10</v>
      </c>
      <c r="C756" t="s">
        <v>6</v>
      </c>
      <c r="D756">
        <v>1.63</v>
      </c>
      <c r="E756">
        <v>4</v>
      </c>
      <c r="F756" t="s">
        <v>15</v>
      </c>
      <c r="G756">
        <v>28</v>
      </c>
      <c r="H756">
        <v>2.0863999999999998</v>
      </c>
      <c r="I756">
        <v>28.000000000000004</v>
      </c>
      <c r="J756" t="s">
        <v>20</v>
      </c>
    </row>
    <row r="757" spans="1:10" x14ac:dyDescent="0.2">
      <c r="A757">
        <v>10756</v>
      </c>
      <c r="B757" t="s">
        <v>10</v>
      </c>
      <c r="C757" t="s">
        <v>6</v>
      </c>
      <c r="D757">
        <v>10.75</v>
      </c>
      <c r="E757">
        <v>5</v>
      </c>
      <c r="F757" t="s">
        <v>15</v>
      </c>
      <c r="G757">
        <v>28</v>
      </c>
      <c r="H757">
        <v>13.76</v>
      </c>
      <c r="I757">
        <v>28.000000000000004</v>
      </c>
      <c r="J757" t="s">
        <v>20</v>
      </c>
    </row>
    <row r="758" spans="1:10" x14ac:dyDescent="0.2">
      <c r="A758">
        <v>10757</v>
      </c>
      <c r="B758" t="s">
        <v>10</v>
      </c>
      <c r="C758" t="s">
        <v>11</v>
      </c>
      <c r="D758">
        <v>13.84</v>
      </c>
      <c r="E758">
        <v>4</v>
      </c>
      <c r="F758" t="s">
        <v>15</v>
      </c>
      <c r="G758">
        <v>25</v>
      </c>
      <c r="H758">
        <v>17.3</v>
      </c>
      <c r="I758">
        <v>25</v>
      </c>
      <c r="J758" t="s">
        <v>20</v>
      </c>
    </row>
    <row r="759" spans="1:10" x14ac:dyDescent="0.2">
      <c r="A759">
        <v>10758</v>
      </c>
      <c r="B759" t="s">
        <v>5</v>
      </c>
      <c r="C759" t="s">
        <v>9</v>
      </c>
      <c r="D759">
        <v>4.42</v>
      </c>
      <c r="E759">
        <v>9</v>
      </c>
      <c r="F759" t="s">
        <v>16</v>
      </c>
      <c r="G759">
        <v>60</v>
      </c>
      <c r="H759">
        <v>7.0720000000000001</v>
      </c>
      <c r="I759">
        <v>60.000000000000007</v>
      </c>
      <c r="J759" t="s">
        <v>20</v>
      </c>
    </row>
    <row r="760" spans="1:10" x14ac:dyDescent="0.2">
      <c r="A760">
        <v>10759</v>
      </c>
      <c r="B760" t="s">
        <v>8</v>
      </c>
      <c r="C760" t="s">
        <v>9</v>
      </c>
      <c r="D760">
        <v>5.87</v>
      </c>
      <c r="E760">
        <v>7</v>
      </c>
      <c r="F760" t="s">
        <v>15</v>
      </c>
      <c r="G760">
        <v>30</v>
      </c>
      <c r="H760">
        <v>7.6310000000000002</v>
      </c>
      <c r="I760">
        <v>30.000000000000004</v>
      </c>
      <c r="J760" t="s">
        <v>20</v>
      </c>
    </row>
    <row r="761" spans="1:10" x14ac:dyDescent="0.2">
      <c r="A761">
        <v>10760</v>
      </c>
      <c r="B761" t="s">
        <v>5</v>
      </c>
      <c r="C761" t="s">
        <v>11</v>
      </c>
      <c r="D761">
        <v>8.75</v>
      </c>
      <c r="E761">
        <v>2</v>
      </c>
      <c r="F761" t="s">
        <v>14</v>
      </c>
      <c r="G761">
        <v>10</v>
      </c>
      <c r="H761">
        <v>9.625</v>
      </c>
      <c r="I761">
        <v>10.000000000000009</v>
      </c>
      <c r="J761" t="s">
        <v>20</v>
      </c>
    </row>
    <row r="762" spans="1:10" x14ac:dyDescent="0.2">
      <c r="A762">
        <v>10761</v>
      </c>
      <c r="B762" t="s">
        <v>7</v>
      </c>
      <c r="C762" t="s">
        <v>9</v>
      </c>
      <c r="D762">
        <v>13.28</v>
      </c>
      <c r="E762">
        <v>1</v>
      </c>
      <c r="F762" t="s">
        <v>14</v>
      </c>
      <c r="G762">
        <v>15</v>
      </c>
      <c r="H762">
        <v>15.271999999999998</v>
      </c>
      <c r="I762">
        <v>14.999999999999991</v>
      </c>
      <c r="J762" t="s">
        <v>20</v>
      </c>
    </row>
    <row r="763" spans="1:10" x14ac:dyDescent="0.2">
      <c r="A763">
        <v>10762</v>
      </c>
      <c r="B763" t="s">
        <v>10</v>
      </c>
      <c r="C763" t="s">
        <v>6</v>
      </c>
      <c r="D763">
        <v>14.16</v>
      </c>
      <c r="E763">
        <v>9</v>
      </c>
      <c r="F763" t="s">
        <v>16</v>
      </c>
      <c r="G763">
        <v>55</v>
      </c>
      <c r="H763">
        <v>21.948</v>
      </c>
      <c r="I763">
        <v>55.000000000000007</v>
      </c>
      <c r="J763" t="s">
        <v>20</v>
      </c>
    </row>
    <row r="764" spans="1:10" x14ac:dyDescent="0.2">
      <c r="A764">
        <v>10763</v>
      </c>
      <c r="B764" t="s">
        <v>8</v>
      </c>
      <c r="C764" t="s">
        <v>9</v>
      </c>
      <c r="D764">
        <v>11.22</v>
      </c>
      <c r="E764">
        <v>1</v>
      </c>
      <c r="F764" t="s">
        <v>14</v>
      </c>
      <c r="G764">
        <v>15</v>
      </c>
      <c r="H764">
        <v>12.903</v>
      </c>
      <c r="I764">
        <v>14.999999999999991</v>
      </c>
      <c r="J764" t="s">
        <v>20</v>
      </c>
    </row>
    <row r="765" spans="1:10" x14ac:dyDescent="0.2">
      <c r="A765">
        <v>10764</v>
      </c>
      <c r="B765" t="s">
        <v>10</v>
      </c>
      <c r="C765" t="s">
        <v>6</v>
      </c>
      <c r="D765">
        <v>1.76</v>
      </c>
      <c r="E765">
        <v>6</v>
      </c>
      <c r="F765" t="s">
        <v>15</v>
      </c>
      <c r="G765">
        <v>28</v>
      </c>
      <c r="H765">
        <v>2.2528000000000001</v>
      </c>
      <c r="I765">
        <v>28.000000000000004</v>
      </c>
      <c r="J765" t="s">
        <v>20</v>
      </c>
    </row>
    <row r="766" spans="1:10" x14ac:dyDescent="0.2">
      <c r="A766">
        <v>10765</v>
      </c>
      <c r="B766" t="s">
        <v>8</v>
      </c>
      <c r="C766" t="s">
        <v>9</v>
      </c>
      <c r="D766">
        <v>10.199999999999999</v>
      </c>
      <c r="E766">
        <v>2</v>
      </c>
      <c r="F766" t="s">
        <v>14</v>
      </c>
      <c r="G766">
        <v>15</v>
      </c>
      <c r="H766">
        <v>11.729999999999999</v>
      </c>
      <c r="I766">
        <v>14.999999999999991</v>
      </c>
      <c r="J766" t="s">
        <v>20</v>
      </c>
    </row>
    <row r="767" spans="1:10" x14ac:dyDescent="0.2">
      <c r="A767">
        <v>10766</v>
      </c>
      <c r="B767" t="s">
        <v>5</v>
      </c>
      <c r="C767" t="s">
        <v>11</v>
      </c>
      <c r="D767">
        <v>6.45</v>
      </c>
      <c r="E767">
        <v>4</v>
      </c>
      <c r="F767" t="s">
        <v>15</v>
      </c>
      <c r="G767">
        <v>25</v>
      </c>
      <c r="H767">
        <v>8.0625</v>
      </c>
      <c r="I767">
        <v>25</v>
      </c>
      <c r="J767" t="s">
        <v>20</v>
      </c>
    </row>
    <row r="768" spans="1:10" x14ac:dyDescent="0.2">
      <c r="A768">
        <v>10767</v>
      </c>
      <c r="B768" t="s">
        <v>8</v>
      </c>
      <c r="C768" t="s">
        <v>9</v>
      </c>
      <c r="D768">
        <v>7.33</v>
      </c>
      <c r="E768">
        <v>6</v>
      </c>
      <c r="F768" t="s">
        <v>15</v>
      </c>
      <c r="G768">
        <v>30</v>
      </c>
      <c r="H768">
        <v>9.5289999999999999</v>
      </c>
      <c r="I768">
        <v>30.000000000000004</v>
      </c>
      <c r="J768" t="s">
        <v>20</v>
      </c>
    </row>
    <row r="769" spans="1:10" x14ac:dyDescent="0.2">
      <c r="A769">
        <v>10768</v>
      </c>
      <c r="B769" t="s">
        <v>7</v>
      </c>
      <c r="C769" t="s">
        <v>9</v>
      </c>
      <c r="D769">
        <v>1.21</v>
      </c>
      <c r="E769">
        <v>5</v>
      </c>
      <c r="F769" t="s">
        <v>15</v>
      </c>
      <c r="G769">
        <v>30</v>
      </c>
      <c r="H769">
        <v>1.573</v>
      </c>
      <c r="I769">
        <v>30.000000000000004</v>
      </c>
      <c r="J769" t="s">
        <v>20</v>
      </c>
    </row>
    <row r="770" spans="1:10" x14ac:dyDescent="0.2">
      <c r="A770">
        <v>10769</v>
      </c>
      <c r="B770" t="s">
        <v>7</v>
      </c>
      <c r="C770" t="s">
        <v>9</v>
      </c>
      <c r="D770">
        <v>3.27</v>
      </c>
      <c r="E770">
        <v>6</v>
      </c>
      <c r="F770" t="s">
        <v>15</v>
      </c>
      <c r="G770">
        <v>30</v>
      </c>
      <c r="H770">
        <v>4.2510000000000003</v>
      </c>
      <c r="I770">
        <v>30.000000000000004</v>
      </c>
      <c r="J770" t="s">
        <v>20</v>
      </c>
    </row>
    <row r="771" spans="1:10" x14ac:dyDescent="0.2">
      <c r="A771">
        <v>10770</v>
      </c>
      <c r="B771" t="s">
        <v>8</v>
      </c>
      <c r="C771" t="s">
        <v>11</v>
      </c>
      <c r="D771">
        <v>11.96</v>
      </c>
      <c r="E771">
        <v>3</v>
      </c>
      <c r="F771" t="s">
        <v>14</v>
      </c>
      <c r="G771">
        <v>10</v>
      </c>
      <c r="H771">
        <v>13.156000000000002</v>
      </c>
      <c r="I771">
        <v>10.000000000000009</v>
      </c>
      <c r="J771" t="s">
        <v>20</v>
      </c>
    </row>
    <row r="772" spans="1:10" x14ac:dyDescent="0.2">
      <c r="A772">
        <v>10771</v>
      </c>
      <c r="B772" t="s">
        <v>8</v>
      </c>
      <c r="C772" t="s">
        <v>9</v>
      </c>
      <c r="D772">
        <v>7.08</v>
      </c>
      <c r="E772">
        <v>5</v>
      </c>
      <c r="F772" t="s">
        <v>15</v>
      </c>
      <c r="G772">
        <v>30</v>
      </c>
      <c r="H772">
        <v>9.2040000000000006</v>
      </c>
      <c r="I772">
        <v>30.000000000000004</v>
      </c>
      <c r="J772" t="s">
        <v>20</v>
      </c>
    </row>
    <row r="773" spans="1:10" x14ac:dyDescent="0.2">
      <c r="A773">
        <v>10772</v>
      </c>
      <c r="B773" t="s">
        <v>8</v>
      </c>
      <c r="C773" t="s">
        <v>11</v>
      </c>
      <c r="D773">
        <v>4.87</v>
      </c>
      <c r="E773">
        <v>2</v>
      </c>
      <c r="F773" t="s">
        <v>14</v>
      </c>
      <c r="G773">
        <v>10</v>
      </c>
      <c r="H773">
        <v>5.3570000000000002</v>
      </c>
      <c r="I773">
        <v>10.000000000000009</v>
      </c>
      <c r="J773" t="s">
        <v>20</v>
      </c>
    </row>
    <row r="774" spans="1:10" x14ac:dyDescent="0.2">
      <c r="A774">
        <v>10773</v>
      </c>
      <c r="B774" t="s">
        <v>8</v>
      </c>
      <c r="C774" t="s">
        <v>6</v>
      </c>
      <c r="D774">
        <v>6.07</v>
      </c>
      <c r="E774">
        <v>7</v>
      </c>
      <c r="F774" t="s">
        <v>15</v>
      </c>
      <c r="G774">
        <v>28</v>
      </c>
      <c r="H774">
        <v>7.7696000000000005</v>
      </c>
      <c r="I774">
        <v>28.000000000000004</v>
      </c>
      <c r="J774" t="s">
        <v>20</v>
      </c>
    </row>
    <row r="775" spans="1:10" x14ac:dyDescent="0.2">
      <c r="A775">
        <v>10774</v>
      </c>
      <c r="B775" t="s">
        <v>7</v>
      </c>
      <c r="C775" t="s">
        <v>9</v>
      </c>
      <c r="D775">
        <v>12.89</v>
      </c>
      <c r="E775">
        <v>3</v>
      </c>
      <c r="F775" t="s">
        <v>14</v>
      </c>
      <c r="G775">
        <v>15</v>
      </c>
      <c r="H775">
        <v>14.823499999999999</v>
      </c>
      <c r="I775">
        <v>14.999999999999991</v>
      </c>
      <c r="J775" t="s">
        <v>20</v>
      </c>
    </row>
    <row r="776" spans="1:10" x14ac:dyDescent="0.2">
      <c r="A776">
        <v>10775</v>
      </c>
      <c r="B776" t="s">
        <v>10</v>
      </c>
      <c r="C776" t="s">
        <v>11</v>
      </c>
      <c r="D776">
        <v>11.36</v>
      </c>
      <c r="E776">
        <v>1</v>
      </c>
      <c r="F776" t="s">
        <v>14</v>
      </c>
      <c r="G776">
        <v>10</v>
      </c>
      <c r="H776">
        <v>12.496</v>
      </c>
      <c r="I776">
        <v>10.000000000000009</v>
      </c>
      <c r="J776" t="s">
        <v>20</v>
      </c>
    </row>
    <row r="777" spans="1:10" x14ac:dyDescent="0.2">
      <c r="A777">
        <v>10776</v>
      </c>
      <c r="B777" t="s">
        <v>8</v>
      </c>
      <c r="C777" t="s">
        <v>11</v>
      </c>
      <c r="D777">
        <v>4.45</v>
      </c>
      <c r="E777">
        <v>8</v>
      </c>
      <c r="F777" t="s">
        <v>16</v>
      </c>
      <c r="G777">
        <v>50</v>
      </c>
      <c r="H777">
        <v>6.6750000000000007</v>
      </c>
      <c r="I777">
        <v>50</v>
      </c>
      <c r="J777" t="s">
        <v>20</v>
      </c>
    </row>
    <row r="778" spans="1:10" x14ac:dyDescent="0.2">
      <c r="A778">
        <v>10777</v>
      </c>
      <c r="B778" t="s">
        <v>8</v>
      </c>
      <c r="C778" t="s">
        <v>9</v>
      </c>
      <c r="D778">
        <v>2.2000000000000002</v>
      </c>
      <c r="E778">
        <v>8</v>
      </c>
      <c r="F778" t="s">
        <v>16</v>
      </c>
      <c r="G778">
        <v>60</v>
      </c>
      <c r="H778">
        <v>3.5200000000000005</v>
      </c>
      <c r="I778">
        <v>60.000000000000007</v>
      </c>
      <c r="J778" t="s">
        <v>20</v>
      </c>
    </row>
    <row r="779" spans="1:10" x14ac:dyDescent="0.2">
      <c r="A779">
        <v>10778</v>
      </c>
      <c r="B779" t="s">
        <v>7</v>
      </c>
      <c r="C779" t="s">
        <v>6</v>
      </c>
      <c r="D779">
        <v>4.1500000000000004</v>
      </c>
      <c r="E779">
        <v>3</v>
      </c>
      <c r="F779" t="s">
        <v>14</v>
      </c>
      <c r="G779">
        <v>12</v>
      </c>
      <c r="H779">
        <v>4.6480000000000006</v>
      </c>
      <c r="I779">
        <v>12.000000000000011</v>
      </c>
      <c r="J779" t="s">
        <v>20</v>
      </c>
    </row>
    <row r="780" spans="1:10" x14ac:dyDescent="0.2">
      <c r="A780">
        <v>10779</v>
      </c>
      <c r="B780" t="s">
        <v>7</v>
      </c>
      <c r="C780" t="s">
        <v>11</v>
      </c>
      <c r="D780">
        <v>13.85</v>
      </c>
      <c r="E780">
        <v>7</v>
      </c>
      <c r="F780" t="s">
        <v>15</v>
      </c>
      <c r="G780">
        <v>25</v>
      </c>
      <c r="H780">
        <v>17.3125</v>
      </c>
      <c r="I780">
        <v>25</v>
      </c>
      <c r="J780" t="s">
        <v>20</v>
      </c>
    </row>
    <row r="781" spans="1:10" x14ac:dyDescent="0.2">
      <c r="A781">
        <v>10780</v>
      </c>
      <c r="B781" t="s">
        <v>5</v>
      </c>
      <c r="C781" t="s">
        <v>9</v>
      </c>
      <c r="D781">
        <v>8.93</v>
      </c>
      <c r="E781">
        <v>9</v>
      </c>
      <c r="F781" t="s">
        <v>16</v>
      </c>
      <c r="G781">
        <v>60</v>
      </c>
      <c r="H781">
        <v>14.288</v>
      </c>
      <c r="I781">
        <v>60.000000000000007</v>
      </c>
      <c r="J781" t="s">
        <v>20</v>
      </c>
    </row>
    <row r="782" spans="1:10" x14ac:dyDescent="0.2">
      <c r="A782">
        <v>10781</v>
      </c>
      <c r="B782" t="s">
        <v>8</v>
      </c>
      <c r="C782" t="s">
        <v>6</v>
      </c>
      <c r="D782">
        <v>8.24</v>
      </c>
      <c r="E782">
        <v>8</v>
      </c>
      <c r="F782" t="s">
        <v>16</v>
      </c>
      <c r="G782">
        <v>55</v>
      </c>
      <c r="H782">
        <v>12.772</v>
      </c>
      <c r="I782">
        <v>55.000000000000007</v>
      </c>
      <c r="J782" t="s">
        <v>20</v>
      </c>
    </row>
    <row r="783" spans="1:10" x14ac:dyDescent="0.2">
      <c r="A783">
        <v>10782</v>
      </c>
      <c r="B783" t="s">
        <v>5</v>
      </c>
      <c r="C783" t="s">
        <v>11</v>
      </c>
      <c r="D783">
        <v>9.15</v>
      </c>
      <c r="E783">
        <v>3</v>
      </c>
      <c r="F783" t="s">
        <v>14</v>
      </c>
      <c r="G783">
        <v>10</v>
      </c>
      <c r="H783">
        <v>10.065000000000001</v>
      </c>
      <c r="I783">
        <v>10.000000000000009</v>
      </c>
      <c r="J783" t="s">
        <v>20</v>
      </c>
    </row>
    <row r="784" spans="1:10" x14ac:dyDescent="0.2">
      <c r="A784">
        <v>10783</v>
      </c>
      <c r="B784" t="s">
        <v>7</v>
      </c>
      <c r="C784" t="s">
        <v>11</v>
      </c>
      <c r="D784">
        <v>5.81</v>
      </c>
      <c r="E784">
        <v>2</v>
      </c>
      <c r="F784" t="s">
        <v>14</v>
      </c>
      <c r="G784">
        <v>10</v>
      </c>
      <c r="H784">
        <v>6.391</v>
      </c>
      <c r="I784">
        <v>10.000000000000009</v>
      </c>
      <c r="J784" t="s">
        <v>20</v>
      </c>
    </row>
    <row r="785" spans="1:10" x14ac:dyDescent="0.2">
      <c r="A785">
        <v>10784</v>
      </c>
      <c r="B785" t="s">
        <v>7</v>
      </c>
      <c r="C785" t="s">
        <v>6</v>
      </c>
      <c r="D785">
        <v>12.2</v>
      </c>
      <c r="E785">
        <v>10</v>
      </c>
      <c r="F785" t="s">
        <v>16</v>
      </c>
      <c r="G785">
        <v>55</v>
      </c>
      <c r="H785">
        <v>18.91</v>
      </c>
      <c r="I785">
        <v>55.000000000000007</v>
      </c>
      <c r="J785" t="s">
        <v>20</v>
      </c>
    </row>
    <row r="786" spans="1:10" x14ac:dyDescent="0.2">
      <c r="A786">
        <v>10785</v>
      </c>
      <c r="B786" t="s">
        <v>10</v>
      </c>
      <c r="C786" t="s">
        <v>6</v>
      </c>
      <c r="D786">
        <v>8.09</v>
      </c>
      <c r="E786">
        <v>7</v>
      </c>
      <c r="F786" t="s">
        <v>15</v>
      </c>
      <c r="G786">
        <v>28</v>
      </c>
      <c r="H786">
        <v>10.3552</v>
      </c>
      <c r="I786">
        <v>28.000000000000004</v>
      </c>
      <c r="J786" t="s">
        <v>20</v>
      </c>
    </row>
    <row r="787" spans="1:10" x14ac:dyDescent="0.2">
      <c r="A787">
        <v>10786</v>
      </c>
      <c r="B787" t="s">
        <v>8</v>
      </c>
      <c r="C787" t="s">
        <v>9</v>
      </c>
      <c r="D787">
        <v>2.19</v>
      </c>
      <c r="E787">
        <v>7</v>
      </c>
      <c r="F787" t="s">
        <v>15</v>
      </c>
      <c r="G787">
        <v>30</v>
      </c>
      <c r="H787">
        <v>2.847</v>
      </c>
      <c r="I787">
        <v>30.000000000000004</v>
      </c>
      <c r="J787" t="s">
        <v>20</v>
      </c>
    </row>
    <row r="788" spans="1:10" x14ac:dyDescent="0.2">
      <c r="A788">
        <v>10787</v>
      </c>
      <c r="B788" t="s">
        <v>5</v>
      </c>
      <c r="C788" t="s">
        <v>9</v>
      </c>
      <c r="D788">
        <v>2.37</v>
      </c>
      <c r="E788">
        <v>9</v>
      </c>
      <c r="F788" t="s">
        <v>16</v>
      </c>
      <c r="G788">
        <v>60</v>
      </c>
      <c r="H788">
        <v>3.7920000000000003</v>
      </c>
      <c r="I788">
        <v>60.000000000000007</v>
      </c>
      <c r="J788" t="s">
        <v>20</v>
      </c>
    </row>
    <row r="789" spans="1:10" x14ac:dyDescent="0.2">
      <c r="A789">
        <v>10788</v>
      </c>
      <c r="B789" t="s">
        <v>7</v>
      </c>
      <c r="C789" t="s">
        <v>11</v>
      </c>
      <c r="D789">
        <v>8.2799999999999994</v>
      </c>
      <c r="E789">
        <v>5</v>
      </c>
      <c r="F789" t="s">
        <v>15</v>
      </c>
      <c r="G789">
        <v>25</v>
      </c>
      <c r="H789">
        <v>10.35</v>
      </c>
      <c r="I789">
        <v>25</v>
      </c>
      <c r="J789" t="s">
        <v>20</v>
      </c>
    </row>
    <row r="790" spans="1:10" x14ac:dyDescent="0.2">
      <c r="A790">
        <v>10789</v>
      </c>
      <c r="B790" t="s">
        <v>7</v>
      </c>
      <c r="C790" t="s">
        <v>6</v>
      </c>
      <c r="D790">
        <v>14.08</v>
      </c>
      <c r="E790">
        <v>4</v>
      </c>
      <c r="F790" t="s">
        <v>15</v>
      </c>
      <c r="G790">
        <v>28</v>
      </c>
      <c r="H790">
        <v>18.022400000000001</v>
      </c>
      <c r="I790">
        <v>28.000000000000004</v>
      </c>
      <c r="J790" t="s">
        <v>20</v>
      </c>
    </row>
    <row r="791" spans="1:10" x14ac:dyDescent="0.2">
      <c r="A791">
        <v>10790</v>
      </c>
      <c r="B791" t="s">
        <v>5</v>
      </c>
      <c r="C791" t="s">
        <v>6</v>
      </c>
      <c r="D791">
        <v>4.97</v>
      </c>
      <c r="E791">
        <v>8</v>
      </c>
      <c r="F791" t="s">
        <v>16</v>
      </c>
      <c r="G791">
        <v>55</v>
      </c>
      <c r="H791">
        <v>7.7035</v>
      </c>
      <c r="I791">
        <v>55.000000000000007</v>
      </c>
      <c r="J791" t="s">
        <v>20</v>
      </c>
    </row>
    <row r="792" spans="1:10" x14ac:dyDescent="0.2">
      <c r="A792">
        <v>10791</v>
      </c>
      <c r="B792" t="s">
        <v>10</v>
      </c>
      <c r="C792" t="s">
        <v>6</v>
      </c>
      <c r="D792">
        <v>13.11</v>
      </c>
      <c r="E792">
        <v>4</v>
      </c>
      <c r="F792" t="s">
        <v>15</v>
      </c>
      <c r="G792">
        <v>28</v>
      </c>
      <c r="H792">
        <v>16.780799999999999</v>
      </c>
      <c r="I792">
        <v>28.000000000000004</v>
      </c>
      <c r="J792" t="s">
        <v>20</v>
      </c>
    </row>
    <row r="793" spans="1:10" x14ac:dyDescent="0.2">
      <c r="A793">
        <v>10792</v>
      </c>
      <c r="B793" t="s">
        <v>7</v>
      </c>
      <c r="C793" t="s">
        <v>11</v>
      </c>
      <c r="D793">
        <v>11.58</v>
      </c>
      <c r="E793">
        <v>4</v>
      </c>
      <c r="F793" t="s">
        <v>15</v>
      </c>
      <c r="G793">
        <v>25</v>
      </c>
      <c r="H793">
        <v>14.475</v>
      </c>
      <c r="I793">
        <v>25</v>
      </c>
      <c r="J793" t="s">
        <v>20</v>
      </c>
    </row>
    <row r="794" spans="1:10" x14ac:dyDescent="0.2">
      <c r="A794">
        <v>10793</v>
      </c>
      <c r="B794" t="s">
        <v>8</v>
      </c>
      <c r="C794" t="s">
        <v>6</v>
      </c>
      <c r="D794">
        <v>4.09</v>
      </c>
      <c r="E794">
        <v>2</v>
      </c>
      <c r="F794" t="s">
        <v>14</v>
      </c>
      <c r="G794">
        <v>12</v>
      </c>
      <c r="H794">
        <v>4.5808</v>
      </c>
      <c r="I794">
        <v>12.000000000000011</v>
      </c>
      <c r="J794" t="s">
        <v>20</v>
      </c>
    </row>
    <row r="795" spans="1:10" x14ac:dyDescent="0.2">
      <c r="A795">
        <v>10794</v>
      </c>
      <c r="B795" t="s">
        <v>7</v>
      </c>
      <c r="C795" t="s">
        <v>6</v>
      </c>
      <c r="D795">
        <v>1.03</v>
      </c>
      <c r="E795">
        <v>1</v>
      </c>
      <c r="F795" t="s">
        <v>14</v>
      </c>
      <c r="G795">
        <v>12</v>
      </c>
      <c r="H795">
        <v>1.1536000000000002</v>
      </c>
      <c r="I795">
        <v>12.000000000000011</v>
      </c>
      <c r="J795" t="s">
        <v>20</v>
      </c>
    </row>
    <row r="796" spans="1:10" x14ac:dyDescent="0.2">
      <c r="A796">
        <v>10795</v>
      </c>
      <c r="B796" t="s">
        <v>8</v>
      </c>
      <c r="C796" t="s">
        <v>11</v>
      </c>
      <c r="D796">
        <v>1.98</v>
      </c>
      <c r="E796">
        <v>4</v>
      </c>
      <c r="F796" t="s">
        <v>15</v>
      </c>
      <c r="G796">
        <v>25</v>
      </c>
      <c r="H796">
        <v>2.4750000000000001</v>
      </c>
      <c r="I796">
        <v>25</v>
      </c>
      <c r="J796" t="s">
        <v>20</v>
      </c>
    </row>
    <row r="797" spans="1:10" x14ac:dyDescent="0.2">
      <c r="A797">
        <v>10796</v>
      </c>
      <c r="B797" t="s">
        <v>5</v>
      </c>
      <c r="C797" t="s">
        <v>9</v>
      </c>
      <c r="D797">
        <v>11.06</v>
      </c>
      <c r="E797">
        <v>7</v>
      </c>
      <c r="F797" t="s">
        <v>15</v>
      </c>
      <c r="G797">
        <v>30</v>
      </c>
      <c r="H797">
        <v>14.378000000000002</v>
      </c>
      <c r="I797">
        <v>30.000000000000004</v>
      </c>
      <c r="J797" t="s">
        <v>20</v>
      </c>
    </row>
    <row r="798" spans="1:10" x14ac:dyDescent="0.2">
      <c r="A798">
        <v>10797</v>
      </c>
      <c r="B798" t="s">
        <v>8</v>
      </c>
      <c r="C798" t="s">
        <v>9</v>
      </c>
      <c r="D798">
        <v>3.4</v>
      </c>
      <c r="E798">
        <v>9</v>
      </c>
      <c r="F798" t="s">
        <v>16</v>
      </c>
      <c r="G798">
        <v>60</v>
      </c>
      <c r="H798">
        <v>5.44</v>
      </c>
      <c r="I798">
        <v>60.000000000000007</v>
      </c>
      <c r="J798" t="s">
        <v>20</v>
      </c>
    </row>
    <row r="799" spans="1:10" x14ac:dyDescent="0.2">
      <c r="A799">
        <v>10798</v>
      </c>
      <c r="B799" t="s">
        <v>5</v>
      </c>
      <c r="C799" t="s">
        <v>11</v>
      </c>
      <c r="D799">
        <v>5.88</v>
      </c>
      <c r="E799">
        <v>9</v>
      </c>
      <c r="F799" t="s">
        <v>16</v>
      </c>
      <c r="G799">
        <v>50</v>
      </c>
      <c r="H799">
        <v>8.82</v>
      </c>
      <c r="I799">
        <v>50</v>
      </c>
      <c r="J799" t="s">
        <v>20</v>
      </c>
    </row>
    <row r="800" spans="1:10" x14ac:dyDescent="0.2">
      <c r="A800">
        <v>10799</v>
      </c>
      <c r="B800" t="s">
        <v>8</v>
      </c>
      <c r="C800" t="s">
        <v>6</v>
      </c>
      <c r="D800">
        <v>7.77</v>
      </c>
      <c r="E800">
        <v>10</v>
      </c>
      <c r="F800" t="s">
        <v>16</v>
      </c>
      <c r="G800">
        <v>55</v>
      </c>
      <c r="H800">
        <v>12.0435</v>
      </c>
      <c r="I800">
        <v>55.000000000000007</v>
      </c>
      <c r="J800" t="s">
        <v>20</v>
      </c>
    </row>
    <row r="801" spans="1:10" x14ac:dyDescent="0.2">
      <c r="A801">
        <v>10800</v>
      </c>
      <c r="B801" t="s">
        <v>5</v>
      </c>
      <c r="C801" t="s">
        <v>11</v>
      </c>
      <c r="D801">
        <v>11.02</v>
      </c>
      <c r="E801">
        <v>1</v>
      </c>
      <c r="F801" t="s">
        <v>14</v>
      </c>
      <c r="G801">
        <v>10</v>
      </c>
      <c r="H801">
        <v>12.122</v>
      </c>
      <c r="I801">
        <v>10.000000000000009</v>
      </c>
      <c r="J801" t="s">
        <v>20</v>
      </c>
    </row>
    <row r="802" spans="1:10" x14ac:dyDescent="0.2">
      <c r="A802">
        <v>10801</v>
      </c>
      <c r="B802" t="s">
        <v>8</v>
      </c>
      <c r="C802" t="s">
        <v>9</v>
      </c>
      <c r="D802">
        <v>2.14</v>
      </c>
      <c r="E802">
        <v>5</v>
      </c>
      <c r="F802" t="s">
        <v>15</v>
      </c>
      <c r="G802">
        <v>30</v>
      </c>
      <c r="H802">
        <v>2.7820000000000005</v>
      </c>
      <c r="I802">
        <v>30.000000000000004</v>
      </c>
      <c r="J802" t="s">
        <v>20</v>
      </c>
    </row>
    <row r="803" spans="1:10" x14ac:dyDescent="0.2">
      <c r="A803">
        <v>10802</v>
      </c>
      <c r="B803" t="s">
        <v>10</v>
      </c>
      <c r="C803" t="s">
        <v>9</v>
      </c>
      <c r="D803">
        <v>6.39</v>
      </c>
      <c r="E803">
        <v>7</v>
      </c>
      <c r="F803" t="s">
        <v>15</v>
      </c>
      <c r="G803">
        <v>30</v>
      </c>
      <c r="H803">
        <v>8.3070000000000004</v>
      </c>
      <c r="I803">
        <v>30.000000000000004</v>
      </c>
      <c r="J803" t="s">
        <v>20</v>
      </c>
    </row>
    <row r="804" spans="1:10" x14ac:dyDescent="0.2">
      <c r="A804">
        <v>10803</v>
      </c>
      <c r="B804" t="s">
        <v>8</v>
      </c>
      <c r="C804" t="s">
        <v>11</v>
      </c>
      <c r="D804">
        <v>7.53</v>
      </c>
      <c r="E804">
        <v>7</v>
      </c>
      <c r="F804" t="s">
        <v>15</v>
      </c>
      <c r="G804">
        <v>25</v>
      </c>
      <c r="H804">
        <v>9.4124999999999996</v>
      </c>
      <c r="I804">
        <v>25</v>
      </c>
      <c r="J804" t="s">
        <v>20</v>
      </c>
    </row>
    <row r="805" spans="1:10" x14ac:dyDescent="0.2">
      <c r="A805">
        <v>10804</v>
      </c>
      <c r="B805" t="s">
        <v>8</v>
      </c>
      <c r="C805" t="s">
        <v>11</v>
      </c>
      <c r="D805">
        <v>8.34</v>
      </c>
      <c r="E805">
        <v>10</v>
      </c>
      <c r="F805" t="s">
        <v>16</v>
      </c>
      <c r="G805">
        <v>50</v>
      </c>
      <c r="H805">
        <v>12.51</v>
      </c>
      <c r="I805">
        <v>50</v>
      </c>
      <c r="J805" t="s">
        <v>20</v>
      </c>
    </row>
    <row r="806" spans="1:10" x14ac:dyDescent="0.2">
      <c r="A806">
        <v>10805</v>
      </c>
      <c r="B806" t="s">
        <v>10</v>
      </c>
      <c r="C806" t="s">
        <v>9</v>
      </c>
      <c r="D806">
        <v>12.37</v>
      </c>
      <c r="E806">
        <v>6</v>
      </c>
      <c r="F806" t="s">
        <v>15</v>
      </c>
      <c r="G806">
        <v>30</v>
      </c>
      <c r="H806">
        <v>16.081</v>
      </c>
      <c r="I806">
        <v>30.000000000000004</v>
      </c>
      <c r="J806" t="s">
        <v>20</v>
      </c>
    </row>
    <row r="807" spans="1:10" x14ac:dyDescent="0.2">
      <c r="A807">
        <v>10806</v>
      </c>
      <c r="B807" t="s">
        <v>7</v>
      </c>
      <c r="C807" t="s">
        <v>11</v>
      </c>
      <c r="D807">
        <v>2.99</v>
      </c>
      <c r="E807">
        <v>10</v>
      </c>
      <c r="F807" t="s">
        <v>16</v>
      </c>
      <c r="G807">
        <v>50</v>
      </c>
      <c r="H807">
        <v>4.4850000000000003</v>
      </c>
      <c r="I807">
        <v>50</v>
      </c>
      <c r="J807" t="s">
        <v>20</v>
      </c>
    </row>
    <row r="808" spans="1:10" x14ac:dyDescent="0.2">
      <c r="A808">
        <v>10807</v>
      </c>
      <c r="B808" t="s">
        <v>7</v>
      </c>
      <c r="C808" t="s">
        <v>9</v>
      </c>
      <c r="D808">
        <v>12.21</v>
      </c>
      <c r="E808">
        <v>4</v>
      </c>
      <c r="F808" t="s">
        <v>15</v>
      </c>
      <c r="G808">
        <v>30</v>
      </c>
      <c r="H808">
        <v>15.873000000000001</v>
      </c>
      <c r="I808">
        <v>30.000000000000004</v>
      </c>
      <c r="J808" t="s">
        <v>20</v>
      </c>
    </row>
    <row r="809" spans="1:10" x14ac:dyDescent="0.2">
      <c r="A809">
        <v>10808</v>
      </c>
      <c r="B809" t="s">
        <v>8</v>
      </c>
      <c r="C809" t="s">
        <v>11</v>
      </c>
      <c r="D809">
        <v>10.55</v>
      </c>
      <c r="E809">
        <v>3</v>
      </c>
      <c r="F809" t="s">
        <v>14</v>
      </c>
      <c r="G809">
        <v>10</v>
      </c>
      <c r="H809">
        <v>11.605000000000002</v>
      </c>
      <c r="I809">
        <v>10.000000000000009</v>
      </c>
      <c r="J809" t="s">
        <v>20</v>
      </c>
    </row>
    <row r="810" spans="1:10" x14ac:dyDescent="0.2">
      <c r="A810">
        <v>10809</v>
      </c>
      <c r="B810" t="s">
        <v>10</v>
      </c>
      <c r="C810" t="s">
        <v>11</v>
      </c>
      <c r="D810">
        <v>8.56</v>
      </c>
      <c r="E810">
        <v>9</v>
      </c>
      <c r="F810" t="s">
        <v>16</v>
      </c>
      <c r="G810">
        <v>50</v>
      </c>
      <c r="H810">
        <v>12.84</v>
      </c>
      <c r="I810">
        <v>50</v>
      </c>
      <c r="J810" t="s">
        <v>20</v>
      </c>
    </row>
    <row r="811" spans="1:10" x14ac:dyDescent="0.2">
      <c r="A811">
        <v>10810</v>
      </c>
      <c r="B811" t="s">
        <v>8</v>
      </c>
      <c r="C811" t="s">
        <v>11</v>
      </c>
      <c r="D811">
        <v>10.64</v>
      </c>
      <c r="E811">
        <v>10</v>
      </c>
      <c r="F811" t="s">
        <v>16</v>
      </c>
      <c r="G811">
        <v>50</v>
      </c>
      <c r="H811">
        <v>15.96</v>
      </c>
      <c r="I811">
        <v>50</v>
      </c>
      <c r="J811" t="s">
        <v>20</v>
      </c>
    </row>
    <row r="812" spans="1:10" x14ac:dyDescent="0.2">
      <c r="A812">
        <v>10811</v>
      </c>
      <c r="B812" t="s">
        <v>5</v>
      </c>
      <c r="C812" t="s">
        <v>9</v>
      </c>
      <c r="D812">
        <v>6.47</v>
      </c>
      <c r="E812">
        <v>4</v>
      </c>
      <c r="F812" t="s">
        <v>15</v>
      </c>
      <c r="G812">
        <v>30</v>
      </c>
      <c r="H812">
        <v>8.4109999999999996</v>
      </c>
      <c r="I812">
        <v>30.000000000000004</v>
      </c>
      <c r="J812" t="s">
        <v>20</v>
      </c>
    </row>
    <row r="813" spans="1:10" x14ac:dyDescent="0.2">
      <c r="A813">
        <v>10812</v>
      </c>
      <c r="B813" t="s">
        <v>5</v>
      </c>
      <c r="C813" t="s">
        <v>11</v>
      </c>
      <c r="D813">
        <v>2.5099999999999998</v>
      </c>
      <c r="E813">
        <v>8</v>
      </c>
      <c r="F813" t="s">
        <v>16</v>
      </c>
      <c r="G813">
        <v>50</v>
      </c>
      <c r="H813">
        <v>3.7649999999999997</v>
      </c>
      <c r="I813">
        <v>50</v>
      </c>
      <c r="J813" t="s">
        <v>20</v>
      </c>
    </row>
    <row r="814" spans="1:10" x14ac:dyDescent="0.2">
      <c r="A814">
        <v>10813</v>
      </c>
      <c r="B814" t="s">
        <v>8</v>
      </c>
      <c r="C814" t="s">
        <v>9</v>
      </c>
      <c r="D814">
        <v>10.15</v>
      </c>
      <c r="E814">
        <v>1</v>
      </c>
      <c r="F814" t="s">
        <v>14</v>
      </c>
      <c r="G814">
        <v>15</v>
      </c>
      <c r="H814">
        <v>11.672499999999999</v>
      </c>
      <c r="I814">
        <v>14.999999999999991</v>
      </c>
      <c r="J814" t="s">
        <v>20</v>
      </c>
    </row>
    <row r="815" spans="1:10" x14ac:dyDescent="0.2">
      <c r="A815">
        <v>10814</v>
      </c>
      <c r="B815" t="s">
        <v>7</v>
      </c>
      <c r="C815" t="s">
        <v>9</v>
      </c>
      <c r="D815">
        <v>8.11</v>
      </c>
      <c r="E815">
        <v>7</v>
      </c>
      <c r="F815" t="s">
        <v>15</v>
      </c>
      <c r="G815">
        <v>30</v>
      </c>
      <c r="H815">
        <v>10.542999999999999</v>
      </c>
      <c r="I815">
        <v>30.000000000000004</v>
      </c>
      <c r="J815" t="s">
        <v>20</v>
      </c>
    </row>
    <row r="816" spans="1:10" x14ac:dyDescent="0.2">
      <c r="A816">
        <v>10815</v>
      </c>
      <c r="B816" t="s">
        <v>7</v>
      </c>
      <c r="C816" t="s">
        <v>11</v>
      </c>
      <c r="D816">
        <v>9.77</v>
      </c>
      <c r="E816">
        <v>6</v>
      </c>
      <c r="F816" t="s">
        <v>15</v>
      </c>
      <c r="G816">
        <v>25</v>
      </c>
      <c r="H816">
        <v>12.212499999999999</v>
      </c>
      <c r="I816">
        <v>25</v>
      </c>
      <c r="J816" t="s">
        <v>20</v>
      </c>
    </row>
    <row r="817" spans="1:10" x14ac:dyDescent="0.2">
      <c r="A817">
        <v>10816</v>
      </c>
      <c r="B817" t="s">
        <v>8</v>
      </c>
      <c r="C817" t="s">
        <v>11</v>
      </c>
      <c r="D817">
        <v>5.4</v>
      </c>
      <c r="E817">
        <v>1</v>
      </c>
      <c r="F817" t="s">
        <v>14</v>
      </c>
      <c r="G817">
        <v>10</v>
      </c>
      <c r="H817">
        <v>5.9400000000000013</v>
      </c>
      <c r="I817">
        <v>10.000000000000009</v>
      </c>
      <c r="J817" t="s">
        <v>20</v>
      </c>
    </row>
    <row r="818" spans="1:10" x14ac:dyDescent="0.2">
      <c r="A818">
        <v>10817</v>
      </c>
      <c r="B818" t="s">
        <v>8</v>
      </c>
      <c r="C818" t="s">
        <v>9</v>
      </c>
      <c r="D818">
        <v>13.65</v>
      </c>
      <c r="E818">
        <v>4</v>
      </c>
      <c r="F818" t="s">
        <v>15</v>
      </c>
      <c r="G818">
        <v>30</v>
      </c>
      <c r="H818">
        <v>17.745000000000001</v>
      </c>
      <c r="I818">
        <v>30.000000000000004</v>
      </c>
      <c r="J818" t="s">
        <v>20</v>
      </c>
    </row>
    <row r="819" spans="1:10" x14ac:dyDescent="0.2">
      <c r="A819">
        <v>10818</v>
      </c>
      <c r="B819" t="s">
        <v>5</v>
      </c>
      <c r="C819" t="s">
        <v>9</v>
      </c>
      <c r="D819">
        <v>9.02</v>
      </c>
      <c r="E819">
        <v>5</v>
      </c>
      <c r="F819" t="s">
        <v>15</v>
      </c>
      <c r="G819">
        <v>30</v>
      </c>
      <c r="H819">
        <v>11.725999999999999</v>
      </c>
      <c r="I819">
        <v>30.000000000000004</v>
      </c>
      <c r="J819" t="s">
        <v>20</v>
      </c>
    </row>
    <row r="820" spans="1:10" x14ac:dyDescent="0.2">
      <c r="A820">
        <v>10819</v>
      </c>
      <c r="B820" t="s">
        <v>7</v>
      </c>
      <c r="C820" t="s">
        <v>6</v>
      </c>
      <c r="D820">
        <v>1.74</v>
      </c>
      <c r="E820">
        <v>8</v>
      </c>
      <c r="F820" t="s">
        <v>16</v>
      </c>
      <c r="G820">
        <v>55</v>
      </c>
      <c r="H820">
        <v>2.6970000000000001</v>
      </c>
      <c r="I820">
        <v>55.000000000000007</v>
      </c>
      <c r="J820" t="s">
        <v>20</v>
      </c>
    </row>
    <row r="821" spans="1:10" x14ac:dyDescent="0.2">
      <c r="A821">
        <v>10820</v>
      </c>
      <c r="B821" t="s">
        <v>8</v>
      </c>
      <c r="C821" t="s">
        <v>9</v>
      </c>
      <c r="D821">
        <v>7.02</v>
      </c>
      <c r="E821">
        <v>4</v>
      </c>
      <c r="F821" t="s">
        <v>15</v>
      </c>
      <c r="G821">
        <v>30</v>
      </c>
      <c r="H821">
        <v>9.1259999999999994</v>
      </c>
      <c r="I821">
        <v>30.000000000000004</v>
      </c>
      <c r="J821" t="s">
        <v>20</v>
      </c>
    </row>
    <row r="822" spans="1:10" x14ac:dyDescent="0.2">
      <c r="A822">
        <v>10821</v>
      </c>
      <c r="B822" t="s">
        <v>5</v>
      </c>
      <c r="C822" t="s">
        <v>6</v>
      </c>
      <c r="D822">
        <v>11.47</v>
      </c>
      <c r="E822">
        <v>3</v>
      </c>
      <c r="F822" t="s">
        <v>14</v>
      </c>
      <c r="G822">
        <v>12</v>
      </c>
      <c r="H822">
        <v>12.846400000000003</v>
      </c>
      <c r="I822">
        <v>12.000000000000011</v>
      </c>
      <c r="J822" t="s">
        <v>20</v>
      </c>
    </row>
    <row r="823" spans="1:10" x14ac:dyDescent="0.2">
      <c r="A823">
        <v>10822</v>
      </c>
      <c r="B823" t="s">
        <v>7</v>
      </c>
      <c r="C823" t="s">
        <v>6</v>
      </c>
      <c r="D823">
        <v>12.01</v>
      </c>
      <c r="E823">
        <v>2</v>
      </c>
      <c r="F823" t="s">
        <v>14</v>
      </c>
      <c r="G823">
        <v>12</v>
      </c>
      <c r="H823">
        <v>13.451200000000002</v>
      </c>
      <c r="I823">
        <v>12.000000000000011</v>
      </c>
      <c r="J823" t="s">
        <v>20</v>
      </c>
    </row>
    <row r="824" spans="1:10" x14ac:dyDescent="0.2">
      <c r="A824">
        <v>10823</v>
      </c>
      <c r="B824" t="s">
        <v>10</v>
      </c>
      <c r="C824" t="s">
        <v>6</v>
      </c>
      <c r="D824">
        <v>7.67</v>
      </c>
      <c r="E824">
        <v>4</v>
      </c>
      <c r="F824" t="s">
        <v>15</v>
      </c>
      <c r="G824">
        <v>28</v>
      </c>
      <c r="H824">
        <v>9.8176000000000005</v>
      </c>
      <c r="I824">
        <v>28.000000000000004</v>
      </c>
      <c r="J824" t="s">
        <v>20</v>
      </c>
    </row>
    <row r="825" spans="1:10" x14ac:dyDescent="0.2">
      <c r="A825">
        <v>10824</v>
      </c>
      <c r="B825" t="s">
        <v>5</v>
      </c>
      <c r="C825" t="s">
        <v>11</v>
      </c>
      <c r="D825">
        <v>13.47</v>
      </c>
      <c r="E825">
        <v>10</v>
      </c>
      <c r="F825" t="s">
        <v>16</v>
      </c>
      <c r="G825">
        <v>50</v>
      </c>
      <c r="H825">
        <v>20.205000000000002</v>
      </c>
      <c r="I825">
        <v>50</v>
      </c>
      <c r="J825" t="s">
        <v>20</v>
      </c>
    </row>
    <row r="826" spans="1:10" x14ac:dyDescent="0.2">
      <c r="A826">
        <v>10825</v>
      </c>
      <c r="B826" t="s">
        <v>7</v>
      </c>
      <c r="C826" t="s">
        <v>11</v>
      </c>
      <c r="D826">
        <v>4.38</v>
      </c>
      <c r="E826">
        <v>4</v>
      </c>
      <c r="F826" t="s">
        <v>15</v>
      </c>
      <c r="G826">
        <v>25</v>
      </c>
      <c r="H826">
        <v>5.4749999999999996</v>
      </c>
      <c r="I826">
        <v>25</v>
      </c>
      <c r="J826" t="s">
        <v>20</v>
      </c>
    </row>
    <row r="827" spans="1:10" x14ac:dyDescent="0.2">
      <c r="A827">
        <v>10826</v>
      </c>
      <c r="B827" t="s">
        <v>7</v>
      </c>
      <c r="C827" t="s">
        <v>9</v>
      </c>
      <c r="D827">
        <v>6.45</v>
      </c>
      <c r="E827">
        <v>10</v>
      </c>
      <c r="F827" t="s">
        <v>16</v>
      </c>
      <c r="G827">
        <v>60</v>
      </c>
      <c r="H827">
        <v>10.32</v>
      </c>
      <c r="I827">
        <v>60.000000000000007</v>
      </c>
      <c r="J827" t="s">
        <v>20</v>
      </c>
    </row>
    <row r="828" spans="1:10" x14ac:dyDescent="0.2">
      <c r="A828">
        <v>10827</v>
      </c>
      <c r="B828" t="s">
        <v>5</v>
      </c>
      <c r="C828" t="s">
        <v>6</v>
      </c>
      <c r="D828">
        <v>13.53</v>
      </c>
      <c r="E828">
        <v>5</v>
      </c>
      <c r="F828" t="s">
        <v>15</v>
      </c>
      <c r="G828">
        <v>28</v>
      </c>
      <c r="H828">
        <v>17.3184</v>
      </c>
      <c r="I828">
        <v>28.000000000000004</v>
      </c>
      <c r="J828" t="s">
        <v>20</v>
      </c>
    </row>
    <row r="829" spans="1:10" x14ac:dyDescent="0.2">
      <c r="A829">
        <v>10828</v>
      </c>
      <c r="B829" t="s">
        <v>10</v>
      </c>
      <c r="C829" t="s">
        <v>11</v>
      </c>
      <c r="D829">
        <v>13.5</v>
      </c>
      <c r="E829">
        <v>7</v>
      </c>
      <c r="F829" t="s">
        <v>15</v>
      </c>
      <c r="G829">
        <v>25</v>
      </c>
      <c r="H829">
        <v>16.875</v>
      </c>
      <c r="I829">
        <v>25</v>
      </c>
      <c r="J829" t="s">
        <v>20</v>
      </c>
    </row>
    <row r="830" spans="1:10" x14ac:dyDescent="0.2">
      <c r="A830">
        <v>10829</v>
      </c>
      <c r="B830" t="s">
        <v>5</v>
      </c>
      <c r="C830" t="s">
        <v>11</v>
      </c>
      <c r="D830">
        <v>10.44</v>
      </c>
      <c r="E830">
        <v>9</v>
      </c>
      <c r="F830" t="s">
        <v>16</v>
      </c>
      <c r="G830">
        <v>50</v>
      </c>
      <c r="H830">
        <v>15.66</v>
      </c>
      <c r="I830">
        <v>50</v>
      </c>
      <c r="J830" t="s">
        <v>20</v>
      </c>
    </row>
    <row r="831" spans="1:10" x14ac:dyDescent="0.2">
      <c r="A831">
        <v>10830</v>
      </c>
      <c r="B831" t="s">
        <v>7</v>
      </c>
      <c r="C831" t="s">
        <v>11</v>
      </c>
      <c r="D831">
        <v>12.96</v>
      </c>
      <c r="E831">
        <v>2</v>
      </c>
      <c r="F831" t="s">
        <v>14</v>
      </c>
      <c r="G831">
        <v>10</v>
      </c>
      <c r="H831">
        <v>14.256000000000002</v>
      </c>
      <c r="I831">
        <v>10.000000000000009</v>
      </c>
      <c r="J831" t="s">
        <v>20</v>
      </c>
    </row>
    <row r="832" spans="1:10" x14ac:dyDescent="0.2">
      <c r="A832">
        <v>10831</v>
      </c>
      <c r="B832" t="s">
        <v>8</v>
      </c>
      <c r="C832" t="s">
        <v>11</v>
      </c>
      <c r="D832">
        <v>1.79</v>
      </c>
      <c r="E832">
        <v>5</v>
      </c>
      <c r="F832" t="s">
        <v>15</v>
      </c>
      <c r="G832">
        <v>25</v>
      </c>
      <c r="H832">
        <v>2.2374999999999998</v>
      </c>
      <c r="I832">
        <v>24.999999999999979</v>
      </c>
      <c r="J832" t="s">
        <v>20</v>
      </c>
    </row>
    <row r="833" spans="1:10" x14ac:dyDescent="0.2">
      <c r="A833">
        <v>10832</v>
      </c>
      <c r="B833" t="s">
        <v>8</v>
      </c>
      <c r="C833" t="s">
        <v>11</v>
      </c>
      <c r="D833">
        <v>13.04</v>
      </c>
      <c r="E833">
        <v>10</v>
      </c>
      <c r="F833" t="s">
        <v>16</v>
      </c>
      <c r="G833">
        <v>50</v>
      </c>
      <c r="H833">
        <v>19.559999999999999</v>
      </c>
      <c r="I833">
        <v>50</v>
      </c>
      <c r="J833" t="s">
        <v>20</v>
      </c>
    </row>
    <row r="834" spans="1:10" x14ac:dyDescent="0.2">
      <c r="A834">
        <v>10833</v>
      </c>
      <c r="B834" t="s">
        <v>5</v>
      </c>
      <c r="C834" t="s">
        <v>6</v>
      </c>
      <c r="D834">
        <v>5.15</v>
      </c>
      <c r="E834">
        <v>9</v>
      </c>
      <c r="F834" t="s">
        <v>16</v>
      </c>
      <c r="G834">
        <v>55</v>
      </c>
      <c r="H834">
        <v>7.9825000000000008</v>
      </c>
      <c r="I834">
        <v>55.000000000000007</v>
      </c>
      <c r="J834" t="s">
        <v>20</v>
      </c>
    </row>
    <row r="835" spans="1:10" x14ac:dyDescent="0.2">
      <c r="A835">
        <v>10834</v>
      </c>
      <c r="B835" t="s">
        <v>7</v>
      </c>
      <c r="C835" t="s">
        <v>6</v>
      </c>
      <c r="D835">
        <v>3.09</v>
      </c>
      <c r="E835">
        <v>3</v>
      </c>
      <c r="F835" t="s">
        <v>14</v>
      </c>
      <c r="G835">
        <v>12</v>
      </c>
      <c r="H835">
        <v>3.4608000000000003</v>
      </c>
      <c r="I835">
        <v>12.000000000000011</v>
      </c>
      <c r="J835" t="s">
        <v>20</v>
      </c>
    </row>
    <row r="836" spans="1:10" x14ac:dyDescent="0.2">
      <c r="A836">
        <v>10835</v>
      </c>
      <c r="B836" t="s">
        <v>8</v>
      </c>
      <c r="C836" t="s">
        <v>6</v>
      </c>
      <c r="D836">
        <v>3.97</v>
      </c>
      <c r="E836">
        <v>1</v>
      </c>
      <c r="F836" t="s">
        <v>14</v>
      </c>
      <c r="G836">
        <v>12</v>
      </c>
      <c r="H836">
        <v>4.4464000000000006</v>
      </c>
      <c r="I836">
        <v>12.000000000000011</v>
      </c>
      <c r="J836" t="s">
        <v>20</v>
      </c>
    </row>
    <row r="837" spans="1:10" x14ac:dyDescent="0.2">
      <c r="A837">
        <v>10836</v>
      </c>
      <c r="B837" t="s">
        <v>7</v>
      </c>
      <c r="C837" t="s">
        <v>6</v>
      </c>
      <c r="D837">
        <v>6.56</v>
      </c>
      <c r="E837">
        <v>2</v>
      </c>
      <c r="F837" t="s">
        <v>14</v>
      </c>
      <c r="G837">
        <v>12</v>
      </c>
      <c r="H837">
        <v>7.3472</v>
      </c>
      <c r="I837">
        <v>12.000000000000011</v>
      </c>
      <c r="J837" t="s">
        <v>20</v>
      </c>
    </row>
    <row r="838" spans="1:10" x14ac:dyDescent="0.2">
      <c r="A838">
        <v>10837</v>
      </c>
      <c r="B838" t="s">
        <v>5</v>
      </c>
      <c r="C838" t="s">
        <v>9</v>
      </c>
      <c r="D838">
        <v>4.1399999999999997</v>
      </c>
      <c r="E838">
        <v>6</v>
      </c>
      <c r="F838" t="s">
        <v>15</v>
      </c>
      <c r="G838">
        <v>30</v>
      </c>
      <c r="H838">
        <v>5.3819999999999997</v>
      </c>
      <c r="I838">
        <v>30.000000000000004</v>
      </c>
      <c r="J838" t="s">
        <v>20</v>
      </c>
    </row>
    <row r="839" spans="1:10" x14ac:dyDescent="0.2">
      <c r="A839">
        <v>10838</v>
      </c>
      <c r="B839" t="s">
        <v>8</v>
      </c>
      <c r="C839" t="s">
        <v>6</v>
      </c>
      <c r="D839">
        <v>5.15</v>
      </c>
      <c r="E839">
        <v>5</v>
      </c>
      <c r="F839" t="s">
        <v>15</v>
      </c>
      <c r="G839">
        <v>28</v>
      </c>
      <c r="H839">
        <v>6.5920000000000005</v>
      </c>
      <c r="I839">
        <v>28.000000000000004</v>
      </c>
      <c r="J839" t="s">
        <v>20</v>
      </c>
    </row>
    <row r="840" spans="1:10" x14ac:dyDescent="0.2">
      <c r="A840">
        <v>10839</v>
      </c>
      <c r="B840" t="s">
        <v>7</v>
      </c>
      <c r="C840" t="s">
        <v>11</v>
      </c>
      <c r="D840">
        <v>2.46</v>
      </c>
      <c r="E840">
        <v>1</v>
      </c>
      <c r="F840" t="s">
        <v>14</v>
      </c>
      <c r="G840">
        <v>10</v>
      </c>
      <c r="H840">
        <v>2.706</v>
      </c>
      <c r="I840">
        <v>10.000000000000009</v>
      </c>
      <c r="J840" t="s">
        <v>20</v>
      </c>
    </row>
    <row r="841" spans="1:10" x14ac:dyDescent="0.2">
      <c r="A841">
        <v>10840</v>
      </c>
      <c r="B841" t="s">
        <v>8</v>
      </c>
      <c r="C841" t="s">
        <v>6</v>
      </c>
      <c r="D841">
        <v>4.79</v>
      </c>
      <c r="E841">
        <v>1</v>
      </c>
      <c r="F841" t="s">
        <v>14</v>
      </c>
      <c r="G841">
        <v>12</v>
      </c>
      <c r="H841">
        <v>5.3648000000000007</v>
      </c>
      <c r="I841">
        <v>12.000000000000011</v>
      </c>
      <c r="J841" t="s">
        <v>20</v>
      </c>
    </row>
    <row r="842" spans="1:10" x14ac:dyDescent="0.2">
      <c r="A842">
        <v>10841</v>
      </c>
      <c r="B842" t="s">
        <v>5</v>
      </c>
      <c r="C842" t="s">
        <v>9</v>
      </c>
      <c r="D842">
        <v>8.8000000000000007</v>
      </c>
      <c r="E842">
        <v>4</v>
      </c>
      <c r="F842" t="s">
        <v>15</v>
      </c>
      <c r="G842">
        <v>30</v>
      </c>
      <c r="H842">
        <v>11.440000000000001</v>
      </c>
      <c r="I842">
        <v>30.000000000000004</v>
      </c>
      <c r="J842" t="s">
        <v>20</v>
      </c>
    </row>
    <row r="843" spans="1:10" x14ac:dyDescent="0.2">
      <c r="A843">
        <v>10842</v>
      </c>
      <c r="B843" t="s">
        <v>7</v>
      </c>
      <c r="C843" t="s">
        <v>11</v>
      </c>
      <c r="D843">
        <v>6.91</v>
      </c>
      <c r="E843">
        <v>4</v>
      </c>
      <c r="F843" t="s">
        <v>15</v>
      </c>
      <c r="G843">
        <v>25</v>
      </c>
      <c r="H843">
        <v>8.6374999999999993</v>
      </c>
      <c r="I843">
        <v>24.999999999999979</v>
      </c>
      <c r="J843" t="s">
        <v>20</v>
      </c>
    </row>
    <row r="844" spans="1:10" x14ac:dyDescent="0.2">
      <c r="A844">
        <v>10843</v>
      </c>
      <c r="B844" t="s">
        <v>8</v>
      </c>
      <c r="C844" t="s">
        <v>6</v>
      </c>
      <c r="D844">
        <v>5.53</v>
      </c>
      <c r="E844">
        <v>6</v>
      </c>
      <c r="F844" t="s">
        <v>15</v>
      </c>
      <c r="G844">
        <v>28</v>
      </c>
      <c r="H844">
        <v>7.0784000000000002</v>
      </c>
      <c r="I844">
        <v>28.000000000000004</v>
      </c>
      <c r="J844" t="s">
        <v>20</v>
      </c>
    </row>
    <row r="845" spans="1:10" x14ac:dyDescent="0.2">
      <c r="A845">
        <v>10844</v>
      </c>
      <c r="B845" t="s">
        <v>5</v>
      </c>
      <c r="C845" t="s">
        <v>6</v>
      </c>
      <c r="D845">
        <v>11.32</v>
      </c>
      <c r="E845">
        <v>6</v>
      </c>
      <c r="F845" t="s">
        <v>15</v>
      </c>
      <c r="G845">
        <v>28</v>
      </c>
      <c r="H845">
        <v>14.489600000000001</v>
      </c>
      <c r="I845">
        <v>28.000000000000004</v>
      </c>
      <c r="J845" t="s">
        <v>20</v>
      </c>
    </row>
    <row r="846" spans="1:10" x14ac:dyDescent="0.2">
      <c r="A846">
        <v>10845</v>
      </c>
      <c r="B846" t="s">
        <v>8</v>
      </c>
      <c r="C846" t="s">
        <v>6</v>
      </c>
      <c r="D846">
        <v>13.46</v>
      </c>
      <c r="E846">
        <v>10</v>
      </c>
      <c r="F846" t="s">
        <v>16</v>
      </c>
      <c r="G846">
        <v>55</v>
      </c>
      <c r="H846">
        <v>20.863000000000003</v>
      </c>
      <c r="I846">
        <v>55.000000000000007</v>
      </c>
      <c r="J846" t="s">
        <v>20</v>
      </c>
    </row>
    <row r="847" spans="1:10" x14ac:dyDescent="0.2">
      <c r="A847">
        <v>10846</v>
      </c>
      <c r="B847" t="s">
        <v>8</v>
      </c>
      <c r="C847" t="s">
        <v>11</v>
      </c>
      <c r="D847">
        <v>11.47</v>
      </c>
      <c r="E847">
        <v>6</v>
      </c>
      <c r="F847" t="s">
        <v>15</v>
      </c>
      <c r="G847">
        <v>25</v>
      </c>
      <c r="H847">
        <v>14.3375</v>
      </c>
      <c r="I847">
        <v>25</v>
      </c>
      <c r="J847" t="s">
        <v>20</v>
      </c>
    </row>
    <row r="848" spans="1:10" x14ac:dyDescent="0.2">
      <c r="A848">
        <v>10847</v>
      </c>
      <c r="B848" t="s">
        <v>10</v>
      </c>
      <c r="C848" t="s">
        <v>11</v>
      </c>
      <c r="D848">
        <v>5.31</v>
      </c>
      <c r="E848">
        <v>1</v>
      </c>
      <c r="F848" t="s">
        <v>14</v>
      </c>
      <c r="G848">
        <v>10</v>
      </c>
      <c r="H848">
        <v>5.8410000000000002</v>
      </c>
      <c r="I848">
        <v>10.000000000000009</v>
      </c>
      <c r="J848" t="s">
        <v>20</v>
      </c>
    </row>
    <row r="849" spans="1:10" x14ac:dyDescent="0.2">
      <c r="A849">
        <v>10848</v>
      </c>
      <c r="B849" t="s">
        <v>10</v>
      </c>
      <c r="C849" t="s">
        <v>9</v>
      </c>
      <c r="D849">
        <v>11.29</v>
      </c>
      <c r="E849">
        <v>10</v>
      </c>
      <c r="F849" t="s">
        <v>16</v>
      </c>
      <c r="G849">
        <v>60</v>
      </c>
      <c r="H849">
        <v>18.064</v>
      </c>
      <c r="I849">
        <v>60.000000000000007</v>
      </c>
      <c r="J849" t="s">
        <v>20</v>
      </c>
    </row>
    <row r="850" spans="1:10" x14ac:dyDescent="0.2">
      <c r="A850">
        <v>10849</v>
      </c>
      <c r="B850" t="s">
        <v>5</v>
      </c>
      <c r="C850" t="s">
        <v>11</v>
      </c>
      <c r="D850">
        <v>2.7</v>
      </c>
      <c r="E850">
        <v>9</v>
      </c>
      <c r="F850" t="s">
        <v>16</v>
      </c>
      <c r="G850">
        <v>50</v>
      </c>
      <c r="H850">
        <v>4.0500000000000007</v>
      </c>
      <c r="I850">
        <v>50.000000000000021</v>
      </c>
      <c r="J850" t="s">
        <v>20</v>
      </c>
    </row>
    <row r="851" spans="1:10" x14ac:dyDescent="0.2">
      <c r="A851">
        <v>10850</v>
      </c>
      <c r="B851" t="s">
        <v>10</v>
      </c>
      <c r="C851" t="s">
        <v>11</v>
      </c>
      <c r="D851">
        <v>2.39</v>
      </c>
      <c r="E851">
        <v>7</v>
      </c>
      <c r="F851" t="s">
        <v>15</v>
      </c>
      <c r="G851">
        <v>25</v>
      </c>
      <c r="H851">
        <v>2.9875000000000003</v>
      </c>
      <c r="I851">
        <v>25</v>
      </c>
      <c r="J851" t="s">
        <v>20</v>
      </c>
    </row>
    <row r="852" spans="1:10" x14ac:dyDescent="0.2">
      <c r="A852">
        <v>10851</v>
      </c>
      <c r="B852" t="s">
        <v>5</v>
      </c>
      <c r="C852" t="s">
        <v>6</v>
      </c>
      <c r="D852">
        <v>5.51</v>
      </c>
      <c r="E852">
        <v>7</v>
      </c>
      <c r="F852" t="s">
        <v>15</v>
      </c>
      <c r="G852">
        <v>28</v>
      </c>
      <c r="H852">
        <v>7.0527999999999995</v>
      </c>
      <c r="I852">
        <v>28.000000000000004</v>
      </c>
      <c r="J852" t="s">
        <v>20</v>
      </c>
    </row>
    <row r="853" spans="1:10" x14ac:dyDescent="0.2">
      <c r="A853">
        <v>10852</v>
      </c>
      <c r="B853" t="s">
        <v>10</v>
      </c>
      <c r="C853" t="s">
        <v>11</v>
      </c>
      <c r="D853">
        <v>12.21</v>
      </c>
      <c r="E853">
        <v>7</v>
      </c>
      <c r="F853" t="s">
        <v>15</v>
      </c>
      <c r="G853">
        <v>25</v>
      </c>
      <c r="H853">
        <v>15.262500000000001</v>
      </c>
      <c r="I853">
        <v>25</v>
      </c>
      <c r="J853" t="s">
        <v>20</v>
      </c>
    </row>
    <row r="854" spans="1:10" x14ac:dyDescent="0.2">
      <c r="A854">
        <v>10853</v>
      </c>
      <c r="B854" t="s">
        <v>8</v>
      </c>
      <c r="C854" t="s">
        <v>6</v>
      </c>
      <c r="D854">
        <v>4.07</v>
      </c>
      <c r="E854">
        <v>2</v>
      </c>
      <c r="F854" t="s">
        <v>14</v>
      </c>
      <c r="G854">
        <v>12</v>
      </c>
      <c r="H854">
        <v>4.5584000000000007</v>
      </c>
      <c r="I854">
        <v>12.000000000000011</v>
      </c>
      <c r="J854" t="s">
        <v>20</v>
      </c>
    </row>
    <row r="855" spans="1:10" x14ac:dyDescent="0.2">
      <c r="A855">
        <v>10854</v>
      </c>
      <c r="B855" t="s">
        <v>5</v>
      </c>
      <c r="C855" t="s">
        <v>6</v>
      </c>
      <c r="D855">
        <v>1.42</v>
      </c>
      <c r="E855">
        <v>2</v>
      </c>
      <c r="F855" t="s">
        <v>14</v>
      </c>
      <c r="G855">
        <v>12</v>
      </c>
      <c r="H855">
        <v>1.5904</v>
      </c>
      <c r="I855">
        <v>12.000000000000011</v>
      </c>
      <c r="J855" t="s">
        <v>20</v>
      </c>
    </row>
    <row r="856" spans="1:10" x14ac:dyDescent="0.2">
      <c r="A856">
        <v>10855</v>
      </c>
      <c r="B856" t="s">
        <v>5</v>
      </c>
      <c r="C856" t="s">
        <v>11</v>
      </c>
      <c r="D856">
        <v>2.41</v>
      </c>
      <c r="E856">
        <v>6</v>
      </c>
      <c r="F856" t="s">
        <v>15</v>
      </c>
      <c r="G856">
        <v>25</v>
      </c>
      <c r="H856">
        <v>3.0125000000000002</v>
      </c>
      <c r="I856">
        <v>25</v>
      </c>
      <c r="J856" t="s">
        <v>20</v>
      </c>
    </row>
    <row r="857" spans="1:10" x14ac:dyDescent="0.2">
      <c r="A857">
        <v>10856</v>
      </c>
      <c r="B857" t="s">
        <v>8</v>
      </c>
      <c r="C857" t="s">
        <v>9</v>
      </c>
      <c r="D857">
        <v>12.95</v>
      </c>
      <c r="E857">
        <v>7</v>
      </c>
      <c r="F857" t="s">
        <v>15</v>
      </c>
      <c r="G857">
        <v>30</v>
      </c>
      <c r="H857">
        <v>16.835000000000001</v>
      </c>
      <c r="I857">
        <v>30.000000000000004</v>
      </c>
      <c r="J857" t="s">
        <v>20</v>
      </c>
    </row>
    <row r="858" spans="1:10" x14ac:dyDescent="0.2">
      <c r="A858">
        <v>10857</v>
      </c>
      <c r="B858" t="s">
        <v>5</v>
      </c>
      <c r="C858" t="s">
        <v>9</v>
      </c>
      <c r="D858">
        <v>9.69</v>
      </c>
      <c r="E858">
        <v>3</v>
      </c>
      <c r="F858" t="s">
        <v>14</v>
      </c>
      <c r="G858">
        <v>15</v>
      </c>
      <c r="H858">
        <v>11.143499999999998</v>
      </c>
      <c r="I858">
        <v>14.999999999999991</v>
      </c>
      <c r="J858" t="s">
        <v>20</v>
      </c>
    </row>
    <row r="859" spans="1:10" x14ac:dyDescent="0.2">
      <c r="A859">
        <v>10858</v>
      </c>
      <c r="B859" t="s">
        <v>5</v>
      </c>
      <c r="C859" t="s">
        <v>11</v>
      </c>
      <c r="D859">
        <v>4.17</v>
      </c>
      <c r="E859">
        <v>4</v>
      </c>
      <c r="F859" t="s">
        <v>15</v>
      </c>
      <c r="G859">
        <v>25</v>
      </c>
      <c r="H859">
        <v>5.2125000000000004</v>
      </c>
      <c r="I859">
        <v>25</v>
      </c>
      <c r="J859" t="s">
        <v>20</v>
      </c>
    </row>
    <row r="860" spans="1:10" x14ac:dyDescent="0.2">
      <c r="A860">
        <v>10859</v>
      </c>
      <c r="B860" t="s">
        <v>10</v>
      </c>
      <c r="C860" t="s">
        <v>9</v>
      </c>
      <c r="D860">
        <v>8.5500000000000007</v>
      </c>
      <c r="E860">
        <v>3</v>
      </c>
      <c r="F860" t="s">
        <v>14</v>
      </c>
      <c r="G860">
        <v>15</v>
      </c>
      <c r="H860">
        <v>9.8324999999999996</v>
      </c>
      <c r="I860">
        <v>14.999999999999991</v>
      </c>
      <c r="J860" t="s">
        <v>20</v>
      </c>
    </row>
    <row r="861" spans="1:10" x14ac:dyDescent="0.2">
      <c r="A861">
        <v>10860</v>
      </c>
      <c r="B861" t="s">
        <v>5</v>
      </c>
      <c r="C861" t="s">
        <v>6</v>
      </c>
      <c r="D861">
        <v>8.15</v>
      </c>
      <c r="E861">
        <v>7</v>
      </c>
      <c r="F861" t="s">
        <v>15</v>
      </c>
      <c r="G861">
        <v>28</v>
      </c>
      <c r="H861">
        <v>10.432</v>
      </c>
      <c r="I861">
        <v>28.000000000000004</v>
      </c>
      <c r="J861" t="s">
        <v>20</v>
      </c>
    </row>
    <row r="862" spans="1:10" x14ac:dyDescent="0.2">
      <c r="A862">
        <v>10861</v>
      </c>
      <c r="B862" t="s">
        <v>7</v>
      </c>
      <c r="C862" t="s">
        <v>6</v>
      </c>
      <c r="D862">
        <v>10</v>
      </c>
      <c r="E862">
        <v>7</v>
      </c>
      <c r="F862" t="s">
        <v>15</v>
      </c>
      <c r="G862">
        <v>28</v>
      </c>
      <c r="H862">
        <v>12.8</v>
      </c>
      <c r="I862">
        <v>28.000000000000004</v>
      </c>
      <c r="J862" t="s">
        <v>20</v>
      </c>
    </row>
    <row r="863" spans="1:10" x14ac:dyDescent="0.2">
      <c r="A863">
        <v>10862</v>
      </c>
      <c r="B863" t="s">
        <v>8</v>
      </c>
      <c r="C863" t="s">
        <v>11</v>
      </c>
      <c r="D863">
        <v>3.88</v>
      </c>
      <c r="E863">
        <v>4</v>
      </c>
      <c r="F863" t="s">
        <v>15</v>
      </c>
      <c r="G863">
        <v>25</v>
      </c>
      <c r="H863">
        <v>4.8499999999999996</v>
      </c>
      <c r="I863">
        <v>25</v>
      </c>
      <c r="J863" t="s">
        <v>20</v>
      </c>
    </row>
    <row r="864" spans="1:10" x14ac:dyDescent="0.2">
      <c r="A864">
        <v>10863</v>
      </c>
      <c r="B864" t="s">
        <v>10</v>
      </c>
      <c r="C864" t="s">
        <v>9</v>
      </c>
      <c r="D864">
        <v>13.03</v>
      </c>
      <c r="E864">
        <v>7</v>
      </c>
      <c r="F864" t="s">
        <v>15</v>
      </c>
      <c r="G864">
        <v>30</v>
      </c>
      <c r="H864">
        <v>16.939</v>
      </c>
      <c r="I864">
        <v>30.000000000000004</v>
      </c>
      <c r="J864" t="s">
        <v>20</v>
      </c>
    </row>
    <row r="865" spans="1:10" x14ac:dyDescent="0.2">
      <c r="A865">
        <v>10864</v>
      </c>
      <c r="B865" t="s">
        <v>10</v>
      </c>
      <c r="C865" t="s">
        <v>9</v>
      </c>
      <c r="D865">
        <v>4.99</v>
      </c>
      <c r="E865">
        <v>5</v>
      </c>
      <c r="F865" t="s">
        <v>15</v>
      </c>
      <c r="G865">
        <v>30</v>
      </c>
      <c r="H865">
        <v>6.4870000000000001</v>
      </c>
      <c r="I865">
        <v>30.000000000000004</v>
      </c>
      <c r="J865" t="s">
        <v>20</v>
      </c>
    </row>
    <row r="866" spans="1:10" x14ac:dyDescent="0.2">
      <c r="A866">
        <v>10865</v>
      </c>
      <c r="B866" t="s">
        <v>7</v>
      </c>
      <c r="C866" t="s">
        <v>6</v>
      </c>
      <c r="D866">
        <v>10.56</v>
      </c>
      <c r="E866">
        <v>1</v>
      </c>
      <c r="F866" t="s">
        <v>14</v>
      </c>
      <c r="G866">
        <v>12</v>
      </c>
      <c r="H866">
        <v>11.827200000000001</v>
      </c>
      <c r="I866">
        <v>12.000000000000011</v>
      </c>
      <c r="J866" t="s">
        <v>20</v>
      </c>
    </row>
    <row r="867" spans="1:10" x14ac:dyDescent="0.2">
      <c r="A867">
        <v>10866</v>
      </c>
      <c r="B867" t="s">
        <v>8</v>
      </c>
      <c r="C867" t="s">
        <v>11</v>
      </c>
      <c r="D867">
        <v>0.73</v>
      </c>
      <c r="E867">
        <v>10</v>
      </c>
      <c r="F867" t="s">
        <v>16</v>
      </c>
      <c r="G867">
        <v>50</v>
      </c>
      <c r="H867">
        <v>1.095</v>
      </c>
      <c r="I867">
        <v>50</v>
      </c>
      <c r="J867" t="s">
        <v>20</v>
      </c>
    </row>
    <row r="868" spans="1:10" x14ac:dyDescent="0.2">
      <c r="A868">
        <v>10867</v>
      </c>
      <c r="B868" t="s">
        <v>8</v>
      </c>
      <c r="C868" t="s">
        <v>9</v>
      </c>
      <c r="D868">
        <v>5.9</v>
      </c>
      <c r="E868">
        <v>4</v>
      </c>
      <c r="F868" t="s">
        <v>15</v>
      </c>
      <c r="G868">
        <v>30</v>
      </c>
      <c r="H868">
        <v>7.6700000000000008</v>
      </c>
      <c r="I868">
        <v>30.000000000000004</v>
      </c>
      <c r="J868" t="s">
        <v>20</v>
      </c>
    </row>
    <row r="869" spans="1:10" x14ac:dyDescent="0.2">
      <c r="A869">
        <v>10868</v>
      </c>
      <c r="B869" t="s">
        <v>10</v>
      </c>
      <c r="C869" t="s">
        <v>11</v>
      </c>
      <c r="D869">
        <v>5.6</v>
      </c>
      <c r="E869">
        <v>7</v>
      </c>
      <c r="F869" t="s">
        <v>15</v>
      </c>
      <c r="G869">
        <v>25</v>
      </c>
      <c r="H869">
        <v>7</v>
      </c>
      <c r="I869">
        <v>25</v>
      </c>
      <c r="J869" t="s">
        <v>20</v>
      </c>
    </row>
    <row r="870" spans="1:10" x14ac:dyDescent="0.2">
      <c r="A870">
        <v>10869</v>
      </c>
      <c r="B870" t="s">
        <v>5</v>
      </c>
      <c r="C870" t="s">
        <v>9</v>
      </c>
      <c r="D870">
        <v>8.3800000000000008</v>
      </c>
      <c r="E870">
        <v>2</v>
      </c>
      <c r="F870" t="s">
        <v>14</v>
      </c>
      <c r="G870">
        <v>15</v>
      </c>
      <c r="H870">
        <v>9.6370000000000005</v>
      </c>
      <c r="I870">
        <v>14.999999999999991</v>
      </c>
      <c r="J870" t="s">
        <v>20</v>
      </c>
    </row>
    <row r="871" spans="1:10" x14ac:dyDescent="0.2">
      <c r="A871">
        <v>10870</v>
      </c>
      <c r="B871" t="s">
        <v>10</v>
      </c>
      <c r="C871" t="s">
        <v>6</v>
      </c>
      <c r="D871">
        <v>1.55</v>
      </c>
      <c r="E871">
        <v>2</v>
      </c>
      <c r="F871" t="s">
        <v>14</v>
      </c>
      <c r="G871">
        <v>12</v>
      </c>
      <c r="H871">
        <v>1.7360000000000002</v>
      </c>
      <c r="I871">
        <v>12.000000000000011</v>
      </c>
      <c r="J871" t="s">
        <v>20</v>
      </c>
    </row>
    <row r="872" spans="1:10" x14ac:dyDescent="0.2">
      <c r="A872">
        <v>10871</v>
      </c>
      <c r="B872" t="s">
        <v>8</v>
      </c>
      <c r="C872" t="s">
        <v>6</v>
      </c>
      <c r="D872">
        <v>11.96</v>
      </c>
      <c r="E872">
        <v>1</v>
      </c>
      <c r="F872" t="s">
        <v>14</v>
      </c>
      <c r="G872">
        <v>12</v>
      </c>
      <c r="H872">
        <v>13.395200000000003</v>
      </c>
      <c r="I872">
        <v>12.000000000000011</v>
      </c>
      <c r="J872" t="s">
        <v>20</v>
      </c>
    </row>
    <row r="873" spans="1:10" x14ac:dyDescent="0.2">
      <c r="A873">
        <v>10872</v>
      </c>
      <c r="B873" t="s">
        <v>7</v>
      </c>
      <c r="C873" t="s">
        <v>11</v>
      </c>
      <c r="D873">
        <v>3.66</v>
      </c>
      <c r="E873">
        <v>2</v>
      </c>
      <c r="F873" t="s">
        <v>14</v>
      </c>
      <c r="G873">
        <v>10</v>
      </c>
      <c r="H873">
        <v>4.0260000000000007</v>
      </c>
      <c r="I873">
        <v>10.000000000000009</v>
      </c>
      <c r="J873" t="s">
        <v>20</v>
      </c>
    </row>
    <row r="874" spans="1:10" x14ac:dyDescent="0.2">
      <c r="A874">
        <v>10873</v>
      </c>
      <c r="B874" t="s">
        <v>10</v>
      </c>
      <c r="C874" t="s">
        <v>6</v>
      </c>
      <c r="D874">
        <v>10.32</v>
      </c>
      <c r="E874">
        <v>10</v>
      </c>
      <c r="F874" t="s">
        <v>16</v>
      </c>
      <c r="G874">
        <v>55</v>
      </c>
      <c r="H874">
        <v>15.996</v>
      </c>
      <c r="I874">
        <v>55.000000000000007</v>
      </c>
      <c r="J874" t="s">
        <v>20</v>
      </c>
    </row>
    <row r="875" spans="1:10" x14ac:dyDescent="0.2">
      <c r="A875">
        <v>10874</v>
      </c>
      <c r="B875" t="s">
        <v>8</v>
      </c>
      <c r="C875" t="s">
        <v>9</v>
      </c>
      <c r="D875">
        <v>12.15</v>
      </c>
      <c r="E875">
        <v>8</v>
      </c>
      <c r="F875" t="s">
        <v>16</v>
      </c>
      <c r="G875">
        <v>60</v>
      </c>
      <c r="H875">
        <v>19.440000000000001</v>
      </c>
      <c r="I875">
        <v>60.000000000000007</v>
      </c>
      <c r="J875" t="s">
        <v>20</v>
      </c>
    </row>
    <row r="876" spans="1:10" x14ac:dyDescent="0.2">
      <c r="A876">
        <v>10875</v>
      </c>
      <c r="B876" t="s">
        <v>10</v>
      </c>
      <c r="C876" t="s">
        <v>6</v>
      </c>
      <c r="D876">
        <v>8.65</v>
      </c>
      <c r="E876">
        <v>8</v>
      </c>
      <c r="F876" t="s">
        <v>16</v>
      </c>
      <c r="G876">
        <v>55</v>
      </c>
      <c r="H876">
        <v>13.407500000000001</v>
      </c>
      <c r="I876">
        <v>55.000000000000007</v>
      </c>
      <c r="J876" t="s">
        <v>20</v>
      </c>
    </row>
    <row r="877" spans="1:10" x14ac:dyDescent="0.2">
      <c r="A877">
        <v>10876</v>
      </c>
      <c r="B877" t="s">
        <v>5</v>
      </c>
      <c r="C877" t="s">
        <v>11</v>
      </c>
      <c r="D877">
        <v>11.24</v>
      </c>
      <c r="E877">
        <v>8</v>
      </c>
      <c r="F877" t="s">
        <v>16</v>
      </c>
      <c r="G877">
        <v>50</v>
      </c>
      <c r="H877">
        <v>16.86</v>
      </c>
      <c r="I877">
        <v>50</v>
      </c>
      <c r="J877" t="s">
        <v>20</v>
      </c>
    </row>
    <row r="878" spans="1:10" x14ac:dyDescent="0.2">
      <c r="A878">
        <v>10877</v>
      </c>
      <c r="B878" t="s">
        <v>10</v>
      </c>
      <c r="C878" t="s">
        <v>11</v>
      </c>
      <c r="D878">
        <v>10.1</v>
      </c>
      <c r="E878">
        <v>1</v>
      </c>
      <c r="F878" t="s">
        <v>14</v>
      </c>
      <c r="G878">
        <v>10</v>
      </c>
      <c r="H878">
        <v>11.110000000000001</v>
      </c>
      <c r="I878">
        <v>10.000000000000009</v>
      </c>
      <c r="J878" t="s">
        <v>20</v>
      </c>
    </row>
    <row r="879" spans="1:10" x14ac:dyDescent="0.2">
      <c r="A879">
        <v>10878</v>
      </c>
      <c r="B879" t="s">
        <v>10</v>
      </c>
      <c r="C879" t="s">
        <v>11</v>
      </c>
      <c r="D879">
        <v>5.66</v>
      </c>
      <c r="E879">
        <v>1</v>
      </c>
      <c r="F879" t="s">
        <v>14</v>
      </c>
      <c r="G879">
        <v>10</v>
      </c>
      <c r="H879">
        <v>6.2260000000000009</v>
      </c>
      <c r="I879">
        <v>10.000000000000009</v>
      </c>
      <c r="J879" t="s">
        <v>20</v>
      </c>
    </row>
    <row r="880" spans="1:10" x14ac:dyDescent="0.2">
      <c r="A880">
        <v>10879</v>
      </c>
      <c r="B880" t="s">
        <v>8</v>
      </c>
      <c r="C880" t="s">
        <v>9</v>
      </c>
      <c r="D880">
        <v>12.23</v>
      </c>
      <c r="E880">
        <v>10</v>
      </c>
      <c r="F880" t="s">
        <v>16</v>
      </c>
      <c r="G880">
        <v>60</v>
      </c>
      <c r="H880">
        <v>19.568000000000001</v>
      </c>
      <c r="I880">
        <v>60.000000000000007</v>
      </c>
      <c r="J880" t="s">
        <v>20</v>
      </c>
    </row>
    <row r="881" spans="1:10" x14ac:dyDescent="0.2">
      <c r="A881">
        <v>10880</v>
      </c>
      <c r="B881" t="s">
        <v>8</v>
      </c>
      <c r="C881" t="s">
        <v>9</v>
      </c>
      <c r="D881">
        <v>4.7699999999999996</v>
      </c>
      <c r="E881">
        <v>4</v>
      </c>
      <c r="F881" t="s">
        <v>15</v>
      </c>
      <c r="G881">
        <v>30</v>
      </c>
      <c r="H881">
        <v>6.2009999999999996</v>
      </c>
      <c r="I881">
        <v>30.000000000000004</v>
      </c>
      <c r="J881" t="s">
        <v>20</v>
      </c>
    </row>
    <row r="882" spans="1:10" x14ac:dyDescent="0.2">
      <c r="A882">
        <v>10881</v>
      </c>
      <c r="B882" t="s">
        <v>8</v>
      </c>
      <c r="C882" t="s">
        <v>9</v>
      </c>
      <c r="D882">
        <v>8.7799999999999994</v>
      </c>
      <c r="E882">
        <v>6</v>
      </c>
      <c r="F882" t="s">
        <v>15</v>
      </c>
      <c r="G882">
        <v>30</v>
      </c>
      <c r="H882">
        <v>11.414</v>
      </c>
      <c r="I882">
        <v>30.000000000000004</v>
      </c>
      <c r="J882" t="s">
        <v>20</v>
      </c>
    </row>
    <row r="883" spans="1:10" x14ac:dyDescent="0.2">
      <c r="A883">
        <v>10882</v>
      </c>
      <c r="B883" t="s">
        <v>10</v>
      </c>
      <c r="C883" t="s">
        <v>9</v>
      </c>
      <c r="D883">
        <v>11.31</v>
      </c>
      <c r="E883">
        <v>8</v>
      </c>
      <c r="F883" t="s">
        <v>16</v>
      </c>
      <c r="G883">
        <v>60</v>
      </c>
      <c r="H883">
        <v>18.096</v>
      </c>
      <c r="I883">
        <v>59.999999999999986</v>
      </c>
      <c r="J883" t="s">
        <v>20</v>
      </c>
    </row>
    <row r="884" spans="1:10" x14ac:dyDescent="0.2">
      <c r="A884">
        <v>10883</v>
      </c>
      <c r="B884" t="s">
        <v>5</v>
      </c>
      <c r="C884" t="s">
        <v>9</v>
      </c>
      <c r="D884">
        <v>5.99</v>
      </c>
      <c r="E884">
        <v>2</v>
      </c>
      <c r="F884" t="s">
        <v>14</v>
      </c>
      <c r="G884">
        <v>15</v>
      </c>
      <c r="H884">
        <v>6.8884999999999996</v>
      </c>
      <c r="I884">
        <v>14.999999999999991</v>
      </c>
      <c r="J884" t="s">
        <v>20</v>
      </c>
    </row>
    <row r="885" spans="1:10" x14ac:dyDescent="0.2">
      <c r="A885">
        <v>10884</v>
      </c>
      <c r="B885" t="s">
        <v>7</v>
      </c>
      <c r="C885" t="s">
        <v>6</v>
      </c>
      <c r="D885">
        <v>4.8899999999999997</v>
      </c>
      <c r="E885">
        <v>3</v>
      </c>
      <c r="F885" t="s">
        <v>14</v>
      </c>
      <c r="G885">
        <v>12</v>
      </c>
      <c r="H885">
        <v>5.4767999999999999</v>
      </c>
      <c r="I885">
        <v>12.000000000000011</v>
      </c>
      <c r="J885" t="s">
        <v>20</v>
      </c>
    </row>
    <row r="886" spans="1:10" x14ac:dyDescent="0.2">
      <c r="A886">
        <v>10885</v>
      </c>
      <c r="B886" t="s">
        <v>7</v>
      </c>
      <c r="C886" t="s">
        <v>9</v>
      </c>
      <c r="D886">
        <v>7.16</v>
      </c>
      <c r="E886">
        <v>6</v>
      </c>
      <c r="F886" t="s">
        <v>15</v>
      </c>
      <c r="G886">
        <v>30</v>
      </c>
      <c r="H886">
        <v>9.3079999999999998</v>
      </c>
      <c r="I886">
        <v>30.000000000000004</v>
      </c>
      <c r="J886" t="s">
        <v>20</v>
      </c>
    </row>
    <row r="887" spans="1:10" x14ac:dyDescent="0.2">
      <c r="A887">
        <v>10886</v>
      </c>
      <c r="B887" t="s">
        <v>8</v>
      </c>
      <c r="C887" t="s">
        <v>9</v>
      </c>
      <c r="D887">
        <v>12.36</v>
      </c>
      <c r="E887">
        <v>10</v>
      </c>
      <c r="F887" t="s">
        <v>16</v>
      </c>
      <c r="G887">
        <v>60</v>
      </c>
      <c r="H887">
        <v>19.776</v>
      </c>
      <c r="I887">
        <v>60.000000000000007</v>
      </c>
      <c r="J887" t="s">
        <v>20</v>
      </c>
    </row>
    <row r="888" spans="1:10" x14ac:dyDescent="0.2">
      <c r="A888">
        <v>10887</v>
      </c>
      <c r="B888" t="s">
        <v>8</v>
      </c>
      <c r="C888" t="s">
        <v>6</v>
      </c>
      <c r="D888">
        <v>13.98</v>
      </c>
      <c r="E888">
        <v>4</v>
      </c>
      <c r="F888" t="s">
        <v>15</v>
      </c>
      <c r="G888">
        <v>28</v>
      </c>
      <c r="H888">
        <v>17.894400000000001</v>
      </c>
      <c r="I888">
        <v>28.000000000000004</v>
      </c>
      <c r="J888" t="s">
        <v>20</v>
      </c>
    </row>
    <row r="889" spans="1:10" x14ac:dyDescent="0.2">
      <c r="A889">
        <v>10888</v>
      </c>
      <c r="B889" t="s">
        <v>10</v>
      </c>
      <c r="C889" t="s">
        <v>9</v>
      </c>
      <c r="D889">
        <v>8.4</v>
      </c>
      <c r="E889">
        <v>2</v>
      </c>
      <c r="F889" t="s">
        <v>14</v>
      </c>
      <c r="G889">
        <v>15</v>
      </c>
      <c r="H889">
        <v>9.66</v>
      </c>
      <c r="I889">
        <v>14.999999999999991</v>
      </c>
      <c r="J889" t="s">
        <v>20</v>
      </c>
    </row>
    <row r="890" spans="1:10" x14ac:dyDescent="0.2">
      <c r="A890">
        <v>10889</v>
      </c>
      <c r="B890" t="s">
        <v>7</v>
      </c>
      <c r="C890" t="s">
        <v>11</v>
      </c>
      <c r="D890">
        <v>10.09</v>
      </c>
      <c r="E890">
        <v>7</v>
      </c>
      <c r="F890" t="s">
        <v>15</v>
      </c>
      <c r="G890">
        <v>25</v>
      </c>
      <c r="H890">
        <v>12.612500000000001</v>
      </c>
      <c r="I890">
        <v>25</v>
      </c>
      <c r="J890" t="s">
        <v>20</v>
      </c>
    </row>
    <row r="891" spans="1:10" x14ac:dyDescent="0.2">
      <c r="A891">
        <v>10890</v>
      </c>
      <c r="B891" t="s">
        <v>8</v>
      </c>
      <c r="C891" t="s">
        <v>9</v>
      </c>
      <c r="D891">
        <v>13.6</v>
      </c>
      <c r="E891">
        <v>4</v>
      </c>
      <c r="F891" t="s">
        <v>15</v>
      </c>
      <c r="G891">
        <v>30</v>
      </c>
      <c r="H891">
        <v>17.68</v>
      </c>
      <c r="I891">
        <v>30.000000000000004</v>
      </c>
      <c r="J891" t="s">
        <v>20</v>
      </c>
    </row>
    <row r="892" spans="1:10" x14ac:dyDescent="0.2">
      <c r="A892">
        <v>10891</v>
      </c>
      <c r="B892" t="s">
        <v>5</v>
      </c>
      <c r="C892" t="s">
        <v>9</v>
      </c>
      <c r="D892">
        <v>1.93</v>
      </c>
      <c r="E892">
        <v>8</v>
      </c>
      <c r="F892" t="s">
        <v>16</v>
      </c>
      <c r="G892">
        <v>60</v>
      </c>
      <c r="H892">
        <v>3.0880000000000001</v>
      </c>
      <c r="I892">
        <v>60.000000000000007</v>
      </c>
      <c r="J892" t="s">
        <v>20</v>
      </c>
    </row>
    <row r="893" spans="1:10" x14ac:dyDescent="0.2">
      <c r="A893">
        <v>10892</v>
      </c>
      <c r="B893" t="s">
        <v>5</v>
      </c>
      <c r="C893" t="s">
        <v>11</v>
      </c>
      <c r="D893">
        <v>3.87</v>
      </c>
      <c r="E893">
        <v>8</v>
      </c>
      <c r="F893" t="s">
        <v>16</v>
      </c>
      <c r="G893">
        <v>50</v>
      </c>
      <c r="H893">
        <v>5.8049999999999997</v>
      </c>
      <c r="I893">
        <v>49.999999999999979</v>
      </c>
      <c r="J893" t="s">
        <v>20</v>
      </c>
    </row>
    <row r="894" spans="1:10" x14ac:dyDescent="0.2">
      <c r="A894">
        <v>10893</v>
      </c>
      <c r="B894" t="s">
        <v>8</v>
      </c>
      <c r="C894" t="s">
        <v>11</v>
      </c>
      <c r="D894">
        <v>10.78</v>
      </c>
      <c r="E894">
        <v>7</v>
      </c>
      <c r="F894" t="s">
        <v>15</v>
      </c>
      <c r="G894">
        <v>25</v>
      </c>
      <c r="H894">
        <v>13.475</v>
      </c>
      <c r="I894">
        <v>25</v>
      </c>
      <c r="J894" t="s">
        <v>20</v>
      </c>
    </row>
    <row r="895" spans="1:10" x14ac:dyDescent="0.2">
      <c r="A895">
        <v>10894</v>
      </c>
      <c r="B895" t="s">
        <v>8</v>
      </c>
      <c r="C895" t="s">
        <v>11</v>
      </c>
      <c r="D895">
        <v>12.44</v>
      </c>
      <c r="E895">
        <v>10</v>
      </c>
      <c r="F895" t="s">
        <v>16</v>
      </c>
      <c r="G895">
        <v>50</v>
      </c>
      <c r="H895">
        <v>18.66</v>
      </c>
      <c r="I895">
        <v>50</v>
      </c>
      <c r="J895" t="s">
        <v>20</v>
      </c>
    </row>
    <row r="896" spans="1:10" x14ac:dyDescent="0.2">
      <c r="A896">
        <v>10895</v>
      </c>
      <c r="B896" t="s">
        <v>7</v>
      </c>
      <c r="C896" t="s">
        <v>11</v>
      </c>
      <c r="D896">
        <v>12.93</v>
      </c>
      <c r="E896">
        <v>9</v>
      </c>
      <c r="F896" t="s">
        <v>16</v>
      </c>
      <c r="G896">
        <v>50</v>
      </c>
      <c r="H896">
        <v>19.395</v>
      </c>
      <c r="I896">
        <v>50</v>
      </c>
      <c r="J896" t="s">
        <v>20</v>
      </c>
    </row>
    <row r="897" spans="1:10" x14ac:dyDescent="0.2">
      <c r="A897">
        <v>10896</v>
      </c>
      <c r="B897" t="s">
        <v>7</v>
      </c>
      <c r="C897" t="s">
        <v>9</v>
      </c>
      <c r="D897">
        <v>6.52</v>
      </c>
      <c r="E897">
        <v>4</v>
      </c>
      <c r="F897" t="s">
        <v>15</v>
      </c>
      <c r="G897">
        <v>30</v>
      </c>
      <c r="H897">
        <v>8.4759999999999991</v>
      </c>
      <c r="I897">
        <v>30.000000000000004</v>
      </c>
      <c r="J897" t="s">
        <v>20</v>
      </c>
    </row>
    <row r="898" spans="1:10" x14ac:dyDescent="0.2">
      <c r="A898">
        <v>10897</v>
      </c>
      <c r="B898" t="s">
        <v>10</v>
      </c>
      <c r="C898" t="s">
        <v>11</v>
      </c>
      <c r="D898">
        <v>1.8</v>
      </c>
      <c r="E898">
        <v>7</v>
      </c>
      <c r="F898" t="s">
        <v>15</v>
      </c>
      <c r="G898">
        <v>25</v>
      </c>
      <c r="H898">
        <v>2.25</v>
      </c>
      <c r="I898">
        <v>25</v>
      </c>
      <c r="J898" t="s">
        <v>20</v>
      </c>
    </row>
    <row r="899" spans="1:10" x14ac:dyDescent="0.2">
      <c r="A899">
        <v>10898</v>
      </c>
      <c r="B899" t="s">
        <v>7</v>
      </c>
      <c r="C899" t="s">
        <v>11</v>
      </c>
      <c r="D899">
        <v>6.85</v>
      </c>
      <c r="E899">
        <v>10</v>
      </c>
      <c r="F899" t="s">
        <v>16</v>
      </c>
      <c r="G899">
        <v>50</v>
      </c>
      <c r="H899">
        <v>10.274999999999999</v>
      </c>
      <c r="I899">
        <v>49.999999999999979</v>
      </c>
      <c r="J899" t="s">
        <v>20</v>
      </c>
    </row>
    <row r="900" spans="1:10" x14ac:dyDescent="0.2">
      <c r="A900">
        <v>10899</v>
      </c>
      <c r="B900" t="s">
        <v>5</v>
      </c>
      <c r="C900" t="s">
        <v>6</v>
      </c>
      <c r="D900">
        <v>3.85</v>
      </c>
      <c r="E900">
        <v>10</v>
      </c>
      <c r="F900" t="s">
        <v>16</v>
      </c>
      <c r="G900">
        <v>55</v>
      </c>
      <c r="H900">
        <v>5.9675000000000002</v>
      </c>
      <c r="I900">
        <v>55.000000000000007</v>
      </c>
      <c r="J900" t="s">
        <v>20</v>
      </c>
    </row>
    <row r="901" spans="1:10" x14ac:dyDescent="0.2">
      <c r="A901">
        <v>10900</v>
      </c>
      <c r="B901" t="s">
        <v>5</v>
      </c>
      <c r="C901" t="s">
        <v>11</v>
      </c>
      <c r="D901">
        <v>4.72</v>
      </c>
      <c r="E901">
        <v>1</v>
      </c>
      <c r="F901" t="s">
        <v>14</v>
      </c>
      <c r="G901">
        <v>10</v>
      </c>
      <c r="H901">
        <v>5.1920000000000002</v>
      </c>
      <c r="I901">
        <v>10.000000000000009</v>
      </c>
      <c r="J901" t="s">
        <v>20</v>
      </c>
    </row>
    <row r="902" spans="1:10" x14ac:dyDescent="0.2">
      <c r="A902">
        <v>10901</v>
      </c>
      <c r="B902" t="s">
        <v>8</v>
      </c>
      <c r="C902" t="s">
        <v>11</v>
      </c>
      <c r="D902">
        <v>11.7</v>
      </c>
      <c r="E902">
        <v>4</v>
      </c>
      <c r="F902" t="s">
        <v>15</v>
      </c>
      <c r="G902">
        <v>25</v>
      </c>
      <c r="H902">
        <v>14.625</v>
      </c>
      <c r="I902">
        <v>25</v>
      </c>
      <c r="J902" t="s">
        <v>20</v>
      </c>
    </row>
    <row r="903" spans="1:10" x14ac:dyDescent="0.2">
      <c r="A903">
        <v>10902</v>
      </c>
      <c r="B903" t="s">
        <v>7</v>
      </c>
      <c r="C903" t="s">
        <v>6</v>
      </c>
      <c r="D903">
        <v>1.6</v>
      </c>
      <c r="E903">
        <v>2</v>
      </c>
      <c r="F903" t="s">
        <v>14</v>
      </c>
      <c r="G903">
        <v>12</v>
      </c>
      <c r="H903">
        <v>1.7920000000000003</v>
      </c>
      <c r="I903">
        <v>12.000000000000011</v>
      </c>
      <c r="J903" t="s">
        <v>20</v>
      </c>
    </row>
    <row r="904" spans="1:10" x14ac:dyDescent="0.2">
      <c r="A904">
        <v>10903</v>
      </c>
      <c r="B904" t="s">
        <v>10</v>
      </c>
      <c r="C904" t="s">
        <v>6</v>
      </c>
      <c r="D904">
        <v>12.5</v>
      </c>
      <c r="E904">
        <v>9</v>
      </c>
      <c r="F904" t="s">
        <v>16</v>
      </c>
      <c r="G904">
        <v>55</v>
      </c>
      <c r="H904">
        <v>19.375</v>
      </c>
      <c r="I904">
        <v>55.000000000000007</v>
      </c>
      <c r="J904" t="s">
        <v>20</v>
      </c>
    </row>
    <row r="905" spans="1:10" x14ac:dyDescent="0.2">
      <c r="A905">
        <v>10904</v>
      </c>
      <c r="B905" t="s">
        <v>5</v>
      </c>
      <c r="C905" t="s">
        <v>9</v>
      </c>
      <c r="D905">
        <v>6.7</v>
      </c>
      <c r="E905">
        <v>5</v>
      </c>
      <c r="F905" t="s">
        <v>15</v>
      </c>
      <c r="G905">
        <v>30</v>
      </c>
      <c r="H905">
        <v>8.7100000000000009</v>
      </c>
      <c r="I905">
        <v>30.000000000000004</v>
      </c>
      <c r="J905" t="s">
        <v>20</v>
      </c>
    </row>
    <row r="906" spans="1:10" x14ac:dyDescent="0.2">
      <c r="A906">
        <v>10905</v>
      </c>
      <c r="B906" t="s">
        <v>5</v>
      </c>
      <c r="C906" t="s">
        <v>6</v>
      </c>
      <c r="D906">
        <v>9.14</v>
      </c>
      <c r="E906">
        <v>3</v>
      </c>
      <c r="F906" t="s">
        <v>14</v>
      </c>
      <c r="G906">
        <v>12</v>
      </c>
      <c r="H906">
        <v>10.236800000000002</v>
      </c>
      <c r="I906">
        <v>12.000000000000011</v>
      </c>
      <c r="J906" t="s">
        <v>20</v>
      </c>
    </row>
    <row r="907" spans="1:10" x14ac:dyDescent="0.2">
      <c r="A907">
        <v>10906</v>
      </c>
      <c r="B907" t="s">
        <v>10</v>
      </c>
      <c r="C907" t="s">
        <v>9</v>
      </c>
      <c r="D907">
        <v>1.8</v>
      </c>
      <c r="E907">
        <v>4</v>
      </c>
      <c r="F907" t="s">
        <v>15</v>
      </c>
      <c r="G907">
        <v>30</v>
      </c>
      <c r="H907">
        <v>2.3400000000000003</v>
      </c>
      <c r="I907">
        <v>30.000000000000004</v>
      </c>
      <c r="J907" t="s">
        <v>20</v>
      </c>
    </row>
    <row r="908" spans="1:10" x14ac:dyDescent="0.2">
      <c r="A908">
        <v>10907</v>
      </c>
      <c r="B908" t="s">
        <v>10</v>
      </c>
      <c r="C908" t="s">
        <v>6</v>
      </c>
      <c r="D908">
        <v>5.39</v>
      </c>
      <c r="E908">
        <v>6</v>
      </c>
      <c r="F908" t="s">
        <v>15</v>
      </c>
      <c r="G908">
        <v>28</v>
      </c>
      <c r="H908">
        <v>6.8991999999999996</v>
      </c>
      <c r="I908">
        <v>28.000000000000004</v>
      </c>
      <c r="J908" t="s">
        <v>20</v>
      </c>
    </row>
    <row r="909" spans="1:10" x14ac:dyDescent="0.2">
      <c r="A909">
        <v>10908</v>
      </c>
      <c r="B909" t="s">
        <v>5</v>
      </c>
      <c r="C909" t="s">
        <v>6</v>
      </c>
      <c r="D909">
        <v>1.8</v>
      </c>
      <c r="E909">
        <v>10</v>
      </c>
      <c r="F909" t="s">
        <v>16</v>
      </c>
      <c r="G909">
        <v>55</v>
      </c>
      <c r="H909">
        <v>2.79</v>
      </c>
      <c r="I909">
        <v>55.000000000000007</v>
      </c>
      <c r="J909" t="s">
        <v>20</v>
      </c>
    </row>
    <row r="910" spans="1:10" x14ac:dyDescent="0.2">
      <c r="A910">
        <v>10909</v>
      </c>
      <c r="B910" t="s">
        <v>5</v>
      </c>
      <c r="C910" t="s">
        <v>9</v>
      </c>
      <c r="D910">
        <v>14.44</v>
      </c>
      <c r="E910">
        <v>1</v>
      </c>
      <c r="F910" t="s">
        <v>14</v>
      </c>
      <c r="G910">
        <v>15</v>
      </c>
      <c r="H910">
        <v>16.605999999999998</v>
      </c>
      <c r="I910">
        <v>14.999999999999991</v>
      </c>
      <c r="J910" t="s">
        <v>20</v>
      </c>
    </row>
    <row r="911" spans="1:10" x14ac:dyDescent="0.2">
      <c r="A911">
        <v>10910</v>
      </c>
      <c r="B911" t="s">
        <v>10</v>
      </c>
      <c r="C911" t="s">
        <v>6</v>
      </c>
      <c r="D911">
        <v>12.21</v>
      </c>
      <c r="E911">
        <v>7</v>
      </c>
      <c r="F911" t="s">
        <v>15</v>
      </c>
      <c r="G911">
        <v>28</v>
      </c>
      <c r="H911">
        <v>15.628800000000002</v>
      </c>
      <c r="I911">
        <v>28.000000000000004</v>
      </c>
      <c r="J911" t="s">
        <v>20</v>
      </c>
    </row>
    <row r="912" spans="1:10" x14ac:dyDescent="0.2">
      <c r="A912">
        <v>10911</v>
      </c>
      <c r="B912" t="s">
        <v>5</v>
      </c>
      <c r="C912" t="s">
        <v>9</v>
      </c>
      <c r="D912">
        <v>7.16</v>
      </c>
      <c r="E912">
        <v>8</v>
      </c>
      <c r="F912" t="s">
        <v>16</v>
      </c>
      <c r="G912">
        <v>60</v>
      </c>
      <c r="H912">
        <v>11.456000000000001</v>
      </c>
      <c r="I912">
        <v>60.000000000000007</v>
      </c>
      <c r="J912" t="s">
        <v>20</v>
      </c>
    </row>
    <row r="913" spans="1:10" x14ac:dyDescent="0.2">
      <c r="A913">
        <v>10912</v>
      </c>
      <c r="B913" t="s">
        <v>8</v>
      </c>
      <c r="C913" t="s">
        <v>6</v>
      </c>
      <c r="D913">
        <v>3.74</v>
      </c>
      <c r="E913">
        <v>7</v>
      </c>
      <c r="F913" t="s">
        <v>15</v>
      </c>
      <c r="G913">
        <v>28</v>
      </c>
      <c r="H913">
        <v>4.7872000000000003</v>
      </c>
      <c r="I913">
        <v>28.000000000000004</v>
      </c>
      <c r="J913" t="s">
        <v>20</v>
      </c>
    </row>
    <row r="914" spans="1:10" x14ac:dyDescent="0.2">
      <c r="A914">
        <v>10913</v>
      </c>
      <c r="B914" t="s">
        <v>8</v>
      </c>
      <c r="C914" t="s">
        <v>11</v>
      </c>
      <c r="D914">
        <v>14.04</v>
      </c>
      <c r="E914">
        <v>7</v>
      </c>
      <c r="F914" t="s">
        <v>15</v>
      </c>
      <c r="G914">
        <v>25</v>
      </c>
      <c r="H914">
        <v>17.549999999999997</v>
      </c>
      <c r="I914">
        <v>24.999999999999979</v>
      </c>
      <c r="J914" t="s">
        <v>20</v>
      </c>
    </row>
    <row r="915" spans="1:10" x14ac:dyDescent="0.2">
      <c r="A915">
        <v>10914</v>
      </c>
      <c r="B915" t="s">
        <v>10</v>
      </c>
      <c r="C915" t="s">
        <v>6</v>
      </c>
      <c r="D915">
        <v>5.5</v>
      </c>
      <c r="E915">
        <v>9</v>
      </c>
      <c r="F915" t="s">
        <v>16</v>
      </c>
      <c r="G915">
        <v>55</v>
      </c>
      <c r="H915">
        <v>8.5250000000000004</v>
      </c>
      <c r="I915">
        <v>55.000000000000007</v>
      </c>
      <c r="J915" t="s">
        <v>20</v>
      </c>
    </row>
    <row r="916" spans="1:10" x14ac:dyDescent="0.2">
      <c r="A916">
        <v>10915</v>
      </c>
      <c r="B916" t="s">
        <v>7</v>
      </c>
      <c r="C916" t="s">
        <v>9</v>
      </c>
      <c r="D916">
        <v>2.83</v>
      </c>
      <c r="E916">
        <v>4</v>
      </c>
      <c r="F916" t="s">
        <v>15</v>
      </c>
      <c r="G916">
        <v>30</v>
      </c>
      <c r="H916">
        <v>3.6790000000000003</v>
      </c>
      <c r="I916">
        <v>30.000000000000004</v>
      </c>
      <c r="J916" t="s">
        <v>20</v>
      </c>
    </row>
    <row r="917" spans="1:10" x14ac:dyDescent="0.2">
      <c r="A917">
        <v>10916</v>
      </c>
      <c r="B917" t="s">
        <v>10</v>
      </c>
      <c r="C917" t="s">
        <v>6</v>
      </c>
      <c r="D917">
        <v>8.67</v>
      </c>
      <c r="E917">
        <v>7</v>
      </c>
      <c r="F917" t="s">
        <v>15</v>
      </c>
      <c r="G917">
        <v>28</v>
      </c>
      <c r="H917">
        <v>11.0976</v>
      </c>
      <c r="I917">
        <v>28.000000000000004</v>
      </c>
      <c r="J917" t="s">
        <v>20</v>
      </c>
    </row>
    <row r="918" spans="1:10" x14ac:dyDescent="0.2">
      <c r="A918">
        <v>10917</v>
      </c>
      <c r="B918" t="s">
        <v>10</v>
      </c>
      <c r="C918" t="s">
        <v>9</v>
      </c>
      <c r="D918">
        <v>14.18</v>
      </c>
      <c r="E918">
        <v>9</v>
      </c>
      <c r="F918" t="s">
        <v>16</v>
      </c>
      <c r="G918">
        <v>60</v>
      </c>
      <c r="H918">
        <v>22.688000000000002</v>
      </c>
      <c r="I918">
        <v>60.000000000000028</v>
      </c>
      <c r="J918" t="s">
        <v>20</v>
      </c>
    </row>
    <row r="919" spans="1:10" x14ac:dyDescent="0.2">
      <c r="A919">
        <v>10918</v>
      </c>
      <c r="B919" t="s">
        <v>7</v>
      </c>
      <c r="C919" t="s">
        <v>9</v>
      </c>
      <c r="D919">
        <v>0.56000000000000005</v>
      </c>
      <c r="E919">
        <v>5</v>
      </c>
      <c r="F919" t="s">
        <v>15</v>
      </c>
      <c r="G919">
        <v>30</v>
      </c>
      <c r="H919">
        <v>0.72800000000000009</v>
      </c>
      <c r="I919">
        <v>30.000000000000004</v>
      </c>
      <c r="J919" t="s">
        <v>20</v>
      </c>
    </row>
    <row r="920" spans="1:10" x14ac:dyDescent="0.2">
      <c r="A920">
        <v>10919</v>
      </c>
      <c r="B920" t="s">
        <v>7</v>
      </c>
      <c r="C920" t="s">
        <v>11</v>
      </c>
      <c r="D920">
        <v>3.95</v>
      </c>
      <c r="E920">
        <v>2</v>
      </c>
      <c r="F920" t="s">
        <v>14</v>
      </c>
      <c r="G920">
        <v>10</v>
      </c>
      <c r="H920">
        <v>4.3450000000000006</v>
      </c>
      <c r="I920">
        <v>10.000000000000009</v>
      </c>
      <c r="J920" t="s">
        <v>20</v>
      </c>
    </row>
    <row r="921" spans="1:10" x14ac:dyDescent="0.2">
      <c r="A921">
        <v>10920</v>
      </c>
      <c r="B921" t="s">
        <v>7</v>
      </c>
      <c r="C921" t="s">
        <v>11</v>
      </c>
      <c r="D921">
        <v>14.11</v>
      </c>
      <c r="E921">
        <v>5</v>
      </c>
      <c r="F921" t="s">
        <v>15</v>
      </c>
      <c r="G921">
        <v>25</v>
      </c>
      <c r="H921">
        <v>17.637499999999999</v>
      </c>
      <c r="I921">
        <v>25</v>
      </c>
      <c r="J921" t="s">
        <v>20</v>
      </c>
    </row>
    <row r="922" spans="1:10" x14ac:dyDescent="0.2">
      <c r="A922">
        <v>10921</v>
      </c>
      <c r="B922" t="s">
        <v>8</v>
      </c>
      <c r="C922" t="s">
        <v>9</v>
      </c>
      <c r="D922">
        <v>2.98</v>
      </c>
      <c r="E922">
        <v>4</v>
      </c>
      <c r="F922" t="s">
        <v>15</v>
      </c>
      <c r="G922">
        <v>30</v>
      </c>
      <c r="H922">
        <v>3.8740000000000001</v>
      </c>
      <c r="I922">
        <v>30.000000000000004</v>
      </c>
      <c r="J922" t="s">
        <v>20</v>
      </c>
    </row>
    <row r="923" spans="1:10" x14ac:dyDescent="0.2">
      <c r="A923">
        <v>10922</v>
      </c>
      <c r="B923" t="s">
        <v>5</v>
      </c>
      <c r="C923" t="s">
        <v>6</v>
      </c>
      <c r="D923">
        <v>2.14</v>
      </c>
      <c r="E923">
        <v>8</v>
      </c>
      <c r="F923" t="s">
        <v>16</v>
      </c>
      <c r="G923">
        <v>55</v>
      </c>
      <c r="H923">
        <v>3.3170000000000002</v>
      </c>
      <c r="I923">
        <v>55.000000000000007</v>
      </c>
      <c r="J923" t="s">
        <v>20</v>
      </c>
    </row>
    <row r="924" spans="1:10" x14ac:dyDescent="0.2">
      <c r="A924">
        <v>10923</v>
      </c>
      <c r="B924" t="s">
        <v>8</v>
      </c>
      <c r="C924" t="s">
        <v>9</v>
      </c>
      <c r="D924">
        <v>8.77</v>
      </c>
      <c r="E924">
        <v>5</v>
      </c>
      <c r="F924" t="s">
        <v>15</v>
      </c>
      <c r="G924">
        <v>30</v>
      </c>
      <c r="H924">
        <v>11.401</v>
      </c>
      <c r="I924">
        <v>30.000000000000004</v>
      </c>
      <c r="J924" t="s">
        <v>20</v>
      </c>
    </row>
    <row r="925" spans="1:10" x14ac:dyDescent="0.2">
      <c r="A925">
        <v>10924</v>
      </c>
      <c r="B925" t="s">
        <v>5</v>
      </c>
      <c r="C925" t="s">
        <v>9</v>
      </c>
      <c r="D925">
        <v>13</v>
      </c>
      <c r="E925">
        <v>9</v>
      </c>
      <c r="F925" t="s">
        <v>16</v>
      </c>
      <c r="G925">
        <v>60</v>
      </c>
      <c r="H925">
        <v>20.8</v>
      </c>
      <c r="I925">
        <v>60.000000000000007</v>
      </c>
      <c r="J925" t="s">
        <v>20</v>
      </c>
    </row>
    <row r="926" spans="1:10" x14ac:dyDescent="0.2">
      <c r="A926">
        <v>10925</v>
      </c>
      <c r="B926" t="s">
        <v>8</v>
      </c>
      <c r="C926" t="s">
        <v>6</v>
      </c>
      <c r="D926">
        <v>7.42</v>
      </c>
      <c r="E926">
        <v>9</v>
      </c>
      <c r="F926" t="s">
        <v>16</v>
      </c>
      <c r="G926">
        <v>55</v>
      </c>
      <c r="H926">
        <v>11.500999999999999</v>
      </c>
      <c r="I926">
        <v>55.000000000000007</v>
      </c>
      <c r="J926" t="s">
        <v>20</v>
      </c>
    </row>
    <row r="927" spans="1:10" x14ac:dyDescent="0.2">
      <c r="A927">
        <v>10926</v>
      </c>
      <c r="B927" t="s">
        <v>5</v>
      </c>
      <c r="C927" t="s">
        <v>6</v>
      </c>
      <c r="D927">
        <v>14.92</v>
      </c>
      <c r="E927">
        <v>3</v>
      </c>
      <c r="F927" t="s">
        <v>14</v>
      </c>
      <c r="G927">
        <v>12</v>
      </c>
      <c r="H927">
        <v>16.7104</v>
      </c>
      <c r="I927">
        <v>12.000000000000011</v>
      </c>
      <c r="J927" t="s">
        <v>20</v>
      </c>
    </row>
    <row r="928" spans="1:10" x14ac:dyDescent="0.2">
      <c r="A928">
        <v>10927</v>
      </c>
      <c r="B928" t="s">
        <v>8</v>
      </c>
      <c r="C928" t="s">
        <v>6</v>
      </c>
      <c r="D928">
        <v>10.35</v>
      </c>
      <c r="E928">
        <v>10</v>
      </c>
      <c r="F928" t="s">
        <v>16</v>
      </c>
      <c r="G928">
        <v>55</v>
      </c>
      <c r="H928">
        <v>16.0425</v>
      </c>
      <c r="I928">
        <v>55.000000000000007</v>
      </c>
      <c r="J928" t="s">
        <v>20</v>
      </c>
    </row>
    <row r="929" spans="1:10" x14ac:dyDescent="0.2">
      <c r="A929">
        <v>10928</v>
      </c>
      <c r="B929" t="s">
        <v>7</v>
      </c>
      <c r="C929" t="s">
        <v>6</v>
      </c>
      <c r="D929">
        <v>1.57</v>
      </c>
      <c r="E929">
        <v>6</v>
      </c>
      <c r="F929" t="s">
        <v>15</v>
      </c>
      <c r="G929">
        <v>28</v>
      </c>
      <c r="H929">
        <v>2.0096000000000003</v>
      </c>
      <c r="I929">
        <v>28.000000000000004</v>
      </c>
      <c r="J929" t="s">
        <v>20</v>
      </c>
    </row>
    <row r="930" spans="1:10" x14ac:dyDescent="0.2">
      <c r="A930">
        <v>10929</v>
      </c>
      <c r="B930" t="s">
        <v>10</v>
      </c>
      <c r="C930" t="s">
        <v>9</v>
      </c>
      <c r="D930">
        <v>14.9</v>
      </c>
      <c r="E930">
        <v>6</v>
      </c>
      <c r="F930" t="s">
        <v>15</v>
      </c>
      <c r="G930">
        <v>30</v>
      </c>
      <c r="H930">
        <v>19.37</v>
      </c>
      <c r="I930">
        <v>30.000000000000004</v>
      </c>
      <c r="J930" t="s">
        <v>20</v>
      </c>
    </row>
    <row r="931" spans="1:10" x14ac:dyDescent="0.2">
      <c r="A931">
        <v>10930</v>
      </c>
      <c r="B931" t="s">
        <v>8</v>
      </c>
      <c r="C931" t="s">
        <v>9</v>
      </c>
      <c r="D931">
        <v>6.41</v>
      </c>
      <c r="E931">
        <v>4</v>
      </c>
      <c r="F931" t="s">
        <v>15</v>
      </c>
      <c r="G931">
        <v>30</v>
      </c>
      <c r="H931">
        <v>8.3330000000000002</v>
      </c>
      <c r="I931">
        <v>30.000000000000004</v>
      </c>
      <c r="J931" t="s">
        <v>20</v>
      </c>
    </row>
    <row r="932" spans="1:10" x14ac:dyDescent="0.2">
      <c r="A932">
        <v>10931</v>
      </c>
      <c r="B932" t="s">
        <v>5</v>
      </c>
      <c r="C932" t="s">
        <v>11</v>
      </c>
      <c r="D932">
        <v>4.67</v>
      </c>
      <c r="E932">
        <v>10</v>
      </c>
      <c r="F932" t="s">
        <v>16</v>
      </c>
      <c r="G932">
        <v>50</v>
      </c>
      <c r="H932">
        <v>7.0049999999999999</v>
      </c>
      <c r="I932">
        <v>50</v>
      </c>
      <c r="J932" t="s">
        <v>20</v>
      </c>
    </row>
    <row r="933" spans="1:10" x14ac:dyDescent="0.2">
      <c r="A933">
        <v>10932</v>
      </c>
      <c r="B933" t="s">
        <v>7</v>
      </c>
      <c r="C933" t="s">
        <v>9</v>
      </c>
      <c r="D933">
        <v>8.59</v>
      </c>
      <c r="E933">
        <v>3</v>
      </c>
      <c r="F933" t="s">
        <v>14</v>
      </c>
      <c r="G933">
        <v>15</v>
      </c>
      <c r="H933">
        <v>9.8784999999999989</v>
      </c>
      <c r="I933">
        <v>14.999999999999991</v>
      </c>
      <c r="J933" t="s">
        <v>20</v>
      </c>
    </row>
    <row r="934" spans="1:10" x14ac:dyDescent="0.2">
      <c r="A934">
        <v>10933</v>
      </c>
      <c r="B934" t="s">
        <v>8</v>
      </c>
      <c r="C934" t="s">
        <v>6</v>
      </c>
      <c r="D934">
        <v>4.91</v>
      </c>
      <c r="E934">
        <v>1</v>
      </c>
      <c r="F934" t="s">
        <v>14</v>
      </c>
      <c r="G934">
        <v>12</v>
      </c>
      <c r="H934">
        <v>5.499200000000001</v>
      </c>
      <c r="I934">
        <v>12.000000000000011</v>
      </c>
      <c r="J934" t="s">
        <v>20</v>
      </c>
    </row>
    <row r="935" spans="1:10" x14ac:dyDescent="0.2">
      <c r="A935">
        <v>10934</v>
      </c>
      <c r="B935" t="s">
        <v>8</v>
      </c>
      <c r="C935" t="s">
        <v>11</v>
      </c>
      <c r="D935">
        <v>1.75</v>
      </c>
      <c r="E935">
        <v>7</v>
      </c>
      <c r="F935" t="s">
        <v>15</v>
      </c>
      <c r="G935">
        <v>25</v>
      </c>
      <c r="H935">
        <v>2.1875</v>
      </c>
      <c r="I935">
        <v>25</v>
      </c>
      <c r="J935" t="s">
        <v>20</v>
      </c>
    </row>
    <row r="936" spans="1:10" x14ac:dyDescent="0.2">
      <c r="A936">
        <v>10935</v>
      </c>
      <c r="B936" t="s">
        <v>7</v>
      </c>
      <c r="C936" t="s">
        <v>6</v>
      </c>
      <c r="D936">
        <v>0.52</v>
      </c>
      <c r="E936">
        <v>5</v>
      </c>
      <c r="F936" t="s">
        <v>15</v>
      </c>
      <c r="G936">
        <v>28</v>
      </c>
      <c r="H936">
        <v>0.66560000000000008</v>
      </c>
      <c r="I936">
        <v>28.000000000000004</v>
      </c>
      <c r="J936" t="s">
        <v>20</v>
      </c>
    </row>
    <row r="937" spans="1:10" x14ac:dyDescent="0.2">
      <c r="A937">
        <v>10936</v>
      </c>
      <c r="B937" t="s">
        <v>8</v>
      </c>
      <c r="C937" t="s">
        <v>9</v>
      </c>
      <c r="D937">
        <v>7.02</v>
      </c>
      <c r="E937">
        <v>10</v>
      </c>
      <c r="F937" t="s">
        <v>16</v>
      </c>
      <c r="G937">
        <v>60</v>
      </c>
      <c r="H937">
        <v>11.231999999999999</v>
      </c>
      <c r="I937">
        <v>60.000000000000007</v>
      </c>
      <c r="J937" t="s">
        <v>20</v>
      </c>
    </row>
    <row r="938" spans="1:10" x14ac:dyDescent="0.2">
      <c r="A938">
        <v>10937</v>
      </c>
      <c r="B938" t="s">
        <v>10</v>
      </c>
      <c r="C938" t="s">
        <v>11</v>
      </c>
      <c r="D938">
        <v>12.63</v>
      </c>
      <c r="E938">
        <v>7</v>
      </c>
      <c r="F938" t="s">
        <v>15</v>
      </c>
      <c r="G938">
        <v>25</v>
      </c>
      <c r="H938">
        <v>15.787500000000001</v>
      </c>
      <c r="I938">
        <v>25</v>
      </c>
      <c r="J938" t="s">
        <v>20</v>
      </c>
    </row>
    <row r="939" spans="1:10" x14ac:dyDescent="0.2">
      <c r="A939">
        <v>10938</v>
      </c>
      <c r="B939" t="s">
        <v>8</v>
      </c>
      <c r="C939" t="s">
        <v>6</v>
      </c>
      <c r="D939">
        <v>8.8000000000000007</v>
      </c>
      <c r="E939">
        <v>1</v>
      </c>
      <c r="F939" t="s">
        <v>14</v>
      </c>
      <c r="G939">
        <v>12</v>
      </c>
      <c r="H939">
        <v>9.8560000000000016</v>
      </c>
      <c r="I939">
        <v>12.000000000000011</v>
      </c>
      <c r="J939" t="s">
        <v>20</v>
      </c>
    </row>
    <row r="940" spans="1:10" x14ac:dyDescent="0.2">
      <c r="A940">
        <v>10939</v>
      </c>
      <c r="B940" t="s">
        <v>10</v>
      </c>
      <c r="C940" t="s">
        <v>11</v>
      </c>
      <c r="D940">
        <v>14.99</v>
      </c>
      <c r="E940">
        <v>8</v>
      </c>
      <c r="F940" t="s">
        <v>16</v>
      </c>
      <c r="G940">
        <v>50</v>
      </c>
      <c r="H940">
        <v>22.484999999999999</v>
      </c>
      <c r="I940">
        <v>50</v>
      </c>
      <c r="J940" t="s">
        <v>20</v>
      </c>
    </row>
    <row r="941" spans="1:10" x14ac:dyDescent="0.2">
      <c r="A941">
        <v>10940</v>
      </c>
      <c r="B941" t="s">
        <v>10</v>
      </c>
      <c r="C941" t="s">
        <v>11</v>
      </c>
      <c r="D941">
        <v>4.66</v>
      </c>
      <c r="E941">
        <v>3</v>
      </c>
      <c r="F941" t="s">
        <v>14</v>
      </c>
      <c r="G941">
        <v>10</v>
      </c>
      <c r="H941">
        <v>5.1260000000000003</v>
      </c>
      <c r="I941">
        <v>10.000000000000009</v>
      </c>
      <c r="J941" t="s">
        <v>20</v>
      </c>
    </row>
    <row r="942" spans="1:10" x14ac:dyDescent="0.2">
      <c r="A942">
        <v>10941</v>
      </c>
      <c r="B942" t="s">
        <v>7</v>
      </c>
      <c r="C942" t="s">
        <v>9</v>
      </c>
      <c r="D942">
        <v>4.57</v>
      </c>
      <c r="E942">
        <v>7</v>
      </c>
      <c r="F942" t="s">
        <v>15</v>
      </c>
      <c r="G942">
        <v>30</v>
      </c>
      <c r="H942">
        <v>5.9410000000000007</v>
      </c>
      <c r="I942">
        <v>30.000000000000004</v>
      </c>
      <c r="J942" t="s">
        <v>20</v>
      </c>
    </row>
    <row r="943" spans="1:10" x14ac:dyDescent="0.2">
      <c r="A943">
        <v>10942</v>
      </c>
      <c r="B943" t="s">
        <v>8</v>
      </c>
      <c r="C943" t="s">
        <v>6</v>
      </c>
      <c r="D943">
        <v>2.82</v>
      </c>
      <c r="E943">
        <v>3</v>
      </c>
      <c r="F943" t="s">
        <v>14</v>
      </c>
      <c r="G943">
        <v>12</v>
      </c>
      <c r="H943">
        <v>3.1584000000000003</v>
      </c>
      <c r="I943">
        <v>12.000000000000011</v>
      </c>
      <c r="J943" t="s">
        <v>20</v>
      </c>
    </row>
    <row r="944" spans="1:10" x14ac:dyDescent="0.2">
      <c r="A944">
        <v>10943</v>
      </c>
      <c r="B944" t="s">
        <v>7</v>
      </c>
      <c r="C944" t="s">
        <v>11</v>
      </c>
      <c r="D944">
        <v>2.88</v>
      </c>
      <c r="E944">
        <v>3</v>
      </c>
      <c r="F944" t="s">
        <v>14</v>
      </c>
      <c r="G944">
        <v>10</v>
      </c>
      <c r="H944">
        <v>3.1680000000000001</v>
      </c>
      <c r="I944">
        <v>10.000000000000009</v>
      </c>
      <c r="J944" t="s">
        <v>20</v>
      </c>
    </row>
    <row r="945" spans="1:10" x14ac:dyDescent="0.2">
      <c r="A945">
        <v>10944</v>
      </c>
      <c r="B945" t="s">
        <v>8</v>
      </c>
      <c r="C945" t="s">
        <v>11</v>
      </c>
      <c r="D945">
        <v>4.6399999999999997</v>
      </c>
      <c r="E945">
        <v>10</v>
      </c>
      <c r="F945" t="s">
        <v>16</v>
      </c>
      <c r="G945">
        <v>50</v>
      </c>
      <c r="H945">
        <v>6.9599999999999991</v>
      </c>
      <c r="I945">
        <v>50</v>
      </c>
      <c r="J945" t="s">
        <v>20</v>
      </c>
    </row>
    <row r="946" spans="1:10" x14ac:dyDescent="0.2">
      <c r="A946">
        <v>10945</v>
      </c>
      <c r="B946" t="s">
        <v>8</v>
      </c>
      <c r="C946" t="s">
        <v>6</v>
      </c>
      <c r="D946">
        <v>12</v>
      </c>
      <c r="E946">
        <v>9</v>
      </c>
      <c r="F946" t="s">
        <v>16</v>
      </c>
      <c r="G946">
        <v>55</v>
      </c>
      <c r="H946">
        <v>18.600000000000001</v>
      </c>
      <c r="I946">
        <v>55.000000000000007</v>
      </c>
      <c r="J946" t="s">
        <v>20</v>
      </c>
    </row>
    <row r="947" spans="1:10" x14ac:dyDescent="0.2">
      <c r="A947">
        <v>10946</v>
      </c>
      <c r="B947" t="s">
        <v>5</v>
      </c>
      <c r="C947" t="s">
        <v>11</v>
      </c>
      <c r="D947">
        <v>13.63</v>
      </c>
      <c r="E947">
        <v>2</v>
      </c>
      <c r="F947" t="s">
        <v>14</v>
      </c>
      <c r="G947">
        <v>10</v>
      </c>
      <c r="H947">
        <v>14.993000000000002</v>
      </c>
      <c r="I947">
        <v>10.000000000000009</v>
      </c>
      <c r="J947" t="s">
        <v>20</v>
      </c>
    </row>
    <row r="948" spans="1:10" x14ac:dyDescent="0.2">
      <c r="A948">
        <v>10947</v>
      </c>
      <c r="B948" t="s">
        <v>8</v>
      </c>
      <c r="C948" t="s">
        <v>11</v>
      </c>
      <c r="D948">
        <v>14.64</v>
      </c>
      <c r="E948">
        <v>4</v>
      </c>
      <c r="F948" t="s">
        <v>15</v>
      </c>
      <c r="G948">
        <v>25</v>
      </c>
      <c r="H948">
        <v>18.3</v>
      </c>
      <c r="I948">
        <v>25</v>
      </c>
      <c r="J948" t="s">
        <v>20</v>
      </c>
    </row>
    <row r="949" spans="1:10" x14ac:dyDescent="0.2">
      <c r="A949">
        <v>10948</v>
      </c>
      <c r="B949" t="s">
        <v>7</v>
      </c>
      <c r="C949" t="s">
        <v>11</v>
      </c>
      <c r="D949">
        <v>3.87</v>
      </c>
      <c r="E949">
        <v>6</v>
      </c>
      <c r="F949" t="s">
        <v>15</v>
      </c>
      <c r="G949">
        <v>25</v>
      </c>
      <c r="H949">
        <v>4.8375000000000004</v>
      </c>
      <c r="I949">
        <v>25</v>
      </c>
      <c r="J949" t="s">
        <v>20</v>
      </c>
    </row>
    <row r="950" spans="1:10" x14ac:dyDescent="0.2">
      <c r="A950">
        <v>10949</v>
      </c>
      <c r="B950" t="s">
        <v>10</v>
      </c>
      <c r="C950" t="s">
        <v>6</v>
      </c>
      <c r="D950">
        <v>13.28</v>
      </c>
      <c r="E950">
        <v>3</v>
      </c>
      <c r="F950" t="s">
        <v>14</v>
      </c>
      <c r="G950">
        <v>12</v>
      </c>
      <c r="H950">
        <v>14.873600000000001</v>
      </c>
      <c r="I950">
        <v>12.000000000000011</v>
      </c>
      <c r="J950" t="s">
        <v>20</v>
      </c>
    </row>
    <row r="951" spans="1:10" x14ac:dyDescent="0.2">
      <c r="A951">
        <v>10950</v>
      </c>
      <c r="B951" t="s">
        <v>8</v>
      </c>
      <c r="C951" t="s">
        <v>6</v>
      </c>
      <c r="D951">
        <v>5.26</v>
      </c>
      <c r="E951">
        <v>10</v>
      </c>
      <c r="F951" t="s">
        <v>16</v>
      </c>
      <c r="G951">
        <v>55</v>
      </c>
      <c r="H951">
        <v>8.1530000000000005</v>
      </c>
      <c r="I951">
        <v>55.000000000000007</v>
      </c>
      <c r="J951" t="s">
        <v>20</v>
      </c>
    </row>
    <row r="952" spans="1:10" x14ac:dyDescent="0.2">
      <c r="A952">
        <v>10951</v>
      </c>
      <c r="B952" t="s">
        <v>5</v>
      </c>
      <c r="C952" t="s">
        <v>6</v>
      </c>
      <c r="D952">
        <v>2.14</v>
      </c>
      <c r="E952">
        <v>10</v>
      </c>
      <c r="F952" t="s">
        <v>16</v>
      </c>
      <c r="G952">
        <v>55</v>
      </c>
      <c r="H952">
        <v>3.3170000000000002</v>
      </c>
      <c r="I952">
        <v>55.000000000000007</v>
      </c>
      <c r="J952" t="s">
        <v>20</v>
      </c>
    </row>
    <row r="953" spans="1:10" x14ac:dyDescent="0.2">
      <c r="A953">
        <v>10952</v>
      </c>
      <c r="B953" t="s">
        <v>7</v>
      </c>
      <c r="C953" t="s">
        <v>6</v>
      </c>
      <c r="D953">
        <v>13.12</v>
      </c>
      <c r="E953">
        <v>7</v>
      </c>
      <c r="F953" t="s">
        <v>15</v>
      </c>
      <c r="G953">
        <v>28</v>
      </c>
      <c r="H953">
        <v>16.793599999999998</v>
      </c>
      <c r="I953">
        <v>27.999999999999979</v>
      </c>
      <c r="J953" t="s">
        <v>20</v>
      </c>
    </row>
    <row r="954" spans="1:10" x14ac:dyDescent="0.2">
      <c r="A954">
        <v>10953</v>
      </c>
      <c r="B954" t="s">
        <v>8</v>
      </c>
      <c r="C954" t="s">
        <v>9</v>
      </c>
      <c r="D954">
        <v>9.7200000000000006</v>
      </c>
      <c r="E954">
        <v>7</v>
      </c>
      <c r="F954" t="s">
        <v>15</v>
      </c>
      <c r="G954">
        <v>30</v>
      </c>
      <c r="H954">
        <v>12.636000000000001</v>
      </c>
      <c r="I954">
        <v>30.000000000000004</v>
      </c>
      <c r="J954" t="s">
        <v>20</v>
      </c>
    </row>
    <row r="955" spans="1:10" x14ac:dyDescent="0.2">
      <c r="A955">
        <v>10954</v>
      </c>
      <c r="B955" t="s">
        <v>7</v>
      </c>
      <c r="C955" t="s">
        <v>11</v>
      </c>
      <c r="D955">
        <v>2.89</v>
      </c>
      <c r="E955">
        <v>5</v>
      </c>
      <c r="F955" t="s">
        <v>15</v>
      </c>
      <c r="G955">
        <v>25</v>
      </c>
      <c r="H955">
        <v>3.6125000000000003</v>
      </c>
      <c r="I955">
        <v>25</v>
      </c>
      <c r="J955" t="s">
        <v>20</v>
      </c>
    </row>
    <row r="956" spans="1:10" x14ac:dyDescent="0.2">
      <c r="A956">
        <v>10955</v>
      </c>
      <c r="B956" t="s">
        <v>5</v>
      </c>
      <c r="C956" t="s">
        <v>6</v>
      </c>
      <c r="D956">
        <v>6.73</v>
      </c>
      <c r="E956">
        <v>3</v>
      </c>
      <c r="F956" t="s">
        <v>14</v>
      </c>
      <c r="G956">
        <v>12</v>
      </c>
      <c r="H956">
        <v>7.5376000000000012</v>
      </c>
      <c r="I956">
        <v>12.000000000000011</v>
      </c>
      <c r="J956" t="s">
        <v>20</v>
      </c>
    </row>
    <row r="957" spans="1:10" x14ac:dyDescent="0.2">
      <c r="A957">
        <v>10956</v>
      </c>
      <c r="B957" t="s">
        <v>5</v>
      </c>
      <c r="C957" t="s">
        <v>11</v>
      </c>
      <c r="D957">
        <v>4.67</v>
      </c>
      <c r="E957">
        <v>2</v>
      </c>
      <c r="F957" t="s">
        <v>14</v>
      </c>
      <c r="G957">
        <v>10</v>
      </c>
      <c r="H957">
        <v>5.1370000000000005</v>
      </c>
      <c r="I957">
        <v>10.000000000000009</v>
      </c>
      <c r="J957" t="s">
        <v>20</v>
      </c>
    </row>
    <row r="958" spans="1:10" x14ac:dyDescent="0.2">
      <c r="A958">
        <v>10957</v>
      </c>
      <c r="B958" t="s">
        <v>7</v>
      </c>
      <c r="C958" t="s">
        <v>11</v>
      </c>
      <c r="D958">
        <v>11.18</v>
      </c>
      <c r="E958">
        <v>4</v>
      </c>
      <c r="F958" t="s">
        <v>15</v>
      </c>
      <c r="G958">
        <v>25</v>
      </c>
      <c r="H958">
        <v>13.975</v>
      </c>
      <c r="I958">
        <v>25</v>
      </c>
      <c r="J958" t="s">
        <v>20</v>
      </c>
    </row>
    <row r="959" spans="1:10" x14ac:dyDescent="0.2">
      <c r="A959">
        <v>10958</v>
      </c>
      <c r="B959" t="s">
        <v>8</v>
      </c>
      <c r="C959" t="s">
        <v>9</v>
      </c>
      <c r="D959">
        <v>7.07</v>
      </c>
      <c r="E959">
        <v>4</v>
      </c>
      <c r="F959" t="s">
        <v>15</v>
      </c>
      <c r="G959">
        <v>30</v>
      </c>
      <c r="H959">
        <v>9.1910000000000007</v>
      </c>
      <c r="I959">
        <v>30.000000000000004</v>
      </c>
      <c r="J959" t="s">
        <v>20</v>
      </c>
    </row>
    <row r="960" spans="1:10" x14ac:dyDescent="0.2">
      <c r="A960">
        <v>10959</v>
      </c>
      <c r="B960" t="s">
        <v>10</v>
      </c>
      <c r="C960" t="s">
        <v>6</v>
      </c>
      <c r="D960">
        <v>14.84</v>
      </c>
      <c r="E960">
        <v>8</v>
      </c>
      <c r="F960" t="s">
        <v>16</v>
      </c>
      <c r="G960">
        <v>55</v>
      </c>
      <c r="H960">
        <v>23.001999999999999</v>
      </c>
      <c r="I960">
        <v>55.000000000000007</v>
      </c>
      <c r="J960" t="s">
        <v>20</v>
      </c>
    </row>
    <row r="961" spans="1:10" x14ac:dyDescent="0.2">
      <c r="A961">
        <v>10960</v>
      </c>
      <c r="B961" t="s">
        <v>5</v>
      </c>
      <c r="C961" t="s">
        <v>6</v>
      </c>
      <c r="D961">
        <v>1.29</v>
      </c>
      <c r="E961">
        <v>8</v>
      </c>
      <c r="F961" t="s">
        <v>16</v>
      </c>
      <c r="G961">
        <v>55</v>
      </c>
      <c r="H961">
        <v>1.9995000000000001</v>
      </c>
      <c r="I961">
        <v>55.000000000000007</v>
      </c>
      <c r="J961" t="s">
        <v>20</v>
      </c>
    </row>
    <row r="962" spans="1:10" x14ac:dyDescent="0.2">
      <c r="A962">
        <v>10961</v>
      </c>
      <c r="B962" t="s">
        <v>8</v>
      </c>
      <c r="C962" t="s">
        <v>11</v>
      </c>
      <c r="D962">
        <v>5.65</v>
      </c>
      <c r="E962">
        <v>5</v>
      </c>
      <c r="F962" t="s">
        <v>15</v>
      </c>
      <c r="G962">
        <v>25</v>
      </c>
      <c r="H962">
        <v>7.0625</v>
      </c>
      <c r="I962">
        <v>25</v>
      </c>
      <c r="J962" t="s">
        <v>20</v>
      </c>
    </row>
    <row r="963" spans="1:10" x14ac:dyDescent="0.2">
      <c r="A963">
        <v>10962</v>
      </c>
      <c r="B963" t="s">
        <v>8</v>
      </c>
      <c r="C963" t="s">
        <v>6</v>
      </c>
      <c r="D963">
        <v>7.49</v>
      </c>
      <c r="E963">
        <v>6</v>
      </c>
      <c r="F963" t="s">
        <v>15</v>
      </c>
      <c r="G963">
        <v>28</v>
      </c>
      <c r="H963">
        <v>9.5872000000000011</v>
      </c>
      <c r="I963">
        <v>28.000000000000004</v>
      </c>
      <c r="J963" t="s">
        <v>20</v>
      </c>
    </row>
    <row r="964" spans="1:10" x14ac:dyDescent="0.2">
      <c r="A964">
        <v>10963</v>
      </c>
      <c r="B964" t="s">
        <v>10</v>
      </c>
      <c r="C964" t="s">
        <v>11</v>
      </c>
      <c r="D964">
        <v>7.8</v>
      </c>
      <c r="E964">
        <v>8</v>
      </c>
      <c r="F964" t="s">
        <v>16</v>
      </c>
      <c r="G964">
        <v>50</v>
      </c>
      <c r="H964">
        <v>11.7</v>
      </c>
      <c r="I964">
        <v>50</v>
      </c>
      <c r="J964" t="s">
        <v>20</v>
      </c>
    </row>
    <row r="965" spans="1:10" x14ac:dyDescent="0.2">
      <c r="A965">
        <v>10964</v>
      </c>
      <c r="B965" t="s">
        <v>5</v>
      </c>
      <c r="C965" t="s">
        <v>11</v>
      </c>
      <c r="D965">
        <v>5.08</v>
      </c>
      <c r="E965">
        <v>1</v>
      </c>
      <c r="F965" t="s">
        <v>14</v>
      </c>
      <c r="G965">
        <v>10</v>
      </c>
      <c r="H965">
        <v>5.588000000000001</v>
      </c>
      <c r="I965">
        <v>10.000000000000009</v>
      </c>
      <c r="J965" t="s">
        <v>20</v>
      </c>
    </row>
    <row r="966" spans="1:10" x14ac:dyDescent="0.2">
      <c r="A966">
        <v>10965</v>
      </c>
      <c r="B966" t="s">
        <v>5</v>
      </c>
      <c r="C966" t="s">
        <v>9</v>
      </c>
      <c r="D966">
        <v>11.07</v>
      </c>
      <c r="E966">
        <v>5</v>
      </c>
      <c r="F966" t="s">
        <v>15</v>
      </c>
      <c r="G966">
        <v>30</v>
      </c>
      <c r="H966">
        <v>14.391</v>
      </c>
      <c r="I966">
        <v>30.000000000000004</v>
      </c>
      <c r="J966" t="s">
        <v>20</v>
      </c>
    </row>
    <row r="967" spans="1:10" x14ac:dyDescent="0.2">
      <c r="A967">
        <v>10966</v>
      </c>
      <c r="B967" t="s">
        <v>8</v>
      </c>
      <c r="C967" t="s">
        <v>9</v>
      </c>
      <c r="D967">
        <v>13.18</v>
      </c>
      <c r="E967">
        <v>4</v>
      </c>
      <c r="F967" t="s">
        <v>15</v>
      </c>
      <c r="G967">
        <v>30</v>
      </c>
      <c r="H967">
        <v>17.134</v>
      </c>
      <c r="I967">
        <v>30.000000000000004</v>
      </c>
      <c r="J967" t="s">
        <v>20</v>
      </c>
    </row>
    <row r="968" spans="1:10" x14ac:dyDescent="0.2">
      <c r="A968">
        <v>10967</v>
      </c>
      <c r="B968" t="s">
        <v>8</v>
      </c>
      <c r="C968" t="s">
        <v>9</v>
      </c>
      <c r="D968">
        <v>14.11</v>
      </c>
      <c r="E968">
        <v>4</v>
      </c>
      <c r="F968" t="s">
        <v>15</v>
      </c>
      <c r="G968">
        <v>30</v>
      </c>
      <c r="H968">
        <v>18.343</v>
      </c>
      <c r="I968">
        <v>30.000000000000004</v>
      </c>
      <c r="J968" t="s">
        <v>20</v>
      </c>
    </row>
    <row r="969" spans="1:10" x14ac:dyDescent="0.2">
      <c r="A969">
        <v>10968</v>
      </c>
      <c r="B969" t="s">
        <v>10</v>
      </c>
      <c r="C969" t="s">
        <v>11</v>
      </c>
      <c r="D969">
        <v>12.17</v>
      </c>
      <c r="E969">
        <v>2</v>
      </c>
      <c r="F969" t="s">
        <v>14</v>
      </c>
      <c r="G969">
        <v>10</v>
      </c>
      <c r="H969">
        <v>13.387</v>
      </c>
      <c r="I969">
        <v>10.000000000000009</v>
      </c>
      <c r="J969" t="s">
        <v>20</v>
      </c>
    </row>
    <row r="970" spans="1:10" x14ac:dyDescent="0.2">
      <c r="A970">
        <v>10969</v>
      </c>
      <c r="B970" t="s">
        <v>10</v>
      </c>
      <c r="C970" t="s">
        <v>6</v>
      </c>
      <c r="D970">
        <v>12.83</v>
      </c>
      <c r="E970">
        <v>10</v>
      </c>
      <c r="F970" t="s">
        <v>16</v>
      </c>
      <c r="G970">
        <v>55</v>
      </c>
      <c r="H970">
        <v>19.886500000000002</v>
      </c>
      <c r="I970">
        <v>55.000000000000007</v>
      </c>
      <c r="J970" t="s">
        <v>20</v>
      </c>
    </row>
    <row r="971" spans="1:10" x14ac:dyDescent="0.2">
      <c r="A971">
        <v>10970</v>
      </c>
      <c r="B971" t="s">
        <v>5</v>
      </c>
      <c r="C971" t="s">
        <v>9</v>
      </c>
      <c r="D971">
        <v>8.48</v>
      </c>
      <c r="E971">
        <v>1</v>
      </c>
      <c r="F971" t="s">
        <v>14</v>
      </c>
      <c r="G971">
        <v>15</v>
      </c>
      <c r="H971">
        <v>9.7519999999999989</v>
      </c>
      <c r="I971">
        <v>14.999999999999991</v>
      </c>
      <c r="J971" t="s">
        <v>20</v>
      </c>
    </row>
    <row r="972" spans="1:10" x14ac:dyDescent="0.2">
      <c r="A972">
        <v>10971</v>
      </c>
      <c r="B972" t="s">
        <v>7</v>
      </c>
      <c r="C972" t="s">
        <v>6</v>
      </c>
      <c r="D972">
        <v>12.48</v>
      </c>
      <c r="E972">
        <v>6</v>
      </c>
      <c r="F972" t="s">
        <v>15</v>
      </c>
      <c r="G972">
        <v>28</v>
      </c>
      <c r="H972">
        <v>15.974400000000001</v>
      </c>
      <c r="I972">
        <v>28.000000000000004</v>
      </c>
      <c r="J972" t="s">
        <v>20</v>
      </c>
    </row>
    <row r="973" spans="1:10" x14ac:dyDescent="0.2">
      <c r="A973">
        <v>10972</v>
      </c>
      <c r="B973" t="s">
        <v>5</v>
      </c>
      <c r="C973" t="s">
        <v>9</v>
      </c>
      <c r="D973">
        <v>4.9000000000000004</v>
      </c>
      <c r="E973">
        <v>7</v>
      </c>
      <c r="F973" t="s">
        <v>15</v>
      </c>
      <c r="G973">
        <v>30</v>
      </c>
      <c r="H973">
        <v>6.370000000000001</v>
      </c>
      <c r="I973">
        <v>30.000000000000004</v>
      </c>
      <c r="J973" t="s">
        <v>20</v>
      </c>
    </row>
    <row r="974" spans="1:10" x14ac:dyDescent="0.2">
      <c r="A974">
        <v>10973</v>
      </c>
      <c r="B974" t="s">
        <v>8</v>
      </c>
      <c r="C974" t="s">
        <v>9</v>
      </c>
      <c r="D974">
        <v>6.28</v>
      </c>
      <c r="E974">
        <v>5</v>
      </c>
      <c r="F974" t="s">
        <v>15</v>
      </c>
      <c r="G974">
        <v>30</v>
      </c>
      <c r="H974">
        <v>8.1640000000000015</v>
      </c>
      <c r="I974">
        <v>30.000000000000028</v>
      </c>
      <c r="J974" t="s">
        <v>20</v>
      </c>
    </row>
    <row r="975" spans="1:10" x14ac:dyDescent="0.2">
      <c r="A975">
        <v>10974</v>
      </c>
      <c r="B975" t="s">
        <v>5</v>
      </c>
      <c r="C975" t="s">
        <v>11</v>
      </c>
      <c r="D975">
        <v>5.0999999999999996</v>
      </c>
      <c r="E975">
        <v>8</v>
      </c>
      <c r="F975" t="s">
        <v>16</v>
      </c>
      <c r="G975">
        <v>50</v>
      </c>
      <c r="H975">
        <v>7.6499999999999995</v>
      </c>
      <c r="I975">
        <v>50</v>
      </c>
      <c r="J975" t="s">
        <v>20</v>
      </c>
    </row>
    <row r="976" spans="1:10" x14ac:dyDescent="0.2">
      <c r="A976">
        <v>10975</v>
      </c>
      <c r="B976" t="s">
        <v>7</v>
      </c>
      <c r="C976" t="s">
        <v>9</v>
      </c>
      <c r="D976">
        <v>7.28</v>
      </c>
      <c r="E976">
        <v>9</v>
      </c>
      <c r="F976" t="s">
        <v>16</v>
      </c>
      <c r="G976">
        <v>60</v>
      </c>
      <c r="H976">
        <v>11.648000000000001</v>
      </c>
      <c r="I976">
        <v>60.000000000000007</v>
      </c>
      <c r="J976" t="s">
        <v>20</v>
      </c>
    </row>
    <row r="977" spans="1:10" x14ac:dyDescent="0.2">
      <c r="A977">
        <v>10976</v>
      </c>
      <c r="B977" t="s">
        <v>10</v>
      </c>
      <c r="C977" t="s">
        <v>9</v>
      </c>
      <c r="D977">
        <v>4.6399999999999997</v>
      </c>
      <c r="E977">
        <v>2</v>
      </c>
      <c r="F977" t="s">
        <v>14</v>
      </c>
      <c r="G977">
        <v>15</v>
      </c>
      <c r="H977">
        <v>5.3359999999999994</v>
      </c>
      <c r="I977">
        <v>14.999999999999991</v>
      </c>
      <c r="J977" t="s">
        <v>20</v>
      </c>
    </row>
    <row r="978" spans="1:10" x14ac:dyDescent="0.2">
      <c r="A978">
        <v>10977</v>
      </c>
      <c r="B978" t="s">
        <v>7</v>
      </c>
      <c r="C978" t="s">
        <v>11</v>
      </c>
      <c r="D978">
        <v>14.44</v>
      </c>
      <c r="E978">
        <v>4</v>
      </c>
      <c r="F978" t="s">
        <v>15</v>
      </c>
      <c r="G978">
        <v>25</v>
      </c>
      <c r="H978">
        <v>18.05</v>
      </c>
      <c r="I978">
        <v>25</v>
      </c>
      <c r="J978" t="s">
        <v>20</v>
      </c>
    </row>
    <row r="979" spans="1:10" x14ac:dyDescent="0.2">
      <c r="A979">
        <v>10978</v>
      </c>
      <c r="B979" t="s">
        <v>7</v>
      </c>
      <c r="C979" t="s">
        <v>6</v>
      </c>
      <c r="D979">
        <v>5.04</v>
      </c>
      <c r="E979">
        <v>9</v>
      </c>
      <c r="F979" t="s">
        <v>16</v>
      </c>
      <c r="G979">
        <v>55</v>
      </c>
      <c r="H979">
        <v>7.8120000000000003</v>
      </c>
      <c r="I979">
        <v>55.000000000000007</v>
      </c>
      <c r="J979" t="s">
        <v>20</v>
      </c>
    </row>
    <row r="980" spans="1:10" x14ac:dyDescent="0.2">
      <c r="A980">
        <v>10979</v>
      </c>
      <c r="B980" t="s">
        <v>7</v>
      </c>
      <c r="C980" t="s">
        <v>9</v>
      </c>
      <c r="D980">
        <v>1.92</v>
      </c>
      <c r="E980">
        <v>5</v>
      </c>
      <c r="F980" t="s">
        <v>15</v>
      </c>
      <c r="G980">
        <v>30</v>
      </c>
      <c r="H980">
        <v>2.496</v>
      </c>
      <c r="I980">
        <v>30.000000000000004</v>
      </c>
      <c r="J980" t="s">
        <v>20</v>
      </c>
    </row>
    <row r="981" spans="1:10" x14ac:dyDescent="0.2">
      <c r="A981">
        <v>10980</v>
      </c>
      <c r="B981" t="s">
        <v>10</v>
      </c>
      <c r="C981" t="s">
        <v>11</v>
      </c>
      <c r="D981">
        <v>8.14</v>
      </c>
      <c r="E981">
        <v>3</v>
      </c>
      <c r="F981" t="s">
        <v>14</v>
      </c>
      <c r="G981">
        <v>10</v>
      </c>
      <c r="H981">
        <v>8.9540000000000006</v>
      </c>
      <c r="I981">
        <v>10.000000000000009</v>
      </c>
      <c r="J981" t="s">
        <v>20</v>
      </c>
    </row>
    <row r="982" spans="1:10" x14ac:dyDescent="0.2">
      <c r="A982">
        <v>10981</v>
      </c>
      <c r="B982" t="s">
        <v>7</v>
      </c>
      <c r="C982" t="s">
        <v>9</v>
      </c>
      <c r="D982">
        <v>1.33</v>
      </c>
      <c r="E982">
        <v>6</v>
      </c>
      <c r="F982" t="s">
        <v>15</v>
      </c>
      <c r="G982">
        <v>30</v>
      </c>
      <c r="H982">
        <v>1.7290000000000001</v>
      </c>
      <c r="I982">
        <v>30.000000000000004</v>
      </c>
      <c r="J982" t="s">
        <v>20</v>
      </c>
    </row>
    <row r="983" spans="1:10" x14ac:dyDescent="0.2">
      <c r="A983">
        <v>10982</v>
      </c>
      <c r="B983" t="s">
        <v>7</v>
      </c>
      <c r="C983" t="s">
        <v>11</v>
      </c>
      <c r="D983">
        <v>2.1</v>
      </c>
      <c r="E983">
        <v>3</v>
      </c>
      <c r="F983" t="s">
        <v>14</v>
      </c>
      <c r="G983">
        <v>10</v>
      </c>
      <c r="H983">
        <v>2.3100000000000005</v>
      </c>
      <c r="I983">
        <v>10.000000000000009</v>
      </c>
      <c r="J983" t="s">
        <v>20</v>
      </c>
    </row>
    <row r="984" spans="1:10" x14ac:dyDescent="0.2">
      <c r="A984">
        <v>10983</v>
      </c>
      <c r="B984" t="s">
        <v>7</v>
      </c>
      <c r="C984" t="s">
        <v>6</v>
      </c>
      <c r="D984">
        <v>3.68</v>
      </c>
      <c r="E984">
        <v>5</v>
      </c>
      <c r="F984" t="s">
        <v>15</v>
      </c>
      <c r="G984">
        <v>28</v>
      </c>
      <c r="H984">
        <v>4.7103999999999999</v>
      </c>
      <c r="I984">
        <v>28.000000000000004</v>
      </c>
      <c r="J984" t="s">
        <v>20</v>
      </c>
    </row>
    <row r="985" spans="1:10" x14ac:dyDescent="0.2">
      <c r="A985">
        <v>10984</v>
      </c>
      <c r="B985" t="s">
        <v>8</v>
      </c>
      <c r="C985" t="s">
        <v>6</v>
      </c>
      <c r="D985">
        <v>7.23</v>
      </c>
      <c r="E985">
        <v>3</v>
      </c>
      <c r="F985" t="s">
        <v>14</v>
      </c>
      <c r="G985">
        <v>12</v>
      </c>
      <c r="H985">
        <v>8.0976000000000017</v>
      </c>
      <c r="I985">
        <v>12.000000000000011</v>
      </c>
      <c r="J985" t="s">
        <v>20</v>
      </c>
    </row>
    <row r="986" spans="1:10" x14ac:dyDescent="0.2">
      <c r="A986">
        <v>10985</v>
      </c>
      <c r="B986" t="s">
        <v>7</v>
      </c>
      <c r="C986" t="s">
        <v>11</v>
      </c>
      <c r="D986">
        <v>6.78</v>
      </c>
      <c r="E986">
        <v>6</v>
      </c>
      <c r="F986" t="s">
        <v>15</v>
      </c>
      <c r="G986">
        <v>25</v>
      </c>
      <c r="H986">
        <v>8.4749999999999996</v>
      </c>
      <c r="I986">
        <v>25</v>
      </c>
      <c r="J986" t="s">
        <v>20</v>
      </c>
    </row>
    <row r="987" spans="1:10" x14ac:dyDescent="0.2">
      <c r="A987">
        <v>10986</v>
      </c>
      <c r="B987" t="s">
        <v>10</v>
      </c>
      <c r="C987" t="s">
        <v>11</v>
      </c>
      <c r="D987">
        <v>12.1</v>
      </c>
      <c r="E987">
        <v>10</v>
      </c>
      <c r="F987" t="s">
        <v>16</v>
      </c>
      <c r="G987">
        <v>50</v>
      </c>
      <c r="H987">
        <v>18.149999999999999</v>
      </c>
      <c r="I987">
        <v>50</v>
      </c>
      <c r="J987" t="s">
        <v>20</v>
      </c>
    </row>
    <row r="988" spans="1:10" x14ac:dyDescent="0.2">
      <c r="A988">
        <v>10987</v>
      </c>
      <c r="B988" t="s">
        <v>7</v>
      </c>
      <c r="C988" t="s">
        <v>11</v>
      </c>
      <c r="D988">
        <v>11.22</v>
      </c>
      <c r="E988">
        <v>5</v>
      </c>
      <c r="F988" t="s">
        <v>15</v>
      </c>
      <c r="G988">
        <v>25</v>
      </c>
      <c r="H988">
        <v>14.025</v>
      </c>
      <c r="I988">
        <v>25</v>
      </c>
      <c r="J988" t="s">
        <v>20</v>
      </c>
    </row>
    <row r="989" spans="1:10" x14ac:dyDescent="0.2">
      <c r="A989">
        <v>10988</v>
      </c>
      <c r="B989" t="s">
        <v>7</v>
      </c>
      <c r="C989" t="s">
        <v>6</v>
      </c>
      <c r="D989">
        <v>6.68</v>
      </c>
      <c r="E989">
        <v>9</v>
      </c>
      <c r="F989" t="s">
        <v>16</v>
      </c>
      <c r="G989">
        <v>55</v>
      </c>
      <c r="H989">
        <v>10.353999999999999</v>
      </c>
      <c r="I989">
        <v>55.000000000000007</v>
      </c>
      <c r="J989" t="s">
        <v>20</v>
      </c>
    </row>
    <row r="990" spans="1:10" x14ac:dyDescent="0.2">
      <c r="A990">
        <v>10989</v>
      </c>
      <c r="B990" t="s">
        <v>10</v>
      </c>
      <c r="C990" t="s">
        <v>9</v>
      </c>
      <c r="D990">
        <v>5.34</v>
      </c>
      <c r="E990">
        <v>3</v>
      </c>
      <c r="F990" t="s">
        <v>14</v>
      </c>
      <c r="G990">
        <v>15</v>
      </c>
      <c r="H990">
        <v>6.1409999999999991</v>
      </c>
      <c r="I990">
        <v>14.999999999999991</v>
      </c>
      <c r="J990" t="s">
        <v>20</v>
      </c>
    </row>
    <row r="991" spans="1:10" x14ac:dyDescent="0.2">
      <c r="A991">
        <v>10990</v>
      </c>
      <c r="B991" t="s">
        <v>7</v>
      </c>
      <c r="C991" t="s">
        <v>6</v>
      </c>
      <c r="D991">
        <v>5.09</v>
      </c>
      <c r="E991">
        <v>6</v>
      </c>
      <c r="F991" t="s">
        <v>15</v>
      </c>
      <c r="G991">
        <v>28</v>
      </c>
      <c r="H991">
        <v>6.5152000000000001</v>
      </c>
      <c r="I991">
        <v>28.000000000000004</v>
      </c>
      <c r="J991" t="s">
        <v>20</v>
      </c>
    </row>
    <row r="992" spans="1:10" x14ac:dyDescent="0.2">
      <c r="A992">
        <v>10991</v>
      </c>
      <c r="B992" t="s">
        <v>10</v>
      </c>
      <c r="C992" t="s">
        <v>11</v>
      </c>
      <c r="D992">
        <v>11.72</v>
      </c>
      <c r="E992">
        <v>8</v>
      </c>
      <c r="F992" t="s">
        <v>16</v>
      </c>
      <c r="G992">
        <v>50</v>
      </c>
      <c r="H992">
        <v>17.580000000000002</v>
      </c>
      <c r="I992">
        <v>50</v>
      </c>
      <c r="J992" t="s">
        <v>20</v>
      </c>
    </row>
    <row r="993" spans="1:10" x14ac:dyDescent="0.2">
      <c r="A993">
        <v>10992</v>
      </c>
      <c r="B993" t="s">
        <v>7</v>
      </c>
      <c r="C993" t="s">
        <v>11</v>
      </c>
      <c r="D993">
        <v>1.26</v>
      </c>
      <c r="E993">
        <v>7</v>
      </c>
      <c r="F993" t="s">
        <v>15</v>
      </c>
      <c r="G993">
        <v>25</v>
      </c>
      <c r="H993">
        <v>1.575</v>
      </c>
      <c r="I993">
        <v>25</v>
      </c>
      <c r="J993" t="s">
        <v>20</v>
      </c>
    </row>
    <row r="994" spans="1:10" x14ac:dyDescent="0.2">
      <c r="A994">
        <v>10993</v>
      </c>
      <c r="B994" t="s">
        <v>10</v>
      </c>
      <c r="C994" t="s">
        <v>6</v>
      </c>
      <c r="D994">
        <v>0.69</v>
      </c>
      <c r="E994">
        <v>6</v>
      </c>
      <c r="F994" t="s">
        <v>15</v>
      </c>
      <c r="G994">
        <v>28</v>
      </c>
      <c r="H994">
        <v>0.88319999999999999</v>
      </c>
      <c r="I994">
        <v>28.000000000000004</v>
      </c>
      <c r="J994" t="s">
        <v>20</v>
      </c>
    </row>
    <row r="995" spans="1:10" x14ac:dyDescent="0.2">
      <c r="A995">
        <v>10994</v>
      </c>
      <c r="B995" t="s">
        <v>7</v>
      </c>
      <c r="C995" t="s">
        <v>11</v>
      </c>
      <c r="D995">
        <v>12.04</v>
      </c>
      <c r="E995">
        <v>2</v>
      </c>
      <c r="F995" t="s">
        <v>14</v>
      </c>
      <c r="G995">
        <v>10</v>
      </c>
      <c r="H995">
        <v>13.244</v>
      </c>
      <c r="I995">
        <v>10.000000000000009</v>
      </c>
      <c r="J995" t="s">
        <v>20</v>
      </c>
    </row>
    <row r="996" spans="1:10" x14ac:dyDescent="0.2">
      <c r="A996">
        <v>10995</v>
      </c>
      <c r="B996" t="s">
        <v>7</v>
      </c>
      <c r="C996" t="s">
        <v>6</v>
      </c>
      <c r="D996">
        <v>7.42</v>
      </c>
      <c r="E996">
        <v>7</v>
      </c>
      <c r="F996" t="s">
        <v>15</v>
      </c>
      <c r="G996">
        <v>28</v>
      </c>
      <c r="H996">
        <v>9.4976000000000003</v>
      </c>
      <c r="I996">
        <v>28.000000000000004</v>
      </c>
      <c r="J996" t="s">
        <v>20</v>
      </c>
    </row>
    <row r="997" spans="1:10" x14ac:dyDescent="0.2">
      <c r="A997">
        <v>10996</v>
      </c>
      <c r="B997" t="s">
        <v>8</v>
      </c>
      <c r="C997" t="s">
        <v>11</v>
      </c>
      <c r="D997">
        <v>2.4</v>
      </c>
      <c r="E997">
        <v>8</v>
      </c>
      <c r="F997" t="s">
        <v>16</v>
      </c>
      <c r="G997">
        <v>50</v>
      </c>
      <c r="H997">
        <v>3.5999999999999996</v>
      </c>
      <c r="I997">
        <v>50</v>
      </c>
      <c r="J997" t="s">
        <v>20</v>
      </c>
    </row>
    <row r="998" spans="1:10" x14ac:dyDescent="0.2">
      <c r="A998">
        <v>10997</v>
      </c>
      <c r="B998" t="s">
        <v>8</v>
      </c>
      <c r="C998" t="s">
        <v>9</v>
      </c>
      <c r="D998">
        <v>3.92</v>
      </c>
      <c r="E998">
        <v>1</v>
      </c>
      <c r="F998" t="s">
        <v>14</v>
      </c>
      <c r="G998">
        <v>15</v>
      </c>
      <c r="H998">
        <v>4.508</v>
      </c>
      <c r="I998">
        <v>15.000000000000014</v>
      </c>
      <c r="J998" t="s">
        <v>20</v>
      </c>
    </row>
    <row r="999" spans="1:10" x14ac:dyDescent="0.2">
      <c r="A999">
        <v>10998</v>
      </c>
      <c r="B999" t="s">
        <v>7</v>
      </c>
      <c r="C999" t="s">
        <v>9</v>
      </c>
      <c r="D999">
        <v>14.02</v>
      </c>
      <c r="E999">
        <v>9</v>
      </c>
      <c r="F999" t="s">
        <v>16</v>
      </c>
      <c r="G999">
        <v>60</v>
      </c>
      <c r="H999">
        <v>22.432000000000002</v>
      </c>
      <c r="I999">
        <v>60.000000000000028</v>
      </c>
      <c r="J999" t="s">
        <v>20</v>
      </c>
    </row>
    <row r="1000" spans="1:10" x14ac:dyDescent="0.2">
      <c r="A1000">
        <v>10999</v>
      </c>
      <c r="B1000" t="s">
        <v>7</v>
      </c>
      <c r="C1000" t="s">
        <v>11</v>
      </c>
      <c r="D1000">
        <v>12.96</v>
      </c>
      <c r="E1000">
        <v>4</v>
      </c>
      <c r="F1000" t="s">
        <v>15</v>
      </c>
      <c r="G1000">
        <v>25</v>
      </c>
      <c r="H1000">
        <v>16.200000000000003</v>
      </c>
      <c r="I1000">
        <v>25.000000000000021</v>
      </c>
      <c r="J1000" t="s">
        <v>20</v>
      </c>
    </row>
    <row r="1001" spans="1:10" x14ac:dyDescent="0.2">
      <c r="A1001">
        <v>11000</v>
      </c>
      <c r="B1001" t="s">
        <v>5</v>
      </c>
      <c r="C1001" t="s">
        <v>6</v>
      </c>
      <c r="D1001">
        <v>10.79</v>
      </c>
      <c r="E1001">
        <v>8</v>
      </c>
      <c r="F1001" t="s">
        <v>16</v>
      </c>
      <c r="G1001">
        <v>55</v>
      </c>
      <c r="H1001">
        <v>16.724499999999999</v>
      </c>
      <c r="I1001">
        <v>55.000000000000007</v>
      </c>
      <c r="J1001" t="s">
        <v>20</v>
      </c>
    </row>
    <row r="1002" spans="1:10" x14ac:dyDescent="0.2">
      <c r="A1002">
        <v>11001</v>
      </c>
      <c r="B1002" t="s">
        <v>10</v>
      </c>
      <c r="C1002" t="s">
        <v>9</v>
      </c>
      <c r="D1002">
        <v>7.49</v>
      </c>
      <c r="E1002">
        <v>10</v>
      </c>
      <c r="F1002" t="s">
        <v>16</v>
      </c>
      <c r="G1002">
        <v>60</v>
      </c>
      <c r="H1002">
        <v>11.984000000000002</v>
      </c>
      <c r="I1002">
        <v>60.000000000000007</v>
      </c>
      <c r="J1002" t="s">
        <v>20</v>
      </c>
    </row>
    <row r="1003" spans="1:10" x14ac:dyDescent="0.2">
      <c r="A1003">
        <v>11002</v>
      </c>
      <c r="B1003" t="s">
        <v>5</v>
      </c>
      <c r="C1003" t="s">
        <v>6</v>
      </c>
      <c r="D1003">
        <v>8.0399999999999991</v>
      </c>
      <c r="E1003">
        <v>7</v>
      </c>
      <c r="F1003" t="s">
        <v>15</v>
      </c>
      <c r="G1003">
        <v>28</v>
      </c>
      <c r="H1003">
        <v>10.2912</v>
      </c>
      <c r="I1003">
        <v>28.000000000000004</v>
      </c>
      <c r="J1003" t="s">
        <v>20</v>
      </c>
    </row>
    <row r="1004" spans="1:10" x14ac:dyDescent="0.2">
      <c r="A1004">
        <v>11003</v>
      </c>
      <c r="B1004" t="s">
        <v>8</v>
      </c>
      <c r="C1004" t="s">
        <v>11</v>
      </c>
      <c r="D1004">
        <v>14.64</v>
      </c>
      <c r="E1004">
        <v>10</v>
      </c>
      <c r="F1004" t="s">
        <v>16</v>
      </c>
      <c r="G1004">
        <v>50</v>
      </c>
      <c r="H1004">
        <v>21.96</v>
      </c>
      <c r="I1004">
        <v>50</v>
      </c>
      <c r="J1004" t="s">
        <v>20</v>
      </c>
    </row>
    <row r="1005" spans="1:10" x14ac:dyDescent="0.2">
      <c r="A1005">
        <v>11004</v>
      </c>
      <c r="B1005" t="s">
        <v>8</v>
      </c>
      <c r="C1005" t="s">
        <v>6</v>
      </c>
      <c r="D1005">
        <v>14.5</v>
      </c>
      <c r="E1005">
        <v>7</v>
      </c>
      <c r="F1005" t="s">
        <v>15</v>
      </c>
      <c r="G1005">
        <v>28</v>
      </c>
      <c r="H1005">
        <v>18.559999999999999</v>
      </c>
      <c r="I1005">
        <v>27.999999999999979</v>
      </c>
      <c r="J1005" t="s">
        <v>20</v>
      </c>
    </row>
    <row r="1006" spans="1:10" x14ac:dyDescent="0.2">
      <c r="A1006">
        <v>11005</v>
      </c>
      <c r="B1006" t="s">
        <v>8</v>
      </c>
      <c r="C1006" t="s">
        <v>9</v>
      </c>
      <c r="D1006">
        <v>3.62</v>
      </c>
      <c r="E1006">
        <v>2</v>
      </c>
      <c r="F1006" t="s">
        <v>14</v>
      </c>
      <c r="G1006">
        <v>15</v>
      </c>
      <c r="H1006">
        <v>4.1629999999999994</v>
      </c>
      <c r="I1006">
        <v>14.999999999999968</v>
      </c>
      <c r="J1006" t="s">
        <v>20</v>
      </c>
    </row>
    <row r="1007" spans="1:10" x14ac:dyDescent="0.2">
      <c r="A1007">
        <v>11006</v>
      </c>
      <c r="B1007" t="s">
        <v>8</v>
      </c>
      <c r="C1007" t="s">
        <v>6</v>
      </c>
      <c r="D1007">
        <v>12.26</v>
      </c>
      <c r="E1007">
        <v>1</v>
      </c>
      <c r="F1007" t="s">
        <v>14</v>
      </c>
      <c r="G1007">
        <v>12</v>
      </c>
      <c r="H1007">
        <v>13.731200000000001</v>
      </c>
      <c r="I1007">
        <v>12.000000000000011</v>
      </c>
      <c r="J1007" t="s">
        <v>20</v>
      </c>
    </row>
    <row r="1008" spans="1:10" x14ac:dyDescent="0.2">
      <c r="A1008">
        <v>11007</v>
      </c>
      <c r="B1008" t="s">
        <v>7</v>
      </c>
      <c r="C1008" t="s">
        <v>6</v>
      </c>
      <c r="D1008">
        <v>3.36</v>
      </c>
      <c r="E1008">
        <v>4</v>
      </c>
      <c r="F1008" t="s">
        <v>15</v>
      </c>
      <c r="G1008">
        <v>28</v>
      </c>
      <c r="H1008">
        <v>4.3007999999999997</v>
      </c>
      <c r="I1008">
        <v>28.000000000000004</v>
      </c>
      <c r="J1008" t="s">
        <v>20</v>
      </c>
    </row>
    <row r="1009" spans="1:10" x14ac:dyDescent="0.2">
      <c r="A1009">
        <v>11008</v>
      </c>
      <c r="B1009" t="s">
        <v>8</v>
      </c>
      <c r="C1009" t="s">
        <v>11</v>
      </c>
      <c r="D1009">
        <v>3.6</v>
      </c>
      <c r="E1009">
        <v>2</v>
      </c>
      <c r="F1009" t="s">
        <v>14</v>
      </c>
      <c r="G1009">
        <v>10</v>
      </c>
      <c r="H1009">
        <v>3.9600000000000004</v>
      </c>
      <c r="I1009">
        <v>10.000000000000009</v>
      </c>
      <c r="J1009" t="s">
        <v>20</v>
      </c>
    </row>
    <row r="1010" spans="1:10" x14ac:dyDescent="0.2">
      <c r="A1010">
        <v>11009</v>
      </c>
      <c r="B1010" t="s">
        <v>7</v>
      </c>
      <c r="C1010" t="s">
        <v>11</v>
      </c>
      <c r="D1010">
        <v>10.3</v>
      </c>
      <c r="E1010">
        <v>8</v>
      </c>
      <c r="F1010" t="s">
        <v>16</v>
      </c>
      <c r="G1010">
        <v>50</v>
      </c>
      <c r="H1010">
        <v>15.450000000000001</v>
      </c>
      <c r="I1010">
        <v>50</v>
      </c>
      <c r="J1010" t="s">
        <v>20</v>
      </c>
    </row>
    <row r="1011" spans="1:10" x14ac:dyDescent="0.2">
      <c r="A1011">
        <v>11010</v>
      </c>
      <c r="B1011" t="s">
        <v>7</v>
      </c>
      <c r="C1011" t="s">
        <v>11</v>
      </c>
      <c r="D1011">
        <v>6.37</v>
      </c>
      <c r="E1011">
        <v>10</v>
      </c>
      <c r="F1011" t="s">
        <v>16</v>
      </c>
      <c r="G1011">
        <v>50</v>
      </c>
      <c r="H1011">
        <v>9.5549999999999997</v>
      </c>
      <c r="I1011">
        <v>50</v>
      </c>
      <c r="J1011" t="s">
        <v>20</v>
      </c>
    </row>
    <row r="1012" spans="1:10" x14ac:dyDescent="0.2">
      <c r="A1012">
        <v>11011</v>
      </c>
      <c r="B1012" t="s">
        <v>8</v>
      </c>
      <c r="C1012" t="s">
        <v>9</v>
      </c>
      <c r="D1012">
        <v>14.01</v>
      </c>
      <c r="E1012">
        <v>7</v>
      </c>
      <c r="F1012" t="s">
        <v>15</v>
      </c>
      <c r="G1012">
        <v>30</v>
      </c>
      <c r="H1012">
        <v>18.213000000000001</v>
      </c>
      <c r="I1012">
        <v>30.000000000000004</v>
      </c>
      <c r="J1012" t="s">
        <v>20</v>
      </c>
    </row>
    <row r="1013" spans="1:10" x14ac:dyDescent="0.2">
      <c r="A1013">
        <v>11012</v>
      </c>
      <c r="B1013" t="s">
        <v>8</v>
      </c>
      <c r="C1013" t="s">
        <v>9</v>
      </c>
      <c r="D1013">
        <v>1.79</v>
      </c>
      <c r="E1013">
        <v>8</v>
      </c>
      <c r="F1013" t="s">
        <v>16</v>
      </c>
      <c r="G1013">
        <v>60</v>
      </c>
      <c r="H1013">
        <v>2.8640000000000003</v>
      </c>
      <c r="I1013">
        <v>60.000000000000007</v>
      </c>
      <c r="J1013" t="s">
        <v>20</v>
      </c>
    </row>
    <row r="1014" spans="1:10" x14ac:dyDescent="0.2">
      <c r="A1014">
        <v>11013</v>
      </c>
      <c r="B1014" t="s">
        <v>10</v>
      </c>
      <c r="C1014" t="s">
        <v>11</v>
      </c>
      <c r="D1014">
        <v>7.92</v>
      </c>
      <c r="E1014">
        <v>6</v>
      </c>
      <c r="F1014" t="s">
        <v>15</v>
      </c>
      <c r="G1014">
        <v>25</v>
      </c>
      <c r="H1014">
        <v>9.9</v>
      </c>
      <c r="I1014">
        <v>25</v>
      </c>
      <c r="J1014" t="s">
        <v>20</v>
      </c>
    </row>
    <row r="1015" spans="1:10" x14ac:dyDescent="0.2">
      <c r="A1015">
        <v>11014</v>
      </c>
      <c r="B1015" t="s">
        <v>5</v>
      </c>
      <c r="C1015" t="s">
        <v>11</v>
      </c>
      <c r="D1015">
        <v>13.82</v>
      </c>
      <c r="E1015">
        <v>1</v>
      </c>
      <c r="F1015" t="s">
        <v>14</v>
      </c>
      <c r="G1015">
        <v>10</v>
      </c>
      <c r="H1015">
        <v>15.202000000000002</v>
      </c>
      <c r="I1015">
        <v>10.000000000000009</v>
      </c>
      <c r="J1015" t="s">
        <v>20</v>
      </c>
    </row>
    <row r="1016" spans="1:10" x14ac:dyDescent="0.2">
      <c r="A1016">
        <v>11015</v>
      </c>
      <c r="B1016" t="s">
        <v>8</v>
      </c>
      <c r="C1016" t="s">
        <v>9</v>
      </c>
      <c r="D1016">
        <v>13.61</v>
      </c>
      <c r="E1016">
        <v>9</v>
      </c>
      <c r="F1016" t="s">
        <v>16</v>
      </c>
      <c r="G1016">
        <v>60</v>
      </c>
      <c r="H1016">
        <v>21.776</v>
      </c>
      <c r="I1016">
        <v>60.000000000000007</v>
      </c>
      <c r="J1016" t="s">
        <v>20</v>
      </c>
    </row>
    <row r="1017" spans="1:10" x14ac:dyDescent="0.2">
      <c r="A1017">
        <v>11016</v>
      </c>
      <c r="B1017" t="s">
        <v>10</v>
      </c>
      <c r="C1017" t="s">
        <v>9</v>
      </c>
      <c r="D1017">
        <v>2.77</v>
      </c>
      <c r="E1017">
        <v>6</v>
      </c>
      <c r="F1017" t="s">
        <v>15</v>
      </c>
      <c r="G1017">
        <v>30</v>
      </c>
      <c r="H1017">
        <v>3.601</v>
      </c>
      <c r="I1017">
        <v>30.000000000000004</v>
      </c>
      <c r="J1017" t="s">
        <v>20</v>
      </c>
    </row>
    <row r="1018" spans="1:10" x14ac:dyDescent="0.2">
      <c r="A1018">
        <v>11017</v>
      </c>
      <c r="B1018" t="s">
        <v>10</v>
      </c>
      <c r="C1018" t="s">
        <v>9</v>
      </c>
      <c r="D1018">
        <v>5.82</v>
      </c>
      <c r="E1018">
        <v>10</v>
      </c>
      <c r="F1018" t="s">
        <v>16</v>
      </c>
      <c r="G1018">
        <v>60</v>
      </c>
      <c r="H1018">
        <v>9.3120000000000012</v>
      </c>
      <c r="I1018">
        <v>60.000000000000007</v>
      </c>
      <c r="J1018" t="s">
        <v>20</v>
      </c>
    </row>
    <row r="1019" spans="1:10" x14ac:dyDescent="0.2">
      <c r="A1019">
        <v>11018</v>
      </c>
      <c r="B1019" t="s">
        <v>5</v>
      </c>
      <c r="C1019" t="s">
        <v>9</v>
      </c>
      <c r="D1019">
        <v>9.48</v>
      </c>
      <c r="E1019">
        <v>1</v>
      </c>
      <c r="F1019" t="s">
        <v>14</v>
      </c>
      <c r="G1019">
        <v>15</v>
      </c>
      <c r="H1019">
        <v>10.901999999999999</v>
      </c>
      <c r="I1019">
        <v>14.999999999999991</v>
      </c>
      <c r="J1019" t="s">
        <v>20</v>
      </c>
    </row>
    <row r="1020" spans="1:10" x14ac:dyDescent="0.2">
      <c r="A1020">
        <v>11019</v>
      </c>
      <c r="B1020" t="s">
        <v>7</v>
      </c>
      <c r="C1020" t="s">
        <v>11</v>
      </c>
      <c r="D1020">
        <v>2.81</v>
      </c>
      <c r="E1020">
        <v>1</v>
      </c>
      <c r="F1020" t="s">
        <v>14</v>
      </c>
      <c r="G1020">
        <v>10</v>
      </c>
      <c r="H1020">
        <v>3.0910000000000002</v>
      </c>
      <c r="I1020">
        <v>10.000000000000009</v>
      </c>
      <c r="J1020" t="s">
        <v>20</v>
      </c>
    </row>
    <row r="1021" spans="1:10" x14ac:dyDescent="0.2">
      <c r="A1021">
        <v>11020</v>
      </c>
      <c r="B1021" t="s">
        <v>8</v>
      </c>
      <c r="C1021" t="s">
        <v>9</v>
      </c>
      <c r="D1021">
        <v>14.54</v>
      </c>
      <c r="E1021">
        <v>8</v>
      </c>
      <c r="F1021" t="s">
        <v>16</v>
      </c>
      <c r="G1021">
        <v>60</v>
      </c>
      <c r="H1021">
        <v>23.263999999999999</v>
      </c>
      <c r="I1021">
        <v>60.000000000000007</v>
      </c>
      <c r="J1021" t="s">
        <v>20</v>
      </c>
    </row>
    <row r="1022" spans="1:10" x14ac:dyDescent="0.2">
      <c r="A1022">
        <v>11021</v>
      </c>
      <c r="B1022" t="s">
        <v>5</v>
      </c>
      <c r="C1022" t="s">
        <v>11</v>
      </c>
      <c r="D1022">
        <v>13.76</v>
      </c>
      <c r="E1022">
        <v>6</v>
      </c>
      <c r="F1022" t="s">
        <v>15</v>
      </c>
      <c r="G1022">
        <v>25</v>
      </c>
      <c r="H1022">
        <v>17.2</v>
      </c>
      <c r="I1022">
        <v>25</v>
      </c>
      <c r="J1022" t="s">
        <v>20</v>
      </c>
    </row>
    <row r="1023" spans="1:10" x14ac:dyDescent="0.2">
      <c r="A1023">
        <v>11022</v>
      </c>
      <c r="B1023" t="s">
        <v>8</v>
      </c>
      <c r="C1023" t="s">
        <v>6</v>
      </c>
      <c r="D1023">
        <v>2.92</v>
      </c>
      <c r="E1023">
        <v>8</v>
      </c>
      <c r="F1023" t="s">
        <v>16</v>
      </c>
      <c r="G1023">
        <v>55</v>
      </c>
      <c r="H1023">
        <v>4.5259999999999998</v>
      </c>
      <c r="I1023">
        <v>55.000000000000007</v>
      </c>
      <c r="J1023" t="s">
        <v>20</v>
      </c>
    </row>
    <row r="1024" spans="1:10" x14ac:dyDescent="0.2">
      <c r="A1024">
        <v>11023</v>
      </c>
      <c r="B1024" t="s">
        <v>10</v>
      </c>
      <c r="C1024" t="s">
        <v>6</v>
      </c>
      <c r="D1024">
        <v>2.2599999999999998</v>
      </c>
      <c r="E1024">
        <v>8</v>
      </c>
      <c r="F1024" t="s">
        <v>16</v>
      </c>
      <c r="G1024">
        <v>55</v>
      </c>
      <c r="H1024">
        <v>3.5029999999999997</v>
      </c>
      <c r="I1024">
        <v>55.000000000000007</v>
      </c>
      <c r="J1024" t="s">
        <v>20</v>
      </c>
    </row>
    <row r="1025" spans="1:10" x14ac:dyDescent="0.2">
      <c r="A1025">
        <v>11024</v>
      </c>
      <c r="B1025" t="s">
        <v>10</v>
      </c>
      <c r="C1025" t="s">
        <v>9</v>
      </c>
      <c r="D1025">
        <v>1.74</v>
      </c>
      <c r="E1025">
        <v>8</v>
      </c>
      <c r="F1025" t="s">
        <v>16</v>
      </c>
      <c r="G1025">
        <v>60</v>
      </c>
      <c r="H1025">
        <v>2.7840000000000003</v>
      </c>
      <c r="I1025">
        <v>60.000000000000007</v>
      </c>
      <c r="J1025" t="s">
        <v>20</v>
      </c>
    </row>
    <row r="1026" spans="1:10" x14ac:dyDescent="0.2">
      <c r="A1026">
        <v>11025</v>
      </c>
      <c r="B1026" t="s">
        <v>7</v>
      </c>
      <c r="C1026" t="s">
        <v>6</v>
      </c>
      <c r="D1026">
        <v>13.69</v>
      </c>
      <c r="E1026">
        <v>10</v>
      </c>
      <c r="F1026" t="s">
        <v>16</v>
      </c>
      <c r="G1026">
        <v>55</v>
      </c>
      <c r="H1026">
        <v>21.2195</v>
      </c>
      <c r="I1026">
        <v>55.000000000000007</v>
      </c>
      <c r="J1026" t="s">
        <v>20</v>
      </c>
    </row>
    <row r="1027" spans="1:10" x14ac:dyDescent="0.2">
      <c r="A1027">
        <v>11026</v>
      </c>
      <c r="B1027" t="s">
        <v>10</v>
      </c>
      <c r="C1027" t="s">
        <v>6</v>
      </c>
      <c r="D1027">
        <v>3.31</v>
      </c>
      <c r="E1027">
        <v>7</v>
      </c>
      <c r="F1027" t="s">
        <v>15</v>
      </c>
      <c r="G1027">
        <v>28</v>
      </c>
      <c r="H1027">
        <v>4.2368000000000006</v>
      </c>
      <c r="I1027">
        <v>28.000000000000025</v>
      </c>
      <c r="J1027" t="s">
        <v>20</v>
      </c>
    </row>
    <row r="1028" spans="1:10" x14ac:dyDescent="0.2">
      <c r="A1028">
        <v>11027</v>
      </c>
      <c r="B1028" t="s">
        <v>10</v>
      </c>
      <c r="C1028" t="s">
        <v>6</v>
      </c>
      <c r="D1028">
        <v>6.54</v>
      </c>
      <c r="E1028">
        <v>7</v>
      </c>
      <c r="F1028" t="s">
        <v>15</v>
      </c>
      <c r="G1028">
        <v>28</v>
      </c>
      <c r="H1028">
        <v>8.3712</v>
      </c>
      <c r="I1028">
        <v>28.000000000000004</v>
      </c>
      <c r="J1028" t="s">
        <v>20</v>
      </c>
    </row>
    <row r="1029" spans="1:10" x14ac:dyDescent="0.2">
      <c r="A1029">
        <v>11028</v>
      </c>
      <c r="B1029" t="s">
        <v>5</v>
      </c>
      <c r="C1029" t="s">
        <v>9</v>
      </c>
      <c r="D1029">
        <v>7.01</v>
      </c>
      <c r="E1029">
        <v>10</v>
      </c>
      <c r="F1029" t="s">
        <v>16</v>
      </c>
      <c r="G1029">
        <v>60</v>
      </c>
      <c r="H1029">
        <v>11.216000000000001</v>
      </c>
      <c r="I1029">
        <v>60.000000000000028</v>
      </c>
      <c r="J1029" t="s">
        <v>20</v>
      </c>
    </row>
    <row r="1030" spans="1:10" x14ac:dyDescent="0.2">
      <c r="A1030">
        <v>11029</v>
      </c>
      <c r="B1030" t="s">
        <v>8</v>
      </c>
      <c r="C1030" t="s">
        <v>9</v>
      </c>
      <c r="D1030">
        <v>9.19</v>
      </c>
      <c r="E1030">
        <v>4</v>
      </c>
      <c r="F1030" t="s">
        <v>15</v>
      </c>
      <c r="G1030">
        <v>30</v>
      </c>
      <c r="H1030">
        <v>11.946999999999999</v>
      </c>
      <c r="I1030">
        <v>30.000000000000004</v>
      </c>
      <c r="J1030" t="s">
        <v>20</v>
      </c>
    </row>
    <row r="1031" spans="1:10" x14ac:dyDescent="0.2">
      <c r="A1031">
        <v>11030</v>
      </c>
      <c r="B1031" t="s">
        <v>8</v>
      </c>
      <c r="C1031" t="s">
        <v>6</v>
      </c>
      <c r="D1031">
        <v>1.54</v>
      </c>
      <c r="E1031">
        <v>9</v>
      </c>
      <c r="F1031" t="s">
        <v>16</v>
      </c>
      <c r="G1031">
        <v>55</v>
      </c>
      <c r="H1031">
        <v>2.387</v>
      </c>
      <c r="I1031">
        <v>55.000000000000007</v>
      </c>
      <c r="J1031" t="s">
        <v>20</v>
      </c>
    </row>
    <row r="1032" spans="1:10" x14ac:dyDescent="0.2">
      <c r="A1032">
        <v>11031</v>
      </c>
      <c r="B1032" t="s">
        <v>5</v>
      </c>
      <c r="C1032" t="s">
        <v>11</v>
      </c>
      <c r="D1032">
        <v>3.79</v>
      </c>
      <c r="E1032">
        <v>2</v>
      </c>
      <c r="F1032" t="s">
        <v>14</v>
      </c>
      <c r="G1032">
        <v>10</v>
      </c>
      <c r="H1032">
        <v>4.1690000000000005</v>
      </c>
      <c r="I1032">
        <v>10.000000000000009</v>
      </c>
      <c r="J1032" t="s">
        <v>20</v>
      </c>
    </row>
    <row r="1033" spans="1:10" x14ac:dyDescent="0.2">
      <c r="A1033">
        <v>11032</v>
      </c>
      <c r="B1033" t="s">
        <v>7</v>
      </c>
      <c r="C1033" t="s">
        <v>6</v>
      </c>
      <c r="D1033">
        <v>14.01</v>
      </c>
      <c r="E1033">
        <v>9</v>
      </c>
      <c r="F1033" t="s">
        <v>16</v>
      </c>
      <c r="G1033">
        <v>55</v>
      </c>
      <c r="H1033">
        <v>21.715499999999999</v>
      </c>
      <c r="I1033">
        <v>54.999999999999986</v>
      </c>
      <c r="J1033" t="s">
        <v>20</v>
      </c>
    </row>
    <row r="1034" spans="1:10" x14ac:dyDescent="0.2">
      <c r="A1034">
        <v>11033</v>
      </c>
      <c r="B1034" t="s">
        <v>8</v>
      </c>
      <c r="C1034" t="s">
        <v>9</v>
      </c>
      <c r="D1034">
        <v>13.67</v>
      </c>
      <c r="E1034">
        <v>10</v>
      </c>
      <c r="F1034" t="s">
        <v>16</v>
      </c>
      <c r="G1034">
        <v>60</v>
      </c>
      <c r="H1034">
        <v>21.872</v>
      </c>
      <c r="I1034">
        <v>60.000000000000007</v>
      </c>
      <c r="J1034" t="s">
        <v>20</v>
      </c>
    </row>
    <row r="1035" spans="1:10" x14ac:dyDescent="0.2">
      <c r="A1035">
        <v>11034</v>
      </c>
      <c r="B1035" t="s">
        <v>10</v>
      </c>
      <c r="C1035" t="s">
        <v>9</v>
      </c>
      <c r="D1035">
        <v>11.83</v>
      </c>
      <c r="E1035">
        <v>3</v>
      </c>
      <c r="F1035" t="s">
        <v>14</v>
      </c>
      <c r="G1035">
        <v>15</v>
      </c>
      <c r="H1035">
        <v>13.6045</v>
      </c>
      <c r="I1035">
        <v>14.999999999999991</v>
      </c>
      <c r="J1035" t="s">
        <v>20</v>
      </c>
    </row>
    <row r="1036" spans="1:10" x14ac:dyDescent="0.2">
      <c r="A1036">
        <v>11035</v>
      </c>
      <c r="B1036" t="s">
        <v>8</v>
      </c>
      <c r="C1036" t="s">
        <v>9</v>
      </c>
      <c r="D1036">
        <v>0.78</v>
      </c>
      <c r="E1036">
        <v>2</v>
      </c>
      <c r="F1036" t="s">
        <v>14</v>
      </c>
      <c r="G1036">
        <v>15</v>
      </c>
      <c r="H1036">
        <v>0.89699999999999991</v>
      </c>
      <c r="I1036">
        <v>14.999999999999991</v>
      </c>
      <c r="J1036" t="s">
        <v>20</v>
      </c>
    </row>
    <row r="1037" spans="1:10" x14ac:dyDescent="0.2">
      <c r="A1037">
        <v>11036</v>
      </c>
      <c r="B1037" t="s">
        <v>10</v>
      </c>
      <c r="C1037" t="s">
        <v>6</v>
      </c>
      <c r="D1037">
        <v>5.24</v>
      </c>
      <c r="E1037">
        <v>4</v>
      </c>
      <c r="F1037" t="s">
        <v>15</v>
      </c>
      <c r="G1037">
        <v>28</v>
      </c>
      <c r="H1037">
        <v>6.7072000000000003</v>
      </c>
      <c r="I1037">
        <v>28.000000000000004</v>
      </c>
      <c r="J1037" t="s">
        <v>20</v>
      </c>
    </row>
    <row r="1038" spans="1:10" x14ac:dyDescent="0.2">
      <c r="A1038">
        <v>11037</v>
      </c>
      <c r="B1038" t="s">
        <v>7</v>
      </c>
      <c r="C1038" t="s">
        <v>11</v>
      </c>
      <c r="D1038">
        <v>9.61</v>
      </c>
      <c r="E1038">
        <v>5</v>
      </c>
      <c r="F1038" t="s">
        <v>15</v>
      </c>
      <c r="G1038">
        <v>25</v>
      </c>
      <c r="H1038">
        <v>12.012499999999999</v>
      </c>
      <c r="I1038">
        <v>25</v>
      </c>
      <c r="J1038" t="s">
        <v>20</v>
      </c>
    </row>
    <row r="1039" spans="1:10" x14ac:dyDescent="0.2">
      <c r="A1039">
        <v>11038</v>
      </c>
      <c r="B1039" t="s">
        <v>5</v>
      </c>
      <c r="C1039" t="s">
        <v>9</v>
      </c>
      <c r="D1039">
        <v>4.49</v>
      </c>
      <c r="E1039">
        <v>2</v>
      </c>
      <c r="F1039" t="s">
        <v>14</v>
      </c>
      <c r="G1039">
        <v>15</v>
      </c>
      <c r="H1039">
        <v>5.1635</v>
      </c>
      <c r="I1039">
        <v>14.999999999999991</v>
      </c>
      <c r="J1039" t="s">
        <v>20</v>
      </c>
    </row>
    <row r="1040" spans="1:10" x14ac:dyDescent="0.2">
      <c r="A1040">
        <v>11039</v>
      </c>
      <c r="B1040" t="s">
        <v>8</v>
      </c>
      <c r="C1040" t="s">
        <v>9</v>
      </c>
      <c r="D1040">
        <v>13.69</v>
      </c>
      <c r="E1040">
        <v>1</v>
      </c>
      <c r="F1040" t="s">
        <v>14</v>
      </c>
      <c r="G1040">
        <v>15</v>
      </c>
      <c r="H1040">
        <v>15.743499999999997</v>
      </c>
      <c r="I1040">
        <v>14.999999999999991</v>
      </c>
      <c r="J1040" t="s">
        <v>20</v>
      </c>
    </row>
    <row r="1041" spans="1:10" x14ac:dyDescent="0.2">
      <c r="A1041">
        <v>11040</v>
      </c>
      <c r="B1041" t="s">
        <v>5</v>
      </c>
      <c r="C1041" t="s">
        <v>6</v>
      </c>
      <c r="D1041">
        <v>9.69</v>
      </c>
      <c r="E1041">
        <v>10</v>
      </c>
      <c r="F1041" t="s">
        <v>16</v>
      </c>
      <c r="G1041">
        <v>55</v>
      </c>
      <c r="H1041">
        <v>15.019499999999999</v>
      </c>
      <c r="I1041">
        <v>55.000000000000007</v>
      </c>
      <c r="J1041" t="s">
        <v>20</v>
      </c>
    </row>
    <row r="1042" spans="1:10" x14ac:dyDescent="0.2">
      <c r="A1042">
        <v>11041</v>
      </c>
      <c r="B1042" t="s">
        <v>8</v>
      </c>
      <c r="C1042" t="s">
        <v>11</v>
      </c>
      <c r="D1042">
        <v>1.54</v>
      </c>
      <c r="E1042">
        <v>5</v>
      </c>
      <c r="F1042" t="s">
        <v>15</v>
      </c>
      <c r="G1042">
        <v>25</v>
      </c>
      <c r="H1042">
        <v>1.925</v>
      </c>
      <c r="I1042">
        <v>25</v>
      </c>
      <c r="J1042" t="s">
        <v>20</v>
      </c>
    </row>
    <row r="1043" spans="1:10" x14ac:dyDescent="0.2">
      <c r="A1043">
        <v>11042</v>
      </c>
      <c r="B1043" t="s">
        <v>10</v>
      </c>
      <c r="C1043" t="s">
        <v>6</v>
      </c>
      <c r="D1043">
        <v>13.68</v>
      </c>
      <c r="E1043">
        <v>9</v>
      </c>
      <c r="F1043" t="s">
        <v>16</v>
      </c>
      <c r="G1043">
        <v>55</v>
      </c>
      <c r="H1043">
        <v>21.204000000000001</v>
      </c>
      <c r="I1043">
        <v>55.000000000000007</v>
      </c>
      <c r="J1043" t="s">
        <v>20</v>
      </c>
    </row>
    <row r="1044" spans="1:10" x14ac:dyDescent="0.2">
      <c r="A1044">
        <v>11043</v>
      </c>
      <c r="B1044" t="s">
        <v>5</v>
      </c>
      <c r="C1044" t="s">
        <v>9</v>
      </c>
      <c r="D1044">
        <v>14.39</v>
      </c>
      <c r="E1044">
        <v>5</v>
      </c>
      <c r="F1044" t="s">
        <v>15</v>
      </c>
      <c r="G1044">
        <v>30</v>
      </c>
      <c r="H1044">
        <v>18.707000000000001</v>
      </c>
      <c r="I1044">
        <v>30.000000000000004</v>
      </c>
      <c r="J1044" t="s">
        <v>20</v>
      </c>
    </row>
    <row r="1045" spans="1:10" x14ac:dyDescent="0.2">
      <c r="A1045">
        <v>11044</v>
      </c>
      <c r="B1045" t="s">
        <v>8</v>
      </c>
      <c r="C1045" t="s">
        <v>11</v>
      </c>
      <c r="D1045">
        <v>1.63</v>
      </c>
      <c r="E1045">
        <v>10</v>
      </c>
      <c r="F1045" t="s">
        <v>16</v>
      </c>
      <c r="G1045">
        <v>50</v>
      </c>
      <c r="H1045">
        <v>2.4449999999999998</v>
      </c>
      <c r="I1045">
        <v>50</v>
      </c>
      <c r="J1045" t="s">
        <v>20</v>
      </c>
    </row>
    <row r="1046" spans="1:10" x14ac:dyDescent="0.2">
      <c r="A1046">
        <v>11045</v>
      </c>
      <c r="B1046" t="s">
        <v>10</v>
      </c>
      <c r="C1046" t="s">
        <v>11</v>
      </c>
      <c r="D1046">
        <v>8.2200000000000006</v>
      </c>
      <c r="E1046">
        <v>9</v>
      </c>
      <c r="F1046" t="s">
        <v>16</v>
      </c>
      <c r="G1046">
        <v>50</v>
      </c>
      <c r="H1046">
        <v>12.330000000000002</v>
      </c>
      <c r="I1046">
        <v>50</v>
      </c>
      <c r="J1046" t="s">
        <v>20</v>
      </c>
    </row>
    <row r="1047" spans="1:10" x14ac:dyDescent="0.2">
      <c r="A1047">
        <v>11046</v>
      </c>
      <c r="B1047" t="s">
        <v>5</v>
      </c>
      <c r="C1047" t="s">
        <v>9</v>
      </c>
      <c r="D1047">
        <v>4.9000000000000004</v>
      </c>
      <c r="E1047">
        <v>10</v>
      </c>
      <c r="F1047" t="s">
        <v>16</v>
      </c>
      <c r="G1047">
        <v>60</v>
      </c>
      <c r="H1047">
        <v>7.8400000000000007</v>
      </c>
      <c r="I1047">
        <v>60.000000000000007</v>
      </c>
      <c r="J1047" t="s">
        <v>20</v>
      </c>
    </row>
    <row r="1048" spans="1:10" x14ac:dyDescent="0.2">
      <c r="A1048">
        <v>11047</v>
      </c>
      <c r="B1048" t="s">
        <v>5</v>
      </c>
      <c r="C1048" t="s">
        <v>11</v>
      </c>
      <c r="D1048">
        <v>6.2</v>
      </c>
      <c r="E1048">
        <v>6</v>
      </c>
      <c r="F1048" t="s">
        <v>15</v>
      </c>
      <c r="G1048">
        <v>25</v>
      </c>
      <c r="H1048">
        <v>7.75</v>
      </c>
      <c r="I1048">
        <v>25</v>
      </c>
      <c r="J1048" t="s">
        <v>20</v>
      </c>
    </row>
    <row r="1049" spans="1:10" x14ac:dyDescent="0.2">
      <c r="A1049">
        <v>11048</v>
      </c>
      <c r="B1049" t="s">
        <v>8</v>
      </c>
      <c r="C1049" t="s">
        <v>11</v>
      </c>
      <c r="D1049">
        <v>3.1</v>
      </c>
      <c r="E1049">
        <v>3</v>
      </c>
      <c r="F1049" t="s">
        <v>14</v>
      </c>
      <c r="G1049">
        <v>10</v>
      </c>
      <c r="H1049">
        <v>3.4100000000000006</v>
      </c>
      <c r="I1049">
        <v>10.000000000000009</v>
      </c>
      <c r="J1049" t="s">
        <v>20</v>
      </c>
    </row>
    <row r="1050" spans="1:10" x14ac:dyDescent="0.2">
      <c r="A1050">
        <v>11049</v>
      </c>
      <c r="B1050" t="s">
        <v>8</v>
      </c>
      <c r="C1050" t="s">
        <v>6</v>
      </c>
      <c r="D1050">
        <v>8.8800000000000008</v>
      </c>
      <c r="E1050">
        <v>4</v>
      </c>
      <c r="F1050" t="s">
        <v>15</v>
      </c>
      <c r="G1050">
        <v>28</v>
      </c>
      <c r="H1050">
        <v>11.366400000000001</v>
      </c>
      <c r="I1050">
        <v>28.000000000000004</v>
      </c>
      <c r="J1050" t="s">
        <v>20</v>
      </c>
    </row>
    <row r="1051" spans="1:10" x14ac:dyDescent="0.2">
      <c r="A1051">
        <v>11050</v>
      </c>
      <c r="B1051" t="s">
        <v>8</v>
      </c>
      <c r="C1051" t="s">
        <v>9</v>
      </c>
      <c r="D1051">
        <v>14.39</v>
      </c>
      <c r="E1051">
        <v>4</v>
      </c>
      <c r="F1051" t="s">
        <v>15</v>
      </c>
      <c r="G1051">
        <v>30</v>
      </c>
      <c r="H1051">
        <v>18.707000000000001</v>
      </c>
      <c r="I1051">
        <v>30.000000000000004</v>
      </c>
      <c r="J1051" t="s">
        <v>20</v>
      </c>
    </row>
    <row r="1052" spans="1:10" x14ac:dyDescent="0.2">
      <c r="A1052">
        <v>11051</v>
      </c>
      <c r="B1052" t="s">
        <v>10</v>
      </c>
      <c r="C1052" t="s">
        <v>9</v>
      </c>
      <c r="D1052">
        <v>7.79</v>
      </c>
      <c r="E1052">
        <v>1</v>
      </c>
      <c r="F1052" t="s">
        <v>14</v>
      </c>
      <c r="G1052">
        <v>15</v>
      </c>
      <c r="H1052">
        <v>8.958499999999999</v>
      </c>
      <c r="I1052">
        <v>14.999999999999991</v>
      </c>
      <c r="J1052" t="s">
        <v>20</v>
      </c>
    </row>
    <row r="1053" spans="1:10" x14ac:dyDescent="0.2">
      <c r="A1053">
        <v>11052</v>
      </c>
      <c r="B1053" t="s">
        <v>8</v>
      </c>
      <c r="C1053" t="s">
        <v>9</v>
      </c>
      <c r="D1053">
        <v>1.7</v>
      </c>
      <c r="E1053">
        <v>3</v>
      </c>
      <c r="F1053" t="s">
        <v>14</v>
      </c>
      <c r="G1053">
        <v>15</v>
      </c>
      <c r="H1053">
        <v>1.9549999999999998</v>
      </c>
      <c r="I1053">
        <v>14.999999999999991</v>
      </c>
      <c r="J1053" t="s">
        <v>20</v>
      </c>
    </row>
    <row r="1054" spans="1:10" x14ac:dyDescent="0.2">
      <c r="A1054">
        <v>11053</v>
      </c>
      <c r="B1054" t="s">
        <v>5</v>
      </c>
      <c r="C1054" t="s">
        <v>9</v>
      </c>
      <c r="D1054">
        <v>9.49</v>
      </c>
      <c r="E1054">
        <v>3</v>
      </c>
      <c r="F1054" t="s">
        <v>14</v>
      </c>
      <c r="G1054">
        <v>15</v>
      </c>
      <c r="H1054">
        <v>10.913499999999999</v>
      </c>
      <c r="I1054">
        <v>14.999999999999991</v>
      </c>
      <c r="J1054" t="s">
        <v>20</v>
      </c>
    </row>
    <row r="1055" spans="1:10" x14ac:dyDescent="0.2">
      <c r="A1055">
        <v>11054</v>
      </c>
      <c r="B1055" t="s">
        <v>5</v>
      </c>
      <c r="C1055" t="s">
        <v>9</v>
      </c>
      <c r="D1055">
        <v>5.43</v>
      </c>
      <c r="E1055">
        <v>1</v>
      </c>
      <c r="F1055" t="s">
        <v>14</v>
      </c>
      <c r="G1055">
        <v>15</v>
      </c>
      <c r="H1055">
        <v>6.2444999999999995</v>
      </c>
      <c r="I1055">
        <v>14.999999999999991</v>
      </c>
      <c r="J1055" t="s">
        <v>20</v>
      </c>
    </row>
    <row r="1056" spans="1:10" x14ac:dyDescent="0.2">
      <c r="A1056">
        <v>11055</v>
      </c>
      <c r="B1056" t="s">
        <v>8</v>
      </c>
      <c r="C1056" t="s">
        <v>11</v>
      </c>
      <c r="D1056">
        <v>12.91</v>
      </c>
      <c r="E1056">
        <v>9</v>
      </c>
      <c r="F1056" t="s">
        <v>16</v>
      </c>
      <c r="G1056">
        <v>50</v>
      </c>
      <c r="H1056">
        <v>19.365000000000002</v>
      </c>
      <c r="I1056">
        <v>50.000000000000021</v>
      </c>
      <c r="J1056" t="s">
        <v>20</v>
      </c>
    </row>
    <row r="1057" spans="1:10" x14ac:dyDescent="0.2">
      <c r="A1057">
        <v>11056</v>
      </c>
      <c r="B1057" t="s">
        <v>8</v>
      </c>
      <c r="C1057" t="s">
        <v>6</v>
      </c>
      <c r="D1057">
        <v>6.8</v>
      </c>
      <c r="E1057">
        <v>1</v>
      </c>
      <c r="F1057" t="s">
        <v>14</v>
      </c>
      <c r="G1057">
        <v>12</v>
      </c>
      <c r="H1057">
        <v>7.6160000000000005</v>
      </c>
      <c r="I1057">
        <v>12.000000000000011</v>
      </c>
      <c r="J1057" t="s">
        <v>20</v>
      </c>
    </row>
    <row r="1058" spans="1:10" x14ac:dyDescent="0.2">
      <c r="A1058">
        <v>11057</v>
      </c>
      <c r="B1058" t="s">
        <v>7</v>
      </c>
      <c r="C1058" t="s">
        <v>9</v>
      </c>
      <c r="D1058">
        <v>3.3</v>
      </c>
      <c r="E1058">
        <v>9</v>
      </c>
      <c r="F1058" t="s">
        <v>16</v>
      </c>
      <c r="G1058">
        <v>60</v>
      </c>
      <c r="H1058">
        <v>5.28</v>
      </c>
      <c r="I1058">
        <v>60.000000000000007</v>
      </c>
      <c r="J1058" t="s">
        <v>20</v>
      </c>
    </row>
    <row r="1059" spans="1:10" x14ac:dyDescent="0.2">
      <c r="A1059">
        <v>11058</v>
      </c>
      <c r="B1059" t="s">
        <v>5</v>
      </c>
      <c r="C1059" t="s">
        <v>6</v>
      </c>
      <c r="D1059">
        <v>3.27</v>
      </c>
      <c r="E1059">
        <v>1</v>
      </c>
      <c r="F1059" t="s">
        <v>14</v>
      </c>
      <c r="G1059">
        <v>12</v>
      </c>
      <c r="H1059">
        <v>3.6624000000000003</v>
      </c>
      <c r="I1059">
        <v>12.000000000000011</v>
      </c>
      <c r="J1059" t="s">
        <v>20</v>
      </c>
    </row>
    <row r="1060" spans="1:10" x14ac:dyDescent="0.2">
      <c r="A1060">
        <v>11059</v>
      </c>
      <c r="B1060" t="s">
        <v>10</v>
      </c>
      <c r="C1060" t="s">
        <v>6</v>
      </c>
      <c r="D1060">
        <v>11.65</v>
      </c>
      <c r="E1060">
        <v>2</v>
      </c>
      <c r="F1060" t="s">
        <v>14</v>
      </c>
      <c r="G1060">
        <v>12</v>
      </c>
      <c r="H1060">
        <v>13.048000000000002</v>
      </c>
      <c r="I1060">
        <v>12.000000000000011</v>
      </c>
      <c r="J1060" t="s">
        <v>20</v>
      </c>
    </row>
    <row r="1061" spans="1:10" x14ac:dyDescent="0.2">
      <c r="A1061">
        <v>11060</v>
      </c>
      <c r="B1061" t="s">
        <v>7</v>
      </c>
      <c r="C1061" t="s">
        <v>11</v>
      </c>
      <c r="D1061">
        <v>4.3499999999999996</v>
      </c>
      <c r="E1061">
        <v>2</v>
      </c>
      <c r="F1061" t="s">
        <v>14</v>
      </c>
      <c r="G1061">
        <v>10</v>
      </c>
      <c r="H1061">
        <v>4.7850000000000001</v>
      </c>
      <c r="I1061">
        <v>10.000000000000009</v>
      </c>
      <c r="J1061" t="s">
        <v>20</v>
      </c>
    </row>
    <row r="1062" spans="1:10" x14ac:dyDescent="0.2">
      <c r="A1062">
        <v>11061</v>
      </c>
      <c r="B1062" t="s">
        <v>8</v>
      </c>
      <c r="C1062" t="s">
        <v>9</v>
      </c>
      <c r="D1062">
        <v>11.62</v>
      </c>
      <c r="E1062">
        <v>6</v>
      </c>
      <c r="F1062" t="s">
        <v>15</v>
      </c>
      <c r="G1062">
        <v>30</v>
      </c>
      <c r="H1062">
        <v>15.106</v>
      </c>
      <c r="I1062">
        <v>30.000000000000004</v>
      </c>
      <c r="J1062" t="s">
        <v>20</v>
      </c>
    </row>
    <row r="1063" spans="1:10" x14ac:dyDescent="0.2">
      <c r="A1063">
        <v>11062</v>
      </c>
      <c r="B1063" t="s">
        <v>8</v>
      </c>
      <c r="C1063" t="s">
        <v>11</v>
      </c>
      <c r="D1063">
        <v>3.49</v>
      </c>
      <c r="E1063">
        <v>7</v>
      </c>
      <c r="F1063" t="s">
        <v>15</v>
      </c>
      <c r="G1063">
        <v>25</v>
      </c>
      <c r="H1063">
        <v>4.3625000000000007</v>
      </c>
      <c r="I1063">
        <v>25.000000000000021</v>
      </c>
      <c r="J1063" t="s">
        <v>20</v>
      </c>
    </row>
    <row r="1064" spans="1:10" x14ac:dyDescent="0.2">
      <c r="A1064">
        <v>11063</v>
      </c>
      <c r="B1064" t="s">
        <v>5</v>
      </c>
      <c r="C1064" t="s">
        <v>9</v>
      </c>
      <c r="D1064">
        <v>5.16</v>
      </c>
      <c r="E1064">
        <v>1</v>
      </c>
      <c r="F1064" t="s">
        <v>14</v>
      </c>
      <c r="G1064">
        <v>15</v>
      </c>
      <c r="H1064">
        <v>5.9339999999999993</v>
      </c>
      <c r="I1064">
        <v>14.999999999999991</v>
      </c>
      <c r="J1064" t="s">
        <v>20</v>
      </c>
    </row>
    <row r="1065" spans="1:10" x14ac:dyDescent="0.2">
      <c r="A1065">
        <v>11064</v>
      </c>
      <c r="B1065" t="s">
        <v>8</v>
      </c>
      <c r="C1065" t="s">
        <v>11</v>
      </c>
      <c r="D1065">
        <v>7.25</v>
      </c>
      <c r="E1065">
        <v>3</v>
      </c>
      <c r="F1065" t="s">
        <v>14</v>
      </c>
      <c r="G1065">
        <v>10</v>
      </c>
      <c r="H1065">
        <v>7.9750000000000005</v>
      </c>
      <c r="I1065">
        <v>10.000000000000009</v>
      </c>
      <c r="J1065" t="s">
        <v>20</v>
      </c>
    </row>
    <row r="1066" spans="1:10" x14ac:dyDescent="0.2">
      <c r="A1066">
        <v>11065</v>
      </c>
      <c r="B1066" t="s">
        <v>10</v>
      </c>
      <c r="C1066" t="s">
        <v>6</v>
      </c>
      <c r="D1066">
        <v>14.18</v>
      </c>
      <c r="E1066">
        <v>2</v>
      </c>
      <c r="F1066" t="s">
        <v>14</v>
      </c>
      <c r="G1066">
        <v>12</v>
      </c>
      <c r="H1066">
        <v>15.881600000000001</v>
      </c>
      <c r="I1066">
        <v>12.000000000000011</v>
      </c>
      <c r="J1066" t="s">
        <v>20</v>
      </c>
    </row>
    <row r="1067" spans="1:10" x14ac:dyDescent="0.2">
      <c r="A1067">
        <v>11066</v>
      </c>
      <c r="B1067" t="s">
        <v>5</v>
      </c>
      <c r="C1067" t="s">
        <v>9</v>
      </c>
      <c r="D1067">
        <v>14.01</v>
      </c>
      <c r="E1067">
        <v>8</v>
      </c>
      <c r="F1067" t="s">
        <v>16</v>
      </c>
      <c r="G1067">
        <v>60</v>
      </c>
      <c r="H1067">
        <v>22.416</v>
      </c>
      <c r="I1067">
        <v>60.000000000000007</v>
      </c>
      <c r="J1067" t="s">
        <v>20</v>
      </c>
    </row>
    <row r="1068" spans="1:10" x14ac:dyDescent="0.2">
      <c r="A1068">
        <v>11067</v>
      </c>
      <c r="B1068" t="s">
        <v>8</v>
      </c>
      <c r="C1068" t="s">
        <v>6</v>
      </c>
      <c r="D1068">
        <v>3.5</v>
      </c>
      <c r="E1068">
        <v>9</v>
      </c>
      <c r="F1068" t="s">
        <v>16</v>
      </c>
      <c r="G1068">
        <v>55</v>
      </c>
      <c r="H1068">
        <v>5.4249999999999998</v>
      </c>
      <c r="I1068">
        <v>55.000000000000007</v>
      </c>
      <c r="J1068" t="s">
        <v>20</v>
      </c>
    </row>
    <row r="1069" spans="1:10" x14ac:dyDescent="0.2">
      <c r="A1069">
        <v>11068</v>
      </c>
      <c r="B1069" t="s">
        <v>5</v>
      </c>
      <c r="C1069" t="s">
        <v>6</v>
      </c>
      <c r="D1069">
        <v>5.69</v>
      </c>
      <c r="E1069">
        <v>2</v>
      </c>
      <c r="F1069" t="s">
        <v>14</v>
      </c>
      <c r="G1069">
        <v>12</v>
      </c>
      <c r="H1069">
        <v>6.3728000000000007</v>
      </c>
      <c r="I1069">
        <v>12.000000000000011</v>
      </c>
      <c r="J1069" t="s">
        <v>20</v>
      </c>
    </row>
    <row r="1070" spans="1:10" x14ac:dyDescent="0.2">
      <c r="A1070">
        <v>11069</v>
      </c>
      <c r="B1070" t="s">
        <v>8</v>
      </c>
      <c r="C1070" t="s">
        <v>11</v>
      </c>
      <c r="D1070">
        <v>2.67</v>
      </c>
      <c r="E1070">
        <v>2</v>
      </c>
      <c r="F1070" t="s">
        <v>14</v>
      </c>
      <c r="G1070">
        <v>10</v>
      </c>
      <c r="H1070">
        <v>2.9370000000000003</v>
      </c>
      <c r="I1070">
        <v>10.000000000000009</v>
      </c>
      <c r="J1070" t="s">
        <v>20</v>
      </c>
    </row>
    <row r="1071" spans="1:10" x14ac:dyDescent="0.2">
      <c r="A1071">
        <v>11070</v>
      </c>
      <c r="B1071" t="s">
        <v>8</v>
      </c>
      <c r="C1071" t="s">
        <v>9</v>
      </c>
      <c r="D1071">
        <v>7.89</v>
      </c>
      <c r="E1071">
        <v>10</v>
      </c>
      <c r="F1071" t="s">
        <v>16</v>
      </c>
      <c r="G1071">
        <v>60</v>
      </c>
      <c r="H1071">
        <v>12.624000000000001</v>
      </c>
      <c r="I1071">
        <v>60.000000000000007</v>
      </c>
      <c r="J1071" t="s">
        <v>20</v>
      </c>
    </row>
    <row r="1072" spans="1:10" x14ac:dyDescent="0.2">
      <c r="A1072">
        <v>11071</v>
      </c>
      <c r="B1072" t="s">
        <v>8</v>
      </c>
      <c r="C1072" t="s">
        <v>6</v>
      </c>
      <c r="D1072">
        <v>7.18</v>
      </c>
      <c r="E1072">
        <v>9</v>
      </c>
      <c r="F1072" t="s">
        <v>16</v>
      </c>
      <c r="G1072">
        <v>55</v>
      </c>
      <c r="H1072">
        <v>11.129</v>
      </c>
      <c r="I1072">
        <v>55.000000000000007</v>
      </c>
      <c r="J1072" t="s">
        <v>20</v>
      </c>
    </row>
    <row r="1073" spans="1:10" x14ac:dyDescent="0.2">
      <c r="A1073">
        <v>11072</v>
      </c>
      <c r="B1073" t="s">
        <v>10</v>
      </c>
      <c r="C1073" t="s">
        <v>11</v>
      </c>
      <c r="D1073">
        <v>13.56</v>
      </c>
      <c r="E1073">
        <v>4</v>
      </c>
      <c r="F1073" t="s">
        <v>15</v>
      </c>
      <c r="G1073">
        <v>25</v>
      </c>
      <c r="H1073">
        <v>16.95</v>
      </c>
      <c r="I1073">
        <v>25</v>
      </c>
      <c r="J1073" t="s">
        <v>20</v>
      </c>
    </row>
    <row r="1074" spans="1:10" x14ac:dyDescent="0.2">
      <c r="A1074">
        <v>11073</v>
      </c>
      <c r="B1074" t="s">
        <v>10</v>
      </c>
      <c r="C1074" t="s">
        <v>9</v>
      </c>
      <c r="D1074">
        <v>13.99</v>
      </c>
      <c r="E1074">
        <v>5</v>
      </c>
      <c r="F1074" t="s">
        <v>15</v>
      </c>
      <c r="G1074">
        <v>30</v>
      </c>
      <c r="H1074">
        <v>18.187000000000001</v>
      </c>
      <c r="I1074">
        <v>30.000000000000004</v>
      </c>
      <c r="J1074" t="s">
        <v>20</v>
      </c>
    </row>
    <row r="1075" spans="1:10" x14ac:dyDescent="0.2">
      <c r="A1075">
        <v>11074</v>
      </c>
      <c r="B1075" t="s">
        <v>5</v>
      </c>
      <c r="C1075" t="s">
        <v>9</v>
      </c>
      <c r="D1075">
        <v>6.06</v>
      </c>
      <c r="E1075">
        <v>9</v>
      </c>
      <c r="F1075" t="s">
        <v>16</v>
      </c>
      <c r="G1075">
        <v>60</v>
      </c>
      <c r="H1075">
        <v>9.6959999999999997</v>
      </c>
      <c r="I1075">
        <v>60.000000000000007</v>
      </c>
      <c r="J1075" t="s">
        <v>20</v>
      </c>
    </row>
    <row r="1076" spans="1:10" x14ac:dyDescent="0.2">
      <c r="A1076">
        <v>11075</v>
      </c>
      <c r="B1076" t="s">
        <v>8</v>
      </c>
      <c r="C1076" t="s">
        <v>6</v>
      </c>
      <c r="D1076">
        <v>7.63</v>
      </c>
      <c r="E1076">
        <v>6</v>
      </c>
      <c r="F1076" t="s">
        <v>15</v>
      </c>
      <c r="G1076">
        <v>28</v>
      </c>
      <c r="H1076">
        <v>9.7664000000000009</v>
      </c>
      <c r="I1076">
        <v>28.000000000000004</v>
      </c>
      <c r="J1076" t="s">
        <v>20</v>
      </c>
    </row>
    <row r="1077" spans="1:10" x14ac:dyDescent="0.2">
      <c r="A1077">
        <v>11076</v>
      </c>
      <c r="B1077" t="s">
        <v>8</v>
      </c>
      <c r="C1077" t="s">
        <v>9</v>
      </c>
      <c r="D1077">
        <v>13.5</v>
      </c>
      <c r="E1077">
        <v>10</v>
      </c>
      <c r="F1077" t="s">
        <v>16</v>
      </c>
      <c r="G1077">
        <v>60</v>
      </c>
      <c r="H1077">
        <v>21.6</v>
      </c>
      <c r="I1077">
        <v>60.000000000000007</v>
      </c>
      <c r="J1077" t="s">
        <v>20</v>
      </c>
    </row>
    <row r="1078" spans="1:10" x14ac:dyDescent="0.2">
      <c r="A1078">
        <v>11077</v>
      </c>
      <c r="B1078" t="s">
        <v>10</v>
      </c>
      <c r="C1078" t="s">
        <v>6</v>
      </c>
      <c r="D1078">
        <v>12.2</v>
      </c>
      <c r="E1078">
        <v>9</v>
      </c>
      <c r="F1078" t="s">
        <v>16</v>
      </c>
      <c r="G1078">
        <v>55</v>
      </c>
      <c r="H1078">
        <v>18.91</v>
      </c>
      <c r="I1078">
        <v>55.000000000000007</v>
      </c>
      <c r="J1078" t="s">
        <v>20</v>
      </c>
    </row>
    <row r="1079" spans="1:10" x14ac:dyDescent="0.2">
      <c r="A1079">
        <v>11078</v>
      </c>
      <c r="B1079" t="s">
        <v>8</v>
      </c>
      <c r="C1079" t="s">
        <v>9</v>
      </c>
      <c r="D1079">
        <v>0.55000000000000004</v>
      </c>
      <c r="E1079">
        <v>9</v>
      </c>
      <c r="F1079" t="s">
        <v>16</v>
      </c>
      <c r="G1079">
        <v>60</v>
      </c>
      <c r="H1079">
        <v>0.88000000000000012</v>
      </c>
      <c r="I1079">
        <v>60.000000000000007</v>
      </c>
      <c r="J1079" t="s">
        <v>20</v>
      </c>
    </row>
    <row r="1080" spans="1:10" x14ac:dyDescent="0.2">
      <c r="A1080">
        <v>11079</v>
      </c>
      <c r="B1080" t="s">
        <v>10</v>
      </c>
      <c r="C1080" t="s">
        <v>11</v>
      </c>
      <c r="D1080">
        <v>5.14</v>
      </c>
      <c r="E1080">
        <v>7</v>
      </c>
      <c r="F1080" t="s">
        <v>15</v>
      </c>
      <c r="G1080">
        <v>25</v>
      </c>
      <c r="H1080">
        <v>6.4249999999999998</v>
      </c>
      <c r="I1080">
        <v>25</v>
      </c>
      <c r="J1080" t="s">
        <v>20</v>
      </c>
    </row>
    <row r="1081" spans="1:10" x14ac:dyDescent="0.2">
      <c r="A1081">
        <v>11080</v>
      </c>
      <c r="B1081" t="s">
        <v>8</v>
      </c>
      <c r="C1081" t="s">
        <v>6</v>
      </c>
      <c r="D1081">
        <v>6.62</v>
      </c>
      <c r="E1081">
        <v>10</v>
      </c>
      <c r="F1081" t="s">
        <v>16</v>
      </c>
      <c r="G1081">
        <v>55</v>
      </c>
      <c r="H1081">
        <v>10.261000000000001</v>
      </c>
      <c r="I1081">
        <v>55.000000000000007</v>
      </c>
      <c r="J1081" t="s">
        <v>20</v>
      </c>
    </row>
    <row r="1082" spans="1:10" x14ac:dyDescent="0.2">
      <c r="A1082">
        <v>11081</v>
      </c>
      <c r="B1082" t="s">
        <v>5</v>
      </c>
      <c r="C1082" t="s">
        <v>6</v>
      </c>
      <c r="D1082">
        <v>3.83</v>
      </c>
      <c r="E1082">
        <v>9</v>
      </c>
      <c r="F1082" t="s">
        <v>16</v>
      </c>
      <c r="G1082">
        <v>55</v>
      </c>
      <c r="H1082">
        <v>5.9365000000000006</v>
      </c>
      <c r="I1082">
        <v>55.000000000000007</v>
      </c>
      <c r="J1082" t="s">
        <v>20</v>
      </c>
    </row>
    <row r="1083" spans="1:10" x14ac:dyDescent="0.2">
      <c r="A1083">
        <v>11082</v>
      </c>
      <c r="B1083" t="s">
        <v>8</v>
      </c>
      <c r="C1083" t="s">
        <v>9</v>
      </c>
      <c r="D1083">
        <v>3.39</v>
      </c>
      <c r="E1083">
        <v>5</v>
      </c>
      <c r="F1083" t="s">
        <v>15</v>
      </c>
      <c r="G1083">
        <v>30</v>
      </c>
      <c r="H1083">
        <v>4.407</v>
      </c>
      <c r="I1083">
        <v>30.000000000000004</v>
      </c>
      <c r="J1083" t="s">
        <v>20</v>
      </c>
    </row>
    <row r="1084" spans="1:10" x14ac:dyDescent="0.2">
      <c r="A1084">
        <v>11083</v>
      </c>
      <c r="B1084" t="s">
        <v>8</v>
      </c>
      <c r="C1084" t="s">
        <v>9</v>
      </c>
      <c r="D1084">
        <v>1.05</v>
      </c>
      <c r="E1084">
        <v>5</v>
      </c>
      <c r="F1084" t="s">
        <v>15</v>
      </c>
      <c r="G1084">
        <v>30</v>
      </c>
      <c r="H1084">
        <v>1.3650000000000002</v>
      </c>
      <c r="I1084">
        <v>30.000000000000004</v>
      </c>
      <c r="J1084" t="s">
        <v>20</v>
      </c>
    </row>
    <row r="1085" spans="1:10" x14ac:dyDescent="0.2">
      <c r="A1085">
        <v>11084</v>
      </c>
      <c r="B1085" t="s">
        <v>7</v>
      </c>
      <c r="C1085" t="s">
        <v>6</v>
      </c>
      <c r="D1085">
        <v>9.83</v>
      </c>
      <c r="E1085">
        <v>8</v>
      </c>
      <c r="F1085" t="s">
        <v>16</v>
      </c>
      <c r="G1085">
        <v>55</v>
      </c>
      <c r="H1085">
        <v>15.236500000000001</v>
      </c>
      <c r="I1085">
        <v>55.000000000000007</v>
      </c>
      <c r="J1085" t="s">
        <v>20</v>
      </c>
    </row>
    <row r="1086" spans="1:10" x14ac:dyDescent="0.2">
      <c r="A1086">
        <v>11085</v>
      </c>
      <c r="B1086" t="s">
        <v>10</v>
      </c>
      <c r="C1086" t="s">
        <v>9</v>
      </c>
      <c r="D1086">
        <v>4.3099999999999996</v>
      </c>
      <c r="E1086">
        <v>10</v>
      </c>
      <c r="F1086" t="s">
        <v>16</v>
      </c>
      <c r="G1086">
        <v>60</v>
      </c>
      <c r="H1086">
        <v>6.8959999999999999</v>
      </c>
      <c r="I1086">
        <v>60.000000000000007</v>
      </c>
      <c r="J1086" t="s">
        <v>20</v>
      </c>
    </row>
    <row r="1087" spans="1:10" x14ac:dyDescent="0.2">
      <c r="A1087">
        <v>11086</v>
      </c>
      <c r="B1087" t="s">
        <v>8</v>
      </c>
      <c r="C1087" t="s">
        <v>11</v>
      </c>
      <c r="D1087">
        <v>1.26</v>
      </c>
      <c r="E1087">
        <v>4</v>
      </c>
      <c r="F1087" t="s">
        <v>15</v>
      </c>
      <c r="G1087">
        <v>25</v>
      </c>
      <c r="H1087">
        <v>1.575</v>
      </c>
      <c r="I1087">
        <v>25</v>
      </c>
      <c r="J1087" t="s">
        <v>20</v>
      </c>
    </row>
    <row r="1088" spans="1:10" x14ac:dyDescent="0.2">
      <c r="A1088">
        <v>11087</v>
      </c>
      <c r="B1088" t="s">
        <v>8</v>
      </c>
      <c r="C1088" t="s">
        <v>9</v>
      </c>
      <c r="D1088">
        <v>3.85</v>
      </c>
      <c r="E1088">
        <v>9</v>
      </c>
      <c r="F1088" t="s">
        <v>16</v>
      </c>
      <c r="G1088">
        <v>60</v>
      </c>
      <c r="H1088">
        <v>6.16</v>
      </c>
      <c r="I1088">
        <v>60.000000000000007</v>
      </c>
      <c r="J1088" t="s">
        <v>20</v>
      </c>
    </row>
    <row r="1089" spans="1:10" x14ac:dyDescent="0.2">
      <c r="A1089">
        <v>11088</v>
      </c>
      <c r="B1089" t="s">
        <v>7</v>
      </c>
      <c r="C1089" t="s">
        <v>11</v>
      </c>
      <c r="D1089">
        <v>12.13</v>
      </c>
      <c r="E1089">
        <v>7</v>
      </c>
      <c r="F1089" t="s">
        <v>15</v>
      </c>
      <c r="G1089">
        <v>25</v>
      </c>
      <c r="H1089">
        <v>15.162500000000001</v>
      </c>
      <c r="I1089">
        <v>25</v>
      </c>
      <c r="J1089" t="s">
        <v>20</v>
      </c>
    </row>
    <row r="1090" spans="1:10" x14ac:dyDescent="0.2">
      <c r="A1090">
        <v>11089</v>
      </c>
      <c r="B1090" t="s">
        <v>7</v>
      </c>
      <c r="C1090" t="s">
        <v>11</v>
      </c>
      <c r="D1090">
        <v>12.85</v>
      </c>
      <c r="E1090">
        <v>7</v>
      </c>
      <c r="F1090" t="s">
        <v>15</v>
      </c>
      <c r="G1090">
        <v>25</v>
      </c>
      <c r="H1090">
        <v>16.0625</v>
      </c>
      <c r="I1090">
        <v>25</v>
      </c>
      <c r="J1090" t="s">
        <v>20</v>
      </c>
    </row>
    <row r="1091" spans="1:10" x14ac:dyDescent="0.2">
      <c r="A1091">
        <v>11090</v>
      </c>
      <c r="B1091" t="s">
        <v>10</v>
      </c>
      <c r="C1091" t="s">
        <v>11</v>
      </c>
      <c r="D1091">
        <v>7.5</v>
      </c>
      <c r="E1091">
        <v>3</v>
      </c>
      <c r="F1091" t="s">
        <v>14</v>
      </c>
      <c r="G1091">
        <v>10</v>
      </c>
      <c r="H1091">
        <v>8.25</v>
      </c>
      <c r="I1091">
        <v>10.000000000000009</v>
      </c>
      <c r="J1091" t="s">
        <v>20</v>
      </c>
    </row>
    <row r="1092" spans="1:10" x14ac:dyDescent="0.2">
      <c r="A1092">
        <v>11091</v>
      </c>
      <c r="B1092" t="s">
        <v>7</v>
      </c>
      <c r="C1092" t="s">
        <v>11</v>
      </c>
      <c r="D1092">
        <v>6.53</v>
      </c>
      <c r="E1092">
        <v>4</v>
      </c>
      <c r="F1092" t="s">
        <v>15</v>
      </c>
      <c r="G1092">
        <v>25</v>
      </c>
      <c r="H1092">
        <v>8.1624999999999996</v>
      </c>
      <c r="I1092">
        <v>25</v>
      </c>
      <c r="J1092" t="s">
        <v>20</v>
      </c>
    </row>
    <row r="1093" spans="1:10" x14ac:dyDescent="0.2">
      <c r="A1093">
        <v>11092</v>
      </c>
      <c r="B1093" t="s">
        <v>5</v>
      </c>
      <c r="C1093" t="s">
        <v>11</v>
      </c>
      <c r="D1093">
        <v>14.68</v>
      </c>
      <c r="E1093">
        <v>7</v>
      </c>
      <c r="F1093" t="s">
        <v>15</v>
      </c>
      <c r="G1093">
        <v>25</v>
      </c>
      <c r="H1093">
        <v>18.350000000000001</v>
      </c>
      <c r="I1093">
        <v>25.000000000000021</v>
      </c>
      <c r="J1093" t="s">
        <v>20</v>
      </c>
    </row>
    <row r="1094" spans="1:10" x14ac:dyDescent="0.2">
      <c r="A1094">
        <v>11093</v>
      </c>
      <c r="B1094" t="s">
        <v>7</v>
      </c>
      <c r="C1094" t="s">
        <v>9</v>
      </c>
      <c r="D1094">
        <v>3.41</v>
      </c>
      <c r="E1094">
        <v>5</v>
      </c>
      <c r="F1094" t="s">
        <v>15</v>
      </c>
      <c r="G1094">
        <v>30</v>
      </c>
      <c r="H1094">
        <v>4.4330000000000007</v>
      </c>
      <c r="I1094">
        <v>30.000000000000028</v>
      </c>
      <c r="J1094" t="s">
        <v>20</v>
      </c>
    </row>
    <row r="1095" spans="1:10" x14ac:dyDescent="0.2">
      <c r="A1095">
        <v>11094</v>
      </c>
      <c r="B1095" t="s">
        <v>5</v>
      </c>
      <c r="C1095" t="s">
        <v>11</v>
      </c>
      <c r="D1095">
        <v>3.62</v>
      </c>
      <c r="E1095">
        <v>3</v>
      </c>
      <c r="F1095" t="s">
        <v>14</v>
      </c>
      <c r="G1095">
        <v>10</v>
      </c>
      <c r="H1095">
        <v>3.9820000000000007</v>
      </c>
      <c r="I1095">
        <v>10.000000000000009</v>
      </c>
      <c r="J1095" t="s">
        <v>20</v>
      </c>
    </row>
    <row r="1096" spans="1:10" x14ac:dyDescent="0.2">
      <c r="A1096">
        <v>11095</v>
      </c>
      <c r="B1096" t="s">
        <v>10</v>
      </c>
      <c r="C1096" t="s">
        <v>9</v>
      </c>
      <c r="D1096">
        <v>4.7300000000000004</v>
      </c>
      <c r="E1096">
        <v>1</v>
      </c>
      <c r="F1096" t="s">
        <v>14</v>
      </c>
      <c r="G1096">
        <v>15</v>
      </c>
      <c r="H1096">
        <v>5.4394999999999998</v>
      </c>
      <c r="I1096">
        <v>14.999999999999991</v>
      </c>
      <c r="J1096" t="s">
        <v>20</v>
      </c>
    </row>
    <row r="1097" spans="1:10" x14ac:dyDescent="0.2">
      <c r="A1097">
        <v>11096</v>
      </c>
      <c r="B1097" t="s">
        <v>10</v>
      </c>
      <c r="C1097" t="s">
        <v>11</v>
      </c>
      <c r="D1097">
        <v>3</v>
      </c>
      <c r="E1097">
        <v>7</v>
      </c>
      <c r="F1097" t="s">
        <v>15</v>
      </c>
      <c r="G1097">
        <v>25</v>
      </c>
      <c r="H1097">
        <v>3.75</v>
      </c>
      <c r="I1097">
        <v>25</v>
      </c>
      <c r="J1097" t="s">
        <v>20</v>
      </c>
    </row>
    <row r="1098" spans="1:10" x14ac:dyDescent="0.2">
      <c r="A1098">
        <v>11097</v>
      </c>
      <c r="B1098" t="s">
        <v>10</v>
      </c>
      <c r="C1098" t="s">
        <v>6</v>
      </c>
      <c r="D1098">
        <v>6</v>
      </c>
      <c r="E1098">
        <v>6</v>
      </c>
      <c r="F1098" t="s">
        <v>15</v>
      </c>
      <c r="G1098">
        <v>28</v>
      </c>
      <c r="H1098">
        <v>7.68</v>
      </c>
      <c r="I1098">
        <v>28.000000000000004</v>
      </c>
      <c r="J1098" t="s">
        <v>20</v>
      </c>
    </row>
    <row r="1099" spans="1:10" x14ac:dyDescent="0.2">
      <c r="A1099">
        <v>11098</v>
      </c>
      <c r="B1099" t="s">
        <v>10</v>
      </c>
      <c r="C1099" t="s">
        <v>11</v>
      </c>
      <c r="D1099">
        <v>13.71</v>
      </c>
      <c r="E1099">
        <v>10</v>
      </c>
      <c r="F1099" t="s">
        <v>16</v>
      </c>
      <c r="G1099">
        <v>50</v>
      </c>
      <c r="H1099">
        <v>20.565000000000001</v>
      </c>
      <c r="I1099">
        <v>50</v>
      </c>
      <c r="J1099" t="s">
        <v>20</v>
      </c>
    </row>
    <row r="1100" spans="1:10" x14ac:dyDescent="0.2">
      <c r="A1100">
        <v>11099</v>
      </c>
      <c r="B1100" t="s">
        <v>10</v>
      </c>
      <c r="C1100" t="s">
        <v>6</v>
      </c>
      <c r="D1100">
        <v>9.42</v>
      </c>
      <c r="E1100">
        <v>7</v>
      </c>
      <c r="F1100" t="s">
        <v>15</v>
      </c>
      <c r="G1100">
        <v>28</v>
      </c>
      <c r="H1100">
        <v>12.057600000000001</v>
      </c>
      <c r="I1100">
        <v>28.000000000000004</v>
      </c>
      <c r="J1100" t="s">
        <v>20</v>
      </c>
    </row>
    <row r="1101" spans="1:10" x14ac:dyDescent="0.2">
      <c r="A1101">
        <v>11100</v>
      </c>
      <c r="B1101" t="s">
        <v>5</v>
      </c>
      <c r="C1101" t="s">
        <v>11</v>
      </c>
      <c r="D1101">
        <v>6.47</v>
      </c>
      <c r="E1101">
        <v>2</v>
      </c>
      <c r="F1101" t="s">
        <v>14</v>
      </c>
      <c r="G1101">
        <v>10</v>
      </c>
      <c r="H1101">
        <v>7.117</v>
      </c>
      <c r="I1101">
        <v>10.000000000000009</v>
      </c>
      <c r="J1101" t="s">
        <v>20</v>
      </c>
    </row>
    <row r="1102" spans="1:10" x14ac:dyDescent="0.2">
      <c r="A1102">
        <v>11101</v>
      </c>
      <c r="B1102" t="s">
        <v>5</v>
      </c>
      <c r="C1102" t="s">
        <v>11</v>
      </c>
      <c r="D1102">
        <v>14.05</v>
      </c>
      <c r="E1102">
        <v>4</v>
      </c>
      <c r="F1102" t="s">
        <v>15</v>
      </c>
      <c r="G1102">
        <v>25</v>
      </c>
      <c r="H1102">
        <v>17.5625</v>
      </c>
      <c r="I1102">
        <v>25</v>
      </c>
      <c r="J1102" t="s">
        <v>20</v>
      </c>
    </row>
    <row r="1103" spans="1:10" x14ac:dyDescent="0.2">
      <c r="A1103">
        <v>11102</v>
      </c>
      <c r="B1103" t="s">
        <v>10</v>
      </c>
      <c r="C1103" t="s">
        <v>11</v>
      </c>
      <c r="D1103">
        <v>1.2</v>
      </c>
      <c r="E1103">
        <v>2</v>
      </c>
      <c r="F1103" t="s">
        <v>14</v>
      </c>
      <c r="G1103">
        <v>10</v>
      </c>
      <c r="H1103">
        <v>1.32</v>
      </c>
      <c r="I1103">
        <v>10.000000000000009</v>
      </c>
      <c r="J1103" t="s">
        <v>20</v>
      </c>
    </row>
    <row r="1104" spans="1:10" x14ac:dyDescent="0.2">
      <c r="A1104">
        <v>11103</v>
      </c>
      <c r="B1104" t="s">
        <v>7</v>
      </c>
      <c r="C1104" t="s">
        <v>6</v>
      </c>
      <c r="D1104">
        <v>3.55</v>
      </c>
      <c r="E1104">
        <v>8</v>
      </c>
      <c r="F1104" t="s">
        <v>16</v>
      </c>
      <c r="G1104">
        <v>55</v>
      </c>
      <c r="H1104">
        <v>5.5024999999999995</v>
      </c>
      <c r="I1104">
        <v>55.000000000000007</v>
      </c>
      <c r="J1104" t="s">
        <v>20</v>
      </c>
    </row>
    <row r="1105" spans="1:10" x14ac:dyDescent="0.2">
      <c r="A1105">
        <v>11104</v>
      </c>
      <c r="B1105" t="s">
        <v>8</v>
      </c>
      <c r="C1105" t="s">
        <v>6</v>
      </c>
      <c r="D1105">
        <v>8.7100000000000009</v>
      </c>
      <c r="E1105">
        <v>7</v>
      </c>
      <c r="F1105" t="s">
        <v>15</v>
      </c>
      <c r="G1105">
        <v>28</v>
      </c>
      <c r="H1105">
        <v>11.148800000000001</v>
      </c>
      <c r="I1105">
        <v>28.000000000000004</v>
      </c>
      <c r="J1105" t="s">
        <v>20</v>
      </c>
    </row>
    <row r="1106" spans="1:10" x14ac:dyDescent="0.2">
      <c r="A1106">
        <v>11105</v>
      </c>
      <c r="B1106" t="s">
        <v>10</v>
      </c>
      <c r="C1106" t="s">
        <v>11</v>
      </c>
      <c r="D1106">
        <v>9.43</v>
      </c>
      <c r="E1106">
        <v>1</v>
      </c>
      <c r="F1106" t="s">
        <v>14</v>
      </c>
      <c r="G1106">
        <v>10</v>
      </c>
      <c r="H1106">
        <v>10.373000000000001</v>
      </c>
      <c r="I1106">
        <v>10.000000000000009</v>
      </c>
      <c r="J1106" t="s">
        <v>20</v>
      </c>
    </row>
    <row r="1107" spans="1:10" x14ac:dyDescent="0.2">
      <c r="A1107">
        <v>11106</v>
      </c>
      <c r="B1107" t="s">
        <v>7</v>
      </c>
      <c r="C1107" t="s">
        <v>9</v>
      </c>
      <c r="D1107">
        <v>1.07</v>
      </c>
      <c r="E1107">
        <v>2</v>
      </c>
      <c r="F1107" t="s">
        <v>14</v>
      </c>
      <c r="G1107">
        <v>15</v>
      </c>
      <c r="H1107">
        <v>1.2304999999999999</v>
      </c>
      <c r="I1107">
        <v>14.999999999999991</v>
      </c>
      <c r="J1107" t="s">
        <v>20</v>
      </c>
    </row>
    <row r="1108" spans="1:10" x14ac:dyDescent="0.2">
      <c r="A1108">
        <v>11107</v>
      </c>
      <c r="B1108" t="s">
        <v>8</v>
      </c>
      <c r="C1108" t="s">
        <v>11</v>
      </c>
      <c r="D1108">
        <v>6.34</v>
      </c>
      <c r="E1108">
        <v>2</v>
      </c>
      <c r="F1108" t="s">
        <v>14</v>
      </c>
      <c r="G1108">
        <v>10</v>
      </c>
      <c r="H1108">
        <v>6.9740000000000002</v>
      </c>
      <c r="I1108">
        <v>10.000000000000009</v>
      </c>
      <c r="J1108" t="s">
        <v>20</v>
      </c>
    </row>
    <row r="1109" spans="1:10" x14ac:dyDescent="0.2">
      <c r="A1109">
        <v>11108</v>
      </c>
      <c r="B1109" t="s">
        <v>10</v>
      </c>
      <c r="C1109" t="s">
        <v>6</v>
      </c>
      <c r="D1109">
        <v>9.91</v>
      </c>
      <c r="E1109">
        <v>4</v>
      </c>
      <c r="F1109" t="s">
        <v>15</v>
      </c>
      <c r="G1109">
        <v>28</v>
      </c>
      <c r="H1109">
        <v>12.684800000000001</v>
      </c>
      <c r="I1109">
        <v>28.000000000000004</v>
      </c>
      <c r="J1109" t="s">
        <v>20</v>
      </c>
    </row>
    <row r="1110" spans="1:10" x14ac:dyDescent="0.2">
      <c r="A1110">
        <v>11109</v>
      </c>
      <c r="B1110" t="s">
        <v>10</v>
      </c>
      <c r="C1110" t="s">
        <v>11</v>
      </c>
      <c r="D1110">
        <v>10.62</v>
      </c>
      <c r="E1110">
        <v>3</v>
      </c>
      <c r="F1110" t="s">
        <v>14</v>
      </c>
      <c r="G1110">
        <v>10</v>
      </c>
      <c r="H1110">
        <v>11.682</v>
      </c>
      <c r="I1110">
        <v>10.000000000000009</v>
      </c>
      <c r="J1110" t="s">
        <v>20</v>
      </c>
    </row>
    <row r="1111" spans="1:10" x14ac:dyDescent="0.2">
      <c r="A1111">
        <v>11110</v>
      </c>
      <c r="B1111" t="s">
        <v>5</v>
      </c>
      <c r="C1111" t="s">
        <v>6</v>
      </c>
      <c r="D1111">
        <v>9.75</v>
      </c>
      <c r="E1111">
        <v>1</v>
      </c>
      <c r="F1111" t="s">
        <v>14</v>
      </c>
      <c r="G1111">
        <v>12</v>
      </c>
      <c r="H1111">
        <v>10.920000000000002</v>
      </c>
      <c r="I1111">
        <v>12.000000000000011</v>
      </c>
      <c r="J1111" t="s">
        <v>20</v>
      </c>
    </row>
    <row r="1112" spans="1:10" x14ac:dyDescent="0.2">
      <c r="A1112">
        <v>11111</v>
      </c>
      <c r="B1112" t="s">
        <v>8</v>
      </c>
      <c r="C1112" t="s">
        <v>6</v>
      </c>
      <c r="D1112">
        <v>5.15</v>
      </c>
      <c r="E1112">
        <v>2</v>
      </c>
      <c r="F1112" t="s">
        <v>14</v>
      </c>
      <c r="G1112">
        <v>12</v>
      </c>
      <c r="H1112">
        <v>5.7680000000000007</v>
      </c>
      <c r="I1112">
        <v>12.000000000000011</v>
      </c>
      <c r="J1112" t="s">
        <v>20</v>
      </c>
    </row>
    <row r="1113" spans="1:10" x14ac:dyDescent="0.2">
      <c r="A1113">
        <v>11112</v>
      </c>
      <c r="B1113" t="s">
        <v>8</v>
      </c>
      <c r="C1113" t="s">
        <v>6</v>
      </c>
      <c r="D1113">
        <v>1.86</v>
      </c>
      <c r="E1113">
        <v>9</v>
      </c>
      <c r="F1113" t="s">
        <v>16</v>
      </c>
      <c r="G1113">
        <v>55</v>
      </c>
      <c r="H1113">
        <v>2.8830000000000005</v>
      </c>
      <c r="I1113">
        <v>55.000000000000028</v>
      </c>
      <c r="J1113" t="s">
        <v>20</v>
      </c>
    </row>
    <row r="1114" spans="1:10" x14ac:dyDescent="0.2">
      <c r="A1114">
        <v>11113</v>
      </c>
      <c r="B1114" t="s">
        <v>7</v>
      </c>
      <c r="C1114" t="s">
        <v>11</v>
      </c>
      <c r="D1114">
        <v>6.69</v>
      </c>
      <c r="E1114">
        <v>1</v>
      </c>
      <c r="F1114" t="s">
        <v>14</v>
      </c>
      <c r="G1114">
        <v>10</v>
      </c>
      <c r="H1114">
        <v>7.3590000000000009</v>
      </c>
      <c r="I1114">
        <v>10.000000000000009</v>
      </c>
      <c r="J1114" t="s">
        <v>20</v>
      </c>
    </row>
    <row r="1115" spans="1:10" x14ac:dyDescent="0.2">
      <c r="A1115">
        <v>11114</v>
      </c>
      <c r="B1115" t="s">
        <v>5</v>
      </c>
      <c r="C1115" t="s">
        <v>6</v>
      </c>
      <c r="D1115">
        <v>2.37</v>
      </c>
      <c r="E1115">
        <v>9</v>
      </c>
      <c r="F1115" t="s">
        <v>16</v>
      </c>
      <c r="G1115">
        <v>55</v>
      </c>
      <c r="H1115">
        <v>3.6735000000000002</v>
      </c>
      <c r="I1115">
        <v>55.000000000000007</v>
      </c>
      <c r="J1115" t="s">
        <v>20</v>
      </c>
    </row>
    <row r="1116" spans="1:10" x14ac:dyDescent="0.2">
      <c r="A1116">
        <v>11115</v>
      </c>
      <c r="B1116" t="s">
        <v>5</v>
      </c>
      <c r="C1116" t="s">
        <v>6</v>
      </c>
      <c r="D1116">
        <v>14.24</v>
      </c>
      <c r="E1116">
        <v>7</v>
      </c>
      <c r="F1116" t="s">
        <v>15</v>
      </c>
      <c r="G1116">
        <v>28</v>
      </c>
      <c r="H1116">
        <v>18.2272</v>
      </c>
      <c r="I1116">
        <v>28.000000000000004</v>
      </c>
      <c r="J1116" t="s">
        <v>20</v>
      </c>
    </row>
    <row r="1117" spans="1:10" x14ac:dyDescent="0.2">
      <c r="A1117">
        <v>11116</v>
      </c>
      <c r="B1117" t="s">
        <v>5</v>
      </c>
      <c r="C1117" t="s">
        <v>11</v>
      </c>
      <c r="D1117">
        <v>7.39</v>
      </c>
      <c r="E1117">
        <v>2</v>
      </c>
      <c r="F1117" t="s">
        <v>14</v>
      </c>
      <c r="G1117">
        <v>10</v>
      </c>
      <c r="H1117">
        <v>8.1289999999999996</v>
      </c>
      <c r="I1117">
        <v>10.000000000000009</v>
      </c>
      <c r="J1117" t="s">
        <v>20</v>
      </c>
    </row>
    <row r="1118" spans="1:10" x14ac:dyDescent="0.2">
      <c r="A1118">
        <v>11117</v>
      </c>
      <c r="B1118" t="s">
        <v>5</v>
      </c>
      <c r="C1118" t="s">
        <v>6</v>
      </c>
      <c r="D1118">
        <v>5.0999999999999996</v>
      </c>
      <c r="E1118">
        <v>2</v>
      </c>
      <c r="F1118" t="s">
        <v>14</v>
      </c>
      <c r="G1118">
        <v>12</v>
      </c>
      <c r="H1118">
        <v>5.7119999999999997</v>
      </c>
      <c r="I1118">
        <v>12.000000000000011</v>
      </c>
      <c r="J1118" t="s">
        <v>20</v>
      </c>
    </row>
    <row r="1119" spans="1:10" x14ac:dyDescent="0.2">
      <c r="A1119">
        <v>11118</v>
      </c>
      <c r="B1119" t="s">
        <v>8</v>
      </c>
      <c r="C1119" t="s">
        <v>11</v>
      </c>
      <c r="D1119">
        <v>11.61</v>
      </c>
      <c r="E1119">
        <v>5</v>
      </c>
      <c r="F1119" t="s">
        <v>15</v>
      </c>
      <c r="G1119">
        <v>25</v>
      </c>
      <c r="H1119">
        <v>14.512499999999999</v>
      </c>
      <c r="I1119">
        <v>25</v>
      </c>
      <c r="J1119" t="s">
        <v>20</v>
      </c>
    </row>
    <row r="1120" spans="1:10" x14ac:dyDescent="0.2">
      <c r="A1120">
        <v>11119</v>
      </c>
      <c r="B1120" t="s">
        <v>8</v>
      </c>
      <c r="C1120" t="s">
        <v>6</v>
      </c>
      <c r="D1120">
        <v>7.72</v>
      </c>
      <c r="E1120">
        <v>5</v>
      </c>
      <c r="F1120" t="s">
        <v>15</v>
      </c>
      <c r="G1120">
        <v>28</v>
      </c>
      <c r="H1120">
        <v>9.8816000000000006</v>
      </c>
      <c r="I1120">
        <v>28.000000000000004</v>
      </c>
      <c r="J1120" t="s">
        <v>20</v>
      </c>
    </row>
    <row r="1121" spans="1:10" x14ac:dyDescent="0.2">
      <c r="A1121">
        <v>11120</v>
      </c>
      <c r="B1121" t="s">
        <v>10</v>
      </c>
      <c r="C1121" t="s">
        <v>9</v>
      </c>
      <c r="D1121">
        <v>5</v>
      </c>
      <c r="E1121">
        <v>4</v>
      </c>
      <c r="F1121" t="s">
        <v>15</v>
      </c>
      <c r="G1121">
        <v>30</v>
      </c>
      <c r="H1121">
        <v>6.5</v>
      </c>
      <c r="I1121">
        <v>30.000000000000004</v>
      </c>
      <c r="J1121" t="s">
        <v>20</v>
      </c>
    </row>
    <row r="1122" spans="1:10" x14ac:dyDescent="0.2">
      <c r="A1122">
        <v>11121</v>
      </c>
      <c r="B1122" t="s">
        <v>10</v>
      </c>
      <c r="C1122" t="s">
        <v>9</v>
      </c>
      <c r="D1122">
        <v>12.27</v>
      </c>
      <c r="E1122">
        <v>10</v>
      </c>
      <c r="F1122" t="s">
        <v>16</v>
      </c>
      <c r="G1122">
        <v>60</v>
      </c>
      <c r="H1122">
        <v>19.632000000000001</v>
      </c>
      <c r="I1122">
        <v>60.000000000000007</v>
      </c>
      <c r="J1122" t="s">
        <v>20</v>
      </c>
    </row>
    <row r="1123" spans="1:10" x14ac:dyDescent="0.2">
      <c r="A1123">
        <v>11122</v>
      </c>
      <c r="B1123" t="s">
        <v>5</v>
      </c>
      <c r="C1123" t="s">
        <v>6</v>
      </c>
      <c r="D1123">
        <v>13.07</v>
      </c>
      <c r="E1123">
        <v>10</v>
      </c>
      <c r="F1123" t="s">
        <v>16</v>
      </c>
      <c r="G1123">
        <v>55</v>
      </c>
      <c r="H1123">
        <v>20.258500000000002</v>
      </c>
      <c r="I1123">
        <v>55.000000000000007</v>
      </c>
      <c r="J1123" t="s">
        <v>20</v>
      </c>
    </row>
    <row r="1124" spans="1:10" x14ac:dyDescent="0.2">
      <c r="A1124">
        <v>11123</v>
      </c>
      <c r="B1124" t="s">
        <v>5</v>
      </c>
      <c r="C1124" t="s">
        <v>9</v>
      </c>
      <c r="D1124">
        <v>10.26</v>
      </c>
      <c r="E1124">
        <v>3</v>
      </c>
      <c r="F1124" t="s">
        <v>14</v>
      </c>
      <c r="G1124">
        <v>15</v>
      </c>
      <c r="H1124">
        <v>11.798999999999999</v>
      </c>
      <c r="I1124">
        <v>14.999999999999991</v>
      </c>
      <c r="J1124" t="s">
        <v>20</v>
      </c>
    </row>
    <row r="1125" spans="1:10" x14ac:dyDescent="0.2">
      <c r="A1125">
        <v>11124</v>
      </c>
      <c r="B1125" t="s">
        <v>5</v>
      </c>
      <c r="C1125" t="s">
        <v>11</v>
      </c>
      <c r="D1125">
        <v>1.18</v>
      </c>
      <c r="E1125">
        <v>4</v>
      </c>
      <c r="F1125" t="s">
        <v>15</v>
      </c>
      <c r="G1125">
        <v>25</v>
      </c>
      <c r="H1125">
        <v>1.4749999999999999</v>
      </c>
      <c r="I1125">
        <v>25</v>
      </c>
      <c r="J1125" t="s">
        <v>20</v>
      </c>
    </row>
    <row r="1126" spans="1:10" x14ac:dyDescent="0.2">
      <c r="A1126">
        <v>11125</v>
      </c>
      <c r="B1126" t="s">
        <v>10</v>
      </c>
      <c r="C1126" t="s">
        <v>9</v>
      </c>
      <c r="D1126">
        <v>8.7100000000000009</v>
      </c>
      <c r="E1126">
        <v>10</v>
      </c>
      <c r="F1126" t="s">
        <v>16</v>
      </c>
      <c r="G1126">
        <v>60</v>
      </c>
      <c r="H1126">
        <v>13.936000000000002</v>
      </c>
      <c r="I1126">
        <v>60.000000000000007</v>
      </c>
      <c r="J1126" t="s">
        <v>20</v>
      </c>
    </row>
    <row r="1127" spans="1:10" x14ac:dyDescent="0.2">
      <c r="A1127">
        <v>11126</v>
      </c>
      <c r="B1127" t="s">
        <v>7</v>
      </c>
      <c r="C1127" t="s">
        <v>6</v>
      </c>
      <c r="D1127">
        <v>11.57</v>
      </c>
      <c r="E1127">
        <v>4</v>
      </c>
      <c r="F1127" t="s">
        <v>15</v>
      </c>
      <c r="G1127">
        <v>28</v>
      </c>
      <c r="H1127">
        <v>14.809600000000001</v>
      </c>
      <c r="I1127">
        <v>28.000000000000004</v>
      </c>
      <c r="J1127" t="s">
        <v>20</v>
      </c>
    </row>
    <row r="1128" spans="1:10" x14ac:dyDescent="0.2">
      <c r="A1128">
        <v>11127</v>
      </c>
      <c r="B1128" t="s">
        <v>7</v>
      </c>
      <c r="C1128" t="s">
        <v>6</v>
      </c>
      <c r="D1128">
        <v>2.48</v>
      </c>
      <c r="E1128">
        <v>2</v>
      </c>
      <c r="F1128" t="s">
        <v>14</v>
      </c>
      <c r="G1128">
        <v>12</v>
      </c>
      <c r="H1128">
        <v>2.7776000000000001</v>
      </c>
      <c r="I1128">
        <v>12.000000000000011</v>
      </c>
      <c r="J1128" t="s">
        <v>20</v>
      </c>
    </row>
    <row r="1129" spans="1:10" x14ac:dyDescent="0.2">
      <c r="A1129">
        <v>11128</v>
      </c>
      <c r="B1129" t="s">
        <v>10</v>
      </c>
      <c r="C1129" t="s">
        <v>11</v>
      </c>
      <c r="D1129">
        <v>3.82</v>
      </c>
      <c r="E1129">
        <v>5</v>
      </c>
      <c r="F1129" t="s">
        <v>15</v>
      </c>
      <c r="G1129">
        <v>25</v>
      </c>
      <c r="H1129">
        <v>4.7749999999999995</v>
      </c>
      <c r="I1129">
        <v>25</v>
      </c>
      <c r="J1129" t="s">
        <v>20</v>
      </c>
    </row>
    <row r="1130" spans="1:10" x14ac:dyDescent="0.2">
      <c r="A1130">
        <v>11129</v>
      </c>
      <c r="B1130" t="s">
        <v>10</v>
      </c>
      <c r="C1130" t="s">
        <v>6</v>
      </c>
      <c r="D1130">
        <v>13.3</v>
      </c>
      <c r="E1130">
        <v>5</v>
      </c>
      <c r="F1130" t="s">
        <v>15</v>
      </c>
      <c r="G1130">
        <v>28</v>
      </c>
      <c r="H1130">
        <v>17.024000000000001</v>
      </c>
      <c r="I1130">
        <v>28.000000000000004</v>
      </c>
      <c r="J1130" t="s">
        <v>20</v>
      </c>
    </row>
    <row r="1131" spans="1:10" x14ac:dyDescent="0.2">
      <c r="A1131">
        <v>11130</v>
      </c>
      <c r="B1131" t="s">
        <v>10</v>
      </c>
      <c r="C1131" t="s">
        <v>11</v>
      </c>
      <c r="D1131">
        <v>0.79</v>
      </c>
      <c r="E1131">
        <v>5</v>
      </c>
      <c r="F1131" t="s">
        <v>15</v>
      </c>
      <c r="G1131">
        <v>25</v>
      </c>
      <c r="H1131">
        <v>0.98750000000000004</v>
      </c>
      <c r="I1131">
        <v>25</v>
      </c>
      <c r="J1131" t="s">
        <v>20</v>
      </c>
    </row>
    <row r="1132" spans="1:10" x14ac:dyDescent="0.2">
      <c r="A1132">
        <v>11131</v>
      </c>
      <c r="B1132" t="s">
        <v>10</v>
      </c>
      <c r="C1132" t="s">
        <v>9</v>
      </c>
      <c r="D1132">
        <v>11.41</v>
      </c>
      <c r="E1132">
        <v>10</v>
      </c>
      <c r="F1132" t="s">
        <v>16</v>
      </c>
      <c r="G1132">
        <v>60</v>
      </c>
      <c r="H1132">
        <v>18.256</v>
      </c>
      <c r="I1132">
        <v>60.000000000000007</v>
      </c>
      <c r="J1132" t="s">
        <v>20</v>
      </c>
    </row>
    <row r="1133" spans="1:10" x14ac:dyDescent="0.2">
      <c r="A1133">
        <v>11132</v>
      </c>
      <c r="B1133" t="s">
        <v>10</v>
      </c>
      <c r="C1133" t="s">
        <v>9</v>
      </c>
      <c r="D1133">
        <v>7.37</v>
      </c>
      <c r="E1133">
        <v>1</v>
      </c>
      <c r="F1133" t="s">
        <v>14</v>
      </c>
      <c r="G1133">
        <v>15</v>
      </c>
      <c r="H1133">
        <v>8.4755000000000003</v>
      </c>
      <c r="I1133">
        <v>14.999999999999991</v>
      </c>
      <c r="J1133" t="s">
        <v>20</v>
      </c>
    </row>
    <row r="1134" spans="1:10" x14ac:dyDescent="0.2">
      <c r="A1134">
        <v>11133</v>
      </c>
      <c r="B1134" t="s">
        <v>10</v>
      </c>
      <c r="C1134" t="s">
        <v>11</v>
      </c>
      <c r="D1134">
        <v>6.98</v>
      </c>
      <c r="E1134">
        <v>6</v>
      </c>
      <c r="F1134" t="s">
        <v>15</v>
      </c>
      <c r="G1134">
        <v>25</v>
      </c>
      <c r="H1134">
        <v>8.7250000000000014</v>
      </c>
      <c r="I1134">
        <v>25.000000000000021</v>
      </c>
      <c r="J1134" t="s">
        <v>20</v>
      </c>
    </row>
    <row r="1135" spans="1:10" x14ac:dyDescent="0.2">
      <c r="A1135">
        <v>11134</v>
      </c>
      <c r="B1135" t="s">
        <v>5</v>
      </c>
      <c r="C1135" t="s">
        <v>11</v>
      </c>
      <c r="D1135">
        <v>0.6</v>
      </c>
      <c r="E1135">
        <v>2</v>
      </c>
      <c r="F1135" t="s">
        <v>14</v>
      </c>
      <c r="G1135">
        <v>10</v>
      </c>
      <c r="H1135">
        <v>0.66</v>
      </c>
      <c r="I1135">
        <v>10.000000000000009</v>
      </c>
      <c r="J1135" t="s">
        <v>20</v>
      </c>
    </row>
    <row r="1136" spans="1:10" x14ac:dyDescent="0.2">
      <c r="A1136">
        <v>11135</v>
      </c>
      <c r="B1136" t="s">
        <v>5</v>
      </c>
      <c r="C1136" t="s">
        <v>6</v>
      </c>
      <c r="D1136">
        <v>12.38</v>
      </c>
      <c r="E1136">
        <v>7</v>
      </c>
      <c r="F1136" t="s">
        <v>15</v>
      </c>
      <c r="G1136">
        <v>28</v>
      </c>
      <c r="H1136">
        <v>15.846400000000001</v>
      </c>
      <c r="I1136">
        <v>28.000000000000004</v>
      </c>
      <c r="J1136" t="s">
        <v>20</v>
      </c>
    </row>
    <row r="1137" spans="1:10" x14ac:dyDescent="0.2">
      <c r="A1137">
        <v>11136</v>
      </c>
      <c r="B1137" t="s">
        <v>5</v>
      </c>
      <c r="C1137" t="s">
        <v>9</v>
      </c>
      <c r="D1137">
        <v>5.72</v>
      </c>
      <c r="E1137">
        <v>4</v>
      </c>
      <c r="F1137" t="s">
        <v>15</v>
      </c>
      <c r="G1137">
        <v>30</v>
      </c>
      <c r="H1137">
        <v>7.4359999999999999</v>
      </c>
      <c r="I1137">
        <v>30.000000000000004</v>
      </c>
      <c r="J1137" t="s">
        <v>20</v>
      </c>
    </row>
    <row r="1138" spans="1:10" x14ac:dyDescent="0.2">
      <c r="A1138">
        <v>11137</v>
      </c>
      <c r="B1138" t="s">
        <v>5</v>
      </c>
      <c r="C1138" t="s">
        <v>11</v>
      </c>
      <c r="D1138">
        <v>8.34</v>
      </c>
      <c r="E1138">
        <v>5</v>
      </c>
      <c r="F1138" t="s">
        <v>15</v>
      </c>
      <c r="G1138">
        <v>25</v>
      </c>
      <c r="H1138">
        <v>10.425000000000001</v>
      </c>
      <c r="I1138">
        <v>25</v>
      </c>
      <c r="J1138" t="s">
        <v>20</v>
      </c>
    </row>
    <row r="1139" spans="1:10" x14ac:dyDescent="0.2">
      <c r="A1139">
        <v>11138</v>
      </c>
      <c r="B1139" t="s">
        <v>10</v>
      </c>
      <c r="C1139" t="s">
        <v>9</v>
      </c>
      <c r="D1139">
        <v>10.32</v>
      </c>
      <c r="E1139">
        <v>5</v>
      </c>
      <c r="F1139" t="s">
        <v>15</v>
      </c>
      <c r="G1139">
        <v>30</v>
      </c>
      <c r="H1139">
        <v>13.416</v>
      </c>
      <c r="I1139">
        <v>30.000000000000004</v>
      </c>
      <c r="J1139" t="s">
        <v>20</v>
      </c>
    </row>
    <row r="1140" spans="1:10" x14ac:dyDescent="0.2">
      <c r="A1140">
        <v>11139</v>
      </c>
      <c r="B1140" t="s">
        <v>7</v>
      </c>
      <c r="C1140" t="s">
        <v>11</v>
      </c>
      <c r="D1140">
        <v>10.69</v>
      </c>
      <c r="E1140">
        <v>5</v>
      </c>
      <c r="F1140" t="s">
        <v>15</v>
      </c>
      <c r="G1140">
        <v>25</v>
      </c>
      <c r="H1140">
        <v>13.362499999999999</v>
      </c>
      <c r="I1140">
        <v>25</v>
      </c>
      <c r="J1140" t="s">
        <v>20</v>
      </c>
    </row>
    <row r="1141" spans="1:10" x14ac:dyDescent="0.2">
      <c r="A1141">
        <v>11140</v>
      </c>
      <c r="B1141" t="s">
        <v>8</v>
      </c>
      <c r="C1141" t="s">
        <v>9</v>
      </c>
      <c r="D1141">
        <v>14.36</v>
      </c>
      <c r="E1141">
        <v>2</v>
      </c>
      <c r="F1141" t="s">
        <v>14</v>
      </c>
      <c r="G1141">
        <v>15</v>
      </c>
      <c r="H1141">
        <v>16.513999999999999</v>
      </c>
      <c r="I1141">
        <v>14.999999999999991</v>
      </c>
      <c r="J1141" t="s">
        <v>20</v>
      </c>
    </row>
    <row r="1142" spans="1:10" x14ac:dyDescent="0.2">
      <c r="A1142">
        <v>11141</v>
      </c>
      <c r="B1142" t="s">
        <v>10</v>
      </c>
      <c r="C1142" t="s">
        <v>6</v>
      </c>
      <c r="D1142">
        <v>8.1999999999999993</v>
      </c>
      <c r="E1142">
        <v>5</v>
      </c>
      <c r="F1142" t="s">
        <v>15</v>
      </c>
      <c r="G1142">
        <v>28</v>
      </c>
      <c r="H1142">
        <v>10.495999999999999</v>
      </c>
      <c r="I1142">
        <v>28.000000000000004</v>
      </c>
      <c r="J1142" t="s">
        <v>20</v>
      </c>
    </row>
    <row r="1143" spans="1:10" x14ac:dyDescent="0.2">
      <c r="A1143">
        <v>11142</v>
      </c>
      <c r="B1143" t="s">
        <v>8</v>
      </c>
      <c r="C1143" t="s">
        <v>9</v>
      </c>
      <c r="D1143">
        <v>6.3</v>
      </c>
      <c r="E1143">
        <v>3</v>
      </c>
      <c r="F1143" t="s">
        <v>14</v>
      </c>
      <c r="G1143">
        <v>15</v>
      </c>
      <c r="H1143">
        <v>7.2449999999999992</v>
      </c>
      <c r="I1143">
        <v>14.999999999999991</v>
      </c>
      <c r="J1143" t="s">
        <v>20</v>
      </c>
    </row>
    <row r="1144" spans="1:10" x14ac:dyDescent="0.2">
      <c r="A1144">
        <v>11143</v>
      </c>
      <c r="B1144" t="s">
        <v>7</v>
      </c>
      <c r="C1144" t="s">
        <v>9</v>
      </c>
      <c r="D1144">
        <v>14.33</v>
      </c>
      <c r="E1144">
        <v>4</v>
      </c>
      <c r="F1144" t="s">
        <v>15</v>
      </c>
      <c r="G1144">
        <v>30</v>
      </c>
      <c r="H1144">
        <v>18.629000000000001</v>
      </c>
      <c r="I1144">
        <v>30.000000000000004</v>
      </c>
      <c r="J1144" t="s">
        <v>20</v>
      </c>
    </row>
    <row r="1145" spans="1:10" x14ac:dyDescent="0.2">
      <c r="A1145">
        <v>11144</v>
      </c>
      <c r="B1145" t="s">
        <v>5</v>
      </c>
      <c r="C1145" t="s">
        <v>9</v>
      </c>
      <c r="D1145">
        <v>9.81</v>
      </c>
      <c r="E1145">
        <v>2</v>
      </c>
      <c r="F1145" t="s">
        <v>14</v>
      </c>
      <c r="G1145">
        <v>15</v>
      </c>
      <c r="H1145">
        <v>11.281499999999999</v>
      </c>
      <c r="I1145">
        <v>14.999999999999991</v>
      </c>
      <c r="J1145" t="s">
        <v>20</v>
      </c>
    </row>
    <row r="1146" spans="1:10" x14ac:dyDescent="0.2">
      <c r="A1146">
        <v>11145</v>
      </c>
      <c r="B1146" t="s">
        <v>7</v>
      </c>
      <c r="C1146" t="s">
        <v>9</v>
      </c>
      <c r="D1146">
        <v>4.82</v>
      </c>
      <c r="E1146">
        <v>4</v>
      </c>
      <c r="F1146" t="s">
        <v>15</v>
      </c>
      <c r="G1146">
        <v>30</v>
      </c>
      <c r="H1146">
        <v>6.2660000000000009</v>
      </c>
      <c r="I1146">
        <v>30.000000000000004</v>
      </c>
      <c r="J1146" t="s">
        <v>20</v>
      </c>
    </row>
    <row r="1147" spans="1:10" x14ac:dyDescent="0.2">
      <c r="A1147">
        <v>11146</v>
      </c>
      <c r="B1147" t="s">
        <v>10</v>
      </c>
      <c r="C1147" t="s">
        <v>9</v>
      </c>
      <c r="D1147">
        <v>2.33</v>
      </c>
      <c r="E1147">
        <v>9</v>
      </c>
      <c r="F1147" t="s">
        <v>16</v>
      </c>
      <c r="G1147">
        <v>60</v>
      </c>
      <c r="H1147">
        <v>3.7280000000000002</v>
      </c>
      <c r="I1147">
        <v>60.000000000000007</v>
      </c>
      <c r="J1147" t="s">
        <v>20</v>
      </c>
    </row>
    <row r="1148" spans="1:10" x14ac:dyDescent="0.2">
      <c r="A1148">
        <v>11147</v>
      </c>
      <c r="B1148" t="s">
        <v>5</v>
      </c>
      <c r="C1148" t="s">
        <v>6</v>
      </c>
      <c r="D1148">
        <v>12.72</v>
      </c>
      <c r="E1148">
        <v>8</v>
      </c>
      <c r="F1148" t="s">
        <v>16</v>
      </c>
      <c r="G1148">
        <v>55</v>
      </c>
      <c r="H1148">
        <v>19.716000000000001</v>
      </c>
      <c r="I1148">
        <v>55.000000000000007</v>
      </c>
      <c r="J1148" t="s">
        <v>20</v>
      </c>
    </row>
    <row r="1149" spans="1:10" x14ac:dyDescent="0.2">
      <c r="A1149">
        <v>11148</v>
      </c>
      <c r="B1149" t="s">
        <v>10</v>
      </c>
      <c r="C1149" t="s">
        <v>11</v>
      </c>
      <c r="D1149">
        <v>5.75</v>
      </c>
      <c r="E1149">
        <v>3</v>
      </c>
      <c r="F1149" t="s">
        <v>14</v>
      </c>
      <c r="G1149">
        <v>10</v>
      </c>
      <c r="H1149">
        <v>6.3250000000000002</v>
      </c>
      <c r="I1149">
        <v>10.000000000000009</v>
      </c>
      <c r="J1149" t="s">
        <v>20</v>
      </c>
    </row>
    <row r="1150" spans="1:10" x14ac:dyDescent="0.2">
      <c r="A1150">
        <v>11149</v>
      </c>
      <c r="B1150" t="s">
        <v>5</v>
      </c>
      <c r="C1150" t="s">
        <v>9</v>
      </c>
      <c r="D1150">
        <v>10.08</v>
      </c>
      <c r="E1150">
        <v>1</v>
      </c>
      <c r="F1150" t="s">
        <v>14</v>
      </c>
      <c r="G1150">
        <v>15</v>
      </c>
      <c r="H1150">
        <v>11.591999999999999</v>
      </c>
      <c r="I1150">
        <v>14.999999999999991</v>
      </c>
      <c r="J1150" t="s">
        <v>20</v>
      </c>
    </row>
    <row r="1151" spans="1:10" x14ac:dyDescent="0.2">
      <c r="A1151">
        <v>11150</v>
      </c>
      <c r="B1151" t="s">
        <v>8</v>
      </c>
      <c r="C1151" t="s">
        <v>6</v>
      </c>
      <c r="D1151">
        <v>7.33</v>
      </c>
      <c r="E1151">
        <v>1</v>
      </c>
      <c r="F1151" t="s">
        <v>14</v>
      </c>
      <c r="G1151">
        <v>12</v>
      </c>
      <c r="H1151">
        <v>8.2096</v>
      </c>
      <c r="I1151">
        <v>11.999999999999989</v>
      </c>
      <c r="J1151" t="s">
        <v>20</v>
      </c>
    </row>
    <row r="1152" spans="1:10" x14ac:dyDescent="0.2">
      <c r="A1152">
        <v>11151</v>
      </c>
      <c r="B1152" t="s">
        <v>8</v>
      </c>
      <c r="C1152" t="s">
        <v>9</v>
      </c>
      <c r="D1152">
        <v>3.38</v>
      </c>
      <c r="E1152">
        <v>6</v>
      </c>
      <c r="F1152" t="s">
        <v>15</v>
      </c>
      <c r="G1152">
        <v>30</v>
      </c>
      <c r="H1152">
        <v>4.3940000000000001</v>
      </c>
      <c r="I1152">
        <v>30.000000000000004</v>
      </c>
      <c r="J1152" t="s">
        <v>20</v>
      </c>
    </row>
    <row r="1153" spans="1:10" x14ac:dyDescent="0.2">
      <c r="A1153">
        <v>11152</v>
      </c>
      <c r="B1153" t="s">
        <v>8</v>
      </c>
      <c r="C1153" t="s">
        <v>9</v>
      </c>
      <c r="D1153">
        <v>9.2200000000000006</v>
      </c>
      <c r="E1153">
        <v>3</v>
      </c>
      <c r="F1153" t="s">
        <v>14</v>
      </c>
      <c r="G1153">
        <v>15</v>
      </c>
      <c r="H1153">
        <v>10.603</v>
      </c>
      <c r="I1153">
        <v>14.999999999999991</v>
      </c>
      <c r="J1153" t="s">
        <v>20</v>
      </c>
    </row>
    <row r="1154" spans="1:10" x14ac:dyDescent="0.2">
      <c r="A1154">
        <v>11153</v>
      </c>
      <c r="B1154" t="s">
        <v>7</v>
      </c>
      <c r="C1154" t="s">
        <v>11</v>
      </c>
      <c r="D1154">
        <v>1.38</v>
      </c>
      <c r="E1154">
        <v>4</v>
      </c>
      <c r="F1154" t="s">
        <v>15</v>
      </c>
      <c r="G1154">
        <v>25</v>
      </c>
      <c r="H1154">
        <v>1.7249999999999999</v>
      </c>
      <c r="I1154">
        <v>25</v>
      </c>
      <c r="J1154" t="s">
        <v>20</v>
      </c>
    </row>
    <row r="1155" spans="1:10" x14ac:dyDescent="0.2">
      <c r="A1155">
        <v>11154</v>
      </c>
      <c r="B1155" t="s">
        <v>10</v>
      </c>
      <c r="C1155" t="s">
        <v>9</v>
      </c>
      <c r="D1155">
        <v>6.49</v>
      </c>
      <c r="E1155">
        <v>1</v>
      </c>
      <c r="F1155" t="s">
        <v>14</v>
      </c>
      <c r="G1155">
        <v>15</v>
      </c>
      <c r="H1155">
        <v>7.4634999999999998</v>
      </c>
      <c r="I1155">
        <v>14.999999999999991</v>
      </c>
      <c r="J1155" t="s">
        <v>20</v>
      </c>
    </row>
    <row r="1156" spans="1:10" x14ac:dyDescent="0.2">
      <c r="A1156">
        <v>11155</v>
      </c>
      <c r="B1156" t="s">
        <v>7</v>
      </c>
      <c r="C1156" t="s">
        <v>6</v>
      </c>
      <c r="D1156">
        <v>8.43</v>
      </c>
      <c r="E1156">
        <v>8</v>
      </c>
      <c r="F1156" t="s">
        <v>16</v>
      </c>
      <c r="G1156">
        <v>55</v>
      </c>
      <c r="H1156">
        <v>13.0665</v>
      </c>
      <c r="I1156">
        <v>55.000000000000007</v>
      </c>
      <c r="J1156" t="s">
        <v>20</v>
      </c>
    </row>
    <row r="1157" spans="1:10" x14ac:dyDescent="0.2">
      <c r="A1157">
        <v>11156</v>
      </c>
      <c r="B1157" t="s">
        <v>8</v>
      </c>
      <c r="C1157" t="s">
        <v>6</v>
      </c>
      <c r="D1157">
        <v>6.82</v>
      </c>
      <c r="E1157">
        <v>1</v>
      </c>
      <c r="F1157" t="s">
        <v>14</v>
      </c>
      <c r="G1157">
        <v>12</v>
      </c>
      <c r="H1157">
        <v>7.6384000000000007</v>
      </c>
      <c r="I1157">
        <v>12.000000000000011</v>
      </c>
      <c r="J1157" t="s">
        <v>20</v>
      </c>
    </row>
    <row r="1158" spans="1:10" x14ac:dyDescent="0.2">
      <c r="A1158">
        <v>11157</v>
      </c>
      <c r="B1158" t="s">
        <v>10</v>
      </c>
      <c r="C1158" t="s">
        <v>11</v>
      </c>
      <c r="D1158">
        <v>11.36</v>
      </c>
      <c r="E1158">
        <v>5</v>
      </c>
      <c r="F1158" t="s">
        <v>15</v>
      </c>
      <c r="G1158">
        <v>25</v>
      </c>
      <c r="H1158">
        <v>14.2</v>
      </c>
      <c r="I1158">
        <v>25</v>
      </c>
      <c r="J1158" t="s">
        <v>20</v>
      </c>
    </row>
    <row r="1159" spans="1:10" x14ac:dyDescent="0.2">
      <c r="A1159">
        <v>11158</v>
      </c>
      <c r="B1159" t="s">
        <v>8</v>
      </c>
      <c r="C1159" t="s">
        <v>9</v>
      </c>
      <c r="D1159">
        <v>12.5</v>
      </c>
      <c r="E1159">
        <v>6</v>
      </c>
      <c r="F1159" t="s">
        <v>15</v>
      </c>
      <c r="G1159">
        <v>30</v>
      </c>
      <c r="H1159">
        <v>16.25</v>
      </c>
      <c r="I1159">
        <v>30.000000000000004</v>
      </c>
      <c r="J1159" t="s">
        <v>20</v>
      </c>
    </row>
    <row r="1160" spans="1:10" x14ac:dyDescent="0.2">
      <c r="A1160">
        <v>11159</v>
      </c>
      <c r="B1160" t="s">
        <v>7</v>
      </c>
      <c r="C1160" t="s">
        <v>6</v>
      </c>
      <c r="D1160">
        <v>11.68</v>
      </c>
      <c r="E1160">
        <v>2</v>
      </c>
      <c r="F1160" t="s">
        <v>14</v>
      </c>
      <c r="G1160">
        <v>12</v>
      </c>
      <c r="H1160">
        <v>13.081600000000002</v>
      </c>
      <c r="I1160">
        <v>12.000000000000011</v>
      </c>
      <c r="J1160" t="s">
        <v>20</v>
      </c>
    </row>
    <row r="1161" spans="1:10" x14ac:dyDescent="0.2">
      <c r="A1161">
        <v>11160</v>
      </c>
      <c r="B1161" t="s">
        <v>7</v>
      </c>
      <c r="C1161" t="s">
        <v>9</v>
      </c>
      <c r="D1161">
        <v>1.06</v>
      </c>
      <c r="E1161">
        <v>7</v>
      </c>
      <c r="F1161" t="s">
        <v>15</v>
      </c>
      <c r="G1161">
        <v>30</v>
      </c>
      <c r="H1161">
        <v>1.3780000000000001</v>
      </c>
      <c r="I1161">
        <v>30.000000000000004</v>
      </c>
      <c r="J1161" t="s">
        <v>20</v>
      </c>
    </row>
    <row r="1162" spans="1:10" x14ac:dyDescent="0.2">
      <c r="A1162">
        <v>11161</v>
      </c>
      <c r="B1162" t="s">
        <v>7</v>
      </c>
      <c r="C1162" t="s">
        <v>9</v>
      </c>
      <c r="D1162">
        <v>3.31</v>
      </c>
      <c r="E1162">
        <v>7</v>
      </c>
      <c r="F1162" t="s">
        <v>15</v>
      </c>
      <c r="G1162">
        <v>30</v>
      </c>
      <c r="H1162">
        <v>4.3029999999999999</v>
      </c>
      <c r="I1162">
        <v>30.000000000000004</v>
      </c>
      <c r="J1162" t="s">
        <v>20</v>
      </c>
    </row>
    <row r="1163" spans="1:10" x14ac:dyDescent="0.2">
      <c r="A1163">
        <v>11162</v>
      </c>
      <c r="B1163" t="s">
        <v>8</v>
      </c>
      <c r="C1163" t="s">
        <v>9</v>
      </c>
      <c r="D1163">
        <v>8.2799999999999994</v>
      </c>
      <c r="E1163">
        <v>1</v>
      </c>
      <c r="F1163" t="s">
        <v>14</v>
      </c>
      <c r="G1163">
        <v>15</v>
      </c>
      <c r="H1163">
        <v>9.5219999999999985</v>
      </c>
      <c r="I1163">
        <v>14.999999999999991</v>
      </c>
      <c r="J1163" t="s">
        <v>20</v>
      </c>
    </row>
    <row r="1164" spans="1:10" x14ac:dyDescent="0.2">
      <c r="A1164">
        <v>11163</v>
      </c>
      <c r="B1164" t="s">
        <v>10</v>
      </c>
      <c r="C1164" t="s">
        <v>11</v>
      </c>
      <c r="D1164">
        <v>14.05</v>
      </c>
      <c r="E1164">
        <v>4</v>
      </c>
      <c r="F1164" t="s">
        <v>15</v>
      </c>
      <c r="G1164">
        <v>25</v>
      </c>
      <c r="H1164">
        <v>17.5625</v>
      </c>
      <c r="I1164">
        <v>25</v>
      </c>
      <c r="J1164" t="s">
        <v>20</v>
      </c>
    </row>
    <row r="1165" spans="1:10" x14ac:dyDescent="0.2">
      <c r="A1165">
        <v>11164</v>
      </c>
      <c r="B1165" t="s">
        <v>10</v>
      </c>
      <c r="C1165" t="s">
        <v>9</v>
      </c>
      <c r="D1165">
        <v>12.61</v>
      </c>
      <c r="E1165">
        <v>4</v>
      </c>
      <c r="F1165" t="s">
        <v>15</v>
      </c>
      <c r="G1165">
        <v>30</v>
      </c>
      <c r="H1165">
        <v>16.393000000000001</v>
      </c>
      <c r="I1165">
        <v>30.000000000000004</v>
      </c>
      <c r="J1165" t="s">
        <v>20</v>
      </c>
    </row>
    <row r="1166" spans="1:10" x14ac:dyDescent="0.2">
      <c r="A1166">
        <v>11165</v>
      </c>
      <c r="B1166" t="s">
        <v>8</v>
      </c>
      <c r="C1166" t="s">
        <v>6</v>
      </c>
      <c r="D1166">
        <v>12.72</v>
      </c>
      <c r="E1166">
        <v>5</v>
      </c>
      <c r="F1166" t="s">
        <v>15</v>
      </c>
      <c r="G1166">
        <v>28</v>
      </c>
      <c r="H1166">
        <v>16.281600000000001</v>
      </c>
      <c r="I1166">
        <v>28.000000000000004</v>
      </c>
      <c r="J1166" t="s">
        <v>20</v>
      </c>
    </row>
    <row r="1167" spans="1:10" x14ac:dyDescent="0.2">
      <c r="A1167">
        <v>11166</v>
      </c>
      <c r="B1167" t="s">
        <v>10</v>
      </c>
      <c r="C1167" t="s">
        <v>9</v>
      </c>
      <c r="D1167">
        <v>4.9000000000000004</v>
      </c>
      <c r="E1167">
        <v>1</v>
      </c>
      <c r="F1167" t="s">
        <v>14</v>
      </c>
      <c r="G1167">
        <v>15</v>
      </c>
      <c r="H1167">
        <v>5.6349999999999998</v>
      </c>
      <c r="I1167">
        <v>14.999999999999991</v>
      </c>
      <c r="J1167" t="s">
        <v>20</v>
      </c>
    </row>
    <row r="1168" spans="1:10" x14ac:dyDescent="0.2">
      <c r="A1168">
        <v>11167</v>
      </c>
      <c r="B1168" t="s">
        <v>8</v>
      </c>
      <c r="C1168" t="s">
        <v>6</v>
      </c>
      <c r="D1168">
        <v>6.73</v>
      </c>
      <c r="E1168">
        <v>1</v>
      </c>
      <c r="F1168" t="s">
        <v>14</v>
      </c>
      <c r="G1168">
        <v>12</v>
      </c>
      <c r="H1168">
        <v>7.5376000000000012</v>
      </c>
      <c r="I1168">
        <v>12.000000000000011</v>
      </c>
      <c r="J1168" t="s">
        <v>20</v>
      </c>
    </row>
    <row r="1169" spans="1:10" x14ac:dyDescent="0.2">
      <c r="A1169">
        <v>11168</v>
      </c>
      <c r="B1169" t="s">
        <v>10</v>
      </c>
      <c r="C1169" t="s">
        <v>9</v>
      </c>
      <c r="D1169">
        <v>7.33</v>
      </c>
      <c r="E1169">
        <v>7</v>
      </c>
      <c r="F1169" t="s">
        <v>15</v>
      </c>
      <c r="G1169">
        <v>30</v>
      </c>
      <c r="H1169">
        <v>9.5289999999999999</v>
      </c>
      <c r="I1169">
        <v>30.000000000000004</v>
      </c>
      <c r="J1169" t="s">
        <v>20</v>
      </c>
    </row>
    <row r="1170" spans="1:10" x14ac:dyDescent="0.2">
      <c r="A1170">
        <v>11169</v>
      </c>
      <c r="B1170" t="s">
        <v>5</v>
      </c>
      <c r="C1170" t="s">
        <v>6</v>
      </c>
      <c r="D1170">
        <v>2.78</v>
      </c>
      <c r="E1170">
        <v>9</v>
      </c>
      <c r="F1170" t="s">
        <v>16</v>
      </c>
      <c r="G1170">
        <v>55</v>
      </c>
      <c r="H1170">
        <v>4.3090000000000002</v>
      </c>
      <c r="I1170">
        <v>55.000000000000028</v>
      </c>
      <c r="J1170" t="s">
        <v>20</v>
      </c>
    </row>
    <row r="1171" spans="1:10" x14ac:dyDescent="0.2">
      <c r="A1171">
        <v>11170</v>
      </c>
      <c r="B1171" t="s">
        <v>5</v>
      </c>
      <c r="C1171" t="s">
        <v>6</v>
      </c>
      <c r="D1171">
        <v>0.95</v>
      </c>
      <c r="E1171">
        <v>1</v>
      </c>
      <c r="F1171" t="s">
        <v>14</v>
      </c>
      <c r="G1171">
        <v>12</v>
      </c>
      <c r="H1171">
        <v>1.0640000000000001</v>
      </c>
      <c r="I1171">
        <v>12.000000000000011</v>
      </c>
      <c r="J1171" t="s">
        <v>20</v>
      </c>
    </row>
    <row r="1172" spans="1:10" x14ac:dyDescent="0.2">
      <c r="A1172">
        <v>11171</v>
      </c>
      <c r="B1172" t="s">
        <v>7</v>
      </c>
      <c r="C1172" t="s">
        <v>9</v>
      </c>
      <c r="D1172">
        <v>14.23</v>
      </c>
      <c r="E1172">
        <v>2</v>
      </c>
      <c r="F1172" t="s">
        <v>14</v>
      </c>
      <c r="G1172">
        <v>15</v>
      </c>
      <c r="H1172">
        <v>16.3645</v>
      </c>
      <c r="I1172">
        <v>14.999999999999991</v>
      </c>
      <c r="J1172" t="s">
        <v>20</v>
      </c>
    </row>
    <row r="1173" spans="1:10" x14ac:dyDescent="0.2">
      <c r="A1173">
        <v>11172</v>
      </c>
      <c r="B1173" t="s">
        <v>5</v>
      </c>
      <c r="C1173" t="s">
        <v>9</v>
      </c>
      <c r="D1173">
        <v>3.99</v>
      </c>
      <c r="E1173">
        <v>6</v>
      </c>
      <c r="F1173" t="s">
        <v>15</v>
      </c>
      <c r="G1173">
        <v>30</v>
      </c>
      <c r="H1173">
        <v>5.1870000000000003</v>
      </c>
      <c r="I1173">
        <v>30.000000000000004</v>
      </c>
      <c r="J1173" t="s">
        <v>20</v>
      </c>
    </row>
    <row r="1174" spans="1:10" x14ac:dyDescent="0.2">
      <c r="A1174">
        <v>11173</v>
      </c>
      <c r="B1174" t="s">
        <v>5</v>
      </c>
      <c r="C1174" t="s">
        <v>6</v>
      </c>
      <c r="D1174">
        <v>3.98</v>
      </c>
      <c r="E1174">
        <v>6</v>
      </c>
      <c r="F1174" t="s">
        <v>15</v>
      </c>
      <c r="G1174">
        <v>28</v>
      </c>
      <c r="H1174">
        <v>5.0944000000000003</v>
      </c>
      <c r="I1174">
        <v>28.000000000000004</v>
      </c>
      <c r="J1174" t="s">
        <v>20</v>
      </c>
    </row>
    <row r="1175" spans="1:10" x14ac:dyDescent="0.2">
      <c r="A1175">
        <v>11174</v>
      </c>
      <c r="B1175" t="s">
        <v>5</v>
      </c>
      <c r="C1175" t="s">
        <v>11</v>
      </c>
      <c r="D1175">
        <v>1.71</v>
      </c>
      <c r="E1175">
        <v>2</v>
      </c>
      <c r="F1175" t="s">
        <v>14</v>
      </c>
      <c r="G1175">
        <v>10</v>
      </c>
      <c r="H1175">
        <v>1.881</v>
      </c>
      <c r="I1175">
        <v>10.000000000000009</v>
      </c>
      <c r="J1175" t="s">
        <v>20</v>
      </c>
    </row>
    <row r="1176" spans="1:10" x14ac:dyDescent="0.2">
      <c r="A1176">
        <v>11175</v>
      </c>
      <c r="B1176" t="s">
        <v>8</v>
      </c>
      <c r="C1176" t="s">
        <v>9</v>
      </c>
      <c r="D1176">
        <v>13.96</v>
      </c>
      <c r="E1176">
        <v>9</v>
      </c>
      <c r="F1176" t="s">
        <v>16</v>
      </c>
      <c r="G1176">
        <v>60</v>
      </c>
      <c r="H1176">
        <v>22.336000000000002</v>
      </c>
      <c r="I1176">
        <v>60.000000000000007</v>
      </c>
      <c r="J1176" t="s">
        <v>20</v>
      </c>
    </row>
    <row r="1177" spans="1:10" x14ac:dyDescent="0.2">
      <c r="A1177">
        <v>11176</v>
      </c>
      <c r="B1177" t="s">
        <v>5</v>
      </c>
      <c r="C1177" t="s">
        <v>11</v>
      </c>
      <c r="D1177">
        <v>8.91</v>
      </c>
      <c r="E1177">
        <v>4</v>
      </c>
      <c r="F1177" t="s">
        <v>15</v>
      </c>
      <c r="G1177">
        <v>25</v>
      </c>
      <c r="H1177">
        <v>11.137499999999999</v>
      </c>
      <c r="I1177">
        <v>25</v>
      </c>
      <c r="J1177" t="s">
        <v>20</v>
      </c>
    </row>
    <row r="1178" spans="1:10" x14ac:dyDescent="0.2">
      <c r="A1178">
        <v>11177</v>
      </c>
      <c r="B1178" t="s">
        <v>5</v>
      </c>
      <c r="C1178" t="s">
        <v>9</v>
      </c>
      <c r="D1178">
        <v>10.17</v>
      </c>
      <c r="E1178">
        <v>7</v>
      </c>
      <c r="F1178" t="s">
        <v>15</v>
      </c>
      <c r="G1178">
        <v>30</v>
      </c>
      <c r="H1178">
        <v>13.221</v>
      </c>
      <c r="I1178">
        <v>30.000000000000004</v>
      </c>
      <c r="J1178" t="s">
        <v>20</v>
      </c>
    </row>
    <row r="1179" spans="1:10" x14ac:dyDescent="0.2">
      <c r="A1179">
        <v>11178</v>
      </c>
      <c r="B1179" t="s">
        <v>7</v>
      </c>
      <c r="C1179" t="s">
        <v>9</v>
      </c>
      <c r="D1179">
        <v>13.72</v>
      </c>
      <c r="E1179">
        <v>6</v>
      </c>
      <c r="F1179" t="s">
        <v>15</v>
      </c>
      <c r="G1179">
        <v>30</v>
      </c>
      <c r="H1179">
        <v>17.836000000000002</v>
      </c>
      <c r="I1179">
        <v>30.000000000000004</v>
      </c>
      <c r="J1179" t="s">
        <v>20</v>
      </c>
    </row>
    <row r="1180" spans="1:10" x14ac:dyDescent="0.2">
      <c r="A1180">
        <v>11179</v>
      </c>
      <c r="B1180" t="s">
        <v>5</v>
      </c>
      <c r="C1180" t="s">
        <v>9</v>
      </c>
      <c r="D1180">
        <v>5.51</v>
      </c>
      <c r="E1180">
        <v>3</v>
      </c>
      <c r="F1180" t="s">
        <v>14</v>
      </c>
      <c r="G1180">
        <v>15</v>
      </c>
      <c r="H1180">
        <v>6.3364999999999991</v>
      </c>
      <c r="I1180">
        <v>14.999999999999991</v>
      </c>
      <c r="J1180" t="s">
        <v>20</v>
      </c>
    </row>
    <row r="1181" spans="1:10" x14ac:dyDescent="0.2">
      <c r="A1181">
        <v>11180</v>
      </c>
      <c r="B1181" t="s">
        <v>5</v>
      </c>
      <c r="C1181" t="s">
        <v>9</v>
      </c>
      <c r="D1181">
        <v>9.51</v>
      </c>
      <c r="E1181">
        <v>8</v>
      </c>
      <c r="F1181" t="s">
        <v>16</v>
      </c>
      <c r="G1181">
        <v>60</v>
      </c>
      <c r="H1181">
        <v>15.216000000000001</v>
      </c>
      <c r="I1181">
        <v>60.000000000000007</v>
      </c>
      <c r="J1181" t="s">
        <v>20</v>
      </c>
    </row>
    <row r="1182" spans="1:10" x14ac:dyDescent="0.2">
      <c r="A1182">
        <v>11181</v>
      </c>
      <c r="B1182" t="s">
        <v>10</v>
      </c>
      <c r="C1182" t="s">
        <v>11</v>
      </c>
      <c r="D1182">
        <v>1.06</v>
      </c>
      <c r="E1182">
        <v>7</v>
      </c>
      <c r="F1182" t="s">
        <v>15</v>
      </c>
      <c r="G1182">
        <v>25</v>
      </c>
      <c r="H1182">
        <v>1.3250000000000002</v>
      </c>
      <c r="I1182">
        <v>25</v>
      </c>
      <c r="J1182" t="s">
        <v>20</v>
      </c>
    </row>
    <row r="1183" spans="1:10" x14ac:dyDescent="0.2">
      <c r="A1183">
        <v>11182</v>
      </c>
      <c r="B1183" t="s">
        <v>7</v>
      </c>
      <c r="C1183" t="s">
        <v>9</v>
      </c>
      <c r="D1183">
        <v>3.21</v>
      </c>
      <c r="E1183">
        <v>9</v>
      </c>
      <c r="F1183" t="s">
        <v>16</v>
      </c>
      <c r="G1183">
        <v>60</v>
      </c>
      <c r="H1183">
        <v>5.1360000000000001</v>
      </c>
      <c r="I1183">
        <v>60.000000000000007</v>
      </c>
      <c r="J1183" t="s">
        <v>20</v>
      </c>
    </row>
    <row r="1184" spans="1:10" x14ac:dyDescent="0.2">
      <c r="A1184">
        <v>11183</v>
      </c>
      <c r="B1184" t="s">
        <v>7</v>
      </c>
      <c r="C1184" t="s">
        <v>6</v>
      </c>
      <c r="D1184">
        <v>12.55</v>
      </c>
      <c r="E1184">
        <v>3</v>
      </c>
      <c r="F1184" t="s">
        <v>14</v>
      </c>
      <c r="G1184">
        <v>12</v>
      </c>
      <c r="H1184">
        <v>14.056000000000003</v>
      </c>
      <c r="I1184">
        <v>12.000000000000011</v>
      </c>
      <c r="J1184" t="s">
        <v>20</v>
      </c>
    </row>
    <row r="1185" spans="1:10" x14ac:dyDescent="0.2">
      <c r="A1185">
        <v>11184</v>
      </c>
      <c r="B1185" t="s">
        <v>7</v>
      </c>
      <c r="C1185" t="s">
        <v>6</v>
      </c>
      <c r="D1185">
        <v>11.62</v>
      </c>
      <c r="E1185">
        <v>1</v>
      </c>
      <c r="F1185" t="s">
        <v>14</v>
      </c>
      <c r="G1185">
        <v>12</v>
      </c>
      <c r="H1185">
        <v>13.0144</v>
      </c>
      <c r="I1185">
        <v>12.000000000000011</v>
      </c>
      <c r="J1185" t="s">
        <v>20</v>
      </c>
    </row>
    <row r="1186" spans="1:10" x14ac:dyDescent="0.2">
      <c r="A1186">
        <v>11185</v>
      </c>
      <c r="B1186" t="s">
        <v>7</v>
      </c>
      <c r="C1186" t="s">
        <v>11</v>
      </c>
      <c r="D1186">
        <v>5.58</v>
      </c>
      <c r="E1186">
        <v>2</v>
      </c>
      <c r="F1186" t="s">
        <v>14</v>
      </c>
      <c r="G1186">
        <v>10</v>
      </c>
      <c r="H1186">
        <v>6.1380000000000008</v>
      </c>
      <c r="I1186">
        <v>10.000000000000009</v>
      </c>
      <c r="J1186" t="s">
        <v>20</v>
      </c>
    </row>
    <row r="1187" spans="1:10" x14ac:dyDescent="0.2">
      <c r="A1187">
        <v>11186</v>
      </c>
      <c r="B1187" t="s">
        <v>7</v>
      </c>
      <c r="C1187" t="s">
        <v>9</v>
      </c>
      <c r="D1187">
        <v>5.96</v>
      </c>
      <c r="E1187">
        <v>1</v>
      </c>
      <c r="F1187" t="s">
        <v>14</v>
      </c>
      <c r="G1187">
        <v>15</v>
      </c>
      <c r="H1187">
        <v>6.8539999999999992</v>
      </c>
      <c r="I1187">
        <v>14.999999999999991</v>
      </c>
      <c r="J1187" t="s">
        <v>20</v>
      </c>
    </row>
    <row r="1188" spans="1:10" x14ac:dyDescent="0.2">
      <c r="A1188">
        <v>11187</v>
      </c>
      <c r="B1188" t="s">
        <v>7</v>
      </c>
      <c r="C1188" t="s">
        <v>6</v>
      </c>
      <c r="D1188">
        <v>8.24</v>
      </c>
      <c r="E1188">
        <v>5</v>
      </c>
      <c r="F1188" t="s">
        <v>15</v>
      </c>
      <c r="G1188">
        <v>28</v>
      </c>
      <c r="H1188">
        <v>10.5472</v>
      </c>
      <c r="I1188">
        <v>28.000000000000004</v>
      </c>
      <c r="J1188" t="s">
        <v>20</v>
      </c>
    </row>
    <row r="1189" spans="1:10" x14ac:dyDescent="0.2">
      <c r="A1189">
        <v>11188</v>
      </c>
      <c r="B1189" t="s">
        <v>8</v>
      </c>
      <c r="C1189" t="s">
        <v>11</v>
      </c>
      <c r="D1189">
        <v>0.5</v>
      </c>
      <c r="E1189">
        <v>10</v>
      </c>
      <c r="F1189" t="s">
        <v>16</v>
      </c>
      <c r="G1189">
        <v>50</v>
      </c>
      <c r="H1189">
        <v>0.75</v>
      </c>
      <c r="I1189">
        <v>50</v>
      </c>
      <c r="J1189" t="s">
        <v>20</v>
      </c>
    </row>
    <row r="1190" spans="1:10" x14ac:dyDescent="0.2">
      <c r="A1190">
        <v>11189</v>
      </c>
      <c r="B1190" t="s">
        <v>5</v>
      </c>
      <c r="C1190" t="s">
        <v>9</v>
      </c>
      <c r="D1190">
        <v>4</v>
      </c>
      <c r="E1190">
        <v>2</v>
      </c>
      <c r="F1190" t="s">
        <v>14</v>
      </c>
      <c r="G1190">
        <v>15</v>
      </c>
      <c r="H1190">
        <v>4.5999999999999996</v>
      </c>
      <c r="I1190">
        <v>14.999999999999991</v>
      </c>
      <c r="J1190" t="s">
        <v>20</v>
      </c>
    </row>
    <row r="1191" spans="1:10" x14ac:dyDescent="0.2">
      <c r="A1191">
        <v>11190</v>
      </c>
      <c r="B1191" t="s">
        <v>7</v>
      </c>
      <c r="C1191" t="s">
        <v>6</v>
      </c>
      <c r="D1191">
        <v>3.52</v>
      </c>
      <c r="E1191">
        <v>3</v>
      </c>
      <c r="F1191" t="s">
        <v>14</v>
      </c>
      <c r="G1191">
        <v>12</v>
      </c>
      <c r="H1191">
        <v>3.9424000000000006</v>
      </c>
      <c r="I1191">
        <v>12.000000000000011</v>
      </c>
      <c r="J1191" t="s">
        <v>20</v>
      </c>
    </row>
    <row r="1192" spans="1:10" x14ac:dyDescent="0.2">
      <c r="A1192">
        <v>11191</v>
      </c>
      <c r="B1192" t="s">
        <v>5</v>
      </c>
      <c r="C1192" t="s">
        <v>6</v>
      </c>
      <c r="D1192">
        <v>4.13</v>
      </c>
      <c r="E1192">
        <v>8</v>
      </c>
      <c r="F1192" t="s">
        <v>16</v>
      </c>
      <c r="G1192">
        <v>55</v>
      </c>
      <c r="H1192">
        <v>6.4015000000000004</v>
      </c>
      <c r="I1192">
        <v>55.000000000000007</v>
      </c>
      <c r="J1192" t="s">
        <v>20</v>
      </c>
    </row>
    <row r="1193" spans="1:10" x14ac:dyDescent="0.2">
      <c r="A1193">
        <v>11192</v>
      </c>
      <c r="B1193" t="s">
        <v>5</v>
      </c>
      <c r="C1193" t="s">
        <v>11</v>
      </c>
      <c r="D1193">
        <v>12.19</v>
      </c>
      <c r="E1193">
        <v>10</v>
      </c>
      <c r="F1193" t="s">
        <v>16</v>
      </c>
      <c r="G1193">
        <v>50</v>
      </c>
      <c r="H1193">
        <v>18.285</v>
      </c>
      <c r="I1193">
        <v>50</v>
      </c>
      <c r="J1193" t="s">
        <v>20</v>
      </c>
    </row>
    <row r="1194" spans="1:10" x14ac:dyDescent="0.2">
      <c r="A1194">
        <v>11193</v>
      </c>
      <c r="B1194" t="s">
        <v>8</v>
      </c>
      <c r="C1194" t="s">
        <v>9</v>
      </c>
      <c r="D1194">
        <v>4.5599999999999996</v>
      </c>
      <c r="E1194">
        <v>5</v>
      </c>
      <c r="F1194" t="s">
        <v>15</v>
      </c>
      <c r="G1194">
        <v>30</v>
      </c>
      <c r="H1194">
        <v>5.9279999999999999</v>
      </c>
      <c r="I1194">
        <v>30.000000000000004</v>
      </c>
      <c r="J1194" t="s">
        <v>20</v>
      </c>
    </row>
    <row r="1195" spans="1:10" x14ac:dyDescent="0.2">
      <c r="A1195">
        <v>11194</v>
      </c>
      <c r="B1195" t="s">
        <v>7</v>
      </c>
      <c r="C1195" t="s">
        <v>9</v>
      </c>
      <c r="D1195">
        <v>3.28</v>
      </c>
      <c r="E1195">
        <v>4</v>
      </c>
      <c r="F1195" t="s">
        <v>15</v>
      </c>
      <c r="G1195">
        <v>30</v>
      </c>
      <c r="H1195">
        <v>4.2640000000000002</v>
      </c>
      <c r="I1195">
        <v>30.000000000000004</v>
      </c>
      <c r="J1195" t="s">
        <v>20</v>
      </c>
    </row>
    <row r="1196" spans="1:10" x14ac:dyDescent="0.2">
      <c r="A1196">
        <v>11195</v>
      </c>
      <c r="B1196" t="s">
        <v>10</v>
      </c>
      <c r="C1196" t="s">
        <v>6</v>
      </c>
      <c r="D1196">
        <v>7.81</v>
      </c>
      <c r="E1196">
        <v>5</v>
      </c>
      <c r="F1196" t="s">
        <v>15</v>
      </c>
      <c r="G1196">
        <v>28</v>
      </c>
      <c r="H1196">
        <v>9.9968000000000004</v>
      </c>
      <c r="I1196">
        <v>28.000000000000004</v>
      </c>
      <c r="J1196" t="s">
        <v>20</v>
      </c>
    </row>
    <row r="1197" spans="1:10" x14ac:dyDescent="0.2">
      <c r="A1197">
        <v>11196</v>
      </c>
      <c r="B1197" t="s">
        <v>8</v>
      </c>
      <c r="C1197" t="s">
        <v>6</v>
      </c>
      <c r="D1197">
        <v>13.05</v>
      </c>
      <c r="E1197">
        <v>10</v>
      </c>
      <c r="F1197" t="s">
        <v>16</v>
      </c>
      <c r="G1197">
        <v>55</v>
      </c>
      <c r="H1197">
        <v>20.227500000000003</v>
      </c>
      <c r="I1197">
        <v>55.000000000000007</v>
      </c>
      <c r="J1197" t="s">
        <v>20</v>
      </c>
    </row>
    <row r="1198" spans="1:10" x14ac:dyDescent="0.2">
      <c r="A1198">
        <v>11197</v>
      </c>
      <c r="B1198" t="s">
        <v>10</v>
      </c>
      <c r="C1198" t="s">
        <v>6</v>
      </c>
      <c r="D1198">
        <v>4</v>
      </c>
      <c r="E1198">
        <v>6</v>
      </c>
      <c r="F1198" t="s">
        <v>15</v>
      </c>
      <c r="G1198">
        <v>28</v>
      </c>
      <c r="H1198">
        <v>5.12</v>
      </c>
      <c r="I1198">
        <v>28.000000000000004</v>
      </c>
      <c r="J1198" t="s">
        <v>20</v>
      </c>
    </row>
    <row r="1199" spans="1:10" x14ac:dyDescent="0.2">
      <c r="A1199">
        <v>11198</v>
      </c>
      <c r="B1199" t="s">
        <v>5</v>
      </c>
      <c r="C1199" t="s">
        <v>9</v>
      </c>
      <c r="D1199">
        <v>1.64</v>
      </c>
      <c r="E1199">
        <v>7</v>
      </c>
      <c r="F1199" t="s">
        <v>15</v>
      </c>
      <c r="G1199">
        <v>30</v>
      </c>
      <c r="H1199">
        <v>2.1320000000000001</v>
      </c>
      <c r="I1199">
        <v>30.000000000000004</v>
      </c>
      <c r="J1199" t="s">
        <v>20</v>
      </c>
    </row>
    <row r="1200" spans="1:10" x14ac:dyDescent="0.2">
      <c r="A1200">
        <v>11199</v>
      </c>
      <c r="B1200" t="s">
        <v>5</v>
      </c>
      <c r="C1200" t="s">
        <v>11</v>
      </c>
      <c r="D1200">
        <v>5.67</v>
      </c>
      <c r="E1200">
        <v>9</v>
      </c>
      <c r="F1200" t="s">
        <v>16</v>
      </c>
      <c r="G1200">
        <v>50</v>
      </c>
      <c r="H1200">
        <v>8.504999999999999</v>
      </c>
      <c r="I1200">
        <v>49.999999999999979</v>
      </c>
      <c r="J1200" t="s">
        <v>20</v>
      </c>
    </row>
    <row r="1201" spans="1:10" x14ac:dyDescent="0.2">
      <c r="A1201">
        <v>11200</v>
      </c>
      <c r="B1201" t="s">
        <v>8</v>
      </c>
      <c r="C1201" t="s">
        <v>11</v>
      </c>
      <c r="D1201">
        <v>11.34</v>
      </c>
      <c r="E1201">
        <v>1</v>
      </c>
      <c r="F1201" t="s">
        <v>14</v>
      </c>
      <c r="G1201">
        <v>10</v>
      </c>
      <c r="H1201">
        <v>12.474</v>
      </c>
      <c r="I1201">
        <v>10.000000000000009</v>
      </c>
      <c r="J1201" t="s">
        <v>20</v>
      </c>
    </row>
    <row r="1202" spans="1:10" x14ac:dyDescent="0.2">
      <c r="A1202">
        <v>11201</v>
      </c>
      <c r="B1202" t="s">
        <v>8</v>
      </c>
      <c r="C1202" t="s">
        <v>9</v>
      </c>
      <c r="D1202">
        <v>8.49</v>
      </c>
      <c r="E1202">
        <v>4</v>
      </c>
      <c r="F1202" t="s">
        <v>15</v>
      </c>
      <c r="G1202">
        <v>30</v>
      </c>
      <c r="H1202">
        <v>11.037000000000001</v>
      </c>
      <c r="I1202">
        <v>30.000000000000004</v>
      </c>
      <c r="J1202" t="s">
        <v>20</v>
      </c>
    </row>
    <row r="1203" spans="1:10" x14ac:dyDescent="0.2">
      <c r="A1203">
        <v>11202</v>
      </c>
      <c r="B1203" t="s">
        <v>10</v>
      </c>
      <c r="C1203" t="s">
        <v>11</v>
      </c>
      <c r="D1203">
        <v>12.34</v>
      </c>
      <c r="E1203">
        <v>9</v>
      </c>
      <c r="F1203" t="s">
        <v>16</v>
      </c>
      <c r="G1203">
        <v>50</v>
      </c>
      <c r="H1203">
        <v>18.509999999999998</v>
      </c>
      <c r="I1203">
        <v>49.999999999999979</v>
      </c>
      <c r="J1203" t="s">
        <v>20</v>
      </c>
    </row>
    <row r="1204" spans="1:10" x14ac:dyDescent="0.2">
      <c r="A1204">
        <v>11203</v>
      </c>
      <c r="B1204" t="s">
        <v>7</v>
      </c>
      <c r="C1204" t="s">
        <v>6</v>
      </c>
      <c r="D1204">
        <v>14.41</v>
      </c>
      <c r="E1204">
        <v>5</v>
      </c>
      <c r="F1204" t="s">
        <v>15</v>
      </c>
      <c r="G1204">
        <v>28</v>
      </c>
      <c r="H1204">
        <v>18.444800000000001</v>
      </c>
      <c r="I1204">
        <v>28.000000000000004</v>
      </c>
      <c r="J1204" t="s">
        <v>20</v>
      </c>
    </row>
    <row r="1205" spans="1:10" x14ac:dyDescent="0.2">
      <c r="A1205">
        <v>11204</v>
      </c>
      <c r="B1205" t="s">
        <v>10</v>
      </c>
      <c r="C1205" t="s">
        <v>11</v>
      </c>
      <c r="D1205">
        <v>11.99</v>
      </c>
      <c r="E1205">
        <v>8</v>
      </c>
      <c r="F1205" t="s">
        <v>16</v>
      </c>
      <c r="G1205">
        <v>50</v>
      </c>
      <c r="H1205">
        <v>17.984999999999999</v>
      </c>
      <c r="I1205">
        <v>50</v>
      </c>
      <c r="J1205" t="s">
        <v>20</v>
      </c>
    </row>
    <row r="1206" spans="1:10" x14ac:dyDescent="0.2">
      <c r="A1206">
        <v>11205</v>
      </c>
      <c r="B1206" t="s">
        <v>8</v>
      </c>
      <c r="C1206" t="s">
        <v>11</v>
      </c>
      <c r="D1206">
        <v>9.26</v>
      </c>
      <c r="E1206">
        <v>1</v>
      </c>
      <c r="F1206" t="s">
        <v>14</v>
      </c>
      <c r="G1206">
        <v>10</v>
      </c>
      <c r="H1206">
        <v>10.186</v>
      </c>
      <c r="I1206">
        <v>10.000000000000009</v>
      </c>
      <c r="J1206" t="s">
        <v>20</v>
      </c>
    </row>
    <row r="1207" spans="1:10" x14ac:dyDescent="0.2">
      <c r="A1207">
        <v>11206</v>
      </c>
      <c r="B1207" t="s">
        <v>10</v>
      </c>
      <c r="C1207" t="s">
        <v>11</v>
      </c>
      <c r="D1207">
        <v>7.65</v>
      </c>
      <c r="E1207">
        <v>4</v>
      </c>
      <c r="F1207" t="s">
        <v>15</v>
      </c>
      <c r="G1207">
        <v>25</v>
      </c>
      <c r="H1207">
        <v>9.5625</v>
      </c>
      <c r="I1207">
        <v>25</v>
      </c>
      <c r="J1207" t="s">
        <v>20</v>
      </c>
    </row>
    <row r="1208" spans="1:10" x14ac:dyDescent="0.2">
      <c r="A1208">
        <v>11207</v>
      </c>
      <c r="B1208" t="s">
        <v>8</v>
      </c>
      <c r="C1208" t="s">
        <v>6</v>
      </c>
      <c r="D1208">
        <v>1.08</v>
      </c>
      <c r="E1208">
        <v>9</v>
      </c>
      <c r="F1208" t="s">
        <v>16</v>
      </c>
      <c r="G1208">
        <v>55</v>
      </c>
      <c r="H1208">
        <v>1.6740000000000002</v>
      </c>
      <c r="I1208">
        <v>55.000000000000007</v>
      </c>
      <c r="J1208" t="s">
        <v>20</v>
      </c>
    </row>
    <row r="1209" spans="1:10" x14ac:dyDescent="0.2">
      <c r="A1209">
        <v>11208</v>
      </c>
      <c r="B1209" t="s">
        <v>10</v>
      </c>
      <c r="C1209" t="s">
        <v>9</v>
      </c>
      <c r="D1209">
        <v>14.77</v>
      </c>
      <c r="E1209">
        <v>1</v>
      </c>
      <c r="F1209" t="s">
        <v>14</v>
      </c>
      <c r="G1209">
        <v>15</v>
      </c>
      <c r="H1209">
        <v>16.985499999999998</v>
      </c>
      <c r="I1209">
        <v>14.999999999999991</v>
      </c>
      <c r="J1209" t="s">
        <v>20</v>
      </c>
    </row>
    <row r="1210" spans="1:10" x14ac:dyDescent="0.2">
      <c r="A1210">
        <v>11209</v>
      </c>
      <c r="B1210" t="s">
        <v>8</v>
      </c>
      <c r="C1210" t="s">
        <v>6</v>
      </c>
      <c r="D1210">
        <v>6.06</v>
      </c>
      <c r="E1210">
        <v>1</v>
      </c>
      <c r="F1210" t="s">
        <v>14</v>
      </c>
      <c r="G1210">
        <v>12</v>
      </c>
      <c r="H1210">
        <v>6.7872000000000003</v>
      </c>
      <c r="I1210">
        <v>12.000000000000011</v>
      </c>
      <c r="J1210" t="s">
        <v>20</v>
      </c>
    </row>
    <row r="1211" spans="1:10" x14ac:dyDescent="0.2">
      <c r="A1211">
        <v>11210</v>
      </c>
      <c r="B1211" t="s">
        <v>8</v>
      </c>
      <c r="C1211" t="s">
        <v>9</v>
      </c>
      <c r="D1211">
        <v>2.71</v>
      </c>
      <c r="E1211">
        <v>4</v>
      </c>
      <c r="F1211" t="s">
        <v>15</v>
      </c>
      <c r="G1211">
        <v>30</v>
      </c>
      <c r="H1211">
        <v>3.5230000000000001</v>
      </c>
      <c r="I1211">
        <v>30.000000000000004</v>
      </c>
      <c r="J1211" t="s">
        <v>20</v>
      </c>
    </row>
    <row r="1212" spans="1:10" x14ac:dyDescent="0.2">
      <c r="A1212">
        <v>11211</v>
      </c>
      <c r="B1212" t="s">
        <v>8</v>
      </c>
      <c r="C1212" t="s">
        <v>9</v>
      </c>
      <c r="D1212">
        <v>10.17</v>
      </c>
      <c r="E1212">
        <v>3</v>
      </c>
      <c r="F1212" t="s">
        <v>14</v>
      </c>
      <c r="G1212">
        <v>15</v>
      </c>
      <c r="H1212">
        <v>11.695499999999999</v>
      </c>
      <c r="I1212">
        <v>14.999999999999991</v>
      </c>
      <c r="J1212" t="s">
        <v>20</v>
      </c>
    </row>
    <row r="1213" spans="1:10" x14ac:dyDescent="0.2">
      <c r="A1213">
        <v>11212</v>
      </c>
      <c r="B1213" t="s">
        <v>7</v>
      </c>
      <c r="C1213" t="s">
        <v>9</v>
      </c>
      <c r="D1213">
        <v>4.62</v>
      </c>
      <c r="E1213">
        <v>7</v>
      </c>
      <c r="F1213" t="s">
        <v>15</v>
      </c>
      <c r="G1213">
        <v>30</v>
      </c>
      <c r="H1213">
        <v>6.0060000000000002</v>
      </c>
      <c r="I1213">
        <v>30.000000000000004</v>
      </c>
      <c r="J1213" t="s">
        <v>20</v>
      </c>
    </row>
    <row r="1214" spans="1:10" x14ac:dyDescent="0.2">
      <c r="A1214">
        <v>11213</v>
      </c>
      <c r="B1214" t="s">
        <v>10</v>
      </c>
      <c r="C1214" t="s">
        <v>11</v>
      </c>
      <c r="D1214">
        <v>8.99</v>
      </c>
      <c r="E1214">
        <v>3</v>
      </c>
      <c r="F1214" t="s">
        <v>14</v>
      </c>
      <c r="G1214">
        <v>10</v>
      </c>
      <c r="H1214">
        <v>9.8890000000000011</v>
      </c>
      <c r="I1214">
        <v>10.000000000000009</v>
      </c>
      <c r="J1214" t="s">
        <v>20</v>
      </c>
    </row>
    <row r="1215" spans="1:10" x14ac:dyDescent="0.2">
      <c r="A1215">
        <v>11214</v>
      </c>
      <c r="B1215" t="s">
        <v>10</v>
      </c>
      <c r="C1215" t="s">
        <v>11</v>
      </c>
      <c r="D1215">
        <v>9.01</v>
      </c>
      <c r="E1215">
        <v>1</v>
      </c>
      <c r="F1215" t="s">
        <v>14</v>
      </c>
      <c r="G1215">
        <v>10</v>
      </c>
      <c r="H1215">
        <v>9.9110000000000014</v>
      </c>
      <c r="I1215">
        <v>10.000000000000009</v>
      </c>
      <c r="J1215" t="s">
        <v>20</v>
      </c>
    </row>
    <row r="1216" spans="1:10" x14ac:dyDescent="0.2">
      <c r="A1216">
        <v>11215</v>
      </c>
      <c r="B1216" t="s">
        <v>10</v>
      </c>
      <c r="C1216" t="s">
        <v>9</v>
      </c>
      <c r="D1216">
        <v>6.96</v>
      </c>
      <c r="E1216">
        <v>10</v>
      </c>
      <c r="F1216" t="s">
        <v>16</v>
      </c>
      <c r="G1216">
        <v>60</v>
      </c>
      <c r="H1216">
        <v>11.136000000000001</v>
      </c>
      <c r="I1216">
        <v>60.000000000000007</v>
      </c>
      <c r="J1216" t="s">
        <v>20</v>
      </c>
    </row>
    <row r="1217" spans="1:10" x14ac:dyDescent="0.2">
      <c r="A1217">
        <v>11216</v>
      </c>
      <c r="B1217" t="s">
        <v>8</v>
      </c>
      <c r="C1217" t="s">
        <v>9</v>
      </c>
      <c r="D1217">
        <v>12.62</v>
      </c>
      <c r="E1217">
        <v>2</v>
      </c>
      <c r="F1217" t="s">
        <v>14</v>
      </c>
      <c r="G1217">
        <v>15</v>
      </c>
      <c r="H1217">
        <v>14.512999999999998</v>
      </c>
      <c r="I1217">
        <v>14.999999999999991</v>
      </c>
      <c r="J1217" t="s">
        <v>20</v>
      </c>
    </row>
    <row r="1218" spans="1:10" x14ac:dyDescent="0.2">
      <c r="A1218">
        <v>11217</v>
      </c>
      <c r="B1218" t="s">
        <v>10</v>
      </c>
      <c r="C1218" t="s">
        <v>11</v>
      </c>
      <c r="D1218">
        <v>4.34</v>
      </c>
      <c r="E1218">
        <v>10</v>
      </c>
      <c r="F1218" t="s">
        <v>16</v>
      </c>
      <c r="G1218">
        <v>50</v>
      </c>
      <c r="H1218">
        <v>6.51</v>
      </c>
      <c r="I1218">
        <v>50</v>
      </c>
      <c r="J1218" t="s">
        <v>20</v>
      </c>
    </row>
    <row r="1219" spans="1:10" x14ac:dyDescent="0.2">
      <c r="A1219">
        <v>11218</v>
      </c>
      <c r="B1219" t="s">
        <v>10</v>
      </c>
      <c r="C1219" t="s">
        <v>6</v>
      </c>
      <c r="D1219">
        <v>7.01</v>
      </c>
      <c r="E1219">
        <v>4</v>
      </c>
      <c r="F1219" t="s">
        <v>15</v>
      </c>
      <c r="G1219">
        <v>28</v>
      </c>
      <c r="H1219">
        <v>8.9727999999999994</v>
      </c>
      <c r="I1219">
        <v>28.000000000000004</v>
      </c>
      <c r="J1219" t="s">
        <v>20</v>
      </c>
    </row>
    <row r="1220" spans="1:10" x14ac:dyDescent="0.2">
      <c r="A1220">
        <v>11219</v>
      </c>
      <c r="B1220" t="s">
        <v>8</v>
      </c>
      <c r="C1220" t="s">
        <v>9</v>
      </c>
      <c r="D1220">
        <v>8.3000000000000007</v>
      </c>
      <c r="E1220">
        <v>1</v>
      </c>
      <c r="F1220" t="s">
        <v>14</v>
      </c>
      <c r="G1220">
        <v>15</v>
      </c>
      <c r="H1220">
        <v>9.5449999999999999</v>
      </c>
      <c r="I1220">
        <v>14.999999999999991</v>
      </c>
      <c r="J1220" t="s">
        <v>20</v>
      </c>
    </row>
    <row r="1221" spans="1:10" x14ac:dyDescent="0.2">
      <c r="A1221">
        <v>11220</v>
      </c>
      <c r="B1221" t="s">
        <v>5</v>
      </c>
      <c r="C1221" t="s">
        <v>6</v>
      </c>
      <c r="D1221">
        <v>10.119999999999999</v>
      </c>
      <c r="E1221">
        <v>1</v>
      </c>
      <c r="F1221" t="s">
        <v>14</v>
      </c>
      <c r="G1221">
        <v>12</v>
      </c>
      <c r="H1221">
        <v>11.3344</v>
      </c>
      <c r="I1221">
        <v>12.000000000000011</v>
      </c>
      <c r="J1221" t="s">
        <v>20</v>
      </c>
    </row>
    <row r="1222" spans="1:10" x14ac:dyDescent="0.2">
      <c r="A1222">
        <v>11221</v>
      </c>
      <c r="B1222" t="s">
        <v>8</v>
      </c>
      <c r="C1222" t="s">
        <v>11</v>
      </c>
      <c r="D1222">
        <v>11.87</v>
      </c>
      <c r="E1222">
        <v>8</v>
      </c>
      <c r="F1222" t="s">
        <v>16</v>
      </c>
      <c r="G1222">
        <v>50</v>
      </c>
      <c r="H1222">
        <v>17.805</v>
      </c>
      <c r="I1222">
        <v>50</v>
      </c>
      <c r="J1222" t="s">
        <v>20</v>
      </c>
    </row>
    <row r="1223" spans="1:10" x14ac:dyDescent="0.2">
      <c r="A1223">
        <v>11222</v>
      </c>
      <c r="B1223" t="s">
        <v>10</v>
      </c>
      <c r="C1223" t="s">
        <v>9</v>
      </c>
      <c r="D1223">
        <v>6.22</v>
      </c>
      <c r="E1223">
        <v>7</v>
      </c>
      <c r="F1223" t="s">
        <v>15</v>
      </c>
      <c r="G1223">
        <v>30</v>
      </c>
      <c r="H1223">
        <v>8.0860000000000003</v>
      </c>
      <c r="I1223">
        <v>30.000000000000004</v>
      </c>
      <c r="J1223" t="s">
        <v>20</v>
      </c>
    </row>
    <row r="1224" spans="1:10" x14ac:dyDescent="0.2">
      <c r="A1224">
        <v>11223</v>
      </c>
      <c r="B1224" t="s">
        <v>8</v>
      </c>
      <c r="C1224" t="s">
        <v>6</v>
      </c>
      <c r="D1224">
        <v>9.8699999999999992</v>
      </c>
      <c r="E1224">
        <v>8</v>
      </c>
      <c r="F1224" t="s">
        <v>16</v>
      </c>
      <c r="G1224">
        <v>55</v>
      </c>
      <c r="H1224">
        <v>15.298499999999999</v>
      </c>
      <c r="I1224">
        <v>55.000000000000007</v>
      </c>
      <c r="J1224" t="s">
        <v>20</v>
      </c>
    </row>
    <row r="1225" spans="1:10" x14ac:dyDescent="0.2">
      <c r="A1225">
        <v>11224</v>
      </c>
      <c r="B1225" t="s">
        <v>5</v>
      </c>
      <c r="C1225" t="s">
        <v>6</v>
      </c>
      <c r="D1225">
        <v>2.68</v>
      </c>
      <c r="E1225">
        <v>4</v>
      </c>
      <c r="F1225" t="s">
        <v>15</v>
      </c>
      <c r="G1225">
        <v>28</v>
      </c>
      <c r="H1225">
        <v>3.4304000000000001</v>
      </c>
      <c r="I1225">
        <v>28.000000000000004</v>
      </c>
      <c r="J1225" t="s">
        <v>20</v>
      </c>
    </row>
    <row r="1226" spans="1:10" x14ac:dyDescent="0.2">
      <c r="A1226">
        <v>11225</v>
      </c>
      <c r="B1226" t="s">
        <v>8</v>
      </c>
      <c r="C1226" t="s">
        <v>6</v>
      </c>
      <c r="D1226">
        <v>14.02</v>
      </c>
      <c r="E1226">
        <v>6</v>
      </c>
      <c r="F1226" t="s">
        <v>15</v>
      </c>
      <c r="G1226">
        <v>28</v>
      </c>
      <c r="H1226">
        <v>17.945599999999999</v>
      </c>
      <c r="I1226">
        <v>28.000000000000004</v>
      </c>
      <c r="J1226" t="s">
        <v>20</v>
      </c>
    </row>
    <row r="1227" spans="1:10" x14ac:dyDescent="0.2">
      <c r="A1227">
        <v>11226</v>
      </c>
      <c r="B1227" t="s">
        <v>10</v>
      </c>
      <c r="C1227" t="s">
        <v>11</v>
      </c>
      <c r="D1227">
        <v>6.05</v>
      </c>
      <c r="E1227">
        <v>3</v>
      </c>
      <c r="F1227" t="s">
        <v>14</v>
      </c>
      <c r="G1227">
        <v>10</v>
      </c>
      <c r="H1227">
        <v>6.6550000000000002</v>
      </c>
      <c r="I1227">
        <v>10.000000000000009</v>
      </c>
      <c r="J1227" t="s">
        <v>20</v>
      </c>
    </row>
    <row r="1228" spans="1:10" x14ac:dyDescent="0.2">
      <c r="A1228">
        <v>11227</v>
      </c>
      <c r="B1228" t="s">
        <v>5</v>
      </c>
      <c r="C1228" t="s">
        <v>11</v>
      </c>
      <c r="D1228">
        <v>11.08</v>
      </c>
      <c r="E1228">
        <v>8</v>
      </c>
      <c r="F1228" t="s">
        <v>16</v>
      </c>
      <c r="G1228">
        <v>50</v>
      </c>
      <c r="H1228">
        <v>16.62</v>
      </c>
      <c r="I1228">
        <v>50</v>
      </c>
      <c r="J1228" t="s">
        <v>20</v>
      </c>
    </row>
    <row r="1229" spans="1:10" x14ac:dyDescent="0.2">
      <c r="A1229">
        <v>11228</v>
      </c>
      <c r="B1229" t="s">
        <v>7</v>
      </c>
      <c r="C1229" t="s">
        <v>6</v>
      </c>
      <c r="D1229">
        <v>0.79</v>
      </c>
      <c r="E1229">
        <v>4</v>
      </c>
      <c r="F1229" t="s">
        <v>15</v>
      </c>
      <c r="G1229">
        <v>28</v>
      </c>
      <c r="H1229">
        <v>1.0112000000000001</v>
      </c>
      <c r="I1229">
        <v>28.000000000000004</v>
      </c>
      <c r="J1229" t="s">
        <v>20</v>
      </c>
    </row>
    <row r="1230" spans="1:10" x14ac:dyDescent="0.2">
      <c r="A1230">
        <v>11229</v>
      </c>
      <c r="B1230" t="s">
        <v>10</v>
      </c>
      <c r="C1230" t="s">
        <v>6</v>
      </c>
      <c r="D1230">
        <v>3.48</v>
      </c>
      <c r="E1230">
        <v>3</v>
      </c>
      <c r="F1230" t="s">
        <v>14</v>
      </c>
      <c r="G1230">
        <v>12</v>
      </c>
      <c r="H1230">
        <v>3.8976000000000002</v>
      </c>
      <c r="I1230">
        <v>12.000000000000011</v>
      </c>
      <c r="J1230" t="s">
        <v>20</v>
      </c>
    </row>
    <row r="1231" spans="1:10" x14ac:dyDescent="0.2">
      <c r="A1231">
        <v>11230</v>
      </c>
      <c r="B1231" t="s">
        <v>5</v>
      </c>
      <c r="C1231" t="s">
        <v>11</v>
      </c>
      <c r="D1231">
        <v>7.56</v>
      </c>
      <c r="E1231">
        <v>4</v>
      </c>
      <c r="F1231" t="s">
        <v>15</v>
      </c>
      <c r="G1231">
        <v>25</v>
      </c>
      <c r="H1231">
        <v>9.4499999999999993</v>
      </c>
      <c r="I1231">
        <v>25</v>
      </c>
      <c r="J1231" t="s">
        <v>20</v>
      </c>
    </row>
    <row r="1232" spans="1:10" x14ac:dyDescent="0.2">
      <c r="A1232">
        <v>11231</v>
      </c>
      <c r="B1232" t="s">
        <v>5</v>
      </c>
      <c r="C1232" t="s">
        <v>6</v>
      </c>
      <c r="D1232">
        <v>13.23</v>
      </c>
      <c r="E1232">
        <v>6</v>
      </c>
      <c r="F1232" t="s">
        <v>15</v>
      </c>
      <c r="G1232">
        <v>28</v>
      </c>
      <c r="H1232">
        <v>16.9344</v>
      </c>
      <c r="I1232">
        <v>28.000000000000004</v>
      </c>
      <c r="J1232" t="s">
        <v>20</v>
      </c>
    </row>
    <row r="1233" spans="1:10" x14ac:dyDescent="0.2">
      <c r="A1233">
        <v>11232</v>
      </c>
      <c r="B1233" t="s">
        <v>7</v>
      </c>
      <c r="C1233" t="s">
        <v>6</v>
      </c>
      <c r="D1233">
        <v>8.15</v>
      </c>
      <c r="E1233">
        <v>7</v>
      </c>
      <c r="F1233" t="s">
        <v>15</v>
      </c>
      <c r="G1233">
        <v>28</v>
      </c>
      <c r="H1233">
        <v>10.432</v>
      </c>
      <c r="I1233">
        <v>28.000000000000004</v>
      </c>
      <c r="J1233" t="s">
        <v>20</v>
      </c>
    </row>
    <row r="1234" spans="1:10" x14ac:dyDescent="0.2">
      <c r="A1234">
        <v>11233</v>
      </c>
      <c r="B1234" t="s">
        <v>8</v>
      </c>
      <c r="C1234" t="s">
        <v>11</v>
      </c>
      <c r="D1234">
        <v>13.98</v>
      </c>
      <c r="E1234">
        <v>7</v>
      </c>
      <c r="F1234" t="s">
        <v>15</v>
      </c>
      <c r="G1234">
        <v>25</v>
      </c>
      <c r="H1234">
        <v>17.475000000000001</v>
      </c>
      <c r="I1234">
        <v>25</v>
      </c>
      <c r="J1234" t="s">
        <v>20</v>
      </c>
    </row>
    <row r="1235" spans="1:10" x14ac:dyDescent="0.2">
      <c r="A1235">
        <v>11234</v>
      </c>
      <c r="B1235" t="s">
        <v>8</v>
      </c>
      <c r="C1235" t="s">
        <v>6</v>
      </c>
      <c r="D1235">
        <v>7.52</v>
      </c>
      <c r="E1235">
        <v>4</v>
      </c>
      <c r="F1235" t="s">
        <v>15</v>
      </c>
      <c r="G1235">
        <v>28</v>
      </c>
      <c r="H1235">
        <v>9.6256000000000004</v>
      </c>
      <c r="I1235">
        <v>28.000000000000004</v>
      </c>
      <c r="J1235" t="s">
        <v>20</v>
      </c>
    </row>
    <row r="1236" spans="1:10" x14ac:dyDescent="0.2">
      <c r="A1236">
        <v>11235</v>
      </c>
      <c r="B1236" t="s">
        <v>10</v>
      </c>
      <c r="C1236" t="s">
        <v>6</v>
      </c>
      <c r="D1236">
        <v>7.61</v>
      </c>
      <c r="E1236">
        <v>8</v>
      </c>
      <c r="F1236" t="s">
        <v>16</v>
      </c>
      <c r="G1236">
        <v>55</v>
      </c>
      <c r="H1236">
        <v>11.795500000000001</v>
      </c>
      <c r="I1236">
        <v>55.000000000000007</v>
      </c>
      <c r="J1236" t="s">
        <v>20</v>
      </c>
    </row>
    <row r="1237" spans="1:10" x14ac:dyDescent="0.2">
      <c r="A1237">
        <v>11236</v>
      </c>
      <c r="B1237" t="s">
        <v>7</v>
      </c>
      <c r="C1237" t="s">
        <v>6</v>
      </c>
      <c r="D1237">
        <v>2.2400000000000002</v>
      </c>
      <c r="E1237">
        <v>7</v>
      </c>
      <c r="F1237" t="s">
        <v>15</v>
      </c>
      <c r="G1237">
        <v>28</v>
      </c>
      <c r="H1237">
        <v>2.8672000000000004</v>
      </c>
      <c r="I1237">
        <v>28.000000000000004</v>
      </c>
      <c r="J1237" t="s">
        <v>20</v>
      </c>
    </row>
    <row r="1238" spans="1:10" x14ac:dyDescent="0.2">
      <c r="A1238">
        <v>11237</v>
      </c>
      <c r="B1238" t="s">
        <v>8</v>
      </c>
      <c r="C1238" t="s">
        <v>11</v>
      </c>
      <c r="D1238">
        <v>12.14</v>
      </c>
      <c r="E1238">
        <v>2</v>
      </c>
      <c r="F1238" t="s">
        <v>14</v>
      </c>
      <c r="G1238">
        <v>10</v>
      </c>
      <c r="H1238">
        <v>13.354000000000001</v>
      </c>
      <c r="I1238">
        <v>10.000000000000009</v>
      </c>
      <c r="J1238" t="s">
        <v>20</v>
      </c>
    </row>
    <row r="1239" spans="1:10" x14ac:dyDescent="0.2">
      <c r="A1239">
        <v>11238</v>
      </c>
      <c r="B1239" t="s">
        <v>7</v>
      </c>
      <c r="C1239" t="s">
        <v>6</v>
      </c>
      <c r="D1239">
        <v>4.08</v>
      </c>
      <c r="E1239">
        <v>8</v>
      </c>
      <c r="F1239" t="s">
        <v>16</v>
      </c>
      <c r="G1239">
        <v>55</v>
      </c>
      <c r="H1239">
        <v>6.3240000000000007</v>
      </c>
      <c r="I1239">
        <v>55.000000000000007</v>
      </c>
      <c r="J1239" t="s">
        <v>20</v>
      </c>
    </row>
    <row r="1240" spans="1:10" x14ac:dyDescent="0.2">
      <c r="A1240">
        <v>11239</v>
      </c>
      <c r="B1240" t="s">
        <v>8</v>
      </c>
      <c r="C1240" t="s">
        <v>11</v>
      </c>
      <c r="D1240">
        <v>13.54</v>
      </c>
      <c r="E1240">
        <v>9</v>
      </c>
      <c r="F1240" t="s">
        <v>16</v>
      </c>
      <c r="G1240">
        <v>50</v>
      </c>
      <c r="H1240">
        <v>20.309999999999999</v>
      </c>
      <c r="I1240">
        <v>50</v>
      </c>
      <c r="J1240" t="s">
        <v>20</v>
      </c>
    </row>
    <row r="1241" spans="1:10" x14ac:dyDescent="0.2">
      <c r="A1241">
        <v>11240</v>
      </c>
      <c r="B1241" t="s">
        <v>5</v>
      </c>
      <c r="C1241" t="s">
        <v>11</v>
      </c>
      <c r="D1241">
        <v>13.71</v>
      </c>
      <c r="E1241">
        <v>5</v>
      </c>
      <c r="F1241" t="s">
        <v>15</v>
      </c>
      <c r="G1241">
        <v>25</v>
      </c>
      <c r="H1241">
        <v>17.137500000000003</v>
      </c>
      <c r="I1241">
        <v>25.000000000000021</v>
      </c>
      <c r="J1241" t="s">
        <v>20</v>
      </c>
    </row>
    <row r="1242" spans="1:10" x14ac:dyDescent="0.2">
      <c r="A1242">
        <v>11241</v>
      </c>
      <c r="B1242" t="s">
        <v>8</v>
      </c>
      <c r="C1242" t="s">
        <v>9</v>
      </c>
      <c r="D1242">
        <v>14.18</v>
      </c>
      <c r="E1242">
        <v>4</v>
      </c>
      <c r="F1242" t="s">
        <v>15</v>
      </c>
      <c r="G1242">
        <v>30</v>
      </c>
      <c r="H1242">
        <v>18.434000000000001</v>
      </c>
      <c r="I1242">
        <v>30.000000000000004</v>
      </c>
      <c r="J1242" t="s">
        <v>20</v>
      </c>
    </row>
    <row r="1243" spans="1:10" x14ac:dyDescent="0.2">
      <c r="A1243">
        <v>11242</v>
      </c>
      <c r="B1243" t="s">
        <v>7</v>
      </c>
      <c r="C1243" t="s">
        <v>9</v>
      </c>
      <c r="D1243">
        <v>8.0399999999999991</v>
      </c>
      <c r="E1243">
        <v>4</v>
      </c>
      <c r="F1243" t="s">
        <v>15</v>
      </c>
      <c r="G1243">
        <v>30</v>
      </c>
      <c r="H1243">
        <v>10.452</v>
      </c>
      <c r="I1243">
        <v>30.000000000000004</v>
      </c>
      <c r="J1243" t="s">
        <v>20</v>
      </c>
    </row>
    <row r="1244" spans="1:10" x14ac:dyDescent="0.2">
      <c r="A1244">
        <v>11243</v>
      </c>
      <c r="B1244" t="s">
        <v>5</v>
      </c>
      <c r="C1244" t="s">
        <v>6</v>
      </c>
      <c r="D1244">
        <v>10.32</v>
      </c>
      <c r="E1244">
        <v>4</v>
      </c>
      <c r="F1244" t="s">
        <v>15</v>
      </c>
      <c r="G1244">
        <v>28</v>
      </c>
      <c r="H1244">
        <v>13.2096</v>
      </c>
      <c r="I1244">
        <v>28.000000000000004</v>
      </c>
      <c r="J1244" t="s">
        <v>20</v>
      </c>
    </row>
    <row r="1245" spans="1:10" x14ac:dyDescent="0.2">
      <c r="A1245">
        <v>11244</v>
      </c>
      <c r="B1245" t="s">
        <v>5</v>
      </c>
      <c r="C1245" t="s">
        <v>11</v>
      </c>
      <c r="D1245">
        <v>11.79</v>
      </c>
      <c r="E1245">
        <v>6</v>
      </c>
      <c r="F1245" t="s">
        <v>15</v>
      </c>
      <c r="G1245">
        <v>25</v>
      </c>
      <c r="H1245">
        <v>14.737499999999999</v>
      </c>
      <c r="I1245">
        <v>25</v>
      </c>
      <c r="J1245" t="s">
        <v>20</v>
      </c>
    </row>
    <row r="1246" spans="1:10" x14ac:dyDescent="0.2">
      <c r="A1246">
        <v>11245</v>
      </c>
      <c r="B1246" t="s">
        <v>5</v>
      </c>
      <c r="C1246" t="s">
        <v>9</v>
      </c>
      <c r="D1246">
        <v>2.4</v>
      </c>
      <c r="E1246">
        <v>4</v>
      </c>
      <c r="F1246" t="s">
        <v>15</v>
      </c>
      <c r="G1246">
        <v>30</v>
      </c>
      <c r="H1246">
        <v>3.12</v>
      </c>
      <c r="I1246">
        <v>30.000000000000004</v>
      </c>
      <c r="J1246" t="s">
        <v>20</v>
      </c>
    </row>
    <row r="1247" spans="1:10" x14ac:dyDescent="0.2">
      <c r="A1247">
        <v>11246</v>
      </c>
      <c r="B1247" t="s">
        <v>7</v>
      </c>
      <c r="C1247" t="s">
        <v>6</v>
      </c>
      <c r="D1247">
        <v>9.2100000000000009</v>
      </c>
      <c r="E1247">
        <v>7</v>
      </c>
      <c r="F1247" t="s">
        <v>15</v>
      </c>
      <c r="G1247">
        <v>28</v>
      </c>
      <c r="H1247">
        <v>11.788800000000002</v>
      </c>
      <c r="I1247">
        <v>28.000000000000004</v>
      </c>
      <c r="J1247" t="s">
        <v>20</v>
      </c>
    </row>
    <row r="1248" spans="1:10" x14ac:dyDescent="0.2">
      <c r="A1248">
        <v>11247</v>
      </c>
      <c r="B1248" t="s">
        <v>10</v>
      </c>
      <c r="C1248" t="s">
        <v>9</v>
      </c>
      <c r="D1248">
        <v>1</v>
      </c>
      <c r="E1248">
        <v>7</v>
      </c>
      <c r="F1248" t="s">
        <v>15</v>
      </c>
      <c r="G1248">
        <v>30</v>
      </c>
      <c r="H1248">
        <v>1.3</v>
      </c>
      <c r="I1248">
        <v>30.000000000000004</v>
      </c>
      <c r="J1248" t="s">
        <v>20</v>
      </c>
    </row>
    <row r="1249" spans="1:10" x14ac:dyDescent="0.2">
      <c r="A1249">
        <v>11248</v>
      </c>
      <c r="B1249" t="s">
        <v>10</v>
      </c>
      <c r="C1249" t="s">
        <v>9</v>
      </c>
      <c r="D1249">
        <v>7.71</v>
      </c>
      <c r="E1249">
        <v>5</v>
      </c>
      <c r="F1249" t="s">
        <v>15</v>
      </c>
      <c r="G1249">
        <v>30</v>
      </c>
      <c r="H1249">
        <v>10.023</v>
      </c>
      <c r="I1249">
        <v>30.000000000000004</v>
      </c>
      <c r="J1249" t="s">
        <v>20</v>
      </c>
    </row>
    <row r="1250" spans="1:10" x14ac:dyDescent="0.2">
      <c r="A1250">
        <v>11249</v>
      </c>
      <c r="B1250" t="s">
        <v>10</v>
      </c>
      <c r="C1250" t="s">
        <v>11</v>
      </c>
      <c r="D1250">
        <v>2.75</v>
      </c>
      <c r="E1250">
        <v>5</v>
      </c>
      <c r="F1250" t="s">
        <v>15</v>
      </c>
      <c r="G1250">
        <v>25</v>
      </c>
      <c r="H1250">
        <v>3.4375</v>
      </c>
      <c r="I1250">
        <v>25</v>
      </c>
      <c r="J1250" t="s">
        <v>20</v>
      </c>
    </row>
    <row r="1251" spans="1:10" x14ac:dyDescent="0.2">
      <c r="A1251">
        <v>11250</v>
      </c>
      <c r="B1251" t="s">
        <v>7</v>
      </c>
      <c r="C1251" t="s">
        <v>11</v>
      </c>
      <c r="D1251">
        <v>3.15</v>
      </c>
      <c r="E1251">
        <v>10</v>
      </c>
      <c r="F1251" t="s">
        <v>16</v>
      </c>
      <c r="G1251">
        <v>50</v>
      </c>
      <c r="H1251">
        <v>4.7249999999999996</v>
      </c>
      <c r="I1251">
        <v>50</v>
      </c>
      <c r="J1251" t="s">
        <v>20</v>
      </c>
    </row>
    <row r="1252" spans="1:10" x14ac:dyDescent="0.2">
      <c r="A1252">
        <v>11251</v>
      </c>
      <c r="B1252" t="s">
        <v>5</v>
      </c>
      <c r="C1252" t="s">
        <v>9</v>
      </c>
      <c r="D1252">
        <v>5.79</v>
      </c>
      <c r="E1252">
        <v>8</v>
      </c>
      <c r="F1252" t="s">
        <v>16</v>
      </c>
      <c r="G1252">
        <v>60</v>
      </c>
      <c r="H1252">
        <v>9.2640000000000011</v>
      </c>
      <c r="I1252">
        <v>60.000000000000007</v>
      </c>
      <c r="J1252" t="s">
        <v>20</v>
      </c>
    </row>
    <row r="1253" spans="1:10" x14ac:dyDescent="0.2">
      <c r="A1253">
        <v>11252</v>
      </c>
      <c r="B1253" t="s">
        <v>10</v>
      </c>
      <c r="C1253" t="s">
        <v>9</v>
      </c>
      <c r="D1253">
        <v>6.77</v>
      </c>
      <c r="E1253">
        <v>7</v>
      </c>
      <c r="F1253" t="s">
        <v>15</v>
      </c>
      <c r="G1253">
        <v>30</v>
      </c>
      <c r="H1253">
        <v>8.8010000000000002</v>
      </c>
      <c r="I1253">
        <v>30.000000000000004</v>
      </c>
      <c r="J1253" t="s">
        <v>20</v>
      </c>
    </row>
    <row r="1254" spans="1:10" x14ac:dyDescent="0.2">
      <c r="A1254">
        <v>11253</v>
      </c>
      <c r="B1254" t="s">
        <v>7</v>
      </c>
      <c r="C1254" t="s">
        <v>11</v>
      </c>
      <c r="D1254">
        <v>9.5399999999999991</v>
      </c>
      <c r="E1254">
        <v>7</v>
      </c>
      <c r="F1254" t="s">
        <v>15</v>
      </c>
      <c r="G1254">
        <v>25</v>
      </c>
      <c r="H1254">
        <v>11.924999999999999</v>
      </c>
      <c r="I1254">
        <v>25</v>
      </c>
      <c r="J1254" t="s">
        <v>20</v>
      </c>
    </row>
    <row r="1255" spans="1:10" x14ac:dyDescent="0.2">
      <c r="A1255">
        <v>11254</v>
      </c>
      <c r="B1255" t="s">
        <v>10</v>
      </c>
      <c r="C1255" t="s">
        <v>6</v>
      </c>
      <c r="D1255">
        <v>1.58</v>
      </c>
      <c r="E1255">
        <v>6</v>
      </c>
      <c r="F1255" t="s">
        <v>15</v>
      </c>
      <c r="G1255">
        <v>28</v>
      </c>
      <c r="H1255">
        <v>2.0224000000000002</v>
      </c>
      <c r="I1255">
        <v>28.000000000000004</v>
      </c>
      <c r="J1255" t="s">
        <v>20</v>
      </c>
    </row>
    <row r="1256" spans="1:10" x14ac:dyDescent="0.2">
      <c r="A1256">
        <v>11255</v>
      </c>
      <c r="B1256" t="s">
        <v>8</v>
      </c>
      <c r="C1256" t="s">
        <v>11</v>
      </c>
      <c r="D1256">
        <v>7.8</v>
      </c>
      <c r="E1256">
        <v>7</v>
      </c>
      <c r="F1256" t="s">
        <v>15</v>
      </c>
      <c r="G1256">
        <v>25</v>
      </c>
      <c r="H1256">
        <v>9.75</v>
      </c>
      <c r="I1256">
        <v>25</v>
      </c>
      <c r="J1256" t="s">
        <v>20</v>
      </c>
    </row>
    <row r="1257" spans="1:10" x14ac:dyDescent="0.2">
      <c r="A1257">
        <v>11256</v>
      </c>
      <c r="B1257" t="s">
        <v>10</v>
      </c>
      <c r="C1257" t="s">
        <v>9</v>
      </c>
      <c r="D1257">
        <v>3.15</v>
      </c>
      <c r="E1257">
        <v>7</v>
      </c>
      <c r="F1257" t="s">
        <v>15</v>
      </c>
      <c r="G1257">
        <v>30</v>
      </c>
      <c r="H1257">
        <v>4.0949999999999998</v>
      </c>
      <c r="I1257">
        <v>30.000000000000004</v>
      </c>
      <c r="J1257" t="s">
        <v>20</v>
      </c>
    </row>
    <row r="1258" spans="1:10" x14ac:dyDescent="0.2">
      <c r="A1258">
        <v>11257</v>
      </c>
      <c r="B1258" t="s">
        <v>10</v>
      </c>
      <c r="C1258" t="s">
        <v>6</v>
      </c>
      <c r="D1258">
        <v>8.82</v>
      </c>
      <c r="E1258">
        <v>10</v>
      </c>
      <c r="F1258" t="s">
        <v>16</v>
      </c>
      <c r="G1258">
        <v>55</v>
      </c>
      <c r="H1258">
        <v>13.671000000000001</v>
      </c>
      <c r="I1258">
        <v>55.000000000000007</v>
      </c>
      <c r="J1258" t="s">
        <v>20</v>
      </c>
    </row>
    <row r="1259" spans="1:10" x14ac:dyDescent="0.2">
      <c r="A1259">
        <v>11258</v>
      </c>
      <c r="B1259" t="s">
        <v>5</v>
      </c>
      <c r="C1259" t="s">
        <v>9</v>
      </c>
      <c r="D1259">
        <v>9.74</v>
      </c>
      <c r="E1259">
        <v>2</v>
      </c>
      <c r="F1259" t="s">
        <v>14</v>
      </c>
      <c r="G1259">
        <v>15</v>
      </c>
      <c r="H1259">
        <v>11.200999999999999</v>
      </c>
      <c r="I1259">
        <v>14.999999999999991</v>
      </c>
      <c r="J1259" t="s">
        <v>20</v>
      </c>
    </row>
    <row r="1260" spans="1:10" x14ac:dyDescent="0.2">
      <c r="A1260">
        <v>11259</v>
      </c>
      <c r="B1260" t="s">
        <v>7</v>
      </c>
      <c r="C1260" t="s">
        <v>6</v>
      </c>
      <c r="D1260">
        <v>8.57</v>
      </c>
      <c r="E1260">
        <v>10</v>
      </c>
      <c r="F1260" t="s">
        <v>16</v>
      </c>
      <c r="G1260">
        <v>55</v>
      </c>
      <c r="H1260">
        <v>13.2835</v>
      </c>
      <c r="I1260">
        <v>55.000000000000007</v>
      </c>
      <c r="J1260" t="s">
        <v>20</v>
      </c>
    </row>
    <row r="1261" spans="1:10" x14ac:dyDescent="0.2">
      <c r="A1261">
        <v>11260</v>
      </c>
      <c r="B1261" t="s">
        <v>5</v>
      </c>
      <c r="C1261" t="s">
        <v>9</v>
      </c>
      <c r="D1261">
        <v>11.21</v>
      </c>
      <c r="E1261">
        <v>2</v>
      </c>
      <c r="F1261" t="s">
        <v>14</v>
      </c>
      <c r="G1261">
        <v>15</v>
      </c>
      <c r="H1261">
        <v>12.891500000000001</v>
      </c>
      <c r="I1261">
        <v>14.999999999999991</v>
      </c>
      <c r="J1261" t="s">
        <v>20</v>
      </c>
    </row>
    <row r="1262" spans="1:10" x14ac:dyDescent="0.2">
      <c r="A1262">
        <v>11261</v>
      </c>
      <c r="B1262" t="s">
        <v>5</v>
      </c>
      <c r="C1262" t="s">
        <v>6</v>
      </c>
      <c r="D1262">
        <v>5.37</v>
      </c>
      <c r="E1262">
        <v>10</v>
      </c>
      <c r="F1262" t="s">
        <v>16</v>
      </c>
      <c r="G1262">
        <v>55</v>
      </c>
      <c r="H1262">
        <v>8.323500000000001</v>
      </c>
      <c r="I1262">
        <v>55.000000000000028</v>
      </c>
      <c r="J1262" t="s">
        <v>20</v>
      </c>
    </row>
    <row r="1263" spans="1:10" x14ac:dyDescent="0.2">
      <c r="A1263">
        <v>11262</v>
      </c>
      <c r="B1263" t="s">
        <v>5</v>
      </c>
      <c r="C1263" t="s">
        <v>6</v>
      </c>
      <c r="D1263">
        <v>11.59</v>
      </c>
      <c r="E1263">
        <v>7</v>
      </c>
      <c r="F1263" t="s">
        <v>15</v>
      </c>
      <c r="G1263">
        <v>28</v>
      </c>
      <c r="H1263">
        <v>14.8352</v>
      </c>
      <c r="I1263">
        <v>28.000000000000004</v>
      </c>
      <c r="J1263" t="s">
        <v>20</v>
      </c>
    </row>
    <row r="1264" spans="1:10" x14ac:dyDescent="0.2">
      <c r="A1264">
        <v>11263</v>
      </c>
      <c r="B1264" t="s">
        <v>5</v>
      </c>
      <c r="C1264" t="s">
        <v>9</v>
      </c>
      <c r="D1264">
        <v>6.78</v>
      </c>
      <c r="E1264">
        <v>10</v>
      </c>
      <c r="F1264" t="s">
        <v>16</v>
      </c>
      <c r="G1264">
        <v>60</v>
      </c>
      <c r="H1264">
        <v>10.848000000000001</v>
      </c>
      <c r="I1264">
        <v>60.000000000000007</v>
      </c>
      <c r="J1264" t="s">
        <v>20</v>
      </c>
    </row>
    <row r="1265" spans="1:10" x14ac:dyDescent="0.2">
      <c r="A1265">
        <v>11264</v>
      </c>
      <c r="B1265" t="s">
        <v>5</v>
      </c>
      <c r="C1265" t="s">
        <v>6</v>
      </c>
      <c r="D1265">
        <v>7.52</v>
      </c>
      <c r="E1265">
        <v>7</v>
      </c>
      <c r="F1265" t="s">
        <v>15</v>
      </c>
      <c r="G1265">
        <v>28</v>
      </c>
      <c r="H1265">
        <v>9.6256000000000004</v>
      </c>
      <c r="I1265">
        <v>28.000000000000004</v>
      </c>
      <c r="J1265" t="s">
        <v>20</v>
      </c>
    </row>
    <row r="1266" spans="1:10" x14ac:dyDescent="0.2">
      <c r="A1266">
        <v>11265</v>
      </c>
      <c r="B1266" t="s">
        <v>10</v>
      </c>
      <c r="C1266" t="s">
        <v>11</v>
      </c>
      <c r="D1266">
        <v>9.9</v>
      </c>
      <c r="E1266">
        <v>7</v>
      </c>
      <c r="F1266" t="s">
        <v>15</v>
      </c>
      <c r="G1266">
        <v>25</v>
      </c>
      <c r="H1266">
        <v>12.375</v>
      </c>
      <c r="I1266">
        <v>25</v>
      </c>
      <c r="J1266" t="s">
        <v>20</v>
      </c>
    </row>
    <row r="1267" spans="1:10" x14ac:dyDescent="0.2">
      <c r="A1267">
        <v>11266</v>
      </c>
      <c r="B1267" t="s">
        <v>5</v>
      </c>
      <c r="C1267" t="s">
        <v>9</v>
      </c>
      <c r="D1267">
        <v>0.77</v>
      </c>
      <c r="E1267">
        <v>5</v>
      </c>
      <c r="F1267" t="s">
        <v>15</v>
      </c>
      <c r="G1267">
        <v>30</v>
      </c>
      <c r="H1267">
        <v>1.0010000000000001</v>
      </c>
      <c r="I1267">
        <v>30.000000000000004</v>
      </c>
      <c r="J1267" t="s">
        <v>20</v>
      </c>
    </row>
    <row r="1268" spans="1:10" x14ac:dyDescent="0.2">
      <c r="A1268">
        <v>11267</v>
      </c>
      <c r="B1268" t="s">
        <v>5</v>
      </c>
      <c r="C1268" t="s">
        <v>11</v>
      </c>
      <c r="D1268">
        <v>9.98</v>
      </c>
      <c r="E1268">
        <v>1</v>
      </c>
      <c r="F1268" t="s">
        <v>14</v>
      </c>
      <c r="G1268">
        <v>10</v>
      </c>
      <c r="H1268">
        <v>10.978000000000002</v>
      </c>
      <c r="I1268">
        <v>10.000000000000009</v>
      </c>
      <c r="J1268" t="s">
        <v>20</v>
      </c>
    </row>
    <row r="1269" spans="1:10" x14ac:dyDescent="0.2">
      <c r="A1269">
        <v>11268</v>
      </c>
      <c r="B1269" t="s">
        <v>7</v>
      </c>
      <c r="C1269" t="s">
        <v>9</v>
      </c>
      <c r="D1269">
        <v>9.4700000000000006</v>
      </c>
      <c r="E1269">
        <v>2</v>
      </c>
      <c r="F1269" t="s">
        <v>14</v>
      </c>
      <c r="G1269">
        <v>15</v>
      </c>
      <c r="H1269">
        <v>10.890499999999999</v>
      </c>
      <c r="I1269">
        <v>14.999999999999991</v>
      </c>
      <c r="J1269" t="s">
        <v>20</v>
      </c>
    </row>
    <row r="1270" spans="1:10" x14ac:dyDescent="0.2">
      <c r="A1270">
        <v>11269</v>
      </c>
      <c r="B1270" t="s">
        <v>8</v>
      </c>
      <c r="C1270" t="s">
        <v>6</v>
      </c>
      <c r="D1270">
        <v>4.99</v>
      </c>
      <c r="E1270">
        <v>9</v>
      </c>
      <c r="F1270" t="s">
        <v>16</v>
      </c>
      <c r="G1270">
        <v>55</v>
      </c>
      <c r="H1270">
        <v>7.7345000000000006</v>
      </c>
      <c r="I1270">
        <v>55.000000000000007</v>
      </c>
      <c r="J1270" t="s">
        <v>20</v>
      </c>
    </row>
    <row r="1271" spans="1:10" x14ac:dyDescent="0.2">
      <c r="A1271">
        <v>11270</v>
      </c>
      <c r="B1271" t="s">
        <v>10</v>
      </c>
      <c r="C1271" t="s">
        <v>6</v>
      </c>
      <c r="D1271">
        <v>1.74</v>
      </c>
      <c r="E1271">
        <v>8</v>
      </c>
      <c r="F1271" t="s">
        <v>16</v>
      </c>
      <c r="G1271">
        <v>55</v>
      </c>
      <c r="H1271">
        <v>2.6970000000000001</v>
      </c>
      <c r="I1271">
        <v>55.000000000000007</v>
      </c>
      <c r="J1271" t="s">
        <v>20</v>
      </c>
    </row>
    <row r="1272" spans="1:10" x14ac:dyDescent="0.2">
      <c r="A1272">
        <v>11271</v>
      </c>
      <c r="B1272" t="s">
        <v>10</v>
      </c>
      <c r="C1272" t="s">
        <v>6</v>
      </c>
      <c r="D1272">
        <v>1.82</v>
      </c>
      <c r="E1272">
        <v>8</v>
      </c>
      <c r="F1272" t="s">
        <v>16</v>
      </c>
      <c r="G1272">
        <v>55</v>
      </c>
      <c r="H1272">
        <v>2.8210000000000002</v>
      </c>
      <c r="I1272">
        <v>55.000000000000007</v>
      </c>
      <c r="J1272" t="s">
        <v>20</v>
      </c>
    </row>
    <row r="1273" spans="1:10" x14ac:dyDescent="0.2">
      <c r="A1273">
        <v>11272</v>
      </c>
      <c r="B1273" t="s">
        <v>10</v>
      </c>
      <c r="C1273" t="s">
        <v>9</v>
      </c>
      <c r="D1273">
        <v>13.89</v>
      </c>
      <c r="E1273">
        <v>10</v>
      </c>
      <c r="F1273" t="s">
        <v>16</v>
      </c>
      <c r="G1273">
        <v>60</v>
      </c>
      <c r="H1273">
        <v>22.224000000000004</v>
      </c>
      <c r="I1273">
        <v>60.000000000000028</v>
      </c>
      <c r="J1273" t="s">
        <v>20</v>
      </c>
    </row>
    <row r="1274" spans="1:10" x14ac:dyDescent="0.2">
      <c r="A1274">
        <v>11273</v>
      </c>
      <c r="B1274" t="s">
        <v>5</v>
      </c>
      <c r="C1274" t="s">
        <v>11</v>
      </c>
      <c r="D1274">
        <v>10.49</v>
      </c>
      <c r="E1274">
        <v>1</v>
      </c>
      <c r="F1274" t="s">
        <v>14</v>
      </c>
      <c r="G1274">
        <v>10</v>
      </c>
      <c r="H1274">
        <v>11.539000000000001</v>
      </c>
      <c r="I1274">
        <v>10.000000000000009</v>
      </c>
      <c r="J1274" t="s">
        <v>20</v>
      </c>
    </row>
    <row r="1275" spans="1:10" x14ac:dyDescent="0.2">
      <c r="A1275">
        <v>11274</v>
      </c>
      <c r="B1275" t="s">
        <v>5</v>
      </c>
      <c r="C1275" t="s">
        <v>11</v>
      </c>
      <c r="D1275">
        <v>2.34</v>
      </c>
      <c r="E1275">
        <v>6</v>
      </c>
      <c r="F1275" t="s">
        <v>15</v>
      </c>
      <c r="G1275">
        <v>25</v>
      </c>
      <c r="H1275">
        <v>2.9249999999999998</v>
      </c>
      <c r="I1275">
        <v>25</v>
      </c>
      <c r="J1275" t="s">
        <v>20</v>
      </c>
    </row>
    <row r="1276" spans="1:10" x14ac:dyDescent="0.2">
      <c r="A1276">
        <v>11275</v>
      </c>
      <c r="B1276" t="s">
        <v>5</v>
      </c>
      <c r="C1276" t="s">
        <v>9</v>
      </c>
      <c r="D1276">
        <v>5.67</v>
      </c>
      <c r="E1276">
        <v>9</v>
      </c>
      <c r="F1276" t="s">
        <v>16</v>
      </c>
      <c r="G1276">
        <v>60</v>
      </c>
      <c r="H1276">
        <v>9.072000000000001</v>
      </c>
      <c r="I1276">
        <v>60.000000000000007</v>
      </c>
      <c r="J1276" t="s">
        <v>20</v>
      </c>
    </row>
    <row r="1277" spans="1:10" x14ac:dyDescent="0.2">
      <c r="A1277">
        <v>11276</v>
      </c>
      <c r="B1277" t="s">
        <v>7</v>
      </c>
      <c r="C1277" t="s">
        <v>9</v>
      </c>
      <c r="D1277">
        <v>9.09</v>
      </c>
      <c r="E1277">
        <v>8</v>
      </c>
      <c r="F1277" t="s">
        <v>16</v>
      </c>
      <c r="G1277">
        <v>60</v>
      </c>
      <c r="H1277">
        <v>14.544</v>
      </c>
      <c r="I1277">
        <v>60.000000000000007</v>
      </c>
      <c r="J1277" t="s">
        <v>20</v>
      </c>
    </row>
    <row r="1278" spans="1:10" x14ac:dyDescent="0.2">
      <c r="A1278">
        <v>11277</v>
      </c>
      <c r="B1278" t="s">
        <v>8</v>
      </c>
      <c r="C1278" t="s">
        <v>11</v>
      </c>
      <c r="D1278">
        <v>12.62</v>
      </c>
      <c r="E1278">
        <v>3</v>
      </c>
      <c r="F1278" t="s">
        <v>14</v>
      </c>
      <c r="G1278">
        <v>10</v>
      </c>
      <c r="H1278">
        <v>13.882</v>
      </c>
      <c r="I1278">
        <v>10.000000000000009</v>
      </c>
      <c r="J1278" t="s">
        <v>20</v>
      </c>
    </row>
    <row r="1279" spans="1:10" x14ac:dyDescent="0.2">
      <c r="A1279">
        <v>11278</v>
      </c>
      <c r="B1279" t="s">
        <v>5</v>
      </c>
      <c r="C1279" t="s">
        <v>11</v>
      </c>
      <c r="D1279">
        <v>1.1299999999999999</v>
      </c>
      <c r="E1279">
        <v>4</v>
      </c>
      <c r="F1279" t="s">
        <v>15</v>
      </c>
      <c r="G1279">
        <v>25</v>
      </c>
      <c r="H1279">
        <v>1.4124999999999999</v>
      </c>
      <c r="I1279">
        <v>25</v>
      </c>
      <c r="J1279" t="s">
        <v>20</v>
      </c>
    </row>
    <row r="1280" spans="1:10" x14ac:dyDescent="0.2">
      <c r="A1280">
        <v>11279</v>
      </c>
      <c r="B1280" t="s">
        <v>8</v>
      </c>
      <c r="C1280" t="s">
        <v>11</v>
      </c>
      <c r="D1280">
        <v>3.93</v>
      </c>
      <c r="E1280">
        <v>3</v>
      </c>
      <c r="F1280" t="s">
        <v>14</v>
      </c>
      <c r="G1280">
        <v>10</v>
      </c>
      <c r="H1280">
        <v>4.3230000000000004</v>
      </c>
      <c r="I1280">
        <v>10.000000000000009</v>
      </c>
      <c r="J1280" t="s">
        <v>20</v>
      </c>
    </row>
    <row r="1281" spans="1:10" x14ac:dyDescent="0.2">
      <c r="A1281">
        <v>11280</v>
      </c>
      <c r="B1281" t="s">
        <v>7</v>
      </c>
      <c r="C1281" t="s">
        <v>11</v>
      </c>
      <c r="D1281">
        <v>13.4</v>
      </c>
      <c r="E1281">
        <v>6</v>
      </c>
      <c r="F1281" t="s">
        <v>15</v>
      </c>
      <c r="G1281">
        <v>25</v>
      </c>
      <c r="H1281">
        <v>16.75</v>
      </c>
      <c r="I1281">
        <v>25</v>
      </c>
      <c r="J1281" t="s">
        <v>20</v>
      </c>
    </row>
    <row r="1282" spans="1:10" x14ac:dyDescent="0.2">
      <c r="A1282">
        <v>11281</v>
      </c>
      <c r="B1282" t="s">
        <v>10</v>
      </c>
      <c r="C1282" t="s">
        <v>9</v>
      </c>
      <c r="D1282">
        <v>0.63</v>
      </c>
      <c r="E1282">
        <v>9</v>
      </c>
      <c r="F1282" t="s">
        <v>16</v>
      </c>
      <c r="G1282">
        <v>60</v>
      </c>
      <c r="H1282">
        <v>1.008</v>
      </c>
      <c r="I1282">
        <v>60.000000000000007</v>
      </c>
      <c r="J1282" t="s">
        <v>20</v>
      </c>
    </row>
    <row r="1283" spans="1:10" x14ac:dyDescent="0.2">
      <c r="A1283">
        <v>11282</v>
      </c>
      <c r="B1283" t="s">
        <v>5</v>
      </c>
      <c r="C1283" t="s">
        <v>9</v>
      </c>
      <c r="D1283">
        <v>3.42</v>
      </c>
      <c r="E1283">
        <v>8</v>
      </c>
      <c r="F1283" t="s">
        <v>16</v>
      </c>
      <c r="G1283">
        <v>60</v>
      </c>
      <c r="H1283">
        <v>5.4720000000000004</v>
      </c>
      <c r="I1283">
        <v>60.000000000000007</v>
      </c>
      <c r="J1283" t="s">
        <v>20</v>
      </c>
    </row>
    <row r="1284" spans="1:10" x14ac:dyDescent="0.2">
      <c r="A1284">
        <v>11283</v>
      </c>
      <c r="B1284" t="s">
        <v>8</v>
      </c>
      <c r="C1284" t="s">
        <v>6</v>
      </c>
      <c r="D1284">
        <v>14.41</v>
      </c>
      <c r="E1284">
        <v>10</v>
      </c>
      <c r="F1284" t="s">
        <v>16</v>
      </c>
      <c r="G1284">
        <v>55</v>
      </c>
      <c r="H1284">
        <v>22.3355</v>
      </c>
      <c r="I1284">
        <v>55.000000000000007</v>
      </c>
      <c r="J1284" t="s">
        <v>20</v>
      </c>
    </row>
    <row r="1285" spans="1:10" x14ac:dyDescent="0.2">
      <c r="A1285">
        <v>11284</v>
      </c>
      <c r="B1285" t="s">
        <v>8</v>
      </c>
      <c r="C1285" t="s">
        <v>11</v>
      </c>
      <c r="D1285">
        <v>9.39</v>
      </c>
      <c r="E1285">
        <v>4</v>
      </c>
      <c r="F1285" t="s">
        <v>15</v>
      </c>
      <c r="G1285">
        <v>25</v>
      </c>
      <c r="H1285">
        <v>11.737500000000001</v>
      </c>
      <c r="I1285">
        <v>25</v>
      </c>
      <c r="J1285" t="s">
        <v>20</v>
      </c>
    </row>
    <row r="1286" spans="1:10" x14ac:dyDescent="0.2">
      <c r="A1286">
        <v>11285</v>
      </c>
      <c r="B1286" t="s">
        <v>5</v>
      </c>
      <c r="C1286" t="s">
        <v>6</v>
      </c>
      <c r="D1286">
        <v>4.29</v>
      </c>
      <c r="E1286">
        <v>2</v>
      </c>
      <c r="F1286" t="s">
        <v>14</v>
      </c>
      <c r="G1286">
        <v>12</v>
      </c>
      <c r="H1286">
        <v>4.8048000000000002</v>
      </c>
      <c r="I1286">
        <v>12.000000000000011</v>
      </c>
      <c r="J1286" t="s">
        <v>20</v>
      </c>
    </row>
    <row r="1287" spans="1:10" x14ac:dyDescent="0.2">
      <c r="A1287">
        <v>11286</v>
      </c>
      <c r="B1287" t="s">
        <v>10</v>
      </c>
      <c r="C1287" t="s">
        <v>9</v>
      </c>
      <c r="D1287">
        <v>1.47</v>
      </c>
      <c r="E1287">
        <v>8</v>
      </c>
      <c r="F1287" t="s">
        <v>16</v>
      </c>
      <c r="G1287">
        <v>60</v>
      </c>
      <c r="H1287">
        <v>2.3519999999999999</v>
      </c>
      <c r="I1287">
        <v>59.999999999999986</v>
      </c>
      <c r="J1287" t="s">
        <v>20</v>
      </c>
    </row>
    <row r="1288" spans="1:10" x14ac:dyDescent="0.2">
      <c r="A1288">
        <v>11287</v>
      </c>
      <c r="B1288" t="s">
        <v>10</v>
      </c>
      <c r="C1288" t="s">
        <v>9</v>
      </c>
      <c r="D1288">
        <v>0.91</v>
      </c>
      <c r="E1288">
        <v>8</v>
      </c>
      <c r="F1288" t="s">
        <v>16</v>
      </c>
      <c r="G1288">
        <v>60</v>
      </c>
      <c r="H1288">
        <v>1.4560000000000002</v>
      </c>
      <c r="I1288">
        <v>60.000000000000007</v>
      </c>
      <c r="J1288" t="s">
        <v>20</v>
      </c>
    </row>
    <row r="1289" spans="1:10" x14ac:dyDescent="0.2">
      <c r="A1289">
        <v>11288</v>
      </c>
      <c r="B1289" t="s">
        <v>10</v>
      </c>
      <c r="C1289" t="s">
        <v>6</v>
      </c>
      <c r="D1289">
        <v>4.05</v>
      </c>
      <c r="E1289">
        <v>6</v>
      </c>
      <c r="F1289" t="s">
        <v>15</v>
      </c>
      <c r="G1289">
        <v>28</v>
      </c>
      <c r="H1289">
        <v>5.1840000000000002</v>
      </c>
      <c r="I1289">
        <v>28.000000000000004</v>
      </c>
      <c r="J1289" t="s">
        <v>20</v>
      </c>
    </row>
    <row r="1290" spans="1:10" x14ac:dyDescent="0.2">
      <c r="A1290">
        <v>11289</v>
      </c>
      <c r="B1290" t="s">
        <v>7</v>
      </c>
      <c r="C1290" t="s">
        <v>11</v>
      </c>
      <c r="D1290">
        <v>13.28</v>
      </c>
      <c r="E1290">
        <v>8</v>
      </c>
      <c r="F1290" t="s">
        <v>16</v>
      </c>
      <c r="G1290">
        <v>50</v>
      </c>
      <c r="H1290">
        <v>19.919999999999998</v>
      </c>
      <c r="I1290">
        <v>50</v>
      </c>
      <c r="J1290" t="s">
        <v>20</v>
      </c>
    </row>
    <row r="1291" spans="1:10" x14ac:dyDescent="0.2">
      <c r="A1291">
        <v>11290</v>
      </c>
      <c r="B1291" t="s">
        <v>8</v>
      </c>
      <c r="C1291" t="s">
        <v>11</v>
      </c>
      <c r="D1291">
        <v>6.53</v>
      </c>
      <c r="E1291">
        <v>9</v>
      </c>
      <c r="F1291" t="s">
        <v>16</v>
      </c>
      <c r="G1291">
        <v>50</v>
      </c>
      <c r="H1291">
        <v>9.7949999999999999</v>
      </c>
      <c r="I1291">
        <v>50</v>
      </c>
      <c r="J1291" t="s">
        <v>20</v>
      </c>
    </row>
    <row r="1292" spans="1:10" x14ac:dyDescent="0.2">
      <c r="A1292">
        <v>11291</v>
      </c>
      <c r="B1292" t="s">
        <v>8</v>
      </c>
      <c r="C1292" t="s">
        <v>11</v>
      </c>
      <c r="D1292">
        <v>10.94</v>
      </c>
      <c r="E1292">
        <v>1</v>
      </c>
      <c r="F1292" t="s">
        <v>14</v>
      </c>
      <c r="G1292">
        <v>10</v>
      </c>
      <c r="H1292">
        <v>12.034000000000001</v>
      </c>
      <c r="I1292">
        <v>10.000000000000009</v>
      </c>
      <c r="J1292" t="s">
        <v>20</v>
      </c>
    </row>
    <row r="1293" spans="1:10" x14ac:dyDescent="0.2">
      <c r="A1293">
        <v>11292</v>
      </c>
      <c r="B1293" t="s">
        <v>8</v>
      </c>
      <c r="C1293" t="s">
        <v>11</v>
      </c>
      <c r="D1293">
        <v>13.82</v>
      </c>
      <c r="E1293">
        <v>9</v>
      </c>
      <c r="F1293" t="s">
        <v>16</v>
      </c>
      <c r="G1293">
        <v>50</v>
      </c>
      <c r="H1293">
        <v>20.73</v>
      </c>
      <c r="I1293">
        <v>50</v>
      </c>
      <c r="J1293" t="s">
        <v>20</v>
      </c>
    </row>
    <row r="1294" spans="1:10" x14ac:dyDescent="0.2">
      <c r="A1294">
        <v>11293</v>
      </c>
      <c r="B1294" t="s">
        <v>7</v>
      </c>
      <c r="C1294" t="s">
        <v>6</v>
      </c>
      <c r="D1294">
        <v>6.42</v>
      </c>
      <c r="E1294">
        <v>2</v>
      </c>
      <c r="F1294" t="s">
        <v>14</v>
      </c>
      <c r="G1294">
        <v>12</v>
      </c>
      <c r="H1294">
        <v>7.1904000000000003</v>
      </c>
      <c r="I1294">
        <v>12.000000000000011</v>
      </c>
      <c r="J1294" t="s">
        <v>20</v>
      </c>
    </row>
    <row r="1295" spans="1:10" x14ac:dyDescent="0.2">
      <c r="A1295">
        <v>11294</v>
      </c>
      <c r="B1295" t="s">
        <v>8</v>
      </c>
      <c r="C1295" t="s">
        <v>6</v>
      </c>
      <c r="D1295">
        <v>3.27</v>
      </c>
      <c r="E1295">
        <v>1</v>
      </c>
      <c r="F1295" t="s">
        <v>14</v>
      </c>
      <c r="G1295">
        <v>12</v>
      </c>
      <c r="H1295">
        <v>3.6624000000000003</v>
      </c>
      <c r="I1295">
        <v>12.000000000000011</v>
      </c>
      <c r="J1295" t="s">
        <v>20</v>
      </c>
    </row>
    <row r="1296" spans="1:10" x14ac:dyDescent="0.2">
      <c r="A1296">
        <v>11295</v>
      </c>
      <c r="B1296" t="s">
        <v>7</v>
      </c>
      <c r="C1296" t="s">
        <v>9</v>
      </c>
      <c r="D1296">
        <v>8</v>
      </c>
      <c r="E1296">
        <v>8</v>
      </c>
      <c r="F1296" t="s">
        <v>16</v>
      </c>
      <c r="G1296">
        <v>60</v>
      </c>
      <c r="H1296">
        <v>12.8</v>
      </c>
      <c r="I1296">
        <v>60.000000000000007</v>
      </c>
      <c r="J1296" t="s">
        <v>20</v>
      </c>
    </row>
    <row r="1297" spans="1:10" x14ac:dyDescent="0.2">
      <c r="A1297">
        <v>11296</v>
      </c>
      <c r="B1297" t="s">
        <v>10</v>
      </c>
      <c r="C1297" t="s">
        <v>11</v>
      </c>
      <c r="D1297">
        <v>13.67</v>
      </c>
      <c r="E1297">
        <v>8</v>
      </c>
      <c r="F1297" t="s">
        <v>16</v>
      </c>
      <c r="G1297">
        <v>50</v>
      </c>
      <c r="H1297">
        <v>20.504999999999999</v>
      </c>
      <c r="I1297">
        <v>50</v>
      </c>
      <c r="J1297" t="s">
        <v>20</v>
      </c>
    </row>
    <row r="1298" spans="1:10" x14ac:dyDescent="0.2">
      <c r="A1298">
        <v>11297</v>
      </c>
      <c r="B1298" t="s">
        <v>5</v>
      </c>
      <c r="C1298" t="s">
        <v>11</v>
      </c>
      <c r="D1298">
        <v>12.16</v>
      </c>
      <c r="E1298">
        <v>4</v>
      </c>
      <c r="F1298" t="s">
        <v>15</v>
      </c>
      <c r="G1298">
        <v>25</v>
      </c>
      <c r="H1298">
        <v>15.2</v>
      </c>
      <c r="I1298">
        <v>25</v>
      </c>
      <c r="J1298" t="s">
        <v>20</v>
      </c>
    </row>
    <row r="1299" spans="1:10" x14ac:dyDescent="0.2">
      <c r="A1299">
        <v>11298</v>
      </c>
      <c r="B1299" t="s">
        <v>8</v>
      </c>
      <c r="C1299" t="s">
        <v>11</v>
      </c>
      <c r="D1299">
        <v>1.45</v>
      </c>
      <c r="E1299">
        <v>8</v>
      </c>
      <c r="F1299" t="s">
        <v>16</v>
      </c>
      <c r="G1299">
        <v>50</v>
      </c>
      <c r="H1299">
        <v>2.1749999999999998</v>
      </c>
      <c r="I1299">
        <v>50</v>
      </c>
      <c r="J1299" t="s">
        <v>20</v>
      </c>
    </row>
    <row r="1300" spans="1:10" x14ac:dyDescent="0.2">
      <c r="A1300">
        <v>11299</v>
      </c>
      <c r="B1300" t="s">
        <v>8</v>
      </c>
      <c r="C1300" t="s">
        <v>6</v>
      </c>
      <c r="D1300">
        <v>10.54</v>
      </c>
      <c r="E1300">
        <v>7</v>
      </c>
      <c r="F1300" t="s">
        <v>15</v>
      </c>
      <c r="G1300">
        <v>28</v>
      </c>
      <c r="H1300">
        <v>13.491199999999999</v>
      </c>
      <c r="I1300">
        <v>28.000000000000004</v>
      </c>
      <c r="J1300" t="s">
        <v>20</v>
      </c>
    </row>
    <row r="1301" spans="1:10" x14ac:dyDescent="0.2">
      <c r="A1301">
        <v>11300</v>
      </c>
      <c r="B1301" t="s">
        <v>10</v>
      </c>
      <c r="C1301" t="s">
        <v>11</v>
      </c>
      <c r="D1301">
        <v>8.7899999999999991</v>
      </c>
      <c r="E1301">
        <v>2</v>
      </c>
      <c r="F1301" t="s">
        <v>14</v>
      </c>
      <c r="G1301">
        <v>10</v>
      </c>
      <c r="H1301">
        <v>9.6690000000000005</v>
      </c>
      <c r="I1301">
        <v>10.000000000000009</v>
      </c>
      <c r="J1301" t="s">
        <v>20</v>
      </c>
    </row>
    <row r="1302" spans="1:10" x14ac:dyDescent="0.2">
      <c r="A1302">
        <v>11301</v>
      </c>
      <c r="B1302" t="s">
        <v>5</v>
      </c>
      <c r="C1302" t="s">
        <v>6</v>
      </c>
      <c r="D1302">
        <v>13.66</v>
      </c>
      <c r="E1302">
        <v>5</v>
      </c>
      <c r="F1302" t="s">
        <v>15</v>
      </c>
      <c r="G1302">
        <v>28</v>
      </c>
      <c r="H1302">
        <v>17.4848</v>
      </c>
      <c r="I1302">
        <v>28.000000000000004</v>
      </c>
      <c r="J1302" t="s">
        <v>20</v>
      </c>
    </row>
    <row r="1303" spans="1:10" x14ac:dyDescent="0.2">
      <c r="A1303">
        <v>11302</v>
      </c>
      <c r="B1303" t="s">
        <v>7</v>
      </c>
      <c r="C1303" t="s">
        <v>11</v>
      </c>
      <c r="D1303">
        <v>2.2799999999999998</v>
      </c>
      <c r="E1303">
        <v>10</v>
      </c>
      <c r="F1303" t="s">
        <v>16</v>
      </c>
      <c r="G1303">
        <v>50</v>
      </c>
      <c r="H1303">
        <v>3.42</v>
      </c>
      <c r="I1303">
        <v>50</v>
      </c>
      <c r="J1303" t="s">
        <v>20</v>
      </c>
    </row>
    <row r="1304" spans="1:10" x14ac:dyDescent="0.2">
      <c r="A1304">
        <v>11303</v>
      </c>
      <c r="B1304" t="s">
        <v>5</v>
      </c>
      <c r="C1304" t="s">
        <v>11</v>
      </c>
      <c r="D1304">
        <v>8.24</v>
      </c>
      <c r="E1304">
        <v>4</v>
      </c>
      <c r="F1304" t="s">
        <v>15</v>
      </c>
      <c r="G1304">
        <v>25</v>
      </c>
      <c r="H1304">
        <v>10.3</v>
      </c>
      <c r="I1304">
        <v>25</v>
      </c>
      <c r="J1304" t="s">
        <v>20</v>
      </c>
    </row>
    <row r="1305" spans="1:10" x14ac:dyDescent="0.2">
      <c r="A1305">
        <v>11304</v>
      </c>
      <c r="B1305" t="s">
        <v>10</v>
      </c>
      <c r="C1305" t="s">
        <v>9</v>
      </c>
      <c r="D1305">
        <v>13.25</v>
      </c>
      <c r="E1305">
        <v>3</v>
      </c>
      <c r="F1305" t="s">
        <v>14</v>
      </c>
      <c r="G1305">
        <v>15</v>
      </c>
      <c r="H1305">
        <v>15.237499999999999</v>
      </c>
      <c r="I1305">
        <v>14.999999999999991</v>
      </c>
      <c r="J1305" t="s">
        <v>20</v>
      </c>
    </row>
    <row r="1306" spans="1:10" x14ac:dyDescent="0.2">
      <c r="A1306">
        <v>11305</v>
      </c>
      <c r="B1306" t="s">
        <v>10</v>
      </c>
      <c r="C1306" t="s">
        <v>11</v>
      </c>
      <c r="D1306">
        <v>6.45</v>
      </c>
      <c r="E1306">
        <v>1</v>
      </c>
      <c r="F1306" t="s">
        <v>14</v>
      </c>
      <c r="G1306">
        <v>10</v>
      </c>
      <c r="H1306">
        <v>7.0950000000000006</v>
      </c>
      <c r="I1306">
        <v>10.000000000000009</v>
      </c>
      <c r="J1306" t="s">
        <v>20</v>
      </c>
    </row>
    <row r="1307" spans="1:10" x14ac:dyDescent="0.2">
      <c r="A1307">
        <v>11306</v>
      </c>
      <c r="B1307" t="s">
        <v>5</v>
      </c>
      <c r="C1307" t="s">
        <v>11</v>
      </c>
      <c r="D1307">
        <v>7.49</v>
      </c>
      <c r="E1307">
        <v>5</v>
      </c>
      <c r="F1307" t="s">
        <v>15</v>
      </c>
      <c r="G1307">
        <v>25</v>
      </c>
      <c r="H1307">
        <v>9.3625000000000007</v>
      </c>
      <c r="I1307">
        <v>25</v>
      </c>
      <c r="J1307" t="s">
        <v>20</v>
      </c>
    </row>
    <row r="1308" spans="1:10" x14ac:dyDescent="0.2">
      <c r="A1308">
        <v>11307</v>
      </c>
      <c r="B1308" t="s">
        <v>7</v>
      </c>
      <c r="C1308" t="s">
        <v>9</v>
      </c>
      <c r="D1308">
        <v>1.52</v>
      </c>
      <c r="E1308">
        <v>10</v>
      </c>
      <c r="F1308" t="s">
        <v>16</v>
      </c>
      <c r="G1308">
        <v>60</v>
      </c>
      <c r="H1308">
        <v>2.4320000000000004</v>
      </c>
      <c r="I1308">
        <v>60.000000000000028</v>
      </c>
      <c r="J1308" t="s">
        <v>20</v>
      </c>
    </row>
    <row r="1309" spans="1:10" x14ac:dyDescent="0.2">
      <c r="A1309">
        <v>11308</v>
      </c>
      <c r="B1309" t="s">
        <v>7</v>
      </c>
      <c r="C1309" t="s">
        <v>6</v>
      </c>
      <c r="D1309">
        <v>4.53</v>
      </c>
      <c r="E1309">
        <v>8</v>
      </c>
      <c r="F1309" t="s">
        <v>16</v>
      </c>
      <c r="G1309">
        <v>55</v>
      </c>
      <c r="H1309">
        <v>7.0215000000000005</v>
      </c>
      <c r="I1309">
        <v>55.000000000000007</v>
      </c>
      <c r="J1309" t="s">
        <v>20</v>
      </c>
    </row>
    <row r="1310" spans="1:10" x14ac:dyDescent="0.2">
      <c r="A1310">
        <v>11309</v>
      </c>
      <c r="B1310" t="s">
        <v>8</v>
      </c>
      <c r="C1310" t="s">
        <v>6</v>
      </c>
      <c r="D1310">
        <v>5.21</v>
      </c>
      <c r="E1310">
        <v>9</v>
      </c>
      <c r="F1310" t="s">
        <v>16</v>
      </c>
      <c r="G1310">
        <v>55</v>
      </c>
      <c r="H1310">
        <v>8.0754999999999999</v>
      </c>
      <c r="I1310">
        <v>55.000000000000007</v>
      </c>
      <c r="J1310" t="s">
        <v>20</v>
      </c>
    </row>
    <row r="1311" spans="1:10" x14ac:dyDescent="0.2">
      <c r="A1311">
        <v>11310</v>
      </c>
      <c r="B1311" t="s">
        <v>7</v>
      </c>
      <c r="C1311" t="s">
        <v>11</v>
      </c>
      <c r="D1311">
        <v>14.2</v>
      </c>
      <c r="E1311">
        <v>7</v>
      </c>
      <c r="F1311" t="s">
        <v>15</v>
      </c>
      <c r="G1311">
        <v>25</v>
      </c>
      <c r="H1311">
        <v>17.75</v>
      </c>
      <c r="I1311">
        <v>25</v>
      </c>
      <c r="J1311" t="s">
        <v>20</v>
      </c>
    </row>
    <row r="1312" spans="1:10" x14ac:dyDescent="0.2">
      <c r="A1312">
        <v>11311</v>
      </c>
      <c r="B1312" t="s">
        <v>5</v>
      </c>
      <c r="C1312" t="s">
        <v>6</v>
      </c>
      <c r="D1312">
        <v>4.5999999999999996</v>
      </c>
      <c r="E1312">
        <v>1</v>
      </c>
      <c r="F1312" t="s">
        <v>14</v>
      </c>
      <c r="G1312">
        <v>12</v>
      </c>
      <c r="H1312">
        <v>5.1520000000000001</v>
      </c>
      <c r="I1312">
        <v>12.000000000000011</v>
      </c>
      <c r="J1312" t="s">
        <v>20</v>
      </c>
    </row>
    <row r="1313" spans="1:10" x14ac:dyDescent="0.2">
      <c r="A1313">
        <v>11312</v>
      </c>
      <c r="B1313" t="s">
        <v>10</v>
      </c>
      <c r="C1313" t="s">
        <v>11</v>
      </c>
      <c r="D1313">
        <v>7.18</v>
      </c>
      <c r="E1313">
        <v>1</v>
      </c>
      <c r="F1313" t="s">
        <v>14</v>
      </c>
      <c r="G1313">
        <v>10</v>
      </c>
      <c r="H1313">
        <v>7.8980000000000006</v>
      </c>
      <c r="I1313">
        <v>10.000000000000009</v>
      </c>
      <c r="J1313" t="s">
        <v>20</v>
      </c>
    </row>
    <row r="1314" spans="1:10" x14ac:dyDescent="0.2">
      <c r="A1314">
        <v>11313</v>
      </c>
      <c r="B1314" t="s">
        <v>8</v>
      </c>
      <c r="C1314" t="s">
        <v>9</v>
      </c>
      <c r="D1314">
        <v>10.23</v>
      </c>
      <c r="E1314">
        <v>1</v>
      </c>
      <c r="F1314" t="s">
        <v>14</v>
      </c>
      <c r="G1314">
        <v>15</v>
      </c>
      <c r="H1314">
        <v>11.7645</v>
      </c>
      <c r="I1314">
        <v>14.999999999999991</v>
      </c>
      <c r="J1314" t="s">
        <v>20</v>
      </c>
    </row>
    <row r="1315" spans="1:10" x14ac:dyDescent="0.2">
      <c r="A1315">
        <v>11314</v>
      </c>
      <c r="B1315" t="s">
        <v>8</v>
      </c>
      <c r="C1315" t="s">
        <v>9</v>
      </c>
      <c r="D1315">
        <v>2.85</v>
      </c>
      <c r="E1315">
        <v>2</v>
      </c>
      <c r="F1315" t="s">
        <v>14</v>
      </c>
      <c r="G1315">
        <v>15</v>
      </c>
      <c r="H1315">
        <v>3.2774999999999999</v>
      </c>
      <c r="I1315">
        <v>14.999999999999991</v>
      </c>
      <c r="J1315" t="s">
        <v>20</v>
      </c>
    </row>
    <row r="1316" spans="1:10" x14ac:dyDescent="0.2">
      <c r="A1316">
        <v>11315</v>
      </c>
      <c r="B1316" t="s">
        <v>10</v>
      </c>
      <c r="C1316" t="s">
        <v>11</v>
      </c>
      <c r="D1316">
        <v>7.55</v>
      </c>
      <c r="E1316">
        <v>1</v>
      </c>
      <c r="F1316" t="s">
        <v>14</v>
      </c>
      <c r="G1316">
        <v>10</v>
      </c>
      <c r="H1316">
        <v>8.3049999999999997</v>
      </c>
      <c r="I1316">
        <v>10.000000000000009</v>
      </c>
      <c r="J1316" t="s">
        <v>20</v>
      </c>
    </row>
    <row r="1317" spans="1:10" x14ac:dyDescent="0.2">
      <c r="A1317">
        <v>11316</v>
      </c>
      <c r="B1317" t="s">
        <v>7</v>
      </c>
      <c r="C1317" t="s">
        <v>9</v>
      </c>
      <c r="D1317">
        <v>11.21</v>
      </c>
      <c r="E1317">
        <v>4</v>
      </c>
      <c r="F1317" t="s">
        <v>15</v>
      </c>
      <c r="G1317">
        <v>30</v>
      </c>
      <c r="H1317">
        <v>14.573000000000002</v>
      </c>
      <c r="I1317">
        <v>30.000000000000004</v>
      </c>
      <c r="J1317" t="s">
        <v>20</v>
      </c>
    </row>
    <row r="1318" spans="1:10" x14ac:dyDescent="0.2">
      <c r="A1318">
        <v>11317</v>
      </c>
      <c r="B1318" t="s">
        <v>10</v>
      </c>
      <c r="C1318" t="s">
        <v>9</v>
      </c>
      <c r="D1318">
        <v>13.07</v>
      </c>
      <c r="E1318">
        <v>10</v>
      </c>
      <c r="F1318" t="s">
        <v>16</v>
      </c>
      <c r="G1318">
        <v>60</v>
      </c>
      <c r="H1318">
        <v>20.912000000000003</v>
      </c>
      <c r="I1318">
        <v>60.000000000000007</v>
      </c>
      <c r="J1318" t="s">
        <v>20</v>
      </c>
    </row>
    <row r="1319" spans="1:10" x14ac:dyDescent="0.2">
      <c r="A1319">
        <v>11318</v>
      </c>
      <c r="B1319" t="s">
        <v>7</v>
      </c>
      <c r="C1319" t="s">
        <v>11</v>
      </c>
      <c r="D1319">
        <v>9.58</v>
      </c>
      <c r="E1319">
        <v>9</v>
      </c>
      <c r="F1319" t="s">
        <v>16</v>
      </c>
      <c r="G1319">
        <v>50</v>
      </c>
      <c r="H1319">
        <v>14.370000000000001</v>
      </c>
      <c r="I1319">
        <v>50</v>
      </c>
      <c r="J1319" t="s">
        <v>20</v>
      </c>
    </row>
    <row r="1320" spans="1:10" x14ac:dyDescent="0.2">
      <c r="A1320">
        <v>11319</v>
      </c>
      <c r="B1320" t="s">
        <v>10</v>
      </c>
      <c r="C1320" t="s">
        <v>11</v>
      </c>
      <c r="D1320">
        <v>10.199999999999999</v>
      </c>
      <c r="E1320">
        <v>4</v>
      </c>
      <c r="F1320" t="s">
        <v>15</v>
      </c>
      <c r="G1320">
        <v>25</v>
      </c>
      <c r="H1320">
        <v>12.75</v>
      </c>
      <c r="I1320">
        <v>25</v>
      </c>
      <c r="J1320" t="s">
        <v>20</v>
      </c>
    </row>
    <row r="1321" spans="1:10" x14ac:dyDescent="0.2">
      <c r="A1321">
        <v>11320</v>
      </c>
      <c r="B1321" t="s">
        <v>5</v>
      </c>
      <c r="C1321" t="s">
        <v>9</v>
      </c>
      <c r="D1321">
        <v>2.33</v>
      </c>
      <c r="E1321">
        <v>4</v>
      </c>
      <c r="F1321" t="s">
        <v>15</v>
      </c>
      <c r="G1321">
        <v>30</v>
      </c>
      <c r="H1321">
        <v>3.0290000000000004</v>
      </c>
      <c r="I1321">
        <v>30.000000000000004</v>
      </c>
      <c r="J1321" t="s">
        <v>20</v>
      </c>
    </row>
    <row r="1322" spans="1:10" x14ac:dyDescent="0.2">
      <c r="A1322">
        <v>11321</v>
      </c>
      <c r="B1322" t="s">
        <v>7</v>
      </c>
      <c r="C1322" t="s">
        <v>6</v>
      </c>
      <c r="D1322">
        <v>14.21</v>
      </c>
      <c r="E1322">
        <v>7</v>
      </c>
      <c r="F1322" t="s">
        <v>15</v>
      </c>
      <c r="G1322">
        <v>28</v>
      </c>
      <c r="H1322">
        <v>18.188800000000001</v>
      </c>
      <c r="I1322">
        <v>28.000000000000004</v>
      </c>
      <c r="J1322" t="s">
        <v>20</v>
      </c>
    </row>
    <row r="1323" spans="1:10" x14ac:dyDescent="0.2">
      <c r="A1323">
        <v>11322</v>
      </c>
      <c r="B1323" t="s">
        <v>5</v>
      </c>
      <c r="C1323" t="s">
        <v>6</v>
      </c>
      <c r="D1323">
        <v>2.42</v>
      </c>
      <c r="E1323">
        <v>9</v>
      </c>
      <c r="F1323" t="s">
        <v>16</v>
      </c>
      <c r="G1323">
        <v>55</v>
      </c>
      <c r="H1323">
        <v>3.7509999999999999</v>
      </c>
      <c r="I1323">
        <v>55.000000000000007</v>
      </c>
      <c r="J1323" t="s">
        <v>20</v>
      </c>
    </row>
    <row r="1324" spans="1:10" x14ac:dyDescent="0.2">
      <c r="A1324">
        <v>11323</v>
      </c>
      <c r="B1324" t="s">
        <v>8</v>
      </c>
      <c r="C1324" t="s">
        <v>11</v>
      </c>
      <c r="D1324">
        <v>11.73</v>
      </c>
      <c r="E1324">
        <v>7</v>
      </c>
      <c r="F1324" t="s">
        <v>15</v>
      </c>
      <c r="G1324">
        <v>25</v>
      </c>
      <c r="H1324">
        <v>14.662500000000001</v>
      </c>
      <c r="I1324">
        <v>25</v>
      </c>
      <c r="J1324" t="s">
        <v>20</v>
      </c>
    </row>
    <row r="1325" spans="1:10" x14ac:dyDescent="0.2">
      <c r="A1325">
        <v>11324</v>
      </c>
      <c r="B1325" t="s">
        <v>10</v>
      </c>
      <c r="C1325" t="s">
        <v>11</v>
      </c>
      <c r="D1325">
        <v>4.34</v>
      </c>
      <c r="E1325">
        <v>1</v>
      </c>
      <c r="F1325" t="s">
        <v>14</v>
      </c>
      <c r="G1325">
        <v>10</v>
      </c>
      <c r="H1325">
        <v>4.774</v>
      </c>
      <c r="I1325">
        <v>10.000000000000009</v>
      </c>
      <c r="J1325" t="s">
        <v>20</v>
      </c>
    </row>
    <row r="1326" spans="1:10" x14ac:dyDescent="0.2">
      <c r="A1326">
        <v>11325</v>
      </c>
      <c r="B1326" t="s">
        <v>8</v>
      </c>
      <c r="C1326" t="s">
        <v>6</v>
      </c>
      <c r="D1326">
        <v>14.04</v>
      </c>
      <c r="E1326">
        <v>1</v>
      </c>
      <c r="F1326" t="s">
        <v>14</v>
      </c>
      <c r="G1326">
        <v>12</v>
      </c>
      <c r="H1326">
        <v>15.7248</v>
      </c>
      <c r="I1326">
        <v>12.000000000000011</v>
      </c>
      <c r="J1326" t="s">
        <v>20</v>
      </c>
    </row>
    <row r="1327" spans="1:10" x14ac:dyDescent="0.2">
      <c r="A1327">
        <v>11326</v>
      </c>
      <c r="B1327" t="s">
        <v>8</v>
      </c>
      <c r="C1327" t="s">
        <v>9</v>
      </c>
      <c r="D1327">
        <v>10.94</v>
      </c>
      <c r="E1327">
        <v>4</v>
      </c>
      <c r="F1327" t="s">
        <v>15</v>
      </c>
      <c r="G1327">
        <v>30</v>
      </c>
      <c r="H1327">
        <v>14.222</v>
      </c>
      <c r="I1327">
        <v>30.000000000000004</v>
      </c>
      <c r="J1327" t="s">
        <v>20</v>
      </c>
    </row>
    <row r="1328" spans="1:10" x14ac:dyDescent="0.2">
      <c r="A1328">
        <v>11327</v>
      </c>
      <c r="B1328" t="s">
        <v>8</v>
      </c>
      <c r="C1328" t="s">
        <v>6</v>
      </c>
      <c r="D1328">
        <v>11.43</v>
      </c>
      <c r="E1328">
        <v>4</v>
      </c>
      <c r="F1328" t="s">
        <v>15</v>
      </c>
      <c r="G1328">
        <v>28</v>
      </c>
      <c r="H1328">
        <v>14.6304</v>
      </c>
      <c r="I1328">
        <v>28.000000000000004</v>
      </c>
      <c r="J1328" t="s">
        <v>20</v>
      </c>
    </row>
    <row r="1329" spans="1:10" x14ac:dyDescent="0.2">
      <c r="A1329">
        <v>11328</v>
      </c>
      <c r="B1329" t="s">
        <v>8</v>
      </c>
      <c r="C1329" t="s">
        <v>6</v>
      </c>
      <c r="D1329">
        <v>3.68</v>
      </c>
      <c r="E1329">
        <v>1</v>
      </c>
      <c r="F1329" t="s">
        <v>14</v>
      </c>
      <c r="G1329">
        <v>12</v>
      </c>
      <c r="H1329">
        <v>4.1216000000000008</v>
      </c>
      <c r="I1329">
        <v>12.000000000000011</v>
      </c>
      <c r="J1329" t="s">
        <v>20</v>
      </c>
    </row>
    <row r="1330" spans="1:10" x14ac:dyDescent="0.2">
      <c r="A1330">
        <v>11329</v>
      </c>
      <c r="B1330" t="s">
        <v>10</v>
      </c>
      <c r="C1330" t="s">
        <v>6</v>
      </c>
      <c r="D1330">
        <v>6.92</v>
      </c>
      <c r="E1330">
        <v>6</v>
      </c>
      <c r="F1330" t="s">
        <v>15</v>
      </c>
      <c r="G1330">
        <v>28</v>
      </c>
      <c r="H1330">
        <v>8.8575999999999997</v>
      </c>
      <c r="I1330">
        <v>28.000000000000004</v>
      </c>
      <c r="J1330" t="s">
        <v>20</v>
      </c>
    </row>
    <row r="1331" spans="1:10" x14ac:dyDescent="0.2">
      <c r="A1331">
        <v>11330</v>
      </c>
      <c r="B1331" t="s">
        <v>8</v>
      </c>
      <c r="C1331" t="s">
        <v>6</v>
      </c>
      <c r="D1331">
        <v>9.4600000000000009</v>
      </c>
      <c r="E1331">
        <v>10</v>
      </c>
      <c r="F1331" t="s">
        <v>16</v>
      </c>
      <c r="G1331">
        <v>55</v>
      </c>
      <c r="H1331">
        <v>14.663000000000002</v>
      </c>
      <c r="I1331">
        <v>55.000000000000007</v>
      </c>
      <c r="J1331" t="s">
        <v>20</v>
      </c>
    </row>
    <row r="1332" spans="1:10" x14ac:dyDescent="0.2">
      <c r="A1332">
        <v>11331</v>
      </c>
      <c r="B1332" t="s">
        <v>10</v>
      </c>
      <c r="C1332" t="s">
        <v>11</v>
      </c>
      <c r="D1332">
        <v>11.66</v>
      </c>
      <c r="E1332">
        <v>2</v>
      </c>
      <c r="F1332" t="s">
        <v>14</v>
      </c>
      <c r="G1332">
        <v>10</v>
      </c>
      <c r="H1332">
        <v>12.826000000000001</v>
      </c>
      <c r="I1332">
        <v>10.000000000000009</v>
      </c>
      <c r="J1332" t="s">
        <v>20</v>
      </c>
    </row>
    <row r="1333" spans="1:10" x14ac:dyDescent="0.2">
      <c r="A1333">
        <v>11332</v>
      </c>
      <c r="B1333" t="s">
        <v>10</v>
      </c>
      <c r="C1333" t="s">
        <v>11</v>
      </c>
      <c r="D1333">
        <v>2.0099999999999998</v>
      </c>
      <c r="E1333">
        <v>5</v>
      </c>
      <c r="F1333" t="s">
        <v>15</v>
      </c>
      <c r="G1333">
        <v>25</v>
      </c>
      <c r="H1333">
        <v>2.5124999999999997</v>
      </c>
      <c r="I1333">
        <v>25</v>
      </c>
      <c r="J1333" t="s">
        <v>20</v>
      </c>
    </row>
    <row r="1334" spans="1:10" x14ac:dyDescent="0.2">
      <c r="A1334">
        <v>11333</v>
      </c>
      <c r="B1334" t="s">
        <v>5</v>
      </c>
      <c r="C1334" t="s">
        <v>9</v>
      </c>
      <c r="D1334">
        <v>14.45</v>
      </c>
      <c r="E1334">
        <v>8</v>
      </c>
      <c r="F1334" t="s">
        <v>16</v>
      </c>
      <c r="G1334">
        <v>60</v>
      </c>
      <c r="H1334">
        <v>23.12</v>
      </c>
      <c r="I1334">
        <v>60.000000000000007</v>
      </c>
      <c r="J1334" t="s">
        <v>20</v>
      </c>
    </row>
    <row r="1335" spans="1:10" x14ac:dyDescent="0.2">
      <c r="A1335">
        <v>11334</v>
      </c>
      <c r="B1335" t="s">
        <v>7</v>
      </c>
      <c r="C1335" t="s">
        <v>9</v>
      </c>
      <c r="D1335">
        <v>13.41</v>
      </c>
      <c r="E1335">
        <v>3</v>
      </c>
      <c r="F1335" t="s">
        <v>14</v>
      </c>
      <c r="G1335">
        <v>15</v>
      </c>
      <c r="H1335">
        <v>15.421499999999998</v>
      </c>
      <c r="I1335">
        <v>14.999999999999991</v>
      </c>
      <c r="J1335" t="s">
        <v>20</v>
      </c>
    </row>
    <row r="1336" spans="1:10" x14ac:dyDescent="0.2">
      <c r="A1336">
        <v>11335</v>
      </c>
      <c r="B1336" t="s">
        <v>7</v>
      </c>
      <c r="C1336" t="s">
        <v>9</v>
      </c>
      <c r="D1336">
        <v>4.42</v>
      </c>
      <c r="E1336">
        <v>9</v>
      </c>
      <c r="F1336" t="s">
        <v>16</v>
      </c>
      <c r="G1336">
        <v>60</v>
      </c>
      <c r="H1336">
        <v>7.0720000000000001</v>
      </c>
      <c r="I1336">
        <v>60.000000000000007</v>
      </c>
      <c r="J1336" t="s">
        <v>20</v>
      </c>
    </row>
    <row r="1337" spans="1:10" x14ac:dyDescent="0.2">
      <c r="A1337">
        <v>11336</v>
      </c>
      <c r="B1337" t="s">
        <v>10</v>
      </c>
      <c r="C1337" t="s">
        <v>9</v>
      </c>
      <c r="D1337">
        <v>12.43</v>
      </c>
      <c r="E1337">
        <v>7</v>
      </c>
      <c r="F1337" t="s">
        <v>15</v>
      </c>
      <c r="G1337">
        <v>30</v>
      </c>
      <c r="H1337">
        <v>16.158999999999999</v>
      </c>
      <c r="I1337">
        <v>30.000000000000004</v>
      </c>
      <c r="J1337" t="s">
        <v>20</v>
      </c>
    </row>
    <row r="1338" spans="1:10" x14ac:dyDescent="0.2">
      <c r="A1338">
        <v>11337</v>
      </c>
      <c r="B1338" t="s">
        <v>5</v>
      </c>
      <c r="C1338" t="s">
        <v>6</v>
      </c>
      <c r="D1338">
        <v>8.02</v>
      </c>
      <c r="E1338">
        <v>9</v>
      </c>
      <c r="F1338" t="s">
        <v>16</v>
      </c>
      <c r="G1338">
        <v>55</v>
      </c>
      <c r="H1338">
        <v>12.430999999999999</v>
      </c>
      <c r="I1338">
        <v>55.000000000000007</v>
      </c>
      <c r="J1338" t="s">
        <v>20</v>
      </c>
    </row>
    <row r="1339" spans="1:10" x14ac:dyDescent="0.2">
      <c r="A1339">
        <v>11338</v>
      </c>
      <c r="B1339" t="s">
        <v>10</v>
      </c>
      <c r="C1339" t="s">
        <v>11</v>
      </c>
      <c r="D1339">
        <v>7.2</v>
      </c>
      <c r="E1339">
        <v>1</v>
      </c>
      <c r="F1339" t="s">
        <v>14</v>
      </c>
      <c r="G1339">
        <v>10</v>
      </c>
      <c r="H1339">
        <v>7.9200000000000008</v>
      </c>
      <c r="I1339">
        <v>10.000000000000009</v>
      </c>
      <c r="J1339" t="s">
        <v>20</v>
      </c>
    </row>
    <row r="1340" spans="1:10" x14ac:dyDescent="0.2">
      <c r="A1340">
        <v>11339</v>
      </c>
      <c r="B1340" t="s">
        <v>10</v>
      </c>
      <c r="C1340" t="s">
        <v>11</v>
      </c>
      <c r="D1340">
        <v>5.0599999999999996</v>
      </c>
      <c r="E1340">
        <v>5</v>
      </c>
      <c r="F1340" t="s">
        <v>15</v>
      </c>
      <c r="G1340">
        <v>25</v>
      </c>
      <c r="H1340">
        <v>6.3249999999999993</v>
      </c>
      <c r="I1340">
        <v>25</v>
      </c>
      <c r="J1340" t="s">
        <v>20</v>
      </c>
    </row>
    <row r="1341" spans="1:10" x14ac:dyDescent="0.2">
      <c r="A1341">
        <v>11340</v>
      </c>
      <c r="B1341" t="s">
        <v>10</v>
      </c>
      <c r="C1341" t="s">
        <v>9</v>
      </c>
      <c r="D1341">
        <v>8.92</v>
      </c>
      <c r="E1341">
        <v>3</v>
      </c>
      <c r="F1341" t="s">
        <v>14</v>
      </c>
      <c r="G1341">
        <v>15</v>
      </c>
      <c r="H1341">
        <v>10.257999999999999</v>
      </c>
      <c r="I1341">
        <v>14.999999999999991</v>
      </c>
      <c r="J1341" t="s">
        <v>20</v>
      </c>
    </row>
    <row r="1342" spans="1:10" x14ac:dyDescent="0.2">
      <c r="A1342">
        <v>11341</v>
      </c>
      <c r="B1342" t="s">
        <v>5</v>
      </c>
      <c r="C1342" t="s">
        <v>9</v>
      </c>
      <c r="D1342">
        <v>11.08</v>
      </c>
      <c r="E1342">
        <v>4</v>
      </c>
      <c r="F1342" t="s">
        <v>15</v>
      </c>
      <c r="G1342">
        <v>30</v>
      </c>
      <c r="H1342">
        <v>14.404</v>
      </c>
      <c r="I1342">
        <v>30.000000000000004</v>
      </c>
      <c r="J1342" t="s">
        <v>20</v>
      </c>
    </row>
    <row r="1343" spans="1:10" x14ac:dyDescent="0.2">
      <c r="A1343">
        <v>11342</v>
      </c>
      <c r="B1343" t="s">
        <v>7</v>
      </c>
      <c r="C1343" t="s">
        <v>6</v>
      </c>
      <c r="D1343">
        <v>6.46</v>
      </c>
      <c r="E1343">
        <v>4</v>
      </c>
      <c r="F1343" t="s">
        <v>15</v>
      </c>
      <c r="G1343">
        <v>28</v>
      </c>
      <c r="H1343">
        <v>8.2688000000000006</v>
      </c>
      <c r="I1343">
        <v>28.000000000000004</v>
      </c>
      <c r="J1343" t="s">
        <v>20</v>
      </c>
    </row>
    <row r="1344" spans="1:10" x14ac:dyDescent="0.2">
      <c r="A1344">
        <v>11343</v>
      </c>
      <c r="B1344" t="s">
        <v>5</v>
      </c>
      <c r="C1344" t="s">
        <v>6</v>
      </c>
      <c r="D1344">
        <v>9.6199999999999992</v>
      </c>
      <c r="E1344">
        <v>7</v>
      </c>
      <c r="F1344" t="s">
        <v>15</v>
      </c>
      <c r="G1344">
        <v>28</v>
      </c>
      <c r="H1344">
        <v>12.313599999999999</v>
      </c>
      <c r="I1344">
        <v>28.000000000000004</v>
      </c>
      <c r="J1344" t="s">
        <v>20</v>
      </c>
    </row>
    <row r="1345" spans="1:10" x14ac:dyDescent="0.2">
      <c r="A1345">
        <v>11344</v>
      </c>
      <c r="B1345" t="s">
        <v>8</v>
      </c>
      <c r="C1345" t="s">
        <v>9</v>
      </c>
      <c r="D1345">
        <v>10.64</v>
      </c>
      <c r="E1345">
        <v>10</v>
      </c>
      <c r="F1345" t="s">
        <v>16</v>
      </c>
      <c r="G1345">
        <v>60</v>
      </c>
      <c r="H1345">
        <v>17.024000000000001</v>
      </c>
      <c r="I1345">
        <v>60.000000000000007</v>
      </c>
      <c r="J1345" t="s">
        <v>20</v>
      </c>
    </row>
    <row r="1346" spans="1:10" x14ac:dyDescent="0.2">
      <c r="A1346">
        <v>11345</v>
      </c>
      <c r="B1346" t="s">
        <v>5</v>
      </c>
      <c r="C1346" t="s">
        <v>11</v>
      </c>
      <c r="D1346">
        <v>10.81</v>
      </c>
      <c r="E1346">
        <v>8</v>
      </c>
      <c r="F1346" t="s">
        <v>16</v>
      </c>
      <c r="G1346">
        <v>50</v>
      </c>
      <c r="H1346">
        <v>16.215</v>
      </c>
      <c r="I1346">
        <v>50</v>
      </c>
      <c r="J1346" t="s">
        <v>20</v>
      </c>
    </row>
    <row r="1347" spans="1:10" x14ac:dyDescent="0.2">
      <c r="A1347">
        <v>11346</v>
      </c>
      <c r="B1347" t="s">
        <v>5</v>
      </c>
      <c r="C1347" t="s">
        <v>11</v>
      </c>
      <c r="D1347">
        <v>1.25</v>
      </c>
      <c r="E1347">
        <v>10</v>
      </c>
      <c r="F1347" t="s">
        <v>16</v>
      </c>
      <c r="G1347">
        <v>50</v>
      </c>
      <c r="H1347">
        <v>1.875</v>
      </c>
      <c r="I1347">
        <v>50</v>
      </c>
      <c r="J1347" t="s">
        <v>20</v>
      </c>
    </row>
    <row r="1348" spans="1:10" x14ac:dyDescent="0.2">
      <c r="A1348">
        <v>11347</v>
      </c>
      <c r="B1348" t="s">
        <v>5</v>
      </c>
      <c r="C1348" t="s">
        <v>11</v>
      </c>
      <c r="D1348">
        <v>12.97</v>
      </c>
      <c r="E1348">
        <v>5</v>
      </c>
      <c r="F1348" t="s">
        <v>15</v>
      </c>
      <c r="G1348">
        <v>25</v>
      </c>
      <c r="H1348">
        <v>16.212500000000002</v>
      </c>
      <c r="I1348">
        <v>25</v>
      </c>
      <c r="J1348" t="s">
        <v>20</v>
      </c>
    </row>
    <row r="1349" spans="1:10" x14ac:dyDescent="0.2">
      <c r="A1349">
        <v>11348</v>
      </c>
      <c r="B1349" t="s">
        <v>5</v>
      </c>
      <c r="C1349" t="s">
        <v>9</v>
      </c>
      <c r="D1349">
        <v>7.14</v>
      </c>
      <c r="E1349">
        <v>10</v>
      </c>
      <c r="F1349" t="s">
        <v>16</v>
      </c>
      <c r="G1349">
        <v>60</v>
      </c>
      <c r="H1349">
        <v>11.423999999999999</v>
      </c>
      <c r="I1349">
        <v>60.000000000000007</v>
      </c>
      <c r="J1349" t="s">
        <v>20</v>
      </c>
    </row>
    <row r="1350" spans="1:10" x14ac:dyDescent="0.2">
      <c r="A1350">
        <v>11349</v>
      </c>
      <c r="B1350" t="s">
        <v>7</v>
      </c>
      <c r="C1350" t="s">
        <v>11</v>
      </c>
      <c r="D1350">
        <v>4.3099999999999996</v>
      </c>
      <c r="E1350">
        <v>7</v>
      </c>
      <c r="F1350" t="s">
        <v>15</v>
      </c>
      <c r="G1350">
        <v>25</v>
      </c>
      <c r="H1350">
        <v>5.3874999999999993</v>
      </c>
      <c r="I1350">
        <v>25</v>
      </c>
      <c r="J1350" t="s">
        <v>20</v>
      </c>
    </row>
    <row r="1351" spans="1:10" x14ac:dyDescent="0.2">
      <c r="A1351">
        <v>11350</v>
      </c>
      <c r="B1351" t="s">
        <v>8</v>
      </c>
      <c r="C1351" t="s">
        <v>6</v>
      </c>
      <c r="D1351">
        <v>4.01</v>
      </c>
      <c r="E1351">
        <v>3</v>
      </c>
      <c r="F1351" t="s">
        <v>14</v>
      </c>
      <c r="G1351">
        <v>12</v>
      </c>
      <c r="H1351">
        <v>4.4912000000000001</v>
      </c>
      <c r="I1351">
        <v>12.000000000000011</v>
      </c>
      <c r="J1351" t="s">
        <v>20</v>
      </c>
    </row>
    <row r="1352" spans="1:10" x14ac:dyDescent="0.2">
      <c r="A1352">
        <v>11351</v>
      </c>
      <c r="B1352" t="s">
        <v>7</v>
      </c>
      <c r="C1352" t="s">
        <v>6</v>
      </c>
      <c r="D1352">
        <v>7.5</v>
      </c>
      <c r="E1352">
        <v>3</v>
      </c>
      <c r="F1352" t="s">
        <v>14</v>
      </c>
      <c r="G1352">
        <v>12</v>
      </c>
      <c r="H1352">
        <v>8.4</v>
      </c>
      <c r="I1352">
        <v>12.000000000000011</v>
      </c>
      <c r="J1352" t="s">
        <v>20</v>
      </c>
    </row>
    <row r="1353" spans="1:10" x14ac:dyDescent="0.2">
      <c r="A1353">
        <v>11352</v>
      </c>
      <c r="B1353" t="s">
        <v>7</v>
      </c>
      <c r="C1353" t="s">
        <v>9</v>
      </c>
      <c r="D1353">
        <v>13.36</v>
      </c>
      <c r="E1353">
        <v>3</v>
      </c>
      <c r="F1353" t="s">
        <v>14</v>
      </c>
      <c r="G1353">
        <v>15</v>
      </c>
      <c r="H1353">
        <v>15.363999999999999</v>
      </c>
      <c r="I1353">
        <v>14.999999999999991</v>
      </c>
      <c r="J1353" t="s">
        <v>20</v>
      </c>
    </row>
    <row r="1354" spans="1:10" x14ac:dyDescent="0.2">
      <c r="A1354">
        <v>11353</v>
      </c>
      <c r="B1354" t="s">
        <v>5</v>
      </c>
      <c r="C1354" t="s">
        <v>6</v>
      </c>
      <c r="D1354">
        <v>5.99</v>
      </c>
      <c r="E1354">
        <v>4</v>
      </c>
      <c r="F1354" t="s">
        <v>15</v>
      </c>
      <c r="G1354">
        <v>28</v>
      </c>
      <c r="H1354">
        <v>7.6672000000000002</v>
      </c>
      <c r="I1354">
        <v>28.000000000000004</v>
      </c>
      <c r="J1354" t="s">
        <v>20</v>
      </c>
    </row>
    <row r="1355" spans="1:10" x14ac:dyDescent="0.2">
      <c r="A1355">
        <v>11354</v>
      </c>
      <c r="B1355" t="s">
        <v>10</v>
      </c>
      <c r="C1355" t="s">
        <v>9</v>
      </c>
      <c r="D1355">
        <v>11.37</v>
      </c>
      <c r="E1355">
        <v>6</v>
      </c>
      <c r="F1355" t="s">
        <v>15</v>
      </c>
      <c r="G1355">
        <v>30</v>
      </c>
      <c r="H1355">
        <v>14.780999999999999</v>
      </c>
      <c r="I1355">
        <v>30.000000000000004</v>
      </c>
      <c r="J1355" t="s">
        <v>20</v>
      </c>
    </row>
    <row r="1356" spans="1:10" x14ac:dyDescent="0.2">
      <c r="A1356">
        <v>11355</v>
      </c>
      <c r="B1356" t="s">
        <v>10</v>
      </c>
      <c r="C1356" t="s">
        <v>11</v>
      </c>
      <c r="D1356">
        <v>1.9</v>
      </c>
      <c r="E1356">
        <v>5</v>
      </c>
      <c r="F1356" t="s">
        <v>15</v>
      </c>
      <c r="G1356">
        <v>25</v>
      </c>
      <c r="H1356">
        <v>2.375</v>
      </c>
      <c r="I1356">
        <v>25</v>
      </c>
      <c r="J1356" t="s">
        <v>20</v>
      </c>
    </row>
    <row r="1357" spans="1:10" x14ac:dyDescent="0.2">
      <c r="A1357">
        <v>11356</v>
      </c>
      <c r="B1357" t="s">
        <v>7</v>
      </c>
      <c r="C1357" t="s">
        <v>11</v>
      </c>
      <c r="D1357">
        <v>7.4</v>
      </c>
      <c r="E1357">
        <v>8</v>
      </c>
      <c r="F1357" t="s">
        <v>16</v>
      </c>
      <c r="G1357">
        <v>50</v>
      </c>
      <c r="H1357">
        <v>11.100000000000001</v>
      </c>
      <c r="I1357">
        <v>50.000000000000021</v>
      </c>
      <c r="J1357" t="s">
        <v>20</v>
      </c>
    </row>
    <row r="1358" spans="1:10" x14ac:dyDescent="0.2">
      <c r="A1358">
        <v>11357</v>
      </c>
      <c r="B1358" t="s">
        <v>7</v>
      </c>
      <c r="C1358" t="s">
        <v>11</v>
      </c>
      <c r="D1358">
        <v>14.88</v>
      </c>
      <c r="E1358">
        <v>5</v>
      </c>
      <c r="F1358" t="s">
        <v>15</v>
      </c>
      <c r="G1358">
        <v>25</v>
      </c>
      <c r="H1358">
        <v>18.600000000000001</v>
      </c>
      <c r="I1358">
        <v>25</v>
      </c>
      <c r="J1358" t="s">
        <v>20</v>
      </c>
    </row>
    <row r="1359" spans="1:10" x14ac:dyDescent="0.2">
      <c r="A1359">
        <v>11358</v>
      </c>
      <c r="B1359" t="s">
        <v>5</v>
      </c>
      <c r="C1359" t="s">
        <v>6</v>
      </c>
      <c r="D1359">
        <v>11.67</v>
      </c>
      <c r="E1359">
        <v>5</v>
      </c>
      <c r="F1359" t="s">
        <v>15</v>
      </c>
      <c r="G1359">
        <v>28</v>
      </c>
      <c r="H1359">
        <v>14.9376</v>
      </c>
      <c r="I1359">
        <v>28.000000000000004</v>
      </c>
      <c r="J1359" t="s">
        <v>20</v>
      </c>
    </row>
    <row r="1360" spans="1:10" x14ac:dyDescent="0.2">
      <c r="A1360">
        <v>11359</v>
      </c>
      <c r="B1360" t="s">
        <v>7</v>
      </c>
      <c r="C1360" t="s">
        <v>9</v>
      </c>
      <c r="D1360">
        <v>3.55</v>
      </c>
      <c r="E1360">
        <v>10</v>
      </c>
      <c r="F1360" t="s">
        <v>16</v>
      </c>
      <c r="G1360">
        <v>60</v>
      </c>
      <c r="H1360">
        <v>5.68</v>
      </c>
      <c r="I1360">
        <v>60.000000000000007</v>
      </c>
      <c r="J1360" t="s">
        <v>20</v>
      </c>
    </row>
    <row r="1361" spans="1:10" x14ac:dyDescent="0.2">
      <c r="A1361">
        <v>11360</v>
      </c>
      <c r="B1361" t="s">
        <v>5</v>
      </c>
      <c r="C1361" t="s">
        <v>11</v>
      </c>
      <c r="D1361">
        <v>7.77</v>
      </c>
      <c r="E1361">
        <v>2</v>
      </c>
      <c r="F1361" t="s">
        <v>14</v>
      </c>
      <c r="G1361">
        <v>10</v>
      </c>
      <c r="H1361">
        <v>8.5470000000000006</v>
      </c>
      <c r="I1361">
        <v>10.000000000000009</v>
      </c>
      <c r="J1361" t="s">
        <v>20</v>
      </c>
    </row>
    <row r="1362" spans="1:10" x14ac:dyDescent="0.2">
      <c r="A1362">
        <v>11361</v>
      </c>
      <c r="B1362" t="s">
        <v>10</v>
      </c>
      <c r="C1362" t="s">
        <v>9</v>
      </c>
      <c r="D1362">
        <v>3.89</v>
      </c>
      <c r="E1362">
        <v>5</v>
      </c>
      <c r="F1362" t="s">
        <v>15</v>
      </c>
      <c r="G1362">
        <v>30</v>
      </c>
      <c r="H1362">
        <v>5.0570000000000004</v>
      </c>
      <c r="I1362">
        <v>30.000000000000004</v>
      </c>
      <c r="J1362" t="s">
        <v>20</v>
      </c>
    </row>
    <row r="1363" spans="1:10" x14ac:dyDescent="0.2">
      <c r="A1363">
        <v>11362</v>
      </c>
      <c r="B1363" t="s">
        <v>10</v>
      </c>
      <c r="C1363" t="s">
        <v>11</v>
      </c>
      <c r="D1363">
        <v>6.44</v>
      </c>
      <c r="E1363">
        <v>7</v>
      </c>
      <c r="F1363" t="s">
        <v>15</v>
      </c>
      <c r="G1363">
        <v>25</v>
      </c>
      <c r="H1363">
        <v>8.0500000000000007</v>
      </c>
      <c r="I1363">
        <v>25</v>
      </c>
      <c r="J1363" t="s">
        <v>20</v>
      </c>
    </row>
    <row r="1364" spans="1:10" x14ac:dyDescent="0.2">
      <c r="A1364">
        <v>11363</v>
      </c>
      <c r="B1364" t="s">
        <v>8</v>
      </c>
      <c r="C1364" t="s">
        <v>6</v>
      </c>
      <c r="D1364">
        <v>11.81</v>
      </c>
      <c r="E1364">
        <v>2</v>
      </c>
      <c r="F1364" t="s">
        <v>14</v>
      </c>
      <c r="G1364">
        <v>12</v>
      </c>
      <c r="H1364">
        <v>13.227200000000002</v>
      </c>
      <c r="I1364">
        <v>12.000000000000011</v>
      </c>
      <c r="J1364" t="s">
        <v>20</v>
      </c>
    </row>
    <row r="1365" spans="1:10" x14ac:dyDescent="0.2">
      <c r="A1365">
        <v>11364</v>
      </c>
      <c r="B1365" t="s">
        <v>10</v>
      </c>
      <c r="C1365" t="s">
        <v>6</v>
      </c>
      <c r="D1365">
        <v>11.68</v>
      </c>
      <c r="E1365">
        <v>6</v>
      </c>
      <c r="F1365" t="s">
        <v>15</v>
      </c>
      <c r="G1365">
        <v>28</v>
      </c>
      <c r="H1365">
        <v>14.9504</v>
      </c>
      <c r="I1365">
        <v>28.000000000000004</v>
      </c>
      <c r="J1365" t="s">
        <v>20</v>
      </c>
    </row>
    <row r="1366" spans="1:10" x14ac:dyDescent="0.2">
      <c r="A1366">
        <v>11365</v>
      </c>
      <c r="B1366" t="s">
        <v>7</v>
      </c>
      <c r="C1366" t="s">
        <v>9</v>
      </c>
      <c r="D1366">
        <v>3.81</v>
      </c>
      <c r="E1366">
        <v>7</v>
      </c>
      <c r="F1366" t="s">
        <v>15</v>
      </c>
      <c r="G1366">
        <v>30</v>
      </c>
      <c r="H1366">
        <v>4.9530000000000003</v>
      </c>
      <c r="I1366">
        <v>30.000000000000004</v>
      </c>
      <c r="J1366" t="s">
        <v>20</v>
      </c>
    </row>
    <row r="1367" spans="1:10" x14ac:dyDescent="0.2">
      <c r="A1367">
        <v>11366</v>
      </c>
      <c r="B1367" t="s">
        <v>10</v>
      </c>
      <c r="C1367" t="s">
        <v>6</v>
      </c>
      <c r="D1367">
        <v>13.87</v>
      </c>
      <c r="E1367">
        <v>5</v>
      </c>
      <c r="F1367" t="s">
        <v>15</v>
      </c>
      <c r="G1367">
        <v>28</v>
      </c>
      <c r="H1367">
        <v>17.753599999999999</v>
      </c>
      <c r="I1367">
        <v>28.000000000000004</v>
      </c>
      <c r="J1367" t="s">
        <v>20</v>
      </c>
    </row>
    <row r="1368" spans="1:10" x14ac:dyDescent="0.2">
      <c r="A1368">
        <v>11367</v>
      </c>
      <c r="B1368" t="s">
        <v>5</v>
      </c>
      <c r="C1368" t="s">
        <v>6</v>
      </c>
      <c r="D1368">
        <v>9.09</v>
      </c>
      <c r="E1368">
        <v>9</v>
      </c>
      <c r="F1368" t="s">
        <v>16</v>
      </c>
      <c r="G1368">
        <v>55</v>
      </c>
      <c r="H1368">
        <v>14.089500000000001</v>
      </c>
      <c r="I1368">
        <v>55.000000000000007</v>
      </c>
      <c r="J1368" t="s">
        <v>20</v>
      </c>
    </row>
    <row r="1369" spans="1:10" x14ac:dyDescent="0.2">
      <c r="A1369">
        <v>11368</v>
      </c>
      <c r="B1369" t="s">
        <v>10</v>
      </c>
      <c r="C1369" t="s">
        <v>9</v>
      </c>
      <c r="D1369">
        <v>6.01</v>
      </c>
      <c r="E1369">
        <v>4</v>
      </c>
      <c r="F1369" t="s">
        <v>15</v>
      </c>
      <c r="G1369">
        <v>30</v>
      </c>
      <c r="H1369">
        <v>7.8129999999999997</v>
      </c>
      <c r="I1369">
        <v>30.000000000000004</v>
      </c>
      <c r="J1369" t="s">
        <v>20</v>
      </c>
    </row>
    <row r="1370" spans="1:10" x14ac:dyDescent="0.2">
      <c r="A1370">
        <v>11369</v>
      </c>
      <c r="B1370" t="s">
        <v>8</v>
      </c>
      <c r="C1370" t="s">
        <v>11</v>
      </c>
      <c r="D1370">
        <v>7.78</v>
      </c>
      <c r="E1370">
        <v>10</v>
      </c>
      <c r="F1370" t="s">
        <v>16</v>
      </c>
      <c r="G1370">
        <v>50</v>
      </c>
      <c r="H1370">
        <v>11.67</v>
      </c>
      <c r="I1370">
        <v>50</v>
      </c>
      <c r="J1370" t="s">
        <v>20</v>
      </c>
    </row>
    <row r="1371" spans="1:10" x14ac:dyDescent="0.2">
      <c r="A1371">
        <v>11370</v>
      </c>
      <c r="B1371" t="s">
        <v>10</v>
      </c>
      <c r="C1371" t="s">
        <v>6</v>
      </c>
      <c r="D1371">
        <v>9.27</v>
      </c>
      <c r="E1371">
        <v>1</v>
      </c>
      <c r="F1371" t="s">
        <v>14</v>
      </c>
      <c r="G1371">
        <v>12</v>
      </c>
      <c r="H1371">
        <v>10.382400000000001</v>
      </c>
      <c r="I1371">
        <v>12.000000000000011</v>
      </c>
      <c r="J1371" t="s">
        <v>20</v>
      </c>
    </row>
    <row r="1372" spans="1:10" x14ac:dyDescent="0.2">
      <c r="A1372">
        <v>11371</v>
      </c>
      <c r="B1372" t="s">
        <v>5</v>
      </c>
      <c r="C1372" t="s">
        <v>9</v>
      </c>
      <c r="D1372">
        <v>8.6199999999999992</v>
      </c>
      <c r="E1372">
        <v>8</v>
      </c>
      <c r="F1372" t="s">
        <v>16</v>
      </c>
      <c r="G1372">
        <v>60</v>
      </c>
      <c r="H1372">
        <v>13.792</v>
      </c>
      <c r="I1372">
        <v>60.000000000000007</v>
      </c>
      <c r="J1372" t="s">
        <v>20</v>
      </c>
    </row>
    <row r="1373" spans="1:10" x14ac:dyDescent="0.2">
      <c r="A1373">
        <v>11372</v>
      </c>
      <c r="B1373" t="s">
        <v>5</v>
      </c>
      <c r="C1373" t="s">
        <v>6</v>
      </c>
      <c r="D1373">
        <v>7.55</v>
      </c>
      <c r="E1373">
        <v>8</v>
      </c>
      <c r="F1373" t="s">
        <v>16</v>
      </c>
      <c r="G1373">
        <v>55</v>
      </c>
      <c r="H1373">
        <v>11.702500000000001</v>
      </c>
      <c r="I1373">
        <v>55.000000000000007</v>
      </c>
      <c r="J1373" t="s">
        <v>20</v>
      </c>
    </row>
    <row r="1374" spans="1:10" x14ac:dyDescent="0.2">
      <c r="A1374">
        <v>11373</v>
      </c>
      <c r="B1374" t="s">
        <v>7</v>
      </c>
      <c r="C1374" t="s">
        <v>6</v>
      </c>
      <c r="D1374">
        <v>7.82</v>
      </c>
      <c r="E1374">
        <v>7</v>
      </c>
      <c r="F1374" t="s">
        <v>15</v>
      </c>
      <c r="G1374">
        <v>28</v>
      </c>
      <c r="H1374">
        <v>10.009600000000001</v>
      </c>
      <c r="I1374">
        <v>28.000000000000004</v>
      </c>
      <c r="J1374" t="s">
        <v>20</v>
      </c>
    </row>
    <row r="1375" spans="1:10" x14ac:dyDescent="0.2">
      <c r="A1375">
        <v>11374</v>
      </c>
      <c r="B1375" t="s">
        <v>10</v>
      </c>
      <c r="C1375" t="s">
        <v>6</v>
      </c>
      <c r="D1375">
        <v>3.06</v>
      </c>
      <c r="E1375">
        <v>8</v>
      </c>
      <c r="F1375" t="s">
        <v>16</v>
      </c>
      <c r="G1375">
        <v>55</v>
      </c>
      <c r="H1375">
        <v>4.7430000000000003</v>
      </c>
      <c r="I1375">
        <v>55.000000000000007</v>
      </c>
      <c r="J1375" t="s">
        <v>20</v>
      </c>
    </row>
    <row r="1376" spans="1:10" x14ac:dyDescent="0.2">
      <c r="A1376">
        <v>11375</v>
      </c>
      <c r="B1376" t="s">
        <v>5</v>
      </c>
      <c r="C1376" t="s">
        <v>6</v>
      </c>
      <c r="D1376">
        <v>12.28</v>
      </c>
      <c r="E1376">
        <v>2</v>
      </c>
      <c r="F1376" t="s">
        <v>14</v>
      </c>
      <c r="G1376">
        <v>12</v>
      </c>
      <c r="H1376">
        <v>13.7536</v>
      </c>
      <c r="I1376">
        <v>12.000000000000011</v>
      </c>
      <c r="J1376" t="s">
        <v>20</v>
      </c>
    </row>
    <row r="1377" spans="1:10" x14ac:dyDescent="0.2">
      <c r="A1377">
        <v>11376</v>
      </c>
      <c r="B1377" t="s">
        <v>8</v>
      </c>
      <c r="C1377" t="s">
        <v>9</v>
      </c>
      <c r="D1377">
        <v>8.36</v>
      </c>
      <c r="E1377">
        <v>3</v>
      </c>
      <c r="F1377" t="s">
        <v>14</v>
      </c>
      <c r="G1377">
        <v>15</v>
      </c>
      <c r="H1377">
        <v>9.613999999999999</v>
      </c>
      <c r="I1377">
        <v>14.999999999999991</v>
      </c>
      <c r="J1377" t="s">
        <v>20</v>
      </c>
    </row>
    <row r="1378" spans="1:10" x14ac:dyDescent="0.2">
      <c r="A1378">
        <v>11377</v>
      </c>
      <c r="B1378" t="s">
        <v>7</v>
      </c>
      <c r="C1378" t="s">
        <v>9</v>
      </c>
      <c r="D1378">
        <v>2.4</v>
      </c>
      <c r="E1378">
        <v>9</v>
      </c>
      <c r="F1378" t="s">
        <v>16</v>
      </c>
      <c r="G1378">
        <v>60</v>
      </c>
      <c r="H1378">
        <v>3.84</v>
      </c>
      <c r="I1378">
        <v>60.000000000000007</v>
      </c>
      <c r="J1378" t="s">
        <v>20</v>
      </c>
    </row>
    <row r="1379" spans="1:10" x14ac:dyDescent="0.2">
      <c r="A1379">
        <v>11378</v>
      </c>
      <c r="B1379" t="s">
        <v>8</v>
      </c>
      <c r="C1379" t="s">
        <v>9</v>
      </c>
      <c r="D1379">
        <v>11.61</v>
      </c>
      <c r="E1379">
        <v>1</v>
      </c>
      <c r="F1379" t="s">
        <v>14</v>
      </c>
      <c r="G1379">
        <v>15</v>
      </c>
      <c r="H1379">
        <v>13.351499999999998</v>
      </c>
      <c r="I1379">
        <v>14.999999999999991</v>
      </c>
      <c r="J1379" t="s">
        <v>20</v>
      </c>
    </row>
    <row r="1380" spans="1:10" x14ac:dyDescent="0.2">
      <c r="A1380">
        <v>11379</v>
      </c>
      <c r="B1380" t="s">
        <v>10</v>
      </c>
      <c r="C1380" t="s">
        <v>6</v>
      </c>
      <c r="D1380">
        <v>14.02</v>
      </c>
      <c r="E1380">
        <v>8</v>
      </c>
      <c r="F1380" t="s">
        <v>16</v>
      </c>
      <c r="G1380">
        <v>55</v>
      </c>
      <c r="H1380">
        <v>21.731000000000002</v>
      </c>
      <c r="I1380">
        <v>55.000000000000028</v>
      </c>
      <c r="J1380" t="s">
        <v>20</v>
      </c>
    </row>
    <row r="1381" spans="1:10" x14ac:dyDescent="0.2">
      <c r="A1381">
        <v>11380</v>
      </c>
      <c r="B1381" t="s">
        <v>10</v>
      </c>
      <c r="C1381" t="s">
        <v>6</v>
      </c>
      <c r="D1381">
        <v>14.24</v>
      </c>
      <c r="E1381">
        <v>8</v>
      </c>
      <c r="F1381" t="s">
        <v>16</v>
      </c>
      <c r="G1381">
        <v>55</v>
      </c>
      <c r="H1381">
        <v>22.072000000000003</v>
      </c>
      <c r="I1381">
        <v>55.000000000000028</v>
      </c>
      <c r="J1381" t="s">
        <v>20</v>
      </c>
    </row>
    <row r="1382" spans="1:10" x14ac:dyDescent="0.2">
      <c r="A1382">
        <v>11381</v>
      </c>
      <c r="B1382" t="s">
        <v>10</v>
      </c>
      <c r="C1382" t="s">
        <v>6</v>
      </c>
      <c r="D1382">
        <v>5.85</v>
      </c>
      <c r="E1382">
        <v>7</v>
      </c>
      <c r="F1382" t="s">
        <v>15</v>
      </c>
      <c r="G1382">
        <v>28</v>
      </c>
      <c r="H1382">
        <v>7.4879999999999995</v>
      </c>
      <c r="I1382">
        <v>28.000000000000004</v>
      </c>
      <c r="J1382" t="s">
        <v>20</v>
      </c>
    </row>
    <row r="1383" spans="1:10" x14ac:dyDescent="0.2">
      <c r="A1383">
        <v>11382</v>
      </c>
      <c r="B1383" t="s">
        <v>7</v>
      </c>
      <c r="C1383" t="s">
        <v>9</v>
      </c>
      <c r="D1383">
        <v>2.46</v>
      </c>
      <c r="E1383">
        <v>5</v>
      </c>
      <c r="F1383" t="s">
        <v>15</v>
      </c>
      <c r="G1383">
        <v>30</v>
      </c>
      <c r="H1383">
        <v>3.198</v>
      </c>
      <c r="I1383">
        <v>30.000000000000004</v>
      </c>
      <c r="J1383" t="s">
        <v>20</v>
      </c>
    </row>
    <row r="1384" spans="1:10" x14ac:dyDescent="0.2">
      <c r="A1384">
        <v>11383</v>
      </c>
      <c r="B1384" t="s">
        <v>5</v>
      </c>
      <c r="C1384" t="s">
        <v>6</v>
      </c>
      <c r="D1384">
        <v>8.02</v>
      </c>
      <c r="E1384">
        <v>4</v>
      </c>
      <c r="F1384" t="s">
        <v>15</v>
      </c>
      <c r="G1384">
        <v>28</v>
      </c>
      <c r="H1384">
        <v>10.265599999999999</v>
      </c>
      <c r="I1384">
        <v>28.000000000000004</v>
      </c>
      <c r="J1384" t="s">
        <v>20</v>
      </c>
    </row>
    <row r="1385" spans="1:10" x14ac:dyDescent="0.2">
      <c r="A1385">
        <v>11384</v>
      </c>
      <c r="B1385" t="s">
        <v>7</v>
      </c>
      <c r="C1385" t="s">
        <v>11</v>
      </c>
      <c r="D1385">
        <v>2.13</v>
      </c>
      <c r="E1385">
        <v>10</v>
      </c>
      <c r="F1385" t="s">
        <v>16</v>
      </c>
      <c r="G1385">
        <v>50</v>
      </c>
      <c r="H1385">
        <v>3.1949999999999998</v>
      </c>
      <c r="I1385">
        <v>50</v>
      </c>
      <c r="J1385" t="s">
        <v>20</v>
      </c>
    </row>
    <row r="1386" spans="1:10" x14ac:dyDescent="0.2">
      <c r="A1386">
        <v>11385</v>
      </c>
      <c r="B1386" t="s">
        <v>8</v>
      </c>
      <c r="C1386" t="s">
        <v>6</v>
      </c>
      <c r="D1386">
        <v>14.04</v>
      </c>
      <c r="E1386">
        <v>10</v>
      </c>
      <c r="F1386" t="s">
        <v>16</v>
      </c>
      <c r="G1386">
        <v>55</v>
      </c>
      <c r="H1386">
        <v>21.762</v>
      </c>
      <c r="I1386">
        <v>55.000000000000007</v>
      </c>
      <c r="J1386" t="s">
        <v>20</v>
      </c>
    </row>
    <row r="1387" spans="1:10" x14ac:dyDescent="0.2">
      <c r="A1387">
        <v>11386</v>
      </c>
      <c r="B1387" t="s">
        <v>7</v>
      </c>
      <c r="C1387" t="s">
        <v>11</v>
      </c>
      <c r="D1387">
        <v>3.16</v>
      </c>
      <c r="E1387">
        <v>10</v>
      </c>
      <c r="F1387" t="s">
        <v>16</v>
      </c>
      <c r="G1387">
        <v>50</v>
      </c>
      <c r="H1387">
        <v>4.74</v>
      </c>
      <c r="I1387">
        <v>50</v>
      </c>
      <c r="J1387" t="s">
        <v>20</v>
      </c>
    </row>
    <row r="1388" spans="1:10" x14ac:dyDescent="0.2">
      <c r="A1388">
        <v>11387</v>
      </c>
      <c r="B1388" t="s">
        <v>8</v>
      </c>
      <c r="C1388" t="s">
        <v>6</v>
      </c>
      <c r="D1388">
        <v>4.17</v>
      </c>
      <c r="E1388">
        <v>10</v>
      </c>
      <c r="F1388" t="s">
        <v>16</v>
      </c>
      <c r="G1388">
        <v>55</v>
      </c>
      <c r="H1388">
        <v>6.4634999999999998</v>
      </c>
      <c r="I1388">
        <v>55.000000000000007</v>
      </c>
      <c r="J1388" t="s">
        <v>20</v>
      </c>
    </row>
    <row r="1389" spans="1:10" x14ac:dyDescent="0.2">
      <c r="A1389">
        <v>11388</v>
      </c>
      <c r="B1389" t="s">
        <v>7</v>
      </c>
      <c r="C1389" t="s">
        <v>9</v>
      </c>
      <c r="D1389">
        <v>6.4</v>
      </c>
      <c r="E1389">
        <v>6</v>
      </c>
      <c r="F1389" t="s">
        <v>15</v>
      </c>
      <c r="G1389">
        <v>30</v>
      </c>
      <c r="H1389">
        <v>8.32</v>
      </c>
      <c r="I1389">
        <v>30.000000000000004</v>
      </c>
      <c r="J1389" t="s">
        <v>20</v>
      </c>
    </row>
    <row r="1390" spans="1:10" x14ac:dyDescent="0.2">
      <c r="A1390">
        <v>11389</v>
      </c>
      <c r="B1390" t="s">
        <v>5</v>
      </c>
      <c r="C1390" t="s">
        <v>6</v>
      </c>
      <c r="D1390">
        <v>6.06</v>
      </c>
      <c r="E1390">
        <v>1</v>
      </c>
      <c r="F1390" t="s">
        <v>14</v>
      </c>
      <c r="G1390">
        <v>12</v>
      </c>
      <c r="H1390">
        <v>6.7872000000000003</v>
      </c>
      <c r="I1390">
        <v>12.000000000000011</v>
      </c>
      <c r="J1390" t="s">
        <v>20</v>
      </c>
    </row>
    <row r="1391" spans="1:10" x14ac:dyDescent="0.2">
      <c r="A1391">
        <v>11390</v>
      </c>
      <c r="B1391" t="s">
        <v>8</v>
      </c>
      <c r="C1391" t="s">
        <v>11</v>
      </c>
      <c r="D1391">
        <v>12.02</v>
      </c>
      <c r="E1391">
        <v>5</v>
      </c>
      <c r="F1391" t="s">
        <v>15</v>
      </c>
      <c r="G1391">
        <v>25</v>
      </c>
      <c r="H1391">
        <v>15.024999999999999</v>
      </c>
      <c r="I1391">
        <v>25</v>
      </c>
      <c r="J1391" t="s">
        <v>20</v>
      </c>
    </row>
    <row r="1392" spans="1:10" x14ac:dyDescent="0.2">
      <c r="A1392">
        <v>11391</v>
      </c>
      <c r="B1392" t="s">
        <v>10</v>
      </c>
      <c r="C1392" t="s">
        <v>11</v>
      </c>
      <c r="D1392">
        <v>7.12</v>
      </c>
      <c r="E1392">
        <v>4</v>
      </c>
      <c r="F1392" t="s">
        <v>15</v>
      </c>
      <c r="G1392">
        <v>25</v>
      </c>
      <c r="H1392">
        <v>8.9</v>
      </c>
      <c r="I1392">
        <v>25</v>
      </c>
      <c r="J1392" t="s">
        <v>20</v>
      </c>
    </row>
    <row r="1393" spans="1:10" x14ac:dyDescent="0.2">
      <c r="A1393">
        <v>11392</v>
      </c>
      <c r="B1393" t="s">
        <v>10</v>
      </c>
      <c r="C1393" t="s">
        <v>6</v>
      </c>
      <c r="D1393">
        <v>2.98</v>
      </c>
      <c r="E1393">
        <v>4</v>
      </c>
      <c r="F1393" t="s">
        <v>15</v>
      </c>
      <c r="G1393">
        <v>28</v>
      </c>
      <c r="H1393">
        <v>3.8144</v>
      </c>
      <c r="I1393">
        <v>28.000000000000004</v>
      </c>
      <c r="J1393" t="s">
        <v>20</v>
      </c>
    </row>
    <row r="1394" spans="1:10" x14ac:dyDescent="0.2">
      <c r="A1394">
        <v>11393</v>
      </c>
      <c r="B1394" t="s">
        <v>7</v>
      </c>
      <c r="C1394" t="s">
        <v>11</v>
      </c>
      <c r="D1394">
        <v>4.37</v>
      </c>
      <c r="E1394">
        <v>7</v>
      </c>
      <c r="F1394" t="s">
        <v>15</v>
      </c>
      <c r="G1394">
        <v>25</v>
      </c>
      <c r="H1394">
        <v>5.4625000000000004</v>
      </c>
      <c r="I1394">
        <v>25</v>
      </c>
      <c r="J1394" t="s">
        <v>20</v>
      </c>
    </row>
    <row r="1395" spans="1:10" x14ac:dyDescent="0.2">
      <c r="A1395">
        <v>11394</v>
      </c>
      <c r="B1395" t="s">
        <v>10</v>
      </c>
      <c r="C1395" t="s">
        <v>11</v>
      </c>
      <c r="D1395">
        <v>7.88</v>
      </c>
      <c r="E1395">
        <v>9</v>
      </c>
      <c r="F1395" t="s">
        <v>16</v>
      </c>
      <c r="G1395">
        <v>50</v>
      </c>
      <c r="H1395">
        <v>11.82</v>
      </c>
      <c r="I1395">
        <v>50</v>
      </c>
      <c r="J1395" t="s">
        <v>20</v>
      </c>
    </row>
    <row r="1396" spans="1:10" x14ac:dyDescent="0.2">
      <c r="A1396">
        <v>11395</v>
      </c>
      <c r="B1396" t="s">
        <v>8</v>
      </c>
      <c r="C1396" t="s">
        <v>9</v>
      </c>
      <c r="D1396">
        <v>2.64</v>
      </c>
      <c r="E1396">
        <v>8</v>
      </c>
      <c r="F1396" t="s">
        <v>16</v>
      </c>
      <c r="G1396">
        <v>60</v>
      </c>
      <c r="H1396">
        <v>4.2240000000000002</v>
      </c>
      <c r="I1396">
        <v>60.000000000000007</v>
      </c>
      <c r="J1396" t="s">
        <v>20</v>
      </c>
    </row>
    <row r="1397" spans="1:10" x14ac:dyDescent="0.2">
      <c r="A1397">
        <v>11396</v>
      </c>
      <c r="B1397" t="s">
        <v>10</v>
      </c>
      <c r="C1397" t="s">
        <v>6</v>
      </c>
      <c r="D1397">
        <v>9.3699999999999992</v>
      </c>
      <c r="E1397">
        <v>8</v>
      </c>
      <c r="F1397" t="s">
        <v>16</v>
      </c>
      <c r="G1397">
        <v>55</v>
      </c>
      <c r="H1397">
        <v>14.523499999999999</v>
      </c>
      <c r="I1397">
        <v>55.000000000000007</v>
      </c>
      <c r="J1397" t="s">
        <v>20</v>
      </c>
    </row>
    <row r="1398" spans="1:10" x14ac:dyDescent="0.2">
      <c r="A1398">
        <v>11397</v>
      </c>
      <c r="B1398" t="s">
        <v>5</v>
      </c>
      <c r="C1398" t="s">
        <v>6</v>
      </c>
      <c r="D1398">
        <v>8.6999999999999993</v>
      </c>
      <c r="E1398">
        <v>5</v>
      </c>
      <c r="F1398" t="s">
        <v>15</v>
      </c>
      <c r="G1398">
        <v>28</v>
      </c>
      <c r="H1398">
        <v>11.135999999999999</v>
      </c>
      <c r="I1398">
        <v>28.000000000000004</v>
      </c>
      <c r="J1398" t="s">
        <v>20</v>
      </c>
    </row>
    <row r="1399" spans="1:10" x14ac:dyDescent="0.2">
      <c r="A1399">
        <v>11398</v>
      </c>
      <c r="B1399" t="s">
        <v>5</v>
      </c>
      <c r="C1399" t="s">
        <v>6</v>
      </c>
      <c r="D1399">
        <v>10.86</v>
      </c>
      <c r="E1399">
        <v>6</v>
      </c>
      <c r="F1399" t="s">
        <v>15</v>
      </c>
      <c r="G1399">
        <v>28</v>
      </c>
      <c r="H1399">
        <v>13.9008</v>
      </c>
      <c r="I1399">
        <v>28.000000000000004</v>
      </c>
      <c r="J1399" t="s">
        <v>20</v>
      </c>
    </row>
    <row r="1400" spans="1:10" x14ac:dyDescent="0.2">
      <c r="A1400">
        <v>11399</v>
      </c>
      <c r="B1400" t="s">
        <v>7</v>
      </c>
      <c r="C1400" t="s">
        <v>11</v>
      </c>
      <c r="D1400">
        <v>14.1</v>
      </c>
      <c r="E1400">
        <v>2</v>
      </c>
      <c r="F1400" t="s">
        <v>14</v>
      </c>
      <c r="G1400">
        <v>10</v>
      </c>
      <c r="H1400">
        <v>15.510000000000002</v>
      </c>
      <c r="I1400">
        <v>10.000000000000009</v>
      </c>
      <c r="J1400" t="s">
        <v>20</v>
      </c>
    </row>
    <row r="1401" spans="1:10" x14ac:dyDescent="0.2">
      <c r="A1401">
        <v>11400</v>
      </c>
      <c r="B1401" t="s">
        <v>8</v>
      </c>
      <c r="C1401" t="s">
        <v>6</v>
      </c>
      <c r="D1401">
        <v>13.73</v>
      </c>
      <c r="E1401">
        <v>3</v>
      </c>
      <c r="F1401" t="s">
        <v>14</v>
      </c>
      <c r="G1401">
        <v>12</v>
      </c>
      <c r="H1401">
        <v>15.377600000000003</v>
      </c>
      <c r="I1401">
        <v>12.000000000000011</v>
      </c>
      <c r="J1401" t="s">
        <v>20</v>
      </c>
    </row>
    <row r="1402" spans="1:10" x14ac:dyDescent="0.2">
      <c r="A1402">
        <v>11401</v>
      </c>
      <c r="B1402" t="s">
        <v>5</v>
      </c>
      <c r="C1402" t="s">
        <v>6</v>
      </c>
      <c r="D1402">
        <v>14.22</v>
      </c>
      <c r="E1402">
        <v>5</v>
      </c>
      <c r="F1402" t="s">
        <v>15</v>
      </c>
      <c r="G1402">
        <v>28</v>
      </c>
      <c r="H1402">
        <v>18.201600000000003</v>
      </c>
      <c r="I1402">
        <v>28.000000000000004</v>
      </c>
      <c r="J1402" t="s">
        <v>20</v>
      </c>
    </row>
    <row r="1403" spans="1:10" x14ac:dyDescent="0.2">
      <c r="A1403">
        <v>11402</v>
      </c>
      <c r="B1403" t="s">
        <v>5</v>
      </c>
      <c r="C1403" t="s">
        <v>9</v>
      </c>
      <c r="D1403">
        <v>4.05</v>
      </c>
      <c r="E1403">
        <v>2</v>
      </c>
      <c r="F1403" t="s">
        <v>14</v>
      </c>
      <c r="G1403">
        <v>15</v>
      </c>
      <c r="H1403">
        <v>4.6574999999999998</v>
      </c>
      <c r="I1403">
        <v>14.999999999999991</v>
      </c>
      <c r="J1403" t="s">
        <v>20</v>
      </c>
    </row>
    <row r="1404" spans="1:10" x14ac:dyDescent="0.2">
      <c r="A1404">
        <v>11403</v>
      </c>
      <c r="B1404" t="s">
        <v>8</v>
      </c>
      <c r="C1404" t="s">
        <v>9</v>
      </c>
      <c r="D1404">
        <v>2.41</v>
      </c>
      <c r="E1404">
        <v>3</v>
      </c>
      <c r="F1404" t="s">
        <v>14</v>
      </c>
      <c r="G1404">
        <v>15</v>
      </c>
      <c r="H1404">
        <v>2.7715000000000001</v>
      </c>
      <c r="I1404">
        <v>14.999999999999991</v>
      </c>
      <c r="J1404" t="s">
        <v>20</v>
      </c>
    </row>
    <row r="1405" spans="1:10" x14ac:dyDescent="0.2">
      <c r="A1405">
        <v>11404</v>
      </c>
      <c r="B1405" t="s">
        <v>10</v>
      </c>
      <c r="C1405" t="s">
        <v>9</v>
      </c>
      <c r="D1405">
        <v>4.88</v>
      </c>
      <c r="E1405">
        <v>4</v>
      </c>
      <c r="F1405" t="s">
        <v>15</v>
      </c>
      <c r="G1405">
        <v>30</v>
      </c>
      <c r="H1405">
        <v>6.3440000000000003</v>
      </c>
      <c r="I1405">
        <v>30.000000000000004</v>
      </c>
      <c r="J1405" t="s">
        <v>20</v>
      </c>
    </row>
    <row r="1406" spans="1:10" x14ac:dyDescent="0.2">
      <c r="A1406">
        <v>11405</v>
      </c>
      <c r="B1406" t="s">
        <v>10</v>
      </c>
      <c r="C1406" t="s">
        <v>11</v>
      </c>
      <c r="D1406">
        <v>13.48</v>
      </c>
      <c r="E1406">
        <v>6</v>
      </c>
      <c r="F1406" t="s">
        <v>15</v>
      </c>
      <c r="G1406">
        <v>25</v>
      </c>
      <c r="H1406">
        <v>16.850000000000001</v>
      </c>
      <c r="I1406">
        <v>25</v>
      </c>
      <c r="J1406" t="s">
        <v>20</v>
      </c>
    </row>
    <row r="1407" spans="1:10" x14ac:dyDescent="0.2">
      <c r="A1407">
        <v>11406</v>
      </c>
      <c r="B1407" t="s">
        <v>7</v>
      </c>
      <c r="C1407" t="s">
        <v>6</v>
      </c>
      <c r="D1407">
        <v>14.59</v>
      </c>
      <c r="E1407">
        <v>5</v>
      </c>
      <c r="F1407" t="s">
        <v>15</v>
      </c>
      <c r="G1407">
        <v>28</v>
      </c>
      <c r="H1407">
        <v>18.6752</v>
      </c>
      <c r="I1407">
        <v>28.000000000000004</v>
      </c>
      <c r="J1407" t="s">
        <v>20</v>
      </c>
    </row>
    <row r="1408" spans="1:10" x14ac:dyDescent="0.2">
      <c r="A1408">
        <v>11407</v>
      </c>
      <c r="B1408" t="s">
        <v>10</v>
      </c>
      <c r="C1408" t="s">
        <v>9</v>
      </c>
      <c r="D1408">
        <v>12.96</v>
      </c>
      <c r="E1408">
        <v>10</v>
      </c>
      <c r="F1408" t="s">
        <v>16</v>
      </c>
      <c r="G1408">
        <v>60</v>
      </c>
      <c r="H1408">
        <v>20.736000000000004</v>
      </c>
      <c r="I1408">
        <v>60.000000000000028</v>
      </c>
      <c r="J1408" t="s">
        <v>20</v>
      </c>
    </row>
    <row r="1409" spans="1:10" x14ac:dyDescent="0.2">
      <c r="A1409">
        <v>11408</v>
      </c>
      <c r="B1409" t="s">
        <v>8</v>
      </c>
      <c r="C1409" t="s">
        <v>9</v>
      </c>
      <c r="D1409">
        <v>2.1</v>
      </c>
      <c r="E1409">
        <v>4</v>
      </c>
      <c r="F1409" t="s">
        <v>15</v>
      </c>
      <c r="G1409">
        <v>30</v>
      </c>
      <c r="H1409">
        <v>2.7300000000000004</v>
      </c>
      <c r="I1409">
        <v>30.000000000000004</v>
      </c>
      <c r="J1409" t="s">
        <v>20</v>
      </c>
    </row>
    <row r="1410" spans="1:10" x14ac:dyDescent="0.2">
      <c r="A1410">
        <v>11409</v>
      </c>
      <c r="B1410" t="s">
        <v>5</v>
      </c>
      <c r="C1410" t="s">
        <v>9</v>
      </c>
      <c r="D1410">
        <v>14.24</v>
      </c>
      <c r="E1410">
        <v>2</v>
      </c>
      <c r="F1410" t="s">
        <v>14</v>
      </c>
      <c r="G1410">
        <v>15</v>
      </c>
      <c r="H1410">
        <v>16.375999999999998</v>
      </c>
      <c r="I1410">
        <v>14.999999999999991</v>
      </c>
      <c r="J1410" t="s">
        <v>20</v>
      </c>
    </row>
    <row r="1411" spans="1:10" x14ac:dyDescent="0.2">
      <c r="A1411">
        <v>11410</v>
      </c>
      <c r="B1411" t="s">
        <v>10</v>
      </c>
      <c r="C1411" t="s">
        <v>6</v>
      </c>
      <c r="D1411">
        <v>6.64</v>
      </c>
      <c r="E1411">
        <v>5</v>
      </c>
      <c r="F1411" t="s">
        <v>15</v>
      </c>
      <c r="G1411">
        <v>28</v>
      </c>
      <c r="H1411">
        <v>8.4992000000000001</v>
      </c>
      <c r="I1411">
        <v>28.000000000000004</v>
      </c>
      <c r="J1411" t="s">
        <v>20</v>
      </c>
    </row>
    <row r="1412" spans="1:10" x14ac:dyDescent="0.2">
      <c r="A1412">
        <v>11411</v>
      </c>
      <c r="B1412" t="s">
        <v>7</v>
      </c>
      <c r="C1412" t="s">
        <v>6</v>
      </c>
      <c r="D1412">
        <v>0.63</v>
      </c>
      <c r="E1412">
        <v>5</v>
      </c>
      <c r="F1412" t="s">
        <v>15</v>
      </c>
      <c r="G1412">
        <v>28</v>
      </c>
      <c r="H1412">
        <v>0.80640000000000001</v>
      </c>
      <c r="I1412">
        <v>28.000000000000004</v>
      </c>
      <c r="J1412" t="s">
        <v>20</v>
      </c>
    </row>
    <row r="1413" spans="1:10" x14ac:dyDescent="0.2">
      <c r="A1413">
        <v>11412</v>
      </c>
      <c r="B1413" t="s">
        <v>10</v>
      </c>
      <c r="C1413" t="s">
        <v>6</v>
      </c>
      <c r="D1413">
        <v>6.91</v>
      </c>
      <c r="E1413">
        <v>7</v>
      </c>
      <c r="F1413" t="s">
        <v>15</v>
      </c>
      <c r="G1413">
        <v>28</v>
      </c>
      <c r="H1413">
        <v>8.8448000000000011</v>
      </c>
      <c r="I1413">
        <v>28.000000000000004</v>
      </c>
      <c r="J1413" t="s">
        <v>20</v>
      </c>
    </row>
    <row r="1414" spans="1:10" x14ac:dyDescent="0.2">
      <c r="A1414">
        <v>11413</v>
      </c>
      <c r="B1414" t="s">
        <v>8</v>
      </c>
      <c r="C1414" t="s">
        <v>11</v>
      </c>
      <c r="D1414">
        <v>1.17</v>
      </c>
      <c r="E1414">
        <v>1</v>
      </c>
      <c r="F1414" t="s">
        <v>14</v>
      </c>
      <c r="G1414">
        <v>10</v>
      </c>
      <c r="H1414">
        <v>1.2869999999999999</v>
      </c>
      <c r="I1414">
        <v>10.000000000000009</v>
      </c>
      <c r="J1414" t="s">
        <v>20</v>
      </c>
    </row>
    <row r="1415" spans="1:10" x14ac:dyDescent="0.2">
      <c r="A1415">
        <v>11414</v>
      </c>
      <c r="B1415" t="s">
        <v>7</v>
      </c>
      <c r="C1415" t="s">
        <v>11</v>
      </c>
      <c r="D1415">
        <v>8.39</v>
      </c>
      <c r="E1415">
        <v>4</v>
      </c>
      <c r="F1415" t="s">
        <v>15</v>
      </c>
      <c r="G1415">
        <v>25</v>
      </c>
      <c r="H1415">
        <v>10.487500000000001</v>
      </c>
      <c r="I1415">
        <v>25</v>
      </c>
      <c r="J1415" t="s">
        <v>20</v>
      </c>
    </row>
    <row r="1416" spans="1:10" x14ac:dyDescent="0.2">
      <c r="A1416">
        <v>11415</v>
      </c>
      <c r="B1416" t="s">
        <v>10</v>
      </c>
      <c r="C1416" t="s">
        <v>9</v>
      </c>
      <c r="D1416">
        <v>5.41</v>
      </c>
      <c r="E1416">
        <v>5</v>
      </c>
      <c r="F1416" t="s">
        <v>15</v>
      </c>
      <c r="G1416">
        <v>30</v>
      </c>
      <c r="H1416">
        <v>7.0330000000000004</v>
      </c>
      <c r="I1416">
        <v>30.000000000000004</v>
      </c>
      <c r="J1416" t="s">
        <v>20</v>
      </c>
    </row>
    <row r="1417" spans="1:10" x14ac:dyDescent="0.2">
      <c r="A1417">
        <v>11416</v>
      </c>
      <c r="B1417" t="s">
        <v>7</v>
      </c>
      <c r="C1417" t="s">
        <v>6</v>
      </c>
      <c r="D1417">
        <v>7.36</v>
      </c>
      <c r="E1417">
        <v>8</v>
      </c>
      <c r="F1417" t="s">
        <v>16</v>
      </c>
      <c r="G1417">
        <v>55</v>
      </c>
      <c r="H1417">
        <v>11.408000000000001</v>
      </c>
      <c r="I1417">
        <v>55.000000000000007</v>
      </c>
      <c r="J1417" t="s">
        <v>20</v>
      </c>
    </row>
    <row r="1418" spans="1:10" x14ac:dyDescent="0.2">
      <c r="A1418">
        <v>11417</v>
      </c>
      <c r="B1418" t="s">
        <v>8</v>
      </c>
      <c r="C1418" t="s">
        <v>9</v>
      </c>
      <c r="D1418">
        <v>9.39</v>
      </c>
      <c r="E1418">
        <v>8</v>
      </c>
      <c r="F1418" t="s">
        <v>16</v>
      </c>
      <c r="G1418">
        <v>60</v>
      </c>
      <c r="H1418">
        <v>15.024000000000001</v>
      </c>
      <c r="I1418">
        <v>60.000000000000007</v>
      </c>
      <c r="J1418" t="s">
        <v>20</v>
      </c>
    </row>
    <row r="1419" spans="1:10" x14ac:dyDescent="0.2">
      <c r="A1419">
        <v>11418</v>
      </c>
      <c r="B1419" t="s">
        <v>5</v>
      </c>
      <c r="C1419" t="s">
        <v>6</v>
      </c>
      <c r="D1419">
        <v>13.1</v>
      </c>
      <c r="E1419">
        <v>1</v>
      </c>
      <c r="F1419" t="s">
        <v>14</v>
      </c>
      <c r="G1419">
        <v>12</v>
      </c>
      <c r="H1419">
        <v>14.672000000000001</v>
      </c>
      <c r="I1419">
        <v>12.000000000000011</v>
      </c>
      <c r="J1419" t="s">
        <v>20</v>
      </c>
    </row>
    <row r="1420" spans="1:10" x14ac:dyDescent="0.2">
      <c r="A1420">
        <v>11419</v>
      </c>
      <c r="B1420" t="s">
        <v>8</v>
      </c>
      <c r="C1420" t="s">
        <v>6</v>
      </c>
      <c r="D1420">
        <v>10.1</v>
      </c>
      <c r="E1420">
        <v>5</v>
      </c>
      <c r="F1420" t="s">
        <v>15</v>
      </c>
      <c r="G1420">
        <v>28</v>
      </c>
      <c r="H1420">
        <v>12.927999999999999</v>
      </c>
      <c r="I1420">
        <v>28.000000000000004</v>
      </c>
      <c r="J1420" t="s">
        <v>20</v>
      </c>
    </row>
    <row r="1421" spans="1:10" x14ac:dyDescent="0.2">
      <c r="A1421">
        <v>11420</v>
      </c>
      <c r="B1421" t="s">
        <v>8</v>
      </c>
      <c r="C1421" t="s">
        <v>6</v>
      </c>
      <c r="D1421">
        <v>6.79</v>
      </c>
      <c r="E1421">
        <v>10</v>
      </c>
      <c r="F1421" t="s">
        <v>16</v>
      </c>
      <c r="G1421">
        <v>55</v>
      </c>
      <c r="H1421">
        <v>10.5245</v>
      </c>
      <c r="I1421">
        <v>55.000000000000007</v>
      </c>
      <c r="J1421" t="s">
        <v>20</v>
      </c>
    </row>
    <row r="1422" spans="1:10" x14ac:dyDescent="0.2">
      <c r="A1422">
        <v>11421</v>
      </c>
      <c r="B1422" t="s">
        <v>8</v>
      </c>
      <c r="C1422" t="s">
        <v>11</v>
      </c>
      <c r="D1422">
        <v>12.38</v>
      </c>
      <c r="E1422">
        <v>1</v>
      </c>
      <c r="F1422" t="s">
        <v>14</v>
      </c>
      <c r="G1422">
        <v>10</v>
      </c>
      <c r="H1422">
        <v>13.618000000000002</v>
      </c>
      <c r="I1422">
        <v>10.000000000000009</v>
      </c>
      <c r="J1422" t="s">
        <v>20</v>
      </c>
    </row>
    <row r="1423" spans="1:10" x14ac:dyDescent="0.2">
      <c r="A1423">
        <v>11422</v>
      </c>
      <c r="B1423" t="s">
        <v>8</v>
      </c>
      <c r="C1423" t="s">
        <v>11</v>
      </c>
      <c r="D1423">
        <v>13.63</v>
      </c>
      <c r="E1423">
        <v>1</v>
      </c>
      <c r="F1423" t="s">
        <v>14</v>
      </c>
      <c r="G1423">
        <v>10</v>
      </c>
      <c r="H1423">
        <v>14.993000000000002</v>
      </c>
      <c r="I1423">
        <v>10.000000000000009</v>
      </c>
      <c r="J1423" t="s">
        <v>20</v>
      </c>
    </row>
    <row r="1424" spans="1:10" x14ac:dyDescent="0.2">
      <c r="A1424">
        <v>11423</v>
      </c>
      <c r="B1424" t="s">
        <v>5</v>
      </c>
      <c r="C1424" t="s">
        <v>6</v>
      </c>
      <c r="D1424">
        <v>2.2400000000000002</v>
      </c>
      <c r="E1424">
        <v>2</v>
      </c>
      <c r="F1424" t="s">
        <v>14</v>
      </c>
      <c r="G1424">
        <v>12</v>
      </c>
      <c r="H1424">
        <v>2.5088000000000004</v>
      </c>
      <c r="I1424">
        <v>12.000000000000011</v>
      </c>
      <c r="J1424" t="s">
        <v>20</v>
      </c>
    </row>
    <row r="1425" spans="1:10" x14ac:dyDescent="0.2">
      <c r="A1425">
        <v>11424</v>
      </c>
      <c r="B1425" t="s">
        <v>5</v>
      </c>
      <c r="C1425" t="s">
        <v>9</v>
      </c>
      <c r="D1425">
        <v>8.2100000000000009</v>
      </c>
      <c r="E1425">
        <v>2</v>
      </c>
      <c r="F1425" t="s">
        <v>14</v>
      </c>
      <c r="G1425">
        <v>15</v>
      </c>
      <c r="H1425">
        <v>9.4414999999999996</v>
      </c>
      <c r="I1425">
        <v>14.999999999999991</v>
      </c>
      <c r="J1425" t="s">
        <v>20</v>
      </c>
    </row>
    <row r="1426" spans="1:10" x14ac:dyDescent="0.2">
      <c r="A1426">
        <v>11425</v>
      </c>
      <c r="B1426" t="s">
        <v>7</v>
      </c>
      <c r="C1426" t="s">
        <v>6</v>
      </c>
      <c r="D1426">
        <v>4.63</v>
      </c>
      <c r="E1426">
        <v>9</v>
      </c>
      <c r="F1426" t="s">
        <v>16</v>
      </c>
      <c r="G1426">
        <v>55</v>
      </c>
      <c r="H1426">
        <v>7.1764999999999999</v>
      </c>
      <c r="I1426">
        <v>55.000000000000007</v>
      </c>
      <c r="J1426" t="s">
        <v>20</v>
      </c>
    </row>
    <row r="1427" spans="1:10" x14ac:dyDescent="0.2">
      <c r="A1427">
        <v>11426</v>
      </c>
      <c r="B1427" t="s">
        <v>10</v>
      </c>
      <c r="C1427" t="s">
        <v>6</v>
      </c>
      <c r="D1427">
        <v>1.18</v>
      </c>
      <c r="E1427">
        <v>4</v>
      </c>
      <c r="F1427" t="s">
        <v>15</v>
      </c>
      <c r="G1427">
        <v>28</v>
      </c>
      <c r="H1427">
        <v>1.5104</v>
      </c>
      <c r="I1427">
        <v>28.000000000000004</v>
      </c>
      <c r="J1427" t="s">
        <v>20</v>
      </c>
    </row>
    <row r="1428" spans="1:10" x14ac:dyDescent="0.2">
      <c r="A1428">
        <v>11427</v>
      </c>
      <c r="B1428" t="s">
        <v>5</v>
      </c>
      <c r="C1428" t="s">
        <v>9</v>
      </c>
      <c r="D1428">
        <v>10.19</v>
      </c>
      <c r="E1428">
        <v>3</v>
      </c>
      <c r="F1428" t="s">
        <v>14</v>
      </c>
      <c r="G1428">
        <v>15</v>
      </c>
      <c r="H1428">
        <v>11.718499999999999</v>
      </c>
      <c r="I1428">
        <v>14.999999999999991</v>
      </c>
      <c r="J1428" t="s">
        <v>20</v>
      </c>
    </row>
    <row r="1429" spans="1:10" x14ac:dyDescent="0.2">
      <c r="A1429">
        <v>11428</v>
      </c>
      <c r="B1429" t="s">
        <v>5</v>
      </c>
      <c r="C1429" t="s">
        <v>6</v>
      </c>
      <c r="D1429">
        <v>13.01</v>
      </c>
      <c r="E1429">
        <v>1</v>
      </c>
      <c r="F1429" t="s">
        <v>14</v>
      </c>
      <c r="G1429">
        <v>12</v>
      </c>
      <c r="H1429">
        <v>14.571200000000001</v>
      </c>
      <c r="I1429">
        <v>12.000000000000011</v>
      </c>
      <c r="J1429" t="s">
        <v>20</v>
      </c>
    </row>
    <row r="1430" spans="1:10" x14ac:dyDescent="0.2">
      <c r="A1430">
        <v>11429</v>
      </c>
      <c r="B1430" t="s">
        <v>10</v>
      </c>
      <c r="C1430" t="s">
        <v>9</v>
      </c>
      <c r="D1430">
        <v>2.86</v>
      </c>
      <c r="E1430">
        <v>2</v>
      </c>
      <c r="F1430" t="s">
        <v>14</v>
      </c>
      <c r="G1430">
        <v>15</v>
      </c>
      <c r="H1430">
        <v>3.2889999999999997</v>
      </c>
      <c r="I1430">
        <v>14.999999999999991</v>
      </c>
      <c r="J1430" t="s">
        <v>20</v>
      </c>
    </row>
    <row r="1431" spans="1:10" x14ac:dyDescent="0.2">
      <c r="A1431">
        <v>11430</v>
      </c>
      <c r="B1431" t="s">
        <v>5</v>
      </c>
      <c r="C1431" t="s">
        <v>11</v>
      </c>
      <c r="D1431">
        <v>12.28</v>
      </c>
      <c r="E1431">
        <v>6</v>
      </c>
      <c r="F1431" t="s">
        <v>15</v>
      </c>
      <c r="G1431">
        <v>25</v>
      </c>
      <c r="H1431">
        <v>15.35</v>
      </c>
      <c r="I1431">
        <v>25</v>
      </c>
      <c r="J1431" t="s">
        <v>20</v>
      </c>
    </row>
    <row r="1432" spans="1:10" x14ac:dyDescent="0.2">
      <c r="A1432">
        <v>11431</v>
      </c>
      <c r="B1432" t="s">
        <v>8</v>
      </c>
      <c r="C1432" t="s">
        <v>11</v>
      </c>
      <c r="D1432">
        <v>12.87</v>
      </c>
      <c r="E1432">
        <v>9</v>
      </c>
      <c r="F1432" t="s">
        <v>16</v>
      </c>
      <c r="G1432">
        <v>50</v>
      </c>
      <c r="H1432">
        <v>19.305</v>
      </c>
      <c r="I1432">
        <v>50</v>
      </c>
      <c r="J1432" t="s">
        <v>20</v>
      </c>
    </row>
    <row r="1433" spans="1:10" x14ac:dyDescent="0.2">
      <c r="A1433">
        <v>11432</v>
      </c>
      <c r="B1433" t="s">
        <v>8</v>
      </c>
      <c r="C1433" t="s">
        <v>9</v>
      </c>
      <c r="D1433">
        <v>13.76</v>
      </c>
      <c r="E1433">
        <v>5</v>
      </c>
      <c r="F1433" t="s">
        <v>15</v>
      </c>
      <c r="G1433">
        <v>30</v>
      </c>
      <c r="H1433">
        <v>17.888000000000002</v>
      </c>
      <c r="I1433">
        <v>30.000000000000004</v>
      </c>
      <c r="J1433" t="s">
        <v>20</v>
      </c>
    </row>
    <row r="1434" spans="1:10" x14ac:dyDescent="0.2">
      <c r="A1434">
        <v>11433</v>
      </c>
      <c r="B1434" t="s">
        <v>10</v>
      </c>
      <c r="C1434" t="s">
        <v>11</v>
      </c>
      <c r="D1434">
        <v>4.3499999999999996</v>
      </c>
      <c r="E1434">
        <v>4</v>
      </c>
      <c r="F1434" t="s">
        <v>15</v>
      </c>
      <c r="G1434">
        <v>25</v>
      </c>
      <c r="H1434">
        <v>5.4375</v>
      </c>
      <c r="I1434">
        <v>25</v>
      </c>
      <c r="J1434" t="s">
        <v>20</v>
      </c>
    </row>
    <row r="1435" spans="1:10" x14ac:dyDescent="0.2">
      <c r="A1435">
        <v>11434</v>
      </c>
      <c r="B1435" t="s">
        <v>7</v>
      </c>
      <c r="C1435" t="s">
        <v>11</v>
      </c>
      <c r="D1435">
        <v>13.61</v>
      </c>
      <c r="E1435">
        <v>5</v>
      </c>
      <c r="F1435" t="s">
        <v>15</v>
      </c>
      <c r="G1435">
        <v>25</v>
      </c>
      <c r="H1435">
        <v>17.012499999999999</v>
      </c>
      <c r="I1435">
        <v>25</v>
      </c>
      <c r="J1435" t="s">
        <v>20</v>
      </c>
    </row>
    <row r="1436" spans="1:10" x14ac:dyDescent="0.2">
      <c r="A1436">
        <v>11435</v>
      </c>
      <c r="B1436" t="s">
        <v>7</v>
      </c>
      <c r="C1436" t="s">
        <v>9</v>
      </c>
      <c r="D1436">
        <v>5.15</v>
      </c>
      <c r="E1436">
        <v>9</v>
      </c>
      <c r="F1436" t="s">
        <v>16</v>
      </c>
      <c r="G1436">
        <v>60</v>
      </c>
      <c r="H1436">
        <v>8.24</v>
      </c>
      <c r="I1436">
        <v>59.999999999999986</v>
      </c>
      <c r="J1436" t="s">
        <v>20</v>
      </c>
    </row>
    <row r="1437" spans="1:10" x14ac:dyDescent="0.2">
      <c r="A1437">
        <v>11436</v>
      </c>
      <c r="B1437" t="s">
        <v>10</v>
      </c>
      <c r="C1437" t="s">
        <v>11</v>
      </c>
      <c r="D1437">
        <v>8.51</v>
      </c>
      <c r="E1437">
        <v>7</v>
      </c>
      <c r="F1437" t="s">
        <v>15</v>
      </c>
      <c r="G1437">
        <v>25</v>
      </c>
      <c r="H1437">
        <v>10.637499999999999</v>
      </c>
      <c r="I1437">
        <v>25</v>
      </c>
      <c r="J1437" t="s">
        <v>20</v>
      </c>
    </row>
    <row r="1438" spans="1:10" x14ac:dyDescent="0.2">
      <c r="A1438">
        <v>11437</v>
      </c>
      <c r="B1438" t="s">
        <v>10</v>
      </c>
      <c r="C1438" t="s">
        <v>6</v>
      </c>
      <c r="D1438">
        <v>1.23</v>
      </c>
      <c r="E1438">
        <v>8</v>
      </c>
      <c r="F1438" t="s">
        <v>16</v>
      </c>
      <c r="G1438">
        <v>55</v>
      </c>
      <c r="H1438">
        <v>1.9065000000000001</v>
      </c>
      <c r="I1438">
        <v>55.000000000000007</v>
      </c>
      <c r="J1438" t="s">
        <v>20</v>
      </c>
    </row>
    <row r="1439" spans="1:10" x14ac:dyDescent="0.2">
      <c r="A1439">
        <v>11438</v>
      </c>
      <c r="B1439" t="s">
        <v>8</v>
      </c>
      <c r="C1439" t="s">
        <v>6</v>
      </c>
      <c r="D1439">
        <v>1.1399999999999999</v>
      </c>
      <c r="E1439">
        <v>4</v>
      </c>
      <c r="F1439" t="s">
        <v>15</v>
      </c>
      <c r="G1439">
        <v>28</v>
      </c>
      <c r="H1439">
        <v>1.4591999999999998</v>
      </c>
      <c r="I1439">
        <v>28.000000000000004</v>
      </c>
      <c r="J1439" t="s">
        <v>20</v>
      </c>
    </row>
    <row r="1440" spans="1:10" x14ac:dyDescent="0.2">
      <c r="A1440">
        <v>11439</v>
      </c>
      <c r="B1440" t="s">
        <v>7</v>
      </c>
      <c r="C1440" t="s">
        <v>9</v>
      </c>
      <c r="D1440">
        <v>10.95</v>
      </c>
      <c r="E1440">
        <v>8</v>
      </c>
      <c r="F1440" t="s">
        <v>16</v>
      </c>
      <c r="G1440">
        <v>60</v>
      </c>
      <c r="H1440">
        <v>17.52</v>
      </c>
      <c r="I1440">
        <v>60.000000000000007</v>
      </c>
      <c r="J1440" t="s">
        <v>20</v>
      </c>
    </row>
    <row r="1441" spans="1:10" x14ac:dyDescent="0.2">
      <c r="A1441">
        <v>11440</v>
      </c>
      <c r="B1441" t="s">
        <v>5</v>
      </c>
      <c r="C1441" t="s">
        <v>11</v>
      </c>
      <c r="D1441">
        <v>6.94</v>
      </c>
      <c r="E1441">
        <v>6</v>
      </c>
      <c r="F1441" t="s">
        <v>15</v>
      </c>
      <c r="G1441">
        <v>25</v>
      </c>
      <c r="H1441">
        <v>8.6750000000000007</v>
      </c>
      <c r="I1441">
        <v>25</v>
      </c>
      <c r="J1441" t="s">
        <v>20</v>
      </c>
    </row>
    <row r="1442" spans="1:10" x14ac:dyDescent="0.2">
      <c r="A1442">
        <v>11441</v>
      </c>
      <c r="B1442" t="s">
        <v>8</v>
      </c>
      <c r="C1442" t="s">
        <v>6</v>
      </c>
      <c r="D1442">
        <v>4.22</v>
      </c>
      <c r="E1442">
        <v>5</v>
      </c>
      <c r="F1442" t="s">
        <v>15</v>
      </c>
      <c r="G1442">
        <v>28</v>
      </c>
      <c r="H1442">
        <v>5.4016000000000002</v>
      </c>
      <c r="I1442">
        <v>28.000000000000004</v>
      </c>
      <c r="J1442" t="s">
        <v>20</v>
      </c>
    </row>
    <row r="1443" spans="1:10" x14ac:dyDescent="0.2">
      <c r="A1443">
        <v>11442</v>
      </c>
      <c r="B1443" t="s">
        <v>10</v>
      </c>
      <c r="C1443" t="s">
        <v>6</v>
      </c>
      <c r="D1443">
        <v>3.26</v>
      </c>
      <c r="E1443">
        <v>7</v>
      </c>
      <c r="F1443" t="s">
        <v>15</v>
      </c>
      <c r="G1443">
        <v>28</v>
      </c>
      <c r="H1443">
        <v>4.1727999999999996</v>
      </c>
      <c r="I1443">
        <v>28.000000000000004</v>
      </c>
      <c r="J1443" t="s">
        <v>20</v>
      </c>
    </row>
    <row r="1444" spans="1:10" x14ac:dyDescent="0.2">
      <c r="A1444">
        <v>11443</v>
      </c>
      <c r="B1444" t="s">
        <v>7</v>
      </c>
      <c r="C1444" t="s">
        <v>11</v>
      </c>
      <c r="D1444">
        <v>10.210000000000001</v>
      </c>
      <c r="E1444">
        <v>6</v>
      </c>
      <c r="F1444" t="s">
        <v>15</v>
      </c>
      <c r="G1444">
        <v>25</v>
      </c>
      <c r="H1444">
        <v>12.762500000000001</v>
      </c>
      <c r="I1444">
        <v>25</v>
      </c>
      <c r="J1444" t="s">
        <v>20</v>
      </c>
    </row>
    <row r="1445" spans="1:10" x14ac:dyDescent="0.2">
      <c r="A1445">
        <v>11444</v>
      </c>
      <c r="B1445" t="s">
        <v>5</v>
      </c>
      <c r="C1445" t="s">
        <v>11</v>
      </c>
      <c r="D1445">
        <v>0.51</v>
      </c>
      <c r="E1445">
        <v>3</v>
      </c>
      <c r="F1445" t="s">
        <v>14</v>
      </c>
      <c r="G1445">
        <v>10</v>
      </c>
      <c r="H1445">
        <v>0.56100000000000005</v>
      </c>
      <c r="I1445">
        <v>10.000000000000009</v>
      </c>
      <c r="J1445" t="s">
        <v>20</v>
      </c>
    </row>
    <row r="1446" spans="1:10" x14ac:dyDescent="0.2">
      <c r="A1446">
        <v>11445</v>
      </c>
      <c r="B1446" t="s">
        <v>5</v>
      </c>
      <c r="C1446" t="s">
        <v>6</v>
      </c>
      <c r="D1446">
        <v>12.19</v>
      </c>
      <c r="E1446">
        <v>5</v>
      </c>
      <c r="F1446" t="s">
        <v>15</v>
      </c>
      <c r="G1446">
        <v>28</v>
      </c>
      <c r="H1446">
        <v>15.603199999999999</v>
      </c>
      <c r="I1446">
        <v>28.000000000000004</v>
      </c>
      <c r="J1446" t="s">
        <v>20</v>
      </c>
    </row>
    <row r="1447" spans="1:10" x14ac:dyDescent="0.2">
      <c r="A1447">
        <v>11446</v>
      </c>
      <c r="B1447" t="s">
        <v>8</v>
      </c>
      <c r="C1447" t="s">
        <v>6</v>
      </c>
      <c r="D1447">
        <v>1.65</v>
      </c>
      <c r="E1447">
        <v>9</v>
      </c>
      <c r="F1447" t="s">
        <v>16</v>
      </c>
      <c r="G1447">
        <v>55</v>
      </c>
      <c r="H1447">
        <v>2.5575000000000001</v>
      </c>
      <c r="I1447">
        <v>55.000000000000007</v>
      </c>
      <c r="J1447" t="s">
        <v>20</v>
      </c>
    </row>
    <row r="1448" spans="1:10" x14ac:dyDescent="0.2">
      <c r="A1448">
        <v>11447</v>
      </c>
      <c r="B1448" t="s">
        <v>7</v>
      </c>
      <c r="C1448" t="s">
        <v>9</v>
      </c>
      <c r="D1448">
        <v>3.28</v>
      </c>
      <c r="E1448">
        <v>7</v>
      </c>
      <c r="F1448" t="s">
        <v>15</v>
      </c>
      <c r="G1448">
        <v>30</v>
      </c>
      <c r="H1448">
        <v>4.2640000000000002</v>
      </c>
      <c r="I1448">
        <v>30.000000000000004</v>
      </c>
      <c r="J1448" t="s">
        <v>20</v>
      </c>
    </row>
    <row r="1449" spans="1:10" x14ac:dyDescent="0.2">
      <c r="A1449">
        <v>11448</v>
      </c>
      <c r="B1449" t="s">
        <v>7</v>
      </c>
      <c r="C1449" t="s">
        <v>9</v>
      </c>
      <c r="D1449">
        <v>6.1</v>
      </c>
      <c r="E1449">
        <v>4</v>
      </c>
      <c r="F1449" t="s">
        <v>15</v>
      </c>
      <c r="G1449">
        <v>30</v>
      </c>
      <c r="H1449">
        <v>7.93</v>
      </c>
      <c r="I1449">
        <v>30.000000000000004</v>
      </c>
      <c r="J1449" t="s">
        <v>20</v>
      </c>
    </row>
    <row r="1450" spans="1:10" x14ac:dyDescent="0.2">
      <c r="A1450">
        <v>11449</v>
      </c>
      <c r="B1450" t="s">
        <v>10</v>
      </c>
      <c r="C1450" t="s">
        <v>6</v>
      </c>
      <c r="D1450">
        <v>7.53</v>
      </c>
      <c r="E1450">
        <v>7</v>
      </c>
      <c r="F1450" t="s">
        <v>15</v>
      </c>
      <c r="G1450">
        <v>28</v>
      </c>
      <c r="H1450">
        <v>9.6384000000000007</v>
      </c>
      <c r="I1450">
        <v>28.000000000000004</v>
      </c>
      <c r="J1450" t="s">
        <v>20</v>
      </c>
    </row>
    <row r="1451" spans="1:10" x14ac:dyDescent="0.2">
      <c r="A1451">
        <v>11450</v>
      </c>
      <c r="B1451" t="s">
        <v>7</v>
      </c>
      <c r="C1451" t="s">
        <v>9</v>
      </c>
      <c r="D1451">
        <v>5.65</v>
      </c>
      <c r="E1451">
        <v>5</v>
      </c>
      <c r="F1451" t="s">
        <v>15</v>
      </c>
      <c r="G1451">
        <v>30</v>
      </c>
      <c r="H1451">
        <v>7.3450000000000006</v>
      </c>
      <c r="I1451">
        <v>30.000000000000004</v>
      </c>
      <c r="J1451" t="s">
        <v>20</v>
      </c>
    </row>
    <row r="1452" spans="1:10" x14ac:dyDescent="0.2">
      <c r="A1452">
        <v>11451</v>
      </c>
      <c r="B1452" t="s">
        <v>7</v>
      </c>
      <c r="C1452" t="s">
        <v>6</v>
      </c>
      <c r="D1452">
        <v>5.15</v>
      </c>
      <c r="E1452">
        <v>2</v>
      </c>
      <c r="F1452" t="s">
        <v>14</v>
      </c>
      <c r="G1452">
        <v>12</v>
      </c>
      <c r="H1452">
        <v>5.7680000000000007</v>
      </c>
      <c r="I1452">
        <v>12.000000000000011</v>
      </c>
      <c r="J1452" t="s">
        <v>20</v>
      </c>
    </row>
    <row r="1453" spans="1:10" x14ac:dyDescent="0.2">
      <c r="A1453">
        <v>11452</v>
      </c>
      <c r="B1453" t="s">
        <v>8</v>
      </c>
      <c r="C1453" t="s">
        <v>6</v>
      </c>
      <c r="D1453">
        <v>14.48</v>
      </c>
      <c r="E1453">
        <v>6</v>
      </c>
      <c r="F1453" t="s">
        <v>15</v>
      </c>
      <c r="G1453">
        <v>28</v>
      </c>
      <c r="H1453">
        <v>18.534400000000002</v>
      </c>
      <c r="I1453">
        <v>28.000000000000004</v>
      </c>
      <c r="J1453" t="s">
        <v>20</v>
      </c>
    </row>
    <row r="1454" spans="1:10" x14ac:dyDescent="0.2">
      <c r="A1454">
        <v>11453</v>
      </c>
      <c r="B1454" t="s">
        <v>7</v>
      </c>
      <c r="C1454" t="s">
        <v>9</v>
      </c>
      <c r="D1454">
        <v>9.8000000000000007</v>
      </c>
      <c r="E1454">
        <v>7</v>
      </c>
      <c r="F1454" t="s">
        <v>15</v>
      </c>
      <c r="G1454">
        <v>30</v>
      </c>
      <c r="H1454">
        <v>12.740000000000002</v>
      </c>
      <c r="I1454">
        <v>30.000000000000004</v>
      </c>
      <c r="J1454" t="s">
        <v>20</v>
      </c>
    </row>
    <row r="1455" spans="1:10" x14ac:dyDescent="0.2">
      <c r="A1455">
        <v>11454</v>
      </c>
      <c r="B1455" t="s">
        <v>5</v>
      </c>
      <c r="C1455" t="s">
        <v>9</v>
      </c>
      <c r="D1455">
        <v>0.84</v>
      </c>
      <c r="E1455">
        <v>8</v>
      </c>
      <c r="F1455" t="s">
        <v>16</v>
      </c>
      <c r="G1455">
        <v>60</v>
      </c>
      <c r="H1455">
        <v>1.3440000000000001</v>
      </c>
      <c r="I1455">
        <v>60.000000000000007</v>
      </c>
      <c r="J1455" t="s">
        <v>20</v>
      </c>
    </row>
    <row r="1456" spans="1:10" x14ac:dyDescent="0.2">
      <c r="A1456">
        <v>11455</v>
      </c>
      <c r="B1456" t="s">
        <v>8</v>
      </c>
      <c r="C1456" t="s">
        <v>11</v>
      </c>
      <c r="D1456">
        <v>6.74</v>
      </c>
      <c r="E1456">
        <v>6</v>
      </c>
      <c r="F1456" t="s">
        <v>15</v>
      </c>
      <c r="G1456">
        <v>25</v>
      </c>
      <c r="H1456">
        <v>8.4250000000000007</v>
      </c>
      <c r="I1456">
        <v>25</v>
      </c>
      <c r="J1456" t="s">
        <v>20</v>
      </c>
    </row>
    <row r="1457" spans="1:10" x14ac:dyDescent="0.2">
      <c r="A1457">
        <v>11456</v>
      </c>
      <c r="B1457" t="s">
        <v>8</v>
      </c>
      <c r="C1457" t="s">
        <v>11</v>
      </c>
      <c r="D1457">
        <v>13.19</v>
      </c>
      <c r="E1457">
        <v>8</v>
      </c>
      <c r="F1457" t="s">
        <v>16</v>
      </c>
      <c r="G1457">
        <v>50</v>
      </c>
      <c r="H1457">
        <v>19.785</v>
      </c>
      <c r="I1457">
        <v>50</v>
      </c>
      <c r="J1457" t="s">
        <v>20</v>
      </c>
    </row>
    <row r="1458" spans="1:10" x14ac:dyDescent="0.2">
      <c r="A1458">
        <v>11457</v>
      </c>
      <c r="B1458" t="s">
        <v>10</v>
      </c>
      <c r="C1458" t="s">
        <v>11</v>
      </c>
      <c r="D1458">
        <v>4.87</v>
      </c>
      <c r="E1458">
        <v>7</v>
      </c>
      <c r="F1458" t="s">
        <v>15</v>
      </c>
      <c r="G1458">
        <v>25</v>
      </c>
      <c r="H1458">
        <v>6.0875000000000004</v>
      </c>
      <c r="I1458">
        <v>25</v>
      </c>
      <c r="J1458" t="s">
        <v>20</v>
      </c>
    </row>
    <row r="1459" spans="1:10" x14ac:dyDescent="0.2">
      <c r="A1459">
        <v>11458</v>
      </c>
      <c r="B1459" t="s">
        <v>7</v>
      </c>
      <c r="C1459" t="s">
        <v>6</v>
      </c>
      <c r="D1459">
        <v>1.87</v>
      </c>
      <c r="E1459">
        <v>2</v>
      </c>
      <c r="F1459" t="s">
        <v>14</v>
      </c>
      <c r="G1459">
        <v>12</v>
      </c>
      <c r="H1459">
        <v>2.0944000000000003</v>
      </c>
      <c r="I1459">
        <v>12.000000000000011</v>
      </c>
      <c r="J1459" t="s">
        <v>20</v>
      </c>
    </row>
    <row r="1460" spans="1:10" x14ac:dyDescent="0.2">
      <c r="A1460">
        <v>11459</v>
      </c>
      <c r="B1460" t="s">
        <v>10</v>
      </c>
      <c r="C1460" t="s">
        <v>9</v>
      </c>
      <c r="D1460">
        <v>11.5</v>
      </c>
      <c r="E1460">
        <v>6</v>
      </c>
      <c r="F1460" t="s">
        <v>15</v>
      </c>
      <c r="G1460">
        <v>30</v>
      </c>
      <c r="H1460">
        <v>14.950000000000001</v>
      </c>
      <c r="I1460">
        <v>30.000000000000004</v>
      </c>
      <c r="J1460" t="s">
        <v>20</v>
      </c>
    </row>
    <row r="1461" spans="1:10" x14ac:dyDescent="0.2">
      <c r="A1461">
        <v>11460</v>
      </c>
      <c r="B1461" t="s">
        <v>5</v>
      </c>
      <c r="C1461" t="s">
        <v>6</v>
      </c>
      <c r="D1461">
        <v>9.2899999999999991</v>
      </c>
      <c r="E1461">
        <v>9</v>
      </c>
      <c r="F1461" t="s">
        <v>16</v>
      </c>
      <c r="G1461">
        <v>55</v>
      </c>
      <c r="H1461">
        <v>14.3995</v>
      </c>
      <c r="I1461">
        <v>55.000000000000007</v>
      </c>
      <c r="J1461" t="s">
        <v>20</v>
      </c>
    </row>
    <row r="1462" spans="1:10" x14ac:dyDescent="0.2">
      <c r="A1462">
        <v>11461</v>
      </c>
      <c r="B1462" t="s">
        <v>8</v>
      </c>
      <c r="C1462" t="s">
        <v>9</v>
      </c>
      <c r="D1462">
        <v>8.77</v>
      </c>
      <c r="E1462">
        <v>6</v>
      </c>
      <c r="F1462" t="s">
        <v>15</v>
      </c>
      <c r="G1462">
        <v>30</v>
      </c>
      <c r="H1462">
        <v>11.401</v>
      </c>
      <c r="I1462">
        <v>30.000000000000004</v>
      </c>
      <c r="J1462" t="s">
        <v>20</v>
      </c>
    </row>
    <row r="1463" spans="1:10" x14ac:dyDescent="0.2">
      <c r="A1463">
        <v>11462</v>
      </c>
      <c r="B1463" t="s">
        <v>8</v>
      </c>
      <c r="C1463" t="s">
        <v>6</v>
      </c>
      <c r="D1463">
        <v>1.28</v>
      </c>
      <c r="E1463">
        <v>4</v>
      </c>
      <c r="F1463" t="s">
        <v>15</v>
      </c>
      <c r="G1463">
        <v>28</v>
      </c>
      <c r="H1463">
        <v>1.6384000000000001</v>
      </c>
      <c r="I1463">
        <v>28.000000000000004</v>
      </c>
      <c r="J1463" t="s">
        <v>20</v>
      </c>
    </row>
    <row r="1464" spans="1:10" x14ac:dyDescent="0.2">
      <c r="A1464">
        <v>11463</v>
      </c>
      <c r="B1464" t="s">
        <v>8</v>
      </c>
      <c r="C1464" t="s">
        <v>11</v>
      </c>
      <c r="D1464">
        <v>2.54</v>
      </c>
      <c r="E1464">
        <v>7</v>
      </c>
      <c r="F1464" t="s">
        <v>15</v>
      </c>
      <c r="G1464">
        <v>25</v>
      </c>
      <c r="H1464">
        <v>3.1749999999999998</v>
      </c>
      <c r="I1464">
        <v>25</v>
      </c>
      <c r="J1464" t="s">
        <v>20</v>
      </c>
    </row>
    <row r="1465" spans="1:10" x14ac:dyDescent="0.2">
      <c r="A1465">
        <v>11464</v>
      </c>
      <c r="B1465" t="s">
        <v>5</v>
      </c>
      <c r="C1465" t="s">
        <v>11</v>
      </c>
      <c r="D1465">
        <v>9.5299999999999994</v>
      </c>
      <c r="E1465">
        <v>3</v>
      </c>
      <c r="F1465" t="s">
        <v>14</v>
      </c>
      <c r="G1465">
        <v>10</v>
      </c>
      <c r="H1465">
        <v>10.483000000000001</v>
      </c>
      <c r="I1465">
        <v>10.000000000000009</v>
      </c>
      <c r="J1465" t="s">
        <v>20</v>
      </c>
    </row>
    <row r="1466" spans="1:10" x14ac:dyDescent="0.2">
      <c r="A1466">
        <v>11465</v>
      </c>
      <c r="B1466" t="s">
        <v>5</v>
      </c>
      <c r="C1466" t="s">
        <v>11</v>
      </c>
      <c r="D1466">
        <v>3.51</v>
      </c>
      <c r="E1466">
        <v>5</v>
      </c>
      <c r="F1466" t="s">
        <v>15</v>
      </c>
      <c r="G1466">
        <v>25</v>
      </c>
      <c r="H1466">
        <v>4.3874999999999993</v>
      </c>
      <c r="I1466">
        <v>24.999999999999979</v>
      </c>
      <c r="J1466" t="s">
        <v>20</v>
      </c>
    </row>
    <row r="1467" spans="1:10" x14ac:dyDescent="0.2">
      <c r="A1467">
        <v>11466</v>
      </c>
      <c r="B1467" t="s">
        <v>10</v>
      </c>
      <c r="C1467" t="s">
        <v>6</v>
      </c>
      <c r="D1467">
        <v>7.81</v>
      </c>
      <c r="E1467">
        <v>1</v>
      </c>
      <c r="F1467" t="s">
        <v>14</v>
      </c>
      <c r="G1467">
        <v>12</v>
      </c>
      <c r="H1467">
        <v>8.7472000000000012</v>
      </c>
      <c r="I1467">
        <v>12.000000000000011</v>
      </c>
      <c r="J1467" t="s">
        <v>20</v>
      </c>
    </row>
    <row r="1468" spans="1:10" x14ac:dyDescent="0.2">
      <c r="A1468">
        <v>11467</v>
      </c>
      <c r="B1468" t="s">
        <v>10</v>
      </c>
      <c r="C1468" t="s">
        <v>9</v>
      </c>
      <c r="D1468">
        <v>8.4</v>
      </c>
      <c r="E1468">
        <v>10</v>
      </c>
      <c r="F1468" t="s">
        <v>16</v>
      </c>
      <c r="G1468">
        <v>60</v>
      </c>
      <c r="H1468">
        <v>13.440000000000001</v>
      </c>
      <c r="I1468">
        <v>60.000000000000007</v>
      </c>
      <c r="J1468" t="s">
        <v>20</v>
      </c>
    </row>
    <row r="1469" spans="1:10" x14ac:dyDescent="0.2">
      <c r="A1469">
        <v>11468</v>
      </c>
      <c r="B1469" t="s">
        <v>10</v>
      </c>
      <c r="C1469" t="s">
        <v>9</v>
      </c>
      <c r="D1469">
        <v>4.6100000000000003</v>
      </c>
      <c r="E1469">
        <v>3</v>
      </c>
      <c r="F1469" t="s">
        <v>14</v>
      </c>
      <c r="G1469">
        <v>15</v>
      </c>
      <c r="H1469">
        <v>5.3014999999999999</v>
      </c>
      <c r="I1469">
        <v>14.999999999999991</v>
      </c>
      <c r="J1469" t="s">
        <v>20</v>
      </c>
    </row>
    <row r="1470" spans="1:10" x14ac:dyDescent="0.2">
      <c r="A1470">
        <v>11469</v>
      </c>
      <c r="B1470" t="s">
        <v>7</v>
      </c>
      <c r="C1470" t="s">
        <v>11</v>
      </c>
      <c r="D1470">
        <v>14.25</v>
      </c>
      <c r="E1470">
        <v>8</v>
      </c>
      <c r="F1470" t="s">
        <v>16</v>
      </c>
      <c r="G1470">
        <v>50</v>
      </c>
      <c r="H1470">
        <v>21.375</v>
      </c>
      <c r="I1470">
        <v>50</v>
      </c>
      <c r="J1470" t="s">
        <v>20</v>
      </c>
    </row>
    <row r="1471" spans="1:10" x14ac:dyDescent="0.2">
      <c r="A1471">
        <v>11470</v>
      </c>
      <c r="B1471" t="s">
        <v>8</v>
      </c>
      <c r="C1471" t="s">
        <v>11</v>
      </c>
      <c r="D1471">
        <v>12.72</v>
      </c>
      <c r="E1471">
        <v>9</v>
      </c>
      <c r="F1471" t="s">
        <v>16</v>
      </c>
      <c r="G1471">
        <v>50</v>
      </c>
      <c r="H1471">
        <v>19.080000000000002</v>
      </c>
      <c r="I1471">
        <v>50</v>
      </c>
      <c r="J1471" t="s">
        <v>20</v>
      </c>
    </row>
    <row r="1472" spans="1:10" x14ac:dyDescent="0.2">
      <c r="A1472">
        <v>11471</v>
      </c>
      <c r="B1472" t="s">
        <v>8</v>
      </c>
      <c r="C1472" t="s">
        <v>11</v>
      </c>
      <c r="D1472">
        <v>10.97</v>
      </c>
      <c r="E1472">
        <v>9</v>
      </c>
      <c r="F1472" t="s">
        <v>16</v>
      </c>
      <c r="G1472">
        <v>50</v>
      </c>
      <c r="H1472">
        <v>16.455000000000002</v>
      </c>
      <c r="I1472">
        <v>50</v>
      </c>
      <c r="J1472" t="s">
        <v>20</v>
      </c>
    </row>
    <row r="1473" spans="1:10" x14ac:dyDescent="0.2">
      <c r="A1473">
        <v>11472</v>
      </c>
      <c r="B1473" t="s">
        <v>10</v>
      </c>
      <c r="C1473" t="s">
        <v>11</v>
      </c>
      <c r="D1473">
        <v>1.63</v>
      </c>
      <c r="E1473">
        <v>10</v>
      </c>
      <c r="F1473" t="s">
        <v>16</v>
      </c>
      <c r="G1473">
        <v>50</v>
      </c>
      <c r="H1473">
        <v>2.4449999999999998</v>
      </c>
      <c r="I1473">
        <v>50</v>
      </c>
      <c r="J1473" t="s">
        <v>20</v>
      </c>
    </row>
    <row r="1474" spans="1:10" x14ac:dyDescent="0.2">
      <c r="A1474">
        <v>11473</v>
      </c>
      <c r="B1474" t="s">
        <v>8</v>
      </c>
      <c r="C1474" t="s">
        <v>9</v>
      </c>
      <c r="D1474">
        <v>2.04</v>
      </c>
      <c r="E1474">
        <v>2</v>
      </c>
      <c r="F1474" t="s">
        <v>14</v>
      </c>
      <c r="G1474">
        <v>15</v>
      </c>
      <c r="H1474">
        <v>2.3459999999999996</v>
      </c>
      <c r="I1474">
        <v>14.999999999999991</v>
      </c>
      <c r="J1474" t="s">
        <v>20</v>
      </c>
    </row>
    <row r="1475" spans="1:10" x14ac:dyDescent="0.2">
      <c r="A1475">
        <v>11474</v>
      </c>
      <c r="B1475" t="s">
        <v>10</v>
      </c>
      <c r="C1475" t="s">
        <v>6</v>
      </c>
      <c r="D1475">
        <v>7.65</v>
      </c>
      <c r="E1475">
        <v>4</v>
      </c>
      <c r="F1475" t="s">
        <v>15</v>
      </c>
      <c r="G1475">
        <v>28</v>
      </c>
      <c r="H1475">
        <v>9.7919999999999998</v>
      </c>
      <c r="I1475">
        <v>28.000000000000004</v>
      </c>
      <c r="J1475" t="s">
        <v>20</v>
      </c>
    </row>
    <row r="1476" spans="1:10" x14ac:dyDescent="0.2">
      <c r="A1476">
        <v>11475</v>
      </c>
      <c r="B1476" t="s">
        <v>7</v>
      </c>
      <c r="C1476" t="s">
        <v>6</v>
      </c>
      <c r="D1476">
        <v>2.83</v>
      </c>
      <c r="E1476">
        <v>5</v>
      </c>
      <c r="F1476" t="s">
        <v>15</v>
      </c>
      <c r="G1476">
        <v>28</v>
      </c>
      <c r="H1476">
        <v>3.6224000000000003</v>
      </c>
      <c r="I1476">
        <v>28.000000000000004</v>
      </c>
      <c r="J1476" t="s">
        <v>20</v>
      </c>
    </row>
    <row r="1477" spans="1:10" x14ac:dyDescent="0.2">
      <c r="A1477">
        <v>11476</v>
      </c>
      <c r="B1477" t="s">
        <v>7</v>
      </c>
      <c r="C1477" t="s">
        <v>6</v>
      </c>
      <c r="D1477">
        <v>14.68</v>
      </c>
      <c r="E1477">
        <v>3</v>
      </c>
      <c r="F1477" t="s">
        <v>14</v>
      </c>
      <c r="G1477">
        <v>12</v>
      </c>
      <c r="H1477">
        <v>16.441600000000001</v>
      </c>
      <c r="I1477">
        <v>12.000000000000011</v>
      </c>
      <c r="J1477" t="s">
        <v>20</v>
      </c>
    </row>
    <row r="1478" spans="1:10" x14ac:dyDescent="0.2">
      <c r="A1478">
        <v>11477</v>
      </c>
      <c r="B1478" t="s">
        <v>5</v>
      </c>
      <c r="C1478" t="s">
        <v>6</v>
      </c>
      <c r="D1478">
        <v>2.8</v>
      </c>
      <c r="E1478">
        <v>1</v>
      </c>
      <c r="F1478" t="s">
        <v>14</v>
      </c>
      <c r="G1478">
        <v>12</v>
      </c>
      <c r="H1478">
        <v>3.1360000000000001</v>
      </c>
      <c r="I1478">
        <v>12.000000000000011</v>
      </c>
      <c r="J1478" t="s">
        <v>20</v>
      </c>
    </row>
    <row r="1479" spans="1:10" x14ac:dyDescent="0.2">
      <c r="A1479">
        <v>11478</v>
      </c>
      <c r="B1479" t="s">
        <v>7</v>
      </c>
      <c r="C1479" t="s">
        <v>11</v>
      </c>
      <c r="D1479">
        <v>7.57</v>
      </c>
      <c r="E1479">
        <v>6</v>
      </c>
      <c r="F1479" t="s">
        <v>15</v>
      </c>
      <c r="G1479">
        <v>25</v>
      </c>
      <c r="H1479">
        <v>9.4625000000000004</v>
      </c>
      <c r="I1479">
        <v>25</v>
      </c>
      <c r="J1479" t="s">
        <v>20</v>
      </c>
    </row>
    <row r="1480" spans="1:10" x14ac:dyDescent="0.2">
      <c r="A1480">
        <v>11479</v>
      </c>
      <c r="B1480" t="s">
        <v>10</v>
      </c>
      <c r="C1480" t="s">
        <v>11</v>
      </c>
      <c r="D1480">
        <v>5.78</v>
      </c>
      <c r="E1480">
        <v>10</v>
      </c>
      <c r="F1480" t="s">
        <v>16</v>
      </c>
      <c r="G1480">
        <v>50</v>
      </c>
      <c r="H1480">
        <v>8.67</v>
      </c>
      <c r="I1480">
        <v>50</v>
      </c>
      <c r="J1480" t="s">
        <v>20</v>
      </c>
    </row>
    <row r="1481" spans="1:10" x14ac:dyDescent="0.2">
      <c r="A1481">
        <v>11480</v>
      </c>
      <c r="B1481" t="s">
        <v>7</v>
      </c>
      <c r="C1481" t="s">
        <v>11</v>
      </c>
      <c r="D1481">
        <v>9.77</v>
      </c>
      <c r="E1481">
        <v>2</v>
      </c>
      <c r="F1481" t="s">
        <v>14</v>
      </c>
      <c r="G1481">
        <v>10</v>
      </c>
      <c r="H1481">
        <v>10.747</v>
      </c>
      <c r="I1481">
        <v>10.000000000000009</v>
      </c>
      <c r="J1481" t="s">
        <v>20</v>
      </c>
    </row>
    <row r="1482" spans="1:10" x14ac:dyDescent="0.2">
      <c r="A1482">
        <v>11481</v>
      </c>
      <c r="B1482" t="s">
        <v>5</v>
      </c>
      <c r="C1482" t="s">
        <v>6</v>
      </c>
      <c r="D1482">
        <v>2.37</v>
      </c>
      <c r="E1482">
        <v>9</v>
      </c>
      <c r="F1482" t="s">
        <v>16</v>
      </c>
      <c r="G1482">
        <v>55</v>
      </c>
      <c r="H1482">
        <v>3.6735000000000002</v>
      </c>
      <c r="I1482">
        <v>55.000000000000007</v>
      </c>
      <c r="J1482" t="s">
        <v>20</v>
      </c>
    </row>
    <row r="1483" spans="1:10" x14ac:dyDescent="0.2">
      <c r="A1483">
        <v>11482</v>
      </c>
      <c r="B1483" t="s">
        <v>8</v>
      </c>
      <c r="C1483" t="s">
        <v>11</v>
      </c>
      <c r="D1483">
        <v>6.74</v>
      </c>
      <c r="E1483">
        <v>1</v>
      </c>
      <c r="F1483" t="s">
        <v>14</v>
      </c>
      <c r="G1483">
        <v>10</v>
      </c>
      <c r="H1483">
        <v>7.4140000000000006</v>
      </c>
      <c r="I1483">
        <v>10.000000000000009</v>
      </c>
      <c r="J1483" t="s">
        <v>20</v>
      </c>
    </row>
    <row r="1484" spans="1:10" x14ac:dyDescent="0.2">
      <c r="A1484">
        <v>11483</v>
      </c>
      <c r="B1484" t="s">
        <v>10</v>
      </c>
      <c r="C1484" t="s">
        <v>11</v>
      </c>
      <c r="D1484">
        <v>4.4800000000000004</v>
      </c>
      <c r="E1484">
        <v>9</v>
      </c>
      <c r="F1484" t="s">
        <v>16</v>
      </c>
      <c r="G1484">
        <v>50</v>
      </c>
      <c r="H1484">
        <v>6.7200000000000006</v>
      </c>
      <c r="I1484">
        <v>50</v>
      </c>
      <c r="J1484" t="s">
        <v>20</v>
      </c>
    </row>
    <row r="1485" spans="1:10" x14ac:dyDescent="0.2">
      <c r="A1485">
        <v>11484</v>
      </c>
      <c r="B1485" t="s">
        <v>8</v>
      </c>
      <c r="C1485" t="s">
        <v>9</v>
      </c>
      <c r="D1485">
        <v>13.37</v>
      </c>
      <c r="E1485">
        <v>7</v>
      </c>
      <c r="F1485" t="s">
        <v>15</v>
      </c>
      <c r="G1485">
        <v>30</v>
      </c>
      <c r="H1485">
        <v>17.381</v>
      </c>
      <c r="I1485">
        <v>30.000000000000004</v>
      </c>
      <c r="J1485" t="s">
        <v>20</v>
      </c>
    </row>
    <row r="1486" spans="1:10" x14ac:dyDescent="0.2">
      <c r="A1486">
        <v>11485</v>
      </c>
      <c r="B1486" t="s">
        <v>5</v>
      </c>
      <c r="C1486" t="s">
        <v>9</v>
      </c>
      <c r="D1486">
        <v>1.0900000000000001</v>
      </c>
      <c r="E1486">
        <v>10</v>
      </c>
      <c r="F1486" t="s">
        <v>16</v>
      </c>
      <c r="G1486">
        <v>60</v>
      </c>
      <c r="H1486">
        <v>1.7440000000000002</v>
      </c>
      <c r="I1486">
        <v>60.000000000000007</v>
      </c>
      <c r="J1486" t="s">
        <v>20</v>
      </c>
    </row>
    <row r="1487" spans="1:10" x14ac:dyDescent="0.2">
      <c r="A1487">
        <v>11486</v>
      </c>
      <c r="B1487" t="s">
        <v>5</v>
      </c>
      <c r="C1487" t="s">
        <v>11</v>
      </c>
      <c r="D1487">
        <v>13.75</v>
      </c>
      <c r="E1487">
        <v>2</v>
      </c>
      <c r="F1487" t="s">
        <v>14</v>
      </c>
      <c r="G1487">
        <v>10</v>
      </c>
      <c r="H1487">
        <v>15.125000000000002</v>
      </c>
      <c r="I1487">
        <v>10.000000000000009</v>
      </c>
      <c r="J1487" t="s">
        <v>20</v>
      </c>
    </row>
    <row r="1488" spans="1:10" x14ac:dyDescent="0.2">
      <c r="A1488">
        <v>11487</v>
      </c>
      <c r="B1488" t="s">
        <v>5</v>
      </c>
      <c r="C1488" t="s">
        <v>9</v>
      </c>
      <c r="D1488">
        <v>12.58</v>
      </c>
      <c r="E1488">
        <v>6</v>
      </c>
      <c r="F1488" t="s">
        <v>15</v>
      </c>
      <c r="G1488">
        <v>30</v>
      </c>
      <c r="H1488">
        <v>16.353999999999999</v>
      </c>
      <c r="I1488">
        <v>29.999999999999982</v>
      </c>
      <c r="J1488" t="s">
        <v>20</v>
      </c>
    </row>
    <row r="1489" spans="1:10" x14ac:dyDescent="0.2">
      <c r="A1489">
        <v>11488</v>
      </c>
      <c r="B1489" t="s">
        <v>8</v>
      </c>
      <c r="C1489" t="s">
        <v>9</v>
      </c>
      <c r="D1489">
        <v>4.8099999999999996</v>
      </c>
      <c r="E1489">
        <v>8</v>
      </c>
      <c r="F1489" t="s">
        <v>16</v>
      </c>
      <c r="G1489">
        <v>60</v>
      </c>
      <c r="H1489">
        <v>7.6959999999999997</v>
      </c>
      <c r="I1489">
        <v>60.000000000000007</v>
      </c>
      <c r="J1489" t="s">
        <v>20</v>
      </c>
    </row>
    <row r="1490" spans="1:10" x14ac:dyDescent="0.2">
      <c r="A1490">
        <v>11489</v>
      </c>
      <c r="B1490" t="s">
        <v>8</v>
      </c>
      <c r="C1490" t="s">
        <v>11</v>
      </c>
      <c r="D1490">
        <v>11.94</v>
      </c>
      <c r="E1490">
        <v>2</v>
      </c>
      <c r="F1490" t="s">
        <v>14</v>
      </c>
      <c r="G1490">
        <v>10</v>
      </c>
      <c r="H1490">
        <v>13.134</v>
      </c>
      <c r="I1490">
        <v>10.000000000000009</v>
      </c>
      <c r="J1490" t="s">
        <v>20</v>
      </c>
    </row>
    <row r="1491" spans="1:10" x14ac:dyDescent="0.2">
      <c r="A1491">
        <v>11490</v>
      </c>
      <c r="B1491" t="s">
        <v>8</v>
      </c>
      <c r="C1491" t="s">
        <v>11</v>
      </c>
      <c r="D1491">
        <v>0.95</v>
      </c>
      <c r="E1491">
        <v>5</v>
      </c>
      <c r="F1491" t="s">
        <v>15</v>
      </c>
      <c r="G1491">
        <v>25</v>
      </c>
      <c r="H1491">
        <v>1.1875</v>
      </c>
      <c r="I1491">
        <v>25</v>
      </c>
      <c r="J1491" t="s">
        <v>20</v>
      </c>
    </row>
    <row r="1492" spans="1:10" x14ac:dyDescent="0.2">
      <c r="A1492">
        <v>11491</v>
      </c>
      <c r="B1492" t="s">
        <v>8</v>
      </c>
      <c r="C1492" t="s">
        <v>11</v>
      </c>
      <c r="D1492">
        <v>14.52</v>
      </c>
      <c r="E1492">
        <v>6</v>
      </c>
      <c r="F1492" t="s">
        <v>15</v>
      </c>
      <c r="G1492">
        <v>25</v>
      </c>
      <c r="H1492">
        <v>18.149999999999999</v>
      </c>
      <c r="I1492">
        <v>25</v>
      </c>
      <c r="J1492" t="s">
        <v>20</v>
      </c>
    </row>
    <row r="1493" spans="1:10" x14ac:dyDescent="0.2">
      <c r="A1493">
        <v>11492</v>
      </c>
      <c r="B1493" t="s">
        <v>5</v>
      </c>
      <c r="C1493" t="s">
        <v>11</v>
      </c>
      <c r="D1493">
        <v>8.14</v>
      </c>
      <c r="E1493">
        <v>3</v>
      </c>
      <c r="F1493" t="s">
        <v>14</v>
      </c>
      <c r="G1493">
        <v>10</v>
      </c>
      <c r="H1493">
        <v>8.9540000000000006</v>
      </c>
      <c r="I1493">
        <v>10.000000000000009</v>
      </c>
      <c r="J1493" t="s">
        <v>20</v>
      </c>
    </row>
    <row r="1494" spans="1:10" x14ac:dyDescent="0.2">
      <c r="A1494">
        <v>11493</v>
      </c>
      <c r="B1494" t="s">
        <v>5</v>
      </c>
      <c r="C1494" t="s">
        <v>6</v>
      </c>
      <c r="D1494">
        <v>4.9000000000000004</v>
      </c>
      <c r="E1494">
        <v>2</v>
      </c>
      <c r="F1494" t="s">
        <v>14</v>
      </c>
      <c r="G1494">
        <v>12</v>
      </c>
      <c r="H1494">
        <v>5.4880000000000013</v>
      </c>
      <c r="I1494">
        <v>12.000000000000011</v>
      </c>
      <c r="J1494" t="s">
        <v>20</v>
      </c>
    </row>
    <row r="1495" spans="1:10" x14ac:dyDescent="0.2">
      <c r="A1495">
        <v>11494</v>
      </c>
      <c r="B1495" t="s">
        <v>10</v>
      </c>
      <c r="C1495" t="s">
        <v>6</v>
      </c>
      <c r="D1495">
        <v>5.76</v>
      </c>
      <c r="E1495">
        <v>6</v>
      </c>
      <c r="F1495" t="s">
        <v>15</v>
      </c>
      <c r="G1495">
        <v>28</v>
      </c>
      <c r="H1495">
        <v>7.3727999999999998</v>
      </c>
      <c r="I1495">
        <v>28.000000000000004</v>
      </c>
      <c r="J1495" t="s">
        <v>20</v>
      </c>
    </row>
    <row r="1496" spans="1:10" x14ac:dyDescent="0.2">
      <c r="A1496">
        <v>11495</v>
      </c>
      <c r="B1496" t="s">
        <v>10</v>
      </c>
      <c r="C1496" t="s">
        <v>11</v>
      </c>
      <c r="D1496">
        <v>1.46</v>
      </c>
      <c r="E1496">
        <v>3</v>
      </c>
      <c r="F1496" t="s">
        <v>14</v>
      </c>
      <c r="G1496">
        <v>10</v>
      </c>
      <c r="H1496">
        <v>1.6060000000000001</v>
      </c>
      <c r="I1496">
        <v>10.000000000000009</v>
      </c>
      <c r="J1496" t="s">
        <v>20</v>
      </c>
    </row>
    <row r="1497" spans="1:10" x14ac:dyDescent="0.2">
      <c r="A1497">
        <v>11496</v>
      </c>
      <c r="B1497" t="s">
        <v>8</v>
      </c>
      <c r="C1497" t="s">
        <v>9</v>
      </c>
      <c r="D1497">
        <v>14.85</v>
      </c>
      <c r="E1497">
        <v>2</v>
      </c>
      <c r="F1497" t="s">
        <v>14</v>
      </c>
      <c r="G1497">
        <v>15</v>
      </c>
      <c r="H1497">
        <v>17.077499999999997</v>
      </c>
      <c r="I1497">
        <v>14.999999999999991</v>
      </c>
      <c r="J1497" t="s">
        <v>20</v>
      </c>
    </row>
    <row r="1498" spans="1:10" x14ac:dyDescent="0.2">
      <c r="A1498">
        <v>11497</v>
      </c>
      <c r="B1498" t="s">
        <v>7</v>
      </c>
      <c r="C1498" t="s">
        <v>11</v>
      </c>
      <c r="D1498">
        <v>1.07</v>
      </c>
      <c r="E1498">
        <v>1</v>
      </c>
      <c r="F1498" t="s">
        <v>14</v>
      </c>
      <c r="G1498">
        <v>10</v>
      </c>
      <c r="H1498">
        <v>1.1770000000000003</v>
      </c>
      <c r="I1498">
        <v>10.000000000000009</v>
      </c>
      <c r="J1498" t="s">
        <v>20</v>
      </c>
    </row>
    <row r="1499" spans="1:10" x14ac:dyDescent="0.2">
      <c r="A1499">
        <v>11498</v>
      </c>
      <c r="B1499" t="s">
        <v>7</v>
      </c>
      <c r="C1499" t="s">
        <v>11</v>
      </c>
      <c r="D1499">
        <v>10</v>
      </c>
      <c r="E1499">
        <v>8</v>
      </c>
      <c r="F1499" t="s">
        <v>16</v>
      </c>
      <c r="G1499">
        <v>50</v>
      </c>
      <c r="H1499">
        <v>15</v>
      </c>
      <c r="I1499">
        <v>50</v>
      </c>
      <c r="J1499" t="s">
        <v>20</v>
      </c>
    </row>
    <row r="1500" spans="1:10" x14ac:dyDescent="0.2">
      <c r="A1500">
        <v>11499</v>
      </c>
      <c r="B1500" t="s">
        <v>5</v>
      </c>
      <c r="C1500" t="s">
        <v>9</v>
      </c>
      <c r="D1500">
        <v>6.92</v>
      </c>
      <c r="E1500">
        <v>1</v>
      </c>
      <c r="F1500" t="s">
        <v>14</v>
      </c>
      <c r="G1500">
        <v>15</v>
      </c>
      <c r="H1500">
        <v>7.9579999999999993</v>
      </c>
      <c r="I1500">
        <v>14.999999999999991</v>
      </c>
      <c r="J1500" t="s">
        <v>20</v>
      </c>
    </row>
    <row r="1501" spans="1:10" x14ac:dyDescent="0.2">
      <c r="A1501">
        <v>11500</v>
      </c>
      <c r="B1501" t="s">
        <v>5</v>
      </c>
      <c r="C1501" t="s">
        <v>6</v>
      </c>
      <c r="D1501">
        <v>14.26</v>
      </c>
      <c r="E1501">
        <v>5</v>
      </c>
      <c r="F1501" t="s">
        <v>15</v>
      </c>
      <c r="G1501">
        <v>28</v>
      </c>
      <c r="H1501">
        <v>18.252800000000001</v>
      </c>
      <c r="I1501">
        <v>28.000000000000004</v>
      </c>
      <c r="J1501" t="s">
        <v>20</v>
      </c>
    </row>
    <row r="1502" spans="1:10" x14ac:dyDescent="0.2">
      <c r="A1502">
        <v>11501</v>
      </c>
      <c r="B1502" t="s">
        <v>5</v>
      </c>
      <c r="C1502" t="s">
        <v>11</v>
      </c>
      <c r="D1502">
        <v>4.07</v>
      </c>
      <c r="E1502">
        <v>6</v>
      </c>
      <c r="F1502" t="s">
        <v>15</v>
      </c>
      <c r="G1502">
        <v>25</v>
      </c>
      <c r="H1502">
        <v>5.0875000000000004</v>
      </c>
      <c r="I1502">
        <v>25</v>
      </c>
      <c r="J1502" t="s">
        <v>20</v>
      </c>
    </row>
    <row r="1503" spans="1:10" x14ac:dyDescent="0.2">
      <c r="A1503">
        <v>11502</v>
      </c>
      <c r="B1503" t="s">
        <v>10</v>
      </c>
      <c r="C1503" t="s">
        <v>11</v>
      </c>
      <c r="D1503">
        <v>8.2200000000000006</v>
      </c>
      <c r="E1503">
        <v>3</v>
      </c>
      <c r="F1503" t="s">
        <v>14</v>
      </c>
      <c r="G1503">
        <v>10</v>
      </c>
      <c r="H1503">
        <v>9.0420000000000016</v>
      </c>
      <c r="I1503">
        <v>10.000000000000009</v>
      </c>
      <c r="J1503" t="s">
        <v>20</v>
      </c>
    </row>
    <row r="1504" spans="1:10" x14ac:dyDescent="0.2">
      <c r="A1504">
        <v>11503</v>
      </c>
      <c r="B1504" t="s">
        <v>10</v>
      </c>
      <c r="C1504" t="s">
        <v>6</v>
      </c>
      <c r="D1504">
        <v>7.49</v>
      </c>
      <c r="E1504">
        <v>7</v>
      </c>
      <c r="F1504" t="s">
        <v>15</v>
      </c>
      <c r="G1504">
        <v>28</v>
      </c>
      <c r="H1504">
        <v>9.5872000000000011</v>
      </c>
      <c r="I1504">
        <v>28.000000000000004</v>
      </c>
      <c r="J1504" t="s">
        <v>20</v>
      </c>
    </row>
    <row r="1505" spans="1:10" x14ac:dyDescent="0.2">
      <c r="A1505">
        <v>11504</v>
      </c>
      <c r="B1505" t="s">
        <v>5</v>
      </c>
      <c r="C1505" t="s">
        <v>6</v>
      </c>
      <c r="D1505">
        <v>10.69</v>
      </c>
      <c r="E1505">
        <v>2</v>
      </c>
      <c r="F1505" t="s">
        <v>14</v>
      </c>
      <c r="G1505">
        <v>12</v>
      </c>
      <c r="H1505">
        <v>11.972800000000001</v>
      </c>
      <c r="I1505">
        <v>12.000000000000011</v>
      </c>
      <c r="J1505" t="s">
        <v>20</v>
      </c>
    </row>
    <row r="1506" spans="1:10" x14ac:dyDescent="0.2">
      <c r="A1506">
        <v>11505</v>
      </c>
      <c r="B1506" t="s">
        <v>5</v>
      </c>
      <c r="C1506" t="s">
        <v>9</v>
      </c>
      <c r="D1506">
        <v>1.49</v>
      </c>
      <c r="E1506">
        <v>7</v>
      </c>
      <c r="F1506" t="s">
        <v>15</v>
      </c>
      <c r="G1506">
        <v>30</v>
      </c>
      <c r="H1506">
        <v>1.9370000000000001</v>
      </c>
      <c r="I1506">
        <v>30.000000000000004</v>
      </c>
      <c r="J1506" t="s">
        <v>20</v>
      </c>
    </row>
    <row r="1507" spans="1:10" x14ac:dyDescent="0.2">
      <c r="A1507">
        <v>11506</v>
      </c>
      <c r="B1507" t="s">
        <v>5</v>
      </c>
      <c r="C1507" t="s">
        <v>6</v>
      </c>
      <c r="D1507">
        <v>3.31</v>
      </c>
      <c r="E1507">
        <v>2</v>
      </c>
      <c r="F1507" t="s">
        <v>14</v>
      </c>
      <c r="G1507">
        <v>12</v>
      </c>
      <c r="H1507">
        <v>3.7072000000000003</v>
      </c>
      <c r="I1507">
        <v>12.000000000000011</v>
      </c>
      <c r="J1507" t="s">
        <v>20</v>
      </c>
    </row>
    <row r="1508" spans="1:10" x14ac:dyDescent="0.2">
      <c r="A1508">
        <v>11507</v>
      </c>
      <c r="B1508" t="s">
        <v>7</v>
      </c>
      <c r="C1508" t="s">
        <v>6</v>
      </c>
      <c r="D1508">
        <v>3.61</v>
      </c>
      <c r="E1508">
        <v>5</v>
      </c>
      <c r="F1508" t="s">
        <v>15</v>
      </c>
      <c r="G1508">
        <v>28</v>
      </c>
      <c r="H1508">
        <v>4.6208</v>
      </c>
      <c r="I1508">
        <v>28.000000000000004</v>
      </c>
      <c r="J1508" t="s">
        <v>20</v>
      </c>
    </row>
    <row r="1509" spans="1:10" x14ac:dyDescent="0.2">
      <c r="A1509">
        <v>11508</v>
      </c>
      <c r="B1509" t="s">
        <v>10</v>
      </c>
      <c r="C1509" t="s">
        <v>6</v>
      </c>
      <c r="D1509">
        <v>11.2</v>
      </c>
      <c r="E1509">
        <v>7</v>
      </c>
      <c r="F1509" t="s">
        <v>15</v>
      </c>
      <c r="G1509">
        <v>28</v>
      </c>
      <c r="H1509">
        <v>14.335999999999999</v>
      </c>
      <c r="I1509">
        <v>28.000000000000004</v>
      </c>
      <c r="J1509" t="s">
        <v>20</v>
      </c>
    </row>
    <row r="1510" spans="1:10" x14ac:dyDescent="0.2">
      <c r="A1510">
        <v>11509</v>
      </c>
      <c r="B1510" t="s">
        <v>7</v>
      </c>
      <c r="C1510" t="s">
        <v>9</v>
      </c>
      <c r="D1510">
        <v>3.24</v>
      </c>
      <c r="E1510">
        <v>3</v>
      </c>
      <c r="F1510" t="s">
        <v>14</v>
      </c>
      <c r="G1510">
        <v>15</v>
      </c>
      <c r="H1510">
        <v>3.726</v>
      </c>
      <c r="I1510">
        <v>14.999999999999991</v>
      </c>
      <c r="J1510" t="s">
        <v>20</v>
      </c>
    </row>
    <row r="1511" spans="1:10" x14ac:dyDescent="0.2">
      <c r="A1511">
        <v>11510</v>
      </c>
      <c r="B1511" t="s">
        <v>7</v>
      </c>
      <c r="C1511" t="s">
        <v>6</v>
      </c>
      <c r="D1511">
        <v>8.82</v>
      </c>
      <c r="E1511">
        <v>4</v>
      </c>
      <c r="F1511" t="s">
        <v>15</v>
      </c>
      <c r="G1511">
        <v>28</v>
      </c>
      <c r="H1511">
        <v>11.2896</v>
      </c>
      <c r="I1511">
        <v>28.000000000000004</v>
      </c>
      <c r="J1511" t="s">
        <v>20</v>
      </c>
    </row>
    <row r="1512" spans="1:10" x14ac:dyDescent="0.2">
      <c r="A1512">
        <v>11511</v>
      </c>
      <c r="B1512" t="s">
        <v>5</v>
      </c>
      <c r="C1512" t="s">
        <v>6</v>
      </c>
      <c r="D1512">
        <v>3.62</v>
      </c>
      <c r="E1512">
        <v>1</v>
      </c>
      <c r="F1512" t="s">
        <v>14</v>
      </c>
      <c r="G1512">
        <v>12</v>
      </c>
      <c r="H1512">
        <v>4.0544000000000002</v>
      </c>
      <c r="I1512">
        <v>12.000000000000011</v>
      </c>
      <c r="J1512" t="s">
        <v>20</v>
      </c>
    </row>
    <row r="1513" spans="1:10" x14ac:dyDescent="0.2">
      <c r="A1513">
        <v>11512</v>
      </c>
      <c r="B1513" t="s">
        <v>5</v>
      </c>
      <c r="C1513" t="s">
        <v>9</v>
      </c>
      <c r="D1513">
        <v>12.99</v>
      </c>
      <c r="E1513">
        <v>3</v>
      </c>
      <c r="F1513" t="s">
        <v>14</v>
      </c>
      <c r="G1513">
        <v>15</v>
      </c>
      <c r="H1513">
        <v>14.938499999999999</v>
      </c>
      <c r="I1513">
        <v>14.999999999999991</v>
      </c>
      <c r="J1513" t="s">
        <v>20</v>
      </c>
    </row>
    <row r="1514" spans="1:10" x14ac:dyDescent="0.2">
      <c r="A1514">
        <v>11513</v>
      </c>
      <c r="B1514" t="s">
        <v>8</v>
      </c>
      <c r="C1514" t="s">
        <v>6</v>
      </c>
      <c r="D1514">
        <v>14.16</v>
      </c>
      <c r="E1514">
        <v>9</v>
      </c>
      <c r="F1514" t="s">
        <v>16</v>
      </c>
      <c r="G1514">
        <v>55</v>
      </c>
      <c r="H1514">
        <v>21.948</v>
      </c>
      <c r="I1514">
        <v>55.000000000000007</v>
      </c>
      <c r="J1514" t="s">
        <v>20</v>
      </c>
    </row>
    <row r="1515" spans="1:10" x14ac:dyDescent="0.2">
      <c r="A1515">
        <v>11514</v>
      </c>
      <c r="B1515" t="s">
        <v>8</v>
      </c>
      <c r="C1515" t="s">
        <v>6</v>
      </c>
      <c r="D1515">
        <v>8.02</v>
      </c>
      <c r="E1515">
        <v>10</v>
      </c>
      <c r="F1515" t="s">
        <v>16</v>
      </c>
      <c r="G1515">
        <v>55</v>
      </c>
      <c r="H1515">
        <v>12.430999999999999</v>
      </c>
      <c r="I1515">
        <v>55.000000000000007</v>
      </c>
      <c r="J1515" t="s">
        <v>20</v>
      </c>
    </row>
    <row r="1516" spans="1:10" x14ac:dyDescent="0.2">
      <c r="A1516">
        <v>11515</v>
      </c>
      <c r="B1516" t="s">
        <v>7</v>
      </c>
      <c r="C1516" t="s">
        <v>9</v>
      </c>
      <c r="D1516">
        <v>5.61</v>
      </c>
      <c r="E1516">
        <v>5</v>
      </c>
      <c r="F1516" t="s">
        <v>15</v>
      </c>
      <c r="G1516">
        <v>30</v>
      </c>
      <c r="H1516">
        <v>7.293000000000001</v>
      </c>
      <c r="I1516">
        <v>30.000000000000004</v>
      </c>
      <c r="J1516" t="s">
        <v>20</v>
      </c>
    </row>
    <row r="1517" spans="1:10" x14ac:dyDescent="0.2">
      <c r="A1517">
        <v>11516</v>
      </c>
      <c r="B1517" t="s">
        <v>10</v>
      </c>
      <c r="C1517" t="s">
        <v>11</v>
      </c>
      <c r="D1517">
        <v>3.89</v>
      </c>
      <c r="E1517">
        <v>8</v>
      </c>
      <c r="F1517" t="s">
        <v>16</v>
      </c>
      <c r="G1517">
        <v>50</v>
      </c>
      <c r="H1517">
        <v>5.835</v>
      </c>
      <c r="I1517">
        <v>50</v>
      </c>
      <c r="J1517" t="s">
        <v>20</v>
      </c>
    </row>
    <row r="1518" spans="1:10" x14ac:dyDescent="0.2">
      <c r="A1518">
        <v>11517</v>
      </c>
      <c r="B1518" t="s">
        <v>5</v>
      </c>
      <c r="C1518" t="s">
        <v>9</v>
      </c>
      <c r="D1518">
        <v>1.22</v>
      </c>
      <c r="E1518">
        <v>2</v>
      </c>
      <c r="F1518" t="s">
        <v>14</v>
      </c>
      <c r="G1518">
        <v>15</v>
      </c>
      <c r="H1518">
        <v>1.4029999999999998</v>
      </c>
      <c r="I1518">
        <v>14.999999999999991</v>
      </c>
      <c r="J1518" t="s">
        <v>20</v>
      </c>
    </row>
    <row r="1519" spans="1:10" x14ac:dyDescent="0.2">
      <c r="A1519">
        <v>11518</v>
      </c>
      <c r="B1519" t="s">
        <v>5</v>
      </c>
      <c r="C1519" t="s">
        <v>6</v>
      </c>
      <c r="D1519">
        <v>4.3899999999999997</v>
      </c>
      <c r="E1519">
        <v>3</v>
      </c>
      <c r="F1519" t="s">
        <v>14</v>
      </c>
      <c r="G1519">
        <v>12</v>
      </c>
      <c r="H1519">
        <v>4.9168000000000003</v>
      </c>
      <c r="I1519">
        <v>12.000000000000011</v>
      </c>
      <c r="J1519" t="s">
        <v>20</v>
      </c>
    </row>
    <row r="1520" spans="1:10" x14ac:dyDescent="0.2">
      <c r="A1520">
        <v>11519</v>
      </c>
      <c r="B1520" t="s">
        <v>7</v>
      </c>
      <c r="C1520" t="s">
        <v>6</v>
      </c>
      <c r="D1520">
        <v>9.99</v>
      </c>
      <c r="E1520">
        <v>7</v>
      </c>
      <c r="F1520" t="s">
        <v>15</v>
      </c>
      <c r="G1520">
        <v>28</v>
      </c>
      <c r="H1520">
        <v>12.7872</v>
      </c>
      <c r="I1520">
        <v>28.000000000000004</v>
      </c>
      <c r="J1520" t="s">
        <v>20</v>
      </c>
    </row>
    <row r="1521" spans="1:10" x14ac:dyDescent="0.2">
      <c r="A1521">
        <v>11520</v>
      </c>
      <c r="B1521" t="s">
        <v>8</v>
      </c>
      <c r="C1521" t="s">
        <v>6</v>
      </c>
      <c r="D1521">
        <v>8.24</v>
      </c>
      <c r="E1521">
        <v>10</v>
      </c>
      <c r="F1521" t="s">
        <v>16</v>
      </c>
      <c r="G1521">
        <v>55</v>
      </c>
      <c r="H1521">
        <v>12.772</v>
      </c>
      <c r="I1521">
        <v>55.000000000000007</v>
      </c>
      <c r="J1521" t="s">
        <v>20</v>
      </c>
    </row>
    <row r="1522" spans="1:10" x14ac:dyDescent="0.2">
      <c r="A1522">
        <v>11521</v>
      </c>
      <c r="B1522" t="s">
        <v>10</v>
      </c>
      <c r="C1522" t="s">
        <v>9</v>
      </c>
      <c r="D1522">
        <v>14.19</v>
      </c>
      <c r="E1522">
        <v>4</v>
      </c>
      <c r="F1522" t="s">
        <v>15</v>
      </c>
      <c r="G1522">
        <v>30</v>
      </c>
      <c r="H1522">
        <v>18.446999999999999</v>
      </c>
      <c r="I1522">
        <v>30.000000000000004</v>
      </c>
      <c r="J1522" t="s">
        <v>20</v>
      </c>
    </row>
    <row r="1523" spans="1:10" x14ac:dyDescent="0.2">
      <c r="A1523">
        <v>11522</v>
      </c>
      <c r="B1523" t="s">
        <v>8</v>
      </c>
      <c r="C1523" t="s">
        <v>6</v>
      </c>
      <c r="D1523">
        <v>6.25</v>
      </c>
      <c r="E1523">
        <v>9</v>
      </c>
      <c r="F1523" t="s">
        <v>16</v>
      </c>
      <c r="G1523">
        <v>55</v>
      </c>
      <c r="H1523">
        <v>9.6875</v>
      </c>
      <c r="I1523">
        <v>55.000000000000007</v>
      </c>
      <c r="J1523" t="s">
        <v>20</v>
      </c>
    </row>
    <row r="1524" spans="1:10" x14ac:dyDescent="0.2">
      <c r="A1524">
        <v>11523</v>
      </c>
      <c r="B1524" t="s">
        <v>8</v>
      </c>
      <c r="C1524" t="s">
        <v>6</v>
      </c>
      <c r="D1524">
        <v>10.56</v>
      </c>
      <c r="E1524">
        <v>7</v>
      </c>
      <c r="F1524" t="s">
        <v>15</v>
      </c>
      <c r="G1524">
        <v>28</v>
      </c>
      <c r="H1524">
        <v>13.516800000000002</v>
      </c>
      <c r="I1524">
        <v>28.000000000000004</v>
      </c>
      <c r="J1524" t="s">
        <v>20</v>
      </c>
    </row>
    <row r="1525" spans="1:10" x14ac:dyDescent="0.2">
      <c r="A1525">
        <v>11524</v>
      </c>
      <c r="B1525" t="s">
        <v>8</v>
      </c>
      <c r="C1525" t="s">
        <v>9</v>
      </c>
      <c r="D1525">
        <v>7.6</v>
      </c>
      <c r="E1525">
        <v>1</v>
      </c>
      <c r="F1525" t="s">
        <v>14</v>
      </c>
      <c r="G1525">
        <v>15</v>
      </c>
      <c r="H1525">
        <v>8.7399999999999984</v>
      </c>
      <c r="I1525">
        <v>14.999999999999991</v>
      </c>
      <c r="J1525" t="s">
        <v>20</v>
      </c>
    </row>
    <row r="1526" spans="1:10" x14ac:dyDescent="0.2">
      <c r="A1526">
        <v>11525</v>
      </c>
      <c r="B1526" t="s">
        <v>8</v>
      </c>
      <c r="C1526" t="s">
        <v>11</v>
      </c>
      <c r="D1526">
        <v>7.93</v>
      </c>
      <c r="E1526">
        <v>4</v>
      </c>
      <c r="F1526" t="s">
        <v>15</v>
      </c>
      <c r="G1526">
        <v>25</v>
      </c>
      <c r="H1526">
        <v>9.9124999999999996</v>
      </c>
      <c r="I1526">
        <v>25</v>
      </c>
      <c r="J1526" t="s">
        <v>20</v>
      </c>
    </row>
    <row r="1527" spans="1:10" x14ac:dyDescent="0.2">
      <c r="A1527">
        <v>11526</v>
      </c>
      <c r="B1527" t="s">
        <v>5</v>
      </c>
      <c r="C1527" t="s">
        <v>11</v>
      </c>
      <c r="D1527">
        <v>4.38</v>
      </c>
      <c r="E1527">
        <v>10</v>
      </c>
      <c r="F1527" t="s">
        <v>16</v>
      </c>
      <c r="G1527">
        <v>50</v>
      </c>
      <c r="H1527">
        <v>6.57</v>
      </c>
      <c r="I1527">
        <v>50</v>
      </c>
      <c r="J1527" t="s">
        <v>20</v>
      </c>
    </row>
    <row r="1528" spans="1:10" x14ac:dyDescent="0.2">
      <c r="A1528">
        <v>11527</v>
      </c>
      <c r="B1528" t="s">
        <v>5</v>
      </c>
      <c r="C1528" t="s">
        <v>6</v>
      </c>
      <c r="D1528">
        <v>7.1</v>
      </c>
      <c r="E1528">
        <v>6</v>
      </c>
      <c r="F1528" t="s">
        <v>15</v>
      </c>
      <c r="G1528">
        <v>28</v>
      </c>
      <c r="H1528">
        <v>9.0879999999999992</v>
      </c>
      <c r="I1528">
        <v>28.000000000000004</v>
      </c>
      <c r="J1528" t="s">
        <v>20</v>
      </c>
    </row>
    <row r="1529" spans="1:10" x14ac:dyDescent="0.2">
      <c r="A1529">
        <v>11528</v>
      </c>
      <c r="B1529" t="s">
        <v>8</v>
      </c>
      <c r="C1529" t="s">
        <v>9</v>
      </c>
      <c r="D1529">
        <v>7.33</v>
      </c>
      <c r="E1529">
        <v>6</v>
      </c>
      <c r="F1529" t="s">
        <v>15</v>
      </c>
      <c r="G1529">
        <v>30</v>
      </c>
      <c r="H1529">
        <v>9.5289999999999999</v>
      </c>
      <c r="I1529">
        <v>30.000000000000004</v>
      </c>
      <c r="J1529" t="s">
        <v>20</v>
      </c>
    </row>
    <row r="1530" spans="1:10" x14ac:dyDescent="0.2">
      <c r="A1530">
        <v>11529</v>
      </c>
      <c r="B1530" t="s">
        <v>10</v>
      </c>
      <c r="C1530" t="s">
        <v>6</v>
      </c>
      <c r="D1530">
        <v>10.75</v>
      </c>
      <c r="E1530">
        <v>10</v>
      </c>
      <c r="F1530" t="s">
        <v>16</v>
      </c>
      <c r="G1530">
        <v>55</v>
      </c>
      <c r="H1530">
        <v>16.662500000000001</v>
      </c>
      <c r="I1530">
        <v>55.000000000000007</v>
      </c>
      <c r="J1530" t="s">
        <v>20</v>
      </c>
    </row>
    <row r="1531" spans="1:10" x14ac:dyDescent="0.2">
      <c r="A1531">
        <v>11530</v>
      </c>
      <c r="B1531" t="s">
        <v>7</v>
      </c>
      <c r="C1531" t="s">
        <v>9</v>
      </c>
      <c r="D1531">
        <v>14.14</v>
      </c>
      <c r="E1531">
        <v>6</v>
      </c>
      <c r="F1531" t="s">
        <v>15</v>
      </c>
      <c r="G1531">
        <v>30</v>
      </c>
      <c r="H1531">
        <v>18.382000000000001</v>
      </c>
      <c r="I1531">
        <v>30.000000000000004</v>
      </c>
      <c r="J1531" t="s">
        <v>20</v>
      </c>
    </row>
    <row r="1532" spans="1:10" x14ac:dyDescent="0.2">
      <c r="A1532">
        <v>11531</v>
      </c>
      <c r="B1532" t="s">
        <v>10</v>
      </c>
      <c r="C1532" t="s">
        <v>9</v>
      </c>
      <c r="D1532">
        <v>5.28</v>
      </c>
      <c r="E1532">
        <v>5</v>
      </c>
      <c r="F1532" t="s">
        <v>15</v>
      </c>
      <c r="G1532">
        <v>30</v>
      </c>
      <c r="H1532">
        <v>6.8640000000000008</v>
      </c>
      <c r="I1532">
        <v>30.000000000000004</v>
      </c>
      <c r="J1532" t="s">
        <v>20</v>
      </c>
    </row>
    <row r="1533" spans="1:10" x14ac:dyDescent="0.2">
      <c r="A1533">
        <v>11532</v>
      </c>
      <c r="B1533" t="s">
        <v>10</v>
      </c>
      <c r="C1533" t="s">
        <v>11</v>
      </c>
      <c r="D1533">
        <v>1.1100000000000001</v>
      </c>
      <c r="E1533">
        <v>3</v>
      </c>
      <c r="F1533" t="s">
        <v>14</v>
      </c>
      <c r="G1533">
        <v>10</v>
      </c>
      <c r="H1533">
        <v>1.2210000000000003</v>
      </c>
      <c r="I1533">
        <v>10.000000000000009</v>
      </c>
      <c r="J1533" t="s">
        <v>20</v>
      </c>
    </row>
    <row r="1534" spans="1:10" x14ac:dyDescent="0.2">
      <c r="A1534">
        <v>11533</v>
      </c>
      <c r="B1534" t="s">
        <v>10</v>
      </c>
      <c r="C1534" t="s">
        <v>11</v>
      </c>
      <c r="D1534">
        <v>7.7</v>
      </c>
      <c r="E1534">
        <v>2</v>
      </c>
      <c r="F1534" t="s">
        <v>14</v>
      </c>
      <c r="G1534">
        <v>10</v>
      </c>
      <c r="H1534">
        <v>8.4700000000000006</v>
      </c>
      <c r="I1534">
        <v>10.000000000000009</v>
      </c>
      <c r="J1534" t="s">
        <v>20</v>
      </c>
    </row>
    <row r="1535" spans="1:10" x14ac:dyDescent="0.2">
      <c r="A1535">
        <v>11534</v>
      </c>
      <c r="B1535" t="s">
        <v>8</v>
      </c>
      <c r="C1535" t="s">
        <v>9</v>
      </c>
      <c r="D1535">
        <v>8.39</v>
      </c>
      <c r="E1535">
        <v>3</v>
      </c>
      <c r="F1535" t="s">
        <v>14</v>
      </c>
      <c r="G1535">
        <v>15</v>
      </c>
      <c r="H1535">
        <v>9.6485000000000003</v>
      </c>
      <c r="I1535">
        <v>14.999999999999991</v>
      </c>
      <c r="J1535" t="s">
        <v>20</v>
      </c>
    </row>
    <row r="1536" spans="1:10" x14ac:dyDescent="0.2">
      <c r="A1536">
        <v>11535</v>
      </c>
      <c r="B1536" t="s">
        <v>5</v>
      </c>
      <c r="C1536" t="s">
        <v>6</v>
      </c>
      <c r="D1536">
        <v>2.94</v>
      </c>
      <c r="E1536">
        <v>9</v>
      </c>
      <c r="F1536" t="s">
        <v>16</v>
      </c>
      <c r="G1536">
        <v>55</v>
      </c>
      <c r="H1536">
        <v>4.5570000000000004</v>
      </c>
      <c r="I1536">
        <v>55.000000000000028</v>
      </c>
      <c r="J1536" t="s">
        <v>20</v>
      </c>
    </row>
    <row r="1537" spans="1:10" x14ac:dyDescent="0.2">
      <c r="A1537">
        <v>11536</v>
      </c>
      <c r="B1537" t="s">
        <v>10</v>
      </c>
      <c r="C1537" t="s">
        <v>11</v>
      </c>
      <c r="D1537">
        <v>11.53</v>
      </c>
      <c r="E1537">
        <v>3</v>
      </c>
      <c r="F1537" t="s">
        <v>14</v>
      </c>
      <c r="G1537">
        <v>10</v>
      </c>
      <c r="H1537">
        <v>12.683</v>
      </c>
      <c r="I1537">
        <v>10.000000000000009</v>
      </c>
      <c r="J1537" t="s">
        <v>20</v>
      </c>
    </row>
    <row r="1538" spans="1:10" x14ac:dyDescent="0.2">
      <c r="A1538">
        <v>11537</v>
      </c>
      <c r="B1538" t="s">
        <v>8</v>
      </c>
      <c r="C1538" t="s">
        <v>6</v>
      </c>
      <c r="D1538">
        <v>14.78</v>
      </c>
      <c r="E1538">
        <v>3</v>
      </c>
      <c r="F1538" t="s">
        <v>14</v>
      </c>
      <c r="G1538">
        <v>12</v>
      </c>
      <c r="H1538">
        <v>16.553599999999999</v>
      </c>
      <c r="I1538">
        <v>12.000000000000011</v>
      </c>
      <c r="J1538" t="s">
        <v>20</v>
      </c>
    </row>
    <row r="1539" spans="1:10" x14ac:dyDescent="0.2">
      <c r="A1539">
        <v>11538</v>
      </c>
      <c r="B1539" t="s">
        <v>10</v>
      </c>
      <c r="C1539" t="s">
        <v>11</v>
      </c>
      <c r="D1539">
        <v>14.21</v>
      </c>
      <c r="E1539">
        <v>1</v>
      </c>
      <c r="F1539" t="s">
        <v>14</v>
      </c>
      <c r="G1539">
        <v>10</v>
      </c>
      <c r="H1539">
        <v>15.631000000000002</v>
      </c>
      <c r="I1539">
        <v>10.000000000000009</v>
      </c>
      <c r="J1539" t="s">
        <v>20</v>
      </c>
    </row>
    <row r="1540" spans="1:10" x14ac:dyDescent="0.2">
      <c r="A1540">
        <v>11539</v>
      </c>
      <c r="B1540" t="s">
        <v>10</v>
      </c>
      <c r="C1540" t="s">
        <v>11</v>
      </c>
      <c r="D1540">
        <v>3.36</v>
      </c>
      <c r="E1540">
        <v>2</v>
      </c>
      <c r="F1540" t="s">
        <v>14</v>
      </c>
      <c r="G1540">
        <v>10</v>
      </c>
      <c r="H1540">
        <v>3.6960000000000002</v>
      </c>
      <c r="I1540">
        <v>10.000000000000009</v>
      </c>
      <c r="J1540" t="s">
        <v>20</v>
      </c>
    </row>
    <row r="1541" spans="1:10" x14ac:dyDescent="0.2">
      <c r="A1541">
        <v>11540</v>
      </c>
      <c r="B1541" t="s">
        <v>8</v>
      </c>
      <c r="C1541" t="s">
        <v>6</v>
      </c>
      <c r="D1541">
        <v>13.19</v>
      </c>
      <c r="E1541">
        <v>3</v>
      </c>
      <c r="F1541" t="s">
        <v>14</v>
      </c>
      <c r="G1541">
        <v>12</v>
      </c>
      <c r="H1541">
        <v>14.7728</v>
      </c>
      <c r="I1541">
        <v>12.000000000000011</v>
      </c>
      <c r="J1541" t="s">
        <v>20</v>
      </c>
    </row>
    <row r="1542" spans="1:10" x14ac:dyDescent="0.2">
      <c r="A1542">
        <v>11541</v>
      </c>
      <c r="B1542" t="s">
        <v>5</v>
      </c>
      <c r="C1542" t="s">
        <v>11</v>
      </c>
      <c r="D1542">
        <v>10.72</v>
      </c>
      <c r="E1542">
        <v>2</v>
      </c>
      <c r="F1542" t="s">
        <v>14</v>
      </c>
      <c r="G1542">
        <v>10</v>
      </c>
      <c r="H1542">
        <v>11.792000000000002</v>
      </c>
      <c r="I1542">
        <v>10.000000000000009</v>
      </c>
      <c r="J1542" t="s">
        <v>20</v>
      </c>
    </row>
    <row r="1543" spans="1:10" x14ac:dyDescent="0.2">
      <c r="A1543">
        <v>11542</v>
      </c>
      <c r="B1543" t="s">
        <v>5</v>
      </c>
      <c r="C1543" t="s">
        <v>11</v>
      </c>
      <c r="D1543">
        <v>7.08</v>
      </c>
      <c r="E1543">
        <v>8</v>
      </c>
      <c r="F1543" t="s">
        <v>16</v>
      </c>
      <c r="G1543">
        <v>50</v>
      </c>
      <c r="H1543">
        <v>10.620000000000001</v>
      </c>
      <c r="I1543">
        <v>50.000000000000021</v>
      </c>
      <c r="J1543" t="s">
        <v>20</v>
      </c>
    </row>
    <row r="1544" spans="1:10" x14ac:dyDescent="0.2">
      <c r="A1544">
        <v>11543</v>
      </c>
      <c r="B1544" t="s">
        <v>7</v>
      </c>
      <c r="C1544" t="s">
        <v>6</v>
      </c>
      <c r="D1544">
        <v>8.34</v>
      </c>
      <c r="E1544">
        <v>6</v>
      </c>
      <c r="F1544" t="s">
        <v>15</v>
      </c>
      <c r="G1544">
        <v>28</v>
      </c>
      <c r="H1544">
        <v>10.6752</v>
      </c>
      <c r="I1544">
        <v>28.000000000000004</v>
      </c>
      <c r="J1544" t="s">
        <v>20</v>
      </c>
    </row>
    <row r="1545" spans="1:10" x14ac:dyDescent="0.2">
      <c r="A1545">
        <v>11544</v>
      </c>
      <c r="B1545" t="s">
        <v>8</v>
      </c>
      <c r="C1545" t="s">
        <v>11</v>
      </c>
      <c r="D1545">
        <v>12.82</v>
      </c>
      <c r="E1545">
        <v>7</v>
      </c>
      <c r="F1545" t="s">
        <v>15</v>
      </c>
      <c r="G1545">
        <v>25</v>
      </c>
      <c r="H1545">
        <v>16.024999999999999</v>
      </c>
      <c r="I1545">
        <v>24.999999999999979</v>
      </c>
      <c r="J1545" t="s">
        <v>20</v>
      </c>
    </row>
    <row r="1546" spans="1:10" x14ac:dyDescent="0.2">
      <c r="A1546">
        <v>11545</v>
      </c>
      <c r="B1546" t="s">
        <v>7</v>
      </c>
      <c r="C1546" t="s">
        <v>11</v>
      </c>
      <c r="D1546">
        <v>7.46</v>
      </c>
      <c r="E1546">
        <v>1</v>
      </c>
      <c r="F1546" t="s">
        <v>14</v>
      </c>
      <c r="G1546">
        <v>10</v>
      </c>
      <c r="H1546">
        <v>8.2060000000000013</v>
      </c>
      <c r="I1546">
        <v>10.000000000000009</v>
      </c>
      <c r="J1546" t="s">
        <v>20</v>
      </c>
    </row>
    <row r="1547" spans="1:10" x14ac:dyDescent="0.2">
      <c r="A1547">
        <v>11546</v>
      </c>
      <c r="B1547" t="s">
        <v>7</v>
      </c>
      <c r="C1547" t="s">
        <v>11</v>
      </c>
      <c r="D1547">
        <v>5.91</v>
      </c>
      <c r="E1547">
        <v>6</v>
      </c>
      <c r="F1547" t="s">
        <v>15</v>
      </c>
      <c r="G1547">
        <v>25</v>
      </c>
      <c r="H1547">
        <v>7.3875000000000002</v>
      </c>
      <c r="I1547">
        <v>25</v>
      </c>
      <c r="J1547" t="s">
        <v>20</v>
      </c>
    </row>
    <row r="1548" spans="1:10" x14ac:dyDescent="0.2">
      <c r="A1548">
        <v>11547</v>
      </c>
      <c r="B1548" t="s">
        <v>7</v>
      </c>
      <c r="C1548" t="s">
        <v>6</v>
      </c>
      <c r="D1548">
        <v>7.65</v>
      </c>
      <c r="E1548">
        <v>2</v>
      </c>
      <c r="F1548" t="s">
        <v>14</v>
      </c>
      <c r="G1548">
        <v>12</v>
      </c>
      <c r="H1548">
        <v>8.5680000000000014</v>
      </c>
      <c r="I1548">
        <v>12.000000000000011</v>
      </c>
      <c r="J1548" t="s">
        <v>20</v>
      </c>
    </row>
    <row r="1549" spans="1:10" x14ac:dyDescent="0.2">
      <c r="A1549">
        <v>11548</v>
      </c>
      <c r="B1549" t="s">
        <v>5</v>
      </c>
      <c r="C1549" t="s">
        <v>9</v>
      </c>
      <c r="D1549">
        <v>8.9</v>
      </c>
      <c r="E1549">
        <v>6</v>
      </c>
      <c r="F1549" t="s">
        <v>15</v>
      </c>
      <c r="G1549">
        <v>30</v>
      </c>
      <c r="H1549">
        <v>11.57</v>
      </c>
      <c r="I1549">
        <v>30.000000000000004</v>
      </c>
      <c r="J1549" t="s">
        <v>20</v>
      </c>
    </row>
    <row r="1550" spans="1:10" x14ac:dyDescent="0.2">
      <c r="A1550">
        <v>11549</v>
      </c>
      <c r="B1550" t="s">
        <v>8</v>
      </c>
      <c r="C1550" t="s">
        <v>6</v>
      </c>
      <c r="D1550">
        <v>3.24</v>
      </c>
      <c r="E1550">
        <v>3</v>
      </c>
      <c r="F1550" t="s">
        <v>14</v>
      </c>
      <c r="G1550">
        <v>12</v>
      </c>
      <c r="H1550">
        <v>3.6288000000000005</v>
      </c>
      <c r="I1550">
        <v>12.000000000000011</v>
      </c>
      <c r="J1550" t="s">
        <v>20</v>
      </c>
    </row>
    <row r="1551" spans="1:10" x14ac:dyDescent="0.2">
      <c r="A1551">
        <v>11550</v>
      </c>
      <c r="B1551" t="s">
        <v>7</v>
      </c>
      <c r="C1551" t="s">
        <v>9</v>
      </c>
      <c r="D1551">
        <v>13.56</v>
      </c>
      <c r="E1551">
        <v>7</v>
      </c>
      <c r="F1551" t="s">
        <v>15</v>
      </c>
      <c r="G1551">
        <v>30</v>
      </c>
      <c r="H1551">
        <v>17.628</v>
      </c>
      <c r="I1551">
        <v>30.000000000000004</v>
      </c>
      <c r="J1551" t="s">
        <v>20</v>
      </c>
    </row>
    <row r="1552" spans="1:10" x14ac:dyDescent="0.2">
      <c r="A1552">
        <v>11551</v>
      </c>
      <c r="B1552" t="s">
        <v>8</v>
      </c>
      <c r="C1552" t="s">
        <v>11</v>
      </c>
      <c r="D1552">
        <v>10.28</v>
      </c>
      <c r="E1552">
        <v>3</v>
      </c>
      <c r="F1552" t="s">
        <v>14</v>
      </c>
      <c r="G1552">
        <v>10</v>
      </c>
      <c r="H1552">
        <v>11.308</v>
      </c>
      <c r="I1552">
        <v>10.000000000000009</v>
      </c>
      <c r="J1552" t="s">
        <v>20</v>
      </c>
    </row>
    <row r="1553" spans="1:10" x14ac:dyDescent="0.2">
      <c r="A1553">
        <v>11552</v>
      </c>
      <c r="B1553" t="s">
        <v>8</v>
      </c>
      <c r="C1553" t="s">
        <v>9</v>
      </c>
      <c r="D1553">
        <v>9.68</v>
      </c>
      <c r="E1553">
        <v>9</v>
      </c>
      <c r="F1553" t="s">
        <v>16</v>
      </c>
      <c r="G1553">
        <v>60</v>
      </c>
      <c r="H1553">
        <v>15.488</v>
      </c>
      <c r="I1553">
        <v>60.000000000000007</v>
      </c>
      <c r="J1553" t="s">
        <v>20</v>
      </c>
    </row>
    <row r="1554" spans="1:10" x14ac:dyDescent="0.2">
      <c r="A1554">
        <v>11553</v>
      </c>
      <c r="B1554" t="s">
        <v>5</v>
      </c>
      <c r="C1554" t="s">
        <v>6</v>
      </c>
      <c r="D1554">
        <v>1.94</v>
      </c>
      <c r="E1554">
        <v>3</v>
      </c>
      <c r="F1554" t="s">
        <v>14</v>
      </c>
      <c r="G1554">
        <v>12</v>
      </c>
      <c r="H1554">
        <v>2.1728000000000001</v>
      </c>
      <c r="I1554">
        <v>12.000000000000011</v>
      </c>
      <c r="J1554" t="s">
        <v>20</v>
      </c>
    </row>
    <row r="1555" spans="1:10" x14ac:dyDescent="0.2">
      <c r="A1555">
        <v>11554</v>
      </c>
      <c r="B1555" t="s">
        <v>7</v>
      </c>
      <c r="C1555" t="s">
        <v>6</v>
      </c>
      <c r="D1555">
        <v>9.26</v>
      </c>
      <c r="E1555">
        <v>7</v>
      </c>
      <c r="F1555" t="s">
        <v>15</v>
      </c>
      <c r="G1555">
        <v>28</v>
      </c>
      <c r="H1555">
        <v>11.8528</v>
      </c>
      <c r="I1555">
        <v>28.000000000000004</v>
      </c>
      <c r="J1555" t="s">
        <v>20</v>
      </c>
    </row>
    <row r="1556" spans="1:10" x14ac:dyDescent="0.2">
      <c r="A1556">
        <v>11555</v>
      </c>
      <c r="B1556" t="s">
        <v>7</v>
      </c>
      <c r="C1556" t="s">
        <v>11</v>
      </c>
      <c r="D1556">
        <v>2.25</v>
      </c>
      <c r="E1556">
        <v>4</v>
      </c>
      <c r="F1556" t="s">
        <v>15</v>
      </c>
      <c r="G1556">
        <v>25</v>
      </c>
      <c r="H1556">
        <v>2.8125</v>
      </c>
      <c r="I1556">
        <v>25</v>
      </c>
      <c r="J1556" t="s">
        <v>20</v>
      </c>
    </row>
    <row r="1557" spans="1:10" x14ac:dyDescent="0.2">
      <c r="A1557">
        <v>11556</v>
      </c>
      <c r="B1557" t="s">
        <v>8</v>
      </c>
      <c r="C1557" t="s">
        <v>9</v>
      </c>
      <c r="D1557">
        <v>1.64</v>
      </c>
      <c r="E1557">
        <v>8</v>
      </c>
      <c r="F1557" t="s">
        <v>16</v>
      </c>
      <c r="G1557">
        <v>60</v>
      </c>
      <c r="H1557">
        <v>2.6240000000000001</v>
      </c>
      <c r="I1557">
        <v>60.000000000000007</v>
      </c>
      <c r="J1557" t="s">
        <v>20</v>
      </c>
    </row>
    <row r="1558" spans="1:10" x14ac:dyDescent="0.2">
      <c r="A1558">
        <v>11557</v>
      </c>
      <c r="B1558" t="s">
        <v>10</v>
      </c>
      <c r="C1558" t="s">
        <v>11</v>
      </c>
      <c r="D1558">
        <v>8.15</v>
      </c>
      <c r="E1558">
        <v>2</v>
      </c>
      <c r="F1558" t="s">
        <v>14</v>
      </c>
      <c r="G1558">
        <v>10</v>
      </c>
      <c r="H1558">
        <v>8.9650000000000016</v>
      </c>
      <c r="I1558">
        <v>10.000000000000009</v>
      </c>
      <c r="J1558" t="s">
        <v>20</v>
      </c>
    </row>
    <row r="1559" spans="1:10" x14ac:dyDescent="0.2">
      <c r="A1559">
        <v>11558</v>
      </c>
      <c r="B1559" t="s">
        <v>5</v>
      </c>
      <c r="C1559" t="s">
        <v>11</v>
      </c>
      <c r="D1559">
        <v>6.34</v>
      </c>
      <c r="E1559">
        <v>8</v>
      </c>
      <c r="F1559" t="s">
        <v>16</v>
      </c>
      <c r="G1559">
        <v>50</v>
      </c>
      <c r="H1559">
        <v>9.51</v>
      </c>
      <c r="I1559">
        <v>50</v>
      </c>
      <c r="J1559" t="s">
        <v>20</v>
      </c>
    </row>
    <row r="1560" spans="1:10" x14ac:dyDescent="0.2">
      <c r="A1560">
        <v>11559</v>
      </c>
      <c r="B1560" t="s">
        <v>5</v>
      </c>
      <c r="C1560" t="s">
        <v>6</v>
      </c>
      <c r="D1560">
        <v>9.0399999999999991</v>
      </c>
      <c r="E1560">
        <v>9</v>
      </c>
      <c r="F1560" t="s">
        <v>16</v>
      </c>
      <c r="G1560">
        <v>55</v>
      </c>
      <c r="H1560">
        <v>14.011999999999999</v>
      </c>
      <c r="I1560">
        <v>55.000000000000007</v>
      </c>
      <c r="J1560" t="s">
        <v>20</v>
      </c>
    </row>
    <row r="1561" spans="1:10" x14ac:dyDescent="0.2">
      <c r="A1561">
        <v>11560</v>
      </c>
      <c r="B1561" t="s">
        <v>5</v>
      </c>
      <c r="C1561" t="s">
        <v>9</v>
      </c>
      <c r="D1561">
        <v>1.79</v>
      </c>
      <c r="E1561">
        <v>8</v>
      </c>
      <c r="F1561" t="s">
        <v>16</v>
      </c>
      <c r="G1561">
        <v>60</v>
      </c>
      <c r="H1561">
        <v>2.8640000000000003</v>
      </c>
      <c r="I1561">
        <v>60.000000000000007</v>
      </c>
      <c r="J1561" t="s">
        <v>20</v>
      </c>
    </row>
    <row r="1562" spans="1:10" x14ac:dyDescent="0.2">
      <c r="A1562">
        <v>11561</v>
      </c>
      <c r="B1562" t="s">
        <v>5</v>
      </c>
      <c r="C1562" t="s">
        <v>9</v>
      </c>
      <c r="D1562">
        <v>6.75</v>
      </c>
      <c r="E1562">
        <v>6</v>
      </c>
      <c r="F1562" t="s">
        <v>15</v>
      </c>
      <c r="G1562">
        <v>30</v>
      </c>
      <c r="H1562">
        <v>8.7750000000000004</v>
      </c>
      <c r="I1562">
        <v>30.000000000000004</v>
      </c>
      <c r="J1562" t="s">
        <v>20</v>
      </c>
    </row>
    <row r="1563" spans="1:10" x14ac:dyDescent="0.2">
      <c r="A1563">
        <v>11562</v>
      </c>
      <c r="B1563" t="s">
        <v>7</v>
      </c>
      <c r="C1563" t="s">
        <v>9</v>
      </c>
      <c r="D1563">
        <v>3.03</v>
      </c>
      <c r="E1563">
        <v>10</v>
      </c>
      <c r="F1563" t="s">
        <v>16</v>
      </c>
      <c r="G1563">
        <v>60</v>
      </c>
      <c r="H1563">
        <v>4.8479999999999999</v>
      </c>
      <c r="I1563">
        <v>60.000000000000007</v>
      </c>
      <c r="J1563" t="s">
        <v>20</v>
      </c>
    </row>
    <row r="1564" spans="1:10" x14ac:dyDescent="0.2">
      <c r="A1564">
        <v>11563</v>
      </c>
      <c r="B1564" t="s">
        <v>7</v>
      </c>
      <c r="C1564" t="s">
        <v>9</v>
      </c>
      <c r="D1564">
        <v>14.81</v>
      </c>
      <c r="E1564">
        <v>1</v>
      </c>
      <c r="F1564" t="s">
        <v>14</v>
      </c>
      <c r="G1564">
        <v>15</v>
      </c>
      <c r="H1564">
        <v>17.031499999999998</v>
      </c>
      <c r="I1564">
        <v>14.999999999999991</v>
      </c>
      <c r="J1564" t="s">
        <v>20</v>
      </c>
    </row>
    <row r="1565" spans="1:10" x14ac:dyDescent="0.2">
      <c r="A1565">
        <v>11564</v>
      </c>
      <c r="B1565" t="s">
        <v>10</v>
      </c>
      <c r="C1565" t="s">
        <v>11</v>
      </c>
      <c r="D1565">
        <v>8.64</v>
      </c>
      <c r="E1565">
        <v>7</v>
      </c>
      <c r="F1565" t="s">
        <v>15</v>
      </c>
      <c r="G1565">
        <v>25</v>
      </c>
      <c r="H1565">
        <v>10.8</v>
      </c>
      <c r="I1565">
        <v>25</v>
      </c>
      <c r="J1565" t="s">
        <v>20</v>
      </c>
    </row>
    <row r="1566" spans="1:10" x14ac:dyDescent="0.2">
      <c r="A1566">
        <v>11565</v>
      </c>
      <c r="B1566" t="s">
        <v>5</v>
      </c>
      <c r="C1566" t="s">
        <v>11</v>
      </c>
      <c r="D1566">
        <v>10.47</v>
      </c>
      <c r="E1566">
        <v>1</v>
      </c>
      <c r="F1566" t="s">
        <v>14</v>
      </c>
      <c r="G1566">
        <v>10</v>
      </c>
      <c r="H1566">
        <v>11.517000000000001</v>
      </c>
      <c r="I1566">
        <v>10.000000000000009</v>
      </c>
      <c r="J1566" t="s">
        <v>20</v>
      </c>
    </row>
    <row r="1567" spans="1:10" x14ac:dyDescent="0.2">
      <c r="A1567">
        <v>11566</v>
      </c>
      <c r="B1567" t="s">
        <v>5</v>
      </c>
      <c r="C1567" t="s">
        <v>6</v>
      </c>
      <c r="D1567">
        <v>5.22</v>
      </c>
      <c r="E1567">
        <v>7</v>
      </c>
      <c r="F1567" t="s">
        <v>15</v>
      </c>
      <c r="G1567">
        <v>28</v>
      </c>
      <c r="H1567">
        <v>6.6815999999999995</v>
      </c>
      <c r="I1567">
        <v>28.000000000000004</v>
      </c>
      <c r="J1567" t="s">
        <v>20</v>
      </c>
    </row>
    <row r="1568" spans="1:10" x14ac:dyDescent="0.2">
      <c r="A1568">
        <v>11567</v>
      </c>
      <c r="B1568" t="s">
        <v>8</v>
      </c>
      <c r="C1568" t="s">
        <v>11</v>
      </c>
      <c r="D1568">
        <v>1.87</v>
      </c>
      <c r="E1568">
        <v>2</v>
      </c>
      <c r="F1568" t="s">
        <v>14</v>
      </c>
      <c r="G1568">
        <v>10</v>
      </c>
      <c r="H1568">
        <v>2.0570000000000004</v>
      </c>
      <c r="I1568">
        <v>10.000000000000009</v>
      </c>
      <c r="J1568" t="s">
        <v>20</v>
      </c>
    </row>
    <row r="1569" spans="1:10" x14ac:dyDescent="0.2">
      <c r="A1569">
        <v>11568</v>
      </c>
      <c r="B1569" t="s">
        <v>7</v>
      </c>
      <c r="C1569" t="s">
        <v>11</v>
      </c>
      <c r="D1569">
        <v>14.65</v>
      </c>
      <c r="E1569">
        <v>8</v>
      </c>
      <c r="F1569" t="s">
        <v>16</v>
      </c>
      <c r="G1569">
        <v>50</v>
      </c>
      <c r="H1569">
        <v>21.975000000000001</v>
      </c>
      <c r="I1569">
        <v>50</v>
      </c>
      <c r="J1569" t="s">
        <v>20</v>
      </c>
    </row>
    <row r="1570" spans="1:10" x14ac:dyDescent="0.2">
      <c r="A1570">
        <v>11569</v>
      </c>
      <c r="B1570" t="s">
        <v>5</v>
      </c>
      <c r="C1570" t="s">
        <v>6</v>
      </c>
      <c r="D1570">
        <v>4.6500000000000004</v>
      </c>
      <c r="E1570">
        <v>2</v>
      </c>
      <c r="F1570" t="s">
        <v>14</v>
      </c>
      <c r="G1570">
        <v>12</v>
      </c>
      <c r="H1570">
        <v>5.2080000000000011</v>
      </c>
      <c r="I1570">
        <v>12.000000000000011</v>
      </c>
      <c r="J1570" t="s">
        <v>20</v>
      </c>
    </row>
    <row r="1571" spans="1:10" x14ac:dyDescent="0.2">
      <c r="A1571">
        <v>11570</v>
      </c>
      <c r="B1571" t="s">
        <v>10</v>
      </c>
      <c r="C1571" t="s">
        <v>6</v>
      </c>
      <c r="D1571">
        <v>6.65</v>
      </c>
      <c r="E1571">
        <v>3</v>
      </c>
      <c r="F1571" t="s">
        <v>14</v>
      </c>
      <c r="G1571">
        <v>12</v>
      </c>
      <c r="H1571">
        <v>7.4480000000000013</v>
      </c>
      <c r="I1571">
        <v>12.000000000000011</v>
      </c>
      <c r="J1571" t="s">
        <v>20</v>
      </c>
    </row>
    <row r="1572" spans="1:10" x14ac:dyDescent="0.2">
      <c r="A1572">
        <v>11571</v>
      </c>
      <c r="B1572" t="s">
        <v>10</v>
      </c>
      <c r="C1572" t="s">
        <v>6</v>
      </c>
      <c r="D1572">
        <v>9.92</v>
      </c>
      <c r="E1572">
        <v>3</v>
      </c>
      <c r="F1572" t="s">
        <v>14</v>
      </c>
      <c r="G1572">
        <v>12</v>
      </c>
      <c r="H1572">
        <v>11.1104</v>
      </c>
      <c r="I1572">
        <v>12.000000000000011</v>
      </c>
      <c r="J1572" t="s">
        <v>20</v>
      </c>
    </row>
    <row r="1573" spans="1:10" x14ac:dyDescent="0.2">
      <c r="A1573">
        <v>11572</v>
      </c>
      <c r="B1573" t="s">
        <v>7</v>
      </c>
      <c r="C1573" t="s">
        <v>11</v>
      </c>
      <c r="D1573">
        <v>0.86</v>
      </c>
      <c r="E1573">
        <v>1</v>
      </c>
      <c r="F1573" t="s">
        <v>14</v>
      </c>
      <c r="G1573">
        <v>10</v>
      </c>
      <c r="H1573">
        <v>0.94600000000000006</v>
      </c>
      <c r="I1573">
        <v>10.000000000000009</v>
      </c>
      <c r="J1573" t="s">
        <v>20</v>
      </c>
    </row>
    <row r="1574" spans="1:10" x14ac:dyDescent="0.2">
      <c r="A1574">
        <v>11573</v>
      </c>
      <c r="B1574" t="s">
        <v>10</v>
      </c>
      <c r="C1574" t="s">
        <v>11</v>
      </c>
      <c r="D1574">
        <v>12.25</v>
      </c>
      <c r="E1574">
        <v>5</v>
      </c>
      <c r="F1574" t="s">
        <v>15</v>
      </c>
      <c r="G1574">
        <v>25</v>
      </c>
      <c r="H1574">
        <v>15.3125</v>
      </c>
      <c r="I1574">
        <v>25</v>
      </c>
      <c r="J1574" t="s">
        <v>20</v>
      </c>
    </row>
    <row r="1575" spans="1:10" x14ac:dyDescent="0.2">
      <c r="A1575">
        <v>11574</v>
      </c>
      <c r="B1575" t="s">
        <v>10</v>
      </c>
      <c r="C1575" t="s">
        <v>6</v>
      </c>
      <c r="D1575">
        <v>8.2799999999999994</v>
      </c>
      <c r="E1575">
        <v>5</v>
      </c>
      <c r="F1575" t="s">
        <v>15</v>
      </c>
      <c r="G1575">
        <v>28</v>
      </c>
      <c r="H1575">
        <v>10.5984</v>
      </c>
      <c r="I1575">
        <v>28.000000000000004</v>
      </c>
      <c r="J1575" t="s">
        <v>20</v>
      </c>
    </row>
    <row r="1576" spans="1:10" x14ac:dyDescent="0.2">
      <c r="A1576">
        <v>11575</v>
      </c>
      <c r="B1576" t="s">
        <v>7</v>
      </c>
      <c r="C1576" t="s">
        <v>6</v>
      </c>
      <c r="D1576">
        <v>4.53</v>
      </c>
      <c r="E1576">
        <v>10</v>
      </c>
      <c r="F1576" t="s">
        <v>16</v>
      </c>
      <c r="G1576">
        <v>55</v>
      </c>
      <c r="H1576">
        <v>7.0215000000000005</v>
      </c>
      <c r="I1576">
        <v>55.000000000000007</v>
      </c>
      <c r="J1576" t="s">
        <v>20</v>
      </c>
    </row>
    <row r="1577" spans="1:10" x14ac:dyDescent="0.2">
      <c r="A1577">
        <v>11576</v>
      </c>
      <c r="B1577" t="s">
        <v>5</v>
      </c>
      <c r="C1577" t="s">
        <v>6</v>
      </c>
      <c r="D1577">
        <v>1.39</v>
      </c>
      <c r="E1577">
        <v>5</v>
      </c>
      <c r="F1577" t="s">
        <v>15</v>
      </c>
      <c r="G1577">
        <v>28</v>
      </c>
      <c r="H1577">
        <v>1.7791999999999999</v>
      </c>
      <c r="I1577">
        <v>28.000000000000004</v>
      </c>
      <c r="J1577" t="s">
        <v>20</v>
      </c>
    </row>
    <row r="1578" spans="1:10" x14ac:dyDescent="0.2">
      <c r="A1578">
        <v>11577</v>
      </c>
      <c r="B1578" t="s">
        <v>5</v>
      </c>
      <c r="C1578" t="s">
        <v>11</v>
      </c>
      <c r="D1578">
        <v>2.86</v>
      </c>
      <c r="E1578">
        <v>9</v>
      </c>
      <c r="F1578" t="s">
        <v>16</v>
      </c>
      <c r="G1578">
        <v>50</v>
      </c>
      <c r="H1578">
        <v>4.29</v>
      </c>
      <c r="I1578">
        <v>50</v>
      </c>
      <c r="J1578" t="s">
        <v>20</v>
      </c>
    </row>
    <row r="1579" spans="1:10" x14ac:dyDescent="0.2">
      <c r="A1579">
        <v>11578</v>
      </c>
      <c r="B1579" t="s">
        <v>10</v>
      </c>
      <c r="C1579" t="s">
        <v>11</v>
      </c>
      <c r="D1579">
        <v>13.48</v>
      </c>
      <c r="E1579">
        <v>6</v>
      </c>
      <c r="F1579" t="s">
        <v>15</v>
      </c>
      <c r="G1579">
        <v>25</v>
      </c>
      <c r="H1579">
        <v>16.850000000000001</v>
      </c>
      <c r="I1579">
        <v>25</v>
      </c>
      <c r="J1579" t="s">
        <v>20</v>
      </c>
    </row>
    <row r="1580" spans="1:10" x14ac:dyDescent="0.2">
      <c r="A1580">
        <v>11579</v>
      </c>
      <c r="B1580" t="s">
        <v>10</v>
      </c>
      <c r="C1580" t="s">
        <v>9</v>
      </c>
      <c r="D1580">
        <v>10.45</v>
      </c>
      <c r="E1580">
        <v>6</v>
      </c>
      <c r="F1580" t="s">
        <v>15</v>
      </c>
      <c r="G1580">
        <v>30</v>
      </c>
      <c r="H1580">
        <v>13.584999999999999</v>
      </c>
      <c r="I1580">
        <v>30.000000000000004</v>
      </c>
      <c r="J1580" t="s">
        <v>20</v>
      </c>
    </row>
    <row r="1581" spans="1:10" x14ac:dyDescent="0.2">
      <c r="A1581">
        <v>11580</v>
      </c>
      <c r="B1581" t="s">
        <v>5</v>
      </c>
      <c r="C1581" t="s">
        <v>11</v>
      </c>
      <c r="D1581">
        <v>4.12</v>
      </c>
      <c r="E1581">
        <v>3</v>
      </c>
      <c r="F1581" t="s">
        <v>14</v>
      </c>
      <c r="G1581">
        <v>10</v>
      </c>
      <c r="H1581">
        <v>4.5320000000000009</v>
      </c>
      <c r="I1581">
        <v>10.000000000000009</v>
      </c>
      <c r="J1581" t="s">
        <v>20</v>
      </c>
    </row>
    <row r="1582" spans="1:10" x14ac:dyDescent="0.2">
      <c r="A1582">
        <v>11581</v>
      </c>
      <c r="B1582" t="s">
        <v>7</v>
      </c>
      <c r="C1582" t="s">
        <v>11</v>
      </c>
      <c r="D1582">
        <v>1.45</v>
      </c>
      <c r="E1582">
        <v>5</v>
      </c>
      <c r="F1582" t="s">
        <v>15</v>
      </c>
      <c r="G1582">
        <v>25</v>
      </c>
      <c r="H1582">
        <v>1.8125</v>
      </c>
      <c r="I1582">
        <v>25</v>
      </c>
      <c r="J1582" t="s">
        <v>20</v>
      </c>
    </row>
    <row r="1583" spans="1:10" x14ac:dyDescent="0.2">
      <c r="A1583">
        <v>11582</v>
      </c>
      <c r="B1583" t="s">
        <v>10</v>
      </c>
      <c r="C1583" t="s">
        <v>11</v>
      </c>
      <c r="D1583">
        <v>10.51</v>
      </c>
      <c r="E1583">
        <v>10</v>
      </c>
      <c r="F1583" t="s">
        <v>16</v>
      </c>
      <c r="G1583">
        <v>50</v>
      </c>
      <c r="H1583">
        <v>15.765000000000001</v>
      </c>
      <c r="I1583">
        <v>50</v>
      </c>
      <c r="J1583" t="s">
        <v>20</v>
      </c>
    </row>
    <row r="1584" spans="1:10" x14ac:dyDescent="0.2">
      <c r="A1584">
        <v>11583</v>
      </c>
      <c r="B1584" t="s">
        <v>8</v>
      </c>
      <c r="C1584" t="s">
        <v>6</v>
      </c>
      <c r="D1584">
        <v>8.8000000000000007</v>
      </c>
      <c r="E1584">
        <v>7</v>
      </c>
      <c r="F1584" t="s">
        <v>15</v>
      </c>
      <c r="G1584">
        <v>28</v>
      </c>
      <c r="H1584">
        <v>11.264000000000001</v>
      </c>
      <c r="I1584">
        <v>28.000000000000004</v>
      </c>
      <c r="J1584" t="s">
        <v>20</v>
      </c>
    </row>
    <row r="1585" spans="1:10" x14ac:dyDescent="0.2">
      <c r="A1585">
        <v>11584</v>
      </c>
      <c r="B1585" t="s">
        <v>7</v>
      </c>
      <c r="C1585" t="s">
        <v>11</v>
      </c>
      <c r="D1585">
        <v>6.37</v>
      </c>
      <c r="E1585">
        <v>3</v>
      </c>
      <c r="F1585" t="s">
        <v>14</v>
      </c>
      <c r="G1585">
        <v>10</v>
      </c>
      <c r="H1585">
        <v>7.0070000000000006</v>
      </c>
      <c r="I1585">
        <v>10.000000000000009</v>
      </c>
      <c r="J1585" t="s">
        <v>20</v>
      </c>
    </row>
    <row r="1586" spans="1:10" x14ac:dyDescent="0.2">
      <c r="A1586">
        <v>11585</v>
      </c>
      <c r="B1586" t="s">
        <v>10</v>
      </c>
      <c r="C1586" t="s">
        <v>6</v>
      </c>
      <c r="D1586">
        <v>5.77</v>
      </c>
      <c r="E1586">
        <v>2</v>
      </c>
      <c r="F1586" t="s">
        <v>14</v>
      </c>
      <c r="G1586">
        <v>12</v>
      </c>
      <c r="H1586">
        <v>6.4623999999999997</v>
      </c>
      <c r="I1586">
        <v>12.000000000000011</v>
      </c>
      <c r="J1586" t="s">
        <v>20</v>
      </c>
    </row>
    <row r="1587" spans="1:10" x14ac:dyDescent="0.2">
      <c r="A1587">
        <v>11586</v>
      </c>
      <c r="B1587" t="s">
        <v>10</v>
      </c>
      <c r="C1587" t="s">
        <v>9</v>
      </c>
      <c r="D1587">
        <v>3.64</v>
      </c>
      <c r="E1587">
        <v>5</v>
      </c>
      <c r="F1587" t="s">
        <v>15</v>
      </c>
      <c r="G1587">
        <v>30</v>
      </c>
      <c r="H1587">
        <v>4.7320000000000002</v>
      </c>
      <c r="I1587">
        <v>30.000000000000004</v>
      </c>
      <c r="J1587" t="s">
        <v>20</v>
      </c>
    </row>
    <row r="1588" spans="1:10" x14ac:dyDescent="0.2">
      <c r="A1588">
        <v>11587</v>
      </c>
      <c r="B1588" t="s">
        <v>8</v>
      </c>
      <c r="C1588" t="s">
        <v>9</v>
      </c>
      <c r="D1588">
        <v>10.210000000000001</v>
      </c>
      <c r="E1588">
        <v>3</v>
      </c>
      <c r="F1588" t="s">
        <v>14</v>
      </c>
      <c r="G1588">
        <v>15</v>
      </c>
      <c r="H1588">
        <v>11.7415</v>
      </c>
      <c r="I1588">
        <v>14.999999999999991</v>
      </c>
      <c r="J1588" t="s">
        <v>20</v>
      </c>
    </row>
    <row r="1589" spans="1:10" x14ac:dyDescent="0.2">
      <c r="A1589">
        <v>11588</v>
      </c>
      <c r="B1589" t="s">
        <v>8</v>
      </c>
      <c r="C1589" t="s">
        <v>6</v>
      </c>
      <c r="D1589">
        <v>14.57</v>
      </c>
      <c r="E1589">
        <v>5</v>
      </c>
      <c r="F1589" t="s">
        <v>15</v>
      </c>
      <c r="G1589">
        <v>28</v>
      </c>
      <c r="H1589">
        <v>18.6496</v>
      </c>
      <c r="I1589">
        <v>28.000000000000004</v>
      </c>
      <c r="J1589" t="s">
        <v>20</v>
      </c>
    </row>
    <row r="1590" spans="1:10" x14ac:dyDescent="0.2">
      <c r="A1590">
        <v>11589</v>
      </c>
      <c r="B1590" t="s">
        <v>5</v>
      </c>
      <c r="C1590" t="s">
        <v>6</v>
      </c>
      <c r="D1590">
        <v>3.05</v>
      </c>
      <c r="E1590">
        <v>9</v>
      </c>
      <c r="F1590" t="s">
        <v>16</v>
      </c>
      <c r="G1590">
        <v>55</v>
      </c>
      <c r="H1590">
        <v>4.7275</v>
      </c>
      <c r="I1590">
        <v>55.000000000000007</v>
      </c>
      <c r="J1590" t="s">
        <v>20</v>
      </c>
    </row>
    <row r="1591" spans="1:10" x14ac:dyDescent="0.2">
      <c r="A1591">
        <v>11590</v>
      </c>
      <c r="B1591" t="s">
        <v>7</v>
      </c>
      <c r="C1591" t="s">
        <v>6</v>
      </c>
      <c r="D1591">
        <v>9.16</v>
      </c>
      <c r="E1591">
        <v>10</v>
      </c>
      <c r="F1591" t="s">
        <v>16</v>
      </c>
      <c r="G1591">
        <v>55</v>
      </c>
      <c r="H1591">
        <v>14.198</v>
      </c>
      <c r="I1591">
        <v>55.000000000000007</v>
      </c>
      <c r="J1591" t="s">
        <v>20</v>
      </c>
    </row>
    <row r="1592" spans="1:10" x14ac:dyDescent="0.2">
      <c r="A1592">
        <v>11591</v>
      </c>
      <c r="B1592" t="s">
        <v>7</v>
      </c>
      <c r="C1592" t="s">
        <v>11</v>
      </c>
      <c r="D1592">
        <v>6.65</v>
      </c>
      <c r="E1592">
        <v>1</v>
      </c>
      <c r="F1592" t="s">
        <v>14</v>
      </c>
      <c r="G1592">
        <v>10</v>
      </c>
      <c r="H1592">
        <v>7.3150000000000013</v>
      </c>
      <c r="I1592">
        <v>10.000000000000009</v>
      </c>
      <c r="J1592" t="s">
        <v>20</v>
      </c>
    </row>
    <row r="1593" spans="1:10" x14ac:dyDescent="0.2">
      <c r="A1593">
        <v>11592</v>
      </c>
      <c r="B1593" t="s">
        <v>5</v>
      </c>
      <c r="C1593" t="s">
        <v>9</v>
      </c>
      <c r="D1593">
        <v>6.98</v>
      </c>
      <c r="E1593">
        <v>4</v>
      </c>
      <c r="F1593" t="s">
        <v>15</v>
      </c>
      <c r="G1593">
        <v>30</v>
      </c>
      <c r="H1593">
        <v>9.0740000000000016</v>
      </c>
      <c r="I1593">
        <v>30.000000000000004</v>
      </c>
      <c r="J1593" t="s">
        <v>20</v>
      </c>
    </row>
    <row r="1594" spans="1:10" x14ac:dyDescent="0.2">
      <c r="A1594">
        <v>11593</v>
      </c>
      <c r="B1594" t="s">
        <v>7</v>
      </c>
      <c r="C1594" t="s">
        <v>6</v>
      </c>
      <c r="D1594">
        <v>4.1900000000000004</v>
      </c>
      <c r="E1594">
        <v>10</v>
      </c>
      <c r="F1594" t="s">
        <v>16</v>
      </c>
      <c r="G1594">
        <v>55</v>
      </c>
      <c r="H1594">
        <v>6.4945000000000004</v>
      </c>
      <c r="I1594">
        <v>55.000000000000007</v>
      </c>
      <c r="J1594" t="s">
        <v>20</v>
      </c>
    </row>
    <row r="1595" spans="1:10" x14ac:dyDescent="0.2">
      <c r="A1595">
        <v>11594</v>
      </c>
      <c r="B1595" t="s">
        <v>7</v>
      </c>
      <c r="C1595" t="s">
        <v>11</v>
      </c>
      <c r="D1595">
        <v>12.46</v>
      </c>
      <c r="E1595">
        <v>5</v>
      </c>
      <c r="F1595" t="s">
        <v>15</v>
      </c>
      <c r="G1595">
        <v>25</v>
      </c>
      <c r="H1595">
        <v>15.575000000000001</v>
      </c>
      <c r="I1595">
        <v>25</v>
      </c>
      <c r="J1595" t="s">
        <v>20</v>
      </c>
    </row>
    <row r="1596" spans="1:10" x14ac:dyDescent="0.2">
      <c r="A1596">
        <v>11595</v>
      </c>
      <c r="B1596" t="s">
        <v>7</v>
      </c>
      <c r="C1596" t="s">
        <v>9</v>
      </c>
      <c r="D1596">
        <v>7.54</v>
      </c>
      <c r="E1596">
        <v>2</v>
      </c>
      <c r="F1596" t="s">
        <v>14</v>
      </c>
      <c r="G1596">
        <v>15</v>
      </c>
      <c r="H1596">
        <v>8.6709999999999994</v>
      </c>
      <c r="I1596">
        <v>14.999999999999991</v>
      </c>
      <c r="J1596" t="s">
        <v>20</v>
      </c>
    </row>
    <row r="1597" spans="1:10" x14ac:dyDescent="0.2">
      <c r="A1597">
        <v>11596</v>
      </c>
      <c r="B1597" t="s">
        <v>7</v>
      </c>
      <c r="C1597" t="s">
        <v>11</v>
      </c>
      <c r="D1597">
        <v>8.3800000000000008</v>
      </c>
      <c r="E1597">
        <v>2</v>
      </c>
      <c r="F1597" t="s">
        <v>14</v>
      </c>
      <c r="G1597">
        <v>10</v>
      </c>
      <c r="H1597">
        <v>9.2180000000000017</v>
      </c>
      <c r="I1597">
        <v>10.000000000000009</v>
      </c>
      <c r="J1597" t="s">
        <v>20</v>
      </c>
    </row>
    <row r="1598" spans="1:10" x14ac:dyDescent="0.2">
      <c r="A1598">
        <v>11597</v>
      </c>
      <c r="B1598" t="s">
        <v>7</v>
      </c>
      <c r="C1598" t="s">
        <v>9</v>
      </c>
      <c r="D1598">
        <v>4.92</v>
      </c>
      <c r="E1598">
        <v>1</v>
      </c>
      <c r="F1598" t="s">
        <v>14</v>
      </c>
      <c r="G1598">
        <v>15</v>
      </c>
      <c r="H1598">
        <v>5.6579999999999995</v>
      </c>
      <c r="I1598">
        <v>14.999999999999991</v>
      </c>
      <c r="J1598" t="s">
        <v>20</v>
      </c>
    </row>
    <row r="1599" spans="1:10" x14ac:dyDescent="0.2">
      <c r="A1599">
        <v>11598</v>
      </c>
      <c r="B1599" t="s">
        <v>8</v>
      </c>
      <c r="C1599" t="s">
        <v>11</v>
      </c>
      <c r="D1599">
        <v>3.14</v>
      </c>
      <c r="E1599">
        <v>8</v>
      </c>
      <c r="F1599" t="s">
        <v>16</v>
      </c>
      <c r="G1599">
        <v>50</v>
      </c>
      <c r="H1599">
        <v>4.71</v>
      </c>
      <c r="I1599">
        <v>50</v>
      </c>
      <c r="J1599" t="s">
        <v>20</v>
      </c>
    </row>
    <row r="1600" spans="1:10" x14ac:dyDescent="0.2">
      <c r="A1600">
        <v>11599</v>
      </c>
      <c r="B1600" t="s">
        <v>7</v>
      </c>
      <c r="C1600" t="s">
        <v>9</v>
      </c>
      <c r="D1600">
        <v>1.75</v>
      </c>
      <c r="E1600">
        <v>2</v>
      </c>
      <c r="F1600" t="s">
        <v>14</v>
      </c>
      <c r="G1600">
        <v>15</v>
      </c>
      <c r="H1600">
        <v>2.0124999999999997</v>
      </c>
      <c r="I1600">
        <v>14.999999999999991</v>
      </c>
      <c r="J1600" t="s">
        <v>20</v>
      </c>
    </row>
    <row r="1601" spans="1:10" x14ac:dyDescent="0.2">
      <c r="A1601">
        <v>11600</v>
      </c>
      <c r="B1601" t="s">
        <v>8</v>
      </c>
      <c r="C1601" t="s">
        <v>9</v>
      </c>
      <c r="D1601">
        <v>10.85</v>
      </c>
      <c r="E1601">
        <v>3</v>
      </c>
      <c r="F1601" t="s">
        <v>14</v>
      </c>
      <c r="G1601">
        <v>15</v>
      </c>
      <c r="H1601">
        <v>12.477499999999999</v>
      </c>
      <c r="I1601">
        <v>14.999999999999991</v>
      </c>
      <c r="J1601" t="s">
        <v>20</v>
      </c>
    </row>
    <row r="1602" spans="1:10" x14ac:dyDescent="0.2">
      <c r="A1602">
        <v>11601</v>
      </c>
      <c r="B1602" t="s">
        <v>7</v>
      </c>
      <c r="C1602" t="s">
        <v>11</v>
      </c>
      <c r="D1602">
        <v>3.35</v>
      </c>
      <c r="E1602">
        <v>2</v>
      </c>
      <c r="F1602" t="s">
        <v>14</v>
      </c>
      <c r="G1602">
        <v>10</v>
      </c>
      <c r="H1602">
        <v>3.6850000000000005</v>
      </c>
      <c r="I1602">
        <v>10.000000000000009</v>
      </c>
      <c r="J1602" t="s">
        <v>20</v>
      </c>
    </row>
    <row r="1603" spans="1:10" x14ac:dyDescent="0.2">
      <c r="A1603">
        <v>11602</v>
      </c>
      <c r="B1603" t="s">
        <v>5</v>
      </c>
      <c r="C1603" t="s">
        <v>6</v>
      </c>
      <c r="D1603">
        <v>10.51</v>
      </c>
      <c r="E1603">
        <v>4</v>
      </c>
      <c r="F1603" t="s">
        <v>15</v>
      </c>
      <c r="G1603">
        <v>28</v>
      </c>
      <c r="H1603">
        <v>13.4528</v>
      </c>
      <c r="I1603">
        <v>28.000000000000004</v>
      </c>
      <c r="J1603" t="s">
        <v>20</v>
      </c>
    </row>
    <row r="1604" spans="1:10" x14ac:dyDescent="0.2">
      <c r="A1604">
        <v>11603</v>
      </c>
      <c r="B1604" t="s">
        <v>10</v>
      </c>
      <c r="C1604" t="s">
        <v>9</v>
      </c>
      <c r="D1604">
        <v>6.16</v>
      </c>
      <c r="E1604">
        <v>1</v>
      </c>
      <c r="F1604" t="s">
        <v>14</v>
      </c>
      <c r="G1604">
        <v>15</v>
      </c>
      <c r="H1604">
        <v>7.0839999999999996</v>
      </c>
      <c r="I1604">
        <v>14.999999999999991</v>
      </c>
      <c r="J1604" t="s">
        <v>20</v>
      </c>
    </row>
    <row r="1605" spans="1:10" x14ac:dyDescent="0.2">
      <c r="A1605">
        <v>11604</v>
      </c>
      <c r="B1605" t="s">
        <v>8</v>
      </c>
      <c r="C1605" t="s">
        <v>6</v>
      </c>
      <c r="D1605">
        <v>6.53</v>
      </c>
      <c r="E1605">
        <v>3</v>
      </c>
      <c r="F1605" t="s">
        <v>14</v>
      </c>
      <c r="G1605">
        <v>12</v>
      </c>
      <c r="H1605">
        <v>7.313600000000001</v>
      </c>
      <c r="I1605">
        <v>12.000000000000011</v>
      </c>
      <c r="J1605" t="s">
        <v>20</v>
      </c>
    </row>
    <row r="1606" spans="1:10" x14ac:dyDescent="0.2">
      <c r="A1606">
        <v>11605</v>
      </c>
      <c r="B1606" t="s">
        <v>7</v>
      </c>
      <c r="C1606" t="s">
        <v>11</v>
      </c>
      <c r="D1606">
        <v>7.3</v>
      </c>
      <c r="E1606">
        <v>5</v>
      </c>
      <c r="F1606" t="s">
        <v>15</v>
      </c>
      <c r="G1606">
        <v>25</v>
      </c>
      <c r="H1606">
        <v>9.125</v>
      </c>
      <c r="I1606">
        <v>25</v>
      </c>
      <c r="J1606" t="s">
        <v>20</v>
      </c>
    </row>
    <row r="1607" spans="1:10" x14ac:dyDescent="0.2">
      <c r="A1607">
        <v>11606</v>
      </c>
      <c r="B1607" t="s">
        <v>5</v>
      </c>
      <c r="C1607" t="s">
        <v>6</v>
      </c>
      <c r="D1607">
        <v>5.83</v>
      </c>
      <c r="E1607">
        <v>10</v>
      </c>
      <c r="F1607" t="s">
        <v>16</v>
      </c>
      <c r="G1607">
        <v>55</v>
      </c>
      <c r="H1607">
        <v>9.0365000000000002</v>
      </c>
      <c r="I1607">
        <v>55.000000000000007</v>
      </c>
      <c r="J1607" t="s">
        <v>20</v>
      </c>
    </row>
    <row r="1608" spans="1:10" x14ac:dyDescent="0.2">
      <c r="A1608">
        <v>11607</v>
      </c>
      <c r="B1608" t="s">
        <v>10</v>
      </c>
      <c r="C1608" t="s">
        <v>6</v>
      </c>
      <c r="D1608">
        <v>1.96</v>
      </c>
      <c r="E1608">
        <v>1</v>
      </c>
      <c r="F1608" t="s">
        <v>14</v>
      </c>
      <c r="G1608">
        <v>12</v>
      </c>
      <c r="H1608">
        <v>2.1952000000000003</v>
      </c>
      <c r="I1608">
        <v>12.000000000000011</v>
      </c>
      <c r="J1608" t="s">
        <v>20</v>
      </c>
    </row>
    <row r="1609" spans="1:10" x14ac:dyDescent="0.2">
      <c r="A1609">
        <v>11608</v>
      </c>
      <c r="B1609" t="s">
        <v>8</v>
      </c>
      <c r="C1609" t="s">
        <v>6</v>
      </c>
      <c r="D1609">
        <v>4.99</v>
      </c>
      <c r="E1609">
        <v>4</v>
      </c>
      <c r="F1609" t="s">
        <v>15</v>
      </c>
      <c r="G1609">
        <v>28</v>
      </c>
      <c r="H1609">
        <v>6.3872</v>
      </c>
      <c r="I1609">
        <v>28.000000000000004</v>
      </c>
      <c r="J1609" t="s">
        <v>20</v>
      </c>
    </row>
    <row r="1610" spans="1:10" x14ac:dyDescent="0.2">
      <c r="A1610">
        <v>11609</v>
      </c>
      <c r="B1610" t="s">
        <v>10</v>
      </c>
      <c r="C1610" t="s">
        <v>6</v>
      </c>
      <c r="D1610">
        <v>10.119999999999999</v>
      </c>
      <c r="E1610">
        <v>6</v>
      </c>
      <c r="F1610" t="s">
        <v>15</v>
      </c>
      <c r="G1610">
        <v>28</v>
      </c>
      <c r="H1610">
        <v>12.9536</v>
      </c>
      <c r="I1610">
        <v>28.000000000000004</v>
      </c>
      <c r="J1610" t="s">
        <v>20</v>
      </c>
    </row>
    <row r="1611" spans="1:10" x14ac:dyDescent="0.2">
      <c r="A1611">
        <v>11610</v>
      </c>
      <c r="B1611" t="s">
        <v>5</v>
      </c>
      <c r="C1611" t="s">
        <v>6</v>
      </c>
      <c r="D1611">
        <v>10.15</v>
      </c>
      <c r="E1611">
        <v>4</v>
      </c>
      <c r="F1611" t="s">
        <v>15</v>
      </c>
      <c r="G1611">
        <v>28</v>
      </c>
      <c r="H1611">
        <v>12.992000000000001</v>
      </c>
      <c r="I1611">
        <v>28.000000000000004</v>
      </c>
      <c r="J1611" t="s">
        <v>20</v>
      </c>
    </row>
    <row r="1612" spans="1:10" x14ac:dyDescent="0.2">
      <c r="A1612">
        <v>11611</v>
      </c>
      <c r="B1612" t="s">
        <v>8</v>
      </c>
      <c r="C1612" t="s">
        <v>9</v>
      </c>
      <c r="D1612">
        <v>4.6500000000000004</v>
      </c>
      <c r="E1612">
        <v>7</v>
      </c>
      <c r="F1612" t="s">
        <v>15</v>
      </c>
      <c r="G1612">
        <v>30</v>
      </c>
      <c r="H1612">
        <v>6.0450000000000008</v>
      </c>
      <c r="I1612">
        <v>30.000000000000004</v>
      </c>
      <c r="J1612" t="s">
        <v>20</v>
      </c>
    </row>
    <row r="1613" spans="1:10" x14ac:dyDescent="0.2">
      <c r="A1613">
        <v>11612</v>
      </c>
      <c r="B1613" t="s">
        <v>10</v>
      </c>
      <c r="C1613" t="s">
        <v>9</v>
      </c>
      <c r="D1613">
        <v>7.17</v>
      </c>
      <c r="E1613">
        <v>7</v>
      </c>
      <c r="F1613" t="s">
        <v>15</v>
      </c>
      <c r="G1613">
        <v>30</v>
      </c>
      <c r="H1613">
        <v>9.3209999999999997</v>
      </c>
      <c r="I1613">
        <v>30.000000000000004</v>
      </c>
      <c r="J1613" t="s">
        <v>20</v>
      </c>
    </row>
    <row r="1614" spans="1:10" x14ac:dyDescent="0.2">
      <c r="A1614">
        <v>11613</v>
      </c>
      <c r="B1614" t="s">
        <v>7</v>
      </c>
      <c r="C1614" t="s">
        <v>9</v>
      </c>
      <c r="D1614">
        <v>3.3</v>
      </c>
      <c r="E1614">
        <v>6</v>
      </c>
      <c r="F1614" t="s">
        <v>15</v>
      </c>
      <c r="G1614">
        <v>30</v>
      </c>
      <c r="H1614">
        <v>4.29</v>
      </c>
      <c r="I1614">
        <v>30.000000000000004</v>
      </c>
      <c r="J1614" t="s">
        <v>20</v>
      </c>
    </row>
    <row r="1615" spans="1:10" x14ac:dyDescent="0.2">
      <c r="A1615">
        <v>11614</v>
      </c>
      <c r="B1615" t="s">
        <v>8</v>
      </c>
      <c r="C1615" t="s">
        <v>11</v>
      </c>
      <c r="D1615">
        <v>3.55</v>
      </c>
      <c r="E1615">
        <v>9</v>
      </c>
      <c r="F1615" t="s">
        <v>16</v>
      </c>
      <c r="G1615">
        <v>50</v>
      </c>
      <c r="H1615">
        <v>5.3249999999999993</v>
      </c>
      <c r="I1615">
        <v>49.999999999999979</v>
      </c>
      <c r="J1615" t="s">
        <v>20</v>
      </c>
    </row>
    <row r="1616" spans="1:10" x14ac:dyDescent="0.2">
      <c r="A1616">
        <v>11615</v>
      </c>
      <c r="B1616" t="s">
        <v>10</v>
      </c>
      <c r="C1616" t="s">
        <v>6</v>
      </c>
      <c r="D1616">
        <v>0.83</v>
      </c>
      <c r="E1616">
        <v>2</v>
      </c>
      <c r="F1616" t="s">
        <v>14</v>
      </c>
      <c r="G1616">
        <v>12</v>
      </c>
      <c r="H1616">
        <v>0.92960000000000009</v>
      </c>
      <c r="I1616">
        <v>12.000000000000011</v>
      </c>
      <c r="J1616" t="s">
        <v>20</v>
      </c>
    </row>
    <row r="1617" spans="1:10" x14ac:dyDescent="0.2">
      <c r="A1617">
        <v>11616</v>
      </c>
      <c r="B1617" t="s">
        <v>5</v>
      </c>
      <c r="C1617" t="s">
        <v>9</v>
      </c>
      <c r="D1617">
        <v>13.5</v>
      </c>
      <c r="E1617">
        <v>10</v>
      </c>
      <c r="F1617" t="s">
        <v>16</v>
      </c>
      <c r="G1617">
        <v>60</v>
      </c>
      <c r="H1617">
        <v>21.6</v>
      </c>
      <c r="I1617">
        <v>60.000000000000007</v>
      </c>
      <c r="J1617" t="s">
        <v>20</v>
      </c>
    </row>
    <row r="1618" spans="1:10" x14ac:dyDescent="0.2">
      <c r="A1618">
        <v>11617</v>
      </c>
      <c r="B1618" t="s">
        <v>5</v>
      </c>
      <c r="C1618" t="s">
        <v>11</v>
      </c>
      <c r="D1618">
        <v>3.56</v>
      </c>
      <c r="E1618">
        <v>8</v>
      </c>
      <c r="F1618" t="s">
        <v>16</v>
      </c>
      <c r="G1618">
        <v>50</v>
      </c>
      <c r="H1618">
        <v>5.34</v>
      </c>
      <c r="I1618">
        <v>50</v>
      </c>
      <c r="J1618" t="s">
        <v>20</v>
      </c>
    </row>
    <row r="1619" spans="1:10" x14ac:dyDescent="0.2">
      <c r="A1619">
        <v>11618</v>
      </c>
      <c r="B1619" t="s">
        <v>8</v>
      </c>
      <c r="C1619" t="s">
        <v>9</v>
      </c>
      <c r="D1619">
        <v>3.8</v>
      </c>
      <c r="E1619">
        <v>8</v>
      </c>
      <c r="F1619" t="s">
        <v>16</v>
      </c>
      <c r="G1619">
        <v>60</v>
      </c>
      <c r="H1619">
        <v>6.08</v>
      </c>
      <c r="I1619">
        <v>60.000000000000007</v>
      </c>
      <c r="J1619" t="s">
        <v>20</v>
      </c>
    </row>
    <row r="1620" spans="1:10" x14ac:dyDescent="0.2">
      <c r="A1620">
        <v>11619</v>
      </c>
      <c r="B1620" t="s">
        <v>10</v>
      </c>
      <c r="C1620" t="s">
        <v>9</v>
      </c>
      <c r="D1620">
        <v>4.55</v>
      </c>
      <c r="E1620">
        <v>10</v>
      </c>
      <c r="F1620" t="s">
        <v>16</v>
      </c>
      <c r="G1620">
        <v>60</v>
      </c>
      <c r="H1620">
        <v>7.28</v>
      </c>
      <c r="I1620">
        <v>60.000000000000007</v>
      </c>
      <c r="J1620" t="s">
        <v>20</v>
      </c>
    </row>
    <row r="1621" spans="1:10" x14ac:dyDescent="0.2">
      <c r="A1621">
        <v>11620</v>
      </c>
      <c r="B1621" t="s">
        <v>8</v>
      </c>
      <c r="C1621" t="s">
        <v>6</v>
      </c>
      <c r="D1621">
        <v>2.35</v>
      </c>
      <c r="E1621">
        <v>4</v>
      </c>
      <c r="F1621" t="s">
        <v>15</v>
      </c>
      <c r="G1621">
        <v>28</v>
      </c>
      <c r="H1621">
        <v>3.008</v>
      </c>
      <c r="I1621">
        <v>28.000000000000004</v>
      </c>
      <c r="J1621" t="s">
        <v>20</v>
      </c>
    </row>
    <row r="1622" spans="1:10" x14ac:dyDescent="0.2">
      <c r="A1622">
        <v>11621</v>
      </c>
      <c r="B1622" t="s">
        <v>8</v>
      </c>
      <c r="C1622" t="s">
        <v>11</v>
      </c>
      <c r="D1622">
        <v>9.77</v>
      </c>
      <c r="E1622">
        <v>6</v>
      </c>
      <c r="F1622" t="s">
        <v>15</v>
      </c>
      <c r="G1622">
        <v>25</v>
      </c>
      <c r="H1622">
        <v>12.212499999999999</v>
      </c>
      <c r="I1622">
        <v>25</v>
      </c>
      <c r="J1622" t="s">
        <v>20</v>
      </c>
    </row>
    <row r="1623" spans="1:10" x14ac:dyDescent="0.2">
      <c r="A1623">
        <v>11622</v>
      </c>
      <c r="B1623" t="s">
        <v>10</v>
      </c>
      <c r="C1623" t="s">
        <v>6</v>
      </c>
      <c r="D1623">
        <v>1.59</v>
      </c>
      <c r="E1623">
        <v>6</v>
      </c>
      <c r="F1623" t="s">
        <v>15</v>
      </c>
      <c r="G1623">
        <v>28</v>
      </c>
      <c r="H1623">
        <v>2.0352000000000001</v>
      </c>
      <c r="I1623">
        <v>28.000000000000004</v>
      </c>
      <c r="J1623" t="s">
        <v>20</v>
      </c>
    </row>
    <row r="1624" spans="1:10" x14ac:dyDescent="0.2">
      <c r="A1624">
        <v>11623</v>
      </c>
      <c r="B1624" t="s">
        <v>10</v>
      </c>
      <c r="C1624" t="s">
        <v>6</v>
      </c>
      <c r="D1624">
        <v>2.4500000000000002</v>
      </c>
      <c r="E1624">
        <v>5</v>
      </c>
      <c r="F1624" t="s">
        <v>15</v>
      </c>
      <c r="G1624">
        <v>28</v>
      </c>
      <c r="H1624">
        <v>3.1360000000000001</v>
      </c>
      <c r="I1624">
        <v>28.000000000000004</v>
      </c>
      <c r="J1624" t="s">
        <v>20</v>
      </c>
    </row>
    <row r="1625" spans="1:10" x14ac:dyDescent="0.2">
      <c r="A1625">
        <v>11624</v>
      </c>
      <c r="B1625" t="s">
        <v>7</v>
      </c>
      <c r="C1625" t="s">
        <v>9</v>
      </c>
      <c r="D1625">
        <v>9.85</v>
      </c>
      <c r="E1625">
        <v>1</v>
      </c>
      <c r="F1625" t="s">
        <v>14</v>
      </c>
      <c r="G1625">
        <v>15</v>
      </c>
      <c r="H1625">
        <v>11.327499999999999</v>
      </c>
      <c r="I1625">
        <v>14.999999999999991</v>
      </c>
      <c r="J1625" t="s">
        <v>20</v>
      </c>
    </row>
    <row r="1626" spans="1:10" x14ac:dyDescent="0.2">
      <c r="A1626">
        <v>11625</v>
      </c>
      <c r="B1626" t="s">
        <v>10</v>
      </c>
      <c r="C1626" t="s">
        <v>6</v>
      </c>
      <c r="D1626">
        <v>5.43</v>
      </c>
      <c r="E1626">
        <v>3</v>
      </c>
      <c r="F1626" t="s">
        <v>14</v>
      </c>
      <c r="G1626">
        <v>12</v>
      </c>
      <c r="H1626">
        <v>6.0815999999999999</v>
      </c>
      <c r="I1626">
        <v>12.000000000000011</v>
      </c>
      <c r="J1626" t="s">
        <v>20</v>
      </c>
    </row>
    <row r="1627" spans="1:10" x14ac:dyDescent="0.2">
      <c r="A1627">
        <v>11626</v>
      </c>
      <c r="B1627" t="s">
        <v>5</v>
      </c>
      <c r="C1627" t="s">
        <v>11</v>
      </c>
      <c r="D1627">
        <v>10.77</v>
      </c>
      <c r="E1627">
        <v>7</v>
      </c>
      <c r="F1627" t="s">
        <v>15</v>
      </c>
      <c r="G1627">
        <v>25</v>
      </c>
      <c r="H1627">
        <v>13.462499999999999</v>
      </c>
      <c r="I1627">
        <v>25</v>
      </c>
      <c r="J1627" t="s">
        <v>20</v>
      </c>
    </row>
    <row r="1628" spans="1:10" x14ac:dyDescent="0.2">
      <c r="A1628">
        <v>11627</v>
      </c>
      <c r="B1628" t="s">
        <v>8</v>
      </c>
      <c r="C1628" t="s">
        <v>6</v>
      </c>
      <c r="D1628">
        <v>8.58</v>
      </c>
      <c r="E1628">
        <v>8</v>
      </c>
      <c r="F1628" t="s">
        <v>16</v>
      </c>
      <c r="G1628">
        <v>55</v>
      </c>
      <c r="H1628">
        <v>13.299000000000001</v>
      </c>
      <c r="I1628">
        <v>55.000000000000007</v>
      </c>
      <c r="J1628" t="s">
        <v>20</v>
      </c>
    </row>
    <row r="1629" spans="1:10" x14ac:dyDescent="0.2">
      <c r="A1629">
        <v>11628</v>
      </c>
      <c r="B1629" t="s">
        <v>8</v>
      </c>
      <c r="C1629" t="s">
        <v>6</v>
      </c>
      <c r="D1629">
        <v>4.21</v>
      </c>
      <c r="E1629">
        <v>2</v>
      </c>
      <c r="F1629" t="s">
        <v>14</v>
      </c>
      <c r="G1629">
        <v>12</v>
      </c>
      <c r="H1629">
        <v>4.7152000000000003</v>
      </c>
      <c r="I1629">
        <v>12.000000000000011</v>
      </c>
      <c r="J1629" t="s">
        <v>20</v>
      </c>
    </row>
    <row r="1630" spans="1:10" x14ac:dyDescent="0.2">
      <c r="A1630">
        <v>11629</v>
      </c>
      <c r="B1630" t="s">
        <v>5</v>
      </c>
      <c r="C1630" t="s">
        <v>6</v>
      </c>
      <c r="D1630">
        <v>9.94</v>
      </c>
      <c r="E1630">
        <v>3</v>
      </c>
      <c r="F1630" t="s">
        <v>14</v>
      </c>
      <c r="G1630">
        <v>12</v>
      </c>
      <c r="H1630">
        <v>11.132800000000001</v>
      </c>
      <c r="I1630">
        <v>12.000000000000011</v>
      </c>
      <c r="J1630" t="s">
        <v>20</v>
      </c>
    </row>
    <row r="1631" spans="1:10" x14ac:dyDescent="0.2">
      <c r="A1631">
        <v>11630</v>
      </c>
      <c r="B1631" t="s">
        <v>10</v>
      </c>
      <c r="C1631" t="s">
        <v>9</v>
      </c>
      <c r="D1631">
        <v>2.19</v>
      </c>
      <c r="E1631">
        <v>4</v>
      </c>
      <c r="F1631" t="s">
        <v>15</v>
      </c>
      <c r="G1631">
        <v>30</v>
      </c>
      <c r="H1631">
        <v>2.847</v>
      </c>
      <c r="I1631">
        <v>30.000000000000004</v>
      </c>
      <c r="J1631" t="s">
        <v>20</v>
      </c>
    </row>
    <row r="1632" spans="1:10" x14ac:dyDescent="0.2">
      <c r="A1632">
        <v>11631</v>
      </c>
      <c r="B1632" t="s">
        <v>5</v>
      </c>
      <c r="C1632" t="s">
        <v>11</v>
      </c>
      <c r="D1632">
        <v>8.2799999999999994</v>
      </c>
      <c r="E1632">
        <v>5</v>
      </c>
      <c r="F1632" t="s">
        <v>15</v>
      </c>
      <c r="G1632">
        <v>25</v>
      </c>
      <c r="H1632">
        <v>10.35</v>
      </c>
      <c r="I1632">
        <v>25</v>
      </c>
      <c r="J1632" t="s">
        <v>20</v>
      </c>
    </row>
    <row r="1633" spans="1:10" x14ac:dyDescent="0.2">
      <c r="A1633">
        <v>11632</v>
      </c>
      <c r="B1633" t="s">
        <v>5</v>
      </c>
      <c r="C1633" t="s">
        <v>9</v>
      </c>
      <c r="D1633">
        <v>6.84</v>
      </c>
      <c r="E1633">
        <v>3</v>
      </c>
      <c r="F1633" t="s">
        <v>14</v>
      </c>
      <c r="G1633">
        <v>15</v>
      </c>
      <c r="H1633">
        <v>7.8659999999999997</v>
      </c>
      <c r="I1633">
        <v>14.999999999999991</v>
      </c>
      <c r="J1633" t="s">
        <v>20</v>
      </c>
    </row>
    <row r="1634" spans="1:10" x14ac:dyDescent="0.2">
      <c r="A1634">
        <v>11633</v>
      </c>
      <c r="B1634" t="s">
        <v>7</v>
      </c>
      <c r="C1634" t="s">
        <v>9</v>
      </c>
      <c r="D1634">
        <v>4.38</v>
      </c>
      <c r="E1634">
        <v>5</v>
      </c>
      <c r="F1634" t="s">
        <v>15</v>
      </c>
      <c r="G1634">
        <v>30</v>
      </c>
      <c r="H1634">
        <v>5.694</v>
      </c>
      <c r="I1634">
        <v>30.000000000000004</v>
      </c>
      <c r="J1634" t="s">
        <v>20</v>
      </c>
    </row>
    <row r="1635" spans="1:10" x14ac:dyDescent="0.2">
      <c r="A1635">
        <v>11634</v>
      </c>
      <c r="B1635" t="s">
        <v>5</v>
      </c>
      <c r="C1635" t="s">
        <v>9</v>
      </c>
      <c r="D1635">
        <v>9.26</v>
      </c>
      <c r="E1635">
        <v>8</v>
      </c>
      <c r="F1635" t="s">
        <v>16</v>
      </c>
      <c r="G1635">
        <v>60</v>
      </c>
      <c r="H1635">
        <v>14.816000000000001</v>
      </c>
      <c r="I1635">
        <v>60.000000000000007</v>
      </c>
      <c r="J1635" t="s">
        <v>20</v>
      </c>
    </row>
    <row r="1636" spans="1:10" x14ac:dyDescent="0.2">
      <c r="A1636">
        <v>11635</v>
      </c>
      <c r="B1636" t="s">
        <v>8</v>
      </c>
      <c r="C1636" t="s">
        <v>9</v>
      </c>
      <c r="D1636">
        <v>13.13</v>
      </c>
      <c r="E1636">
        <v>8</v>
      </c>
      <c r="F1636" t="s">
        <v>16</v>
      </c>
      <c r="G1636">
        <v>60</v>
      </c>
      <c r="H1636">
        <v>21.008000000000003</v>
      </c>
      <c r="I1636">
        <v>60.000000000000007</v>
      </c>
      <c r="J1636" t="s">
        <v>20</v>
      </c>
    </row>
    <row r="1637" spans="1:10" x14ac:dyDescent="0.2">
      <c r="A1637">
        <v>11636</v>
      </c>
      <c r="B1637" t="s">
        <v>5</v>
      </c>
      <c r="C1637" t="s">
        <v>9</v>
      </c>
      <c r="D1637">
        <v>14.98</v>
      </c>
      <c r="E1637">
        <v>2</v>
      </c>
      <c r="F1637" t="s">
        <v>14</v>
      </c>
      <c r="G1637">
        <v>15</v>
      </c>
      <c r="H1637">
        <v>17.227</v>
      </c>
      <c r="I1637">
        <v>14.999999999999991</v>
      </c>
      <c r="J1637" t="s">
        <v>20</v>
      </c>
    </row>
    <row r="1638" spans="1:10" x14ac:dyDescent="0.2">
      <c r="A1638">
        <v>11637</v>
      </c>
      <c r="B1638" t="s">
        <v>8</v>
      </c>
      <c r="C1638" t="s">
        <v>11</v>
      </c>
      <c r="D1638">
        <v>9.31</v>
      </c>
      <c r="E1638">
        <v>6</v>
      </c>
      <c r="F1638" t="s">
        <v>15</v>
      </c>
      <c r="G1638">
        <v>25</v>
      </c>
      <c r="H1638">
        <v>11.637500000000001</v>
      </c>
      <c r="I1638">
        <v>25</v>
      </c>
      <c r="J1638" t="s">
        <v>20</v>
      </c>
    </row>
    <row r="1639" spans="1:10" x14ac:dyDescent="0.2">
      <c r="A1639">
        <v>11638</v>
      </c>
      <c r="B1639" t="s">
        <v>8</v>
      </c>
      <c r="C1639" t="s">
        <v>6</v>
      </c>
      <c r="D1639">
        <v>6.37</v>
      </c>
      <c r="E1639">
        <v>4</v>
      </c>
      <c r="F1639" t="s">
        <v>15</v>
      </c>
      <c r="G1639">
        <v>28</v>
      </c>
      <c r="H1639">
        <v>8.1536000000000008</v>
      </c>
      <c r="I1639">
        <v>28.000000000000004</v>
      </c>
      <c r="J1639" t="s">
        <v>20</v>
      </c>
    </row>
    <row r="1640" spans="1:10" x14ac:dyDescent="0.2">
      <c r="A1640">
        <v>11639</v>
      </c>
      <c r="B1640" t="s">
        <v>8</v>
      </c>
      <c r="C1640" t="s">
        <v>9</v>
      </c>
      <c r="D1640">
        <v>3.77</v>
      </c>
      <c r="E1640">
        <v>9</v>
      </c>
      <c r="F1640" t="s">
        <v>16</v>
      </c>
      <c r="G1640">
        <v>60</v>
      </c>
      <c r="H1640">
        <v>6.032</v>
      </c>
      <c r="I1640">
        <v>60.000000000000007</v>
      </c>
      <c r="J1640" t="s">
        <v>20</v>
      </c>
    </row>
    <row r="1641" spans="1:10" x14ac:dyDescent="0.2">
      <c r="A1641">
        <v>11640</v>
      </c>
      <c r="B1641" t="s">
        <v>10</v>
      </c>
      <c r="C1641" t="s">
        <v>9</v>
      </c>
      <c r="D1641">
        <v>4.2300000000000004</v>
      </c>
      <c r="E1641">
        <v>10</v>
      </c>
      <c r="F1641" t="s">
        <v>16</v>
      </c>
      <c r="G1641">
        <v>60</v>
      </c>
      <c r="H1641">
        <v>6.7680000000000007</v>
      </c>
      <c r="I1641">
        <v>60.000000000000007</v>
      </c>
      <c r="J1641" t="s">
        <v>20</v>
      </c>
    </row>
    <row r="1642" spans="1:10" x14ac:dyDescent="0.2">
      <c r="A1642">
        <v>11641</v>
      </c>
      <c r="B1642" t="s">
        <v>7</v>
      </c>
      <c r="C1642" t="s">
        <v>11</v>
      </c>
      <c r="D1642">
        <v>7.45</v>
      </c>
      <c r="E1642">
        <v>2</v>
      </c>
      <c r="F1642" t="s">
        <v>14</v>
      </c>
      <c r="G1642">
        <v>10</v>
      </c>
      <c r="H1642">
        <v>8.1950000000000003</v>
      </c>
      <c r="I1642">
        <v>10.000000000000009</v>
      </c>
      <c r="J1642" t="s">
        <v>20</v>
      </c>
    </row>
    <row r="1643" spans="1:10" x14ac:dyDescent="0.2">
      <c r="A1643">
        <v>11642</v>
      </c>
      <c r="B1643" t="s">
        <v>8</v>
      </c>
      <c r="C1643" t="s">
        <v>11</v>
      </c>
      <c r="D1643">
        <v>5.83</v>
      </c>
      <c r="E1643">
        <v>8</v>
      </c>
      <c r="F1643" t="s">
        <v>16</v>
      </c>
      <c r="G1643">
        <v>50</v>
      </c>
      <c r="H1643">
        <v>8.745000000000001</v>
      </c>
      <c r="I1643">
        <v>50.000000000000021</v>
      </c>
      <c r="J1643" t="s">
        <v>20</v>
      </c>
    </row>
    <row r="1644" spans="1:10" x14ac:dyDescent="0.2">
      <c r="A1644">
        <v>11643</v>
      </c>
      <c r="B1644" t="s">
        <v>8</v>
      </c>
      <c r="C1644" t="s">
        <v>6</v>
      </c>
      <c r="D1644">
        <v>13.75</v>
      </c>
      <c r="E1644">
        <v>1</v>
      </c>
      <c r="F1644" t="s">
        <v>14</v>
      </c>
      <c r="G1644">
        <v>12</v>
      </c>
      <c r="H1644">
        <v>15.400000000000002</v>
      </c>
      <c r="I1644">
        <v>12.000000000000011</v>
      </c>
      <c r="J1644" t="s">
        <v>20</v>
      </c>
    </row>
    <row r="1645" spans="1:10" x14ac:dyDescent="0.2">
      <c r="A1645">
        <v>11644</v>
      </c>
      <c r="B1645" t="s">
        <v>10</v>
      </c>
      <c r="C1645" t="s">
        <v>11</v>
      </c>
      <c r="D1645">
        <v>5.84</v>
      </c>
      <c r="E1645">
        <v>6</v>
      </c>
      <c r="F1645" t="s">
        <v>15</v>
      </c>
      <c r="G1645">
        <v>25</v>
      </c>
      <c r="H1645">
        <v>7.3</v>
      </c>
      <c r="I1645">
        <v>25</v>
      </c>
      <c r="J1645" t="s">
        <v>20</v>
      </c>
    </row>
    <row r="1646" spans="1:10" x14ac:dyDescent="0.2">
      <c r="A1646">
        <v>11645</v>
      </c>
      <c r="B1646" t="s">
        <v>8</v>
      </c>
      <c r="C1646" t="s">
        <v>6</v>
      </c>
      <c r="D1646">
        <v>5.91</v>
      </c>
      <c r="E1646">
        <v>10</v>
      </c>
      <c r="F1646" t="s">
        <v>16</v>
      </c>
      <c r="G1646">
        <v>55</v>
      </c>
      <c r="H1646">
        <v>9.1605000000000008</v>
      </c>
      <c r="I1646">
        <v>55.000000000000007</v>
      </c>
      <c r="J1646" t="s">
        <v>20</v>
      </c>
    </row>
    <row r="1647" spans="1:10" x14ac:dyDescent="0.2">
      <c r="A1647">
        <v>11646</v>
      </c>
      <c r="B1647" t="s">
        <v>5</v>
      </c>
      <c r="C1647" t="s">
        <v>9</v>
      </c>
      <c r="D1647">
        <v>6.06</v>
      </c>
      <c r="E1647">
        <v>1</v>
      </c>
      <c r="F1647" t="s">
        <v>14</v>
      </c>
      <c r="G1647">
        <v>15</v>
      </c>
      <c r="H1647">
        <v>6.9689999999999994</v>
      </c>
      <c r="I1647">
        <v>14.999999999999991</v>
      </c>
      <c r="J1647" t="s">
        <v>20</v>
      </c>
    </row>
    <row r="1648" spans="1:10" x14ac:dyDescent="0.2">
      <c r="A1648">
        <v>11647</v>
      </c>
      <c r="B1648" t="s">
        <v>5</v>
      </c>
      <c r="C1648" t="s">
        <v>9</v>
      </c>
      <c r="D1648">
        <v>12.63</v>
      </c>
      <c r="E1648">
        <v>2</v>
      </c>
      <c r="F1648" t="s">
        <v>14</v>
      </c>
      <c r="G1648">
        <v>15</v>
      </c>
      <c r="H1648">
        <v>14.5245</v>
      </c>
      <c r="I1648">
        <v>14.999999999999991</v>
      </c>
      <c r="J1648" t="s">
        <v>20</v>
      </c>
    </row>
    <row r="1649" spans="1:10" x14ac:dyDescent="0.2">
      <c r="A1649">
        <v>11648</v>
      </c>
      <c r="B1649" t="s">
        <v>7</v>
      </c>
      <c r="C1649" t="s">
        <v>6</v>
      </c>
      <c r="D1649">
        <v>9.94</v>
      </c>
      <c r="E1649">
        <v>3</v>
      </c>
      <c r="F1649" t="s">
        <v>14</v>
      </c>
      <c r="G1649">
        <v>12</v>
      </c>
      <c r="H1649">
        <v>11.132800000000001</v>
      </c>
      <c r="I1649">
        <v>12.000000000000011</v>
      </c>
      <c r="J1649" t="s">
        <v>20</v>
      </c>
    </row>
    <row r="1650" spans="1:10" x14ac:dyDescent="0.2">
      <c r="A1650">
        <v>11649</v>
      </c>
      <c r="B1650" t="s">
        <v>8</v>
      </c>
      <c r="C1650" t="s">
        <v>11</v>
      </c>
      <c r="D1650">
        <v>9.41</v>
      </c>
      <c r="E1650">
        <v>9</v>
      </c>
      <c r="F1650" t="s">
        <v>16</v>
      </c>
      <c r="G1650">
        <v>50</v>
      </c>
      <c r="H1650">
        <v>14.115</v>
      </c>
      <c r="I1650">
        <v>50</v>
      </c>
      <c r="J1650" t="s">
        <v>20</v>
      </c>
    </row>
    <row r="1651" spans="1:10" x14ac:dyDescent="0.2">
      <c r="A1651">
        <v>11650</v>
      </c>
      <c r="B1651" t="s">
        <v>10</v>
      </c>
      <c r="C1651" t="s">
        <v>6</v>
      </c>
      <c r="D1651">
        <v>5.35</v>
      </c>
      <c r="E1651">
        <v>5</v>
      </c>
      <c r="F1651" t="s">
        <v>15</v>
      </c>
      <c r="G1651">
        <v>28</v>
      </c>
      <c r="H1651">
        <v>6.8479999999999999</v>
      </c>
      <c r="I1651">
        <v>28.000000000000004</v>
      </c>
      <c r="J1651" t="s">
        <v>20</v>
      </c>
    </row>
    <row r="1652" spans="1:10" x14ac:dyDescent="0.2">
      <c r="A1652">
        <v>11651</v>
      </c>
      <c r="B1652" t="s">
        <v>5</v>
      </c>
      <c r="C1652" t="s">
        <v>11</v>
      </c>
      <c r="D1652">
        <v>12.36</v>
      </c>
      <c r="E1652">
        <v>10</v>
      </c>
      <c r="F1652" t="s">
        <v>16</v>
      </c>
      <c r="G1652">
        <v>50</v>
      </c>
      <c r="H1652">
        <v>18.54</v>
      </c>
      <c r="I1652">
        <v>50</v>
      </c>
      <c r="J1652" t="s">
        <v>20</v>
      </c>
    </row>
    <row r="1653" spans="1:10" x14ac:dyDescent="0.2">
      <c r="A1653">
        <v>11652</v>
      </c>
      <c r="B1653" t="s">
        <v>10</v>
      </c>
      <c r="C1653" t="s">
        <v>9</v>
      </c>
      <c r="D1653">
        <v>1.06</v>
      </c>
      <c r="E1653">
        <v>10</v>
      </c>
      <c r="F1653" t="s">
        <v>16</v>
      </c>
      <c r="G1653">
        <v>60</v>
      </c>
      <c r="H1653">
        <v>1.6960000000000002</v>
      </c>
      <c r="I1653">
        <v>60.000000000000007</v>
      </c>
      <c r="J1653" t="s">
        <v>20</v>
      </c>
    </row>
    <row r="1654" spans="1:10" x14ac:dyDescent="0.2">
      <c r="A1654">
        <v>11653</v>
      </c>
      <c r="B1654" t="s">
        <v>10</v>
      </c>
      <c r="C1654" t="s">
        <v>11</v>
      </c>
      <c r="D1654">
        <v>13.13</v>
      </c>
      <c r="E1654">
        <v>2</v>
      </c>
      <c r="F1654" t="s">
        <v>14</v>
      </c>
      <c r="G1654">
        <v>10</v>
      </c>
      <c r="H1654">
        <v>14.443000000000001</v>
      </c>
      <c r="I1654">
        <v>10.000000000000009</v>
      </c>
      <c r="J1654" t="s">
        <v>20</v>
      </c>
    </row>
    <row r="1655" spans="1:10" x14ac:dyDescent="0.2">
      <c r="A1655">
        <v>11654</v>
      </c>
      <c r="B1655" t="s">
        <v>5</v>
      </c>
      <c r="C1655" t="s">
        <v>6</v>
      </c>
      <c r="D1655">
        <v>7.93</v>
      </c>
      <c r="E1655">
        <v>10</v>
      </c>
      <c r="F1655" t="s">
        <v>16</v>
      </c>
      <c r="G1655">
        <v>55</v>
      </c>
      <c r="H1655">
        <v>12.291499999999999</v>
      </c>
      <c r="I1655">
        <v>55.000000000000007</v>
      </c>
      <c r="J1655" t="s">
        <v>20</v>
      </c>
    </row>
    <row r="1656" spans="1:10" x14ac:dyDescent="0.2">
      <c r="A1656">
        <v>11655</v>
      </c>
      <c r="B1656" t="s">
        <v>10</v>
      </c>
      <c r="C1656" t="s">
        <v>6</v>
      </c>
      <c r="D1656">
        <v>6.27</v>
      </c>
      <c r="E1656">
        <v>5</v>
      </c>
      <c r="F1656" t="s">
        <v>15</v>
      </c>
      <c r="G1656">
        <v>28</v>
      </c>
      <c r="H1656">
        <v>8.025599999999999</v>
      </c>
      <c r="I1656">
        <v>28.000000000000004</v>
      </c>
      <c r="J1656" t="s">
        <v>20</v>
      </c>
    </row>
    <row r="1657" spans="1:10" x14ac:dyDescent="0.2">
      <c r="A1657">
        <v>11656</v>
      </c>
      <c r="B1657" t="s">
        <v>5</v>
      </c>
      <c r="C1657" t="s">
        <v>9</v>
      </c>
      <c r="D1657">
        <v>7.71</v>
      </c>
      <c r="E1657">
        <v>5</v>
      </c>
      <c r="F1657" t="s">
        <v>15</v>
      </c>
      <c r="G1657">
        <v>30</v>
      </c>
      <c r="H1657">
        <v>10.023</v>
      </c>
      <c r="I1657">
        <v>30.000000000000004</v>
      </c>
      <c r="J1657" t="s">
        <v>20</v>
      </c>
    </row>
    <row r="1658" spans="1:10" x14ac:dyDescent="0.2">
      <c r="A1658">
        <v>11657</v>
      </c>
      <c r="B1658" t="s">
        <v>10</v>
      </c>
      <c r="C1658" t="s">
        <v>11</v>
      </c>
      <c r="D1658">
        <v>10.18</v>
      </c>
      <c r="E1658">
        <v>1</v>
      </c>
      <c r="F1658" t="s">
        <v>14</v>
      </c>
      <c r="G1658">
        <v>10</v>
      </c>
      <c r="H1658">
        <v>11.198</v>
      </c>
      <c r="I1658">
        <v>10.000000000000009</v>
      </c>
      <c r="J1658" t="s">
        <v>20</v>
      </c>
    </row>
    <row r="1659" spans="1:10" x14ac:dyDescent="0.2">
      <c r="A1659">
        <v>11658</v>
      </c>
      <c r="B1659" t="s">
        <v>5</v>
      </c>
      <c r="C1659" t="s">
        <v>11</v>
      </c>
      <c r="D1659">
        <v>0.69</v>
      </c>
      <c r="E1659">
        <v>3</v>
      </c>
      <c r="F1659" t="s">
        <v>14</v>
      </c>
      <c r="G1659">
        <v>10</v>
      </c>
      <c r="H1659">
        <v>0.75900000000000001</v>
      </c>
      <c r="I1659">
        <v>10.000000000000009</v>
      </c>
      <c r="J1659" t="s">
        <v>20</v>
      </c>
    </row>
    <row r="1660" spans="1:10" x14ac:dyDescent="0.2">
      <c r="A1660">
        <v>11659</v>
      </c>
      <c r="B1660" t="s">
        <v>8</v>
      </c>
      <c r="C1660" t="s">
        <v>11</v>
      </c>
      <c r="D1660">
        <v>13.14</v>
      </c>
      <c r="E1660">
        <v>5</v>
      </c>
      <c r="F1660" t="s">
        <v>15</v>
      </c>
      <c r="G1660">
        <v>25</v>
      </c>
      <c r="H1660">
        <v>16.425000000000001</v>
      </c>
      <c r="I1660">
        <v>25</v>
      </c>
      <c r="J1660" t="s">
        <v>20</v>
      </c>
    </row>
    <row r="1661" spans="1:10" x14ac:dyDescent="0.2">
      <c r="A1661">
        <v>11660</v>
      </c>
      <c r="B1661" t="s">
        <v>7</v>
      </c>
      <c r="C1661" t="s">
        <v>9</v>
      </c>
      <c r="D1661">
        <v>6.98</v>
      </c>
      <c r="E1661">
        <v>9</v>
      </c>
      <c r="F1661" t="s">
        <v>16</v>
      </c>
      <c r="G1661">
        <v>60</v>
      </c>
      <c r="H1661">
        <v>11.168000000000001</v>
      </c>
      <c r="I1661">
        <v>60.000000000000007</v>
      </c>
      <c r="J1661" t="s">
        <v>20</v>
      </c>
    </row>
    <row r="1662" spans="1:10" x14ac:dyDescent="0.2">
      <c r="A1662">
        <v>11661</v>
      </c>
      <c r="B1662" t="s">
        <v>5</v>
      </c>
      <c r="C1662" t="s">
        <v>11</v>
      </c>
      <c r="D1662">
        <v>5.47</v>
      </c>
      <c r="E1662">
        <v>10</v>
      </c>
      <c r="F1662" t="s">
        <v>16</v>
      </c>
      <c r="G1662">
        <v>50</v>
      </c>
      <c r="H1662">
        <v>8.2050000000000001</v>
      </c>
      <c r="I1662">
        <v>50</v>
      </c>
      <c r="J1662" t="s">
        <v>20</v>
      </c>
    </row>
    <row r="1663" spans="1:10" x14ac:dyDescent="0.2">
      <c r="A1663">
        <v>11662</v>
      </c>
      <c r="B1663" t="s">
        <v>5</v>
      </c>
      <c r="C1663" t="s">
        <v>6</v>
      </c>
      <c r="D1663">
        <v>2.5</v>
      </c>
      <c r="E1663">
        <v>1</v>
      </c>
      <c r="F1663" t="s">
        <v>14</v>
      </c>
      <c r="G1663">
        <v>12</v>
      </c>
      <c r="H1663">
        <v>2.8000000000000003</v>
      </c>
      <c r="I1663">
        <v>12.000000000000011</v>
      </c>
      <c r="J1663" t="s">
        <v>20</v>
      </c>
    </row>
    <row r="1664" spans="1:10" x14ac:dyDescent="0.2">
      <c r="A1664">
        <v>11663</v>
      </c>
      <c r="B1664" t="s">
        <v>7</v>
      </c>
      <c r="C1664" t="s">
        <v>11</v>
      </c>
      <c r="D1664">
        <v>6.87</v>
      </c>
      <c r="E1664">
        <v>8</v>
      </c>
      <c r="F1664" t="s">
        <v>16</v>
      </c>
      <c r="G1664">
        <v>50</v>
      </c>
      <c r="H1664">
        <v>10.305</v>
      </c>
      <c r="I1664">
        <v>50</v>
      </c>
      <c r="J1664" t="s">
        <v>20</v>
      </c>
    </row>
    <row r="1665" spans="1:10" x14ac:dyDescent="0.2">
      <c r="A1665">
        <v>11664</v>
      </c>
      <c r="B1665" t="s">
        <v>5</v>
      </c>
      <c r="C1665" t="s">
        <v>9</v>
      </c>
      <c r="D1665">
        <v>7.7</v>
      </c>
      <c r="E1665">
        <v>1</v>
      </c>
      <c r="F1665" t="s">
        <v>14</v>
      </c>
      <c r="G1665">
        <v>15</v>
      </c>
      <c r="H1665">
        <v>8.8549999999999986</v>
      </c>
      <c r="I1665">
        <v>14.999999999999968</v>
      </c>
      <c r="J1665" t="s">
        <v>20</v>
      </c>
    </row>
    <row r="1666" spans="1:10" x14ac:dyDescent="0.2">
      <c r="A1666">
        <v>11665</v>
      </c>
      <c r="B1666" t="s">
        <v>5</v>
      </c>
      <c r="C1666" t="s">
        <v>11</v>
      </c>
      <c r="D1666">
        <v>6.35</v>
      </c>
      <c r="E1666">
        <v>9</v>
      </c>
      <c r="F1666" t="s">
        <v>16</v>
      </c>
      <c r="G1666">
        <v>50</v>
      </c>
      <c r="H1666">
        <v>9.5249999999999986</v>
      </c>
      <c r="I1666">
        <v>49.999999999999979</v>
      </c>
      <c r="J1666" t="s">
        <v>20</v>
      </c>
    </row>
    <row r="1667" spans="1:10" x14ac:dyDescent="0.2">
      <c r="A1667">
        <v>11666</v>
      </c>
      <c r="B1667" t="s">
        <v>10</v>
      </c>
      <c r="C1667" t="s">
        <v>11</v>
      </c>
      <c r="D1667">
        <v>10.34</v>
      </c>
      <c r="E1667">
        <v>6</v>
      </c>
      <c r="F1667" t="s">
        <v>15</v>
      </c>
      <c r="G1667">
        <v>25</v>
      </c>
      <c r="H1667">
        <v>12.925000000000001</v>
      </c>
      <c r="I1667">
        <v>25</v>
      </c>
      <c r="J1667" t="s">
        <v>20</v>
      </c>
    </row>
    <row r="1668" spans="1:10" x14ac:dyDescent="0.2">
      <c r="A1668">
        <v>11667</v>
      </c>
      <c r="B1668" t="s">
        <v>7</v>
      </c>
      <c r="C1668" t="s">
        <v>6</v>
      </c>
      <c r="D1668">
        <v>6.6</v>
      </c>
      <c r="E1668">
        <v>1</v>
      </c>
      <c r="F1668" t="s">
        <v>14</v>
      </c>
      <c r="G1668">
        <v>12</v>
      </c>
      <c r="H1668">
        <v>7.3920000000000003</v>
      </c>
      <c r="I1668">
        <v>12.000000000000011</v>
      </c>
      <c r="J1668" t="s">
        <v>20</v>
      </c>
    </row>
    <row r="1669" spans="1:10" x14ac:dyDescent="0.2">
      <c r="A1669">
        <v>11668</v>
      </c>
      <c r="B1669" t="s">
        <v>8</v>
      </c>
      <c r="C1669" t="s">
        <v>11</v>
      </c>
      <c r="D1669">
        <v>14.44</v>
      </c>
      <c r="E1669">
        <v>8</v>
      </c>
      <c r="F1669" t="s">
        <v>16</v>
      </c>
      <c r="G1669">
        <v>50</v>
      </c>
      <c r="H1669">
        <v>21.66</v>
      </c>
      <c r="I1669">
        <v>50</v>
      </c>
      <c r="J1669" t="s">
        <v>20</v>
      </c>
    </row>
    <row r="1670" spans="1:10" x14ac:dyDescent="0.2">
      <c r="A1670">
        <v>11669</v>
      </c>
      <c r="B1670" t="s">
        <v>5</v>
      </c>
      <c r="C1670" t="s">
        <v>6</v>
      </c>
      <c r="D1670">
        <v>9.19</v>
      </c>
      <c r="E1670">
        <v>5</v>
      </c>
      <c r="F1670" t="s">
        <v>15</v>
      </c>
      <c r="G1670">
        <v>28</v>
      </c>
      <c r="H1670">
        <v>11.763199999999999</v>
      </c>
      <c r="I1670">
        <v>28.000000000000004</v>
      </c>
      <c r="J1670" t="s">
        <v>20</v>
      </c>
    </row>
    <row r="1671" spans="1:10" x14ac:dyDescent="0.2">
      <c r="A1671">
        <v>11670</v>
      </c>
      <c r="B1671" t="s">
        <v>7</v>
      </c>
      <c r="C1671" t="s">
        <v>6</v>
      </c>
      <c r="D1671">
        <v>12.21</v>
      </c>
      <c r="E1671">
        <v>7</v>
      </c>
      <c r="F1671" t="s">
        <v>15</v>
      </c>
      <c r="G1671">
        <v>28</v>
      </c>
      <c r="H1671">
        <v>15.628800000000002</v>
      </c>
      <c r="I1671">
        <v>28.000000000000004</v>
      </c>
      <c r="J1671" t="s">
        <v>20</v>
      </c>
    </row>
    <row r="1672" spans="1:10" x14ac:dyDescent="0.2">
      <c r="A1672">
        <v>11671</v>
      </c>
      <c r="B1672" t="s">
        <v>10</v>
      </c>
      <c r="C1672" t="s">
        <v>9</v>
      </c>
      <c r="D1672">
        <v>2.09</v>
      </c>
      <c r="E1672">
        <v>7</v>
      </c>
      <c r="F1672" t="s">
        <v>15</v>
      </c>
      <c r="G1672">
        <v>30</v>
      </c>
      <c r="H1672">
        <v>2.7170000000000001</v>
      </c>
      <c r="I1672">
        <v>30.000000000000004</v>
      </c>
      <c r="J1672" t="s">
        <v>20</v>
      </c>
    </row>
    <row r="1673" spans="1:10" x14ac:dyDescent="0.2">
      <c r="A1673">
        <v>11672</v>
      </c>
      <c r="B1673" t="s">
        <v>8</v>
      </c>
      <c r="C1673" t="s">
        <v>6</v>
      </c>
      <c r="D1673">
        <v>6.26</v>
      </c>
      <c r="E1673">
        <v>7</v>
      </c>
      <c r="F1673" t="s">
        <v>15</v>
      </c>
      <c r="G1673">
        <v>28</v>
      </c>
      <c r="H1673">
        <v>8.0128000000000004</v>
      </c>
      <c r="I1673">
        <v>28.000000000000004</v>
      </c>
      <c r="J1673" t="s">
        <v>20</v>
      </c>
    </row>
    <row r="1674" spans="1:10" x14ac:dyDescent="0.2">
      <c r="A1674">
        <v>11673</v>
      </c>
      <c r="B1674" t="s">
        <v>7</v>
      </c>
      <c r="C1674" t="s">
        <v>6</v>
      </c>
      <c r="D1674">
        <v>5.38</v>
      </c>
      <c r="E1674">
        <v>6</v>
      </c>
      <c r="F1674" t="s">
        <v>15</v>
      </c>
      <c r="G1674">
        <v>28</v>
      </c>
      <c r="H1674">
        <v>6.8864000000000001</v>
      </c>
      <c r="I1674">
        <v>28.000000000000004</v>
      </c>
      <c r="J1674" t="s">
        <v>20</v>
      </c>
    </row>
    <row r="1675" spans="1:10" x14ac:dyDescent="0.2">
      <c r="A1675">
        <v>11674</v>
      </c>
      <c r="B1675" t="s">
        <v>8</v>
      </c>
      <c r="C1675" t="s">
        <v>9</v>
      </c>
      <c r="D1675">
        <v>8.76</v>
      </c>
      <c r="E1675">
        <v>8</v>
      </c>
      <c r="F1675" t="s">
        <v>16</v>
      </c>
      <c r="G1675">
        <v>60</v>
      </c>
      <c r="H1675">
        <v>14.016</v>
      </c>
      <c r="I1675">
        <v>60.000000000000007</v>
      </c>
      <c r="J1675" t="s">
        <v>20</v>
      </c>
    </row>
    <row r="1676" spans="1:10" x14ac:dyDescent="0.2">
      <c r="A1676">
        <v>11675</v>
      </c>
      <c r="B1676" t="s">
        <v>8</v>
      </c>
      <c r="C1676" t="s">
        <v>6</v>
      </c>
      <c r="D1676">
        <v>12.99</v>
      </c>
      <c r="E1676">
        <v>9</v>
      </c>
      <c r="F1676" t="s">
        <v>16</v>
      </c>
      <c r="G1676">
        <v>55</v>
      </c>
      <c r="H1676">
        <v>20.134499999999999</v>
      </c>
      <c r="I1676">
        <v>54.999999999999986</v>
      </c>
      <c r="J1676" t="s">
        <v>20</v>
      </c>
    </row>
    <row r="1677" spans="1:10" x14ac:dyDescent="0.2">
      <c r="A1677">
        <v>11676</v>
      </c>
      <c r="B1677" t="s">
        <v>8</v>
      </c>
      <c r="C1677" t="s">
        <v>9</v>
      </c>
      <c r="D1677">
        <v>1.64</v>
      </c>
      <c r="E1677">
        <v>2</v>
      </c>
      <c r="F1677" t="s">
        <v>14</v>
      </c>
      <c r="G1677">
        <v>15</v>
      </c>
      <c r="H1677">
        <v>1.8859999999999997</v>
      </c>
      <c r="I1677">
        <v>14.999999999999991</v>
      </c>
      <c r="J1677" t="s">
        <v>20</v>
      </c>
    </row>
    <row r="1678" spans="1:10" x14ac:dyDescent="0.2">
      <c r="A1678">
        <v>11677</v>
      </c>
      <c r="B1678" t="s">
        <v>5</v>
      </c>
      <c r="C1678" t="s">
        <v>11</v>
      </c>
      <c r="D1678">
        <v>1.55</v>
      </c>
      <c r="E1678">
        <v>7</v>
      </c>
      <c r="F1678" t="s">
        <v>15</v>
      </c>
      <c r="G1678">
        <v>25</v>
      </c>
      <c r="H1678">
        <v>1.9375</v>
      </c>
      <c r="I1678">
        <v>25</v>
      </c>
      <c r="J1678" t="s">
        <v>20</v>
      </c>
    </row>
    <row r="1679" spans="1:10" x14ac:dyDescent="0.2">
      <c r="A1679">
        <v>11678</v>
      </c>
      <c r="B1679" t="s">
        <v>5</v>
      </c>
      <c r="C1679" t="s">
        <v>9</v>
      </c>
      <c r="D1679">
        <v>12.83</v>
      </c>
      <c r="E1679">
        <v>2</v>
      </c>
      <c r="F1679" t="s">
        <v>14</v>
      </c>
      <c r="G1679">
        <v>15</v>
      </c>
      <c r="H1679">
        <v>14.754499999999998</v>
      </c>
      <c r="I1679">
        <v>14.999999999999991</v>
      </c>
      <c r="J1679" t="s">
        <v>20</v>
      </c>
    </row>
    <row r="1680" spans="1:10" x14ac:dyDescent="0.2">
      <c r="A1680">
        <v>11679</v>
      </c>
      <c r="B1680" t="s">
        <v>10</v>
      </c>
      <c r="C1680" t="s">
        <v>6</v>
      </c>
      <c r="D1680">
        <v>3.59</v>
      </c>
      <c r="E1680">
        <v>6</v>
      </c>
      <c r="F1680" t="s">
        <v>15</v>
      </c>
      <c r="G1680">
        <v>28</v>
      </c>
      <c r="H1680">
        <v>4.5952000000000002</v>
      </c>
      <c r="I1680">
        <v>28.000000000000004</v>
      </c>
      <c r="J1680" t="s">
        <v>20</v>
      </c>
    </row>
    <row r="1681" spans="1:10" x14ac:dyDescent="0.2">
      <c r="A1681">
        <v>11680</v>
      </c>
      <c r="B1681" t="s">
        <v>10</v>
      </c>
      <c r="C1681" t="s">
        <v>9</v>
      </c>
      <c r="D1681">
        <v>10.199999999999999</v>
      </c>
      <c r="E1681">
        <v>2</v>
      </c>
      <c r="F1681" t="s">
        <v>14</v>
      </c>
      <c r="G1681">
        <v>15</v>
      </c>
      <c r="H1681">
        <v>11.729999999999999</v>
      </c>
      <c r="I1681">
        <v>14.999999999999991</v>
      </c>
      <c r="J1681" t="s">
        <v>20</v>
      </c>
    </row>
    <row r="1682" spans="1:10" x14ac:dyDescent="0.2">
      <c r="A1682">
        <v>11681</v>
      </c>
      <c r="B1682" t="s">
        <v>7</v>
      </c>
      <c r="C1682" t="s">
        <v>6</v>
      </c>
      <c r="D1682">
        <v>8.3699999999999992</v>
      </c>
      <c r="E1682">
        <v>10</v>
      </c>
      <c r="F1682" t="s">
        <v>16</v>
      </c>
      <c r="G1682">
        <v>55</v>
      </c>
      <c r="H1682">
        <v>12.9735</v>
      </c>
      <c r="I1682">
        <v>55.000000000000007</v>
      </c>
      <c r="J1682" t="s">
        <v>20</v>
      </c>
    </row>
    <row r="1683" spans="1:10" x14ac:dyDescent="0.2">
      <c r="A1683">
        <v>11682</v>
      </c>
      <c r="B1683" t="s">
        <v>10</v>
      </c>
      <c r="C1683" t="s">
        <v>11</v>
      </c>
      <c r="D1683">
        <v>12.58</v>
      </c>
      <c r="E1683">
        <v>6</v>
      </c>
      <c r="F1683" t="s">
        <v>15</v>
      </c>
      <c r="G1683">
        <v>25</v>
      </c>
      <c r="H1683">
        <v>15.725</v>
      </c>
      <c r="I1683">
        <v>25</v>
      </c>
      <c r="J1683" t="s">
        <v>20</v>
      </c>
    </row>
    <row r="1684" spans="1:10" x14ac:dyDescent="0.2">
      <c r="A1684">
        <v>11683</v>
      </c>
      <c r="B1684" t="s">
        <v>8</v>
      </c>
      <c r="C1684" t="s">
        <v>9</v>
      </c>
      <c r="D1684">
        <v>2.31</v>
      </c>
      <c r="E1684">
        <v>2</v>
      </c>
      <c r="F1684" t="s">
        <v>14</v>
      </c>
      <c r="G1684">
        <v>15</v>
      </c>
      <c r="H1684">
        <v>2.6564999999999999</v>
      </c>
      <c r="I1684">
        <v>14.999999999999991</v>
      </c>
      <c r="J1684" t="s">
        <v>20</v>
      </c>
    </row>
    <row r="1685" spans="1:10" x14ac:dyDescent="0.2">
      <c r="A1685">
        <v>11684</v>
      </c>
      <c r="B1685" t="s">
        <v>8</v>
      </c>
      <c r="C1685" t="s">
        <v>11</v>
      </c>
      <c r="D1685">
        <v>2.38</v>
      </c>
      <c r="E1685">
        <v>1</v>
      </c>
      <c r="F1685" t="s">
        <v>14</v>
      </c>
      <c r="G1685">
        <v>10</v>
      </c>
      <c r="H1685">
        <v>2.6179999999999999</v>
      </c>
      <c r="I1685">
        <v>10.000000000000009</v>
      </c>
      <c r="J1685" t="s">
        <v>20</v>
      </c>
    </row>
    <row r="1686" spans="1:10" x14ac:dyDescent="0.2">
      <c r="A1686">
        <v>11685</v>
      </c>
      <c r="B1686" t="s">
        <v>5</v>
      </c>
      <c r="C1686" t="s">
        <v>6</v>
      </c>
      <c r="D1686">
        <v>8.57</v>
      </c>
      <c r="E1686">
        <v>7</v>
      </c>
      <c r="F1686" t="s">
        <v>15</v>
      </c>
      <c r="G1686">
        <v>28</v>
      </c>
      <c r="H1686">
        <v>10.9696</v>
      </c>
      <c r="I1686">
        <v>28.000000000000004</v>
      </c>
      <c r="J1686" t="s">
        <v>20</v>
      </c>
    </row>
    <row r="1687" spans="1:10" x14ac:dyDescent="0.2">
      <c r="A1687">
        <v>11686</v>
      </c>
      <c r="B1687" t="s">
        <v>8</v>
      </c>
      <c r="C1687" t="s">
        <v>6</v>
      </c>
      <c r="D1687">
        <v>14.22</v>
      </c>
      <c r="E1687">
        <v>3</v>
      </c>
      <c r="F1687" t="s">
        <v>14</v>
      </c>
      <c r="G1687">
        <v>12</v>
      </c>
      <c r="H1687">
        <v>15.926400000000003</v>
      </c>
      <c r="I1687">
        <v>12.000000000000011</v>
      </c>
      <c r="J1687" t="s">
        <v>20</v>
      </c>
    </row>
    <row r="1688" spans="1:10" x14ac:dyDescent="0.2">
      <c r="A1688">
        <v>11687</v>
      </c>
      <c r="B1688" t="s">
        <v>7</v>
      </c>
      <c r="C1688" t="s">
        <v>11</v>
      </c>
      <c r="D1688">
        <v>6.52</v>
      </c>
      <c r="E1688">
        <v>4</v>
      </c>
      <c r="F1688" t="s">
        <v>15</v>
      </c>
      <c r="G1688">
        <v>25</v>
      </c>
      <c r="H1688">
        <v>8.1499999999999986</v>
      </c>
      <c r="I1688">
        <v>24.999999999999979</v>
      </c>
      <c r="J1688" t="s">
        <v>20</v>
      </c>
    </row>
    <row r="1689" spans="1:10" x14ac:dyDescent="0.2">
      <c r="A1689">
        <v>11688</v>
      </c>
      <c r="B1689" t="s">
        <v>8</v>
      </c>
      <c r="C1689" t="s">
        <v>9</v>
      </c>
      <c r="D1689">
        <v>5.24</v>
      </c>
      <c r="E1689">
        <v>6</v>
      </c>
      <c r="F1689" t="s">
        <v>15</v>
      </c>
      <c r="G1689">
        <v>30</v>
      </c>
      <c r="H1689">
        <v>6.8120000000000003</v>
      </c>
      <c r="I1689">
        <v>30.000000000000004</v>
      </c>
      <c r="J1689" t="s">
        <v>20</v>
      </c>
    </row>
    <row r="1690" spans="1:10" x14ac:dyDescent="0.2">
      <c r="A1690">
        <v>11689</v>
      </c>
      <c r="B1690" t="s">
        <v>8</v>
      </c>
      <c r="C1690" t="s">
        <v>9</v>
      </c>
      <c r="D1690">
        <v>9.3000000000000007</v>
      </c>
      <c r="E1690">
        <v>5</v>
      </c>
      <c r="F1690" t="s">
        <v>15</v>
      </c>
      <c r="G1690">
        <v>30</v>
      </c>
      <c r="H1690">
        <v>12.090000000000002</v>
      </c>
      <c r="I1690">
        <v>30.000000000000004</v>
      </c>
      <c r="J1690" t="s">
        <v>20</v>
      </c>
    </row>
    <row r="1691" spans="1:10" x14ac:dyDescent="0.2">
      <c r="A1691">
        <v>11690</v>
      </c>
      <c r="B1691" t="s">
        <v>7</v>
      </c>
      <c r="C1691" t="s">
        <v>6</v>
      </c>
      <c r="D1691">
        <v>13.99</v>
      </c>
      <c r="E1691">
        <v>4</v>
      </c>
      <c r="F1691" t="s">
        <v>15</v>
      </c>
      <c r="G1691">
        <v>28</v>
      </c>
      <c r="H1691">
        <v>17.9072</v>
      </c>
      <c r="I1691">
        <v>28.000000000000004</v>
      </c>
      <c r="J1691" t="s">
        <v>20</v>
      </c>
    </row>
    <row r="1692" spans="1:10" x14ac:dyDescent="0.2">
      <c r="A1692">
        <v>11691</v>
      </c>
      <c r="B1692" t="s">
        <v>10</v>
      </c>
      <c r="C1692" t="s">
        <v>11</v>
      </c>
      <c r="D1692">
        <v>12.64</v>
      </c>
      <c r="E1692">
        <v>9</v>
      </c>
      <c r="F1692" t="s">
        <v>16</v>
      </c>
      <c r="G1692">
        <v>50</v>
      </c>
      <c r="H1692">
        <v>18.96</v>
      </c>
      <c r="I1692">
        <v>50</v>
      </c>
      <c r="J1692" t="s">
        <v>20</v>
      </c>
    </row>
    <row r="1693" spans="1:10" x14ac:dyDescent="0.2">
      <c r="A1693">
        <v>11692</v>
      </c>
      <c r="B1693" t="s">
        <v>10</v>
      </c>
      <c r="C1693" t="s">
        <v>11</v>
      </c>
      <c r="D1693">
        <v>14.93</v>
      </c>
      <c r="E1693">
        <v>6</v>
      </c>
      <c r="F1693" t="s">
        <v>15</v>
      </c>
      <c r="G1693">
        <v>25</v>
      </c>
      <c r="H1693">
        <v>18.662500000000001</v>
      </c>
      <c r="I1693">
        <v>25.000000000000021</v>
      </c>
      <c r="J1693" t="s">
        <v>20</v>
      </c>
    </row>
    <row r="1694" spans="1:10" x14ac:dyDescent="0.2">
      <c r="A1694">
        <v>11693</v>
      </c>
      <c r="B1694" t="s">
        <v>7</v>
      </c>
      <c r="C1694" t="s">
        <v>9</v>
      </c>
      <c r="D1694">
        <v>0.83</v>
      </c>
      <c r="E1694">
        <v>6</v>
      </c>
      <c r="F1694" t="s">
        <v>15</v>
      </c>
      <c r="G1694">
        <v>30</v>
      </c>
      <c r="H1694">
        <v>1.079</v>
      </c>
      <c r="I1694">
        <v>30.000000000000004</v>
      </c>
      <c r="J1694" t="s">
        <v>20</v>
      </c>
    </row>
    <row r="1695" spans="1:10" x14ac:dyDescent="0.2">
      <c r="A1695">
        <v>11694</v>
      </c>
      <c r="B1695" t="s">
        <v>5</v>
      </c>
      <c r="C1695" t="s">
        <v>9</v>
      </c>
      <c r="D1695">
        <v>2.14</v>
      </c>
      <c r="E1695">
        <v>2</v>
      </c>
      <c r="F1695" t="s">
        <v>14</v>
      </c>
      <c r="G1695">
        <v>15</v>
      </c>
      <c r="H1695">
        <v>2.4609999999999999</v>
      </c>
      <c r="I1695">
        <v>14.999999999999991</v>
      </c>
      <c r="J1695" t="s">
        <v>20</v>
      </c>
    </row>
    <row r="1696" spans="1:10" x14ac:dyDescent="0.2">
      <c r="A1696">
        <v>11695</v>
      </c>
      <c r="B1696" t="s">
        <v>8</v>
      </c>
      <c r="C1696" t="s">
        <v>9</v>
      </c>
      <c r="D1696">
        <v>9.34</v>
      </c>
      <c r="E1696">
        <v>6</v>
      </c>
      <c r="F1696" t="s">
        <v>15</v>
      </c>
      <c r="G1696">
        <v>30</v>
      </c>
      <c r="H1696">
        <v>12.141999999999999</v>
      </c>
      <c r="I1696">
        <v>30.000000000000004</v>
      </c>
      <c r="J1696" t="s">
        <v>20</v>
      </c>
    </row>
    <row r="1697" spans="1:10" x14ac:dyDescent="0.2">
      <c r="A1697">
        <v>11696</v>
      </c>
      <c r="B1697" t="s">
        <v>7</v>
      </c>
      <c r="C1697" t="s">
        <v>11</v>
      </c>
      <c r="D1697">
        <v>12.4</v>
      </c>
      <c r="E1697">
        <v>7</v>
      </c>
      <c r="F1697" t="s">
        <v>15</v>
      </c>
      <c r="G1697">
        <v>25</v>
      </c>
      <c r="H1697">
        <v>15.5</v>
      </c>
      <c r="I1697">
        <v>25</v>
      </c>
      <c r="J1697" t="s">
        <v>20</v>
      </c>
    </row>
    <row r="1698" spans="1:10" x14ac:dyDescent="0.2">
      <c r="A1698">
        <v>11697</v>
      </c>
      <c r="B1698" t="s">
        <v>8</v>
      </c>
      <c r="C1698" t="s">
        <v>9</v>
      </c>
      <c r="D1698">
        <v>4.6399999999999997</v>
      </c>
      <c r="E1698">
        <v>8</v>
      </c>
      <c r="F1698" t="s">
        <v>16</v>
      </c>
      <c r="G1698">
        <v>60</v>
      </c>
      <c r="H1698">
        <v>7.4239999999999995</v>
      </c>
      <c r="I1698">
        <v>60.000000000000007</v>
      </c>
      <c r="J1698" t="s">
        <v>20</v>
      </c>
    </row>
    <row r="1699" spans="1:10" x14ac:dyDescent="0.2">
      <c r="A1699">
        <v>11698</v>
      </c>
      <c r="B1699" t="s">
        <v>5</v>
      </c>
      <c r="C1699" t="s">
        <v>9</v>
      </c>
      <c r="D1699">
        <v>3.97</v>
      </c>
      <c r="E1699">
        <v>8</v>
      </c>
      <c r="F1699" t="s">
        <v>16</v>
      </c>
      <c r="G1699">
        <v>60</v>
      </c>
      <c r="H1699">
        <v>6.3520000000000003</v>
      </c>
      <c r="I1699">
        <v>60.000000000000007</v>
      </c>
      <c r="J1699" t="s">
        <v>20</v>
      </c>
    </row>
    <row r="1700" spans="1:10" x14ac:dyDescent="0.2">
      <c r="A1700">
        <v>11699</v>
      </c>
      <c r="B1700" t="s">
        <v>8</v>
      </c>
      <c r="C1700" t="s">
        <v>6</v>
      </c>
      <c r="D1700">
        <v>11.91</v>
      </c>
      <c r="E1700">
        <v>9</v>
      </c>
      <c r="F1700" t="s">
        <v>16</v>
      </c>
      <c r="G1700">
        <v>55</v>
      </c>
      <c r="H1700">
        <v>18.4605</v>
      </c>
      <c r="I1700">
        <v>55.000000000000007</v>
      </c>
      <c r="J1700" t="s">
        <v>20</v>
      </c>
    </row>
    <row r="1701" spans="1:10" x14ac:dyDescent="0.2">
      <c r="A1701">
        <v>11700</v>
      </c>
      <c r="B1701" t="s">
        <v>7</v>
      </c>
      <c r="C1701" t="s">
        <v>9</v>
      </c>
      <c r="D1701">
        <v>1.32</v>
      </c>
      <c r="E1701">
        <v>10</v>
      </c>
      <c r="F1701" t="s">
        <v>16</v>
      </c>
      <c r="G1701">
        <v>60</v>
      </c>
      <c r="H1701">
        <v>2.1120000000000001</v>
      </c>
      <c r="I1701">
        <v>60.000000000000007</v>
      </c>
      <c r="J1701" t="s">
        <v>20</v>
      </c>
    </row>
    <row r="1702" spans="1:10" x14ac:dyDescent="0.2">
      <c r="A1702">
        <v>11701</v>
      </c>
      <c r="B1702" t="s">
        <v>8</v>
      </c>
      <c r="C1702" t="s">
        <v>9</v>
      </c>
      <c r="D1702">
        <v>5.86</v>
      </c>
      <c r="E1702">
        <v>3</v>
      </c>
      <c r="F1702" t="s">
        <v>14</v>
      </c>
      <c r="G1702">
        <v>15</v>
      </c>
      <c r="H1702">
        <v>6.7389999999999999</v>
      </c>
      <c r="I1702">
        <v>14.999999999999991</v>
      </c>
      <c r="J1702" t="s">
        <v>20</v>
      </c>
    </row>
    <row r="1703" spans="1:10" x14ac:dyDescent="0.2">
      <c r="A1703">
        <v>11702</v>
      </c>
      <c r="B1703" t="s">
        <v>10</v>
      </c>
      <c r="C1703" t="s">
        <v>11</v>
      </c>
      <c r="D1703">
        <v>7.83</v>
      </c>
      <c r="E1703">
        <v>10</v>
      </c>
      <c r="F1703" t="s">
        <v>16</v>
      </c>
      <c r="G1703">
        <v>50</v>
      </c>
      <c r="H1703">
        <v>11.745000000000001</v>
      </c>
      <c r="I1703">
        <v>50.000000000000021</v>
      </c>
      <c r="J1703" t="s">
        <v>20</v>
      </c>
    </row>
    <row r="1704" spans="1:10" x14ac:dyDescent="0.2">
      <c r="A1704">
        <v>11703</v>
      </c>
      <c r="B1704" t="s">
        <v>5</v>
      </c>
      <c r="C1704" t="s">
        <v>11</v>
      </c>
      <c r="D1704">
        <v>8.6300000000000008</v>
      </c>
      <c r="E1704">
        <v>7</v>
      </c>
      <c r="F1704" t="s">
        <v>15</v>
      </c>
      <c r="G1704">
        <v>25</v>
      </c>
      <c r="H1704">
        <v>10.787500000000001</v>
      </c>
      <c r="I1704">
        <v>25</v>
      </c>
      <c r="J1704" t="s">
        <v>20</v>
      </c>
    </row>
    <row r="1705" spans="1:10" x14ac:dyDescent="0.2">
      <c r="A1705">
        <v>11704</v>
      </c>
      <c r="B1705" t="s">
        <v>5</v>
      </c>
      <c r="C1705" t="s">
        <v>6</v>
      </c>
      <c r="D1705">
        <v>11.06</v>
      </c>
      <c r="E1705">
        <v>7</v>
      </c>
      <c r="F1705" t="s">
        <v>15</v>
      </c>
      <c r="G1705">
        <v>28</v>
      </c>
      <c r="H1705">
        <v>14.1568</v>
      </c>
      <c r="I1705">
        <v>28.000000000000004</v>
      </c>
      <c r="J1705" t="s">
        <v>20</v>
      </c>
    </row>
    <row r="1706" spans="1:10" x14ac:dyDescent="0.2">
      <c r="A1706">
        <v>11705</v>
      </c>
      <c r="B1706" t="s">
        <v>5</v>
      </c>
      <c r="C1706" t="s">
        <v>9</v>
      </c>
      <c r="D1706">
        <v>5.65</v>
      </c>
      <c r="E1706">
        <v>1</v>
      </c>
      <c r="F1706" t="s">
        <v>14</v>
      </c>
      <c r="G1706">
        <v>15</v>
      </c>
      <c r="H1706">
        <v>6.4974999999999996</v>
      </c>
      <c r="I1706">
        <v>14.999999999999991</v>
      </c>
      <c r="J1706" t="s">
        <v>20</v>
      </c>
    </row>
    <row r="1707" spans="1:10" x14ac:dyDescent="0.2">
      <c r="A1707">
        <v>11706</v>
      </c>
      <c r="B1707" t="s">
        <v>7</v>
      </c>
      <c r="C1707" t="s">
        <v>6</v>
      </c>
      <c r="D1707">
        <v>9.3800000000000008</v>
      </c>
      <c r="E1707">
        <v>8</v>
      </c>
      <c r="F1707" t="s">
        <v>16</v>
      </c>
      <c r="G1707">
        <v>55</v>
      </c>
      <c r="H1707">
        <v>14.539000000000001</v>
      </c>
      <c r="I1707">
        <v>55.000000000000007</v>
      </c>
      <c r="J1707" t="s">
        <v>20</v>
      </c>
    </row>
    <row r="1708" spans="1:10" x14ac:dyDescent="0.2">
      <c r="A1708">
        <v>11707</v>
      </c>
      <c r="B1708" t="s">
        <v>5</v>
      </c>
      <c r="C1708" t="s">
        <v>11</v>
      </c>
      <c r="D1708">
        <v>8.99</v>
      </c>
      <c r="E1708">
        <v>4</v>
      </c>
      <c r="F1708" t="s">
        <v>15</v>
      </c>
      <c r="G1708">
        <v>25</v>
      </c>
      <c r="H1708">
        <v>11.237500000000001</v>
      </c>
      <c r="I1708">
        <v>25</v>
      </c>
      <c r="J1708" t="s">
        <v>20</v>
      </c>
    </row>
    <row r="1709" spans="1:10" x14ac:dyDescent="0.2">
      <c r="A1709">
        <v>11708</v>
      </c>
      <c r="B1709" t="s">
        <v>10</v>
      </c>
      <c r="C1709" t="s">
        <v>6</v>
      </c>
      <c r="D1709">
        <v>8.44</v>
      </c>
      <c r="E1709">
        <v>5</v>
      </c>
      <c r="F1709" t="s">
        <v>15</v>
      </c>
      <c r="G1709">
        <v>28</v>
      </c>
      <c r="H1709">
        <v>10.8032</v>
      </c>
      <c r="I1709">
        <v>28.000000000000004</v>
      </c>
      <c r="J1709" t="s">
        <v>20</v>
      </c>
    </row>
    <row r="1710" spans="1:10" x14ac:dyDescent="0.2">
      <c r="A1710">
        <v>11709</v>
      </c>
      <c r="B1710" t="s">
        <v>7</v>
      </c>
      <c r="C1710" t="s">
        <v>11</v>
      </c>
      <c r="D1710">
        <v>9.7899999999999991</v>
      </c>
      <c r="E1710">
        <v>6</v>
      </c>
      <c r="F1710" t="s">
        <v>15</v>
      </c>
      <c r="G1710">
        <v>25</v>
      </c>
      <c r="H1710">
        <v>12.237499999999999</v>
      </c>
      <c r="I1710">
        <v>25</v>
      </c>
      <c r="J1710" t="s">
        <v>20</v>
      </c>
    </row>
    <row r="1711" spans="1:10" x14ac:dyDescent="0.2">
      <c r="A1711">
        <v>11710</v>
      </c>
      <c r="B1711" t="s">
        <v>10</v>
      </c>
      <c r="C1711" t="s">
        <v>6</v>
      </c>
      <c r="D1711">
        <v>4.26</v>
      </c>
      <c r="E1711">
        <v>3</v>
      </c>
      <c r="F1711" t="s">
        <v>14</v>
      </c>
      <c r="G1711">
        <v>12</v>
      </c>
      <c r="H1711">
        <v>4.7712000000000003</v>
      </c>
      <c r="I1711">
        <v>12.000000000000011</v>
      </c>
      <c r="J1711" t="s">
        <v>20</v>
      </c>
    </row>
    <row r="1712" spans="1:10" x14ac:dyDescent="0.2">
      <c r="A1712">
        <v>11711</v>
      </c>
      <c r="B1712" t="s">
        <v>8</v>
      </c>
      <c r="C1712" t="s">
        <v>6</v>
      </c>
      <c r="D1712">
        <v>1.73</v>
      </c>
      <c r="E1712">
        <v>5</v>
      </c>
      <c r="F1712" t="s">
        <v>15</v>
      </c>
      <c r="G1712">
        <v>28</v>
      </c>
      <c r="H1712">
        <v>2.2143999999999999</v>
      </c>
      <c r="I1712">
        <v>28.000000000000004</v>
      </c>
      <c r="J1712" t="s">
        <v>20</v>
      </c>
    </row>
    <row r="1713" spans="1:10" x14ac:dyDescent="0.2">
      <c r="A1713">
        <v>11712</v>
      </c>
      <c r="B1713" t="s">
        <v>8</v>
      </c>
      <c r="C1713" t="s">
        <v>9</v>
      </c>
      <c r="D1713">
        <v>2.23</v>
      </c>
      <c r="E1713">
        <v>10</v>
      </c>
      <c r="F1713" t="s">
        <v>16</v>
      </c>
      <c r="G1713">
        <v>60</v>
      </c>
      <c r="H1713">
        <v>3.5680000000000001</v>
      </c>
      <c r="I1713">
        <v>60.000000000000007</v>
      </c>
      <c r="J1713" t="s">
        <v>20</v>
      </c>
    </row>
    <row r="1714" spans="1:10" x14ac:dyDescent="0.2">
      <c r="A1714">
        <v>11713</v>
      </c>
      <c r="B1714" t="s">
        <v>8</v>
      </c>
      <c r="C1714" t="s">
        <v>6</v>
      </c>
      <c r="D1714">
        <v>3.76</v>
      </c>
      <c r="E1714">
        <v>5</v>
      </c>
      <c r="F1714" t="s">
        <v>15</v>
      </c>
      <c r="G1714">
        <v>28</v>
      </c>
      <c r="H1714">
        <v>4.8128000000000002</v>
      </c>
      <c r="I1714">
        <v>28.000000000000004</v>
      </c>
      <c r="J1714" t="s">
        <v>20</v>
      </c>
    </row>
    <row r="1715" spans="1:10" x14ac:dyDescent="0.2">
      <c r="A1715">
        <v>11714</v>
      </c>
      <c r="B1715" t="s">
        <v>8</v>
      </c>
      <c r="C1715" t="s">
        <v>9</v>
      </c>
      <c r="D1715">
        <v>7.75</v>
      </c>
      <c r="E1715">
        <v>1</v>
      </c>
      <c r="F1715" t="s">
        <v>14</v>
      </c>
      <c r="G1715">
        <v>15</v>
      </c>
      <c r="H1715">
        <v>8.9124999999999996</v>
      </c>
      <c r="I1715">
        <v>14.999999999999991</v>
      </c>
      <c r="J1715" t="s">
        <v>20</v>
      </c>
    </row>
    <row r="1716" spans="1:10" x14ac:dyDescent="0.2">
      <c r="A1716">
        <v>11715</v>
      </c>
      <c r="B1716" t="s">
        <v>10</v>
      </c>
      <c r="C1716" t="s">
        <v>9</v>
      </c>
      <c r="D1716">
        <v>12.69</v>
      </c>
      <c r="E1716">
        <v>3</v>
      </c>
      <c r="F1716" t="s">
        <v>14</v>
      </c>
      <c r="G1716">
        <v>15</v>
      </c>
      <c r="H1716">
        <v>14.593499999999999</v>
      </c>
      <c r="I1716">
        <v>14.999999999999991</v>
      </c>
      <c r="J1716" t="s">
        <v>20</v>
      </c>
    </row>
    <row r="1717" spans="1:10" x14ac:dyDescent="0.2">
      <c r="A1717">
        <v>11716</v>
      </c>
      <c r="B1717" t="s">
        <v>7</v>
      </c>
      <c r="C1717" t="s">
        <v>9</v>
      </c>
      <c r="D1717">
        <v>10.67</v>
      </c>
      <c r="E1717">
        <v>3</v>
      </c>
      <c r="F1717" t="s">
        <v>14</v>
      </c>
      <c r="G1717">
        <v>15</v>
      </c>
      <c r="H1717">
        <v>12.270499999999998</v>
      </c>
      <c r="I1717">
        <v>14.999999999999991</v>
      </c>
      <c r="J1717" t="s">
        <v>20</v>
      </c>
    </row>
    <row r="1718" spans="1:10" x14ac:dyDescent="0.2">
      <c r="A1718">
        <v>11717</v>
      </c>
      <c r="B1718" t="s">
        <v>7</v>
      </c>
      <c r="C1718" t="s">
        <v>9</v>
      </c>
      <c r="D1718">
        <v>11.94</v>
      </c>
      <c r="E1718">
        <v>1</v>
      </c>
      <c r="F1718" t="s">
        <v>14</v>
      </c>
      <c r="G1718">
        <v>15</v>
      </c>
      <c r="H1718">
        <v>13.730999999999998</v>
      </c>
      <c r="I1718">
        <v>14.999999999999991</v>
      </c>
      <c r="J1718" t="s">
        <v>20</v>
      </c>
    </row>
    <row r="1719" spans="1:10" x14ac:dyDescent="0.2">
      <c r="A1719">
        <v>11718</v>
      </c>
      <c r="B1719" t="s">
        <v>5</v>
      </c>
      <c r="C1719" t="s">
        <v>6</v>
      </c>
      <c r="D1719">
        <v>5.59</v>
      </c>
      <c r="E1719">
        <v>7</v>
      </c>
      <c r="F1719" t="s">
        <v>15</v>
      </c>
      <c r="G1719">
        <v>28</v>
      </c>
      <c r="H1719">
        <v>7.1551999999999998</v>
      </c>
      <c r="I1719">
        <v>28.000000000000004</v>
      </c>
      <c r="J1719" t="s">
        <v>20</v>
      </c>
    </row>
    <row r="1720" spans="1:10" x14ac:dyDescent="0.2">
      <c r="A1720">
        <v>11719</v>
      </c>
      <c r="B1720" t="s">
        <v>10</v>
      </c>
      <c r="C1720" t="s">
        <v>11</v>
      </c>
      <c r="D1720">
        <v>6.37</v>
      </c>
      <c r="E1720">
        <v>1</v>
      </c>
      <c r="F1720" t="s">
        <v>14</v>
      </c>
      <c r="G1720">
        <v>10</v>
      </c>
      <c r="H1720">
        <v>7.0070000000000006</v>
      </c>
      <c r="I1720">
        <v>10.000000000000009</v>
      </c>
      <c r="J1720" t="s">
        <v>20</v>
      </c>
    </row>
    <row r="1721" spans="1:10" x14ac:dyDescent="0.2">
      <c r="A1721">
        <v>11720</v>
      </c>
      <c r="B1721" t="s">
        <v>8</v>
      </c>
      <c r="C1721" t="s">
        <v>11</v>
      </c>
      <c r="D1721">
        <v>6.21</v>
      </c>
      <c r="E1721">
        <v>7</v>
      </c>
      <c r="F1721" t="s">
        <v>15</v>
      </c>
      <c r="G1721">
        <v>25</v>
      </c>
      <c r="H1721">
        <v>7.7625000000000002</v>
      </c>
      <c r="I1721">
        <v>25</v>
      </c>
      <c r="J1721" t="s">
        <v>20</v>
      </c>
    </row>
    <row r="1722" spans="1:10" x14ac:dyDescent="0.2">
      <c r="A1722">
        <v>11721</v>
      </c>
      <c r="B1722" t="s">
        <v>10</v>
      </c>
      <c r="C1722" t="s">
        <v>11</v>
      </c>
      <c r="D1722">
        <v>3.28</v>
      </c>
      <c r="E1722">
        <v>4</v>
      </c>
      <c r="F1722" t="s">
        <v>15</v>
      </c>
      <c r="G1722">
        <v>25</v>
      </c>
      <c r="H1722">
        <v>4.0999999999999996</v>
      </c>
      <c r="I1722">
        <v>25</v>
      </c>
      <c r="J1722" t="s">
        <v>20</v>
      </c>
    </row>
    <row r="1723" spans="1:10" x14ac:dyDescent="0.2">
      <c r="A1723">
        <v>11722</v>
      </c>
      <c r="B1723" t="s">
        <v>5</v>
      </c>
      <c r="C1723" t="s">
        <v>6</v>
      </c>
      <c r="D1723">
        <v>1.39</v>
      </c>
      <c r="E1723">
        <v>9</v>
      </c>
      <c r="F1723" t="s">
        <v>16</v>
      </c>
      <c r="G1723">
        <v>55</v>
      </c>
      <c r="H1723">
        <v>2.1545000000000001</v>
      </c>
      <c r="I1723">
        <v>55.000000000000028</v>
      </c>
      <c r="J1723" t="s">
        <v>20</v>
      </c>
    </row>
    <row r="1724" spans="1:10" x14ac:dyDescent="0.2">
      <c r="A1724">
        <v>11723</v>
      </c>
      <c r="B1724" t="s">
        <v>5</v>
      </c>
      <c r="C1724" t="s">
        <v>9</v>
      </c>
      <c r="D1724">
        <v>9.07</v>
      </c>
      <c r="E1724">
        <v>7</v>
      </c>
      <c r="F1724" t="s">
        <v>15</v>
      </c>
      <c r="G1724">
        <v>30</v>
      </c>
      <c r="H1724">
        <v>11.791</v>
      </c>
      <c r="I1724">
        <v>30.000000000000004</v>
      </c>
      <c r="J1724" t="s">
        <v>20</v>
      </c>
    </row>
    <row r="1725" spans="1:10" x14ac:dyDescent="0.2">
      <c r="A1725">
        <v>11724</v>
      </c>
      <c r="B1725" t="s">
        <v>10</v>
      </c>
      <c r="C1725" t="s">
        <v>11</v>
      </c>
      <c r="D1725">
        <v>14.84</v>
      </c>
      <c r="E1725">
        <v>5</v>
      </c>
      <c r="F1725" t="s">
        <v>15</v>
      </c>
      <c r="G1725">
        <v>25</v>
      </c>
      <c r="H1725">
        <v>18.55</v>
      </c>
      <c r="I1725">
        <v>25</v>
      </c>
      <c r="J1725" t="s">
        <v>20</v>
      </c>
    </row>
    <row r="1726" spans="1:10" x14ac:dyDescent="0.2">
      <c r="A1726">
        <v>11725</v>
      </c>
      <c r="B1726" t="s">
        <v>10</v>
      </c>
      <c r="C1726" t="s">
        <v>6</v>
      </c>
      <c r="D1726">
        <v>2.92</v>
      </c>
      <c r="E1726">
        <v>7</v>
      </c>
      <c r="F1726" t="s">
        <v>15</v>
      </c>
      <c r="G1726">
        <v>28</v>
      </c>
      <c r="H1726">
        <v>3.7376</v>
      </c>
      <c r="I1726">
        <v>28.000000000000004</v>
      </c>
      <c r="J1726" t="s">
        <v>20</v>
      </c>
    </row>
    <row r="1727" spans="1:10" x14ac:dyDescent="0.2">
      <c r="A1727">
        <v>11726</v>
      </c>
      <c r="B1727" t="s">
        <v>10</v>
      </c>
      <c r="C1727" t="s">
        <v>9</v>
      </c>
      <c r="D1727">
        <v>1.18</v>
      </c>
      <c r="E1727">
        <v>9</v>
      </c>
      <c r="F1727" t="s">
        <v>16</v>
      </c>
      <c r="G1727">
        <v>60</v>
      </c>
      <c r="H1727">
        <v>1.8879999999999999</v>
      </c>
      <c r="I1727">
        <v>60.000000000000007</v>
      </c>
      <c r="J1727" t="s">
        <v>20</v>
      </c>
    </row>
    <row r="1728" spans="1:10" x14ac:dyDescent="0.2">
      <c r="A1728">
        <v>11727</v>
      </c>
      <c r="B1728" t="s">
        <v>7</v>
      </c>
      <c r="C1728" t="s">
        <v>11</v>
      </c>
      <c r="D1728">
        <v>11.8</v>
      </c>
      <c r="E1728">
        <v>10</v>
      </c>
      <c r="F1728" t="s">
        <v>16</v>
      </c>
      <c r="G1728">
        <v>50</v>
      </c>
      <c r="H1728">
        <v>17.700000000000003</v>
      </c>
      <c r="I1728">
        <v>50.000000000000021</v>
      </c>
      <c r="J1728" t="s">
        <v>20</v>
      </c>
    </row>
    <row r="1729" spans="1:10" x14ac:dyDescent="0.2">
      <c r="A1729">
        <v>11728</v>
      </c>
      <c r="B1729" t="s">
        <v>8</v>
      </c>
      <c r="C1729" t="s">
        <v>9</v>
      </c>
      <c r="D1729">
        <v>4.16</v>
      </c>
      <c r="E1729">
        <v>6</v>
      </c>
      <c r="F1729" t="s">
        <v>15</v>
      </c>
      <c r="G1729">
        <v>30</v>
      </c>
      <c r="H1729">
        <v>5.4080000000000004</v>
      </c>
      <c r="I1729">
        <v>30.000000000000004</v>
      </c>
      <c r="J1729" t="s">
        <v>20</v>
      </c>
    </row>
    <row r="1730" spans="1:10" x14ac:dyDescent="0.2">
      <c r="A1730">
        <v>11729</v>
      </c>
      <c r="B1730" t="s">
        <v>10</v>
      </c>
      <c r="C1730" t="s">
        <v>11</v>
      </c>
      <c r="D1730">
        <v>12.53</v>
      </c>
      <c r="E1730">
        <v>1</v>
      </c>
      <c r="F1730" t="s">
        <v>14</v>
      </c>
      <c r="G1730">
        <v>10</v>
      </c>
      <c r="H1730">
        <v>13.783000000000001</v>
      </c>
      <c r="I1730">
        <v>10.000000000000009</v>
      </c>
      <c r="J1730" t="s">
        <v>20</v>
      </c>
    </row>
    <row r="1731" spans="1:10" x14ac:dyDescent="0.2">
      <c r="A1731">
        <v>11730</v>
      </c>
      <c r="B1731" t="s">
        <v>10</v>
      </c>
      <c r="C1731" t="s">
        <v>11</v>
      </c>
      <c r="D1731">
        <v>10.71</v>
      </c>
      <c r="E1731">
        <v>6</v>
      </c>
      <c r="F1731" t="s">
        <v>15</v>
      </c>
      <c r="G1731">
        <v>25</v>
      </c>
      <c r="H1731">
        <v>13.387500000000001</v>
      </c>
      <c r="I1731">
        <v>25</v>
      </c>
      <c r="J1731" t="s">
        <v>20</v>
      </c>
    </row>
    <row r="1732" spans="1:10" x14ac:dyDescent="0.2">
      <c r="A1732">
        <v>11731</v>
      </c>
      <c r="B1732" t="s">
        <v>10</v>
      </c>
      <c r="C1732" t="s">
        <v>11</v>
      </c>
      <c r="D1732">
        <v>14.21</v>
      </c>
      <c r="E1732">
        <v>1</v>
      </c>
      <c r="F1732" t="s">
        <v>14</v>
      </c>
      <c r="G1732">
        <v>10</v>
      </c>
      <c r="H1732">
        <v>15.631000000000002</v>
      </c>
      <c r="I1732">
        <v>10.000000000000009</v>
      </c>
      <c r="J1732" t="s">
        <v>20</v>
      </c>
    </row>
    <row r="1733" spans="1:10" x14ac:dyDescent="0.2">
      <c r="A1733">
        <v>11732</v>
      </c>
      <c r="B1733" t="s">
        <v>5</v>
      </c>
      <c r="C1733" t="s">
        <v>9</v>
      </c>
      <c r="D1733">
        <v>6.43</v>
      </c>
      <c r="E1733">
        <v>4</v>
      </c>
      <c r="F1733" t="s">
        <v>15</v>
      </c>
      <c r="G1733">
        <v>30</v>
      </c>
      <c r="H1733">
        <v>8.359</v>
      </c>
      <c r="I1733">
        <v>30.000000000000004</v>
      </c>
      <c r="J1733" t="s">
        <v>20</v>
      </c>
    </row>
    <row r="1734" spans="1:10" x14ac:dyDescent="0.2">
      <c r="A1734">
        <v>11733</v>
      </c>
      <c r="B1734" t="s">
        <v>5</v>
      </c>
      <c r="C1734" t="s">
        <v>6</v>
      </c>
      <c r="D1734">
        <v>10.1</v>
      </c>
      <c r="E1734">
        <v>8</v>
      </c>
      <c r="F1734" t="s">
        <v>16</v>
      </c>
      <c r="G1734">
        <v>55</v>
      </c>
      <c r="H1734">
        <v>15.654999999999999</v>
      </c>
      <c r="I1734">
        <v>55.000000000000007</v>
      </c>
      <c r="J1734" t="s">
        <v>20</v>
      </c>
    </row>
    <row r="1735" spans="1:10" x14ac:dyDescent="0.2">
      <c r="A1735">
        <v>11734</v>
      </c>
      <c r="B1735" t="s">
        <v>7</v>
      </c>
      <c r="C1735" t="s">
        <v>9</v>
      </c>
      <c r="D1735">
        <v>7.24</v>
      </c>
      <c r="E1735">
        <v>5</v>
      </c>
      <c r="F1735" t="s">
        <v>15</v>
      </c>
      <c r="G1735">
        <v>30</v>
      </c>
      <c r="H1735">
        <v>9.4120000000000008</v>
      </c>
      <c r="I1735">
        <v>30.000000000000004</v>
      </c>
      <c r="J1735" t="s">
        <v>20</v>
      </c>
    </row>
    <row r="1736" spans="1:10" x14ac:dyDescent="0.2">
      <c r="A1736">
        <v>11735</v>
      </c>
      <c r="B1736" t="s">
        <v>8</v>
      </c>
      <c r="C1736" t="s">
        <v>11</v>
      </c>
      <c r="D1736">
        <v>9.64</v>
      </c>
      <c r="E1736">
        <v>5</v>
      </c>
      <c r="F1736" t="s">
        <v>15</v>
      </c>
      <c r="G1736">
        <v>25</v>
      </c>
      <c r="H1736">
        <v>12.05</v>
      </c>
      <c r="I1736">
        <v>25</v>
      </c>
      <c r="J1736" t="s">
        <v>20</v>
      </c>
    </row>
    <row r="1737" spans="1:10" x14ac:dyDescent="0.2">
      <c r="A1737">
        <v>11736</v>
      </c>
      <c r="B1737" t="s">
        <v>7</v>
      </c>
      <c r="C1737" t="s">
        <v>9</v>
      </c>
      <c r="D1737">
        <v>7.02</v>
      </c>
      <c r="E1737">
        <v>10</v>
      </c>
      <c r="F1737" t="s">
        <v>16</v>
      </c>
      <c r="G1737">
        <v>60</v>
      </c>
      <c r="H1737">
        <v>11.231999999999999</v>
      </c>
      <c r="I1737">
        <v>60.000000000000007</v>
      </c>
      <c r="J1737" t="s">
        <v>20</v>
      </c>
    </row>
    <row r="1738" spans="1:10" x14ac:dyDescent="0.2">
      <c r="A1738">
        <v>11737</v>
      </c>
      <c r="B1738" t="s">
        <v>8</v>
      </c>
      <c r="C1738" t="s">
        <v>6</v>
      </c>
      <c r="D1738">
        <v>3.24</v>
      </c>
      <c r="E1738">
        <v>8</v>
      </c>
      <c r="F1738" t="s">
        <v>16</v>
      </c>
      <c r="G1738">
        <v>55</v>
      </c>
      <c r="H1738">
        <v>5.0220000000000002</v>
      </c>
      <c r="I1738">
        <v>55.000000000000007</v>
      </c>
      <c r="J1738" t="s">
        <v>20</v>
      </c>
    </row>
    <row r="1739" spans="1:10" x14ac:dyDescent="0.2">
      <c r="A1739">
        <v>11738</v>
      </c>
      <c r="B1739" t="s">
        <v>5</v>
      </c>
      <c r="C1739" t="s">
        <v>9</v>
      </c>
      <c r="D1739">
        <v>7.86</v>
      </c>
      <c r="E1739">
        <v>8</v>
      </c>
      <c r="F1739" t="s">
        <v>16</v>
      </c>
      <c r="G1739">
        <v>60</v>
      </c>
      <c r="H1739">
        <v>12.576000000000001</v>
      </c>
      <c r="I1739">
        <v>60.000000000000007</v>
      </c>
      <c r="J1739" t="s">
        <v>20</v>
      </c>
    </row>
    <row r="1740" spans="1:10" x14ac:dyDescent="0.2">
      <c r="A1740">
        <v>11739</v>
      </c>
      <c r="B1740" t="s">
        <v>5</v>
      </c>
      <c r="C1740" t="s">
        <v>6</v>
      </c>
      <c r="D1740">
        <v>8.16</v>
      </c>
      <c r="E1740">
        <v>1</v>
      </c>
      <c r="F1740" t="s">
        <v>14</v>
      </c>
      <c r="G1740">
        <v>12</v>
      </c>
      <c r="H1740">
        <v>9.1392000000000007</v>
      </c>
      <c r="I1740">
        <v>12.000000000000011</v>
      </c>
      <c r="J1740" t="s">
        <v>20</v>
      </c>
    </row>
    <row r="1741" spans="1:10" x14ac:dyDescent="0.2">
      <c r="A1741">
        <v>11740</v>
      </c>
      <c r="B1741" t="s">
        <v>5</v>
      </c>
      <c r="C1741" t="s">
        <v>6</v>
      </c>
      <c r="D1741">
        <v>12.25</v>
      </c>
      <c r="E1741">
        <v>5</v>
      </c>
      <c r="F1741" t="s">
        <v>15</v>
      </c>
      <c r="G1741">
        <v>28</v>
      </c>
      <c r="H1741">
        <v>15.68</v>
      </c>
      <c r="I1741">
        <v>28.000000000000004</v>
      </c>
      <c r="J1741" t="s">
        <v>20</v>
      </c>
    </row>
    <row r="1742" spans="1:10" x14ac:dyDescent="0.2">
      <c r="A1742">
        <v>11741</v>
      </c>
      <c r="B1742" t="s">
        <v>7</v>
      </c>
      <c r="C1742" t="s">
        <v>9</v>
      </c>
      <c r="D1742">
        <v>11.17</v>
      </c>
      <c r="E1742">
        <v>5</v>
      </c>
      <c r="F1742" t="s">
        <v>15</v>
      </c>
      <c r="G1742">
        <v>30</v>
      </c>
      <c r="H1742">
        <v>14.521000000000001</v>
      </c>
      <c r="I1742">
        <v>30.000000000000004</v>
      </c>
      <c r="J1742" t="s">
        <v>20</v>
      </c>
    </row>
    <row r="1743" spans="1:10" x14ac:dyDescent="0.2">
      <c r="A1743">
        <v>11742</v>
      </c>
      <c r="B1743" t="s">
        <v>10</v>
      </c>
      <c r="C1743" t="s">
        <v>11</v>
      </c>
      <c r="D1743">
        <v>10.119999999999999</v>
      </c>
      <c r="E1743">
        <v>8</v>
      </c>
      <c r="F1743" t="s">
        <v>16</v>
      </c>
      <c r="G1743">
        <v>50</v>
      </c>
      <c r="H1743">
        <v>15.18</v>
      </c>
      <c r="I1743">
        <v>50</v>
      </c>
      <c r="J1743" t="s">
        <v>20</v>
      </c>
    </row>
    <row r="1744" spans="1:10" x14ac:dyDescent="0.2">
      <c r="A1744">
        <v>11743</v>
      </c>
      <c r="B1744" t="s">
        <v>10</v>
      </c>
      <c r="C1744" t="s">
        <v>6</v>
      </c>
      <c r="D1744">
        <v>2.14</v>
      </c>
      <c r="E1744">
        <v>1</v>
      </c>
      <c r="F1744" t="s">
        <v>14</v>
      </c>
      <c r="G1744">
        <v>12</v>
      </c>
      <c r="H1744">
        <v>2.3968000000000003</v>
      </c>
      <c r="I1744">
        <v>12.000000000000011</v>
      </c>
      <c r="J1744" t="s">
        <v>20</v>
      </c>
    </row>
    <row r="1745" spans="1:10" x14ac:dyDescent="0.2">
      <c r="A1745">
        <v>11744</v>
      </c>
      <c r="B1745" t="s">
        <v>5</v>
      </c>
      <c r="C1745" t="s">
        <v>9</v>
      </c>
      <c r="D1745">
        <v>10.95</v>
      </c>
      <c r="E1745">
        <v>7</v>
      </c>
      <c r="F1745" t="s">
        <v>15</v>
      </c>
      <c r="G1745">
        <v>30</v>
      </c>
      <c r="H1745">
        <v>14.234999999999999</v>
      </c>
      <c r="I1745">
        <v>30.000000000000004</v>
      </c>
      <c r="J1745" t="s">
        <v>20</v>
      </c>
    </row>
    <row r="1746" spans="1:10" x14ac:dyDescent="0.2">
      <c r="A1746">
        <v>11745</v>
      </c>
      <c r="B1746" t="s">
        <v>10</v>
      </c>
      <c r="C1746" t="s">
        <v>6</v>
      </c>
      <c r="D1746">
        <v>7.75</v>
      </c>
      <c r="E1746">
        <v>7</v>
      </c>
      <c r="F1746" t="s">
        <v>15</v>
      </c>
      <c r="G1746">
        <v>28</v>
      </c>
      <c r="H1746">
        <v>9.92</v>
      </c>
      <c r="I1746">
        <v>28.000000000000004</v>
      </c>
      <c r="J1746" t="s">
        <v>20</v>
      </c>
    </row>
    <row r="1747" spans="1:10" x14ac:dyDescent="0.2">
      <c r="A1747">
        <v>11746</v>
      </c>
      <c r="B1747" t="s">
        <v>10</v>
      </c>
      <c r="C1747" t="s">
        <v>11</v>
      </c>
      <c r="D1747">
        <v>13.46</v>
      </c>
      <c r="E1747">
        <v>9</v>
      </c>
      <c r="F1747" t="s">
        <v>16</v>
      </c>
      <c r="G1747">
        <v>50</v>
      </c>
      <c r="H1747">
        <v>20.190000000000001</v>
      </c>
      <c r="I1747">
        <v>50</v>
      </c>
      <c r="J1747" t="s">
        <v>20</v>
      </c>
    </row>
    <row r="1748" spans="1:10" x14ac:dyDescent="0.2">
      <c r="A1748">
        <v>11747</v>
      </c>
      <c r="B1748" t="s">
        <v>7</v>
      </c>
      <c r="C1748" t="s">
        <v>9</v>
      </c>
      <c r="D1748">
        <v>13.84</v>
      </c>
      <c r="E1748">
        <v>2</v>
      </c>
      <c r="F1748" t="s">
        <v>14</v>
      </c>
      <c r="G1748">
        <v>15</v>
      </c>
      <c r="H1748">
        <v>15.915999999999999</v>
      </c>
      <c r="I1748">
        <v>14.999999999999991</v>
      </c>
      <c r="J1748" t="s">
        <v>20</v>
      </c>
    </row>
    <row r="1749" spans="1:10" x14ac:dyDescent="0.2">
      <c r="A1749">
        <v>11748</v>
      </c>
      <c r="B1749" t="s">
        <v>8</v>
      </c>
      <c r="C1749" t="s">
        <v>9</v>
      </c>
      <c r="D1749">
        <v>1.3</v>
      </c>
      <c r="E1749">
        <v>3</v>
      </c>
      <c r="F1749" t="s">
        <v>14</v>
      </c>
      <c r="G1749">
        <v>15</v>
      </c>
      <c r="H1749">
        <v>1.4949999999999999</v>
      </c>
      <c r="I1749">
        <v>14.999999999999991</v>
      </c>
      <c r="J1749" t="s">
        <v>20</v>
      </c>
    </row>
    <row r="1750" spans="1:10" x14ac:dyDescent="0.2">
      <c r="A1750">
        <v>11749</v>
      </c>
      <c r="B1750" t="s">
        <v>5</v>
      </c>
      <c r="C1750" t="s">
        <v>9</v>
      </c>
      <c r="D1750">
        <v>12.4</v>
      </c>
      <c r="E1750">
        <v>4</v>
      </c>
      <c r="F1750" t="s">
        <v>15</v>
      </c>
      <c r="G1750">
        <v>30</v>
      </c>
      <c r="H1750">
        <v>16.12</v>
      </c>
      <c r="I1750">
        <v>30.000000000000004</v>
      </c>
      <c r="J1750" t="s">
        <v>20</v>
      </c>
    </row>
    <row r="1751" spans="1:10" x14ac:dyDescent="0.2">
      <c r="A1751">
        <v>11750</v>
      </c>
      <c r="B1751" t="s">
        <v>5</v>
      </c>
      <c r="C1751" t="s">
        <v>11</v>
      </c>
      <c r="D1751">
        <v>1.05</v>
      </c>
      <c r="E1751">
        <v>1</v>
      </c>
      <c r="F1751" t="s">
        <v>14</v>
      </c>
      <c r="G1751">
        <v>10</v>
      </c>
      <c r="H1751">
        <v>1.1550000000000002</v>
      </c>
      <c r="I1751">
        <v>10.000000000000009</v>
      </c>
      <c r="J1751" t="s">
        <v>20</v>
      </c>
    </row>
    <row r="1752" spans="1:10" x14ac:dyDescent="0.2">
      <c r="A1752">
        <v>11751</v>
      </c>
      <c r="B1752" t="s">
        <v>7</v>
      </c>
      <c r="C1752" t="s">
        <v>6</v>
      </c>
      <c r="D1752">
        <v>5.82</v>
      </c>
      <c r="E1752">
        <v>7</v>
      </c>
      <c r="F1752" t="s">
        <v>15</v>
      </c>
      <c r="G1752">
        <v>28</v>
      </c>
      <c r="H1752">
        <v>7.4496000000000002</v>
      </c>
      <c r="I1752">
        <v>28.000000000000004</v>
      </c>
      <c r="J1752" t="s">
        <v>20</v>
      </c>
    </row>
    <row r="1753" spans="1:10" x14ac:dyDescent="0.2">
      <c r="A1753">
        <v>11752</v>
      </c>
      <c r="B1753" t="s">
        <v>7</v>
      </c>
      <c r="C1753" t="s">
        <v>9</v>
      </c>
      <c r="D1753">
        <v>8.36</v>
      </c>
      <c r="E1753">
        <v>10</v>
      </c>
      <c r="F1753" t="s">
        <v>16</v>
      </c>
      <c r="G1753">
        <v>60</v>
      </c>
      <c r="H1753">
        <v>13.375999999999999</v>
      </c>
      <c r="I1753">
        <v>60.000000000000007</v>
      </c>
      <c r="J1753" t="s">
        <v>20</v>
      </c>
    </row>
    <row r="1754" spans="1:10" x14ac:dyDescent="0.2">
      <c r="A1754">
        <v>11753</v>
      </c>
      <c r="B1754" t="s">
        <v>10</v>
      </c>
      <c r="C1754" t="s">
        <v>6</v>
      </c>
      <c r="D1754">
        <v>2.65</v>
      </c>
      <c r="E1754">
        <v>3</v>
      </c>
      <c r="F1754" t="s">
        <v>14</v>
      </c>
      <c r="G1754">
        <v>12</v>
      </c>
      <c r="H1754">
        <v>2.968</v>
      </c>
      <c r="I1754">
        <v>12.000000000000011</v>
      </c>
      <c r="J1754" t="s">
        <v>20</v>
      </c>
    </row>
    <row r="1755" spans="1:10" x14ac:dyDescent="0.2">
      <c r="A1755">
        <v>11754</v>
      </c>
      <c r="B1755" t="s">
        <v>5</v>
      </c>
      <c r="C1755" t="s">
        <v>6</v>
      </c>
      <c r="D1755">
        <v>11.32</v>
      </c>
      <c r="E1755">
        <v>3</v>
      </c>
      <c r="F1755" t="s">
        <v>14</v>
      </c>
      <c r="G1755">
        <v>12</v>
      </c>
      <c r="H1755">
        <v>12.678400000000002</v>
      </c>
      <c r="I1755">
        <v>12.000000000000011</v>
      </c>
      <c r="J1755" t="s">
        <v>20</v>
      </c>
    </row>
    <row r="1756" spans="1:10" x14ac:dyDescent="0.2">
      <c r="A1756">
        <v>11755</v>
      </c>
      <c r="B1756" t="s">
        <v>8</v>
      </c>
      <c r="C1756" t="s">
        <v>11</v>
      </c>
      <c r="D1756">
        <v>0.62</v>
      </c>
      <c r="E1756">
        <v>3</v>
      </c>
      <c r="F1756" t="s">
        <v>14</v>
      </c>
      <c r="G1756">
        <v>10</v>
      </c>
      <c r="H1756">
        <v>0.68200000000000005</v>
      </c>
      <c r="I1756">
        <v>10.000000000000009</v>
      </c>
      <c r="J1756" t="s">
        <v>20</v>
      </c>
    </row>
    <row r="1757" spans="1:10" x14ac:dyDescent="0.2">
      <c r="A1757">
        <v>11756</v>
      </c>
      <c r="B1757" t="s">
        <v>7</v>
      </c>
      <c r="C1757" t="s">
        <v>9</v>
      </c>
      <c r="D1757">
        <v>2.94</v>
      </c>
      <c r="E1757">
        <v>8</v>
      </c>
      <c r="F1757" t="s">
        <v>16</v>
      </c>
      <c r="G1757">
        <v>60</v>
      </c>
      <c r="H1757">
        <v>4.7039999999999997</v>
      </c>
      <c r="I1757">
        <v>59.999999999999986</v>
      </c>
      <c r="J1757" t="s">
        <v>20</v>
      </c>
    </row>
    <row r="1758" spans="1:10" x14ac:dyDescent="0.2">
      <c r="A1758">
        <v>11757</v>
      </c>
      <c r="B1758" t="s">
        <v>8</v>
      </c>
      <c r="C1758" t="s">
        <v>6</v>
      </c>
      <c r="D1758">
        <v>8.92</v>
      </c>
      <c r="E1758">
        <v>9</v>
      </c>
      <c r="F1758" t="s">
        <v>16</v>
      </c>
      <c r="G1758">
        <v>55</v>
      </c>
      <c r="H1758">
        <v>13.826000000000001</v>
      </c>
      <c r="I1758">
        <v>55.000000000000007</v>
      </c>
      <c r="J1758" t="s">
        <v>20</v>
      </c>
    </row>
    <row r="1759" spans="1:10" x14ac:dyDescent="0.2">
      <c r="A1759">
        <v>11758</v>
      </c>
      <c r="B1759" t="s">
        <v>8</v>
      </c>
      <c r="C1759" t="s">
        <v>9</v>
      </c>
      <c r="D1759">
        <v>10.86</v>
      </c>
      <c r="E1759">
        <v>10</v>
      </c>
      <c r="F1759" t="s">
        <v>16</v>
      </c>
      <c r="G1759">
        <v>60</v>
      </c>
      <c r="H1759">
        <v>17.376000000000001</v>
      </c>
      <c r="I1759">
        <v>60.000000000000007</v>
      </c>
      <c r="J1759" t="s">
        <v>20</v>
      </c>
    </row>
    <row r="1760" spans="1:10" x14ac:dyDescent="0.2">
      <c r="A1760">
        <v>11759</v>
      </c>
      <c r="B1760" t="s">
        <v>5</v>
      </c>
      <c r="C1760" t="s">
        <v>9</v>
      </c>
      <c r="D1760">
        <v>13.79</v>
      </c>
      <c r="E1760">
        <v>2</v>
      </c>
      <c r="F1760" t="s">
        <v>14</v>
      </c>
      <c r="G1760">
        <v>15</v>
      </c>
      <c r="H1760">
        <v>15.858499999999998</v>
      </c>
      <c r="I1760">
        <v>14.999999999999991</v>
      </c>
      <c r="J1760" t="s">
        <v>20</v>
      </c>
    </row>
    <row r="1761" spans="1:10" x14ac:dyDescent="0.2">
      <c r="A1761">
        <v>11760</v>
      </c>
      <c r="B1761" t="s">
        <v>5</v>
      </c>
      <c r="C1761" t="s">
        <v>11</v>
      </c>
      <c r="D1761">
        <v>10.73</v>
      </c>
      <c r="E1761">
        <v>10</v>
      </c>
      <c r="F1761" t="s">
        <v>16</v>
      </c>
      <c r="G1761">
        <v>50</v>
      </c>
      <c r="H1761">
        <v>16.094999999999999</v>
      </c>
      <c r="I1761">
        <v>49.999999999999979</v>
      </c>
      <c r="J1761" t="s">
        <v>20</v>
      </c>
    </row>
    <row r="1762" spans="1:10" x14ac:dyDescent="0.2">
      <c r="A1762">
        <v>11761</v>
      </c>
      <c r="B1762" t="s">
        <v>7</v>
      </c>
      <c r="C1762" t="s">
        <v>9</v>
      </c>
      <c r="D1762">
        <v>10.24</v>
      </c>
      <c r="E1762">
        <v>10</v>
      </c>
      <c r="F1762" t="s">
        <v>16</v>
      </c>
      <c r="G1762">
        <v>60</v>
      </c>
      <c r="H1762">
        <v>16.384</v>
      </c>
      <c r="I1762">
        <v>60.000000000000007</v>
      </c>
      <c r="J1762" t="s">
        <v>20</v>
      </c>
    </row>
    <row r="1763" spans="1:10" x14ac:dyDescent="0.2">
      <c r="A1763">
        <v>11762</v>
      </c>
      <c r="B1763" t="s">
        <v>5</v>
      </c>
      <c r="C1763" t="s">
        <v>9</v>
      </c>
      <c r="D1763">
        <v>6.22</v>
      </c>
      <c r="E1763">
        <v>1</v>
      </c>
      <c r="F1763" t="s">
        <v>14</v>
      </c>
      <c r="G1763">
        <v>15</v>
      </c>
      <c r="H1763">
        <v>7.1529999999999996</v>
      </c>
      <c r="I1763">
        <v>14.999999999999991</v>
      </c>
      <c r="J1763" t="s">
        <v>20</v>
      </c>
    </row>
    <row r="1764" spans="1:10" x14ac:dyDescent="0.2">
      <c r="A1764">
        <v>11763</v>
      </c>
      <c r="B1764" t="s">
        <v>5</v>
      </c>
      <c r="C1764" t="s">
        <v>6</v>
      </c>
      <c r="D1764">
        <v>0.52</v>
      </c>
      <c r="E1764">
        <v>9</v>
      </c>
      <c r="F1764" t="s">
        <v>16</v>
      </c>
      <c r="G1764">
        <v>55</v>
      </c>
      <c r="H1764">
        <v>0.80600000000000005</v>
      </c>
      <c r="I1764">
        <v>55.000000000000007</v>
      </c>
      <c r="J1764" t="s">
        <v>20</v>
      </c>
    </row>
    <row r="1765" spans="1:10" x14ac:dyDescent="0.2">
      <c r="A1765">
        <v>11764</v>
      </c>
      <c r="B1765" t="s">
        <v>5</v>
      </c>
      <c r="C1765" t="s">
        <v>11</v>
      </c>
      <c r="D1765">
        <v>2.2400000000000002</v>
      </c>
      <c r="E1765">
        <v>6</v>
      </c>
      <c r="F1765" t="s">
        <v>15</v>
      </c>
      <c r="G1765">
        <v>25</v>
      </c>
      <c r="H1765">
        <v>2.8000000000000003</v>
      </c>
      <c r="I1765">
        <v>25</v>
      </c>
      <c r="J1765" t="s">
        <v>20</v>
      </c>
    </row>
    <row r="1766" spans="1:10" x14ac:dyDescent="0.2">
      <c r="A1766">
        <v>11765</v>
      </c>
      <c r="B1766" t="s">
        <v>8</v>
      </c>
      <c r="C1766" t="s">
        <v>9</v>
      </c>
      <c r="D1766">
        <v>8.25</v>
      </c>
      <c r="E1766">
        <v>9</v>
      </c>
      <c r="F1766" t="s">
        <v>16</v>
      </c>
      <c r="G1766">
        <v>60</v>
      </c>
      <c r="H1766">
        <v>13.200000000000001</v>
      </c>
      <c r="I1766">
        <v>60.000000000000007</v>
      </c>
      <c r="J1766" t="s">
        <v>20</v>
      </c>
    </row>
    <row r="1767" spans="1:10" x14ac:dyDescent="0.2">
      <c r="A1767">
        <v>11766</v>
      </c>
      <c r="B1767" t="s">
        <v>7</v>
      </c>
      <c r="C1767" t="s">
        <v>6</v>
      </c>
      <c r="D1767">
        <v>10.29</v>
      </c>
      <c r="E1767">
        <v>6</v>
      </c>
      <c r="F1767" t="s">
        <v>15</v>
      </c>
      <c r="G1767">
        <v>28</v>
      </c>
      <c r="H1767">
        <v>13.171199999999999</v>
      </c>
      <c r="I1767">
        <v>28.000000000000004</v>
      </c>
      <c r="J1767" t="s">
        <v>20</v>
      </c>
    </row>
    <row r="1768" spans="1:10" x14ac:dyDescent="0.2">
      <c r="A1768">
        <v>11767</v>
      </c>
      <c r="B1768" t="s">
        <v>10</v>
      </c>
      <c r="C1768" t="s">
        <v>11</v>
      </c>
      <c r="D1768">
        <v>6.55</v>
      </c>
      <c r="E1768">
        <v>2</v>
      </c>
      <c r="F1768" t="s">
        <v>14</v>
      </c>
      <c r="G1768">
        <v>10</v>
      </c>
      <c r="H1768">
        <v>7.2050000000000001</v>
      </c>
      <c r="I1768">
        <v>10.000000000000009</v>
      </c>
      <c r="J1768" t="s">
        <v>20</v>
      </c>
    </row>
    <row r="1769" spans="1:10" x14ac:dyDescent="0.2">
      <c r="A1769">
        <v>11768</v>
      </c>
      <c r="B1769" t="s">
        <v>8</v>
      </c>
      <c r="C1769" t="s">
        <v>11</v>
      </c>
      <c r="D1769">
        <v>11.09</v>
      </c>
      <c r="E1769">
        <v>1</v>
      </c>
      <c r="F1769" t="s">
        <v>14</v>
      </c>
      <c r="G1769">
        <v>10</v>
      </c>
      <c r="H1769">
        <v>12.199000000000002</v>
      </c>
      <c r="I1769">
        <v>10.000000000000009</v>
      </c>
      <c r="J1769" t="s">
        <v>20</v>
      </c>
    </row>
    <row r="1770" spans="1:10" x14ac:dyDescent="0.2">
      <c r="A1770">
        <v>11769</v>
      </c>
      <c r="B1770" t="s">
        <v>5</v>
      </c>
      <c r="C1770" t="s">
        <v>6</v>
      </c>
      <c r="D1770">
        <v>8.07</v>
      </c>
      <c r="E1770">
        <v>8</v>
      </c>
      <c r="F1770" t="s">
        <v>16</v>
      </c>
      <c r="G1770">
        <v>55</v>
      </c>
      <c r="H1770">
        <v>12.508500000000002</v>
      </c>
      <c r="I1770">
        <v>55.000000000000007</v>
      </c>
      <c r="J1770" t="s">
        <v>20</v>
      </c>
    </row>
    <row r="1771" spans="1:10" x14ac:dyDescent="0.2">
      <c r="A1771">
        <v>11770</v>
      </c>
      <c r="B1771" t="s">
        <v>8</v>
      </c>
      <c r="C1771" t="s">
        <v>6</v>
      </c>
      <c r="D1771">
        <v>1.58</v>
      </c>
      <c r="E1771">
        <v>3</v>
      </c>
      <c r="F1771" t="s">
        <v>14</v>
      </c>
      <c r="G1771">
        <v>12</v>
      </c>
      <c r="H1771">
        <v>1.7696000000000003</v>
      </c>
      <c r="I1771">
        <v>12.000000000000011</v>
      </c>
      <c r="J1771" t="s">
        <v>20</v>
      </c>
    </row>
    <row r="1772" spans="1:10" x14ac:dyDescent="0.2">
      <c r="A1772">
        <v>11771</v>
      </c>
      <c r="B1772" t="s">
        <v>5</v>
      </c>
      <c r="C1772" t="s">
        <v>6</v>
      </c>
      <c r="D1772">
        <v>3.28</v>
      </c>
      <c r="E1772">
        <v>1</v>
      </c>
      <c r="F1772" t="s">
        <v>14</v>
      </c>
      <c r="G1772">
        <v>12</v>
      </c>
      <c r="H1772">
        <v>3.6736</v>
      </c>
      <c r="I1772">
        <v>12.000000000000011</v>
      </c>
      <c r="J1772" t="s">
        <v>20</v>
      </c>
    </row>
    <row r="1773" spans="1:10" x14ac:dyDescent="0.2">
      <c r="A1773">
        <v>11772</v>
      </c>
      <c r="B1773" t="s">
        <v>5</v>
      </c>
      <c r="C1773" t="s">
        <v>6</v>
      </c>
      <c r="D1773">
        <v>12.68</v>
      </c>
      <c r="E1773">
        <v>8</v>
      </c>
      <c r="F1773" t="s">
        <v>16</v>
      </c>
      <c r="G1773">
        <v>55</v>
      </c>
      <c r="H1773">
        <v>19.654</v>
      </c>
      <c r="I1773">
        <v>55.000000000000007</v>
      </c>
      <c r="J1773" t="s">
        <v>20</v>
      </c>
    </row>
    <row r="1774" spans="1:10" x14ac:dyDescent="0.2">
      <c r="A1774">
        <v>11773</v>
      </c>
      <c r="B1774" t="s">
        <v>8</v>
      </c>
      <c r="C1774" t="s">
        <v>6</v>
      </c>
      <c r="D1774">
        <v>11.01</v>
      </c>
      <c r="E1774">
        <v>1</v>
      </c>
      <c r="F1774" t="s">
        <v>14</v>
      </c>
      <c r="G1774">
        <v>12</v>
      </c>
      <c r="H1774">
        <v>12.331200000000001</v>
      </c>
      <c r="I1774">
        <v>12.000000000000011</v>
      </c>
      <c r="J1774" t="s">
        <v>20</v>
      </c>
    </row>
    <row r="1775" spans="1:10" x14ac:dyDescent="0.2">
      <c r="A1775">
        <v>11774</v>
      </c>
      <c r="B1775" t="s">
        <v>7</v>
      </c>
      <c r="C1775" t="s">
        <v>9</v>
      </c>
      <c r="D1775">
        <v>13.47</v>
      </c>
      <c r="E1775">
        <v>8</v>
      </c>
      <c r="F1775" t="s">
        <v>16</v>
      </c>
      <c r="G1775">
        <v>60</v>
      </c>
      <c r="H1775">
        <v>21.552000000000003</v>
      </c>
      <c r="I1775">
        <v>60.000000000000007</v>
      </c>
      <c r="J1775" t="s">
        <v>20</v>
      </c>
    </row>
    <row r="1776" spans="1:10" x14ac:dyDescent="0.2">
      <c r="A1776">
        <v>11775</v>
      </c>
      <c r="B1776" t="s">
        <v>5</v>
      </c>
      <c r="C1776" t="s">
        <v>9</v>
      </c>
      <c r="D1776">
        <v>2.2000000000000002</v>
      </c>
      <c r="E1776">
        <v>1</v>
      </c>
      <c r="F1776" t="s">
        <v>14</v>
      </c>
      <c r="G1776">
        <v>15</v>
      </c>
      <c r="H1776">
        <v>2.5299999999999998</v>
      </c>
      <c r="I1776">
        <v>14.999999999999991</v>
      </c>
      <c r="J1776" t="s">
        <v>20</v>
      </c>
    </row>
    <row r="1777" spans="1:10" x14ac:dyDescent="0.2">
      <c r="A1777">
        <v>11776</v>
      </c>
      <c r="B1777" t="s">
        <v>7</v>
      </c>
      <c r="C1777" t="s">
        <v>11</v>
      </c>
      <c r="D1777">
        <v>14.86</v>
      </c>
      <c r="E1777">
        <v>9</v>
      </c>
      <c r="F1777" t="s">
        <v>16</v>
      </c>
      <c r="G1777">
        <v>50</v>
      </c>
      <c r="H1777">
        <v>22.29</v>
      </c>
      <c r="I1777">
        <v>50</v>
      </c>
      <c r="J1777" t="s">
        <v>20</v>
      </c>
    </row>
    <row r="1778" spans="1:10" x14ac:dyDescent="0.2">
      <c r="A1778">
        <v>11777</v>
      </c>
      <c r="B1778" t="s">
        <v>10</v>
      </c>
      <c r="C1778" t="s">
        <v>9</v>
      </c>
      <c r="D1778">
        <v>3.54</v>
      </c>
      <c r="E1778">
        <v>9</v>
      </c>
      <c r="F1778" t="s">
        <v>16</v>
      </c>
      <c r="G1778">
        <v>60</v>
      </c>
      <c r="H1778">
        <v>5.6640000000000006</v>
      </c>
      <c r="I1778">
        <v>60.000000000000007</v>
      </c>
      <c r="J1778" t="s">
        <v>20</v>
      </c>
    </row>
    <row r="1779" spans="1:10" x14ac:dyDescent="0.2">
      <c r="A1779">
        <v>11778</v>
      </c>
      <c r="B1779" t="s">
        <v>5</v>
      </c>
      <c r="C1779" t="s">
        <v>9</v>
      </c>
      <c r="D1779">
        <v>0.67</v>
      </c>
      <c r="E1779">
        <v>9</v>
      </c>
      <c r="F1779" t="s">
        <v>16</v>
      </c>
      <c r="G1779">
        <v>60</v>
      </c>
      <c r="H1779">
        <v>1.0720000000000001</v>
      </c>
      <c r="I1779">
        <v>60.000000000000007</v>
      </c>
      <c r="J1779" t="s">
        <v>20</v>
      </c>
    </row>
    <row r="1780" spans="1:10" x14ac:dyDescent="0.2">
      <c r="A1780">
        <v>11779</v>
      </c>
      <c r="B1780" t="s">
        <v>7</v>
      </c>
      <c r="C1780" t="s">
        <v>9</v>
      </c>
      <c r="D1780">
        <v>14.96</v>
      </c>
      <c r="E1780">
        <v>3</v>
      </c>
      <c r="F1780" t="s">
        <v>14</v>
      </c>
      <c r="G1780">
        <v>15</v>
      </c>
      <c r="H1780">
        <v>17.204000000000001</v>
      </c>
      <c r="I1780">
        <v>14.999999999999991</v>
      </c>
      <c r="J1780" t="s">
        <v>20</v>
      </c>
    </row>
    <row r="1781" spans="1:10" x14ac:dyDescent="0.2">
      <c r="A1781">
        <v>11780</v>
      </c>
      <c r="B1781" t="s">
        <v>7</v>
      </c>
      <c r="C1781" t="s">
        <v>6</v>
      </c>
      <c r="D1781">
        <v>4.58</v>
      </c>
      <c r="E1781">
        <v>4</v>
      </c>
      <c r="F1781" t="s">
        <v>15</v>
      </c>
      <c r="G1781">
        <v>28</v>
      </c>
      <c r="H1781">
        <v>5.8624000000000001</v>
      </c>
      <c r="I1781">
        <v>28.000000000000004</v>
      </c>
      <c r="J1781" t="s">
        <v>20</v>
      </c>
    </row>
    <row r="1782" spans="1:10" x14ac:dyDescent="0.2">
      <c r="A1782">
        <v>11781</v>
      </c>
      <c r="B1782" t="s">
        <v>10</v>
      </c>
      <c r="C1782" t="s">
        <v>11</v>
      </c>
      <c r="D1782">
        <v>10.19</v>
      </c>
      <c r="E1782">
        <v>5</v>
      </c>
      <c r="F1782" t="s">
        <v>15</v>
      </c>
      <c r="G1782">
        <v>25</v>
      </c>
      <c r="H1782">
        <v>12.737499999999999</v>
      </c>
      <c r="I1782">
        <v>25</v>
      </c>
      <c r="J1782" t="s">
        <v>20</v>
      </c>
    </row>
    <row r="1783" spans="1:10" x14ac:dyDescent="0.2">
      <c r="A1783">
        <v>11782</v>
      </c>
      <c r="B1783" t="s">
        <v>7</v>
      </c>
      <c r="C1783" t="s">
        <v>11</v>
      </c>
      <c r="D1783">
        <v>3.06</v>
      </c>
      <c r="E1783">
        <v>6</v>
      </c>
      <c r="F1783" t="s">
        <v>15</v>
      </c>
      <c r="G1783">
        <v>25</v>
      </c>
      <c r="H1783">
        <v>3.8250000000000002</v>
      </c>
      <c r="I1783">
        <v>25</v>
      </c>
      <c r="J1783" t="s">
        <v>20</v>
      </c>
    </row>
    <row r="1784" spans="1:10" x14ac:dyDescent="0.2">
      <c r="A1784">
        <v>11783</v>
      </c>
      <c r="B1784" t="s">
        <v>7</v>
      </c>
      <c r="C1784" t="s">
        <v>11</v>
      </c>
      <c r="D1784">
        <v>8.91</v>
      </c>
      <c r="E1784">
        <v>9</v>
      </c>
      <c r="F1784" t="s">
        <v>16</v>
      </c>
      <c r="G1784">
        <v>50</v>
      </c>
      <c r="H1784">
        <v>13.365</v>
      </c>
      <c r="I1784">
        <v>50</v>
      </c>
      <c r="J1784" t="s">
        <v>20</v>
      </c>
    </row>
    <row r="1785" spans="1:10" x14ac:dyDescent="0.2">
      <c r="A1785">
        <v>11784</v>
      </c>
      <c r="B1785" t="s">
        <v>10</v>
      </c>
      <c r="C1785" t="s">
        <v>11</v>
      </c>
      <c r="D1785">
        <v>13.61</v>
      </c>
      <c r="E1785">
        <v>4</v>
      </c>
      <c r="F1785" t="s">
        <v>15</v>
      </c>
      <c r="G1785">
        <v>25</v>
      </c>
      <c r="H1785">
        <v>17.012499999999999</v>
      </c>
      <c r="I1785">
        <v>25</v>
      </c>
      <c r="J1785" t="s">
        <v>20</v>
      </c>
    </row>
    <row r="1786" spans="1:10" x14ac:dyDescent="0.2">
      <c r="A1786">
        <v>11785</v>
      </c>
      <c r="B1786" t="s">
        <v>5</v>
      </c>
      <c r="C1786" t="s">
        <v>9</v>
      </c>
      <c r="D1786">
        <v>5.14</v>
      </c>
      <c r="E1786">
        <v>6</v>
      </c>
      <c r="F1786" t="s">
        <v>15</v>
      </c>
      <c r="G1786">
        <v>30</v>
      </c>
      <c r="H1786">
        <v>6.6819999999999995</v>
      </c>
      <c r="I1786">
        <v>30.000000000000004</v>
      </c>
      <c r="J1786" t="s">
        <v>20</v>
      </c>
    </row>
    <row r="1787" spans="1:10" x14ac:dyDescent="0.2">
      <c r="A1787">
        <v>11786</v>
      </c>
      <c r="B1787" t="s">
        <v>7</v>
      </c>
      <c r="C1787" t="s">
        <v>9</v>
      </c>
      <c r="D1787">
        <v>10.220000000000001</v>
      </c>
      <c r="E1787">
        <v>1</v>
      </c>
      <c r="F1787" t="s">
        <v>14</v>
      </c>
      <c r="G1787">
        <v>15</v>
      </c>
      <c r="H1787">
        <v>11.753</v>
      </c>
      <c r="I1787">
        <v>14.999999999999991</v>
      </c>
      <c r="J1787" t="s">
        <v>20</v>
      </c>
    </row>
    <row r="1788" spans="1:10" x14ac:dyDescent="0.2">
      <c r="A1788">
        <v>11787</v>
      </c>
      <c r="B1788" t="s">
        <v>7</v>
      </c>
      <c r="C1788" t="s">
        <v>6</v>
      </c>
      <c r="D1788">
        <v>3.22</v>
      </c>
      <c r="E1788">
        <v>2</v>
      </c>
      <c r="F1788" t="s">
        <v>14</v>
      </c>
      <c r="G1788">
        <v>12</v>
      </c>
      <c r="H1788">
        <v>3.6064000000000007</v>
      </c>
      <c r="I1788">
        <v>12.000000000000011</v>
      </c>
      <c r="J1788" t="s">
        <v>20</v>
      </c>
    </row>
    <row r="1789" spans="1:10" x14ac:dyDescent="0.2">
      <c r="A1789">
        <v>11788</v>
      </c>
      <c r="B1789" t="s">
        <v>7</v>
      </c>
      <c r="C1789" t="s">
        <v>11</v>
      </c>
      <c r="D1789">
        <v>9.56</v>
      </c>
      <c r="E1789">
        <v>8</v>
      </c>
      <c r="F1789" t="s">
        <v>16</v>
      </c>
      <c r="G1789">
        <v>50</v>
      </c>
      <c r="H1789">
        <v>14.34</v>
      </c>
      <c r="I1789">
        <v>50</v>
      </c>
      <c r="J1789" t="s">
        <v>20</v>
      </c>
    </row>
    <row r="1790" spans="1:10" x14ac:dyDescent="0.2">
      <c r="A1790">
        <v>11789</v>
      </c>
      <c r="B1790" t="s">
        <v>8</v>
      </c>
      <c r="C1790" t="s">
        <v>9</v>
      </c>
      <c r="D1790">
        <v>5.38</v>
      </c>
      <c r="E1790">
        <v>4</v>
      </c>
      <c r="F1790" t="s">
        <v>15</v>
      </c>
      <c r="G1790">
        <v>30</v>
      </c>
      <c r="H1790">
        <v>6.9939999999999998</v>
      </c>
      <c r="I1790">
        <v>30.000000000000004</v>
      </c>
      <c r="J1790" t="s">
        <v>20</v>
      </c>
    </row>
    <row r="1791" spans="1:10" x14ac:dyDescent="0.2">
      <c r="A1791">
        <v>11790</v>
      </c>
      <c r="B1791" t="s">
        <v>10</v>
      </c>
      <c r="C1791" t="s">
        <v>9</v>
      </c>
      <c r="D1791">
        <v>3.56</v>
      </c>
      <c r="E1791">
        <v>10</v>
      </c>
      <c r="F1791" t="s">
        <v>16</v>
      </c>
      <c r="G1791">
        <v>60</v>
      </c>
      <c r="H1791">
        <v>5.6960000000000006</v>
      </c>
      <c r="I1791">
        <v>60.000000000000007</v>
      </c>
      <c r="J1791" t="s">
        <v>20</v>
      </c>
    </row>
    <row r="1792" spans="1:10" x14ac:dyDescent="0.2">
      <c r="A1792">
        <v>11791</v>
      </c>
      <c r="B1792" t="s">
        <v>8</v>
      </c>
      <c r="C1792" t="s">
        <v>6</v>
      </c>
      <c r="D1792">
        <v>5.04</v>
      </c>
      <c r="E1792">
        <v>7</v>
      </c>
      <c r="F1792" t="s">
        <v>15</v>
      </c>
      <c r="G1792">
        <v>28</v>
      </c>
      <c r="H1792">
        <v>6.4512</v>
      </c>
      <c r="I1792">
        <v>28.000000000000004</v>
      </c>
      <c r="J1792" t="s">
        <v>20</v>
      </c>
    </row>
    <row r="1793" spans="1:10" x14ac:dyDescent="0.2">
      <c r="A1793">
        <v>11792</v>
      </c>
      <c r="B1793" t="s">
        <v>10</v>
      </c>
      <c r="C1793" t="s">
        <v>6</v>
      </c>
      <c r="D1793">
        <v>3.09</v>
      </c>
      <c r="E1793">
        <v>4</v>
      </c>
      <c r="F1793" t="s">
        <v>15</v>
      </c>
      <c r="G1793">
        <v>28</v>
      </c>
      <c r="H1793">
        <v>3.9552</v>
      </c>
      <c r="I1793">
        <v>28.000000000000004</v>
      </c>
      <c r="J1793" t="s">
        <v>20</v>
      </c>
    </row>
    <row r="1794" spans="1:10" x14ac:dyDescent="0.2">
      <c r="A1794">
        <v>11793</v>
      </c>
      <c r="B1794" t="s">
        <v>5</v>
      </c>
      <c r="C1794" t="s">
        <v>6</v>
      </c>
      <c r="D1794">
        <v>13.58</v>
      </c>
      <c r="E1794">
        <v>9</v>
      </c>
      <c r="F1794" t="s">
        <v>16</v>
      </c>
      <c r="G1794">
        <v>55</v>
      </c>
      <c r="H1794">
        <v>21.048999999999999</v>
      </c>
      <c r="I1794">
        <v>55.000000000000007</v>
      </c>
      <c r="J1794" t="s">
        <v>20</v>
      </c>
    </row>
    <row r="1795" spans="1:10" x14ac:dyDescent="0.2">
      <c r="A1795">
        <v>11794</v>
      </c>
      <c r="B1795" t="s">
        <v>5</v>
      </c>
      <c r="C1795" t="s">
        <v>9</v>
      </c>
      <c r="D1795">
        <v>6.26</v>
      </c>
      <c r="E1795">
        <v>9</v>
      </c>
      <c r="F1795" t="s">
        <v>16</v>
      </c>
      <c r="G1795">
        <v>60</v>
      </c>
      <c r="H1795">
        <v>10.016</v>
      </c>
      <c r="I1795">
        <v>60.000000000000007</v>
      </c>
      <c r="J1795" t="s">
        <v>20</v>
      </c>
    </row>
    <row r="1796" spans="1:10" x14ac:dyDescent="0.2">
      <c r="A1796">
        <v>11795</v>
      </c>
      <c r="B1796" t="s">
        <v>7</v>
      </c>
      <c r="C1796" t="s">
        <v>9</v>
      </c>
      <c r="D1796">
        <v>4.0599999999999996</v>
      </c>
      <c r="E1796">
        <v>4</v>
      </c>
      <c r="F1796" t="s">
        <v>15</v>
      </c>
      <c r="G1796">
        <v>30</v>
      </c>
      <c r="H1796">
        <v>5.2779999999999996</v>
      </c>
      <c r="I1796">
        <v>30.000000000000004</v>
      </c>
      <c r="J1796" t="s">
        <v>20</v>
      </c>
    </row>
    <row r="1797" spans="1:10" x14ac:dyDescent="0.2">
      <c r="A1797">
        <v>11796</v>
      </c>
      <c r="B1797" t="s">
        <v>10</v>
      </c>
      <c r="C1797" t="s">
        <v>6</v>
      </c>
      <c r="D1797">
        <v>7</v>
      </c>
      <c r="E1797">
        <v>8</v>
      </c>
      <c r="F1797" t="s">
        <v>16</v>
      </c>
      <c r="G1797">
        <v>55</v>
      </c>
      <c r="H1797">
        <v>10.85</v>
      </c>
      <c r="I1797">
        <v>55.000000000000007</v>
      </c>
      <c r="J1797" t="s">
        <v>20</v>
      </c>
    </row>
    <row r="1798" spans="1:10" x14ac:dyDescent="0.2">
      <c r="A1798">
        <v>11797</v>
      </c>
      <c r="B1798" t="s">
        <v>5</v>
      </c>
      <c r="C1798" t="s">
        <v>11</v>
      </c>
      <c r="D1798">
        <v>5.15</v>
      </c>
      <c r="E1798">
        <v>6</v>
      </c>
      <c r="F1798" t="s">
        <v>15</v>
      </c>
      <c r="G1798">
        <v>25</v>
      </c>
      <c r="H1798">
        <v>6.4375</v>
      </c>
      <c r="I1798">
        <v>25</v>
      </c>
      <c r="J1798" t="s">
        <v>20</v>
      </c>
    </row>
    <row r="1799" spans="1:10" x14ac:dyDescent="0.2">
      <c r="A1799">
        <v>11798</v>
      </c>
      <c r="B1799" t="s">
        <v>10</v>
      </c>
      <c r="C1799" t="s">
        <v>6</v>
      </c>
      <c r="D1799">
        <v>11.29</v>
      </c>
      <c r="E1799">
        <v>1</v>
      </c>
      <c r="F1799" t="s">
        <v>14</v>
      </c>
      <c r="G1799">
        <v>12</v>
      </c>
      <c r="H1799">
        <v>12.6448</v>
      </c>
      <c r="I1799">
        <v>12.000000000000011</v>
      </c>
      <c r="J1799" t="s">
        <v>20</v>
      </c>
    </row>
    <row r="1800" spans="1:10" x14ac:dyDescent="0.2">
      <c r="A1800">
        <v>11799</v>
      </c>
      <c r="B1800" t="s">
        <v>5</v>
      </c>
      <c r="C1800" t="s">
        <v>6</v>
      </c>
      <c r="D1800">
        <v>14.58</v>
      </c>
      <c r="E1800">
        <v>7</v>
      </c>
      <c r="F1800" t="s">
        <v>15</v>
      </c>
      <c r="G1800">
        <v>28</v>
      </c>
      <c r="H1800">
        <v>18.662400000000002</v>
      </c>
      <c r="I1800">
        <v>28.000000000000004</v>
      </c>
      <c r="J1800" t="s">
        <v>20</v>
      </c>
    </row>
    <row r="1801" spans="1:10" x14ac:dyDescent="0.2">
      <c r="A1801">
        <v>11800</v>
      </c>
      <c r="B1801" t="s">
        <v>8</v>
      </c>
      <c r="C1801" t="s">
        <v>6</v>
      </c>
      <c r="D1801">
        <v>6.85</v>
      </c>
      <c r="E1801">
        <v>1</v>
      </c>
      <c r="F1801" t="s">
        <v>14</v>
      </c>
      <c r="G1801">
        <v>12</v>
      </c>
      <c r="H1801">
        <v>7.6720000000000006</v>
      </c>
      <c r="I1801">
        <v>12.000000000000011</v>
      </c>
      <c r="J1801" t="s">
        <v>20</v>
      </c>
    </row>
    <row r="1802" spans="1:10" x14ac:dyDescent="0.2">
      <c r="A1802">
        <v>11801</v>
      </c>
      <c r="B1802" t="s">
        <v>5</v>
      </c>
      <c r="C1802" t="s">
        <v>6</v>
      </c>
      <c r="D1802">
        <v>12.98</v>
      </c>
      <c r="E1802">
        <v>3</v>
      </c>
      <c r="F1802" t="s">
        <v>14</v>
      </c>
      <c r="G1802">
        <v>12</v>
      </c>
      <c r="H1802">
        <v>14.537600000000001</v>
      </c>
      <c r="I1802">
        <v>12.000000000000011</v>
      </c>
      <c r="J1802" t="s">
        <v>20</v>
      </c>
    </row>
    <row r="1803" spans="1:10" x14ac:dyDescent="0.2">
      <c r="A1803">
        <v>11802</v>
      </c>
      <c r="B1803" t="s">
        <v>8</v>
      </c>
      <c r="C1803" t="s">
        <v>9</v>
      </c>
      <c r="D1803">
        <v>8.7100000000000009</v>
      </c>
      <c r="E1803">
        <v>8</v>
      </c>
      <c r="F1803" t="s">
        <v>16</v>
      </c>
      <c r="G1803">
        <v>60</v>
      </c>
      <c r="H1803">
        <v>13.936000000000002</v>
      </c>
      <c r="I1803">
        <v>60.000000000000007</v>
      </c>
      <c r="J1803" t="s">
        <v>20</v>
      </c>
    </row>
    <row r="1804" spans="1:10" x14ac:dyDescent="0.2">
      <c r="A1804">
        <v>11803</v>
      </c>
      <c r="B1804" t="s">
        <v>5</v>
      </c>
      <c r="C1804" t="s">
        <v>11</v>
      </c>
      <c r="D1804">
        <v>2.78</v>
      </c>
      <c r="E1804">
        <v>9</v>
      </c>
      <c r="F1804" t="s">
        <v>16</v>
      </c>
      <c r="G1804">
        <v>50</v>
      </c>
      <c r="H1804">
        <v>4.17</v>
      </c>
      <c r="I1804">
        <v>50</v>
      </c>
      <c r="J1804" t="s">
        <v>20</v>
      </c>
    </row>
    <row r="1805" spans="1:10" x14ac:dyDescent="0.2">
      <c r="A1805">
        <v>11804</v>
      </c>
      <c r="B1805" t="s">
        <v>7</v>
      </c>
      <c r="C1805" t="s">
        <v>6</v>
      </c>
      <c r="D1805">
        <v>10.51</v>
      </c>
      <c r="E1805">
        <v>3</v>
      </c>
      <c r="F1805" t="s">
        <v>14</v>
      </c>
      <c r="G1805">
        <v>12</v>
      </c>
      <c r="H1805">
        <v>11.7712</v>
      </c>
      <c r="I1805">
        <v>12.000000000000011</v>
      </c>
      <c r="J1805" t="s">
        <v>20</v>
      </c>
    </row>
    <row r="1806" spans="1:10" x14ac:dyDescent="0.2">
      <c r="A1806">
        <v>11805</v>
      </c>
      <c r="B1806" t="s">
        <v>8</v>
      </c>
      <c r="C1806" t="s">
        <v>11</v>
      </c>
      <c r="D1806">
        <v>7.94</v>
      </c>
      <c r="E1806">
        <v>1</v>
      </c>
      <c r="F1806" t="s">
        <v>14</v>
      </c>
      <c r="G1806">
        <v>10</v>
      </c>
      <c r="H1806">
        <v>8.7340000000000018</v>
      </c>
      <c r="I1806">
        <v>10.000000000000009</v>
      </c>
      <c r="J1806" t="s">
        <v>20</v>
      </c>
    </row>
    <row r="1807" spans="1:10" x14ac:dyDescent="0.2">
      <c r="A1807">
        <v>11806</v>
      </c>
      <c r="B1807" t="s">
        <v>5</v>
      </c>
      <c r="C1807" t="s">
        <v>11</v>
      </c>
      <c r="D1807">
        <v>9.93</v>
      </c>
      <c r="E1807">
        <v>1</v>
      </c>
      <c r="F1807" t="s">
        <v>14</v>
      </c>
      <c r="G1807">
        <v>10</v>
      </c>
      <c r="H1807">
        <v>10.923</v>
      </c>
      <c r="I1807">
        <v>10.000000000000009</v>
      </c>
      <c r="J1807" t="s">
        <v>20</v>
      </c>
    </row>
    <row r="1808" spans="1:10" x14ac:dyDescent="0.2">
      <c r="A1808">
        <v>11807</v>
      </c>
      <c r="B1808" t="s">
        <v>7</v>
      </c>
      <c r="C1808" t="s">
        <v>11</v>
      </c>
      <c r="D1808">
        <v>13.4</v>
      </c>
      <c r="E1808">
        <v>7</v>
      </c>
      <c r="F1808" t="s">
        <v>15</v>
      </c>
      <c r="G1808">
        <v>25</v>
      </c>
      <c r="H1808">
        <v>16.75</v>
      </c>
      <c r="I1808">
        <v>25</v>
      </c>
      <c r="J1808" t="s">
        <v>20</v>
      </c>
    </row>
    <row r="1809" spans="1:10" x14ac:dyDescent="0.2">
      <c r="A1809">
        <v>11808</v>
      </c>
      <c r="B1809" t="s">
        <v>8</v>
      </c>
      <c r="C1809" t="s">
        <v>6</v>
      </c>
      <c r="D1809">
        <v>6.89</v>
      </c>
      <c r="E1809">
        <v>5</v>
      </c>
      <c r="F1809" t="s">
        <v>15</v>
      </c>
      <c r="G1809">
        <v>28</v>
      </c>
      <c r="H1809">
        <v>8.8192000000000004</v>
      </c>
      <c r="I1809">
        <v>28.000000000000004</v>
      </c>
      <c r="J1809" t="s">
        <v>20</v>
      </c>
    </row>
    <row r="1810" spans="1:10" x14ac:dyDescent="0.2">
      <c r="A1810">
        <v>11809</v>
      </c>
      <c r="B1810" t="s">
        <v>7</v>
      </c>
      <c r="C1810" t="s">
        <v>9</v>
      </c>
      <c r="D1810">
        <v>13.57</v>
      </c>
      <c r="E1810">
        <v>1</v>
      </c>
      <c r="F1810" t="s">
        <v>14</v>
      </c>
      <c r="G1810">
        <v>15</v>
      </c>
      <c r="H1810">
        <v>15.605499999999999</v>
      </c>
      <c r="I1810">
        <v>14.999999999999991</v>
      </c>
      <c r="J1810" t="s">
        <v>20</v>
      </c>
    </row>
    <row r="1811" spans="1:10" x14ac:dyDescent="0.2">
      <c r="A1811">
        <v>11810</v>
      </c>
      <c r="B1811" t="s">
        <v>10</v>
      </c>
      <c r="C1811" t="s">
        <v>6</v>
      </c>
      <c r="D1811">
        <v>11.38</v>
      </c>
      <c r="E1811">
        <v>6</v>
      </c>
      <c r="F1811" t="s">
        <v>15</v>
      </c>
      <c r="G1811">
        <v>28</v>
      </c>
      <c r="H1811">
        <v>14.566400000000002</v>
      </c>
      <c r="I1811">
        <v>28.000000000000004</v>
      </c>
      <c r="J1811" t="s">
        <v>20</v>
      </c>
    </row>
    <row r="1812" spans="1:10" x14ac:dyDescent="0.2">
      <c r="A1812">
        <v>11811</v>
      </c>
      <c r="B1812" t="s">
        <v>10</v>
      </c>
      <c r="C1812" t="s">
        <v>11</v>
      </c>
      <c r="D1812">
        <v>7.58</v>
      </c>
      <c r="E1812">
        <v>6</v>
      </c>
      <c r="F1812" t="s">
        <v>15</v>
      </c>
      <c r="G1812">
        <v>25</v>
      </c>
      <c r="H1812">
        <v>9.4749999999999996</v>
      </c>
      <c r="I1812">
        <v>25</v>
      </c>
      <c r="J1812" t="s">
        <v>20</v>
      </c>
    </row>
    <row r="1813" spans="1:10" x14ac:dyDescent="0.2">
      <c r="A1813">
        <v>11812</v>
      </c>
      <c r="B1813" t="s">
        <v>8</v>
      </c>
      <c r="C1813" t="s">
        <v>11</v>
      </c>
      <c r="D1813">
        <v>9.25</v>
      </c>
      <c r="E1813">
        <v>4</v>
      </c>
      <c r="F1813" t="s">
        <v>15</v>
      </c>
      <c r="G1813">
        <v>25</v>
      </c>
      <c r="H1813">
        <v>11.5625</v>
      </c>
      <c r="I1813">
        <v>25</v>
      </c>
      <c r="J1813" t="s">
        <v>20</v>
      </c>
    </row>
    <row r="1814" spans="1:10" x14ac:dyDescent="0.2">
      <c r="A1814">
        <v>11813</v>
      </c>
      <c r="B1814" t="s">
        <v>5</v>
      </c>
      <c r="C1814" t="s">
        <v>9</v>
      </c>
      <c r="D1814">
        <v>5.22</v>
      </c>
      <c r="E1814">
        <v>7</v>
      </c>
      <c r="F1814" t="s">
        <v>15</v>
      </c>
      <c r="G1814">
        <v>30</v>
      </c>
      <c r="H1814">
        <v>6.7859999999999996</v>
      </c>
      <c r="I1814">
        <v>30.000000000000004</v>
      </c>
      <c r="J1814" t="s">
        <v>20</v>
      </c>
    </row>
    <row r="1815" spans="1:10" x14ac:dyDescent="0.2">
      <c r="A1815">
        <v>11814</v>
      </c>
      <c r="B1815" t="s">
        <v>8</v>
      </c>
      <c r="C1815" t="s">
        <v>6</v>
      </c>
      <c r="D1815">
        <v>14.76</v>
      </c>
      <c r="E1815">
        <v>7</v>
      </c>
      <c r="F1815" t="s">
        <v>15</v>
      </c>
      <c r="G1815">
        <v>28</v>
      </c>
      <c r="H1815">
        <v>18.892800000000001</v>
      </c>
      <c r="I1815">
        <v>28.000000000000004</v>
      </c>
      <c r="J1815" t="s">
        <v>20</v>
      </c>
    </row>
    <row r="1816" spans="1:10" x14ac:dyDescent="0.2">
      <c r="A1816">
        <v>11815</v>
      </c>
      <c r="B1816" t="s">
        <v>7</v>
      </c>
      <c r="C1816" t="s">
        <v>11</v>
      </c>
      <c r="D1816">
        <v>10.18</v>
      </c>
      <c r="E1816">
        <v>9</v>
      </c>
      <c r="F1816" t="s">
        <v>16</v>
      </c>
      <c r="G1816">
        <v>50</v>
      </c>
      <c r="H1816">
        <v>15.27</v>
      </c>
      <c r="I1816">
        <v>50</v>
      </c>
      <c r="J1816" t="s">
        <v>20</v>
      </c>
    </row>
    <row r="1817" spans="1:10" x14ac:dyDescent="0.2">
      <c r="A1817">
        <v>11816</v>
      </c>
      <c r="B1817" t="s">
        <v>5</v>
      </c>
      <c r="C1817" t="s">
        <v>9</v>
      </c>
      <c r="D1817">
        <v>1.1399999999999999</v>
      </c>
      <c r="E1817">
        <v>1</v>
      </c>
      <c r="F1817" t="s">
        <v>14</v>
      </c>
      <c r="G1817">
        <v>15</v>
      </c>
      <c r="H1817">
        <v>1.3109999999999997</v>
      </c>
      <c r="I1817">
        <v>14.999999999999991</v>
      </c>
      <c r="J1817" t="s">
        <v>20</v>
      </c>
    </row>
    <row r="1818" spans="1:10" x14ac:dyDescent="0.2">
      <c r="A1818">
        <v>11817</v>
      </c>
      <c r="B1818" t="s">
        <v>10</v>
      </c>
      <c r="C1818" t="s">
        <v>11</v>
      </c>
      <c r="D1818">
        <v>5.24</v>
      </c>
      <c r="E1818">
        <v>5</v>
      </c>
      <c r="F1818" t="s">
        <v>15</v>
      </c>
      <c r="G1818">
        <v>25</v>
      </c>
      <c r="H1818">
        <v>6.5500000000000007</v>
      </c>
      <c r="I1818">
        <v>25</v>
      </c>
      <c r="J1818" t="s">
        <v>20</v>
      </c>
    </row>
    <row r="1819" spans="1:10" x14ac:dyDescent="0.2">
      <c r="A1819">
        <v>11818</v>
      </c>
      <c r="B1819" t="s">
        <v>5</v>
      </c>
      <c r="C1819" t="s">
        <v>9</v>
      </c>
      <c r="D1819">
        <v>9.5399999999999991</v>
      </c>
      <c r="E1819">
        <v>10</v>
      </c>
      <c r="F1819" t="s">
        <v>16</v>
      </c>
      <c r="G1819">
        <v>60</v>
      </c>
      <c r="H1819">
        <v>15.263999999999999</v>
      </c>
      <c r="I1819">
        <v>60.000000000000007</v>
      </c>
      <c r="J1819" t="s">
        <v>20</v>
      </c>
    </row>
    <row r="1820" spans="1:10" x14ac:dyDescent="0.2">
      <c r="A1820">
        <v>11819</v>
      </c>
      <c r="B1820" t="s">
        <v>10</v>
      </c>
      <c r="C1820" t="s">
        <v>9</v>
      </c>
      <c r="D1820">
        <v>1.32</v>
      </c>
      <c r="E1820">
        <v>3</v>
      </c>
      <c r="F1820" t="s">
        <v>14</v>
      </c>
      <c r="G1820">
        <v>15</v>
      </c>
      <c r="H1820">
        <v>1.518</v>
      </c>
      <c r="I1820">
        <v>14.999999999999991</v>
      </c>
      <c r="J1820" t="s">
        <v>20</v>
      </c>
    </row>
    <row r="1821" spans="1:10" x14ac:dyDescent="0.2">
      <c r="A1821">
        <v>11820</v>
      </c>
      <c r="B1821" t="s">
        <v>5</v>
      </c>
      <c r="C1821" t="s">
        <v>6</v>
      </c>
      <c r="D1821">
        <v>0.85</v>
      </c>
      <c r="E1821">
        <v>7</v>
      </c>
      <c r="F1821" t="s">
        <v>15</v>
      </c>
      <c r="G1821">
        <v>28</v>
      </c>
      <c r="H1821">
        <v>1.0880000000000001</v>
      </c>
      <c r="I1821">
        <v>28.000000000000004</v>
      </c>
      <c r="J1821" t="s">
        <v>20</v>
      </c>
    </row>
    <row r="1822" spans="1:10" x14ac:dyDescent="0.2">
      <c r="A1822">
        <v>11821</v>
      </c>
      <c r="B1822" t="s">
        <v>5</v>
      </c>
      <c r="C1822" t="s">
        <v>11</v>
      </c>
      <c r="D1822">
        <v>7.03</v>
      </c>
      <c r="E1822">
        <v>4</v>
      </c>
      <c r="F1822" t="s">
        <v>15</v>
      </c>
      <c r="G1822">
        <v>25</v>
      </c>
      <c r="H1822">
        <v>8.7874999999999996</v>
      </c>
      <c r="I1822">
        <v>25</v>
      </c>
      <c r="J1822" t="s">
        <v>20</v>
      </c>
    </row>
    <row r="1823" spans="1:10" x14ac:dyDescent="0.2">
      <c r="A1823">
        <v>11822</v>
      </c>
      <c r="B1823" t="s">
        <v>5</v>
      </c>
      <c r="C1823" t="s">
        <v>6</v>
      </c>
      <c r="D1823">
        <v>5.32</v>
      </c>
      <c r="E1823">
        <v>4</v>
      </c>
      <c r="F1823" t="s">
        <v>15</v>
      </c>
      <c r="G1823">
        <v>28</v>
      </c>
      <c r="H1823">
        <v>6.8096000000000005</v>
      </c>
      <c r="I1823">
        <v>28.000000000000004</v>
      </c>
      <c r="J1823" t="s">
        <v>20</v>
      </c>
    </row>
    <row r="1824" spans="1:10" x14ac:dyDescent="0.2">
      <c r="A1824">
        <v>11823</v>
      </c>
      <c r="B1824" t="s">
        <v>7</v>
      </c>
      <c r="C1824" t="s">
        <v>11</v>
      </c>
      <c r="D1824">
        <v>6.86</v>
      </c>
      <c r="E1824">
        <v>1</v>
      </c>
      <c r="F1824" t="s">
        <v>14</v>
      </c>
      <c r="G1824">
        <v>10</v>
      </c>
      <c r="H1824">
        <v>7.5460000000000012</v>
      </c>
      <c r="I1824">
        <v>10.000000000000009</v>
      </c>
      <c r="J1824" t="s">
        <v>20</v>
      </c>
    </row>
    <row r="1825" spans="1:10" x14ac:dyDescent="0.2">
      <c r="A1825">
        <v>11824</v>
      </c>
      <c r="B1825" t="s">
        <v>7</v>
      </c>
      <c r="C1825" t="s">
        <v>6</v>
      </c>
      <c r="D1825">
        <v>4.3099999999999996</v>
      </c>
      <c r="E1825">
        <v>1</v>
      </c>
      <c r="F1825" t="s">
        <v>14</v>
      </c>
      <c r="G1825">
        <v>12</v>
      </c>
      <c r="H1825">
        <v>4.8272000000000004</v>
      </c>
      <c r="I1825">
        <v>12.000000000000011</v>
      </c>
      <c r="J1825" t="s">
        <v>20</v>
      </c>
    </row>
    <row r="1826" spans="1:10" x14ac:dyDescent="0.2">
      <c r="A1826">
        <v>11825</v>
      </c>
      <c r="B1826" t="s">
        <v>8</v>
      </c>
      <c r="C1826" t="s">
        <v>11</v>
      </c>
      <c r="D1826">
        <v>2.89</v>
      </c>
      <c r="E1826">
        <v>10</v>
      </c>
      <c r="F1826" t="s">
        <v>16</v>
      </c>
      <c r="G1826">
        <v>50</v>
      </c>
      <c r="H1826">
        <v>4.335</v>
      </c>
      <c r="I1826">
        <v>50</v>
      </c>
      <c r="J1826" t="s">
        <v>20</v>
      </c>
    </row>
    <row r="1827" spans="1:10" x14ac:dyDescent="0.2">
      <c r="A1827">
        <v>11826</v>
      </c>
      <c r="B1827" t="s">
        <v>8</v>
      </c>
      <c r="C1827" t="s">
        <v>6</v>
      </c>
      <c r="D1827">
        <v>10.49</v>
      </c>
      <c r="E1827">
        <v>2</v>
      </c>
      <c r="F1827" t="s">
        <v>14</v>
      </c>
      <c r="G1827">
        <v>12</v>
      </c>
      <c r="H1827">
        <v>11.748800000000001</v>
      </c>
      <c r="I1827">
        <v>12.000000000000011</v>
      </c>
      <c r="J1827" t="s">
        <v>20</v>
      </c>
    </row>
    <row r="1828" spans="1:10" x14ac:dyDescent="0.2">
      <c r="A1828">
        <v>11827</v>
      </c>
      <c r="B1828" t="s">
        <v>10</v>
      </c>
      <c r="C1828" t="s">
        <v>9</v>
      </c>
      <c r="D1828">
        <v>7.96</v>
      </c>
      <c r="E1828">
        <v>2</v>
      </c>
      <c r="F1828" t="s">
        <v>14</v>
      </c>
      <c r="G1828">
        <v>15</v>
      </c>
      <c r="H1828">
        <v>9.1539999999999999</v>
      </c>
      <c r="I1828">
        <v>14.999999999999991</v>
      </c>
      <c r="J1828" t="s">
        <v>20</v>
      </c>
    </row>
    <row r="1829" spans="1:10" x14ac:dyDescent="0.2">
      <c r="A1829">
        <v>11828</v>
      </c>
      <c r="B1829" t="s">
        <v>7</v>
      </c>
      <c r="C1829" t="s">
        <v>11</v>
      </c>
      <c r="D1829">
        <v>3.4</v>
      </c>
      <c r="E1829">
        <v>1</v>
      </c>
      <c r="F1829" t="s">
        <v>14</v>
      </c>
      <c r="G1829">
        <v>10</v>
      </c>
      <c r="H1829">
        <v>3.74</v>
      </c>
      <c r="I1829">
        <v>10.000000000000009</v>
      </c>
      <c r="J1829" t="s">
        <v>20</v>
      </c>
    </row>
    <row r="1830" spans="1:10" x14ac:dyDescent="0.2">
      <c r="A1830">
        <v>11829</v>
      </c>
      <c r="B1830" t="s">
        <v>10</v>
      </c>
      <c r="C1830" t="s">
        <v>11</v>
      </c>
      <c r="D1830">
        <v>5.13</v>
      </c>
      <c r="E1830">
        <v>8</v>
      </c>
      <c r="F1830" t="s">
        <v>16</v>
      </c>
      <c r="G1830">
        <v>50</v>
      </c>
      <c r="H1830">
        <v>7.6950000000000003</v>
      </c>
      <c r="I1830">
        <v>50</v>
      </c>
      <c r="J1830" t="s">
        <v>20</v>
      </c>
    </row>
    <row r="1831" spans="1:10" x14ac:dyDescent="0.2">
      <c r="A1831">
        <v>11830</v>
      </c>
      <c r="B1831" t="s">
        <v>8</v>
      </c>
      <c r="C1831" t="s">
        <v>9</v>
      </c>
      <c r="D1831">
        <v>9.08</v>
      </c>
      <c r="E1831">
        <v>6</v>
      </c>
      <c r="F1831" t="s">
        <v>15</v>
      </c>
      <c r="G1831">
        <v>30</v>
      </c>
      <c r="H1831">
        <v>11.804</v>
      </c>
      <c r="I1831">
        <v>30.000000000000004</v>
      </c>
      <c r="J1831" t="s">
        <v>20</v>
      </c>
    </row>
    <row r="1832" spans="1:10" x14ac:dyDescent="0.2">
      <c r="A1832">
        <v>11831</v>
      </c>
      <c r="B1832" t="s">
        <v>10</v>
      </c>
      <c r="C1832" t="s">
        <v>6</v>
      </c>
      <c r="D1832">
        <v>1.55</v>
      </c>
      <c r="E1832">
        <v>6</v>
      </c>
      <c r="F1832" t="s">
        <v>15</v>
      </c>
      <c r="G1832">
        <v>28</v>
      </c>
      <c r="H1832">
        <v>1.9840000000000002</v>
      </c>
      <c r="I1832">
        <v>28.000000000000004</v>
      </c>
      <c r="J1832" t="s">
        <v>20</v>
      </c>
    </row>
    <row r="1833" spans="1:10" x14ac:dyDescent="0.2">
      <c r="A1833">
        <v>11832</v>
      </c>
      <c r="B1833" t="s">
        <v>8</v>
      </c>
      <c r="C1833" t="s">
        <v>11</v>
      </c>
      <c r="D1833">
        <v>2.64</v>
      </c>
      <c r="E1833">
        <v>10</v>
      </c>
      <c r="F1833" t="s">
        <v>16</v>
      </c>
      <c r="G1833">
        <v>50</v>
      </c>
      <c r="H1833">
        <v>3.96</v>
      </c>
      <c r="I1833">
        <v>50</v>
      </c>
      <c r="J1833" t="s">
        <v>20</v>
      </c>
    </row>
    <row r="1834" spans="1:10" x14ac:dyDescent="0.2">
      <c r="A1834">
        <v>11833</v>
      </c>
      <c r="B1834" t="s">
        <v>7</v>
      </c>
      <c r="C1834" t="s">
        <v>11</v>
      </c>
      <c r="D1834">
        <v>1.56</v>
      </c>
      <c r="E1834">
        <v>10</v>
      </c>
      <c r="F1834" t="s">
        <v>16</v>
      </c>
      <c r="G1834">
        <v>50</v>
      </c>
      <c r="H1834">
        <v>2.34</v>
      </c>
      <c r="I1834">
        <v>49.999999999999979</v>
      </c>
      <c r="J1834" t="s">
        <v>20</v>
      </c>
    </row>
    <row r="1835" spans="1:10" x14ac:dyDescent="0.2">
      <c r="A1835">
        <v>11834</v>
      </c>
      <c r="B1835" t="s">
        <v>5</v>
      </c>
      <c r="C1835" t="s">
        <v>6</v>
      </c>
      <c r="D1835">
        <v>12.28</v>
      </c>
      <c r="E1835">
        <v>9</v>
      </c>
      <c r="F1835" t="s">
        <v>16</v>
      </c>
      <c r="G1835">
        <v>55</v>
      </c>
      <c r="H1835">
        <v>19.033999999999999</v>
      </c>
      <c r="I1835">
        <v>55.000000000000007</v>
      </c>
      <c r="J1835" t="s">
        <v>20</v>
      </c>
    </row>
    <row r="1836" spans="1:10" x14ac:dyDescent="0.2">
      <c r="A1836">
        <v>11835</v>
      </c>
      <c r="B1836" t="s">
        <v>7</v>
      </c>
      <c r="C1836" t="s">
        <v>9</v>
      </c>
      <c r="D1836">
        <v>11.41</v>
      </c>
      <c r="E1836">
        <v>5</v>
      </c>
      <c r="F1836" t="s">
        <v>15</v>
      </c>
      <c r="G1836">
        <v>30</v>
      </c>
      <c r="H1836">
        <v>14.833</v>
      </c>
      <c r="I1836">
        <v>30.000000000000004</v>
      </c>
      <c r="J1836" t="s">
        <v>20</v>
      </c>
    </row>
    <row r="1837" spans="1:10" x14ac:dyDescent="0.2">
      <c r="A1837">
        <v>11836</v>
      </c>
      <c r="B1837" t="s">
        <v>10</v>
      </c>
      <c r="C1837" t="s">
        <v>6</v>
      </c>
      <c r="D1837">
        <v>11.42</v>
      </c>
      <c r="E1837">
        <v>4</v>
      </c>
      <c r="F1837" t="s">
        <v>15</v>
      </c>
      <c r="G1837">
        <v>28</v>
      </c>
      <c r="H1837">
        <v>14.617599999999999</v>
      </c>
      <c r="I1837">
        <v>28.000000000000004</v>
      </c>
      <c r="J1837" t="s">
        <v>20</v>
      </c>
    </row>
    <row r="1838" spans="1:10" x14ac:dyDescent="0.2">
      <c r="A1838">
        <v>11837</v>
      </c>
      <c r="B1838" t="s">
        <v>10</v>
      </c>
      <c r="C1838" t="s">
        <v>6</v>
      </c>
      <c r="D1838">
        <v>10.89</v>
      </c>
      <c r="E1838">
        <v>6</v>
      </c>
      <c r="F1838" t="s">
        <v>15</v>
      </c>
      <c r="G1838">
        <v>28</v>
      </c>
      <c r="H1838">
        <v>13.939200000000001</v>
      </c>
      <c r="I1838">
        <v>28.000000000000004</v>
      </c>
      <c r="J1838" t="s">
        <v>20</v>
      </c>
    </row>
    <row r="1839" spans="1:10" x14ac:dyDescent="0.2">
      <c r="A1839">
        <v>11838</v>
      </c>
      <c r="B1839" t="s">
        <v>7</v>
      </c>
      <c r="C1839" t="s">
        <v>6</v>
      </c>
      <c r="D1839">
        <v>10.210000000000001</v>
      </c>
      <c r="E1839">
        <v>8</v>
      </c>
      <c r="F1839" t="s">
        <v>16</v>
      </c>
      <c r="G1839">
        <v>55</v>
      </c>
      <c r="H1839">
        <v>15.825500000000002</v>
      </c>
      <c r="I1839">
        <v>55.000000000000007</v>
      </c>
      <c r="J1839" t="s">
        <v>20</v>
      </c>
    </row>
    <row r="1840" spans="1:10" x14ac:dyDescent="0.2">
      <c r="A1840">
        <v>11839</v>
      </c>
      <c r="B1840" t="s">
        <v>7</v>
      </c>
      <c r="C1840" t="s">
        <v>11</v>
      </c>
      <c r="D1840">
        <v>7.42</v>
      </c>
      <c r="E1840">
        <v>1</v>
      </c>
      <c r="F1840" t="s">
        <v>14</v>
      </c>
      <c r="G1840">
        <v>10</v>
      </c>
      <c r="H1840">
        <v>8.1620000000000008</v>
      </c>
      <c r="I1840">
        <v>10.000000000000009</v>
      </c>
      <c r="J1840" t="s">
        <v>20</v>
      </c>
    </row>
    <row r="1841" spans="1:10" x14ac:dyDescent="0.2">
      <c r="A1841">
        <v>11840</v>
      </c>
      <c r="B1841" t="s">
        <v>8</v>
      </c>
      <c r="C1841" t="s">
        <v>9</v>
      </c>
      <c r="D1841">
        <v>9.81</v>
      </c>
      <c r="E1841">
        <v>7</v>
      </c>
      <c r="F1841" t="s">
        <v>15</v>
      </c>
      <c r="G1841">
        <v>30</v>
      </c>
      <c r="H1841">
        <v>12.753000000000002</v>
      </c>
      <c r="I1841">
        <v>30.000000000000004</v>
      </c>
      <c r="J1841" t="s">
        <v>20</v>
      </c>
    </row>
    <row r="1842" spans="1:10" x14ac:dyDescent="0.2">
      <c r="A1842">
        <v>11841</v>
      </c>
      <c r="B1842" t="s">
        <v>10</v>
      </c>
      <c r="C1842" t="s">
        <v>9</v>
      </c>
      <c r="D1842">
        <v>1.06</v>
      </c>
      <c r="E1842">
        <v>8</v>
      </c>
      <c r="F1842" t="s">
        <v>16</v>
      </c>
      <c r="G1842">
        <v>60</v>
      </c>
      <c r="H1842">
        <v>1.6960000000000002</v>
      </c>
      <c r="I1842">
        <v>60.000000000000007</v>
      </c>
      <c r="J1842" t="s">
        <v>20</v>
      </c>
    </row>
    <row r="1843" spans="1:10" x14ac:dyDescent="0.2">
      <c r="A1843">
        <v>11842</v>
      </c>
      <c r="B1843" t="s">
        <v>10</v>
      </c>
      <c r="C1843" t="s">
        <v>6</v>
      </c>
      <c r="D1843">
        <v>9.51</v>
      </c>
      <c r="E1843">
        <v>9</v>
      </c>
      <c r="F1843" t="s">
        <v>16</v>
      </c>
      <c r="G1843">
        <v>55</v>
      </c>
      <c r="H1843">
        <v>14.740500000000001</v>
      </c>
      <c r="I1843">
        <v>55.000000000000007</v>
      </c>
      <c r="J1843" t="s">
        <v>20</v>
      </c>
    </row>
    <row r="1844" spans="1:10" x14ac:dyDescent="0.2">
      <c r="A1844">
        <v>11843</v>
      </c>
      <c r="B1844" t="s">
        <v>7</v>
      </c>
      <c r="C1844" t="s">
        <v>11</v>
      </c>
      <c r="D1844">
        <v>11.78</v>
      </c>
      <c r="E1844">
        <v>8</v>
      </c>
      <c r="F1844" t="s">
        <v>16</v>
      </c>
      <c r="G1844">
        <v>50</v>
      </c>
      <c r="H1844">
        <v>17.669999999999998</v>
      </c>
      <c r="I1844">
        <v>50</v>
      </c>
      <c r="J1844" t="s">
        <v>20</v>
      </c>
    </row>
    <row r="1845" spans="1:10" x14ac:dyDescent="0.2">
      <c r="A1845">
        <v>11844</v>
      </c>
      <c r="B1845" t="s">
        <v>5</v>
      </c>
      <c r="C1845" t="s">
        <v>6</v>
      </c>
      <c r="D1845">
        <v>7.76</v>
      </c>
      <c r="E1845">
        <v>7</v>
      </c>
      <c r="F1845" t="s">
        <v>15</v>
      </c>
      <c r="G1845">
        <v>28</v>
      </c>
      <c r="H1845">
        <v>9.9328000000000003</v>
      </c>
      <c r="I1845">
        <v>28.000000000000004</v>
      </c>
      <c r="J1845" t="s">
        <v>20</v>
      </c>
    </row>
    <row r="1846" spans="1:10" x14ac:dyDescent="0.2">
      <c r="A1846">
        <v>11845</v>
      </c>
      <c r="B1846" t="s">
        <v>10</v>
      </c>
      <c r="C1846" t="s">
        <v>11</v>
      </c>
      <c r="D1846">
        <v>5.68</v>
      </c>
      <c r="E1846">
        <v>3</v>
      </c>
      <c r="F1846" t="s">
        <v>14</v>
      </c>
      <c r="G1846">
        <v>10</v>
      </c>
      <c r="H1846">
        <v>6.2480000000000002</v>
      </c>
      <c r="I1846">
        <v>10.000000000000009</v>
      </c>
      <c r="J1846" t="s">
        <v>20</v>
      </c>
    </row>
    <row r="1847" spans="1:10" x14ac:dyDescent="0.2">
      <c r="A1847">
        <v>11846</v>
      </c>
      <c r="B1847" t="s">
        <v>5</v>
      </c>
      <c r="C1847" t="s">
        <v>11</v>
      </c>
      <c r="D1847">
        <v>4.5199999999999996</v>
      </c>
      <c r="E1847">
        <v>2</v>
      </c>
      <c r="F1847" t="s">
        <v>14</v>
      </c>
      <c r="G1847">
        <v>10</v>
      </c>
      <c r="H1847">
        <v>4.9719999999999995</v>
      </c>
      <c r="I1847">
        <v>10.000000000000009</v>
      </c>
      <c r="J1847" t="s">
        <v>20</v>
      </c>
    </row>
    <row r="1848" spans="1:10" x14ac:dyDescent="0.2">
      <c r="A1848">
        <v>11847</v>
      </c>
      <c r="B1848" t="s">
        <v>7</v>
      </c>
      <c r="C1848" t="s">
        <v>11</v>
      </c>
      <c r="D1848">
        <v>9.82</v>
      </c>
      <c r="E1848">
        <v>3</v>
      </c>
      <c r="F1848" t="s">
        <v>14</v>
      </c>
      <c r="G1848">
        <v>10</v>
      </c>
      <c r="H1848">
        <v>10.802000000000001</v>
      </c>
      <c r="I1848">
        <v>10.000000000000009</v>
      </c>
      <c r="J1848" t="s">
        <v>20</v>
      </c>
    </row>
    <row r="1849" spans="1:10" x14ac:dyDescent="0.2">
      <c r="A1849">
        <v>11848</v>
      </c>
      <c r="B1849" t="s">
        <v>7</v>
      </c>
      <c r="C1849" t="s">
        <v>11</v>
      </c>
      <c r="D1849">
        <v>10.55</v>
      </c>
      <c r="E1849">
        <v>4</v>
      </c>
      <c r="F1849" t="s">
        <v>15</v>
      </c>
      <c r="G1849">
        <v>25</v>
      </c>
      <c r="H1849">
        <v>13.1875</v>
      </c>
      <c r="I1849">
        <v>25</v>
      </c>
      <c r="J1849" t="s">
        <v>20</v>
      </c>
    </row>
    <row r="1850" spans="1:10" x14ac:dyDescent="0.2">
      <c r="A1850">
        <v>11849</v>
      </c>
      <c r="B1850" t="s">
        <v>8</v>
      </c>
      <c r="C1850" t="s">
        <v>9</v>
      </c>
      <c r="D1850">
        <v>13.13</v>
      </c>
      <c r="E1850">
        <v>4</v>
      </c>
      <c r="F1850" t="s">
        <v>15</v>
      </c>
      <c r="G1850">
        <v>30</v>
      </c>
      <c r="H1850">
        <v>17.069000000000003</v>
      </c>
      <c r="I1850">
        <v>30.000000000000004</v>
      </c>
      <c r="J1850" t="s">
        <v>20</v>
      </c>
    </row>
    <row r="1851" spans="1:10" x14ac:dyDescent="0.2">
      <c r="A1851">
        <v>11850</v>
      </c>
      <c r="B1851" t="s">
        <v>10</v>
      </c>
      <c r="C1851" t="s">
        <v>11</v>
      </c>
      <c r="D1851">
        <v>5.46</v>
      </c>
      <c r="E1851">
        <v>6</v>
      </c>
      <c r="F1851" t="s">
        <v>15</v>
      </c>
      <c r="G1851">
        <v>25</v>
      </c>
      <c r="H1851">
        <v>6.8250000000000002</v>
      </c>
      <c r="I1851">
        <v>25</v>
      </c>
      <c r="J1851" t="s">
        <v>20</v>
      </c>
    </row>
    <row r="1852" spans="1:10" x14ac:dyDescent="0.2">
      <c r="A1852">
        <v>11851</v>
      </c>
      <c r="B1852" t="s">
        <v>5</v>
      </c>
      <c r="C1852" t="s">
        <v>11</v>
      </c>
      <c r="D1852">
        <v>11.66</v>
      </c>
      <c r="E1852">
        <v>7</v>
      </c>
      <c r="F1852" t="s">
        <v>15</v>
      </c>
      <c r="G1852">
        <v>25</v>
      </c>
      <c r="H1852">
        <v>14.574999999999999</v>
      </c>
      <c r="I1852">
        <v>25</v>
      </c>
      <c r="J1852" t="s">
        <v>20</v>
      </c>
    </row>
    <row r="1853" spans="1:10" x14ac:dyDescent="0.2">
      <c r="A1853">
        <v>11852</v>
      </c>
      <c r="B1853" t="s">
        <v>8</v>
      </c>
      <c r="C1853" t="s">
        <v>6</v>
      </c>
      <c r="D1853">
        <v>8.64</v>
      </c>
      <c r="E1853">
        <v>4</v>
      </c>
      <c r="F1853" t="s">
        <v>15</v>
      </c>
      <c r="G1853">
        <v>28</v>
      </c>
      <c r="H1853">
        <v>11.059200000000001</v>
      </c>
      <c r="I1853">
        <v>28.000000000000004</v>
      </c>
      <c r="J1853" t="s">
        <v>20</v>
      </c>
    </row>
    <row r="1854" spans="1:10" x14ac:dyDescent="0.2">
      <c r="A1854">
        <v>11853</v>
      </c>
      <c r="B1854" t="s">
        <v>10</v>
      </c>
      <c r="C1854" t="s">
        <v>6</v>
      </c>
      <c r="D1854">
        <v>13.3</v>
      </c>
      <c r="E1854">
        <v>10</v>
      </c>
      <c r="F1854" t="s">
        <v>16</v>
      </c>
      <c r="G1854">
        <v>55</v>
      </c>
      <c r="H1854">
        <v>20.615000000000002</v>
      </c>
      <c r="I1854">
        <v>55.000000000000007</v>
      </c>
      <c r="J1854" t="s">
        <v>20</v>
      </c>
    </row>
    <row r="1855" spans="1:10" x14ac:dyDescent="0.2">
      <c r="A1855">
        <v>11854</v>
      </c>
      <c r="B1855" t="s">
        <v>8</v>
      </c>
      <c r="C1855" t="s">
        <v>9</v>
      </c>
      <c r="D1855">
        <v>8.15</v>
      </c>
      <c r="E1855">
        <v>6</v>
      </c>
      <c r="F1855" t="s">
        <v>15</v>
      </c>
      <c r="G1855">
        <v>30</v>
      </c>
      <c r="H1855">
        <v>10.595000000000001</v>
      </c>
      <c r="I1855">
        <v>30.000000000000004</v>
      </c>
      <c r="J1855" t="s">
        <v>20</v>
      </c>
    </row>
    <row r="1856" spans="1:10" x14ac:dyDescent="0.2">
      <c r="A1856">
        <v>11855</v>
      </c>
      <c r="B1856" t="s">
        <v>7</v>
      </c>
      <c r="C1856" t="s">
        <v>6</v>
      </c>
      <c r="D1856">
        <v>8.01</v>
      </c>
      <c r="E1856">
        <v>9</v>
      </c>
      <c r="F1856" t="s">
        <v>16</v>
      </c>
      <c r="G1856">
        <v>55</v>
      </c>
      <c r="H1856">
        <v>12.4155</v>
      </c>
      <c r="I1856">
        <v>55.000000000000007</v>
      </c>
      <c r="J1856" t="s">
        <v>20</v>
      </c>
    </row>
    <row r="1857" spans="1:10" x14ac:dyDescent="0.2">
      <c r="A1857">
        <v>11856</v>
      </c>
      <c r="B1857" t="s">
        <v>10</v>
      </c>
      <c r="C1857" t="s">
        <v>11</v>
      </c>
      <c r="D1857">
        <v>8.8800000000000008</v>
      </c>
      <c r="E1857">
        <v>6</v>
      </c>
      <c r="F1857" t="s">
        <v>15</v>
      </c>
      <c r="G1857">
        <v>25</v>
      </c>
      <c r="H1857">
        <v>11.100000000000001</v>
      </c>
      <c r="I1857">
        <v>25</v>
      </c>
      <c r="J1857" t="s">
        <v>20</v>
      </c>
    </row>
    <row r="1858" spans="1:10" x14ac:dyDescent="0.2">
      <c r="A1858">
        <v>11857</v>
      </c>
      <c r="B1858" t="s">
        <v>8</v>
      </c>
      <c r="C1858" t="s">
        <v>6</v>
      </c>
      <c r="D1858">
        <v>11.37</v>
      </c>
      <c r="E1858">
        <v>3</v>
      </c>
      <c r="F1858" t="s">
        <v>14</v>
      </c>
      <c r="G1858">
        <v>12</v>
      </c>
      <c r="H1858">
        <v>12.734400000000001</v>
      </c>
      <c r="I1858">
        <v>12.000000000000011</v>
      </c>
      <c r="J1858" t="s">
        <v>20</v>
      </c>
    </row>
    <row r="1859" spans="1:10" x14ac:dyDescent="0.2">
      <c r="A1859">
        <v>11858</v>
      </c>
      <c r="B1859" t="s">
        <v>8</v>
      </c>
      <c r="C1859" t="s">
        <v>9</v>
      </c>
      <c r="D1859">
        <v>14.49</v>
      </c>
      <c r="E1859">
        <v>1</v>
      </c>
      <c r="F1859" t="s">
        <v>14</v>
      </c>
      <c r="G1859">
        <v>15</v>
      </c>
      <c r="H1859">
        <v>16.663499999999999</v>
      </c>
      <c r="I1859">
        <v>14.999999999999991</v>
      </c>
      <c r="J1859" t="s">
        <v>20</v>
      </c>
    </row>
    <row r="1860" spans="1:10" x14ac:dyDescent="0.2">
      <c r="A1860">
        <v>11859</v>
      </c>
      <c r="B1860" t="s">
        <v>5</v>
      </c>
      <c r="C1860" t="s">
        <v>6</v>
      </c>
      <c r="D1860">
        <v>1.57</v>
      </c>
      <c r="E1860">
        <v>10</v>
      </c>
      <c r="F1860" t="s">
        <v>16</v>
      </c>
      <c r="G1860">
        <v>55</v>
      </c>
      <c r="H1860">
        <v>2.4335</v>
      </c>
      <c r="I1860">
        <v>55.000000000000007</v>
      </c>
      <c r="J1860" t="s">
        <v>20</v>
      </c>
    </row>
    <row r="1861" spans="1:10" x14ac:dyDescent="0.2">
      <c r="A1861">
        <v>11860</v>
      </c>
      <c r="B1861" t="s">
        <v>8</v>
      </c>
      <c r="C1861" t="s">
        <v>6</v>
      </c>
      <c r="D1861">
        <v>1.27</v>
      </c>
      <c r="E1861">
        <v>10</v>
      </c>
      <c r="F1861" t="s">
        <v>16</v>
      </c>
      <c r="G1861">
        <v>55</v>
      </c>
      <c r="H1861">
        <v>1.9685000000000001</v>
      </c>
      <c r="I1861">
        <v>55.000000000000007</v>
      </c>
      <c r="J1861" t="s">
        <v>20</v>
      </c>
    </row>
    <row r="1862" spans="1:10" x14ac:dyDescent="0.2">
      <c r="A1862">
        <v>11861</v>
      </c>
      <c r="B1862" t="s">
        <v>10</v>
      </c>
      <c r="C1862" t="s">
        <v>9</v>
      </c>
      <c r="D1862">
        <v>14.09</v>
      </c>
      <c r="E1862">
        <v>5</v>
      </c>
      <c r="F1862" t="s">
        <v>15</v>
      </c>
      <c r="G1862">
        <v>30</v>
      </c>
      <c r="H1862">
        <v>18.317</v>
      </c>
      <c r="I1862">
        <v>30.000000000000004</v>
      </c>
      <c r="J1862" t="s">
        <v>20</v>
      </c>
    </row>
    <row r="1863" spans="1:10" x14ac:dyDescent="0.2">
      <c r="A1863">
        <v>11862</v>
      </c>
      <c r="B1863" t="s">
        <v>10</v>
      </c>
      <c r="C1863" t="s">
        <v>9</v>
      </c>
      <c r="D1863">
        <v>8.18</v>
      </c>
      <c r="E1863">
        <v>10</v>
      </c>
      <c r="F1863" t="s">
        <v>16</v>
      </c>
      <c r="G1863">
        <v>60</v>
      </c>
      <c r="H1863">
        <v>13.088000000000001</v>
      </c>
      <c r="I1863">
        <v>60.000000000000007</v>
      </c>
      <c r="J1863" t="s">
        <v>20</v>
      </c>
    </row>
    <row r="1864" spans="1:10" x14ac:dyDescent="0.2">
      <c r="A1864">
        <v>11863</v>
      </c>
      <c r="B1864" t="s">
        <v>5</v>
      </c>
      <c r="C1864" t="s">
        <v>11</v>
      </c>
      <c r="D1864">
        <v>9.42</v>
      </c>
      <c r="E1864">
        <v>10</v>
      </c>
      <c r="F1864" t="s">
        <v>16</v>
      </c>
      <c r="G1864">
        <v>50</v>
      </c>
      <c r="H1864">
        <v>14.129999999999999</v>
      </c>
      <c r="I1864">
        <v>50</v>
      </c>
      <c r="J1864" t="s">
        <v>20</v>
      </c>
    </row>
    <row r="1865" spans="1:10" x14ac:dyDescent="0.2">
      <c r="A1865">
        <v>11864</v>
      </c>
      <c r="B1865" t="s">
        <v>10</v>
      </c>
      <c r="C1865" t="s">
        <v>6</v>
      </c>
      <c r="D1865">
        <v>7.5</v>
      </c>
      <c r="E1865">
        <v>3</v>
      </c>
      <c r="F1865" t="s">
        <v>14</v>
      </c>
      <c r="G1865">
        <v>12</v>
      </c>
      <c r="H1865">
        <v>8.4</v>
      </c>
      <c r="I1865">
        <v>12.000000000000011</v>
      </c>
      <c r="J1865" t="s">
        <v>20</v>
      </c>
    </row>
    <row r="1866" spans="1:10" x14ac:dyDescent="0.2">
      <c r="A1866">
        <v>11865</v>
      </c>
      <c r="B1866" t="s">
        <v>7</v>
      </c>
      <c r="C1866" t="s">
        <v>11</v>
      </c>
      <c r="D1866">
        <v>1.86</v>
      </c>
      <c r="E1866">
        <v>8</v>
      </c>
      <c r="F1866" t="s">
        <v>16</v>
      </c>
      <c r="G1866">
        <v>50</v>
      </c>
      <c r="H1866">
        <v>2.79</v>
      </c>
      <c r="I1866">
        <v>50</v>
      </c>
      <c r="J1866" t="s">
        <v>20</v>
      </c>
    </row>
    <row r="1867" spans="1:10" x14ac:dyDescent="0.2">
      <c r="A1867">
        <v>11866</v>
      </c>
      <c r="B1867" t="s">
        <v>10</v>
      </c>
      <c r="C1867" t="s">
        <v>6</v>
      </c>
      <c r="D1867">
        <v>11.64</v>
      </c>
      <c r="E1867">
        <v>10</v>
      </c>
      <c r="F1867" t="s">
        <v>16</v>
      </c>
      <c r="G1867">
        <v>55</v>
      </c>
      <c r="H1867">
        <v>18.042000000000002</v>
      </c>
      <c r="I1867">
        <v>55.000000000000007</v>
      </c>
      <c r="J1867" t="s">
        <v>20</v>
      </c>
    </row>
    <row r="1868" spans="1:10" x14ac:dyDescent="0.2">
      <c r="A1868">
        <v>11867</v>
      </c>
      <c r="B1868" t="s">
        <v>10</v>
      </c>
      <c r="C1868" t="s">
        <v>6</v>
      </c>
      <c r="D1868">
        <v>11.33</v>
      </c>
      <c r="E1868">
        <v>1</v>
      </c>
      <c r="F1868" t="s">
        <v>14</v>
      </c>
      <c r="G1868">
        <v>12</v>
      </c>
      <c r="H1868">
        <v>12.6896</v>
      </c>
      <c r="I1868">
        <v>12.000000000000011</v>
      </c>
      <c r="J1868" t="s">
        <v>20</v>
      </c>
    </row>
    <row r="1869" spans="1:10" x14ac:dyDescent="0.2">
      <c r="A1869">
        <v>11868</v>
      </c>
      <c r="B1869" t="s">
        <v>8</v>
      </c>
      <c r="C1869" t="s">
        <v>11</v>
      </c>
      <c r="D1869">
        <v>5.0199999999999996</v>
      </c>
      <c r="E1869">
        <v>2</v>
      </c>
      <c r="F1869" t="s">
        <v>14</v>
      </c>
      <c r="G1869">
        <v>10</v>
      </c>
      <c r="H1869">
        <v>5.5220000000000002</v>
      </c>
      <c r="I1869">
        <v>10.000000000000009</v>
      </c>
      <c r="J1869" t="s">
        <v>20</v>
      </c>
    </row>
    <row r="1870" spans="1:10" x14ac:dyDescent="0.2">
      <c r="A1870">
        <v>11869</v>
      </c>
      <c r="B1870" t="s">
        <v>8</v>
      </c>
      <c r="C1870" t="s">
        <v>6</v>
      </c>
      <c r="D1870">
        <v>4.9400000000000004</v>
      </c>
      <c r="E1870">
        <v>3</v>
      </c>
      <c r="F1870" t="s">
        <v>14</v>
      </c>
      <c r="G1870">
        <v>12</v>
      </c>
      <c r="H1870">
        <v>5.5328000000000008</v>
      </c>
      <c r="I1870">
        <v>12.000000000000011</v>
      </c>
      <c r="J1870" t="s">
        <v>20</v>
      </c>
    </row>
    <row r="1871" spans="1:10" x14ac:dyDescent="0.2">
      <c r="A1871">
        <v>11870</v>
      </c>
      <c r="B1871" t="s">
        <v>10</v>
      </c>
      <c r="C1871" t="s">
        <v>6</v>
      </c>
      <c r="D1871">
        <v>12.65</v>
      </c>
      <c r="E1871">
        <v>3</v>
      </c>
      <c r="F1871" t="s">
        <v>14</v>
      </c>
      <c r="G1871">
        <v>12</v>
      </c>
      <c r="H1871">
        <v>14.168000000000001</v>
      </c>
      <c r="I1871">
        <v>12.000000000000011</v>
      </c>
      <c r="J1871" t="s">
        <v>20</v>
      </c>
    </row>
    <row r="1872" spans="1:10" x14ac:dyDescent="0.2">
      <c r="A1872">
        <v>11871</v>
      </c>
      <c r="B1872" t="s">
        <v>5</v>
      </c>
      <c r="C1872" t="s">
        <v>6</v>
      </c>
      <c r="D1872">
        <v>1.55</v>
      </c>
      <c r="E1872">
        <v>8</v>
      </c>
      <c r="F1872" t="s">
        <v>16</v>
      </c>
      <c r="G1872">
        <v>55</v>
      </c>
      <c r="H1872">
        <v>2.4025000000000003</v>
      </c>
      <c r="I1872">
        <v>55.000000000000007</v>
      </c>
      <c r="J1872" t="s">
        <v>20</v>
      </c>
    </row>
    <row r="1873" spans="1:10" x14ac:dyDescent="0.2">
      <c r="A1873">
        <v>11872</v>
      </c>
      <c r="B1873" t="s">
        <v>8</v>
      </c>
      <c r="C1873" t="s">
        <v>9</v>
      </c>
      <c r="D1873">
        <v>13.28</v>
      </c>
      <c r="E1873">
        <v>5</v>
      </c>
      <c r="F1873" t="s">
        <v>15</v>
      </c>
      <c r="G1873">
        <v>30</v>
      </c>
      <c r="H1873">
        <v>17.263999999999999</v>
      </c>
      <c r="I1873">
        <v>30.000000000000004</v>
      </c>
      <c r="J1873" t="s">
        <v>20</v>
      </c>
    </row>
    <row r="1874" spans="1:10" x14ac:dyDescent="0.2">
      <c r="A1874">
        <v>11873</v>
      </c>
      <c r="B1874" t="s">
        <v>5</v>
      </c>
      <c r="C1874" t="s">
        <v>11</v>
      </c>
      <c r="D1874">
        <v>4.22</v>
      </c>
      <c r="E1874">
        <v>8</v>
      </c>
      <c r="F1874" t="s">
        <v>16</v>
      </c>
      <c r="G1874">
        <v>50</v>
      </c>
      <c r="H1874">
        <v>6.33</v>
      </c>
      <c r="I1874">
        <v>50</v>
      </c>
      <c r="J1874" t="s">
        <v>20</v>
      </c>
    </row>
    <row r="1875" spans="1:10" x14ac:dyDescent="0.2">
      <c r="A1875">
        <v>11874</v>
      </c>
      <c r="B1875" t="s">
        <v>10</v>
      </c>
      <c r="C1875" t="s">
        <v>9</v>
      </c>
      <c r="D1875">
        <v>9.1</v>
      </c>
      <c r="E1875">
        <v>6</v>
      </c>
      <c r="F1875" t="s">
        <v>15</v>
      </c>
      <c r="G1875">
        <v>30</v>
      </c>
      <c r="H1875">
        <v>11.83</v>
      </c>
      <c r="I1875">
        <v>30.000000000000004</v>
      </c>
      <c r="J1875" t="s">
        <v>20</v>
      </c>
    </row>
    <row r="1876" spans="1:10" x14ac:dyDescent="0.2">
      <c r="A1876">
        <v>11875</v>
      </c>
      <c r="B1876" t="s">
        <v>10</v>
      </c>
      <c r="C1876" t="s">
        <v>11</v>
      </c>
      <c r="D1876">
        <v>14.07</v>
      </c>
      <c r="E1876">
        <v>2</v>
      </c>
      <c r="F1876" t="s">
        <v>14</v>
      </c>
      <c r="G1876">
        <v>10</v>
      </c>
      <c r="H1876">
        <v>15.477000000000002</v>
      </c>
      <c r="I1876">
        <v>10.000000000000009</v>
      </c>
      <c r="J1876" t="s">
        <v>20</v>
      </c>
    </row>
    <row r="1877" spans="1:10" x14ac:dyDescent="0.2">
      <c r="A1877">
        <v>11876</v>
      </c>
      <c r="B1877" t="s">
        <v>7</v>
      </c>
      <c r="C1877" t="s">
        <v>11</v>
      </c>
      <c r="D1877">
        <v>10.33</v>
      </c>
      <c r="E1877">
        <v>4</v>
      </c>
      <c r="F1877" t="s">
        <v>15</v>
      </c>
      <c r="G1877">
        <v>25</v>
      </c>
      <c r="H1877">
        <v>12.9125</v>
      </c>
      <c r="I1877">
        <v>25</v>
      </c>
      <c r="J1877" t="s">
        <v>20</v>
      </c>
    </row>
    <row r="1878" spans="1:10" x14ac:dyDescent="0.2">
      <c r="A1878">
        <v>11877</v>
      </c>
      <c r="B1878" t="s">
        <v>8</v>
      </c>
      <c r="C1878" t="s">
        <v>6</v>
      </c>
      <c r="D1878">
        <v>6.51</v>
      </c>
      <c r="E1878">
        <v>9</v>
      </c>
      <c r="F1878" t="s">
        <v>16</v>
      </c>
      <c r="G1878">
        <v>55</v>
      </c>
      <c r="H1878">
        <v>10.0905</v>
      </c>
      <c r="I1878">
        <v>55.000000000000007</v>
      </c>
      <c r="J1878" t="s">
        <v>20</v>
      </c>
    </row>
    <row r="1879" spans="1:10" x14ac:dyDescent="0.2">
      <c r="A1879">
        <v>11878</v>
      </c>
      <c r="B1879" t="s">
        <v>10</v>
      </c>
      <c r="C1879" t="s">
        <v>11</v>
      </c>
      <c r="D1879">
        <v>10.5</v>
      </c>
      <c r="E1879">
        <v>4</v>
      </c>
      <c r="F1879" t="s">
        <v>15</v>
      </c>
      <c r="G1879">
        <v>25</v>
      </c>
      <c r="H1879">
        <v>13.125</v>
      </c>
      <c r="I1879">
        <v>25</v>
      </c>
      <c r="J1879" t="s">
        <v>20</v>
      </c>
    </row>
    <row r="1880" spans="1:10" x14ac:dyDescent="0.2">
      <c r="A1880">
        <v>11879</v>
      </c>
      <c r="B1880" t="s">
        <v>7</v>
      </c>
      <c r="C1880" t="s">
        <v>9</v>
      </c>
      <c r="D1880">
        <v>5.49</v>
      </c>
      <c r="E1880">
        <v>5</v>
      </c>
      <c r="F1880" t="s">
        <v>15</v>
      </c>
      <c r="G1880">
        <v>30</v>
      </c>
      <c r="H1880">
        <v>7.1370000000000005</v>
      </c>
      <c r="I1880">
        <v>30.000000000000004</v>
      </c>
      <c r="J1880" t="s">
        <v>20</v>
      </c>
    </row>
    <row r="1881" spans="1:10" x14ac:dyDescent="0.2">
      <c r="A1881">
        <v>11880</v>
      </c>
      <c r="B1881" t="s">
        <v>8</v>
      </c>
      <c r="C1881" t="s">
        <v>9</v>
      </c>
      <c r="D1881">
        <v>4.5199999999999996</v>
      </c>
      <c r="E1881">
        <v>5</v>
      </c>
      <c r="F1881" t="s">
        <v>15</v>
      </c>
      <c r="G1881">
        <v>30</v>
      </c>
      <c r="H1881">
        <v>5.8759999999999994</v>
      </c>
      <c r="I1881">
        <v>30.000000000000004</v>
      </c>
      <c r="J1881" t="s">
        <v>20</v>
      </c>
    </row>
    <row r="1882" spans="1:10" x14ac:dyDescent="0.2">
      <c r="A1882">
        <v>11881</v>
      </c>
      <c r="B1882" t="s">
        <v>10</v>
      </c>
      <c r="C1882" t="s">
        <v>9</v>
      </c>
      <c r="D1882">
        <v>14.95</v>
      </c>
      <c r="E1882">
        <v>10</v>
      </c>
      <c r="F1882" t="s">
        <v>16</v>
      </c>
      <c r="G1882">
        <v>60</v>
      </c>
      <c r="H1882">
        <v>23.92</v>
      </c>
      <c r="I1882">
        <v>60.000000000000007</v>
      </c>
      <c r="J1882" t="s">
        <v>20</v>
      </c>
    </row>
    <row r="1883" spans="1:10" x14ac:dyDescent="0.2">
      <c r="A1883">
        <v>11882</v>
      </c>
      <c r="B1883" t="s">
        <v>10</v>
      </c>
      <c r="C1883" t="s">
        <v>11</v>
      </c>
      <c r="D1883">
        <v>11.39</v>
      </c>
      <c r="E1883">
        <v>8</v>
      </c>
      <c r="F1883" t="s">
        <v>16</v>
      </c>
      <c r="G1883">
        <v>50</v>
      </c>
      <c r="H1883">
        <v>17.085000000000001</v>
      </c>
      <c r="I1883">
        <v>50</v>
      </c>
      <c r="J1883" t="s">
        <v>20</v>
      </c>
    </row>
    <row r="1884" spans="1:10" x14ac:dyDescent="0.2">
      <c r="A1884">
        <v>11883</v>
      </c>
      <c r="B1884" t="s">
        <v>8</v>
      </c>
      <c r="C1884" t="s">
        <v>9</v>
      </c>
      <c r="D1884">
        <v>9.85</v>
      </c>
      <c r="E1884">
        <v>6</v>
      </c>
      <c r="F1884" t="s">
        <v>15</v>
      </c>
      <c r="G1884">
        <v>30</v>
      </c>
      <c r="H1884">
        <v>12.805</v>
      </c>
      <c r="I1884">
        <v>30.000000000000004</v>
      </c>
      <c r="J1884" t="s">
        <v>20</v>
      </c>
    </row>
    <row r="1885" spans="1:10" x14ac:dyDescent="0.2">
      <c r="A1885">
        <v>11884</v>
      </c>
      <c r="B1885" t="s">
        <v>8</v>
      </c>
      <c r="C1885" t="s">
        <v>11</v>
      </c>
      <c r="D1885">
        <v>5.65</v>
      </c>
      <c r="E1885">
        <v>10</v>
      </c>
      <c r="F1885" t="s">
        <v>16</v>
      </c>
      <c r="G1885">
        <v>50</v>
      </c>
      <c r="H1885">
        <v>8.4750000000000014</v>
      </c>
      <c r="I1885">
        <v>50.000000000000021</v>
      </c>
      <c r="J1885" t="s">
        <v>20</v>
      </c>
    </row>
    <row r="1886" spans="1:10" x14ac:dyDescent="0.2">
      <c r="A1886">
        <v>11885</v>
      </c>
      <c r="B1886" t="s">
        <v>8</v>
      </c>
      <c r="C1886" t="s">
        <v>9</v>
      </c>
      <c r="D1886">
        <v>1.21</v>
      </c>
      <c r="E1886">
        <v>7</v>
      </c>
      <c r="F1886" t="s">
        <v>15</v>
      </c>
      <c r="G1886">
        <v>30</v>
      </c>
      <c r="H1886">
        <v>1.573</v>
      </c>
      <c r="I1886">
        <v>30.000000000000004</v>
      </c>
      <c r="J1886" t="s">
        <v>20</v>
      </c>
    </row>
    <row r="1887" spans="1:10" x14ac:dyDescent="0.2">
      <c r="A1887">
        <v>11886</v>
      </c>
      <c r="B1887" t="s">
        <v>10</v>
      </c>
      <c r="C1887" t="s">
        <v>9</v>
      </c>
      <c r="D1887">
        <v>0.95</v>
      </c>
      <c r="E1887">
        <v>6</v>
      </c>
      <c r="F1887" t="s">
        <v>15</v>
      </c>
      <c r="G1887">
        <v>30</v>
      </c>
      <c r="H1887">
        <v>1.2349999999999999</v>
      </c>
      <c r="I1887">
        <v>29.999999999999982</v>
      </c>
      <c r="J1887" t="s">
        <v>20</v>
      </c>
    </row>
    <row r="1888" spans="1:10" x14ac:dyDescent="0.2">
      <c r="A1888">
        <v>11887</v>
      </c>
      <c r="B1888" t="s">
        <v>10</v>
      </c>
      <c r="C1888" t="s">
        <v>11</v>
      </c>
      <c r="D1888">
        <v>8.5399999999999991</v>
      </c>
      <c r="E1888">
        <v>5</v>
      </c>
      <c r="F1888" t="s">
        <v>15</v>
      </c>
      <c r="G1888">
        <v>25</v>
      </c>
      <c r="H1888">
        <v>10.674999999999999</v>
      </c>
      <c r="I1888">
        <v>25</v>
      </c>
      <c r="J1888" t="s">
        <v>20</v>
      </c>
    </row>
    <row r="1889" spans="1:10" x14ac:dyDescent="0.2">
      <c r="A1889">
        <v>11888</v>
      </c>
      <c r="B1889" t="s">
        <v>7</v>
      </c>
      <c r="C1889" t="s">
        <v>9</v>
      </c>
      <c r="D1889">
        <v>11.55</v>
      </c>
      <c r="E1889">
        <v>5</v>
      </c>
      <c r="F1889" t="s">
        <v>15</v>
      </c>
      <c r="G1889">
        <v>30</v>
      </c>
      <c r="H1889">
        <v>15.015000000000001</v>
      </c>
      <c r="I1889">
        <v>30.000000000000004</v>
      </c>
      <c r="J1889" t="s">
        <v>20</v>
      </c>
    </row>
    <row r="1890" spans="1:10" x14ac:dyDescent="0.2">
      <c r="A1890">
        <v>11889</v>
      </c>
      <c r="B1890" t="s">
        <v>5</v>
      </c>
      <c r="C1890" t="s">
        <v>6</v>
      </c>
      <c r="D1890">
        <v>8.2899999999999991</v>
      </c>
      <c r="E1890">
        <v>3</v>
      </c>
      <c r="F1890" t="s">
        <v>14</v>
      </c>
      <c r="G1890">
        <v>12</v>
      </c>
      <c r="H1890">
        <v>9.2848000000000006</v>
      </c>
      <c r="I1890">
        <v>12.000000000000011</v>
      </c>
      <c r="J1890" t="s">
        <v>20</v>
      </c>
    </row>
    <row r="1891" spans="1:10" x14ac:dyDescent="0.2">
      <c r="A1891">
        <v>11890</v>
      </c>
      <c r="B1891" t="s">
        <v>8</v>
      </c>
      <c r="C1891" t="s">
        <v>11</v>
      </c>
      <c r="D1891">
        <v>12.69</v>
      </c>
      <c r="E1891">
        <v>7</v>
      </c>
      <c r="F1891" t="s">
        <v>15</v>
      </c>
      <c r="G1891">
        <v>25</v>
      </c>
      <c r="H1891">
        <v>15.862499999999999</v>
      </c>
      <c r="I1891">
        <v>25</v>
      </c>
      <c r="J1891" t="s">
        <v>20</v>
      </c>
    </row>
    <row r="1892" spans="1:10" x14ac:dyDescent="0.2">
      <c r="A1892">
        <v>11891</v>
      </c>
      <c r="B1892" t="s">
        <v>10</v>
      </c>
      <c r="C1892" t="s">
        <v>11</v>
      </c>
      <c r="D1892">
        <v>0.98</v>
      </c>
      <c r="E1892">
        <v>10</v>
      </c>
      <c r="F1892" t="s">
        <v>16</v>
      </c>
      <c r="G1892">
        <v>50</v>
      </c>
      <c r="H1892">
        <v>1.47</v>
      </c>
      <c r="I1892">
        <v>50</v>
      </c>
      <c r="J1892" t="s">
        <v>20</v>
      </c>
    </row>
    <row r="1893" spans="1:10" x14ac:dyDescent="0.2">
      <c r="A1893">
        <v>11892</v>
      </c>
      <c r="B1893" t="s">
        <v>10</v>
      </c>
      <c r="C1893" t="s">
        <v>11</v>
      </c>
      <c r="D1893">
        <v>5.82</v>
      </c>
      <c r="E1893">
        <v>5</v>
      </c>
      <c r="F1893" t="s">
        <v>15</v>
      </c>
      <c r="G1893">
        <v>25</v>
      </c>
      <c r="H1893">
        <v>7.2750000000000004</v>
      </c>
      <c r="I1893">
        <v>25</v>
      </c>
      <c r="J1893" t="s">
        <v>20</v>
      </c>
    </row>
    <row r="1894" spans="1:10" x14ac:dyDescent="0.2">
      <c r="A1894">
        <v>11893</v>
      </c>
      <c r="B1894" t="s">
        <v>8</v>
      </c>
      <c r="C1894" t="s">
        <v>6</v>
      </c>
      <c r="D1894">
        <v>3.94</v>
      </c>
      <c r="E1894">
        <v>7</v>
      </c>
      <c r="F1894" t="s">
        <v>15</v>
      </c>
      <c r="G1894">
        <v>28</v>
      </c>
      <c r="H1894">
        <v>5.0431999999999997</v>
      </c>
      <c r="I1894">
        <v>28.000000000000004</v>
      </c>
      <c r="J1894" t="s">
        <v>20</v>
      </c>
    </row>
    <row r="1895" spans="1:10" x14ac:dyDescent="0.2">
      <c r="A1895">
        <v>11894</v>
      </c>
      <c r="B1895" t="s">
        <v>5</v>
      </c>
      <c r="C1895" t="s">
        <v>11</v>
      </c>
      <c r="D1895">
        <v>6.99</v>
      </c>
      <c r="E1895">
        <v>2</v>
      </c>
      <c r="F1895" t="s">
        <v>14</v>
      </c>
      <c r="G1895">
        <v>10</v>
      </c>
      <c r="H1895">
        <v>7.6890000000000009</v>
      </c>
      <c r="I1895">
        <v>10.000000000000009</v>
      </c>
      <c r="J1895" t="s">
        <v>20</v>
      </c>
    </row>
    <row r="1896" spans="1:10" x14ac:dyDescent="0.2">
      <c r="A1896">
        <v>11895</v>
      </c>
      <c r="B1896" t="s">
        <v>8</v>
      </c>
      <c r="C1896" t="s">
        <v>9</v>
      </c>
      <c r="D1896">
        <v>1.55</v>
      </c>
      <c r="E1896">
        <v>9</v>
      </c>
      <c r="F1896" t="s">
        <v>16</v>
      </c>
      <c r="G1896">
        <v>60</v>
      </c>
      <c r="H1896">
        <v>2.4800000000000004</v>
      </c>
      <c r="I1896">
        <v>60.000000000000028</v>
      </c>
      <c r="J1896" t="s">
        <v>20</v>
      </c>
    </row>
    <row r="1897" spans="1:10" x14ac:dyDescent="0.2">
      <c r="A1897">
        <v>11896</v>
      </c>
      <c r="B1897" t="s">
        <v>5</v>
      </c>
      <c r="C1897" t="s">
        <v>9</v>
      </c>
      <c r="D1897">
        <v>14.33</v>
      </c>
      <c r="E1897">
        <v>8</v>
      </c>
      <c r="F1897" t="s">
        <v>16</v>
      </c>
      <c r="G1897">
        <v>60</v>
      </c>
      <c r="H1897">
        <v>22.928000000000001</v>
      </c>
      <c r="I1897">
        <v>60.000000000000007</v>
      </c>
      <c r="J1897" t="s">
        <v>20</v>
      </c>
    </row>
    <row r="1898" spans="1:10" x14ac:dyDescent="0.2">
      <c r="A1898">
        <v>11897</v>
      </c>
      <c r="B1898" t="s">
        <v>10</v>
      </c>
      <c r="C1898" t="s">
        <v>9</v>
      </c>
      <c r="D1898">
        <v>3.74</v>
      </c>
      <c r="E1898">
        <v>5</v>
      </c>
      <c r="F1898" t="s">
        <v>15</v>
      </c>
      <c r="G1898">
        <v>30</v>
      </c>
      <c r="H1898">
        <v>4.8620000000000001</v>
      </c>
      <c r="I1898">
        <v>30.000000000000004</v>
      </c>
      <c r="J1898" t="s">
        <v>20</v>
      </c>
    </row>
    <row r="1899" spans="1:10" x14ac:dyDescent="0.2">
      <c r="A1899">
        <v>11898</v>
      </c>
      <c r="B1899" t="s">
        <v>5</v>
      </c>
      <c r="C1899" t="s">
        <v>11</v>
      </c>
      <c r="D1899">
        <v>13.87</v>
      </c>
      <c r="E1899">
        <v>2</v>
      </c>
      <c r="F1899" t="s">
        <v>14</v>
      </c>
      <c r="G1899">
        <v>10</v>
      </c>
      <c r="H1899">
        <v>15.257</v>
      </c>
      <c r="I1899">
        <v>10.000000000000009</v>
      </c>
      <c r="J1899" t="s">
        <v>20</v>
      </c>
    </row>
    <row r="1900" spans="1:10" x14ac:dyDescent="0.2">
      <c r="A1900">
        <v>11899</v>
      </c>
      <c r="B1900" t="s">
        <v>7</v>
      </c>
      <c r="C1900" t="s">
        <v>9</v>
      </c>
      <c r="D1900">
        <v>6.68</v>
      </c>
      <c r="E1900">
        <v>6</v>
      </c>
      <c r="F1900" t="s">
        <v>15</v>
      </c>
      <c r="G1900">
        <v>30</v>
      </c>
      <c r="H1900">
        <v>8.6839999999999993</v>
      </c>
      <c r="I1900">
        <v>30.000000000000004</v>
      </c>
      <c r="J1900" t="s">
        <v>20</v>
      </c>
    </row>
    <row r="1901" spans="1:10" x14ac:dyDescent="0.2">
      <c r="A1901">
        <v>11900</v>
      </c>
      <c r="B1901" t="s">
        <v>10</v>
      </c>
      <c r="C1901" t="s">
        <v>11</v>
      </c>
      <c r="D1901">
        <v>14.79</v>
      </c>
      <c r="E1901">
        <v>8</v>
      </c>
      <c r="F1901" t="s">
        <v>16</v>
      </c>
      <c r="G1901">
        <v>50</v>
      </c>
      <c r="H1901">
        <v>22.184999999999999</v>
      </c>
      <c r="I1901">
        <v>50</v>
      </c>
      <c r="J1901" t="s">
        <v>20</v>
      </c>
    </row>
    <row r="1902" spans="1:10" x14ac:dyDescent="0.2">
      <c r="A1902">
        <v>11901</v>
      </c>
      <c r="B1902" t="s">
        <v>7</v>
      </c>
      <c r="C1902" t="s">
        <v>9</v>
      </c>
      <c r="D1902">
        <v>8.5299999999999994</v>
      </c>
      <c r="E1902">
        <v>7</v>
      </c>
      <c r="F1902" t="s">
        <v>15</v>
      </c>
      <c r="G1902">
        <v>30</v>
      </c>
      <c r="H1902">
        <v>11.089</v>
      </c>
      <c r="I1902">
        <v>30.000000000000004</v>
      </c>
      <c r="J1902" t="s">
        <v>20</v>
      </c>
    </row>
    <row r="1903" spans="1:10" x14ac:dyDescent="0.2">
      <c r="A1903">
        <v>11902</v>
      </c>
      <c r="B1903" t="s">
        <v>8</v>
      </c>
      <c r="C1903" t="s">
        <v>6</v>
      </c>
      <c r="D1903">
        <v>14</v>
      </c>
      <c r="E1903">
        <v>8</v>
      </c>
      <c r="F1903" t="s">
        <v>16</v>
      </c>
      <c r="G1903">
        <v>55</v>
      </c>
      <c r="H1903">
        <v>21.7</v>
      </c>
      <c r="I1903">
        <v>55.000000000000007</v>
      </c>
      <c r="J1903" t="s">
        <v>20</v>
      </c>
    </row>
    <row r="1904" spans="1:10" x14ac:dyDescent="0.2">
      <c r="A1904">
        <v>11903</v>
      </c>
      <c r="B1904" t="s">
        <v>8</v>
      </c>
      <c r="C1904" t="s">
        <v>6</v>
      </c>
      <c r="D1904">
        <v>0.57999999999999996</v>
      </c>
      <c r="E1904">
        <v>4</v>
      </c>
      <c r="F1904" t="s">
        <v>15</v>
      </c>
      <c r="G1904">
        <v>28</v>
      </c>
      <c r="H1904">
        <v>0.74239999999999995</v>
      </c>
      <c r="I1904">
        <v>28.000000000000004</v>
      </c>
      <c r="J1904" t="s">
        <v>20</v>
      </c>
    </row>
    <row r="1905" spans="1:10" x14ac:dyDescent="0.2">
      <c r="A1905">
        <v>11904</v>
      </c>
      <c r="B1905" t="s">
        <v>8</v>
      </c>
      <c r="C1905" t="s">
        <v>6</v>
      </c>
      <c r="D1905">
        <v>11.35</v>
      </c>
      <c r="E1905">
        <v>3</v>
      </c>
      <c r="F1905" t="s">
        <v>14</v>
      </c>
      <c r="G1905">
        <v>12</v>
      </c>
      <c r="H1905">
        <v>12.712000000000002</v>
      </c>
      <c r="I1905">
        <v>12.000000000000011</v>
      </c>
      <c r="J1905" t="s">
        <v>20</v>
      </c>
    </row>
    <row r="1906" spans="1:10" x14ac:dyDescent="0.2">
      <c r="A1906">
        <v>11905</v>
      </c>
      <c r="B1906" t="s">
        <v>5</v>
      </c>
      <c r="C1906" t="s">
        <v>6</v>
      </c>
      <c r="D1906">
        <v>13.59</v>
      </c>
      <c r="E1906">
        <v>7</v>
      </c>
      <c r="F1906" t="s">
        <v>15</v>
      </c>
      <c r="G1906">
        <v>28</v>
      </c>
      <c r="H1906">
        <v>17.395199999999999</v>
      </c>
      <c r="I1906">
        <v>28.000000000000004</v>
      </c>
      <c r="J1906" t="s">
        <v>20</v>
      </c>
    </row>
    <row r="1907" spans="1:10" x14ac:dyDescent="0.2">
      <c r="A1907">
        <v>11906</v>
      </c>
      <c r="B1907" t="s">
        <v>10</v>
      </c>
      <c r="C1907" t="s">
        <v>11</v>
      </c>
      <c r="D1907">
        <v>2.5299999999999998</v>
      </c>
      <c r="E1907">
        <v>2</v>
      </c>
      <c r="F1907" t="s">
        <v>14</v>
      </c>
      <c r="G1907">
        <v>10</v>
      </c>
      <c r="H1907">
        <v>2.7829999999999999</v>
      </c>
      <c r="I1907">
        <v>10.000000000000009</v>
      </c>
      <c r="J1907" t="s">
        <v>20</v>
      </c>
    </row>
    <row r="1908" spans="1:10" x14ac:dyDescent="0.2">
      <c r="A1908">
        <v>11907</v>
      </c>
      <c r="B1908" t="s">
        <v>8</v>
      </c>
      <c r="C1908" t="s">
        <v>9</v>
      </c>
      <c r="D1908">
        <v>1.89</v>
      </c>
      <c r="E1908">
        <v>5</v>
      </c>
      <c r="F1908" t="s">
        <v>15</v>
      </c>
      <c r="G1908">
        <v>30</v>
      </c>
      <c r="H1908">
        <v>2.4569999999999999</v>
      </c>
      <c r="I1908">
        <v>30.000000000000004</v>
      </c>
      <c r="J1908" t="s">
        <v>20</v>
      </c>
    </row>
    <row r="1909" spans="1:10" x14ac:dyDescent="0.2">
      <c r="A1909">
        <v>11908</v>
      </c>
      <c r="B1909" t="s">
        <v>8</v>
      </c>
      <c r="C1909" t="s">
        <v>6</v>
      </c>
      <c r="D1909">
        <v>6.66</v>
      </c>
      <c r="E1909">
        <v>7</v>
      </c>
      <c r="F1909" t="s">
        <v>15</v>
      </c>
      <c r="G1909">
        <v>28</v>
      </c>
      <c r="H1909">
        <v>8.5248000000000008</v>
      </c>
      <c r="I1909">
        <v>28.000000000000004</v>
      </c>
      <c r="J1909" t="s">
        <v>20</v>
      </c>
    </row>
    <row r="1910" spans="1:10" x14ac:dyDescent="0.2">
      <c r="A1910">
        <v>11909</v>
      </c>
      <c r="B1910" t="s">
        <v>10</v>
      </c>
      <c r="C1910" t="s">
        <v>11</v>
      </c>
      <c r="D1910">
        <v>14.04</v>
      </c>
      <c r="E1910">
        <v>1</v>
      </c>
      <c r="F1910" t="s">
        <v>14</v>
      </c>
      <c r="G1910">
        <v>10</v>
      </c>
      <c r="H1910">
        <v>15.444000000000001</v>
      </c>
      <c r="I1910">
        <v>10.000000000000009</v>
      </c>
      <c r="J1910" t="s">
        <v>20</v>
      </c>
    </row>
    <row r="1911" spans="1:10" x14ac:dyDescent="0.2">
      <c r="A1911">
        <v>11910</v>
      </c>
      <c r="B1911" t="s">
        <v>8</v>
      </c>
      <c r="C1911" t="s">
        <v>6</v>
      </c>
      <c r="D1911">
        <v>8.36</v>
      </c>
      <c r="E1911">
        <v>4</v>
      </c>
      <c r="F1911" t="s">
        <v>15</v>
      </c>
      <c r="G1911">
        <v>28</v>
      </c>
      <c r="H1911">
        <v>10.700799999999999</v>
      </c>
      <c r="I1911">
        <v>28.000000000000004</v>
      </c>
      <c r="J1911" t="s">
        <v>20</v>
      </c>
    </row>
    <row r="1912" spans="1:10" x14ac:dyDescent="0.2">
      <c r="A1912">
        <v>11911</v>
      </c>
      <c r="B1912" t="s">
        <v>7</v>
      </c>
      <c r="C1912" t="s">
        <v>6</v>
      </c>
      <c r="D1912">
        <v>8.15</v>
      </c>
      <c r="E1912">
        <v>2</v>
      </c>
      <c r="F1912" t="s">
        <v>14</v>
      </c>
      <c r="G1912">
        <v>12</v>
      </c>
      <c r="H1912">
        <v>9.1280000000000019</v>
      </c>
      <c r="I1912">
        <v>12.000000000000011</v>
      </c>
      <c r="J1912" t="s">
        <v>20</v>
      </c>
    </row>
    <row r="1913" spans="1:10" x14ac:dyDescent="0.2">
      <c r="A1913">
        <v>11912</v>
      </c>
      <c r="B1913" t="s">
        <v>10</v>
      </c>
      <c r="C1913" t="s">
        <v>11</v>
      </c>
      <c r="D1913">
        <v>2.5499999999999998</v>
      </c>
      <c r="E1913">
        <v>6</v>
      </c>
      <c r="F1913" t="s">
        <v>15</v>
      </c>
      <c r="G1913">
        <v>25</v>
      </c>
      <c r="H1913">
        <v>3.1875</v>
      </c>
      <c r="I1913">
        <v>25</v>
      </c>
      <c r="J1913" t="s">
        <v>20</v>
      </c>
    </row>
    <row r="1914" spans="1:10" x14ac:dyDescent="0.2">
      <c r="A1914">
        <v>11913</v>
      </c>
      <c r="B1914" t="s">
        <v>10</v>
      </c>
      <c r="C1914" t="s">
        <v>11</v>
      </c>
      <c r="D1914">
        <v>0.51</v>
      </c>
      <c r="E1914">
        <v>1</v>
      </c>
      <c r="F1914" t="s">
        <v>14</v>
      </c>
      <c r="G1914">
        <v>10</v>
      </c>
      <c r="H1914">
        <v>0.56100000000000005</v>
      </c>
      <c r="I1914">
        <v>10.000000000000009</v>
      </c>
      <c r="J1914" t="s">
        <v>20</v>
      </c>
    </row>
    <row r="1915" spans="1:10" x14ac:dyDescent="0.2">
      <c r="A1915">
        <v>11914</v>
      </c>
      <c r="B1915" t="s">
        <v>10</v>
      </c>
      <c r="C1915" t="s">
        <v>9</v>
      </c>
      <c r="D1915">
        <v>12.25</v>
      </c>
      <c r="E1915">
        <v>7</v>
      </c>
      <c r="F1915" t="s">
        <v>15</v>
      </c>
      <c r="G1915">
        <v>30</v>
      </c>
      <c r="H1915">
        <v>15.925000000000001</v>
      </c>
      <c r="I1915">
        <v>30.000000000000004</v>
      </c>
      <c r="J1915" t="s">
        <v>20</v>
      </c>
    </row>
    <row r="1916" spans="1:10" x14ac:dyDescent="0.2">
      <c r="A1916">
        <v>11915</v>
      </c>
      <c r="B1916" t="s">
        <v>7</v>
      </c>
      <c r="C1916" t="s">
        <v>9</v>
      </c>
      <c r="D1916">
        <v>1.77</v>
      </c>
      <c r="E1916">
        <v>3</v>
      </c>
      <c r="F1916" t="s">
        <v>14</v>
      </c>
      <c r="G1916">
        <v>15</v>
      </c>
      <c r="H1916">
        <v>2.0354999999999999</v>
      </c>
      <c r="I1916">
        <v>14.999999999999991</v>
      </c>
      <c r="J1916" t="s">
        <v>20</v>
      </c>
    </row>
    <row r="1917" spans="1:10" x14ac:dyDescent="0.2">
      <c r="A1917">
        <v>11916</v>
      </c>
      <c r="B1917" t="s">
        <v>10</v>
      </c>
      <c r="C1917" t="s">
        <v>6</v>
      </c>
      <c r="D1917">
        <v>9.69</v>
      </c>
      <c r="E1917">
        <v>1</v>
      </c>
      <c r="F1917" t="s">
        <v>14</v>
      </c>
      <c r="G1917">
        <v>12</v>
      </c>
      <c r="H1917">
        <v>10.8528</v>
      </c>
      <c r="I1917">
        <v>12.000000000000011</v>
      </c>
      <c r="J1917" t="s">
        <v>20</v>
      </c>
    </row>
    <row r="1918" spans="1:10" x14ac:dyDescent="0.2">
      <c r="A1918">
        <v>11917</v>
      </c>
      <c r="B1918" t="s">
        <v>7</v>
      </c>
      <c r="C1918" t="s">
        <v>6</v>
      </c>
      <c r="D1918">
        <v>13.76</v>
      </c>
      <c r="E1918">
        <v>8</v>
      </c>
      <c r="F1918" t="s">
        <v>16</v>
      </c>
      <c r="G1918">
        <v>55</v>
      </c>
      <c r="H1918">
        <v>21.327999999999999</v>
      </c>
      <c r="I1918">
        <v>55.000000000000007</v>
      </c>
      <c r="J1918" t="s">
        <v>20</v>
      </c>
    </row>
    <row r="1919" spans="1:10" x14ac:dyDescent="0.2">
      <c r="A1919">
        <v>11918</v>
      </c>
      <c r="B1919" t="s">
        <v>10</v>
      </c>
      <c r="C1919" t="s">
        <v>9</v>
      </c>
      <c r="D1919">
        <v>3.53</v>
      </c>
      <c r="E1919">
        <v>7</v>
      </c>
      <c r="F1919" t="s">
        <v>15</v>
      </c>
      <c r="G1919">
        <v>30</v>
      </c>
      <c r="H1919">
        <v>4.5889999999999995</v>
      </c>
      <c r="I1919">
        <v>30.000000000000004</v>
      </c>
      <c r="J1919" t="s">
        <v>20</v>
      </c>
    </row>
    <row r="1920" spans="1:10" x14ac:dyDescent="0.2">
      <c r="A1920">
        <v>11919</v>
      </c>
      <c r="B1920" t="s">
        <v>5</v>
      </c>
      <c r="C1920" t="s">
        <v>9</v>
      </c>
      <c r="D1920">
        <v>10.15</v>
      </c>
      <c r="E1920">
        <v>2</v>
      </c>
      <c r="F1920" t="s">
        <v>14</v>
      </c>
      <c r="G1920">
        <v>15</v>
      </c>
      <c r="H1920">
        <v>11.672499999999999</v>
      </c>
      <c r="I1920">
        <v>14.999999999999991</v>
      </c>
      <c r="J1920" t="s">
        <v>20</v>
      </c>
    </row>
    <row r="1921" spans="1:10" x14ac:dyDescent="0.2">
      <c r="A1921">
        <v>11920</v>
      </c>
      <c r="B1921" t="s">
        <v>8</v>
      </c>
      <c r="C1921" t="s">
        <v>11</v>
      </c>
      <c r="D1921">
        <v>1.64</v>
      </c>
      <c r="E1921">
        <v>7</v>
      </c>
      <c r="F1921" t="s">
        <v>15</v>
      </c>
      <c r="G1921">
        <v>25</v>
      </c>
      <c r="H1921">
        <v>2.0499999999999998</v>
      </c>
      <c r="I1921">
        <v>25</v>
      </c>
      <c r="J1921" t="s">
        <v>20</v>
      </c>
    </row>
    <row r="1922" spans="1:10" x14ac:dyDescent="0.2">
      <c r="A1922">
        <v>11921</v>
      </c>
      <c r="B1922" t="s">
        <v>5</v>
      </c>
      <c r="C1922" t="s">
        <v>9</v>
      </c>
      <c r="D1922">
        <v>9.25</v>
      </c>
      <c r="E1922">
        <v>3</v>
      </c>
      <c r="F1922" t="s">
        <v>14</v>
      </c>
      <c r="G1922">
        <v>15</v>
      </c>
      <c r="H1922">
        <v>10.637499999999999</v>
      </c>
      <c r="I1922">
        <v>14.999999999999991</v>
      </c>
      <c r="J1922" t="s">
        <v>20</v>
      </c>
    </row>
    <row r="1923" spans="1:10" x14ac:dyDescent="0.2">
      <c r="A1923">
        <v>11922</v>
      </c>
      <c r="B1923" t="s">
        <v>8</v>
      </c>
      <c r="C1923" t="s">
        <v>9</v>
      </c>
      <c r="D1923">
        <v>2.88</v>
      </c>
      <c r="E1923">
        <v>9</v>
      </c>
      <c r="F1923" t="s">
        <v>16</v>
      </c>
      <c r="G1923">
        <v>60</v>
      </c>
      <c r="H1923">
        <v>4.6079999999999997</v>
      </c>
      <c r="I1923">
        <v>59.999999999999986</v>
      </c>
      <c r="J1923" t="s">
        <v>20</v>
      </c>
    </row>
    <row r="1924" spans="1:10" x14ac:dyDescent="0.2">
      <c r="A1924">
        <v>11923</v>
      </c>
      <c r="B1924" t="s">
        <v>7</v>
      </c>
      <c r="C1924" t="s">
        <v>6</v>
      </c>
      <c r="D1924">
        <v>11.17</v>
      </c>
      <c r="E1924">
        <v>8</v>
      </c>
      <c r="F1924" t="s">
        <v>16</v>
      </c>
      <c r="G1924">
        <v>55</v>
      </c>
      <c r="H1924">
        <v>17.313500000000001</v>
      </c>
      <c r="I1924">
        <v>55.000000000000007</v>
      </c>
      <c r="J1924" t="s">
        <v>20</v>
      </c>
    </row>
    <row r="1925" spans="1:10" x14ac:dyDescent="0.2">
      <c r="A1925">
        <v>11924</v>
      </c>
      <c r="B1925" t="s">
        <v>5</v>
      </c>
      <c r="C1925" t="s">
        <v>9</v>
      </c>
      <c r="D1925">
        <v>4.87</v>
      </c>
      <c r="E1925">
        <v>5</v>
      </c>
      <c r="F1925" t="s">
        <v>15</v>
      </c>
      <c r="G1925">
        <v>30</v>
      </c>
      <c r="H1925">
        <v>6.3310000000000004</v>
      </c>
      <c r="I1925">
        <v>30.000000000000004</v>
      </c>
      <c r="J1925" t="s">
        <v>20</v>
      </c>
    </row>
    <row r="1926" spans="1:10" x14ac:dyDescent="0.2">
      <c r="A1926">
        <v>11925</v>
      </c>
      <c r="B1926" t="s">
        <v>10</v>
      </c>
      <c r="C1926" t="s">
        <v>6</v>
      </c>
      <c r="D1926">
        <v>7.22</v>
      </c>
      <c r="E1926">
        <v>7</v>
      </c>
      <c r="F1926" t="s">
        <v>15</v>
      </c>
      <c r="G1926">
        <v>28</v>
      </c>
      <c r="H1926">
        <v>9.2416</v>
      </c>
      <c r="I1926">
        <v>28.000000000000004</v>
      </c>
      <c r="J1926" t="s">
        <v>20</v>
      </c>
    </row>
    <row r="1927" spans="1:10" x14ac:dyDescent="0.2">
      <c r="A1927">
        <v>11926</v>
      </c>
      <c r="B1927" t="s">
        <v>8</v>
      </c>
      <c r="C1927" t="s">
        <v>9</v>
      </c>
      <c r="D1927">
        <v>9.19</v>
      </c>
      <c r="E1927">
        <v>3</v>
      </c>
      <c r="F1927" t="s">
        <v>14</v>
      </c>
      <c r="G1927">
        <v>15</v>
      </c>
      <c r="H1927">
        <v>10.568499999999998</v>
      </c>
      <c r="I1927">
        <v>14.999999999999991</v>
      </c>
      <c r="J1927" t="s">
        <v>20</v>
      </c>
    </row>
    <row r="1928" spans="1:10" x14ac:dyDescent="0.2">
      <c r="A1928">
        <v>11927</v>
      </c>
      <c r="B1928" t="s">
        <v>8</v>
      </c>
      <c r="C1928" t="s">
        <v>11</v>
      </c>
      <c r="D1928">
        <v>2.98</v>
      </c>
      <c r="E1928">
        <v>1</v>
      </c>
      <c r="F1928" t="s">
        <v>14</v>
      </c>
      <c r="G1928">
        <v>10</v>
      </c>
      <c r="H1928">
        <v>3.278</v>
      </c>
      <c r="I1928">
        <v>10.000000000000009</v>
      </c>
      <c r="J1928" t="s">
        <v>20</v>
      </c>
    </row>
    <row r="1929" spans="1:10" x14ac:dyDescent="0.2">
      <c r="A1929">
        <v>11928</v>
      </c>
      <c r="B1929" t="s">
        <v>5</v>
      </c>
      <c r="C1929" t="s">
        <v>9</v>
      </c>
      <c r="D1929">
        <v>11.25</v>
      </c>
      <c r="E1929">
        <v>1</v>
      </c>
      <c r="F1929" t="s">
        <v>14</v>
      </c>
      <c r="G1929">
        <v>15</v>
      </c>
      <c r="H1929">
        <v>12.937499999999998</v>
      </c>
      <c r="I1929">
        <v>14.999999999999991</v>
      </c>
      <c r="J1929" t="s">
        <v>20</v>
      </c>
    </row>
    <row r="1930" spans="1:10" x14ac:dyDescent="0.2">
      <c r="A1930">
        <v>11929</v>
      </c>
      <c r="B1930" t="s">
        <v>7</v>
      </c>
      <c r="C1930" t="s">
        <v>9</v>
      </c>
      <c r="D1930">
        <v>4.8899999999999997</v>
      </c>
      <c r="E1930">
        <v>2</v>
      </c>
      <c r="F1930" t="s">
        <v>14</v>
      </c>
      <c r="G1930">
        <v>15</v>
      </c>
      <c r="H1930">
        <v>5.6234999999999991</v>
      </c>
      <c r="I1930">
        <v>14.999999999999991</v>
      </c>
      <c r="J1930" t="s">
        <v>20</v>
      </c>
    </row>
    <row r="1931" spans="1:10" x14ac:dyDescent="0.2">
      <c r="A1931">
        <v>11930</v>
      </c>
      <c r="B1931" t="s">
        <v>5</v>
      </c>
      <c r="C1931" t="s">
        <v>9</v>
      </c>
      <c r="D1931">
        <v>10.1</v>
      </c>
      <c r="E1931">
        <v>8</v>
      </c>
      <c r="F1931" t="s">
        <v>16</v>
      </c>
      <c r="G1931">
        <v>60</v>
      </c>
      <c r="H1931">
        <v>16.16</v>
      </c>
      <c r="I1931">
        <v>60.000000000000007</v>
      </c>
      <c r="J1931" t="s">
        <v>20</v>
      </c>
    </row>
    <row r="1932" spans="1:10" x14ac:dyDescent="0.2">
      <c r="A1932">
        <v>11931</v>
      </c>
      <c r="B1932" t="s">
        <v>7</v>
      </c>
      <c r="C1932" t="s">
        <v>6</v>
      </c>
      <c r="D1932">
        <v>2.8</v>
      </c>
      <c r="E1932">
        <v>1</v>
      </c>
      <c r="F1932" t="s">
        <v>14</v>
      </c>
      <c r="G1932">
        <v>12</v>
      </c>
      <c r="H1932">
        <v>3.1360000000000001</v>
      </c>
      <c r="I1932">
        <v>12.000000000000011</v>
      </c>
      <c r="J1932" t="s">
        <v>20</v>
      </c>
    </row>
    <row r="1933" spans="1:10" x14ac:dyDescent="0.2">
      <c r="A1933">
        <v>11932</v>
      </c>
      <c r="B1933" t="s">
        <v>7</v>
      </c>
      <c r="C1933" t="s">
        <v>11</v>
      </c>
      <c r="D1933">
        <v>10.48</v>
      </c>
      <c r="E1933">
        <v>5</v>
      </c>
      <c r="F1933" t="s">
        <v>15</v>
      </c>
      <c r="G1933">
        <v>25</v>
      </c>
      <c r="H1933">
        <v>13.100000000000001</v>
      </c>
      <c r="I1933">
        <v>25</v>
      </c>
      <c r="J1933" t="s">
        <v>20</v>
      </c>
    </row>
    <row r="1934" spans="1:10" x14ac:dyDescent="0.2">
      <c r="A1934">
        <v>11933</v>
      </c>
      <c r="B1934" t="s">
        <v>8</v>
      </c>
      <c r="C1934" t="s">
        <v>9</v>
      </c>
      <c r="D1934">
        <v>2.36</v>
      </c>
      <c r="E1934">
        <v>9</v>
      </c>
      <c r="F1934" t="s">
        <v>16</v>
      </c>
      <c r="G1934">
        <v>60</v>
      </c>
      <c r="H1934">
        <v>3.7759999999999998</v>
      </c>
      <c r="I1934">
        <v>60.000000000000007</v>
      </c>
      <c r="J1934" t="s">
        <v>20</v>
      </c>
    </row>
    <row r="1935" spans="1:10" x14ac:dyDescent="0.2">
      <c r="A1935">
        <v>11934</v>
      </c>
      <c r="B1935" t="s">
        <v>5</v>
      </c>
      <c r="C1935" t="s">
        <v>6</v>
      </c>
      <c r="D1935">
        <v>6.67</v>
      </c>
      <c r="E1935">
        <v>9</v>
      </c>
      <c r="F1935" t="s">
        <v>16</v>
      </c>
      <c r="G1935">
        <v>55</v>
      </c>
      <c r="H1935">
        <v>10.3385</v>
      </c>
      <c r="I1935">
        <v>55.000000000000007</v>
      </c>
      <c r="J1935" t="s">
        <v>20</v>
      </c>
    </row>
    <row r="1936" spans="1:10" x14ac:dyDescent="0.2">
      <c r="A1936">
        <v>11935</v>
      </c>
      <c r="B1936" t="s">
        <v>5</v>
      </c>
      <c r="C1936" t="s">
        <v>11</v>
      </c>
      <c r="D1936">
        <v>4.08</v>
      </c>
      <c r="E1936">
        <v>2</v>
      </c>
      <c r="F1936" t="s">
        <v>14</v>
      </c>
      <c r="G1936">
        <v>10</v>
      </c>
      <c r="H1936">
        <v>4.4880000000000004</v>
      </c>
      <c r="I1936">
        <v>10.000000000000009</v>
      </c>
      <c r="J1936" t="s">
        <v>20</v>
      </c>
    </row>
    <row r="1937" spans="1:10" x14ac:dyDescent="0.2">
      <c r="A1937">
        <v>11936</v>
      </c>
      <c r="B1937" t="s">
        <v>7</v>
      </c>
      <c r="C1937" t="s">
        <v>6</v>
      </c>
      <c r="D1937">
        <v>11.35</v>
      </c>
      <c r="E1937">
        <v>7</v>
      </c>
      <c r="F1937" t="s">
        <v>15</v>
      </c>
      <c r="G1937">
        <v>28</v>
      </c>
      <c r="H1937">
        <v>14.528</v>
      </c>
      <c r="I1937">
        <v>28.000000000000004</v>
      </c>
      <c r="J1937" t="s">
        <v>20</v>
      </c>
    </row>
    <row r="1938" spans="1:10" x14ac:dyDescent="0.2">
      <c r="A1938">
        <v>11937</v>
      </c>
      <c r="B1938" t="s">
        <v>5</v>
      </c>
      <c r="C1938" t="s">
        <v>6</v>
      </c>
      <c r="D1938">
        <v>4.3</v>
      </c>
      <c r="E1938">
        <v>1</v>
      </c>
      <c r="F1938" t="s">
        <v>14</v>
      </c>
      <c r="G1938">
        <v>12</v>
      </c>
      <c r="H1938">
        <v>4.8159999999999998</v>
      </c>
      <c r="I1938">
        <v>12.000000000000011</v>
      </c>
      <c r="J1938" t="s">
        <v>20</v>
      </c>
    </row>
    <row r="1939" spans="1:10" x14ac:dyDescent="0.2">
      <c r="A1939">
        <v>11938</v>
      </c>
      <c r="B1939" t="s">
        <v>10</v>
      </c>
      <c r="C1939" t="s">
        <v>11</v>
      </c>
      <c r="D1939">
        <v>13.28</v>
      </c>
      <c r="E1939">
        <v>3</v>
      </c>
      <c r="F1939" t="s">
        <v>14</v>
      </c>
      <c r="G1939">
        <v>10</v>
      </c>
      <c r="H1939">
        <v>14.608000000000001</v>
      </c>
      <c r="I1939">
        <v>10.000000000000009</v>
      </c>
      <c r="J1939" t="s">
        <v>20</v>
      </c>
    </row>
    <row r="1940" spans="1:10" x14ac:dyDescent="0.2">
      <c r="A1940">
        <v>11939</v>
      </c>
      <c r="B1940" t="s">
        <v>10</v>
      </c>
      <c r="C1940" t="s">
        <v>9</v>
      </c>
      <c r="D1940">
        <v>13.43</v>
      </c>
      <c r="E1940">
        <v>6</v>
      </c>
      <c r="F1940" t="s">
        <v>15</v>
      </c>
      <c r="G1940">
        <v>30</v>
      </c>
      <c r="H1940">
        <v>17.459</v>
      </c>
      <c r="I1940">
        <v>30.000000000000004</v>
      </c>
      <c r="J1940" t="s">
        <v>20</v>
      </c>
    </row>
    <row r="1941" spans="1:10" x14ac:dyDescent="0.2">
      <c r="A1941">
        <v>11940</v>
      </c>
      <c r="B1941" t="s">
        <v>5</v>
      </c>
      <c r="C1941" t="s">
        <v>6</v>
      </c>
      <c r="D1941">
        <v>3.35</v>
      </c>
      <c r="E1941">
        <v>9</v>
      </c>
      <c r="F1941" t="s">
        <v>16</v>
      </c>
      <c r="G1941">
        <v>55</v>
      </c>
      <c r="H1941">
        <v>5.1924999999999999</v>
      </c>
      <c r="I1941">
        <v>54.999999999999986</v>
      </c>
      <c r="J1941" t="s">
        <v>20</v>
      </c>
    </row>
    <row r="1942" spans="1:10" x14ac:dyDescent="0.2">
      <c r="A1942">
        <v>11941</v>
      </c>
      <c r="B1942" t="s">
        <v>5</v>
      </c>
      <c r="C1942" t="s">
        <v>6</v>
      </c>
      <c r="D1942">
        <v>9.4</v>
      </c>
      <c r="E1942">
        <v>10</v>
      </c>
      <c r="F1942" t="s">
        <v>16</v>
      </c>
      <c r="G1942">
        <v>55</v>
      </c>
      <c r="H1942">
        <v>14.57</v>
      </c>
      <c r="I1942">
        <v>55.000000000000007</v>
      </c>
      <c r="J1942" t="s">
        <v>20</v>
      </c>
    </row>
    <row r="1943" spans="1:10" x14ac:dyDescent="0.2">
      <c r="A1943">
        <v>11942</v>
      </c>
      <c r="B1943" t="s">
        <v>7</v>
      </c>
      <c r="C1943" t="s">
        <v>9</v>
      </c>
      <c r="D1943">
        <v>1.77</v>
      </c>
      <c r="E1943">
        <v>2</v>
      </c>
      <c r="F1943" t="s">
        <v>14</v>
      </c>
      <c r="G1943">
        <v>15</v>
      </c>
      <c r="H1943">
        <v>2.0354999999999999</v>
      </c>
      <c r="I1943">
        <v>14.999999999999991</v>
      </c>
      <c r="J1943" t="s">
        <v>20</v>
      </c>
    </row>
    <row r="1944" spans="1:10" x14ac:dyDescent="0.2">
      <c r="A1944">
        <v>11943</v>
      </c>
      <c r="B1944" t="s">
        <v>10</v>
      </c>
      <c r="C1944" t="s">
        <v>9</v>
      </c>
      <c r="D1944">
        <v>6.18</v>
      </c>
      <c r="E1944">
        <v>7</v>
      </c>
      <c r="F1944" t="s">
        <v>15</v>
      </c>
      <c r="G1944">
        <v>30</v>
      </c>
      <c r="H1944">
        <v>8.0340000000000007</v>
      </c>
      <c r="I1944">
        <v>30.000000000000028</v>
      </c>
      <c r="J1944" t="s">
        <v>20</v>
      </c>
    </row>
    <row r="1945" spans="1:10" x14ac:dyDescent="0.2">
      <c r="A1945">
        <v>11944</v>
      </c>
      <c r="B1945" t="s">
        <v>10</v>
      </c>
      <c r="C1945" t="s">
        <v>11</v>
      </c>
      <c r="D1945">
        <v>10.84</v>
      </c>
      <c r="E1945">
        <v>4</v>
      </c>
      <c r="F1945" t="s">
        <v>15</v>
      </c>
      <c r="G1945">
        <v>25</v>
      </c>
      <c r="H1945">
        <v>13.55</v>
      </c>
      <c r="I1945">
        <v>25</v>
      </c>
      <c r="J1945" t="s">
        <v>20</v>
      </c>
    </row>
    <row r="1946" spans="1:10" x14ac:dyDescent="0.2">
      <c r="A1946">
        <v>11945</v>
      </c>
      <c r="B1946" t="s">
        <v>8</v>
      </c>
      <c r="C1946" t="s">
        <v>11</v>
      </c>
      <c r="D1946">
        <v>10.06</v>
      </c>
      <c r="E1946">
        <v>2</v>
      </c>
      <c r="F1946" t="s">
        <v>14</v>
      </c>
      <c r="G1946">
        <v>10</v>
      </c>
      <c r="H1946">
        <v>11.066000000000001</v>
      </c>
      <c r="I1946">
        <v>10.000000000000009</v>
      </c>
      <c r="J1946" t="s">
        <v>20</v>
      </c>
    </row>
    <row r="1947" spans="1:10" x14ac:dyDescent="0.2">
      <c r="A1947">
        <v>11946</v>
      </c>
      <c r="B1947" t="s">
        <v>7</v>
      </c>
      <c r="C1947" t="s">
        <v>11</v>
      </c>
      <c r="D1947">
        <v>9.56</v>
      </c>
      <c r="E1947">
        <v>3</v>
      </c>
      <c r="F1947" t="s">
        <v>14</v>
      </c>
      <c r="G1947">
        <v>10</v>
      </c>
      <c r="H1947">
        <v>10.516000000000002</v>
      </c>
      <c r="I1947">
        <v>10.000000000000009</v>
      </c>
      <c r="J1947" t="s">
        <v>20</v>
      </c>
    </row>
    <row r="1948" spans="1:10" x14ac:dyDescent="0.2">
      <c r="A1948">
        <v>11947</v>
      </c>
      <c r="B1948" t="s">
        <v>8</v>
      </c>
      <c r="C1948" t="s">
        <v>9</v>
      </c>
      <c r="D1948">
        <v>4.5999999999999996</v>
      </c>
      <c r="E1948">
        <v>6</v>
      </c>
      <c r="F1948" t="s">
        <v>15</v>
      </c>
      <c r="G1948">
        <v>30</v>
      </c>
      <c r="H1948">
        <v>5.9799999999999995</v>
      </c>
      <c r="I1948">
        <v>30.000000000000004</v>
      </c>
      <c r="J1948" t="s">
        <v>20</v>
      </c>
    </row>
    <row r="1949" spans="1:10" x14ac:dyDescent="0.2">
      <c r="A1949">
        <v>11948</v>
      </c>
      <c r="B1949" t="s">
        <v>10</v>
      </c>
      <c r="C1949" t="s">
        <v>6</v>
      </c>
      <c r="D1949">
        <v>5.98</v>
      </c>
      <c r="E1949">
        <v>10</v>
      </c>
      <c r="F1949" t="s">
        <v>16</v>
      </c>
      <c r="G1949">
        <v>55</v>
      </c>
      <c r="H1949">
        <v>9.2690000000000001</v>
      </c>
      <c r="I1949">
        <v>54.999999999999986</v>
      </c>
      <c r="J1949" t="s">
        <v>20</v>
      </c>
    </row>
    <row r="1950" spans="1:10" x14ac:dyDescent="0.2">
      <c r="A1950">
        <v>11949</v>
      </c>
      <c r="B1950" t="s">
        <v>7</v>
      </c>
      <c r="C1950" t="s">
        <v>6</v>
      </c>
      <c r="D1950">
        <v>1.99</v>
      </c>
      <c r="E1950">
        <v>9</v>
      </c>
      <c r="F1950" t="s">
        <v>16</v>
      </c>
      <c r="G1950">
        <v>55</v>
      </c>
      <c r="H1950">
        <v>3.0845000000000002</v>
      </c>
      <c r="I1950">
        <v>55.000000000000007</v>
      </c>
      <c r="J1950" t="s">
        <v>20</v>
      </c>
    </row>
    <row r="1951" spans="1:10" x14ac:dyDescent="0.2">
      <c r="A1951">
        <v>11950</v>
      </c>
      <c r="B1951" t="s">
        <v>5</v>
      </c>
      <c r="C1951" t="s">
        <v>11</v>
      </c>
      <c r="D1951">
        <v>10.93</v>
      </c>
      <c r="E1951">
        <v>8</v>
      </c>
      <c r="F1951" t="s">
        <v>16</v>
      </c>
      <c r="G1951">
        <v>50</v>
      </c>
      <c r="H1951">
        <v>16.395</v>
      </c>
      <c r="I1951">
        <v>50</v>
      </c>
      <c r="J1951" t="s">
        <v>20</v>
      </c>
    </row>
    <row r="1952" spans="1:10" x14ac:dyDescent="0.2">
      <c r="A1952">
        <v>11951</v>
      </c>
      <c r="B1952" t="s">
        <v>7</v>
      </c>
      <c r="C1952" t="s">
        <v>9</v>
      </c>
      <c r="D1952">
        <v>7.81</v>
      </c>
      <c r="E1952">
        <v>10</v>
      </c>
      <c r="F1952" t="s">
        <v>16</v>
      </c>
      <c r="G1952">
        <v>60</v>
      </c>
      <c r="H1952">
        <v>12.496</v>
      </c>
      <c r="I1952">
        <v>60.000000000000007</v>
      </c>
      <c r="J1952" t="s">
        <v>20</v>
      </c>
    </row>
    <row r="1953" spans="1:10" x14ac:dyDescent="0.2">
      <c r="A1953">
        <v>11952</v>
      </c>
      <c r="B1953" t="s">
        <v>5</v>
      </c>
      <c r="C1953" t="s">
        <v>6</v>
      </c>
      <c r="D1953">
        <v>10.78</v>
      </c>
      <c r="E1953">
        <v>9</v>
      </c>
      <c r="F1953" t="s">
        <v>16</v>
      </c>
      <c r="G1953">
        <v>55</v>
      </c>
      <c r="H1953">
        <v>16.709</v>
      </c>
      <c r="I1953">
        <v>55.000000000000007</v>
      </c>
      <c r="J1953" t="s">
        <v>20</v>
      </c>
    </row>
    <row r="1954" spans="1:10" x14ac:dyDescent="0.2">
      <c r="A1954">
        <v>11953</v>
      </c>
      <c r="B1954" t="s">
        <v>5</v>
      </c>
      <c r="C1954" t="s">
        <v>11</v>
      </c>
      <c r="D1954">
        <v>4.1100000000000003</v>
      </c>
      <c r="E1954">
        <v>4</v>
      </c>
      <c r="F1954" t="s">
        <v>15</v>
      </c>
      <c r="G1954">
        <v>25</v>
      </c>
      <c r="H1954">
        <v>5.1375000000000002</v>
      </c>
      <c r="I1954">
        <v>25</v>
      </c>
      <c r="J1954" t="s">
        <v>20</v>
      </c>
    </row>
    <row r="1955" spans="1:10" x14ac:dyDescent="0.2">
      <c r="A1955">
        <v>11954</v>
      </c>
      <c r="B1955" t="s">
        <v>7</v>
      </c>
      <c r="C1955" t="s">
        <v>6</v>
      </c>
      <c r="D1955">
        <v>5.2</v>
      </c>
      <c r="E1955">
        <v>4</v>
      </c>
      <c r="F1955" t="s">
        <v>15</v>
      </c>
      <c r="G1955">
        <v>28</v>
      </c>
      <c r="H1955">
        <v>6.6560000000000006</v>
      </c>
      <c r="I1955">
        <v>28.000000000000004</v>
      </c>
      <c r="J1955" t="s">
        <v>20</v>
      </c>
    </row>
    <row r="1956" spans="1:10" x14ac:dyDescent="0.2">
      <c r="A1956">
        <v>11955</v>
      </c>
      <c r="B1956" t="s">
        <v>5</v>
      </c>
      <c r="C1956" t="s">
        <v>6</v>
      </c>
      <c r="D1956">
        <v>5.35</v>
      </c>
      <c r="E1956">
        <v>9</v>
      </c>
      <c r="F1956" t="s">
        <v>16</v>
      </c>
      <c r="G1956">
        <v>55</v>
      </c>
      <c r="H1956">
        <v>8.2925000000000004</v>
      </c>
      <c r="I1956">
        <v>55.000000000000028</v>
      </c>
      <c r="J1956" t="s">
        <v>20</v>
      </c>
    </row>
    <row r="1957" spans="1:10" x14ac:dyDescent="0.2">
      <c r="A1957">
        <v>11956</v>
      </c>
      <c r="B1957" t="s">
        <v>8</v>
      </c>
      <c r="C1957" t="s">
        <v>9</v>
      </c>
      <c r="D1957">
        <v>0.87</v>
      </c>
      <c r="E1957">
        <v>8</v>
      </c>
      <c r="F1957" t="s">
        <v>16</v>
      </c>
      <c r="G1957">
        <v>60</v>
      </c>
      <c r="H1957">
        <v>1.3920000000000001</v>
      </c>
      <c r="I1957">
        <v>60.000000000000007</v>
      </c>
      <c r="J1957" t="s">
        <v>20</v>
      </c>
    </row>
    <row r="1958" spans="1:10" x14ac:dyDescent="0.2">
      <c r="A1958">
        <v>11957</v>
      </c>
      <c r="B1958" t="s">
        <v>10</v>
      </c>
      <c r="C1958" t="s">
        <v>9</v>
      </c>
      <c r="D1958">
        <v>5.45</v>
      </c>
      <c r="E1958">
        <v>2</v>
      </c>
      <c r="F1958" t="s">
        <v>14</v>
      </c>
      <c r="G1958">
        <v>15</v>
      </c>
      <c r="H1958">
        <v>6.2675000000000001</v>
      </c>
      <c r="I1958">
        <v>14.999999999999991</v>
      </c>
      <c r="J1958" t="s">
        <v>20</v>
      </c>
    </row>
    <row r="1959" spans="1:10" x14ac:dyDescent="0.2">
      <c r="A1959">
        <v>11958</v>
      </c>
      <c r="B1959" t="s">
        <v>5</v>
      </c>
      <c r="C1959" t="s">
        <v>6</v>
      </c>
      <c r="D1959">
        <v>12.15</v>
      </c>
      <c r="E1959">
        <v>8</v>
      </c>
      <c r="F1959" t="s">
        <v>16</v>
      </c>
      <c r="G1959">
        <v>55</v>
      </c>
      <c r="H1959">
        <v>18.8325</v>
      </c>
      <c r="I1959">
        <v>54.999999999999986</v>
      </c>
      <c r="J1959" t="s">
        <v>20</v>
      </c>
    </row>
    <row r="1960" spans="1:10" x14ac:dyDescent="0.2">
      <c r="A1960">
        <v>11959</v>
      </c>
      <c r="B1960" t="s">
        <v>8</v>
      </c>
      <c r="C1960" t="s">
        <v>11</v>
      </c>
      <c r="D1960">
        <v>13.51</v>
      </c>
      <c r="E1960">
        <v>1</v>
      </c>
      <c r="F1960" t="s">
        <v>14</v>
      </c>
      <c r="G1960">
        <v>10</v>
      </c>
      <c r="H1960">
        <v>14.861000000000001</v>
      </c>
      <c r="I1960">
        <v>10.000000000000009</v>
      </c>
      <c r="J1960" t="s">
        <v>20</v>
      </c>
    </row>
    <row r="1961" spans="1:10" x14ac:dyDescent="0.2">
      <c r="A1961">
        <v>11960</v>
      </c>
      <c r="B1961" t="s">
        <v>5</v>
      </c>
      <c r="C1961" t="s">
        <v>9</v>
      </c>
      <c r="D1961">
        <v>8.01</v>
      </c>
      <c r="E1961">
        <v>9</v>
      </c>
      <c r="F1961" t="s">
        <v>16</v>
      </c>
      <c r="G1961">
        <v>60</v>
      </c>
      <c r="H1961">
        <v>12.816000000000001</v>
      </c>
      <c r="I1961">
        <v>60.000000000000007</v>
      </c>
      <c r="J1961" t="s">
        <v>20</v>
      </c>
    </row>
    <row r="1962" spans="1:10" x14ac:dyDescent="0.2">
      <c r="A1962">
        <v>11961</v>
      </c>
      <c r="B1962" t="s">
        <v>10</v>
      </c>
      <c r="C1962" t="s">
        <v>6</v>
      </c>
      <c r="D1962">
        <v>7.1</v>
      </c>
      <c r="E1962">
        <v>9</v>
      </c>
      <c r="F1962" t="s">
        <v>16</v>
      </c>
      <c r="G1962">
        <v>55</v>
      </c>
      <c r="H1962">
        <v>11.004999999999999</v>
      </c>
      <c r="I1962">
        <v>55.000000000000007</v>
      </c>
      <c r="J1962" t="s">
        <v>20</v>
      </c>
    </row>
    <row r="1963" spans="1:10" x14ac:dyDescent="0.2">
      <c r="A1963">
        <v>11962</v>
      </c>
      <c r="B1963" t="s">
        <v>8</v>
      </c>
      <c r="C1963" t="s">
        <v>9</v>
      </c>
      <c r="D1963">
        <v>0.95</v>
      </c>
      <c r="E1963">
        <v>8</v>
      </c>
      <c r="F1963" t="s">
        <v>16</v>
      </c>
      <c r="G1963">
        <v>60</v>
      </c>
      <c r="H1963">
        <v>1.52</v>
      </c>
      <c r="I1963">
        <v>60.000000000000007</v>
      </c>
      <c r="J1963" t="s">
        <v>20</v>
      </c>
    </row>
    <row r="1964" spans="1:10" x14ac:dyDescent="0.2">
      <c r="A1964">
        <v>11963</v>
      </c>
      <c r="B1964" t="s">
        <v>10</v>
      </c>
      <c r="C1964" t="s">
        <v>9</v>
      </c>
      <c r="D1964">
        <v>13.25</v>
      </c>
      <c r="E1964">
        <v>5</v>
      </c>
      <c r="F1964" t="s">
        <v>15</v>
      </c>
      <c r="G1964">
        <v>30</v>
      </c>
      <c r="H1964">
        <v>17.225000000000001</v>
      </c>
      <c r="I1964">
        <v>30.000000000000004</v>
      </c>
      <c r="J1964" t="s">
        <v>20</v>
      </c>
    </row>
    <row r="1965" spans="1:10" x14ac:dyDescent="0.2">
      <c r="A1965">
        <v>11964</v>
      </c>
      <c r="B1965" t="s">
        <v>10</v>
      </c>
      <c r="C1965" t="s">
        <v>9</v>
      </c>
      <c r="D1965">
        <v>0.69</v>
      </c>
      <c r="E1965">
        <v>5</v>
      </c>
      <c r="F1965" t="s">
        <v>15</v>
      </c>
      <c r="G1965">
        <v>30</v>
      </c>
      <c r="H1965">
        <v>0.89699999999999991</v>
      </c>
      <c r="I1965">
        <v>30.000000000000004</v>
      </c>
      <c r="J1965" t="s">
        <v>20</v>
      </c>
    </row>
    <row r="1966" spans="1:10" x14ac:dyDescent="0.2">
      <c r="A1966">
        <v>11965</v>
      </c>
      <c r="B1966" t="s">
        <v>8</v>
      </c>
      <c r="C1966" t="s">
        <v>6</v>
      </c>
      <c r="D1966">
        <v>14.2</v>
      </c>
      <c r="E1966">
        <v>3</v>
      </c>
      <c r="F1966" t="s">
        <v>14</v>
      </c>
      <c r="G1966">
        <v>12</v>
      </c>
      <c r="H1966">
        <v>15.904</v>
      </c>
      <c r="I1966">
        <v>12.000000000000011</v>
      </c>
      <c r="J1966" t="s">
        <v>20</v>
      </c>
    </row>
    <row r="1967" spans="1:10" x14ac:dyDescent="0.2">
      <c r="A1967">
        <v>11966</v>
      </c>
      <c r="B1967" t="s">
        <v>8</v>
      </c>
      <c r="C1967" t="s">
        <v>11</v>
      </c>
      <c r="D1967">
        <v>7.59</v>
      </c>
      <c r="E1967">
        <v>5</v>
      </c>
      <c r="F1967" t="s">
        <v>15</v>
      </c>
      <c r="G1967">
        <v>25</v>
      </c>
      <c r="H1967">
        <v>9.4875000000000007</v>
      </c>
      <c r="I1967">
        <v>25.000000000000021</v>
      </c>
      <c r="J1967" t="s">
        <v>20</v>
      </c>
    </row>
    <row r="1968" spans="1:10" x14ac:dyDescent="0.2">
      <c r="A1968">
        <v>11967</v>
      </c>
      <c r="B1968" t="s">
        <v>8</v>
      </c>
      <c r="C1968" t="s">
        <v>11</v>
      </c>
      <c r="D1968">
        <v>5.46</v>
      </c>
      <c r="E1968">
        <v>4</v>
      </c>
      <c r="F1968" t="s">
        <v>15</v>
      </c>
      <c r="G1968">
        <v>25</v>
      </c>
      <c r="H1968">
        <v>6.8250000000000002</v>
      </c>
      <c r="I1968">
        <v>25</v>
      </c>
      <c r="J1968" t="s">
        <v>20</v>
      </c>
    </row>
    <row r="1969" spans="1:10" x14ac:dyDescent="0.2">
      <c r="A1969">
        <v>11968</v>
      </c>
      <c r="B1969" t="s">
        <v>7</v>
      </c>
      <c r="C1969" t="s">
        <v>11</v>
      </c>
      <c r="D1969">
        <v>13.9</v>
      </c>
      <c r="E1969">
        <v>1</v>
      </c>
      <c r="F1969" t="s">
        <v>14</v>
      </c>
      <c r="G1969">
        <v>10</v>
      </c>
      <c r="H1969">
        <v>15.290000000000001</v>
      </c>
      <c r="I1969">
        <v>10.000000000000009</v>
      </c>
      <c r="J1969" t="s">
        <v>20</v>
      </c>
    </row>
    <row r="1970" spans="1:10" x14ac:dyDescent="0.2">
      <c r="A1970">
        <v>11969</v>
      </c>
      <c r="B1970" t="s">
        <v>8</v>
      </c>
      <c r="C1970" t="s">
        <v>9</v>
      </c>
      <c r="D1970">
        <v>0.85</v>
      </c>
      <c r="E1970">
        <v>9</v>
      </c>
      <c r="F1970" t="s">
        <v>16</v>
      </c>
      <c r="G1970">
        <v>60</v>
      </c>
      <c r="H1970">
        <v>1.36</v>
      </c>
      <c r="I1970">
        <v>60.000000000000007</v>
      </c>
      <c r="J1970" t="s">
        <v>20</v>
      </c>
    </row>
    <row r="1971" spans="1:10" x14ac:dyDescent="0.2">
      <c r="A1971">
        <v>11970</v>
      </c>
      <c r="B1971" t="s">
        <v>8</v>
      </c>
      <c r="C1971" t="s">
        <v>6</v>
      </c>
      <c r="D1971">
        <v>8.93</v>
      </c>
      <c r="E1971">
        <v>10</v>
      </c>
      <c r="F1971" t="s">
        <v>16</v>
      </c>
      <c r="G1971">
        <v>55</v>
      </c>
      <c r="H1971">
        <v>13.8415</v>
      </c>
      <c r="I1971">
        <v>55.000000000000007</v>
      </c>
      <c r="J1971" t="s">
        <v>20</v>
      </c>
    </row>
    <row r="1972" spans="1:10" x14ac:dyDescent="0.2">
      <c r="A1972">
        <v>11971</v>
      </c>
      <c r="B1972" t="s">
        <v>8</v>
      </c>
      <c r="C1972" t="s">
        <v>9</v>
      </c>
      <c r="D1972">
        <v>8.4600000000000009</v>
      </c>
      <c r="E1972">
        <v>4</v>
      </c>
      <c r="F1972" t="s">
        <v>15</v>
      </c>
      <c r="G1972">
        <v>30</v>
      </c>
      <c r="H1972">
        <v>10.998000000000001</v>
      </c>
      <c r="I1972">
        <v>30.000000000000004</v>
      </c>
      <c r="J1972" t="s">
        <v>20</v>
      </c>
    </row>
    <row r="1973" spans="1:10" x14ac:dyDescent="0.2">
      <c r="A1973">
        <v>11972</v>
      </c>
      <c r="B1973" t="s">
        <v>8</v>
      </c>
      <c r="C1973" t="s">
        <v>11</v>
      </c>
      <c r="D1973">
        <v>3.68</v>
      </c>
      <c r="E1973">
        <v>3</v>
      </c>
      <c r="F1973" t="s">
        <v>14</v>
      </c>
      <c r="G1973">
        <v>10</v>
      </c>
      <c r="H1973">
        <v>4.0480000000000009</v>
      </c>
      <c r="I1973">
        <v>10.000000000000032</v>
      </c>
      <c r="J1973" t="s">
        <v>20</v>
      </c>
    </row>
    <row r="1974" spans="1:10" x14ac:dyDescent="0.2">
      <c r="A1974">
        <v>11973</v>
      </c>
      <c r="B1974" t="s">
        <v>5</v>
      </c>
      <c r="C1974" t="s">
        <v>11</v>
      </c>
      <c r="D1974">
        <v>6.72</v>
      </c>
      <c r="E1974">
        <v>6</v>
      </c>
      <c r="F1974" t="s">
        <v>15</v>
      </c>
      <c r="G1974">
        <v>25</v>
      </c>
      <c r="H1974">
        <v>8.4</v>
      </c>
      <c r="I1974">
        <v>25</v>
      </c>
      <c r="J1974" t="s">
        <v>20</v>
      </c>
    </row>
    <row r="1975" spans="1:10" x14ac:dyDescent="0.2">
      <c r="A1975">
        <v>11974</v>
      </c>
      <c r="B1975" t="s">
        <v>7</v>
      </c>
      <c r="C1975" t="s">
        <v>6</v>
      </c>
      <c r="D1975">
        <v>9.9600000000000009</v>
      </c>
      <c r="E1975">
        <v>1</v>
      </c>
      <c r="F1975" t="s">
        <v>14</v>
      </c>
      <c r="G1975">
        <v>12</v>
      </c>
      <c r="H1975">
        <v>11.155200000000002</v>
      </c>
      <c r="I1975">
        <v>12.000000000000011</v>
      </c>
      <c r="J1975" t="s">
        <v>20</v>
      </c>
    </row>
    <row r="1976" spans="1:10" x14ac:dyDescent="0.2">
      <c r="A1976">
        <v>11975</v>
      </c>
      <c r="B1976" t="s">
        <v>10</v>
      </c>
      <c r="C1976" t="s">
        <v>9</v>
      </c>
      <c r="D1976">
        <v>11.04</v>
      </c>
      <c r="E1976">
        <v>5</v>
      </c>
      <c r="F1976" t="s">
        <v>15</v>
      </c>
      <c r="G1976">
        <v>30</v>
      </c>
      <c r="H1976">
        <v>14.351999999999999</v>
      </c>
      <c r="I1976">
        <v>30.000000000000004</v>
      </c>
      <c r="J1976" t="s">
        <v>20</v>
      </c>
    </row>
    <row r="1977" spans="1:10" x14ac:dyDescent="0.2">
      <c r="A1977">
        <v>11976</v>
      </c>
      <c r="B1977" t="s">
        <v>8</v>
      </c>
      <c r="C1977" t="s">
        <v>11</v>
      </c>
      <c r="D1977">
        <v>0.51</v>
      </c>
      <c r="E1977">
        <v>7</v>
      </c>
      <c r="F1977" t="s">
        <v>15</v>
      </c>
      <c r="G1977">
        <v>25</v>
      </c>
      <c r="H1977">
        <v>0.63749999999999996</v>
      </c>
      <c r="I1977">
        <v>25</v>
      </c>
      <c r="J1977" t="s">
        <v>20</v>
      </c>
    </row>
    <row r="1978" spans="1:10" x14ac:dyDescent="0.2">
      <c r="A1978">
        <v>11977</v>
      </c>
      <c r="B1978" t="s">
        <v>5</v>
      </c>
      <c r="C1978" t="s">
        <v>6</v>
      </c>
      <c r="D1978">
        <v>14.08</v>
      </c>
      <c r="E1978">
        <v>2</v>
      </c>
      <c r="F1978" t="s">
        <v>14</v>
      </c>
      <c r="G1978">
        <v>12</v>
      </c>
      <c r="H1978">
        <v>15.769600000000002</v>
      </c>
      <c r="I1978">
        <v>12.000000000000011</v>
      </c>
      <c r="J1978" t="s">
        <v>20</v>
      </c>
    </row>
    <row r="1979" spans="1:10" x14ac:dyDescent="0.2">
      <c r="A1979">
        <v>11978</v>
      </c>
      <c r="B1979" t="s">
        <v>5</v>
      </c>
      <c r="C1979" t="s">
        <v>9</v>
      </c>
      <c r="D1979">
        <v>2.89</v>
      </c>
      <c r="E1979">
        <v>10</v>
      </c>
      <c r="F1979" t="s">
        <v>16</v>
      </c>
      <c r="G1979">
        <v>60</v>
      </c>
      <c r="H1979">
        <v>4.6240000000000006</v>
      </c>
      <c r="I1979">
        <v>60.000000000000007</v>
      </c>
      <c r="J1979" t="s">
        <v>20</v>
      </c>
    </row>
    <row r="1980" spans="1:10" x14ac:dyDescent="0.2">
      <c r="A1980">
        <v>11979</v>
      </c>
      <c r="B1980" t="s">
        <v>5</v>
      </c>
      <c r="C1980" t="s">
        <v>9</v>
      </c>
      <c r="D1980">
        <v>3.89</v>
      </c>
      <c r="E1980">
        <v>9</v>
      </c>
      <c r="F1980" t="s">
        <v>16</v>
      </c>
      <c r="G1980">
        <v>60</v>
      </c>
      <c r="H1980">
        <v>6.2240000000000002</v>
      </c>
      <c r="I1980">
        <v>60.000000000000007</v>
      </c>
      <c r="J1980" t="s">
        <v>20</v>
      </c>
    </row>
    <row r="1981" spans="1:10" x14ac:dyDescent="0.2">
      <c r="A1981">
        <v>11980</v>
      </c>
      <c r="B1981" t="s">
        <v>10</v>
      </c>
      <c r="C1981" t="s">
        <v>11</v>
      </c>
      <c r="D1981">
        <v>4.32</v>
      </c>
      <c r="E1981">
        <v>6</v>
      </c>
      <c r="F1981" t="s">
        <v>15</v>
      </c>
      <c r="G1981">
        <v>25</v>
      </c>
      <c r="H1981">
        <v>5.4</v>
      </c>
      <c r="I1981">
        <v>25</v>
      </c>
      <c r="J1981" t="s">
        <v>20</v>
      </c>
    </row>
    <row r="1982" spans="1:10" x14ac:dyDescent="0.2">
      <c r="A1982">
        <v>11981</v>
      </c>
      <c r="B1982" t="s">
        <v>8</v>
      </c>
      <c r="C1982" t="s">
        <v>11</v>
      </c>
      <c r="D1982">
        <v>1.05</v>
      </c>
      <c r="E1982">
        <v>2</v>
      </c>
      <c r="F1982" t="s">
        <v>14</v>
      </c>
      <c r="G1982">
        <v>10</v>
      </c>
      <c r="H1982">
        <v>1.1550000000000002</v>
      </c>
      <c r="I1982">
        <v>10.000000000000009</v>
      </c>
      <c r="J1982" t="s">
        <v>20</v>
      </c>
    </row>
    <row r="1983" spans="1:10" x14ac:dyDescent="0.2">
      <c r="A1983">
        <v>11982</v>
      </c>
      <c r="B1983" t="s">
        <v>7</v>
      </c>
      <c r="C1983" t="s">
        <v>9</v>
      </c>
      <c r="D1983">
        <v>2.2799999999999998</v>
      </c>
      <c r="E1983">
        <v>8</v>
      </c>
      <c r="F1983" t="s">
        <v>16</v>
      </c>
      <c r="G1983">
        <v>60</v>
      </c>
      <c r="H1983">
        <v>3.6479999999999997</v>
      </c>
      <c r="I1983">
        <v>60.000000000000007</v>
      </c>
      <c r="J1983" t="s">
        <v>20</v>
      </c>
    </row>
    <row r="1984" spans="1:10" x14ac:dyDescent="0.2">
      <c r="A1984">
        <v>11983</v>
      </c>
      <c r="B1984" t="s">
        <v>7</v>
      </c>
      <c r="C1984" t="s">
        <v>9</v>
      </c>
      <c r="D1984">
        <v>14.8</v>
      </c>
      <c r="E1984">
        <v>8</v>
      </c>
      <c r="F1984" t="s">
        <v>16</v>
      </c>
      <c r="G1984">
        <v>60</v>
      </c>
      <c r="H1984">
        <v>23.680000000000003</v>
      </c>
      <c r="I1984">
        <v>60.000000000000007</v>
      </c>
      <c r="J1984" t="s">
        <v>20</v>
      </c>
    </row>
    <row r="1985" spans="1:10" x14ac:dyDescent="0.2">
      <c r="A1985">
        <v>11984</v>
      </c>
      <c r="B1985" t="s">
        <v>5</v>
      </c>
      <c r="C1985" t="s">
        <v>11</v>
      </c>
      <c r="D1985">
        <v>5.07</v>
      </c>
      <c r="E1985">
        <v>1</v>
      </c>
      <c r="F1985" t="s">
        <v>14</v>
      </c>
      <c r="G1985">
        <v>10</v>
      </c>
      <c r="H1985">
        <v>5.5770000000000008</v>
      </c>
      <c r="I1985">
        <v>10.000000000000009</v>
      </c>
      <c r="J1985" t="s">
        <v>20</v>
      </c>
    </row>
    <row r="1986" spans="1:10" x14ac:dyDescent="0.2">
      <c r="A1986">
        <v>11985</v>
      </c>
      <c r="B1986" t="s">
        <v>10</v>
      </c>
      <c r="C1986" t="s">
        <v>9</v>
      </c>
      <c r="D1986">
        <v>2.17</v>
      </c>
      <c r="E1986">
        <v>1</v>
      </c>
      <c r="F1986" t="s">
        <v>14</v>
      </c>
      <c r="G1986">
        <v>15</v>
      </c>
      <c r="H1986">
        <v>2.4954999999999998</v>
      </c>
      <c r="I1986">
        <v>14.999999999999991</v>
      </c>
      <c r="J1986" t="s">
        <v>20</v>
      </c>
    </row>
    <row r="1987" spans="1:10" x14ac:dyDescent="0.2">
      <c r="A1987">
        <v>11986</v>
      </c>
      <c r="B1987" t="s">
        <v>10</v>
      </c>
      <c r="C1987" t="s">
        <v>11</v>
      </c>
      <c r="D1987">
        <v>2.0499999999999998</v>
      </c>
      <c r="E1987">
        <v>1</v>
      </c>
      <c r="F1987" t="s">
        <v>14</v>
      </c>
      <c r="G1987">
        <v>10</v>
      </c>
      <c r="H1987">
        <v>2.2549999999999999</v>
      </c>
      <c r="I1987">
        <v>10.000000000000009</v>
      </c>
      <c r="J1987" t="s">
        <v>20</v>
      </c>
    </row>
    <row r="1988" spans="1:10" x14ac:dyDescent="0.2">
      <c r="A1988">
        <v>11987</v>
      </c>
      <c r="B1988" t="s">
        <v>10</v>
      </c>
      <c r="C1988" t="s">
        <v>9</v>
      </c>
      <c r="D1988">
        <v>10.93</v>
      </c>
      <c r="E1988">
        <v>4</v>
      </c>
      <c r="F1988" t="s">
        <v>15</v>
      </c>
      <c r="G1988">
        <v>30</v>
      </c>
      <c r="H1988">
        <v>14.209</v>
      </c>
      <c r="I1988">
        <v>30.000000000000004</v>
      </c>
      <c r="J1988" t="s">
        <v>20</v>
      </c>
    </row>
    <row r="1989" spans="1:10" x14ac:dyDescent="0.2">
      <c r="A1989">
        <v>11988</v>
      </c>
      <c r="B1989" t="s">
        <v>7</v>
      </c>
      <c r="C1989" t="s">
        <v>11</v>
      </c>
      <c r="D1989">
        <v>12.89</v>
      </c>
      <c r="E1989">
        <v>4</v>
      </c>
      <c r="F1989" t="s">
        <v>15</v>
      </c>
      <c r="G1989">
        <v>25</v>
      </c>
      <c r="H1989">
        <v>16.112500000000001</v>
      </c>
      <c r="I1989">
        <v>25</v>
      </c>
      <c r="J1989" t="s">
        <v>20</v>
      </c>
    </row>
    <row r="1990" spans="1:10" x14ac:dyDescent="0.2">
      <c r="A1990">
        <v>11989</v>
      </c>
      <c r="B1990" t="s">
        <v>5</v>
      </c>
      <c r="C1990" t="s">
        <v>6</v>
      </c>
      <c r="D1990">
        <v>4.2300000000000004</v>
      </c>
      <c r="E1990">
        <v>8</v>
      </c>
      <c r="F1990" t="s">
        <v>16</v>
      </c>
      <c r="G1990">
        <v>55</v>
      </c>
      <c r="H1990">
        <v>6.5565000000000007</v>
      </c>
      <c r="I1990">
        <v>55.000000000000007</v>
      </c>
      <c r="J1990" t="s">
        <v>20</v>
      </c>
    </row>
    <row r="1991" spans="1:10" x14ac:dyDescent="0.2">
      <c r="A1991">
        <v>11990</v>
      </c>
      <c r="B1991" t="s">
        <v>8</v>
      </c>
      <c r="C1991" t="s">
        <v>11</v>
      </c>
      <c r="D1991">
        <v>0.8</v>
      </c>
      <c r="E1991">
        <v>1</v>
      </c>
      <c r="F1991" t="s">
        <v>14</v>
      </c>
      <c r="G1991">
        <v>10</v>
      </c>
      <c r="H1991">
        <v>0.88000000000000012</v>
      </c>
      <c r="I1991">
        <v>10.000000000000009</v>
      </c>
      <c r="J1991" t="s">
        <v>20</v>
      </c>
    </row>
    <row r="1992" spans="1:10" x14ac:dyDescent="0.2">
      <c r="A1992">
        <v>11991</v>
      </c>
      <c r="B1992" t="s">
        <v>7</v>
      </c>
      <c r="C1992" t="s">
        <v>11</v>
      </c>
      <c r="D1992">
        <v>3.73</v>
      </c>
      <c r="E1992">
        <v>10</v>
      </c>
      <c r="F1992" t="s">
        <v>16</v>
      </c>
      <c r="G1992">
        <v>50</v>
      </c>
      <c r="H1992">
        <v>5.5949999999999998</v>
      </c>
      <c r="I1992">
        <v>50</v>
      </c>
      <c r="J1992" t="s">
        <v>20</v>
      </c>
    </row>
    <row r="1993" spans="1:10" x14ac:dyDescent="0.2">
      <c r="A1993">
        <v>11992</v>
      </c>
      <c r="B1993" t="s">
        <v>5</v>
      </c>
      <c r="C1993" t="s">
        <v>6</v>
      </c>
      <c r="D1993">
        <v>1.32</v>
      </c>
      <c r="E1993">
        <v>3</v>
      </c>
      <c r="F1993" t="s">
        <v>14</v>
      </c>
      <c r="G1993">
        <v>12</v>
      </c>
      <c r="H1993">
        <v>1.4784000000000002</v>
      </c>
      <c r="I1993">
        <v>12.000000000000011</v>
      </c>
      <c r="J1993" t="s">
        <v>20</v>
      </c>
    </row>
    <row r="1994" spans="1:10" x14ac:dyDescent="0.2">
      <c r="A1994">
        <v>11993</v>
      </c>
      <c r="B1994" t="s">
        <v>5</v>
      </c>
      <c r="C1994" t="s">
        <v>9</v>
      </c>
      <c r="D1994">
        <v>2</v>
      </c>
      <c r="E1994">
        <v>1</v>
      </c>
      <c r="F1994" t="s">
        <v>14</v>
      </c>
      <c r="G1994">
        <v>15</v>
      </c>
      <c r="H1994">
        <v>2.2999999999999998</v>
      </c>
      <c r="I1994">
        <v>14.999999999999991</v>
      </c>
      <c r="J1994" t="s">
        <v>20</v>
      </c>
    </row>
    <row r="1995" spans="1:10" x14ac:dyDescent="0.2">
      <c r="A1995">
        <v>11994</v>
      </c>
      <c r="B1995" t="s">
        <v>8</v>
      </c>
      <c r="C1995" t="s">
        <v>6</v>
      </c>
      <c r="D1995">
        <v>6.76</v>
      </c>
      <c r="E1995">
        <v>9</v>
      </c>
      <c r="F1995" t="s">
        <v>16</v>
      </c>
      <c r="G1995">
        <v>55</v>
      </c>
      <c r="H1995">
        <v>10.478</v>
      </c>
      <c r="I1995">
        <v>55.000000000000007</v>
      </c>
      <c r="J1995" t="s">
        <v>20</v>
      </c>
    </row>
    <row r="1996" spans="1:10" x14ac:dyDescent="0.2">
      <c r="A1996">
        <v>11995</v>
      </c>
      <c r="B1996" t="s">
        <v>8</v>
      </c>
      <c r="C1996" t="s">
        <v>11</v>
      </c>
      <c r="D1996">
        <v>3.83</v>
      </c>
      <c r="E1996">
        <v>10</v>
      </c>
      <c r="F1996" t="s">
        <v>16</v>
      </c>
      <c r="G1996">
        <v>50</v>
      </c>
      <c r="H1996">
        <v>5.7450000000000001</v>
      </c>
      <c r="I1996">
        <v>50</v>
      </c>
      <c r="J1996" t="s">
        <v>20</v>
      </c>
    </row>
    <row r="1997" spans="1:10" x14ac:dyDescent="0.2">
      <c r="A1997">
        <v>11996</v>
      </c>
      <c r="B1997" t="s">
        <v>8</v>
      </c>
      <c r="C1997" t="s">
        <v>9</v>
      </c>
      <c r="D1997">
        <v>7.98</v>
      </c>
      <c r="E1997">
        <v>9</v>
      </c>
      <c r="F1997" t="s">
        <v>16</v>
      </c>
      <c r="G1997">
        <v>60</v>
      </c>
      <c r="H1997">
        <v>12.768000000000001</v>
      </c>
      <c r="I1997">
        <v>60.000000000000007</v>
      </c>
      <c r="J1997" t="s">
        <v>20</v>
      </c>
    </row>
    <row r="1998" spans="1:10" x14ac:dyDescent="0.2">
      <c r="A1998">
        <v>11997</v>
      </c>
      <c r="B1998" t="s">
        <v>10</v>
      </c>
      <c r="C1998" t="s">
        <v>6</v>
      </c>
      <c r="D1998">
        <v>4.18</v>
      </c>
      <c r="E1998">
        <v>7</v>
      </c>
      <c r="F1998" t="s">
        <v>15</v>
      </c>
      <c r="G1998">
        <v>28</v>
      </c>
      <c r="H1998">
        <v>5.3503999999999996</v>
      </c>
      <c r="I1998">
        <v>28.000000000000004</v>
      </c>
      <c r="J1998" t="s">
        <v>20</v>
      </c>
    </row>
    <row r="1999" spans="1:10" x14ac:dyDescent="0.2">
      <c r="A1999">
        <v>11998</v>
      </c>
      <c r="B1999" t="s">
        <v>8</v>
      </c>
      <c r="C1999" t="s">
        <v>9</v>
      </c>
      <c r="D1999">
        <v>14.14</v>
      </c>
      <c r="E1999">
        <v>8</v>
      </c>
      <c r="F1999" t="s">
        <v>16</v>
      </c>
      <c r="G1999">
        <v>60</v>
      </c>
      <c r="H1999">
        <v>22.624000000000002</v>
      </c>
      <c r="I1999">
        <v>60.000000000000007</v>
      </c>
      <c r="J1999" t="s">
        <v>20</v>
      </c>
    </row>
    <row r="2000" spans="1:10" x14ac:dyDescent="0.2">
      <c r="A2000">
        <v>11999</v>
      </c>
      <c r="B2000" t="s">
        <v>5</v>
      </c>
      <c r="C2000" t="s">
        <v>9</v>
      </c>
      <c r="D2000">
        <v>13.64</v>
      </c>
      <c r="E2000">
        <v>1</v>
      </c>
      <c r="F2000" t="s">
        <v>14</v>
      </c>
      <c r="G2000">
        <v>15</v>
      </c>
      <c r="H2000">
        <v>15.686</v>
      </c>
      <c r="I2000">
        <v>14.999999999999991</v>
      </c>
      <c r="J2000" t="s">
        <v>20</v>
      </c>
    </row>
    <row r="2001" spans="1:10" x14ac:dyDescent="0.2">
      <c r="A2001">
        <v>12000</v>
      </c>
      <c r="B2001" t="s">
        <v>8</v>
      </c>
      <c r="C2001" t="s">
        <v>6</v>
      </c>
      <c r="D2001">
        <v>8.7200000000000006</v>
      </c>
      <c r="E2001">
        <v>5</v>
      </c>
      <c r="F2001" t="s">
        <v>15</v>
      </c>
      <c r="G2001">
        <v>28</v>
      </c>
      <c r="H2001">
        <v>11.161600000000002</v>
      </c>
      <c r="I2001">
        <v>28.000000000000004</v>
      </c>
      <c r="J2001" t="s">
        <v>20</v>
      </c>
    </row>
    <row r="2002" spans="1:10" x14ac:dyDescent="0.2">
      <c r="A2002">
        <v>12001</v>
      </c>
      <c r="B2002" t="s">
        <v>5</v>
      </c>
      <c r="C2002" t="s">
        <v>9</v>
      </c>
      <c r="D2002">
        <v>5.64</v>
      </c>
      <c r="E2002">
        <v>2</v>
      </c>
      <c r="F2002" t="s">
        <v>14</v>
      </c>
      <c r="G2002">
        <v>15</v>
      </c>
      <c r="H2002">
        <v>6.4859999999999989</v>
      </c>
      <c r="I2002">
        <v>14.999999999999991</v>
      </c>
      <c r="J2002" t="s">
        <v>20</v>
      </c>
    </row>
    <row r="2003" spans="1:10" x14ac:dyDescent="0.2">
      <c r="A2003">
        <v>12002</v>
      </c>
      <c r="B2003" t="s">
        <v>7</v>
      </c>
      <c r="C2003" t="s">
        <v>6</v>
      </c>
      <c r="D2003">
        <v>6.03</v>
      </c>
      <c r="E2003">
        <v>1</v>
      </c>
      <c r="F2003" t="s">
        <v>14</v>
      </c>
      <c r="G2003">
        <v>12</v>
      </c>
      <c r="H2003">
        <v>6.7536000000000005</v>
      </c>
      <c r="I2003">
        <v>12.000000000000011</v>
      </c>
      <c r="J2003" t="s">
        <v>20</v>
      </c>
    </row>
    <row r="2004" spans="1:10" x14ac:dyDescent="0.2">
      <c r="A2004">
        <v>12003</v>
      </c>
      <c r="B2004" t="s">
        <v>10</v>
      </c>
      <c r="C2004" t="s">
        <v>11</v>
      </c>
      <c r="D2004">
        <v>6.47</v>
      </c>
      <c r="E2004">
        <v>3</v>
      </c>
      <c r="F2004" t="s">
        <v>14</v>
      </c>
      <c r="G2004">
        <v>10</v>
      </c>
      <c r="H2004">
        <v>7.117</v>
      </c>
      <c r="I2004">
        <v>10.000000000000009</v>
      </c>
      <c r="J2004" t="s">
        <v>20</v>
      </c>
    </row>
    <row r="2005" spans="1:10" x14ac:dyDescent="0.2">
      <c r="A2005">
        <v>12004</v>
      </c>
      <c r="B2005" t="s">
        <v>7</v>
      </c>
      <c r="C2005" t="s">
        <v>9</v>
      </c>
      <c r="D2005">
        <v>11.05</v>
      </c>
      <c r="E2005">
        <v>7</v>
      </c>
      <c r="F2005" t="s">
        <v>15</v>
      </c>
      <c r="G2005">
        <v>30</v>
      </c>
      <c r="H2005">
        <v>14.365000000000002</v>
      </c>
      <c r="I2005">
        <v>30.000000000000004</v>
      </c>
      <c r="J2005" t="s">
        <v>20</v>
      </c>
    </row>
    <row r="2006" spans="1:10" x14ac:dyDescent="0.2">
      <c r="A2006">
        <v>12005</v>
      </c>
      <c r="B2006" t="s">
        <v>7</v>
      </c>
      <c r="C2006" t="s">
        <v>11</v>
      </c>
      <c r="D2006">
        <v>7.05</v>
      </c>
      <c r="E2006">
        <v>1</v>
      </c>
      <c r="F2006" t="s">
        <v>14</v>
      </c>
      <c r="G2006">
        <v>10</v>
      </c>
      <c r="H2006">
        <v>7.7550000000000008</v>
      </c>
      <c r="I2006">
        <v>10.000000000000009</v>
      </c>
      <c r="J2006" t="s">
        <v>20</v>
      </c>
    </row>
    <row r="2007" spans="1:10" x14ac:dyDescent="0.2">
      <c r="A2007">
        <v>12006</v>
      </c>
      <c r="B2007" t="s">
        <v>5</v>
      </c>
      <c r="C2007" t="s">
        <v>11</v>
      </c>
      <c r="D2007">
        <v>12.92</v>
      </c>
      <c r="E2007">
        <v>2</v>
      </c>
      <c r="F2007" t="s">
        <v>14</v>
      </c>
      <c r="G2007">
        <v>10</v>
      </c>
      <c r="H2007">
        <v>14.212000000000002</v>
      </c>
      <c r="I2007">
        <v>10.000000000000009</v>
      </c>
      <c r="J2007" t="s">
        <v>20</v>
      </c>
    </row>
    <row r="2008" spans="1:10" x14ac:dyDescent="0.2">
      <c r="A2008">
        <v>12007</v>
      </c>
      <c r="B2008" t="s">
        <v>7</v>
      </c>
      <c r="C2008" t="s">
        <v>9</v>
      </c>
      <c r="D2008">
        <v>14.19</v>
      </c>
      <c r="E2008">
        <v>2</v>
      </c>
      <c r="F2008" t="s">
        <v>14</v>
      </c>
      <c r="G2008">
        <v>15</v>
      </c>
      <c r="H2008">
        <v>16.318499999999997</v>
      </c>
      <c r="I2008">
        <v>14.999999999999991</v>
      </c>
      <c r="J2008" t="s">
        <v>20</v>
      </c>
    </row>
    <row r="2009" spans="1:10" x14ac:dyDescent="0.2">
      <c r="A2009">
        <v>12008</v>
      </c>
      <c r="B2009" t="s">
        <v>5</v>
      </c>
      <c r="C2009" t="s">
        <v>6</v>
      </c>
      <c r="D2009">
        <v>5.37</v>
      </c>
      <c r="E2009">
        <v>4</v>
      </c>
      <c r="F2009" t="s">
        <v>15</v>
      </c>
      <c r="G2009">
        <v>28</v>
      </c>
      <c r="H2009">
        <v>6.8736000000000006</v>
      </c>
      <c r="I2009">
        <v>28.000000000000004</v>
      </c>
      <c r="J2009" t="s">
        <v>20</v>
      </c>
    </row>
    <row r="2010" spans="1:10" x14ac:dyDescent="0.2">
      <c r="A2010">
        <v>12009</v>
      </c>
      <c r="B2010" t="s">
        <v>8</v>
      </c>
      <c r="C2010" t="s">
        <v>9</v>
      </c>
      <c r="D2010">
        <v>8.6300000000000008</v>
      </c>
      <c r="E2010">
        <v>3</v>
      </c>
      <c r="F2010" t="s">
        <v>14</v>
      </c>
      <c r="G2010">
        <v>15</v>
      </c>
      <c r="H2010">
        <v>9.9245000000000001</v>
      </c>
      <c r="I2010">
        <v>14.999999999999991</v>
      </c>
      <c r="J2010" t="s">
        <v>20</v>
      </c>
    </row>
    <row r="2011" spans="1:10" x14ac:dyDescent="0.2">
      <c r="A2011">
        <v>12010</v>
      </c>
      <c r="B2011" t="s">
        <v>8</v>
      </c>
      <c r="C2011" t="s">
        <v>11</v>
      </c>
      <c r="D2011">
        <v>1.88</v>
      </c>
      <c r="E2011">
        <v>3</v>
      </c>
      <c r="F2011" t="s">
        <v>14</v>
      </c>
      <c r="G2011">
        <v>10</v>
      </c>
      <c r="H2011">
        <v>2.0680000000000001</v>
      </c>
      <c r="I2011">
        <v>10.000000000000009</v>
      </c>
      <c r="J2011" t="s">
        <v>20</v>
      </c>
    </row>
    <row r="2012" spans="1:10" x14ac:dyDescent="0.2">
      <c r="A2012">
        <v>12011</v>
      </c>
      <c r="B2012" t="s">
        <v>5</v>
      </c>
      <c r="C2012" t="s">
        <v>11</v>
      </c>
      <c r="D2012">
        <v>3.41</v>
      </c>
      <c r="E2012">
        <v>10</v>
      </c>
      <c r="F2012" t="s">
        <v>16</v>
      </c>
      <c r="G2012">
        <v>50</v>
      </c>
      <c r="H2012">
        <v>5.1150000000000002</v>
      </c>
      <c r="I2012">
        <v>50</v>
      </c>
      <c r="J2012" t="s">
        <v>20</v>
      </c>
    </row>
    <row r="2013" spans="1:10" x14ac:dyDescent="0.2">
      <c r="A2013">
        <v>12012</v>
      </c>
      <c r="B2013" t="s">
        <v>8</v>
      </c>
      <c r="C2013" t="s">
        <v>6</v>
      </c>
      <c r="D2013">
        <v>6.5</v>
      </c>
      <c r="E2013">
        <v>5</v>
      </c>
      <c r="F2013" t="s">
        <v>15</v>
      </c>
      <c r="G2013">
        <v>28</v>
      </c>
      <c r="H2013">
        <v>8.32</v>
      </c>
      <c r="I2013">
        <v>28.000000000000004</v>
      </c>
      <c r="J2013" t="s">
        <v>20</v>
      </c>
    </row>
    <row r="2014" spans="1:10" x14ac:dyDescent="0.2">
      <c r="A2014">
        <v>12013</v>
      </c>
      <c r="B2014" t="s">
        <v>10</v>
      </c>
      <c r="C2014" t="s">
        <v>9</v>
      </c>
      <c r="D2014">
        <v>3.49</v>
      </c>
      <c r="E2014">
        <v>3</v>
      </c>
      <c r="F2014" t="s">
        <v>14</v>
      </c>
      <c r="G2014">
        <v>15</v>
      </c>
      <c r="H2014">
        <v>4.0134999999999996</v>
      </c>
      <c r="I2014">
        <v>14.999999999999991</v>
      </c>
      <c r="J2014" t="s">
        <v>20</v>
      </c>
    </row>
    <row r="2015" spans="1:10" x14ac:dyDescent="0.2">
      <c r="A2015">
        <v>12014</v>
      </c>
      <c r="B2015" t="s">
        <v>7</v>
      </c>
      <c r="C2015" t="s">
        <v>11</v>
      </c>
      <c r="D2015">
        <v>13.21</v>
      </c>
      <c r="E2015">
        <v>7</v>
      </c>
      <c r="F2015" t="s">
        <v>15</v>
      </c>
      <c r="G2015">
        <v>25</v>
      </c>
      <c r="H2015">
        <v>16.512500000000003</v>
      </c>
      <c r="I2015">
        <v>25.000000000000021</v>
      </c>
      <c r="J2015" t="s">
        <v>20</v>
      </c>
    </row>
    <row r="2016" spans="1:10" x14ac:dyDescent="0.2">
      <c r="A2016">
        <v>12015</v>
      </c>
      <c r="B2016" t="s">
        <v>10</v>
      </c>
      <c r="C2016" t="s">
        <v>11</v>
      </c>
      <c r="D2016">
        <v>2.8</v>
      </c>
      <c r="E2016">
        <v>5</v>
      </c>
      <c r="F2016" t="s">
        <v>15</v>
      </c>
      <c r="G2016">
        <v>25</v>
      </c>
      <c r="H2016">
        <v>3.5</v>
      </c>
      <c r="I2016">
        <v>25</v>
      </c>
      <c r="J2016" t="s">
        <v>20</v>
      </c>
    </row>
    <row r="2017" spans="1:10" x14ac:dyDescent="0.2">
      <c r="A2017">
        <v>12016</v>
      </c>
      <c r="B2017" t="s">
        <v>7</v>
      </c>
      <c r="C2017" t="s">
        <v>11</v>
      </c>
      <c r="D2017">
        <v>7.11</v>
      </c>
      <c r="E2017">
        <v>4</v>
      </c>
      <c r="F2017" t="s">
        <v>15</v>
      </c>
      <c r="G2017">
        <v>25</v>
      </c>
      <c r="H2017">
        <v>8.8875000000000011</v>
      </c>
      <c r="I2017">
        <v>25</v>
      </c>
      <c r="J2017" t="s">
        <v>20</v>
      </c>
    </row>
    <row r="2018" spans="1:10" x14ac:dyDescent="0.2">
      <c r="A2018">
        <v>12017</v>
      </c>
      <c r="B2018" t="s">
        <v>8</v>
      </c>
      <c r="C2018" t="s">
        <v>6</v>
      </c>
      <c r="D2018">
        <v>9.2799999999999994</v>
      </c>
      <c r="E2018">
        <v>3</v>
      </c>
      <c r="F2018" t="s">
        <v>14</v>
      </c>
      <c r="G2018">
        <v>12</v>
      </c>
      <c r="H2018">
        <v>10.393600000000001</v>
      </c>
      <c r="I2018">
        <v>12.000000000000011</v>
      </c>
      <c r="J2018" t="s">
        <v>20</v>
      </c>
    </row>
    <row r="2019" spans="1:10" x14ac:dyDescent="0.2">
      <c r="A2019">
        <v>12018</v>
      </c>
      <c r="B2019" t="s">
        <v>10</v>
      </c>
      <c r="C2019" t="s">
        <v>11</v>
      </c>
      <c r="D2019">
        <v>10.53</v>
      </c>
      <c r="E2019">
        <v>4</v>
      </c>
      <c r="F2019" t="s">
        <v>15</v>
      </c>
      <c r="G2019">
        <v>25</v>
      </c>
      <c r="H2019">
        <v>13.1625</v>
      </c>
      <c r="I2019">
        <v>25</v>
      </c>
      <c r="J2019" t="s">
        <v>20</v>
      </c>
    </row>
    <row r="2020" spans="1:10" x14ac:dyDescent="0.2">
      <c r="A2020">
        <v>12019</v>
      </c>
      <c r="B2020" t="s">
        <v>8</v>
      </c>
      <c r="C2020" t="s">
        <v>11</v>
      </c>
      <c r="D2020">
        <v>6.05</v>
      </c>
      <c r="E2020">
        <v>2</v>
      </c>
      <c r="F2020" t="s">
        <v>14</v>
      </c>
      <c r="G2020">
        <v>10</v>
      </c>
      <c r="H2020">
        <v>6.6550000000000002</v>
      </c>
      <c r="I2020">
        <v>10.000000000000009</v>
      </c>
      <c r="J2020" t="s">
        <v>20</v>
      </c>
    </row>
    <row r="2021" spans="1:10" x14ac:dyDescent="0.2">
      <c r="A2021">
        <v>12020</v>
      </c>
      <c r="B2021" t="s">
        <v>7</v>
      </c>
      <c r="C2021" t="s">
        <v>9</v>
      </c>
      <c r="D2021">
        <v>13.1</v>
      </c>
      <c r="E2021">
        <v>1</v>
      </c>
      <c r="F2021" t="s">
        <v>14</v>
      </c>
      <c r="G2021">
        <v>15</v>
      </c>
      <c r="H2021">
        <v>15.064999999999998</v>
      </c>
      <c r="I2021">
        <v>14.999999999999991</v>
      </c>
      <c r="J2021" t="s">
        <v>20</v>
      </c>
    </row>
    <row r="2022" spans="1:10" x14ac:dyDescent="0.2">
      <c r="A2022">
        <v>12021</v>
      </c>
      <c r="B2022" t="s">
        <v>5</v>
      </c>
      <c r="C2022" t="s">
        <v>9</v>
      </c>
      <c r="D2022">
        <v>8.74</v>
      </c>
      <c r="E2022">
        <v>3</v>
      </c>
      <c r="F2022" t="s">
        <v>14</v>
      </c>
      <c r="G2022">
        <v>15</v>
      </c>
      <c r="H2022">
        <v>10.051</v>
      </c>
      <c r="I2022">
        <v>14.999999999999991</v>
      </c>
      <c r="J2022" t="s">
        <v>20</v>
      </c>
    </row>
    <row r="2023" spans="1:10" x14ac:dyDescent="0.2">
      <c r="A2023">
        <v>12022</v>
      </c>
      <c r="B2023" t="s">
        <v>5</v>
      </c>
      <c r="C2023" t="s">
        <v>11</v>
      </c>
      <c r="D2023">
        <v>6.87</v>
      </c>
      <c r="E2023">
        <v>2</v>
      </c>
      <c r="F2023" t="s">
        <v>14</v>
      </c>
      <c r="G2023">
        <v>10</v>
      </c>
      <c r="H2023">
        <v>7.5570000000000004</v>
      </c>
      <c r="I2023">
        <v>10.000000000000009</v>
      </c>
      <c r="J2023" t="s">
        <v>20</v>
      </c>
    </row>
    <row r="2024" spans="1:10" x14ac:dyDescent="0.2">
      <c r="A2024">
        <v>12023</v>
      </c>
      <c r="B2024" t="s">
        <v>10</v>
      </c>
      <c r="C2024" t="s">
        <v>11</v>
      </c>
      <c r="D2024">
        <v>1.47</v>
      </c>
      <c r="E2024">
        <v>1</v>
      </c>
      <c r="F2024" t="s">
        <v>14</v>
      </c>
      <c r="G2024">
        <v>10</v>
      </c>
      <c r="H2024">
        <v>1.617</v>
      </c>
      <c r="I2024">
        <v>10.000000000000009</v>
      </c>
      <c r="J2024" t="s">
        <v>20</v>
      </c>
    </row>
    <row r="2025" spans="1:10" x14ac:dyDescent="0.2">
      <c r="A2025">
        <v>12024</v>
      </c>
      <c r="B2025" t="s">
        <v>8</v>
      </c>
      <c r="C2025" t="s">
        <v>9</v>
      </c>
      <c r="D2025">
        <v>7.24</v>
      </c>
      <c r="E2025">
        <v>1</v>
      </c>
      <c r="F2025" t="s">
        <v>14</v>
      </c>
      <c r="G2025">
        <v>15</v>
      </c>
      <c r="H2025">
        <v>8.3259999999999987</v>
      </c>
      <c r="I2025">
        <v>14.999999999999968</v>
      </c>
      <c r="J2025" t="s">
        <v>20</v>
      </c>
    </row>
    <row r="2026" spans="1:10" x14ac:dyDescent="0.2">
      <c r="A2026">
        <v>12025</v>
      </c>
      <c r="B2026" t="s">
        <v>8</v>
      </c>
      <c r="C2026" t="s">
        <v>6</v>
      </c>
      <c r="D2026">
        <v>12.4</v>
      </c>
      <c r="E2026">
        <v>2</v>
      </c>
      <c r="F2026" t="s">
        <v>14</v>
      </c>
      <c r="G2026">
        <v>12</v>
      </c>
      <c r="H2026">
        <v>13.888000000000002</v>
      </c>
      <c r="I2026">
        <v>12.000000000000011</v>
      </c>
      <c r="J2026" t="s">
        <v>20</v>
      </c>
    </row>
    <row r="2027" spans="1:10" x14ac:dyDescent="0.2">
      <c r="A2027">
        <v>12026</v>
      </c>
      <c r="B2027" t="s">
        <v>10</v>
      </c>
      <c r="C2027" t="s">
        <v>6</v>
      </c>
      <c r="D2027">
        <v>9.41</v>
      </c>
      <c r="E2027">
        <v>9</v>
      </c>
      <c r="F2027" t="s">
        <v>16</v>
      </c>
      <c r="G2027">
        <v>55</v>
      </c>
      <c r="H2027">
        <v>14.585500000000001</v>
      </c>
      <c r="I2027">
        <v>55.000000000000007</v>
      </c>
      <c r="J2027" t="s">
        <v>20</v>
      </c>
    </row>
    <row r="2028" spans="1:10" x14ac:dyDescent="0.2">
      <c r="A2028">
        <v>12027</v>
      </c>
      <c r="B2028" t="s">
        <v>5</v>
      </c>
      <c r="C2028" t="s">
        <v>6</v>
      </c>
      <c r="D2028">
        <v>12.57</v>
      </c>
      <c r="E2028">
        <v>5</v>
      </c>
      <c r="F2028" t="s">
        <v>15</v>
      </c>
      <c r="G2028">
        <v>28</v>
      </c>
      <c r="H2028">
        <v>16.089600000000001</v>
      </c>
      <c r="I2028">
        <v>28.000000000000004</v>
      </c>
      <c r="J2028" t="s">
        <v>20</v>
      </c>
    </row>
    <row r="2029" spans="1:10" x14ac:dyDescent="0.2">
      <c r="A2029">
        <v>12028</v>
      </c>
      <c r="B2029" t="s">
        <v>7</v>
      </c>
      <c r="C2029" t="s">
        <v>6</v>
      </c>
      <c r="D2029">
        <v>7.66</v>
      </c>
      <c r="E2029">
        <v>9</v>
      </c>
      <c r="F2029" t="s">
        <v>16</v>
      </c>
      <c r="G2029">
        <v>55</v>
      </c>
      <c r="H2029">
        <v>11.873000000000001</v>
      </c>
      <c r="I2029">
        <v>55.000000000000007</v>
      </c>
      <c r="J2029" t="s">
        <v>20</v>
      </c>
    </row>
    <row r="2030" spans="1:10" x14ac:dyDescent="0.2">
      <c r="A2030">
        <v>12029</v>
      </c>
      <c r="B2030" t="s">
        <v>10</v>
      </c>
      <c r="C2030" t="s">
        <v>6</v>
      </c>
      <c r="D2030">
        <v>2.2200000000000002</v>
      </c>
      <c r="E2030">
        <v>8</v>
      </c>
      <c r="F2030" t="s">
        <v>16</v>
      </c>
      <c r="G2030">
        <v>55</v>
      </c>
      <c r="H2030">
        <v>3.4410000000000003</v>
      </c>
      <c r="I2030">
        <v>55.000000000000007</v>
      </c>
      <c r="J2030" t="s">
        <v>20</v>
      </c>
    </row>
    <row r="2031" spans="1:10" x14ac:dyDescent="0.2">
      <c r="A2031">
        <v>12030</v>
      </c>
      <c r="B2031" t="s">
        <v>7</v>
      </c>
      <c r="C2031" t="s">
        <v>6</v>
      </c>
      <c r="D2031">
        <v>0.7</v>
      </c>
      <c r="E2031">
        <v>6</v>
      </c>
      <c r="F2031" t="s">
        <v>15</v>
      </c>
      <c r="G2031">
        <v>28</v>
      </c>
      <c r="H2031">
        <v>0.89599999999999991</v>
      </c>
      <c r="I2031">
        <v>28.000000000000004</v>
      </c>
      <c r="J2031" t="s">
        <v>20</v>
      </c>
    </row>
    <row r="2032" spans="1:10" x14ac:dyDescent="0.2">
      <c r="A2032">
        <v>12031</v>
      </c>
      <c r="B2032" t="s">
        <v>5</v>
      </c>
      <c r="C2032" t="s">
        <v>6</v>
      </c>
      <c r="D2032">
        <v>4.9000000000000004</v>
      </c>
      <c r="E2032">
        <v>1</v>
      </c>
      <c r="F2032" t="s">
        <v>14</v>
      </c>
      <c r="G2032">
        <v>12</v>
      </c>
      <c r="H2032">
        <v>5.4880000000000013</v>
      </c>
      <c r="I2032">
        <v>12.000000000000011</v>
      </c>
      <c r="J2032" t="s">
        <v>20</v>
      </c>
    </row>
    <row r="2033" spans="1:10" x14ac:dyDescent="0.2">
      <c r="A2033">
        <v>12032</v>
      </c>
      <c r="B2033" t="s">
        <v>8</v>
      </c>
      <c r="C2033" t="s">
        <v>6</v>
      </c>
      <c r="D2033">
        <v>10.62</v>
      </c>
      <c r="E2033">
        <v>10</v>
      </c>
      <c r="F2033" t="s">
        <v>16</v>
      </c>
      <c r="G2033">
        <v>55</v>
      </c>
      <c r="H2033">
        <v>16.460999999999999</v>
      </c>
      <c r="I2033">
        <v>55.000000000000007</v>
      </c>
      <c r="J2033" t="s">
        <v>20</v>
      </c>
    </row>
    <row r="2034" spans="1:10" x14ac:dyDescent="0.2">
      <c r="A2034">
        <v>12033</v>
      </c>
      <c r="B2034" t="s">
        <v>5</v>
      </c>
      <c r="C2034" t="s">
        <v>9</v>
      </c>
      <c r="D2034">
        <v>11.96</v>
      </c>
      <c r="E2034">
        <v>5</v>
      </c>
      <c r="F2034" t="s">
        <v>15</v>
      </c>
      <c r="G2034">
        <v>30</v>
      </c>
      <c r="H2034">
        <v>15.548000000000002</v>
      </c>
      <c r="I2034">
        <v>30.000000000000004</v>
      </c>
      <c r="J2034" t="s">
        <v>20</v>
      </c>
    </row>
    <row r="2035" spans="1:10" x14ac:dyDescent="0.2">
      <c r="A2035">
        <v>12034</v>
      </c>
      <c r="B2035" t="s">
        <v>10</v>
      </c>
      <c r="C2035" t="s">
        <v>6</v>
      </c>
      <c r="D2035">
        <v>4.79</v>
      </c>
      <c r="E2035">
        <v>1</v>
      </c>
      <c r="F2035" t="s">
        <v>14</v>
      </c>
      <c r="G2035">
        <v>12</v>
      </c>
      <c r="H2035">
        <v>5.3648000000000007</v>
      </c>
      <c r="I2035">
        <v>12.000000000000011</v>
      </c>
      <c r="J2035" t="s">
        <v>20</v>
      </c>
    </row>
    <row r="2036" spans="1:10" x14ac:dyDescent="0.2">
      <c r="A2036">
        <v>12035</v>
      </c>
      <c r="B2036" t="s">
        <v>8</v>
      </c>
      <c r="C2036" t="s">
        <v>6</v>
      </c>
      <c r="D2036">
        <v>7.69</v>
      </c>
      <c r="E2036">
        <v>7</v>
      </c>
      <c r="F2036" t="s">
        <v>15</v>
      </c>
      <c r="G2036">
        <v>28</v>
      </c>
      <c r="H2036">
        <v>9.8432000000000013</v>
      </c>
      <c r="I2036">
        <v>28.000000000000004</v>
      </c>
      <c r="J2036" t="s">
        <v>20</v>
      </c>
    </row>
    <row r="2037" spans="1:10" x14ac:dyDescent="0.2">
      <c r="A2037">
        <v>12036</v>
      </c>
      <c r="B2037" t="s">
        <v>10</v>
      </c>
      <c r="C2037" t="s">
        <v>6</v>
      </c>
      <c r="D2037">
        <v>6.61</v>
      </c>
      <c r="E2037">
        <v>10</v>
      </c>
      <c r="F2037" t="s">
        <v>16</v>
      </c>
      <c r="G2037">
        <v>55</v>
      </c>
      <c r="H2037">
        <v>10.245500000000002</v>
      </c>
      <c r="I2037">
        <v>55.000000000000028</v>
      </c>
      <c r="J2037" t="s">
        <v>20</v>
      </c>
    </row>
    <row r="2038" spans="1:10" x14ac:dyDescent="0.2">
      <c r="A2038">
        <v>12037</v>
      </c>
      <c r="B2038" t="s">
        <v>10</v>
      </c>
      <c r="C2038" t="s">
        <v>11</v>
      </c>
      <c r="D2038">
        <v>6.45</v>
      </c>
      <c r="E2038">
        <v>8</v>
      </c>
      <c r="F2038" t="s">
        <v>16</v>
      </c>
      <c r="G2038">
        <v>50</v>
      </c>
      <c r="H2038">
        <v>9.6750000000000007</v>
      </c>
      <c r="I2038">
        <v>50</v>
      </c>
      <c r="J2038" t="s">
        <v>20</v>
      </c>
    </row>
    <row r="2039" spans="1:10" x14ac:dyDescent="0.2">
      <c r="A2039">
        <v>12038</v>
      </c>
      <c r="B2039" t="s">
        <v>5</v>
      </c>
      <c r="C2039" t="s">
        <v>9</v>
      </c>
      <c r="D2039">
        <v>3.85</v>
      </c>
      <c r="E2039">
        <v>8</v>
      </c>
      <c r="F2039" t="s">
        <v>16</v>
      </c>
      <c r="G2039">
        <v>60</v>
      </c>
      <c r="H2039">
        <v>6.16</v>
      </c>
      <c r="I2039">
        <v>60.000000000000007</v>
      </c>
      <c r="J2039" t="s">
        <v>20</v>
      </c>
    </row>
    <row r="2040" spans="1:10" x14ac:dyDescent="0.2">
      <c r="A2040">
        <v>12039</v>
      </c>
      <c r="B2040" t="s">
        <v>10</v>
      </c>
      <c r="C2040" t="s">
        <v>9</v>
      </c>
      <c r="D2040">
        <v>2.48</v>
      </c>
      <c r="E2040">
        <v>7</v>
      </c>
      <c r="F2040" t="s">
        <v>15</v>
      </c>
      <c r="G2040">
        <v>30</v>
      </c>
      <c r="H2040">
        <v>3.2240000000000002</v>
      </c>
      <c r="I2040">
        <v>30.000000000000004</v>
      </c>
      <c r="J2040" t="s">
        <v>20</v>
      </c>
    </row>
    <row r="2041" spans="1:10" x14ac:dyDescent="0.2">
      <c r="A2041">
        <v>12040</v>
      </c>
      <c r="B2041" t="s">
        <v>5</v>
      </c>
      <c r="C2041" t="s">
        <v>9</v>
      </c>
      <c r="D2041">
        <v>3.35</v>
      </c>
      <c r="E2041">
        <v>2</v>
      </c>
      <c r="F2041" t="s">
        <v>14</v>
      </c>
      <c r="G2041">
        <v>15</v>
      </c>
      <c r="H2041">
        <v>3.8524999999999996</v>
      </c>
      <c r="I2041">
        <v>14.999999999999991</v>
      </c>
      <c r="J2041" t="s">
        <v>20</v>
      </c>
    </row>
    <row r="2042" spans="1:10" x14ac:dyDescent="0.2">
      <c r="A2042">
        <v>12041</v>
      </c>
      <c r="B2042" t="s">
        <v>8</v>
      </c>
      <c r="C2042" t="s">
        <v>6</v>
      </c>
      <c r="D2042">
        <v>1.3</v>
      </c>
      <c r="E2042">
        <v>5</v>
      </c>
      <c r="F2042" t="s">
        <v>15</v>
      </c>
      <c r="G2042">
        <v>28</v>
      </c>
      <c r="H2042">
        <v>1.6640000000000001</v>
      </c>
      <c r="I2042">
        <v>28.000000000000004</v>
      </c>
      <c r="J2042" t="s">
        <v>20</v>
      </c>
    </row>
    <row r="2043" spans="1:10" x14ac:dyDescent="0.2">
      <c r="A2043">
        <v>12042</v>
      </c>
      <c r="B2043" t="s">
        <v>5</v>
      </c>
      <c r="C2043" t="s">
        <v>6</v>
      </c>
      <c r="D2043">
        <v>3.37</v>
      </c>
      <c r="E2043">
        <v>4</v>
      </c>
      <c r="F2043" t="s">
        <v>15</v>
      </c>
      <c r="G2043">
        <v>28</v>
      </c>
      <c r="H2043">
        <v>4.3136000000000001</v>
      </c>
      <c r="I2043">
        <v>28.000000000000004</v>
      </c>
      <c r="J2043" t="s">
        <v>20</v>
      </c>
    </row>
    <row r="2044" spans="1:10" x14ac:dyDescent="0.2">
      <c r="A2044">
        <v>12043</v>
      </c>
      <c r="B2044" t="s">
        <v>8</v>
      </c>
      <c r="C2044" t="s">
        <v>11</v>
      </c>
      <c r="D2044">
        <v>0.63</v>
      </c>
      <c r="E2044">
        <v>5</v>
      </c>
      <c r="F2044" t="s">
        <v>15</v>
      </c>
      <c r="G2044">
        <v>25</v>
      </c>
      <c r="H2044">
        <v>0.78749999999999998</v>
      </c>
      <c r="I2044">
        <v>25</v>
      </c>
      <c r="J2044" t="s">
        <v>20</v>
      </c>
    </row>
    <row r="2045" spans="1:10" x14ac:dyDescent="0.2">
      <c r="A2045">
        <v>12044</v>
      </c>
      <c r="B2045" t="s">
        <v>5</v>
      </c>
      <c r="C2045" t="s">
        <v>9</v>
      </c>
      <c r="D2045">
        <v>9.6</v>
      </c>
      <c r="E2045">
        <v>10</v>
      </c>
      <c r="F2045" t="s">
        <v>16</v>
      </c>
      <c r="G2045">
        <v>60</v>
      </c>
      <c r="H2045">
        <v>15.36</v>
      </c>
      <c r="I2045">
        <v>60.000000000000007</v>
      </c>
      <c r="J2045" t="s">
        <v>20</v>
      </c>
    </row>
    <row r="2046" spans="1:10" x14ac:dyDescent="0.2">
      <c r="A2046">
        <v>12045</v>
      </c>
      <c r="B2046" t="s">
        <v>7</v>
      </c>
      <c r="C2046" t="s">
        <v>6</v>
      </c>
      <c r="D2046">
        <v>5.09</v>
      </c>
      <c r="E2046">
        <v>9</v>
      </c>
      <c r="F2046" t="s">
        <v>16</v>
      </c>
      <c r="G2046">
        <v>55</v>
      </c>
      <c r="H2046">
        <v>7.8895</v>
      </c>
      <c r="I2046">
        <v>55.000000000000007</v>
      </c>
      <c r="J2046" t="s">
        <v>20</v>
      </c>
    </row>
    <row r="2047" spans="1:10" x14ac:dyDescent="0.2">
      <c r="A2047">
        <v>12046</v>
      </c>
      <c r="B2047" t="s">
        <v>7</v>
      </c>
      <c r="C2047" t="s">
        <v>9</v>
      </c>
      <c r="D2047">
        <v>14.61</v>
      </c>
      <c r="E2047">
        <v>4</v>
      </c>
      <c r="F2047" t="s">
        <v>15</v>
      </c>
      <c r="G2047">
        <v>30</v>
      </c>
      <c r="H2047">
        <v>18.992999999999999</v>
      </c>
      <c r="I2047">
        <v>30.000000000000004</v>
      </c>
      <c r="J2047" t="s">
        <v>20</v>
      </c>
    </row>
    <row r="2048" spans="1:10" x14ac:dyDescent="0.2">
      <c r="A2048">
        <v>12047</v>
      </c>
      <c r="B2048" t="s">
        <v>10</v>
      </c>
      <c r="C2048" t="s">
        <v>11</v>
      </c>
      <c r="D2048">
        <v>3.31</v>
      </c>
      <c r="E2048">
        <v>8</v>
      </c>
      <c r="F2048" t="s">
        <v>16</v>
      </c>
      <c r="G2048">
        <v>50</v>
      </c>
      <c r="H2048">
        <v>4.9649999999999999</v>
      </c>
      <c r="I2048">
        <v>50</v>
      </c>
      <c r="J2048" t="s">
        <v>20</v>
      </c>
    </row>
    <row r="2049" spans="1:10" x14ac:dyDescent="0.2">
      <c r="A2049">
        <v>12048</v>
      </c>
      <c r="B2049" t="s">
        <v>5</v>
      </c>
      <c r="C2049" t="s">
        <v>11</v>
      </c>
      <c r="D2049">
        <v>5.51</v>
      </c>
      <c r="E2049">
        <v>8</v>
      </c>
      <c r="F2049" t="s">
        <v>16</v>
      </c>
      <c r="G2049">
        <v>50</v>
      </c>
      <c r="H2049">
        <v>8.2650000000000006</v>
      </c>
      <c r="I2049">
        <v>50.000000000000021</v>
      </c>
      <c r="J2049" t="s">
        <v>20</v>
      </c>
    </row>
    <row r="2050" spans="1:10" x14ac:dyDescent="0.2">
      <c r="A2050">
        <v>12049</v>
      </c>
      <c r="B2050" t="s">
        <v>5</v>
      </c>
      <c r="C2050" t="s">
        <v>11</v>
      </c>
      <c r="D2050">
        <v>5.69</v>
      </c>
      <c r="E2050">
        <v>2</v>
      </c>
      <c r="F2050" t="s">
        <v>14</v>
      </c>
      <c r="G2050">
        <v>10</v>
      </c>
      <c r="H2050">
        <v>6.2590000000000012</v>
      </c>
      <c r="I2050">
        <v>10.000000000000009</v>
      </c>
      <c r="J2050" t="s">
        <v>20</v>
      </c>
    </row>
    <row r="2051" spans="1:10" x14ac:dyDescent="0.2">
      <c r="A2051">
        <v>12050</v>
      </c>
      <c r="B2051" t="s">
        <v>8</v>
      </c>
      <c r="C2051" t="s">
        <v>9</v>
      </c>
      <c r="D2051">
        <v>0.62</v>
      </c>
      <c r="E2051">
        <v>6</v>
      </c>
      <c r="F2051" t="s">
        <v>15</v>
      </c>
      <c r="G2051">
        <v>30</v>
      </c>
      <c r="H2051">
        <v>0.80600000000000005</v>
      </c>
      <c r="I2051">
        <v>30.000000000000004</v>
      </c>
      <c r="J2051" t="s">
        <v>20</v>
      </c>
    </row>
    <row r="2052" spans="1:10" x14ac:dyDescent="0.2">
      <c r="A2052">
        <v>12051</v>
      </c>
      <c r="B2052" t="s">
        <v>10</v>
      </c>
      <c r="C2052" t="s">
        <v>6</v>
      </c>
      <c r="D2052">
        <v>12.67</v>
      </c>
      <c r="E2052">
        <v>5</v>
      </c>
      <c r="F2052" t="s">
        <v>15</v>
      </c>
      <c r="G2052">
        <v>28</v>
      </c>
      <c r="H2052">
        <v>16.217600000000001</v>
      </c>
      <c r="I2052">
        <v>28.000000000000004</v>
      </c>
      <c r="J2052" t="s">
        <v>20</v>
      </c>
    </row>
    <row r="2053" spans="1:10" x14ac:dyDescent="0.2">
      <c r="A2053">
        <v>12052</v>
      </c>
      <c r="B2053" t="s">
        <v>5</v>
      </c>
      <c r="C2053" t="s">
        <v>6</v>
      </c>
      <c r="D2053">
        <v>0.96</v>
      </c>
      <c r="E2053">
        <v>2</v>
      </c>
      <c r="F2053" t="s">
        <v>14</v>
      </c>
      <c r="G2053">
        <v>12</v>
      </c>
      <c r="H2053">
        <v>1.0752000000000002</v>
      </c>
      <c r="I2053">
        <v>12.000000000000011</v>
      </c>
      <c r="J2053" t="s">
        <v>20</v>
      </c>
    </row>
    <row r="2054" spans="1:10" x14ac:dyDescent="0.2">
      <c r="A2054">
        <v>12053</v>
      </c>
      <c r="B2054" t="s">
        <v>10</v>
      </c>
      <c r="C2054" t="s">
        <v>11</v>
      </c>
      <c r="D2054">
        <v>14.13</v>
      </c>
      <c r="E2054">
        <v>10</v>
      </c>
      <c r="F2054" t="s">
        <v>16</v>
      </c>
      <c r="G2054">
        <v>50</v>
      </c>
      <c r="H2054">
        <v>21.195</v>
      </c>
      <c r="I2054">
        <v>50</v>
      </c>
      <c r="J2054" t="s">
        <v>20</v>
      </c>
    </row>
    <row r="2055" spans="1:10" x14ac:dyDescent="0.2">
      <c r="A2055">
        <v>12054</v>
      </c>
      <c r="B2055" t="s">
        <v>7</v>
      </c>
      <c r="C2055" t="s">
        <v>6</v>
      </c>
      <c r="D2055">
        <v>13.44</v>
      </c>
      <c r="E2055">
        <v>4</v>
      </c>
      <c r="F2055" t="s">
        <v>15</v>
      </c>
      <c r="G2055">
        <v>28</v>
      </c>
      <c r="H2055">
        <v>17.203199999999999</v>
      </c>
      <c r="I2055">
        <v>28.000000000000004</v>
      </c>
      <c r="J2055" t="s">
        <v>20</v>
      </c>
    </row>
    <row r="2056" spans="1:10" x14ac:dyDescent="0.2">
      <c r="A2056">
        <v>12055</v>
      </c>
      <c r="B2056" t="s">
        <v>5</v>
      </c>
      <c r="C2056" t="s">
        <v>11</v>
      </c>
      <c r="D2056">
        <v>8.27</v>
      </c>
      <c r="E2056">
        <v>7</v>
      </c>
      <c r="F2056" t="s">
        <v>15</v>
      </c>
      <c r="G2056">
        <v>25</v>
      </c>
      <c r="H2056">
        <v>10.337499999999999</v>
      </c>
      <c r="I2056">
        <v>25</v>
      </c>
      <c r="J2056" t="s">
        <v>20</v>
      </c>
    </row>
    <row r="2057" spans="1:10" x14ac:dyDescent="0.2">
      <c r="A2057">
        <v>12056</v>
      </c>
      <c r="B2057" t="s">
        <v>5</v>
      </c>
      <c r="C2057" t="s">
        <v>9</v>
      </c>
      <c r="D2057">
        <v>8.3800000000000008</v>
      </c>
      <c r="E2057">
        <v>1</v>
      </c>
      <c r="F2057" t="s">
        <v>14</v>
      </c>
      <c r="G2057">
        <v>15</v>
      </c>
      <c r="H2057">
        <v>9.6370000000000005</v>
      </c>
      <c r="I2057">
        <v>14.999999999999991</v>
      </c>
      <c r="J2057" t="s">
        <v>20</v>
      </c>
    </row>
    <row r="2058" spans="1:10" x14ac:dyDescent="0.2">
      <c r="A2058">
        <v>12057</v>
      </c>
      <c r="B2058" t="s">
        <v>10</v>
      </c>
      <c r="C2058" t="s">
        <v>11</v>
      </c>
      <c r="D2058">
        <v>9.98</v>
      </c>
      <c r="E2058">
        <v>9</v>
      </c>
      <c r="F2058" t="s">
        <v>16</v>
      </c>
      <c r="G2058">
        <v>50</v>
      </c>
      <c r="H2058">
        <v>14.97</v>
      </c>
      <c r="I2058">
        <v>50</v>
      </c>
      <c r="J2058" t="s">
        <v>20</v>
      </c>
    </row>
    <row r="2059" spans="1:10" x14ac:dyDescent="0.2">
      <c r="A2059">
        <v>12058</v>
      </c>
      <c r="B2059" t="s">
        <v>5</v>
      </c>
      <c r="C2059" t="s">
        <v>9</v>
      </c>
      <c r="D2059">
        <v>6.11</v>
      </c>
      <c r="E2059">
        <v>10</v>
      </c>
      <c r="F2059" t="s">
        <v>16</v>
      </c>
      <c r="G2059">
        <v>60</v>
      </c>
      <c r="H2059">
        <v>9.7760000000000016</v>
      </c>
      <c r="I2059">
        <v>60.000000000000007</v>
      </c>
      <c r="J2059" t="s">
        <v>20</v>
      </c>
    </row>
    <row r="2060" spans="1:10" x14ac:dyDescent="0.2">
      <c r="A2060">
        <v>12059</v>
      </c>
      <c r="B2060" t="s">
        <v>10</v>
      </c>
      <c r="C2060" t="s">
        <v>11</v>
      </c>
      <c r="D2060">
        <v>9.8800000000000008</v>
      </c>
      <c r="E2060">
        <v>1</v>
      </c>
      <c r="F2060" t="s">
        <v>14</v>
      </c>
      <c r="G2060">
        <v>10</v>
      </c>
      <c r="H2060">
        <v>10.868000000000002</v>
      </c>
      <c r="I2060">
        <v>10.000000000000009</v>
      </c>
      <c r="J2060" t="s">
        <v>20</v>
      </c>
    </row>
    <row r="2061" spans="1:10" x14ac:dyDescent="0.2">
      <c r="A2061">
        <v>12060</v>
      </c>
      <c r="B2061" t="s">
        <v>5</v>
      </c>
      <c r="C2061" t="s">
        <v>6</v>
      </c>
      <c r="D2061">
        <v>1.1499999999999999</v>
      </c>
      <c r="E2061">
        <v>5</v>
      </c>
      <c r="F2061" t="s">
        <v>15</v>
      </c>
      <c r="G2061">
        <v>28</v>
      </c>
      <c r="H2061">
        <v>1.472</v>
      </c>
      <c r="I2061">
        <v>28.000000000000004</v>
      </c>
      <c r="J2061" t="s">
        <v>20</v>
      </c>
    </row>
    <row r="2062" spans="1:10" x14ac:dyDescent="0.2">
      <c r="A2062">
        <v>12061</v>
      </c>
      <c r="B2062" t="s">
        <v>8</v>
      </c>
      <c r="C2062" t="s">
        <v>6</v>
      </c>
      <c r="D2062">
        <v>1.28</v>
      </c>
      <c r="E2062">
        <v>7</v>
      </c>
      <c r="F2062" t="s">
        <v>15</v>
      </c>
      <c r="G2062">
        <v>28</v>
      </c>
      <c r="H2062">
        <v>1.6384000000000001</v>
      </c>
      <c r="I2062">
        <v>28.000000000000004</v>
      </c>
      <c r="J2062" t="s">
        <v>20</v>
      </c>
    </row>
    <row r="2063" spans="1:10" x14ac:dyDescent="0.2">
      <c r="A2063">
        <v>12062</v>
      </c>
      <c r="B2063" t="s">
        <v>10</v>
      </c>
      <c r="C2063" t="s">
        <v>11</v>
      </c>
      <c r="D2063">
        <v>7.13</v>
      </c>
      <c r="E2063">
        <v>8</v>
      </c>
      <c r="F2063" t="s">
        <v>16</v>
      </c>
      <c r="G2063">
        <v>50</v>
      </c>
      <c r="H2063">
        <v>10.695</v>
      </c>
      <c r="I2063">
        <v>50</v>
      </c>
      <c r="J2063" t="s">
        <v>20</v>
      </c>
    </row>
    <row r="2064" spans="1:10" x14ac:dyDescent="0.2">
      <c r="A2064">
        <v>12063</v>
      </c>
      <c r="B2064" t="s">
        <v>5</v>
      </c>
      <c r="C2064" t="s">
        <v>6</v>
      </c>
      <c r="D2064">
        <v>8.4700000000000006</v>
      </c>
      <c r="E2064">
        <v>2</v>
      </c>
      <c r="F2064" t="s">
        <v>14</v>
      </c>
      <c r="G2064">
        <v>12</v>
      </c>
      <c r="H2064">
        <v>9.4864000000000015</v>
      </c>
      <c r="I2064">
        <v>12.000000000000011</v>
      </c>
      <c r="J2064" t="s">
        <v>20</v>
      </c>
    </row>
    <row r="2065" spans="1:10" x14ac:dyDescent="0.2">
      <c r="A2065">
        <v>12064</v>
      </c>
      <c r="B2065" t="s">
        <v>7</v>
      </c>
      <c r="C2065" t="s">
        <v>6</v>
      </c>
      <c r="D2065">
        <v>13.37</v>
      </c>
      <c r="E2065">
        <v>4</v>
      </c>
      <c r="F2065" t="s">
        <v>15</v>
      </c>
      <c r="G2065">
        <v>28</v>
      </c>
      <c r="H2065">
        <v>17.113599999999998</v>
      </c>
      <c r="I2065">
        <v>28.000000000000004</v>
      </c>
      <c r="J2065" t="s">
        <v>20</v>
      </c>
    </row>
    <row r="2066" spans="1:10" x14ac:dyDescent="0.2">
      <c r="A2066">
        <v>12065</v>
      </c>
      <c r="B2066" t="s">
        <v>5</v>
      </c>
      <c r="C2066" t="s">
        <v>6</v>
      </c>
      <c r="D2066">
        <v>2.02</v>
      </c>
      <c r="E2066">
        <v>2</v>
      </c>
      <c r="F2066" t="s">
        <v>14</v>
      </c>
      <c r="G2066">
        <v>12</v>
      </c>
      <c r="H2066">
        <v>2.2624000000000004</v>
      </c>
      <c r="I2066">
        <v>12.000000000000011</v>
      </c>
      <c r="J2066" t="s">
        <v>20</v>
      </c>
    </row>
    <row r="2067" spans="1:10" x14ac:dyDescent="0.2">
      <c r="A2067">
        <v>12066</v>
      </c>
      <c r="B2067" t="s">
        <v>7</v>
      </c>
      <c r="C2067" t="s">
        <v>9</v>
      </c>
      <c r="D2067">
        <v>12.43</v>
      </c>
      <c r="E2067">
        <v>4</v>
      </c>
      <c r="F2067" t="s">
        <v>15</v>
      </c>
      <c r="G2067">
        <v>30</v>
      </c>
      <c r="H2067">
        <v>16.158999999999999</v>
      </c>
      <c r="I2067">
        <v>30.000000000000004</v>
      </c>
      <c r="J2067" t="s">
        <v>20</v>
      </c>
    </row>
    <row r="2068" spans="1:10" x14ac:dyDescent="0.2">
      <c r="A2068">
        <v>12067</v>
      </c>
      <c r="B2068" t="s">
        <v>7</v>
      </c>
      <c r="C2068" t="s">
        <v>6</v>
      </c>
      <c r="D2068">
        <v>3.55</v>
      </c>
      <c r="E2068">
        <v>6</v>
      </c>
      <c r="F2068" t="s">
        <v>15</v>
      </c>
      <c r="G2068">
        <v>28</v>
      </c>
      <c r="H2068">
        <v>4.5439999999999996</v>
      </c>
      <c r="I2068">
        <v>28.000000000000004</v>
      </c>
      <c r="J2068" t="s">
        <v>20</v>
      </c>
    </row>
    <row r="2069" spans="1:10" x14ac:dyDescent="0.2">
      <c r="A2069">
        <v>12068</v>
      </c>
      <c r="B2069" t="s">
        <v>8</v>
      </c>
      <c r="C2069" t="s">
        <v>9</v>
      </c>
      <c r="D2069">
        <v>6.21</v>
      </c>
      <c r="E2069">
        <v>6</v>
      </c>
      <c r="F2069" t="s">
        <v>15</v>
      </c>
      <c r="G2069">
        <v>30</v>
      </c>
      <c r="H2069">
        <v>8.0730000000000004</v>
      </c>
      <c r="I2069">
        <v>30.000000000000004</v>
      </c>
      <c r="J2069" t="s">
        <v>20</v>
      </c>
    </row>
    <row r="2070" spans="1:10" x14ac:dyDescent="0.2">
      <c r="A2070">
        <v>12069</v>
      </c>
      <c r="B2070" t="s">
        <v>10</v>
      </c>
      <c r="C2070" t="s">
        <v>11</v>
      </c>
      <c r="D2070">
        <v>5.09</v>
      </c>
      <c r="E2070">
        <v>2</v>
      </c>
      <c r="F2070" t="s">
        <v>14</v>
      </c>
      <c r="G2070">
        <v>10</v>
      </c>
      <c r="H2070">
        <v>5.5990000000000002</v>
      </c>
      <c r="I2070">
        <v>10.000000000000009</v>
      </c>
      <c r="J2070" t="s">
        <v>20</v>
      </c>
    </row>
    <row r="2071" spans="1:10" x14ac:dyDescent="0.2">
      <c r="A2071">
        <v>12070</v>
      </c>
      <c r="B2071" t="s">
        <v>5</v>
      </c>
      <c r="C2071" t="s">
        <v>6</v>
      </c>
      <c r="D2071">
        <v>6.3</v>
      </c>
      <c r="E2071">
        <v>4</v>
      </c>
      <c r="F2071" t="s">
        <v>15</v>
      </c>
      <c r="G2071">
        <v>28</v>
      </c>
      <c r="H2071">
        <v>8.0640000000000001</v>
      </c>
      <c r="I2071">
        <v>28.000000000000004</v>
      </c>
      <c r="J2071" t="s">
        <v>20</v>
      </c>
    </row>
    <row r="2072" spans="1:10" x14ac:dyDescent="0.2">
      <c r="A2072">
        <v>12071</v>
      </c>
      <c r="B2072" t="s">
        <v>8</v>
      </c>
      <c r="C2072" t="s">
        <v>6</v>
      </c>
      <c r="D2072">
        <v>2.68</v>
      </c>
      <c r="E2072">
        <v>4</v>
      </c>
      <c r="F2072" t="s">
        <v>15</v>
      </c>
      <c r="G2072">
        <v>28</v>
      </c>
      <c r="H2072">
        <v>3.4304000000000001</v>
      </c>
      <c r="I2072">
        <v>28.000000000000004</v>
      </c>
      <c r="J2072" t="s">
        <v>20</v>
      </c>
    </row>
    <row r="2073" spans="1:10" x14ac:dyDescent="0.2">
      <c r="A2073">
        <v>12072</v>
      </c>
      <c r="B2073" t="s">
        <v>5</v>
      </c>
      <c r="C2073" t="s">
        <v>6</v>
      </c>
      <c r="D2073">
        <v>7.8</v>
      </c>
      <c r="E2073">
        <v>1</v>
      </c>
      <c r="F2073" t="s">
        <v>14</v>
      </c>
      <c r="G2073">
        <v>12</v>
      </c>
      <c r="H2073">
        <v>8.7360000000000007</v>
      </c>
      <c r="I2073">
        <v>12.000000000000011</v>
      </c>
      <c r="J2073" t="s">
        <v>20</v>
      </c>
    </row>
    <row r="2074" spans="1:10" x14ac:dyDescent="0.2">
      <c r="A2074">
        <v>12073</v>
      </c>
      <c r="B2074" t="s">
        <v>7</v>
      </c>
      <c r="C2074" t="s">
        <v>11</v>
      </c>
      <c r="D2074">
        <v>12.12</v>
      </c>
      <c r="E2074">
        <v>2</v>
      </c>
      <c r="F2074" t="s">
        <v>14</v>
      </c>
      <c r="G2074">
        <v>10</v>
      </c>
      <c r="H2074">
        <v>13.332000000000001</v>
      </c>
      <c r="I2074">
        <v>10.000000000000009</v>
      </c>
      <c r="J2074" t="s">
        <v>20</v>
      </c>
    </row>
    <row r="2075" spans="1:10" x14ac:dyDescent="0.2">
      <c r="A2075">
        <v>12074</v>
      </c>
      <c r="B2075" t="s">
        <v>10</v>
      </c>
      <c r="C2075" t="s">
        <v>9</v>
      </c>
      <c r="D2075">
        <v>6.9</v>
      </c>
      <c r="E2075">
        <v>3</v>
      </c>
      <c r="F2075" t="s">
        <v>14</v>
      </c>
      <c r="G2075">
        <v>15</v>
      </c>
      <c r="H2075">
        <v>7.9349999999999996</v>
      </c>
      <c r="I2075">
        <v>14.999999999999991</v>
      </c>
      <c r="J2075" t="s">
        <v>20</v>
      </c>
    </row>
    <row r="2076" spans="1:10" x14ac:dyDescent="0.2">
      <c r="A2076">
        <v>12075</v>
      </c>
      <c r="B2076" t="s">
        <v>5</v>
      </c>
      <c r="C2076" t="s">
        <v>9</v>
      </c>
      <c r="D2076">
        <v>7.61</v>
      </c>
      <c r="E2076">
        <v>5</v>
      </c>
      <c r="F2076" t="s">
        <v>15</v>
      </c>
      <c r="G2076">
        <v>30</v>
      </c>
      <c r="H2076">
        <v>9.8930000000000007</v>
      </c>
      <c r="I2076">
        <v>30.000000000000004</v>
      </c>
      <c r="J2076" t="s">
        <v>20</v>
      </c>
    </row>
    <row r="2077" spans="1:10" x14ac:dyDescent="0.2">
      <c r="A2077">
        <v>12076</v>
      </c>
      <c r="B2077" t="s">
        <v>5</v>
      </c>
      <c r="C2077" t="s">
        <v>6</v>
      </c>
      <c r="D2077">
        <v>12.81</v>
      </c>
      <c r="E2077">
        <v>8</v>
      </c>
      <c r="F2077" t="s">
        <v>16</v>
      </c>
      <c r="G2077">
        <v>55</v>
      </c>
      <c r="H2077">
        <v>19.855500000000003</v>
      </c>
      <c r="I2077">
        <v>55.000000000000028</v>
      </c>
      <c r="J2077" t="s">
        <v>20</v>
      </c>
    </row>
    <row r="2078" spans="1:10" x14ac:dyDescent="0.2">
      <c r="A2078">
        <v>12077</v>
      </c>
      <c r="B2078" t="s">
        <v>7</v>
      </c>
      <c r="C2078" t="s">
        <v>11</v>
      </c>
      <c r="D2078">
        <v>10.74</v>
      </c>
      <c r="E2078">
        <v>6</v>
      </c>
      <c r="F2078" t="s">
        <v>15</v>
      </c>
      <c r="G2078">
        <v>25</v>
      </c>
      <c r="H2078">
        <v>13.425000000000001</v>
      </c>
      <c r="I2078">
        <v>25</v>
      </c>
      <c r="J2078" t="s">
        <v>20</v>
      </c>
    </row>
    <row r="2079" spans="1:10" x14ac:dyDescent="0.2">
      <c r="A2079">
        <v>12078</v>
      </c>
      <c r="B2079" t="s">
        <v>5</v>
      </c>
      <c r="C2079" t="s">
        <v>11</v>
      </c>
      <c r="D2079">
        <v>7.61</v>
      </c>
      <c r="E2079">
        <v>3</v>
      </c>
      <c r="F2079" t="s">
        <v>14</v>
      </c>
      <c r="G2079">
        <v>10</v>
      </c>
      <c r="H2079">
        <v>8.3710000000000004</v>
      </c>
      <c r="I2079">
        <v>10.000000000000009</v>
      </c>
      <c r="J2079" t="s">
        <v>20</v>
      </c>
    </row>
    <row r="2080" spans="1:10" x14ac:dyDescent="0.2">
      <c r="A2080">
        <v>12079</v>
      </c>
      <c r="B2080" t="s">
        <v>5</v>
      </c>
      <c r="C2080" t="s">
        <v>11</v>
      </c>
      <c r="D2080">
        <v>4.24</v>
      </c>
      <c r="E2080">
        <v>6</v>
      </c>
      <c r="F2080" t="s">
        <v>15</v>
      </c>
      <c r="G2080">
        <v>25</v>
      </c>
      <c r="H2080">
        <v>5.3000000000000007</v>
      </c>
      <c r="I2080">
        <v>25</v>
      </c>
      <c r="J2080" t="s">
        <v>20</v>
      </c>
    </row>
    <row r="2081" spans="1:10" x14ac:dyDescent="0.2">
      <c r="A2081">
        <v>12080</v>
      </c>
      <c r="B2081" t="s">
        <v>7</v>
      </c>
      <c r="C2081" t="s">
        <v>11</v>
      </c>
      <c r="D2081">
        <v>13.33</v>
      </c>
      <c r="E2081">
        <v>7</v>
      </c>
      <c r="F2081" t="s">
        <v>15</v>
      </c>
      <c r="G2081">
        <v>25</v>
      </c>
      <c r="H2081">
        <v>16.662500000000001</v>
      </c>
      <c r="I2081">
        <v>25</v>
      </c>
      <c r="J2081" t="s">
        <v>20</v>
      </c>
    </row>
    <row r="2082" spans="1:10" x14ac:dyDescent="0.2">
      <c r="A2082">
        <v>12081</v>
      </c>
      <c r="B2082" t="s">
        <v>8</v>
      </c>
      <c r="C2082" t="s">
        <v>11</v>
      </c>
      <c r="D2082">
        <v>8.8699999999999992</v>
      </c>
      <c r="E2082">
        <v>6</v>
      </c>
      <c r="F2082" t="s">
        <v>15</v>
      </c>
      <c r="G2082">
        <v>25</v>
      </c>
      <c r="H2082">
        <v>11.087499999999999</v>
      </c>
      <c r="I2082">
        <v>25</v>
      </c>
      <c r="J2082" t="s">
        <v>20</v>
      </c>
    </row>
    <row r="2083" spans="1:10" x14ac:dyDescent="0.2">
      <c r="A2083">
        <v>12082</v>
      </c>
      <c r="B2083" t="s">
        <v>7</v>
      </c>
      <c r="C2083" t="s">
        <v>9</v>
      </c>
      <c r="D2083">
        <v>3.71</v>
      </c>
      <c r="E2083">
        <v>10</v>
      </c>
      <c r="F2083" t="s">
        <v>16</v>
      </c>
      <c r="G2083">
        <v>60</v>
      </c>
      <c r="H2083">
        <v>5.9359999999999999</v>
      </c>
      <c r="I2083">
        <v>60.000000000000007</v>
      </c>
      <c r="J2083" t="s">
        <v>20</v>
      </c>
    </row>
    <row r="2084" spans="1:10" x14ac:dyDescent="0.2">
      <c r="A2084">
        <v>12083</v>
      </c>
      <c r="B2084" t="s">
        <v>8</v>
      </c>
      <c r="C2084" t="s">
        <v>9</v>
      </c>
      <c r="D2084">
        <v>4.4000000000000004</v>
      </c>
      <c r="E2084">
        <v>6</v>
      </c>
      <c r="F2084" t="s">
        <v>15</v>
      </c>
      <c r="G2084">
        <v>30</v>
      </c>
      <c r="H2084">
        <v>5.7200000000000006</v>
      </c>
      <c r="I2084">
        <v>30.000000000000004</v>
      </c>
      <c r="J2084" t="s">
        <v>20</v>
      </c>
    </row>
    <row r="2085" spans="1:10" x14ac:dyDescent="0.2">
      <c r="A2085">
        <v>12084</v>
      </c>
      <c r="B2085" t="s">
        <v>10</v>
      </c>
      <c r="C2085" t="s">
        <v>9</v>
      </c>
      <c r="D2085">
        <v>12.15</v>
      </c>
      <c r="E2085">
        <v>1</v>
      </c>
      <c r="F2085" t="s">
        <v>14</v>
      </c>
      <c r="G2085">
        <v>15</v>
      </c>
      <c r="H2085">
        <v>13.9725</v>
      </c>
      <c r="I2085">
        <v>14.999999999999991</v>
      </c>
      <c r="J2085" t="s">
        <v>20</v>
      </c>
    </row>
    <row r="2086" spans="1:10" x14ac:dyDescent="0.2">
      <c r="A2086">
        <v>12085</v>
      </c>
      <c r="B2086" t="s">
        <v>8</v>
      </c>
      <c r="C2086" t="s">
        <v>6</v>
      </c>
      <c r="D2086">
        <v>1.1399999999999999</v>
      </c>
      <c r="E2086">
        <v>3</v>
      </c>
      <c r="F2086" t="s">
        <v>14</v>
      </c>
      <c r="G2086">
        <v>12</v>
      </c>
      <c r="H2086">
        <v>1.2767999999999999</v>
      </c>
      <c r="I2086">
        <v>12.000000000000011</v>
      </c>
      <c r="J2086" t="s">
        <v>20</v>
      </c>
    </row>
    <row r="2087" spans="1:10" x14ac:dyDescent="0.2">
      <c r="A2087">
        <v>12086</v>
      </c>
      <c r="B2087" t="s">
        <v>8</v>
      </c>
      <c r="C2087" t="s">
        <v>11</v>
      </c>
      <c r="D2087">
        <v>14.89</v>
      </c>
      <c r="E2087">
        <v>7</v>
      </c>
      <c r="F2087" t="s">
        <v>15</v>
      </c>
      <c r="G2087">
        <v>25</v>
      </c>
      <c r="H2087">
        <v>18.612500000000001</v>
      </c>
      <c r="I2087">
        <v>25</v>
      </c>
      <c r="J2087" t="s">
        <v>20</v>
      </c>
    </row>
    <row r="2088" spans="1:10" x14ac:dyDescent="0.2">
      <c r="A2088">
        <v>12087</v>
      </c>
      <c r="B2088" t="s">
        <v>10</v>
      </c>
      <c r="C2088" t="s">
        <v>6</v>
      </c>
      <c r="D2088">
        <v>2.39</v>
      </c>
      <c r="E2088">
        <v>4</v>
      </c>
      <c r="F2088" t="s">
        <v>15</v>
      </c>
      <c r="G2088">
        <v>28</v>
      </c>
      <c r="H2088">
        <v>3.0592000000000001</v>
      </c>
      <c r="I2088">
        <v>28.000000000000004</v>
      </c>
      <c r="J2088" t="s">
        <v>20</v>
      </c>
    </row>
    <row r="2089" spans="1:10" x14ac:dyDescent="0.2">
      <c r="A2089">
        <v>12088</v>
      </c>
      <c r="B2089" t="s">
        <v>8</v>
      </c>
      <c r="C2089" t="s">
        <v>11</v>
      </c>
      <c r="D2089">
        <v>12.04</v>
      </c>
      <c r="E2089">
        <v>4</v>
      </c>
      <c r="F2089" t="s">
        <v>15</v>
      </c>
      <c r="G2089">
        <v>25</v>
      </c>
      <c r="H2089">
        <v>15.049999999999999</v>
      </c>
      <c r="I2089">
        <v>25</v>
      </c>
      <c r="J2089" t="s">
        <v>20</v>
      </c>
    </row>
    <row r="2090" spans="1:10" x14ac:dyDescent="0.2">
      <c r="A2090">
        <v>12089</v>
      </c>
      <c r="B2090" t="s">
        <v>7</v>
      </c>
      <c r="C2090" t="s">
        <v>9</v>
      </c>
      <c r="D2090">
        <v>6.22</v>
      </c>
      <c r="E2090">
        <v>7</v>
      </c>
      <c r="F2090" t="s">
        <v>15</v>
      </c>
      <c r="G2090">
        <v>30</v>
      </c>
      <c r="H2090">
        <v>8.0860000000000003</v>
      </c>
      <c r="I2090">
        <v>30.000000000000004</v>
      </c>
      <c r="J2090" t="s">
        <v>20</v>
      </c>
    </row>
    <row r="2091" spans="1:10" x14ac:dyDescent="0.2">
      <c r="A2091">
        <v>12090</v>
      </c>
      <c r="B2091" t="s">
        <v>8</v>
      </c>
      <c r="C2091" t="s">
        <v>6</v>
      </c>
      <c r="D2091">
        <v>7.64</v>
      </c>
      <c r="E2091">
        <v>9</v>
      </c>
      <c r="F2091" t="s">
        <v>16</v>
      </c>
      <c r="G2091">
        <v>55</v>
      </c>
      <c r="H2091">
        <v>11.842000000000001</v>
      </c>
      <c r="I2091">
        <v>55.000000000000007</v>
      </c>
      <c r="J2091" t="s">
        <v>20</v>
      </c>
    </row>
    <row r="2092" spans="1:10" x14ac:dyDescent="0.2">
      <c r="A2092">
        <v>12091</v>
      </c>
      <c r="B2092" t="s">
        <v>10</v>
      </c>
      <c r="C2092" t="s">
        <v>9</v>
      </c>
      <c r="D2092">
        <v>13.27</v>
      </c>
      <c r="E2092">
        <v>2</v>
      </c>
      <c r="F2092" t="s">
        <v>14</v>
      </c>
      <c r="G2092">
        <v>15</v>
      </c>
      <c r="H2092">
        <v>15.260499999999999</v>
      </c>
      <c r="I2092">
        <v>14.999999999999991</v>
      </c>
      <c r="J2092" t="s">
        <v>20</v>
      </c>
    </row>
    <row r="2093" spans="1:10" x14ac:dyDescent="0.2">
      <c r="A2093">
        <v>12092</v>
      </c>
      <c r="B2093" t="s">
        <v>7</v>
      </c>
      <c r="C2093" t="s">
        <v>11</v>
      </c>
      <c r="D2093">
        <v>6.49</v>
      </c>
      <c r="E2093">
        <v>9</v>
      </c>
      <c r="F2093" t="s">
        <v>16</v>
      </c>
      <c r="G2093">
        <v>50</v>
      </c>
      <c r="H2093">
        <v>9.7349999999999994</v>
      </c>
      <c r="I2093">
        <v>49.999999999999979</v>
      </c>
      <c r="J2093" t="s">
        <v>20</v>
      </c>
    </row>
    <row r="2094" spans="1:10" x14ac:dyDescent="0.2">
      <c r="A2094">
        <v>12093</v>
      </c>
      <c r="B2094" t="s">
        <v>10</v>
      </c>
      <c r="C2094" t="s">
        <v>11</v>
      </c>
      <c r="D2094">
        <v>8.2899999999999991</v>
      </c>
      <c r="E2094">
        <v>3</v>
      </c>
      <c r="F2094" t="s">
        <v>14</v>
      </c>
      <c r="G2094">
        <v>10</v>
      </c>
      <c r="H2094">
        <v>9.1189999999999998</v>
      </c>
      <c r="I2094">
        <v>10.000000000000009</v>
      </c>
      <c r="J2094" t="s">
        <v>20</v>
      </c>
    </row>
    <row r="2095" spans="1:10" x14ac:dyDescent="0.2">
      <c r="A2095">
        <v>12094</v>
      </c>
      <c r="B2095" t="s">
        <v>10</v>
      </c>
      <c r="C2095" t="s">
        <v>11</v>
      </c>
      <c r="D2095">
        <v>1.21</v>
      </c>
      <c r="E2095">
        <v>6</v>
      </c>
      <c r="F2095" t="s">
        <v>15</v>
      </c>
      <c r="G2095">
        <v>25</v>
      </c>
      <c r="H2095">
        <v>1.5125</v>
      </c>
      <c r="I2095">
        <v>25</v>
      </c>
      <c r="J2095" t="s">
        <v>20</v>
      </c>
    </row>
    <row r="2096" spans="1:10" x14ac:dyDescent="0.2">
      <c r="A2096">
        <v>12095</v>
      </c>
      <c r="B2096" t="s">
        <v>5</v>
      </c>
      <c r="C2096" t="s">
        <v>9</v>
      </c>
      <c r="D2096">
        <v>0.53</v>
      </c>
      <c r="E2096">
        <v>4</v>
      </c>
      <c r="F2096" t="s">
        <v>15</v>
      </c>
      <c r="G2096">
        <v>30</v>
      </c>
      <c r="H2096">
        <v>0.68900000000000006</v>
      </c>
      <c r="I2096">
        <v>30.000000000000004</v>
      </c>
      <c r="J2096" t="s">
        <v>20</v>
      </c>
    </row>
    <row r="2097" spans="1:10" x14ac:dyDescent="0.2">
      <c r="A2097">
        <v>12096</v>
      </c>
      <c r="B2097" t="s">
        <v>5</v>
      </c>
      <c r="C2097" t="s">
        <v>11</v>
      </c>
      <c r="D2097">
        <v>4.05</v>
      </c>
      <c r="E2097">
        <v>1</v>
      </c>
      <c r="F2097" t="s">
        <v>14</v>
      </c>
      <c r="G2097">
        <v>10</v>
      </c>
      <c r="H2097">
        <v>4.4550000000000001</v>
      </c>
      <c r="I2097">
        <v>10.000000000000009</v>
      </c>
      <c r="J2097" t="s">
        <v>20</v>
      </c>
    </row>
    <row r="2098" spans="1:10" x14ac:dyDescent="0.2">
      <c r="A2098">
        <v>12097</v>
      </c>
      <c r="B2098" t="s">
        <v>10</v>
      </c>
      <c r="C2098" t="s">
        <v>9</v>
      </c>
      <c r="D2098">
        <v>10.37</v>
      </c>
      <c r="E2098">
        <v>9</v>
      </c>
      <c r="F2098" t="s">
        <v>16</v>
      </c>
      <c r="G2098">
        <v>60</v>
      </c>
      <c r="H2098">
        <v>16.591999999999999</v>
      </c>
      <c r="I2098">
        <v>60.000000000000007</v>
      </c>
      <c r="J2098" t="s">
        <v>20</v>
      </c>
    </row>
    <row r="2099" spans="1:10" x14ac:dyDescent="0.2">
      <c r="A2099">
        <v>12098</v>
      </c>
      <c r="B2099" t="s">
        <v>10</v>
      </c>
      <c r="C2099" t="s">
        <v>6</v>
      </c>
      <c r="D2099">
        <v>2.2599999999999998</v>
      </c>
      <c r="E2099">
        <v>6</v>
      </c>
      <c r="F2099" t="s">
        <v>15</v>
      </c>
      <c r="G2099">
        <v>28</v>
      </c>
      <c r="H2099">
        <v>2.8927999999999998</v>
      </c>
      <c r="I2099">
        <v>28.000000000000004</v>
      </c>
      <c r="J2099" t="s">
        <v>20</v>
      </c>
    </row>
    <row r="2100" spans="1:10" x14ac:dyDescent="0.2">
      <c r="A2100">
        <v>12099</v>
      </c>
      <c r="B2100" t="s">
        <v>10</v>
      </c>
      <c r="C2100" t="s">
        <v>11</v>
      </c>
      <c r="D2100">
        <v>2.15</v>
      </c>
      <c r="E2100">
        <v>8</v>
      </c>
      <c r="F2100" t="s">
        <v>16</v>
      </c>
      <c r="G2100">
        <v>50</v>
      </c>
      <c r="H2100">
        <v>3.2249999999999996</v>
      </c>
      <c r="I2100">
        <v>50</v>
      </c>
      <c r="J2100" t="s">
        <v>20</v>
      </c>
    </row>
    <row r="2101" spans="1:10" x14ac:dyDescent="0.2">
      <c r="A2101">
        <v>12100</v>
      </c>
      <c r="B2101" t="s">
        <v>5</v>
      </c>
      <c r="C2101" t="s">
        <v>11</v>
      </c>
      <c r="D2101">
        <v>6.46</v>
      </c>
      <c r="E2101">
        <v>2</v>
      </c>
      <c r="F2101" t="s">
        <v>14</v>
      </c>
      <c r="G2101">
        <v>10</v>
      </c>
      <c r="H2101">
        <v>7.1060000000000008</v>
      </c>
      <c r="I2101">
        <v>10.000000000000009</v>
      </c>
      <c r="J2101" t="s">
        <v>20</v>
      </c>
    </row>
    <row r="2102" spans="1:10" x14ac:dyDescent="0.2">
      <c r="A2102">
        <v>12101</v>
      </c>
      <c r="B2102" t="s">
        <v>5</v>
      </c>
      <c r="C2102" t="s">
        <v>11</v>
      </c>
      <c r="D2102">
        <v>9.89</v>
      </c>
      <c r="E2102">
        <v>7</v>
      </c>
      <c r="F2102" t="s">
        <v>15</v>
      </c>
      <c r="G2102">
        <v>25</v>
      </c>
      <c r="H2102">
        <v>12.362500000000001</v>
      </c>
      <c r="I2102">
        <v>25</v>
      </c>
      <c r="J2102" t="s">
        <v>20</v>
      </c>
    </row>
    <row r="2103" spans="1:10" x14ac:dyDescent="0.2">
      <c r="A2103">
        <v>12102</v>
      </c>
      <c r="B2103" t="s">
        <v>8</v>
      </c>
      <c r="C2103" t="s">
        <v>6</v>
      </c>
      <c r="D2103">
        <v>10.83</v>
      </c>
      <c r="E2103">
        <v>6</v>
      </c>
      <c r="F2103" t="s">
        <v>15</v>
      </c>
      <c r="G2103">
        <v>28</v>
      </c>
      <c r="H2103">
        <v>13.862400000000001</v>
      </c>
      <c r="I2103">
        <v>28.000000000000004</v>
      </c>
      <c r="J2103" t="s">
        <v>20</v>
      </c>
    </row>
    <row r="2104" spans="1:10" x14ac:dyDescent="0.2">
      <c r="A2104">
        <v>12103</v>
      </c>
      <c r="B2104" t="s">
        <v>8</v>
      </c>
      <c r="C2104" t="s">
        <v>11</v>
      </c>
      <c r="D2104">
        <v>3.09</v>
      </c>
      <c r="E2104">
        <v>2</v>
      </c>
      <c r="F2104" t="s">
        <v>14</v>
      </c>
      <c r="G2104">
        <v>10</v>
      </c>
      <c r="H2104">
        <v>3.399</v>
      </c>
      <c r="I2104">
        <v>10.000000000000009</v>
      </c>
      <c r="J2104" t="s">
        <v>20</v>
      </c>
    </row>
    <row r="2105" spans="1:10" x14ac:dyDescent="0.2">
      <c r="A2105">
        <v>12104</v>
      </c>
      <c r="B2105" t="s">
        <v>10</v>
      </c>
      <c r="C2105" t="s">
        <v>9</v>
      </c>
      <c r="D2105">
        <v>1.65</v>
      </c>
      <c r="E2105">
        <v>2</v>
      </c>
      <c r="F2105" t="s">
        <v>14</v>
      </c>
      <c r="G2105">
        <v>15</v>
      </c>
      <c r="H2105">
        <v>1.8974999999999997</v>
      </c>
      <c r="I2105">
        <v>14.999999999999991</v>
      </c>
      <c r="J2105" t="s">
        <v>20</v>
      </c>
    </row>
    <row r="2106" spans="1:10" x14ac:dyDescent="0.2">
      <c r="A2106">
        <v>12105</v>
      </c>
      <c r="B2106" t="s">
        <v>7</v>
      </c>
      <c r="C2106" t="s">
        <v>9</v>
      </c>
      <c r="D2106">
        <v>14.14</v>
      </c>
      <c r="E2106">
        <v>4</v>
      </c>
      <c r="F2106" t="s">
        <v>15</v>
      </c>
      <c r="G2106">
        <v>30</v>
      </c>
      <c r="H2106">
        <v>18.382000000000001</v>
      </c>
      <c r="I2106">
        <v>30.000000000000004</v>
      </c>
      <c r="J2106" t="s">
        <v>20</v>
      </c>
    </row>
    <row r="2107" spans="1:10" x14ac:dyDescent="0.2">
      <c r="A2107">
        <v>12106</v>
      </c>
      <c r="B2107" t="s">
        <v>7</v>
      </c>
      <c r="C2107" t="s">
        <v>11</v>
      </c>
      <c r="D2107">
        <v>4.28</v>
      </c>
      <c r="E2107">
        <v>4</v>
      </c>
      <c r="F2107" t="s">
        <v>15</v>
      </c>
      <c r="G2107">
        <v>25</v>
      </c>
      <c r="H2107">
        <v>5.3500000000000005</v>
      </c>
      <c r="I2107">
        <v>25</v>
      </c>
      <c r="J2107" t="s">
        <v>20</v>
      </c>
    </row>
    <row r="2108" spans="1:10" x14ac:dyDescent="0.2">
      <c r="A2108">
        <v>12107</v>
      </c>
      <c r="B2108" t="s">
        <v>5</v>
      </c>
      <c r="C2108" t="s">
        <v>11</v>
      </c>
      <c r="D2108">
        <v>12.87</v>
      </c>
      <c r="E2108">
        <v>3</v>
      </c>
      <c r="F2108" t="s">
        <v>14</v>
      </c>
      <c r="G2108">
        <v>10</v>
      </c>
      <c r="H2108">
        <v>14.157</v>
      </c>
      <c r="I2108">
        <v>10.000000000000009</v>
      </c>
      <c r="J2108" t="s">
        <v>20</v>
      </c>
    </row>
    <row r="2109" spans="1:10" x14ac:dyDescent="0.2">
      <c r="A2109">
        <v>12108</v>
      </c>
      <c r="B2109" t="s">
        <v>5</v>
      </c>
      <c r="C2109" t="s">
        <v>6</v>
      </c>
      <c r="D2109">
        <v>13.02</v>
      </c>
      <c r="E2109">
        <v>8</v>
      </c>
      <c r="F2109" t="s">
        <v>16</v>
      </c>
      <c r="G2109">
        <v>55</v>
      </c>
      <c r="H2109">
        <v>20.181000000000001</v>
      </c>
      <c r="I2109">
        <v>55.000000000000007</v>
      </c>
      <c r="J2109" t="s">
        <v>20</v>
      </c>
    </row>
    <row r="2110" spans="1:10" x14ac:dyDescent="0.2">
      <c r="A2110">
        <v>12109</v>
      </c>
      <c r="B2110" t="s">
        <v>5</v>
      </c>
      <c r="C2110" t="s">
        <v>6</v>
      </c>
      <c r="D2110">
        <v>11.7</v>
      </c>
      <c r="E2110">
        <v>7</v>
      </c>
      <c r="F2110" t="s">
        <v>15</v>
      </c>
      <c r="G2110">
        <v>28</v>
      </c>
      <c r="H2110">
        <v>14.975999999999999</v>
      </c>
      <c r="I2110">
        <v>28.000000000000004</v>
      </c>
      <c r="J2110" t="s">
        <v>20</v>
      </c>
    </row>
    <row r="2111" spans="1:10" x14ac:dyDescent="0.2">
      <c r="A2111">
        <v>12110</v>
      </c>
      <c r="B2111" t="s">
        <v>10</v>
      </c>
      <c r="C2111" t="s">
        <v>6</v>
      </c>
      <c r="D2111">
        <v>2.95</v>
      </c>
      <c r="E2111">
        <v>2</v>
      </c>
      <c r="F2111" t="s">
        <v>14</v>
      </c>
      <c r="G2111">
        <v>12</v>
      </c>
      <c r="H2111">
        <v>3.3040000000000007</v>
      </c>
      <c r="I2111">
        <v>12.000000000000011</v>
      </c>
      <c r="J2111" t="s">
        <v>20</v>
      </c>
    </row>
    <row r="2112" spans="1:10" x14ac:dyDescent="0.2">
      <c r="A2112">
        <v>12111</v>
      </c>
      <c r="B2112" t="s">
        <v>7</v>
      </c>
      <c r="C2112" t="s">
        <v>11</v>
      </c>
      <c r="D2112">
        <v>12.42</v>
      </c>
      <c r="E2112">
        <v>3</v>
      </c>
      <c r="F2112" t="s">
        <v>14</v>
      </c>
      <c r="G2112">
        <v>10</v>
      </c>
      <c r="H2112">
        <v>13.662000000000001</v>
      </c>
      <c r="I2112">
        <v>10.000000000000009</v>
      </c>
      <c r="J2112" t="s">
        <v>20</v>
      </c>
    </row>
    <row r="2113" spans="1:10" x14ac:dyDescent="0.2">
      <c r="A2113">
        <v>12112</v>
      </c>
      <c r="B2113" t="s">
        <v>8</v>
      </c>
      <c r="C2113" t="s">
        <v>6</v>
      </c>
      <c r="D2113">
        <v>11.65</v>
      </c>
      <c r="E2113">
        <v>10</v>
      </c>
      <c r="F2113" t="s">
        <v>16</v>
      </c>
      <c r="G2113">
        <v>55</v>
      </c>
      <c r="H2113">
        <v>18.057500000000001</v>
      </c>
      <c r="I2113">
        <v>55.000000000000007</v>
      </c>
      <c r="J2113" t="s">
        <v>20</v>
      </c>
    </row>
    <row r="2114" spans="1:10" x14ac:dyDescent="0.2">
      <c r="A2114">
        <v>12113</v>
      </c>
      <c r="B2114" t="s">
        <v>10</v>
      </c>
      <c r="C2114" t="s">
        <v>6</v>
      </c>
      <c r="D2114">
        <v>9.15</v>
      </c>
      <c r="E2114">
        <v>9</v>
      </c>
      <c r="F2114" t="s">
        <v>16</v>
      </c>
      <c r="G2114">
        <v>55</v>
      </c>
      <c r="H2114">
        <v>14.182500000000001</v>
      </c>
      <c r="I2114">
        <v>55.000000000000007</v>
      </c>
      <c r="J2114" t="s">
        <v>20</v>
      </c>
    </row>
    <row r="2115" spans="1:10" x14ac:dyDescent="0.2">
      <c r="A2115">
        <v>12114</v>
      </c>
      <c r="B2115" t="s">
        <v>8</v>
      </c>
      <c r="C2115" t="s">
        <v>9</v>
      </c>
      <c r="D2115">
        <v>5.39</v>
      </c>
      <c r="E2115">
        <v>5</v>
      </c>
      <c r="F2115" t="s">
        <v>15</v>
      </c>
      <c r="G2115">
        <v>30</v>
      </c>
      <c r="H2115">
        <v>7.0069999999999997</v>
      </c>
      <c r="I2115">
        <v>30.000000000000004</v>
      </c>
      <c r="J2115" t="s">
        <v>20</v>
      </c>
    </row>
    <row r="2116" spans="1:10" x14ac:dyDescent="0.2">
      <c r="A2116">
        <v>12115</v>
      </c>
      <c r="B2116" t="s">
        <v>8</v>
      </c>
      <c r="C2116" t="s">
        <v>6</v>
      </c>
      <c r="D2116">
        <v>4.3099999999999996</v>
      </c>
      <c r="E2116">
        <v>2</v>
      </c>
      <c r="F2116" t="s">
        <v>14</v>
      </c>
      <c r="G2116">
        <v>12</v>
      </c>
      <c r="H2116">
        <v>4.8272000000000004</v>
      </c>
      <c r="I2116">
        <v>12.000000000000011</v>
      </c>
      <c r="J2116" t="s">
        <v>20</v>
      </c>
    </row>
    <row r="2117" spans="1:10" x14ac:dyDescent="0.2">
      <c r="A2117">
        <v>12116</v>
      </c>
      <c r="B2117" t="s">
        <v>10</v>
      </c>
      <c r="C2117" t="s">
        <v>9</v>
      </c>
      <c r="D2117">
        <v>2.27</v>
      </c>
      <c r="E2117">
        <v>3</v>
      </c>
      <c r="F2117" t="s">
        <v>14</v>
      </c>
      <c r="G2117">
        <v>15</v>
      </c>
      <c r="H2117">
        <v>2.6104999999999996</v>
      </c>
      <c r="I2117">
        <v>14.999999999999991</v>
      </c>
      <c r="J2117" t="s">
        <v>20</v>
      </c>
    </row>
    <row r="2118" spans="1:10" x14ac:dyDescent="0.2">
      <c r="A2118">
        <v>12117</v>
      </c>
      <c r="B2118" t="s">
        <v>8</v>
      </c>
      <c r="C2118" t="s">
        <v>9</v>
      </c>
      <c r="D2118">
        <v>7.89</v>
      </c>
      <c r="E2118">
        <v>8</v>
      </c>
      <c r="F2118" t="s">
        <v>16</v>
      </c>
      <c r="G2118">
        <v>60</v>
      </c>
      <c r="H2118">
        <v>12.624000000000001</v>
      </c>
      <c r="I2118">
        <v>60.000000000000007</v>
      </c>
      <c r="J2118" t="s">
        <v>20</v>
      </c>
    </row>
    <row r="2119" spans="1:10" x14ac:dyDescent="0.2">
      <c r="A2119">
        <v>12118</v>
      </c>
      <c r="B2119" t="s">
        <v>7</v>
      </c>
      <c r="C2119" t="s">
        <v>6</v>
      </c>
      <c r="D2119">
        <v>8.99</v>
      </c>
      <c r="E2119">
        <v>4</v>
      </c>
      <c r="F2119" t="s">
        <v>15</v>
      </c>
      <c r="G2119">
        <v>28</v>
      </c>
      <c r="H2119">
        <v>11.507200000000001</v>
      </c>
      <c r="I2119">
        <v>28.000000000000004</v>
      </c>
      <c r="J2119" t="s">
        <v>20</v>
      </c>
    </row>
    <row r="2120" spans="1:10" x14ac:dyDescent="0.2">
      <c r="A2120">
        <v>12119</v>
      </c>
      <c r="B2120" t="s">
        <v>8</v>
      </c>
      <c r="C2120" t="s">
        <v>9</v>
      </c>
      <c r="D2120">
        <v>5.71</v>
      </c>
      <c r="E2120">
        <v>2</v>
      </c>
      <c r="F2120" t="s">
        <v>14</v>
      </c>
      <c r="G2120">
        <v>15</v>
      </c>
      <c r="H2120">
        <v>6.5664999999999996</v>
      </c>
      <c r="I2120">
        <v>14.999999999999991</v>
      </c>
      <c r="J2120" t="s">
        <v>20</v>
      </c>
    </row>
    <row r="2121" spans="1:10" x14ac:dyDescent="0.2">
      <c r="A2121">
        <v>12120</v>
      </c>
      <c r="B2121" t="s">
        <v>7</v>
      </c>
      <c r="C2121" t="s">
        <v>11</v>
      </c>
      <c r="D2121">
        <v>7.39</v>
      </c>
      <c r="E2121">
        <v>2</v>
      </c>
      <c r="F2121" t="s">
        <v>14</v>
      </c>
      <c r="G2121">
        <v>10</v>
      </c>
      <c r="H2121">
        <v>8.1289999999999996</v>
      </c>
      <c r="I2121">
        <v>10.000000000000009</v>
      </c>
      <c r="J2121" t="s">
        <v>20</v>
      </c>
    </row>
    <row r="2122" spans="1:10" x14ac:dyDescent="0.2">
      <c r="A2122">
        <v>12121</v>
      </c>
      <c r="B2122" t="s">
        <v>7</v>
      </c>
      <c r="C2122" t="s">
        <v>11</v>
      </c>
      <c r="D2122">
        <v>5.77</v>
      </c>
      <c r="E2122">
        <v>6</v>
      </c>
      <c r="F2122" t="s">
        <v>15</v>
      </c>
      <c r="G2122">
        <v>25</v>
      </c>
      <c r="H2122">
        <v>7.2124999999999995</v>
      </c>
      <c r="I2122">
        <v>25</v>
      </c>
      <c r="J2122" t="s">
        <v>20</v>
      </c>
    </row>
    <row r="2123" spans="1:10" x14ac:dyDescent="0.2">
      <c r="A2123">
        <v>12122</v>
      </c>
      <c r="B2123" t="s">
        <v>7</v>
      </c>
      <c r="C2123" t="s">
        <v>6</v>
      </c>
      <c r="D2123">
        <v>9.7899999999999991</v>
      </c>
      <c r="E2123">
        <v>8</v>
      </c>
      <c r="F2123" t="s">
        <v>16</v>
      </c>
      <c r="G2123">
        <v>55</v>
      </c>
      <c r="H2123">
        <v>15.174499999999998</v>
      </c>
      <c r="I2123">
        <v>55.000000000000007</v>
      </c>
      <c r="J2123" t="s">
        <v>20</v>
      </c>
    </row>
    <row r="2124" spans="1:10" x14ac:dyDescent="0.2">
      <c r="A2124">
        <v>12123</v>
      </c>
      <c r="B2124" t="s">
        <v>5</v>
      </c>
      <c r="C2124" t="s">
        <v>11</v>
      </c>
      <c r="D2124">
        <v>13.57</v>
      </c>
      <c r="E2124">
        <v>7</v>
      </c>
      <c r="F2124" t="s">
        <v>15</v>
      </c>
      <c r="G2124">
        <v>25</v>
      </c>
      <c r="H2124">
        <v>16.962499999999999</v>
      </c>
      <c r="I2124">
        <v>24.999999999999979</v>
      </c>
      <c r="J2124" t="s">
        <v>20</v>
      </c>
    </row>
    <row r="2125" spans="1:10" x14ac:dyDescent="0.2">
      <c r="A2125">
        <v>12124</v>
      </c>
      <c r="B2125" t="s">
        <v>8</v>
      </c>
      <c r="C2125" t="s">
        <v>9</v>
      </c>
      <c r="D2125">
        <v>2.88</v>
      </c>
      <c r="E2125">
        <v>4</v>
      </c>
      <c r="F2125" t="s">
        <v>15</v>
      </c>
      <c r="G2125">
        <v>30</v>
      </c>
      <c r="H2125">
        <v>3.7439999999999998</v>
      </c>
      <c r="I2125">
        <v>30.000000000000004</v>
      </c>
      <c r="J2125" t="s">
        <v>20</v>
      </c>
    </row>
    <row r="2126" spans="1:10" x14ac:dyDescent="0.2">
      <c r="A2126">
        <v>12125</v>
      </c>
      <c r="B2126" t="s">
        <v>10</v>
      </c>
      <c r="C2126" t="s">
        <v>11</v>
      </c>
      <c r="D2126">
        <v>6.03</v>
      </c>
      <c r="E2126">
        <v>2</v>
      </c>
      <c r="F2126" t="s">
        <v>14</v>
      </c>
      <c r="G2126">
        <v>10</v>
      </c>
      <c r="H2126">
        <v>6.6330000000000009</v>
      </c>
      <c r="I2126">
        <v>10.000000000000009</v>
      </c>
      <c r="J2126" t="s">
        <v>20</v>
      </c>
    </row>
    <row r="2127" spans="1:10" x14ac:dyDescent="0.2">
      <c r="A2127">
        <v>12126</v>
      </c>
      <c r="B2127" t="s">
        <v>10</v>
      </c>
      <c r="C2127" t="s">
        <v>6</v>
      </c>
      <c r="D2127">
        <v>2.54</v>
      </c>
      <c r="E2127">
        <v>9</v>
      </c>
      <c r="F2127" t="s">
        <v>16</v>
      </c>
      <c r="G2127">
        <v>55</v>
      </c>
      <c r="H2127">
        <v>3.9370000000000003</v>
      </c>
      <c r="I2127">
        <v>55.000000000000007</v>
      </c>
      <c r="J2127" t="s">
        <v>20</v>
      </c>
    </row>
    <row r="2128" spans="1:10" x14ac:dyDescent="0.2">
      <c r="A2128">
        <v>12127</v>
      </c>
      <c r="B2128" t="s">
        <v>8</v>
      </c>
      <c r="C2128" t="s">
        <v>6</v>
      </c>
      <c r="D2128">
        <v>9.56</v>
      </c>
      <c r="E2128">
        <v>4</v>
      </c>
      <c r="F2128" t="s">
        <v>15</v>
      </c>
      <c r="G2128">
        <v>28</v>
      </c>
      <c r="H2128">
        <v>12.236800000000001</v>
      </c>
      <c r="I2128">
        <v>28.000000000000004</v>
      </c>
      <c r="J2128" t="s">
        <v>20</v>
      </c>
    </row>
    <row r="2129" spans="1:10" x14ac:dyDescent="0.2">
      <c r="A2129">
        <v>12128</v>
      </c>
      <c r="B2129" t="s">
        <v>5</v>
      </c>
      <c r="C2129" t="s">
        <v>9</v>
      </c>
      <c r="D2129">
        <v>11.07</v>
      </c>
      <c r="E2129">
        <v>9</v>
      </c>
      <c r="F2129" t="s">
        <v>16</v>
      </c>
      <c r="G2129">
        <v>60</v>
      </c>
      <c r="H2129">
        <v>17.712</v>
      </c>
      <c r="I2129">
        <v>59.999999999999986</v>
      </c>
      <c r="J2129" t="s">
        <v>20</v>
      </c>
    </row>
    <row r="2130" spans="1:10" x14ac:dyDescent="0.2">
      <c r="A2130">
        <v>12129</v>
      </c>
      <c r="B2130" t="s">
        <v>5</v>
      </c>
      <c r="C2130" t="s">
        <v>6</v>
      </c>
      <c r="D2130">
        <v>14.01</v>
      </c>
      <c r="E2130">
        <v>5</v>
      </c>
      <c r="F2130" t="s">
        <v>15</v>
      </c>
      <c r="G2130">
        <v>28</v>
      </c>
      <c r="H2130">
        <v>17.9328</v>
      </c>
      <c r="I2130">
        <v>28.000000000000004</v>
      </c>
      <c r="J2130" t="s">
        <v>20</v>
      </c>
    </row>
    <row r="2131" spans="1:10" x14ac:dyDescent="0.2">
      <c r="A2131">
        <v>12130</v>
      </c>
      <c r="B2131" t="s">
        <v>7</v>
      </c>
      <c r="C2131" t="s">
        <v>11</v>
      </c>
      <c r="D2131">
        <v>4.54</v>
      </c>
      <c r="E2131">
        <v>7</v>
      </c>
      <c r="F2131" t="s">
        <v>15</v>
      </c>
      <c r="G2131">
        <v>25</v>
      </c>
      <c r="H2131">
        <v>5.6749999999999998</v>
      </c>
      <c r="I2131">
        <v>25</v>
      </c>
      <c r="J2131" t="s">
        <v>20</v>
      </c>
    </row>
    <row r="2132" spans="1:10" x14ac:dyDescent="0.2">
      <c r="A2132">
        <v>12131</v>
      </c>
      <c r="B2132" t="s">
        <v>8</v>
      </c>
      <c r="C2132" t="s">
        <v>6</v>
      </c>
      <c r="D2132">
        <v>14.28</v>
      </c>
      <c r="E2132">
        <v>5</v>
      </c>
      <c r="F2132" t="s">
        <v>15</v>
      </c>
      <c r="G2132">
        <v>28</v>
      </c>
      <c r="H2132">
        <v>18.278400000000001</v>
      </c>
      <c r="I2132">
        <v>28.000000000000025</v>
      </c>
      <c r="J2132" t="s">
        <v>20</v>
      </c>
    </row>
    <row r="2133" spans="1:10" x14ac:dyDescent="0.2">
      <c r="A2133">
        <v>12132</v>
      </c>
      <c r="B2133" t="s">
        <v>8</v>
      </c>
      <c r="C2133" t="s">
        <v>9</v>
      </c>
      <c r="D2133">
        <v>1.42</v>
      </c>
      <c r="E2133">
        <v>2</v>
      </c>
      <c r="F2133" t="s">
        <v>14</v>
      </c>
      <c r="G2133">
        <v>15</v>
      </c>
      <c r="H2133">
        <v>1.6329999999999998</v>
      </c>
      <c r="I2133">
        <v>14.999999999999991</v>
      </c>
      <c r="J2133" t="s">
        <v>20</v>
      </c>
    </row>
    <row r="2134" spans="1:10" x14ac:dyDescent="0.2">
      <c r="A2134">
        <v>12133</v>
      </c>
      <c r="B2134" t="s">
        <v>10</v>
      </c>
      <c r="C2134" t="s">
        <v>6</v>
      </c>
      <c r="D2134">
        <v>9.24</v>
      </c>
      <c r="E2134">
        <v>6</v>
      </c>
      <c r="F2134" t="s">
        <v>15</v>
      </c>
      <c r="G2134">
        <v>28</v>
      </c>
      <c r="H2134">
        <v>11.827200000000001</v>
      </c>
      <c r="I2134">
        <v>28.000000000000004</v>
      </c>
      <c r="J2134" t="s">
        <v>20</v>
      </c>
    </row>
    <row r="2135" spans="1:10" x14ac:dyDescent="0.2">
      <c r="A2135">
        <v>12134</v>
      </c>
      <c r="B2135" t="s">
        <v>8</v>
      </c>
      <c r="C2135" t="s">
        <v>11</v>
      </c>
      <c r="D2135">
        <v>1.33</v>
      </c>
      <c r="E2135">
        <v>7</v>
      </c>
      <c r="F2135" t="s">
        <v>15</v>
      </c>
      <c r="G2135">
        <v>25</v>
      </c>
      <c r="H2135">
        <v>1.6625000000000001</v>
      </c>
      <c r="I2135">
        <v>25</v>
      </c>
      <c r="J2135" t="s">
        <v>20</v>
      </c>
    </row>
    <row r="2136" spans="1:10" x14ac:dyDescent="0.2">
      <c r="A2136">
        <v>12135</v>
      </c>
      <c r="B2136" t="s">
        <v>5</v>
      </c>
      <c r="C2136" t="s">
        <v>9</v>
      </c>
      <c r="D2136">
        <v>13.46</v>
      </c>
      <c r="E2136">
        <v>6</v>
      </c>
      <c r="F2136" t="s">
        <v>15</v>
      </c>
      <c r="G2136">
        <v>30</v>
      </c>
      <c r="H2136">
        <v>17.498000000000001</v>
      </c>
      <c r="I2136">
        <v>30.000000000000004</v>
      </c>
      <c r="J2136" t="s">
        <v>20</v>
      </c>
    </row>
    <row r="2137" spans="1:10" x14ac:dyDescent="0.2">
      <c r="A2137">
        <v>12136</v>
      </c>
      <c r="B2137" t="s">
        <v>8</v>
      </c>
      <c r="C2137" t="s">
        <v>11</v>
      </c>
      <c r="D2137">
        <v>8.18</v>
      </c>
      <c r="E2137">
        <v>3</v>
      </c>
      <c r="F2137" t="s">
        <v>14</v>
      </c>
      <c r="G2137">
        <v>10</v>
      </c>
      <c r="H2137">
        <v>8.9980000000000011</v>
      </c>
      <c r="I2137">
        <v>10.000000000000009</v>
      </c>
      <c r="J2137" t="s">
        <v>20</v>
      </c>
    </row>
    <row r="2138" spans="1:10" x14ac:dyDescent="0.2">
      <c r="A2138">
        <v>12137</v>
      </c>
      <c r="B2138" t="s">
        <v>10</v>
      </c>
      <c r="C2138" t="s">
        <v>9</v>
      </c>
      <c r="D2138">
        <v>10.210000000000001</v>
      </c>
      <c r="E2138">
        <v>10</v>
      </c>
      <c r="F2138" t="s">
        <v>16</v>
      </c>
      <c r="G2138">
        <v>60</v>
      </c>
      <c r="H2138">
        <v>16.336000000000002</v>
      </c>
      <c r="I2138">
        <v>60.000000000000007</v>
      </c>
      <c r="J2138" t="s">
        <v>20</v>
      </c>
    </row>
    <row r="2139" spans="1:10" x14ac:dyDescent="0.2">
      <c r="A2139">
        <v>12138</v>
      </c>
      <c r="B2139" t="s">
        <v>7</v>
      </c>
      <c r="C2139" t="s">
        <v>6</v>
      </c>
      <c r="D2139">
        <v>12.56</v>
      </c>
      <c r="E2139">
        <v>8</v>
      </c>
      <c r="F2139" t="s">
        <v>16</v>
      </c>
      <c r="G2139">
        <v>55</v>
      </c>
      <c r="H2139">
        <v>19.468</v>
      </c>
      <c r="I2139">
        <v>55.000000000000007</v>
      </c>
      <c r="J2139" t="s">
        <v>20</v>
      </c>
    </row>
    <row r="2140" spans="1:10" x14ac:dyDescent="0.2">
      <c r="A2140">
        <v>12139</v>
      </c>
      <c r="B2140" t="s">
        <v>10</v>
      </c>
      <c r="C2140" t="s">
        <v>9</v>
      </c>
      <c r="D2140">
        <v>2.68</v>
      </c>
      <c r="E2140">
        <v>3</v>
      </c>
      <c r="F2140" t="s">
        <v>14</v>
      </c>
      <c r="G2140">
        <v>15</v>
      </c>
      <c r="H2140">
        <v>3.0819999999999999</v>
      </c>
      <c r="I2140">
        <v>14.999999999999991</v>
      </c>
      <c r="J2140" t="s">
        <v>20</v>
      </c>
    </row>
    <row r="2141" spans="1:10" x14ac:dyDescent="0.2">
      <c r="A2141">
        <v>12140</v>
      </c>
      <c r="B2141" t="s">
        <v>10</v>
      </c>
      <c r="C2141" t="s">
        <v>9</v>
      </c>
      <c r="D2141">
        <v>1.06</v>
      </c>
      <c r="E2141">
        <v>5</v>
      </c>
      <c r="F2141" t="s">
        <v>15</v>
      </c>
      <c r="G2141">
        <v>30</v>
      </c>
      <c r="H2141">
        <v>1.3780000000000001</v>
      </c>
      <c r="I2141">
        <v>30.000000000000004</v>
      </c>
      <c r="J2141" t="s">
        <v>20</v>
      </c>
    </row>
    <row r="2142" spans="1:10" x14ac:dyDescent="0.2">
      <c r="A2142">
        <v>12141</v>
      </c>
      <c r="B2142" t="s">
        <v>7</v>
      </c>
      <c r="C2142" t="s">
        <v>6</v>
      </c>
      <c r="D2142">
        <v>13.24</v>
      </c>
      <c r="E2142">
        <v>9</v>
      </c>
      <c r="F2142" t="s">
        <v>16</v>
      </c>
      <c r="G2142">
        <v>55</v>
      </c>
      <c r="H2142">
        <v>20.522000000000002</v>
      </c>
      <c r="I2142">
        <v>55.000000000000007</v>
      </c>
      <c r="J2142" t="s">
        <v>20</v>
      </c>
    </row>
    <row r="2143" spans="1:10" x14ac:dyDescent="0.2">
      <c r="A2143">
        <v>12142</v>
      </c>
      <c r="B2143" t="s">
        <v>10</v>
      </c>
      <c r="C2143" t="s">
        <v>11</v>
      </c>
      <c r="D2143">
        <v>5.07</v>
      </c>
      <c r="E2143">
        <v>5</v>
      </c>
      <c r="F2143" t="s">
        <v>15</v>
      </c>
      <c r="G2143">
        <v>25</v>
      </c>
      <c r="H2143">
        <v>6.3375000000000004</v>
      </c>
      <c r="I2143">
        <v>25</v>
      </c>
      <c r="J2143" t="s">
        <v>20</v>
      </c>
    </row>
    <row r="2144" spans="1:10" x14ac:dyDescent="0.2">
      <c r="A2144">
        <v>12143</v>
      </c>
      <c r="B2144" t="s">
        <v>10</v>
      </c>
      <c r="C2144" t="s">
        <v>6</v>
      </c>
      <c r="D2144">
        <v>2.37</v>
      </c>
      <c r="E2144">
        <v>7</v>
      </c>
      <c r="F2144" t="s">
        <v>15</v>
      </c>
      <c r="G2144">
        <v>28</v>
      </c>
      <c r="H2144">
        <v>3.0336000000000003</v>
      </c>
      <c r="I2144">
        <v>28.000000000000004</v>
      </c>
      <c r="J2144" t="s">
        <v>20</v>
      </c>
    </row>
    <row r="2145" spans="1:10" x14ac:dyDescent="0.2">
      <c r="A2145">
        <v>12144</v>
      </c>
      <c r="B2145" t="s">
        <v>8</v>
      </c>
      <c r="C2145" t="s">
        <v>9</v>
      </c>
      <c r="D2145">
        <v>7.29</v>
      </c>
      <c r="E2145">
        <v>7</v>
      </c>
      <c r="F2145" t="s">
        <v>15</v>
      </c>
      <c r="G2145">
        <v>30</v>
      </c>
      <c r="H2145">
        <v>9.4770000000000003</v>
      </c>
      <c r="I2145">
        <v>30.000000000000004</v>
      </c>
      <c r="J2145" t="s">
        <v>20</v>
      </c>
    </row>
    <row r="2146" spans="1:10" x14ac:dyDescent="0.2">
      <c r="A2146">
        <v>12145</v>
      </c>
      <c r="B2146" t="s">
        <v>8</v>
      </c>
      <c r="C2146" t="s">
        <v>6</v>
      </c>
      <c r="D2146">
        <v>9.18</v>
      </c>
      <c r="E2146">
        <v>5</v>
      </c>
      <c r="F2146" t="s">
        <v>15</v>
      </c>
      <c r="G2146">
        <v>28</v>
      </c>
      <c r="H2146">
        <v>11.750399999999999</v>
      </c>
      <c r="I2146">
        <v>28.000000000000004</v>
      </c>
      <c r="J2146" t="s">
        <v>20</v>
      </c>
    </row>
    <row r="2147" spans="1:10" x14ac:dyDescent="0.2">
      <c r="A2147">
        <v>12146</v>
      </c>
      <c r="B2147" t="s">
        <v>7</v>
      </c>
      <c r="C2147" t="s">
        <v>9</v>
      </c>
      <c r="D2147">
        <v>0.95</v>
      </c>
      <c r="E2147">
        <v>2</v>
      </c>
      <c r="F2147" t="s">
        <v>14</v>
      </c>
      <c r="G2147">
        <v>15</v>
      </c>
      <c r="H2147">
        <v>1.0924999999999998</v>
      </c>
      <c r="I2147">
        <v>14.999999999999991</v>
      </c>
      <c r="J2147" t="s">
        <v>20</v>
      </c>
    </row>
    <row r="2148" spans="1:10" x14ac:dyDescent="0.2">
      <c r="A2148">
        <v>12147</v>
      </c>
      <c r="B2148" t="s">
        <v>8</v>
      </c>
      <c r="C2148" t="s">
        <v>6</v>
      </c>
      <c r="D2148">
        <v>4.49</v>
      </c>
      <c r="E2148">
        <v>5</v>
      </c>
      <c r="F2148" t="s">
        <v>15</v>
      </c>
      <c r="G2148">
        <v>28</v>
      </c>
      <c r="H2148">
        <v>5.7472000000000003</v>
      </c>
      <c r="I2148">
        <v>28.000000000000004</v>
      </c>
      <c r="J2148" t="s">
        <v>20</v>
      </c>
    </row>
    <row r="2149" spans="1:10" x14ac:dyDescent="0.2">
      <c r="A2149">
        <v>12148</v>
      </c>
      <c r="B2149" t="s">
        <v>8</v>
      </c>
      <c r="C2149" t="s">
        <v>6</v>
      </c>
      <c r="D2149">
        <v>0.98</v>
      </c>
      <c r="E2149">
        <v>7</v>
      </c>
      <c r="F2149" t="s">
        <v>15</v>
      </c>
      <c r="G2149">
        <v>28</v>
      </c>
      <c r="H2149">
        <v>1.2544</v>
      </c>
      <c r="I2149">
        <v>28.000000000000004</v>
      </c>
      <c r="J2149" t="s">
        <v>20</v>
      </c>
    </row>
    <row r="2150" spans="1:10" x14ac:dyDescent="0.2">
      <c r="A2150">
        <v>12149</v>
      </c>
      <c r="B2150" t="s">
        <v>10</v>
      </c>
      <c r="C2150" t="s">
        <v>11</v>
      </c>
      <c r="D2150">
        <v>6.59</v>
      </c>
      <c r="E2150">
        <v>7</v>
      </c>
      <c r="F2150" t="s">
        <v>15</v>
      </c>
      <c r="G2150">
        <v>25</v>
      </c>
      <c r="H2150">
        <v>8.2375000000000007</v>
      </c>
      <c r="I2150">
        <v>25.000000000000021</v>
      </c>
      <c r="J2150" t="s">
        <v>20</v>
      </c>
    </row>
    <row r="2151" spans="1:10" x14ac:dyDescent="0.2">
      <c r="A2151">
        <v>12150</v>
      </c>
      <c r="B2151" t="s">
        <v>5</v>
      </c>
      <c r="C2151" t="s">
        <v>9</v>
      </c>
      <c r="D2151">
        <v>13.48</v>
      </c>
      <c r="E2151">
        <v>4</v>
      </c>
      <c r="F2151" t="s">
        <v>15</v>
      </c>
      <c r="G2151">
        <v>30</v>
      </c>
      <c r="H2151">
        <v>17.524000000000001</v>
      </c>
      <c r="I2151">
        <v>30.000000000000004</v>
      </c>
      <c r="J2151" t="s">
        <v>20</v>
      </c>
    </row>
    <row r="2152" spans="1:10" x14ac:dyDescent="0.2">
      <c r="A2152">
        <v>12151</v>
      </c>
      <c r="B2152" t="s">
        <v>8</v>
      </c>
      <c r="C2152" t="s">
        <v>11</v>
      </c>
      <c r="D2152">
        <v>14.75</v>
      </c>
      <c r="E2152">
        <v>1</v>
      </c>
      <c r="F2152" t="s">
        <v>14</v>
      </c>
      <c r="G2152">
        <v>10</v>
      </c>
      <c r="H2152">
        <v>16.225000000000001</v>
      </c>
      <c r="I2152">
        <v>10.000000000000009</v>
      </c>
      <c r="J2152" t="s">
        <v>20</v>
      </c>
    </row>
    <row r="2153" spans="1:10" x14ac:dyDescent="0.2">
      <c r="A2153">
        <v>12152</v>
      </c>
      <c r="B2153" t="s">
        <v>5</v>
      </c>
      <c r="C2153" t="s">
        <v>9</v>
      </c>
      <c r="D2153">
        <v>9.74</v>
      </c>
      <c r="E2153">
        <v>6</v>
      </c>
      <c r="F2153" t="s">
        <v>15</v>
      </c>
      <c r="G2153">
        <v>30</v>
      </c>
      <c r="H2153">
        <v>12.662000000000001</v>
      </c>
      <c r="I2153">
        <v>30.000000000000004</v>
      </c>
      <c r="J2153" t="s">
        <v>20</v>
      </c>
    </row>
    <row r="2154" spans="1:10" x14ac:dyDescent="0.2">
      <c r="A2154">
        <v>12153</v>
      </c>
      <c r="B2154" t="s">
        <v>8</v>
      </c>
      <c r="C2154" t="s">
        <v>6</v>
      </c>
      <c r="D2154">
        <v>2.84</v>
      </c>
      <c r="E2154">
        <v>3</v>
      </c>
      <c r="F2154" t="s">
        <v>14</v>
      </c>
      <c r="G2154">
        <v>12</v>
      </c>
      <c r="H2154">
        <v>3.1808000000000001</v>
      </c>
      <c r="I2154">
        <v>12.000000000000011</v>
      </c>
      <c r="J2154" t="s">
        <v>20</v>
      </c>
    </row>
    <row r="2155" spans="1:10" x14ac:dyDescent="0.2">
      <c r="A2155">
        <v>12154</v>
      </c>
      <c r="B2155" t="s">
        <v>8</v>
      </c>
      <c r="C2155" t="s">
        <v>9</v>
      </c>
      <c r="D2155">
        <v>13.63</v>
      </c>
      <c r="E2155">
        <v>5</v>
      </c>
      <c r="F2155" t="s">
        <v>15</v>
      </c>
      <c r="G2155">
        <v>30</v>
      </c>
      <c r="H2155">
        <v>17.719000000000001</v>
      </c>
      <c r="I2155">
        <v>30.000000000000004</v>
      </c>
      <c r="J2155" t="s">
        <v>20</v>
      </c>
    </row>
    <row r="2156" spans="1:10" x14ac:dyDescent="0.2">
      <c r="A2156">
        <v>12155</v>
      </c>
      <c r="B2156" t="s">
        <v>7</v>
      </c>
      <c r="C2156" t="s">
        <v>11</v>
      </c>
      <c r="D2156">
        <v>7.99</v>
      </c>
      <c r="E2156">
        <v>4</v>
      </c>
      <c r="F2156" t="s">
        <v>15</v>
      </c>
      <c r="G2156">
        <v>25</v>
      </c>
      <c r="H2156">
        <v>9.9875000000000007</v>
      </c>
      <c r="I2156">
        <v>25</v>
      </c>
      <c r="J2156" t="s">
        <v>20</v>
      </c>
    </row>
    <row r="2157" spans="1:10" x14ac:dyDescent="0.2">
      <c r="A2157">
        <v>12156</v>
      </c>
      <c r="B2157" t="s">
        <v>7</v>
      </c>
      <c r="C2157" t="s">
        <v>11</v>
      </c>
      <c r="D2157">
        <v>2.73</v>
      </c>
      <c r="E2157">
        <v>2</v>
      </c>
      <c r="F2157" t="s">
        <v>14</v>
      </c>
      <c r="G2157">
        <v>10</v>
      </c>
      <c r="H2157">
        <v>3.0030000000000001</v>
      </c>
      <c r="I2157">
        <v>10.000000000000009</v>
      </c>
      <c r="J2157" t="s">
        <v>20</v>
      </c>
    </row>
    <row r="2158" spans="1:10" x14ac:dyDescent="0.2">
      <c r="A2158">
        <v>12157</v>
      </c>
      <c r="B2158" t="s">
        <v>7</v>
      </c>
      <c r="C2158" t="s">
        <v>11</v>
      </c>
      <c r="D2158">
        <v>13.87</v>
      </c>
      <c r="E2158">
        <v>7</v>
      </c>
      <c r="F2158" t="s">
        <v>15</v>
      </c>
      <c r="G2158">
        <v>25</v>
      </c>
      <c r="H2158">
        <v>17.337499999999999</v>
      </c>
      <c r="I2158">
        <v>25</v>
      </c>
      <c r="J2158" t="s">
        <v>20</v>
      </c>
    </row>
    <row r="2159" spans="1:10" x14ac:dyDescent="0.2">
      <c r="A2159">
        <v>12158</v>
      </c>
      <c r="B2159" t="s">
        <v>5</v>
      </c>
      <c r="C2159" t="s">
        <v>9</v>
      </c>
      <c r="D2159">
        <v>11.48</v>
      </c>
      <c r="E2159">
        <v>5</v>
      </c>
      <c r="F2159" t="s">
        <v>15</v>
      </c>
      <c r="G2159">
        <v>30</v>
      </c>
      <c r="H2159">
        <v>14.924000000000001</v>
      </c>
      <c r="I2159">
        <v>30.000000000000004</v>
      </c>
      <c r="J2159" t="s">
        <v>20</v>
      </c>
    </row>
    <row r="2160" spans="1:10" x14ac:dyDescent="0.2">
      <c r="A2160">
        <v>12159</v>
      </c>
      <c r="B2160" t="s">
        <v>10</v>
      </c>
      <c r="C2160" t="s">
        <v>11</v>
      </c>
      <c r="D2160">
        <v>11.11</v>
      </c>
      <c r="E2160">
        <v>7</v>
      </c>
      <c r="F2160" t="s">
        <v>15</v>
      </c>
      <c r="G2160">
        <v>25</v>
      </c>
      <c r="H2160">
        <v>13.887499999999999</v>
      </c>
      <c r="I2160">
        <v>25</v>
      </c>
      <c r="J2160" t="s">
        <v>20</v>
      </c>
    </row>
    <row r="2161" spans="1:10" x14ac:dyDescent="0.2">
      <c r="A2161">
        <v>12160</v>
      </c>
      <c r="B2161" t="s">
        <v>8</v>
      </c>
      <c r="C2161" t="s">
        <v>11</v>
      </c>
      <c r="D2161">
        <v>10.78</v>
      </c>
      <c r="E2161">
        <v>9</v>
      </c>
      <c r="F2161" t="s">
        <v>16</v>
      </c>
      <c r="G2161">
        <v>50</v>
      </c>
      <c r="H2161">
        <v>16.169999999999998</v>
      </c>
      <c r="I2161">
        <v>50</v>
      </c>
      <c r="J2161" t="s">
        <v>20</v>
      </c>
    </row>
    <row r="2162" spans="1:10" x14ac:dyDescent="0.2">
      <c r="A2162">
        <v>12161</v>
      </c>
      <c r="B2162" t="s">
        <v>8</v>
      </c>
      <c r="C2162" t="s">
        <v>11</v>
      </c>
      <c r="D2162">
        <v>3.4</v>
      </c>
      <c r="E2162">
        <v>4</v>
      </c>
      <c r="F2162" t="s">
        <v>15</v>
      </c>
      <c r="G2162">
        <v>25</v>
      </c>
      <c r="H2162">
        <v>4.25</v>
      </c>
      <c r="I2162">
        <v>25</v>
      </c>
      <c r="J2162" t="s">
        <v>20</v>
      </c>
    </row>
    <row r="2163" spans="1:10" x14ac:dyDescent="0.2">
      <c r="A2163">
        <v>12162</v>
      </c>
      <c r="B2163" t="s">
        <v>8</v>
      </c>
      <c r="C2163" t="s">
        <v>6</v>
      </c>
      <c r="D2163">
        <v>3.56</v>
      </c>
      <c r="E2163">
        <v>5</v>
      </c>
      <c r="F2163" t="s">
        <v>15</v>
      </c>
      <c r="G2163">
        <v>28</v>
      </c>
      <c r="H2163">
        <v>4.5568</v>
      </c>
      <c r="I2163">
        <v>28.000000000000004</v>
      </c>
      <c r="J2163" t="s">
        <v>20</v>
      </c>
    </row>
    <row r="2164" spans="1:10" x14ac:dyDescent="0.2">
      <c r="A2164">
        <v>12163</v>
      </c>
      <c r="B2164" t="s">
        <v>5</v>
      </c>
      <c r="C2164" t="s">
        <v>6</v>
      </c>
      <c r="D2164">
        <v>10.48</v>
      </c>
      <c r="E2164">
        <v>9</v>
      </c>
      <c r="F2164" t="s">
        <v>16</v>
      </c>
      <c r="G2164">
        <v>55</v>
      </c>
      <c r="H2164">
        <v>16.244</v>
      </c>
      <c r="I2164">
        <v>54.999999999999986</v>
      </c>
      <c r="J2164" t="s">
        <v>20</v>
      </c>
    </row>
    <row r="2165" spans="1:10" x14ac:dyDescent="0.2">
      <c r="A2165">
        <v>12164</v>
      </c>
      <c r="B2165" t="s">
        <v>7</v>
      </c>
      <c r="C2165" t="s">
        <v>9</v>
      </c>
      <c r="D2165">
        <v>3.69</v>
      </c>
      <c r="E2165">
        <v>10</v>
      </c>
      <c r="F2165" t="s">
        <v>16</v>
      </c>
      <c r="G2165">
        <v>60</v>
      </c>
      <c r="H2165">
        <v>5.9039999999999999</v>
      </c>
      <c r="I2165">
        <v>60.000000000000007</v>
      </c>
      <c r="J2165" t="s">
        <v>20</v>
      </c>
    </row>
    <row r="2166" spans="1:10" x14ac:dyDescent="0.2">
      <c r="A2166">
        <v>12165</v>
      </c>
      <c r="B2166" t="s">
        <v>10</v>
      </c>
      <c r="C2166" t="s">
        <v>9</v>
      </c>
      <c r="D2166">
        <v>6.86</v>
      </c>
      <c r="E2166">
        <v>4</v>
      </c>
      <c r="F2166" t="s">
        <v>15</v>
      </c>
      <c r="G2166">
        <v>30</v>
      </c>
      <c r="H2166">
        <v>8.918000000000001</v>
      </c>
      <c r="I2166">
        <v>30.000000000000004</v>
      </c>
      <c r="J2166" t="s">
        <v>20</v>
      </c>
    </row>
    <row r="2167" spans="1:10" x14ac:dyDescent="0.2">
      <c r="A2167">
        <v>12166</v>
      </c>
      <c r="B2167" t="s">
        <v>5</v>
      </c>
      <c r="C2167" t="s">
        <v>11</v>
      </c>
      <c r="D2167">
        <v>11.84</v>
      </c>
      <c r="E2167">
        <v>5</v>
      </c>
      <c r="F2167" t="s">
        <v>15</v>
      </c>
      <c r="G2167">
        <v>25</v>
      </c>
      <c r="H2167">
        <v>14.8</v>
      </c>
      <c r="I2167">
        <v>25</v>
      </c>
      <c r="J2167" t="s">
        <v>20</v>
      </c>
    </row>
    <row r="2168" spans="1:10" x14ac:dyDescent="0.2">
      <c r="A2168">
        <v>12167</v>
      </c>
      <c r="B2168" t="s">
        <v>7</v>
      </c>
      <c r="C2168" t="s">
        <v>6</v>
      </c>
      <c r="D2168">
        <v>11.87</v>
      </c>
      <c r="E2168">
        <v>5</v>
      </c>
      <c r="F2168" t="s">
        <v>15</v>
      </c>
      <c r="G2168">
        <v>28</v>
      </c>
      <c r="H2168">
        <v>15.1936</v>
      </c>
      <c r="I2168">
        <v>28.000000000000004</v>
      </c>
      <c r="J2168" t="s">
        <v>20</v>
      </c>
    </row>
    <row r="2169" spans="1:10" x14ac:dyDescent="0.2">
      <c r="A2169">
        <v>12168</v>
      </c>
      <c r="B2169" t="s">
        <v>5</v>
      </c>
      <c r="C2169" t="s">
        <v>11</v>
      </c>
      <c r="D2169">
        <v>7.07</v>
      </c>
      <c r="E2169">
        <v>8</v>
      </c>
      <c r="F2169" t="s">
        <v>16</v>
      </c>
      <c r="G2169">
        <v>50</v>
      </c>
      <c r="H2169">
        <v>10.605</v>
      </c>
      <c r="I2169">
        <v>50</v>
      </c>
      <c r="J2169" t="s">
        <v>20</v>
      </c>
    </row>
    <row r="2170" spans="1:10" x14ac:dyDescent="0.2">
      <c r="A2170">
        <v>12169</v>
      </c>
      <c r="B2170" t="s">
        <v>10</v>
      </c>
      <c r="C2170" t="s">
        <v>11</v>
      </c>
      <c r="D2170">
        <v>11.99</v>
      </c>
      <c r="E2170">
        <v>4</v>
      </c>
      <c r="F2170" t="s">
        <v>15</v>
      </c>
      <c r="G2170">
        <v>25</v>
      </c>
      <c r="H2170">
        <v>14.987500000000001</v>
      </c>
      <c r="I2170">
        <v>25</v>
      </c>
      <c r="J2170" t="s">
        <v>20</v>
      </c>
    </row>
    <row r="2171" spans="1:10" x14ac:dyDescent="0.2">
      <c r="A2171">
        <v>12170</v>
      </c>
      <c r="B2171" t="s">
        <v>7</v>
      </c>
      <c r="C2171" t="s">
        <v>6</v>
      </c>
      <c r="D2171">
        <v>12.66</v>
      </c>
      <c r="E2171">
        <v>4</v>
      </c>
      <c r="F2171" t="s">
        <v>15</v>
      </c>
      <c r="G2171">
        <v>28</v>
      </c>
      <c r="H2171">
        <v>16.204799999999999</v>
      </c>
      <c r="I2171">
        <v>27.999999999999979</v>
      </c>
      <c r="J2171" t="s">
        <v>20</v>
      </c>
    </row>
    <row r="2172" spans="1:10" x14ac:dyDescent="0.2">
      <c r="A2172">
        <v>12171</v>
      </c>
      <c r="B2172" t="s">
        <v>5</v>
      </c>
      <c r="C2172" t="s">
        <v>6</v>
      </c>
      <c r="D2172">
        <v>9.99</v>
      </c>
      <c r="E2172">
        <v>7</v>
      </c>
      <c r="F2172" t="s">
        <v>15</v>
      </c>
      <c r="G2172">
        <v>28</v>
      </c>
      <c r="H2172">
        <v>12.7872</v>
      </c>
      <c r="I2172">
        <v>28.000000000000004</v>
      </c>
      <c r="J2172" t="s">
        <v>20</v>
      </c>
    </row>
    <row r="2173" spans="1:10" x14ac:dyDescent="0.2">
      <c r="A2173">
        <v>12172</v>
      </c>
      <c r="B2173" t="s">
        <v>10</v>
      </c>
      <c r="C2173" t="s">
        <v>6</v>
      </c>
      <c r="D2173">
        <v>3.81</v>
      </c>
      <c r="E2173">
        <v>5</v>
      </c>
      <c r="F2173" t="s">
        <v>15</v>
      </c>
      <c r="G2173">
        <v>28</v>
      </c>
      <c r="H2173">
        <v>4.8768000000000002</v>
      </c>
      <c r="I2173">
        <v>28.000000000000004</v>
      </c>
      <c r="J2173" t="s">
        <v>20</v>
      </c>
    </row>
    <row r="2174" spans="1:10" x14ac:dyDescent="0.2">
      <c r="A2174">
        <v>12173</v>
      </c>
      <c r="B2174" t="s">
        <v>8</v>
      </c>
      <c r="C2174" t="s">
        <v>9</v>
      </c>
      <c r="D2174">
        <v>4.47</v>
      </c>
      <c r="E2174">
        <v>6</v>
      </c>
      <c r="F2174" t="s">
        <v>15</v>
      </c>
      <c r="G2174">
        <v>30</v>
      </c>
      <c r="H2174">
        <v>5.8109999999999999</v>
      </c>
      <c r="I2174">
        <v>30.000000000000004</v>
      </c>
      <c r="J2174" t="s">
        <v>20</v>
      </c>
    </row>
    <row r="2175" spans="1:10" x14ac:dyDescent="0.2">
      <c r="A2175">
        <v>12174</v>
      </c>
      <c r="B2175" t="s">
        <v>10</v>
      </c>
      <c r="C2175" t="s">
        <v>9</v>
      </c>
      <c r="D2175">
        <v>5.07</v>
      </c>
      <c r="E2175">
        <v>6</v>
      </c>
      <c r="F2175" t="s">
        <v>15</v>
      </c>
      <c r="G2175">
        <v>30</v>
      </c>
      <c r="H2175">
        <v>6.5910000000000002</v>
      </c>
      <c r="I2175">
        <v>30.000000000000004</v>
      </c>
      <c r="J2175" t="s">
        <v>20</v>
      </c>
    </row>
    <row r="2176" spans="1:10" x14ac:dyDescent="0.2">
      <c r="A2176">
        <v>12175</v>
      </c>
      <c r="B2176" t="s">
        <v>8</v>
      </c>
      <c r="C2176" t="s">
        <v>11</v>
      </c>
      <c r="D2176">
        <v>2.19</v>
      </c>
      <c r="E2176">
        <v>6</v>
      </c>
      <c r="F2176" t="s">
        <v>15</v>
      </c>
      <c r="G2176">
        <v>25</v>
      </c>
      <c r="H2176">
        <v>2.7374999999999998</v>
      </c>
      <c r="I2176">
        <v>25</v>
      </c>
      <c r="J2176" t="s">
        <v>20</v>
      </c>
    </row>
    <row r="2177" spans="1:10" x14ac:dyDescent="0.2">
      <c r="A2177">
        <v>12176</v>
      </c>
      <c r="B2177" t="s">
        <v>5</v>
      </c>
      <c r="C2177" t="s">
        <v>9</v>
      </c>
      <c r="D2177">
        <v>4.46</v>
      </c>
      <c r="E2177">
        <v>10</v>
      </c>
      <c r="F2177" t="s">
        <v>16</v>
      </c>
      <c r="G2177">
        <v>60</v>
      </c>
      <c r="H2177">
        <v>7.1360000000000001</v>
      </c>
      <c r="I2177">
        <v>60.000000000000007</v>
      </c>
      <c r="J2177" t="s">
        <v>20</v>
      </c>
    </row>
    <row r="2178" spans="1:10" x14ac:dyDescent="0.2">
      <c r="A2178">
        <v>12177</v>
      </c>
      <c r="B2178" t="s">
        <v>7</v>
      </c>
      <c r="C2178" t="s">
        <v>6</v>
      </c>
      <c r="D2178">
        <v>3.54</v>
      </c>
      <c r="E2178">
        <v>5</v>
      </c>
      <c r="F2178" t="s">
        <v>15</v>
      </c>
      <c r="G2178">
        <v>28</v>
      </c>
      <c r="H2178">
        <v>4.5312000000000001</v>
      </c>
      <c r="I2178">
        <v>28.000000000000004</v>
      </c>
      <c r="J2178" t="s">
        <v>20</v>
      </c>
    </row>
    <row r="2179" spans="1:10" x14ac:dyDescent="0.2">
      <c r="A2179">
        <v>12178</v>
      </c>
      <c r="B2179" t="s">
        <v>7</v>
      </c>
      <c r="C2179" t="s">
        <v>6</v>
      </c>
      <c r="D2179">
        <v>7.1</v>
      </c>
      <c r="E2179">
        <v>5</v>
      </c>
      <c r="F2179" t="s">
        <v>15</v>
      </c>
      <c r="G2179">
        <v>28</v>
      </c>
      <c r="H2179">
        <v>9.0879999999999992</v>
      </c>
      <c r="I2179">
        <v>28.000000000000004</v>
      </c>
      <c r="J2179" t="s">
        <v>20</v>
      </c>
    </row>
    <row r="2180" spans="1:10" x14ac:dyDescent="0.2">
      <c r="A2180">
        <v>12179</v>
      </c>
      <c r="B2180" t="s">
        <v>5</v>
      </c>
      <c r="C2180" t="s">
        <v>9</v>
      </c>
      <c r="D2180">
        <v>13.67</v>
      </c>
      <c r="E2180">
        <v>9</v>
      </c>
      <c r="F2180" t="s">
        <v>16</v>
      </c>
      <c r="G2180">
        <v>60</v>
      </c>
      <c r="H2180">
        <v>21.872</v>
      </c>
      <c r="I2180">
        <v>60.000000000000007</v>
      </c>
      <c r="J2180" t="s">
        <v>20</v>
      </c>
    </row>
    <row r="2181" spans="1:10" x14ac:dyDescent="0.2">
      <c r="A2181">
        <v>12180</v>
      </c>
      <c r="B2181" t="s">
        <v>7</v>
      </c>
      <c r="C2181" t="s">
        <v>11</v>
      </c>
      <c r="D2181">
        <v>2.0099999999999998</v>
      </c>
      <c r="E2181">
        <v>8</v>
      </c>
      <c r="F2181" t="s">
        <v>16</v>
      </c>
      <c r="G2181">
        <v>50</v>
      </c>
      <c r="H2181">
        <v>3.0149999999999997</v>
      </c>
      <c r="I2181">
        <v>50</v>
      </c>
      <c r="J2181" t="s">
        <v>20</v>
      </c>
    </row>
    <row r="2182" spans="1:10" x14ac:dyDescent="0.2">
      <c r="A2182">
        <v>12181</v>
      </c>
      <c r="B2182" t="s">
        <v>7</v>
      </c>
      <c r="C2182" t="s">
        <v>11</v>
      </c>
      <c r="D2182">
        <v>10.94</v>
      </c>
      <c r="E2182">
        <v>4</v>
      </c>
      <c r="F2182" t="s">
        <v>15</v>
      </c>
      <c r="G2182">
        <v>25</v>
      </c>
      <c r="H2182">
        <v>13.674999999999999</v>
      </c>
      <c r="I2182">
        <v>25</v>
      </c>
      <c r="J2182" t="s">
        <v>20</v>
      </c>
    </row>
    <row r="2183" spans="1:10" x14ac:dyDescent="0.2">
      <c r="A2183">
        <v>12182</v>
      </c>
      <c r="B2183" t="s">
        <v>8</v>
      </c>
      <c r="C2183" t="s">
        <v>9</v>
      </c>
      <c r="D2183">
        <v>10.47</v>
      </c>
      <c r="E2183">
        <v>7</v>
      </c>
      <c r="F2183" t="s">
        <v>15</v>
      </c>
      <c r="G2183">
        <v>30</v>
      </c>
      <c r="H2183">
        <v>13.611000000000001</v>
      </c>
      <c r="I2183">
        <v>30.000000000000004</v>
      </c>
      <c r="J2183" t="s">
        <v>20</v>
      </c>
    </row>
    <row r="2184" spans="1:10" x14ac:dyDescent="0.2">
      <c r="A2184">
        <v>12183</v>
      </c>
      <c r="B2184" t="s">
        <v>5</v>
      </c>
      <c r="C2184" t="s">
        <v>11</v>
      </c>
      <c r="D2184">
        <v>1.89</v>
      </c>
      <c r="E2184">
        <v>8</v>
      </c>
      <c r="F2184" t="s">
        <v>16</v>
      </c>
      <c r="G2184">
        <v>50</v>
      </c>
      <c r="H2184">
        <v>2.835</v>
      </c>
      <c r="I2184">
        <v>50</v>
      </c>
      <c r="J2184" t="s">
        <v>20</v>
      </c>
    </row>
    <row r="2185" spans="1:10" x14ac:dyDescent="0.2">
      <c r="A2185">
        <v>12184</v>
      </c>
      <c r="B2185" t="s">
        <v>10</v>
      </c>
      <c r="C2185" t="s">
        <v>11</v>
      </c>
      <c r="D2185">
        <v>13.88</v>
      </c>
      <c r="E2185">
        <v>9</v>
      </c>
      <c r="F2185" t="s">
        <v>16</v>
      </c>
      <c r="G2185">
        <v>50</v>
      </c>
      <c r="H2185">
        <v>20.82</v>
      </c>
      <c r="I2185">
        <v>50</v>
      </c>
      <c r="J2185" t="s">
        <v>20</v>
      </c>
    </row>
    <row r="2186" spans="1:10" x14ac:dyDescent="0.2">
      <c r="A2186">
        <v>12185</v>
      </c>
      <c r="B2186" t="s">
        <v>8</v>
      </c>
      <c r="C2186" t="s">
        <v>11</v>
      </c>
      <c r="D2186">
        <v>8.74</v>
      </c>
      <c r="E2186">
        <v>5</v>
      </c>
      <c r="F2186" t="s">
        <v>15</v>
      </c>
      <c r="G2186">
        <v>25</v>
      </c>
      <c r="H2186">
        <v>10.925000000000001</v>
      </c>
      <c r="I2186">
        <v>25</v>
      </c>
      <c r="J2186" t="s">
        <v>20</v>
      </c>
    </row>
    <row r="2187" spans="1:10" x14ac:dyDescent="0.2">
      <c r="A2187">
        <v>12186</v>
      </c>
      <c r="B2187" t="s">
        <v>5</v>
      </c>
      <c r="C2187" t="s">
        <v>6</v>
      </c>
      <c r="D2187">
        <v>5.77</v>
      </c>
      <c r="E2187">
        <v>3</v>
      </c>
      <c r="F2187" t="s">
        <v>14</v>
      </c>
      <c r="G2187">
        <v>12</v>
      </c>
      <c r="H2187">
        <v>6.4623999999999997</v>
      </c>
      <c r="I2187">
        <v>12.000000000000011</v>
      </c>
      <c r="J2187" t="s">
        <v>20</v>
      </c>
    </row>
    <row r="2188" spans="1:10" x14ac:dyDescent="0.2">
      <c r="A2188">
        <v>12187</v>
      </c>
      <c r="B2188" t="s">
        <v>8</v>
      </c>
      <c r="C2188" t="s">
        <v>6</v>
      </c>
      <c r="D2188">
        <v>11.47</v>
      </c>
      <c r="E2188">
        <v>4</v>
      </c>
      <c r="F2188" t="s">
        <v>15</v>
      </c>
      <c r="G2188">
        <v>28</v>
      </c>
      <c r="H2188">
        <v>14.681600000000001</v>
      </c>
      <c r="I2188">
        <v>28.000000000000004</v>
      </c>
      <c r="J2188" t="s">
        <v>20</v>
      </c>
    </row>
    <row r="2189" spans="1:10" x14ac:dyDescent="0.2">
      <c r="A2189">
        <v>12188</v>
      </c>
      <c r="B2189" t="s">
        <v>10</v>
      </c>
      <c r="C2189" t="s">
        <v>9</v>
      </c>
      <c r="D2189">
        <v>4.2300000000000004</v>
      </c>
      <c r="E2189">
        <v>10</v>
      </c>
      <c r="F2189" t="s">
        <v>16</v>
      </c>
      <c r="G2189">
        <v>60</v>
      </c>
      <c r="H2189">
        <v>6.7680000000000007</v>
      </c>
      <c r="I2189">
        <v>60.000000000000007</v>
      </c>
      <c r="J2189" t="s">
        <v>20</v>
      </c>
    </row>
    <row r="2190" spans="1:10" x14ac:dyDescent="0.2">
      <c r="A2190">
        <v>12189</v>
      </c>
      <c r="B2190" t="s">
        <v>10</v>
      </c>
      <c r="C2190" t="s">
        <v>6</v>
      </c>
      <c r="D2190">
        <v>10.56</v>
      </c>
      <c r="E2190">
        <v>6</v>
      </c>
      <c r="F2190" t="s">
        <v>15</v>
      </c>
      <c r="G2190">
        <v>28</v>
      </c>
      <c r="H2190">
        <v>13.516800000000002</v>
      </c>
      <c r="I2190">
        <v>28.000000000000004</v>
      </c>
      <c r="J2190" t="s">
        <v>20</v>
      </c>
    </row>
    <row r="2191" spans="1:10" x14ac:dyDescent="0.2">
      <c r="A2191">
        <v>12190</v>
      </c>
      <c r="B2191" t="s">
        <v>5</v>
      </c>
      <c r="C2191" t="s">
        <v>11</v>
      </c>
      <c r="D2191">
        <v>1.08</v>
      </c>
      <c r="E2191">
        <v>10</v>
      </c>
      <c r="F2191" t="s">
        <v>16</v>
      </c>
      <c r="G2191">
        <v>50</v>
      </c>
      <c r="H2191">
        <v>1.62</v>
      </c>
      <c r="I2191">
        <v>50</v>
      </c>
      <c r="J2191" t="s">
        <v>20</v>
      </c>
    </row>
    <row r="2192" spans="1:10" x14ac:dyDescent="0.2">
      <c r="A2192">
        <v>12191</v>
      </c>
      <c r="B2192" t="s">
        <v>10</v>
      </c>
      <c r="C2192" t="s">
        <v>6</v>
      </c>
      <c r="D2192">
        <v>12.67</v>
      </c>
      <c r="E2192">
        <v>5</v>
      </c>
      <c r="F2192" t="s">
        <v>15</v>
      </c>
      <c r="G2192">
        <v>28</v>
      </c>
      <c r="H2192">
        <v>16.217600000000001</v>
      </c>
      <c r="I2192">
        <v>28.000000000000004</v>
      </c>
      <c r="J2192" t="s">
        <v>20</v>
      </c>
    </row>
    <row r="2193" spans="1:10" x14ac:dyDescent="0.2">
      <c r="A2193">
        <v>12192</v>
      </c>
      <c r="B2193" t="s">
        <v>8</v>
      </c>
      <c r="C2193" t="s">
        <v>9</v>
      </c>
      <c r="D2193">
        <v>7</v>
      </c>
      <c r="E2193">
        <v>9</v>
      </c>
      <c r="F2193" t="s">
        <v>16</v>
      </c>
      <c r="G2193">
        <v>60</v>
      </c>
      <c r="H2193">
        <v>11.200000000000001</v>
      </c>
      <c r="I2193">
        <v>60.000000000000007</v>
      </c>
      <c r="J2193" t="s">
        <v>20</v>
      </c>
    </row>
    <row r="2194" spans="1:10" x14ac:dyDescent="0.2">
      <c r="A2194">
        <v>12193</v>
      </c>
      <c r="B2194" t="s">
        <v>10</v>
      </c>
      <c r="C2194" t="s">
        <v>6</v>
      </c>
      <c r="D2194">
        <v>9.73</v>
      </c>
      <c r="E2194">
        <v>3</v>
      </c>
      <c r="F2194" t="s">
        <v>14</v>
      </c>
      <c r="G2194">
        <v>12</v>
      </c>
      <c r="H2194">
        <v>10.897600000000002</v>
      </c>
      <c r="I2194">
        <v>12.000000000000011</v>
      </c>
      <c r="J2194" t="s">
        <v>20</v>
      </c>
    </row>
    <row r="2195" spans="1:10" x14ac:dyDescent="0.2">
      <c r="A2195">
        <v>12194</v>
      </c>
      <c r="B2195" t="s">
        <v>8</v>
      </c>
      <c r="C2195" t="s">
        <v>11</v>
      </c>
      <c r="D2195">
        <v>3.71</v>
      </c>
      <c r="E2195">
        <v>2</v>
      </c>
      <c r="F2195" t="s">
        <v>14</v>
      </c>
      <c r="G2195">
        <v>10</v>
      </c>
      <c r="H2195">
        <v>4.0810000000000004</v>
      </c>
      <c r="I2195">
        <v>10.000000000000009</v>
      </c>
      <c r="J2195" t="s">
        <v>20</v>
      </c>
    </row>
    <row r="2196" spans="1:10" x14ac:dyDescent="0.2">
      <c r="A2196">
        <v>12195</v>
      </c>
      <c r="B2196" t="s">
        <v>8</v>
      </c>
      <c r="C2196" t="s">
        <v>11</v>
      </c>
      <c r="D2196">
        <v>10.32</v>
      </c>
      <c r="E2196">
        <v>6</v>
      </c>
      <c r="F2196" t="s">
        <v>15</v>
      </c>
      <c r="G2196">
        <v>25</v>
      </c>
      <c r="H2196">
        <v>12.9</v>
      </c>
      <c r="I2196">
        <v>25</v>
      </c>
      <c r="J2196" t="s">
        <v>20</v>
      </c>
    </row>
    <row r="2197" spans="1:10" x14ac:dyDescent="0.2">
      <c r="A2197">
        <v>12196</v>
      </c>
      <c r="B2197" t="s">
        <v>10</v>
      </c>
      <c r="C2197" t="s">
        <v>9</v>
      </c>
      <c r="D2197">
        <v>11.7</v>
      </c>
      <c r="E2197">
        <v>7</v>
      </c>
      <c r="F2197" t="s">
        <v>15</v>
      </c>
      <c r="G2197">
        <v>30</v>
      </c>
      <c r="H2197">
        <v>15.209999999999999</v>
      </c>
      <c r="I2197">
        <v>30.000000000000004</v>
      </c>
      <c r="J2197" t="s">
        <v>20</v>
      </c>
    </row>
    <row r="2198" spans="1:10" x14ac:dyDescent="0.2">
      <c r="A2198">
        <v>12197</v>
      </c>
      <c r="B2198" t="s">
        <v>5</v>
      </c>
      <c r="C2198" t="s">
        <v>6</v>
      </c>
      <c r="D2198">
        <v>7.36</v>
      </c>
      <c r="E2198">
        <v>5</v>
      </c>
      <c r="F2198" t="s">
        <v>15</v>
      </c>
      <c r="G2198">
        <v>28</v>
      </c>
      <c r="H2198">
        <v>9.4207999999999998</v>
      </c>
      <c r="I2198">
        <v>28.000000000000004</v>
      </c>
      <c r="J2198" t="s">
        <v>20</v>
      </c>
    </row>
    <row r="2199" spans="1:10" x14ac:dyDescent="0.2">
      <c r="A2199">
        <v>12198</v>
      </c>
      <c r="B2199" t="s">
        <v>7</v>
      </c>
      <c r="C2199" t="s">
        <v>6</v>
      </c>
      <c r="D2199">
        <v>9.4600000000000009</v>
      </c>
      <c r="E2199">
        <v>1</v>
      </c>
      <c r="F2199" t="s">
        <v>14</v>
      </c>
      <c r="G2199">
        <v>12</v>
      </c>
      <c r="H2199">
        <v>10.595200000000002</v>
      </c>
      <c r="I2199">
        <v>12.000000000000011</v>
      </c>
      <c r="J2199" t="s">
        <v>20</v>
      </c>
    </row>
    <row r="2200" spans="1:10" x14ac:dyDescent="0.2">
      <c r="A2200">
        <v>12199</v>
      </c>
      <c r="B2200" t="s">
        <v>10</v>
      </c>
      <c r="C2200" t="s">
        <v>6</v>
      </c>
      <c r="D2200">
        <v>7.12</v>
      </c>
      <c r="E2200">
        <v>3</v>
      </c>
      <c r="F2200" t="s">
        <v>14</v>
      </c>
      <c r="G2200">
        <v>12</v>
      </c>
      <c r="H2200">
        <v>7.974400000000001</v>
      </c>
      <c r="I2200">
        <v>12.000000000000011</v>
      </c>
      <c r="J2200" t="s">
        <v>20</v>
      </c>
    </row>
    <row r="2201" spans="1:10" x14ac:dyDescent="0.2">
      <c r="A2201">
        <v>12200</v>
      </c>
      <c r="B2201" t="s">
        <v>8</v>
      </c>
      <c r="C2201" t="s">
        <v>11</v>
      </c>
      <c r="D2201">
        <v>13.46</v>
      </c>
      <c r="E2201">
        <v>3</v>
      </c>
      <c r="F2201" t="s">
        <v>14</v>
      </c>
      <c r="G2201">
        <v>10</v>
      </c>
      <c r="H2201">
        <v>14.806000000000003</v>
      </c>
      <c r="I2201">
        <v>10.000000000000009</v>
      </c>
      <c r="J2201" t="s">
        <v>20</v>
      </c>
    </row>
    <row r="2202" spans="1:10" x14ac:dyDescent="0.2">
      <c r="A2202">
        <v>12201</v>
      </c>
      <c r="B2202" t="s">
        <v>8</v>
      </c>
      <c r="C2202" t="s">
        <v>9</v>
      </c>
      <c r="D2202">
        <v>7.72</v>
      </c>
      <c r="E2202">
        <v>4</v>
      </c>
      <c r="F2202" t="s">
        <v>15</v>
      </c>
      <c r="G2202">
        <v>30</v>
      </c>
      <c r="H2202">
        <v>10.036</v>
      </c>
      <c r="I2202">
        <v>30.000000000000004</v>
      </c>
      <c r="J2202" t="s">
        <v>20</v>
      </c>
    </row>
    <row r="2203" spans="1:10" x14ac:dyDescent="0.2">
      <c r="A2203">
        <v>12202</v>
      </c>
      <c r="B2203" t="s">
        <v>10</v>
      </c>
      <c r="C2203" t="s">
        <v>6</v>
      </c>
      <c r="D2203">
        <v>12.71</v>
      </c>
      <c r="E2203">
        <v>10</v>
      </c>
      <c r="F2203" t="s">
        <v>16</v>
      </c>
      <c r="G2203">
        <v>55</v>
      </c>
      <c r="H2203">
        <v>19.700500000000002</v>
      </c>
      <c r="I2203">
        <v>55.000000000000007</v>
      </c>
      <c r="J2203" t="s">
        <v>20</v>
      </c>
    </row>
    <row r="2204" spans="1:10" x14ac:dyDescent="0.2">
      <c r="A2204">
        <v>12203</v>
      </c>
      <c r="B2204" t="s">
        <v>5</v>
      </c>
      <c r="C2204" t="s">
        <v>11</v>
      </c>
      <c r="D2204">
        <v>12.12</v>
      </c>
      <c r="E2204">
        <v>6</v>
      </c>
      <c r="F2204" t="s">
        <v>15</v>
      </c>
      <c r="G2204">
        <v>25</v>
      </c>
      <c r="H2204">
        <v>15.149999999999999</v>
      </c>
      <c r="I2204">
        <v>25</v>
      </c>
      <c r="J2204" t="s">
        <v>20</v>
      </c>
    </row>
    <row r="2205" spans="1:10" x14ac:dyDescent="0.2">
      <c r="A2205">
        <v>12204</v>
      </c>
      <c r="B2205" t="s">
        <v>5</v>
      </c>
      <c r="C2205" t="s">
        <v>11</v>
      </c>
      <c r="D2205">
        <v>6.45</v>
      </c>
      <c r="E2205">
        <v>5</v>
      </c>
      <c r="F2205" t="s">
        <v>15</v>
      </c>
      <c r="G2205">
        <v>25</v>
      </c>
      <c r="H2205">
        <v>8.0625</v>
      </c>
      <c r="I2205">
        <v>25</v>
      </c>
      <c r="J2205" t="s">
        <v>20</v>
      </c>
    </row>
    <row r="2206" spans="1:10" x14ac:dyDescent="0.2">
      <c r="A2206">
        <v>12205</v>
      </c>
      <c r="B2206" t="s">
        <v>8</v>
      </c>
      <c r="C2206" t="s">
        <v>11</v>
      </c>
      <c r="D2206">
        <v>3.84</v>
      </c>
      <c r="E2206">
        <v>1</v>
      </c>
      <c r="F2206" t="s">
        <v>14</v>
      </c>
      <c r="G2206">
        <v>10</v>
      </c>
      <c r="H2206">
        <v>4.2240000000000002</v>
      </c>
      <c r="I2206">
        <v>10.000000000000009</v>
      </c>
      <c r="J2206" t="s">
        <v>20</v>
      </c>
    </row>
    <row r="2207" spans="1:10" x14ac:dyDescent="0.2">
      <c r="A2207">
        <v>12206</v>
      </c>
      <c r="B2207" t="s">
        <v>8</v>
      </c>
      <c r="C2207" t="s">
        <v>6</v>
      </c>
      <c r="D2207">
        <v>6.39</v>
      </c>
      <c r="E2207">
        <v>6</v>
      </c>
      <c r="F2207" t="s">
        <v>15</v>
      </c>
      <c r="G2207">
        <v>28</v>
      </c>
      <c r="H2207">
        <v>8.1791999999999998</v>
      </c>
      <c r="I2207">
        <v>28.000000000000004</v>
      </c>
      <c r="J2207" t="s">
        <v>20</v>
      </c>
    </row>
    <row r="2208" spans="1:10" x14ac:dyDescent="0.2">
      <c r="A2208">
        <v>12207</v>
      </c>
      <c r="B2208" t="s">
        <v>5</v>
      </c>
      <c r="C2208" t="s">
        <v>6</v>
      </c>
      <c r="D2208">
        <v>12.48</v>
      </c>
      <c r="E2208">
        <v>9</v>
      </c>
      <c r="F2208" t="s">
        <v>16</v>
      </c>
      <c r="G2208">
        <v>55</v>
      </c>
      <c r="H2208">
        <v>19.344000000000001</v>
      </c>
      <c r="I2208">
        <v>55.000000000000007</v>
      </c>
      <c r="J2208" t="s">
        <v>20</v>
      </c>
    </row>
    <row r="2209" spans="1:10" x14ac:dyDescent="0.2">
      <c r="A2209">
        <v>12208</v>
      </c>
      <c r="B2209" t="s">
        <v>7</v>
      </c>
      <c r="C2209" t="s">
        <v>6</v>
      </c>
      <c r="D2209">
        <v>3.8</v>
      </c>
      <c r="E2209">
        <v>1</v>
      </c>
      <c r="F2209" t="s">
        <v>14</v>
      </c>
      <c r="G2209">
        <v>12</v>
      </c>
      <c r="H2209">
        <v>4.2560000000000002</v>
      </c>
      <c r="I2209">
        <v>12.000000000000011</v>
      </c>
      <c r="J2209" t="s">
        <v>20</v>
      </c>
    </row>
    <row r="2210" spans="1:10" x14ac:dyDescent="0.2">
      <c r="A2210">
        <v>12209</v>
      </c>
      <c r="B2210" t="s">
        <v>10</v>
      </c>
      <c r="C2210" t="s">
        <v>6</v>
      </c>
      <c r="D2210">
        <v>8.1</v>
      </c>
      <c r="E2210">
        <v>8</v>
      </c>
      <c r="F2210" t="s">
        <v>16</v>
      </c>
      <c r="G2210">
        <v>55</v>
      </c>
      <c r="H2210">
        <v>12.555</v>
      </c>
      <c r="I2210">
        <v>55.000000000000007</v>
      </c>
      <c r="J2210" t="s">
        <v>20</v>
      </c>
    </row>
    <row r="2211" spans="1:10" x14ac:dyDescent="0.2">
      <c r="A2211">
        <v>12210</v>
      </c>
      <c r="B2211" t="s">
        <v>8</v>
      </c>
      <c r="C2211" t="s">
        <v>6</v>
      </c>
      <c r="D2211">
        <v>12.19</v>
      </c>
      <c r="E2211">
        <v>8</v>
      </c>
      <c r="F2211" t="s">
        <v>16</v>
      </c>
      <c r="G2211">
        <v>55</v>
      </c>
      <c r="H2211">
        <v>18.894500000000001</v>
      </c>
      <c r="I2211">
        <v>55.000000000000007</v>
      </c>
      <c r="J2211" t="s">
        <v>20</v>
      </c>
    </row>
    <row r="2212" spans="1:10" x14ac:dyDescent="0.2">
      <c r="A2212">
        <v>12211</v>
      </c>
      <c r="B2212" t="s">
        <v>8</v>
      </c>
      <c r="C2212" t="s">
        <v>6</v>
      </c>
      <c r="D2212">
        <v>5.63</v>
      </c>
      <c r="E2212">
        <v>3</v>
      </c>
      <c r="F2212" t="s">
        <v>14</v>
      </c>
      <c r="G2212">
        <v>12</v>
      </c>
      <c r="H2212">
        <v>6.3056000000000001</v>
      </c>
      <c r="I2212">
        <v>12.000000000000011</v>
      </c>
      <c r="J2212" t="s">
        <v>20</v>
      </c>
    </row>
    <row r="2213" spans="1:10" x14ac:dyDescent="0.2">
      <c r="A2213">
        <v>12212</v>
      </c>
      <c r="B2213" t="s">
        <v>5</v>
      </c>
      <c r="C2213" t="s">
        <v>6</v>
      </c>
      <c r="D2213">
        <v>9.81</v>
      </c>
      <c r="E2213">
        <v>9</v>
      </c>
      <c r="F2213" t="s">
        <v>16</v>
      </c>
      <c r="G2213">
        <v>55</v>
      </c>
      <c r="H2213">
        <v>15.205500000000001</v>
      </c>
      <c r="I2213">
        <v>55.000000000000007</v>
      </c>
      <c r="J2213" t="s">
        <v>20</v>
      </c>
    </row>
    <row r="2214" spans="1:10" x14ac:dyDescent="0.2">
      <c r="A2214">
        <v>12213</v>
      </c>
      <c r="B2214" t="s">
        <v>10</v>
      </c>
      <c r="C2214" t="s">
        <v>6</v>
      </c>
      <c r="D2214">
        <v>4.0599999999999996</v>
      </c>
      <c r="E2214">
        <v>8</v>
      </c>
      <c r="F2214" t="s">
        <v>16</v>
      </c>
      <c r="G2214">
        <v>55</v>
      </c>
      <c r="H2214">
        <v>6.2929999999999993</v>
      </c>
      <c r="I2214">
        <v>55.000000000000007</v>
      </c>
      <c r="J2214" t="s">
        <v>20</v>
      </c>
    </row>
    <row r="2215" spans="1:10" x14ac:dyDescent="0.2">
      <c r="A2215">
        <v>12214</v>
      </c>
      <c r="B2215" t="s">
        <v>5</v>
      </c>
      <c r="C2215" t="s">
        <v>6</v>
      </c>
      <c r="D2215">
        <v>2.08</v>
      </c>
      <c r="E2215">
        <v>3</v>
      </c>
      <c r="F2215" t="s">
        <v>14</v>
      </c>
      <c r="G2215">
        <v>12</v>
      </c>
      <c r="H2215">
        <v>2.3296000000000001</v>
      </c>
      <c r="I2215">
        <v>12.000000000000011</v>
      </c>
      <c r="J2215" t="s">
        <v>20</v>
      </c>
    </row>
    <row r="2216" spans="1:10" x14ac:dyDescent="0.2">
      <c r="A2216">
        <v>12215</v>
      </c>
      <c r="B2216" t="s">
        <v>10</v>
      </c>
      <c r="C2216" t="s">
        <v>11</v>
      </c>
      <c r="D2216">
        <v>12.02</v>
      </c>
      <c r="E2216">
        <v>10</v>
      </c>
      <c r="F2216" t="s">
        <v>16</v>
      </c>
      <c r="G2216">
        <v>50</v>
      </c>
      <c r="H2216">
        <v>18.03</v>
      </c>
      <c r="I2216">
        <v>50.000000000000021</v>
      </c>
      <c r="J2216" t="s">
        <v>20</v>
      </c>
    </row>
    <row r="2217" spans="1:10" x14ac:dyDescent="0.2">
      <c r="A2217">
        <v>12216</v>
      </c>
      <c r="B2217" t="s">
        <v>10</v>
      </c>
      <c r="C2217" t="s">
        <v>6</v>
      </c>
      <c r="D2217">
        <v>1.94</v>
      </c>
      <c r="E2217">
        <v>5</v>
      </c>
      <c r="F2217" t="s">
        <v>15</v>
      </c>
      <c r="G2217">
        <v>28</v>
      </c>
      <c r="H2217">
        <v>2.4832000000000001</v>
      </c>
      <c r="I2217">
        <v>28.000000000000004</v>
      </c>
      <c r="J2217" t="s">
        <v>20</v>
      </c>
    </row>
    <row r="2218" spans="1:10" x14ac:dyDescent="0.2">
      <c r="A2218">
        <v>12217</v>
      </c>
      <c r="B2218" t="s">
        <v>10</v>
      </c>
      <c r="C2218" t="s">
        <v>9</v>
      </c>
      <c r="D2218">
        <v>4.4400000000000004</v>
      </c>
      <c r="E2218">
        <v>3</v>
      </c>
      <c r="F2218" t="s">
        <v>14</v>
      </c>
      <c r="G2218">
        <v>15</v>
      </c>
      <c r="H2218">
        <v>5.1059999999999999</v>
      </c>
      <c r="I2218">
        <v>14.999999999999991</v>
      </c>
      <c r="J2218" t="s">
        <v>20</v>
      </c>
    </row>
    <row r="2219" spans="1:10" x14ac:dyDescent="0.2">
      <c r="A2219">
        <v>12218</v>
      </c>
      <c r="B2219" t="s">
        <v>8</v>
      </c>
      <c r="C2219" t="s">
        <v>11</v>
      </c>
      <c r="D2219">
        <v>12.9</v>
      </c>
      <c r="E2219">
        <v>5</v>
      </c>
      <c r="F2219" t="s">
        <v>15</v>
      </c>
      <c r="G2219">
        <v>25</v>
      </c>
      <c r="H2219">
        <v>16.125</v>
      </c>
      <c r="I2219">
        <v>25</v>
      </c>
      <c r="J2219" t="s">
        <v>20</v>
      </c>
    </row>
    <row r="2220" spans="1:10" x14ac:dyDescent="0.2">
      <c r="A2220">
        <v>12219</v>
      </c>
      <c r="B2220" t="s">
        <v>7</v>
      </c>
      <c r="C2220" t="s">
        <v>6</v>
      </c>
      <c r="D2220">
        <v>5.52</v>
      </c>
      <c r="E2220">
        <v>9</v>
      </c>
      <c r="F2220" t="s">
        <v>16</v>
      </c>
      <c r="G2220">
        <v>55</v>
      </c>
      <c r="H2220">
        <v>8.5559999999999992</v>
      </c>
      <c r="I2220">
        <v>55.000000000000007</v>
      </c>
      <c r="J2220" t="s">
        <v>20</v>
      </c>
    </row>
    <row r="2221" spans="1:10" x14ac:dyDescent="0.2">
      <c r="A2221">
        <v>12220</v>
      </c>
      <c r="B2221" t="s">
        <v>5</v>
      </c>
      <c r="C2221" t="s">
        <v>9</v>
      </c>
      <c r="D2221">
        <v>14.61</v>
      </c>
      <c r="E2221">
        <v>4</v>
      </c>
      <c r="F2221" t="s">
        <v>15</v>
      </c>
      <c r="G2221">
        <v>30</v>
      </c>
      <c r="H2221">
        <v>18.992999999999999</v>
      </c>
      <c r="I2221">
        <v>30.000000000000004</v>
      </c>
      <c r="J2221" t="s">
        <v>20</v>
      </c>
    </row>
    <row r="2222" spans="1:10" x14ac:dyDescent="0.2">
      <c r="A2222">
        <v>12221</v>
      </c>
      <c r="B2222" t="s">
        <v>7</v>
      </c>
      <c r="C2222" t="s">
        <v>6</v>
      </c>
      <c r="D2222">
        <v>14.71</v>
      </c>
      <c r="E2222">
        <v>6</v>
      </c>
      <c r="F2222" t="s">
        <v>15</v>
      </c>
      <c r="G2222">
        <v>28</v>
      </c>
      <c r="H2222">
        <v>18.828800000000001</v>
      </c>
      <c r="I2222">
        <v>28.000000000000004</v>
      </c>
      <c r="J2222" t="s">
        <v>20</v>
      </c>
    </row>
    <row r="2223" spans="1:10" x14ac:dyDescent="0.2">
      <c r="A2223">
        <v>12222</v>
      </c>
      <c r="B2223" t="s">
        <v>5</v>
      </c>
      <c r="C2223" t="s">
        <v>9</v>
      </c>
      <c r="D2223">
        <v>4.3899999999999997</v>
      </c>
      <c r="E2223">
        <v>3</v>
      </c>
      <c r="F2223" t="s">
        <v>14</v>
      </c>
      <c r="G2223">
        <v>15</v>
      </c>
      <c r="H2223">
        <v>5.0484999999999989</v>
      </c>
      <c r="I2223">
        <v>14.999999999999991</v>
      </c>
      <c r="J2223" t="s">
        <v>20</v>
      </c>
    </row>
    <row r="2224" spans="1:10" x14ac:dyDescent="0.2">
      <c r="A2224">
        <v>12223</v>
      </c>
      <c r="B2224" t="s">
        <v>10</v>
      </c>
      <c r="C2224" t="s">
        <v>9</v>
      </c>
      <c r="D2224">
        <v>1.0900000000000001</v>
      </c>
      <c r="E2224">
        <v>3</v>
      </c>
      <c r="F2224" t="s">
        <v>14</v>
      </c>
      <c r="G2224">
        <v>15</v>
      </c>
      <c r="H2224">
        <v>1.2535000000000001</v>
      </c>
      <c r="I2224">
        <v>14.999999999999991</v>
      </c>
      <c r="J2224" t="s">
        <v>20</v>
      </c>
    </row>
    <row r="2225" spans="1:10" x14ac:dyDescent="0.2">
      <c r="A2225">
        <v>12224</v>
      </c>
      <c r="B2225" t="s">
        <v>8</v>
      </c>
      <c r="C2225" t="s">
        <v>9</v>
      </c>
      <c r="D2225">
        <v>10.72</v>
      </c>
      <c r="E2225">
        <v>5</v>
      </c>
      <c r="F2225" t="s">
        <v>15</v>
      </c>
      <c r="G2225">
        <v>30</v>
      </c>
      <c r="H2225">
        <v>13.936000000000002</v>
      </c>
      <c r="I2225">
        <v>30.000000000000004</v>
      </c>
      <c r="J2225" t="s">
        <v>20</v>
      </c>
    </row>
    <row r="2226" spans="1:10" x14ac:dyDescent="0.2">
      <c r="A2226">
        <v>12225</v>
      </c>
      <c r="B2226" t="s">
        <v>7</v>
      </c>
      <c r="C2226" t="s">
        <v>9</v>
      </c>
      <c r="D2226">
        <v>7.04</v>
      </c>
      <c r="E2226">
        <v>8</v>
      </c>
      <c r="F2226" t="s">
        <v>16</v>
      </c>
      <c r="G2226">
        <v>60</v>
      </c>
      <c r="H2226">
        <v>11.264000000000001</v>
      </c>
      <c r="I2226">
        <v>60.000000000000007</v>
      </c>
      <c r="J2226" t="s">
        <v>20</v>
      </c>
    </row>
    <row r="2227" spans="1:10" x14ac:dyDescent="0.2">
      <c r="A2227">
        <v>12226</v>
      </c>
      <c r="B2227" t="s">
        <v>8</v>
      </c>
      <c r="C2227" t="s">
        <v>11</v>
      </c>
      <c r="D2227">
        <v>1.96</v>
      </c>
      <c r="E2227">
        <v>8</v>
      </c>
      <c r="F2227" t="s">
        <v>16</v>
      </c>
      <c r="G2227">
        <v>50</v>
      </c>
      <c r="H2227">
        <v>2.94</v>
      </c>
      <c r="I2227">
        <v>50</v>
      </c>
      <c r="J2227" t="s">
        <v>20</v>
      </c>
    </row>
    <row r="2228" spans="1:10" x14ac:dyDescent="0.2">
      <c r="A2228">
        <v>12227</v>
      </c>
      <c r="B2228" t="s">
        <v>5</v>
      </c>
      <c r="C2228" t="s">
        <v>11</v>
      </c>
      <c r="D2228">
        <v>10.76</v>
      </c>
      <c r="E2228">
        <v>3</v>
      </c>
      <c r="F2228" t="s">
        <v>14</v>
      </c>
      <c r="G2228">
        <v>10</v>
      </c>
      <c r="H2228">
        <v>11.836</v>
      </c>
      <c r="I2228">
        <v>10.000000000000009</v>
      </c>
      <c r="J2228" t="s">
        <v>20</v>
      </c>
    </row>
    <row r="2229" spans="1:10" x14ac:dyDescent="0.2">
      <c r="A2229">
        <v>12228</v>
      </c>
      <c r="B2229" t="s">
        <v>8</v>
      </c>
      <c r="C2229" t="s">
        <v>9</v>
      </c>
      <c r="D2229">
        <v>0.95</v>
      </c>
      <c r="E2229">
        <v>8</v>
      </c>
      <c r="F2229" t="s">
        <v>16</v>
      </c>
      <c r="G2229">
        <v>60</v>
      </c>
      <c r="H2229">
        <v>1.52</v>
      </c>
      <c r="I2229">
        <v>60.000000000000007</v>
      </c>
      <c r="J2229" t="s">
        <v>20</v>
      </c>
    </row>
    <row r="2230" spans="1:10" x14ac:dyDescent="0.2">
      <c r="A2230">
        <v>12229</v>
      </c>
      <c r="B2230" t="s">
        <v>8</v>
      </c>
      <c r="C2230" t="s">
        <v>6</v>
      </c>
      <c r="D2230">
        <v>13.12</v>
      </c>
      <c r="E2230">
        <v>8</v>
      </c>
      <c r="F2230" t="s">
        <v>16</v>
      </c>
      <c r="G2230">
        <v>55</v>
      </c>
      <c r="H2230">
        <v>20.335999999999999</v>
      </c>
      <c r="I2230">
        <v>55.000000000000007</v>
      </c>
      <c r="J2230" t="s">
        <v>20</v>
      </c>
    </row>
    <row r="2231" spans="1:10" x14ac:dyDescent="0.2">
      <c r="A2231">
        <v>12230</v>
      </c>
      <c r="B2231" t="s">
        <v>7</v>
      </c>
      <c r="C2231" t="s">
        <v>9</v>
      </c>
      <c r="D2231">
        <v>2.5099999999999998</v>
      </c>
      <c r="E2231">
        <v>3</v>
      </c>
      <c r="F2231" t="s">
        <v>14</v>
      </c>
      <c r="G2231">
        <v>15</v>
      </c>
      <c r="H2231">
        <v>2.8864999999999994</v>
      </c>
      <c r="I2231">
        <v>14.999999999999991</v>
      </c>
      <c r="J2231" t="s">
        <v>20</v>
      </c>
    </row>
    <row r="2232" spans="1:10" x14ac:dyDescent="0.2">
      <c r="A2232">
        <v>12231</v>
      </c>
      <c r="B2232" t="s">
        <v>10</v>
      </c>
      <c r="C2232" t="s">
        <v>11</v>
      </c>
      <c r="D2232">
        <v>2.35</v>
      </c>
      <c r="E2232">
        <v>10</v>
      </c>
      <c r="F2232" t="s">
        <v>16</v>
      </c>
      <c r="G2232">
        <v>50</v>
      </c>
      <c r="H2232">
        <v>3.5250000000000004</v>
      </c>
      <c r="I2232">
        <v>50</v>
      </c>
      <c r="J2232" t="s">
        <v>20</v>
      </c>
    </row>
    <row r="2233" spans="1:10" x14ac:dyDescent="0.2">
      <c r="A2233">
        <v>12232</v>
      </c>
      <c r="B2233" t="s">
        <v>8</v>
      </c>
      <c r="C2233" t="s">
        <v>6</v>
      </c>
      <c r="D2233">
        <v>3.05</v>
      </c>
      <c r="E2233">
        <v>10</v>
      </c>
      <c r="F2233" t="s">
        <v>16</v>
      </c>
      <c r="G2233">
        <v>55</v>
      </c>
      <c r="H2233">
        <v>4.7275</v>
      </c>
      <c r="I2233">
        <v>55.000000000000007</v>
      </c>
      <c r="J2233" t="s">
        <v>20</v>
      </c>
    </row>
    <row r="2234" spans="1:10" x14ac:dyDescent="0.2">
      <c r="A2234">
        <v>12233</v>
      </c>
      <c r="B2234" t="s">
        <v>10</v>
      </c>
      <c r="C2234" t="s">
        <v>11</v>
      </c>
      <c r="D2234">
        <v>14.42</v>
      </c>
      <c r="E2234">
        <v>2</v>
      </c>
      <c r="F2234" t="s">
        <v>14</v>
      </c>
      <c r="G2234">
        <v>10</v>
      </c>
      <c r="H2234">
        <v>15.862000000000002</v>
      </c>
      <c r="I2234">
        <v>10.000000000000009</v>
      </c>
      <c r="J2234" t="s">
        <v>20</v>
      </c>
    </row>
    <row r="2235" spans="1:10" x14ac:dyDescent="0.2">
      <c r="A2235">
        <v>12234</v>
      </c>
      <c r="B2235" t="s">
        <v>5</v>
      </c>
      <c r="C2235" t="s">
        <v>11</v>
      </c>
      <c r="D2235">
        <v>10.55</v>
      </c>
      <c r="E2235">
        <v>10</v>
      </c>
      <c r="F2235" t="s">
        <v>16</v>
      </c>
      <c r="G2235">
        <v>50</v>
      </c>
      <c r="H2235">
        <v>15.825000000000001</v>
      </c>
      <c r="I2235">
        <v>50</v>
      </c>
      <c r="J2235" t="s">
        <v>20</v>
      </c>
    </row>
    <row r="2236" spans="1:10" x14ac:dyDescent="0.2">
      <c r="A2236">
        <v>12235</v>
      </c>
      <c r="B2236" t="s">
        <v>8</v>
      </c>
      <c r="C2236" t="s">
        <v>6</v>
      </c>
      <c r="D2236">
        <v>12.12</v>
      </c>
      <c r="E2236">
        <v>2</v>
      </c>
      <c r="F2236" t="s">
        <v>14</v>
      </c>
      <c r="G2236">
        <v>12</v>
      </c>
      <c r="H2236">
        <v>13.574400000000001</v>
      </c>
      <c r="I2236">
        <v>12.000000000000011</v>
      </c>
      <c r="J2236" t="s">
        <v>20</v>
      </c>
    </row>
    <row r="2237" spans="1:10" x14ac:dyDescent="0.2">
      <c r="A2237">
        <v>12236</v>
      </c>
      <c r="B2237" t="s">
        <v>7</v>
      </c>
      <c r="C2237" t="s">
        <v>9</v>
      </c>
      <c r="D2237">
        <v>6.27</v>
      </c>
      <c r="E2237">
        <v>9</v>
      </c>
      <c r="F2237" t="s">
        <v>16</v>
      </c>
      <c r="G2237">
        <v>60</v>
      </c>
      <c r="H2237">
        <v>10.032</v>
      </c>
      <c r="I2237">
        <v>60.000000000000007</v>
      </c>
      <c r="J2237" t="s">
        <v>20</v>
      </c>
    </row>
    <row r="2238" spans="1:10" x14ac:dyDescent="0.2">
      <c r="A2238">
        <v>12237</v>
      </c>
      <c r="B2238" t="s">
        <v>5</v>
      </c>
      <c r="C2238" t="s">
        <v>9</v>
      </c>
      <c r="D2238">
        <v>5.38</v>
      </c>
      <c r="E2238">
        <v>7</v>
      </c>
      <c r="F2238" t="s">
        <v>15</v>
      </c>
      <c r="G2238">
        <v>30</v>
      </c>
      <c r="H2238">
        <v>6.9939999999999998</v>
      </c>
      <c r="I2238">
        <v>30.000000000000004</v>
      </c>
      <c r="J2238" t="s">
        <v>20</v>
      </c>
    </row>
    <row r="2239" spans="1:10" x14ac:dyDescent="0.2">
      <c r="A2239">
        <v>12238</v>
      </c>
      <c r="B2239" t="s">
        <v>5</v>
      </c>
      <c r="C2239" t="s">
        <v>9</v>
      </c>
      <c r="D2239">
        <v>3.9</v>
      </c>
      <c r="E2239">
        <v>6</v>
      </c>
      <c r="F2239" t="s">
        <v>15</v>
      </c>
      <c r="G2239">
        <v>30</v>
      </c>
      <c r="H2239">
        <v>5.07</v>
      </c>
      <c r="I2239">
        <v>30.000000000000004</v>
      </c>
      <c r="J2239" t="s">
        <v>20</v>
      </c>
    </row>
    <row r="2240" spans="1:10" x14ac:dyDescent="0.2">
      <c r="A2240">
        <v>12239</v>
      </c>
      <c r="B2240" t="s">
        <v>7</v>
      </c>
      <c r="C2240" t="s">
        <v>9</v>
      </c>
      <c r="D2240">
        <v>7.47</v>
      </c>
      <c r="E2240">
        <v>7</v>
      </c>
      <c r="F2240" t="s">
        <v>15</v>
      </c>
      <c r="G2240">
        <v>30</v>
      </c>
      <c r="H2240">
        <v>9.7110000000000003</v>
      </c>
      <c r="I2240">
        <v>30.000000000000004</v>
      </c>
      <c r="J2240" t="s">
        <v>20</v>
      </c>
    </row>
    <row r="2241" spans="1:10" x14ac:dyDescent="0.2">
      <c r="A2241">
        <v>12240</v>
      </c>
      <c r="B2241" t="s">
        <v>8</v>
      </c>
      <c r="C2241" t="s">
        <v>6</v>
      </c>
      <c r="D2241">
        <v>8.5</v>
      </c>
      <c r="E2241">
        <v>8</v>
      </c>
      <c r="F2241" t="s">
        <v>16</v>
      </c>
      <c r="G2241">
        <v>55</v>
      </c>
      <c r="H2241">
        <v>13.175000000000001</v>
      </c>
      <c r="I2241">
        <v>55.000000000000007</v>
      </c>
      <c r="J2241" t="s">
        <v>20</v>
      </c>
    </row>
    <row r="2242" spans="1:10" x14ac:dyDescent="0.2">
      <c r="A2242">
        <v>12241</v>
      </c>
      <c r="B2242" t="s">
        <v>8</v>
      </c>
      <c r="C2242" t="s">
        <v>6</v>
      </c>
      <c r="D2242">
        <v>9.66</v>
      </c>
      <c r="E2242">
        <v>1</v>
      </c>
      <c r="F2242" t="s">
        <v>14</v>
      </c>
      <c r="G2242">
        <v>12</v>
      </c>
      <c r="H2242">
        <v>10.8192</v>
      </c>
      <c r="I2242">
        <v>12.000000000000011</v>
      </c>
      <c r="J2242" t="s">
        <v>20</v>
      </c>
    </row>
    <row r="2243" spans="1:10" x14ac:dyDescent="0.2">
      <c r="A2243">
        <v>12242</v>
      </c>
      <c r="B2243" t="s">
        <v>5</v>
      </c>
      <c r="C2243" t="s">
        <v>6</v>
      </c>
      <c r="D2243">
        <v>4.2300000000000004</v>
      </c>
      <c r="E2243">
        <v>8</v>
      </c>
      <c r="F2243" t="s">
        <v>16</v>
      </c>
      <c r="G2243">
        <v>55</v>
      </c>
      <c r="H2243">
        <v>6.5565000000000007</v>
      </c>
      <c r="I2243">
        <v>55.000000000000007</v>
      </c>
      <c r="J2243" t="s">
        <v>20</v>
      </c>
    </row>
    <row r="2244" spans="1:10" x14ac:dyDescent="0.2">
      <c r="A2244">
        <v>12243</v>
      </c>
      <c r="B2244" t="s">
        <v>8</v>
      </c>
      <c r="C2244" t="s">
        <v>11</v>
      </c>
      <c r="D2244">
        <v>14.26</v>
      </c>
      <c r="E2244">
        <v>3</v>
      </c>
      <c r="F2244" t="s">
        <v>14</v>
      </c>
      <c r="G2244">
        <v>10</v>
      </c>
      <c r="H2244">
        <v>15.686000000000002</v>
      </c>
      <c r="I2244">
        <v>10.000000000000009</v>
      </c>
      <c r="J2244" t="s">
        <v>20</v>
      </c>
    </row>
    <row r="2245" spans="1:10" x14ac:dyDescent="0.2">
      <c r="A2245">
        <v>12244</v>
      </c>
      <c r="B2245" t="s">
        <v>10</v>
      </c>
      <c r="C2245" t="s">
        <v>6</v>
      </c>
      <c r="D2245">
        <v>2.96</v>
      </c>
      <c r="E2245">
        <v>3</v>
      </c>
      <c r="F2245" t="s">
        <v>14</v>
      </c>
      <c r="G2245">
        <v>12</v>
      </c>
      <c r="H2245">
        <v>3.3152000000000004</v>
      </c>
      <c r="I2245">
        <v>12.000000000000011</v>
      </c>
      <c r="J2245" t="s">
        <v>20</v>
      </c>
    </row>
    <row r="2246" spans="1:10" x14ac:dyDescent="0.2">
      <c r="A2246">
        <v>12245</v>
      </c>
      <c r="B2246" t="s">
        <v>7</v>
      </c>
      <c r="C2246" t="s">
        <v>9</v>
      </c>
      <c r="D2246">
        <v>14.5</v>
      </c>
      <c r="E2246">
        <v>6</v>
      </c>
      <c r="F2246" t="s">
        <v>15</v>
      </c>
      <c r="G2246">
        <v>30</v>
      </c>
      <c r="H2246">
        <v>18.850000000000001</v>
      </c>
      <c r="I2246">
        <v>30.000000000000004</v>
      </c>
      <c r="J2246" t="s">
        <v>20</v>
      </c>
    </row>
    <row r="2247" spans="1:10" x14ac:dyDescent="0.2">
      <c r="A2247">
        <v>12246</v>
      </c>
      <c r="B2247" t="s">
        <v>10</v>
      </c>
      <c r="C2247" t="s">
        <v>11</v>
      </c>
      <c r="D2247">
        <v>0.72</v>
      </c>
      <c r="E2247">
        <v>4</v>
      </c>
      <c r="F2247" t="s">
        <v>15</v>
      </c>
      <c r="G2247">
        <v>25</v>
      </c>
      <c r="H2247">
        <v>0.89999999999999991</v>
      </c>
      <c r="I2247">
        <v>25</v>
      </c>
      <c r="J2247" t="s">
        <v>20</v>
      </c>
    </row>
    <row r="2248" spans="1:10" x14ac:dyDescent="0.2">
      <c r="A2248">
        <v>12247</v>
      </c>
      <c r="B2248" t="s">
        <v>8</v>
      </c>
      <c r="C2248" t="s">
        <v>9</v>
      </c>
      <c r="D2248">
        <v>7.48</v>
      </c>
      <c r="E2248">
        <v>4</v>
      </c>
      <c r="F2248" t="s">
        <v>15</v>
      </c>
      <c r="G2248">
        <v>30</v>
      </c>
      <c r="H2248">
        <v>9.7240000000000002</v>
      </c>
      <c r="I2248">
        <v>30.000000000000004</v>
      </c>
      <c r="J2248" t="s">
        <v>20</v>
      </c>
    </row>
    <row r="2249" spans="1:10" x14ac:dyDescent="0.2">
      <c r="A2249">
        <v>12248</v>
      </c>
      <c r="B2249" t="s">
        <v>5</v>
      </c>
      <c r="C2249" t="s">
        <v>9</v>
      </c>
      <c r="D2249">
        <v>5.33</v>
      </c>
      <c r="E2249">
        <v>4</v>
      </c>
      <c r="F2249" t="s">
        <v>15</v>
      </c>
      <c r="G2249">
        <v>30</v>
      </c>
      <c r="H2249">
        <v>6.9290000000000003</v>
      </c>
      <c r="I2249">
        <v>30.000000000000004</v>
      </c>
      <c r="J2249" t="s">
        <v>20</v>
      </c>
    </row>
    <row r="2250" spans="1:10" x14ac:dyDescent="0.2">
      <c r="A2250">
        <v>12249</v>
      </c>
      <c r="B2250" t="s">
        <v>7</v>
      </c>
      <c r="C2250" t="s">
        <v>6</v>
      </c>
      <c r="D2250">
        <v>7.01</v>
      </c>
      <c r="E2250">
        <v>10</v>
      </c>
      <c r="F2250" t="s">
        <v>16</v>
      </c>
      <c r="G2250">
        <v>55</v>
      </c>
      <c r="H2250">
        <v>10.865500000000001</v>
      </c>
      <c r="I2250">
        <v>55.000000000000028</v>
      </c>
      <c r="J2250" t="s">
        <v>20</v>
      </c>
    </row>
    <row r="2251" spans="1:10" x14ac:dyDescent="0.2">
      <c r="A2251">
        <v>12250</v>
      </c>
      <c r="B2251" t="s">
        <v>8</v>
      </c>
      <c r="C2251" t="s">
        <v>6</v>
      </c>
      <c r="D2251">
        <v>8.77</v>
      </c>
      <c r="E2251">
        <v>9</v>
      </c>
      <c r="F2251" t="s">
        <v>16</v>
      </c>
      <c r="G2251">
        <v>55</v>
      </c>
      <c r="H2251">
        <v>13.593500000000001</v>
      </c>
      <c r="I2251">
        <v>55.000000000000007</v>
      </c>
      <c r="J2251" t="s">
        <v>20</v>
      </c>
    </row>
    <row r="2252" spans="1:10" x14ac:dyDescent="0.2">
      <c r="A2252">
        <v>12251</v>
      </c>
      <c r="B2252" t="s">
        <v>8</v>
      </c>
      <c r="C2252" t="s">
        <v>9</v>
      </c>
      <c r="D2252">
        <v>6.82</v>
      </c>
      <c r="E2252">
        <v>8</v>
      </c>
      <c r="F2252" t="s">
        <v>16</v>
      </c>
      <c r="G2252">
        <v>60</v>
      </c>
      <c r="H2252">
        <v>10.912000000000001</v>
      </c>
      <c r="I2252">
        <v>60.000000000000007</v>
      </c>
      <c r="J2252" t="s">
        <v>20</v>
      </c>
    </row>
    <row r="2253" spans="1:10" x14ac:dyDescent="0.2">
      <c r="A2253">
        <v>12252</v>
      </c>
      <c r="B2253" t="s">
        <v>5</v>
      </c>
      <c r="C2253" t="s">
        <v>9</v>
      </c>
      <c r="D2253">
        <v>6.52</v>
      </c>
      <c r="E2253">
        <v>3</v>
      </c>
      <c r="F2253" t="s">
        <v>14</v>
      </c>
      <c r="G2253">
        <v>15</v>
      </c>
      <c r="H2253">
        <v>7.4979999999999993</v>
      </c>
      <c r="I2253">
        <v>14.999999999999991</v>
      </c>
      <c r="J2253" t="s">
        <v>20</v>
      </c>
    </row>
    <row r="2254" spans="1:10" x14ac:dyDescent="0.2">
      <c r="A2254">
        <v>12253</v>
      </c>
      <c r="B2254" t="s">
        <v>5</v>
      </c>
      <c r="C2254" t="s">
        <v>11</v>
      </c>
      <c r="D2254">
        <v>11.12</v>
      </c>
      <c r="E2254">
        <v>1</v>
      </c>
      <c r="F2254" t="s">
        <v>14</v>
      </c>
      <c r="G2254">
        <v>10</v>
      </c>
      <c r="H2254">
        <v>12.231999999999999</v>
      </c>
      <c r="I2254">
        <v>10.000000000000009</v>
      </c>
      <c r="J2254" t="s">
        <v>20</v>
      </c>
    </row>
    <row r="2255" spans="1:10" x14ac:dyDescent="0.2">
      <c r="A2255">
        <v>12254</v>
      </c>
      <c r="B2255" t="s">
        <v>10</v>
      </c>
      <c r="C2255" t="s">
        <v>6</v>
      </c>
      <c r="D2255">
        <v>10.45</v>
      </c>
      <c r="E2255">
        <v>1</v>
      </c>
      <c r="F2255" t="s">
        <v>14</v>
      </c>
      <c r="G2255">
        <v>12</v>
      </c>
      <c r="H2255">
        <v>11.704000000000001</v>
      </c>
      <c r="I2255">
        <v>12.000000000000011</v>
      </c>
      <c r="J2255" t="s">
        <v>20</v>
      </c>
    </row>
    <row r="2256" spans="1:10" x14ac:dyDescent="0.2">
      <c r="A2256">
        <v>12255</v>
      </c>
      <c r="B2256" t="s">
        <v>7</v>
      </c>
      <c r="C2256" t="s">
        <v>11</v>
      </c>
      <c r="D2256">
        <v>12.58</v>
      </c>
      <c r="E2256">
        <v>1</v>
      </c>
      <c r="F2256" t="s">
        <v>14</v>
      </c>
      <c r="G2256">
        <v>10</v>
      </c>
      <c r="H2256">
        <v>13.838000000000001</v>
      </c>
      <c r="I2256">
        <v>10.000000000000009</v>
      </c>
      <c r="J2256" t="s">
        <v>20</v>
      </c>
    </row>
    <row r="2257" spans="1:10" x14ac:dyDescent="0.2">
      <c r="A2257">
        <v>12256</v>
      </c>
      <c r="B2257" t="s">
        <v>7</v>
      </c>
      <c r="C2257" t="s">
        <v>11</v>
      </c>
      <c r="D2257">
        <v>4.12</v>
      </c>
      <c r="E2257">
        <v>4</v>
      </c>
      <c r="F2257" t="s">
        <v>15</v>
      </c>
      <c r="G2257">
        <v>25</v>
      </c>
      <c r="H2257">
        <v>5.15</v>
      </c>
      <c r="I2257">
        <v>25</v>
      </c>
      <c r="J2257" t="s">
        <v>20</v>
      </c>
    </row>
    <row r="2258" spans="1:10" x14ac:dyDescent="0.2">
      <c r="A2258">
        <v>12257</v>
      </c>
      <c r="B2258" t="s">
        <v>5</v>
      </c>
      <c r="C2258" t="s">
        <v>11</v>
      </c>
      <c r="D2258">
        <v>9.34</v>
      </c>
      <c r="E2258">
        <v>6</v>
      </c>
      <c r="F2258" t="s">
        <v>15</v>
      </c>
      <c r="G2258">
        <v>25</v>
      </c>
      <c r="H2258">
        <v>11.675000000000001</v>
      </c>
      <c r="I2258">
        <v>25</v>
      </c>
      <c r="J2258" t="s">
        <v>20</v>
      </c>
    </row>
    <row r="2259" spans="1:10" x14ac:dyDescent="0.2">
      <c r="A2259">
        <v>12258</v>
      </c>
      <c r="B2259" t="s">
        <v>10</v>
      </c>
      <c r="C2259" t="s">
        <v>9</v>
      </c>
      <c r="D2259">
        <v>8.99</v>
      </c>
      <c r="E2259">
        <v>4</v>
      </c>
      <c r="F2259" t="s">
        <v>15</v>
      </c>
      <c r="G2259">
        <v>30</v>
      </c>
      <c r="H2259">
        <v>11.687000000000001</v>
      </c>
      <c r="I2259">
        <v>30.000000000000004</v>
      </c>
      <c r="J2259" t="s">
        <v>20</v>
      </c>
    </row>
    <row r="2260" spans="1:10" x14ac:dyDescent="0.2">
      <c r="A2260">
        <v>12259</v>
      </c>
      <c r="B2260" t="s">
        <v>7</v>
      </c>
      <c r="C2260" t="s">
        <v>11</v>
      </c>
      <c r="D2260">
        <v>5.86</v>
      </c>
      <c r="E2260">
        <v>3</v>
      </c>
      <c r="F2260" t="s">
        <v>14</v>
      </c>
      <c r="G2260">
        <v>10</v>
      </c>
      <c r="H2260">
        <v>6.4460000000000006</v>
      </c>
      <c r="I2260">
        <v>10.000000000000009</v>
      </c>
      <c r="J2260" t="s">
        <v>20</v>
      </c>
    </row>
    <row r="2261" spans="1:10" x14ac:dyDescent="0.2">
      <c r="A2261">
        <v>12260</v>
      </c>
      <c r="B2261" t="s">
        <v>5</v>
      </c>
      <c r="C2261" t="s">
        <v>11</v>
      </c>
      <c r="D2261">
        <v>7.55</v>
      </c>
      <c r="E2261">
        <v>8</v>
      </c>
      <c r="F2261" t="s">
        <v>16</v>
      </c>
      <c r="G2261">
        <v>50</v>
      </c>
      <c r="H2261">
        <v>11.324999999999999</v>
      </c>
      <c r="I2261">
        <v>50</v>
      </c>
      <c r="J2261" t="s">
        <v>20</v>
      </c>
    </row>
    <row r="2262" spans="1:10" x14ac:dyDescent="0.2">
      <c r="A2262">
        <v>12261</v>
      </c>
      <c r="B2262" t="s">
        <v>8</v>
      </c>
      <c r="C2262" t="s">
        <v>9</v>
      </c>
      <c r="D2262">
        <v>5.05</v>
      </c>
      <c r="E2262">
        <v>8</v>
      </c>
      <c r="F2262" t="s">
        <v>16</v>
      </c>
      <c r="G2262">
        <v>60</v>
      </c>
      <c r="H2262">
        <v>8.08</v>
      </c>
      <c r="I2262">
        <v>60.000000000000007</v>
      </c>
      <c r="J2262" t="s">
        <v>20</v>
      </c>
    </row>
    <row r="2263" spans="1:10" x14ac:dyDescent="0.2">
      <c r="A2263">
        <v>12262</v>
      </c>
      <c r="B2263" t="s">
        <v>7</v>
      </c>
      <c r="C2263" t="s">
        <v>6</v>
      </c>
      <c r="D2263">
        <v>2.56</v>
      </c>
      <c r="E2263">
        <v>6</v>
      </c>
      <c r="F2263" t="s">
        <v>15</v>
      </c>
      <c r="G2263">
        <v>28</v>
      </c>
      <c r="H2263">
        <v>3.2768000000000002</v>
      </c>
      <c r="I2263">
        <v>28.000000000000004</v>
      </c>
      <c r="J2263" t="s">
        <v>20</v>
      </c>
    </row>
    <row r="2264" spans="1:10" x14ac:dyDescent="0.2">
      <c r="A2264">
        <v>12263</v>
      </c>
      <c r="B2264" t="s">
        <v>10</v>
      </c>
      <c r="C2264" t="s">
        <v>6</v>
      </c>
      <c r="D2264">
        <v>3.6</v>
      </c>
      <c r="E2264">
        <v>9</v>
      </c>
      <c r="F2264" t="s">
        <v>16</v>
      </c>
      <c r="G2264">
        <v>55</v>
      </c>
      <c r="H2264">
        <v>5.58</v>
      </c>
      <c r="I2264">
        <v>55.000000000000007</v>
      </c>
      <c r="J2264" t="s">
        <v>20</v>
      </c>
    </row>
    <row r="2265" spans="1:10" x14ac:dyDescent="0.2">
      <c r="A2265">
        <v>12264</v>
      </c>
      <c r="B2265" t="s">
        <v>10</v>
      </c>
      <c r="C2265" t="s">
        <v>11</v>
      </c>
      <c r="D2265">
        <v>2.0299999999999998</v>
      </c>
      <c r="E2265">
        <v>10</v>
      </c>
      <c r="F2265" t="s">
        <v>16</v>
      </c>
      <c r="G2265">
        <v>50</v>
      </c>
      <c r="H2265">
        <v>3.0449999999999999</v>
      </c>
      <c r="I2265">
        <v>50</v>
      </c>
      <c r="J2265" t="s">
        <v>20</v>
      </c>
    </row>
    <row r="2266" spans="1:10" x14ac:dyDescent="0.2">
      <c r="A2266">
        <v>12265</v>
      </c>
      <c r="B2266" t="s">
        <v>10</v>
      </c>
      <c r="C2266" t="s">
        <v>9</v>
      </c>
      <c r="D2266">
        <v>10.4</v>
      </c>
      <c r="E2266">
        <v>1</v>
      </c>
      <c r="F2266" t="s">
        <v>14</v>
      </c>
      <c r="G2266">
        <v>15</v>
      </c>
      <c r="H2266">
        <v>11.959999999999999</v>
      </c>
      <c r="I2266">
        <v>14.999999999999991</v>
      </c>
      <c r="J2266" t="s">
        <v>20</v>
      </c>
    </row>
    <row r="2267" spans="1:10" x14ac:dyDescent="0.2">
      <c r="A2267">
        <v>12266</v>
      </c>
      <c r="B2267" t="s">
        <v>8</v>
      </c>
      <c r="C2267" t="s">
        <v>6</v>
      </c>
      <c r="D2267">
        <v>10.08</v>
      </c>
      <c r="E2267">
        <v>8</v>
      </c>
      <c r="F2267" t="s">
        <v>16</v>
      </c>
      <c r="G2267">
        <v>55</v>
      </c>
      <c r="H2267">
        <v>15.624000000000001</v>
      </c>
      <c r="I2267">
        <v>55.000000000000007</v>
      </c>
      <c r="J2267" t="s">
        <v>20</v>
      </c>
    </row>
    <row r="2268" spans="1:10" x14ac:dyDescent="0.2">
      <c r="A2268">
        <v>12267</v>
      </c>
      <c r="B2268" t="s">
        <v>7</v>
      </c>
      <c r="C2268" t="s">
        <v>11</v>
      </c>
      <c r="D2268">
        <v>14.28</v>
      </c>
      <c r="E2268">
        <v>6</v>
      </c>
      <c r="F2268" t="s">
        <v>15</v>
      </c>
      <c r="G2268">
        <v>25</v>
      </c>
      <c r="H2268">
        <v>17.849999999999998</v>
      </c>
      <c r="I2268">
        <v>25</v>
      </c>
      <c r="J2268" t="s">
        <v>20</v>
      </c>
    </row>
    <row r="2269" spans="1:10" x14ac:dyDescent="0.2">
      <c r="A2269">
        <v>12268</v>
      </c>
      <c r="B2269" t="s">
        <v>7</v>
      </c>
      <c r="C2269" t="s">
        <v>11</v>
      </c>
      <c r="D2269">
        <v>11.08</v>
      </c>
      <c r="E2269">
        <v>1</v>
      </c>
      <c r="F2269" t="s">
        <v>14</v>
      </c>
      <c r="G2269">
        <v>10</v>
      </c>
      <c r="H2269">
        <v>12.188000000000001</v>
      </c>
      <c r="I2269">
        <v>10.000000000000009</v>
      </c>
      <c r="J2269" t="s">
        <v>20</v>
      </c>
    </row>
    <row r="2270" spans="1:10" x14ac:dyDescent="0.2">
      <c r="A2270">
        <v>12269</v>
      </c>
      <c r="B2270" t="s">
        <v>8</v>
      </c>
      <c r="C2270" t="s">
        <v>9</v>
      </c>
      <c r="D2270">
        <v>1.25</v>
      </c>
      <c r="E2270">
        <v>4</v>
      </c>
      <c r="F2270" t="s">
        <v>15</v>
      </c>
      <c r="G2270">
        <v>30</v>
      </c>
      <c r="H2270">
        <v>1.625</v>
      </c>
      <c r="I2270">
        <v>30.000000000000004</v>
      </c>
      <c r="J2270" t="s">
        <v>20</v>
      </c>
    </row>
    <row r="2271" spans="1:10" x14ac:dyDescent="0.2">
      <c r="A2271">
        <v>12270</v>
      </c>
      <c r="B2271" t="s">
        <v>7</v>
      </c>
      <c r="C2271" t="s">
        <v>11</v>
      </c>
      <c r="D2271">
        <v>13.32</v>
      </c>
      <c r="E2271">
        <v>5</v>
      </c>
      <c r="F2271" t="s">
        <v>15</v>
      </c>
      <c r="G2271">
        <v>25</v>
      </c>
      <c r="H2271">
        <v>16.649999999999999</v>
      </c>
      <c r="I2271">
        <v>24.999999999999979</v>
      </c>
      <c r="J2271" t="s">
        <v>20</v>
      </c>
    </row>
    <row r="2272" spans="1:10" x14ac:dyDescent="0.2">
      <c r="A2272">
        <v>12271</v>
      </c>
      <c r="B2272" t="s">
        <v>8</v>
      </c>
      <c r="C2272" t="s">
        <v>6</v>
      </c>
      <c r="D2272">
        <v>13.01</v>
      </c>
      <c r="E2272">
        <v>7</v>
      </c>
      <c r="F2272" t="s">
        <v>15</v>
      </c>
      <c r="G2272">
        <v>28</v>
      </c>
      <c r="H2272">
        <v>16.652799999999999</v>
      </c>
      <c r="I2272">
        <v>28.000000000000004</v>
      </c>
      <c r="J2272" t="s">
        <v>20</v>
      </c>
    </row>
    <row r="2273" spans="1:10" x14ac:dyDescent="0.2">
      <c r="A2273">
        <v>12272</v>
      </c>
      <c r="B2273" t="s">
        <v>8</v>
      </c>
      <c r="C2273" t="s">
        <v>9</v>
      </c>
      <c r="D2273">
        <v>6.93</v>
      </c>
      <c r="E2273">
        <v>8</v>
      </c>
      <c r="F2273" t="s">
        <v>16</v>
      </c>
      <c r="G2273">
        <v>60</v>
      </c>
      <c r="H2273">
        <v>11.088000000000001</v>
      </c>
      <c r="I2273">
        <v>60.000000000000028</v>
      </c>
      <c r="J2273" t="s">
        <v>20</v>
      </c>
    </row>
    <row r="2274" spans="1:10" x14ac:dyDescent="0.2">
      <c r="A2274">
        <v>12273</v>
      </c>
      <c r="B2274" t="s">
        <v>8</v>
      </c>
      <c r="C2274" t="s">
        <v>6</v>
      </c>
      <c r="D2274">
        <v>9</v>
      </c>
      <c r="E2274">
        <v>9</v>
      </c>
      <c r="F2274" t="s">
        <v>16</v>
      </c>
      <c r="G2274">
        <v>55</v>
      </c>
      <c r="H2274">
        <v>13.950000000000001</v>
      </c>
      <c r="I2274">
        <v>55.000000000000007</v>
      </c>
      <c r="J2274" t="s">
        <v>20</v>
      </c>
    </row>
    <row r="2275" spans="1:10" x14ac:dyDescent="0.2">
      <c r="A2275">
        <v>12274</v>
      </c>
      <c r="B2275" t="s">
        <v>10</v>
      </c>
      <c r="C2275" t="s">
        <v>6</v>
      </c>
      <c r="D2275">
        <v>14.65</v>
      </c>
      <c r="E2275">
        <v>6</v>
      </c>
      <c r="F2275" t="s">
        <v>15</v>
      </c>
      <c r="G2275">
        <v>28</v>
      </c>
      <c r="H2275">
        <v>18.752000000000002</v>
      </c>
      <c r="I2275">
        <v>28.000000000000004</v>
      </c>
      <c r="J2275" t="s">
        <v>20</v>
      </c>
    </row>
    <row r="2276" spans="1:10" x14ac:dyDescent="0.2">
      <c r="A2276">
        <v>12275</v>
      </c>
      <c r="B2276" t="s">
        <v>7</v>
      </c>
      <c r="C2276" t="s">
        <v>6</v>
      </c>
      <c r="D2276">
        <v>8.2200000000000006</v>
      </c>
      <c r="E2276">
        <v>10</v>
      </c>
      <c r="F2276" t="s">
        <v>16</v>
      </c>
      <c r="G2276">
        <v>55</v>
      </c>
      <c r="H2276">
        <v>12.741000000000001</v>
      </c>
      <c r="I2276">
        <v>55.000000000000007</v>
      </c>
      <c r="J2276" t="s">
        <v>20</v>
      </c>
    </row>
    <row r="2277" spans="1:10" x14ac:dyDescent="0.2">
      <c r="A2277">
        <v>12276</v>
      </c>
      <c r="B2277" t="s">
        <v>8</v>
      </c>
      <c r="C2277" t="s">
        <v>11</v>
      </c>
      <c r="D2277">
        <v>13.63</v>
      </c>
      <c r="E2277">
        <v>9</v>
      </c>
      <c r="F2277" t="s">
        <v>16</v>
      </c>
      <c r="G2277">
        <v>50</v>
      </c>
      <c r="H2277">
        <v>20.445</v>
      </c>
      <c r="I2277">
        <v>50</v>
      </c>
      <c r="J2277" t="s">
        <v>20</v>
      </c>
    </row>
    <row r="2278" spans="1:10" x14ac:dyDescent="0.2">
      <c r="A2278">
        <v>12277</v>
      </c>
      <c r="B2278" t="s">
        <v>7</v>
      </c>
      <c r="C2278" t="s">
        <v>11</v>
      </c>
      <c r="D2278">
        <v>1.7</v>
      </c>
      <c r="E2278">
        <v>4</v>
      </c>
      <c r="F2278" t="s">
        <v>15</v>
      </c>
      <c r="G2278">
        <v>25</v>
      </c>
      <c r="H2278">
        <v>2.125</v>
      </c>
      <c r="I2278">
        <v>25</v>
      </c>
      <c r="J2278" t="s">
        <v>20</v>
      </c>
    </row>
    <row r="2279" spans="1:10" x14ac:dyDescent="0.2">
      <c r="A2279">
        <v>12278</v>
      </c>
      <c r="B2279" t="s">
        <v>10</v>
      </c>
      <c r="C2279" t="s">
        <v>6</v>
      </c>
      <c r="D2279">
        <v>3.27</v>
      </c>
      <c r="E2279">
        <v>8</v>
      </c>
      <c r="F2279" t="s">
        <v>16</v>
      </c>
      <c r="G2279">
        <v>55</v>
      </c>
      <c r="H2279">
        <v>5.0685000000000002</v>
      </c>
      <c r="I2279">
        <v>55.000000000000007</v>
      </c>
      <c r="J2279" t="s">
        <v>20</v>
      </c>
    </row>
    <row r="2280" spans="1:10" x14ac:dyDescent="0.2">
      <c r="A2280">
        <v>12279</v>
      </c>
      <c r="B2280" t="s">
        <v>8</v>
      </c>
      <c r="C2280" t="s">
        <v>6</v>
      </c>
      <c r="D2280">
        <v>6.89</v>
      </c>
      <c r="E2280">
        <v>3</v>
      </c>
      <c r="F2280" t="s">
        <v>14</v>
      </c>
      <c r="G2280">
        <v>12</v>
      </c>
      <c r="H2280">
        <v>7.7168000000000001</v>
      </c>
      <c r="I2280">
        <v>12.000000000000011</v>
      </c>
      <c r="J2280" t="s">
        <v>20</v>
      </c>
    </row>
    <row r="2281" spans="1:10" x14ac:dyDescent="0.2">
      <c r="A2281">
        <v>12280</v>
      </c>
      <c r="B2281" t="s">
        <v>5</v>
      </c>
      <c r="C2281" t="s">
        <v>9</v>
      </c>
      <c r="D2281">
        <v>8.98</v>
      </c>
      <c r="E2281">
        <v>4</v>
      </c>
      <c r="F2281" t="s">
        <v>15</v>
      </c>
      <c r="G2281">
        <v>30</v>
      </c>
      <c r="H2281">
        <v>11.674000000000001</v>
      </c>
      <c r="I2281">
        <v>30.000000000000004</v>
      </c>
      <c r="J2281" t="s">
        <v>20</v>
      </c>
    </row>
    <row r="2282" spans="1:10" x14ac:dyDescent="0.2">
      <c r="A2282">
        <v>12281</v>
      </c>
      <c r="B2282" t="s">
        <v>10</v>
      </c>
      <c r="C2282" t="s">
        <v>9</v>
      </c>
      <c r="D2282">
        <v>12.34</v>
      </c>
      <c r="E2282">
        <v>10</v>
      </c>
      <c r="F2282" t="s">
        <v>16</v>
      </c>
      <c r="G2282">
        <v>60</v>
      </c>
      <c r="H2282">
        <v>19.744</v>
      </c>
      <c r="I2282">
        <v>60.000000000000007</v>
      </c>
      <c r="J2282" t="s">
        <v>20</v>
      </c>
    </row>
    <row r="2283" spans="1:10" x14ac:dyDescent="0.2">
      <c r="A2283">
        <v>12282</v>
      </c>
      <c r="B2283" t="s">
        <v>5</v>
      </c>
      <c r="C2283" t="s">
        <v>11</v>
      </c>
      <c r="D2283">
        <v>14.83</v>
      </c>
      <c r="E2283">
        <v>4</v>
      </c>
      <c r="F2283" t="s">
        <v>15</v>
      </c>
      <c r="G2283">
        <v>25</v>
      </c>
      <c r="H2283">
        <v>18.537500000000001</v>
      </c>
      <c r="I2283">
        <v>25</v>
      </c>
      <c r="J2283" t="s">
        <v>20</v>
      </c>
    </row>
    <row r="2284" spans="1:10" x14ac:dyDescent="0.2">
      <c r="A2284">
        <v>12283</v>
      </c>
      <c r="B2284" t="s">
        <v>7</v>
      </c>
      <c r="C2284" t="s">
        <v>11</v>
      </c>
      <c r="D2284">
        <v>6.14</v>
      </c>
      <c r="E2284">
        <v>6</v>
      </c>
      <c r="F2284" t="s">
        <v>15</v>
      </c>
      <c r="G2284">
        <v>25</v>
      </c>
      <c r="H2284">
        <v>7.6749999999999998</v>
      </c>
      <c r="I2284">
        <v>25</v>
      </c>
      <c r="J2284" t="s">
        <v>20</v>
      </c>
    </row>
    <row r="2285" spans="1:10" x14ac:dyDescent="0.2">
      <c r="A2285">
        <v>12284</v>
      </c>
      <c r="B2285" t="s">
        <v>7</v>
      </c>
      <c r="C2285" t="s">
        <v>9</v>
      </c>
      <c r="D2285">
        <v>1.19</v>
      </c>
      <c r="E2285">
        <v>9</v>
      </c>
      <c r="F2285" t="s">
        <v>16</v>
      </c>
      <c r="G2285">
        <v>60</v>
      </c>
      <c r="H2285">
        <v>1.9039999999999999</v>
      </c>
      <c r="I2285">
        <v>60.000000000000007</v>
      </c>
      <c r="J2285" t="s">
        <v>20</v>
      </c>
    </row>
    <row r="2286" spans="1:10" x14ac:dyDescent="0.2">
      <c r="A2286">
        <v>12285</v>
      </c>
      <c r="B2286" t="s">
        <v>10</v>
      </c>
      <c r="C2286" t="s">
        <v>6</v>
      </c>
      <c r="D2286">
        <v>12.12</v>
      </c>
      <c r="E2286">
        <v>6</v>
      </c>
      <c r="F2286" t="s">
        <v>15</v>
      </c>
      <c r="G2286">
        <v>28</v>
      </c>
      <c r="H2286">
        <v>15.513599999999999</v>
      </c>
      <c r="I2286">
        <v>28.000000000000004</v>
      </c>
      <c r="J2286" t="s">
        <v>20</v>
      </c>
    </row>
    <row r="2287" spans="1:10" x14ac:dyDescent="0.2">
      <c r="A2287">
        <v>12286</v>
      </c>
      <c r="B2287" t="s">
        <v>7</v>
      </c>
      <c r="C2287" t="s">
        <v>11</v>
      </c>
      <c r="D2287">
        <v>9.26</v>
      </c>
      <c r="E2287">
        <v>1</v>
      </c>
      <c r="F2287" t="s">
        <v>14</v>
      </c>
      <c r="G2287">
        <v>10</v>
      </c>
      <c r="H2287">
        <v>10.186</v>
      </c>
      <c r="I2287">
        <v>10.000000000000009</v>
      </c>
      <c r="J2287" t="s">
        <v>20</v>
      </c>
    </row>
    <row r="2288" spans="1:10" x14ac:dyDescent="0.2">
      <c r="A2288">
        <v>12287</v>
      </c>
      <c r="B2288" t="s">
        <v>5</v>
      </c>
      <c r="C2288" t="s">
        <v>6</v>
      </c>
      <c r="D2288">
        <v>3.38</v>
      </c>
      <c r="E2288">
        <v>5</v>
      </c>
      <c r="F2288" t="s">
        <v>15</v>
      </c>
      <c r="G2288">
        <v>28</v>
      </c>
      <c r="H2288">
        <v>4.3263999999999996</v>
      </c>
      <c r="I2288">
        <v>28.000000000000004</v>
      </c>
      <c r="J2288" t="s">
        <v>20</v>
      </c>
    </row>
    <row r="2289" spans="1:10" x14ac:dyDescent="0.2">
      <c r="A2289">
        <v>12288</v>
      </c>
      <c r="B2289" t="s">
        <v>8</v>
      </c>
      <c r="C2289" t="s">
        <v>9</v>
      </c>
      <c r="D2289">
        <v>7.68</v>
      </c>
      <c r="E2289">
        <v>9</v>
      </c>
      <c r="F2289" t="s">
        <v>16</v>
      </c>
      <c r="G2289">
        <v>60</v>
      </c>
      <c r="H2289">
        <v>12.288</v>
      </c>
      <c r="I2289">
        <v>60.000000000000007</v>
      </c>
      <c r="J2289" t="s">
        <v>20</v>
      </c>
    </row>
    <row r="2290" spans="1:10" x14ac:dyDescent="0.2">
      <c r="A2290">
        <v>12289</v>
      </c>
      <c r="B2290" t="s">
        <v>8</v>
      </c>
      <c r="C2290" t="s">
        <v>11</v>
      </c>
      <c r="D2290">
        <v>11.26</v>
      </c>
      <c r="E2290">
        <v>5</v>
      </c>
      <c r="F2290" t="s">
        <v>15</v>
      </c>
      <c r="G2290">
        <v>25</v>
      </c>
      <c r="H2290">
        <v>14.074999999999999</v>
      </c>
      <c r="I2290">
        <v>25</v>
      </c>
      <c r="J2290" t="s">
        <v>20</v>
      </c>
    </row>
    <row r="2291" spans="1:10" x14ac:dyDescent="0.2">
      <c r="A2291">
        <v>12290</v>
      </c>
      <c r="B2291" t="s">
        <v>8</v>
      </c>
      <c r="C2291" t="s">
        <v>11</v>
      </c>
      <c r="D2291">
        <v>11.67</v>
      </c>
      <c r="E2291">
        <v>6</v>
      </c>
      <c r="F2291" t="s">
        <v>15</v>
      </c>
      <c r="G2291">
        <v>25</v>
      </c>
      <c r="H2291">
        <v>14.5875</v>
      </c>
      <c r="I2291">
        <v>25</v>
      </c>
      <c r="J2291" t="s">
        <v>20</v>
      </c>
    </row>
    <row r="2292" spans="1:10" x14ac:dyDescent="0.2">
      <c r="A2292">
        <v>12291</v>
      </c>
      <c r="B2292" t="s">
        <v>10</v>
      </c>
      <c r="C2292" t="s">
        <v>9</v>
      </c>
      <c r="D2292">
        <v>7.74</v>
      </c>
      <c r="E2292">
        <v>3</v>
      </c>
      <c r="F2292" t="s">
        <v>14</v>
      </c>
      <c r="G2292">
        <v>15</v>
      </c>
      <c r="H2292">
        <v>8.9009999999999998</v>
      </c>
      <c r="I2292">
        <v>14.999999999999991</v>
      </c>
      <c r="J2292" t="s">
        <v>20</v>
      </c>
    </row>
    <row r="2293" spans="1:10" x14ac:dyDescent="0.2">
      <c r="A2293">
        <v>12292</v>
      </c>
      <c r="B2293" t="s">
        <v>7</v>
      </c>
      <c r="C2293" t="s">
        <v>11</v>
      </c>
      <c r="D2293">
        <v>4.93</v>
      </c>
      <c r="E2293">
        <v>8</v>
      </c>
      <c r="F2293" t="s">
        <v>16</v>
      </c>
      <c r="G2293">
        <v>50</v>
      </c>
      <c r="H2293">
        <v>7.3949999999999996</v>
      </c>
      <c r="I2293">
        <v>50</v>
      </c>
      <c r="J2293" t="s">
        <v>20</v>
      </c>
    </row>
    <row r="2294" spans="1:10" x14ac:dyDescent="0.2">
      <c r="A2294">
        <v>12293</v>
      </c>
      <c r="B2294" t="s">
        <v>5</v>
      </c>
      <c r="C2294" t="s">
        <v>9</v>
      </c>
      <c r="D2294">
        <v>14.62</v>
      </c>
      <c r="E2294">
        <v>10</v>
      </c>
      <c r="F2294" t="s">
        <v>16</v>
      </c>
      <c r="G2294">
        <v>60</v>
      </c>
      <c r="H2294">
        <v>23.391999999999999</v>
      </c>
      <c r="I2294">
        <v>60.000000000000007</v>
      </c>
      <c r="J2294" t="s">
        <v>20</v>
      </c>
    </row>
    <row r="2295" spans="1:10" x14ac:dyDescent="0.2">
      <c r="A2295">
        <v>12294</v>
      </c>
      <c r="B2295" t="s">
        <v>7</v>
      </c>
      <c r="C2295" t="s">
        <v>11</v>
      </c>
      <c r="D2295">
        <v>10.119999999999999</v>
      </c>
      <c r="E2295">
        <v>4</v>
      </c>
      <c r="F2295" t="s">
        <v>15</v>
      </c>
      <c r="G2295">
        <v>25</v>
      </c>
      <c r="H2295">
        <v>12.649999999999999</v>
      </c>
      <c r="I2295">
        <v>25</v>
      </c>
      <c r="J2295" t="s">
        <v>20</v>
      </c>
    </row>
    <row r="2296" spans="1:10" x14ac:dyDescent="0.2">
      <c r="A2296">
        <v>12295</v>
      </c>
      <c r="B2296" t="s">
        <v>7</v>
      </c>
      <c r="C2296" t="s">
        <v>9</v>
      </c>
      <c r="D2296">
        <v>6.42</v>
      </c>
      <c r="E2296">
        <v>4</v>
      </c>
      <c r="F2296" t="s">
        <v>15</v>
      </c>
      <c r="G2296">
        <v>30</v>
      </c>
      <c r="H2296">
        <v>8.3460000000000001</v>
      </c>
      <c r="I2296">
        <v>30.000000000000004</v>
      </c>
      <c r="J2296" t="s">
        <v>20</v>
      </c>
    </row>
    <row r="2297" spans="1:10" x14ac:dyDescent="0.2">
      <c r="A2297">
        <v>12296</v>
      </c>
      <c r="B2297" t="s">
        <v>7</v>
      </c>
      <c r="C2297" t="s">
        <v>11</v>
      </c>
      <c r="D2297">
        <v>4.57</v>
      </c>
      <c r="E2297">
        <v>5</v>
      </c>
      <c r="F2297" t="s">
        <v>15</v>
      </c>
      <c r="G2297">
        <v>25</v>
      </c>
      <c r="H2297">
        <v>5.7125000000000004</v>
      </c>
      <c r="I2297">
        <v>25</v>
      </c>
      <c r="J2297" t="s">
        <v>20</v>
      </c>
    </row>
    <row r="2298" spans="1:10" x14ac:dyDescent="0.2">
      <c r="A2298">
        <v>12297</v>
      </c>
      <c r="B2298" t="s">
        <v>8</v>
      </c>
      <c r="C2298" t="s">
        <v>6</v>
      </c>
      <c r="D2298">
        <v>11.1</v>
      </c>
      <c r="E2298">
        <v>10</v>
      </c>
      <c r="F2298" t="s">
        <v>16</v>
      </c>
      <c r="G2298">
        <v>55</v>
      </c>
      <c r="H2298">
        <v>17.204999999999998</v>
      </c>
      <c r="I2298">
        <v>54.999999999999986</v>
      </c>
      <c r="J2298" t="s">
        <v>20</v>
      </c>
    </row>
    <row r="2299" spans="1:10" x14ac:dyDescent="0.2">
      <c r="A2299">
        <v>12298</v>
      </c>
      <c r="B2299" t="s">
        <v>5</v>
      </c>
      <c r="C2299" t="s">
        <v>6</v>
      </c>
      <c r="D2299">
        <v>4.01</v>
      </c>
      <c r="E2299">
        <v>9</v>
      </c>
      <c r="F2299" t="s">
        <v>16</v>
      </c>
      <c r="G2299">
        <v>55</v>
      </c>
      <c r="H2299">
        <v>6.2154999999999996</v>
      </c>
      <c r="I2299">
        <v>55.000000000000007</v>
      </c>
      <c r="J2299" t="s">
        <v>20</v>
      </c>
    </row>
    <row r="2300" spans="1:10" x14ac:dyDescent="0.2">
      <c r="A2300">
        <v>12299</v>
      </c>
      <c r="B2300" t="s">
        <v>5</v>
      </c>
      <c r="C2300" t="s">
        <v>6</v>
      </c>
      <c r="D2300">
        <v>2.99</v>
      </c>
      <c r="E2300">
        <v>8</v>
      </c>
      <c r="F2300" t="s">
        <v>16</v>
      </c>
      <c r="G2300">
        <v>55</v>
      </c>
      <c r="H2300">
        <v>4.6345000000000001</v>
      </c>
      <c r="I2300">
        <v>54.999999999999986</v>
      </c>
      <c r="J2300" t="s">
        <v>20</v>
      </c>
    </row>
    <row r="2301" spans="1:10" x14ac:dyDescent="0.2">
      <c r="A2301">
        <v>12300</v>
      </c>
      <c r="B2301" t="s">
        <v>7</v>
      </c>
      <c r="C2301" t="s">
        <v>11</v>
      </c>
      <c r="D2301">
        <v>8.18</v>
      </c>
      <c r="E2301">
        <v>7</v>
      </c>
      <c r="F2301" t="s">
        <v>15</v>
      </c>
      <c r="G2301">
        <v>25</v>
      </c>
      <c r="H2301">
        <v>10.225</v>
      </c>
      <c r="I2301">
        <v>25</v>
      </c>
      <c r="J2301" t="s">
        <v>20</v>
      </c>
    </row>
    <row r="2302" spans="1:10" x14ac:dyDescent="0.2">
      <c r="A2302">
        <v>12301</v>
      </c>
      <c r="B2302" t="s">
        <v>8</v>
      </c>
      <c r="C2302" t="s">
        <v>11</v>
      </c>
      <c r="D2302">
        <v>4.7</v>
      </c>
      <c r="E2302">
        <v>5</v>
      </c>
      <c r="F2302" t="s">
        <v>15</v>
      </c>
      <c r="G2302">
        <v>25</v>
      </c>
      <c r="H2302">
        <v>5.875</v>
      </c>
      <c r="I2302">
        <v>25</v>
      </c>
      <c r="J2302" t="s">
        <v>20</v>
      </c>
    </row>
    <row r="2303" spans="1:10" x14ac:dyDescent="0.2">
      <c r="A2303">
        <v>12302</v>
      </c>
      <c r="B2303" t="s">
        <v>8</v>
      </c>
      <c r="C2303" t="s">
        <v>6</v>
      </c>
      <c r="D2303">
        <v>9.6199999999999992</v>
      </c>
      <c r="E2303">
        <v>9</v>
      </c>
      <c r="F2303" t="s">
        <v>16</v>
      </c>
      <c r="G2303">
        <v>55</v>
      </c>
      <c r="H2303">
        <v>14.911</v>
      </c>
      <c r="I2303">
        <v>55.000000000000007</v>
      </c>
      <c r="J2303" t="s">
        <v>20</v>
      </c>
    </row>
    <row r="2304" spans="1:10" x14ac:dyDescent="0.2">
      <c r="A2304">
        <v>12303</v>
      </c>
      <c r="B2304" t="s">
        <v>5</v>
      </c>
      <c r="C2304" t="s">
        <v>6</v>
      </c>
      <c r="D2304">
        <v>2.21</v>
      </c>
      <c r="E2304">
        <v>9</v>
      </c>
      <c r="F2304" t="s">
        <v>16</v>
      </c>
      <c r="G2304">
        <v>55</v>
      </c>
      <c r="H2304">
        <v>3.4255</v>
      </c>
      <c r="I2304">
        <v>55.000000000000007</v>
      </c>
      <c r="J2304" t="s">
        <v>20</v>
      </c>
    </row>
    <row r="2305" spans="1:10" x14ac:dyDescent="0.2">
      <c r="A2305">
        <v>12304</v>
      </c>
      <c r="B2305" t="s">
        <v>8</v>
      </c>
      <c r="C2305" t="s">
        <v>9</v>
      </c>
      <c r="D2305">
        <v>10</v>
      </c>
      <c r="E2305">
        <v>10</v>
      </c>
      <c r="F2305" t="s">
        <v>16</v>
      </c>
      <c r="G2305">
        <v>60</v>
      </c>
      <c r="H2305">
        <v>16</v>
      </c>
      <c r="I2305">
        <v>60.000000000000007</v>
      </c>
      <c r="J2305" t="s">
        <v>20</v>
      </c>
    </row>
    <row r="2306" spans="1:10" x14ac:dyDescent="0.2">
      <c r="A2306">
        <v>12305</v>
      </c>
      <c r="B2306" t="s">
        <v>8</v>
      </c>
      <c r="C2306" t="s">
        <v>9</v>
      </c>
      <c r="D2306">
        <v>4.6100000000000003</v>
      </c>
      <c r="E2306">
        <v>10</v>
      </c>
      <c r="F2306" t="s">
        <v>16</v>
      </c>
      <c r="G2306">
        <v>60</v>
      </c>
      <c r="H2306">
        <v>7.3760000000000012</v>
      </c>
      <c r="I2306">
        <v>60.000000000000007</v>
      </c>
      <c r="J2306" t="s">
        <v>20</v>
      </c>
    </row>
    <row r="2307" spans="1:10" x14ac:dyDescent="0.2">
      <c r="A2307">
        <v>12306</v>
      </c>
      <c r="B2307" t="s">
        <v>8</v>
      </c>
      <c r="C2307" t="s">
        <v>9</v>
      </c>
      <c r="D2307">
        <v>0.5</v>
      </c>
      <c r="E2307">
        <v>2</v>
      </c>
      <c r="F2307" t="s">
        <v>14</v>
      </c>
      <c r="G2307">
        <v>15</v>
      </c>
      <c r="H2307">
        <v>0.57499999999999996</v>
      </c>
      <c r="I2307">
        <v>14.999999999999991</v>
      </c>
      <c r="J2307" t="s">
        <v>20</v>
      </c>
    </row>
    <row r="2308" spans="1:10" x14ac:dyDescent="0.2">
      <c r="A2308">
        <v>12307</v>
      </c>
      <c r="B2308" t="s">
        <v>10</v>
      </c>
      <c r="C2308" t="s">
        <v>6</v>
      </c>
      <c r="D2308">
        <v>2.34</v>
      </c>
      <c r="E2308">
        <v>4</v>
      </c>
      <c r="F2308" t="s">
        <v>15</v>
      </c>
      <c r="G2308">
        <v>28</v>
      </c>
      <c r="H2308">
        <v>2.9952000000000001</v>
      </c>
      <c r="I2308">
        <v>28.000000000000004</v>
      </c>
      <c r="J2308" t="s">
        <v>20</v>
      </c>
    </row>
    <row r="2309" spans="1:10" x14ac:dyDescent="0.2">
      <c r="A2309">
        <v>12308</v>
      </c>
      <c r="B2309" t="s">
        <v>7</v>
      </c>
      <c r="C2309" t="s">
        <v>6</v>
      </c>
      <c r="D2309">
        <v>14.04</v>
      </c>
      <c r="E2309">
        <v>8</v>
      </c>
      <c r="F2309" t="s">
        <v>16</v>
      </c>
      <c r="G2309">
        <v>55</v>
      </c>
      <c r="H2309">
        <v>21.762</v>
      </c>
      <c r="I2309">
        <v>55.000000000000007</v>
      </c>
      <c r="J2309" t="s">
        <v>20</v>
      </c>
    </row>
    <row r="2310" spans="1:10" x14ac:dyDescent="0.2">
      <c r="A2310">
        <v>12309</v>
      </c>
      <c r="B2310" t="s">
        <v>5</v>
      </c>
      <c r="C2310" t="s">
        <v>6</v>
      </c>
      <c r="D2310">
        <v>13.08</v>
      </c>
      <c r="E2310">
        <v>1</v>
      </c>
      <c r="F2310" t="s">
        <v>14</v>
      </c>
      <c r="G2310">
        <v>12</v>
      </c>
      <c r="H2310">
        <v>14.649600000000001</v>
      </c>
      <c r="I2310">
        <v>12.000000000000011</v>
      </c>
      <c r="J2310" t="s">
        <v>20</v>
      </c>
    </row>
    <row r="2311" spans="1:10" x14ac:dyDescent="0.2">
      <c r="A2311">
        <v>12310</v>
      </c>
      <c r="B2311" t="s">
        <v>5</v>
      </c>
      <c r="C2311" t="s">
        <v>9</v>
      </c>
      <c r="D2311">
        <v>3.89</v>
      </c>
      <c r="E2311">
        <v>5</v>
      </c>
      <c r="F2311" t="s">
        <v>15</v>
      </c>
      <c r="G2311">
        <v>30</v>
      </c>
      <c r="H2311">
        <v>5.0570000000000004</v>
      </c>
      <c r="I2311">
        <v>30.000000000000004</v>
      </c>
      <c r="J2311" t="s">
        <v>20</v>
      </c>
    </row>
    <row r="2312" spans="1:10" x14ac:dyDescent="0.2">
      <c r="A2312">
        <v>12311</v>
      </c>
      <c r="B2312" t="s">
        <v>10</v>
      </c>
      <c r="C2312" t="s">
        <v>11</v>
      </c>
      <c r="D2312">
        <v>11.79</v>
      </c>
      <c r="E2312">
        <v>8</v>
      </c>
      <c r="F2312" t="s">
        <v>16</v>
      </c>
      <c r="G2312">
        <v>50</v>
      </c>
      <c r="H2312">
        <v>17.684999999999999</v>
      </c>
      <c r="I2312">
        <v>50</v>
      </c>
      <c r="J2312" t="s">
        <v>20</v>
      </c>
    </row>
    <row r="2313" spans="1:10" x14ac:dyDescent="0.2">
      <c r="A2313">
        <v>12312</v>
      </c>
      <c r="B2313" t="s">
        <v>7</v>
      </c>
      <c r="C2313" t="s">
        <v>6</v>
      </c>
      <c r="D2313">
        <v>9.32</v>
      </c>
      <c r="E2313">
        <v>2</v>
      </c>
      <c r="F2313" t="s">
        <v>14</v>
      </c>
      <c r="G2313">
        <v>12</v>
      </c>
      <c r="H2313">
        <v>10.438400000000001</v>
      </c>
      <c r="I2313">
        <v>12.000000000000011</v>
      </c>
      <c r="J2313" t="s">
        <v>20</v>
      </c>
    </row>
    <row r="2314" spans="1:10" x14ac:dyDescent="0.2">
      <c r="A2314">
        <v>12313</v>
      </c>
      <c r="B2314" t="s">
        <v>5</v>
      </c>
      <c r="C2314" t="s">
        <v>11</v>
      </c>
      <c r="D2314">
        <v>14.58</v>
      </c>
      <c r="E2314">
        <v>2</v>
      </c>
      <c r="F2314" t="s">
        <v>14</v>
      </c>
      <c r="G2314">
        <v>10</v>
      </c>
      <c r="H2314">
        <v>16.038</v>
      </c>
      <c r="I2314">
        <v>10.000000000000009</v>
      </c>
      <c r="J2314" t="s">
        <v>20</v>
      </c>
    </row>
    <row r="2315" spans="1:10" x14ac:dyDescent="0.2">
      <c r="A2315">
        <v>12314</v>
      </c>
      <c r="B2315" t="s">
        <v>8</v>
      </c>
      <c r="C2315" t="s">
        <v>11</v>
      </c>
      <c r="D2315">
        <v>5.92</v>
      </c>
      <c r="E2315">
        <v>8</v>
      </c>
      <c r="F2315" t="s">
        <v>16</v>
      </c>
      <c r="G2315">
        <v>50</v>
      </c>
      <c r="H2315">
        <v>8.879999999999999</v>
      </c>
      <c r="I2315">
        <v>49.999999999999979</v>
      </c>
      <c r="J2315" t="s">
        <v>20</v>
      </c>
    </row>
    <row r="2316" spans="1:10" x14ac:dyDescent="0.2">
      <c r="A2316">
        <v>12315</v>
      </c>
      <c r="B2316" t="s">
        <v>5</v>
      </c>
      <c r="C2316" t="s">
        <v>11</v>
      </c>
      <c r="D2316">
        <v>10.38</v>
      </c>
      <c r="E2316">
        <v>10</v>
      </c>
      <c r="F2316" t="s">
        <v>16</v>
      </c>
      <c r="G2316">
        <v>50</v>
      </c>
      <c r="H2316">
        <v>15.57</v>
      </c>
      <c r="I2316">
        <v>50</v>
      </c>
      <c r="J2316" t="s">
        <v>20</v>
      </c>
    </row>
    <row r="2317" spans="1:10" x14ac:dyDescent="0.2">
      <c r="A2317">
        <v>12316</v>
      </c>
      <c r="B2317" t="s">
        <v>8</v>
      </c>
      <c r="C2317" t="s">
        <v>9</v>
      </c>
      <c r="D2317">
        <v>1.42</v>
      </c>
      <c r="E2317">
        <v>9</v>
      </c>
      <c r="F2317" t="s">
        <v>16</v>
      </c>
      <c r="G2317">
        <v>60</v>
      </c>
      <c r="H2317">
        <v>2.2719999999999998</v>
      </c>
      <c r="I2317">
        <v>59.999999999999986</v>
      </c>
      <c r="J2317" t="s">
        <v>20</v>
      </c>
    </row>
    <row r="2318" spans="1:10" x14ac:dyDescent="0.2">
      <c r="A2318">
        <v>12317</v>
      </c>
      <c r="B2318" t="s">
        <v>10</v>
      </c>
      <c r="C2318" t="s">
        <v>11</v>
      </c>
      <c r="D2318">
        <v>6.25</v>
      </c>
      <c r="E2318">
        <v>7</v>
      </c>
      <c r="F2318" t="s">
        <v>15</v>
      </c>
      <c r="G2318">
        <v>25</v>
      </c>
      <c r="H2318">
        <v>7.8125</v>
      </c>
      <c r="I2318">
        <v>25</v>
      </c>
      <c r="J2318" t="s">
        <v>20</v>
      </c>
    </row>
    <row r="2319" spans="1:10" x14ac:dyDescent="0.2">
      <c r="A2319">
        <v>12318</v>
      </c>
      <c r="B2319" t="s">
        <v>8</v>
      </c>
      <c r="C2319" t="s">
        <v>6</v>
      </c>
      <c r="D2319">
        <v>14.48</v>
      </c>
      <c r="E2319">
        <v>8</v>
      </c>
      <c r="F2319" t="s">
        <v>16</v>
      </c>
      <c r="G2319">
        <v>55</v>
      </c>
      <c r="H2319">
        <v>22.444000000000003</v>
      </c>
      <c r="I2319">
        <v>55.000000000000007</v>
      </c>
      <c r="J2319" t="s">
        <v>20</v>
      </c>
    </row>
    <row r="2320" spans="1:10" x14ac:dyDescent="0.2">
      <c r="A2320">
        <v>12319</v>
      </c>
      <c r="B2320" t="s">
        <v>5</v>
      </c>
      <c r="C2320" t="s">
        <v>9</v>
      </c>
      <c r="D2320">
        <v>8.32</v>
      </c>
      <c r="E2320">
        <v>5</v>
      </c>
      <c r="F2320" t="s">
        <v>15</v>
      </c>
      <c r="G2320">
        <v>30</v>
      </c>
      <c r="H2320">
        <v>10.816000000000001</v>
      </c>
      <c r="I2320">
        <v>30.000000000000004</v>
      </c>
      <c r="J2320" t="s">
        <v>20</v>
      </c>
    </row>
    <row r="2321" spans="1:10" x14ac:dyDescent="0.2">
      <c r="A2321">
        <v>12320</v>
      </c>
      <c r="B2321" t="s">
        <v>5</v>
      </c>
      <c r="C2321" t="s">
        <v>6</v>
      </c>
      <c r="D2321">
        <v>4.67</v>
      </c>
      <c r="E2321">
        <v>1</v>
      </c>
      <c r="F2321" t="s">
        <v>14</v>
      </c>
      <c r="G2321">
        <v>12</v>
      </c>
      <c r="H2321">
        <v>5.2304000000000004</v>
      </c>
      <c r="I2321">
        <v>12.000000000000011</v>
      </c>
      <c r="J2321" t="s">
        <v>20</v>
      </c>
    </row>
    <row r="2322" spans="1:10" x14ac:dyDescent="0.2">
      <c r="A2322">
        <v>12321</v>
      </c>
      <c r="B2322" t="s">
        <v>5</v>
      </c>
      <c r="C2322" t="s">
        <v>6</v>
      </c>
      <c r="D2322">
        <v>2.2400000000000002</v>
      </c>
      <c r="E2322">
        <v>4</v>
      </c>
      <c r="F2322" t="s">
        <v>15</v>
      </c>
      <c r="G2322">
        <v>28</v>
      </c>
      <c r="H2322">
        <v>2.8672000000000004</v>
      </c>
      <c r="I2322">
        <v>28.000000000000004</v>
      </c>
      <c r="J2322" t="s">
        <v>20</v>
      </c>
    </row>
    <row r="2323" spans="1:10" x14ac:dyDescent="0.2">
      <c r="A2323">
        <v>12322</v>
      </c>
      <c r="B2323" t="s">
        <v>10</v>
      </c>
      <c r="C2323" t="s">
        <v>9</v>
      </c>
      <c r="D2323">
        <v>10.7</v>
      </c>
      <c r="E2323">
        <v>2</v>
      </c>
      <c r="F2323" t="s">
        <v>14</v>
      </c>
      <c r="G2323">
        <v>15</v>
      </c>
      <c r="H2323">
        <v>12.304999999999998</v>
      </c>
      <c r="I2323">
        <v>14.999999999999991</v>
      </c>
      <c r="J2323" t="s">
        <v>20</v>
      </c>
    </row>
    <row r="2324" spans="1:10" x14ac:dyDescent="0.2">
      <c r="A2324">
        <v>12323</v>
      </c>
      <c r="B2324" t="s">
        <v>10</v>
      </c>
      <c r="C2324" t="s">
        <v>6</v>
      </c>
      <c r="D2324">
        <v>9.85</v>
      </c>
      <c r="E2324">
        <v>3</v>
      </c>
      <c r="F2324" t="s">
        <v>14</v>
      </c>
      <c r="G2324">
        <v>12</v>
      </c>
      <c r="H2324">
        <v>11.032</v>
      </c>
      <c r="I2324">
        <v>12.000000000000011</v>
      </c>
      <c r="J2324" t="s">
        <v>20</v>
      </c>
    </row>
    <row r="2325" spans="1:10" x14ac:dyDescent="0.2">
      <c r="A2325">
        <v>12324</v>
      </c>
      <c r="B2325" t="s">
        <v>7</v>
      </c>
      <c r="C2325" t="s">
        <v>6</v>
      </c>
      <c r="D2325">
        <v>5.92</v>
      </c>
      <c r="E2325">
        <v>3</v>
      </c>
      <c r="F2325" t="s">
        <v>14</v>
      </c>
      <c r="G2325">
        <v>12</v>
      </c>
      <c r="H2325">
        <v>6.6304000000000007</v>
      </c>
      <c r="I2325">
        <v>12.000000000000011</v>
      </c>
      <c r="J2325" t="s">
        <v>20</v>
      </c>
    </row>
    <row r="2326" spans="1:10" x14ac:dyDescent="0.2">
      <c r="A2326">
        <v>12325</v>
      </c>
      <c r="B2326" t="s">
        <v>5</v>
      </c>
      <c r="C2326" t="s">
        <v>9</v>
      </c>
      <c r="D2326">
        <v>14.29</v>
      </c>
      <c r="E2326">
        <v>9</v>
      </c>
      <c r="F2326" t="s">
        <v>16</v>
      </c>
      <c r="G2326">
        <v>60</v>
      </c>
      <c r="H2326">
        <v>22.864000000000001</v>
      </c>
      <c r="I2326">
        <v>60.000000000000007</v>
      </c>
      <c r="J2326" t="s">
        <v>20</v>
      </c>
    </row>
    <row r="2327" spans="1:10" x14ac:dyDescent="0.2">
      <c r="A2327">
        <v>12326</v>
      </c>
      <c r="B2327" t="s">
        <v>8</v>
      </c>
      <c r="C2327" t="s">
        <v>6</v>
      </c>
      <c r="D2327">
        <v>0.82</v>
      </c>
      <c r="E2327">
        <v>10</v>
      </c>
      <c r="F2327" t="s">
        <v>16</v>
      </c>
      <c r="G2327">
        <v>55</v>
      </c>
      <c r="H2327">
        <v>1.2709999999999999</v>
      </c>
      <c r="I2327">
        <v>55.000000000000007</v>
      </c>
      <c r="J2327" t="s">
        <v>20</v>
      </c>
    </row>
    <row r="2328" spans="1:10" x14ac:dyDescent="0.2">
      <c r="A2328">
        <v>12327</v>
      </c>
      <c r="B2328" t="s">
        <v>10</v>
      </c>
      <c r="C2328" t="s">
        <v>11</v>
      </c>
      <c r="D2328">
        <v>4.9000000000000004</v>
      </c>
      <c r="E2328">
        <v>4</v>
      </c>
      <c r="F2328" t="s">
        <v>15</v>
      </c>
      <c r="G2328">
        <v>25</v>
      </c>
      <c r="H2328">
        <v>6.125</v>
      </c>
      <c r="I2328">
        <v>25</v>
      </c>
      <c r="J2328" t="s">
        <v>20</v>
      </c>
    </row>
    <row r="2329" spans="1:10" x14ac:dyDescent="0.2">
      <c r="A2329">
        <v>12328</v>
      </c>
      <c r="B2329" t="s">
        <v>5</v>
      </c>
      <c r="C2329" t="s">
        <v>6</v>
      </c>
      <c r="D2329">
        <v>13.86</v>
      </c>
      <c r="E2329">
        <v>2</v>
      </c>
      <c r="F2329" t="s">
        <v>14</v>
      </c>
      <c r="G2329">
        <v>12</v>
      </c>
      <c r="H2329">
        <v>15.523200000000001</v>
      </c>
      <c r="I2329">
        <v>12.000000000000011</v>
      </c>
      <c r="J2329" t="s">
        <v>20</v>
      </c>
    </row>
    <row r="2330" spans="1:10" x14ac:dyDescent="0.2">
      <c r="A2330">
        <v>12329</v>
      </c>
      <c r="B2330" t="s">
        <v>5</v>
      </c>
      <c r="C2330" t="s">
        <v>11</v>
      </c>
      <c r="D2330">
        <v>5.15</v>
      </c>
      <c r="E2330">
        <v>3</v>
      </c>
      <c r="F2330" t="s">
        <v>14</v>
      </c>
      <c r="G2330">
        <v>10</v>
      </c>
      <c r="H2330">
        <v>5.6650000000000009</v>
      </c>
      <c r="I2330">
        <v>10.000000000000009</v>
      </c>
      <c r="J2330" t="s">
        <v>20</v>
      </c>
    </row>
    <row r="2331" spans="1:10" x14ac:dyDescent="0.2">
      <c r="A2331">
        <v>12330</v>
      </c>
      <c r="B2331" t="s">
        <v>10</v>
      </c>
      <c r="C2331" t="s">
        <v>6</v>
      </c>
      <c r="D2331">
        <v>4.16</v>
      </c>
      <c r="E2331">
        <v>3</v>
      </c>
      <c r="F2331" t="s">
        <v>14</v>
      </c>
      <c r="G2331">
        <v>12</v>
      </c>
      <c r="H2331">
        <v>4.6592000000000002</v>
      </c>
      <c r="I2331">
        <v>12.000000000000011</v>
      </c>
      <c r="J2331" t="s">
        <v>20</v>
      </c>
    </row>
    <row r="2332" spans="1:10" x14ac:dyDescent="0.2">
      <c r="A2332">
        <v>12331</v>
      </c>
      <c r="B2332" t="s">
        <v>7</v>
      </c>
      <c r="C2332" t="s">
        <v>9</v>
      </c>
      <c r="D2332">
        <v>8.25</v>
      </c>
      <c r="E2332">
        <v>7</v>
      </c>
      <c r="F2332" t="s">
        <v>15</v>
      </c>
      <c r="G2332">
        <v>30</v>
      </c>
      <c r="H2332">
        <v>10.725</v>
      </c>
      <c r="I2332">
        <v>30.000000000000004</v>
      </c>
      <c r="J2332" t="s">
        <v>20</v>
      </c>
    </row>
    <row r="2333" spans="1:10" x14ac:dyDescent="0.2">
      <c r="A2333">
        <v>12332</v>
      </c>
      <c r="B2333" t="s">
        <v>10</v>
      </c>
      <c r="C2333" t="s">
        <v>9</v>
      </c>
      <c r="D2333">
        <v>12.45</v>
      </c>
      <c r="E2333">
        <v>8</v>
      </c>
      <c r="F2333" t="s">
        <v>16</v>
      </c>
      <c r="G2333">
        <v>60</v>
      </c>
      <c r="H2333">
        <v>19.920000000000002</v>
      </c>
      <c r="I2333">
        <v>60.000000000000028</v>
      </c>
      <c r="J2333" t="s">
        <v>20</v>
      </c>
    </row>
    <row r="2334" spans="1:10" x14ac:dyDescent="0.2">
      <c r="A2334">
        <v>12333</v>
      </c>
      <c r="B2334" t="s">
        <v>10</v>
      </c>
      <c r="C2334" t="s">
        <v>6</v>
      </c>
      <c r="D2334">
        <v>2</v>
      </c>
      <c r="E2334">
        <v>6</v>
      </c>
      <c r="F2334" t="s">
        <v>15</v>
      </c>
      <c r="G2334">
        <v>28</v>
      </c>
      <c r="H2334">
        <v>2.56</v>
      </c>
      <c r="I2334">
        <v>28.000000000000004</v>
      </c>
      <c r="J2334" t="s">
        <v>20</v>
      </c>
    </row>
    <row r="2335" spans="1:10" x14ac:dyDescent="0.2">
      <c r="A2335">
        <v>12334</v>
      </c>
      <c r="B2335" t="s">
        <v>8</v>
      </c>
      <c r="C2335" t="s">
        <v>9</v>
      </c>
      <c r="D2335">
        <v>14.17</v>
      </c>
      <c r="E2335">
        <v>4</v>
      </c>
      <c r="F2335" t="s">
        <v>15</v>
      </c>
      <c r="G2335">
        <v>30</v>
      </c>
      <c r="H2335">
        <v>18.420999999999999</v>
      </c>
      <c r="I2335">
        <v>30.000000000000004</v>
      </c>
      <c r="J2335" t="s">
        <v>20</v>
      </c>
    </row>
    <row r="2336" spans="1:10" x14ac:dyDescent="0.2">
      <c r="A2336">
        <v>12335</v>
      </c>
      <c r="B2336" t="s">
        <v>8</v>
      </c>
      <c r="C2336" t="s">
        <v>6</v>
      </c>
      <c r="D2336">
        <v>12.03</v>
      </c>
      <c r="E2336">
        <v>6</v>
      </c>
      <c r="F2336" t="s">
        <v>15</v>
      </c>
      <c r="G2336">
        <v>28</v>
      </c>
      <c r="H2336">
        <v>15.398399999999999</v>
      </c>
      <c r="I2336">
        <v>28.000000000000004</v>
      </c>
      <c r="J2336" t="s">
        <v>20</v>
      </c>
    </row>
    <row r="2337" spans="1:10" x14ac:dyDescent="0.2">
      <c r="A2337">
        <v>12336</v>
      </c>
      <c r="B2337" t="s">
        <v>7</v>
      </c>
      <c r="C2337" t="s">
        <v>9</v>
      </c>
      <c r="D2337">
        <v>3.13</v>
      </c>
      <c r="E2337">
        <v>1</v>
      </c>
      <c r="F2337" t="s">
        <v>14</v>
      </c>
      <c r="G2337">
        <v>15</v>
      </c>
      <c r="H2337">
        <v>3.5994999999999995</v>
      </c>
      <c r="I2337">
        <v>14.999999999999991</v>
      </c>
      <c r="J2337" t="s">
        <v>20</v>
      </c>
    </row>
    <row r="2338" spans="1:10" x14ac:dyDescent="0.2">
      <c r="A2338">
        <v>12337</v>
      </c>
      <c r="B2338" t="s">
        <v>5</v>
      </c>
      <c r="C2338" t="s">
        <v>11</v>
      </c>
      <c r="D2338">
        <v>10.82</v>
      </c>
      <c r="E2338">
        <v>10</v>
      </c>
      <c r="F2338" t="s">
        <v>16</v>
      </c>
      <c r="G2338">
        <v>50</v>
      </c>
      <c r="H2338">
        <v>16.23</v>
      </c>
      <c r="I2338">
        <v>50</v>
      </c>
      <c r="J2338" t="s">
        <v>20</v>
      </c>
    </row>
    <row r="2339" spans="1:10" x14ac:dyDescent="0.2">
      <c r="A2339">
        <v>12338</v>
      </c>
      <c r="B2339" t="s">
        <v>10</v>
      </c>
      <c r="C2339" t="s">
        <v>6</v>
      </c>
      <c r="D2339">
        <v>6.08</v>
      </c>
      <c r="E2339">
        <v>8</v>
      </c>
      <c r="F2339" t="s">
        <v>16</v>
      </c>
      <c r="G2339">
        <v>55</v>
      </c>
      <c r="H2339">
        <v>9.4240000000000013</v>
      </c>
      <c r="I2339">
        <v>55.000000000000028</v>
      </c>
      <c r="J2339" t="s">
        <v>20</v>
      </c>
    </row>
    <row r="2340" spans="1:10" x14ac:dyDescent="0.2">
      <c r="A2340">
        <v>12339</v>
      </c>
      <c r="B2340" t="s">
        <v>7</v>
      </c>
      <c r="C2340" t="s">
        <v>11</v>
      </c>
      <c r="D2340">
        <v>6.33</v>
      </c>
      <c r="E2340">
        <v>1</v>
      </c>
      <c r="F2340" t="s">
        <v>14</v>
      </c>
      <c r="G2340">
        <v>10</v>
      </c>
      <c r="H2340">
        <v>6.963000000000001</v>
      </c>
      <c r="I2340">
        <v>10.000000000000009</v>
      </c>
      <c r="J2340" t="s">
        <v>20</v>
      </c>
    </row>
    <row r="2341" spans="1:10" x14ac:dyDescent="0.2">
      <c r="A2341">
        <v>12340</v>
      </c>
      <c r="B2341" t="s">
        <v>8</v>
      </c>
      <c r="C2341" t="s">
        <v>11</v>
      </c>
      <c r="D2341">
        <v>11.86</v>
      </c>
      <c r="E2341">
        <v>5</v>
      </c>
      <c r="F2341" t="s">
        <v>15</v>
      </c>
      <c r="G2341">
        <v>25</v>
      </c>
      <c r="H2341">
        <v>14.824999999999999</v>
      </c>
      <c r="I2341">
        <v>25</v>
      </c>
      <c r="J2341" t="s">
        <v>20</v>
      </c>
    </row>
    <row r="2342" spans="1:10" x14ac:dyDescent="0.2">
      <c r="A2342">
        <v>12341</v>
      </c>
      <c r="B2342" t="s">
        <v>10</v>
      </c>
      <c r="C2342" t="s">
        <v>6</v>
      </c>
      <c r="D2342">
        <v>14.46</v>
      </c>
      <c r="E2342">
        <v>2</v>
      </c>
      <c r="F2342" t="s">
        <v>14</v>
      </c>
      <c r="G2342">
        <v>12</v>
      </c>
      <c r="H2342">
        <v>16.195200000000003</v>
      </c>
      <c r="I2342">
        <v>12.000000000000011</v>
      </c>
      <c r="J2342" t="s">
        <v>20</v>
      </c>
    </row>
    <row r="2343" spans="1:10" x14ac:dyDescent="0.2">
      <c r="A2343">
        <v>12342</v>
      </c>
      <c r="B2343" t="s">
        <v>5</v>
      </c>
      <c r="C2343" t="s">
        <v>11</v>
      </c>
      <c r="D2343">
        <v>2.34</v>
      </c>
      <c r="E2343">
        <v>6</v>
      </c>
      <c r="F2343" t="s">
        <v>15</v>
      </c>
      <c r="G2343">
        <v>25</v>
      </c>
      <c r="H2343">
        <v>2.9249999999999998</v>
      </c>
      <c r="I2343">
        <v>25</v>
      </c>
      <c r="J2343" t="s">
        <v>20</v>
      </c>
    </row>
    <row r="2344" spans="1:10" x14ac:dyDescent="0.2">
      <c r="A2344">
        <v>12343</v>
      </c>
      <c r="B2344" t="s">
        <v>8</v>
      </c>
      <c r="C2344" t="s">
        <v>6</v>
      </c>
      <c r="D2344">
        <v>6.6</v>
      </c>
      <c r="E2344">
        <v>9</v>
      </c>
      <c r="F2344" t="s">
        <v>16</v>
      </c>
      <c r="G2344">
        <v>55</v>
      </c>
      <c r="H2344">
        <v>10.23</v>
      </c>
      <c r="I2344">
        <v>55.000000000000007</v>
      </c>
      <c r="J2344" t="s">
        <v>20</v>
      </c>
    </row>
    <row r="2345" spans="1:10" x14ac:dyDescent="0.2">
      <c r="A2345">
        <v>12344</v>
      </c>
      <c r="B2345" t="s">
        <v>8</v>
      </c>
      <c r="C2345" t="s">
        <v>11</v>
      </c>
      <c r="D2345">
        <v>7.47</v>
      </c>
      <c r="E2345">
        <v>5</v>
      </c>
      <c r="F2345" t="s">
        <v>15</v>
      </c>
      <c r="G2345">
        <v>25</v>
      </c>
      <c r="H2345">
        <v>9.3375000000000004</v>
      </c>
      <c r="I2345">
        <v>25</v>
      </c>
      <c r="J2345" t="s">
        <v>20</v>
      </c>
    </row>
    <row r="2346" spans="1:10" x14ac:dyDescent="0.2">
      <c r="A2346">
        <v>12345</v>
      </c>
      <c r="B2346" t="s">
        <v>8</v>
      </c>
      <c r="C2346" t="s">
        <v>6</v>
      </c>
      <c r="D2346">
        <v>5.96</v>
      </c>
      <c r="E2346">
        <v>4</v>
      </c>
      <c r="F2346" t="s">
        <v>15</v>
      </c>
      <c r="G2346">
        <v>28</v>
      </c>
      <c r="H2346">
        <v>7.6288</v>
      </c>
      <c r="I2346">
        <v>28.000000000000004</v>
      </c>
      <c r="J2346" t="s">
        <v>20</v>
      </c>
    </row>
    <row r="2347" spans="1:10" x14ac:dyDescent="0.2">
      <c r="A2347">
        <v>12346</v>
      </c>
      <c r="B2347" t="s">
        <v>7</v>
      </c>
      <c r="C2347" t="s">
        <v>6</v>
      </c>
      <c r="D2347">
        <v>5.77</v>
      </c>
      <c r="E2347">
        <v>2</v>
      </c>
      <c r="F2347" t="s">
        <v>14</v>
      </c>
      <c r="G2347">
        <v>12</v>
      </c>
      <c r="H2347">
        <v>6.4623999999999997</v>
      </c>
      <c r="I2347">
        <v>12.000000000000011</v>
      </c>
      <c r="J2347" t="s">
        <v>20</v>
      </c>
    </row>
    <row r="2348" spans="1:10" x14ac:dyDescent="0.2">
      <c r="A2348">
        <v>12347</v>
      </c>
      <c r="B2348" t="s">
        <v>5</v>
      </c>
      <c r="C2348" t="s">
        <v>9</v>
      </c>
      <c r="D2348">
        <v>1.26</v>
      </c>
      <c r="E2348">
        <v>3</v>
      </c>
      <c r="F2348" t="s">
        <v>14</v>
      </c>
      <c r="G2348">
        <v>15</v>
      </c>
      <c r="H2348">
        <v>1.4489999999999998</v>
      </c>
      <c r="I2348">
        <v>14.999999999999991</v>
      </c>
      <c r="J2348" t="s">
        <v>20</v>
      </c>
    </row>
    <row r="2349" spans="1:10" x14ac:dyDescent="0.2">
      <c r="A2349">
        <v>12348</v>
      </c>
      <c r="B2349" t="s">
        <v>10</v>
      </c>
      <c r="C2349" t="s">
        <v>6</v>
      </c>
      <c r="D2349">
        <v>10.44</v>
      </c>
      <c r="E2349">
        <v>6</v>
      </c>
      <c r="F2349" t="s">
        <v>15</v>
      </c>
      <c r="G2349">
        <v>28</v>
      </c>
      <c r="H2349">
        <v>13.363199999999999</v>
      </c>
      <c r="I2349">
        <v>28.000000000000004</v>
      </c>
      <c r="J2349" t="s">
        <v>20</v>
      </c>
    </row>
    <row r="2350" spans="1:10" x14ac:dyDescent="0.2">
      <c r="A2350">
        <v>12349</v>
      </c>
      <c r="B2350" t="s">
        <v>7</v>
      </c>
      <c r="C2350" t="s">
        <v>6</v>
      </c>
      <c r="D2350">
        <v>6.83</v>
      </c>
      <c r="E2350">
        <v>8</v>
      </c>
      <c r="F2350" t="s">
        <v>16</v>
      </c>
      <c r="G2350">
        <v>55</v>
      </c>
      <c r="H2350">
        <v>10.586500000000001</v>
      </c>
      <c r="I2350">
        <v>55.000000000000007</v>
      </c>
      <c r="J2350" t="s">
        <v>20</v>
      </c>
    </row>
    <row r="2351" spans="1:10" x14ac:dyDescent="0.2">
      <c r="A2351">
        <v>12350</v>
      </c>
      <c r="B2351" t="s">
        <v>7</v>
      </c>
      <c r="C2351" t="s">
        <v>11</v>
      </c>
      <c r="D2351">
        <v>3.32</v>
      </c>
      <c r="E2351">
        <v>8</v>
      </c>
      <c r="F2351" t="s">
        <v>16</v>
      </c>
      <c r="G2351">
        <v>50</v>
      </c>
      <c r="H2351">
        <v>4.9799999999999995</v>
      </c>
      <c r="I2351">
        <v>50</v>
      </c>
      <c r="J2351" t="s">
        <v>20</v>
      </c>
    </row>
    <row r="2352" spans="1:10" x14ac:dyDescent="0.2">
      <c r="A2352">
        <v>12351</v>
      </c>
      <c r="B2352" t="s">
        <v>7</v>
      </c>
      <c r="C2352" t="s">
        <v>6</v>
      </c>
      <c r="D2352">
        <v>12.33</v>
      </c>
      <c r="E2352">
        <v>5</v>
      </c>
      <c r="F2352" t="s">
        <v>15</v>
      </c>
      <c r="G2352">
        <v>28</v>
      </c>
      <c r="H2352">
        <v>15.782400000000001</v>
      </c>
      <c r="I2352">
        <v>28.000000000000004</v>
      </c>
      <c r="J2352" t="s">
        <v>20</v>
      </c>
    </row>
    <row r="2353" spans="1:10" x14ac:dyDescent="0.2">
      <c r="A2353">
        <v>12352</v>
      </c>
      <c r="B2353" t="s">
        <v>8</v>
      </c>
      <c r="C2353" t="s">
        <v>9</v>
      </c>
      <c r="D2353">
        <v>12.14</v>
      </c>
      <c r="E2353">
        <v>5</v>
      </c>
      <c r="F2353" t="s">
        <v>15</v>
      </c>
      <c r="G2353">
        <v>30</v>
      </c>
      <c r="H2353">
        <v>15.782000000000002</v>
      </c>
      <c r="I2353">
        <v>30.000000000000004</v>
      </c>
      <c r="J2353" t="s">
        <v>20</v>
      </c>
    </row>
    <row r="2354" spans="1:10" x14ac:dyDescent="0.2">
      <c r="A2354">
        <v>12353</v>
      </c>
      <c r="B2354" t="s">
        <v>5</v>
      </c>
      <c r="C2354" t="s">
        <v>11</v>
      </c>
      <c r="D2354">
        <v>7.55</v>
      </c>
      <c r="E2354">
        <v>10</v>
      </c>
      <c r="F2354" t="s">
        <v>16</v>
      </c>
      <c r="G2354">
        <v>50</v>
      </c>
      <c r="H2354">
        <v>11.324999999999999</v>
      </c>
      <c r="I2354">
        <v>50</v>
      </c>
      <c r="J2354" t="s">
        <v>20</v>
      </c>
    </row>
    <row r="2355" spans="1:10" x14ac:dyDescent="0.2">
      <c r="A2355">
        <v>12354</v>
      </c>
      <c r="B2355" t="s">
        <v>7</v>
      </c>
      <c r="C2355" t="s">
        <v>11</v>
      </c>
      <c r="D2355">
        <v>4.83</v>
      </c>
      <c r="E2355">
        <v>3</v>
      </c>
      <c r="F2355" t="s">
        <v>14</v>
      </c>
      <c r="G2355">
        <v>10</v>
      </c>
      <c r="H2355">
        <v>5.3130000000000006</v>
      </c>
      <c r="I2355">
        <v>10.000000000000009</v>
      </c>
      <c r="J2355" t="s">
        <v>20</v>
      </c>
    </row>
    <row r="2356" spans="1:10" x14ac:dyDescent="0.2">
      <c r="A2356">
        <v>12355</v>
      </c>
      <c r="B2356" t="s">
        <v>10</v>
      </c>
      <c r="C2356" t="s">
        <v>9</v>
      </c>
      <c r="D2356">
        <v>9.75</v>
      </c>
      <c r="E2356">
        <v>7</v>
      </c>
      <c r="F2356" t="s">
        <v>15</v>
      </c>
      <c r="G2356">
        <v>30</v>
      </c>
      <c r="H2356">
        <v>12.675000000000001</v>
      </c>
      <c r="I2356">
        <v>30.000000000000004</v>
      </c>
      <c r="J2356" t="s">
        <v>20</v>
      </c>
    </row>
    <row r="2357" spans="1:10" x14ac:dyDescent="0.2">
      <c r="A2357">
        <v>12356</v>
      </c>
      <c r="B2357" t="s">
        <v>5</v>
      </c>
      <c r="C2357" t="s">
        <v>11</v>
      </c>
      <c r="D2357">
        <v>4.68</v>
      </c>
      <c r="E2357">
        <v>6</v>
      </c>
      <c r="F2357" t="s">
        <v>15</v>
      </c>
      <c r="G2357">
        <v>25</v>
      </c>
      <c r="H2357">
        <v>5.85</v>
      </c>
      <c r="I2357">
        <v>25</v>
      </c>
      <c r="J2357" t="s">
        <v>20</v>
      </c>
    </row>
    <row r="2358" spans="1:10" x14ac:dyDescent="0.2">
      <c r="A2358">
        <v>12357</v>
      </c>
      <c r="B2358" t="s">
        <v>10</v>
      </c>
      <c r="C2358" t="s">
        <v>11</v>
      </c>
      <c r="D2358">
        <v>3.92</v>
      </c>
      <c r="E2358">
        <v>1</v>
      </c>
      <c r="F2358" t="s">
        <v>14</v>
      </c>
      <c r="G2358">
        <v>10</v>
      </c>
      <c r="H2358">
        <v>4.3120000000000003</v>
      </c>
      <c r="I2358">
        <v>10.000000000000009</v>
      </c>
      <c r="J2358" t="s">
        <v>20</v>
      </c>
    </row>
    <row r="2359" spans="1:10" x14ac:dyDescent="0.2">
      <c r="A2359">
        <v>12358</v>
      </c>
      <c r="B2359" t="s">
        <v>5</v>
      </c>
      <c r="C2359" t="s">
        <v>11</v>
      </c>
      <c r="D2359">
        <v>11.09</v>
      </c>
      <c r="E2359">
        <v>4</v>
      </c>
      <c r="F2359" t="s">
        <v>15</v>
      </c>
      <c r="G2359">
        <v>25</v>
      </c>
      <c r="H2359">
        <v>13.862500000000001</v>
      </c>
      <c r="I2359">
        <v>25</v>
      </c>
      <c r="J2359" t="s">
        <v>20</v>
      </c>
    </row>
    <row r="2360" spans="1:10" x14ac:dyDescent="0.2">
      <c r="A2360">
        <v>12359</v>
      </c>
      <c r="B2360" t="s">
        <v>10</v>
      </c>
      <c r="C2360" t="s">
        <v>11</v>
      </c>
      <c r="D2360">
        <v>1.08</v>
      </c>
      <c r="E2360">
        <v>6</v>
      </c>
      <c r="F2360" t="s">
        <v>15</v>
      </c>
      <c r="G2360">
        <v>25</v>
      </c>
      <c r="H2360">
        <v>1.35</v>
      </c>
      <c r="I2360">
        <v>25</v>
      </c>
      <c r="J2360" t="s">
        <v>20</v>
      </c>
    </row>
    <row r="2361" spans="1:10" x14ac:dyDescent="0.2">
      <c r="A2361">
        <v>12360</v>
      </c>
      <c r="B2361" t="s">
        <v>8</v>
      </c>
      <c r="C2361" t="s">
        <v>9</v>
      </c>
      <c r="D2361">
        <v>1.87</v>
      </c>
      <c r="E2361">
        <v>6</v>
      </c>
      <c r="F2361" t="s">
        <v>15</v>
      </c>
      <c r="G2361">
        <v>30</v>
      </c>
      <c r="H2361">
        <v>2.431</v>
      </c>
      <c r="I2361">
        <v>30.000000000000004</v>
      </c>
      <c r="J2361" t="s">
        <v>20</v>
      </c>
    </row>
    <row r="2362" spans="1:10" x14ac:dyDescent="0.2">
      <c r="A2362">
        <v>12361</v>
      </c>
      <c r="B2362" t="s">
        <v>7</v>
      </c>
      <c r="C2362" t="s">
        <v>9</v>
      </c>
      <c r="D2362">
        <v>0.6</v>
      </c>
      <c r="E2362">
        <v>3</v>
      </c>
      <c r="F2362" t="s">
        <v>14</v>
      </c>
      <c r="G2362">
        <v>15</v>
      </c>
      <c r="H2362">
        <v>0.69</v>
      </c>
      <c r="I2362">
        <v>14.999999999999991</v>
      </c>
      <c r="J2362" t="s">
        <v>20</v>
      </c>
    </row>
    <row r="2363" spans="1:10" x14ac:dyDescent="0.2">
      <c r="A2363">
        <v>12362</v>
      </c>
      <c r="B2363" t="s">
        <v>10</v>
      </c>
      <c r="C2363" t="s">
        <v>11</v>
      </c>
      <c r="D2363">
        <v>2.72</v>
      </c>
      <c r="E2363">
        <v>6</v>
      </c>
      <c r="F2363" t="s">
        <v>15</v>
      </c>
      <c r="G2363">
        <v>25</v>
      </c>
      <c r="H2363">
        <v>3.4000000000000004</v>
      </c>
      <c r="I2363">
        <v>25</v>
      </c>
      <c r="J2363" t="s">
        <v>20</v>
      </c>
    </row>
    <row r="2364" spans="1:10" x14ac:dyDescent="0.2">
      <c r="A2364">
        <v>12363</v>
      </c>
      <c r="B2364" t="s">
        <v>5</v>
      </c>
      <c r="C2364" t="s">
        <v>11</v>
      </c>
      <c r="D2364">
        <v>1.5</v>
      </c>
      <c r="E2364">
        <v>10</v>
      </c>
      <c r="F2364" t="s">
        <v>16</v>
      </c>
      <c r="G2364">
        <v>50</v>
      </c>
      <c r="H2364">
        <v>2.25</v>
      </c>
      <c r="I2364">
        <v>50</v>
      </c>
      <c r="J2364" t="s">
        <v>20</v>
      </c>
    </row>
    <row r="2365" spans="1:10" x14ac:dyDescent="0.2">
      <c r="A2365">
        <v>12364</v>
      </c>
      <c r="B2365" t="s">
        <v>7</v>
      </c>
      <c r="C2365" t="s">
        <v>9</v>
      </c>
      <c r="D2365">
        <v>14.94</v>
      </c>
      <c r="E2365">
        <v>6</v>
      </c>
      <c r="F2365" t="s">
        <v>15</v>
      </c>
      <c r="G2365">
        <v>30</v>
      </c>
      <c r="H2365">
        <v>19.422000000000001</v>
      </c>
      <c r="I2365">
        <v>30.000000000000004</v>
      </c>
      <c r="J2365" t="s">
        <v>20</v>
      </c>
    </row>
    <row r="2366" spans="1:10" x14ac:dyDescent="0.2">
      <c r="A2366">
        <v>12365</v>
      </c>
      <c r="B2366" t="s">
        <v>7</v>
      </c>
      <c r="C2366" t="s">
        <v>9</v>
      </c>
      <c r="D2366">
        <v>4.6900000000000004</v>
      </c>
      <c r="E2366">
        <v>9</v>
      </c>
      <c r="F2366" t="s">
        <v>16</v>
      </c>
      <c r="G2366">
        <v>60</v>
      </c>
      <c r="H2366">
        <v>7.5040000000000013</v>
      </c>
      <c r="I2366">
        <v>60.000000000000007</v>
      </c>
      <c r="J2366" t="s">
        <v>20</v>
      </c>
    </row>
    <row r="2367" spans="1:10" x14ac:dyDescent="0.2">
      <c r="A2367">
        <v>12366</v>
      </c>
      <c r="B2367" t="s">
        <v>5</v>
      </c>
      <c r="C2367" t="s">
        <v>9</v>
      </c>
      <c r="D2367">
        <v>2.66</v>
      </c>
      <c r="E2367">
        <v>9</v>
      </c>
      <c r="F2367" t="s">
        <v>16</v>
      </c>
      <c r="G2367">
        <v>60</v>
      </c>
      <c r="H2367">
        <v>4.2560000000000002</v>
      </c>
      <c r="I2367">
        <v>60.000000000000007</v>
      </c>
      <c r="J2367" t="s">
        <v>20</v>
      </c>
    </row>
    <row r="2368" spans="1:10" x14ac:dyDescent="0.2">
      <c r="A2368">
        <v>12367</v>
      </c>
      <c r="B2368" t="s">
        <v>10</v>
      </c>
      <c r="C2368" t="s">
        <v>11</v>
      </c>
      <c r="D2368">
        <v>3.99</v>
      </c>
      <c r="E2368">
        <v>2</v>
      </c>
      <c r="F2368" t="s">
        <v>14</v>
      </c>
      <c r="G2368">
        <v>10</v>
      </c>
      <c r="H2368">
        <v>4.3890000000000002</v>
      </c>
      <c r="I2368">
        <v>10.000000000000009</v>
      </c>
      <c r="J2368" t="s">
        <v>20</v>
      </c>
    </row>
    <row r="2369" spans="1:10" x14ac:dyDescent="0.2">
      <c r="A2369">
        <v>12368</v>
      </c>
      <c r="B2369" t="s">
        <v>8</v>
      </c>
      <c r="C2369" t="s">
        <v>11</v>
      </c>
      <c r="D2369">
        <v>14.07</v>
      </c>
      <c r="E2369">
        <v>4</v>
      </c>
      <c r="F2369" t="s">
        <v>15</v>
      </c>
      <c r="G2369">
        <v>25</v>
      </c>
      <c r="H2369">
        <v>17.587499999999999</v>
      </c>
      <c r="I2369">
        <v>24.999999999999979</v>
      </c>
      <c r="J2369" t="s">
        <v>20</v>
      </c>
    </row>
    <row r="2370" spans="1:10" x14ac:dyDescent="0.2">
      <c r="A2370">
        <v>12369</v>
      </c>
      <c r="B2370" t="s">
        <v>8</v>
      </c>
      <c r="C2370" t="s">
        <v>6</v>
      </c>
      <c r="D2370">
        <v>8.0399999999999991</v>
      </c>
      <c r="E2370">
        <v>9</v>
      </c>
      <c r="F2370" t="s">
        <v>16</v>
      </c>
      <c r="G2370">
        <v>55</v>
      </c>
      <c r="H2370">
        <v>12.462</v>
      </c>
      <c r="I2370">
        <v>55.000000000000007</v>
      </c>
      <c r="J2370" t="s">
        <v>20</v>
      </c>
    </row>
    <row r="2371" spans="1:10" x14ac:dyDescent="0.2">
      <c r="A2371">
        <v>12370</v>
      </c>
      <c r="B2371" t="s">
        <v>10</v>
      </c>
      <c r="C2371" t="s">
        <v>9</v>
      </c>
      <c r="D2371">
        <v>5.79</v>
      </c>
      <c r="E2371">
        <v>4</v>
      </c>
      <c r="F2371" t="s">
        <v>15</v>
      </c>
      <c r="G2371">
        <v>30</v>
      </c>
      <c r="H2371">
        <v>7.5270000000000001</v>
      </c>
      <c r="I2371">
        <v>30.000000000000004</v>
      </c>
      <c r="J2371" t="s">
        <v>20</v>
      </c>
    </row>
    <row r="2372" spans="1:10" x14ac:dyDescent="0.2">
      <c r="A2372">
        <v>12371</v>
      </c>
      <c r="B2372" t="s">
        <v>7</v>
      </c>
      <c r="C2372" t="s">
        <v>11</v>
      </c>
      <c r="D2372">
        <v>13.16</v>
      </c>
      <c r="E2372">
        <v>8</v>
      </c>
      <c r="F2372" t="s">
        <v>16</v>
      </c>
      <c r="G2372">
        <v>50</v>
      </c>
      <c r="H2372">
        <v>19.740000000000002</v>
      </c>
      <c r="I2372">
        <v>50.000000000000021</v>
      </c>
      <c r="J2372" t="s">
        <v>20</v>
      </c>
    </row>
    <row r="2373" spans="1:10" x14ac:dyDescent="0.2">
      <c r="A2373">
        <v>12372</v>
      </c>
      <c r="B2373" t="s">
        <v>7</v>
      </c>
      <c r="C2373" t="s">
        <v>9</v>
      </c>
      <c r="D2373">
        <v>6.23</v>
      </c>
      <c r="E2373">
        <v>10</v>
      </c>
      <c r="F2373" t="s">
        <v>16</v>
      </c>
      <c r="G2373">
        <v>60</v>
      </c>
      <c r="H2373">
        <v>9.9680000000000017</v>
      </c>
      <c r="I2373">
        <v>60.000000000000007</v>
      </c>
      <c r="J2373" t="s">
        <v>20</v>
      </c>
    </row>
    <row r="2374" spans="1:10" x14ac:dyDescent="0.2">
      <c r="A2374">
        <v>12373</v>
      </c>
      <c r="B2374" t="s">
        <v>7</v>
      </c>
      <c r="C2374" t="s">
        <v>11</v>
      </c>
      <c r="D2374">
        <v>5.36</v>
      </c>
      <c r="E2374">
        <v>3</v>
      </c>
      <c r="F2374" t="s">
        <v>14</v>
      </c>
      <c r="G2374">
        <v>10</v>
      </c>
      <c r="H2374">
        <v>5.8960000000000008</v>
      </c>
      <c r="I2374">
        <v>10.000000000000009</v>
      </c>
      <c r="J2374" t="s">
        <v>20</v>
      </c>
    </row>
    <row r="2375" spans="1:10" x14ac:dyDescent="0.2">
      <c r="A2375">
        <v>12374</v>
      </c>
      <c r="B2375" t="s">
        <v>7</v>
      </c>
      <c r="C2375" t="s">
        <v>9</v>
      </c>
      <c r="D2375">
        <v>3.51</v>
      </c>
      <c r="E2375">
        <v>3</v>
      </c>
      <c r="F2375" t="s">
        <v>14</v>
      </c>
      <c r="G2375">
        <v>15</v>
      </c>
      <c r="H2375">
        <v>4.0364999999999993</v>
      </c>
      <c r="I2375">
        <v>14.999999999999991</v>
      </c>
      <c r="J2375" t="s">
        <v>20</v>
      </c>
    </row>
    <row r="2376" spans="1:10" x14ac:dyDescent="0.2">
      <c r="A2376">
        <v>12375</v>
      </c>
      <c r="B2376" t="s">
        <v>10</v>
      </c>
      <c r="C2376" t="s">
        <v>11</v>
      </c>
      <c r="D2376">
        <v>5.98</v>
      </c>
      <c r="E2376">
        <v>9</v>
      </c>
      <c r="F2376" t="s">
        <v>16</v>
      </c>
      <c r="G2376">
        <v>50</v>
      </c>
      <c r="H2376">
        <v>8.9700000000000006</v>
      </c>
      <c r="I2376">
        <v>50</v>
      </c>
      <c r="J2376" t="s">
        <v>20</v>
      </c>
    </row>
    <row r="2377" spans="1:10" x14ac:dyDescent="0.2">
      <c r="A2377">
        <v>12376</v>
      </c>
      <c r="B2377" t="s">
        <v>7</v>
      </c>
      <c r="C2377" t="s">
        <v>6</v>
      </c>
      <c r="D2377">
        <v>5.09</v>
      </c>
      <c r="E2377">
        <v>10</v>
      </c>
      <c r="F2377" t="s">
        <v>16</v>
      </c>
      <c r="G2377">
        <v>55</v>
      </c>
      <c r="H2377">
        <v>7.8895</v>
      </c>
      <c r="I2377">
        <v>55.000000000000007</v>
      </c>
      <c r="J2377" t="s">
        <v>20</v>
      </c>
    </row>
    <row r="2378" spans="1:10" x14ac:dyDescent="0.2">
      <c r="A2378">
        <v>12377</v>
      </c>
      <c r="B2378" t="s">
        <v>5</v>
      </c>
      <c r="C2378" t="s">
        <v>6</v>
      </c>
      <c r="D2378">
        <v>10.32</v>
      </c>
      <c r="E2378">
        <v>8</v>
      </c>
      <c r="F2378" t="s">
        <v>16</v>
      </c>
      <c r="G2378">
        <v>55</v>
      </c>
      <c r="H2378">
        <v>15.996</v>
      </c>
      <c r="I2378">
        <v>55.000000000000007</v>
      </c>
      <c r="J2378" t="s">
        <v>20</v>
      </c>
    </row>
    <row r="2379" spans="1:10" x14ac:dyDescent="0.2">
      <c r="A2379">
        <v>12378</v>
      </c>
      <c r="B2379" t="s">
        <v>7</v>
      </c>
      <c r="C2379" t="s">
        <v>9</v>
      </c>
      <c r="D2379">
        <v>4.7</v>
      </c>
      <c r="E2379">
        <v>1</v>
      </c>
      <c r="F2379" t="s">
        <v>14</v>
      </c>
      <c r="G2379">
        <v>15</v>
      </c>
      <c r="H2379">
        <v>5.4049999999999994</v>
      </c>
      <c r="I2379">
        <v>14.999999999999991</v>
      </c>
      <c r="J2379" t="s">
        <v>20</v>
      </c>
    </row>
    <row r="2380" spans="1:10" x14ac:dyDescent="0.2">
      <c r="A2380">
        <v>12379</v>
      </c>
      <c r="B2380" t="s">
        <v>8</v>
      </c>
      <c r="C2380" t="s">
        <v>11</v>
      </c>
      <c r="D2380">
        <v>8.8699999999999992</v>
      </c>
      <c r="E2380">
        <v>10</v>
      </c>
      <c r="F2380" t="s">
        <v>16</v>
      </c>
      <c r="G2380">
        <v>50</v>
      </c>
      <c r="H2380">
        <v>13.305</v>
      </c>
      <c r="I2380">
        <v>50</v>
      </c>
      <c r="J2380" t="s">
        <v>20</v>
      </c>
    </row>
    <row r="2381" spans="1:10" x14ac:dyDescent="0.2">
      <c r="A2381">
        <v>12380</v>
      </c>
      <c r="B2381" t="s">
        <v>7</v>
      </c>
      <c r="C2381" t="s">
        <v>11</v>
      </c>
      <c r="D2381">
        <v>1.46</v>
      </c>
      <c r="E2381">
        <v>2</v>
      </c>
      <c r="F2381" t="s">
        <v>14</v>
      </c>
      <c r="G2381">
        <v>10</v>
      </c>
      <c r="H2381">
        <v>1.6060000000000001</v>
      </c>
      <c r="I2381">
        <v>10.000000000000009</v>
      </c>
      <c r="J2381" t="s">
        <v>20</v>
      </c>
    </row>
    <row r="2382" spans="1:10" x14ac:dyDescent="0.2">
      <c r="A2382">
        <v>12381</v>
      </c>
      <c r="B2382" t="s">
        <v>10</v>
      </c>
      <c r="C2382" t="s">
        <v>9</v>
      </c>
      <c r="D2382">
        <v>3.27</v>
      </c>
      <c r="E2382">
        <v>3</v>
      </c>
      <c r="F2382" t="s">
        <v>14</v>
      </c>
      <c r="G2382">
        <v>15</v>
      </c>
      <c r="H2382">
        <v>3.7604999999999995</v>
      </c>
      <c r="I2382">
        <v>14.999999999999991</v>
      </c>
      <c r="J2382" t="s">
        <v>20</v>
      </c>
    </row>
    <row r="2383" spans="1:10" x14ac:dyDescent="0.2">
      <c r="A2383">
        <v>12382</v>
      </c>
      <c r="B2383" t="s">
        <v>8</v>
      </c>
      <c r="C2383" t="s">
        <v>11</v>
      </c>
      <c r="D2383">
        <v>6.41</v>
      </c>
      <c r="E2383">
        <v>2</v>
      </c>
      <c r="F2383" t="s">
        <v>14</v>
      </c>
      <c r="G2383">
        <v>10</v>
      </c>
      <c r="H2383">
        <v>7.051000000000001</v>
      </c>
      <c r="I2383">
        <v>10.000000000000009</v>
      </c>
      <c r="J2383" t="s">
        <v>20</v>
      </c>
    </row>
    <row r="2384" spans="1:10" x14ac:dyDescent="0.2">
      <c r="A2384">
        <v>12383</v>
      </c>
      <c r="B2384" t="s">
        <v>10</v>
      </c>
      <c r="C2384" t="s">
        <v>9</v>
      </c>
      <c r="D2384">
        <v>14.09</v>
      </c>
      <c r="E2384">
        <v>3</v>
      </c>
      <c r="F2384" t="s">
        <v>14</v>
      </c>
      <c r="G2384">
        <v>15</v>
      </c>
      <c r="H2384">
        <v>16.203499999999998</v>
      </c>
      <c r="I2384">
        <v>14.999999999999991</v>
      </c>
      <c r="J2384" t="s">
        <v>20</v>
      </c>
    </row>
    <row r="2385" spans="1:10" x14ac:dyDescent="0.2">
      <c r="A2385">
        <v>12384</v>
      </c>
      <c r="B2385" t="s">
        <v>10</v>
      </c>
      <c r="C2385" t="s">
        <v>11</v>
      </c>
      <c r="D2385">
        <v>5.97</v>
      </c>
      <c r="E2385">
        <v>8</v>
      </c>
      <c r="F2385" t="s">
        <v>16</v>
      </c>
      <c r="G2385">
        <v>50</v>
      </c>
      <c r="H2385">
        <v>8.9550000000000001</v>
      </c>
      <c r="I2385">
        <v>50</v>
      </c>
      <c r="J2385" t="s">
        <v>20</v>
      </c>
    </row>
    <row r="2386" spans="1:10" x14ac:dyDescent="0.2">
      <c r="A2386">
        <v>12385</v>
      </c>
      <c r="B2386" t="s">
        <v>8</v>
      </c>
      <c r="C2386" t="s">
        <v>9</v>
      </c>
      <c r="D2386">
        <v>10.130000000000001</v>
      </c>
      <c r="E2386">
        <v>6</v>
      </c>
      <c r="F2386" t="s">
        <v>15</v>
      </c>
      <c r="G2386">
        <v>30</v>
      </c>
      <c r="H2386">
        <v>13.169000000000002</v>
      </c>
      <c r="I2386">
        <v>30.000000000000004</v>
      </c>
      <c r="J2386" t="s">
        <v>20</v>
      </c>
    </row>
    <row r="2387" spans="1:10" x14ac:dyDescent="0.2">
      <c r="A2387">
        <v>12386</v>
      </c>
      <c r="B2387" t="s">
        <v>10</v>
      </c>
      <c r="C2387" t="s">
        <v>11</v>
      </c>
      <c r="D2387">
        <v>4.2</v>
      </c>
      <c r="E2387">
        <v>7</v>
      </c>
      <c r="F2387" t="s">
        <v>15</v>
      </c>
      <c r="G2387">
        <v>25</v>
      </c>
      <c r="H2387">
        <v>5.25</v>
      </c>
      <c r="I2387">
        <v>25</v>
      </c>
      <c r="J2387" t="s">
        <v>20</v>
      </c>
    </row>
    <row r="2388" spans="1:10" x14ac:dyDescent="0.2">
      <c r="A2388">
        <v>12387</v>
      </c>
      <c r="B2388" t="s">
        <v>10</v>
      </c>
      <c r="C2388" t="s">
        <v>9</v>
      </c>
      <c r="D2388">
        <v>2.34</v>
      </c>
      <c r="E2388">
        <v>10</v>
      </c>
      <c r="F2388" t="s">
        <v>16</v>
      </c>
      <c r="G2388">
        <v>60</v>
      </c>
      <c r="H2388">
        <v>3.7439999999999998</v>
      </c>
      <c r="I2388">
        <v>60.000000000000007</v>
      </c>
      <c r="J2388" t="s">
        <v>20</v>
      </c>
    </row>
    <row r="2389" spans="1:10" x14ac:dyDescent="0.2">
      <c r="A2389">
        <v>12388</v>
      </c>
      <c r="B2389" t="s">
        <v>7</v>
      </c>
      <c r="C2389" t="s">
        <v>11</v>
      </c>
      <c r="D2389">
        <v>1.35</v>
      </c>
      <c r="E2389">
        <v>10</v>
      </c>
      <c r="F2389" t="s">
        <v>16</v>
      </c>
      <c r="G2389">
        <v>50</v>
      </c>
      <c r="H2389">
        <v>2.0250000000000004</v>
      </c>
      <c r="I2389">
        <v>50.000000000000021</v>
      </c>
      <c r="J2389" t="s">
        <v>20</v>
      </c>
    </row>
    <row r="2390" spans="1:10" x14ac:dyDescent="0.2">
      <c r="A2390">
        <v>12389</v>
      </c>
      <c r="B2390" t="s">
        <v>5</v>
      </c>
      <c r="C2390" t="s">
        <v>6</v>
      </c>
      <c r="D2390">
        <v>4.93</v>
      </c>
      <c r="E2390">
        <v>6</v>
      </c>
      <c r="F2390" t="s">
        <v>15</v>
      </c>
      <c r="G2390">
        <v>28</v>
      </c>
      <c r="H2390">
        <v>6.3103999999999996</v>
      </c>
      <c r="I2390">
        <v>28.000000000000004</v>
      </c>
      <c r="J2390" t="s">
        <v>20</v>
      </c>
    </row>
    <row r="2391" spans="1:10" x14ac:dyDescent="0.2">
      <c r="A2391">
        <v>12390</v>
      </c>
      <c r="B2391" t="s">
        <v>10</v>
      </c>
      <c r="C2391" t="s">
        <v>11</v>
      </c>
      <c r="D2391">
        <v>2.79</v>
      </c>
      <c r="E2391">
        <v>1</v>
      </c>
      <c r="F2391" t="s">
        <v>14</v>
      </c>
      <c r="G2391">
        <v>10</v>
      </c>
      <c r="H2391">
        <v>3.0690000000000004</v>
      </c>
      <c r="I2391">
        <v>10.000000000000009</v>
      </c>
      <c r="J2391" t="s">
        <v>20</v>
      </c>
    </row>
    <row r="2392" spans="1:10" x14ac:dyDescent="0.2">
      <c r="A2392">
        <v>12391</v>
      </c>
      <c r="B2392" t="s">
        <v>10</v>
      </c>
      <c r="C2392" t="s">
        <v>9</v>
      </c>
      <c r="D2392">
        <v>3.02</v>
      </c>
      <c r="E2392">
        <v>3</v>
      </c>
      <c r="F2392" t="s">
        <v>14</v>
      </c>
      <c r="G2392">
        <v>15</v>
      </c>
      <c r="H2392">
        <v>3.4729999999999999</v>
      </c>
      <c r="I2392">
        <v>14.999999999999991</v>
      </c>
      <c r="J2392" t="s">
        <v>20</v>
      </c>
    </row>
    <row r="2393" spans="1:10" x14ac:dyDescent="0.2">
      <c r="A2393">
        <v>12392</v>
      </c>
      <c r="B2393" t="s">
        <v>10</v>
      </c>
      <c r="C2393" t="s">
        <v>6</v>
      </c>
      <c r="D2393">
        <v>11.53</v>
      </c>
      <c r="E2393">
        <v>1</v>
      </c>
      <c r="F2393" t="s">
        <v>14</v>
      </c>
      <c r="G2393">
        <v>12</v>
      </c>
      <c r="H2393">
        <v>12.913600000000001</v>
      </c>
      <c r="I2393">
        <v>12.000000000000011</v>
      </c>
      <c r="J2393" t="s">
        <v>20</v>
      </c>
    </row>
    <row r="2394" spans="1:10" x14ac:dyDescent="0.2">
      <c r="A2394">
        <v>12393</v>
      </c>
      <c r="B2394" t="s">
        <v>7</v>
      </c>
      <c r="C2394" t="s">
        <v>11</v>
      </c>
      <c r="D2394">
        <v>0.73</v>
      </c>
      <c r="E2394">
        <v>10</v>
      </c>
      <c r="F2394" t="s">
        <v>16</v>
      </c>
      <c r="G2394">
        <v>50</v>
      </c>
      <c r="H2394">
        <v>1.095</v>
      </c>
      <c r="I2394">
        <v>50</v>
      </c>
      <c r="J2394" t="s">
        <v>20</v>
      </c>
    </row>
    <row r="2395" spans="1:10" x14ac:dyDescent="0.2">
      <c r="A2395">
        <v>12394</v>
      </c>
      <c r="B2395" t="s">
        <v>5</v>
      </c>
      <c r="C2395" t="s">
        <v>6</v>
      </c>
      <c r="D2395">
        <v>8.59</v>
      </c>
      <c r="E2395">
        <v>9</v>
      </c>
      <c r="F2395" t="s">
        <v>16</v>
      </c>
      <c r="G2395">
        <v>55</v>
      </c>
      <c r="H2395">
        <v>13.314500000000001</v>
      </c>
      <c r="I2395">
        <v>55.000000000000007</v>
      </c>
      <c r="J2395" t="s">
        <v>20</v>
      </c>
    </row>
    <row r="2396" spans="1:10" x14ac:dyDescent="0.2">
      <c r="A2396">
        <v>12395</v>
      </c>
      <c r="B2396" t="s">
        <v>8</v>
      </c>
      <c r="C2396" t="s">
        <v>11</v>
      </c>
      <c r="D2396">
        <v>6</v>
      </c>
      <c r="E2396">
        <v>9</v>
      </c>
      <c r="F2396" t="s">
        <v>16</v>
      </c>
      <c r="G2396">
        <v>50</v>
      </c>
      <c r="H2396">
        <v>9</v>
      </c>
      <c r="I2396">
        <v>50</v>
      </c>
      <c r="J2396" t="s">
        <v>20</v>
      </c>
    </row>
    <row r="2397" spans="1:10" x14ac:dyDescent="0.2">
      <c r="A2397">
        <v>12396</v>
      </c>
      <c r="B2397" t="s">
        <v>7</v>
      </c>
      <c r="C2397" t="s">
        <v>6</v>
      </c>
      <c r="D2397">
        <v>7.84</v>
      </c>
      <c r="E2397">
        <v>5</v>
      </c>
      <c r="F2397" t="s">
        <v>15</v>
      </c>
      <c r="G2397">
        <v>28</v>
      </c>
      <c r="H2397">
        <v>10.0352</v>
      </c>
      <c r="I2397">
        <v>28.000000000000004</v>
      </c>
      <c r="J2397" t="s">
        <v>20</v>
      </c>
    </row>
    <row r="2398" spans="1:10" x14ac:dyDescent="0.2">
      <c r="A2398">
        <v>12397</v>
      </c>
      <c r="B2398" t="s">
        <v>7</v>
      </c>
      <c r="C2398" t="s">
        <v>9</v>
      </c>
      <c r="D2398">
        <v>8.66</v>
      </c>
      <c r="E2398">
        <v>4</v>
      </c>
      <c r="F2398" t="s">
        <v>15</v>
      </c>
      <c r="G2398">
        <v>30</v>
      </c>
      <c r="H2398">
        <v>11.258000000000001</v>
      </c>
      <c r="I2398">
        <v>30.000000000000004</v>
      </c>
      <c r="J2398" t="s">
        <v>20</v>
      </c>
    </row>
    <row r="2399" spans="1:10" x14ac:dyDescent="0.2">
      <c r="A2399">
        <v>12398</v>
      </c>
      <c r="B2399" t="s">
        <v>5</v>
      </c>
      <c r="C2399" t="s">
        <v>11</v>
      </c>
      <c r="D2399">
        <v>5.04</v>
      </c>
      <c r="E2399">
        <v>9</v>
      </c>
      <c r="F2399" t="s">
        <v>16</v>
      </c>
      <c r="G2399">
        <v>50</v>
      </c>
      <c r="H2399">
        <v>7.5600000000000005</v>
      </c>
      <c r="I2399">
        <v>50</v>
      </c>
      <c r="J2399" t="s">
        <v>20</v>
      </c>
    </row>
    <row r="2400" spans="1:10" x14ac:dyDescent="0.2">
      <c r="A2400">
        <v>12399</v>
      </c>
      <c r="B2400" t="s">
        <v>5</v>
      </c>
      <c r="C2400" t="s">
        <v>11</v>
      </c>
      <c r="D2400">
        <v>4.78</v>
      </c>
      <c r="E2400">
        <v>9</v>
      </c>
      <c r="F2400" t="s">
        <v>16</v>
      </c>
      <c r="G2400">
        <v>50</v>
      </c>
      <c r="H2400">
        <v>7.17</v>
      </c>
      <c r="I2400">
        <v>50</v>
      </c>
      <c r="J2400" t="s">
        <v>20</v>
      </c>
    </row>
    <row r="2401" spans="1:10" x14ac:dyDescent="0.2">
      <c r="A2401">
        <v>12400</v>
      </c>
      <c r="B2401" t="s">
        <v>7</v>
      </c>
      <c r="C2401" t="s">
        <v>9</v>
      </c>
      <c r="D2401">
        <v>11.13</v>
      </c>
      <c r="E2401">
        <v>3</v>
      </c>
      <c r="F2401" t="s">
        <v>14</v>
      </c>
      <c r="G2401">
        <v>15</v>
      </c>
      <c r="H2401">
        <v>12.7995</v>
      </c>
      <c r="I2401">
        <v>14.999999999999991</v>
      </c>
      <c r="J2401" t="s">
        <v>20</v>
      </c>
    </row>
    <row r="2402" spans="1:10" x14ac:dyDescent="0.2">
      <c r="A2402">
        <v>12401</v>
      </c>
      <c r="B2402" t="s">
        <v>8</v>
      </c>
      <c r="C2402" t="s">
        <v>6</v>
      </c>
      <c r="D2402">
        <v>13.13</v>
      </c>
      <c r="E2402">
        <v>5</v>
      </c>
      <c r="F2402" t="s">
        <v>15</v>
      </c>
      <c r="G2402">
        <v>28</v>
      </c>
      <c r="H2402">
        <v>16.8064</v>
      </c>
      <c r="I2402">
        <v>28.000000000000004</v>
      </c>
      <c r="J2402" t="s">
        <v>20</v>
      </c>
    </row>
    <row r="2403" spans="1:10" x14ac:dyDescent="0.2">
      <c r="A2403">
        <v>12402</v>
      </c>
      <c r="B2403" t="s">
        <v>7</v>
      </c>
      <c r="C2403" t="s">
        <v>9</v>
      </c>
      <c r="D2403">
        <v>3.29</v>
      </c>
      <c r="E2403">
        <v>3</v>
      </c>
      <c r="F2403" t="s">
        <v>14</v>
      </c>
      <c r="G2403">
        <v>15</v>
      </c>
      <c r="H2403">
        <v>3.7834999999999996</v>
      </c>
      <c r="I2403">
        <v>14.999999999999991</v>
      </c>
      <c r="J2403" t="s">
        <v>20</v>
      </c>
    </row>
    <row r="2404" spans="1:10" x14ac:dyDescent="0.2">
      <c r="A2404">
        <v>12403</v>
      </c>
      <c r="B2404" t="s">
        <v>5</v>
      </c>
      <c r="C2404" t="s">
        <v>9</v>
      </c>
      <c r="D2404">
        <v>1.92</v>
      </c>
      <c r="E2404">
        <v>10</v>
      </c>
      <c r="F2404" t="s">
        <v>16</v>
      </c>
      <c r="G2404">
        <v>60</v>
      </c>
      <c r="H2404">
        <v>3.0720000000000001</v>
      </c>
      <c r="I2404">
        <v>60.000000000000007</v>
      </c>
      <c r="J2404" t="s">
        <v>20</v>
      </c>
    </row>
    <row r="2405" spans="1:10" x14ac:dyDescent="0.2">
      <c r="A2405">
        <v>12404</v>
      </c>
      <c r="B2405" t="s">
        <v>8</v>
      </c>
      <c r="C2405" t="s">
        <v>6</v>
      </c>
      <c r="D2405">
        <v>13.52</v>
      </c>
      <c r="E2405">
        <v>2</v>
      </c>
      <c r="F2405" t="s">
        <v>14</v>
      </c>
      <c r="G2405">
        <v>12</v>
      </c>
      <c r="H2405">
        <v>15.1424</v>
      </c>
      <c r="I2405">
        <v>12.000000000000011</v>
      </c>
      <c r="J2405" t="s">
        <v>20</v>
      </c>
    </row>
    <row r="2406" spans="1:10" x14ac:dyDescent="0.2">
      <c r="A2406">
        <v>12405</v>
      </c>
      <c r="B2406" t="s">
        <v>5</v>
      </c>
      <c r="C2406" t="s">
        <v>9</v>
      </c>
      <c r="D2406">
        <v>5.57</v>
      </c>
      <c r="E2406">
        <v>1</v>
      </c>
      <c r="F2406" t="s">
        <v>14</v>
      </c>
      <c r="G2406">
        <v>15</v>
      </c>
      <c r="H2406">
        <v>6.4055</v>
      </c>
      <c r="I2406">
        <v>14.999999999999991</v>
      </c>
      <c r="J2406" t="s">
        <v>20</v>
      </c>
    </row>
    <row r="2407" spans="1:10" x14ac:dyDescent="0.2">
      <c r="A2407">
        <v>12406</v>
      </c>
      <c r="B2407" t="s">
        <v>8</v>
      </c>
      <c r="C2407" t="s">
        <v>11</v>
      </c>
      <c r="D2407">
        <v>8.49</v>
      </c>
      <c r="E2407">
        <v>10</v>
      </c>
      <c r="F2407" t="s">
        <v>16</v>
      </c>
      <c r="G2407">
        <v>50</v>
      </c>
      <c r="H2407">
        <v>12.734999999999999</v>
      </c>
      <c r="I2407">
        <v>50</v>
      </c>
      <c r="J2407" t="s">
        <v>20</v>
      </c>
    </row>
    <row r="2408" spans="1:10" x14ac:dyDescent="0.2">
      <c r="A2408">
        <v>12407</v>
      </c>
      <c r="B2408" t="s">
        <v>10</v>
      </c>
      <c r="C2408" t="s">
        <v>11</v>
      </c>
      <c r="D2408">
        <v>5.71</v>
      </c>
      <c r="E2408">
        <v>2</v>
      </c>
      <c r="F2408" t="s">
        <v>14</v>
      </c>
      <c r="G2408">
        <v>10</v>
      </c>
      <c r="H2408">
        <v>6.2810000000000006</v>
      </c>
      <c r="I2408">
        <v>10.000000000000009</v>
      </c>
      <c r="J2408" t="s">
        <v>20</v>
      </c>
    </row>
    <row r="2409" spans="1:10" x14ac:dyDescent="0.2">
      <c r="A2409">
        <v>12408</v>
      </c>
      <c r="B2409" t="s">
        <v>5</v>
      </c>
      <c r="C2409" t="s">
        <v>11</v>
      </c>
      <c r="D2409">
        <v>2.3199999999999998</v>
      </c>
      <c r="E2409">
        <v>8</v>
      </c>
      <c r="F2409" t="s">
        <v>16</v>
      </c>
      <c r="G2409">
        <v>50</v>
      </c>
      <c r="H2409">
        <v>3.4799999999999995</v>
      </c>
      <c r="I2409">
        <v>50</v>
      </c>
      <c r="J2409" t="s">
        <v>20</v>
      </c>
    </row>
    <row r="2410" spans="1:10" x14ac:dyDescent="0.2">
      <c r="A2410">
        <v>12409</v>
      </c>
      <c r="B2410" t="s">
        <v>5</v>
      </c>
      <c r="C2410" t="s">
        <v>9</v>
      </c>
      <c r="D2410">
        <v>9.0500000000000007</v>
      </c>
      <c r="E2410">
        <v>8</v>
      </c>
      <c r="F2410" t="s">
        <v>16</v>
      </c>
      <c r="G2410">
        <v>60</v>
      </c>
      <c r="H2410">
        <v>14.480000000000002</v>
      </c>
      <c r="I2410">
        <v>60.000000000000007</v>
      </c>
      <c r="J2410" t="s">
        <v>20</v>
      </c>
    </row>
    <row r="2411" spans="1:10" x14ac:dyDescent="0.2">
      <c r="A2411">
        <v>12410</v>
      </c>
      <c r="B2411" t="s">
        <v>7</v>
      </c>
      <c r="C2411" t="s">
        <v>11</v>
      </c>
      <c r="D2411">
        <v>8.11</v>
      </c>
      <c r="E2411">
        <v>3</v>
      </c>
      <c r="F2411" t="s">
        <v>14</v>
      </c>
      <c r="G2411">
        <v>10</v>
      </c>
      <c r="H2411">
        <v>8.9209999999999994</v>
      </c>
      <c r="I2411">
        <v>10.000000000000009</v>
      </c>
      <c r="J2411" t="s">
        <v>20</v>
      </c>
    </row>
    <row r="2412" spans="1:10" x14ac:dyDescent="0.2">
      <c r="A2412">
        <v>12411</v>
      </c>
      <c r="B2412" t="s">
        <v>5</v>
      </c>
      <c r="C2412" t="s">
        <v>11</v>
      </c>
      <c r="D2412">
        <v>3.44</v>
      </c>
      <c r="E2412">
        <v>7</v>
      </c>
      <c r="F2412" t="s">
        <v>15</v>
      </c>
      <c r="G2412">
        <v>25</v>
      </c>
      <c r="H2412">
        <v>4.3</v>
      </c>
      <c r="I2412">
        <v>25</v>
      </c>
      <c r="J2412" t="s">
        <v>20</v>
      </c>
    </row>
    <row r="2413" spans="1:10" x14ac:dyDescent="0.2">
      <c r="A2413">
        <v>12412</v>
      </c>
      <c r="B2413" t="s">
        <v>5</v>
      </c>
      <c r="C2413" t="s">
        <v>11</v>
      </c>
      <c r="D2413">
        <v>7.05</v>
      </c>
      <c r="E2413">
        <v>7</v>
      </c>
      <c r="F2413" t="s">
        <v>15</v>
      </c>
      <c r="G2413">
        <v>25</v>
      </c>
      <c r="H2413">
        <v>8.8125</v>
      </c>
      <c r="I2413">
        <v>25</v>
      </c>
      <c r="J2413" t="s">
        <v>20</v>
      </c>
    </row>
    <row r="2414" spans="1:10" x14ac:dyDescent="0.2">
      <c r="A2414">
        <v>12413</v>
      </c>
      <c r="B2414" t="s">
        <v>10</v>
      </c>
      <c r="C2414" t="s">
        <v>11</v>
      </c>
      <c r="D2414">
        <v>12.06</v>
      </c>
      <c r="E2414">
        <v>2</v>
      </c>
      <c r="F2414" t="s">
        <v>14</v>
      </c>
      <c r="G2414">
        <v>10</v>
      </c>
      <c r="H2414">
        <v>13.266000000000002</v>
      </c>
      <c r="I2414">
        <v>10.000000000000009</v>
      </c>
      <c r="J2414" t="s">
        <v>20</v>
      </c>
    </row>
    <row r="2415" spans="1:10" x14ac:dyDescent="0.2">
      <c r="A2415">
        <v>12414</v>
      </c>
      <c r="B2415" t="s">
        <v>5</v>
      </c>
      <c r="C2415" t="s">
        <v>11</v>
      </c>
      <c r="D2415">
        <v>9.06</v>
      </c>
      <c r="E2415">
        <v>9</v>
      </c>
      <c r="F2415" t="s">
        <v>16</v>
      </c>
      <c r="G2415">
        <v>50</v>
      </c>
      <c r="H2415">
        <v>13.59</v>
      </c>
      <c r="I2415">
        <v>50</v>
      </c>
      <c r="J2415" t="s">
        <v>20</v>
      </c>
    </row>
    <row r="2416" spans="1:10" x14ac:dyDescent="0.2">
      <c r="A2416">
        <v>12415</v>
      </c>
      <c r="B2416" t="s">
        <v>10</v>
      </c>
      <c r="C2416" t="s">
        <v>11</v>
      </c>
      <c r="D2416">
        <v>1.91</v>
      </c>
      <c r="E2416">
        <v>3</v>
      </c>
      <c r="F2416" t="s">
        <v>14</v>
      </c>
      <c r="G2416">
        <v>10</v>
      </c>
      <c r="H2416">
        <v>2.101</v>
      </c>
      <c r="I2416">
        <v>10.000000000000009</v>
      </c>
      <c r="J2416" t="s">
        <v>20</v>
      </c>
    </row>
    <row r="2417" spans="1:10" x14ac:dyDescent="0.2">
      <c r="A2417">
        <v>12416</v>
      </c>
      <c r="B2417" t="s">
        <v>10</v>
      </c>
      <c r="C2417" t="s">
        <v>9</v>
      </c>
      <c r="D2417">
        <v>8.4499999999999993</v>
      </c>
      <c r="E2417">
        <v>2</v>
      </c>
      <c r="F2417" t="s">
        <v>14</v>
      </c>
      <c r="G2417">
        <v>15</v>
      </c>
      <c r="H2417">
        <v>9.7174999999999976</v>
      </c>
      <c r="I2417">
        <v>14.999999999999991</v>
      </c>
      <c r="J2417" t="s">
        <v>20</v>
      </c>
    </row>
    <row r="2418" spans="1:10" x14ac:dyDescent="0.2">
      <c r="A2418">
        <v>12417</v>
      </c>
      <c r="B2418" t="s">
        <v>10</v>
      </c>
      <c r="C2418" t="s">
        <v>11</v>
      </c>
      <c r="D2418">
        <v>10.69</v>
      </c>
      <c r="E2418">
        <v>3</v>
      </c>
      <c r="F2418" t="s">
        <v>14</v>
      </c>
      <c r="G2418">
        <v>10</v>
      </c>
      <c r="H2418">
        <v>11.759</v>
      </c>
      <c r="I2418">
        <v>10.000000000000009</v>
      </c>
      <c r="J2418" t="s">
        <v>20</v>
      </c>
    </row>
    <row r="2419" spans="1:10" x14ac:dyDescent="0.2">
      <c r="A2419">
        <v>12418</v>
      </c>
      <c r="B2419" t="s">
        <v>10</v>
      </c>
      <c r="C2419" t="s">
        <v>11</v>
      </c>
      <c r="D2419">
        <v>11.99</v>
      </c>
      <c r="E2419">
        <v>2</v>
      </c>
      <c r="F2419" t="s">
        <v>14</v>
      </c>
      <c r="G2419">
        <v>10</v>
      </c>
      <c r="H2419">
        <v>13.189000000000002</v>
      </c>
      <c r="I2419">
        <v>10.000000000000009</v>
      </c>
      <c r="J2419" t="s">
        <v>20</v>
      </c>
    </row>
    <row r="2420" spans="1:10" x14ac:dyDescent="0.2">
      <c r="A2420">
        <v>12419</v>
      </c>
      <c r="B2420" t="s">
        <v>8</v>
      </c>
      <c r="C2420" t="s">
        <v>6</v>
      </c>
      <c r="D2420">
        <v>9.6199999999999992</v>
      </c>
      <c r="E2420">
        <v>8</v>
      </c>
      <c r="F2420" t="s">
        <v>16</v>
      </c>
      <c r="G2420">
        <v>55</v>
      </c>
      <c r="H2420">
        <v>14.911</v>
      </c>
      <c r="I2420">
        <v>55.000000000000007</v>
      </c>
      <c r="J2420" t="s">
        <v>20</v>
      </c>
    </row>
    <row r="2421" spans="1:10" x14ac:dyDescent="0.2">
      <c r="A2421">
        <v>12420</v>
      </c>
      <c r="B2421" t="s">
        <v>7</v>
      </c>
      <c r="C2421" t="s">
        <v>9</v>
      </c>
      <c r="D2421">
        <v>2.71</v>
      </c>
      <c r="E2421">
        <v>5</v>
      </c>
      <c r="F2421" t="s">
        <v>15</v>
      </c>
      <c r="G2421">
        <v>30</v>
      </c>
      <c r="H2421">
        <v>3.5230000000000001</v>
      </c>
      <c r="I2421">
        <v>30.000000000000004</v>
      </c>
      <c r="J2421" t="s">
        <v>20</v>
      </c>
    </row>
    <row r="2422" spans="1:10" x14ac:dyDescent="0.2">
      <c r="A2422">
        <v>12421</v>
      </c>
      <c r="B2422" t="s">
        <v>8</v>
      </c>
      <c r="C2422" t="s">
        <v>9</v>
      </c>
      <c r="D2422">
        <v>10.8</v>
      </c>
      <c r="E2422">
        <v>3</v>
      </c>
      <c r="F2422" t="s">
        <v>14</v>
      </c>
      <c r="G2422">
        <v>15</v>
      </c>
      <c r="H2422">
        <v>12.42</v>
      </c>
      <c r="I2422">
        <v>14.999999999999991</v>
      </c>
      <c r="J2422" t="s">
        <v>20</v>
      </c>
    </row>
    <row r="2423" spans="1:10" x14ac:dyDescent="0.2">
      <c r="A2423">
        <v>12422</v>
      </c>
      <c r="B2423" t="s">
        <v>5</v>
      </c>
      <c r="C2423" t="s">
        <v>9</v>
      </c>
      <c r="D2423">
        <v>10.32</v>
      </c>
      <c r="E2423">
        <v>5</v>
      </c>
      <c r="F2423" t="s">
        <v>15</v>
      </c>
      <c r="G2423">
        <v>30</v>
      </c>
      <c r="H2423">
        <v>13.416</v>
      </c>
      <c r="I2423">
        <v>30.000000000000004</v>
      </c>
      <c r="J2423" t="s">
        <v>20</v>
      </c>
    </row>
    <row r="2424" spans="1:10" x14ac:dyDescent="0.2">
      <c r="A2424">
        <v>12423</v>
      </c>
      <c r="B2424" t="s">
        <v>8</v>
      </c>
      <c r="C2424" t="s">
        <v>9</v>
      </c>
      <c r="D2424">
        <v>0.85</v>
      </c>
      <c r="E2424">
        <v>8</v>
      </c>
      <c r="F2424" t="s">
        <v>16</v>
      </c>
      <c r="G2424">
        <v>60</v>
      </c>
      <c r="H2424">
        <v>1.36</v>
      </c>
      <c r="I2424">
        <v>60.000000000000007</v>
      </c>
      <c r="J2424" t="s">
        <v>20</v>
      </c>
    </row>
    <row r="2425" spans="1:10" x14ac:dyDescent="0.2">
      <c r="A2425">
        <v>12424</v>
      </c>
      <c r="B2425" t="s">
        <v>8</v>
      </c>
      <c r="C2425" t="s">
        <v>11</v>
      </c>
      <c r="D2425">
        <v>6.47</v>
      </c>
      <c r="E2425">
        <v>7</v>
      </c>
      <c r="F2425" t="s">
        <v>15</v>
      </c>
      <c r="G2425">
        <v>25</v>
      </c>
      <c r="H2425">
        <v>8.0875000000000004</v>
      </c>
      <c r="I2425">
        <v>25</v>
      </c>
      <c r="J2425" t="s">
        <v>20</v>
      </c>
    </row>
    <row r="2426" spans="1:10" x14ac:dyDescent="0.2">
      <c r="A2426">
        <v>12425</v>
      </c>
      <c r="B2426" t="s">
        <v>5</v>
      </c>
      <c r="C2426" t="s">
        <v>11</v>
      </c>
      <c r="D2426">
        <v>5.33</v>
      </c>
      <c r="E2426">
        <v>6</v>
      </c>
      <c r="F2426" t="s">
        <v>15</v>
      </c>
      <c r="G2426">
        <v>25</v>
      </c>
      <c r="H2426">
        <v>6.6624999999999996</v>
      </c>
      <c r="I2426">
        <v>25</v>
      </c>
      <c r="J2426" t="s">
        <v>20</v>
      </c>
    </row>
    <row r="2427" spans="1:10" x14ac:dyDescent="0.2">
      <c r="A2427">
        <v>12426</v>
      </c>
      <c r="B2427" t="s">
        <v>5</v>
      </c>
      <c r="C2427" t="s">
        <v>6</v>
      </c>
      <c r="D2427">
        <v>10.210000000000001</v>
      </c>
      <c r="E2427">
        <v>1</v>
      </c>
      <c r="F2427" t="s">
        <v>14</v>
      </c>
      <c r="G2427">
        <v>12</v>
      </c>
      <c r="H2427">
        <v>11.435200000000002</v>
      </c>
      <c r="I2427">
        <v>12.000000000000011</v>
      </c>
      <c r="J2427" t="s">
        <v>20</v>
      </c>
    </row>
    <row r="2428" spans="1:10" x14ac:dyDescent="0.2">
      <c r="A2428">
        <v>12427</v>
      </c>
      <c r="B2428" t="s">
        <v>5</v>
      </c>
      <c r="C2428" t="s">
        <v>6</v>
      </c>
      <c r="D2428">
        <v>3.63</v>
      </c>
      <c r="E2428">
        <v>10</v>
      </c>
      <c r="F2428" t="s">
        <v>16</v>
      </c>
      <c r="G2428">
        <v>55</v>
      </c>
      <c r="H2428">
        <v>5.6265000000000001</v>
      </c>
      <c r="I2428">
        <v>55.000000000000007</v>
      </c>
      <c r="J2428" t="s">
        <v>20</v>
      </c>
    </row>
    <row r="2429" spans="1:10" x14ac:dyDescent="0.2">
      <c r="A2429">
        <v>12428</v>
      </c>
      <c r="B2429" t="s">
        <v>8</v>
      </c>
      <c r="C2429" t="s">
        <v>9</v>
      </c>
      <c r="D2429">
        <v>9.07</v>
      </c>
      <c r="E2429">
        <v>1</v>
      </c>
      <c r="F2429" t="s">
        <v>14</v>
      </c>
      <c r="G2429">
        <v>15</v>
      </c>
      <c r="H2429">
        <v>10.4305</v>
      </c>
      <c r="I2429">
        <v>14.999999999999991</v>
      </c>
      <c r="J2429" t="s">
        <v>20</v>
      </c>
    </row>
    <row r="2430" spans="1:10" x14ac:dyDescent="0.2">
      <c r="A2430">
        <v>12429</v>
      </c>
      <c r="B2430" t="s">
        <v>8</v>
      </c>
      <c r="C2430" t="s">
        <v>6</v>
      </c>
      <c r="D2430">
        <v>13.74</v>
      </c>
      <c r="E2430">
        <v>1</v>
      </c>
      <c r="F2430" t="s">
        <v>14</v>
      </c>
      <c r="G2430">
        <v>12</v>
      </c>
      <c r="H2430">
        <v>15.388800000000002</v>
      </c>
      <c r="I2430">
        <v>12.000000000000011</v>
      </c>
      <c r="J2430" t="s">
        <v>20</v>
      </c>
    </row>
    <row r="2431" spans="1:10" x14ac:dyDescent="0.2">
      <c r="A2431">
        <v>12430</v>
      </c>
      <c r="B2431" t="s">
        <v>5</v>
      </c>
      <c r="C2431" t="s">
        <v>6</v>
      </c>
      <c r="D2431">
        <v>12.07</v>
      </c>
      <c r="E2431">
        <v>10</v>
      </c>
      <c r="F2431" t="s">
        <v>16</v>
      </c>
      <c r="G2431">
        <v>55</v>
      </c>
      <c r="H2431">
        <v>18.708500000000001</v>
      </c>
      <c r="I2431">
        <v>55.000000000000007</v>
      </c>
      <c r="J2431" t="s">
        <v>20</v>
      </c>
    </row>
    <row r="2432" spans="1:10" x14ac:dyDescent="0.2">
      <c r="A2432">
        <v>12431</v>
      </c>
      <c r="B2432" t="s">
        <v>7</v>
      </c>
      <c r="C2432" t="s">
        <v>9</v>
      </c>
      <c r="D2432">
        <v>13.86</v>
      </c>
      <c r="E2432">
        <v>8</v>
      </c>
      <c r="F2432" t="s">
        <v>16</v>
      </c>
      <c r="G2432">
        <v>60</v>
      </c>
      <c r="H2432">
        <v>22.176000000000002</v>
      </c>
      <c r="I2432">
        <v>60.000000000000028</v>
      </c>
      <c r="J2432" t="s">
        <v>20</v>
      </c>
    </row>
    <row r="2433" spans="1:10" x14ac:dyDescent="0.2">
      <c r="A2433">
        <v>12432</v>
      </c>
      <c r="B2433" t="s">
        <v>7</v>
      </c>
      <c r="C2433" t="s">
        <v>9</v>
      </c>
      <c r="D2433">
        <v>14.69</v>
      </c>
      <c r="E2433">
        <v>8</v>
      </c>
      <c r="F2433" t="s">
        <v>16</v>
      </c>
      <c r="G2433">
        <v>60</v>
      </c>
      <c r="H2433">
        <v>23.504000000000001</v>
      </c>
      <c r="I2433">
        <v>60.000000000000007</v>
      </c>
      <c r="J2433" t="s">
        <v>20</v>
      </c>
    </row>
    <row r="2434" spans="1:10" x14ac:dyDescent="0.2">
      <c r="A2434">
        <v>12433</v>
      </c>
      <c r="B2434" t="s">
        <v>10</v>
      </c>
      <c r="C2434" t="s">
        <v>6</v>
      </c>
      <c r="D2434">
        <v>0.65</v>
      </c>
      <c r="E2434">
        <v>7</v>
      </c>
      <c r="F2434" t="s">
        <v>15</v>
      </c>
      <c r="G2434">
        <v>28</v>
      </c>
      <c r="H2434">
        <v>0.83200000000000007</v>
      </c>
      <c r="I2434">
        <v>28.000000000000004</v>
      </c>
      <c r="J2434" t="s">
        <v>20</v>
      </c>
    </row>
    <row r="2435" spans="1:10" x14ac:dyDescent="0.2">
      <c r="A2435">
        <v>12434</v>
      </c>
      <c r="B2435" t="s">
        <v>5</v>
      </c>
      <c r="C2435" t="s">
        <v>11</v>
      </c>
      <c r="D2435">
        <v>9.5299999999999994</v>
      </c>
      <c r="E2435">
        <v>6</v>
      </c>
      <c r="F2435" t="s">
        <v>15</v>
      </c>
      <c r="G2435">
        <v>25</v>
      </c>
      <c r="H2435">
        <v>11.9125</v>
      </c>
      <c r="I2435">
        <v>25</v>
      </c>
      <c r="J2435" t="s">
        <v>20</v>
      </c>
    </row>
    <row r="2436" spans="1:10" x14ac:dyDescent="0.2">
      <c r="A2436">
        <v>12435</v>
      </c>
      <c r="B2436" t="s">
        <v>10</v>
      </c>
      <c r="C2436" t="s">
        <v>6</v>
      </c>
      <c r="D2436">
        <v>6.49</v>
      </c>
      <c r="E2436">
        <v>4</v>
      </c>
      <c r="F2436" t="s">
        <v>15</v>
      </c>
      <c r="G2436">
        <v>28</v>
      </c>
      <c r="H2436">
        <v>8.3071999999999999</v>
      </c>
      <c r="I2436">
        <v>28.000000000000004</v>
      </c>
      <c r="J2436" t="s">
        <v>20</v>
      </c>
    </row>
    <row r="2437" spans="1:10" x14ac:dyDescent="0.2">
      <c r="A2437">
        <v>12436</v>
      </c>
      <c r="B2437" t="s">
        <v>7</v>
      </c>
      <c r="C2437" t="s">
        <v>6</v>
      </c>
      <c r="D2437">
        <v>12.97</v>
      </c>
      <c r="E2437">
        <v>1</v>
      </c>
      <c r="F2437" t="s">
        <v>14</v>
      </c>
      <c r="G2437">
        <v>12</v>
      </c>
      <c r="H2437">
        <v>14.526400000000002</v>
      </c>
      <c r="I2437">
        <v>12.000000000000011</v>
      </c>
      <c r="J2437" t="s">
        <v>20</v>
      </c>
    </row>
    <row r="2438" spans="1:10" x14ac:dyDescent="0.2">
      <c r="A2438">
        <v>12437</v>
      </c>
      <c r="B2438" t="s">
        <v>10</v>
      </c>
      <c r="C2438" t="s">
        <v>11</v>
      </c>
      <c r="D2438">
        <v>4.1500000000000004</v>
      </c>
      <c r="E2438">
        <v>9</v>
      </c>
      <c r="F2438" t="s">
        <v>16</v>
      </c>
      <c r="G2438">
        <v>50</v>
      </c>
      <c r="H2438">
        <v>6.2250000000000005</v>
      </c>
      <c r="I2438">
        <v>50</v>
      </c>
      <c r="J2438" t="s">
        <v>20</v>
      </c>
    </row>
    <row r="2439" spans="1:10" x14ac:dyDescent="0.2">
      <c r="A2439">
        <v>12438</v>
      </c>
      <c r="B2439" t="s">
        <v>5</v>
      </c>
      <c r="C2439" t="s">
        <v>11</v>
      </c>
      <c r="D2439">
        <v>14.72</v>
      </c>
      <c r="E2439">
        <v>1</v>
      </c>
      <c r="F2439" t="s">
        <v>14</v>
      </c>
      <c r="G2439">
        <v>10</v>
      </c>
      <c r="H2439">
        <v>16.192000000000004</v>
      </c>
      <c r="I2439">
        <v>10.000000000000032</v>
      </c>
      <c r="J2439" t="s">
        <v>20</v>
      </c>
    </row>
    <row r="2440" spans="1:10" x14ac:dyDescent="0.2">
      <c r="A2440">
        <v>12439</v>
      </c>
      <c r="B2440" t="s">
        <v>5</v>
      </c>
      <c r="C2440" t="s">
        <v>9</v>
      </c>
      <c r="D2440">
        <v>9.4</v>
      </c>
      <c r="E2440">
        <v>4</v>
      </c>
      <c r="F2440" t="s">
        <v>15</v>
      </c>
      <c r="G2440">
        <v>30</v>
      </c>
      <c r="H2440">
        <v>12.22</v>
      </c>
      <c r="I2440">
        <v>30.000000000000004</v>
      </c>
      <c r="J2440" t="s">
        <v>20</v>
      </c>
    </row>
    <row r="2441" spans="1:10" x14ac:dyDescent="0.2">
      <c r="A2441">
        <v>12440</v>
      </c>
      <c r="B2441" t="s">
        <v>5</v>
      </c>
      <c r="C2441" t="s">
        <v>9</v>
      </c>
      <c r="D2441">
        <v>12.01</v>
      </c>
      <c r="E2441">
        <v>3</v>
      </c>
      <c r="F2441" t="s">
        <v>14</v>
      </c>
      <c r="G2441">
        <v>15</v>
      </c>
      <c r="H2441">
        <v>13.811499999999999</v>
      </c>
      <c r="I2441">
        <v>14.999999999999991</v>
      </c>
      <c r="J2441" t="s">
        <v>20</v>
      </c>
    </row>
    <row r="2442" spans="1:10" x14ac:dyDescent="0.2">
      <c r="A2442">
        <v>12441</v>
      </c>
      <c r="B2442" t="s">
        <v>8</v>
      </c>
      <c r="C2442" t="s">
        <v>6</v>
      </c>
      <c r="D2442">
        <v>1.74</v>
      </c>
      <c r="E2442">
        <v>7</v>
      </c>
      <c r="F2442" t="s">
        <v>15</v>
      </c>
      <c r="G2442">
        <v>28</v>
      </c>
      <c r="H2442">
        <v>2.2271999999999998</v>
      </c>
      <c r="I2442">
        <v>28.000000000000004</v>
      </c>
      <c r="J2442" t="s">
        <v>20</v>
      </c>
    </row>
    <row r="2443" spans="1:10" x14ac:dyDescent="0.2">
      <c r="A2443">
        <v>12442</v>
      </c>
      <c r="B2443" t="s">
        <v>10</v>
      </c>
      <c r="C2443" t="s">
        <v>11</v>
      </c>
      <c r="D2443">
        <v>3.16</v>
      </c>
      <c r="E2443">
        <v>5</v>
      </c>
      <c r="F2443" t="s">
        <v>15</v>
      </c>
      <c r="G2443">
        <v>25</v>
      </c>
      <c r="H2443">
        <v>3.95</v>
      </c>
      <c r="I2443">
        <v>25</v>
      </c>
      <c r="J2443" t="s">
        <v>20</v>
      </c>
    </row>
    <row r="2444" spans="1:10" x14ac:dyDescent="0.2">
      <c r="A2444">
        <v>12443</v>
      </c>
      <c r="B2444" t="s">
        <v>7</v>
      </c>
      <c r="C2444" t="s">
        <v>9</v>
      </c>
      <c r="D2444">
        <v>11.5</v>
      </c>
      <c r="E2444">
        <v>5</v>
      </c>
      <c r="F2444" t="s">
        <v>15</v>
      </c>
      <c r="G2444">
        <v>30</v>
      </c>
      <c r="H2444">
        <v>14.950000000000001</v>
      </c>
      <c r="I2444">
        <v>30.000000000000004</v>
      </c>
      <c r="J2444" t="s">
        <v>20</v>
      </c>
    </row>
    <row r="2445" spans="1:10" x14ac:dyDescent="0.2">
      <c r="A2445">
        <v>12444</v>
      </c>
      <c r="B2445" t="s">
        <v>7</v>
      </c>
      <c r="C2445" t="s">
        <v>6</v>
      </c>
      <c r="D2445">
        <v>0.82</v>
      </c>
      <c r="E2445">
        <v>4</v>
      </c>
      <c r="F2445" t="s">
        <v>15</v>
      </c>
      <c r="G2445">
        <v>28</v>
      </c>
      <c r="H2445">
        <v>1.0495999999999999</v>
      </c>
      <c r="I2445">
        <v>27.999999999999979</v>
      </c>
      <c r="J2445" t="s">
        <v>20</v>
      </c>
    </row>
    <row r="2446" spans="1:10" x14ac:dyDescent="0.2">
      <c r="A2446">
        <v>12445</v>
      </c>
      <c r="B2446" t="s">
        <v>7</v>
      </c>
      <c r="C2446" t="s">
        <v>11</v>
      </c>
      <c r="D2446">
        <v>12.34</v>
      </c>
      <c r="E2446">
        <v>1</v>
      </c>
      <c r="F2446" t="s">
        <v>14</v>
      </c>
      <c r="G2446">
        <v>10</v>
      </c>
      <c r="H2446">
        <v>13.574000000000002</v>
      </c>
      <c r="I2446">
        <v>10.000000000000009</v>
      </c>
      <c r="J2446" t="s">
        <v>20</v>
      </c>
    </row>
    <row r="2447" spans="1:10" x14ac:dyDescent="0.2">
      <c r="A2447">
        <v>12446</v>
      </c>
      <c r="B2447" t="s">
        <v>8</v>
      </c>
      <c r="C2447" t="s">
        <v>6</v>
      </c>
      <c r="D2447">
        <v>0.7</v>
      </c>
      <c r="E2447">
        <v>5</v>
      </c>
      <c r="F2447" t="s">
        <v>15</v>
      </c>
      <c r="G2447">
        <v>28</v>
      </c>
      <c r="H2447">
        <v>0.89599999999999991</v>
      </c>
      <c r="I2447">
        <v>28.000000000000004</v>
      </c>
      <c r="J2447" t="s">
        <v>20</v>
      </c>
    </row>
    <row r="2448" spans="1:10" x14ac:dyDescent="0.2">
      <c r="A2448">
        <v>12447</v>
      </c>
      <c r="B2448" t="s">
        <v>8</v>
      </c>
      <c r="C2448" t="s">
        <v>9</v>
      </c>
      <c r="D2448">
        <v>10.029999999999999</v>
      </c>
      <c r="E2448">
        <v>4</v>
      </c>
      <c r="F2448" t="s">
        <v>15</v>
      </c>
      <c r="G2448">
        <v>30</v>
      </c>
      <c r="H2448">
        <v>13.039</v>
      </c>
      <c r="I2448">
        <v>30.000000000000004</v>
      </c>
      <c r="J2448" t="s">
        <v>20</v>
      </c>
    </row>
    <row r="2449" spans="1:10" x14ac:dyDescent="0.2">
      <c r="A2449">
        <v>12448</v>
      </c>
      <c r="B2449" t="s">
        <v>5</v>
      </c>
      <c r="C2449" t="s">
        <v>9</v>
      </c>
      <c r="D2449">
        <v>5.79</v>
      </c>
      <c r="E2449">
        <v>10</v>
      </c>
      <c r="F2449" t="s">
        <v>16</v>
      </c>
      <c r="G2449">
        <v>60</v>
      </c>
      <c r="H2449">
        <v>9.2640000000000011</v>
      </c>
      <c r="I2449">
        <v>60.000000000000007</v>
      </c>
      <c r="J2449" t="s">
        <v>20</v>
      </c>
    </row>
    <row r="2450" spans="1:10" x14ac:dyDescent="0.2">
      <c r="A2450">
        <v>12449</v>
      </c>
      <c r="B2450" t="s">
        <v>7</v>
      </c>
      <c r="C2450" t="s">
        <v>11</v>
      </c>
      <c r="D2450">
        <v>9.3699999999999992</v>
      </c>
      <c r="E2450">
        <v>8</v>
      </c>
      <c r="F2450" t="s">
        <v>16</v>
      </c>
      <c r="G2450">
        <v>50</v>
      </c>
      <c r="H2450">
        <v>14.055</v>
      </c>
      <c r="I2450">
        <v>50</v>
      </c>
      <c r="J2450" t="s">
        <v>20</v>
      </c>
    </row>
    <row r="2451" spans="1:10" x14ac:dyDescent="0.2">
      <c r="A2451">
        <v>12450</v>
      </c>
      <c r="B2451" t="s">
        <v>8</v>
      </c>
      <c r="C2451" t="s">
        <v>6</v>
      </c>
      <c r="D2451">
        <v>10.59</v>
      </c>
      <c r="E2451">
        <v>2</v>
      </c>
      <c r="F2451" t="s">
        <v>14</v>
      </c>
      <c r="G2451">
        <v>12</v>
      </c>
      <c r="H2451">
        <v>11.860800000000001</v>
      </c>
      <c r="I2451">
        <v>12.000000000000011</v>
      </c>
      <c r="J2451" t="s">
        <v>20</v>
      </c>
    </row>
    <row r="2452" spans="1:10" x14ac:dyDescent="0.2">
      <c r="A2452">
        <v>12451</v>
      </c>
      <c r="B2452" t="s">
        <v>5</v>
      </c>
      <c r="C2452" t="s">
        <v>11</v>
      </c>
      <c r="D2452">
        <v>5.47</v>
      </c>
      <c r="E2452">
        <v>8</v>
      </c>
      <c r="F2452" t="s">
        <v>16</v>
      </c>
      <c r="G2452">
        <v>50</v>
      </c>
      <c r="H2452">
        <v>8.2050000000000001</v>
      </c>
      <c r="I2452">
        <v>50</v>
      </c>
      <c r="J2452" t="s">
        <v>20</v>
      </c>
    </row>
    <row r="2453" spans="1:10" x14ac:dyDescent="0.2">
      <c r="A2453">
        <v>12452</v>
      </c>
      <c r="B2453" t="s">
        <v>7</v>
      </c>
      <c r="C2453" t="s">
        <v>9</v>
      </c>
      <c r="D2453">
        <v>2.0699999999999998</v>
      </c>
      <c r="E2453">
        <v>1</v>
      </c>
      <c r="F2453" t="s">
        <v>14</v>
      </c>
      <c r="G2453">
        <v>15</v>
      </c>
      <c r="H2453">
        <v>2.3804999999999996</v>
      </c>
      <c r="I2453">
        <v>14.999999999999991</v>
      </c>
      <c r="J2453" t="s">
        <v>20</v>
      </c>
    </row>
    <row r="2454" spans="1:10" x14ac:dyDescent="0.2">
      <c r="A2454">
        <v>12453</v>
      </c>
      <c r="B2454" t="s">
        <v>10</v>
      </c>
      <c r="C2454" t="s">
        <v>9</v>
      </c>
      <c r="D2454">
        <v>1.51</v>
      </c>
      <c r="E2454">
        <v>4</v>
      </c>
      <c r="F2454" t="s">
        <v>15</v>
      </c>
      <c r="G2454">
        <v>30</v>
      </c>
      <c r="H2454">
        <v>1.9630000000000001</v>
      </c>
      <c r="I2454">
        <v>30.000000000000004</v>
      </c>
      <c r="J2454" t="s">
        <v>20</v>
      </c>
    </row>
    <row r="2455" spans="1:10" x14ac:dyDescent="0.2">
      <c r="A2455">
        <v>12454</v>
      </c>
      <c r="B2455" t="s">
        <v>5</v>
      </c>
      <c r="C2455" t="s">
        <v>6</v>
      </c>
      <c r="D2455">
        <v>9.0399999999999991</v>
      </c>
      <c r="E2455">
        <v>3</v>
      </c>
      <c r="F2455" t="s">
        <v>14</v>
      </c>
      <c r="G2455">
        <v>12</v>
      </c>
      <c r="H2455">
        <v>10.1248</v>
      </c>
      <c r="I2455">
        <v>12.000000000000011</v>
      </c>
      <c r="J2455" t="s">
        <v>20</v>
      </c>
    </row>
    <row r="2456" spans="1:10" x14ac:dyDescent="0.2">
      <c r="A2456">
        <v>12455</v>
      </c>
      <c r="B2456" t="s">
        <v>8</v>
      </c>
      <c r="C2456" t="s">
        <v>6</v>
      </c>
      <c r="D2456">
        <v>8.0500000000000007</v>
      </c>
      <c r="E2456">
        <v>5</v>
      </c>
      <c r="F2456" t="s">
        <v>15</v>
      </c>
      <c r="G2456">
        <v>28</v>
      </c>
      <c r="H2456">
        <v>10.304</v>
      </c>
      <c r="I2456">
        <v>28.000000000000004</v>
      </c>
      <c r="J2456" t="s">
        <v>20</v>
      </c>
    </row>
    <row r="2457" spans="1:10" x14ac:dyDescent="0.2">
      <c r="A2457">
        <v>12456</v>
      </c>
      <c r="B2457" t="s">
        <v>8</v>
      </c>
      <c r="C2457" t="s">
        <v>6</v>
      </c>
      <c r="D2457">
        <v>11.26</v>
      </c>
      <c r="E2457">
        <v>5</v>
      </c>
      <c r="F2457" t="s">
        <v>15</v>
      </c>
      <c r="G2457">
        <v>28</v>
      </c>
      <c r="H2457">
        <v>14.412800000000001</v>
      </c>
      <c r="I2457">
        <v>28.000000000000004</v>
      </c>
      <c r="J2457" t="s">
        <v>20</v>
      </c>
    </row>
    <row r="2458" spans="1:10" x14ac:dyDescent="0.2">
      <c r="A2458">
        <v>12457</v>
      </c>
      <c r="B2458" t="s">
        <v>5</v>
      </c>
      <c r="C2458" t="s">
        <v>11</v>
      </c>
      <c r="D2458">
        <v>7.89</v>
      </c>
      <c r="E2458">
        <v>5</v>
      </c>
      <c r="F2458" t="s">
        <v>15</v>
      </c>
      <c r="G2458">
        <v>25</v>
      </c>
      <c r="H2458">
        <v>9.8624999999999989</v>
      </c>
      <c r="I2458">
        <v>25</v>
      </c>
      <c r="J2458" t="s">
        <v>20</v>
      </c>
    </row>
    <row r="2459" spans="1:10" x14ac:dyDescent="0.2">
      <c r="A2459">
        <v>12458</v>
      </c>
      <c r="B2459" t="s">
        <v>5</v>
      </c>
      <c r="C2459" t="s">
        <v>6</v>
      </c>
      <c r="D2459">
        <v>6.63</v>
      </c>
      <c r="E2459">
        <v>4</v>
      </c>
      <c r="F2459" t="s">
        <v>15</v>
      </c>
      <c r="G2459">
        <v>28</v>
      </c>
      <c r="H2459">
        <v>8.4863999999999997</v>
      </c>
      <c r="I2459">
        <v>28.000000000000004</v>
      </c>
      <c r="J2459" t="s">
        <v>20</v>
      </c>
    </row>
    <row r="2460" spans="1:10" x14ac:dyDescent="0.2">
      <c r="A2460">
        <v>12459</v>
      </c>
      <c r="B2460" t="s">
        <v>8</v>
      </c>
      <c r="C2460" t="s">
        <v>6</v>
      </c>
      <c r="D2460">
        <v>6.27</v>
      </c>
      <c r="E2460">
        <v>8</v>
      </c>
      <c r="F2460" t="s">
        <v>16</v>
      </c>
      <c r="G2460">
        <v>55</v>
      </c>
      <c r="H2460">
        <v>9.7184999999999988</v>
      </c>
      <c r="I2460">
        <v>54.999999999999986</v>
      </c>
      <c r="J2460" t="s">
        <v>20</v>
      </c>
    </row>
    <row r="2461" spans="1:10" x14ac:dyDescent="0.2">
      <c r="A2461">
        <v>12460</v>
      </c>
      <c r="B2461" t="s">
        <v>10</v>
      </c>
      <c r="C2461" t="s">
        <v>9</v>
      </c>
      <c r="D2461">
        <v>0.88</v>
      </c>
      <c r="E2461">
        <v>3</v>
      </c>
      <c r="F2461" t="s">
        <v>14</v>
      </c>
      <c r="G2461">
        <v>15</v>
      </c>
      <c r="H2461">
        <v>1.012</v>
      </c>
      <c r="I2461">
        <v>14.999999999999991</v>
      </c>
      <c r="J2461" t="s">
        <v>20</v>
      </c>
    </row>
    <row r="2462" spans="1:10" x14ac:dyDescent="0.2">
      <c r="A2462">
        <v>12461</v>
      </c>
      <c r="B2462" t="s">
        <v>7</v>
      </c>
      <c r="C2462" t="s">
        <v>9</v>
      </c>
      <c r="D2462">
        <v>5.37</v>
      </c>
      <c r="E2462">
        <v>4</v>
      </c>
      <c r="F2462" t="s">
        <v>15</v>
      </c>
      <c r="G2462">
        <v>30</v>
      </c>
      <c r="H2462">
        <v>6.9810000000000008</v>
      </c>
      <c r="I2462">
        <v>30.000000000000004</v>
      </c>
      <c r="J2462" t="s">
        <v>20</v>
      </c>
    </row>
    <row r="2463" spans="1:10" x14ac:dyDescent="0.2">
      <c r="A2463">
        <v>12462</v>
      </c>
      <c r="B2463" t="s">
        <v>10</v>
      </c>
      <c r="C2463" t="s">
        <v>6</v>
      </c>
      <c r="D2463">
        <v>14.65</v>
      </c>
      <c r="E2463">
        <v>1</v>
      </c>
      <c r="F2463" t="s">
        <v>14</v>
      </c>
      <c r="G2463">
        <v>12</v>
      </c>
      <c r="H2463">
        <v>16.408000000000001</v>
      </c>
      <c r="I2463">
        <v>12.000000000000011</v>
      </c>
      <c r="J2463" t="s">
        <v>20</v>
      </c>
    </row>
    <row r="2464" spans="1:10" x14ac:dyDescent="0.2">
      <c r="A2464">
        <v>12463</v>
      </c>
      <c r="B2464" t="s">
        <v>5</v>
      </c>
      <c r="C2464" t="s">
        <v>6</v>
      </c>
      <c r="D2464">
        <v>13.17</v>
      </c>
      <c r="E2464">
        <v>7</v>
      </c>
      <c r="F2464" t="s">
        <v>15</v>
      </c>
      <c r="G2464">
        <v>28</v>
      </c>
      <c r="H2464">
        <v>16.857600000000001</v>
      </c>
      <c r="I2464">
        <v>28.000000000000004</v>
      </c>
      <c r="J2464" t="s">
        <v>20</v>
      </c>
    </row>
    <row r="2465" spans="1:10" x14ac:dyDescent="0.2">
      <c r="A2465">
        <v>12464</v>
      </c>
      <c r="B2465" t="s">
        <v>10</v>
      </c>
      <c r="C2465" t="s">
        <v>9</v>
      </c>
      <c r="D2465">
        <v>5.28</v>
      </c>
      <c r="E2465">
        <v>1</v>
      </c>
      <c r="F2465" t="s">
        <v>14</v>
      </c>
      <c r="G2465">
        <v>15</v>
      </c>
      <c r="H2465">
        <v>6.0720000000000001</v>
      </c>
      <c r="I2465">
        <v>14.999999999999991</v>
      </c>
      <c r="J2465" t="s">
        <v>20</v>
      </c>
    </row>
    <row r="2466" spans="1:10" x14ac:dyDescent="0.2">
      <c r="A2466">
        <v>12465</v>
      </c>
      <c r="B2466" t="s">
        <v>8</v>
      </c>
      <c r="C2466" t="s">
        <v>6</v>
      </c>
      <c r="D2466">
        <v>9.02</v>
      </c>
      <c r="E2466">
        <v>2</v>
      </c>
      <c r="F2466" t="s">
        <v>14</v>
      </c>
      <c r="G2466">
        <v>12</v>
      </c>
      <c r="H2466">
        <v>10.102400000000001</v>
      </c>
      <c r="I2466">
        <v>12.000000000000011</v>
      </c>
      <c r="J2466" t="s">
        <v>20</v>
      </c>
    </row>
    <row r="2467" spans="1:10" x14ac:dyDescent="0.2">
      <c r="A2467">
        <v>12466</v>
      </c>
      <c r="B2467" t="s">
        <v>5</v>
      </c>
      <c r="C2467" t="s">
        <v>11</v>
      </c>
      <c r="D2467">
        <v>12.79</v>
      </c>
      <c r="E2467">
        <v>7</v>
      </c>
      <c r="F2467" t="s">
        <v>15</v>
      </c>
      <c r="G2467">
        <v>25</v>
      </c>
      <c r="H2467">
        <v>15.987499999999999</v>
      </c>
      <c r="I2467">
        <v>25</v>
      </c>
      <c r="J2467" t="s">
        <v>20</v>
      </c>
    </row>
    <row r="2468" spans="1:10" x14ac:dyDescent="0.2">
      <c r="A2468">
        <v>12467</v>
      </c>
      <c r="B2468" t="s">
        <v>7</v>
      </c>
      <c r="C2468" t="s">
        <v>11</v>
      </c>
      <c r="D2468">
        <v>6.9</v>
      </c>
      <c r="E2468">
        <v>1</v>
      </c>
      <c r="F2468" t="s">
        <v>14</v>
      </c>
      <c r="G2468">
        <v>10</v>
      </c>
      <c r="H2468">
        <v>7.5900000000000007</v>
      </c>
      <c r="I2468">
        <v>10.000000000000009</v>
      </c>
      <c r="J2468" t="s">
        <v>20</v>
      </c>
    </row>
    <row r="2469" spans="1:10" x14ac:dyDescent="0.2">
      <c r="A2469">
        <v>12468</v>
      </c>
      <c r="B2469" t="s">
        <v>8</v>
      </c>
      <c r="C2469" t="s">
        <v>11</v>
      </c>
      <c r="D2469">
        <v>0.76</v>
      </c>
      <c r="E2469">
        <v>3</v>
      </c>
      <c r="F2469" t="s">
        <v>14</v>
      </c>
      <c r="G2469">
        <v>10</v>
      </c>
      <c r="H2469">
        <v>0.83600000000000008</v>
      </c>
      <c r="I2469">
        <v>10.000000000000009</v>
      </c>
      <c r="J2469" t="s">
        <v>20</v>
      </c>
    </row>
    <row r="2470" spans="1:10" x14ac:dyDescent="0.2">
      <c r="A2470">
        <v>12469</v>
      </c>
      <c r="B2470" t="s">
        <v>8</v>
      </c>
      <c r="C2470" t="s">
        <v>6</v>
      </c>
      <c r="D2470">
        <v>1.58</v>
      </c>
      <c r="E2470">
        <v>6</v>
      </c>
      <c r="F2470" t="s">
        <v>15</v>
      </c>
      <c r="G2470">
        <v>28</v>
      </c>
      <c r="H2470">
        <v>2.0224000000000002</v>
      </c>
      <c r="I2470">
        <v>28.000000000000004</v>
      </c>
      <c r="J2470" t="s">
        <v>20</v>
      </c>
    </row>
    <row r="2471" spans="1:10" x14ac:dyDescent="0.2">
      <c r="A2471">
        <v>12470</v>
      </c>
      <c r="B2471" t="s">
        <v>7</v>
      </c>
      <c r="C2471" t="s">
        <v>9</v>
      </c>
      <c r="D2471">
        <v>7.9</v>
      </c>
      <c r="E2471">
        <v>6</v>
      </c>
      <c r="F2471" t="s">
        <v>15</v>
      </c>
      <c r="G2471">
        <v>30</v>
      </c>
      <c r="H2471">
        <v>10.270000000000001</v>
      </c>
      <c r="I2471">
        <v>30.000000000000004</v>
      </c>
      <c r="J2471" t="s">
        <v>20</v>
      </c>
    </row>
    <row r="2472" spans="1:10" x14ac:dyDescent="0.2">
      <c r="A2472">
        <v>12471</v>
      </c>
      <c r="B2472" t="s">
        <v>7</v>
      </c>
      <c r="C2472" t="s">
        <v>6</v>
      </c>
      <c r="D2472">
        <v>14.56</v>
      </c>
      <c r="E2472">
        <v>6</v>
      </c>
      <c r="F2472" t="s">
        <v>15</v>
      </c>
      <c r="G2472">
        <v>28</v>
      </c>
      <c r="H2472">
        <v>18.636800000000001</v>
      </c>
      <c r="I2472">
        <v>28.000000000000004</v>
      </c>
      <c r="J2472" t="s">
        <v>20</v>
      </c>
    </row>
    <row r="2473" spans="1:10" x14ac:dyDescent="0.2">
      <c r="A2473">
        <v>12472</v>
      </c>
      <c r="B2473" t="s">
        <v>10</v>
      </c>
      <c r="C2473" t="s">
        <v>6</v>
      </c>
      <c r="D2473">
        <v>10.55</v>
      </c>
      <c r="E2473">
        <v>2</v>
      </c>
      <c r="F2473" t="s">
        <v>14</v>
      </c>
      <c r="G2473">
        <v>12</v>
      </c>
      <c r="H2473">
        <v>11.816000000000003</v>
      </c>
      <c r="I2473">
        <v>12.000000000000011</v>
      </c>
      <c r="J2473" t="s">
        <v>20</v>
      </c>
    </row>
    <row r="2474" spans="1:10" x14ac:dyDescent="0.2">
      <c r="A2474">
        <v>12473</v>
      </c>
      <c r="B2474" t="s">
        <v>5</v>
      </c>
      <c r="C2474" t="s">
        <v>9</v>
      </c>
      <c r="D2474">
        <v>1.53</v>
      </c>
      <c r="E2474">
        <v>2</v>
      </c>
      <c r="F2474" t="s">
        <v>14</v>
      </c>
      <c r="G2474">
        <v>15</v>
      </c>
      <c r="H2474">
        <v>1.7594999999999998</v>
      </c>
      <c r="I2474">
        <v>14.999999999999991</v>
      </c>
      <c r="J2474" t="s">
        <v>20</v>
      </c>
    </row>
    <row r="2475" spans="1:10" x14ac:dyDescent="0.2">
      <c r="A2475">
        <v>12474</v>
      </c>
      <c r="B2475" t="s">
        <v>7</v>
      </c>
      <c r="C2475" t="s">
        <v>9</v>
      </c>
      <c r="D2475">
        <v>3.25</v>
      </c>
      <c r="E2475">
        <v>6</v>
      </c>
      <c r="F2475" t="s">
        <v>15</v>
      </c>
      <c r="G2475">
        <v>30</v>
      </c>
      <c r="H2475">
        <v>4.2250000000000005</v>
      </c>
      <c r="I2475">
        <v>30.000000000000028</v>
      </c>
      <c r="J2475" t="s">
        <v>20</v>
      </c>
    </row>
    <row r="2476" spans="1:10" x14ac:dyDescent="0.2">
      <c r="A2476">
        <v>12475</v>
      </c>
      <c r="B2476" t="s">
        <v>7</v>
      </c>
      <c r="C2476" t="s">
        <v>9</v>
      </c>
      <c r="D2476">
        <v>11.68</v>
      </c>
      <c r="E2476">
        <v>10</v>
      </c>
      <c r="F2476" t="s">
        <v>16</v>
      </c>
      <c r="G2476">
        <v>60</v>
      </c>
      <c r="H2476">
        <v>18.687999999999999</v>
      </c>
      <c r="I2476">
        <v>59.999999999999986</v>
      </c>
      <c r="J2476" t="s">
        <v>20</v>
      </c>
    </row>
    <row r="2477" spans="1:10" x14ac:dyDescent="0.2">
      <c r="A2477">
        <v>12476</v>
      </c>
      <c r="B2477" t="s">
        <v>5</v>
      </c>
      <c r="C2477" t="s">
        <v>11</v>
      </c>
      <c r="D2477">
        <v>12.7</v>
      </c>
      <c r="E2477">
        <v>5</v>
      </c>
      <c r="F2477" t="s">
        <v>15</v>
      </c>
      <c r="G2477">
        <v>25</v>
      </c>
      <c r="H2477">
        <v>15.875</v>
      </c>
      <c r="I2477">
        <v>25</v>
      </c>
      <c r="J2477" t="s">
        <v>20</v>
      </c>
    </row>
    <row r="2478" spans="1:10" x14ac:dyDescent="0.2">
      <c r="A2478">
        <v>12477</v>
      </c>
      <c r="B2478" t="s">
        <v>7</v>
      </c>
      <c r="C2478" t="s">
        <v>6</v>
      </c>
      <c r="D2478">
        <v>9.4600000000000009</v>
      </c>
      <c r="E2478">
        <v>7</v>
      </c>
      <c r="F2478" t="s">
        <v>15</v>
      </c>
      <c r="G2478">
        <v>28</v>
      </c>
      <c r="H2478">
        <v>12.108800000000002</v>
      </c>
      <c r="I2478">
        <v>28.000000000000004</v>
      </c>
      <c r="J2478" t="s">
        <v>20</v>
      </c>
    </row>
    <row r="2479" spans="1:10" x14ac:dyDescent="0.2">
      <c r="A2479">
        <v>12478</v>
      </c>
      <c r="B2479" t="s">
        <v>7</v>
      </c>
      <c r="C2479" t="s">
        <v>9</v>
      </c>
      <c r="D2479">
        <v>9.84</v>
      </c>
      <c r="E2479">
        <v>7</v>
      </c>
      <c r="F2479" t="s">
        <v>15</v>
      </c>
      <c r="G2479">
        <v>30</v>
      </c>
      <c r="H2479">
        <v>12.792</v>
      </c>
      <c r="I2479">
        <v>30.000000000000004</v>
      </c>
      <c r="J2479" t="s">
        <v>20</v>
      </c>
    </row>
    <row r="2480" spans="1:10" x14ac:dyDescent="0.2">
      <c r="A2480">
        <v>12479</v>
      </c>
      <c r="B2480" t="s">
        <v>10</v>
      </c>
      <c r="C2480" t="s">
        <v>6</v>
      </c>
      <c r="D2480">
        <v>0.91</v>
      </c>
      <c r="E2480">
        <v>5</v>
      </c>
      <c r="F2480" t="s">
        <v>15</v>
      </c>
      <c r="G2480">
        <v>28</v>
      </c>
      <c r="H2480">
        <v>1.1648000000000001</v>
      </c>
      <c r="I2480">
        <v>28.000000000000004</v>
      </c>
      <c r="J2480" t="s">
        <v>20</v>
      </c>
    </row>
    <row r="2481" spans="1:10" x14ac:dyDescent="0.2">
      <c r="A2481">
        <v>12480</v>
      </c>
      <c r="B2481" t="s">
        <v>8</v>
      </c>
      <c r="C2481" t="s">
        <v>11</v>
      </c>
      <c r="D2481">
        <v>12.51</v>
      </c>
      <c r="E2481">
        <v>8</v>
      </c>
      <c r="F2481" t="s">
        <v>16</v>
      </c>
      <c r="G2481">
        <v>50</v>
      </c>
      <c r="H2481">
        <v>18.765000000000001</v>
      </c>
      <c r="I2481">
        <v>50</v>
      </c>
      <c r="J2481" t="s">
        <v>20</v>
      </c>
    </row>
    <row r="2482" spans="1:10" x14ac:dyDescent="0.2">
      <c r="A2482">
        <v>12481</v>
      </c>
      <c r="B2482" t="s">
        <v>8</v>
      </c>
      <c r="C2482" t="s">
        <v>11</v>
      </c>
      <c r="D2482">
        <v>11.93</v>
      </c>
      <c r="E2482">
        <v>10</v>
      </c>
      <c r="F2482" t="s">
        <v>16</v>
      </c>
      <c r="G2482">
        <v>50</v>
      </c>
      <c r="H2482">
        <v>17.895</v>
      </c>
      <c r="I2482">
        <v>50</v>
      </c>
      <c r="J2482" t="s">
        <v>20</v>
      </c>
    </row>
    <row r="2483" spans="1:10" x14ac:dyDescent="0.2">
      <c r="A2483">
        <v>12482</v>
      </c>
      <c r="B2483" t="s">
        <v>8</v>
      </c>
      <c r="C2483" t="s">
        <v>9</v>
      </c>
      <c r="D2483">
        <v>4.26</v>
      </c>
      <c r="E2483">
        <v>6</v>
      </c>
      <c r="F2483" t="s">
        <v>15</v>
      </c>
      <c r="G2483">
        <v>30</v>
      </c>
      <c r="H2483">
        <v>5.5380000000000003</v>
      </c>
      <c r="I2483">
        <v>30.000000000000004</v>
      </c>
      <c r="J2483" t="s">
        <v>20</v>
      </c>
    </row>
    <row r="2484" spans="1:10" x14ac:dyDescent="0.2">
      <c r="A2484">
        <v>12483</v>
      </c>
      <c r="B2484" t="s">
        <v>8</v>
      </c>
      <c r="C2484" t="s">
        <v>9</v>
      </c>
      <c r="D2484">
        <v>10.78</v>
      </c>
      <c r="E2484">
        <v>5</v>
      </c>
      <c r="F2484" t="s">
        <v>15</v>
      </c>
      <c r="G2484">
        <v>30</v>
      </c>
      <c r="H2484">
        <v>14.013999999999999</v>
      </c>
      <c r="I2484">
        <v>30.000000000000004</v>
      </c>
      <c r="J2484" t="s">
        <v>20</v>
      </c>
    </row>
    <row r="2485" spans="1:10" x14ac:dyDescent="0.2">
      <c r="A2485">
        <v>12484</v>
      </c>
      <c r="B2485" t="s">
        <v>7</v>
      </c>
      <c r="C2485" t="s">
        <v>6</v>
      </c>
      <c r="D2485">
        <v>3.62</v>
      </c>
      <c r="E2485">
        <v>4</v>
      </c>
      <c r="F2485" t="s">
        <v>15</v>
      </c>
      <c r="G2485">
        <v>28</v>
      </c>
      <c r="H2485">
        <v>4.6336000000000004</v>
      </c>
      <c r="I2485">
        <v>28.000000000000004</v>
      </c>
      <c r="J2485" t="s">
        <v>20</v>
      </c>
    </row>
    <row r="2486" spans="1:10" x14ac:dyDescent="0.2">
      <c r="A2486">
        <v>12485</v>
      </c>
      <c r="B2486" t="s">
        <v>5</v>
      </c>
      <c r="C2486" t="s">
        <v>9</v>
      </c>
      <c r="D2486">
        <v>1.08</v>
      </c>
      <c r="E2486">
        <v>7</v>
      </c>
      <c r="F2486" t="s">
        <v>15</v>
      </c>
      <c r="G2486">
        <v>30</v>
      </c>
      <c r="H2486">
        <v>1.4040000000000001</v>
      </c>
      <c r="I2486">
        <v>30.000000000000004</v>
      </c>
      <c r="J2486" t="s">
        <v>20</v>
      </c>
    </row>
    <row r="2487" spans="1:10" x14ac:dyDescent="0.2">
      <c r="A2487">
        <v>12486</v>
      </c>
      <c r="B2487" t="s">
        <v>5</v>
      </c>
      <c r="C2487" t="s">
        <v>6</v>
      </c>
      <c r="D2487">
        <v>3.42</v>
      </c>
      <c r="E2487">
        <v>4</v>
      </c>
      <c r="F2487" t="s">
        <v>15</v>
      </c>
      <c r="G2487">
        <v>28</v>
      </c>
      <c r="H2487">
        <v>4.3776000000000002</v>
      </c>
      <c r="I2487">
        <v>28.000000000000004</v>
      </c>
      <c r="J2487" t="s">
        <v>20</v>
      </c>
    </row>
    <row r="2488" spans="1:10" x14ac:dyDescent="0.2">
      <c r="A2488">
        <v>12487</v>
      </c>
      <c r="B2488" t="s">
        <v>10</v>
      </c>
      <c r="C2488" t="s">
        <v>9</v>
      </c>
      <c r="D2488">
        <v>3.09</v>
      </c>
      <c r="E2488">
        <v>5</v>
      </c>
      <c r="F2488" t="s">
        <v>15</v>
      </c>
      <c r="G2488">
        <v>30</v>
      </c>
      <c r="H2488">
        <v>4.0170000000000003</v>
      </c>
      <c r="I2488">
        <v>30.000000000000028</v>
      </c>
      <c r="J2488" t="s">
        <v>20</v>
      </c>
    </row>
    <row r="2489" spans="1:10" x14ac:dyDescent="0.2">
      <c r="A2489">
        <v>12488</v>
      </c>
      <c r="B2489" t="s">
        <v>10</v>
      </c>
      <c r="C2489" t="s">
        <v>6</v>
      </c>
      <c r="D2489">
        <v>5.4</v>
      </c>
      <c r="E2489">
        <v>5</v>
      </c>
      <c r="F2489" t="s">
        <v>15</v>
      </c>
      <c r="G2489">
        <v>28</v>
      </c>
      <c r="H2489">
        <v>6.9120000000000008</v>
      </c>
      <c r="I2489">
        <v>28.000000000000004</v>
      </c>
      <c r="J2489" t="s">
        <v>20</v>
      </c>
    </row>
    <row r="2490" spans="1:10" x14ac:dyDescent="0.2">
      <c r="A2490">
        <v>12489</v>
      </c>
      <c r="B2490" t="s">
        <v>7</v>
      </c>
      <c r="C2490" t="s">
        <v>6</v>
      </c>
      <c r="D2490">
        <v>6.57</v>
      </c>
      <c r="E2490">
        <v>1</v>
      </c>
      <c r="F2490" t="s">
        <v>14</v>
      </c>
      <c r="G2490">
        <v>12</v>
      </c>
      <c r="H2490">
        <v>7.3584000000000014</v>
      </c>
      <c r="I2490">
        <v>12.000000000000011</v>
      </c>
      <c r="J2490" t="s">
        <v>20</v>
      </c>
    </row>
    <row r="2491" spans="1:10" x14ac:dyDescent="0.2">
      <c r="A2491">
        <v>12490</v>
      </c>
      <c r="B2491" t="s">
        <v>5</v>
      </c>
      <c r="C2491" t="s">
        <v>6</v>
      </c>
      <c r="D2491">
        <v>7.87</v>
      </c>
      <c r="E2491">
        <v>1</v>
      </c>
      <c r="F2491" t="s">
        <v>14</v>
      </c>
      <c r="G2491">
        <v>12</v>
      </c>
      <c r="H2491">
        <v>8.8144000000000009</v>
      </c>
      <c r="I2491">
        <v>12.000000000000011</v>
      </c>
      <c r="J2491" t="s">
        <v>20</v>
      </c>
    </row>
    <row r="2492" spans="1:10" x14ac:dyDescent="0.2">
      <c r="A2492">
        <v>12491</v>
      </c>
      <c r="B2492" t="s">
        <v>5</v>
      </c>
      <c r="C2492" t="s">
        <v>6</v>
      </c>
      <c r="D2492">
        <v>7.41</v>
      </c>
      <c r="E2492">
        <v>3</v>
      </c>
      <c r="F2492" t="s">
        <v>14</v>
      </c>
      <c r="G2492">
        <v>12</v>
      </c>
      <c r="H2492">
        <v>8.2992000000000008</v>
      </c>
      <c r="I2492">
        <v>12.000000000000011</v>
      </c>
      <c r="J2492" t="s">
        <v>20</v>
      </c>
    </row>
    <row r="2493" spans="1:10" x14ac:dyDescent="0.2">
      <c r="A2493">
        <v>12492</v>
      </c>
      <c r="B2493" t="s">
        <v>8</v>
      </c>
      <c r="C2493" t="s">
        <v>11</v>
      </c>
      <c r="D2493">
        <v>4.42</v>
      </c>
      <c r="E2493">
        <v>3</v>
      </c>
      <c r="F2493" t="s">
        <v>14</v>
      </c>
      <c r="G2493">
        <v>10</v>
      </c>
      <c r="H2493">
        <v>4.8620000000000001</v>
      </c>
      <c r="I2493">
        <v>10.000000000000009</v>
      </c>
      <c r="J2493" t="s">
        <v>20</v>
      </c>
    </row>
    <row r="2494" spans="1:10" x14ac:dyDescent="0.2">
      <c r="A2494">
        <v>12493</v>
      </c>
      <c r="B2494" t="s">
        <v>7</v>
      </c>
      <c r="C2494" t="s">
        <v>6</v>
      </c>
      <c r="D2494">
        <v>0.92</v>
      </c>
      <c r="E2494">
        <v>2</v>
      </c>
      <c r="F2494" t="s">
        <v>14</v>
      </c>
      <c r="G2494">
        <v>12</v>
      </c>
      <c r="H2494">
        <v>1.0304000000000002</v>
      </c>
      <c r="I2494">
        <v>12.000000000000011</v>
      </c>
      <c r="J2494" t="s">
        <v>20</v>
      </c>
    </row>
    <row r="2495" spans="1:10" x14ac:dyDescent="0.2">
      <c r="A2495">
        <v>12494</v>
      </c>
      <c r="B2495" t="s">
        <v>7</v>
      </c>
      <c r="C2495" t="s">
        <v>9</v>
      </c>
      <c r="D2495">
        <v>9.27</v>
      </c>
      <c r="E2495">
        <v>2</v>
      </c>
      <c r="F2495" t="s">
        <v>14</v>
      </c>
      <c r="G2495">
        <v>15</v>
      </c>
      <c r="H2495">
        <v>10.660499999999999</v>
      </c>
      <c r="I2495">
        <v>14.999999999999991</v>
      </c>
      <c r="J2495" t="s">
        <v>20</v>
      </c>
    </row>
    <row r="2496" spans="1:10" x14ac:dyDescent="0.2">
      <c r="A2496">
        <v>12495</v>
      </c>
      <c r="B2496" t="s">
        <v>8</v>
      </c>
      <c r="C2496" t="s">
        <v>11</v>
      </c>
      <c r="D2496">
        <v>6.24</v>
      </c>
      <c r="E2496">
        <v>6</v>
      </c>
      <c r="F2496" t="s">
        <v>15</v>
      </c>
      <c r="G2496">
        <v>25</v>
      </c>
      <c r="H2496">
        <v>7.8000000000000007</v>
      </c>
      <c r="I2496">
        <v>25</v>
      </c>
      <c r="J2496" t="s">
        <v>20</v>
      </c>
    </row>
    <row r="2497" spans="1:10" x14ac:dyDescent="0.2">
      <c r="A2497">
        <v>12496</v>
      </c>
      <c r="B2497" t="s">
        <v>7</v>
      </c>
      <c r="C2497" t="s">
        <v>11</v>
      </c>
      <c r="D2497">
        <v>4.83</v>
      </c>
      <c r="E2497">
        <v>1</v>
      </c>
      <c r="F2497" t="s">
        <v>14</v>
      </c>
      <c r="G2497">
        <v>10</v>
      </c>
      <c r="H2497">
        <v>5.3130000000000006</v>
      </c>
      <c r="I2497">
        <v>10.000000000000009</v>
      </c>
      <c r="J2497" t="s">
        <v>20</v>
      </c>
    </row>
    <row r="2498" spans="1:10" x14ac:dyDescent="0.2">
      <c r="A2498">
        <v>12497</v>
      </c>
      <c r="B2498" t="s">
        <v>7</v>
      </c>
      <c r="C2498" t="s">
        <v>6</v>
      </c>
      <c r="D2498">
        <v>13.07</v>
      </c>
      <c r="E2498">
        <v>6</v>
      </c>
      <c r="F2498" t="s">
        <v>15</v>
      </c>
      <c r="G2498">
        <v>28</v>
      </c>
      <c r="H2498">
        <v>16.729600000000001</v>
      </c>
      <c r="I2498">
        <v>28.000000000000004</v>
      </c>
      <c r="J2498" t="s">
        <v>20</v>
      </c>
    </row>
    <row r="2499" spans="1:10" x14ac:dyDescent="0.2">
      <c r="A2499">
        <v>12498</v>
      </c>
      <c r="B2499" t="s">
        <v>10</v>
      </c>
      <c r="C2499" t="s">
        <v>11</v>
      </c>
      <c r="D2499">
        <v>11.33</v>
      </c>
      <c r="E2499">
        <v>5</v>
      </c>
      <c r="F2499" t="s">
        <v>15</v>
      </c>
      <c r="G2499">
        <v>25</v>
      </c>
      <c r="H2499">
        <v>14.1625</v>
      </c>
      <c r="I2499">
        <v>25</v>
      </c>
      <c r="J2499" t="s">
        <v>20</v>
      </c>
    </row>
    <row r="2500" spans="1:10" x14ac:dyDescent="0.2">
      <c r="A2500">
        <v>12499</v>
      </c>
      <c r="B2500" t="s">
        <v>5</v>
      </c>
      <c r="C2500" t="s">
        <v>6</v>
      </c>
      <c r="D2500">
        <v>12.94</v>
      </c>
      <c r="E2500">
        <v>6</v>
      </c>
      <c r="F2500" t="s">
        <v>15</v>
      </c>
      <c r="G2500">
        <v>28</v>
      </c>
      <c r="H2500">
        <v>16.563199999999998</v>
      </c>
      <c r="I2500">
        <v>28.000000000000004</v>
      </c>
      <c r="J2500" t="s">
        <v>20</v>
      </c>
    </row>
    <row r="2501" spans="1:10" x14ac:dyDescent="0.2">
      <c r="A2501">
        <v>12500</v>
      </c>
      <c r="B2501" t="s">
        <v>7</v>
      </c>
      <c r="C2501" t="s">
        <v>9</v>
      </c>
      <c r="D2501">
        <v>7.68</v>
      </c>
      <c r="E2501">
        <v>5</v>
      </c>
      <c r="F2501" t="s">
        <v>15</v>
      </c>
      <c r="G2501">
        <v>30</v>
      </c>
      <c r="H2501">
        <v>9.984</v>
      </c>
      <c r="I2501">
        <v>30.000000000000004</v>
      </c>
      <c r="J2501" t="s">
        <v>20</v>
      </c>
    </row>
    <row r="2502" spans="1:10" x14ac:dyDescent="0.2">
      <c r="A2502">
        <v>12501</v>
      </c>
      <c r="B2502" t="s">
        <v>10</v>
      </c>
      <c r="C2502" t="s">
        <v>6</v>
      </c>
      <c r="D2502">
        <v>2.4</v>
      </c>
      <c r="E2502">
        <v>7</v>
      </c>
      <c r="F2502" t="s">
        <v>15</v>
      </c>
      <c r="G2502">
        <v>28</v>
      </c>
      <c r="H2502">
        <v>3.0720000000000001</v>
      </c>
      <c r="I2502">
        <v>28.000000000000004</v>
      </c>
      <c r="J2502" t="s">
        <v>20</v>
      </c>
    </row>
    <row r="2503" spans="1:10" x14ac:dyDescent="0.2">
      <c r="A2503">
        <v>12502</v>
      </c>
      <c r="B2503" t="s">
        <v>5</v>
      </c>
      <c r="C2503" t="s">
        <v>11</v>
      </c>
      <c r="D2503">
        <v>10.6</v>
      </c>
      <c r="E2503">
        <v>1</v>
      </c>
      <c r="F2503" t="s">
        <v>14</v>
      </c>
      <c r="G2503">
        <v>10</v>
      </c>
      <c r="H2503">
        <v>11.66</v>
      </c>
      <c r="I2503">
        <v>10.000000000000009</v>
      </c>
      <c r="J2503" t="s">
        <v>20</v>
      </c>
    </row>
    <row r="2504" spans="1:10" x14ac:dyDescent="0.2">
      <c r="A2504">
        <v>12503</v>
      </c>
      <c r="B2504" t="s">
        <v>8</v>
      </c>
      <c r="C2504" t="s">
        <v>9</v>
      </c>
      <c r="D2504">
        <v>3.49</v>
      </c>
      <c r="E2504">
        <v>3</v>
      </c>
      <c r="F2504" t="s">
        <v>14</v>
      </c>
      <c r="G2504">
        <v>15</v>
      </c>
      <c r="H2504">
        <v>4.0134999999999996</v>
      </c>
      <c r="I2504">
        <v>14.999999999999991</v>
      </c>
      <c r="J2504" t="s">
        <v>20</v>
      </c>
    </row>
    <row r="2505" spans="1:10" x14ac:dyDescent="0.2">
      <c r="A2505">
        <v>12504</v>
      </c>
      <c r="B2505" t="s">
        <v>10</v>
      </c>
      <c r="C2505" t="s">
        <v>6</v>
      </c>
      <c r="D2505">
        <v>6.9</v>
      </c>
      <c r="E2505">
        <v>6</v>
      </c>
      <c r="F2505" t="s">
        <v>15</v>
      </c>
      <c r="G2505">
        <v>28</v>
      </c>
      <c r="H2505">
        <v>8.8320000000000007</v>
      </c>
      <c r="I2505">
        <v>28.000000000000004</v>
      </c>
      <c r="J2505" t="s">
        <v>20</v>
      </c>
    </row>
    <row r="2506" spans="1:10" x14ac:dyDescent="0.2">
      <c r="A2506">
        <v>12505</v>
      </c>
      <c r="B2506" t="s">
        <v>10</v>
      </c>
      <c r="C2506" t="s">
        <v>9</v>
      </c>
      <c r="D2506">
        <v>1.44</v>
      </c>
      <c r="E2506">
        <v>1</v>
      </c>
      <c r="F2506" t="s">
        <v>14</v>
      </c>
      <c r="G2506">
        <v>15</v>
      </c>
      <c r="H2506">
        <v>1.6559999999999999</v>
      </c>
      <c r="I2506">
        <v>14.999999999999991</v>
      </c>
      <c r="J2506" t="s">
        <v>20</v>
      </c>
    </row>
    <row r="2507" spans="1:10" x14ac:dyDescent="0.2">
      <c r="A2507">
        <v>12506</v>
      </c>
      <c r="B2507" t="s">
        <v>5</v>
      </c>
      <c r="C2507" t="s">
        <v>9</v>
      </c>
      <c r="D2507">
        <v>12.47</v>
      </c>
      <c r="E2507">
        <v>7</v>
      </c>
      <c r="F2507" t="s">
        <v>15</v>
      </c>
      <c r="G2507">
        <v>30</v>
      </c>
      <c r="H2507">
        <v>16.211000000000002</v>
      </c>
      <c r="I2507">
        <v>30.000000000000004</v>
      </c>
      <c r="J2507" t="s">
        <v>20</v>
      </c>
    </row>
    <row r="2508" spans="1:10" x14ac:dyDescent="0.2">
      <c r="A2508">
        <v>12507</v>
      </c>
      <c r="B2508" t="s">
        <v>8</v>
      </c>
      <c r="C2508" t="s">
        <v>11</v>
      </c>
      <c r="D2508">
        <v>2.33</v>
      </c>
      <c r="E2508">
        <v>4</v>
      </c>
      <c r="F2508" t="s">
        <v>15</v>
      </c>
      <c r="G2508">
        <v>25</v>
      </c>
      <c r="H2508">
        <v>2.9125000000000001</v>
      </c>
      <c r="I2508">
        <v>25</v>
      </c>
      <c r="J2508" t="s">
        <v>20</v>
      </c>
    </row>
    <row r="2509" spans="1:10" x14ac:dyDescent="0.2">
      <c r="A2509">
        <v>12508</v>
      </c>
      <c r="B2509" t="s">
        <v>10</v>
      </c>
      <c r="C2509" t="s">
        <v>9</v>
      </c>
      <c r="D2509">
        <v>13.59</v>
      </c>
      <c r="E2509">
        <v>3</v>
      </c>
      <c r="F2509" t="s">
        <v>14</v>
      </c>
      <c r="G2509">
        <v>15</v>
      </c>
      <c r="H2509">
        <v>15.628499999999999</v>
      </c>
      <c r="I2509">
        <v>14.999999999999991</v>
      </c>
      <c r="J2509" t="s">
        <v>20</v>
      </c>
    </row>
    <row r="2510" spans="1:10" x14ac:dyDescent="0.2">
      <c r="A2510">
        <v>12509</v>
      </c>
      <c r="B2510" t="s">
        <v>7</v>
      </c>
      <c r="C2510" t="s">
        <v>11</v>
      </c>
      <c r="D2510">
        <v>13.03</v>
      </c>
      <c r="E2510">
        <v>10</v>
      </c>
      <c r="F2510" t="s">
        <v>16</v>
      </c>
      <c r="G2510">
        <v>50</v>
      </c>
      <c r="H2510">
        <v>19.544999999999998</v>
      </c>
      <c r="I2510">
        <v>50</v>
      </c>
      <c r="J2510" t="s">
        <v>20</v>
      </c>
    </row>
    <row r="2511" spans="1:10" x14ac:dyDescent="0.2">
      <c r="A2511">
        <v>12510</v>
      </c>
      <c r="B2511" t="s">
        <v>7</v>
      </c>
      <c r="C2511" t="s">
        <v>9</v>
      </c>
      <c r="D2511">
        <v>7.24</v>
      </c>
      <c r="E2511">
        <v>9</v>
      </c>
      <c r="F2511" t="s">
        <v>16</v>
      </c>
      <c r="G2511">
        <v>60</v>
      </c>
      <c r="H2511">
        <v>11.584000000000001</v>
      </c>
      <c r="I2511">
        <v>60.000000000000007</v>
      </c>
      <c r="J2511" t="s">
        <v>20</v>
      </c>
    </row>
    <row r="2512" spans="1:10" x14ac:dyDescent="0.2">
      <c r="A2512">
        <v>12511</v>
      </c>
      <c r="B2512" t="s">
        <v>7</v>
      </c>
      <c r="C2512" t="s">
        <v>6</v>
      </c>
      <c r="D2512">
        <v>11.29</v>
      </c>
      <c r="E2512">
        <v>1</v>
      </c>
      <c r="F2512" t="s">
        <v>14</v>
      </c>
      <c r="G2512">
        <v>12</v>
      </c>
      <c r="H2512">
        <v>12.6448</v>
      </c>
      <c r="I2512">
        <v>12.000000000000011</v>
      </c>
      <c r="J2512" t="s">
        <v>20</v>
      </c>
    </row>
    <row r="2513" spans="1:10" x14ac:dyDescent="0.2">
      <c r="A2513">
        <v>12512</v>
      </c>
      <c r="B2513" t="s">
        <v>8</v>
      </c>
      <c r="C2513" t="s">
        <v>9</v>
      </c>
      <c r="D2513">
        <v>9.48</v>
      </c>
      <c r="E2513">
        <v>8</v>
      </c>
      <c r="F2513" t="s">
        <v>16</v>
      </c>
      <c r="G2513">
        <v>60</v>
      </c>
      <c r="H2513">
        <v>15.168000000000001</v>
      </c>
      <c r="I2513">
        <v>60.000000000000007</v>
      </c>
      <c r="J2513" t="s">
        <v>20</v>
      </c>
    </row>
    <row r="2514" spans="1:10" x14ac:dyDescent="0.2">
      <c r="A2514">
        <v>12513</v>
      </c>
      <c r="B2514" t="s">
        <v>10</v>
      </c>
      <c r="C2514" t="s">
        <v>6</v>
      </c>
      <c r="D2514">
        <v>12.14</v>
      </c>
      <c r="E2514">
        <v>1</v>
      </c>
      <c r="F2514" t="s">
        <v>14</v>
      </c>
      <c r="G2514">
        <v>12</v>
      </c>
      <c r="H2514">
        <v>13.596800000000002</v>
      </c>
      <c r="I2514">
        <v>12.000000000000011</v>
      </c>
      <c r="J2514" t="s">
        <v>20</v>
      </c>
    </row>
    <row r="2515" spans="1:10" x14ac:dyDescent="0.2">
      <c r="A2515">
        <v>12514</v>
      </c>
      <c r="B2515" t="s">
        <v>7</v>
      </c>
      <c r="C2515" t="s">
        <v>6</v>
      </c>
      <c r="D2515">
        <v>6.76</v>
      </c>
      <c r="E2515">
        <v>5</v>
      </c>
      <c r="F2515" t="s">
        <v>15</v>
      </c>
      <c r="G2515">
        <v>28</v>
      </c>
      <c r="H2515">
        <v>8.6527999999999992</v>
      </c>
      <c r="I2515">
        <v>28.000000000000004</v>
      </c>
      <c r="J2515" t="s">
        <v>20</v>
      </c>
    </row>
    <row r="2516" spans="1:10" x14ac:dyDescent="0.2">
      <c r="A2516">
        <v>12515</v>
      </c>
      <c r="B2516" t="s">
        <v>8</v>
      </c>
      <c r="C2516" t="s">
        <v>9</v>
      </c>
      <c r="D2516">
        <v>11.89</v>
      </c>
      <c r="E2516">
        <v>10</v>
      </c>
      <c r="F2516" t="s">
        <v>16</v>
      </c>
      <c r="G2516">
        <v>60</v>
      </c>
      <c r="H2516">
        <v>19.024000000000001</v>
      </c>
      <c r="I2516">
        <v>60.000000000000007</v>
      </c>
      <c r="J2516" t="s">
        <v>20</v>
      </c>
    </row>
    <row r="2517" spans="1:10" x14ac:dyDescent="0.2">
      <c r="A2517">
        <v>12516</v>
      </c>
      <c r="B2517" t="s">
        <v>7</v>
      </c>
      <c r="C2517" t="s">
        <v>6</v>
      </c>
      <c r="D2517">
        <v>7.21</v>
      </c>
      <c r="E2517">
        <v>8</v>
      </c>
      <c r="F2517" t="s">
        <v>16</v>
      </c>
      <c r="G2517">
        <v>55</v>
      </c>
      <c r="H2517">
        <v>11.1755</v>
      </c>
      <c r="I2517">
        <v>55.000000000000007</v>
      </c>
      <c r="J2517" t="s">
        <v>20</v>
      </c>
    </row>
    <row r="2518" spans="1:10" x14ac:dyDescent="0.2">
      <c r="A2518">
        <v>12517</v>
      </c>
      <c r="B2518" t="s">
        <v>5</v>
      </c>
      <c r="C2518" t="s">
        <v>9</v>
      </c>
      <c r="D2518">
        <v>14.14</v>
      </c>
      <c r="E2518">
        <v>6</v>
      </c>
      <c r="F2518" t="s">
        <v>15</v>
      </c>
      <c r="G2518">
        <v>30</v>
      </c>
      <c r="H2518">
        <v>18.382000000000001</v>
      </c>
      <c r="I2518">
        <v>30.000000000000004</v>
      </c>
      <c r="J2518" t="s">
        <v>20</v>
      </c>
    </row>
    <row r="2519" spans="1:10" x14ac:dyDescent="0.2">
      <c r="A2519">
        <v>12518</v>
      </c>
      <c r="B2519" t="s">
        <v>10</v>
      </c>
      <c r="C2519" t="s">
        <v>9</v>
      </c>
      <c r="D2519">
        <v>7.55</v>
      </c>
      <c r="E2519">
        <v>7</v>
      </c>
      <c r="F2519" t="s">
        <v>15</v>
      </c>
      <c r="G2519">
        <v>30</v>
      </c>
      <c r="H2519">
        <v>9.8149999999999995</v>
      </c>
      <c r="I2519">
        <v>30.000000000000004</v>
      </c>
      <c r="J2519" t="s">
        <v>20</v>
      </c>
    </row>
    <row r="2520" spans="1:10" x14ac:dyDescent="0.2">
      <c r="A2520">
        <v>12519</v>
      </c>
      <c r="B2520" t="s">
        <v>10</v>
      </c>
      <c r="C2520" t="s">
        <v>6</v>
      </c>
      <c r="D2520">
        <v>7.21</v>
      </c>
      <c r="E2520">
        <v>8</v>
      </c>
      <c r="F2520" t="s">
        <v>16</v>
      </c>
      <c r="G2520">
        <v>55</v>
      </c>
      <c r="H2520">
        <v>11.1755</v>
      </c>
      <c r="I2520">
        <v>55.000000000000007</v>
      </c>
      <c r="J2520" t="s">
        <v>20</v>
      </c>
    </row>
    <row r="2521" spans="1:10" x14ac:dyDescent="0.2">
      <c r="A2521">
        <v>12520</v>
      </c>
      <c r="B2521" t="s">
        <v>8</v>
      </c>
      <c r="C2521" t="s">
        <v>6</v>
      </c>
      <c r="D2521">
        <v>11.88</v>
      </c>
      <c r="E2521">
        <v>6</v>
      </c>
      <c r="F2521" t="s">
        <v>15</v>
      </c>
      <c r="G2521">
        <v>28</v>
      </c>
      <c r="H2521">
        <v>15.206400000000002</v>
      </c>
      <c r="I2521">
        <v>28.000000000000004</v>
      </c>
      <c r="J2521" t="s">
        <v>20</v>
      </c>
    </row>
    <row r="2522" spans="1:10" x14ac:dyDescent="0.2">
      <c r="A2522">
        <v>12521</v>
      </c>
      <c r="B2522" t="s">
        <v>8</v>
      </c>
      <c r="C2522" t="s">
        <v>11</v>
      </c>
      <c r="D2522">
        <v>12.41</v>
      </c>
      <c r="E2522">
        <v>6</v>
      </c>
      <c r="F2522" t="s">
        <v>15</v>
      </c>
      <c r="G2522">
        <v>25</v>
      </c>
      <c r="H2522">
        <v>15.512499999999999</v>
      </c>
      <c r="I2522">
        <v>25</v>
      </c>
      <c r="J2522" t="s">
        <v>20</v>
      </c>
    </row>
    <row r="2523" spans="1:10" x14ac:dyDescent="0.2">
      <c r="A2523">
        <v>12522</v>
      </c>
      <c r="B2523" t="s">
        <v>10</v>
      </c>
      <c r="C2523" t="s">
        <v>6</v>
      </c>
      <c r="D2523">
        <v>8.5399999999999991</v>
      </c>
      <c r="E2523">
        <v>6</v>
      </c>
      <c r="F2523" t="s">
        <v>15</v>
      </c>
      <c r="G2523">
        <v>28</v>
      </c>
      <c r="H2523">
        <v>10.931199999999999</v>
      </c>
      <c r="I2523">
        <v>28.000000000000004</v>
      </c>
      <c r="J2523" t="s">
        <v>20</v>
      </c>
    </row>
    <row r="2524" spans="1:10" x14ac:dyDescent="0.2">
      <c r="A2524">
        <v>12523</v>
      </c>
      <c r="B2524" t="s">
        <v>7</v>
      </c>
      <c r="C2524" t="s">
        <v>11</v>
      </c>
      <c r="D2524">
        <v>3.11</v>
      </c>
      <c r="E2524">
        <v>5</v>
      </c>
      <c r="F2524" t="s">
        <v>15</v>
      </c>
      <c r="G2524">
        <v>25</v>
      </c>
      <c r="H2524">
        <v>3.8874999999999997</v>
      </c>
      <c r="I2524">
        <v>25</v>
      </c>
      <c r="J2524" t="s">
        <v>20</v>
      </c>
    </row>
    <row r="2525" spans="1:10" x14ac:dyDescent="0.2">
      <c r="A2525">
        <v>12524</v>
      </c>
      <c r="B2525" t="s">
        <v>7</v>
      </c>
      <c r="C2525" t="s">
        <v>6</v>
      </c>
      <c r="D2525">
        <v>7.28</v>
      </c>
      <c r="E2525">
        <v>8</v>
      </c>
      <c r="F2525" t="s">
        <v>16</v>
      </c>
      <c r="G2525">
        <v>55</v>
      </c>
      <c r="H2525">
        <v>11.284000000000001</v>
      </c>
      <c r="I2525">
        <v>55.000000000000007</v>
      </c>
      <c r="J2525" t="s">
        <v>20</v>
      </c>
    </row>
    <row r="2526" spans="1:10" x14ac:dyDescent="0.2">
      <c r="A2526">
        <v>12525</v>
      </c>
      <c r="B2526" t="s">
        <v>5</v>
      </c>
      <c r="C2526" t="s">
        <v>9</v>
      </c>
      <c r="D2526">
        <v>14.54</v>
      </c>
      <c r="E2526">
        <v>2</v>
      </c>
      <c r="F2526" t="s">
        <v>14</v>
      </c>
      <c r="G2526">
        <v>15</v>
      </c>
      <c r="H2526">
        <v>16.720999999999997</v>
      </c>
      <c r="I2526">
        <v>14.999999999999991</v>
      </c>
      <c r="J2526" t="s">
        <v>20</v>
      </c>
    </row>
    <row r="2527" spans="1:10" x14ac:dyDescent="0.2">
      <c r="A2527">
        <v>12526</v>
      </c>
      <c r="B2527" t="s">
        <v>7</v>
      </c>
      <c r="C2527" t="s">
        <v>6</v>
      </c>
      <c r="D2527">
        <v>11.42</v>
      </c>
      <c r="E2527">
        <v>7</v>
      </c>
      <c r="F2527" t="s">
        <v>15</v>
      </c>
      <c r="G2527">
        <v>28</v>
      </c>
      <c r="H2527">
        <v>14.617599999999999</v>
      </c>
      <c r="I2527">
        <v>28.000000000000004</v>
      </c>
      <c r="J2527" t="s">
        <v>20</v>
      </c>
    </row>
    <row r="2528" spans="1:10" x14ac:dyDescent="0.2">
      <c r="A2528">
        <v>12527</v>
      </c>
      <c r="B2528" t="s">
        <v>8</v>
      </c>
      <c r="C2528" t="s">
        <v>9</v>
      </c>
      <c r="D2528">
        <v>12.26</v>
      </c>
      <c r="E2528">
        <v>4</v>
      </c>
      <c r="F2528" t="s">
        <v>15</v>
      </c>
      <c r="G2528">
        <v>30</v>
      </c>
      <c r="H2528">
        <v>15.938000000000001</v>
      </c>
      <c r="I2528">
        <v>30.000000000000004</v>
      </c>
      <c r="J2528" t="s">
        <v>20</v>
      </c>
    </row>
    <row r="2529" spans="1:10" x14ac:dyDescent="0.2">
      <c r="A2529">
        <v>12528</v>
      </c>
      <c r="B2529" t="s">
        <v>8</v>
      </c>
      <c r="C2529" t="s">
        <v>9</v>
      </c>
      <c r="D2529">
        <v>0.98</v>
      </c>
      <c r="E2529">
        <v>1</v>
      </c>
      <c r="F2529" t="s">
        <v>14</v>
      </c>
      <c r="G2529">
        <v>15</v>
      </c>
      <c r="H2529">
        <v>1.127</v>
      </c>
      <c r="I2529">
        <v>15.000000000000014</v>
      </c>
      <c r="J2529" t="s">
        <v>20</v>
      </c>
    </row>
    <row r="2530" spans="1:10" x14ac:dyDescent="0.2">
      <c r="A2530">
        <v>12529</v>
      </c>
      <c r="B2530" t="s">
        <v>7</v>
      </c>
      <c r="C2530" t="s">
        <v>9</v>
      </c>
      <c r="D2530">
        <v>7.28</v>
      </c>
      <c r="E2530">
        <v>5</v>
      </c>
      <c r="F2530" t="s">
        <v>15</v>
      </c>
      <c r="G2530">
        <v>30</v>
      </c>
      <c r="H2530">
        <v>9.4640000000000004</v>
      </c>
      <c r="I2530">
        <v>30.000000000000004</v>
      </c>
      <c r="J2530" t="s">
        <v>20</v>
      </c>
    </row>
    <row r="2531" spans="1:10" x14ac:dyDescent="0.2">
      <c r="A2531">
        <v>12530</v>
      </c>
      <c r="B2531" t="s">
        <v>8</v>
      </c>
      <c r="C2531" t="s">
        <v>11</v>
      </c>
      <c r="D2531">
        <v>9.8800000000000008</v>
      </c>
      <c r="E2531">
        <v>3</v>
      </c>
      <c r="F2531" t="s">
        <v>14</v>
      </c>
      <c r="G2531">
        <v>10</v>
      </c>
      <c r="H2531">
        <v>10.868000000000002</v>
      </c>
      <c r="I2531">
        <v>10.000000000000009</v>
      </c>
      <c r="J2531" t="s">
        <v>20</v>
      </c>
    </row>
    <row r="2532" spans="1:10" x14ac:dyDescent="0.2">
      <c r="A2532">
        <v>12531</v>
      </c>
      <c r="B2532" t="s">
        <v>10</v>
      </c>
      <c r="C2532" t="s">
        <v>6</v>
      </c>
      <c r="D2532">
        <v>12.54</v>
      </c>
      <c r="E2532">
        <v>4</v>
      </c>
      <c r="F2532" t="s">
        <v>15</v>
      </c>
      <c r="G2532">
        <v>28</v>
      </c>
      <c r="H2532">
        <v>16.051199999999998</v>
      </c>
      <c r="I2532">
        <v>28.000000000000004</v>
      </c>
      <c r="J2532" t="s">
        <v>20</v>
      </c>
    </row>
    <row r="2533" spans="1:10" x14ac:dyDescent="0.2">
      <c r="A2533">
        <v>12532</v>
      </c>
      <c r="B2533" t="s">
        <v>10</v>
      </c>
      <c r="C2533" t="s">
        <v>9</v>
      </c>
      <c r="D2533">
        <v>1.21</v>
      </c>
      <c r="E2533">
        <v>7</v>
      </c>
      <c r="F2533" t="s">
        <v>15</v>
      </c>
      <c r="G2533">
        <v>30</v>
      </c>
      <c r="H2533">
        <v>1.573</v>
      </c>
      <c r="I2533">
        <v>30.000000000000004</v>
      </c>
      <c r="J2533" t="s">
        <v>20</v>
      </c>
    </row>
    <row r="2534" spans="1:10" x14ac:dyDescent="0.2">
      <c r="A2534">
        <v>12533</v>
      </c>
      <c r="B2534" t="s">
        <v>7</v>
      </c>
      <c r="C2534" t="s">
        <v>9</v>
      </c>
      <c r="D2534">
        <v>12.86</v>
      </c>
      <c r="E2534">
        <v>5</v>
      </c>
      <c r="F2534" t="s">
        <v>15</v>
      </c>
      <c r="G2534">
        <v>30</v>
      </c>
      <c r="H2534">
        <v>16.718</v>
      </c>
      <c r="I2534">
        <v>30.000000000000004</v>
      </c>
      <c r="J2534" t="s">
        <v>20</v>
      </c>
    </row>
    <row r="2535" spans="1:10" x14ac:dyDescent="0.2">
      <c r="A2535">
        <v>12534</v>
      </c>
      <c r="B2535" t="s">
        <v>10</v>
      </c>
      <c r="C2535" t="s">
        <v>11</v>
      </c>
      <c r="D2535">
        <v>8.4499999999999993</v>
      </c>
      <c r="E2535">
        <v>4</v>
      </c>
      <c r="F2535" t="s">
        <v>15</v>
      </c>
      <c r="G2535">
        <v>25</v>
      </c>
      <c r="H2535">
        <v>10.5625</v>
      </c>
      <c r="I2535">
        <v>25</v>
      </c>
      <c r="J2535" t="s">
        <v>20</v>
      </c>
    </row>
    <row r="2536" spans="1:10" x14ac:dyDescent="0.2">
      <c r="A2536">
        <v>12535</v>
      </c>
      <c r="B2536" t="s">
        <v>10</v>
      </c>
      <c r="C2536" t="s">
        <v>6</v>
      </c>
      <c r="D2536">
        <v>3.36</v>
      </c>
      <c r="E2536">
        <v>1</v>
      </c>
      <c r="F2536" t="s">
        <v>14</v>
      </c>
      <c r="G2536">
        <v>12</v>
      </c>
      <c r="H2536">
        <v>3.7632000000000003</v>
      </c>
      <c r="I2536">
        <v>12.000000000000011</v>
      </c>
      <c r="J2536" t="s">
        <v>20</v>
      </c>
    </row>
    <row r="2537" spans="1:10" x14ac:dyDescent="0.2">
      <c r="A2537">
        <v>12536</v>
      </c>
      <c r="B2537" t="s">
        <v>5</v>
      </c>
      <c r="C2537" t="s">
        <v>6</v>
      </c>
      <c r="D2537">
        <v>5.0999999999999996</v>
      </c>
      <c r="E2537">
        <v>6</v>
      </c>
      <c r="F2537" t="s">
        <v>15</v>
      </c>
      <c r="G2537">
        <v>28</v>
      </c>
      <c r="H2537">
        <v>6.5279999999999996</v>
      </c>
      <c r="I2537">
        <v>28.000000000000004</v>
      </c>
      <c r="J2537" t="s">
        <v>20</v>
      </c>
    </row>
    <row r="2538" spans="1:10" x14ac:dyDescent="0.2">
      <c r="A2538">
        <v>12537</v>
      </c>
      <c r="B2538" t="s">
        <v>5</v>
      </c>
      <c r="C2538" t="s">
        <v>11</v>
      </c>
      <c r="D2538">
        <v>4.59</v>
      </c>
      <c r="E2538">
        <v>10</v>
      </c>
      <c r="F2538" t="s">
        <v>16</v>
      </c>
      <c r="G2538">
        <v>50</v>
      </c>
      <c r="H2538">
        <v>6.8849999999999998</v>
      </c>
      <c r="I2538">
        <v>50</v>
      </c>
      <c r="J2538" t="s">
        <v>20</v>
      </c>
    </row>
    <row r="2539" spans="1:10" x14ac:dyDescent="0.2">
      <c r="A2539">
        <v>12538</v>
      </c>
      <c r="B2539" t="s">
        <v>10</v>
      </c>
      <c r="C2539" t="s">
        <v>11</v>
      </c>
      <c r="D2539">
        <v>8.1999999999999993</v>
      </c>
      <c r="E2539">
        <v>6</v>
      </c>
      <c r="F2539" t="s">
        <v>15</v>
      </c>
      <c r="G2539">
        <v>25</v>
      </c>
      <c r="H2539">
        <v>10.25</v>
      </c>
      <c r="I2539">
        <v>25</v>
      </c>
      <c r="J2539" t="s">
        <v>20</v>
      </c>
    </row>
    <row r="2540" spans="1:10" x14ac:dyDescent="0.2">
      <c r="A2540">
        <v>12539</v>
      </c>
      <c r="B2540" t="s">
        <v>7</v>
      </c>
      <c r="C2540" t="s">
        <v>6</v>
      </c>
      <c r="D2540">
        <v>1.25</v>
      </c>
      <c r="E2540">
        <v>7</v>
      </c>
      <c r="F2540" t="s">
        <v>15</v>
      </c>
      <c r="G2540">
        <v>28</v>
      </c>
      <c r="H2540">
        <v>1.6</v>
      </c>
      <c r="I2540">
        <v>28.000000000000004</v>
      </c>
      <c r="J2540" t="s">
        <v>20</v>
      </c>
    </row>
    <row r="2541" spans="1:10" x14ac:dyDescent="0.2">
      <c r="A2541">
        <v>12540</v>
      </c>
      <c r="B2541" t="s">
        <v>5</v>
      </c>
      <c r="C2541" t="s">
        <v>11</v>
      </c>
      <c r="D2541">
        <v>2.8</v>
      </c>
      <c r="E2541">
        <v>1</v>
      </c>
      <c r="F2541" t="s">
        <v>14</v>
      </c>
      <c r="G2541">
        <v>10</v>
      </c>
      <c r="H2541">
        <v>3.08</v>
      </c>
      <c r="I2541">
        <v>10.000000000000009</v>
      </c>
      <c r="J2541" t="s">
        <v>20</v>
      </c>
    </row>
    <row r="2542" spans="1:10" x14ac:dyDescent="0.2">
      <c r="A2542">
        <v>12541</v>
      </c>
      <c r="B2542" t="s">
        <v>8</v>
      </c>
      <c r="C2542" t="s">
        <v>6</v>
      </c>
      <c r="D2542">
        <v>12.28</v>
      </c>
      <c r="E2542">
        <v>4</v>
      </c>
      <c r="F2542" t="s">
        <v>15</v>
      </c>
      <c r="G2542">
        <v>28</v>
      </c>
      <c r="H2542">
        <v>15.718399999999999</v>
      </c>
      <c r="I2542">
        <v>28.000000000000004</v>
      </c>
      <c r="J2542" t="s">
        <v>20</v>
      </c>
    </row>
    <row r="2543" spans="1:10" x14ac:dyDescent="0.2">
      <c r="A2543">
        <v>12542</v>
      </c>
      <c r="B2543" t="s">
        <v>8</v>
      </c>
      <c r="C2543" t="s">
        <v>6</v>
      </c>
      <c r="D2543">
        <v>2.42</v>
      </c>
      <c r="E2543">
        <v>9</v>
      </c>
      <c r="F2543" t="s">
        <v>16</v>
      </c>
      <c r="G2543">
        <v>55</v>
      </c>
      <c r="H2543">
        <v>3.7509999999999999</v>
      </c>
      <c r="I2543">
        <v>55.000000000000007</v>
      </c>
      <c r="J2543" t="s">
        <v>20</v>
      </c>
    </row>
    <row r="2544" spans="1:10" x14ac:dyDescent="0.2">
      <c r="A2544">
        <v>12543</v>
      </c>
      <c r="B2544" t="s">
        <v>8</v>
      </c>
      <c r="C2544" t="s">
        <v>9</v>
      </c>
      <c r="D2544">
        <v>3.88</v>
      </c>
      <c r="E2544">
        <v>10</v>
      </c>
      <c r="F2544" t="s">
        <v>16</v>
      </c>
      <c r="G2544">
        <v>60</v>
      </c>
      <c r="H2544">
        <v>6.2080000000000002</v>
      </c>
      <c r="I2544">
        <v>60.000000000000007</v>
      </c>
      <c r="J2544" t="s">
        <v>20</v>
      </c>
    </row>
    <row r="2545" spans="1:10" x14ac:dyDescent="0.2">
      <c r="A2545">
        <v>12544</v>
      </c>
      <c r="B2545" t="s">
        <v>7</v>
      </c>
      <c r="C2545" t="s">
        <v>9</v>
      </c>
      <c r="D2545">
        <v>7.07</v>
      </c>
      <c r="E2545">
        <v>6</v>
      </c>
      <c r="F2545" t="s">
        <v>15</v>
      </c>
      <c r="G2545">
        <v>30</v>
      </c>
      <c r="H2545">
        <v>9.1910000000000007</v>
      </c>
      <c r="I2545">
        <v>30.000000000000004</v>
      </c>
      <c r="J2545" t="s">
        <v>20</v>
      </c>
    </row>
    <row r="2546" spans="1:10" x14ac:dyDescent="0.2">
      <c r="A2546">
        <v>12545</v>
      </c>
      <c r="B2546" t="s">
        <v>10</v>
      </c>
      <c r="C2546" t="s">
        <v>6</v>
      </c>
      <c r="D2546">
        <v>8</v>
      </c>
      <c r="E2546">
        <v>2</v>
      </c>
      <c r="F2546" t="s">
        <v>14</v>
      </c>
      <c r="G2546">
        <v>12</v>
      </c>
      <c r="H2546">
        <v>8.9600000000000009</v>
      </c>
      <c r="I2546">
        <v>12.000000000000011</v>
      </c>
      <c r="J2546" t="s">
        <v>20</v>
      </c>
    </row>
    <row r="2547" spans="1:10" x14ac:dyDescent="0.2">
      <c r="A2547">
        <v>12546</v>
      </c>
      <c r="B2547" t="s">
        <v>8</v>
      </c>
      <c r="C2547" t="s">
        <v>6</v>
      </c>
      <c r="D2547">
        <v>11.57</v>
      </c>
      <c r="E2547">
        <v>4</v>
      </c>
      <c r="F2547" t="s">
        <v>15</v>
      </c>
      <c r="G2547">
        <v>28</v>
      </c>
      <c r="H2547">
        <v>14.809600000000001</v>
      </c>
      <c r="I2547">
        <v>28.000000000000004</v>
      </c>
      <c r="J2547" t="s">
        <v>20</v>
      </c>
    </row>
    <row r="2548" spans="1:10" x14ac:dyDescent="0.2">
      <c r="A2548">
        <v>12547</v>
      </c>
      <c r="B2548" t="s">
        <v>7</v>
      </c>
      <c r="C2548" t="s">
        <v>6</v>
      </c>
      <c r="D2548">
        <v>6.99</v>
      </c>
      <c r="E2548">
        <v>6</v>
      </c>
      <c r="F2548" t="s">
        <v>15</v>
      </c>
      <c r="G2548">
        <v>28</v>
      </c>
      <c r="H2548">
        <v>8.9472000000000005</v>
      </c>
      <c r="I2548">
        <v>28.000000000000004</v>
      </c>
      <c r="J2548" t="s">
        <v>20</v>
      </c>
    </row>
    <row r="2549" spans="1:10" x14ac:dyDescent="0.2">
      <c r="A2549">
        <v>12548</v>
      </c>
      <c r="B2549" t="s">
        <v>5</v>
      </c>
      <c r="C2549" t="s">
        <v>6</v>
      </c>
      <c r="D2549">
        <v>11.95</v>
      </c>
      <c r="E2549">
        <v>4</v>
      </c>
      <c r="F2549" t="s">
        <v>15</v>
      </c>
      <c r="G2549">
        <v>28</v>
      </c>
      <c r="H2549">
        <v>15.295999999999999</v>
      </c>
      <c r="I2549">
        <v>28.000000000000004</v>
      </c>
      <c r="J2549" t="s">
        <v>20</v>
      </c>
    </row>
    <row r="2550" spans="1:10" x14ac:dyDescent="0.2">
      <c r="A2550">
        <v>12549</v>
      </c>
      <c r="B2550" t="s">
        <v>10</v>
      </c>
      <c r="C2550" t="s">
        <v>6</v>
      </c>
      <c r="D2550">
        <v>9.4700000000000006</v>
      </c>
      <c r="E2550">
        <v>10</v>
      </c>
      <c r="F2550" t="s">
        <v>16</v>
      </c>
      <c r="G2550">
        <v>55</v>
      </c>
      <c r="H2550">
        <v>14.678500000000001</v>
      </c>
      <c r="I2550">
        <v>55.000000000000007</v>
      </c>
      <c r="J2550" t="s">
        <v>20</v>
      </c>
    </row>
    <row r="2551" spans="1:10" x14ac:dyDescent="0.2">
      <c r="A2551">
        <v>12550</v>
      </c>
      <c r="B2551" t="s">
        <v>5</v>
      </c>
      <c r="C2551" t="s">
        <v>6</v>
      </c>
      <c r="D2551">
        <v>2.14</v>
      </c>
      <c r="E2551">
        <v>7</v>
      </c>
      <c r="F2551" t="s">
        <v>15</v>
      </c>
      <c r="G2551">
        <v>28</v>
      </c>
      <c r="H2551">
        <v>2.7392000000000003</v>
      </c>
      <c r="I2551">
        <v>28.000000000000004</v>
      </c>
      <c r="J2551" t="s">
        <v>20</v>
      </c>
    </row>
    <row r="2552" spans="1:10" x14ac:dyDescent="0.2">
      <c r="A2552">
        <v>12551</v>
      </c>
      <c r="B2552" t="s">
        <v>7</v>
      </c>
      <c r="C2552" t="s">
        <v>11</v>
      </c>
      <c r="D2552">
        <v>2.77</v>
      </c>
      <c r="E2552">
        <v>3</v>
      </c>
      <c r="F2552" t="s">
        <v>14</v>
      </c>
      <c r="G2552">
        <v>10</v>
      </c>
      <c r="H2552">
        <v>3.0470000000000002</v>
      </c>
      <c r="I2552">
        <v>10.000000000000009</v>
      </c>
      <c r="J2552" t="s">
        <v>20</v>
      </c>
    </row>
    <row r="2553" spans="1:10" x14ac:dyDescent="0.2">
      <c r="A2553">
        <v>12552</v>
      </c>
      <c r="B2553" t="s">
        <v>8</v>
      </c>
      <c r="C2553" t="s">
        <v>6</v>
      </c>
      <c r="D2553">
        <v>6.84</v>
      </c>
      <c r="E2553">
        <v>6</v>
      </c>
      <c r="F2553" t="s">
        <v>15</v>
      </c>
      <c r="G2553">
        <v>28</v>
      </c>
      <c r="H2553">
        <v>8.7552000000000003</v>
      </c>
      <c r="I2553">
        <v>28.000000000000004</v>
      </c>
      <c r="J2553" t="s">
        <v>20</v>
      </c>
    </row>
    <row r="2554" spans="1:10" x14ac:dyDescent="0.2">
      <c r="A2554">
        <v>12553</v>
      </c>
      <c r="B2554" t="s">
        <v>8</v>
      </c>
      <c r="C2554" t="s">
        <v>11</v>
      </c>
      <c r="D2554">
        <v>6.25</v>
      </c>
      <c r="E2554">
        <v>4</v>
      </c>
      <c r="F2554" t="s">
        <v>15</v>
      </c>
      <c r="G2554">
        <v>25</v>
      </c>
      <c r="H2554">
        <v>7.8125</v>
      </c>
      <c r="I2554">
        <v>25</v>
      </c>
      <c r="J2554" t="s">
        <v>20</v>
      </c>
    </row>
    <row r="2555" spans="1:10" x14ac:dyDescent="0.2">
      <c r="A2555">
        <v>12554</v>
      </c>
      <c r="B2555" t="s">
        <v>7</v>
      </c>
      <c r="C2555" t="s">
        <v>11</v>
      </c>
      <c r="D2555">
        <v>11.28</v>
      </c>
      <c r="E2555">
        <v>3</v>
      </c>
      <c r="F2555" t="s">
        <v>14</v>
      </c>
      <c r="G2555">
        <v>10</v>
      </c>
      <c r="H2555">
        <v>12.407999999999999</v>
      </c>
      <c r="I2555">
        <v>10.000000000000009</v>
      </c>
      <c r="J2555" t="s">
        <v>20</v>
      </c>
    </row>
    <row r="2556" spans="1:10" x14ac:dyDescent="0.2">
      <c r="A2556">
        <v>12555</v>
      </c>
      <c r="B2556" t="s">
        <v>8</v>
      </c>
      <c r="C2556" t="s">
        <v>6</v>
      </c>
      <c r="D2556">
        <v>8.92</v>
      </c>
      <c r="E2556">
        <v>3</v>
      </c>
      <c r="F2556" t="s">
        <v>14</v>
      </c>
      <c r="G2556">
        <v>12</v>
      </c>
      <c r="H2556">
        <v>9.9904000000000011</v>
      </c>
      <c r="I2556">
        <v>12.000000000000011</v>
      </c>
      <c r="J2556" t="s">
        <v>20</v>
      </c>
    </row>
    <row r="2557" spans="1:10" x14ac:dyDescent="0.2">
      <c r="A2557">
        <v>12556</v>
      </c>
      <c r="B2557" t="s">
        <v>10</v>
      </c>
      <c r="C2557" t="s">
        <v>6</v>
      </c>
      <c r="D2557">
        <v>6.13</v>
      </c>
      <c r="E2557">
        <v>2</v>
      </c>
      <c r="F2557" t="s">
        <v>14</v>
      </c>
      <c r="G2557">
        <v>12</v>
      </c>
      <c r="H2557">
        <v>6.8656000000000006</v>
      </c>
      <c r="I2557">
        <v>12.000000000000011</v>
      </c>
      <c r="J2557" t="s">
        <v>20</v>
      </c>
    </row>
    <row r="2558" spans="1:10" x14ac:dyDescent="0.2">
      <c r="A2558">
        <v>12557</v>
      </c>
      <c r="B2558" t="s">
        <v>7</v>
      </c>
      <c r="C2558" t="s">
        <v>11</v>
      </c>
      <c r="D2558">
        <v>2.98</v>
      </c>
      <c r="E2558">
        <v>3</v>
      </c>
      <c r="F2558" t="s">
        <v>14</v>
      </c>
      <c r="G2558">
        <v>10</v>
      </c>
      <c r="H2558">
        <v>3.278</v>
      </c>
      <c r="I2558">
        <v>10.000000000000009</v>
      </c>
      <c r="J2558" t="s">
        <v>20</v>
      </c>
    </row>
    <row r="2559" spans="1:10" x14ac:dyDescent="0.2">
      <c r="A2559">
        <v>12558</v>
      </c>
      <c r="B2559" t="s">
        <v>5</v>
      </c>
      <c r="C2559" t="s">
        <v>11</v>
      </c>
      <c r="D2559">
        <v>3.79</v>
      </c>
      <c r="E2559">
        <v>10</v>
      </c>
      <c r="F2559" t="s">
        <v>16</v>
      </c>
      <c r="G2559">
        <v>50</v>
      </c>
      <c r="H2559">
        <v>5.6850000000000005</v>
      </c>
      <c r="I2559">
        <v>50.000000000000021</v>
      </c>
      <c r="J2559" t="s">
        <v>20</v>
      </c>
    </row>
    <row r="2560" spans="1:10" x14ac:dyDescent="0.2">
      <c r="A2560">
        <v>12559</v>
      </c>
      <c r="B2560" t="s">
        <v>7</v>
      </c>
      <c r="C2560" t="s">
        <v>6</v>
      </c>
      <c r="D2560">
        <v>8.84</v>
      </c>
      <c r="E2560">
        <v>1</v>
      </c>
      <c r="F2560" t="s">
        <v>14</v>
      </c>
      <c r="G2560">
        <v>12</v>
      </c>
      <c r="H2560">
        <v>9.9008000000000003</v>
      </c>
      <c r="I2560">
        <v>12.000000000000011</v>
      </c>
      <c r="J2560" t="s">
        <v>20</v>
      </c>
    </row>
    <row r="2561" spans="1:10" x14ac:dyDescent="0.2">
      <c r="A2561">
        <v>12560</v>
      </c>
      <c r="B2561" t="s">
        <v>10</v>
      </c>
      <c r="C2561" t="s">
        <v>6</v>
      </c>
      <c r="D2561">
        <v>6.64</v>
      </c>
      <c r="E2561">
        <v>3</v>
      </c>
      <c r="F2561" t="s">
        <v>14</v>
      </c>
      <c r="G2561">
        <v>12</v>
      </c>
      <c r="H2561">
        <v>7.4368000000000007</v>
      </c>
      <c r="I2561">
        <v>12.000000000000011</v>
      </c>
      <c r="J2561" t="s">
        <v>20</v>
      </c>
    </row>
    <row r="2562" spans="1:10" x14ac:dyDescent="0.2">
      <c r="A2562">
        <v>12561</v>
      </c>
      <c r="B2562" t="s">
        <v>10</v>
      </c>
      <c r="C2562" t="s">
        <v>11</v>
      </c>
      <c r="D2562">
        <v>7.97</v>
      </c>
      <c r="E2562">
        <v>9</v>
      </c>
      <c r="F2562" t="s">
        <v>16</v>
      </c>
      <c r="G2562">
        <v>50</v>
      </c>
      <c r="H2562">
        <v>11.955</v>
      </c>
      <c r="I2562">
        <v>50</v>
      </c>
      <c r="J2562" t="s">
        <v>20</v>
      </c>
    </row>
    <row r="2563" spans="1:10" x14ac:dyDescent="0.2">
      <c r="A2563">
        <v>12562</v>
      </c>
      <c r="B2563" t="s">
        <v>7</v>
      </c>
      <c r="C2563" t="s">
        <v>11</v>
      </c>
      <c r="D2563">
        <v>2.97</v>
      </c>
      <c r="E2563">
        <v>4</v>
      </c>
      <c r="F2563" t="s">
        <v>15</v>
      </c>
      <c r="G2563">
        <v>25</v>
      </c>
      <c r="H2563">
        <v>3.7125000000000004</v>
      </c>
      <c r="I2563">
        <v>25</v>
      </c>
      <c r="J2563" t="s">
        <v>20</v>
      </c>
    </row>
    <row r="2564" spans="1:10" x14ac:dyDescent="0.2">
      <c r="A2564">
        <v>12563</v>
      </c>
      <c r="B2564" t="s">
        <v>7</v>
      </c>
      <c r="C2564" t="s">
        <v>11</v>
      </c>
      <c r="D2564">
        <v>10.11</v>
      </c>
      <c r="E2564">
        <v>3</v>
      </c>
      <c r="F2564" t="s">
        <v>14</v>
      </c>
      <c r="G2564">
        <v>10</v>
      </c>
      <c r="H2564">
        <v>11.121</v>
      </c>
      <c r="I2564">
        <v>10.000000000000009</v>
      </c>
      <c r="J2564" t="s">
        <v>20</v>
      </c>
    </row>
    <row r="2565" spans="1:10" x14ac:dyDescent="0.2">
      <c r="A2565">
        <v>12564</v>
      </c>
      <c r="B2565" t="s">
        <v>8</v>
      </c>
      <c r="C2565" t="s">
        <v>9</v>
      </c>
      <c r="D2565">
        <v>12.86</v>
      </c>
      <c r="E2565">
        <v>8</v>
      </c>
      <c r="F2565" t="s">
        <v>16</v>
      </c>
      <c r="G2565">
        <v>60</v>
      </c>
      <c r="H2565">
        <v>20.576000000000001</v>
      </c>
      <c r="I2565">
        <v>60.000000000000007</v>
      </c>
      <c r="J2565" t="s">
        <v>20</v>
      </c>
    </row>
    <row r="2566" spans="1:10" x14ac:dyDescent="0.2">
      <c r="A2566">
        <v>12565</v>
      </c>
      <c r="B2566" t="s">
        <v>10</v>
      </c>
      <c r="C2566" t="s">
        <v>11</v>
      </c>
      <c r="D2566">
        <v>4.24</v>
      </c>
      <c r="E2566">
        <v>1</v>
      </c>
      <c r="F2566" t="s">
        <v>14</v>
      </c>
      <c r="G2566">
        <v>10</v>
      </c>
      <c r="H2566">
        <v>4.6640000000000006</v>
      </c>
      <c r="I2566">
        <v>10.000000000000009</v>
      </c>
      <c r="J2566" t="s">
        <v>20</v>
      </c>
    </row>
    <row r="2567" spans="1:10" x14ac:dyDescent="0.2">
      <c r="A2567">
        <v>12566</v>
      </c>
      <c r="B2567" t="s">
        <v>7</v>
      </c>
      <c r="C2567" t="s">
        <v>9</v>
      </c>
      <c r="D2567">
        <v>7.63</v>
      </c>
      <c r="E2567">
        <v>5</v>
      </c>
      <c r="F2567" t="s">
        <v>15</v>
      </c>
      <c r="G2567">
        <v>30</v>
      </c>
      <c r="H2567">
        <v>9.9190000000000005</v>
      </c>
      <c r="I2567">
        <v>30.000000000000004</v>
      </c>
      <c r="J2567" t="s">
        <v>20</v>
      </c>
    </row>
    <row r="2568" spans="1:10" x14ac:dyDescent="0.2">
      <c r="A2568">
        <v>12567</v>
      </c>
      <c r="B2568" t="s">
        <v>7</v>
      </c>
      <c r="C2568" t="s">
        <v>6</v>
      </c>
      <c r="D2568">
        <v>14.65</v>
      </c>
      <c r="E2568">
        <v>1</v>
      </c>
      <c r="F2568" t="s">
        <v>14</v>
      </c>
      <c r="G2568">
        <v>12</v>
      </c>
      <c r="H2568">
        <v>16.408000000000001</v>
      </c>
      <c r="I2568">
        <v>12.000000000000011</v>
      </c>
      <c r="J2568" t="s">
        <v>20</v>
      </c>
    </row>
    <row r="2569" spans="1:10" x14ac:dyDescent="0.2">
      <c r="A2569">
        <v>12568</v>
      </c>
      <c r="B2569" t="s">
        <v>10</v>
      </c>
      <c r="C2569" t="s">
        <v>6</v>
      </c>
      <c r="D2569">
        <v>5.33</v>
      </c>
      <c r="E2569">
        <v>7</v>
      </c>
      <c r="F2569" t="s">
        <v>15</v>
      </c>
      <c r="G2569">
        <v>28</v>
      </c>
      <c r="H2569">
        <v>6.8224</v>
      </c>
      <c r="I2569">
        <v>28.000000000000004</v>
      </c>
      <c r="J2569" t="s">
        <v>20</v>
      </c>
    </row>
    <row r="2570" spans="1:10" x14ac:dyDescent="0.2">
      <c r="A2570">
        <v>12569</v>
      </c>
      <c r="B2570" t="s">
        <v>7</v>
      </c>
      <c r="C2570" t="s">
        <v>11</v>
      </c>
      <c r="D2570">
        <v>9.1300000000000008</v>
      </c>
      <c r="E2570">
        <v>5</v>
      </c>
      <c r="F2570" t="s">
        <v>15</v>
      </c>
      <c r="G2570">
        <v>25</v>
      </c>
      <c r="H2570">
        <v>11.412500000000001</v>
      </c>
      <c r="I2570">
        <v>25</v>
      </c>
      <c r="J2570" t="s">
        <v>20</v>
      </c>
    </row>
    <row r="2571" spans="1:10" x14ac:dyDescent="0.2">
      <c r="A2571">
        <v>12570</v>
      </c>
      <c r="B2571" t="s">
        <v>8</v>
      </c>
      <c r="C2571" t="s">
        <v>6</v>
      </c>
      <c r="D2571">
        <v>1.81</v>
      </c>
      <c r="E2571">
        <v>2</v>
      </c>
      <c r="F2571" t="s">
        <v>14</v>
      </c>
      <c r="G2571">
        <v>12</v>
      </c>
      <c r="H2571">
        <v>2.0272000000000001</v>
      </c>
      <c r="I2571">
        <v>12.000000000000011</v>
      </c>
      <c r="J2571" t="s">
        <v>20</v>
      </c>
    </row>
    <row r="2572" spans="1:10" x14ac:dyDescent="0.2">
      <c r="A2572">
        <v>12571</v>
      </c>
      <c r="B2572" t="s">
        <v>10</v>
      </c>
      <c r="C2572" t="s">
        <v>6</v>
      </c>
      <c r="D2572">
        <v>9.2899999999999991</v>
      </c>
      <c r="E2572">
        <v>1</v>
      </c>
      <c r="F2572" t="s">
        <v>14</v>
      </c>
      <c r="G2572">
        <v>12</v>
      </c>
      <c r="H2572">
        <v>10.4048</v>
      </c>
      <c r="I2572">
        <v>12.000000000000011</v>
      </c>
      <c r="J2572" t="s">
        <v>20</v>
      </c>
    </row>
    <row r="2573" spans="1:10" x14ac:dyDescent="0.2">
      <c r="A2573">
        <v>12572</v>
      </c>
      <c r="B2573" t="s">
        <v>8</v>
      </c>
      <c r="C2573" t="s">
        <v>6</v>
      </c>
      <c r="D2573">
        <v>1.8</v>
      </c>
      <c r="E2573">
        <v>7</v>
      </c>
      <c r="F2573" t="s">
        <v>15</v>
      </c>
      <c r="G2573">
        <v>28</v>
      </c>
      <c r="H2573">
        <v>2.3040000000000003</v>
      </c>
      <c r="I2573">
        <v>28.000000000000004</v>
      </c>
      <c r="J2573" t="s">
        <v>20</v>
      </c>
    </row>
    <row r="2574" spans="1:10" x14ac:dyDescent="0.2">
      <c r="A2574">
        <v>12573</v>
      </c>
      <c r="B2574" t="s">
        <v>8</v>
      </c>
      <c r="C2574" t="s">
        <v>6</v>
      </c>
      <c r="D2574">
        <v>14.41</v>
      </c>
      <c r="E2574">
        <v>1</v>
      </c>
      <c r="F2574" t="s">
        <v>14</v>
      </c>
      <c r="G2574">
        <v>12</v>
      </c>
      <c r="H2574">
        <v>16.139200000000002</v>
      </c>
      <c r="I2574">
        <v>12.000000000000011</v>
      </c>
      <c r="J2574" t="s">
        <v>20</v>
      </c>
    </row>
    <row r="2575" spans="1:10" x14ac:dyDescent="0.2">
      <c r="A2575">
        <v>12574</v>
      </c>
      <c r="B2575" t="s">
        <v>8</v>
      </c>
      <c r="C2575" t="s">
        <v>9</v>
      </c>
      <c r="D2575">
        <v>10.88</v>
      </c>
      <c r="E2575">
        <v>3</v>
      </c>
      <c r="F2575" t="s">
        <v>14</v>
      </c>
      <c r="G2575">
        <v>15</v>
      </c>
      <c r="H2575">
        <v>12.512</v>
      </c>
      <c r="I2575">
        <v>14.999999999999991</v>
      </c>
      <c r="J2575" t="s">
        <v>20</v>
      </c>
    </row>
    <row r="2576" spans="1:10" x14ac:dyDescent="0.2">
      <c r="A2576">
        <v>12575</v>
      </c>
      <c r="B2576" t="s">
        <v>8</v>
      </c>
      <c r="C2576" t="s">
        <v>9</v>
      </c>
      <c r="D2576">
        <v>11.93</v>
      </c>
      <c r="E2576">
        <v>6</v>
      </c>
      <c r="F2576" t="s">
        <v>15</v>
      </c>
      <c r="G2576">
        <v>30</v>
      </c>
      <c r="H2576">
        <v>15.509</v>
      </c>
      <c r="I2576">
        <v>30.000000000000004</v>
      </c>
      <c r="J2576" t="s">
        <v>20</v>
      </c>
    </row>
    <row r="2577" spans="1:10" x14ac:dyDescent="0.2">
      <c r="A2577">
        <v>12576</v>
      </c>
      <c r="B2577" t="s">
        <v>10</v>
      </c>
      <c r="C2577" t="s">
        <v>11</v>
      </c>
      <c r="D2577">
        <v>10.71</v>
      </c>
      <c r="E2577">
        <v>6</v>
      </c>
      <c r="F2577" t="s">
        <v>15</v>
      </c>
      <c r="G2577">
        <v>25</v>
      </c>
      <c r="H2577">
        <v>13.387500000000001</v>
      </c>
      <c r="I2577">
        <v>25</v>
      </c>
      <c r="J2577" t="s">
        <v>20</v>
      </c>
    </row>
    <row r="2578" spans="1:10" x14ac:dyDescent="0.2">
      <c r="A2578">
        <v>12577</v>
      </c>
      <c r="B2578" t="s">
        <v>8</v>
      </c>
      <c r="C2578" t="s">
        <v>11</v>
      </c>
      <c r="D2578">
        <v>9.0500000000000007</v>
      </c>
      <c r="E2578">
        <v>7</v>
      </c>
      <c r="F2578" t="s">
        <v>15</v>
      </c>
      <c r="G2578">
        <v>25</v>
      </c>
      <c r="H2578">
        <v>11.3125</v>
      </c>
      <c r="I2578">
        <v>25</v>
      </c>
      <c r="J2578" t="s">
        <v>20</v>
      </c>
    </row>
    <row r="2579" spans="1:10" x14ac:dyDescent="0.2">
      <c r="A2579">
        <v>12578</v>
      </c>
      <c r="B2579" t="s">
        <v>8</v>
      </c>
      <c r="C2579" t="s">
        <v>11</v>
      </c>
      <c r="D2579">
        <v>7.02</v>
      </c>
      <c r="E2579">
        <v>1</v>
      </c>
      <c r="F2579" t="s">
        <v>14</v>
      </c>
      <c r="G2579">
        <v>10</v>
      </c>
      <c r="H2579">
        <v>7.7220000000000004</v>
      </c>
      <c r="I2579">
        <v>10.000000000000009</v>
      </c>
      <c r="J2579" t="s">
        <v>20</v>
      </c>
    </row>
    <row r="2580" spans="1:10" x14ac:dyDescent="0.2">
      <c r="A2580">
        <v>12579</v>
      </c>
      <c r="B2580" t="s">
        <v>7</v>
      </c>
      <c r="C2580" t="s">
        <v>6</v>
      </c>
      <c r="D2580">
        <v>12.95</v>
      </c>
      <c r="E2580">
        <v>7</v>
      </c>
      <c r="F2580" t="s">
        <v>15</v>
      </c>
      <c r="G2580">
        <v>28</v>
      </c>
      <c r="H2580">
        <v>16.576000000000001</v>
      </c>
      <c r="I2580">
        <v>28.000000000000004</v>
      </c>
      <c r="J2580" t="s">
        <v>20</v>
      </c>
    </row>
    <row r="2581" spans="1:10" x14ac:dyDescent="0.2">
      <c r="A2581">
        <v>12580</v>
      </c>
      <c r="B2581" t="s">
        <v>10</v>
      </c>
      <c r="C2581" t="s">
        <v>6</v>
      </c>
      <c r="D2581">
        <v>14.37</v>
      </c>
      <c r="E2581">
        <v>2</v>
      </c>
      <c r="F2581" t="s">
        <v>14</v>
      </c>
      <c r="G2581">
        <v>12</v>
      </c>
      <c r="H2581">
        <v>16.0944</v>
      </c>
      <c r="I2581">
        <v>12.000000000000011</v>
      </c>
      <c r="J2581" t="s">
        <v>20</v>
      </c>
    </row>
    <row r="2582" spans="1:10" x14ac:dyDescent="0.2">
      <c r="A2582">
        <v>12581</v>
      </c>
      <c r="B2582" t="s">
        <v>10</v>
      </c>
      <c r="C2582" t="s">
        <v>9</v>
      </c>
      <c r="D2582">
        <v>7.74</v>
      </c>
      <c r="E2582">
        <v>6</v>
      </c>
      <c r="F2582" t="s">
        <v>15</v>
      </c>
      <c r="G2582">
        <v>30</v>
      </c>
      <c r="H2582">
        <v>10.062000000000001</v>
      </c>
      <c r="I2582">
        <v>30.000000000000004</v>
      </c>
      <c r="J2582" t="s">
        <v>20</v>
      </c>
    </row>
    <row r="2583" spans="1:10" x14ac:dyDescent="0.2">
      <c r="A2583">
        <v>12582</v>
      </c>
      <c r="B2583" t="s">
        <v>5</v>
      </c>
      <c r="C2583" t="s">
        <v>9</v>
      </c>
      <c r="D2583">
        <v>14.01</v>
      </c>
      <c r="E2583">
        <v>8</v>
      </c>
      <c r="F2583" t="s">
        <v>16</v>
      </c>
      <c r="G2583">
        <v>60</v>
      </c>
      <c r="H2583">
        <v>22.416</v>
      </c>
      <c r="I2583">
        <v>60.000000000000007</v>
      </c>
      <c r="J2583" t="s">
        <v>20</v>
      </c>
    </row>
    <row r="2584" spans="1:10" x14ac:dyDescent="0.2">
      <c r="A2584">
        <v>12583</v>
      </c>
      <c r="B2584" t="s">
        <v>10</v>
      </c>
      <c r="C2584" t="s">
        <v>11</v>
      </c>
      <c r="D2584">
        <v>8.9600000000000009</v>
      </c>
      <c r="E2584">
        <v>5</v>
      </c>
      <c r="F2584" t="s">
        <v>15</v>
      </c>
      <c r="G2584">
        <v>25</v>
      </c>
      <c r="H2584">
        <v>11.200000000000001</v>
      </c>
      <c r="I2584">
        <v>25</v>
      </c>
      <c r="J2584" t="s">
        <v>20</v>
      </c>
    </row>
    <row r="2585" spans="1:10" x14ac:dyDescent="0.2">
      <c r="A2585">
        <v>12584</v>
      </c>
      <c r="B2585" t="s">
        <v>10</v>
      </c>
      <c r="C2585" t="s">
        <v>9</v>
      </c>
      <c r="D2585">
        <v>8.31</v>
      </c>
      <c r="E2585">
        <v>10</v>
      </c>
      <c r="F2585" t="s">
        <v>16</v>
      </c>
      <c r="G2585">
        <v>60</v>
      </c>
      <c r="H2585">
        <v>13.296000000000001</v>
      </c>
      <c r="I2585">
        <v>60.000000000000007</v>
      </c>
      <c r="J2585" t="s">
        <v>20</v>
      </c>
    </row>
    <row r="2586" spans="1:10" x14ac:dyDescent="0.2">
      <c r="A2586">
        <v>12585</v>
      </c>
      <c r="B2586" t="s">
        <v>5</v>
      </c>
      <c r="C2586" t="s">
        <v>9</v>
      </c>
      <c r="D2586">
        <v>7.09</v>
      </c>
      <c r="E2586">
        <v>3</v>
      </c>
      <c r="F2586" t="s">
        <v>14</v>
      </c>
      <c r="G2586">
        <v>15</v>
      </c>
      <c r="H2586">
        <v>8.1534999999999993</v>
      </c>
      <c r="I2586">
        <v>14.999999999999991</v>
      </c>
      <c r="J2586" t="s">
        <v>20</v>
      </c>
    </row>
    <row r="2587" spans="1:10" x14ac:dyDescent="0.2">
      <c r="A2587">
        <v>12586</v>
      </c>
      <c r="B2587" t="s">
        <v>10</v>
      </c>
      <c r="C2587" t="s">
        <v>9</v>
      </c>
      <c r="D2587">
        <v>3.53</v>
      </c>
      <c r="E2587">
        <v>8</v>
      </c>
      <c r="F2587" t="s">
        <v>16</v>
      </c>
      <c r="G2587">
        <v>60</v>
      </c>
      <c r="H2587">
        <v>5.6479999999999997</v>
      </c>
      <c r="I2587">
        <v>60.000000000000007</v>
      </c>
      <c r="J2587" t="s">
        <v>20</v>
      </c>
    </row>
    <row r="2588" spans="1:10" x14ac:dyDescent="0.2">
      <c r="A2588">
        <v>12587</v>
      </c>
      <c r="B2588" t="s">
        <v>10</v>
      </c>
      <c r="C2588" t="s">
        <v>9</v>
      </c>
      <c r="D2588">
        <v>0.55000000000000004</v>
      </c>
      <c r="E2588">
        <v>8</v>
      </c>
      <c r="F2588" t="s">
        <v>16</v>
      </c>
      <c r="G2588">
        <v>60</v>
      </c>
      <c r="H2588">
        <v>0.88000000000000012</v>
      </c>
      <c r="I2588">
        <v>60.000000000000007</v>
      </c>
      <c r="J2588" t="s">
        <v>20</v>
      </c>
    </row>
    <row r="2589" spans="1:10" x14ac:dyDescent="0.2">
      <c r="A2589">
        <v>12588</v>
      </c>
      <c r="B2589" t="s">
        <v>10</v>
      </c>
      <c r="C2589" t="s">
        <v>9</v>
      </c>
      <c r="D2589">
        <v>4</v>
      </c>
      <c r="E2589">
        <v>4</v>
      </c>
      <c r="F2589" t="s">
        <v>15</v>
      </c>
      <c r="G2589">
        <v>30</v>
      </c>
      <c r="H2589">
        <v>5.2</v>
      </c>
      <c r="I2589">
        <v>30.000000000000004</v>
      </c>
      <c r="J2589" t="s">
        <v>20</v>
      </c>
    </row>
    <row r="2590" spans="1:10" x14ac:dyDescent="0.2">
      <c r="A2590">
        <v>12589</v>
      </c>
      <c r="B2590" t="s">
        <v>10</v>
      </c>
      <c r="C2590" t="s">
        <v>11</v>
      </c>
      <c r="D2590">
        <v>7.89</v>
      </c>
      <c r="E2590">
        <v>8</v>
      </c>
      <c r="F2590" t="s">
        <v>16</v>
      </c>
      <c r="G2590">
        <v>50</v>
      </c>
      <c r="H2590">
        <v>11.834999999999999</v>
      </c>
      <c r="I2590">
        <v>50</v>
      </c>
      <c r="J2590" t="s">
        <v>20</v>
      </c>
    </row>
    <row r="2591" spans="1:10" x14ac:dyDescent="0.2">
      <c r="A2591">
        <v>12590</v>
      </c>
      <c r="B2591" t="s">
        <v>5</v>
      </c>
      <c r="C2591" t="s">
        <v>11</v>
      </c>
      <c r="D2591">
        <v>6.01</v>
      </c>
      <c r="E2591">
        <v>5</v>
      </c>
      <c r="F2591" t="s">
        <v>15</v>
      </c>
      <c r="G2591">
        <v>25</v>
      </c>
      <c r="H2591">
        <v>7.5124999999999993</v>
      </c>
      <c r="I2591">
        <v>25</v>
      </c>
      <c r="J2591" t="s">
        <v>20</v>
      </c>
    </row>
    <row r="2592" spans="1:10" x14ac:dyDescent="0.2">
      <c r="A2592">
        <v>12591</v>
      </c>
      <c r="B2592" t="s">
        <v>10</v>
      </c>
      <c r="C2592" t="s">
        <v>9</v>
      </c>
      <c r="D2592">
        <v>7</v>
      </c>
      <c r="E2592">
        <v>5</v>
      </c>
      <c r="F2592" t="s">
        <v>15</v>
      </c>
      <c r="G2592">
        <v>30</v>
      </c>
      <c r="H2592">
        <v>9.1</v>
      </c>
      <c r="I2592">
        <v>30.000000000000004</v>
      </c>
      <c r="J2592" t="s">
        <v>20</v>
      </c>
    </row>
    <row r="2593" spans="1:10" x14ac:dyDescent="0.2">
      <c r="A2593">
        <v>12592</v>
      </c>
      <c r="B2593" t="s">
        <v>10</v>
      </c>
      <c r="C2593" t="s">
        <v>11</v>
      </c>
      <c r="D2593">
        <v>14.72</v>
      </c>
      <c r="E2593">
        <v>3</v>
      </c>
      <c r="F2593" t="s">
        <v>14</v>
      </c>
      <c r="G2593">
        <v>10</v>
      </c>
      <c r="H2593">
        <v>16.192000000000004</v>
      </c>
      <c r="I2593">
        <v>10.000000000000032</v>
      </c>
      <c r="J2593" t="s">
        <v>20</v>
      </c>
    </row>
    <row r="2594" spans="1:10" x14ac:dyDescent="0.2">
      <c r="A2594">
        <v>12593</v>
      </c>
      <c r="B2594" t="s">
        <v>5</v>
      </c>
      <c r="C2594" t="s">
        <v>6</v>
      </c>
      <c r="D2594">
        <v>5.58</v>
      </c>
      <c r="E2594">
        <v>7</v>
      </c>
      <c r="F2594" t="s">
        <v>15</v>
      </c>
      <c r="G2594">
        <v>28</v>
      </c>
      <c r="H2594">
        <v>7.1424000000000003</v>
      </c>
      <c r="I2594">
        <v>28.000000000000004</v>
      </c>
      <c r="J2594" t="s">
        <v>20</v>
      </c>
    </row>
    <row r="2595" spans="1:10" x14ac:dyDescent="0.2">
      <c r="A2595">
        <v>12594</v>
      </c>
      <c r="B2595" t="s">
        <v>7</v>
      </c>
      <c r="C2595" t="s">
        <v>9</v>
      </c>
      <c r="D2595">
        <v>7.06</v>
      </c>
      <c r="E2595">
        <v>9</v>
      </c>
      <c r="F2595" t="s">
        <v>16</v>
      </c>
      <c r="G2595">
        <v>60</v>
      </c>
      <c r="H2595">
        <v>11.295999999999999</v>
      </c>
      <c r="I2595">
        <v>60.000000000000007</v>
      </c>
      <c r="J2595" t="s">
        <v>20</v>
      </c>
    </row>
    <row r="2596" spans="1:10" x14ac:dyDescent="0.2">
      <c r="A2596">
        <v>12595</v>
      </c>
      <c r="B2596" t="s">
        <v>8</v>
      </c>
      <c r="C2596" t="s">
        <v>6</v>
      </c>
      <c r="D2596">
        <v>2.44</v>
      </c>
      <c r="E2596">
        <v>9</v>
      </c>
      <c r="F2596" t="s">
        <v>16</v>
      </c>
      <c r="G2596">
        <v>55</v>
      </c>
      <c r="H2596">
        <v>3.782</v>
      </c>
      <c r="I2596">
        <v>55.000000000000007</v>
      </c>
      <c r="J2596" t="s">
        <v>20</v>
      </c>
    </row>
    <row r="2597" spans="1:10" x14ac:dyDescent="0.2">
      <c r="A2597">
        <v>12596</v>
      </c>
      <c r="B2597" t="s">
        <v>7</v>
      </c>
      <c r="C2597" t="s">
        <v>11</v>
      </c>
      <c r="D2597">
        <v>1.2</v>
      </c>
      <c r="E2597">
        <v>1</v>
      </c>
      <c r="F2597" t="s">
        <v>14</v>
      </c>
      <c r="G2597">
        <v>10</v>
      </c>
      <c r="H2597">
        <v>1.32</v>
      </c>
      <c r="I2597">
        <v>10.000000000000009</v>
      </c>
      <c r="J2597" t="s">
        <v>20</v>
      </c>
    </row>
    <row r="2598" spans="1:10" x14ac:dyDescent="0.2">
      <c r="A2598">
        <v>12597</v>
      </c>
      <c r="B2598" t="s">
        <v>5</v>
      </c>
      <c r="C2598" t="s">
        <v>11</v>
      </c>
      <c r="D2598">
        <v>11.74</v>
      </c>
      <c r="E2598">
        <v>1</v>
      </c>
      <c r="F2598" t="s">
        <v>14</v>
      </c>
      <c r="G2598">
        <v>10</v>
      </c>
      <c r="H2598">
        <v>12.914000000000001</v>
      </c>
      <c r="I2598">
        <v>10.000000000000009</v>
      </c>
      <c r="J2598" t="s">
        <v>20</v>
      </c>
    </row>
    <row r="2599" spans="1:10" x14ac:dyDescent="0.2">
      <c r="A2599">
        <v>12598</v>
      </c>
      <c r="B2599" t="s">
        <v>8</v>
      </c>
      <c r="C2599" t="s">
        <v>6</v>
      </c>
      <c r="D2599">
        <v>8.77</v>
      </c>
      <c r="E2599">
        <v>10</v>
      </c>
      <c r="F2599" t="s">
        <v>16</v>
      </c>
      <c r="G2599">
        <v>55</v>
      </c>
      <c r="H2599">
        <v>13.593500000000001</v>
      </c>
      <c r="I2599">
        <v>55.000000000000007</v>
      </c>
      <c r="J2599" t="s">
        <v>20</v>
      </c>
    </row>
    <row r="2600" spans="1:10" x14ac:dyDescent="0.2">
      <c r="A2600">
        <v>12599</v>
      </c>
      <c r="B2600" t="s">
        <v>5</v>
      </c>
      <c r="C2600" t="s">
        <v>11</v>
      </c>
      <c r="D2600">
        <v>11.53</v>
      </c>
      <c r="E2600">
        <v>5</v>
      </c>
      <c r="F2600" t="s">
        <v>15</v>
      </c>
      <c r="G2600">
        <v>25</v>
      </c>
      <c r="H2600">
        <v>14.4125</v>
      </c>
      <c r="I2600">
        <v>25</v>
      </c>
      <c r="J2600" t="s">
        <v>20</v>
      </c>
    </row>
    <row r="2601" spans="1:10" x14ac:dyDescent="0.2">
      <c r="A2601">
        <v>12600</v>
      </c>
      <c r="B2601" t="s">
        <v>5</v>
      </c>
      <c r="C2601" t="s">
        <v>9</v>
      </c>
      <c r="D2601">
        <v>2.67</v>
      </c>
      <c r="E2601">
        <v>1</v>
      </c>
      <c r="F2601" t="s">
        <v>14</v>
      </c>
      <c r="G2601">
        <v>15</v>
      </c>
      <c r="H2601">
        <v>3.0704999999999996</v>
      </c>
      <c r="I2601">
        <v>14.999999999999991</v>
      </c>
      <c r="J2601" t="s">
        <v>20</v>
      </c>
    </row>
    <row r="2602" spans="1:10" x14ac:dyDescent="0.2">
      <c r="A2602">
        <v>12601</v>
      </c>
      <c r="B2602" t="s">
        <v>10</v>
      </c>
      <c r="C2602" t="s">
        <v>6</v>
      </c>
      <c r="D2602">
        <v>8.7899999999999991</v>
      </c>
      <c r="E2602">
        <v>4</v>
      </c>
      <c r="F2602" t="s">
        <v>15</v>
      </c>
      <c r="G2602">
        <v>28</v>
      </c>
      <c r="H2602">
        <v>11.251199999999999</v>
      </c>
      <c r="I2602">
        <v>28.000000000000004</v>
      </c>
      <c r="J2602" t="s">
        <v>20</v>
      </c>
    </row>
    <row r="2603" spans="1:10" x14ac:dyDescent="0.2">
      <c r="A2603">
        <v>12602</v>
      </c>
      <c r="B2603" t="s">
        <v>8</v>
      </c>
      <c r="C2603" t="s">
        <v>9</v>
      </c>
      <c r="D2603">
        <v>4.18</v>
      </c>
      <c r="E2603">
        <v>1</v>
      </c>
      <c r="F2603" t="s">
        <v>14</v>
      </c>
      <c r="G2603">
        <v>15</v>
      </c>
      <c r="H2603">
        <v>4.8069999999999995</v>
      </c>
      <c r="I2603">
        <v>14.999999999999991</v>
      </c>
      <c r="J2603" t="s">
        <v>20</v>
      </c>
    </row>
    <row r="2604" spans="1:10" x14ac:dyDescent="0.2">
      <c r="A2604">
        <v>12603</v>
      </c>
      <c r="B2604" t="s">
        <v>10</v>
      </c>
      <c r="C2604" t="s">
        <v>6</v>
      </c>
      <c r="D2604">
        <v>3.81</v>
      </c>
      <c r="E2604">
        <v>2</v>
      </c>
      <c r="F2604" t="s">
        <v>14</v>
      </c>
      <c r="G2604">
        <v>12</v>
      </c>
      <c r="H2604">
        <v>4.2672000000000008</v>
      </c>
      <c r="I2604">
        <v>12.000000000000011</v>
      </c>
      <c r="J2604" t="s">
        <v>20</v>
      </c>
    </row>
    <row r="2605" spans="1:10" x14ac:dyDescent="0.2">
      <c r="A2605">
        <v>12604</v>
      </c>
      <c r="B2605" t="s">
        <v>8</v>
      </c>
      <c r="C2605" t="s">
        <v>11</v>
      </c>
      <c r="D2605">
        <v>0.67</v>
      </c>
      <c r="E2605">
        <v>2</v>
      </c>
      <c r="F2605" t="s">
        <v>14</v>
      </c>
      <c r="G2605">
        <v>10</v>
      </c>
      <c r="H2605">
        <v>0.7370000000000001</v>
      </c>
      <c r="I2605">
        <v>10.000000000000009</v>
      </c>
      <c r="J2605" t="s">
        <v>20</v>
      </c>
    </row>
    <row r="2606" spans="1:10" x14ac:dyDescent="0.2">
      <c r="A2606">
        <v>12605</v>
      </c>
      <c r="B2606" t="s">
        <v>5</v>
      </c>
      <c r="C2606" t="s">
        <v>6</v>
      </c>
      <c r="D2606">
        <v>2.39</v>
      </c>
      <c r="E2606">
        <v>4</v>
      </c>
      <c r="F2606" t="s">
        <v>15</v>
      </c>
      <c r="G2606">
        <v>28</v>
      </c>
      <c r="H2606">
        <v>3.0592000000000001</v>
      </c>
      <c r="I2606">
        <v>28.000000000000004</v>
      </c>
      <c r="J2606" t="s">
        <v>20</v>
      </c>
    </row>
    <row r="2607" spans="1:10" x14ac:dyDescent="0.2">
      <c r="A2607">
        <v>12606</v>
      </c>
      <c r="B2607" t="s">
        <v>5</v>
      </c>
      <c r="C2607" t="s">
        <v>6</v>
      </c>
      <c r="D2607">
        <v>4.9800000000000004</v>
      </c>
      <c r="E2607">
        <v>8</v>
      </c>
      <c r="F2607" t="s">
        <v>16</v>
      </c>
      <c r="G2607">
        <v>55</v>
      </c>
      <c r="H2607">
        <v>7.7190000000000012</v>
      </c>
      <c r="I2607">
        <v>55.000000000000007</v>
      </c>
      <c r="J2607" t="s">
        <v>20</v>
      </c>
    </row>
    <row r="2608" spans="1:10" x14ac:dyDescent="0.2">
      <c r="A2608">
        <v>12607</v>
      </c>
      <c r="B2608" t="s">
        <v>7</v>
      </c>
      <c r="C2608" t="s">
        <v>9</v>
      </c>
      <c r="D2608">
        <v>2.19</v>
      </c>
      <c r="E2608">
        <v>2</v>
      </c>
      <c r="F2608" t="s">
        <v>14</v>
      </c>
      <c r="G2608">
        <v>15</v>
      </c>
      <c r="H2608">
        <v>2.5185</v>
      </c>
      <c r="I2608">
        <v>14.999999999999991</v>
      </c>
      <c r="J2608" t="s">
        <v>20</v>
      </c>
    </row>
    <row r="2609" spans="1:10" x14ac:dyDescent="0.2">
      <c r="A2609">
        <v>12608</v>
      </c>
      <c r="B2609" t="s">
        <v>8</v>
      </c>
      <c r="C2609" t="s">
        <v>11</v>
      </c>
      <c r="D2609">
        <v>14.79</v>
      </c>
      <c r="E2609">
        <v>9</v>
      </c>
      <c r="F2609" t="s">
        <v>16</v>
      </c>
      <c r="G2609">
        <v>50</v>
      </c>
      <c r="H2609">
        <v>22.184999999999999</v>
      </c>
      <c r="I2609">
        <v>50</v>
      </c>
      <c r="J2609" t="s">
        <v>20</v>
      </c>
    </row>
    <row r="2610" spans="1:10" x14ac:dyDescent="0.2">
      <c r="A2610">
        <v>12609</v>
      </c>
      <c r="B2610" t="s">
        <v>10</v>
      </c>
      <c r="C2610" t="s">
        <v>9</v>
      </c>
      <c r="D2610">
        <v>4.9800000000000004</v>
      </c>
      <c r="E2610">
        <v>9</v>
      </c>
      <c r="F2610" t="s">
        <v>16</v>
      </c>
      <c r="G2610">
        <v>60</v>
      </c>
      <c r="H2610">
        <v>7.9680000000000009</v>
      </c>
      <c r="I2610">
        <v>60.000000000000007</v>
      </c>
      <c r="J2610" t="s">
        <v>20</v>
      </c>
    </row>
    <row r="2611" spans="1:10" x14ac:dyDescent="0.2">
      <c r="A2611">
        <v>12610</v>
      </c>
      <c r="B2611" t="s">
        <v>7</v>
      </c>
      <c r="C2611" t="s">
        <v>11</v>
      </c>
      <c r="D2611">
        <v>2.39</v>
      </c>
      <c r="E2611">
        <v>2</v>
      </c>
      <c r="F2611" t="s">
        <v>14</v>
      </c>
      <c r="G2611">
        <v>10</v>
      </c>
      <c r="H2611">
        <v>2.6290000000000004</v>
      </c>
      <c r="I2611">
        <v>10.000000000000009</v>
      </c>
      <c r="J2611" t="s">
        <v>20</v>
      </c>
    </row>
    <row r="2612" spans="1:10" x14ac:dyDescent="0.2">
      <c r="A2612">
        <v>12611</v>
      </c>
      <c r="B2612" t="s">
        <v>7</v>
      </c>
      <c r="C2612" t="s">
        <v>9</v>
      </c>
      <c r="D2612">
        <v>3.39</v>
      </c>
      <c r="E2612">
        <v>1</v>
      </c>
      <c r="F2612" t="s">
        <v>14</v>
      </c>
      <c r="G2612">
        <v>15</v>
      </c>
      <c r="H2612">
        <v>3.8984999999999999</v>
      </c>
      <c r="I2612">
        <v>14.999999999999991</v>
      </c>
      <c r="J2612" t="s">
        <v>20</v>
      </c>
    </row>
    <row r="2613" spans="1:10" x14ac:dyDescent="0.2">
      <c r="A2613">
        <v>12612</v>
      </c>
      <c r="B2613" t="s">
        <v>7</v>
      </c>
      <c r="C2613" t="s">
        <v>6</v>
      </c>
      <c r="D2613">
        <v>9.02</v>
      </c>
      <c r="E2613">
        <v>10</v>
      </c>
      <c r="F2613" t="s">
        <v>16</v>
      </c>
      <c r="G2613">
        <v>55</v>
      </c>
      <c r="H2613">
        <v>13.981</v>
      </c>
      <c r="I2613">
        <v>55.000000000000007</v>
      </c>
      <c r="J2613" t="s">
        <v>20</v>
      </c>
    </row>
    <row r="2614" spans="1:10" x14ac:dyDescent="0.2">
      <c r="A2614">
        <v>12613</v>
      </c>
      <c r="B2614" t="s">
        <v>10</v>
      </c>
      <c r="C2614" t="s">
        <v>9</v>
      </c>
      <c r="D2614">
        <v>1.43</v>
      </c>
      <c r="E2614">
        <v>10</v>
      </c>
      <c r="F2614" t="s">
        <v>16</v>
      </c>
      <c r="G2614">
        <v>60</v>
      </c>
      <c r="H2614">
        <v>2.2879999999999998</v>
      </c>
      <c r="I2614">
        <v>59.999999999999986</v>
      </c>
      <c r="J2614" t="s">
        <v>20</v>
      </c>
    </row>
    <row r="2615" spans="1:10" x14ac:dyDescent="0.2">
      <c r="A2615">
        <v>12614</v>
      </c>
      <c r="B2615" t="s">
        <v>7</v>
      </c>
      <c r="C2615" t="s">
        <v>11</v>
      </c>
      <c r="D2615">
        <v>13.01</v>
      </c>
      <c r="E2615">
        <v>9</v>
      </c>
      <c r="F2615" t="s">
        <v>16</v>
      </c>
      <c r="G2615">
        <v>50</v>
      </c>
      <c r="H2615">
        <v>19.515000000000001</v>
      </c>
      <c r="I2615">
        <v>50</v>
      </c>
      <c r="J2615" t="s">
        <v>20</v>
      </c>
    </row>
    <row r="2616" spans="1:10" x14ac:dyDescent="0.2">
      <c r="A2616">
        <v>12615</v>
      </c>
      <c r="B2616" t="s">
        <v>10</v>
      </c>
      <c r="C2616" t="s">
        <v>11</v>
      </c>
      <c r="D2616">
        <v>14.44</v>
      </c>
      <c r="E2616">
        <v>2</v>
      </c>
      <c r="F2616" t="s">
        <v>14</v>
      </c>
      <c r="G2616">
        <v>10</v>
      </c>
      <c r="H2616">
        <v>15.884</v>
      </c>
      <c r="I2616">
        <v>10.000000000000009</v>
      </c>
      <c r="J2616" t="s">
        <v>20</v>
      </c>
    </row>
    <row r="2617" spans="1:10" x14ac:dyDescent="0.2">
      <c r="A2617">
        <v>12616</v>
      </c>
      <c r="B2617" t="s">
        <v>7</v>
      </c>
      <c r="C2617" t="s">
        <v>6</v>
      </c>
      <c r="D2617">
        <v>4.08</v>
      </c>
      <c r="E2617">
        <v>8</v>
      </c>
      <c r="F2617" t="s">
        <v>16</v>
      </c>
      <c r="G2617">
        <v>55</v>
      </c>
      <c r="H2617">
        <v>6.3240000000000007</v>
      </c>
      <c r="I2617">
        <v>55.000000000000007</v>
      </c>
      <c r="J2617" t="s">
        <v>20</v>
      </c>
    </row>
    <row r="2618" spans="1:10" x14ac:dyDescent="0.2">
      <c r="A2618">
        <v>12617</v>
      </c>
      <c r="B2618" t="s">
        <v>10</v>
      </c>
      <c r="C2618" t="s">
        <v>11</v>
      </c>
      <c r="D2618">
        <v>7.03</v>
      </c>
      <c r="E2618">
        <v>3</v>
      </c>
      <c r="F2618" t="s">
        <v>14</v>
      </c>
      <c r="G2618">
        <v>10</v>
      </c>
      <c r="H2618">
        <v>7.7330000000000005</v>
      </c>
      <c r="I2618">
        <v>10.000000000000009</v>
      </c>
      <c r="J2618" t="s">
        <v>20</v>
      </c>
    </row>
    <row r="2619" spans="1:10" x14ac:dyDescent="0.2">
      <c r="A2619">
        <v>12618</v>
      </c>
      <c r="B2619" t="s">
        <v>5</v>
      </c>
      <c r="C2619" t="s">
        <v>9</v>
      </c>
      <c r="D2619">
        <v>0.82</v>
      </c>
      <c r="E2619">
        <v>1</v>
      </c>
      <c r="F2619" t="s">
        <v>14</v>
      </c>
      <c r="G2619">
        <v>15</v>
      </c>
      <c r="H2619">
        <v>0.94299999999999984</v>
      </c>
      <c r="I2619">
        <v>14.999999999999991</v>
      </c>
      <c r="J2619" t="s">
        <v>20</v>
      </c>
    </row>
    <row r="2620" spans="1:10" x14ac:dyDescent="0.2">
      <c r="A2620">
        <v>12619</v>
      </c>
      <c r="B2620" t="s">
        <v>5</v>
      </c>
      <c r="C2620" t="s">
        <v>6</v>
      </c>
      <c r="D2620">
        <v>9.7899999999999991</v>
      </c>
      <c r="E2620">
        <v>1</v>
      </c>
      <c r="F2620" t="s">
        <v>14</v>
      </c>
      <c r="G2620">
        <v>12</v>
      </c>
      <c r="H2620">
        <v>10.9648</v>
      </c>
      <c r="I2620">
        <v>12.000000000000011</v>
      </c>
      <c r="J2620" t="s">
        <v>20</v>
      </c>
    </row>
    <row r="2621" spans="1:10" x14ac:dyDescent="0.2">
      <c r="A2621">
        <v>12620</v>
      </c>
      <c r="B2621" t="s">
        <v>5</v>
      </c>
      <c r="C2621" t="s">
        <v>11</v>
      </c>
      <c r="D2621">
        <v>6.5</v>
      </c>
      <c r="E2621">
        <v>10</v>
      </c>
      <c r="F2621" t="s">
        <v>16</v>
      </c>
      <c r="G2621">
        <v>50</v>
      </c>
      <c r="H2621">
        <v>9.75</v>
      </c>
      <c r="I2621">
        <v>50</v>
      </c>
      <c r="J2621" t="s">
        <v>20</v>
      </c>
    </row>
    <row r="2622" spans="1:10" x14ac:dyDescent="0.2">
      <c r="A2622">
        <v>12621</v>
      </c>
      <c r="B2622" t="s">
        <v>5</v>
      </c>
      <c r="C2622" t="s">
        <v>11</v>
      </c>
      <c r="D2622">
        <v>4.42</v>
      </c>
      <c r="E2622">
        <v>2</v>
      </c>
      <c r="F2622" t="s">
        <v>14</v>
      </c>
      <c r="G2622">
        <v>10</v>
      </c>
      <c r="H2622">
        <v>4.8620000000000001</v>
      </c>
      <c r="I2622">
        <v>10.000000000000009</v>
      </c>
      <c r="J2622" t="s">
        <v>20</v>
      </c>
    </row>
    <row r="2623" spans="1:10" x14ac:dyDescent="0.2">
      <c r="A2623">
        <v>12622</v>
      </c>
      <c r="B2623" t="s">
        <v>5</v>
      </c>
      <c r="C2623" t="s">
        <v>9</v>
      </c>
      <c r="D2623">
        <v>3.5</v>
      </c>
      <c r="E2623">
        <v>7</v>
      </c>
      <c r="F2623" t="s">
        <v>15</v>
      </c>
      <c r="G2623">
        <v>30</v>
      </c>
      <c r="H2623">
        <v>4.55</v>
      </c>
      <c r="I2623">
        <v>30.000000000000004</v>
      </c>
      <c r="J2623" t="s">
        <v>20</v>
      </c>
    </row>
    <row r="2624" spans="1:10" x14ac:dyDescent="0.2">
      <c r="A2624">
        <v>12623</v>
      </c>
      <c r="B2624" t="s">
        <v>7</v>
      </c>
      <c r="C2624" t="s">
        <v>9</v>
      </c>
      <c r="D2624">
        <v>9.98</v>
      </c>
      <c r="E2624">
        <v>6</v>
      </c>
      <c r="F2624" t="s">
        <v>15</v>
      </c>
      <c r="G2624">
        <v>30</v>
      </c>
      <c r="H2624">
        <v>12.974</v>
      </c>
      <c r="I2624">
        <v>30.000000000000004</v>
      </c>
      <c r="J2624" t="s">
        <v>20</v>
      </c>
    </row>
    <row r="2625" spans="1:10" x14ac:dyDescent="0.2">
      <c r="A2625">
        <v>12624</v>
      </c>
      <c r="B2625" t="s">
        <v>7</v>
      </c>
      <c r="C2625" t="s">
        <v>6</v>
      </c>
      <c r="D2625">
        <v>6.54</v>
      </c>
      <c r="E2625">
        <v>2</v>
      </c>
      <c r="F2625" t="s">
        <v>14</v>
      </c>
      <c r="G2625">
        <v>12</v>
      </c>
      <c r="H2625">
        <v>7.3248000000000006</v>
      </c>
      <c r="I2625">
        <v>12.000000000000011</v>
      </c>
      <c r="J2625" t="s">
        <v>20</v>
      </c>
    </row>
    <row r="2626" spans="1:10" x14ac:dyDescent="0.2">
      <c r="A2626">
        <v>12625</v>
      </c>
      <c r="B2626" t="s">
        <v>7</v>
      </c>
      <c r="C2626" t="s">
        <v>11</v>
      </c>
      <c r="D2626">
        <v>3.11</v>
      </c>
      <c r="E2626">
        <v>4</v>
      </c>
      <c r="F2626" t="s">
        <v>15</v>
      </c>
      <c r="G2626">
        <v>25</v>
      </c>
      <c r="H2626">
        <v>3.8874999999999997</v>
      </c>
      <c r="I2626">
        <v>25</v>
      </c>
      <c r="J2626" t="s">
        <v>20</v>
      </c>
    </row>
    <row r="2627" spans="1:10" x14ac:dyDescent="0.2">
      <c r="A2627">
        <v>12626</v>
      </c>
      <c r="B2627" t="s">
        <v>10</v>
      </c>
      <c r="C2627" t="s">
        <v>9</v>
      </c>
      <c r="D2627">
        <v>10.49</v>
      </c>
      <c r="E2627">
        <v>2</v>
      </c>
      <c r="F2627" t="s">
        <v>14</v>
      </c>
      <c r="G2627">
        <v>15</v>
      </c>
      <c r="H2627">
        <v>12.063499999999999</v>
      </c>
      <c r="I2627">
        <v>14.999999999999991</v>
      </c>
      <c r="J2627" t="s">
        <v>20</v>
      </c>
    </row>
    <row r="2628" spans="1:10" x14ac:dyDescent="0.2">
      <c r="A2628">
        <v>12627</v>
      </c>
      <c r="B2628" t="s">
        <v>10</v>
      </c>
      <c r="C2628" t="s">
        <v>6</v>
      </c>
      <c r="D2628">
        <v>8.69</v>
      </c>
      <c r="E2628">
        <v>1</v>
      </c>
      <c r="F2628" t="s">
        <v>14</v>
      </c>
      <c r="G2628">
        <v>12</v>
      </c>
      <c r="H2628">
        <v>9.732800000000001</v>
      </c>
      <c r="I2628">
        <v>12.000000000000011</v>
      </c>
      <c r="J2628" t="s">
        <v>20</v>
      </c>
    </row>
    <row r="2629" spans="1:10" x14ac:dyDescent="0.2">
      <c r="A2629">
        <v>12628</v>
      </c>
      <c r="B2629" t="s">
        <v>10</v>
      </c>
      <c r="C2629" t="s">
        <v>11</v>
      </c>
      <c r="D2629">
        <v>12.95</v>
      </c>
      <c r="E2629">
        <v>3</v>
      </c>
      <c r="F2629" t="s">
        <v>14</v>
      </c>
      <c r="G2629">
        <v>10</v>
      </c>
      <c r="H2629">
        <v>14.245000000000001</v>
      </c>
      <c r="I2629">
        <v>10.000000000000009</v>
      </c>
      <c r="J2629" t="s">
        <v>20</v>
      </c>
    </row>
    <row r="2630" spans="1:10" x14ac:dyDescent="0.2">
      <c r="A2630">
        <v>12629</v>
      </c>
      <c r="B2630" t="s">
        <v>10</v>
      </c>
      <c r="C2630" t="s">
        <v>11</v>
      </c>
      <c r="D2630">
        <v>2.2000000000000002</v>
      </c>
      <c r="E2630">
        <v>4</v>
      </c>
      <c r="F2630" t="s">
        <v>15</v>
      </c>
      <c r="G2630">
        <v>25</v>
      </c>
      <c r="H2630">
        <v>2.75</v>
      </c>
      <c r="I2630">
        <v>25</v>
      </c>
      <c r="J2630" t="s">
        <v>20</v>
      </c>
    </row>
    <row r="2631" spans="1:10" x14ac:dyDescent="0.2">
      <c r="A2631">
        <v>12630</v>
      </c>
      <c r="B2631" t="s">
        <v>5</v>
      </c>
      <c r="C2631" t="s">
        <v>6</v>
      </c>
      <c r="D2631">
        <v>11.89</v>
      </c>
      <c r="E2631">
        <v>10</v>
      </c>
      <c r="F2631" t="s">
        <v>16</v>
      </c>
      <c r="G2631">
        <v>55</v>
      </c>
      <c r="H2631">
        <v>18.429500000000001</v>
      </c>
      <c r="I2631">
        <v>55.000000000000007</v>
      </c>
      <c r="J2631" t="s">
        <v>20</v>
      </c>
    </row>
    <row r="2632" spans="1:10" x14ac:dyDescent="0.2">
      <c r="A2632">
        <v>12631</v>
      </c>
      <c r="B2632" t="s">
        <v>5</v>
      </c>
      <c r="C2632" t="s">
        <v>6</v>
      </c>
      <c r="D2632">
        <v>10.27</v>
      </c>
      <c r="E2632">
        <v>5</v>
      </c>
      <c r="F2632" t="s">
        <v>15</v>
      </c>
      <c r="G2632">
        <v>28</v>
      </c>
      <c r="H2632">
        <v>13.1456</v>
      </c>
      <c r="I2632">
        <v>28.000000000000004</v>
      </c>
      <c r="J2632" t="s">
        <v>20</v>
      </c>
    </row>
    <row r="2633" spans="1:10" x14ac:dyDescent="0.2">
      <c r="A2633">
        <v>12632</v>
      </c>
      <c r="B2633" t="s">
        <v>5</v>
      </c>
      <c r="C2633" t="s">
        <v>9</v>
      </c>
      <c r="D2633">
        <v>2.17</v>
      </c>
      <c r="E2633">
        <v>5</v>
      </c>
      <c r="F2633" t="s">
        <v>15</v>
      </c>
      <c r="G2633">
        <v>30</v>
      </c>
      <c r="H2633">
        <v>2.8210000000000002</v>
      </c>
      <c r="I2633">
        <v>30.000000000000004</v>
      </c>
      <c r="J2633" t="s">
        <v>20</v>
      </c>
    </row>
    <row r="2634" spans="1:10" x14ac:dyDescent="0.2">
      <c r="A2634">
        <v>12633</v>
      </c>
      <c r="B2634" t="s">
        <v>8</v>
      </c>
      <c r="C2634" t="s">
        <v>11</v>
      </c>
      <c r="D2634">
        <v>10.57</v>
      </c>
      <c r="E2634">
        <v>7</v>
      </c>
      <c r="F2634" t="s">
        <v>15</v>
      </c>
      <c r="G2634">
        <v>25</v>
      </c>
      <c r="H2634">
        <v>13.2125</v>
      </c>
      <c r="I2634">
        <v>25</v>
      </c>
      <c r="J2634" t="s">
        <v>20</v>
      </c>
    </row>
    <row r="2635" spans="1:10" x14ac:dyDescent="0.2">
      <c r="A2635">
        <v>12634</v>
      </c>
      <c r="B2635" t="s">
        <v>7</v>
      </c>
      <c r="C2635" t="s">
        <v>11</v>
      </c>
      <c r="D2635">
        <v>6.9</v>
      </c>
      <c r="E2635">
        <v>10</v>
      </c>
      <c r="F2635" t="s">
        <v>16</v>
      </c>
      <c r="G2635">
        <v>50</v>
      </c>
      <c r="H2635">
        <v>10.350000000000001</v>
      </c>
      <c r="I2635">
        <v>50.000000000000021</v>
      </c>
      <c r="J2635" t="s">
        <v>20</v>
      </c>
    </row>
    <row r="2636" spans="1:10" x14ac:dyDescent="0.2">
      <c r="A2636">
        <v>12635</v>
      </c>
      <c r="B2636" t="s">
        <v>10</v>
      </c>
      <c r="C2636" t="s">
        <v>11</v>
      </c>
      <c r="D2636">
        <v>14.2</v>
      </c>
      <c r="E2636">
        <v>8</v>
      </c>
      <c r="F2636" t="s">
        <v>16</v>
      </c>
      <c r="G2636">
        <v>50</v>
      </c>
      <c r="H2636">
        <v>21.299999999999997</v>
      </c>
      <c r="I2636">
        <v>49.999999999999979</v>
      </c>
      <c r="J2636" t="s">
        <v>20</v>
      </c>
    </row>
    <row r="2637" spans="1:10" x14ac:dyDescent="0.2">
      <c r="A2637">
        <v>12636</v>
      </c>
      <c r="B2637" t="s">
        <v>10</v>
      </c>
      <c r="C2637" t="s">
        <v>6</v>
      </c>
      <c r="D2637">
        <v>2.5499999999999998</v>
      </c>
      <c r="E2637">
        <v>9</v>
      </c>
      <c r="F2637" t="s">
        <v>16</v>
      </c>
      <c r="G2637">
        <v>55</v>
      </c>
      <c r="H2637">
        <v>3.9524999999999997</v>
      </c>
      <c r="I2637">
        <v>55.000000000000007</v>
      </c>
      <c r="J2637" t="s">
        <v>20</v>
      </c>
    </row>
    <row r="2638" spans="1:10" x14ac:dyDescent="0.2">
      <c r="A2638">
        <v>12637</v>
      </c>
      <c r="B2638" t="s">
        <v>5</v>
      </c>
      <c r="C2638" t="s">
        <v>9</v>
      </c>
      <c r="D2638">
        <v>9.82</v>
      </c>
      <c r="E2638">
        <v>7</v>
      </c>
      <c r="F2638" t="s">
        <v>15</v>
      </c>
      <c r="G2638">
        <v>30</v>
      </c>
      <c r="H2638">
        <v>12.766</v>
      </c>
      <c r="I2638">
        <v>30.000000000000004</v>
      </c>
      <c r="J2638" t="s">
        <v>20</v>
      </c>
    </row>
    <row r="2639" spans="1:10" x14ac:dyDescent="0.2">
      <c r="A2639">
        <v>12638</v>
      </c>
      <c r="B2639" t="s">
        <v>10</v>
      </c>
      <c r="C2639" t="s">
        <v>11</v>
      </c>
      <c r="D2639">
        <v>6.04</v>
      </c>
      <c r="E2639">
        <v>5</v>
      </c>
      <c r="F2639" t="s">
        <v>15</v>
      </c>
      <c r="G2639">
        <v>25</v>
      </c>
      <c r="H2639">
        <v>7.55</v>
      </c>
      <c r="I2639">
        <v>25</v>
      </c>
      <c r="J2639" t="s">
        <v>20</v>
      </c>
    </row>
    <row r="2640" spans="1:10" x14ac:dyDescent="0.2">
      <c r="A2640">
        <v>12639</v>
      </c>
      <c r="B2640" t="s">
        <v>10</v>
      </c>
      <c r="C2640" t="s">
        <v>6</v>
      </c>
      <c r="D2640">
        <v>14.37</v>
      </c>
      <c r="E2640">
        <v>9</v>
      </c>
      <c r="F2640" t="s">
        <v>16</v>
      </c>
      <c r="G2640">
        <v>55</v>
      </c>
      <c r="H2640">
        <v>22.273499999999999</v>
      </c>
      <c r="I2640">
        <v>55.000000000000007</v>
      </c>
      <c r="J2640" t="s">
        <v>20</v>
      </c>
    </row>
    <row r="2641" spans="1:10" x14ac:dyDescent="0.2">
      <c r="A2641">
        <v>12640</v>
      </c>
      <c r="B2641" t="s">
        <v>7</v>
      </c>
      <c r="C2641" t="s">
        <v>11</v>
      </c>
      <c r="D2641">
        <v>5.28</v>
      </c>
      <c r="E2641">
        <v>8</v>
      </c>
      <c r="F2641" t="s">
        <v>16</v>
      </c>
      <c r="G2641">
        <v>50</v>
      </c>
      <c r="H2641">
        <v>7.92</v>
      </c>
      <c r="I2641">
        <v>50</v>
      </c>
      <c r="J2641" t="s">
        <v>20</v>
      </c>
    </row>
    <row r="2642" spans="1:10" x14ac:dyDescent="0.2">
      <c r="A2642">
        <v>12641</v>
      </c>
      <c r="B2642" t="s">
        <v>5</v>
      </c>
      <c r="C2642" t="s">
        <v>9</v>
      </c>
      <c r="D2642">
        <v>14.45</v>
      </c>
      <c r="E2642">
        <v>10</v>
      </c>
      <c r="F2642" t="s">
        <v>16</v>
      </c>
      <c r="G2642">
        <v>60</v>
      </c>
      <c r="H2642">
        <v>23.12</v>
      </c>
      <c r="I2642">
        <v>60.000000000000007</v>
      </c>
      <c r="J2642" t="s">
        <v>20</v>
      </c>
    </row>
    <row r="2643" spans="1:10" x14ac:dyDescent="0.2">
      <c r="A2643">
        <v>12642</v>
      </c>
      <c r="B2643" t="s">
        <v>7</v>
      </c>
      <c r="C2643" t="s">
        <v>11</v>
      </c>
      <c r="D2643">
        <v>13.57</v>
      </c>
      <c r="E2643">
        <v>9</v>
      </c>
      <c r="F2643" t="s">
        <v>16</v>
      </c>
      <c r="G2643">
        <v>50</v>
      </c>
      <c r="H2643">
        <v>20.355</v>
      </c>
      <c r="I2643">
        <v>50</v>
      </c>
      <c r="J2643" t="s">
        <v>20</v>
      </c>
    </row>
    <row r="2644" spans="1:10" x14ac:dyDescent="0.2">
      <c r="A2644">
        <v>12643</v>
      </c>
      <c r="B2644" t="s">
        <v>8</v>
      </c>
      <c r="C2644" t="s">
        <v>9</v>
      </c>
      <c r="D2644">
        <v>4.42</v>
      </c>
      <c r="E2644">
        <v>10</v>
      </c>
      <c r="F2644" t="s">
        <v>16</v>
      </c>
      <c r="G2644">
        <v>60</v>
      </c>
      <c r="H2644">
        <v>7.0720000000000001</v>
      </c>
      <c r="I2644">
        <v>60.000000000000007</v>
      </c>
      <c r="J2644" t="s">
        <v>20</v>
      </c>
    </row>
    <row r="2645" spans="1:10" x14ac:dyDescent="0.2">
      <c r="A2645">
        <v>12644</v>
      </c>
      <c r="B2645" t="s">
        <v>8</v>
      </c>
      <c r="C2645" t="s">
        <v>9</v>
      </c>
      <c r="D2645">
        <v>12.15</v>
      </c>
      <c r="E2645">
        <v>8</v>
      </c>
      <c r="F2645" t="s">
        <v>16</v>
      </c>
      <c r="G2645">
        <v>60</v>
      </c>
      <c r="H2645">
        <v>19.440000000000001</v>
      </c>
      <c r="I2645">
        <v>60.000000000000007</v>
      </c>
      <c r="J2645" t="s">
        <v>20</v>
      </c>
    </row>
    <row r="2646" spans="1:10" x14ac:dyDescent="0.2">
      <c r="A2646">
        <v>12645</v>
      </c>
      <c r="B2646" t="s">
        <v>8</v>
      </c>
      <c r="C2646" t="s">
        <v>11</v>
      </c>
      <c r="D2646">
        <v>14.94</v>
      </c>
      <c r="E2646">
        <v>6</v>
      </c>
      <c r="F2646" t="s">
        <v>15</v>
      </c>
      <c r="G2646">
        <v>25</v>
      </c>
      <c r="H2646">
        <v>18.675000000000001</v>
      </c>
      <c r="I2646">
        <v>25</v>
      </c>
      <c r="J2646" t="s">
        <v>20</v>
      </c>
    </row>
    <row r="2647" spans="1:10" x14ac:dyDescent="0.2">
      <c r="A2647">
        <v>12646</v>
      </c>
      <c r="B2647" t="s">
        <v>5</v>
      </c>
      <c r="C2647" t="s">
        <v>11</v>
      </c>
      <c r="D2647">
        <v>4.16</v>
      </c>
      <c r="E2647">
        <v>4</v>
      </c>
      <c r="F2647" t="s">
        <v>15</v>
      </c>
      <c r="G2647">
        <v>25</v>
      </c>
      <c r="H2647">
        <v>5.2</v>
      </c>
      <c r="I2647">
        <v>25</v>
      </c>
      <c r="J2647" t="s">
        <v>20</v>
      </c>
    </row>
    <row r="2648" spans="1:10" x14ac:dyDescent="0.2">
      <c r="A2648">
        <v>12647</v>
      </c>
      <c r="B2648" t="s">
        <v>10</v>
      </c>
      <c r="C2648" t="s">
        <v>9</v>
      </c>
      <c r="D2648">
        <v>6.83</v>
      </c>
      <c r="E2648">
        <v>9</v>
      </c>
      <c r="F2648" t="s">
        <v>16</v>
      </c>
      <c r="G2648">
        <v>60</v>
      </c>
      <c r="H2648">
        <v>10.928000000000001</v>
      </c>
      <c r="I2648">
        <v>60.000000000000007</v>
      </c>
      <c r="J2648" t="s">
        <v>20</v>
      </c>
    </row>
    <row r="2649" spans="1:10" x14ac:dyDescent="0.2">
      <c r="A2649">
        <v>12648</v>
      </c>
      <c r="B2649" t="s">
        <v>5</v>
      </c>
      <c r="C2649" t="s">
        <v>6</v>
      </c>
      <c r="D2649">
        <v>8.0399999999999991</v>
      </c>
      <c r="E2649">
        <v>9</v>
      </c>
      <c r="F2649" t="s">
        <v>16</v>
      </c>
      <c r="G2649">
        <v>55</v>
      </c>
      <c r="H2649">
        <v>12.462</v>
      </c>
      <c r="I2649">
        <v>55.000000000000007</v>
      </c>
      <c r="J2649" t="s">
        <v>20</v>
      </c>
    </row>
    <row r="2650" spans="1:10" x14ac:dyDescent="0.2">
      <c r="A2650">
        <v>12649</v>
      </c>
      <c r="B2650" t="s">
        <v>5</v>
      </c>
      <c r="C2650" t="s">
        <v>9</v>
      </c>
      <c r="D2650">
        <v>4.78</v>
      </c>
      <c r="E2650">
        <v>10</v>
      </c>
      <c r="F2650" t="s">
        <v>16</v>
      </c>
      <c r="G2650">
        <v>60</v>
      </c>
      <c r="H2650">
        <v>7.6480000000000006</v>
      </c>
      <c r="I2650">
        <v>60.000000000000007</v>
      </c>
      <c r="J2650" t="s">
        <v>20</v>
      </c>
    </row>
    <row r="2651" spans="1:10" x14ac:dyDescent="0.2">
      <c r="A2651">
        <v>12650</v>
      </c>
      <c r="B2651" t="s">
        <v>10</v>
      </c>
      <c r="C2651" t="s">
        <v>11</v>
      </c>
      <c r="D2651">
        <v>0.72</v>
      </c>
      <c r="E2651">
        <v>10</v>
      </c>
      <c r="F2651" t="s">
        <v>16</v>
      </c>
      <c r="G2651">
        <v>50</v>
      </c>
      <c r="H2651">
        <v>1.08</v>
      </c>
      <c r="I2651">
        <v>50.000000000000021</v>
      </c>
      <c r="J2651" t="s">
        <v>20</v>
      </c>
    </row>
    <row r="2652" spans="1:10" x14ac:dyDescent="0.2">
      <c r="A2652">
        <v>12651</v>
      </c>
      <c r="B2652" t="s">
        <v>7</v>
      </c>
      <c r="C2652" t="s">
        <v>11</v>
      </c>
      <c r="D2652">
        <v>3.69</v>
      </c>
      <c r="E2652">
        <v>9</v>
      </c>
      <c r="F2652" t="s">
        <v>16</v>
      </c>
      <c r="G2652">
        <v>50</v>
      </c>
      <c r="H2652">
        <v>5.5350000000000001</v>
      </c>
      <c r="I2652">
        <v>50</v>
      </c>
      <c r="J2652" t="s">
        <v>20</v>
      </c>
    </row>
    <row r="2653" spans="1:10" x14ac:dyDescent="0.2">
      <c r="A2653">
        <v>12652</v>
      </c>
      <c r="B2653" t="s">
        <v>8</v>
      </c>
      <c r="C2653" t="s">
        <v>6</v>
      </c>
      <c r="D2653">
        <v>4.59</v>
      </c>
      <c r="E2653">
        <v>10</v>
      </c>
      <c r="F2653" t="s">
        <v>16</v>
      </c>
      <c r="G2653">
        <v>55</v>
      </c>
      <c r="H2653">
        <v>7.1144999999999996</v>
      </c>
      <c r="I2653">
        <v>55.000000000000007</v>
      </c>
      <c r="J2653" t="s">
        <v>20</v>
      </c>
    </row>
    <row r="2654" spans="1:10" x14ac:dyDescent="0.2">
      <c r="A2654">
        <v>12653</v>
      </c>
      <c r="B2654" t="s">
        <v>7</v>
      </c>
      <c r="C2654" t="s">
        <v>9</v>
      </c>
      <c r="D2654">
        <v>6.93</v>
      </c>
      <c r="E2654">
        <v>3</v>
      </c>
      <c r="F2654" t="s">
        <v>14</v>
      </c>
      <c r="G2654">
        <v>15</v>
      </c>
      <c r="H2654">
        <v>7.9694999999999991</v>
      </c>
      <c r="I2654">
        <v>14.999999999999991</v>
      </c>
      <c r="J2654" t="s">
        <v>20</v>
      </c>
    </row>
    <row r="2655" spans="1:10" x14ac:dyDescent="0.2">
      <c r="A2655">
        <v>12654</v>
      </c>
      <c r="B2655" t="s">
        <v>8</v>
      </c>
      <c r="C2655" t="s">
        <v>9</v>
      </c>
      <c r="D2655">
        <v>2.98</v>
      </c>
      <c r="E2655">
        <v>3</v>
      </c>
      <c r="F2655" t="s">
        <v>14</v>
      </c>
      <c r="G2655">
        <v>15</v>
      </c>
      <c r="H2655">
        <v>3.4269999999999996</v>
      </c>
      <c r="I2655">
        <v>14.999999999999991</v>
      </c>
      <c r="J2655" t="s">
        <v>20</v>
      </c>
    </row>
    <row r="2656" spans="1:10" x14ac:dyDescent="0.2">
      <c r="A2656">
        <v>12655</v>
      </c>
      <c r="B2656" t="s">
        <v>5</v>
      </c>
      <c r="C2656" t="s">
        <v>9</v>
      </c>
      <c r="D2656">
        <v>13.16</v>
      </c>
      <c r="E2656">
        <v>6</v>
      </c>
      <c r="F2656" t="s">
        <v>15</v>
      </c>
      <c r="G2656">
        <v>30</v>
      </c>
      <c r="H2656">
        <v>17.108000000000001</v>
      </c>
      <c r="I2656">
        <v>30.000000000000004</v>
      </c>
      <c r="J2656" t="s">
        <v>20</v>
      </c>
    </row>
    <row r="2657" spans="1:10" x14ac:dyDescent="0.2">
      <c r="A2657">
        <v>12656</v>
      </c>
      <c r="B2657" t="s">
        <v>8</v>
      </c>
      <c r="C2657" t="s">
        <v>11</v>
      </c>
      <c r="D2657">
        <v>10.72</v>
      </c>
      <c r="E2657">
        <v>6</v>
      </c>
      <c r="F2657" t="s">
        <v>15</v>
      </c>
      <c r="G2657">
        <v>25</v>
      </c>
      <c r="H2657">
        <v>13.4</v>
      </c>
      <c r="I2657">
        <v>25</v>
      </c>
      <c r="J2657" t="s">
        <v>20</v>
      </c>
    </row>
    <row r="2658" spans="1:10" x14ac:dyDescent="0.2">
      <c r="A2658">
        <v>12657</v>
      </c>
      <c r="B2658" t="s">
        <v>5</v>
      </c>
      <c r="C2658" t="s">
        <v>9</v>
      </c>
      <c r="D2658">
        <v>1.74</v>
      </c>
      <c r="E2658">
        <v>6</v>
      </c>
      <c r="F2658" t="s">
        <v>15</v>
      </c>
      <c r="G2658">
        <v>30</v>
      </c>
      <c r="H2658">
        <v>2.262</v>
      </c>
      <c r="I2658">
        <v>30.000000000000004</v>
      </c>
      <c r="J2658" t="s">
        <v>20</v>
      </c>
    </row>
    <row r="2659" spans="1:10" x14ac:dyDescent="0.2">
      <c r="A2659">
        <v>12658</v>
      </c>
      <c r="B2659" t="s">
        <v>7</v>
      </c>
      <c r="C2659" t="s">
        <v>6</v>
      </c>
      <c r="D2659">
        <v>9.93</v>
      </c>
      <c r="E2659">
        <v>5</v>
      </c>
      <c r="F2659" t="s">
        <v>15</v>
      </c>
      <c r="G2659">
        <v>28</v>
      </c>
      <c r="H2659">
        <v>12.7104</v>
      </c>
      <c r="I2659">
        <v>28.000000000000004</v>
      </c>
      <c r="J2659" t="s">
        <v>20</v>
      </c>
    </row>
    <row r="2660" spans="1:10" x14ac:dyDescent="0.2">
      <c r="A2660">
        <v>12659</v>
      </c>
      <c r="B2660" t="s">
        <v>5</v>
      </c>
      <c r="C2660" t="s">
        <v>11</v>
      </c>
      <c r="D2660">
        <v>9.98</v>
      </c>
      <c r="E2660">
        <v>5</v>
      </c>
      <c r="F2660" t="s">
        <v>15</v>
      </c>
      <c r="G2660">
        <v>25</v>
      </c>
      <c r="H2660">
        <v>12.475000000000001</v>
      </c>
      <c r="I2660">
        <v>25</v>
      </c>
      <c r="J2660" t="s">
        <v>20</v>
      </c>
    </row>
    <row r="2661" spans="1:10" x14ac:dyDescent="0.2">
      <c r="A2661">
        <v>12660</v>
      </c>
      <c r="B2661" t="s">
        <v>7</v>
      </c>
      <c r="C2661" t="s">
        <v>11</v>
      </c>
      <c r="D2661">
        <v>14.37</v>
      </c>
      <c r="E2661">
        <v>2</v>
      </c>
      <c r="F2661" t="s">
        <v>14</v>
      </c>
      <c r="G2661">
        <v>10</v>
      </c>
      <c r="H2661">
        <v>15.807</v>
      </c>
      <c r="I2661">
        <v>10.000000000000009</v>
      </c>
      <c r="J2661" t="s">
        <v>20</v>
      </c>
    </row>
    <row r="2662" spans="1:10" x14ac:dyDescent="0.2">
      <c r="A2662">
        <v>12661</v>
      </c>
      <c r="B2662" t="s">
        <v>10</v>
      </c>
      <c r="C2662" t="s">
        <v>9</v>
      </c>
      <c r="D2662">
        <v>0.54</v>
      </c>
      <c r="E2662">
        <v>7</v>
      </c>
      <c r="F2662" t="s">
        <v>15</v>
      </c>
      <c r="G2662">
        <v>30</v>
      </c>
      <c r="H2662">
        <v>0.70200000000000007</v>
      </c>
      <c r="I2662">
        <v>30.000000000000004</v>
      </c>
      <c r="J2662" t="s">
        <v>20</v>
      </c>
    </row>
    <row r="2663" spans="1:10" x14ac:dyDescent="0.2">
      <c r="A2663">
        <v>12662</v>
      </c>
      <c r="B2663" t="s">
        <v>10</v>
      </c>
      <c r="C2663" t="s">
        <v>6</v>
      </c>
      <c r="D2663">
        <v>4.0999999999999996</v>
      </c>
      <c r="E2663">
        <v>4</v>
      </c>
      <c r="F2663" t="s">
        <v>15</v>
      </c>
      <c r="G2663">
        <v>28</v>
      </c>
      <c r="H2663">
        <v>5.2479999999999993</v>
      </c>
      <c r="I2663">
        <v>28.000000000000004</v>
      </c>
      <c r="J2663" t="s">
        <v>20</v>
      </c>
    </row>
    <row r="2664" spans="1:10" x14ac:dyDescent="0.2">
      <c r="A2664">
        <v>12663</v>
      </c>
      <c r="B2664" t="s">
        <v>10</v>
      </c>
      <c r="C2664" t="s">
        <v>11</v>
      </c>
      <c r="D2664">
        <v>13.95</v>
      </c>
      <c r="E2664">
        <v>3</v>
      </c>
      <c r="F2664" t="s">
        <v>14</v>
      </c>
      <c r="G2664">
        <v>10</v>
      </c>
      <c r="H2664">
        <v>15.345000000000001</v>
      </c>
      <c r="I2664">
        <v>10.000000000000009</v>
      </c>
      <c r="J2664" t="s">
        <v>20</v>
      </c>
    </row>
    <row r="2665" spans="1:10" x14ac:dyDescent="0.2">
      <c r="A2665">
        <v>12664</v>
      </c>
      <c r="B2665" t="s">
        <v>5</v>
      </c>
      <c r="C2665" t="s">
        <v>11</v>
      </c>
      <c r="D2665">
        <v>14.02</v>
      </c>
      <c r="E2665">
        <v>8</v>
      </c>
      <c r="F2665" t="s">
        <v>16</v>
      </c>
      <c r="G2665">
        <v>50</v>
      </c>
      <c r="H2665">
        <v>21.03</v>
      </c>
      <c r="I2665">
        <v>50.000000000000021</v>
      </c>
      <c r="J2665" t="s">
        <v>20</v>
      </c>
    </row>
    <row r="2666" spans="1:10" x14ac:dyDescent="0.2">
      <c r="A2666">
        <v>12665</v>
      </c>
      <c r="B2666" t="s">
        <v>10</v>
      </c>
      <c r="C2666" t="s">
        <v>9</v>
      </c>
      <c r="D2666">
        <v>10.95</v>
      </c>
      <c r="E2666">
        <v>4</v>
      </c>
      <c r="F2666" t="s">
        <v>15</v>
      </c>
      <c r="G2666">
        <v>30</v>
      </c>
      <c r="H2666">
        <v>14.234999999999999</v>
      </c>
      <c r="I2666">
        <v>30.000000000000004</v>
      </c>
      <c r="J2666" t="s">
        <v>20</v>
      </c>
    </row>
    <row r="2667" spans="1:10" x14ac:dyDescent="0.2">
      <c r="A2667">
        <v>12666</v>
      </c>
      <c r="B2667" t="s">
        <v>8</v>
      </c>
      <c r="C2667" t="s">
        <v>9</v>
      </c>
      <c r="D2667">
        <v>11.6</v>
      </c>
      <c r="E2667">
        <v>4</v>
      </c>
      <c r="F2667" t="s">
        <v>15</v>
      </c>
      <c r="G2667">
        <v>30</v>
      </c>
      <c r="H2667">
        <v>15.08</v>
      </c>
      <c r="I2667">
        <v>30.000000000000004</v>
      </c>
      <c r="J2667" t="s">
        <v>20</v>
      </c>
    </row>
    <row r="2668" spans="1:10" x14ac:dyDescent="0.2">
      <c r="A2668">
        <v>12667</v>
      </c>
      <c r="B2668" t="s">
        <v>7</v>
      </c>
      <c r="C2668" t="s">
        <v>6</v>
      </c>
      <c r="D2668">
        <v>1.83</v>
      </c>
      <c r="E2668">
        <v>8</v>
      </c>
      <c r="F2668" t="s">
        <v>16</v>
      </c>
      <c r="G2668">
        <v>55</v>
      </c>
      <c r="H2668">
        <v>2.8365</v>
      </c>
      <c r="I2668">
        <v>55.000000000000007</v>
      </c>
      <c r="J2668" t="s">
        <v>20</v>
      </c>
    </row>
    <row r="2669" spans="1:10" x14ac:dyDescent="0.2">
      <c r="A2669">
        <v>12668</v>
      </c>
      <c r="B2669" t="s">
        <v>7</v>
      </c>
      <c r="C2669" t="s">
        <v>9</v>
      </c>
      <c r="D2669">
        <v>7.95</v>
      </c>
      <c r="E2669">
        <v>1</v>
      </c>
      <c r="F2669" t="s">
        <v>14</v>
      </c>
      <c r="G2669">
        <v>15</v>
      </c>
      <c r="H2669">
        <v>9.1425000000000001</v>
      </c>
      <c r="I2669">
        <v>14.999999999999991</v>
      </c>
      <c r="J2669" t="s">
        <v>20</v>
      </c>
    </row>
    <row r="2670" spans="1:10" x14ac:dyDescent="0.2">
      <c r="A2670">
        <v>12669</v>
      </c>
      <c r="B2670" t="s">
        <v>8</v>
      </c>
      <c r="C2670" t="s">
        <v>6</v>
      </c>
      <c r="D2670">
        <v>3.86</v>
      </c>
      <c r="E2670">
        <v>9</v>
      </c>
      <c r="F2670" t="s">
        <v>16</v>
      </c>
      <c r="G2670">
        <v>55</v>
      </c>
      <c r="H2670">
        <v>5.9829999999999997</v>
      </c>
      <c r="I2670">
        <v>55.000000000000007</v>
      </c>
      <c r="J2670" t="s">
        <v>20</v>
      </c>
    </row>
    <row r="2671" spans="1:10" x14ac:dyDescent="0.2">
      <c r="A2671">
        <v>12670</v>
      </c>
      <c r="B2671" t="s">
        <v>5</v>
      </c>
      <c r="C2671" t="s">
        <v>11</v>
      </c>
      <c r="D2671">
        <v>3.13</v>
      </c>
      <c r="E2671">
        <v>7</v>
      </c>
      <c r="F2671" t="s">
        <v>15</v>
      </c>
      <c r="G2671">
        <v>25</v>
      </c>
      <c r="H2671">
        <v>3.9124999999999996</v>
      </c>
      <c r="I2671">
        <v>25</v>
      </c>
      <c r="J2671" t="s">
        <v>20</v>
      </c>
    </row>
    <row r="2672" spans="1:10" x14ac:dyDescent="0.2">
      <c r="A2672">
        <v>12671</v>
      </c>
      <c r="B2672" t="s">
        <v>5</v>
      </c>
      <c r="C2672" t="s">
        <v>6</v>
      </c>
      <c r="D2672">
        <v>12.25</v>
      </c>
      <c r="E2672">
        <v>2</v>
      </c>
      <c r="F2672" t="s">
        <v>14</v>
      </c>
      <c r="G2672">
        <v>12</v>
      </c>
      <c r="H2672">
        <v>13.72</v>
      </c>
      <c r="I2672">
        <v>12.000000000000011</v>
      </c>
      <c r="J2672" t="s">
        <v>20</v>
      </c>
    </row>
    <row r="2673" spans="1:10" x14ac:dyDescent="0.2">
      <c r="A2673">
        <v>12672</v>
      </c>
      <c r="B2673" t="s">
        <v>7</v>
      </c>
      <c r="C2673" t="s">
        <v>6</v>
      </c>
      <c r="D2673">
        <v>2.46</v>
      </c>
      <c r="E2673">
        <v>6</v>
      </c>
      <c r="F2673" t="s">
        <v>15</v>
      </c>
      <c r="G2673">
        <v>28</v>
      </c>
      <c r="H2673">
        <v>3.1488</v>
      </c>
      <c r="I2673">
        <v>28.000000000000004</v>
      </c>
      <c r="J2673" t="s">
        <v>20</v>
      </c>
    </row>
    <row r="2674" spans="1:10" x14ac:dyDescent="0.2">
      <c r="A2674">
        <v>12673</v>
      </c>
      <c r="B2674" t="s">
        <v>10</v>
      </c>
      <c r="C2674" t="s">
        <v>6</v>
      </c>
      <c r="D2674">
        <v>7.3</v>
      </c>
      <c r="E2674">
        <v>8</v>
      </c>
      <c r="F2674" t="s">
        <v>16</v>
      </c>
      <c r="G2674">
        <v>55</v>
      </c>
      <c r="H2674">
        <v>11.315</v>
      </c>
      <c r="I2674">
        <v>55.000000000000007</v>
      </c>
      <c r="J2674" t="s">
        <v>20</v>
      </c>
    </row>
    <row r="2675" spans="1:10" x14ac:dyDescent="0.2">
      <c r="A2675">
        <v>12674</v>
      </c>
      <c r="B2675" t="s">
        <v>5</v>
      </c>
      <c r="C2675" t="s">
        <v>11</v>
      </c>
      <c r="D2675">
        <v>14.11</v>
      </c>
      <c r="E2675">
        <v>5</v>
      </c>
      <c r="F2675" t="s">
        <v>15</v>
      </c>
      <c r="G2675">
        <v>25</v>
      </c>
      <c r="H2675">
        <v>17.637499999999999</v>
      </c>
      <c r="I2675">
        <v>25</v>
      </c>
      <c r="J2675" t="s">
        <v>20</v>
      </c>
    </row>
    <row r="2676" spans="1:10" x14ac:dyDescent="0.2">
      <c r="A2676">
        <v>12675</v>
      </c>
      <c r="B2676" t="s">
        <v>5</v>
      </c>
      <c r="C2676" t="s">
        <v>9</v>
      </c>
      <c r="D2676">
        <v>3.19</v>
      </c>
      <c r="E2676">
        <v>6</v>
      </c>
      <c r="F2676" t="s">
        <v>15</v>
      </c>
      <c r="G2676">
        <v>30</v>
      </c>
      <c r="H2676">
        <v>4.1470000000000002</v>
      </c>
      <c r="I2676">
        <v>30.000000000000004</v>
      </c>
      <c r="J2676" t="s">
        <v>20</v>
      </c>
    </row>
    <row r="2677" spans="1:10" x14ac:dyDescent="0.2">
      <c r="A2677">
        <v>12676</v>
      </c>
      <c r="B2677" t="s">
        <v>8</v>
      </c>
      <c r="C2677" t="s">
        <v>11</v>
      </c>
      <c r="D2677">
        <v>14.68</v>
      </c>
      <c r="E2677">
        <v>10</v>
      </c>
      <c r="F2677" t="s">
        <v>16</v>
      </c>
      <c r="G2677">
        <v>50</v>
      </c>
      <c r="H2677">
        <v>22.02</v>
      </c>
      <c r="I2677">
        <v>50</v>
      </c>
      <c r="J2677" t="s">
        <v>20</v>
      </c>
    </row>
    <row r="2678" spans="1:10" x14ac:dyDescent="0.2">
      <c r="A2678">
        <v>12677</v>
      </c>
      <c r="B2678" t="s">
        <v>8</v>
      </c>
      <c r="C2678" t="s">
        <v>9</v>
      </c>
      <c r="D2678">
        <v>14.92</v>
      </c>
      <c r="E2678">
        <v>8</v>
      </c>
      <c r="F2678" t="s">
        <v>16</v>
      </c>
      <c r="G2678">
        <v>60</v>
      </c>
      <c r="H2678">
        <v>23.872</v>
      </c>
      <c r="I2678">
        <v>60.000000000000007</v>
      </c>
      <c r="J2678" t="s">
        <v>20</v>
      </c>
    </row>
    <row r="2679" spans="1:10" x14ac:dyDescent="0.2">
      <c r="A2679">
        <v>12678</v>
      </c>
      <c r="B2679" t="s">
        <v>10</v>
      </c>
      <c r="C2679" t="s">
        <v>6</v>
      </c>
      <c r="D2679">
        <v>8.56</v>
      </c>
      <c r="E2679">
        <v>6</v>
      </c>
      <c r="F2679" t="s">
        <v>15</v>
      </c>
      <c r="G2679">
        <v>28</v>
      </c>
      <c r="H2679">
        <v>10.956800000000001</v>
      </c>
      <c r="I2679">
        <v>28.000000000000004</v>
      </c>
      <c r="J2679" t="s">
        <v>20</v>
      </c>
    </row>
    <row r="2680" spans="1:10" x14ac:dyDescent="0.2">
      <c r="A2680">
        <v>12679</v>
      </c>
      <c r="B2680" t="s">
        <v>5</v>
      </c>
      <c r="C2680" t="s">
        <v>6</v>
      </c>
      <c r="D2680">
        <v>2.97</v>
      </c>
      <c r="E2680">
        <v>9</v>
      </c>
      <c r="F2680" t="s">
        <v>16</v>
      </c>
      <c r="G2680">
        <v>55</v>
      </c>
      <c r="H2680">
        <v>4.6035000000000004</v>
      </c>
      <c r="I2680">
        <v>55.000000000000007</v>
      </c>
      <c r="J2680" t="s">
        <v>20</v>
      </c>
    </row>
    <row r="2681" spans="1:10" x14ac:dyDescent="0.2">
      <c r="A2681">
        <v>12680</v>
      </c>
      <c r="B2681" t="s">
        <v>5</v>
      </c>
      <c r="C2681" t="s">
        <v>6</v>
      </c>
      <c r="D2681">
        <v>5.08</v>
      </c>
      <c r="E2681">
        <v>9</v>
      </c>
      <c r="F2681" t="s">
        <v>16</v>
      </c>
      <c r="G2681">
        <v>55</v>
      </c>
      <c r="H2681">
        <v>7.8740000000000006</v>
      </c>
      <c r="I2681">
        <v>55.000000000000007</v>
      </c>
      <c r="J2681" t="s">
        <v>20</v>
      </c>
    </row>
    <row r="2682" spans="1:10" x14ac:dyDescent="0.2">
      <c r="A2682">
        <v>12681</v>
      </c>
      <c r="B2682" t="s">
        <v>8</v>
      </c>
      <c r="C2682" t="s">
        <v>6</v>
      </c>
      <c r="D2682">
        <v>6.66</v>
      </c>
      <c r="E2682">
        <v>9</v>
      </c>
      <c r="F2682" t="s">
        <v>16</v>
      </c>
      <c r="G2682">
        <v>55</v>
      </c>
      <c r="H2682">
        <v>10.323</v>
      </c>
      <c r="I2682">
        <v>55.000000000000007</v>
      </c>
      <c r="J2682" t="s">
        <v>20</v>
      </c>
    </row>
    <row r="2683" spans="1:10" x14ac:dyDescent="0.2">
      <c r="A2683">
        <v>12682</v>
      </c>
      <c r="B2683" t="s">
        <v>5</v>
      </c>
      <c r="C2683" t="s">
        <v>6</v>
      </c>
      <c r="D2683">
        <v>4.99</v>
      </c>
      <c r="E2683">
        <v>6</v>
      </c>
      <c r="F2683" t="s">
        <v>15</v>
      </c>
      <c r="G2683">
        <v>28</v>
      </c>
      <c r="H2683">
        <v>6.3872</v>
      </c>
      <c r="I2683">
        <v>28.000000000000004</v>
      </c>
      <c r="J2683" t="s">
        <v>20</v>
      </c>
    </row>
    <row r="2684" spans="1:10" x14ac:dyDescent="0.2">
      <c r="A2684">
        <v>12683</v>
      </c>
      <c r="B2684" t="s">
        <v>7</v>
      </c>
      <c r="C2684" t="s">
        <v>9</v>
      </c>
      <c r="D2684">
        <v>4.57</v>
      </c>
      <c r="E2684">
        <v>9</v>
      </c>
      <c r="F2684" t="s">
        <v>16</v>
      </c>
      <c r="G2684">
        <v>60</v>
      </c>
      <c r="H2684">
        <v>7.3120000000000012</v>
      </c>
      <c r="I2684">
        <v>60.000000000000007</v>
      </c>
      <c r="J2684" t="s">
        <v>20</v>
      </c>
    </row>
    <row r="2685" spans="1:10" x14ac:dyDescent="0.2">
      <c r="A2685">
        <v>12684</v>
      </c>
      <c r="B2685" t="s">
        <v>8</v>
      </c>
      <c r="C2685" t="s">
        <v>9</v>
      </c>
      <c r="D2685">
        <v>14.6</v>
      </c>
      <c r="E2685">
        <v>3</v>
      </c>
      <c r="F2685" t="s">
        <v>14</v>
      </c>
      <c r="G2685">
        <v>15</v>
      </c>
      <c r="H2685">
        <v>16.79</v>
      </c>
      <c r="I2685">
        <v>14.999999999999991</v>
      </c>
      <c r="J2685" t="s">
        <v>20</v>
      </c>
    </row>
    <row r="2686" spans="1:10" x14ac:dyDescent="0.2">
      <c r="A2686">
        <v>12685</v>
      </c>
      <c r="B2686" t="s">
        <v>10</v>
      </c>
      <c r="C2686" t="s">
        <v>6</v>
      </c>
      <c r="D2686">
        <v>2.72</v>
      </c>
      <c r="E2686">
        <v>5</v>
      </c>
      <c r="F2686" t="s">
        <v>15</v>
      </c>
      <c r="G2686">
        <v>28</v>
      </c>
      <c r="H2686">
        <v>3.4816000000000003</v>
      </c>
      <c r="I2686">
        <v>28.000000000000004</v>
      </c>
      <c r="J2686" t="s">
        <v>20</v>
      </c>
    </row>
    <row r="2687" spans="1:10" x14ac:dyDescent="0.2">
      <c r="A2687">
        <v>12686</v>
      </c>
      <c r="B2687" t="s">
        <v>8</v>
      </c>
      <c r="C2687" t="s">
        <v>11</v>
      </c>
      <c r="D2687">
        <v>11.13</v>
      </c>
      <c r="E2687">
        <v>2</v>
      </c>
      <c r="F2687" t="s">
        <v>14</v>
      </c>
      <c r="G2687">
        <v>10</v>
      </c>
      <c r="H2687">
        <v>12.243000000000002</v>
      </c>
      <c r="I2687">
        <v>10.000000000000009</v>
      </c>
      <c r="J2687" t="s">
        <v>20</v>
      </c>
    </row>
    <row r="2688" spans="1:10" x14ac:dyDescent="0.2">
      <c r="A2688">
        <v>12687</v>
      </c>
      <c r="B2688" t="s">
        <v>5</v>
      </c>
      <c r="C2688" t="s">
        <v>11</v>
      </c>
      <c r="D2688">
        <v>0.51</v>
      </c>
      <c r="E2688">
        <v>8</v>
      </c>
      <c r="F2688" t="s">
        <v>16</v>
      </c>
      <c r="G2688">
        <v>50</v>
      </c>
      <c r="H2688">
        <v>0.76500000000000001</v>
      </c>
      <c r="I2688">
        <v>50</v>
      </c>
      <c r="J2688" t="s">
        <v>20</v>
      </c>
    </row>
    <row r="2689" spans="1:10" x14ac:dyDescent="0.2">
      <c r="A2689">
        <v>12688</v>
      </c>
      <c r="B2689" t="s">
        <v>10</v>
      </c>
      <c r="C2689" t="s">
        <v>6</v>
      </c>
      <c r="D2689">
        <v>9.14</v>
      </c>
      <c r="E2689">
        <v>4</v>
      </c>
      <c r="F2689" t="s">
        <v>15</v>
      </c>
      <c r="G2689">
        <v>28</v>
      </c>
      <c r="H2689">
        <v>11.699200000000001</v>
      </c>
      <c r="I2689">
        <v>28.000000000000004</v>
      </c>
      <c r="J2689" t="s">
        <v>20</v>
      </c>
    </row>
    <row r="2690" spans="1:10" x14ac:dyDescent="0.2">
      <c r="A2690">
        <v>12689</v>
      </c>
      <c r="B2690" t="s">
        <v>8</v>
      </c>
      <c r="C2690" t="s">
        <v>9</v>
      </c>
      <c r="D2690">
        <v>13.78</v>
      </c>
      <c r="E2690">
        <v>6</v>
      </c>
      <c r="F2690" t="s">
        <v>15</v>
      </c>
      <c r="G2690">
        <v>30</v>
      </c>
      <c r="H2690">
        <v>17.914000000000001</v>
      </c>
      <c r="I2690">
        <v>30.000000000000028</v>
      </c>
      <c r="J2690" t="s">
        <v>20</v>
      </c>
    </row>
    <row r="2691" spans="1:10" x14ac:dyDescent="0.2">
      <c r="A2691">
        <v>12690</v>
      </c>
      <c r="B2691" t="s">
        <v>7</v>
      </c>
      <c r="C2691" t="s">
        <v>11</v>
      </c>
      <c r="D2691">
        <v>4.68</v>
      </c>
      <c r="E2691">
        <v>6</v>
      </c>
      <c r="F2691" t="s">
        <v>15</v>
      </c>
      <c r="G2691">
        <v>25</v>
      </c>
      <c r="H2691">
        <v>5.85</v>
      </c>
      <c r="I2691">
        <v>25</v>
      </c>
      <c r="J2691" t="s">
        <v>20</v>
      </c>
    </row>
    <row r="2692" spans="1:10" x14ac:dyDescent="0.2">
      <c r="A2692">
        <v>12691</v>
      </c>
      <c r="B2692" t="s">
        <v>7</v>
      </c>
      <c r="C2692" t="s">
        <v>11</v>
      </c>
      <c r="D2692">
        <v>3.19</v>
      </c>
      <c r="E2692">
        <v>5</v>
      </c>
      <c r="F2692" t="s">
        <v>15</v>
      </c>
      <c r="G2692">
        <v>25</v>
      </c>
      <c r="H2692">
        <v>3.9874999999999998</v>
      </c>
      <c r="I2692">
        <v>25</v>
      </c>
      <c r="J2692" t="s">
        <v>20</v>
      </c>
    </row>
    <row r="2693" spans="1:10" x14ac:dyDescent="0.2">
      <c r="A2693">
        <v>12692</v>
      </c>
      <c r="B2693" t="s">
        <v>8</v>
      </c>
      <c r="C2693" t="s">
        <v>11</v>
      </c>
      <c r="D2693">
        <v>9.9499999999999993</v>
      </c>
      <c r="E2693">
        <v>1</v>
      </c>
      <c r="F2693" t="s">
        <v>14</v>
      </c>
      <c r="G2693">
        <v>10</v>
      </c>
      <c r="H2693">
        <v>10.945</v>
      </c>
      <c r="I2693">
        <v>10.000000000000009</v>
      </c>
      <c r="J2693" t="s">
        <v>20</v>
      </c>
    </row>
    <row r="2694" spans="1:10" x14ac:dyDescent="0.2">
      <c r="A2694">
        <v>12693</v>
      </c>
      <c r="B2694" t="s">
        <v>7</v>
      </c>
      <c r="C2694" t="s">
        <v>6</v>
      </c>
      <c r="D2694">
        <v>10.83</v>
      </c>
      <c r="E2694">
        <v>7</v>
      </c>
      <c r="F2694" t="s">
        <v>15</v>
      </c>
      <c r="G2694">
        <v>28</v>
      </c>
      <c r="H2694">
        <v>13.862400000000001</v>
      </c>
      <c r="I2694">
        <v>28.000000000000004</v>
      </c>
      <c r="J2694" t="s">
        <v>20</v>
      </c>
    </row>
    <row r="2695" spans="1:10" x14ac:dyDescent="0.2">
      <c r="A2695">
        <v>12694</v>
      </c>
      <c r="B2695" t="s">
        <v>7</v>
      </c>
      <c r="C2695" t="s">
        <v>11</v>
      </c>
      <c r="D2695">
        <v>10.48</v>
      </c>
      <c r="E2695">
        <v>10</v>
      </c>
      <c r="F2695" t="s">
        <v>16</v>
      </c>
      <c r="G2695">
        <v>50</v>
      </c>
      <c r="H2695">
        <v>15.72</v>
      </c>
      <c r="I2695">
        <v>50</v>
      </c>
      <c r="J2695" t="s">
        <v>20</v>
      </c>
    </row>
    <row r="2696" spans="1:10" x14ac:dyDescent="0.2">
      <c r="A2696">
        <v>12695</v>
      </c>
      <c r="B2696" t="s">
        <v>7</v>
      </c>
      <c r="C2696" t="s">
        <v>11</v>
      </c>
      <c r="D2696">
        <v>5.13</v>
      </c>
      <c r="E2696">
        <v>8</v>
      </c>
      <c r="F2696" t="s">
        <v>16</v>
      </c>
      <c r="G2696">
        <v>50</v>
      </c>
      <c r="H2696">
        <v>7.6950000000000003</v>
      </c>
      <c r="I2696">
        <v>50</v>
      </c>
      <c r="J2696" t="s">
        <v>20</v>
      </c>
    </row>
    <row r="2697" spans="1:10" x14ac:dyDescent="0.2">
      <c r="A2697">
        <v>12696</v>
      </c>
      <c r="B2697" t="s">
        <v>10</v>
      </c>
      <c r="C2697" t="s">
        <v>11</v>
      </c>
      <c r="D2697">
        <v>4.16</v>
      </c>
      <c r="E2697">
        <v>1</v>
      </c>
      <c r="F2697" t="s">
        <v>14</v>
      </c>
      <c r="G2697">
        <v>10</v>
      </c>
      <c r="H2697">
        <v>4.5760000000000005</v>
      </c>
      <c r="I2697">
        <v>10.000000000000009</v>
      </c>
      <c r="J2697" t="s">
        <v>20</v>
      </c>
    </row>
    <row r="2698" spans="1:10" x14ac:dyDescent="0.2">
      <c r="A2698">
        <v>12697</v>
      </c>
      <c r="B2698" t="s">
        <v>7</v>
      </c>
      <c r="C2698" t="s">
        <v>11</v>
      </c>
      <c r="D2698">
        <v>14.36</v>
      </c>
      <c r="E2698">
        <v>10</v>
      </c>
      <c r="F2698" t="s">
        <v>16</v>
      </c>
      <c r="G2698">
        <v>50</v>
      </c>
      <c r="H2698">
        <v>21.54</v>
      </c>
      <c r="I2698">
        <v>50</v>
      </c>
      <c r="J2698" t="s">
        <v>20</v>
      </c>
    </row>
    <row r="2699" spans="1:10" x14ac:dyDescent="0.2">
      <c r="A2699">
        <v>12698</v>
      </c>
      <c r="B2699" t="s">
        <v>7</v>
      </c>
      <c r="C2699" t="s">
        <v>9</v>
      </c>
      <c r="D2699">
        <v>13.89</v>
      </c>
      <c r="E2699">
        <v>7</v>
      </c>
      <c r="F2699" t="s">
        <v>15</v>
      </c>
      <c r="G2699">
        <v>30</v>
      </c>
      <c r="H2699">
        <v>18.057000000000002</v>
      </c>
      <c r="I2699">
        <v>30.000000000000004</v>
      </c>
      <c r="J2699" t="s">
        <v>20</v>
      </c>
    </row>
    <row r="2700" spans="1:10" x14ac:dyDescent="0.2">
      <c r="A2700">
        <v>12699</v>
      </c>
      <c r="B2700" t="s">
        <v>7</v>
      </c>
      <c r="C2700" t="s">
        <v>6</v>
      </c>
      <c r="D2700">
        <v>7.13</v>
      </c>
      <c r="E2700">
        <v>4</v>
      </c>
      <c r="F2700" t="s">
        <v>15</v>
      </c>
      <c r="G2700">
        <v>28</v>
      </c>
      <c r="H2700">
        <v>9.1264000000000003</v>
      </c>
      <c r="I2700">
        <v>28.000000000000004</v>
      </c>
      <c r="J2700" t="s">
        <v>20</v>
      </c>
    </row>
    <row r="2701" spans="1:10" x14ac:dyDescent="0.2">
      <c r="A2701">
        <v>12700</v>
      </c>
      <c r="B2701" t="s">
        <v>10</v>
      </c>
      <c r="C2701" t="s">
        <v>6</v>
      </c>
      <c r="D2701">
        <v>12.77</v>
      </c>
      <c r="E2701">
        <v>6</v>
      </c>
      <c r="F2701" t="s">
        <v>15</v>
      </c>
      <c r="G2701">
        <v>28</v>
      </c>
      <c r="H2701">
        <v>16.345600000000001</v>
      </c>
      <c r="I2701">
        <v>28.000000000000004</v>
      </c>
      <c r="J2701" t="s">
        <v>20</v>
      </c>
    </row>
    <row r="2702" spans="1:10" x14ac:dyDescent="0.2">
      <c r="A2702">
        <v>12701</v>
      </c>
      <c r="B2702" t="s">
        <v>8</v>
      </c>
      <c r="C2702" t="s">
        <v>9</v>
      </c>
      <c r="D2702">
        <v>7.06</v>
      </c>
      <c r="E2702">
        <v>9</v>
      </c>
      <c r="F2702" t="s">
        <v>16</v>
      </c>
      <c r="G2702">
        <v>60</v>
      </c>
      <c r="H2702">
        <v>11.295999999999999</v>
      </c>
      <c r="I2702">
        <v>60.000000000000007</v>
      </c>
      <c r="J2702" t="s">
        <v>20</v>
      </c>
    </row>
    <row r="2703" spans="1:10" x14ac:dyDescent="0.2">
      <c r="A2703">
        <v>12702</v>
      </c>
      <c r="B2703" t="s">
        <v>5</v>
      </c>
      <c r="C2703" t="s">
        <v>9</v>
      </c>
      <c r="D2703">
        <v>6.65</v>
      </c>
      <c r="E2703">
        <v>5</v>
      </c>
      <c r="F2703" t="s">
        <v>15</v>
      </c>
      <c r="G2703">
        <v>30</v>
      </c>
      <c r="H2703">
        <v>8.6450000000000014</v>
      </c>
      <c r="I2703">
        <v>30.000000000000004</v>
      </c>
      <c r="J2703" t="s">
        <v>20</v>
      </c>
    </row>
    <row r="2704" spans="1:10" x14ac:dyDescent="0.2">
      <c r="A2704">
        <v>12703</v>
      </c>
      <c r="B2704" t="s">
        <v>7</v>
      </c>
      <c r="C2704" t="s">
        <v>6</v>
      </c>
      <c r="D2704">
        <v>2.77</v>
      </c>
      <c r="E2704">
        <v>8</v>
      </c>
      <c r="F2704" t="s">
        <v>16</v>
      </c>
      <c r="G2704">
        <v>55</v>
      </c>
      <c r="H2704">
        <v>4.2934999999999999</v>
      </c>
      <c r="I2704">
        <v>55.000000000000007</v>
      </c>
      <c r="J2704" t="s">
        <v>20</v>
      </c>
    </row>
    <row r="2705" spans="1:10" x14ac:dyDescent="0.2">
      <c r="A2705">
        <v>12704</v>
      </c>
      <c r="B2705" t="s">
        <v>8</v>
      </c>
      <c r="C2705" t="s">
        <v>11</v>
      </c>
      <c r="D2705">
        <v>6.68</v>
      </c>
      <c r="E2705">
        <v>5</v>
      </c>
      <c r="F2705" t="s">
        <v>15</v>
      </c>
      <c r="G2705">
        <v>25</v>
      </c>
      <c r="H2705">
        <v>8.35</v>
      </c>
      <c r="I2705">
        <v>25</v>
      </c>
      <c r="J2705" t="s">
        <v>20</v>
      </c>
    </row>
    <row r="2706" spans="1:10" x14ac:dyDescent="0.2">
      <c r="A2706">
        <v>12705</v>
      </c>
      <c r="B2706" t="s">
        <v>7</v>
      </c>
      <c r="C2706" t="s">
        <v>11</v>
      </c>
      <c r="D2706">
        <v>8.2899999999999991</v>
      </c>
      <c r="E2706">
        <v>2</v>
      </c>
      <c r="F2706" t="s">
        <v>14</v>
      </c>
      <c r="G2706">
        <v>10</v>
      </c>
      <c r="H2706">
        <v>9.1189999999999998</v>
      </c>
      <c r="I2706">
        <v>10.000000000000009</v>
      </c>
      <c r="J2706" t="s">
        <v>20</v>
      </c>
    </row>
    <row r="2707" spans="1:10" x14ac:dyDescent="0.2">
      <c r="A2707">
        <v>12706</v>
      </c>
      <c r="B2707" t="s">
        <v>10</v>
      </c>
      <c r="C2707" t="s">
        <v>6</v>
      </c>
      <c r="D2707">
        <v>0.83</v>
      </c>
      <c r="E2707">
        <v>4</v>
      </c>
      <c r="F2707" t="s">
        <v>15</v>
      </c>
      <c r="G2707">
        <v>28</v>
      </c>
      <c r="H2707">
        <v>1.0624</v>
      </c>
      <c r="I2707">
        <v>28.000000000000004</v>
      </c>
      <c r="J2707" t="s">
        <v>20</v>
      </c>
    </row>
    <row r="2708" spans="1:10" x14ac:dyDescent="0.2">
      <c r="A2708">
        <v>12707</v>
      </c>
      <c r="B2708" t="s">
        <v>8</v>
      </c>
      <c r="C2708" t="s">
        <v>11</v>
      </c>
      <c r="D2708">
        <v>6.94</v>
      </c>
      <c r="E2708">
        <v>2</v>
      </c>
      <c r="F2708" t="s">
        <v>14</v>
      </c>
      <c r="G2708">
        <v>10</v>
      </c>
      <c r="H2708">
        <v>7.6340000000000012</v>
      </c>
      <c r="I2708">
        <v>10.000000000000009</v>
      </c>
      <c r="J2708" t="s">
        <v>20</v>
      </c>
    </row>
    <row r="2709" spans="1:10" x14ac:dyDescent="0.2">
      <c r="A2709">
        <v>12708</v>
      </c>
      <c r="B2709" t="s">
        <v>10</v>
      </c>
      <c r="C2709" t="s">
        <v>9</v>
      </c>
      <c r="D2709">
        <v>11.83</v>
      </c>
      <c r="E2709">
        <v>7</v>
      </c>
      <c r="F2709" t="s">
        <v>15</v>
      </c>
      <c r="G2709">
        <v>30</v>
      </c>
      <c r="H2709">
        <v>15.379000000000001</v>
      </c>
      <c r="I2709">
        <v>30.000000000000004</v>
      </c>
      <c r="J2709" t="s">
        <v>20</v>
      </c>
    </row>
    <row r="2710" spans="1:10" x14ac:dyDescent="0.2">
      <c r="A2710">
        <v>12709</v>
      </c>
      <c r="B2710" t="s">
        <v>7</v>
      </c>
      <c r="C2710" t="s">
        <v>11</v>
      </c>
      <c r="D2710">
        <v>10.36</v>
      </c>
      <c r="E2710">
        <v>7</v>
      </c>
      <c r="F2710" t="s">
        <v>15</v>
      </c>
      <c r="G2710">
        <v>25</v>
      </c>
      <c r="H2710">
        <v>12.95</v>
      </c>
      <c r="I2710">
        <v>25</v>
      </c>
      <c r="J2710" t="s">
        <v>20</v>
      </c>
    </row>
    <row r="2711" spans="1:10" x14ac:dyDescent="0.2">
      <c r="A2711">
        <v>12710</v>
      </c>
      <c r="B2711" t="s">
        <v>7</v>
      </c>
      <c r="C2711" t="s">
        <v>11</v>
      </c>
      <c r="D2711">
        <v>9.7100000000000009</v>
      </c>
      <c r="E2711">
        <v>3</v>
      </c>
      <c r="F2711" t="s">
        <v>14</v>
      </c>
      <c r="G2711">
        <v>10</v>
      </c>
      <c r="H2711">
        <v>10.681000000000001</v>
      </c>
      <c r="I2711">
        <v>10.000000000000009</v>
      </c>
      <c r="J2711" t="s">
        <v>20</v>
      </c>
    </row>
    <row r="2712" spans="1:10" x14ac:dyDescent="0.2">
      <c r="A2712">
        <v>12711</v>
      </c>
      <c r="B2712" t="s">
        <v>10</v>
      </c>
      <c r="C2712" t="s">
        <v>11</v>
      </c>
      <c r="D2712">
        <v>13.69</v>
      </c>
      <c r="E2712">
        <v>7</v>
      </c>
      <c r="F2712" t="s">
        <v>15</v>
      </c>
      <c r="G2712">
        <v>25</v>
      </c>
      <c r="H2712">
        <v>17.112500000000001</v>
      </c>
      <c r="I2712">
        <v>25</v>
      </c>
      <c r="J2712" t="s">
        <v>20</v>
      </c>
    </row>
    <row r="2713" spans="1:10" x14ac:dyDescent="0.2">
      <c r="A2713">
        <v>12712</v>
      </c>
      <c r="B2713" t="s">
        <v>5</v>
      </c>
      <c r="C2713" t="s">
        <v>6</v>
      </c>
      <c r="D2713">
        <v>0.76</v>
      </c>
      <c r="E2713">
        <v>1</v>
      </c>
      <c r="F2713" t="s">
        <v>14</v>
      </c>
      <c r="G2713">
        <v>12</v>
      </c>
      <c r="H2713">
        <v>0.85120000000000007</v>
      </c>
      <c r="I2713">
        <v>12.000000000000011</v>
      </c>
      <c r="J2713" t="s">
        <v>20</v>
      </c>
    </row>
    <row r="2714" spans="1:10" x14ac:dyDescent="0.2">
      <c r="A2714">
        <v>12713</v>
      </c>
      <c r="B2714" t="s">
        <v>10</v>
      </c>
      <c r="C2714" t="s">
        <v>9</v>
      </c>
      <c r="D2714">
        <v>8.58</v>
      </c>
      <c r="E2714">
        <v>1</v>
      </c>
      <c r="F2714" t="s">
        <v>14</v>
      </c>
      <c r="G2714">
        <v>15</v>
      </c>
      <c r="H2714">
        <v>9.8669999999999991</v>
      </c>
      <c r="I2714">
        <v>14.999999999999991</v>
      </c>
      <c r="J2714" t="s">
        <v>20</v>
      </c>
    </row>
    <row r="2715" spans="1:10" x14ac:dyDescent="0.2">
      <c r="A2715">
        <v>12714</v>
      </c>
      <c r="B2715" t="s">
        <v>7</v>
      </c>
      <c r="C2715" t="s">
        <v>11</v>
      </c>
      <c r="D2715">
        <v>11.92</v>
      </c>
      <c r="E2715">
        <v>9</v>
      </c>
      <c r="F2715" t="s">
        <v>16</v>
      </c>
      <c r="G2715">
        <v>50</v>
      </c>
      <c r="H2715">
        <v>17.88</v>
      </c>
      <c r="I2715">
        <v>50</v>
      </c>
      <c r="J2715" t="s">
        <v>20</v>
      </c>
    </row>
    <row r="2716" spans="1:10" x14ac:dyDescent="0.2">
      <c r="A2716">
        <v>12715</v>
      </c>
      <c r="B2716" t="s">
        <v>10</v>
      </c>
      <c r="C2716" t="s">
        <v>6</v>
      </c>
      <c r="D2716">
        <v>8.35</v>
      </c>
      <c r="E2716">
        <v>6</v>
      </c>
      <c r="F2716" t="s">
        <v>15</v>
      </c>
      <c r="G2716">
        <v>28</v>
      </c>
      <c r="H2716">
        <v>10.688000000000001</v>
      </c>
      <c r="I2716">
        <v>28.000000000000004</v>
      </c>
      <c r="J2716" t="s">
        <v>20</v>
      </c>
    </row>
    <row r="2717" spans="1:10" x14ac:dyDescent="0.2">
      <c r="A2717">
        <v>12716</v>
      </c>
      <c r="B2717" t="s">
        <v>5</v>
      </c>
      <c r="C2717" t="s">
        <v>11</v>
      </c>
      <c r="D2717">
        <v>5.2</v>
      </c>
      <c r="E2717">
        <v>5</v>
      </c>
      <c r="F2717" t="s">
        <v>15</v>
      </c>
      <c r="G2717">
        <v>25</v>
      </c>
      <c r="H2717">
        <v>6.5</v>
      </c>
      <c r="I2717">
        <v>25</v>
      </c>
      <c r="J2717" t="s">
        <v>20</v>
      </c>
    </row>
    <row r="2718" spans="1:10" x14ac:dyDescent="0.2">
      <c r="A2718">
        <v>12717</v>
      </c>
      <c r="B2718" t="s">
        <v>10</v>
      </c>
      <c r="C2718" t="s">
        <v>9</v>
      </c>
      <c r="D2718">
        <v>2.48</v>
      </c>
      <c r="E2718">
        <v>6</v>
      </c>
      <c r="F2718" t="s">
        <v>15</v>
      </c>
      <c r="G2718">
        <v>30</v>
      </c>
      <c r="H2718">
        <v>3.2240000000000002</v>
      </c>
      <c r="I2718">
        <v>30.000000000000004</v>
      </c>
      <c r="J2718" t="s">
        <v>20</v>
      </c>
    </row>
    <row r="2719" spans="1:10" x14ac:dyDescent="0.2">
      <c r="A2719">
        <v>12718</v>
      </c>
      <c r="B2719" t="s">
        <v>5</v>
      </c>
      <c r="C2719" t="s">
        <v>11</v>
      </c>
      <c r="D2719">
        <v>13.37</v>
      </c>
      <c r="E2719">
        <v>6</v>
      </c>
      <c r="F2719" t="s">
        <v>15</v>
      </c>
      <c r="G2719">
        <v>25</v>
      </c>
      <c r="H2719">
        <v>16.712499999999999</v>
      </c>
      <c r="I2719">
        <v>25</v>
      </c>
      <c r="J2719" t="s">
        <v>20</v>
      </c>
    </row>
    <row r="2720" spans="1:10" x14ac:dyDescent="0.2">
      <c r="A2720">
        <v>12719</v>
      </c>
      <c r="B2720" t="s">
        <v>5</v>
      </c>
      <c r="C2720" t="s">
        <v>9</v>
      </c>
      <c r="D2720">
        <v>7.33</v>
      </c>
      <c r="E2720">
        <v>1</v>
      </c>
      <c r="F2720" t="s">
        <v>14</v>
      </c>
      <c r="G2720">
        <v>15</v>
      </c>
      <c r="H2720">
        <v>8.4294999999999991</v>
      </c>
      <c r="I2720">
        <v>14.999999999999991</v>
      </c>
      <c r="J2720" t="s">
        <v>20</v>
      </c>
    </row>
    <row r="2721" spans="1:10" x14ac:dyDescent="0.2">
      <c r="A2721">
        <v>12720</v>
      </c>
      <c r="B2721" t="s">
        <v>10</v>
      </c>
      <c r="C2721" t="s">
        <v>11</v>
      </c>
      <c r="D2721">
        <v>13.23</v>
      </c>
      <c r="E2721">
        <v>5</v>
      </c>
      <c r="F2721" t="s">
        <v>15</v>
      </c>
      <c r="G2721">
        <v>25</v>
      </c>
      <c r="H2721">
        <v>16.537500000000001</v>
      </c>
      <c r="I2721">
        <v>25</v>
      </c>
      <c r="J2721" t="s">
        <v>20</v>
      </c>
    </row>
    <row r="2722" spans="1:10" x14ac:dyDescent="0.2">
      <c r="A2722">
        <v>12721</v>
      </c>
      <c r="B2722" t="s">
        <v>10</v>
      </c>
      <c r="C2722" t="s">
        <v>9</v>
      </c>
      <c r="D2722">
        <v>8.99</v>
      </c>
      <c r="E2722">
        <v>9</v>
      </c>
      <c r="F2722" t="s">
        <v>16</v>
      </c>
      <c r="G2722">
        <v>60</v>
      </c>
      <c r="H2722">
        <v>14.384</v>
      </c>
      <c r="I2722">
        <v>60.000000000000007</v>
      </c>
      <c r="J2722" t="s">
        <v>20</v>
      </c>
    </row>
    <row r="2723" spans="1:10" x14ac:dyDescent="0.2">
      <c r="A2723">
        <v>12722</v>
      </c>
      <c r="B2723" t="s">
        <v>8</v>
      </c>
      <c r="C2723" t="s">
        <v>11</v>
      </c>
      <c r="D2723">
        <v>10.28</v>
      </c>
      <c r="E2723">
        <v>4</v>
      </c>
      <c r="F2723" t="s">
        <v>15</v>
      </c>
      <c r="G2723">
        <v>25</v>
      </c>
      <c r="H2723">
        <v>12.85</v>
      </c>
      <c r="I2723">
        <v>25</v>
      </c>
      <c r="J2723" t="s">
        <v>20</v>
      </c>
    </row>
    <row r="2724" spans="1:10" x14ac:dyDescent="0.2">
      <c r="A2724">
        <v>12723</v>
      </c>
      <c r="B2724" t="s">
        <v>7</v>
      </c>
      <c r="C2724" t="s">
        <v>9</v>
      </c>
      <c r="D2724">
        <v>12.16</v>
      </c>
      <c r="E2724">
        <v>3</v>
      </c>
      <c r="F2724" t="s">
        <v>14</v>
      </c>
      <c r="G2724">
        <v>15</v>
      </c>
      <c r="H2724">
        <v>13.983999999999998</v>
      </c>
      <c r="I2724">
        <v>14.999999999999991</v>
      </c>
      <c r="J2724" t="s">
        <v>20</v>
      </c>
    </row>
    <row r="2725" spans="1:10" x14ac:dyDescent="0.2">
      <c r="A2725">
        <v>12724</v>
      </c>
      <c r="B2725" t="s">
        <v>5</v>
      </c>
      <c r="C2725" t="s">
        <v>11</v>
      </c>
      <c r="D2725">
        <v>10.06</v>
      </c>
      <c r="E2725">
        <v>1</v>
      </c>
      <c r="F2725" t="s">
        <v>14</v>
      </c>
      <c r="G2725">
        <v>10</v>
      </c>
      <c r="H2725">
        <v>11.066000000000001</v>
      </c>
      <c r="I2725">
        <v>10.000000000000009</v>
      </c>
      <c r="J2725" t="s">
        <v>20</v>
      </c>
    </row>
    <row r="2726" spans="1:10" x14ac:dyDescent="0.2">
      <c r="A2726">
        <v>12725</v>
      </c>
      <c r="B2726" t="s">
        <v>8</v>
      </c>
      <c r="C2726" t="s">
        <v>11</v>
      </c>
      <c r="D2726">
        <v>6.27</v>
      </c>
      <c r="E2726">
        <v>2</v>
      </c>
      <c r="F2726" t="s">
        <v>14</v>
      </c>
      <c r="G2726">
        <v>10</v>
      </c>
      <c r="H2726">
        <v>6.8970000000000002</v>
      </c>
      <c r="I2726">
        <v>10.000000000000009</v>
      </c>
      <c r="J2726" t="s">
        <v>20</v>
      </c>
    </row>
    <row r="2727" spans="1:10" x14ac:dyDescent="0.2">
      <c r="A2727">
        <v>12726</v>
      </c>
      <c r="B2727" t="s">
        <v>10</v>
      </c>
      <c r="C2727" t="s">
        <v>6</v>
      </c>
      <c r="D2727">
        <v>7.95</v>
      </c>
      <c r="E2727">
        <v>3</v>
      </c>
      <c r="F2727" t="s">
        <v>14</v>
      </c>
      <c r="G2727">
        <v>12</v>
      </c>
      <c r="H2727">
        <v>8.9040000000000017</v>
      </c>
      <c r="I2727">
        <v>12.000000000000011</v>
      </c>
      <c r="J2727" t="s">
        <v>20</v>
      </c>
    </row>
    <row r="2728" spans="1:10" x14ac:dyDescent="0.2">
      <c r="A2728">
        <v>12727</v>
      </c>
      <c r="B2728" t="s">
        <v>7</v>
      </c>
      <c r="C2728" t="s">
        <v>6</v>
      </c>
      <c r="D2728">
        <v>12.14</v>
      </c>
      <c r="E2728">
        <v>4</v>
      </c>
      <c r="F2728" t="s">
        <v>15</v>
      </c>
      <c r="G2728">
        <v>28</v>
      </c>
      <c r="H2728">
        <v>15.539200000000001</v>
      </c>
      <c r="I2728">
        <v>28.000000000000004</v>
      </c>
      <c r="J2728" t="s">
        <v>20</v>
      </c>
    </row>
    <row r="2729" spans="1:10" x14ac:dyDescent="0.2">
      <c r="A2729">
        <v>12728</v>
      </c>
      <c r="B2729" t="s">
        <v>8</v>
      </c>
      <c r="C2729" t="s">
        <v>9</v>
      </c>
      <c r="D2729">
        <v>5.92</v>
      </c>
      <c r="E2729">
        <v>7</v>
      </c>
      <c r="F2729" t="s">
        <v>15</v>
      </c>
      <c r="G2729">
        <v>30</v>
      </c>
      <c r="H2729">
        <v>7.6959999999999997</v>
      </c>
      <c r="I2729">
        <v>30.000000000000004</v>
      </c>
      <c r="J2729" t="s">
        <v>20</v>
      </c>
    </row>
    <row r="2730" spans="1:10" x14ac:dyDescent="0.2">
      <c r="A2730">
        <v>12729</v>
      </c>
      <c r="B2730" t="s">
        <v>5</v>
      </c>
      <c r="C2730" t="s">
        <v>11</v>
      </c>
      <c r="D2730">
        <v>6.13</v>
      </c>
      <c r="E2730">
        <v>6</v>
      </c>
      <c r="F2730" t="s">
        <v>15</v>
      </c>
      <c r="G2730">
        <v>25</v>
      </c>
      <c r="H2730">
        <v>7.6624999999999996</v>
      </c>
      <c r="I2730">
        <v>25</v>
      </c>
      <c r="J2730" t="s">
        <v>20</v>
      </c>
    </row>
    <row r="2731" spans="1:10" x14ac:dyDescent="0.2">
      <c r="A2731">
        <v>12730</v>
      </c>
      <c r="B2731" t="s">
        <v>8</v>
      </c>
      <c r="C2731" t="s">
        <v>9</v>
      </c>
      <c r="D2731">
        <v>1.89</v>
      </c>
      <c r="E2731">
        <v>8</v>
      </c>
      <c r="F2731" t="s">
        <v>16</v>
      </c>
      <c r="G2731">
        <v>60</v>
      </c>
      <c r="H2731">
        <v>3.024</v>
      </c>
      <c r="I2731">
        <v>60.000000000000007</v>
      </c>
      <c r="J2731" t="s">
        <v>20</v>
      </c>
    </row>
    <row r="2732" spans="1:10" x14ac:dyDescent="0.2">
      <c r="A2732">
        <v>12731</v>
      </c>
      <c r="B2732" t="s">
        <v>5</v>
      </c>
      <c r="C2732" t="s">
        <v>6</v>
      </c>
      <c r="D2732">
        <v>13.76</v>
      </c>
      <c r="E2732">
        <v>9</v>
      </c>
      <c r="F2732" t="s">
        <v>16</v>
      </c>
      <c r="G2732">
        <v>55</v>
      </c>
      <c r="H2732">
        <v>21.327999999999999</v>
      </c>
      <c r="I2732">
        <v>55.000000000000007</v>
      </c>
      <c r="J2732" t="s">
        <v>20</v>
      </c>
    </row>
    <row r="2733" spans="1:10" x14ac:dyDescent="0.2">
      <c r="A2733">
        <v>12732</v>
      </c>
      <c r="B2733" t="s">
        <v>10</v>
      </c>
      <c r="C2733" t="s">
        <v>9</v>
      </c>
      <c r="D2733">
        <v>1.82</v>
      </c>
      <c r="E2733">
        <v>6</v>
      </c>
      <c r="F2733" t="s">
        <v>15</v>
      </c>
      <c r="G2733">
        <v>30</v>
      </c>
      <c r="H2733">
        <v>2.3660000000000001</v>
      </c>
      <c r="I2733">
        <v>30.000000000000004</v>
      </c>
      <c r="J2733" t="s">
        <v>20</v>
      </c>
    </row>
    <row r="2734" spans="1:10" x14ac:dyDescent="0.2">
      <c r="A2734">
        <v>12733</v>
      </c>
      <c r="B2734" t="s">
        <v>7</v>
      </c>
      <c r="C2734" t="s">
        <v>9</v>
      </c>
      <c r="D2734">
        <v>9.9</v>
      </c>
      <c r="E2734">
        <v>7</v>
      </c>
      <c r="F2734" t="s">
        <v>15</v>
      </c>
      <c r="G2734">
        <v>30</v>
      </c>
      <c r="H2734">
        <v>12.870000000000001</v>
      </c>
      <c r="I2734">
        <v>30.000000000000004</v>
      </c>
      <c r="J2734" t="s">
        <v>20</v>
      </c>
    </row>
    <row r="2735" spans="1:10" x14ac:dyDescent="0.2">
      <c r="A2735">
        <v>12734</v>
      </c>
      <c r="B2735" t="s">
        <v>7</v>
      </c>
      <c r="C2735" t="s">
        <v>6</v>
      </c>
      <c r="D2735">
        <v>6.49</v>
      </c>
      <c r="E2735">
        <v>4</v>
      </c>
      <c r="F2735" t="s">
        <v>15</v>
      </c>
      <c r="G2735">
        <v>28</v>
      </c>
      <c r="H2735">
        <v>8.3071999999999999</v>
      </c>
      <c r="I2735">
        <v>28.000000000000004</v>
      </c>
      <c r="J2735" t="s">
        <v>20</v>
      </c>
    </row>
    <row r="2736" spans="1:10" x14ac:dyDescent="0.2">
      <c r="A2736">
        <v>12735</v>
      </c>
      <c r="B2736" t="s">
        <v>7</v>
      </c>
      <c r="C2736" t="s">
        <v>11</v>
      </c>
      <c r="D2736">
        <v>6.38</v>
      </c>
      <c r="E2736">
        <v>2</v>
      </c>
      <c r="F2736" t="s">
        <v>14</v>
      </c>
      <c r="G2736">
        <v>10</v>
      </c>
      <c r="H2736">
        <v>7.0180000000000007</v>
      </c>
      <c r="I2736">
        <v>10.000000000000009</v>
      </c>
      <c r="J2736" t="s">
        <v>20</v>
      </c>
    </row>
    <row r="2737" spans="1:10" x14ac:dyDescent="0.2">
      <c r="A2737">
        <v>12736</v>
      </c>
      <c r="B2737" t="s">
        <v>10</v>
      </c>
      <c r="C2737" t="s">
        <v>9</v>
      </c>
      <c r="D2737">
        <v>10.35</v>
      </c>
      <c r="E2737">
        <v>9</v>
      </c>
      <c r="F2737" t="s">
        <v>16</v>
      </c>
      <c r="G2737">
        <v>60</v>
      </c>
      <c r="H2737">
        <v>16.559999999999999</v>
      </c>
      <c r="I2737">
        <v>59.999999999999986</v>
      </c>
      <c r="J2737" t="s">
        <v>20</v>
      </c>
    </row>
    <row r="2738" spans="1:10" x14ac:dyDescent="0.2">
      <c r="A2738">
        <v>12737</v>
      </c>
      <c r="B2738" t="s">
        <v>5</v>
      </c>
      <c r="C2738" t="s">
        <v>6</v>
      </c>
      <c r="D2738">
        <v>1.47</v>
      </c>
      <c r="E2738">
        <v>9</v>
      </c>
      <c r="F2738" t="s">
        <v>16</v>
      </c>
      <c r="G2738">
        <v>55</v>
      </c>
      <c r="H2738">
        <v>2.2785000000000002</v>
      </c>
      <c r="I2738">
        <v>55.000000000000028</v>
      </c>
      <c r="J2738" t="s">
        <v>20</v>
      </c>
    </row>
    <row r="2739" spans="1:10" x14ac:dyDescent="0.2">
      <c r="A2739">
        <v>12738</v>
      </c>
      <c r="B2739" t="s">
        <v>10</v>
      </c>
      <c r="C2739" t="s">
        <v>11</v>
      </c>
      <c r="D2739">
        <v>9.11</v>
      </c>
      <c r="E2739">
        <v>4</v>
      </c>
      <c r="F2739" t="s">
        <v>15</v>
      </c>
      <c r="G2739">
        <v>25</v>
      </c>
      <c r="H2739">
        <v>11.387499999999999</v>
      </c>
      <c r="I2739">
        <v>25</v>
      </c>
      <c r="J2739" t="s">
        <v>20</v>
      </c>
    </row>
    <row r="2740" spans="1:10" x14ac:dyDescent="0.2">
      <c r="A2740">
        <v>12739</v>
      </c>
      <c r="B2740" t="s">
        <v>7</v>
      </c>
      <c r="C2740" t="s">
        <v>6</v>
      </c>
      <c r="D2740">
        <v>11.69</v>
      </c>
      <c r="E2740">
        <v>3</v>
      </c>
      <c r="F2740" t="s">
        <v>14</v>
      </c>
      <c r="G2740">
        <v>12</v>
      </c>
      <c r="H2740">
        <v>13.0928</v>
      </c>
      <c r="I2740">
        <v>12.000000000000011</v>
      </c>
      <c r="J2740" t="s">
        <v>20</v>
      </c>
    </row>
    <row r="2741" spans="1:10" x14ac:dyDescent="0.2">
      <c r="A2741">
        <v>12740</v>
      </c>
      <c r="B2741" t="s">
        <v>10</v>
      </c>
      <c r="C2741" t="s">
        <v>9</v>
      </c>
      <c r="D2741">
        <v>12.51</v>
      </c>
      <c r="E2741">
        <v>10</v>
      </c>
      <c r="F2741" t="s">
        <v>16</v>
      </c>
      <c r="G2741">
        <v>60</v>
      </c>
      <c r="H2741">
        <v>20.016000000000002</v>
      </c>
      <c r="I2741">
        <v>60.000000000000007</v>
      </c>
      <c r="J2741" t="s">
        <v>20</v>
      </c>
    </row>
    <row r="2742" spans="1:10" x14ac:dyDescent="0.2">
      <c r="A2742">
        <v>12741</v>
      </c>
      <c r="B2742" t="s">
        <v>10</v>
      </c>
      <c r="C2742" t="s">
        <v>11</v>
      </c>
      <c r="D2742">
        <v>2.97</v>
      </c>
      <c r="E2742">
        <v>6</v>
      </c>
      <c r="F2742" t="s">
        <v>15</v>
      </c>
      <c r="G2742">
        <v>25</v>
      </c>
      <c r="H2742">
        <v>3.7125000000000004</v>
      </c>
      <c r="I2742">
        <v>25</v>
      </c>
      <c r="J2742" t="s">
        <v>20</v>
      </c>
    </row>
    <row r="2743" spans="1:10" x14ac:dyDescent="0.2">
      <c r="A2743">
        <v>12742</v>
      </c>
      <c r="B2743" t="s">
        <v>10</v>
      </c>
      <c r="C2743" t="s">
        <v>11</v>
      </c>
      <c r="D2743">
        <v>13.51</v>
      </c>
      <c r="E2743">
        <v>3</v>
      </c>
      <c r="F2743" t="s">
        <v>14</v>
      </c>
      <c r="G2743">
        <v>10</v>
      </c>
      <c r="H2743">
        <v>14.861000000000001</v>
      </c>
      <c r="I2743">
        <v>10.000000000000009</v>
      </c>
      <c r="J2743" t="s">
        <v>20</v>
      </c>
    </row>
    <row r="2744" spans="1:10" x14ac:dyDescent="0.2">
      <c r="A2744">
        <v>12743</v>
      </c>
      <c r="B2744" t="s">
        <v>5</v>
      </c>
      <c r="C2744" t="s">
        <v>6</v>
      </c>
      <c r="D2744">
        <v>10.01</v>
      </c>
      <c r="E2744">
        <v>1</v>
      </c>
      <c r="F2744" t="s">
        <v>14</v>
      </c>
      <c r="G2744">
        <v>12</v>
      </c>
      <c r="H2744">
        <v>11.211200000000002</v>
      </c>
      <c r="I2744">
        <v>12.000000000000011</v>
      </c>
      <c r="J2744" t="s">
        <v>20</v>
      </c>
    </row>
    <row r="2745" spans="1:10" x14ac:dyDescent="0.2">
      <c r="A2745">
        <v>12744</v>
      </c>
      <c r="B2745" t="s">
        <v>8</v>
      </c>
      <c r="C2745" t="s">
        <v>6</v>
      </c>
      <c r="D2745">
        <v>13.29</v>
      </c>
      <c r="E2745">
        <v>4</v>
      </c>
      <c r="F2745" t="s">
        <v>15</v>
      </c>
      <c r="G2745">
        <v>28</v>
      </c>
      <c r="H2745">
        <v>17.011199999999999</v>
      </c>
      <c r="I2745">
        <v>28.000000000000004</v>
      </c>
      <c r="J2745" t="s">
        <v>20</v>
      </c>
    </row>
    <row r="2746" spans="1:10" x14ac:dyDescent="0.2">
      <c r="A2746">
        <v>12745</v>
      </c>
      <c r="B2746" t="s">
        <v>8</v>
      </c>
      <c r="C2746" t="s">
        <v>6</v>
      </c>
      <c r="D2746">
        <v>7.54</v>
      </c>
      <c r="E2746">
        <v>1</v>
      </c>
      <c r="F2746" t="s">
        <v>14</v>
      </c>
      <c r="G2746">
        <v>12</v>
      </c>
      <c r="H2746">
        <v>8.4448000000000008</v>
      </c>
      <c r="I2746">
        <v>12.000000000000011</v>
      </c>
      <c r="J2746" t="s">
        <v>20</v>
      </c>
    </row>
    <row r="2747" spans="1:10" x14ac:dyDescent="0.2">
      <c r="A2747">
        <v>12746</v>
      </c>
      <c r="B2747" t="s">
        <v>10</v>
      </c>
      <c r="C2747" t="s">
        <v>11</v>
      </c>
      <c r="D2747">
        <v>8.36</v>
      </c>
      <c r="E2747">
        <v>2</v>
      </c>
      <c r="F2747" t="s">
        <v>14</v>
      </c>
      <c r="G2747">
        <v>10</v>
      </c>
      <c r="H2747">
        <v>9.1959999999999997</v>
      </c>
      <c r="I2747">
        <v>10.000000000000009</v>
      </c>
      <c r="J2747" t="s">
        <v>20</v>
      </c>
    </row>
    <row r="2748" spans="1:10" x14ac:dyDescent="0.2">
      <c r="A2748">
        <v>12747</v>
      </c>
      <c r="B2748" t="s">
        <v>8</v>
      </c>
      <c r="C2748" t="s">
        <v>11</v>
      </c>
      <c r="D2748">
        <v>13.83</v>
      </c>
      <c r="E2748">
        <v>3</v>
      </c>
      <c r="F2748" t="s">
        <v>14</v>
      </c>
      <c r="G2748">
        <v>10</v>
      </c>
      <c r="H2748">
        <v>15.213000000000001</v>
      </c>
      <c r="I2748">
        <v>10.000000000000009</v>
      </c>
      <c r="J2748" t="s">
        <v>20</v>
      </c>
    </row>
    <row r="2749" spans="1:10" x14ac:dyDescent="0.2">
      <c r="A2749">
        <v>12748</v>
      </c>
      <c r="B2749" t="s">
        <v>8</v>
      </c>
      <c r="C2749" t="s">
        <v>9</v>
      </c>
      <c r="D2749">
        <v>13.55</v>
      </c>
      <c r="E2749">
        <v>8</v>
      </c>
      <c r="F2749" t="s">
        <v>16</v>
      </c>
      <c r="G2749">
        <v>60</v>
      </c>
      <c r="H2749">
        <v>21.680000000000003</v>
      </c>
      <c r="I2749">
        <v>60.000000000000007</v>
      </c>
      <c r="J2749" t="s">
        <v>20</v>
      </c>
    </row>
    <row r="2750" spans="1:10" x14ac:dyDescent="0.2">
      <c r="A2750">
        <v>12749</v>
      </c>
      <c r="B2750" t="s">
        <v>10</v>
      </c>
      <c r="C2750" t="s">
        <v>11</v>
      </c>
      <c r="D2750">
        <v>7</v>
      </c>
      <c r="E2750">
        <v>10</v>
      </c>
      <c r="F2750" t="s">
        <v>16</v>
      </c>
      <c r="G2750">
        <v>50</v>
      </c>
      <c r="H2750">
        <v>10.5</v>
      </c>
      <c r="I2750">
        <v>50</v>
      </c>
      <c r="J2750" t="s">
        <v>20</v>
      </c>
    </row>
    <row r="2751" spans="1:10" x14ac:dyDescent="0.2">
      <c r="A2751">
        <v>12750</v>
      </c>
      <c r="B2751" t="s">
        <v>10</v>
      </c>
      <c r="C2751" t="s">
        <v>9</v>
      </c>
      <c r="D2751">
        <v>4.4800000000000004</v>
      </c>
      <c r="E2751">
        <v>4</v>
      </c>
      <c r="F2751" t="s">
        <v>15</v>
      </c>
      <c r="G2751">
        <v>30</v>
      </c>
      <c r="H2751">
        <v>5.8240000000000007</v>
      </c>
      <c r="I2751">
        <v>30.000000000000004</v>
      </c>
      <c r="J2751" t="s">
        <v>20</v>
      </c>
    </row>
    <row r="2752" spans="1:10" x14ac:dyDescent="0.2">
      <c r="A2752">
        <v>12751</v>
      </c>
      <c r="B2752" t="s">
        <v>7</v>
      </c>
      <c r="C2752" t="s">
        <v>6</v>
      </c>
      <c r="D2752">
        <v>6.2</v>
      </c>
      <c r="E2752">
        <v>4</v>
      </c>
      <c r="F2752" t="s">
        <v>15</v>
      </c>
      <c r="G2752">
        <v>28</v>
      </c>
      <c r="H2752">
        <v>7.9360000000000008</v>
      </c>
      <c r="I2752">
        <v>28.000000000000004</v>
      </c>
      <c r="J2752" t="s">
        <v>20</v>
      </c>
    </row>
    <row r="2753" spans="1:10" x14ac:dyDescent="0.2">
      <c r="A2753">
        <v>12752</v>
      </c>
      <c r="B2753" t="s">
        <v>8</v>
      </c>
      <c r="C2753" t="s">
        <v>6</v>
      </c>
      <c r="D2753">
        <v>6.12</v>
      </c>
      <c r="E2753">
        <v>10</v>
      </c>
      <c r="F2753" t="s">
        <v>16</v>
      </c>
      <c r="G2753">
        <v>55</v>
      </c>
      <c r="H2753">
        <v>9.4860000000000007</v>
      </c>
      <c r="I2753">
        <v>55.000000000000007</v>
      </c>
      <c r="J2753" t="s">
        <v>20</v>
      </c>
    </row>
    <row r="2754" spans="1:10" x14ac:dyDescent="0.2">
      <c r="A2754">
        <v>12753</v>
      </c>
      <c r="B2754" t="s">
        <v>5</v>
      </c>
      <c r="C2754" t="s">
        <v>11</v>
      </c>
      <c r="D2754">
        <v>4.66</v>
      </c>
      <c r="E2754">
        <v>9</v>
      </c>
      <c r="F2754" t="s">
        <v>16</v>
      </c>
      <c r="G2754">
        <v>50</v>
      </c>
      <c r="H2754">
        <v>6.99</v>
      </c>
      <c r="I2754">
        <v>50</v>
      </c>
      <c r="J2754" t="s">
        <v>20</v>
      </c>
    </row>
    <row r="2755" spans="1:10" x14ac:dyDescent="0.2">
      <c r="A2755">
        <v>12754</v>
      </c>
      <c r="B2755" t="s">
        <v>10</v>
      </c>
      <c r="C2755" t="s">
        <v>6</v>
      </c>
      <c r="D2755">
        <v>4.3899999999999997</v>
      </c>
      <c r="E2755">
        <v>7</v>
      </c>
      <c r="F2755" t="s">
        <v>15</v>
      </c>
      <c r="G2755">
        <v>28</v>
      </c>
      <c r="H2755">
        <v>5.6191999999999993</v>
      </c>
      <c r="I2755">
        <v>28.000000000000004</v>
      </c>
      <c r="J2755" t="s">
        <v>20</v>
      </c>
    </row>
    <row r="2756" spans="1:10" x14ac:dyDescent="0.2">
      <c r="A2756">
        <v>12755</v>
      </c>
      <c r="B2756" t="s">
        <v>7</v>
      </c>
      <c r="C2756" t="s">
        <v>6</v>
      </c>
      <c r="D2756">
        <v>12.99</v>
      </c>
      <c r="E2756">
        <v>2</v>
      </c>
      <c r="F2756" t="s">
        <v>14</v>
      </c>
      <c r="G2756">
        <v>12</v>
      </c>
      <c r="H2756">
        <v>14.548800000000002</v>
      </c>
      <c r="I2756">
        <v>12.000000000000011</v>
      </c>
      <c r="J2756" t="s">
        <v>20</v>
      </c>
    </row>
    <row r="2757" spans="1:10" x14ac:dyDescent="0.2">
      <c r="A2757">
        <v>12756</v>
      </c>
      <c r="B2757" t="s">
        <v>5</v>
      </c>
      <c r="C2757" t="s">
        <v>11</v>
      </c>
      <c r="D2757">
        <v>1.51</v>
      </c>
      <c r="E2757">
        <v>3</v>
      </c>
      <c r="F2757" t="s">
        <v>14</v>
      </c>
      <c r="G2757">
        <v>10</v>
      </c>
      <c r="H2757">
        <v>1.6610000000000003</v>
      </c>
      <c r="I2757">
        <v>10.000000000000009</v>
      </c>
      <c r="J2757" t="s">
        <v>20</v>
      </c>
    </row>
    <row r="2758" spans="1:10" x14ac:dyDescent="0.2">
      <c r="A2758">
        <v>12757</v>
      </c>
      <c r="B2758" t="s">
        <v>8</v>
      </c>
      <c r="C2758" t="s">
        <v>9</v>
      </c>
      <c r="D2758">
        <v>10.33</v>
      </c>
      <c r="E2758">
        <v>4</v>
      </c>
      <c r="F2758" t="s">
        <v>15</v>
      </c>
      <c r="G2758">
        <v>30</v>
      </c>
      <c r="H2758">
        <v>13.429</v>
      </c>
      <c r="I2758">
        <v>30.000000000000004</v>
      </c>
      <c r="J2758" t="s">
        <v>20</v>
      </c>
    </row>
    <row r="2759" spans="1:10" x14ac:dyDescent="0.2">
      <c r="A2759">
        <v>12758</v>
      </c>
      <c r="B2759" t="s">
        <v>7</v>
      </c>
      <c r="C2759" t="s">
        <v>11</v>
      </c>
      <c r="D2759">
        <v>3.01</v>
      </c>
      <c r="E2759">
        <v>4</v>
      </c>
      <c r="F2759" t="s">
        <v>15</v>
      </c>
      <c r="G2759">
        <v>25</v>
      </c>
      <c r="H2759">
        <v>3.7624999999999997</v>
      </c>
      <c r="I2759">
        <v>25</v>
      </c>
      <c r="J2759" t="s">
        <v>20</v>
      </c>
    </row>
    <row r="2760" spans="1:10" x14ac:dyDescent="0.2">
      <c r="A2760">
        <v>12759</v>
      </c>
      <c r="B2760" t="s">
        <v>10</v>
      </c>
      <c r="C2760" t="s">
        <v>9</v>
      </c>
      <c r="D2760">
        <v>5.5</v>
      </c>
      <c r="E2760">
        <v>10</v>
      </c>
      <c r="F2760" t="s">
        <v>16</v>
      </c>
      <c r="G2760">
        <v>60</v>
      </c>
      <c r="H2760">
        <v>8.8000000000000007</v>
      </c>
      <c r="I2760">
        <v>60.000000000000007</v>
      </c>
      <c r="J2760" t="s">
        <v>20</v>
      </c>
    </row>
    <row r="2761" spans="1:10" x14ac:dyDescent="0.2">
      <c r="A2761">
        <v>12760</v>
      </c>
      <c r="B2761" t="s">
        <v>5</v>
      </c>
      <c r="C2761" t="s">
        <v>11</v>
      </c>
      <c r="D2761">
        <v>1.39</v>
      </c>
      <c r="E2761">
        <v>8</v>
      </c>
      <c r="F2761" t="s">
        <v>16</v>
      </c>
      <c r="G2761">
        <v>50</v>
      </c>
      <c r="H2761">
        <v>2.085</v>
      </c>
      <c r="I2761">
        <v>50</v>
      </c>
      <c r="J2761" t="s">
        <v>20</v>
      </c>
    </row>
    <row r="2762" spans="1:10" x14ac:dyDescent="0.2">
      <c r="A2762">
        <v>12761</v>
      </c>
      <c r="B2762" t="s">
        <v>10</v>
      </c>
      <c r="C2762" t="s">
        <v>11</v>
      </c>
      <c r="D2762">
        <v>4.41</v>
      </c>
      <c r="E2762">
        <v>10</v>
      </c>
      <c r="F2762" t="s">
        <v>16</v>
      </c>
      <c r="G2762">
        <v>50</v>
      </c>
      <c r="H2762">
        <v>6.6150000000000002</v>
      </c>
      <c r="I2762">
        <v>50</v>
      </c>
      <c r="J2762" t="s">
        <v>20</v>
      </c>
    </row>
    <row r="2763" spans="1:10" x14ac:dyDescent="0.2">
      <c r="A2763">
        <v>12762</v>
      </c>
      <c r="B2763" t="s">
        <v>8</v>
      </c>
      <c r="C2763" t="s">
        <v>6</v>
      </c>
      <c r="D2763">
        <v>11.64</v>
      </c>
      <c r="E2763">
        <v>10</v>
      </c>
      <c r="F2763" t="s">
        <v>16</v>
      </c>
      <c r="G2763">
        <v>55</v>
      </c>
      <c r="H2763">
        <v>18.042000000000002</v>
      </c>
      <c r="I2763">
        <v>55.000000000000007</v>
      </c>
      <c r="J2763" t="s">
        <v>20</v>
      </c>
    </row>
    <row r="2764" spans="1:10" x14ac:dyDescent="0.2">
      <c r="A2764">
        <v>12763</v>
      </c>
      <c r="B2764" t="s">
        <v>5</v>
      </c>
      <c r="C2764" t="s">
        <v>11</v>
      </c>
      <c r="D2764">
        <v>13.33</v>
      </c>
      <c r="E2764">
        <v>6</v>
      </c>
      <c r="F2764" t="s">
        <v>15</v>
      </c>
      <c r="G2764">
        <v>25</v>
      </c>
      <c r="H2764">
        <v>16.662500000000001</v>
      </c>
      <c r="I2764">
        <v>25</v>
      </c>
      <c r="J2764" t="s">
        <v>20</v>
      </c>
    </row>
    <row r="2765" spans="1:10" x14ac:dyDescent="0.2">
      <c r="A2765">
        <v>12764</v>
      </c>
      <c r="B2765" t="s">
        <v>8</v>
      </c>
      <c r="C2765" t="s">
        <v>11</v>
      </c>
      <c r="D2765">
        <v>3.71</v>
      </c>
      <c r="E2765">
        <v>3</v>
      </c>
      <c r="F2765" t="s">
        <v>14</v>
      </c>
      <c r="G2765">
        <v>10</v>
      </c>
      <c r="H2765">
        <v>4.0810000000000004</v>
      </c>
      <c r="I2765">
        <v>10.000000000000009</v>
      </c>
      <c r="J2765" t="s">
        <v>20</v>
      </c>
    </row>
    <row r="2766" spans="1:10" x14ac:dyDescent="0.2">
      <c r="A2766">
        <v>12765</v>
      </c>
      <c r="B2766" t="s">
        <v>8</v>
      </c>
      <c r="C2766" t="s">
        <v>9</v>
      </c>
      <c r="D2766">
        <v>7.22</v>
      </c>
      <c r="E2766">
        <v>9</v>
      </c>
      <c r="F2766" t="s">
        <v>16</v>
      </c>
      <c r="G2766">
        <v>60</v>
      </c>
      <c r="H2766">
        <v>11.552</v>
      </c>
      <c r="I2766">
        <v>60.000000000000007</v>
      </c>
      <c r="J2766" t="s">
        <v>20</v>
      </c>
    </row>
    <row r="2767" spans="1:10" x14ac:dyDescent="0.2">
      <c r="A2767">
        <v>12766</v>
      </c>
      <c r="B2767" t="s">
        <v>7</v>
      </c>
      <c r="C2767" t="s">
        <v>6</v>
      </c>
      <c r="D2767">
        <v>7.32</v>
      </c>
      <c r="E2767">
        <v>10</v>
      </c>
      <c r="F2767" t="s">
        <v>16</v>
      </c>
      <c r="G2767">
        <v>55</v>
      </c>
      <c r="H2767">
        <v>11.346</v>
      </c>
      <c r="I2767">
        <v>55.000000000000007</v>
      </c>
      <c r="J2767" t="s">
        <v>20</v>
      </c>
    </row>
    <row r="2768" spans="1:10" x14ac:dyDescent="0.2">
      <c r="A2768">
        <v>12767</v>
      </c>
      <c r="B2768" t="s">
        <v>10</v>
      </c>
      <c r="C2768" t="s">
        <v>9</v>
      </c>
      <c r="D2768">
        <v>13.17</v>
      </c>
      <c r="E2768">
        <v>8</v>
      </c>
      <c r="F2768" t="s">
        <v>16</v>
      </c>
      <c r="G2768">
        <v>60</v>
      </c>
      <c r="H2768">
        <v>21.072000000000003</v>
      </c>
      <c r="I2768">
        <v>60.000000000000028</v>
      </c>
      <c r="J2768" t="s">
        <v>20</v>
      </c>
    </row>
    <row r="2769" spans="1:10" x14ac:dyDescent="0.2">
      <c r="A2769">
        <v>12768</v>
      </c>
      <c r="B2769" t="s">
        <v>5</v>
      </c>
      <c r="C2769" t="s">
        <v>9</v>
      </c>
      <c r="D2769">
        <v>11.56</v>
      </c>
      <c r="E2769">
        <v>9</v>
      </c>
      <c r="F2769" t="s">
        <v>16</v>
      </c>
      <c r="G2769">
        <v>60</v>
      </c>
      <c r="H2769">
        <v>18.496000000000002</v>
      </c>
      <c r="I2769">
        <v>60.000000000000007</v>
      </c>
      <c r="J2769" t="s">
        <v>20</v>
      </c>
    </row>
    <row r="2770" spans="1:10" x14ac:dyDescent="0.2">
      <c r="A2770">
        <v>12769</v>
      </c>
      <c r="B2770" t="s">
        <v>8</v>
      </c>
      <c r="C2770" t="s">
        <v>6</v>
      </c>
      <c r="D2770">
        <v>7.94</v>
      </c>
      <c r="E2770">
        <v>5</v>
      </c>
      <c r="F2770" t="s">
        <v>15</v>
      </c>
      <c r="G2770">
        <v>28</v>
      </c>
      <c r="H2770">
        <v>10.163200000000002</v>
      </c>
      <c r="I2770">
        <v>28.000000000000004</v>
      </c>
      <c r="J2770" t="s">
        <v>20</v>
      </c>
    </row>
    <row r="2771" spans="1:10" x14ac:dyDescent="0.2">
      <c r="A2771">
        <v>12770</v>
      </c>
      <c r="B2771" t="s">
        <v>8</v>
      </c>
      <c r="C2771" t="s">
        <v>6</v>
      </c>
      <c r="D2771">
        <v>10.23</v>
      </c>
      <c r="E2771">
        <v>3</v>
      </c>
      <c r="F2771" t="s">
        <v>14</v>
      </c>
      <c r="G2771">
        <v>12</v>
      </c>
      <c r="H2771">
        <v>11.457600000000001</v>
      </c>
      <c r="I2771">
        <v>12.000000000000011</v>
      </c>
      <c r="J2771" t="s">
        <v>20</v>
      </c>
    </row>
    <row r="2772" spans="1:10" x14ac:dyDescent="0.2">
      <c r="A2772">
        <v>12771</v>
      </c>
      <c r="B2772" t="s">
        <v>5</v>
      </c>
      <c r="C2772" t="s">
        <v>6</v>
      </c>
      <c r="D2772">
        <v>12.79</v>
      </c>
      <c r="E2772">
        <v>4</v>
      </c>
      <c r="F2772" t="s">
        <v>15</v>
      </c>
      <c r="G2772">
        <v>28</v>
      </c>
      <c r="H2772">
        <v>16.371199999999998</v>
      </c>
      <c r="I2772">
        <v>28.000000000000004</v>
      </c>
      <c r="J2772" t="s">
        <v>20</v>
      </c>
    </row>
    <row r="2773" spans="1:10" x14ac:dyDescent="0.2">
      <c r="A2773">
        <v>12772</v>
      </c>
      <c r="B2773" t="s">
        <v>8</v>
      </c>
      <c r="C2773" t="s">
        <v>11</v>
      </c>
      <c r="D2773">
        <v>0.64</v>
      </c>
      <c r="E2773">
        <v>5</v>
      </c>
      <c r="F2773" t="s">
        <v>15</v>
      </c>
      <c r="G2773">
        <v>25</v>
      </c>
      <c r="H2773">
        <v>0.8</v>
      </c>
      <c r="I2773">
        <v>25</v>
      </c>
      <c r="J2773" t="s">
        <v>20</v>
      </c>
    </row>
    <row r="2774" spans="1:10" x14ac:dyDescent="0.2">
      <c r="A2774">
        <v>12773</v>
      </c>
      <c r="B2774" t="s">
        <v>7</v>
      </c>
      <c r="C2774" t="s">
        <v>6</v>
      </c>
      <c r="D2774">
        <v>6.34</v>
      </c>
      <c r="E2774">
        <v>9</v>
      </c>
      <c r="F2774" t="s">
        <v>16</v>
      </c>
      <c r="G2774">
        <v>55</v>
      </c>
      <c r="H2774">
        <v>9.827</v>
      </c>
      <c r="I2774">
        <v>55.000000000000007</v>
      </c>
      <c r="J2774" t="s">
        <v>20</v>
      </c>
    </row>
    <row r="2775" spans="1:10" x14ac:dyDescent="0.2">
      <c r="A2775">
        <v>12774</v>
      </c>
      <c r="B2775" t="s">
        <v>7</v>
      </c>
      <c r="C2775" t="s">
        <v>6</v>
      </c>
      <c r="D2775">
        <v>13.66</v>
      </c>
      <c r="E2775">
        <v>9</v>
      </c>
      <c r="F2775" t="s">
        <v>16</v>
      </c>
      <c r="G2775">
        <v>55</v>
      </c>
      <c r="H2775">
        <v>21.173000000000002</v>
      </c>
      <c r="I2775">
        <v>55.000000000000007</v>
      </c>
      <c r="J2775" t="s">
        <v>20</v>
      </c>
    </row>
    <row r="2776" spans="1:10" x14ac:dyDescent="0.2">
      <c r="A2776">
        <v>12775</v>
      </c>
      <c r="B2776" t="s">
        <v>7</v>
      </c>
      <c r="C2776" t="s">
        <v>6</v>
      </c>
      <c r="D2776">
        <v>11.23</v>
      </c>
      <c r="E2776">
        <v>3</v>
      </c>
      <c r="F2776" t="s">
        <v>14</v>
      </c>
      <c r="G2776">
        <v>12</v>
      </c>
      <c r="H2776">
        <v>12.577600000000002</v>
      </c>
      <c r="I2776">
        <v>12.000000000000011</v>
      </c>
      <c r="J2776" t="s">
        <v>20</v>
      </c>
    </row>
    <row r="2777" spans="1:10" x14ac:dyDescent="0.2">
      <c r="A2777">
        <v>12776</v>
      </c>
      <c r="B2777" t="s">
        <v>7</v>
      </c>
      <c r="C2777" t="s">
        <v>9</v>
      </c>
      <c r="D2777">
        <v>8.3699999999999992</v>
      </c>
      <c r="E2777">
        <v>7</v>
      </c>
      <c r="F2777" t="s">
        <v>15</v>
      </c>
      <c r="G2777">
        <v>30</v>
      </c>
      <c r="H2777">
        <v>10.881</v>
      </c>
      <c r="I2777">
        <v>30.000000000000004</v>
      </c>
      <c r="J2777" t="s">
        <v>20</v>
      </c>
    </row>
    <row r="2778" spans="1:10" x14ac:dyDescent="0.2">
      <c r="A2778">
        <v>12777</v>
      </c>
      <c r="B2778" t="s">
        <v>8</v>
      </c>
      <c r="C2778" t="s">
        <v>9</v>
      </c>
      <c r="D2778">
        <v>8.18</v>
      </c>
      <c r="E2778">
        <v>6</v>
      </c>
      <c r="F2778" t="s">
        <v>15</v>
      </c>
      <c r="G2778">
        <v>30</v>
      </c>
      <c r="H2778">
        <v>10.634</v>
      </c>
      <c r="I2778">
        <v>30.000000000000004</v>
      </c>
      <c r="J2778" t="s">
        <v>20</v>
      </c>
    </row>
    <row r="2779" spans="1:10" x14ac:dyDescent="0.2">
      <c r="A2779">
        <v>12778</v>
      </c>
      <c r="B2779" t="s">
        <v>5</v>
      </c>
      <c r="C2779" t="s">
        <v>11</v>
      </c>
      <c r="D2779">
        <v>5.54</v>
      </c>
      <c r="E2779">
        <v>4</v>
      </c>
      <c r="F2779" t="s">
        <v>15</v>
      </c>
      <c r="G2779">
        <v>25</v>
      </c>
      <c r="H2779">
        <v>6.9249999999999998</v>
      </c>
      <c r="I2779">
        <v>25</v>
      </c>
      <c r="J2779" t="s">
        <v>20</v>
      </c>
    </row>
    <row r="2780" spans="1:10" x14ac:dyDescent="0.2">
      <c r="A2780">
        <v>12779</v>
      </c>
      <c r="B2780" t="s">
        <v>5</v>
      </c>
      <c r="C2780" t="s">
        <v>9</v>
      </c>
      <c r="D2780">
        <v>8.0500000000000007</v>
      </c>
      <c r="E2780">
        <v>5</v>
      </c>
      <c r="F2780" t="s">
        <v>15</v>
      </c>
      <c r="G2780">
        <v>30</v>
      </c>
      <c r="H2780">
        <v>10.465000000000002</v>
      </c>
      <c r="I2780">
        <v>30.000000000000004</v>
      </c>
      <c r="J2780" t="s">
        <v>20</v>
      </c>
    </row>
    <row r="2781" spans="1:10" x14ac:dyDescent="0.2">
      <c r="A2781">
        <v>12780</v>
      </c>
      <c r="B2781" t="s">
        <v>5</v>
      </c>
      <c r="C2781" t="s">
        <v>11</v>
      </c>
      <c r="D2781">
        <v>10</v>
      </c>
      <c r="E2781">
        <v>10</v>
      </c>
      <c r="F2781" t="s">
        <v>16</v>
      </c>
      <c r="G2781">
        <v>50</v>
      </c>
      <c r="H2781">
        <v>15</v>
      </c>
      <c r="I2781">
        <v>50</v>
      </c>
      <c r="J2781" t="s">
        <v>20</v>
      </c>
    </row>
    <row r="2782" spans="1:10" x14ac:dyDescent="0.2">
      <c r="A2782">
        <v>12781</v>
      </c>
      <c r="B2782" t="s">
        <v>5</v>
      </c>
      <c r="C2782" t="s">
        <v>9</v>
      </c>
      <c r="D2782">
        <v>6.57</v>
      </c>
      <c r="E2782">
        <v>2</v>
      </c>
      <c r="F2782" t="s">
        <v>14</v>
      </c>
      <c r="G2782">
        <v>15</v>
      </c>
      <c r="H2782">
        <v>7.5554999999999994</v>
      </c>
      <c r="I2782">
        <v>14.999999999999991</v>
      </c>
      <c r="J2782" t="s">
        <v>20</v>
      </c>
    </row>
    <row r="2783" spans="1:10" x14ac:dyDescent="0.2">
      <c r="A2783">
        <v>12782</v>
      </c>
      <c r="B2783" t="s">
        <v>10</v>
      </c>
      <c r="C2783" t="s">
        <v>6</v>
      </c>
      <c r="D2783">
        <v>10.86</v>
      </c>
      <c r="E2783">
        <v>7</v>
      </c>
      <c r="F2783" t="s">
        <v>15</v>
      </c>
      <c r="G2783">
        <v>28</v>
      </c>
      <c r="H2783">
        <v>13.9008</v>
      </c>
      <c r="I2783">
        <v>28.000000000000004</v>
      </c>
      <c r="J2783" t="s">
        <v>20</v>
      </c>
    </row>
    <row r="2784" spans="1:10" x14ac:dyDescent="0.2">
      <c r="A2784">
        <v>12783</v>
      </c>
      <c r="B2784" t="s">
        <v>5</v>
      </c>
      <c r="C2784" t="s">
        <v>9</v>
      </c>
      <c r="D2784">
        <v>12.99</v>
      </c>
      <c r="E2784">
        <v>4</v>
      </c>
      <c r="F2784" t="s">
        <v>15</v>
      </c>
      <c r="G2784">
        <v>30</v>
      </c>
      <c r="H2784">
        <v>16.887</v>
      </c>
      <c r="I2784">
        <v>30.000000000000004</v>
      </c>
      <c r="J2784" t="s">
        <v>20</v>
      </c>
    </row>
    <row r="2785" spans="1:10" x14ac:dyDescent="0.2">
      <c r="A2785">
        <v>12784</v>
      </c>
      <c r="B2785" t="s">
        <v>10</v>
      </c>
      <c r="C2785" t="s">
        <v>11</v>
      </c>
      <c r="D2785">
        <v>2.74</v>
      </c>
      <c r="E2785">
        <v>2</v>
      </c>
      <c r="F2785" t="s">
        <v>14</v>
      </c>
      <c r="G2785">
        <v>10</v>
      </c>
      <c r="H2785">
        <v>3.0140000000000007</v>
      </c>
      <c r="I2785">
        <v>10.000000000000009</v>
      </c>
      <c r="J2785" t="s">
        <v>20</v>
      </c>
    </row>
    <row r="2786" spans="1:10" x14ac:dyDescent="0.2">
      <c r="A2786">
        <v>12785</v>
      </c>
      <c r="B2786" t="s">
        <v>10</v>
      </c>
      <c r="C2786" t="s">
        <v>9</v>
      </c>
      <c r="D2786">
        <v>7.05</v>
      </c>
      <c r="E2786">
        <v>6</v>
      </c>
      <c r="F2786" t="s">
        <v>15</v>
      </c>
      <c r="G2786">
        <v>30</v>
      </c>
      <c r="H2786">
        <v>9.1650000000000009</v>
      </c>
      <c r="I2786">
        <v>30.000000000000028</v>
      </c>
      <c r="J2786" t="s">
        <v>20</v>
      </c>
    </row>
    <row r="2787" spans="1:10" x14ac:dyDescent="0.2">
      <c r="A2787">
        <v>12786</v>
      </c>
      <c r="B2787" t="s">
        <v>7</v>
      </c>
      <c r="C2787" t="s">
        <v>6</v>
      </c>
      <c r="D2787">
        <v>6.42</v>
      </c>
      <c r="E2787">
        <v>2</v>
      </c>
      <c r="F2787" t="s">
        <v>14</v>
      </c>
      <c r="G2787">
        <v>12</v>
      </c>
      <c r="H2787">
        <v>7.1904000000000003</v>
      </c>
      <c r="I2787">
        <v>12.000000000000011</v>
      </c>
      <c r="J2787" t="s">
        <v>20</v>
      </c>
    </row>
    <row r="2788" spans="1:10" x14ac:dyDescent="0.2">
      <c r="A2788">
        <v>12787</v>
      </c>
      <c r="B2788" t="s">
        <v>10</v>
      </c>
      <c r="C2788" t="s">
        <v>11</v>
      </c>
      <c r="D2788">
        <v>10.47</v>
      </c>
      <c r="E2788">
        <v>10</v>
      </c>
      <c r="F2788" t="s">
        <v>16</v>
      </c>
      <c r="G2788">
        <v>50</v>
      </c>
      <c r="H2788">
        <v>15.705000000000002</v>
      </c>
      <c r="I2788">
        <v>50</v>
      </c>
      <c r="J2788" t="s">
        <v>20</v>
      </c>
    </row>
    <row r="2789" spans="1:10" x14ac:dyDescent="0.2">
      <c r="A2789">
        <v>12788</v>
      </c>
      <c r="B2789" t="s">
        <v>8</v>
      </c>
      <c r="C2789" t="s">
        <v>6</v>
      </c>
      <c r="D2789">
        <v>4.12</v>
      </c>
      <c r="E2789">
        <v>2</v>
      </c>
      <c r="F2789" t="s">
        <v>14</v>
      </c>
      <c r="G2789">
        <v>12</v>
      </c>
      <c r="H2789">
        <v>4.6144000000000007</v>
      </c>
      <c r="I2789">
        <v>12.000000000000011</v>
      </c>
      <c r="J2789" t="s">
        <v>20</v>
      </c>
    </row>
    <row r="2790" spans="1:10" x14ac:dyDescent="0.2">
      <c r="A2790">
        <v>12789</v>
      </c>
      <c r="B2790" t="s">
        <v>10</v>
      </c>
      <c r="C2790" t="s">
        <v>6</v>
      </c>
      <c r="D2790">
        <v>9.7799999999999994</v>
      </c>
      <c r="E2790">
        <v>7</v>
      </c>
      <c r="F2790" t="s">
        <v>15</v>
      </c>
      <c r="G2790">
        <v>28</v>
      </c>
      <c r="H2790">
        <v>12.5184</v>
      </c>
      <c r="I2790">
        <v>28.000000000000004</v>
      </c>
      <c r="J2790" t="s">
        <v>20</v>
      </c>
    </row>
    <row r="2791" spans="1:10" x14ac:dyDescent="0.2">
      <c r="A2791">
        <v>12790</v>
      </c>
      <c r="B2791" t="s">
        <v>7</v>
      </c>
      <c r="C2791" t="s">
        <v>11</v>
      </c>
      <c r="D2791">
        <v>13.22</v>
      </c>
      <c r="E2791">
        <v>1</v>
      </c>
      <c r="F2791" t="s">
        <v>14</v>
      </c>
      <c r="G2791">
        <v>10</v>
      </c>
      <c r="H2791">
        <v>14.542000000000002</v>
      </c>
      <c r="I2791">
        <v>10.000000000000009</v>
      </c>
      <c r="J2791" t="s">
        <v>20</v>
      </c>
    </row>
    <row r="2792" spans="1:10" x14ac:dyDescent="0.2">
      <c r="A2792">
        <v>12791</v>
      </c>
      <c r="B2792" t="s">
        <v>10</v>
      </c>
      <c r="C2792" t="s">
        <v>6</v>
      </c>
      <c r="D2792">
        <v>6.56</v>
      </c>
      <c r="E2792">
        <v>7</v>
      </c>
      <c r="F2792" t="s">
        <v>15</v>
      </c>
      <c r="G2792">
        <v>28</v>
      </c>
      <c r="H2792">
        <v>8.3967999999999989</v>
      </c>
      <c r="I2792">
        <v>27.999999999999979</v>
      </c>
      <c r="J2792" t="s">
        <v>20</v>
      </c>
    </row>
    <row r="2793" spans="1:10" x14ac:dyDescent="0.2">
      <c r="A2793">
        <v>12792</v>
      </c>
      <c r="B2793" t="s">
        <v>8</v>
      </c>
      <c r="C2793" t="s">
        <v>6</v>
      </c>
      <c r="D2793">
        <v>13.71</v>
      </c>
      <c r="E2793">
        <v>10</v>
      </c>
      <c r="F2793" t="s">
        <v>16</v>
      </c>
      <c r="G2793">
        <v>55</v>
      </c>
      <c r="H2793">
        <v>21.250500000000002</v>
      </c>
      <c r="I2793">
        <v>55.000000000000007</v>
      </c>
      <c r="J2793" t="s">
        <v>20</v>
      </c>
    </row>
    <row r="2794" spans="1:10" x14ac:dyDescent="0.2">
      <c r="A2794">
        <v>12793</v>
      </c>
      <c r="B2794" t="s">
        <v>8</v>
      </c>
      <c r="C2794" t="s">
        <v>9</v>
      </c>
      <c r="D2794">
        <v>14.9</v>
      </c>
      <c r="E2794">
        <v>5</v>
      </c>
      <c r="F2794" t="s">
        <v>15</v>
      </c>
      <c r="G2794">
        <v>30</v>
      </c>
      <c r="H2794">
        <v>19.37</v>
      </c>
      <c r="I2794">
        <v>30.000000000000004</v>
      </c>
      <c r="J2794" t="s">
        <v>20</v>
      </c>
    </row>
    <row r="2795" spans="1:10" x14ac:dyDescent="0.2">
      <c r="A2795">
        <v>12794</v>
      </c>
      <c r="B2795" t="s">
        <v>8</v>
      </c>
      <c r="C2795" t="s">
        <v>6</v>
      </c>
      <c r="D2795">
        <v>2.04</v>
      </c>
      <c r="E2795">
        <v>1</v>
      </c>
      <c r="F2795" t="s">
        <v>14</v>
      </c>
      <c r="G2795">
        <v>12</v>
      </c>
      <c r="H2795">
        <v>2.2848000000000002</v>
      </c>
      <c r="I2795">
        <v>12.000000000000011</v>
      </c>
      <c r="J2795" t="s">
        <v>20</v>
      </c>
    </row>
    <row r="2796" spans="1:10" x14ac:dyDescent="0.2">
      <c r="A2796">
        <v>12795</v>
      </c>
      <c r="B2796" t="s">
        <v>7</v>
      </c>
      <c r="C2796" t="s">
        <v>6</v>
      </c>
      <c r="D2796">
        <v>3.88</v>
      </c>
      <c r="E2796">
        <v>6</v>
      </c>
      <c r="F2796" t="s">
        <v>15</v>
      </c>
      <c r="G2796">
        <v>28</v>
      </c>
      <c r="H2796">
        <v>4.9664000000000001</v>
      </c>
      <c r="I2796">
        <v>28.000000000000004</v>
      </c>
      <c r="J2796" t="s">
        <v>20</v>
      </c>
    </row>
    <row r="2797" spans="1:10" x14ac:dyDescent="0.2">
      <c r="A2797">
        <v>12796</v>
      </c>
      <c r="B2797" t="s">
        <v>7</v>
      </c>
      <c r="C2797" t="s">
        <v>6</v>
      </c>
      <c r="D2797">
        <v>14.28</v>
      </c>
      <c r="E2797">
        <v>7</v>
      </c>
      <c r="F2797" t="s">
        <v>15</v>
      </c>
      <c r="G2797">
        <v>28</v>
      </c>
      <c r="H2797">
        <v>18.278400000000001</v>
      </c>
      <c r="I2797">
        <v>28.000000000000025</v>
      </c>
      <c r="J2797" t="s">
        <v>20</v>
      </c>
    </row>
    <row r="2798" spans="1:10" x14ac:dyDescent="0.2">
      <c r="A2798">
        <v>12797</v>
      </c>
      <c r="B2798" t="s">
        <v>5</v>
      </c>
      <c r="C2798" t="s">
        <v>6</v>
      </c>
      <c r="D2798">
        <v>14.4</v>
      </c>
      <c r="E2798">
        <v>1</v>
      </c>
      <c r="F2798" t="s">
        <v>14</v>
      </c>
      <c r="G2798">
        <v>12</v>
      </c>
      <c r="H2798">
        <v>16.128000000000004</v>
      </c>
      <c r="I2798">
        <v>12.000000000000032</v>
      </c>
      <c r="J2798" t="s">
        <v>20</v>
      </c>
    </row>
    <row r="2799" spans="1:10" x14ac:dyDescent="0.2">
      <c r="A2799">
        <v>12798</v>
      </c>
      <c r="B2799" t="s">
        <v>7</v>
      </c>
      <c r="C2799" t="s">
        <v>11</v>
      </c>
      <c r="D2799">
        <v>1.92</v>
      </c>
      <c r="E2799">
        <v>9</v>
      </c>
      <c r="F2799" t="s">
        <v>16</v>
      </c>
      <c r="G2799">
        <v>50</v>
      </c>
      <c r="H2799">
        <v>2.88</v>
      </c>
      <c r="I2799">
        <v>50</v>
      </c>
      <c r="J2799" t="s">
        <v>20</v>
      </c>
    </row>
    <row r="2800" spans="1:10" x14ac:dyDescent="0.2">
      <c r="A2800">
        <v>12799</v>
      </c>
      <c r="B2800" t="s">
        <v>8</v>
      </c>
      <c r="C2800" t="s">
        <v>9</v>
      </c>
      <c r="D2800">
        <v>0.72</v>
      </c>
      <c r="E2800">
        <v>7</v>
      </c>
      <c r="F2800" t="s">
        <v>15</v>
      </c>
      <c r="G2800">
        <v>30</v>
      </c>
      <c r="H2800">
        <v>0.93599999999999994</v>
      </c>
      <c r="I2800">
        <v>30.000000000000004</v>
      </c>
      <c r="J2800" t="s">
        <v>20</v>
      </c>
    </row>
    <row r="2801" spans="1:10" x14ac:dyDescent="0.2">
      <c r="A2801">
        <v>12800</v>
      </c>
      <c r="B2801" t="s">
        <v>8</v>
      </c>
      <c r="C2801" t="s">
        <v>6</v>
      </c>
      <c r="D2801">
        <v>2.84</v>
      </c>
      <c r="E2801">
        <v>1</v>
      </c>
      <c r="F2801" t="s">
        <v>14</v>
      </c>
      <c r="G2801">
        <v>12</v>
      </c>
      <c r="H2801">
        <v>3.1808000000000001</v>
      </c>
      <c r="I2801">
        <v>12.000000000000011</v>
      </c>
      <c r="J2801" t="s">
        <v>20</v>
      </c>
    </row>
    <row r="2802" spans="1:10" x14ac:dyDescent="0.2">
      <c r="A2802">
        <v>12801</v>
      </c>
      <c r="B2802" t="s">
        <v>7</v>
      </c>
      <c r="C2802" t="s">
        <v>6</v>
      </c>
      <c r="D2802">
        <v>14.94</v>
      </c>
      <c r="E2802">
        <v>3</v>
      </c>
      <c r="F2802" t="s">
        <v>14</v>
      </c>
      <c r="G2802">
        <v>12</v>
      </c>
      <c r="H2802">
        <v>16.732800000000001</v>
      </c>
      <c r="I2802">
        <v>12.000000000000011</v>
      </c>
      <c r="J2802" t="s">
        <v>20</v>
      </c>
    </row>
    <row r="2803" spans="1:10" x14ac:dyDescent="0.2">
      <c r="A2803">
        <v>12802</v>
      </c>
      <c r="B2803" t="s">
        <v>10</v>
      </c>
      <c r="C2803" t="s">
        <v>11</v>
      </c>
      <c r="D2803">
        <v>3.11</v>
      </c>
      <c r="E2803">
        <v>5</v>
      </c>
      <c r="F2803" t="s">
        <v>15</v>
      </c>
      <c r="G2803">
        <v>25</v>
      </c>
      <c r="H2803">
        <v>3.8874999999999997</v>
      </c>
      <c r="I2803">
        <v>25</v>
      </c>
      <c r="J2803" t="s">
        <v>20</v>
      </c>
    </row>
    <row r="2804" spans="1:10" x14ac:dyDescent="0.2">
      <c r="A2804">
        <v>12803</v>
      </c>
      <c r="B2804" t="s">
        <v>7</v>
      </c>
      <c r="C2804" t="s">
        <v>6</v>
      </c>
      <c r="D2804">
        <v>7.79</v>
      </c>
      <c r="E2804">
        <v>4</v>
      </c>
      <c r="F2804" t="s">
        <v>15</v>
      </c>
      <c r="G2804">
        <v>28</v>
      </c>
      <c r="H2804">
        <v>9.9711999999999996</v>
      </c>
      <c r="I2804">
        <v>28.000000000000004</v>
      </c>
      <c r="J2804" t="s">
        <v>20</v>
      </c>
    </row>
    <row r="2805" spans="1:10" x14ac:dyDescent="0.2">
      <c r="A2805">
        <v>12804</v>
      </c>
      <c r="B2805" t="s">
        <v>7</v>
      </c>
      <c r="C2805" t="s">
        <v>11</v>
      </c>
      <c r="D2805">
        <v>12.8</v>
      </c>
      <c r="E2805">
        <v>2</v>
      </c>
      <c r="F2805" t="s">
        <v>14</v>
      </c>
      <c r="G2805">
        <v>10</v>
      </c>
      <c r="H2805">
        <v>14.080000000000002</v>
      </c>
      <c r="I2805">
        <v>10.000000000000009</v>
      </c>
      <c r="J2805" t="s">
        <v>20</v>
      </c>
    </row>
    <row r="2806" spans="1:10" x14ac:dyDescent="0.2">
      <c r="A2806">
        <v>12805</v>
      </c>
      <c r="B2806" t="s">
        <v>8</v>
      </c>
      <c r="C2806" t="s">
        <v>9</v>
      </c>
      <c r="D2806">
        <v>0.8</v>
      </c>
      <c r="E2806">
        <v>1</v>
      </c>
      <c r="F2806" t="s">
        <v>14</v>
      </c>
      <c r="G2806">
        <v>15</v>
      </c>
      <c r="H2806">
        <v>0.91999999999999993</v>
      </c>
      <c r="I2806">
        <v>14.999999999999991</v>
      </c>
      <c r="J2806" t="s">
        <v>20</v>
      </c>
    </row>
    <row r="2807" spans="1:10" x14ac:dyDescent="0.2">
      <c r="A2807">
        <v>12806</v>
      </c>
      <c r="B2807" t="s">
        <v>5</v>
      </c>
      <c r="C2807" t="s">
        <v>9</v>
      </c>
      <c r="D2807">
        <v>9.27</v>
      </c>
      <c r="E2807">
        <v>4</v>
      </c>
      <c r="F2807" t="s">
        <v>15</v>
      </c>
      <c r="G2807">
        <v>30</v>
      </c>
      <c r="H2807">
        <v>12.051</v>
      </c>
      <c r="I2807">
        <v>30.000000000000004</v>
      </c>
      <c r="J2807" t="s">
        <v>20</v>
      </c>
    </row>
    <row r="2808" spans="1:10" x14ac:dyDescent="0.2">
      <c r="A2808">
        <v>12807</v>
      </c>
      <c r="B2808" t="s">
        <v>8</v>
      </c>
      <c r="C2808" t="s">
        <v>6</v>
      </c>
      <c r="D2808">
        <v>4.5199999999999996</v>
      </c>
      <c r="E2808">
        <v>7</v>
      </c>
      <c r="F2808" t="s">
        <v>15</v>
      </c>
      <c r="G2808">
        <v>28</v>
      </c>
      <c r="H2808">
        <v>5.7855999999999996</v>
      </c>
      <c r="I2808">
        <v>28.000000000000004</v>
      </c>
      <c r="J2808" t="s">
        <v>20</v>
      </c>
    </row>
    <row r="2809" spans="1:10" x14ac:dyDescent="0.2">
      <c r="A2809">
        <v>12808</v>
      </c>
      <c r="B2809" t="s">
        <v>5</v>
      </c>
      <c r="C2809" t="s">
        <v>6</v>
      </c>
      <c r="D2809">
        <v>13</v>
      </c>
      <c r="E2809">
        <v>4</v>
      </c>
      <c r="F2809" t="s">
        <v>15</v>
      </c>
      <c r="G2809">
        <v>28</v>
      </c>
      <c r="H2809">
        <v>16.64</v>
      </c>
      <c r="I2809">
        <v>28.000000000000004</v>
      </c>
      <c r="J2809" t="s">
        <v>20</v>
      </c>
    </row>
    <row r="2810" spans="1:10" x14ac:dyDescent="0.2">
      <c r="A2810">
        <v>12809</v>
      </c>
      <c r="B2810" t="s">
        <v>8</v>
      </c>
      <c r="C2810" t="s">
        <v>6</v>
      </c>
      <c r="D2810">
        <v>4.6100000000000003</v>
      </c>
      <c r="E2810">
        <v>9</v>
      </c>
      <c r="F2810" t="s">
        <v>16</v>
      </c>
      <c r="G2810">
        <v>55</v>
      </c>
      <c r="H2810">
        <v>7.1455000000000011</v>
      </c>
      <c r="I2810">
        <v>55.000000000000007</v>
      </c>
      <c r="J2810" t="s">
        <v>20</v>
      </c>
    </row>
    <row r="2811" spans="1:10" x14ac:dyDescent="0.2">
      <c r="A2811">
        <v>12810</v>
      </c>
      <c r="B2811" t="s">
        <v>7</v>
      </c>
      <c r="C2811" t="s">
        <v>11</v>
      </c>
      <c r="D2811">
        <v>10.46</v>
      </c>
      <c r="E2811">
        <v>8</v>
      </c>
      <c r="F2811" t="s">
        <v>16</v>
      </c>
      <c r="G2811">
        <v>50</v>
      </c>
      <c r="H2811">
        <v>15.690000000000001</v>
      </c>
      <c r="I2811">
        <v>50</v>
      </c>
      <c r="J2811" t="s">
        <v>20</v>
      </c>
    </row>
    <row r="2812" spans="1:10" x14ac:dyDescent="0.2">
      <c r="A2812">
        <v>12811</v>
      </c>
      <c r="B2812" t="s">
        <v>8</v>
      </c>
      <c r="C2812" t="s">
        <v>6</v>
      </c>
      <c r="D2812">
        <v>10.28</v>
      </c>
      <c r="E2812">
        <v>8</v>
      </c>
      <c r="F2812" t="s">
        <v>16</v>
      </c>
      <c r="G2812">
        <v>55</v>
      </c>
      <c r="H2812">
        <v>15.933999999999999</v>
      </c>
      <c r="I2812">
        <v>55.000000000000007</v>
      </c>
      <c r="J2812" t="s">
        <v>20</v>
      </c>
    </row>
    <row r="2813" spans="1:10" x14ac:dyDescent="0.2">
      <c r="A2813">
        <v>12812</v>
      </c>
      <c r="B2813" t="s">
        <v>8</v>
      </c>
      <c r="C2813" t="s">
        <v>6</v>
      </c>
      <c r="D2813">
        <v>3.71</v>
      </c>
      <c r="E2813">
        <v>5</v>
      </c>
      <c r="F2813" t="s">
        <v>15</v>
      </c>
      <c r="G2813">
        <v>28</v>
      </c>
      <c r="H2813">
        <v>4.7488000000000001</v>
      </c>
      <c r="I2813">
        <v>28.000000000000004</v>
      </c>
      <c r="J2813" t="s">
        <v>20</v>
      </c>
    </row>
    <row r="2814" spans="1:10" x14ac:dyDescent="0.2">
      <c r="A2814">
        <v>12813</v>
      </c>
      <c r="B2814" t="s">
        <v>8</v>
      </c>
      <c r="C2814" t="s">
        <v>9</v>
      </c>
      <c r="D2814">
        <v>1</v>
      </c>
      <c r="E2814">
        <v>1</v>
      </c>
      <c r="F2814" t="s">
        <v>14</v>
      </c>
      <c r="G2814">
        <v>15</v>
      </c>
      <c r="H2814">
        <v>1.1499999999999999</v>
      </c>
      <c r="I2814">
        <v>14.999999999999991</v>
      </c>
      <c r="J2814" t="s">
        <v>20</v>
      </c>
    </row>
    <row r="2815" spans="1:10" x14ac:dyDescent="0.2">
      <c r="A2815">
        <v>12814</v>
      </c>
      <c r="B2815" t="s">
        <v>7</v>
      </c>
      <c r="C2815" t="s">
        <v>6</v>
      </c>
      <c r="D2815">
        <v>6.43</v>
      </c>
      <c r="E2815">
        <v>9</v>
      </c>
      <c r="F2815" t="s">
        <v>16</v>
      </c>
      <c r="G2815">
        <v>55</v>
      </c>
      <c r="H2815">
        <v>9.9664999999999999</v>
      </c>
      <c r="I2815">
        <v>55.000000000000007</v>
      </c>
      <c r="J2815" t="s">
        <v>20</v>
      </c>
    </row>
    <row r="2816" spans="1:10" x14ac:dyDescent="0.2">
      <c r="A2816">
        <v>12815</v>
      </c>
      <c r="B2816" t="s">
        <v>7</v>
      </c>
      <c r="C2816" t="s">
        <v>9</v>
      </c>
      <c r="D2816">
        <v>4.6900000000000004</v>
      </c>
      <c r="E2816">
        <v>2</v>
      </c>
      <c r="F2816" t="s">
        <v>14</v>
      </c>
      <c r="G2816">
        <v>15</v>
      </c>
      <c r="H2816">
        <v>5.3935000000000004</v>
      </c>
      <c r="I2816">
        <v>14.999999999999991</v>
      </c>
      <c r="J2816" t="s">
        <v>20</v>
      </c>
    </row>
    <row r="2817" spans="1:10" x14ac:dyDescent="0.2">
      <c r="A2817">
        <v>12816</v>
      </c>
      <c r="B2817" t="s">
        <v>7</v>
      </c>
      <c r="C2817" t="s">
        <v>6</v>
      </c>
      <c r="D2817">
        <v>12.23</v>
      </c>
      <c r="E2817">
        <v>6</v>
      </c>
      <c r="F2817" t="s">
        <v>15</v>
      </c>
      <c r="G2817">
        <v>28</v>
      </c>
      <c r="H2817">
        <v>15.654400000000001</v>
      </c>
      <c r="I2817">
        <v>28.000000000000004</v>
      </c>
      <c r="J2817" t="s">
        <v>20</v>
      </c>
    </row>
    <row r="2818" spans="1:10" x14ac:dyDescent="0.2">
      <c r="A2818">
        <v>12817</v>
      </c>
      <c r="B2818" t="s">
        <v>7</v>
      </c>
      <c r="C2818" t="s">
        <v>9</v>
      </c>
      <c r="D2818">
        <v>12.11</v>
      </c>
      <c r="E2818">
        <v>10</v>
      </c>
      <c r="F2818" t="s">
        <v>16</v>
      </c>
      <c r="G2818">
        <v>60</v>
      </c>
      <c r="H2818">
        <v>19.376000000000001</v>
      </c>
      <c r="I2818">
        <v>60.000000000000007</v>
      </c>
      <c r="J2818" t="s">
        <v>20</v>
      </c>
    </row>
    <row r="2819" spans="1:10" x14ac:dyDescent="0.2">
      <c r="A2819">
        <v>12818</v>
      </c>
      <c r="B2819" t="s">
        <v>5</v>
      </c>
      <c r="C2819" t="s">
        <v>6</v>
      </c>
      <c r="D2819">
        <v>7.13</v>
      </c>
      <c r="E2819">
        <v>5</v>
      </c>
      <c r="F2819" t="s">
        <v>15</v>
      </c>
      <c r="G2819">
        <v>28</v>
      </c>
      <c r="H2819">
        <v>9.1264000000000003</v>
      </c>
      <c r="I2819">
        <v>28.000000000000004</v>
      </c>
      <c r="J2819" t="s">
        <v>20</v>
      </c>
    </row>
    <row r="2820" spans="1:10" x14ac:dyDescent="0.2">
      <c r="A2820">
        <v>12819</v>
      </c>
      <c r="B2820" t="s">
        <v>5</v>
      </c>
      <c r="C2820" t="s">
        <v>9</v>
      </c>
      <c r="D2820">
        <v>9.2899999999999991</v>
      </c>
      <c r="E2820">
        <v>10</v>
      </c>
      <c r="F2820" t="s">
        <v>16</v>
      </c>
      <c r="G2820">
        <v>60</v>
      </c>
      <c r="H2820">
        <v>14.863999999999999</v>
      </c>
      <c r="I2820">
        <v>60.000000000000007</v>
      </c>
      <c r="J2820" t="s">
        <v>20</v>
      </c>
    </row>
    <row r="2821" spans="1:10" x14ac:dyDescent="0.2">
      <c r="A2821">
        <v>12820</v>
      </c>
      <c r="B2821" t="s">
        <v>10</v>
      </c>
      <c r="C2821" t="s">
        <v>11</v>
      </c>
      <c r="D2821">
        <v>9.26</v>
      </c>
      <c r="E2821">
        <v>8</v>
      </c>
      <c r="F2821" t="s">
        <v>16</v>
      </c>
      <c r="G2821">
        <v>50</v>
      </c>
      <c r="H2821">
        <v>13.89</v>
      </c>
      <c r="I2821">
        <v>50</v>
      </c>
      <c r="J2821" t="s">
        <v>20</v>
      </c>
    </row>
    <row r="2822" spans="1:10" x14ac:dyDescent="0.2">
      <c r="A2822">
        <v>12821</v>
      </c>
      <c r="B2822" t="s">
        <v>7</v>
      </c>
      <c r="C2822" t="s">
        <v>9</v>
      </c>
      <c r="D2822">
        <v>12.49</v>
      </c>
      <c r="E2822">
        <v>3</v>
      </c>
      <c r="F2822" t="s">
        <v>14</v>
      </c>
      <c r="G2822">
        <v>15</v>
      </c>
      <c r="H2822">
        <v>14.363499999999998</v>
      </c>
      <c r="I2822">
        <v>14.999999999999991</v>
      </c>
      <c r="J2822" t="s">
        <v>20</v>
      </c>
    </row>
    <row r="2823" spans="1:10" x14ac:dyDescent="0.2">
      <c r="A2823">
        <v>12822</v>
      </c>
      <c r="B2823" t="s">
        <v>5</v>
      </c>
      <c r="C2823" t="s">
        <v>9</v>
      </c>
      <c r="D2823">
        <v>6.66</v>
      </c>
      <c r="E2823">
        <v>6</v>
      </c>
      <c r="F2823" t="s">
        <v>15</v>
      </c>
      <c r="G2823">
        <v>30</v>
      </c>
      <c r="H2823">
        <v>8.6580000000000013</v>
      </c>
      <c r="I2823">
        <v>30.000000000000028</v>
      </c>
      <c r="J2823" t="s">
        <v>20</v>
      </c>
    </row>
    <row r="2824" spans="1:10" x14ac:dyDescent="0.2">
      <c r="A2824">
        <v>12823</v>
      </c>
      <c r="B2824" t="s">
        <v>8</v>
      </c>
      <c r="C2824" t="s">
        <v>9</v>
      </c>
      <c r="D2824">
        <v>4.49</v>
      </c>
      <c r="E2824">
        <v>6</v>
      </c>
      <c r="F2824" t="s">
        <v>15</v>
      </c>
      <c r="G2824">
        <v>30</v>
      </c>
      <c r="H2824">
        <v>5.8370000000000006</v>
      </c>
      <c r="I2824">
        <v>30.000000000000004</v>
      </c>
      <c r="J2824" t="s">
        <v>20</v>
      </c>
    </row>
    <row r="2825" spans="1:10" x14ac:dyDescent="0.2">
      <c r="A2825">
        <v>12824</v>
      </c>
      <c r="B2825" t="s">
        <v>7</v>
      </c>
      <c r="C2825" t="s">
        <v>6</v>
      </c>
      <c r="D2825">
        <v>4.34</v>
      </c>
      <c r="E2825">
        <v>10</v>
      </c>
      <c r="F2825" t="s">
        <v>16</v>
      </c>
      <c r="G2825">
        <v>55</v>
      </c>
      <c r="H2825">
        <v>6.7270000000000003</v>
      </c>
      <c r="I2825">
        <v>55.000000000000007</v>
      </c>
      <c r="J2825" t="s">
        <v>20</v>
      </c>
    </row>
    <row r="2826" spans="1:10" x14ac:dyDescent="0.2">
      <c r="A2826">
        <v>12825</v>
      </c>
      <c r="B2826" t="s">
        <v>10</v>
      </c>
      <c r="C2826" t="s">
        <v>6</v>
      </c>
      <c r="D2826">
        <v>8.27</v>
      </c>
      <c r="E2826">
        <v>3</v>
      </c>
      <c r="F2826" t="s">
        <v>14</v>
      </c>
      <c r="G2826">
        <v>12</v>
      </c>
      <c r="H2826">
        <v>9.2623999999999995</v>
      </c>
      <c r="I2826">
        <v>12.000000000000011</v>
      </c>
      <c r="J2826" t="s">
        <v>20</v>
      </c>
    </row>
    <row r="2827" spans="1:10" x14ac:dyDescent="0.2">
      <c r="A2827">
        <v>12826</v>
      </c>
      <c r="B2827" t="s">
        <v>10</v>
      </c>
      <c r="C2827" t="s">
        <v>6</v>
      </c>
      <c r="D2827">
        <v>7.01</v>
      </c>
      <c r="E2827">
        <v>7</v>
      </c>
      <c r="F2827" t="s">
        <v>15</v>
      </c>
      <c r="G2827">
        <v>28</v>
      </c>
      <c r="H2827">
        <v>8.9727999999999994</v>
      </c>
      <c r="I2827">
        <v>28.000000000000004</v>
      </c>
      <c r="J2827" t="s">
        <v>20</v>
      </c>
    </row>
    <row r="2828" spans="1:10" x14ac:dyDescent="0.2">
      <c r="A2828">
        <v>12827</v>
      </c>
      <c r="B2828" t="s">
        <v>10</v>
      </c>
      <c r="C2828" t="s">
        <v>11</v>
      </c>
      <c r="D2828">
        <v>6.88</v>
      </c>
      <c r="E2828">
        <v>4</v>
      </c>
      <c r="F2828" t="s">
        <v>15</v>
      </c>
      <c r="G2828">
        <v>25</v>
      </c>
      <c r="H2828">
        <v>8.6</v>
      </c>
      <c r="I2828">
        <v>25</v>
      </c>
      <c r="J2828" t="s">
        <v>20</v>
      </c>
    </row>
    <row r="2829" spans="1:10" x14ac:dyDescent="0.2">
      <c r="A2829">
        <v>12828</v>
      </c>
      <c r="B2829" t="s">
        <v>8</v>
      </c>
      <c r="C2829" t="s">
        <v>11</v>
      </c>
      <c r="D2829">
        <v>1.82</v>
      </c>
      <c r="E2829">
        <v>5</v>
      </c>
      <c r="F2829" t="s">
        <v>15</v>
      </c>
      <c r="G2829">
        <v>25</v>
      </c>
      <c r="H2829">
        <v>2.2749999999999999</v>
      </c>
      <c r="I2829">
        <v>25</v>
      </c>
      <c r="J2829" t="s">
        <v>20</v>
      </c>
    </row>
    <row r="2830" spans="1:10" x14ac:dyDescent="0.2">
      <c r="A2830">
        <v>12829</v>
      </c>
      <c r="B2830" t="s">
        <v>5</v>
      </c>
      <c r="C2830" t="s">
        <v>9</v>
      </c>
      <c r="D2830">
        <v>10.92</v>
      </c>
      <c r="E2830">
        <v>9</v>
      </c>
      <c r="F2830" t="s">
        <v>16</v>
      </c>
      <c r="G2830">
        <v>60</v>
      </c>
      <c r="H2830">
        <v>17.472000000000001</v>
      </c>
      <c r="I2830">
        <v>60.000000000000007</v>
      </c>
      <c r="J2830" t="s">
        <v>20</v>
      </c>
    </row>
    <row r="2831" spans="1:10" x14ac:dyDescent="0.2">
      <c r="A2831">
        <v>12830</v>
      </c>
      <c r="B2831" t="s">
        <v>8</v>
      </c>
      <c r="C2831" t="s">
        <v>11</v>
      </c>
      <c r="D2831">
        <v>3.6</v>
      </c>
      <c r="E2831">
        <v>6</v>
      </c>
      <c r="F2831" t="s">
        <v>15</v>
      </c>
      <c r="G2831">
        <v>25</v>
      </c>
      <c r="H2831">
        <v>4.5</v>
      </c>
      <c r="I2831">
        <v>25</v>
      </c>
      <c r="J2831" t="s">
        <v>20</v>
      </c>
    </row>
    <row r="2832" spans="1:10" x14ac:dyDescent="0.2">
      <c r="A2832">
        <v>12831</v>
      </c>
      <c r="B2832" t="s">
        <v>7</v>
      </c>
      <c r="C2832" t="s">
        <v>9</v>
      </c>
      <c r="D2832">
        <v>3.36</v>
      </c>
      <c r="E2832">
        <v>10</v>
      </c>
      <c r="F2832" t="s">
        <v>16</v>
      </c>
      <c r="G2832">
        <v>60</v>
      </c>
      <c r="H2832">
        <v>5.3760000000000003</v>
      </c>
      <c r="I2832">
        <v>60.000000000000007</v>
      </c>
      <c r="J2832" t="s">
        <v>20</v>
      </c>
    </row>
    <row r="2833" spans="1:10" x14ac:dyDescent="0.2">
      <c r="A2833">
        <v>12832</v>
      </c>
      <c r="B2833" t="s">
        <v>10</v>
      </c>
      <c r="C2833" t="s">
        <v>9</v>
      </c>
      <c r="D2833">
        <v>6.48</v>
      </c>
      <c r="E2833">
        <v>4</v>
      </c>
      <c r="F2833" t="s">
        <v>15</v>
      </c>
      <c r="G2833">
        <v>30</v>
      </c>
      <c r="H2833">
        <v>8.4240000000000013</v>
      </c>
      <c r="I2833">
        <v>30.000000000000004</v>
      </c>
      <c r="J2833" t="s">
        <v>20</v>
      </c>
    </row>
    <row r="2834" spans="1:10" x14ac:dyDescent="0.2">
      <c r="A2834">
        <v>12833</v>
      </c>
      <c r="B2834" t="s">
        <v>8</v>
      </c>
      <c r="C2834" t="s">
        <v>9</v>
      </c>
      <c r="D2834">
        <v>3.8</v>
      </c>
      <c r="E2834">
        <v>8</v>
      </c>
      <c r="F2834" t="s">
        <v>16</v>
      </c>
      <c r="G2834">
        <v>60</v>
      </c>
      <c r="H2834">
        <v>6.08</v>
      </c>
      <c r="I2834">
        <v>60.000000000000007</v>
      </c>
      <c r="J2834" t="s">
        <v>20</v>
      </c>
    </row>
    <row r="2835" spans="1:10" x14ac:dyDescent="0.2">
      <c r="A2835">
        <v>12834</v>
      </c>
      <c r="B2835" t="s">
        <v>8</v>
      </c>
      <c r="C2835" t="s">
        <v>11</v>
      </c>
      <c r="D2835">
        <v>8.9700000000000006</v>
      </c>
      <c r="E2835">
        <v>9</v>
      </c>
      <c r="F2835" t="s">
        <v>16</v>
      </c>
      <c r="G2835">
        <v>50</v>
      </c>
      <c r="H2835">
        <v>13.455000000000002</v>
      </c>
      <c r="I2835">
        <v>50</v>
      </c>
      <c r="J2835" t="s">
        <v>20</v>
      </c>
    </row>
    <row r="2836" spans="1:10" x14ac:dyDescent="0.2">
      <c r="A2836">
        <v>12835</v>
      </c>
      <c r="B2836" t="s">
        <v>5</v>
      </c>
      <c r="C2836" t="s">
        <v>6</v>
      </c>
      <c r="D2836">
        <v>5.89</v>
      </c>
      <c r="E2836">
        <v>10</v>
      </c>
      <c r="F2836" t="s">
        <v>16</v>
      </c>
      <c r="G2836">
        <v>55</v>
      </c>
      <c r="H2836">
        <v>9.1295000000000002</v>
      </c>
      <c r="I2836">
        <v>55.000000000000007</v>
      </c>
      <c r="J2836" t="s">
        <v>20</v>
      </c>
    </row>
    <row r="2837" spans="1:10" x14ac:dyDescent="0.2">
      <c r="A2837">
        <v>12836</v>
      </c>
      <c r="B2837" t="s">
        <v>5</v>
      </c>
      <c r="C2837" t="s">
        <v>11</v>
      </c>
      <c r="D2837">
        <v>7.01</v>
      </c>
      <c r="E2837">
        <v>5</v>
      </c>
      <c r="F2837" t="s">
        <v>15</v>
      </c>
      <c r="G2837">
        <v>25</v>
      </c>
      <c r="H2837">
        <v>8.7624999999999993</v>
      </c>
      <c r="I2837">
        <v>25</v>
      </c>
      <c r="J2837" t="s">
        <v>20</v>
      </c>
    </row>
    <row r="2838" spans="1:10" x14ac:dyDescent="0.2">
      <c r="A2838">
        <v>12837</v>
      </c>
      <c r="B2838" t="s">
        <v>10</v>
      </c>
      <c r="C2838" t="s">
        <v>9</v>
      </c>
      <c r="D2838">
        <v>8.2899999999999991</v>
      </c>
      <c r="E2838">
        <v>2</v>
      </c>
      <c r="F2838" t="s">
        <v>14</v>
      </c>
      <c r="G2838">
        <v>15</v>
      </c>
      <c r="H2838">
        <v>9.5334999999999983</v>
      </c>
      <c r="I2838">
        <v>14.999999999999991</v>
      </c>
      <c r="J2838" t="s">
        <v>20</v>
      </c>
    </row>
    <row r="2839" spans="1:10" x14ac:dyDescent="0.2">
      <c r="A2839">
        <v>12838</v>
      </c>
      <c r="B2839" t="s">
        <v>8</v>
      </c>
      <c r="C2839" t="s">
        <v>9</v>
      </c>
      <c r="D2839">
        <v>3.45</v>
      </c>
      <c r="E2839">
        <v>6</v>
      </c>
      <c r="F2839" t="s">
        <v>15</v>
      </c>
      <c r="G2839">
        <v>30</v>
      </c>
      <c r="H2839">
        <v>4.4850000000000003</v>
      </c>
      <c r="I2839">
        <v>30.000000000000004</v>
      </c>
      <c r="J2839" t="s">
        <v>20</v>
      </c>
    </row>
    <row r="2840" spans="1:10" x14ac:dyDescent="0.2">
      <c r="A2840">
        <v>12839</v>
      </c>
      <c r="B2840" t="s">
        <v>8</v>
      </c>
      <c r="C2840" t="s">
        <v>11</v>
      </c>
      <c r="D2840">
        <v>2.76</v>
      </c>
      <c r="E2840">
        <v>8</v>
      </c>
      <c r="F2840" t="s">
        <v>16</v>
      </c>
      <c r="G2840">
        <v>50</v>
      </c>
      <c r="H2840">
        <v>4.1399999999999997</v>
      </c>
      <c r="I2840">
        <v>50</v>
      </c>
      <c r="J2840" t="s">
        <v>20</v>
      </c>
    </row>
    <row r="2841" spans="1:10" x14ac:dyDescent="0.2">
      <c r="A2841">
        <v>12840</v>
      </c>
      <c r="B2841" t="s">
        <v>5</v>
      </c>
      <c r="C2841" t="s">
        <v>9</v>
      </c>
      <c r="D2841">
        <v>13.27</v>
      </c>
      <c r="E2841">
        <v>5</v>
      </c>
      <c r="F2841" t="s">
        <v>15</v>
      </c>
      <c r="G2841">
        <v>30</v>
      </c>
      <c r="H2841">
        <v>17.251000000000001</v>
      </c>
      <c r="I2841">
        <v>30.000000000000004</v>
      </c>
      <c r="J2841" t="s">
        <v>20</v>
      </c>
    </row>
    <row r="2842" spans="1:10" x14ac:dyDescent="0.2">
      <c r="A2842">
        <v>12841</v>
      </c>
      <c r="B2842" t="s">
        <v>8</v>
      </c>
      <c r="C2842" t="s">
        <v>9</v>
      </c>
      <c r="D2842">
        <v>6.79</v>
      </c>
      <c r="E2842">
        <v>1</v>
      </c>
      <c r="F2842" t="s">
        <v>14</v>
      </c>
      <c r="G2842">
        <v>15</v>
      </c>
      <c r="H2842">
        <v>7.8084999999999996</v>
      </c>
      <c r="I2842">
        <v>14.999999999999991</v>
      </c>
      <c r="J2842" t="s">
        <v>20</v>
      </c>
    </row>
    <row r="2843" spans="1:10" x14ac:dyDescent="0.2">
      <c r="A2843">
        <v>12842</v>
      </c>
      <c r="B2843" t="s">
        <v>8</v>
      </c>
      <c r="C2843" t="s">
        <v>11</v>
      </c>
      <c r="D2843">
        <v>6.48</v>
      </c>
      <c r="E2843">
        <v>8</v>
      </c>
      <c r="F2843" t="s">
        <v>16</v>
      </c>
      <c r="G2843">
        <v>50</v>
      </c>
      <c r="H2843">
        <v>9.7200000000000006</v>
      </c>
      <c r="I2843">
        <v>50</v>
      </c>
      <c r="J2843" t="s">
        <v>20</v>
      </c>
    </row>
    <row r="2844" spans="1:10" x14ac:dyDescent="0.2">
      <c r="A2844">
        <v>12843</v>
      </c>
      <c r="B2844" t="s">
        <v>8</v>
      </c>
      <c r="C2844" t="s">
        <v>11</v>
      </c>
      <c r="D2844">
        <v>1.02</v>
      </c>
      <c r="E2844">
        <v>9</v>
      </c>
      <c r="F2844" t="s">
        <v>16</v>
      </c>
      <c r="G2844">
        <v>50</v>
      </c>
      <c r="H2844">
        <v>1.53</v>
      </c>
      <c r="I2844">
        <v>50</v>
      </c>
      <c r="J2844" t="s">
        <v>20</v>
      </c>
    </row>
    <row r="2845" spans="1:10" x14ac:dyDescent="0.2">
      <c r="A2845">
        <v>12844</v>
      </c>
      <c r="B2845" t="s">
        <v>5</v>
      </c>
      <c r="C2845" t="s">
        <v>11</v>
      </c>
      <c r="D2845">
        <v>7.72</v>
      </c>
      <c r="E2845">
        <v>1</v>
      </c>
      <c r="F2845" t="s">
        <v>14</v>
      </c>
      <c r="G2845">
        <v>10</v>
      </c>
      <c r="H2845">
        <v>8.4920000000000009</v>
      </c>
      <c r="I2845">
        <v>10.000000000000009</v>
      </c>
      <c r="J2845" t="s">
        <v>20</v>
      </c>
    </row>
    <row r="2846" spans="1:10" x14ac:dyDescent="0.2">
      <c r="A2846">
        <v>12845</v>
      </c>
      <c r="B2846" t="s">
        <v>10</v>
      </c>
      <c r="C2846" t="s">
        <v>9</v>
      </c>
      <c r="D2846">
        <v>8.5399999999999991</v>
      </c>
      <c r="E2846">
        <v>8</v>
      </c>
      <c r="F2846" t="s">
        <v>16</v>
      </c>
      <c r="G2846">
        <v>60</v>
      </c>
      <c r="H2846">
        <v>13.664</v>
      </c>
      <c r="I2846">
        <v>60.000000000000007</v>
      </c>
      <c r="J2846" t="s">
        <v>20</v>
      </c>
    </row>
    <row r="2847" spans="1:10" x14ac:dyDescent="0.2">
      <c r="A2847">
        <v>12846</v>
      </c>
      <c r="B2847" t="s">
        <v>7</v>
      </c>
      <c r="C2847" t="s">
        <v>9</v>
      </c>
      <c r="D2847">
        <v>8.6</v>
      </c>
      <c r="E2847">
        <v>10</v>
      </c>
      <c r="F2847" t="s">
        <v>16</v>
      </c>
      <c r="G2847">
        <v>60</v>
      </c>
      <c r="H2847">
        <v>13.76</v>
      </c>
      <c r="I2847">
        <v>60.000000000000007</v>
      </c>
      <c r="J2847" t="s">
        <v>20</v>
      </c>
    </row>
    <row r="2848" spans="1:10" x14ac:dyDescent="0.2">
      <c r="A2848">
        <v>12847</v>
      </c>
      <c r="B2848" t="s">
        <v>10</v>
      </c>
      <c r="C2848" t="s">
        <v>6</v>
      </c>
      <c r="D2848">
        <v>10.75</v>
      </c>
      <c r="E2848">
        <v>2</v>
      </c>
      <c r="F2848" t="s">
        <v>14</v>
      </c>
      <c r="G2848">
        <v>12</v>
      </c>
      <c r="H2848">
        <v>12.040000000000001</v>
      </c>
      <c r="I2848">
        <v>12.000000000000011</v>
      </c>
      <c r="J2848" t="s">
        <v>20</v>
      </c>
    </row>
    <row r="2849" spans="1:10" x14ac:dyDescent="0.2">
      <c r="A2849">
        <v>12848</v>
      </c>
      <c r="B2849" t="s">
        <v>7</v>
      </c>
      <c r="C2849" t="s">
        <v>6</v>
      </c>
      <c r="D2849">
        <v>3.07</v>
      </c>
      <c r="E2849">
        <v>4</v>
      </c>
      <c r="F2849" t="s">
        <v>15</v>
      </c>
      <c r="G2849">
        <v>28</v>
      </c>
      <c r="H2849">
        <v>3.9295999999999998</v>
      </c>
      <c r="I2849">
        <v>28.000000000000004</v>
      </c>
      <c r="J2849" t="s">
        <v>20</v>
      </c>
    </row>
    <row r="2850" spans="1:10" x14ac:dyDescent="0.2">
      <c r="A2850">
        <v>12849</v>
      </c>
      <c r="B2850" t="s">
        <v>8</v>
      </c>
      <c r="C2850" t="s">
        <v>11</v>
      </c>
      <c r="D2850">
        <v>4.16</v>
      </c>
      <c r="E2850">
        <v>2</v>
      </c>
      <c r="F2850" t="s">
        <v>14</v>
      </c>
      <c r="G2850">
        <v>10</v>
      </c>
      <c r="H2850">
        <v>4.5760000000000005</v>
      </c>
      <c r="I2850">
        <v>10.000000000000009</v>
      </c>
      <c r="J2850" t="s">
        <v>20</v>
      </c>
    </row>
    <row r="2851" spans="1:10" x14ac:dyDescent="0.2">
      <c r="A2851">
        <v>12850</v>
      </c>
      <c r="B2851" t="s">
        <v>10</v>
      </c>
      <c r="C2851" t="s">
        <v>6</v>
      </c>
      <c r="D2851">
        <v>12.26</v>
      </c>
      <c r="E2851">
        <v>2</v>
      </c>
      <c r="F2851" t="s">
        <v>14</v>
      </c>
      <c r="G2851">
        <v>12</v>
      </c>
      <c r="H2851">
        <v>13.731200000000001</v>
      </c>
      <c r="I2851">
        <v>12.000000000000011</v>
      </c>
      <c r="J2851" t="s">
        <v>20</v>
      </c>
    </row>
    <row r="2852" spans="1:10" x14ac:dyDescent="0.2">
      <c r="A2852">
        <v>12851</v>
      </c>
      <c r="B2852" t="s">
        <v>7</v>
      </c>
      <c r="C2852" t="s">
        <v>9</v>
      </c>
      <c r="D2852">
        <v>14.23</v>
      </c>
      <c r="E2852">
        <v>10</v>
      </c>
      <c r="F2852" t="s">
        <v>16</v>
      </c>
      <c r="G2852">
        <v>60</v>
      </c>
      <c r="H2852">
        <v>22.768000000000001</v>
      </c>
      <c r="I2852">
        <v>60.000000000000007</v>
      </c>
      <c r="J2852" t="s">
        <v>20</v>
      </c>
    </row>
    <row r="2853" spans="1:10" x14ac:dyDescent="0.2">
      <c r="A2853">
        <v>12852</v>
      </c>
      <c r="B2853" t="s">
        <v>5</v>
      </c>
      <c r="C2853" t="s">
        <v>6</v>
      </c>
      <c r="D2853">
        <v>2.4700000000000002</v>
      </c>
      <c r="E2853">
        <v>3</v>
      </c>
      <c r="F2853" t="s">
        <v>14</v>
      </c>
      <c r="G2853">
        <v>12</v>
      </c>
      <c r="H2853">
        <v>2.7664000000000004</v>
      </c>
      <c r="I2853">
        <v>12.000000000000011</v>
      </c>
      <c r="J2853" t="s">
        <v>20</v>
      </c>
    </row>
    <row r="2854" spans="1:10" x14ac:dyDescent="0.2">
      <c r="A2854">
        <v>12853</v>
      </c>
      <c r="B2854" t="s">
        <v>5</v>
      </c>
      <c r="C2854" t="s">
        <v>9</v>
      </c>
      <c r="D2854">
        <v>7.72</v>
      </c>
      <c r="E2854">
        <v>8</v>
      </c>
      <c r="F2854" t="s">
        <v>16</v>
      </c>
      <c r="G2854">
        <v>60</v>
      </c>
      <c r="H2854">
        <v>12.352</v>
      </c>
      <c r="I2854">
        <v>60.000000000000007</v>
      </c>
      <c r="J2854" t="s">
        <v>20</v>
      </c>
    </row>
    <row r="2855" spans="1:10" x14ac:dyDescent="0.2">
      <c r="A2855">
        <v>12854</v>
      </c>
      <c r="B2855" t="s">
        <v>10</v>
      </c>
      <c r="C2855" t="s">
        <v>11</v>
      </c>
      <c r="D2855">
        <v>3.61</v>
      </c>
      <c r="E2855">
        <v>4</v>
      </c>
      <c r="F2855" t="s">
        <v>15</v>
      </c>
      <c r="G2855">
        <v>25</v>
      </c>
      <c r="H2855">
        <v>4.5125000000000002</v>
      </c>
      <c r="I2855">
        <v>25</v>
      </c>
      <c r="J2855" t="s">
        <v>20</v>
      </c>
    </row>
    <row r="2856" spans="1:10" x14ac:dyDescent="0.2">
      <c r="A2856">
        <v>12855</v>
      </c>
      <c r="B2856" t="s">
        <v>10</v>
      </c>
      <c r="C2856" t="s">
        <v>11</v>
      </c>
      <c r="D2856">
        <v>1.37</v>
      </c>
      <c r="E2856">
        <v>7</v>
      </c>
      <c r="F2856" t="s">
        <v>15</v>
      </c>
      <c r="G2856">
        <v>25</v>
      </c>
      <c r="H2856">
        <v>1.7125000000000001</v>
      </c>
      <c r="I2856">
        <v>25</v>
      </c>
      <c r="J2856" t="s">
        <v>20</v>
      </c>
    </row>
    <row r="2857" spans="1:10" x14ac:dyDescent="0.2">
      <c r="A2857">
        <v>12856</v>
      </c>
      <c r="B2857" t="s">
        <v>8</v>
      </c>
      <c r="C2857" t="s">
        <v>9</v>
      </c>
      <c r="D2857">
        <v>5.22</v>
      </c>
      <c r="E2857">
        <v>10</v>
      </c>
      <c r="F2857" t="s">
        <v>16</v>
      </c>
      <c r="G2857">
        <v>60</v>
      </c>
      <c r="H2857">
        <v>8.3520000000000003</v>
      </c>
      <c r="I2857">
        <v>60.000000000000007</v>
      </c>
      <c r="J2857" t="s">
        <v>20</v>
      </c>
    </row>
    <row r="2858" spans="1:10" x14ac:dyDescent="0.2">
      <c r="A2858">
        <v>12857</v>
      </c>
      <c r="B2858" t="s">
        <v>10</v>
      </c>
      <c r="C2858" t="s">
        <v>6</v>
      </c>
      <c r="D2858">
        <v>2.58</v>
      </c>
      <c r="E2858">
        <v>3</v>
      </c>
      <c r="F2858" t="s">
        <v>14</v>
      </c>
      <c r="G2858">
        <v>12</v>
      </c>
      <c r="H2858">
        <v>2.8896000000000002</v>
      </c>
      <c r="I2858">
        <v>12.000000000000011</v>
      </c>
      <c r="J2858" t="s">
        <v>20</v>
      </c>
    </row>
    <row r="2859" spans="1:10" x14ac:dyDescent="0.2">
      <c r="A2859">
        <v>12858</v>
      </c>
      <c r="B2859" t="s">
        <v>8</v>
      </c>
      <c r="C2859" t="s">
        <v>11</v>
      </c>
      <c r="D2859">
        <v>10.79</v>
      </c>
      <c r="E2859">
        <v>10</v>
      </c>
      <c r="F2859" t="s">
        <v>16</v>
      </c>
      <c r="G2859">
        <v>50</v>
      </c>
      <c r="H2859">
        <v>16.184999999999999</v>
      </c>
      <c r="I2859">
        <v>50</v>
      </c>
      <c r="J2859" t="s">
        <v>20</v>
      </c>
    </row>
    <row r="2860" spans="1:10" x14ac:dyDescent="0.2">
      <c r="A2860">
        <v>12859</v>
      </c>
      <c r="B2860" t="s">
        <v>8</v>
      </c>
      <c r="C2860" t="s">
        <v>11</v>
      </c>
      <c r="D2860">
        <v>8.24</v>
      </c>
      <c r="E2860">
        <v>3</v>
      </c>
      <c r="F2860" t="s">
        <v>14</v>
      </c>
      <c r="G2860">
        <v>10</v>
      </c>
      <c r="H2860">
        <v>9.0640000000000018</v>
      </c>
      <c r="I2860">
        <v>10.000000000000009</v>
      </c>
      <c r="J2860" t="s">
        <v>20</v>
      </c>
    </row>
    <row r="2861" spans="1:10" x14ac:dyDescent="0.2">
      <c r="A2861">
        <v>12860</v>
      </c>
      <c r="B2861" t="s">
        <v>5</v>
      </c>
      <c r="C2861" t="s">
        <v>6</v>
      </c>
      <c r="D2861">
        <v>2.59</v>
      </c>
      <c r="E2861">
        <v>2</v>
      </c>
      <c r="F2861" t="s">
        <v>14</v>
      </c>
      <c r="G2861">
        <v>12</v>
      </c>
      <c r="H2861">
        <v>2.9008000000000003</v>
      </c>
      <c r="I2861">
        <v>12.000000000000011</v>
      </c>
      <c r="J2861" t="s">
        <v>20</v>
      </c>
    </row>
    <row r="2862" spans="1:10" x14ac:dyDescent="0.2">
      <c r="A2862">
        <v>12861</v>
      </c>
      <c r="B2862" t="s">
        <v>5</v>
      </c>
      <c r="C2862" t="s">
        <v>6</v>
      </c>
      <c r="D2862">
        <v>0.63</v>
      </c>
      <c r="E2862">
        <v>6</v>
      </c>
      <c r="F2862" t="s">
        <v>15</v>
      </c>
      <c r="G2862">
        <v>28</v>
      </c>
      <c r="H2862">
        <v>0.80640000000000001</v>
      </c>
      <c r="I2862">
        <v>28.000000000000004</v>
      </c>
      <c r="J2862" t="s">
        <v>20</v>
      </c>
    </row>
    <row r="2863" spans="1:10" x14ac:dyDescent="0.2">
      <c r="A2863">
        <v>12862</v>
      </c>
      <c r="B2863" t="s">
        <v>7</v>
      </c>
      <c r="C2863" t="s">
        <v>9</v>
      </c>
      <c r="D2863">
        <v>12.22</v>
      </c>
      <c r="E2863">
        <v>6</v>
      </c>
      <c r="F2863" t="s">
        <v>15</v>
      </c>
      <c r="G2863">
        <v>30</v>
      </c>
      <c r="H2863">
        <v>15.886000000000001</v>
      </c>
      <c r="I2863">
        <v>30.000000000000004</v>
      </c>
      <c r="J2863" t="s">
        <v>20</v>
      </c>
    </row>
    <row r="2864" spans="1:10" x14ac:dyDescent="0.2">
      <c r="A2864">
        <v>12863</v>
      </c>
      <c r="B2864" t="s">
        <v>5</v>
      </c>
      <c r="C2864" t="s">
        <v>6</v>
      </c>
      <c r="D2864">
        <v>3.05</v>
      </c>
      <c r="E2864">
        <v>1</v>
      </c>
      <c r="F2864" t="s">
        <v>14</v>
      </c>
      <c r="G2864">
        <v>12</v>
      </c>
      <c r="H2864">
        <v>3.4159999999999999</v>
      </c>
      <c r="I2864">
        <v>12.000000000000011</v>
      </c>
      <c r="J2864" t="s">
        <v>20</v>
      </c>
    </row>
    <row r="2865" spans="1:10" x14ac:dyDescent="0.2">
      <c r="A2865">
        <v>12864</v>
      </c>
      <c r="B2865" t="s">
        <v>5</v>
      </c>
      <c r="C2865" t="s">
        <v>6</v>
      </c>
      <c r="D2865">
        <v>9.2899999999999991</v>
      </c>
      <c r="E2865">
        <v>7</v>
      </c>
      <c r="F2865" t="s">
        <v>15</v>
      </c>
      <c r="G2865">
        <v>28</v>
      </c>
      <c r="H2865">
        <v>11.8912</v>
      </c>
      <c r="I2865">
        <v>28.000000000000004</v>
      </c>
      <c r="J2865" t="s">
        <v>20</v>
      </c>
    </row>
    <row r="2866" spans="1:10" x14ac:dyDescent="0.2">
      <c r="A2866">
        <v>12865</v>
      </c>
      <c r="B2866" t="s">
        <v>10</v>
      </c>
      <c r="C2866" t="s">
        <v>6</v>
      </c>
      <c r="D2866">
        <v>5.39</v>
      </c>
      <c r="E2866">
        <v>4</v>
      </c>
      <c r="F2866" t="s">
        <v>15</v>
      </c>
      <c r="G2866">
        <v>28</v>
      </c>
      <c r="H2866">
        <v>6.8991999999999996</v>
      </c>
      <c r="I2866">
        <v>28.000000000000004</v>
      </c>
      <c r="J2866" t="s">
        <v>20</v>
      </c>
    </row>
    <row r="2867" spans="1:10" x14ac:dyDescent="0.2">
      <c r="A2867">
        <v>12866</v>
      </c>
      <c r="B2867" t="s">
        <v>5</v>
      </c>
      <c r="C2867" t="s">
        <v>9</v>
      </c>
      <c r="D2867">
        <v>8.99</v>
      </c>
      <c r="E2867">
        <v>3</v>
      </c>
      <c r="F2867" t="s">
        <v>14</v>
      </c>
      <c r="G2867">
        <v>15</v>
      </c>
      <c r="H2867">
        <v>10.3385</v>
      </c>
      <c r="I2867">
        <v>14.999999999999991</v>
      </c>
      <c r="J2867" t="s">
        <v>20</v>
      </c>
    </row>
    <row r="2868" spans="1:10" x14ac:dyDescent="0.2">
      <c r="A2868">
        <v>12867</v>
      </c>
      <c r="B2868" t="s">
        <v>7</v>
      </c>
      <c r="C2868" t="s">
        <v>9</v>
      </c>
      <c r="D2868">
        <v>5.08</v>
      </c>
      <c r="E2868">
        <v>8</v>
      </c>
      <c r="F2868" t="s">
        <v>16</v>
      </c>
      <c r="G2868">
        <v>60</v>
      </c>
      <c r="H2868">
        <v>8.1280000000000001</v>
      </c>
      <c r="I2868">
        <v>60.000000000000007</v>
      </c>
      <c r="J2868" t="s">
        <v>20</v>
      </c>
    </row>
    <row r="2869" spans="1:10" x14ac:dyDescent="0.2">
      <c r="A2869">
        <v>12868</v>
      </c>
      <c r="B2869" t="s">
        <v>10</v>
      </c>
      <c r="C2869" t="s">
        <v>11</v>
      </c>
      <c r="D2869">
        <v>1.76</v>
      </c>
      <c r="E2869">
        <v>2</v>
      </c>
      <c r="F2869" t="s">
        <v>14</v>
      </c>
      <c r="G2869">
        <v>10</v>
      </c>
      <c r="H2869">
        <v>1.9360000000000002</v>
      </c>
      <c r="I2869">
        <v>10.000000000000009</v>
      </c>
      <c r="J2869" t="s">
        <v>20</v>
      </c>
    </row>
    <row r="2870" spans="1:10" x14ac:dyDescent="0.2">
      <c r="A2870">
        <v>12869</v>
      </c>
      <c r="B2870" t="s">
        <v>7</v>
      </c>
      <c r="C2870" t="s">
        <v>9</v>
      </c>
      <c r="D2870">
        <v>3.73</v>
      </c>
      <c r="E2870">
        <v>9</v>
      </c>
      <c r="F2870" t="s">
        <v>16</v>
      </c>
      <c r="G2870">
        <v>60</v>
      </c>
      <c r="H2870">
        <v>5.968</v>
      </c>
      <c r="I2870">
        <v>60.000000000000007</v>
      </c>
      <c r="J2870" t="s">
        <v>20</v>
      </c>
    </row>
    <row r="2871" spans="1:10" x14ac:dyDescent="0.2">
      <c r="A2871">
        <v>12870</v>
      </c>
      <c r="B2871" t="s">
        <v>5</v>
      </c>
      <c r="C2871" t="s">
        <v>11</v>
      </c>
      <c r="D2871">
        <v>3.23</v>
      </c>
      <c r="E2871">
        <v>8</v>
      </c>
      <c r="F2871" t="s">
        <v>16</v>
      </c>
      <c r="G2871">
        <v>50</v>
      </c>
      <c r="H2871">
        <v>4.8449999999999998</v>
      </c>
      <c r="I2871">
        <v>50</v>
      </c>
      <c r="J2871" t="s">
        <v>20</v>
      </c>
    </row>
    <row r="2872" spans="1:10" x14ac:dyDescent="0.2">
      <c r="A2872">
        <v>12871</v>
      </c>
      <c r="B2872" t="s">
        <v>7</v>
      </c>
      <c r="C2872" t="s">
        <v>6</v>
      </c>
      <c r="D2872">
        <v>6.71</v>
      </c>
      <c r="E2872">
        <v>8</v>
      </c>
      <c r="F2872" t="s">
        <v>16</v>
      </c>
      <c r="G2872">
        <v>55</v>
      </c>
      <c r="H2872">
        <v>10.400500000000001</v>
      </c>
      <c r="I2872">
        <v>55.000000000000007</v>
      </c>
      <c r="J2872" t="s">
        <v>20</v>
      </c>
    </row>
    <row r="2873" spans="1:10" x14ac:dyDescent="0.2">
      <c r="A2873">
        <v>12872</v>
      </c>
      <c r="B2873" t="s">
        <v>10</v>
      </c>
      <c r="C2873" t="s">
        <v>11</v>
      </c>
      <c r="D2873">
        <v>10.050000000000001</v>
      </c>
      <c r="E2873">
        <v>3</v>
      </c>
      <c r="F2873" t="s">
        <v>14</v>
      </c>
      <c r="G2873">
        <v>10</v>
      </c>
      <c r="H2873">
        <v>11.055000000000001</v>
      </c>
      <c r="I2873">
        <v>10.000000000000009</v>
      </c>
      <c r="J2873" t="s">
        <v>20</v>
      </c>
    </row>
    <row r="2874" spans="1:10" x14ac:dyDescent="0.2">
      <c r="A2874">
        <v>12873</v>
      </c>
      <c r="B2874" t="s">
        <v>8</v>
      </c>
      <c r="C2874" t="s">
        <v>11</v>
      </c>
      <c r="D2874">
        <v>4.33</v>
      </c>
      <c r="E2874">
        <v>4</v>
      </c>
      <c r="F2874" t="s">
        <v>15</v>
      </c>
      <c r="G2874">
        <v>25</v>
      </c>
      <c r="H2874">
        <v>5.4124999999999996</v>
      </c>
      <c r="I2874">
        <v>25</v>
      </c>
      <c r="J2874" t="s">
        <v>20</v>
      </c>
    </row>
    <row r="2875" spans="1:10" x14ac:dyDescent="0.2">
      <c r="A2875">
        <v>12874</v>
      </c>
      <c r="B2875" t="s">
        <v>7</v>
      </c>
      <c r="C2875" t="s">
        <v>6</v>
      </c>
      <c r="D2875">
        <v>0.68</v>
      </c>
      <c r="E2875">
        <v>2</v>
      </c>
      <c r="F2875" t="s">
        <v>14</v>
      </c>
      <c r="G2875">
        <v>12</v>
      </c>
      <c r="H2875">
        <v>0.76160000000000017</v>
      </c>
      <c r="I2875">
        <v>12.000000000000011</v>
      </c>
      <c r="J2875" t="s">
        <v>20</v>
      </c>
    </row>
    <row r="2876" spans="1:10" x14ac:dyDescent="0.2">
      <c r="A2876">
        <v>12875</v>
      </c>
      <c r="B2876" t="s">
        <v>7</v>
      </c>
      <c r="C2876" t="s">
        <v>11</v>
      </c>
      <c r="D2876">
        <v>8.02</v>
      </c>
      <c r="E2876">
        <v>2</v>
      </c>
      <c r="F2876" t="s">
        <v>14</v>
      </c>
      <c r="G2876">
        <v>10</v>
      </c>
      <c r="H2876">
        <v>8.822000000000001</v>
      </c>
      <c r="I2876">
        <v>10.000000000000009</v>
      </c>
      <c r="J2876" t="s">
        <v>20</v>
      </c>
    </row>
    <row r="2877" spans="1:10" x14ac:dyDescent="0.2">
      <c r="A2877">
        <v>12876</v>
      </c>
      <c r="B2877" t="s">
        <v>10</v>
      </c>
      <c r="C2877" t="s">
        <v>9</v>
      </c>
      <c r="D2877">
        <v>9.2799999999999994</v>
      </c>
      <c r="E2877">
        <v>4</v>
      </c>
      <c r="F2877" t="s">
        <v>15</v>
      </c>
      <c r="G2877">
        <v>30</v>
      </c>
      <c r="H2877">
        <v>12.064</v>
      </c>
      <c r="I2877">
        <v>30.000000000000004</v>
      </c>
      <c r="J2877" t="s">
        <v>20</v>
      </c>
    </row>
    <row r="2878" spans="1:10" x14ac:dyDescent="0.2">
      <c r="A2878">
        <v>12877</v>
      </c>
      <c r="B2878" t="s">
        <v>10</v>
      </c>
      <c r="C2878" t="s">
        <v>9</v>
      </c>
      <c r="D2878">
        <v>14.46</v>
      </c>
      <c r="E2878">
        <v>6</v>
      </c>
      <c r="F2878" t="s">
        <v>15</v>
      </c>
      <c r="G2878">
        <v>30</v>
      </c>
      <c r="H2878">
        <v>18.798000000000002</v>
      </c>
      <c r="I2878">
        <v>30.000000000000004</v>
      </c>
      <c r="J2878" t="s">
        <v>20</v>
      </c>
    </row>
    <row r="2879" spans="1:10" x14ac:dyDescent="0.2">
      <c r="A2879">
        <v>12878</v>
      </c>
      <c r="B2879" t="s">
        <v>7</v>
      </c>
      <c r="C2879" t="s">
        <v>9</v>
      </c>
      <c r="D2879">
        <v>9.0500000000000007</v>
      </c>
      <c r="E2879">
        <v>5</v>
      </c>
      <c r="F2879" t="s">
        <v>15</v>
      </c>
      <c r="G2879">
        <v>30</v>
      </c>
      <c r="H2879">
        <v>11.765000000000001</v>
      </c>
      <c r="I2879">
        <v>30.000000000000004</v>
      </c>
      <c r="J2879" t="s">
        <v>20</v>
      </c>
    </row>
    <row r="2880" spans="1:10" x14ac:dyDescent="0.2">
      <c r="A2880">
        <v>12879</v>
      </c>
      <c r="B2880" t="s">
        <v>5</v>
      </c>
      <c r="C2880" t="s">
        <v>9</v>
      </c>
      <c r="D2880">
        <v>7.33</v>
      </c>
      <c r="E2880">
        <v>1</v>
      </c>
      <c r="F2880" t="s">
        <v>14</v>
      </c>
      <c r="G2880">
        <v>15</v>
      </c>
      <c r="H2880">
        <v>8.4294999999999991</v>
      </c>
      <c r="I2880">
        <v>14.999999999999991</v>
      </c>
      <c r="J2880" t="s">
        <v>20</v>
      </c>
    </row>
    <row r="2881" spans="1:10" x14ac:dyDescent="0.2">
      <c r="A2881">
        <v>12880</v>
      </c>
      <c r="B2881" t="s">
        <v>7</v>
      </c>
      <c r="C2881" t="s">
        <v>11</v>
      </c>
      <c r="D2881">
        <v>8.81</v>
      </c>
      <c r="E2881">
        <v>10</v>
      </c>
      <c r="F2881" t="s">
        <v>16</v>
      </c>
      <c r="G2881">
        <v>50</v>
      </c>
      <c r="H2881">
        <v>13.215</v>
      </c>
      <c r="I2881">
        <v>50</v>
      </c>
      <c r="J2881" t="s">
        <v>20</v>
      </c>
    </row>
    <row r="2882" spans="1:10" x14ac:dyDescent="0.2">
      <c r="A2882">
        <v>12881</v>
      </c>
      <c r="B2882" t="s">
        <v>10</v>
      </c>
      <c r="C2882" t="s">
        <v>11</v>
      </c>
      <c r="D2882">
        <v>13.95</v>
      </c>
      <c r="E2882">
        <v>1</v>
      </c>
      <c r="F2882" t="s">
        <v>14</v>
      </c>
      <c r="G2882">
        <v>10</v>
      </c>
      <c r="H2882">
        <v>15.345000000000001</v>
      </c>
      <c r="I2882">
        <v>10.000000000000009</v>
      </c>
      <c r="J2882" t="s">
        <v>20</v>
      </c>
    </row>
    <row r="2883" spans="1:10" x14ac:dyDescent="0.2">
      <c r="A2883">
        <v>12882</v>
      </c>
      <c r="B2883" t="s">
        <v>8</v>
      </c>
      <c r="C2883" t="s">
        <v>6</v>
      </c>
      <c r="D2883">
        <v>12.51</v>
      </c>
      <c r="E2883">
        <v>6</v>
      </c>
      <c r="F2883" t="s">
        <v>15</v>
      </c>
      <c r="G2883">
        <v>28</v>
      </c>
      <c r="H2883">
        <v>16.012799999999999</v>
      </c>
      <c r="I2883">
        <v>27.999999999999979</v>
      </c>
      <c r="J2883" t="s">
        <v>20</v>
      </c>
    </row>
    <row r="2884" spans="1:10" x14ac:dyDescent="0.2">
      <c r="A2884">
        <v>12883</v>
      </c>
      <c r="B2884" t="s">
        <v>8</v>
      </c>
      <c r="C2884" t="s">
        <v>11</v>
      </c>
      <c r="D2884">
        <v>5.18</v>
      </c>
      <c r="E2884">
        <v>3</v>
      </c>
      <c r="F2884" t="s">
        <v>14</v>
      </c>
      <c r="G2884">
        <v>10</v>
      </c>
      <c r="H2884">
        <v>5.6980000000000004</v>
      </c>
      <c r="I2884">
        <v>10.000000000000009</v>
      </c>
      <c r="J2884" t="s">
        <v>20</v>
      </c>
    </row>
    <row r="2885" spans="1:10" x14ac:dyDescent="0.2">
      <c r="A2885">
        <v>12884</v>
      </c>
      <c r="B2885" t="s">
        <v>5</v>
      </c>
      <c r="C2885" t="s">
        <v>11</v>
      </c>
      <c r="D2885">
        <v>3.94</v>
      </c>
      <c r="E2885">
        <v>3</v>
      </c>
      <c r="F2885" t="s">
        <v>14</v>
      </c>
      <c r="G2885">
        <v>10</v>
      </c>
      <c r="H2885">
        <v>4.3340000000000005</v>
      </c>
      <c r="I2885">
        <v>10.000000000000009</v>
      </c>
      <c r="J2885" t="s">
        <v>20</v>
      </c>
    </row>
    <row r="2886" spans="1:10" x14ac:dyDescent="0.2">
      <c r="A2886">
        <v>12885</v>
      </c>
      <c r="B2886" t="s">
        <v>7</v>
      </c>
      <c r="C2886" t="s">
        <v>11</v>
      </c>
      <c r="D2886">
        <v>4.3099999999999996</v>
      </c>
      <c r="E2886">
        <v>7</v>
      </c>
      <c r="F2886" t="s">
        <v>15</v>
      </c>
      <c r="G2886">
        <v>25</v>
      </c>
      <c r="H2886">
        <v>5.3874999999999993</v>
      </c>
      <c r="I2886">
        <v>25</v>
      </c>
      <c r="J2886" t="s">
        <v>20</v>
      </c>
    </row>
    <row r="2887" spans="1:10" x14ac:dyDescent="0.2">
      <c r="A2887">
        <v>12886</v>
      </c>
      <c r="B2887" t="s">
        <v>8</v>
      </c>
      <c r="C2887" t="s">
        <v>6</v>
      </c>
      <c r="D2887">
        <v>7.81</v>
      </c>
      <c r="E2887">
        <v>1</v>
      </c>
      <c r="F2887" t="s">
        <v>14</v>
      </c>
      <c r="G2887">
        <v>12</v>
      </c>
      <c r="H2887">
        <v>8.7472000000000012</v>
      </c>
      <c r="I2887">
        <v>12.000000000000011</v>
      </c>
      <c r="J2887" t="s">
        <v>20</v>
      </c>
    </row>
    <row r="2888" spans="1:10" x14ac:dyDescent="0.2">
      <c r="A2888">
        <v>12887</v>
      </c>
      <c r="B2888" t="s">
        <v>7</v>
      </c>
      <c r="C2888" t="s">
        <v>9</v>
      </c>
      <c r="D2888">
        <v>11.29</v>
      </c>
      <c r="E2888">
        <v>1</v>
      </c>
      <c r="F2888" t="s">
        <v>14</v>
      </c>
      <c r="G2888">
        <v>15</v>
      </c>
      <c r="H2888">
        <v>12.983499999999998</v>
      </c>
      <c r="I2888">
        <v>14.999999999999991</v>
      </c>
      <c r="J2888" t="s">
        <v>20</v>
      </c>
    </row>
    <row r="2889" spans="1:10" x14ac:dyDescent="0.2">
      <c r="A2889">
        <v>12888</v>
      </c>
      <c r="B2889" t="s">
        <v>10</v>
      </c>
      <c r="C2889" t="s">
        <v>11</v>
      </c>
      <c r="D2889">
        <v>7.8</v>
      </c>
      <c r="E2889">
        <v>10</v>
      </c>
      <c r="F2889" t="s">
        <v>16</v>
      </c>
      <c r="G2889">
        <v>50</v>
      </c>
      <c r="H2889">
        <v>11.7</v>
      </c>
      <c r="I2889">
        <v>50</v>
      </c>
      <c r="J2889" t="s">
        <v>20</v>
      </c>
    </row>
    <row r="2890" spans="1:10" x14ac:dyDescent="0.2">
      <c r="A2890">
        <v>12889</v>
      </c>
      <c r="B2890" t="s">
        <v>8</v>
      </c>
      <c r="C2890" t="s">
        <v>6</v>
      </c>
      <c r="D2890">
        <v>1.48</v>
      </c>
      <c r="E2890">
        <v>3</v>
      </c>
      <c r="F2890" t="s">
        <v>14</v>
      </c>
      <c r="G2890">
        <v>12</v>
      </c>
      <c r="H2890">
        <v>1.6576000000000002</v>
      </c>
      <c r="I2890">
        <v>12.000000000000011</v>
      </c>
      <c r="J2890" t="s">
        <v>20</v>
      </c>
    </row>
    <row r="2891" spans="1:10" x14ac:dyDescent="0.2">
      <c r="A2891">
        <v>12890</v>
      </c>
      <c r="B2891" t="s">
        <v>5</v>
      </c>
      <c r="C2891" t="s">
        <v>6</v>
      </c>
      <c r="D2891">
        <v>10.99</v>
      </c>
      <c r="E2891">
        <v>8</v>
      </c>
      <c r="F2891" t="s">
        <v>16</v>
      </c>
      <c r="G2891">
        <v>55</v>
      </c>
      <c r="H2891">
        <v>17.034500000000001</v>
      </c>
      <c r="I2891">
        <v>55.000000000000007</v>
      </c>
      <c r="J2891" t="s">
        <v>20</v>
      </c>
    </row>
    <row r="2892" spans="1:10" x14ac:dyDescent="0.2">
      <c r="A2892">
        <v>12891</v>
      </c>
      <c r="B2892" t="s">
        <v>10</v>
      </c>
      <c r="C2892" t="s">
        <v>6</v>
      </c>
      <c r="D2892">
        <v>12.19</v>
      </c>
      <c r="E2892">
        <v>1</v>
      </c>
      <c r="F2892" t="s">
        <v>14</v>
      </c>
      <c r="G2892">
        <v>12</v>
      </c>
      <c r="H2892">
        <v>13.652800000000001</v>
      </c>
      <c r="I2892">
        <v>12.000000000000011</v>
      </c>
      <c r="J2892" t="s">
        <v>20</v>
      </c>
    </row>
    <row r="2893" spans="1:10" x14ac:dyDescent="0.2">
      <c r="A2893">
        <v>12892</v>
      </c>
      <c r="B2893" t="s">
        <v>5</v>
      </c>
      <c r="C2893" t="s">
        <v>9</v>
      </c>
      <c r="D2893">
        <v>4.7</v>
      </c>
      <c r="E2893">
        <v>10</v>
      </c>
      <c r="F2893" t="s">
        <v>16</v>
      </c>
      <c r="G2893">
        <v>60</v>
      </c>
      <c r="H2893">
        <v>7.5200000000000005</v>
      </c>
      <c r="I2893">
        <v>60.000000000000007</v>
      </c>
      <c r="J2893" t="s">
        <v>20</v>
      </c>
    </row>
    <row r="2894" spans="1:10" x14ac:dyDescent="0.2">
      <c r="A2894">
        <v>12893</v>
      </c>
      <c r="B2894" t="s">
        <v>10</v>
      </c>
      <c r="C2894" t="s">
        <v>11</v>
      </c>
      <c r="D2894">
        <v>10.130000000000001</v>
      </c>
      <c r="E2894">
        <v>4</v>
      </c>
      <c r="F2894" t="s">
        <v>15</v>
      </c>
      <c r="G2894">
        <v>25</v>
      </c>
      <c r="H2894">
        <v>12.662500000000001</v>
      </c>
      <c r="I2894">
        <v>25</v>
      </c>
      <c r="J2894" t="s">
        <v>20</v>
      </c>
    </row>
    <row r="2895" spans="1:10" x14ac:dyDescent="0.2">
      <c r="A2895">
        <v>12894</v>
      </c>
      <c r="B2895" t="s">
        <v>8</v>
      </c>
      <c r="C2895" t="s">
        <v>6</v>
      </c>
      <c r="D2895">
        <v>6.69</v>
      </c>
      <c r="E2895">
        <v>9</v>
      </c>
      <c r="F2895" t="s">
        <v>16</v>
      </c>
      <c r="G2895">
        <v>55</v>
      </c>
      <c r="H2895">
        <v>10.3695</v>
      </c>
      <c r="I2895">
        <v>55.000000000000007</v>
      </c>
      <c r="J2895" t="s">
        <v>20</v>
      </c>
    </row>
    <row r="2896" spans="1:10" x14ac:dyDescent="0.2">
      <c r="A2896">
        <v>12895</v>
      </c>
      <c r="B2896" t="s">
        <v>5</v>
      </c>
      <c r="C2896" t="s">
        <v>9</v>
      </c>
      <c r="D2896">
        <v>13.39</v>
      </c>
      <c r="E2896">
        <v>4</v>
      </c>
      <c r="F2896" t="s">
        <v>15</v>
      </c>
      <c r="G2896">
        <v>30</v>
      </c>
      <c r="H2896">
        <v>17.407</v>
      </c>
      <c r="I2896">
        <v>30.000000000000004</v>
      </c>
      <c r="J2896" t="s">
        <v>20</v>
      </c>
    </row>
    <row r="2897" spans="1:10" x14ac:dyDescent="0.2">
      <c r="A2897">
        <v>12896</v>
      </c>
      <c r="B2897" t="s">
        <v>5</v>
      </c>
      <c r="C2897" t="s">
        <v>6</v>
      </c>
      <c r="D2897">
        <v>12.76</v>
      </c>
      <c r="E2897">
        <v>10</v>
      </c>
      <c r="F2897" t="s">
        <v>16</v>
      </c>
      <c r="G2897">
        <v>55</v>
      </c>
      <c r="H2897">
        <v>19.777999999999999</v>
      </c>
      <c r="I2897">
        <v>54.999999999999986</v>
      </c>
      <c r="J2897" t="s">
        <v>20</v>
      </c>
    </row>
    <row r="2898" spans="1:10" x14ac:dyDescent="0.2">
      <c r="A2898">
        <v>12897</v>
      </c>
      <c r="B2898" t="s">
        <v>10</v>
      </c>
      <c r="C2898" t="s">
        <v>6</v>
      </c>
      <c r="D2898">
        <v>8.1199999999999992</v>
      </c>
      <c r="E2898">
        <v>8</v>
      </c>
      <c r="F2898" t="s">
        <v>16</v>
      </c>
      <c r="G2898">
        <v>55</v>
      </c>
      <c r="H2898">
        <v>12.585999999999999</v>
      </c>
      <c r="I2898">
        <v>55.000000000000007</v>
      </c>
      <c r="J2898" t="s">
        <v>20</v>
      </c>
    </row>
    <row r="2899" spans="1:10" x14ac:dyDescent="0.2">
      <c r="A2899">
        <v>12898</v>
      </c>
      <c r="B2899" t="s">
        <v>5</v>
      </c>
      <c r="C2899" t="s">
        <v>6</v>
      </c>
      <c r="D2899">
        <v>10.53</v>
      </c>
      <c r="E2899">
        <v>7</v>
      </c>
      <c r="F2899" t="s">
        <v>15</v>
      </c>
      <c r="G2899">
        <v>28</v>
      </c>
      <c r="H2899">
        <v>13.478399999999999</v>
      </c>
      <c r="I2899">
        <v>28.000000000000004</v>
      </c>
      <c r="J2899" t="s">
        <v>20</v>
      </c>
    </row>
    <row r="2900" spans="1:10" x14ac:dyDescent="0.2">
      <c r="A2900">
        <v>12899</v>
      </c>
      <c r="B2900" t="s">
        <v>10</v>
      </c>
      <c r="C2900" t="s">
        <v>6</v>
      </c>
      <c r="D2900">
        <v>13.31</v>
      </c>
      <c r="E2900">
        <v>3</v>
      </c>
      <c r="F2900" t="s">
        <v>14</v>
      </c>
      <c r="G2900">
        <v>12</v>
      </c>
      <c r="H2900">
        <v>14.907200000000001</v>
      </c>
      <c r="I2900">
        <v>12.000000000000011</v>
      </c>
      <c r="J2900" t="s">
        <v>20</v>
      </c>
    </row>
    <row r="2901" spans="1:10" x14ac:dyDescent="0.2">
      <c r="A2901">
        <v>12900</v>
      </c>
      <c r="B2901" t="s">
        <v>10</v>
      </c>
      <c r="C2901" t="s">
        <v>6</v>
      </c>
      <c r="D2901">
        <v>7.69</v>
      </c>
      <c r="E2901">
        <v>7</v>
      </c>
      <c r="F2901" t="s">
        <v>15</v>
      </c>
      <c r="G2901">
        <v>28</v>
      </c>
      <c r="H2901">
        <v>9.8432000000000013</v>
      </c>
      <c r="I2901">
        <v>28.000000000000004</v>
      </c>
      <c r="J2901" t="s">
        <v>20</v>
      </c>
    </row>
    <row r="2902" spans="1:10" x14ac:dyDescent="0.2">
      <c r="A2902">
        <v>12901</v>
      </c>
      <c r="B2902" t="s">
        <v>10</v>
      </c>
      <c r="C2902" t="s">
        <v>9</v>
      </c>
      <c r="D2902">
        <v>5.04</v>
      </c>
      <c r="E2902">
        <v>7</v>
      </c>
      <c r="F2902" t="s">
        <v>15</v>
      </c>
      <c r="G2902">
        <v>30</v>
      </c>
      <c r="H2902">
        <v>6.5520000000000005</v>
      </c>
      <c r="I2902">
        <v>30.000000000000004</v>
      </c>
      <c r="J2902" t="s">
        <v>20</v>
      </c>
    </row>
    <row r="2903" spans="1:10" x14ac:dyDescent="0.2">
      <c r="A2903">
        <v>12902</v>
      </c>
      <c r="B2903" t="s">
        <v>10</v>
      </c>
      <c r="C2903" t="s">
        <v>11</v>
      </c>
      <c r="D2903">
        <v>11.43</v>
      </c>
      <c r="E2903">
        <v>10</v>
      </c>
      <c r="F2903" t="s">
        <v>16</v>
      </c>
      <c r="G2903">
        <v>50</v>
      </c>
      <c r="H2903">
        <v>17.145</v>
      </c>
      <c r="I2903">
        <v>50</v>
      </c>
      <c r="J2903" t="s">
        <v>20</v>
      </c>
    </row>
    <row r="2904" spans="1:10" x14ac:dyDescent="0.2">
      <c r="A2904">
        <v>12903</v>
      </c>
      <c r="B2904" t="s">
        <v>8</v>
      </c>
      <c r="C2904" t="s">
        <v>11</v>
      </c>
      <c r="D2904">
        <v>3.69</v>
      </c>
      <c r="E2904">
        <v>3</v>
      </c>
      <c r="F2904" t="s">
        <v>14</v>
      </c>
      <c r="G2904">
        <v>10</v>
      </c>
      <c r="H2904">
        <v>4.0590000000000002</v>
      </c>
      <c r="I2904">
        <v>10.000000000000009</v>
      </c>
      <c r="J2904" t="s">
        <v>20</v>
      </c>
    </row>
    <row r="2905" spans="1:10" x14ac:dyDescent="0.2">
      <c r="A2905">
        <v>12904</v>
      </c>
      <c r="B2905" t="s">
        <v>10</v>
      </c>
      <c r="C2905" t="s">
        <v>11</v>
      </c>
      <c r="D2905">
        <v>6.13</v>
      </c>
      <c r="E2905">
        <v>2</v>
      </c>
      <c r="F2905" t="s">
        <v>14</v>
      </c>
      <c r="G2905">
        <v>10</v>
      </c>
      <c r="H2905">
        <v>6.7430000000000003</v>
      </c>
      <c r="I2905">
        <v>10.000000000000009</v>
      </c>
      <c r="J2905" t="s">
        <v>20</v>
      </c>
    </row>
    <row r="2906" spans="1:10" x14ac:dyDescent="0.2">
      <c r="A2906">
        <v>12905</v>
      </c>
      <c r="B2906" t="s">
        <v>7</v>
      </c>
      <c r="C2906" t="s">
        <v>11</v>
      </c>
      <c r="D2906">
        <v>13.05</v>
      </c>
      <c r="E2906">
        <v>9</v>
      </c>
      <c r="F2906" t="s">
        <v>16</v>
      </c>
      <c r="G2906">
        <v>50</v>
      </c>
      <c r="H2906">
        <v>19.575000000000003</v>
      </c>
      <c r="I2906">
        <v>50.000000000000021</v>
      </c>
      <c r="J2906" t="s">
        <v>20</v>
      </c>
    </row>
    <row r="2907" spans="1:10" x14ac:dyDescent="0.2">
      <c r="A2907">
        <v>12906</v>
      </c>
      <c r="B2907" t="s">
        <v>5</v>
      </c>
      <c r="C2907" t="s">
        <v>9</v>
      </c>
      <c r="D2907">
        <v>11</v>
      </c>
      <c r="E2907">
        <v>1</v>
      </c>
      <c r="F2907" t="s">
        <v>14</v>
      </c>
      <c r="G2907">
        <v>15</v>
      </c>
      <c r="H2907">
        <v>12.649999999999999</v>
      </c>
      <c r="I2907">
        <v>14.999999999999991</v>
      </c>
      <c r="J2907" t="s">
        <v>20</v>
      </c>
    </row>
    <row r="2908" spans="1:10" x14ac:dyDescent="0.2">
      <c r="A2908">
        <v>12907</v>
      </c>
      <c r="B2908" t="s">
        <v>7</v>
      </c>
      <c r="C2908" t="s">
        <v>9</v>
      </c>
      <c r="D2908">
        <v>6.36</v>
      </c>
      <c r="E2908">
        <v>7</v>
      </c>
      <c r="F2908" t="s">
        <v>15</v>
      </c>
      <c r="G2908">
        <v>30</v>
      </c>
      <c r="H2908">
        <v>8.2680000000000007</v>
      </c>
      <c r="I2908">
        <v>30.000000000000004</v>
      </c>
      <c r="J2908" t="s">
        <v>20</v>
      </c>
    </row>
    <row r="2909" spans="1:10" x14ac:dyDescent="0.2">
      <c r="A2909">
        <v>12908</v>
      </c>
      <c r="B2909" t="s">
        <v>8</v>
      </c>
      <c r="C2909" t="s">
        <v>9</v>
      </c>
      <c r="D2909">
        <v>3.61</v>
      </c>
      <c r="E2909">
        <v>4</v>
      </c>
      <c r="F2909" t="s">
        <v>15</v>
      </c>
      <c r="G2909">
        <v>30</v>
      </c>
      <c r="H2909">
        <v>4.6929999999999996</v>
      </c>
      <c r="I2909">
        <v>30.000000000000004</v>
      </c>
      <c r="J2909" t="s">
        <v>20</v>
      </c>
    </row>
    <row r="2910" spans="1:10" x14ac:dyDescent="0.2">
      <c r="A2910">
        <v>12909</v>
      </c>
      <c r="B2910" t="s">
        <v>7</v>
      </c>
      <c r="C2910" t="s">
        <v>6</v>
      </c>
      <c r="D2910">
        <v>5.66</v>
      </c>
      <c r="E2910">
        <v>2</v>
      </c>
      <c r="F2910" t="s">
        <v>14</v>
      </c>
      <c r="G2910">
        <v>12</v>
      </c>
      <c r="H2910">
        <v>6.3392000000000008</v>
      </c>
      <c r="I2910">
        <v>12.000000000000011</v>
      </c>
      <c r="J2910" t="s">
        <v>20</v>
      </c>
    </row>
    <row r="2911" spans="1:10" x14ac:dyDescent="0.2">
      <c r="A2911">
        <v>12910</v>
      </c>
      <c r="B2911" t="s">
        <v>5</v>
      </c>
      <c r="C2911" t="s">
        <v>6</v>
      </c>
      <c r="D2911">
        <v>4.62</v>
      </c>
      <c r="E2911">
        <v>2</v>
      </c>
      <c r="F2911" t="s">
        <v>14</v>
      </c>
      <c r="G2911">
        <v>12</v>
      </c>
      <c r="H2911">
        <v>5.1744000000000003</v>
      </c>
      <c r="I2911">
        <v>12.000000000000011</v>
      </c>
      <c r="J2911" t="s">
        <v>20</v>
      </c>
    </row>
    <row r="2912" spans="1:10" x14ac:dyDescent="0.2">
      <c r="A2912">
        <v>12911</v>
      </c>
      <c r="B2912" t="s">
        <v>7</v>
      </c>
      <c r="C2912" t="s">
        <v>6</v>
      </c>
      <c r="D2912">
        <v>3.05</v>
      </c>
      <c r="E2912">
        <v>8</v>
      </c>
      <c r="F2912" t="s">
        <v>16</v>
      </c>
      <c r="G2912">
        <v>55</v>
      </c>
      <c r="H2912">
        <v>4.7275</v>
      </c>
      <c r="I2912">
        <v>55.000000000000007</v>
      </c>
      <c r="J2912" t="s">
        <v>20</v>
      </c>
    </row>
    <row r="2913" spans="1:10" x14ac:dyDescent="0.2">
      <c r="A2913">
        <v>12912</v>
      </c>
      <c r="B2913" t="s">
        <v>8</v>
      </c>
      <c r="C2913" t="s">
        <v>11</v>
      </c>
      <c r="D2913">
        <v>11.28</v>
      </c>
      <c r="E2913">
        <v>7</v>
      </c>
      <c r="F2913" t="s">
        <v>15</v>
      </c>
      <c r="G2913">
        <v>25</v>
      </c>
      <c r="H2913">
        <v>14.1</v>
      </c>
      <c r="I2913">
        <v>25</v>
      </c>
      <c r="J2913" t="s">
        <v>20</v>
      </c>
    </row>
    <row r="2914" spans="1:10" x14ac:dyDescent="0.2">
      <c r="A2914">
        <v>12913</v>
      </c>
      <c r="B2914" t="s">
        <v>10</v>
      </c>
      <c r="C2914" t="s">
        <v>6</v>
      </c>
      <c r="D2914">
        <v>4.16</v>
      </c>
      <c r="E2914">
        <v>7</v>
      </c>
      <c r="F2914" t="s">
        <v>15</v>
      </c>
      <c r="G2914">
        <v>28</v>
      </c>
      <c r="H2914">
        <v>5.3248000000000006</v>
      </c>
      <c r="I2914">
        <v>28.000000000000004</v>
      </c>
      <c r="J2914" t="s">
        <v>20</v>
      </c>
    </row>
    <row r="2915" spans="1:10" x14ac:dyDescent="0.2">
      <c r="A2915">
        <v>12914</v>
      </c>
      <c r="B2915" t="s">
        <v>7</v>
      </c>
      <c r="C2915" t="s">
        <v>11</v>
      </c>
      <c r="D2915">
        <v>7.09</v>
      </c>
      <c r="E2915">
        <v>5</v>
      </c>
      <c r="F2915" t="s">
        <v>15</v>
      </c>
      <c r="G2915">
        <v>25</v>
      </c>
      <c r="H2915">
        <v>8.8625000000000007</v>
      </c>
      <c r="I2915">
        <v>25.000000000000021</v>
      </c>
      <c r="J2915" t="s">
        <v>20</v>
      </c>
    </row>
    <row r="2916" spans="1:10" x14ac:dyDescent="0.2">
      <c r="A2916">
        <v>12915</v>
      </c>
      <c r="B2916" t="s">
        <v>8</v>
      </c>
      <c r="C2916" t="s">
        <v>6</v>
      </c>
      <c r="D2916">
        <v>6.09</v>
      </c>
      <c r="E2916">
        <v>10</v>
      </c>
      <c r="F2916" t="s">
        <v>16</v>
      </c>
      <c r="G2916">
        <v>55</v>
      </c>
      <c r="H2916">
        <v>9.4395000000000007</v>
      </c>
      <c r="I2916">
        <v>55.000000000000007</v>
      </c>
      <c r="J2916" t="s">
        <v>20</v>
      </c>
    </row>
    <row r="2917" spans="1:10" x14ac:dyDescent="0.2">
      <c r="A2917">
        <v>12916</v>
      </c>
      <c r="B2917" t="s">
        <v>8</v>
      </c>
      <c r="C2917" t="s">
        <v>11</v>
      </c>
      <c r="D2917">
        <v>14.74</v>
      </c>
      <c r="E2917">
        <v>8</v>
      </c>
      <c r="F2917" t="s">
        <v>16</v>
      </c>
      <c r="G2917">
        <v>50</v>
      </c>
      <c r="H2917">
        <v>22.11</v>
      </c>
      <c r="I2917">
        <v>50</v>
      </c>
      <c r="J2917" t="s">
        <v>20</v>
      </c>
    </row>
    <row r="2918" spans="1:10" x14ac:dyDescent="0.2">
      <c r="A2918">
        <v>12917</v>
      </c>
      <c r="B2918" t="s">
        <v>5</v>
      </c>
      <c r="C2918" t="s">
        <v>6</v>
      </c>
      <c r="D2918">
        <v>6.17</v>
      </c>
      <c r="E2918">
        <v>2</v>
      </c>
      <c r="F2918" t="s">
        <v>14</v>
      </c>
      <c r="G2918">
        <v>12</v>
      </c>
      <c r="H2918">
        <v>6.910400000000001</v>
      </c>
      <c r="I2918">
        <v>12.000000000000011</v>
      </c>
      <c r="J2918" t="s">
        <v>20</v>
      </c>
    </row>
    <row r="2919" spans="1:10" x14ac:dyDescent="0.2">
      <c r="A2919">
        <v>12918</v>
      </c>
      <c r="B2919" t="s">
        <v>5</v>
      </c>
      <c r="C2919" t="s">
        <v>6</v>
      </c>
      <c r="D2919">
        <v>1.66</v>
      </c>
      <c r="E2919">
        <v>2</v>
      </c>
      <c r="F2919" t="s">
        <v>14</v>
      </c>
      <c r="G2919">
        <v>12</v>
      </c>
      <c r="H2919">
        <v>1.8592000000000002</v>
      </c>
      <c r="I2919">
        <v>12.000000000000011</v>
      </c>
      <c r="J2919" t="s">
        <v>20</v>
      </c>
    </row>
    <row r="2920" spans="1:10" x14ac:dyDescent="0.2">
      <c r="A2920">
        <v>12919</v>
      </c>
      <c r="B2920" t="s">
        <v>7</v>
      </c>
      <c r="C2920" t="s">
        <v>9</v>
      </c>
      <c r="D2920">
        <v>1.8</v>
      </c>
      <c r="E2920">
        <v>5</v>
      </c>
      <c r="F2920" t="s">
        <v>15</v>
      </c>
      <c r="G2920">
        <v>30</v>
      </c>
      <c r="H2920">
        <v>2.3400000000000003</v>
      </c>
      <c r="I2920">
        <v>30.000000000000004</v>
      </c>
      <c r="J2920" t="s">
        <v>20</v>
      </c>
    </row>
    <row r="2921" spans="1:10" x14ac:dyDescent="0.2">
      <c r="A2921">
        <v>12920</v>
      </c>
      <c r="B2921" t="s">
        <v>10</v>
      </c>
      <c r="C2921" t="s">
        <v>6</v>
      </c>
      <c r="D2921">
        <v>9.07</v>
      </c>
      <c r="E2921">
        <v>1</v>
      </c>
      <c r="F2921" t="s">
        <v>14</v>
      </c>
      <c r="G2921">
        <v>12</v>
      </c>
      <c r="H2921">
        <v>10.158400000000002</v>
      </c>
      <c r="I2921">
        <v>12.000000000000011</v>
      </c>
      <c r="J2921" t="s">
        <v>20</v>
      </c>
    </row>
    <row r="2922" spans="1:10" x14ac:dyDescent="0.2">
      <c r="A2922">
        <v>12921</v>
      </c>
      <c r="B2922" t="s">
        <v>8</v>
      </c>
      <c r="C2922" t="s">
        <v>6</v>
      </c>
      <c r="D2922">
        <v>9.19</v>
      </c>
      <c r="E2922">
        <v>6</v>
      </c>
      <c r="F2922" t="s">
        <v>15</v>
      </c>
      <c r="G2922">
        <v>28</v>
      </c>
      <c r="H2922">
        <v>11.763199999999999</v>
      </c>
      <c r="I2922">
        <v>28.000000000000004</v>
      </c>
      <c r="J2922" t="s">
        <v>20</v>
      </c>
    </row>
    <row r="2923" spans="1:10" x14ac:dyDescent="0.2">
      <c r="A2923">
        <v>12922</v>
      </c>
      <c r="B2923" t="s">
        <v>7</v>
      </c>
      <c r="C2923" t="s">
        <v>9</v>
      </c>
      <c r="D2923">
        <v>6.57</v>
      </c>
      <c r="E2923">
        <v>4</v>
      </c>
      <c r="F2923" t="s">
        <v>15</v>
      </c>
      <c r="G2923">
        <v>30</v>
      </c>
      <c r="H2923">
        <v>8.5410000000000004</v>
      </c>
      <c r="I2923">
        <v>30.000000000000004</v>
      </c>
      <c r="J2923" t="s">
        <v>20</v>
      </c>
    </row>
    <row r="2924" spans="1:10" x14ac:dyDescent="0.2">
      <c r="A2924">
        <v>12923</v>
      </c>
      <c r="B2924" t="s">
        <v>8</v>
      </c>
      <c r="C2924" t="s">
        <v>11</v>
      </c>
      <c r="D2924">
        <v>6.76</v>
      </c>
      <c r="E2924">
        <v>6</v>
      </c>
      <c r="F2924" t="s">
        <v>15</v>
      </c>
      <c r="G2924">
        <v>25</v>
      </c>
      <c r="H2924">
        <v>8.4499999999999993</v>
      </c>
      <c r="I2924">
        <v>25</v>
      </c>
      <c r="J2924" t="s">
        <v>20</v>
      </c>
    </row>
    <row r="2925" spans="1:10" x14ac:dyDescent="0.2">
      <c r="A2925">
        <v>12924</v>
      </c>
      <c r="B2925" t="s">
        <v>8</v>
      </c>
      <c r="C2925" t="s">
        <v>9</v>
      </c>
      <c r="D2925">
        <v>1.28</v>
      </c>
      <c r="E2925">
        <v>7</v>
      </c>
      <c r="F2925" t="s">
        <v>15</v>
      </c>
      <c r="G2925">
        <v>30</v>
      </c>
      <c r="H2925">
        <v>1.6640000000000001</v>
      </c>
      <c r="I2925">
        <v>30.000000000000004</v>
      </c>
      <c r="J2925" t="s">
        <v>20</v>
      </c>
    </row>
    <row r="2926" spans="1:10" x14ac:dyDescent="0.2">
      <c r="A2926">
        <v>12925</v>
      </c>
      <c r="B2926" t="s">
        <v>10</v>
      </c>
      <c r="C2926" t="s">
        <v>9</v>
      </c>
      <c r="D2926">
        <v>7.99</v>
      </c>
      <c r="E2926">
        <v>3</v>
      </c>
      <c r="F2926" t="s">
        <v>14</v>
      </c>
      <c r="G2926">
        <v>15</v>
      </c>
      <c r="H2926">
        <v>9.1884999999999994</v>
      </c>
      <c r="I2926">
        <v>14.999999999999991</v>
      </c>
      <c r="J2926" t="s">
        <v>20</v>
      </c>
    </row>
    <row r="2927" spans="1:10" x14ac:dyDescent="0.2">
      <c r="A2927">
        <v>12926</v>
      </c>
      <c r="B2927" t="s">
        <v>10</v>
      </c>
      <c r="C2927" t="s">
        <v>11</v>
      </c>
      <c r="D2927">
        <v>7.82</v>
      </c>
      <c r="E2927">
        <v>8</v>
      </c>
      <c r="F2927" t="s">
        <v>16</v>
      </c>
      <c r="G2927">
        <v>50</v>
      </c>
      <c r="H2927">
        <v>11.73</v>
      </c>
      <c r="I2927">
        <v>50</v>
      </c>
      <c r="J2927" t="s">
        <v>20</v>
      </c>
    </row>
    <row r="2928" spans="1:10" x14ac:dyDescent="0.2">
      <c r="A2928">
        <v>12927</v>
      </c>
      <c r="B2928" t="s">
        <v>7</v>
      </c>
      <c r="C2928" t="s">
        <v>6</v>
      </c>
      <c r="D2928">
        <v>2.67</v>
      </c>
      <c r="E2928">
        <v>7</v>
      </c>
      <c r="F2928" t="s">
        <v>15</v>
      </c>
      <c r="G2928">
        <v>28</v>
      </c>
      <c r="H2928">
        <v>3.4176000000000002</v>
      </c>
      <c r="I2928">
        <v>28.000000000000004</v>
      </c>
      <c r="J2928" t="s">
        <v>20</v>
      </c>
    </row>
    <row r="2929" spans="1:10" x14ac:dyDescent="0.2">
      <c r="A2929">
        <v>12928</v>
      </c>
      <c r="B2929" t="s">
        <v>10</v>
      </c>
      <c r="C2929" t="s">
        <v>11</v>
      </c>
      <c r="D2929">
        <v>2.0099999999999998</v>
      </c>
      <c r="E2929">
        <v>1</v>
      </c>
      <c r="F2929" t="s">
        <v>14</v>
      </c>
      <c r="G2929">
        <v>10</v>
      </c>
      <c r="H2929">
        <v>2.2109999999999999</v>
      </c>
      <c r="I2929">
        <v>10.000000000000009</v>
      </c>
      <c r="J2929" t="s">
        <v>20</v>
      </c>
    </row>
    <row r="2930" spans="1:10" x14ac:dyDescent="0.2">
      <c r="A2930">
        <v>12929</v>
      </c>
      <c r="B2930" t="s">
        <v>10</v>
      </c>
      <c r="C2930" t="s">
        <v>6</v>
      </c>
      <c r="D2930">
        <v>2.29</v>
      </c>
      <c r="E2930">
        <v>6</v>
      </c>
      <c r="F2930" t="s">
        <v>15</v>
      </c>
      <c r="G2930">
        <v>28</v>
      </c>
      <c r="H2930">
        <v>2.9312</v>
      </c>
      <c r="I2930">
        <v>28.000000000000004</v>
      </c>
      <c r="J2930" t="s">
        <v>20</v>
      </c>
    </row>
    <row r="2931" spans="1:10" x14ac:dyDescent="0.2">
      <c r="A2931">
        <v>12930</v>
      </c>
      <c r="B2931" t="s">
        <v>7</v>
      </c>
      <c r="C2931" t="s">
        <v>6</v>
      </c>
      <c r="D2931">
        <v>1.96</v>
      </c>
      <c r="E2931">
        <v>7</v>
      </c>
      <c r="F2931" t="s">
        <v>15</v>
      </c>
      <c r="G2931">
        <v>28</v>
      </c>
      <c r="H2931">
        <v>2.5087999999999999</v>
      </c>
      <c r="I2931">
        <v>28.000000000000004</v>
      </c>
      <c r="J2931" t="s">
        <v>20</v>
      </c>
    </row>
    <row r="2932" spans="1:10" x14ac:dyDescent="0.2">
      <c r="A2932">
        <v>12931</v>
      </c>
      <c r="B2932" t="s">
        <v>10</v>
      </c>
      <c r="C2932" t="s">
        <v>11</v>
      </c>
      <c r="D2932">
        <v>9.34</v>
      </c>
      <c r="E2932">
        <v>4</v>
      </c>
      <c r="F2932" t="s">
        <v>15</v>
      </c>
      <c r="G2932">
        <v>25</v>
      </c>
      <c r="H2932">
        <v>11.675000000000001</v>
      </c>
      <c r="I2932">
        <v>25</v>
      </c>
      <c r="J2932" t="s">
        <v>20</v>
      </c>
    </row>
    <row r="2933" spans="1:10" x14ac:dyDescent="0.2">
      <c r="A2933">
        <v>12932</v>
      </c>
      <c r="B2933" t="s">
        <v>5</v>
      </c>
      <c r="C2933" t="s">
        <v>9</v>
      </c>
      <c r="D2933">
        <v>3.35</v>
      </c>
      <c r="E2933">
        <v>2</v>
      </c>
      <c r="F2933" t="s">
        <v>14</v>
      </c>
      <c r="G2933">
        <v>15</v>
      </c>
      <c r="H2933">
        <v>3.8524999999999996</v>
      </c>
      <c r="I2933">
        <v>14.999999999999991</v>
      </c>
      <c r="J2933" t="s">
        <v>20</v>
      </c>
    </row>
    <row r="2934" spans="1:10" x14ac:dyDescent="0.2">
      <c r="A2934">
        <v>12933</v>
      </c>
      <c r="B2934" t="s">
        <v>8</v>
      </c>
      <c r="C2934" t="s">
        <v>11</v>
      </c>
      <c r="D2934">
        <v>4.1500000000000004</v>
      </c>
      <c r="E2934">
        <v>10</v>
      </c>
      <c r="F2934" t="s">
        <v>16</v>
      </c>
      <c r="G2934">
        <v>50</v>
      </c>
      <c r="H2934">
        <v>6.2250000000000005</v>
      </c>
      <c r="I2934">
        <v>50</v>
      </c>
      <c r="J2934" t="s">
        <v>20</v>
      </c>
    </row>
    <row r="2935" spans="1:10" x14ac:dyDescent="0.2">
      <c r="A2935">
        <v>12934</v>
      </c>
      <c r="B2935" t="s">
        <v>8</v>
      </c>
      <c r="C2935" t="s">
        <v>6</v>
      </c>
      <c r="D2935">
        <v>3.02</v>
      </c>
      <c r="E2935">
        <v>9</v>
      </c>
      <c r="F2935" t="s">
        <v>16</v>
      </c>
      <c r="G2935">
        <v>55</v>
      </c>
      <c r="H2935">
        <v>4.681</v>
      </c>
      <c r="I2935">
        <v>55.000000000000007</v>
      </c>
      <c r="J2935" t="s">
        <v>20</v>
      </c>
    </row>
    <row r="2936" spans="1:10" x14ac:dyDescent="0.2">
      <c r="A2936">
        <v>12935</v>
      </c>
      <c r="B2936" t="s">
        <v>8</v>
      </c>
      <c r="C2936" t="s">
        <v>11</v>
      </c>
      <c r="D2936">
        <v>14.39</v>
      </c>
      <c r="E2936">
        <v>7</v>
      </c>
      <c r="F2936" t="s">
        <v>15</v>
      </c>
      <c r="G2936">
        <v>25</v>
      </c>
      <c r="H2936">
        <v>17.987500000000001</v>
      </c>
      <c r="I2936">
        <v>25</v>
      </c>
      <c r="J2936" t="s">
        <v>20</v>
      </c>
    </row>
    <row r="2937" spans="1:10" x14ac:dyDescent="0.2">
      <c r="A2937">
        <v>12936</v>
      </c>
      <c r="B2937" t="s">
        <v>8</v>
      </c>
      <c r="C2937" t="s">
        <v>11</v>
      </c>
      <c r="D2937">
        <v>12.89</v>
      </c>
      <c r="E2937">
        <v>1</v>
      </c>
      <c r="F2937" t="s">
        <v>14</v>
      </c>
      <c r="G2937">
        <v>10</v>
      </c>
      <c r="H2937">
        <v>14.179000000000002</v>
      </c>
      <c r="I2937">
        <v>10.000000000000009</v>
      </c>
      <c r="J2937" t="s">
        <v>20</v>
      </c>
    </row>
    <row r="2938" spans="1:10" x14ac:dyDescent="0.2">
      <c r="A2938">
        <v>12937</v>
      </c>
      <c r="B2938" t="s">
        <v>7</v>
      </c>
      <c r="C2938" t="s">
        <v>6</v>
      </c>
      <c r="D2938">
        <v>3.84</v>
      </c>
      <c r="E2938">
        <v>8</v>
      </c>
      <c r="F2938" t="s">
        <v>16</v>
      </c>
      <c r="G2938">
        <v>55</v>
      </c>
      <c r="H2938">
        <v>5.952</v>
      </c>
      <c r="I2938">
        <v>55.000000000000007</v>
      </c>
      <c r="J2938" t="s">
        <v>20</v>
      </c>
    </row>
    <row r="2939" spans="1:10" x14ac:dyDescent="0.2">
      <c r="A2939">
        <v>12938</v>
      </c>
      <c r="B2939" t="s">
        <v>8</v>
      </c>
      <c r="C2939" t="s">
        <v>9</v>
      </c>
      <c r="D2939">
        <v>5.25</v>
      </c>
      <c r="E2939">
        <v>3</v>
      </c>
      <c r="F2939" t="s">
        <v>14</v>
      </c>
      <c r="G2939">
        <v>15</v>
      </c>
      <c r="H2939">
        <v>6.0374999999999996</v>
      </c>
      <c r="I2939">
        <v>14.999999999999991</v>
      </c>
      <c r="J2939" t="s">
        <v>20</v>
      </c>
    </row>
    <row r="2940" spans="1:10" x14ac:dyDescent="0.2">
      <c r="A2940">
        <v>12939</v>
      </c>
      <c r="B2940" t="s">
        <v>8</v>
      </c>
      <c r="C2940" t="s">
        <v>11</v>
      </c>
      <c r="D2940">
        <v>3.54</v>
      </c>
      <c r="E2940">
        <v>4</v>
      </c>
      <c r="F2940" t="s">
        <v>15</v>
      </c>
      <c r="G2940">
        <v>25</v>
      </c>
      <c r="H2940">
        <v>4.4249999999999998</v>
      </c>
      <c r="I2940">
        <v>25</v>
      </c>
      <c r="J2940" t="s">
        <v>20</v>
      </c>
    </row>
    <row r="2941" spans="1:10" x14ac:dyDescent="0.2">
      <c r="A2941">
        <v>12940</v>
      </c>
      <c r="B2941" t="s">
        <v>8</v>
      </c>
      <c r="C2941" t="s">
        <v>6</v>
      </c>
      <c r="D2941">
        <v>7.63</v>
      </c>
      <c r="E2941">
        <v>5</v>
      </c>
      <c r="F2941" t="s">
        <v>15</v>
      </c>
      <c r="G2941">
        <v>28</v>
      </c>
      <c r="H2941">
        <v>9.7664000000000009</v>
      </c>
      <c r="I2941">
        <v>28.000000000000004</v>
      </c>
      <c r="J2941" t="s">
        <v>20</v>
      </c>
    </row>
    <row r="2942" spans="1:10" x14ac:dyDescent="0.2">
      <c r="A2942">
        <v>12941</v>
      </c>
      <c r="B2942" t="s">
        <v>8</v>
      </c>
      <c r="C2942" t="s">
        <v>6</v>
      </c>
      <c r="D2942">
        <v>0.78</v>
      </c>
      <c r="E2942">
        <v>1</v>
      </c>
      <c r="F2942" t="s">
        <v>14</v>
      </c>
      <c r="G2942">
        <v>12</v>
      </c>
      <c r="H2942">
        <v>0.87360000000000015</v>
      </c>
      <c r="I2942">
        <v>12.000000000000011</v>
      </c>
      <c r="J2942" t="s">
        <v>20</v>
      </c>
    </row>
    <row r="2943" spans="1:10" x14ac:dyDescent="0.2">
      <c r="A2943">
        <v>12942</v>
      </c>
      <c r="B2943" t="s">
        <v>5</v>
      </c>
      <c r="C2943" t="s">
        <v>11</v>
      </c>
      <c r="D2943">
        <v>10.23</v>
      </c>
      <c r="E2943">
        <v>6</v>
      </c>
      <c r="F2943" t="s">
        <v>15</v>
      </c>
      <c r="G2943">
        <v>25</v>
      </c>
      <c r="H2943">
        <v>12.787500000000001</v>
      </c>
      <c r="I2943">
        <v>25</v>
      </c>
      <c r="J2943" t="s">
        <v>20</v>
      </c>
    </row>
    <row r="2944" spans="1:10" x14ac:dyDescent="0.2">
      <c r="A2944">
        <v>12943</v>
      </c>
      <c r="B2944" t="s">
        <v>8</v>
      </c>
      <c r="C2944" t="s">
        <v>9</v>
      </c>
      <c r="D2944">
        <v>8.09</v>
      </c>
      <c r="E2944">
        <v>10</v>
      </c>
      <c r="F2944" t="s">
        <v>16</v>
      </c>
      <c r="G2944">
        <v>60</v>
      </c>
      <c r="H2944">
        <v>12.944000000000001</v>
      </c>
      <c r="I2944">
        <v>60.000000000000007</v>
      </c>
      <c r="J2944" t="s">
        <v>20</v>
      </c>
    </row>
    <row r="2945" spans="1:10" x14ac:dyDescent="0.2">
      <c r="A2945">
        <v>12944</v>
      </c>
      <c r="B2945" t="s">
        <v>5</v>
      </c>
      <c r="C2945" t="s">
        <v>11</v>
      </c>
      <c r="D2945">
        <v>13.53</v>
      </c>
      <c r="E2945">
        <v>6</v>
      </c>
      <c r="F2945" t="s">
        <v>15</v>
      </c>
      <c r="G2945">
        <v>25</v>
      </c>
      <c r="H2945">
        <v>16.912499999999998</v>
      </c>
      <c r="I2945">
        <v>25</v>
      </c>
      <c r="J2945" t="s">
        <v>20</v>
      </c>
    </row>
    <row r="2946" spans="1:10" x14ac:dyDescent="0.2">
      <c r="A2946">
        <v>12945</v>
      </c>
      <c r="B2946" t="s">
        <v>7</v>
      </c>
      <c r="C2946" t="s">
        <v>9</v>
      </c>
      <c r="D2946">
        <v>2.88</v>
      </c>
      <c r="E2946">
        <v>2</v>
      </c>
      <c r="F2946" t="s">
        <v>14</v>
      </c>
      <c r="G2946">
        <v>15</v>
      </c>
      <c r="H2946">
        <v>3.3119999999999998</v>
      </c>
      <c r="I2946">
        <v>14.999999999999991</v>
      </c>
      <c r="J2946" t="s">
        <v>20</v>
      </c>
    </row>
    <row r="2947" spans="1:10" x14ac:dyDescent="0.2">
      <c r="A2947">
        <v>12946</v>
      </c>
      <c r="B2947" t="s">
        <v>10</v>
      </c>
      <c r="C2947" t="s">
        <v>9</v>
      </c>
      <c r="D2947">
        <v>12.16</v>
      </c>
      <c r="E2947">
        <v>10</v>
      </c>
      <c r="F2947" t="s">
        <v>16</v>
      </c>
      <c r="G2947">
        <v>60</v>
      </c>
      <c r="H2947">
        <v>19.456000000000003</v>
      </c>
      <c r="I2947">
        <v>60.000000000000028</v>
      </c>
      <c r="J2947" t="s">
        <v>20</v>
      </c>
    </row>
    <row r="2948" spans="1:10" x14ac:dyDescent="0.2">
      <c r="A2948">
        <v>12947</v>
      </c>
      <c r="B2948" t="s">
        <v>8</v>
      </c>
      <c r="C2948" t="s">
        <v>9</v>
      </c>
      <c r="D2948">
        <v>11.98</v>
      </c>
      <c r="E2948">
        <v>6</v>
      </c>
      <c r="F2948" t="s">
        <v>15</v>
      </c>
      <c r="G2948">
        <v>30</v>
      </c>
      <c r="H2948">
        <v>15.574000000000002</v>
      </c>
      <c r="I2948">
        <v>30.000000000000004</v>
      </c>
      <c r="J2948" t="s">
        <v>20</v>
      </c>
    </row>
    <row r="2949" spans="1:10" x14ac:dyDescent="0.2">
      <c r="A2949">
        <v>12948</v>
      </c>
      <c r="B2949" t="s">
        <v>10</v>
      </c>
      <c r="C2949" t="s">
        <v>9</v>
      </c>
      <c r="D2949">
        <v>2.34</v>
      </c>
      <c r="E2949">
        <v>8</v>
      </c>
      <c r="F2949" t="s">
        <v>16</v>
      </c>
      <c r="G2949">
        <v>60</v>
      </c>
      <c r="H2949">
        <v>3.7439999999999998</v>
      </c>
      <c r="I2949">
        <v>60.000000000000007</v>
      </c>
      <c r="J2949" t="s">
        <v>20</v>
      </c>
    </row>
    <row r="2950" spans="1:10" x14ac:dyDescent="0.2">
      <c r="A2950">
        <v>12949</v>
      </c>
      <c r="B2950" t="s">
        <v>10</v>
      </c>
      <c r="C2950" t="s">
        <v>11</v>
      </c>
      <c r="D2950">
        <v>6.28</v>
      </c>
      <c r="E2950">
        <v>6</v>
      </c>
      <c r="F2950" t="s">
        <v>15</v>
      </c>
      <c r="G2950">
        <v>25</v>
      </c>
      <c r="H2950">
        <v>7.8500000000000005</v>
      </c>
      <c r="I2950">
        <v>25</v>
      </c>
      <c r="J2950" t="s">
        <v>20</v>
      </c>
    </row>
    <row r="2951" spans="1:10" x14ac:dyDescent="0.2">
      <c r="A2951">
        <v>12950</v>
      </c>
      <c r="B2951" t="s">
        <v>7</v>
      </c>
      <c r="C2951" t="s">
        <v>6</v>
      </c>
      <c r="D2951">
        <v>2.97</v>
      </c>
      <c r="E2951">
        <v>4</v>
      </c>
      <c r="F2951" t="s">
        <v>15</v>
      </c>
      <c r="G2951">
        <v>28</v>
      </c>
      <c r="H2951">
        <v>3.8016000000000005</v>
      </c>
      <c r="I2951">
        <v>28.000000000000004</v>
      </c>
      <c r="J2951" t="s">
        <v>20</v>
      </c>
    </row>
    <row r="2952" spans="1:10" x14ac:dyDescent="0.2">
      <c r="A2952">
        <v>12951</v>
      </c>
      <c r="B2952" t="s">
        <v>10</v>
      </c>
      <c r="C2952" t="s">
        <v>6</v>
      </c>
      <c r="D2952">
        <v>4.1900000000000004</v>
      </c>
      <c r="E2952">
        <v>4</v>
      </c>
      <c r="F2952" t="s">
        <v>15</v>
      </c>
      <c r="G2952">
        <v>28</v>
      </c>
      <c r="H2952">
        <v>5.3632000000000009</v>
      </c>
      <c r="I2952">
        <v>28.000000000000004</v>
      </c>
      <c r="J2952" t="s">
        <v>20</v>
      </c>
    </row>
    <row r="2953" spans="1:10" x14ac:dyDescent="0.2">
      <c r="A2953">
        <v>12952</v>
      </c>
      <c r="B2953" t="s">
        <v>5</v>
      </c>
      <c r="C2953" t="s">
        <v>6</v>
      </c>
      <c r="D2953">
        <v>4.32</v>
      </c>
      <c r="E2953">
        <v>9</v>
      </c>
      <c r="F2953" t="s">
        <v>16</v>
      </c>
      <c r="G2953">
        <v>55</v>
      </c>
      <c r="H2953">
        <v>6.6960000000000006</v>
      </c>
      <c r="I2953">
        <v>55.000000000000007</v>
      </c>
      <c r="J2953" t="s">
        <v>20</v>
      </c>
    </row>
    <row r="2954" spans="1:10" x14ac:dyDescent="0.2">
      <c r="A2954">
        <v>12953</v>
      </c>
      <c r="B2954" t="s">
        <v>10</v>
      </c>
      <c r="C2954" t="s">
        <v>6</v>
      </c>
      <c r="D2954">
        <v>8.57</v>
      </c>
      <c r="E2954">
        <v>6</v>
      </c>
      <c r="F2954" t="s">
        <v>15</v>
      </c>
      <c r="G2954">
        <v>28</v>
      </c>
      <c r="H2954">
        <v>10.9696</v>
      </c>
      <c r="I2954">
        <v>28.000000000000004</v>
      </c>
      <c r="J2954" t="s">
        <v>20</v>
      </c>
    </row>
    <row r="2955" spans="1:10" x14ac:dyDescent="0.2">
      <c r="A2955">
        <v>12954</v>
      </c>
      <c r="B2955" t="s">
        <v>10</v>
      </c>
      <c r="C2955" t="s">
        <v>6</v>
      </c>
      <c r="D2955">
        <v>6.47</v>
      </c>
      <c r="E2955">
        <v>8</v>
      </c>
      <c r="F2955" t="s">
        <v>16</v>
      </c>
      <c r="G2955">
        <v>55</v>
      </c>
      <c r="H2955">
        <v>10.028499999999999</v>
      </c>
      <c r="I2955">
        <v>55.000000000000007</v>
      </c>
      <c r="J2955" t="s">
        <v>20</v>
      </c>
    </row>
    <row r="2956" spans="1:10" x14ac:dyDescent="0.2">
      <c r="A2956">
        <v>12955</v>
      </c>
      <c r="B2956" t="s">
        <v>10</v>
      </c>
      <c r="C2956" t="s">
        <v>6</v>
      </c>
      <c r="D2956">
        <v>14.24</v>
      </c>
      <c r="E2956">
        <v>8</v>
      </c>
      <c r="F2956" t="s">
        <v>16</v>
      </c>
      <c r="G2956">
        <v>55</v>
      </c>
      <c r="H2956">
        <v>22.072000000000003</v>
      </c>
      <c r="I2956">
        <v>55.000000000000028</v>
      </c>
      <c r="J2956" t="s">
        <v>20</v>
      </c>
    </row>
    <row r="2957" spans="1:10" x14ac:dyDescent="0.2">
      <c r="A2957">
        <v>12956</v>
      </c>
      <c r="B2957" t="s">
        <v>8</v>
      </c>
      <c r="C2957" t="s">
        <v>11</v>
      </c>
      <c r="D2957">
        <v>2.33</v>
      </c>
      <c r="E2957">
        <v>7</v>
      </c>
      <c r="F2957" t="s">
        <v>15</v>
      </c>
      <c r="G2957">
        <v>25</v>
      </c>
      <c r="H2957">
        <v>2.9125000000000001</v>
      </c>
      <c r="I2957">
        <v>25</v>
      </c>
      <c r="J2957" t="s">
        <v>20</v>
      </c>
    </row>
    <row r="2958" spans="1:10" x14ac:dyDescent="0.2">
      <c r="A2958">
        <v>12957</v>
      </c>
      <c r="B2958" t="s">
        <v>8</v>
      </c>
      <c r="C2958" t="s">
        <v>9</v>
      </c>
      <c r="D2958">
        <v>14.62</v>
      </c>
      <c r="E2958">
        <v>3</v>
      </c>
      <c r="F2958" t="s">
        <v>14</v>
      </c>
      <c r="G2958">
        <v>15</v>
      </c>
      <c r="H2958">
        <v>16.812999999999999</v>
      </c>
      <c r="I2958">
        <v>14.999999999999991</v>
      </c>
      <c r="J2958" t="s">
        <v>20</v>
      </c>
    </row>
    <row r="2959" spans="1:10" x14ac:dyDescent="0.2">
      <c r="A2959">
        <v>12958</v>
      </c>
      <c r="B2959" t="s">
        <v>5</v>
      </c>
      <c r="C2959" t="s">
        <v>6</v>
      </c>
      <c r="D2959">
        <v>3.84</v>
      </c>
      <c r="E2959">
        <v>10</v>
      </c>
      <c r="F2959" t="s">
        <v>16</v>
      </c>
      <c r="G2959">
        <v>55</v>
      </c>
      <c r="H2959">
        <v>5.952</v>
      </c>
      <c r="I2959">
        <v>55.000000000000007</v>
      </c>
      <c r="J2959" t="s">
        <v>20</v>
      </c>
    </row>
    <row r="2960" spans="1:10" x14ac:dyDescent="0.2">
      <c r="A2960">
        <v>12959</v>
      </c>
      <c r="B2960" t="s">
        <v>5</v>
      </c>
      <c r="C2960" t="s">
        <v>11</v>
      </c>
      <c r="D2960">
        <v>11.71</v>
      </c>
      <c r="E2960">
        <v>1</v>
      </c>
      <c r="F2960" t="s">
        <v>14</v>
      </c>
      <c r="G2960">
        <v>10</v>
      </c>
      <c r="H2960">
        <v>12.881000000000002</v>
      </c>
      <c r="I2960">
        <v>10.000000000000009</v>
      </c>
      <c r="J2960" t="s">
        <v>20</v>
      </c>
    </row>
    <row r="2961" spans="1:10" x14ac:dyDescent="0.2">
      <c r="A2961">
        <v>12960</v>
      </c>
      <c r="B2961" t="s">
        <v>8</v>
      </c>
      <c r="C2961" t="s">
        <v>6</v>
      </c>
      <c r="D2961">
        <v>5.42</v>
      </c>
      <c r="E2961">
        <v>5</v>
      </c>
      <c r="F2961" t="s">
        <v>15</v>
      </c>
      <c r="G2961">
        <v>28</v>
      </c>
      <c r="H2961">
        <v>6.9375999999999998</v>
      </c>
      <c r="I2961">
        <v>28.000000000000004</v>
      </c>
      <c r="J2961" t="s">
        <v>20</v>
      </c>
    </row>
    <row r="2962" spans="1:10" x14ac:dyDescent="0.2">
      <c r="A2962">
        <v>12961</v>
      </c>
      <c r="B2962" t="s">
        <v>5</v>
      </c>
      <c r="C2962" t="s">
        <v>6</v>
      </c>
      <c r="D2962">
        <v>2.57</v>
      </c>
      <c r="E2962">
        <v>10</v>
      </c>
      <c r="F2962" t="s">
        <v>16</v>
      </c>
      <c r="G2962">
        <v>55</v>
      </c>
      <c r="H2962">
        <v>3.9834999999999998</v>
      </c>
      <c r="I2962">
        <v>55.000000000000007</v>
      </c>
      <c r="J2962" t="s">
        <v>20</v>
      </c>
    </row>
    <row r="2963" spans="1:10" x14ac:dyDescent="0.2">
      <c r="A2963">
        <v>12962</v>
      </c>
      <c r="B2963" t="s">
        <v>8</v>
      </c>
      <c r="C2963" t="s">
        <v>9</v>
      </c>
      <c r="D2963">
        <v>12.94</v>
      </c>
      <c r="E2963">
        <v>10</v>
      </c>
      <c r="F2963" t="s">
        <v>16</v>
      </c>
      <c r="G2963">
        <v>60</v>
      </c>
      <c r="H2963">
        <v>20.704000000000001</v>
      </c>
      <c r="I2963">
        <v>60.000000000000007</v>
      </c>
      <c r="J2963" t="s">
        <v>20</v>
      </c>
    </row>
    <row r="2964" spans="1:10" x14ac:dyDescent="0.2">
      <c r="A2964">
        <v>12963</v>
      </c>
      <c r="B2964" t="s">
        <v>7</v>
      </c>
      <c r="C2964" t="s">
        <v>9</v>
      </c>
      <c r="D2964">
        <v>4.9800000000000004</v>
      </c>
      <c r="E2964">
        <v>2</v>
      </c>
      <c r="F2964" t="s">
        <v>14</v>
      </c>
      <c r="G2964">
        <v>15</v>
      </c>
      <c r="H2964">
        <v>5.7270000000000003</v>
      </c>
      <c r="I2964">
        <v>14.999999999999991</v>
      </c>
      <c r="J2964" t="s">
        <v>20</v>
      </c>
    </row>
    <row r="2965" spans="1:10" x14ac:dyDescent="0.2">
      <c r="A2965">
        <v>12964</v>
      </c>
      <c r="B2965" t="s">
        <v>10</v>
      </c>
      <c r="C2965" t="s">
        <v>9</v>
      </c>
      <c r="D2965">
        <v>10.050000000000001</v>
      </c>
      <c r="E2965">
        <v>10</v>
      </c>
      <c r="F2965" t="s">
        <v>16</v>
      </c>
      <c r="G2965">
        <v>60</v>
      </c>
      <c r="H2965">
        <v>16.080000000000002</v>
      </c>
      <c r="I2965">
        <v>60.000000000000007</v>
      </c>
      <c r="J2965" t="s">
        <v>20</v>
      </c>
    </row>
    <row r="2966" spans="1:10" x14ac:dyDescent="0.2">
      <c r="A2966">
        <v>12965</v>
      </c>
      <c r="B2966" t="s">
        <v>10</v>
      </c>
      <c r="C2966" t="s">
        <v>6</v>
      </c>
      <c r="D2966">
        <v>8.7100000000000009</v>
      </c>
      <c r="E2966">
        <v>2</v>
      </c>
      <c r="F2966" t="s">
        <v>14</v>
      </c>
      <c r="G2966">
        <v>12</v>
      </c>
      <c r="H2966">
        <v>9.7552000000000021</v>
      </c>
      <c r="I2966">
        <v>12.000000000000011</v>
      </c>
      <c r="J2966" t="s">
        <v>20</v>
      </c>
    </row>
    <row r="2967" spans="1:10" x14ac:dyDescent="0.2">
      <c r="A2967">
        <v>12966</v>
      </c>
      <c r="B2967" t="s">
        <v>5</v>
      </c>
      <c r="C2967" t="s">
        <v>6</v>
      </c>
      <c r="D2967">
        <v>7.34</v>
      </c>
      <c r="E2967">
        <v>7</v>
      </c>
      <c r="F2967" t="s">
        <v>15</v>
      </c>
      <c r="G2967">
        <v>28</v>
      </c>
      <c r="H2967">
        <v>9.3952000000000009</v>
      </c>
      <c r="I2967">
        <v>28.000000000000025</v>
      </c>
      <c r="J2967" t="s">
        <v>20</v>
      </c>
    </row>
    <row r="2968" spans="1:10" x14ac:dyDescent="0.2">
      <c r="A2968">
        <v>12967</v>
      </c>
      <c r="B2968" t="s">
        <v>8</v>
      </c>
      <c r="C2968" t="s">
        <v>6</v>
      </c>
      <c r="D2968">
        <v>7.69</v>
      </c>
      <c r="E2968">
        <v>3</v>
      </c>
      <c r="F2968" t="s">
        <v>14</v>
      </c>
      <c r="G2968">
        <v>12</v>
      </c>
      <c r="H2968">
        <v>8.6128000000000018</v>
      </c>
      <c r="I2968">
        <v>12.000000000000011</v>
      </c>
      <c r="J2968" t="s">
        <v>20</v>
      </c>
    </row>
    <row r="2969" spans="1:10" x14ac:dyDescent="0.2">
      <c r="A2969">
        <v>12968</v>
      </c>
      <c r="B2969" t="s">
        <v>8</v>
      </c>
      <c r="C2969" t="s">
        <v>9</v>
      </c>
      <c r="D2969">
        <v>11.12</v>
      </c>
      <c r="E2969">
        <v>8</v>
      </c>
      <c r="F2969" t="s">
        <v>16</v>
      </c>
      <c r="G2969">
        <v>60</v>
      </c>
      <c r="H2969">
        <v>17.791999999999998</v>
      </c>
      <c r="I2969">
        <v>59.999999999999986</v>
      </c>
      <c r="J2969" t="s">
        <v>20</v>
      </c>
    </row>
    <row r="2970" spans="1:10" x14ac:dyDescent="0.2">
      <c r="A2970">
        <v>12969</v>
      </c>
      <c r="B2970" t="s">
        <v>5</v>
      </c>
      <c r="C2970" t="s">
        <v>11</v>
      </c>
      <c r="D2970">
        <v>1.77</v>
      </c>
      <c r="E2970">
        <v>9</v>
      </c>
      <c r="F2970" t="s">
        <v>16</v>
      </c>
      <c r="G2970">
        <v>50</v>
      </c>
      <c r="H2970">
        <v>2.6550000000000002</v>
      </c>
      <c r="I2970">
        <v>50.000000000000021</v>
      </c>
      <c r="J2970" t="s">
        <v>20</v>
      </c>
    </row>
    <row r="2971" spans="1:10" x14ac:dyDescent="0.2">
      <c r="A2971">
        <v>12970</v>
      </c>
      <c r="B2971" t="s">
        <v>8</v>
      </c>
      <c r="C2971" t="s">
        <v>6</v>
      </c>
      <c r="D2971">
        <v>10.19</v>
      </c>
      <c r="E2971">
        <v>8</v>
      </c>
      <c r="F2971" t="s">
        <v>16</v>
      </c>
      <c r="G2971">
        <v>55</v>
      </c>
      <c r="H2971">
        <v>15.794499999999999</v>
      </c>
      <c r="I2971">
        <v>55.000000000000007</v>
      </c>
      <c r="J2971" t="s">
        <v>20</v>
      </c>
    </row>
    <row r="2972" spans="1:10" x14ac:dyDescent="0.2">
      <c r="A2972">
        <v>12971</v>
      </c>
      <c r="B2972" t="s">
        <v>7</v>
      </c>
      <c r="C2972" t="s">
        <v>6</v>
      </c>
      <c r="D2972">
        <v>13.49</v>
      </c>
      <c r="E2972">
        <v>6</v>
      </c>
      <c r="F2972" t="s">
        <v>15</v>
      </c>
      <c r="G2972">
        <v>28</v>
      </c>
      <c r="H2972">
        <v>17.267199999999999</v>
      </c>
      <c r="I2972">
        <v>27.999999999999979</v>
      </c>
      <c r="J2972" t="s">
        <v>20</v>
      </c>
    </row>
    <row r="2973" spans="1:10" x14ac:dyDescent="0.2">
      <c r="A2973">
        <v>12972</v>
      </c>
      <c r="B2973" t="s">
        <v>10</v>
      </c>
      <c r="C2973" t="s">
        <v>6</v>
      </c>
      <c r="D2973">
        <v>1.34</v>
      </c>
      <c r="E2973">
        <v>5</v>
      </c>
      <c r="F2973" t="s">
        <v>15</v>
      </c>
      <c r="G2973">
        <v>28</v>
      </c>
      <c r="H2973">
        <v>1.7152000000000001</v>
      </c>
      <c r="I2973">
        <v>28.000000000000004</v>
      </c>
      <c r="J2973" t="s">
        <v>20</v>
      </c>
    </row>
    <row r="2974" spans="1:10" x14ac:dyDescent="0.2">
      <c r="A2974">
        <v>12973</v>
      </c>
      <c r="B2974" t="s">
        <v>5</v>
      </c>
      <c r="C2974" t="s">
        <v>11</v>
      </c>
      <c r="D2974">
        <v>2.54</v>
      </c>
      <c r="E2974">
        <v>3</v>
      </c>
      <c r="F2974" t="s">
        <v>14</v>
      </c>
      <c r="G2974">
        <v>10</v>
      </c>
      <c r="H2974">
        <v>2.7940000000000005</v>
      </c>
      <c r="I2974">
        <v>10.000000000000009</v>
      </c>
      <c r="J2974" t="s">
        <v>20</v>
      </c>
    </row>
    <row r="2975" spans="1:10" x14ac:dyDescent="0.2">
      <c r="A2975">
        <v>12974</v>
      </c>
      <c r="B2975" t="s">
        <v>5</v>
      </c>
      <c r="C2975" t="s">
        <v>6</v>
      </c>
      <c r="D2975">
        <v>10.89</v>
      </c>
      <c r="E2975">
        <v>3</v>
      </c>
      <c r="F2975" t="s">
        <v>14</v>
      </c>
      <c r="G2975">
        <v>12</v>
      </c>
      <c r="H2975">
        <v>12.196800000000001</v>
      </c>
      <c r="I2975">
        <v>12.000000000000011</v>
      </c>
      <c r="J2975" t="s">
        <v>20</v>
      </c>
    </row>
    <row r="2976" spans="1:10" x14ac:dyDescent="0.2">
      <c r="A2976">
        <v>12975</v>
      </c>
      <c r="B2976" t="s">
        <v>8</v>
      </c>
      <c r="C2976" t="s">
        <v>11</v>
      </c>
      <c r="D2976">
        <v>6.84</v>
      </c>
      <c r="E2976">
        <v>7</v>
      </c>
      <c r="F2976" t="s">
        <v>15</v>
      </c>
      <c r="G2976">
        <v>25</v>
      </c>
      <c r="H2976">
        <v>8.5500000000000007</v>
      </c>
      <c r="I2976">
        <v>25.000000000000021</v>
      </c>
      <c r="J2976" t="s">
        <v>20</v>
      </c>
    </row>
    <row r="2977" spans="1:10" x14ac:dyDescent="0.2">
      <c r="A2977">
        <v>12976</v>
      </c>
      <c r="B2977" t="s">
        <v>5</v>
      </c>
      <c r="C2977" t="s">
        <v>6</v>
      </c>
      <c r="D2977">
        <v>6.35</v>
      </c>
      <c r="E2977">
        <v>5</v>
      </c>
      <c r="F2977" t="s">
        <v>15</v>
      </c>
      <c r="G2977">
        <v>28</v>
      </c>
      <c r="H2977">
        <v>8.1280000000000001</v>
      </c>
      <c r="I2977">
        <v>28.000000000000004</v>
      </c>
      <c r="J2977" t="s">
        <v>20</v>
      </c>
    </row>
    <row r="2978" spans="1:10" x14ac:dyDescent="0.2">
      <c r="A2978">
        <v>12977</v>
      </c>
      <c r="B2978" t="s">
        <v>7</v>
      </c>
      <c r="C2978" t="s">
        <v>11</v>
      </c>
      <c r="D2978">
        <v>2.4900000000000002</v>
      </c>
      <c r="E2978">
        <v>6</v>
      </c>
      <c r="F2978" t="s">
        <v>15</v>
      </c>
      <c r="G2978">
        <v>25</v>
      </c>
      <c r="H2978">
        <v>3.1125000000000003</v>
      </c>
      <c r="I2978">
        <v>25</v>
      </c>
      <c r="J2978" t="s">
        <v>20</v>
      </c>
    </row>
    <row r="2979" spans="1:10" x14ac:dyDescent="0.2">
      <c r="A2979">
        <v>12978</v>
      </c>
      <c r="B2979" t="s">
        <v>8</v>
      </c>
      <c r="C2979" t="s">
        <v>6</v>
      </c>
      <c r="D2979">
        <v>7.85</v>
      </c>
      <c r="E2979">
        <v>6</v>
      </c>
      <c r="F2979" t="s">
        <v>15</v>
      </c>
      <c r="G2979">
        <v>28</v>
      </c>
      <c r="H2979">
        <v>10.048</v>
      </c>
      <c r="I2979">
        <v>28.000000000000004</v>
      </c>
      <c r="J2979" t="s">
        <v>20</v>
      </c>
    </row>
    <row r="2980" spans="1:10" x14ac:dyDescent="0.2">
      <c r="A2980">
        <v>12979</v>
      </c>
      <c r="B2980" t="s">
        <v>8</v>
      </c>
      <c r="C2980" t="s">
        <v>9</v>
      </c>
      <c r="D2980">
        <v>2.33</v>
      </c>
      <c r="E2980">
        <v>9</v>
      </c>
      <c r="F2980" t="s">
        <v>16</v>
      </c>
      <c r="G2980">
        <v>60</v>
      </c>
      <c r="H2980">
        <v>3.7280000000000002</v>
      </c>
      <c r="I2980">
        <v>60.000000000000007</v>
      </c>
      <c r="J2980" t="s">
        <v>20</v>
      </c>
    </row>
    <row r="2981" spans="1:10" x14ac:dyDescent="0.2">
      <c r="A2981">
        <v>12980</v>
      </c>
      <c r="B2981" t="s">
        <v>8</v>
      </c>
      <c r="C2981" t="s">
        <v>9</v>
      </c>
      <c r="D2981">
        <v>7.41</v>
      </c>
      <c r="E2981">
        <v>1</v>
      </c>
      <c r="F2981" t="s">
        <v>14</v>
      </c>
      <c r="G2981">
        <v>15</v>
      </c>
      <c r="H2981">
        <v>8.5214999999999996</v>
      </c>
      <c r="I2981">
        <v>14.999999999999991</v>
      </c>
      <c r="J2981" t="s">
        <v>20</v>
      </c>
    </row>
    <row r="2982" spans="1:10" x14ac:dyDescent="0.2">
      <c r="A2982">
        <v>12981</v>
      </c>
      <c r="B2982" t="s">
        <v>8</v>
      </c>
      <c r="C2982" t="s">
        <v>9</v>
      </c>
      <c r="D2982">
        <v>11.57</v>
      </c>
      <c r="E2982">
        <v>8</v>
      </c>
      <c r="F2982" t="s">
        <v>16</v>
      </c>
      <c r="G2982">
        <v>60</v>
      </c>
      <c r="H2982">
        <v>18.512</v>
      </c>
      <c r="I2982">
        <v>60.000000000000007</v>
      </c>
      <c r="J2982" t="s">
        <v>20</v>
      </c>
    </row>
    <row r="2983" spans="1:10" x14ac:dyDescent="0.2">
      <c r="A2983">
        <v>12982</v>
      </c>
      <c r="B2983" t="s">
        <v>7</v>
      </c>
      <c r="C2983" t="s">
        <v>9</v>
      </c>
      <c r="D2983">
        <v>4.24</v>
      </c>
      <c r="E2983">
        <v>10</v>
      </c>
      <c r="F2983" t="s">
        <v>16</v>
      </c>
      <c r="G2983">
        <v>60</v>
      </c>
      <c r="H2983">
        <v>6.7840000000000007</v>
      </c>
      <c r="I2983">
        <v>60.000000000000007</v>
      </c>
      <c r="J2983" t="s">
        <v>20</v>
      </c>
    </row>
    <row r="2984" spans="1:10" x14ac:dyDescent="0.2">
      <c r="A2984">
        <v>12983</v>
      </c>
      <c r="B2984" t="s">
        <v>8</v>
      </c>
      <c r="C2984" t="s">
        <v>6</v>
      </c>
      <c r="D2984">
        <v>7.47</v>
      </c>
      <c r="E2984">
        <v>5</v>
      </c>
      <c r="F2984" t="s">
        <v>15</v>
      </c>
      <c r="G2984">
        <v>28</v>
      </c>
      <c r="H2984">
        <v>9.5616000000000003</v>
      </c>
      <c r="I2984">
        <v>28.000000000000004</v>
      </c>
      <c r="J2984" t="s">
        <v>20</v>
      </c>
    </row>
    <row r="2985" spans="1:10" x14ac:dyDescent="0.2">
      <c r="A2985">
        <v>12984</v>
      </c>
      <c r="B2985" t="s">
        <v>5</v>
      </c>
      <c r="C2985" t="s">
        <v>9</v>
      </c>
      <c r="D2985">
        <v>14.88</v>
      </c>
      <c r="E2985">
        <v>6</v>
      </c>
      <c r="F2985" t="s">
        <v>15</v>
      </c>
      <c r="G2985">
        <v>30</v>
      </c>
      <c r="H2985">
        <v>19.344000000000001</v>
      </c>
      <c r="I2985">
        <v>30.000000000000004</v>
      </c>
      <c r="J2985" t="s">
        <v>20</v>
      </c>
    </row>
    <row r="2986" spans="1:10" x14ac:dyDescent="0.2">
      <c r="A2986">
        <v>12985</v>
      </c>
      <c r="B2986" t="s">
        <v>7</v>
      </c>
      <c r="C2986" t="s">
        <v>11</v>
      </c>
      <c r="D2986">
        <v>10.46</v>
      </c>
      <c r="E2986">
        <v>6</v>
      </c>
      <c r="F2986" t="s">
        <v>15</v>
      </c>
      <c r="G2986">
        <v>25</v>
      </c>
      <c r="H2986">
        <v>13.075000000000001</v>
      </c>
      <c r="I2986">
        <v>25</v>
      </c>
      <c r="J2986" t="s">
        <v>20</v>
      </c>
    </row>
    <row r="2987" spans="1:10" x14ac:dyDescent="0.2">
      <c r="A2987">
        <v>12986</v>
      </c>
      <c r="B2987" t="s">
        <v>10</v>
      </c>
      <c r="C2987" t="s">
        <v>9</v>
      </c>
      <c r="D2987">
        <v>12.7</v>
      </c>
      <c r="E2987">
        <v>1</v>
      </c>
      <c r="F2987" t="s">
        <v>14</v>
      </c>
      <c r="G2987">
        <v>15</v>
      </c>
      <c r="H2987">
        <v>14.604999999999999</v>
      </c>
      <c r="I2987">
        <v>14.999999999999991</v>
      </c>
      <c r="J2987" t="s">
        <v>20</v>
      </c>
    </row>
    <row r="2988" spans="1:10" x14ac:dyDescent="0.2">
      <c r="A2988">
        <v>12987</v>
      </c>
      <c r="B2988" t="s">
        <v>10</v>
      </c>
      <c r="C2988" t="s">
        <v>9</v>
      </c>
      <c r="D2988">
        <v>6.52</v>
      </c>
      <c r="E2988">
        <v>3</v>
      </c>
      <c r="F2988" t="s">
        <v>14</v>
      </c>
      <c r="G2988">
        <v>15</v>
      </c>
      <c r="H2988">
        <v>7.4979999999999993</v>
      </c>
      <c r="I2988">
        <v>14.999999999999991</v>
      </c>
      <c r="J2988" t="s">
        <v>20</v>
      </c>
    </row>
    <row r="2989" spans="1:10" x14ac:dyDescent="0.2">
      <c r="A2989">
        <v>12988</v>
      </c>
      <c r="B2989" t="s">
        <v>5</v>
      </c>
      <c r="C2989" t="s">
        <v>9</v>
      </c>
      <c r="D2989">
        <v>11.63</v>
      </c>
      <c r="E2989">
        <v>6</v>
      </c>
      <c r="F2989" t="s">
        <v>15</v>
      </c>
      <c r="G2989">
        <v>30</v>
      </c>
      <c r="H2989">
        <v>15.119000000000002</v>
      </c>
      <c r="I2989">
        <v>30.000000000000004</v>
      </c>
      <c r="J2989" t="s">
        <v>20</v>
      </c>
    </row>
    <row r="2990" spans="1:10" x14ac:dyDescent="0.2">
      <c r="A2990">
        <v>12989</v>
      </c>
      <c r="B2990" t="s">
        <v>5</v>
      </c>
      <c r="C2990" t="s">
        <v>6</v>
      </c>
      <c r="D2990">
        <v>1.0900000000000001</v>
      </c>
      <c r="E2990">
        <v>9</v>
      </c>
      <c r="F2990" t="s">
        <v>16</v>
      </c>
      <c r="G2990">
        <v>55</v>
      </c>
      <c r="H2990">
        <v>1.6895000000000002</v>
      </c>
      <c r="I2990">
        <v>55.000000000000007</v>
      </c>
      <c r="J2990" t="s">
        <v>20</v>
      </c>
    </row>
    <row r="2991" spans="1:10" x14ac:dyDescent="0.2">
      <c r="A2991">
        <v>12990</v>
      </c>
      <c r="B2991" t="s">
        <v>7</v>
      </c>
      <c r="C2991" t="s">
        <v>9</v>
      </c>
      <c r="D2991">
        <v>2.2799999999999998</v>
      </c>
      <c r="E2991">
        <v>6</v>
      </c>
      <c r="F2991" t="s">
        <v>15</v>
      </c>
      <c r="G2991">
        <v>30</v>
      </c>
      <c r="H2991">
        <v>2.964</v>
      </c>
      <c r="I2991">
        <v>30.000000000000004</v>
      </c>
      <c r="J2991" t="s">
        <v>20</v>
      </c>
    </row>
    <row r="2992" spans="1:10" x14ac:dyDescent="0.2">
      <c r="A2992">
        <v>12991</v>
      </c>
      <c r="B2992" t="s">
        <v>10</v>
      </c>
      <c r="C2992" t="s">
        <v>11</v>
      </c>
      <c r="D2992">
        <v>3.44</v>
      </c>
      <c r="E2992">
        <v>6</v>
      </c>
      <c r="F2992" t="s">
        <v>15</v>
      </c>
      <c r="G2992">
        <v>25</v>
      </c>
      <c r="H2992">
        <v>4.3</v>
      </c>
      <c r="I2992">
        <v>25</v>
      </c>
      <c r="J2992" t="s">
        <v>20</v>
      </c>
    </row>
    <row r="2993" spans="1:10" x14ac:dyDescent="0.2">
      <c r="A2993">
        <v>12992</v>
      </c>
      <c r="B2993" t="s">
        <v>10</v>
      </c>
      <c r="C2993" t="s">
        <v>9</v>
      </c>
      <c r="D2993">
        <v>6.33</v>
      </c>
      <c r="E2993">
        <v>1</v>
      </c>
      <c r="F2993" t="s">
        <v>14</v>
      </c>
      <c r="G2993">
        <v>15</v>
      </c>
      <c r="H2993">
        <v>7.2794999999999996</v>
      </c>
      <c r="I2993">
        <v>14.999999999999991</v>
      </c>
      <c r="J2993" t="s">
        <v>20</v>
      </c>
    </row>
    <row r="2994" spans="1:10" x14ac:dyDescent="0.2">
      <c r="A2994">
        <v>12993</v>
      </c>
      <c r="B2994" t="s">
        <v>10</v>
      </c>
      <c r="C2994" t="s">
        <v>9</v>
      </c>
      <c r="D2994">
        <v>12.76</v>
      </c>
      <c r="E2994">
        <v>9</v>
      </c>
      <c r="F2994" t="s">
        <v>16</v>
      </c>
      <c r="G2994">
        <v>60</v>
      </c>
      <c r="H2994">
        <v>20.416</v>
      </c>
      <c r="I2994">
        <v>60.000000000000007</v>
      </c>
      <c r="J2994" t="s">
        <v>20</v>
      </c>
    </row>
    <row r="2995" spans="1:10" x14ac:dyDescent="0.2">
      <c r="A2995">
        <v>12994</v>
      </c>
      <c r="B2995" t="s">
        <v>10</v>
      </c>
      <c r="C2995" t="s">
        <v>9</v>
      </c>
      <c r="D2995">
        <v>5.52</v>
      </c>
      <c r="E2995">
        <v>4</v>
      </c>
      <c r="F2995" t="s">
        <v>15</v>
      </c>
      <c r="G2995">
        <v>30</v>
      </c>
      <c r="H2995">
        <v>7.1759999999999993</v>
      </c>
      <c r="I2995">
        <v>30.000000000000004</v>
      </c>
      <c r="J2995" t="s">
        <v>20</v>
      </c>
    </row>
    <row r="2996" spans="1:10" x14ac:dyDescent="0.2">
      <c r="A2996">
        <v>12995</v>
      </c>
      <c r="B2996" t="s">
        <v>10</v>
      </c>
      <c r="C2996" t="s">
        <v>11</v>
      </c>
      <c r="D2996">
        <v>9.99</v>
      </c>
      <c r="E2996">
        <v>2</v>
      </c>
      <c r="F2996" t="s">
        <v>14</v>
      </c>
      <c r="G2996">
        <v>10</v>
      </c>
      <c r="H2996">
        <v>10.989000000000001</v>
      </c>
      <c r="I2996">
        <v>10.000000000000009</v>
      </c>
      <c r="J2996" t="s">
        <v>20</v>
      </c>
    </row>
    <row r="2997" spans="1:10" x14ac:dyDescent="0.2">
      <c r="A2997">
        <v>12996</v>
      </c>
      <c r="B2997" t="s">
        <v>8</v>
      </c>
      <c r="C2997" t="s">
        <v>9</v>
      </c>
      <c r="D2997">
        <v>10.79</v>
      </c>
      <c r="E2997">
        <v>1</v>
      </c>
      <c r="F2997" t="s">
        <v>14</v>
      </c>
      <c r="G2997">
        <v>15</v>
      </c>
      <c r="H2997">
        <v>12.408499999999998</v>
      </c>
      <c r="I2997">
        <v>14.999999999999991</v>
      </c>
      <c r="J2997" t="s">
        <v>20</v>
      </c>
    </row>
    <row r="2998" spans="1:10" x14ac:dyDescent="0.2">
      <c r="A2998">
        <v>12997</v>
      </c>
      <c r="B2998" t="s">
        <v>5</v>
      </c>
      <c r="C2998" t="s">
        <v>11</v>
      </c>
      <c r="D2998">
        <v>9</v>
      </c>
      <c r="E2998">
        <v>3</v>
      </c>
      <c r="F2998" t="s">
        <v>14</v>
      </c>
      <c r="G2998">
        <v>10</v>
      </c>
      <c r="H2998">
        <v>9.9</v>
      </c>
      <c r="I2998">
        <v>10.000000000000009</v>
      </c>
      <c r="J2998" t="s">
        <v>20</v>
      </c>
    </row>
    <row r="2999" spans="1:10" x14ac:dyDescent="0.2">
      <c r="A2999">
        <v>12998</v>
      </c>
      <c r="B2999" t="s">
        <v>8</v>
      </c>
      <c r="C2999" t="s">
        <v>11</v>
      </c>
      <c r="D2999">
        <v>5.68</v>
      </c>
      <c r="E2999">
        <v>3</v>
      </c>
      <c r="F2999" t="s">
        <v>14</v>
      </c>
      <c r="G2999">
        <v>10</v>
      </c>
      <c r="H2999">
        <v>6.2480000000000002</v>
      </c>
      <c r="I2999">
        <v>10.000000000000009</v>
      </c>
      <c r="J2999" t="s">
        <v>20</v>
      </c>
    </row>
    <row r="3000" spans="1:10" x14ac:dyDescent="0.2">
      <c r="A3000">
        <v>12999</v>
      </c>
      <c r="B3000" t="s">
        <v>10</v>
      </c>
      <c r="C3000" t="s">
        <v>9</v>
      </c>
      <c r="D3000">
        <v>8.8699999999999992</v>
      </c>
      <c r="E3000">
        <v>5</v>
      </c>
      <c r="F3000" t="s">
        <v>15</v>
      </c>
      <c r="G3000">
        <v>30</v>
      </c>
      <c r="H3000">
        <v>11.530999999999999</v>
      </c>
      <c r="I3000">
        <v>30.000000000000004</v>
      </c>
      <c r="J3000" t="s">
        <v>20</v>
      </c>
    </row>
    <row r="3001" spans="1:10" x14ac:dyDescent="0.2">
      <c r="A3001">
        <v>13000</v>
      </c>
      <c r="B3001" t="s">
        <v>7</v>
      </c>
      <c r="C3001" t="s">
        <v>11</v>
      </c>
      <c r="D3001">
        <v>5.46</v>
      </c>
      <c r="E3001">
        <v>1</v>
      </c>
      <c r="F3001" t="s">
        <v>14</v>
      </c>
      <c r="G3001">
        <v>10</v>
      </c>
      <c r="H3001">
        <v>6.0060000000000002</v>
      </c>
      <c r="I3001">
        <v>10.000000000000009</v>
      </c>
      <c r="J3001" t="s">
        <v>20</v>
      </c>
    </row>
    <row r="3002" spans="1:10" x14ac:dyDescent="0.2">
      <c r="A3002">
        <v>13001</v>
      </c>
      <c r="B3002" t="s">
        <v>7</v>
      </c>
      <c r="C3002" t="s">
        <v>6</v>
      </c>
      <c r="D3002">
        <v>1.72</v>
      </c>
      <c r="E3002">
        <v>7</v>
      </c>
      <c r="F3002" t="s">
        <v>15</v>
      </c>
      <c r="G3002">
        <v>28</v>
      </c>
      <c r="H3002">
        <v>2.2016</v>
      </c>
      <c r="I3002">
        <v>28.000000000000004</v>
      </c>
      <c r="J3002" t="s">
        <v>20</v>
      </c>
    </row>
    <row r="3003" spans="1:10" x14ac:dyDescent="0.2">
      <c r="A3003">
        <v>13002</v>
      </c>
      <c r="B3003" t="s">
        <v>10</v>
      </c>
      <c r="C3003" t="s">
        <v>9</v>
      </c>
      <c r="D3003">
        <v>14.9</v>
      </c>
      <c r="E3003">
        <v>1</v>
      </c>
      <c r="F3003" t="s">
        <v>14</v>
      </c>
      <c r="G3003">
        <v>15</v>
      </c>
      <c r="H3003">
        <v>17.134999999999998</v>
      </c>
      <c r="I3003">
        <v>14.999999999999991</v>
      </c>
      <c r="J3003" t="s">
        <v>20</v>
      </c>
    </row>
    <row r="3004" spans="1:10" x14ac:dyDescent="0.2">
      <c r="A3004">
        <v>13003</v>
      </c>
      <c r="B3004" t="s">
        <v>10</v>
      </c>
      <c r="C3004" t="s">
        <v>9</v>
      </c>
      <c r="D3004">
        <v>2.34</v>
      </c>
      <c r="E3004">
        <v>4</v>
      </c>
      <c r="F3004" t="s">
        <v>15</v>
      </c>
      <c r="G3004">
        <v>30</v>
      </c>
      <c r="H3004">
        <v>3.0419999999999998</v>
      </c>
      <c r="I3004">
        <v>30.000000000000004</v>
      </c>
      <c r="J3004" t="s">
        <v>20</v>
      </c>
    </row>
    <row r="3005" spans="1:10" x14ac:dyDescent="0.2">
      <c r="A3005">
        <v>13004</v>
      </c>
      <c r="B3005" t="s">
        <v>7</v>
      </c>
      <c r="C3005" t="s">
        <v>11</v>
      </c>
      <c r="D3005">
        <v>1.55</v>
      </c>
      <c r="E3005">
        <v>6</v>
      </c>
      <c r="F3005" t="s">
        <v>15</v>
      </c>
      <c r="G3005">
        <v>25</v>
      </c>
      <c r="H3005">
        <v>1.9375</v>
      </c>
      <c r="I3005">
        <v>25</v>
      </c>
      <c r="J3005" t="s">
        <v>20</v>
      </c>
    </row>
    <row r="3006" spans="1:10" x14ac:dyDescent="0.2">
      <c r="A3006">
        <v>13005</v>
      </c>
      <c r="B3006" t="s">
        <v>8</v>
      </c>
      <c r="C3006" t="s">
        <v>11</v>
      </c>
      <c r="D3006">
        <v>13.24</v>
      </c>
      <c r="E3006">
        <v>1</v>
      </c>
      <c r="F3006" t="s">
        <v>14</v>
      </c>
      <c r="G3006">
        <v>10</v>
      </c>
      <c r="H3006">
        <v>14.564000000000002</v>
      </c>
      <c r="I3006">
        <v>10.000000000000009</v>
      </c>
      <c r="J3006" t="s">
        <v>20</v>
      </c>
    </row>
    <row r="3007" spans="1:10" x14ac:dyDescent="0.2">
      <c r="A3007">
        <v>13006</v>
      </c>
      <c r="B3007" t="s">
        <v>8</v>
      </c>
      <c r="C3007" t="s">
        <v>9</v>
      </c>
      <c r="D3007">
        <v>4.88</v>
      </c>
      <c r="E3007">
        <v>7</v>
      </c>
      <c r="F3007" t="s">
        <v>15</v>
      </c>
      <c r="G3007">
        <v>30</v>
      </c>
      <c r="H3007">
        <v>6.3440000000000003</v>
      </c>
      <c r="I3007">
        <v>30.000000000000004</v>
      </c>
      <c r="J3007" t="s">
        <v>20</v>
      </c>
    </row>
    <row r="3008" spans="1:10" x14ac:dyDescent="0.2">
      <c r="A3008">
        <v>13007</v>
      </c>
      <c r="B3008" t="s">
        <v>10</v>
      </c>
      <c r="C3008" t="s">
        <v>6</v>
      </c>
      <c r="D3008">
        <v>9.93</v>
      </c>
      <c r="E3008">
        <v>10</v>
      </c>
      <c r="F3008" t="s">
        <v>16</v>
      </c>
      <c r="G3008">
        <v>55</v>
      </c>
      <c r="H3008">
        <v>15.391500000000001</v>
      </c>
      <c r="I3008">
        <v>55.000000000000007</v>
      </c>
      <c r="J3008" t="s">
        <v>20</v>
      </c>
    </row>
    <row r="3009" spans="1:10" x14ac:dyDescent="0.2">
      <c r="A3009">
        <v>13008</v>
      </c>
      <c r="B3009" t="s">
        <v>8</v>
      </c>
      <c r="C3009" t="s">
        <v>11</v>
      </c>
      <c r="D3009">
        <v>5.27</v>
      </c>
      <c r="E3009">
        <v>7</v>
      </c>
      <c r="F3009" t="s">
        <v>15</v>
      </c>
      <c r="G3009">
        <v>25</v>
      </c>
      <c r="H3009">
        <v>6.5874999999999995</v>
      </c>
      <c r="I3009">
        <v>25</v>
      </c>
      <c r="J3009" t="s">
        <v>20</v>
      </c>
    </row>
    <row r="3010" spans="1:10" x14ac:dyDescent="0.2">
      <c r="A3010">
        <v>13009</v>
      </c>
      <c r="B3010" t="s">
        <v>7</v>
      </c>
      <c r="C3010" t="s">
        <v>11</v>
      </c>
      <c r="D3010">
        <v>6.18</v>
      </c>
      <c r="E3010">
        <v>3</v>
      </c>
      <c r="F3010" t="s">
        <v>14</v>
      </c>
      <c r="G3010">
        <v>10</v>
      </c>
      <c r="H3010">
        <v>6.798</v>
      </c>
      <c r="I3010">
        <v>10.000000000000009</v>
      </c>
      <c r="J3010" t="s">
        <v>20</v>
      </c>
    </row>
    <row r="3011" spans="1:10" x14ac:dyDescent="0.2">
      <c r="A3011">
        <v>13010</v>
      </c>
      <c r="B3011" t="s">
        <v>8</v>
      </c>
      <c r="C3011" t="s">
        <v>6</v>
      </c>
      <c r="D3011">
        <v>4.3</v>
      </c>
      <c r="E3011">
        <v>4</v>
      </c>
      <c r="F3011" t="s">
        <v>15</v>
      </c>
      <c r="G3011">
        <v>28</v>
      </c>
      <c r="H3011">
        <v>5.5039999999999996</v>
      </c>
      <c r="I3011">
        <v>28.000000000000004</v>
      </c>
      <c r="J3011" t="s">
        <v>20</v>
      </c>
    </row>
    <row r="3012" spans="1:10" x14ac:dyDescent="0.2">
      <c r="A3012">
        <v>13011</v>
      </c>
      <c r="B3012" t="s">
        <v>10</v>
      </c>
      <c r="C3012" t="s">
        <v>6</v>
      </c>
      <c r="D3012">
        <v>5.47</v>
      </c>
      <c r="E3012">
        <v>6</v>
      </c>
      <c r="F3012" t="s">
        <v>15</v>
      </c>
      <c r="G3012">
        <v>28</v>
      </c>
      <c r="H3012">
        <v>7.0015999999999998</v>
      </c>
      <c r="I3012">
        <v>28.000000000000004</v>
      </c>
      <c r="J3012" t="s">
        <v>20</v>
      </c>
    </row>
    <row r="3013" spans="1:10" x14ac:dyDescent="0.2">
      <c r="A3013">
        <v>13012</v>
      </c>
      <c r="B3013" t="s">
        <v>7</v>
      </c>
      <c r="C3013" t="s">
        <v>9</v>
      </c>
      <c r="D3013">
        <v>6.46</v>
      </c>
      <c r="E3013">
        <v>7</v>
      </c>
      <c r="F3013" t="s">
        <v>15</v>
      </c>
      <c r="G3013">
        <v>30</v>
      </c>
      <c r="H3013">
        <v>8.3979999999999997</v>
      </c>
      <c r="I3013">
        <v>30.000000000000004</v>
      </c>
      <c r="J3013" t="s">
        <v>20</v>
      </c>
    </row>
    <row r="3014" spans="1:10" x14ac:dyDescent="0.2">
      <c r="A3014">
        <v>13013</v>
      </c>
      <c r="B3014" t="s">
        <v>8</v>
      </c>
      <c r="C3014" t="s">
        <v>6</v>
      </c>
      <c r="D3014">
        <v>10.95</v>
      </c>
      <c r="E3014">
        <v>4</v>
      </c>
      <c r="F3014" t="s">
        <v>15</v>
      </c>
      <c r="G3014">
        <v>28</v>
      </c>
      <c r="H3014">
        <v>14.016</v>
      </c>
      <c r="I3014">
        <v>28.000000000000004</v>
      </c>
      <c r="J3014" t="s">
        <v>20</v>
      </c>
    </row>
    <row r="3015" spans="1:10" x14ac:dyDescent="0.2">
      <c r="A3015">
        <v>13014</v>
      </c>
      <c r="B3015" t="s">
        <v>5</v>
      </c>
      <c r="C3015" t="s">
        <v>9</v>
      </c>
      <c r="D3015">
        <v>7.92</v>
      </c>
      <c r="E3015">
        <v>10</v>
      </c>
      <c r="F3015" t="s">
        <v>16</v>
      </c>
      <c r="G3015">
        <v>60</v>
      </c>
      <c r="H3015">
        <v>12.672000000000001</v>
      </c>
      <c r="I3015">
        <v>60.000000000000007</v>
      </c>
      <c r="J3015" t="s">
        <v>20</v>
      </c>
    </row>
    <row r="3016" spans="1:10" x14ac:dyDescent="0.2">
      <c r="A3016">
        <v>13015</v>
      </c>
      <c r="B3016" t="s">
        <v>7</v>
      </c>
      <c r="C3016" t="s">
        <v>6</v>
      </c>
      <c r="D3016">
        <v>14.18</v>
      </c>
      <c r="E3016">
        <v>9</v>
      </c>
      <c r="F3016" t="s">
        <v>16</v>
      </c>
      <c r="G3016">
        <v>55</v>
      </c>
      <c r="H3016">
        <v>21.978999999999999</v>
      </c>
      <c r="I3016">
        <v>55.000000000000007</v>
      </c>
      <c r="J3016" t="s">
        <v>20</v>
      </c>
    </row>
    <row r="3017" spans="1:10" x14ac:dyDescent="0.2">
      <c r="A3017">
        <v>13016</v>
      </c>
      <c r="B3017" t="s">
        <v>7</v>
      </c>
      <c r="C3017" t="s">
        <v>11</v>
      </c>
      <c r="D3017">
        <v>1.1100000000000001</v>
      </c>
      <c r="E3017">
        <v>9</v>
      </c>
      <c r="F3017" t="s">
        <v>16</v>
      </c>
      <c r="G3017">
        <v>50</v>
      </c>
      <c r="H3017">
        <v>1.665</v>
      </c>
      <c r="I3017">
        <v>50</v>
      </c>
      <c r="J3017" t="s">
        <v>20</v>
      </c>
    </row>
    <row r="3018" spans="1:10" x14ac:dyDescent="0.2">
      <c r="A3018">
        <v>13017</v>
      </c>
      <c r="B3018" t="s">
        <v>5</v>
      </c>
      <c r="C3018" t="s">
        <v>9</v>
      </c>
      <c r="D3018">
        <v>7.79</v>
      </c>
      <c r="E3018">
        <v>9</v>
      </c>
      <c r="F3018" t="s">
        <v>16</v>
      </c>
      <c r="G3018">
        <v>60</v>
      </c>
      <c r="H3018">
        <v>12.464</v>
      </c>
      <c r="I3018">
        <v>60.000000000000007</v>
      </c>
      <c r="J3018" t="s">
        <v>20</v>
      </c>
    </row>
    <row r="3019" spans="1:10" x14ac:dyDescent="0.2">
      <c r="A3019">
        <v>13018</v>
      </c>
      <c r="B3019" t="s">
        <v>5</v>
      </c>
      <c r="C3019" t="s">
        <v>9</v>
      </c>
      <c r="D3019">
        <v>8.9700000000000006</v>
      </c>
      <c r="E3019">
        <v>10</v>
      </c>
      <c r="F3019" t="s">
        <v>16</v>
      </c>
      <c r="G3019">
        <v>60</v>
      </c>
      <c r="H3019">
        <v>14.352000000000002</v>
      </c>
      <c r="I3019">
        <v>60.000000000000007</v>
      </c>
      <c r="J3019" t="s">
        <v>20</v>
      </c>
    </row>
    <row r="3020" spans="1:10" x14ac:dyDescent="0.2">
      <c r="A3020">
        <v>13019</v>
      </c>
      <c r="B3020" t="s">
        <v>7</v>
      </c>
      <c r="C3020" t="s">
        <v>9</v>
      </c>
      <c r="D3020">
        <v>13.84</v>
      </c>
      <c r="E3020">
        <v>6</v>
      </c>
      <c r="F3020" t="s">
        <v>15</v>
      </c>
      <c r="G3020">
        <v>30</v>
      </c>
      <c r="H3020">
        <v>17.992000000000001</v>
      </c>
      <c r="I3020">
        <v>30.000000000000004</v>
      </c>
      <c r="J3020" t="s">
        <v>20</v>
      </c>
    </row>
    <row r="3021" spans="1:10" x14ac:dyDescent="0.2">
      <c r="A3021">
        <v>13020</v>
      </c>
      <c r="B3021" t="s">
        <v>5</v>
      </c>
      <c r="C3021" t="s">
        <v>6</v>
      </c>
      <c r="D3021">
        <v>1.21</v>
      </c>
      <c r="E3021">
        <v>2</v>
      </c>
      <c r="F3021" t="s">
        <v>14</v>
      </c>
      <c r="G3021">
        <v>12</v>
      </c>
      <c r="H3021">
        <v>1.3552000000000002</v>
      </c>
      <c r="I3021">
        <v>12.000000000000011</v>
      </c>
      <c r="J3021" t="s">
        <v>20</v>
      </c>
    </row>
    <row r="3022" spans="1:10" x14ac:dyDescent="0.2">
      <c r="A3022">
        <v>13021</v>
      </c>
      <c r="B3022" t="s">
        <v>10</v>
      </c>
      <c r="C3022" t="s">
        <v>11</v>
      </c>
      <c r="D3022">
        <v>8.82</v>
      </c>
      <c r="E3022">
        <v>2</v>
      </c>
      <c r="F3022" t="s">
        <v>14</v>
      </c>
      <c r="G3022">
        <v>10</v>
      </c>
      <c r="H3022">
        <v>9.7020000000000017</v>
      </c>
      <c r="I3022">
        <v>10.000000000000009</v>
      </c>
      <c r="J3022" t="s">
        <v>20</v>
      </c>
    </row>
    <row r="3023" spans="1:10" x14ac:dyDescent="0.2">
      <c r="A3023">
        <v>13022</v>
      </c>
      <c r="B3023" t="s">
        <v>10</v>
      </c>
      <c r="C3023" t="s">
        <v>9</v>
      </c>
      <c r="D3023">
        <v>12.88</v>
      </c>
      <c r="E3023">
        <v>4</v>
      </c>
      <c r="F3023" t="s">
        <v>15</v>
      </c>
      <c r="G3023">
        <v>30</v>
      </c>
      <c r="H3023">
        <v>16.744000000000003</v>
      </c>
      <c r="I3023">
        <v>30.000000000000028</v>
      </c>
      <c r="J3023" t="s">
        <v>20</v>
      </c>
    </row>
    <row r="3024" spans="1:10" x14ac:dyDescent="0.2">
      <c r="A3024">
        <v>13023</v>
      </c>
      <c r="B3024" t="s">
        <v>10</v>
      </c>
      <c r="C3024" t="s">
        <v>9</v>
      </c>
      <c r="D3024">
        <v>4.01</v>
      </c>
      <c r="E3024">
        <v>9</v>
      </c>
      <c r="F3024" t="s">
        <v>16</v>
      </c>
      <c r="G3024">
        <v>60</v>
      </c>
      <c r="H3024">
        <v>6.4160000000000004</v>
      </c>
      <c r="I3024">
        <v>60.000000000000007</v>
      </c>
      <c r="J3024" t="s">
        <v>20</v>
      </c>
    </row>
    <row r="3025" spans="1:10" x14ac:dyDescent="0.2">
      <c r="A3025">
        <v>13024</v>
      </c>
      <c r="B3025" t="s">
        <v>7</v>
      </c>
      <c r="C3025" t="s">
        <v>9</v>
      </c>
      <c r="D3025">
        <v>13.21</v>
      </c>
      <c r="E3025">
        <v>3</v>
      </c>
      <c r="F3025" t="s">
        <v>14</v>
      </c>
      <c r="G3025">
        <v>15</v>
      </c>
      <c r="H3025">
        <v>15.1915</v>
      </c>
      <c r="I3025">
        <v>14.999999999999991</v>
      </c>
      <c r="J3025" t="s">
        <v>20</v>
      </c>
    </row>
    <row r="3026" spans="1:10" x14ac:dyDescent="0.2">
      <c r="A3026">
        <v>13025</v>
      </c>
      <c r="B3026" t="s">
        <v>5</v>
      </c>
      <c r="C3026" t="s">
        <v>9</v>
      </c>
      <c r="D3026">
        <v>0.78</v>
      </c>
      <c r="E3026">
        <v>6</v>
      </c>
      <c r="F3026" t="s">
        <v>15</v>
      </c>
      <c r="G3026">
        <v>30</v>
      </c>
      <c r="H3026">
        <v>1.014</v>
      </c>
      <c r="I3026">
        <v>30.000000000000004</v>
      </c>
      <c r="J3026" t="s">
        <v>20</v>
      </c>
    </row>
    <row r="3027" spans="1:10" x14ac:dyDescent="0.2">
      <c r="A3027">
        <v>13026</v>
      </c>
      <c r="B3027" t="s">
        <v>5</v>
      </c>
      <c r="C3027" t="s">
        <v>11</v>
      </c>
      <c r="D3027">
        <v>11.12</v>
      </c>
      <c r="E3027">
        <v>2</v>
      </c>
      <c r="F3027" t="s">
        <v>14</v>
      </c>
      <c r="G3027">
        <v>10</v>
      </c>
      <c r="H3027">
        <v>12.231999999999999</v>
      </c>
      <c r="I3027">
        <v>10.000000000000009</v>
      </c>
      <c r="J3027" t="s">
        <v>20</v>
      </c>
    </row>
    <row r="3028" spans="1:10" x14ac:dyDescent="0.2">
      <c r="A3028">
        <v>13027</v>
      </c>
      <c r="B3028" t="s">
        <v>8</v>
      </c>
      <c r="C3028" t="s">
        <v>6</v>
      </c>
      <c r="D3028">
        <v>14.03</v>
      </c>
      <c r="E3028">
        <v>1</v>
      </c>
      <c r="F3028" t="s">
        <v>14</v>
      </c>
      <c r="G3028">
        <v>12</v>
      </c>
      <c r="H3028">
        <v>15.713600000000001</v>
      </c>
      <c r="I3028">
        <v>12.000000000000011</v>
      </c>
      <c r="J3028" t="s">
        <v>20</v>
      </c>
    </row>
    <row r="3029" spans="1:10" x14ac:dyDescent="0.2">
      <c r="A3029">
        <v>13028</v>
      </c>
      <c r="B3029" t="s">
        <v>8</v>
      </c>
      <c r="C3029" t="s">
        <v>11</v>
      </c>
      <c r="D3029">
        <v>10.029999999999999</v>
      </c>
      <c r="E3029">
        <v>5</v>
      </c>
      <c r="F3029" t="s">
        <v>15</v>
      </c>
      <c r="G3029">
        <v>25</v>
      </c>
      <c r="H3029">
        <v>12.5375</v>
      </c>
      <c r="I3029">
        <v>25</v>
      </c>
      <c r="J3029" t="s">
        <v>20</v>
      </c>
    </row>
    <row r="3030" spans="1:10" x14ac:dyDescent="0.2">
      <c r="A3030">
        <v>13029</v>
      </c>
      <c r="B3030" t="s">
        <v>5</v>
      </c>
      <c r="C3030" t="s">
        <v>9</v>
      </c>
      <c r="D3030">
        <v>6.87</v>
      </c>
      <c r="E3030">
        <v>8</v>
      </c>
      <c r="F3030" t="s">
        <v>16</v>
      </c>
      <c r="G3030">
        <v>60</v>
      </c>
      <c r="H3030">
        <v>10.992000000000001</v>
      </c>
      <c r="I3030">
        <v>60.000000000000007</v>
      </c>
      <c r="J3030" t="s">
        <v>20</v>
      </c>
    </row>
    <row r="3031" spans="1:10" x14ac:dyDescent="0.2">
      <c r="A3031">
        <v>13030</v>
      </c>
      <c r="B3031" t="s">
        <v>5</v>
      </c>
      <c r="C3031" t="s">
        <v>11</v>
      </c>
      <c r="D3031">
        <v>1.1499999999999999</v>
      </c>
      <c r="E3031">
        <v>10</v>
      </c>
      <c r="F3031" t="s">
        <v>16</v>
      </c>
      <c r="G3031">
        <v>50</v>
      </c>
      <c r="H3031">
        <v>1.7249999999999999</v>
      </c>
      <c r="I3031">
        <v>50</v>
      </c>
      <c r="J3031" t="s">
        <v>20</v>
      </c>
    </row>
    <row r="3032" spans="1:10" x14ac:dyDescent="0.2">
      <c r="A3032">
        <v>13031</v>
      </c>
      <c r="B3032" t="s">
        <v>5</v>
      </c>
      <c r="C3032" t="s">
        <v>9</v>
      </c>
      <c r="D3032">
        <v>13.84</v>
      </c>
      <c r="E3032">
        <v>10</v>
      </c>
      <c r="F3032" t="s">
        <v>16</v>
      </c>
      <c r="G3032">
        <v>60</v>
      </c>
      <c r="H3032">
        <v>22.144000000000002</v>
      </c>
      <c r="I3032">
        <v>60.000000000000007</v>
      </c>
      <c r="J3032" t="s">
        <v>20</v>
      </c>
    </row>
    <row r="3033" spans="1:10" x14ac:dyDescent="0.2">
      <c r="A3033">
        <v>13032</v>
      </c>
      <c r="B3033" t="s">
        <v>7</v>
      </c>
      <c r="C3033" t="s">
        <v>6</v>
      </c>
      <c r="D3033">
        <v>7.32</v>
      </c>
      <c r="E3033">
        <v>2</v>
      </c>
      <c r="F3033" t="s">
        <v>14</v>
      </c>
      <c r="G3033">
        <v>12</v>
      </c>
      <c r="H3033">
        <v>8.1984000000000012</v>
      </c>
      <c r="I3033">
        <v>12.000000000000011</v>
      </c>
      <c r="J3033" t="s">
        <v>20</v>
      </c>
    </row>
    <row r="3034" spans="1:10" x14ac:dyDescent="0.2">
      <c r="A3034">
        <v>13033</v>
      </c>
      <c r="B3034" t="s">
        <v>5</v>
      </c>
      <c r="C3034" t="s">
        <v>6</v>
      </c>
      <c r="D3034">
        <v>0.92</v>
      </c>
      <c r="E3034">
        <v>10</v>
      </c>
      <c r="F3034" t="s">
        <v>16</v>
      </c>
      <c r="G3034">
        <v>55</v>
      </c>
      <c r="H3034">
        <v>1.4260000000000002</v>
      </c>
      <c r="I3034">
        <v>55.000000000000007</v>
      </c>
      <c r="J3034" t="s">
        <v>20</v>
      </c>
    </row>
    <row r="3035" spans="1:10" x14ac:dyDescent="0.2">
      <c r="A3035">
        <v>13034</v>
      </c>
      <c r="B3035" t="s">
        <v>8</v>
      </c>
      <c r="C3035" t="s">
        <v>6</v>
      </c>
      <c r="D3035">
        <v>10.5</v>
      </c>
      <c r="E3035">
        <v>9</v>
      </c>
      <c r="F3035" t="s">
        <v>16</v>
      </c>
      <c r="G3035">
        <v>55</v>
      </c>
      <c r="H3035">
        <v>16.275000000000002</v>
      </c>
      <c r="I3035">
        <v>55.000000000000028</v>
      </c>
      <c r="J3035" t="s">
        <v>20</v>
      </c>
    </row>
    <row r="3036" spans="1:10" x14ac:dyDescent="0.2">
      <c r="A3036">
        <v>13035</v>
      </c>
      <c r="B3036" t="s">
        <v>7</v>
      </c>
      <c r="C3036" t="s">
        <v>9</v>
      </c>
      <c r="D3036">
        <v>7.49</v>
      </c>
      <c r="E3036">
        <v>8</v>
      </c>
      <c r="F3036" t="s">
        <v>16</v>
      </c>
      <c r="G3036">
        <v>60</v>
      </c>
      <c r="H3036">
        <v>11.984000000000002</v>
      </c>
      <c r="I3036">
        <v>60.000000000000007</v>
      </c>
      <c r="J3036" t="s">
        <v>20</v>
      </c>
    </row>
    <row r="3037" spans="1:10" x14ac:dyDescent="0.2">
      <c r="A3037">
        <v>13036</v>
      </c>
      <c r="B3037" t="s">
        <v>5</v>
      </c>
      <c r="C3037" t="s">
        <v>11</v>
      </c>
      <c r="D3037">
        <v>2.2999999999999998</v>
      </c>
      <c r="E3037">
        <v>3</v>
      </c>
      <c r="F3037" t="s">
        <v>14</v>
      </c>
      <c r="G3037">
        <v>10</v>
      </c>
      <c r="H3037">
        <v>2.5299999999999998</v>
      </c>
      <c r="I3037">
        <v>10.000000000000009</v>
      </c>
      <c r="J3037" t="s">
        <v>20</v>
      </c>
    </row>
    <row r="3038" spans="1:10" x14ac:dyDescent="0.2">
      <c r="A3038">
        <v>13037</v>
      </c>
      <c r="B3038" t="s">
        <v>8</v>
      </c>
      <c r="C3038" t="s">
        <v>6</v>
      </c>
      <c r="D3038">
        <v>3.61</v>
      </c>
      <c r="E3038">
        <v>1</v>
      </c>
      <c r="F3038" t="s">
        <v>14</v>
      </c>
      <c r="G3038">
        <v>12</v>
      </c>
      <c r="H3038">
        <v>4.0432000000000006</v>
      </c>
      <c r="I3038">
        <v>12.000000000000011</v>
      </c>
      <c r="J3038" t="s">
        <v>20</v>
      </c>
    </row>
    <row r="3039" spans="1:10" x14ac:dyDescent="0.2">
      <c r="A3039">
        <v>13038</v>
      </c>
      <c r="B3039" t="s">
        <v>7</v>
      </c>
      <c r="C3039" t="s">
        <v>9</v>
      </c>
      <c r="D3039">
        <v>1.44</v>
      </c>
      <c r="E3039">
        <v>4</v>
      </c>
      <c r="F3039" t="s">
        <v>15</v>
      </c>
      <c r="G3039">
        <v>30</v>
      </c>
      <c r="H3039">
        <v>1.8719999999999999</v>
      </c>
      <c r="I3039">
        <v>30.000000000000004</v>
      </c>
      <c r="J3039" t="s">
        <v>20</v>
      </c>
    </row>
    <row r="3040" spans="1:10" x14ac:dyDescent="0.2">
      <c r="A3040">
        <v>13039</v>
      </c>
      <c r="B3040" t="s">
        <v>5</v>
      </c>
      <c r="C3040" t="s">
        <v>9</v>
      </c>
      <c r="D3040">
        <v>8.83</v>
      </c>
      <c r="E3040">
        <v>8</v>
      </c>
      <c r="F3040" t="s">
        <v>16</v>
      </c>
      <c r="G3040">
        <v>60</v>
      </c>
      <c r="H3040">
        <v>14.128</v>
      </c>
      <c r="I3040">
        <v>60.000000000000007</v>
      </c>
      <c r="J3040" t="s">
        <v>20</v>
      </c>
    </row>
    <row r="3041" spans="1:10" x14ac:dyDescent="0.2">
      <c r="A3041">
        <v>13040</v>
      </c>
      <c r="B3041" t="s">
        <v>5</v>
      </c>
      <c r="C3041" t="s">
        <v>11</v>
      </c>
      <c r="D3041">
        <v>9.52</v>
      </c>
      <c r="E3041">
        <v>3</v>
      </c>
      <c r="F3041" t="s">
        <v>14</v>
      </c>
      <c r="G3041">
        <v>10</v>
      </c>
      <c r="H3041">
        <v>10.472</v>
      </c>
      <c r="I3041">
        <v>10.000000000000009</v>
      </c>
      <c r="J3041" t="s">
        <v>20</v>
      </c>
    </row>
    <row r="3042" spans="1:10" x14ac:dyDescent="0.2">
      <c r="A3042">
        <v>13041</v>
      </c>
      <c r="B3042" t="s">
        <v>5</v>
      </c>
      <c r="C3042" t="s">
        <v>6</v>
      </c>
      <c r="D3042">
        <v>7.83</v>
      </c>
      <c r="E3042">
        <v>10</v>
      </c>
      <c r="F3042" t="s">
        <v>16</v>
      </c>
      <c r="G3042">
        <v>55</v>
      </c>
      <c r="H3042">
        <v>12.1365</v>
      </c>
      <c r="I3042">
        <v>55.000000000000007</v>
      </c>
      <c r="J3042" t="s">
        <v>20</v>
      </c>
    </row>
    <row r="3043" spans="1:10" x14ac:dyDescent="0.2">
      <c r="A3043">
        <v>13042</v>
      </c>
      <c r="B3043" t="s">
        <v>7</v>
      </c>
      <c r="C3043" t="s">
        <v>9</v>
      </c>
      <c r="D3043">
        <v>12.35</v>
      </c>
      <c r="E3043">
        <v>2</v>
      </c>
      <c r="F3043" t="s">
        <v>14</v>
      </c>
      <c r="G3043">
        <v>15</v>
      </c>
      <c r="H3043">
        <v>14.202499999999999</v>
      </c>
      <c r="I3043">
        <v>14.999999999999991</v>
      </c>
      <c r="J3043" t="s">
        <v>20</v>
      </c>
    </row>
    <row r="3044" spans="1:10" x14ac:dyDescent="0.2">
      <c r="A3044">
        <v>13043</v>
      </c>
      <c r="B3044" t="s">
        <v>8</v>
      </c>
      <c r="C3044" t="s">
        <v>11</v>
      </c>
      <c r="D3044">
        <v>12.98</v>
      </c>
      <c r="E3044">
        <v>7</v>
      </c>
      <c r="F3044" t="s">
        <v>15</v>
      </c>
      <c r="G3044">
        <v>25</v>
      </c>
      <c r="H3044">
        <v>16.225000000000001</v>
      </c>
      <c r="I3044">
        <v>25</v>
      </c>
      <c r="J3044" t="s">
        <v>20</v>
      </c>
    </row>
    <row r="3045" spans="1:10" x14ac:dyDescent="0.2">
      <c r="A3045">
        <v>13044</v>
      </c>
      <c r="B3045" t="s">
        <v>8</v>
      </c>
      <c r="C3045" t="s">
        <v>6</v>
      </c>
      <c r="D3045">
        <v>9.43</v>
      </c>
      <c r="E3045">
        <v>4</v>
      </c>
      <c r="F3045" t="s">
        <v>15</v>
      </c>
      <c r="G3045">
        <v>28</v>
      </c>
      <c r="H3045">
        <v>12.070399999999999</v>
      </c>
      <c r="I3045">
        <v>28.000000000000004</v>
      </c>
      <c r="J3045" t="s">
        <v>20</v>
      </c>
    </row>
    <row r="3046" spans="1:10" x14ac:dyDescent="0.2">
      <c r="A3046">
        <v>13045</v>
      </c>
      <c r="B3046" t="s">
        <v>10</v>
      </c>
      <c r="C3046" t="s">
        <v>11</v>
      </c>
      <c r="D3046">
        <v>0.68</v>
      </c>
      <c r="E3046">
        <v>6</v>
      </c>
      <c r="F3046" t="s">
        <v>15</v>
      </c>
      <c r="G3046">
        <v>25</v>
      </c>
      <c r="H3046">
        <v>0.85000000000000009</v>
      </c>
      <c r="I3046">
        <v>25</v>
      </c>
      <c r="J3046" t="s">
        <v>20</v>
      </c>
    </row>
    <row r="3047" spans="1:10" x14ac:dyDescent="0.2">
      <c r="A3047">
        <v>13046</v>
      </c>
      <c r="B3047" t="s">
        <v>5</v>
      </c>
      <c r="C3047" t="s">
        <v>11</v>
      </c>
      <c r="D3047">
        <v>10.58</v>
      </c>
      <c r="E3047">
        <v>5</v>
      </c>
      <c r="F3047" t="s">
        <v>15</v>
      </c>
      <c r="G3047">
        <v>25</v>
      </c>
      <c r="H3047">
        <v>13.225</v>
      </c>
      <c r="I3047">
        <v>25</v>
      </c>
      <c r="J3047" t="s">
        <v>20</v>
      </c>
    </row>
    <row r="3048" spans="1:10" x14ac:dyDescent="0.2">
      <c r="A3048">
        <v>13047</v>
      </c>
      <c r="B3048" t="s">
        <v>10</v>
      </c>
      <c r="C3048" t="s">
        <v>9</v>
      </c>
      <c r="D3048">
        <v>6.56</v>
      </c>
      <c r="E3048">
        <v>2</v>
      </c>
      <c r="F3048" t="s">
        <v>14</v>
      </c>
      <c r="G3048">
        <v>15</v>
      </c>
      <c r="H3048">
        <v>7.5439999999999987</v>
      </c>
      <c r="I3048">
        <v>14.999999999999991</v>
      </c>
      <c r="J3048" t="s">
        <v>20</v>
      </c>
    </row>
    <row r="3049" spans="1:10" x14ac:dyDescent="0.2">
      <c r="A3049">
        <v>13048</v>
      </c>
      <c r="B3049" t="s">
        <v>10</v>
      </c>
      <c r="C3049" t="s">
        <v>9</v>
      </c>
      <c r="D3049">
        <v>8.6999999999999993</v>
      </c>
      <c r="E3049">
        <v>10</v>
      </c>
      <c r="F3049" t="s">
        <v>16</v>
      </c>
      <c r="G3049">
        <v>60</v>
      </c>
      <c r="H3049">
        <v>13.92</v>
      </c>
      <c r="I3049">
        <v>60.000000000000007</v>
      </c>
      <c r="J3049" t="s">
        <v>20</v>
      </c>
    </row>
    <row r="3050" spans="1:10" x14ac:dyDescent="0.2">
      <c r="A3050">
        <v>13049</v>
      </c>
      <c r="B3050" t="s">
        <v>8</v>
      </c>
      <c r="C3050" t="s">
        <v>9</v>
      </c>
      <c r="D3050">
        <v>9.91</v>
      </c>
      <c r="E3050">
        <v>2</v>
      </c>
      <c r="F3050" t="s">
        <v>14</v>
      </c>
      <c r="G3050">
        <v>15</v>
      </c>
      <c r="H3050">
        <v>11.3965</v>
      </c>
      <c r="I3050">
        <v>14.999999999999991</v>
      </c>
      <c r="J3050" t="s">
        <v>20</v>
      </c>
    </row>
    <row r="3051" spans="1:10" x14ac:dyDescent="0.2">
      <c r="A3051">
        <v>13050</v>
      </c>
      <c r="B3051" t="s">
        <v>7</v>
      </c>
      <c r="C3051" t="s">
        <v>11</v>
      </c>
      <c r="D3051">
        <v>5.58</v>
      </c>
      <c r="E3051">
        <v>9</v>
      </c>
      <c r="F3051" t="s">
        <v>16</v>
      </c>
      <c r="G3051">
        <v>50</v>
      </c>
      <c r="H3051">
        <v>8.370000000000001</v>
      </c>
      <c r="I3051">
        <v>50.000000000000021</v>
      </c>
      <c r="J3051" t="s">
        <v>20</v>
      </c>
    </row>
    <row r="3052" spans="1:10" x14ac:dyDescent="0.2">
      <c r="A3052">
        <v>13051</v>
      </c>
      <c r="B3052" t="s">
        <v>7</v>
      </c>
      <c r="C3052" t="s">
        <v>9</v>
      </c>
      <c r="D3052">
        <v>13.8</v>
      </c>
      <c r="E3052">
        <v>10</v>
      </c>
      <c r="F3052" t="s">
        <v>16</v>
      </c>
      <c r="G3052">
        <v>60</v>
      </c>
      <c r="H3052">
        <v>22.080000000000002</v>
      </c>
      <c r="I3052">
        <v>60.000000000000007</v>
      </c>
      <c r="J3052" t="s">
        <v>20</v>
      </c>
    </row>
    <row r="3053" spans="1:10" x14ac:dyDescent="0.2">
      <c r="A3053">
        <v>13052</v>
      </c>
      <c r="B3053" t="s">
        <v>8</v>
      </c>
      <c r="C3053" t="s">
        <v>11</v>
      </c>
      <c r="D3053">
        <v>2.44</v>
      </c>
      <c r="E3053">
        <v>2</v>
      </c>
      <c r="F3053" t="s">
        <v>14</v>
      </c>
      <c r="G3053">
        <v>10</v>
      </c>
      <c r="H3053">
        <v>2.6840000000000002</v>
      </c>
      <c r="I3053">
        <v>10.000000000000009</v>
      </c>
      <c r="J3053" t="s">
        <v>20</v>
      </c>
    </row>
    <row r="3054" spans="1:10" x14ac:dyDescent="0.2">
      <c r="A3054">
        <v>13053</v>
      </c>
      <c r="B3054" t="s">
        <v>7</v>
      </c>
      <c r="C3054" t="s">
        <v>11</v>
      </c>
      <c r="D3054">
        <v>10.24</v>
      </c>
      <c r="E3054">
        <v>8</v>
      </c>
      <c r="F3054" t="s">
        <v>16</v>
      </c>
      <c r="G3054">
        <v>50</v>
      </c>
      <c r="H3054">
        <v>15.36</v>
      </c>
      <c r="I3054">
        <v>50</v>
      </c>
      <c r="J3054" t="s">
        <v>20</v>
      </c>
    </row>
    <row r="3055" spans="1:10" x14ac:dyDescent="0.2">
      <c r="A3055">
        <v>13054</v>
      </c>
      <c r="B3055" t="s">
        <v>10</v>
      </c>
      <c r="C3055" t="s">
        <v>9</v>
      </c>
      <c r="D3055">
        <v>0.56000000000000005</v>
      </c>
      <c r="E3055">
        <v>8</v>
      </c>
      <c r="F3055" t="s">
        <v>16</v>
      </c>
      <c r="G3055">
        <v>60</v>
      </c>
      <c r="H3055">
        <v>0.89600000000000013</v>
      </c>
      <c r="I3055">
        <v>60.000000000000007</v>
      </c>
      <c r="J3055" t="s">
        <v>20</v>
      </c>
    </row>
    <row r="3056" spans="1:10" x14ac:dyDescent="0.2">
      <c r="A3056">
        <v>13055</v>
      </c>
      <c r="B3056" t="s">
        <v>5</v>
      </c>
      <c r="C3056" t="s">
        <v>6</v>
      </c>
      <c r="D3056">
        <v>13.91</v>
      </c>
      <c r="E3056">
        <v>1</v>
      </c>
      <c r="F3056" t="s">
        <v>14</v>
      </c>
      <c r="G3056">
        <v>12</v>
      </c>
      <c r="H3056">
        <v>15.579200000000002</v>
      </c>
      <c r="I3056">
        <v>12.000000000000011</v>
      </c>
      <c r="J3056" t="s">
        <v>20</v>
      </c>
    </row>
    <row r="3057" spans="1:10" x14ac:dyDescent="0.2">
      <c r="A3057">
        <v>13056</v>
      </c>
      <c r="B3057" t="s">
        <v>8</v>
      </c>
      <c r="C3057" t="s">
        <v>6</v>
      </c>
      <c r="D3057">
        <v>2.13</v>
      </c>
      <c r="E3057">
        <v>1</v>
      </c>
      <c r="F3057" t="s">
        <v>14</v>
      </c>
      <c r="G3057">
        <v>12</v>
      </c>
      <c r="H3057">
        <v>2.3856000000000002</v>
      </c>
      <c r="I3057">
        <v>12.000000000000011</v>
      </c>
      <c r="J3057" t="s">
        <v>20</v>
      </c>
    </row>
    <row r="3058" spans="1:10" x14ac:dyDescent="0.2">
      <c r="A3058">
        <v>13057</v>
      </c>
      <c r="B3058" t="s">
        <v>5</v>
      </c>
      <c r="C3058" t="s">
        <v>6</v>
      </c>
      <c r="D3058">
        <v>1.88</v>
      </c>
      <c r="E3058">
        <v>4</v>
      </c>
      <c r="F3058" t="s">
        <v>15</v>
      </c>
      <c r="G3058">
        <v>28</v>
      </c>
      <c r="H3058">
        <v>2.4064000000000001</v>
      </c>
      <c r="I3058">
        <v>28.000000000000004</v>
      </c>
      <c r="J3058" t="s">
        <v>20</v>
      </c>
    </row>
    <row r="3059" spans="1:10" x14ac:dyDescent="0.2">
      <c r="A3059">
        <v>13058</v>
      </c>
      <c r="B3059" t="s">
        <v>7</v>
      </c>
      <c r="C3059" t="s">
        <v>11</v>
      </c>
      <c r="D3059">
        <v>5.33</v>
      </c>
      <c r="E3059">
        <v>2</v>
      </c>
      <c r="F3059" t="s">
        <v>14</v>
      </c>
      <c r="G3059">
        <v>10</v>
      </c>
      <c r="H3059">
        <v>5.8630000000000004</v>
      </c>
      <c r="I3059">
        <v>10.000000000000009</v>
      </c>
      <c r="J3059" t="s">
        <v>20</v>
      </c>
    </row>
    <row r="3060" spans="1:10" x14ac:dyDescent="0.2">
      <c r="A3060">
        <v>13059</v>
      </c>
      <c r="B3060" t="s">
        <v>5</v>
      </c>
      <c r="C3060" t="s">
        <v>11</v>
      </c>
      <c r="D3060">
        <v>5.92</v>
      </c>
      <c r="E3060">
        <v>1</v>
      </c>
      <c r="F3060" t="s">
        <v>14</v>
      </c>
      <c r="G3060">
        <v>10</v>
      </c>
      <c r="H3060">
        <v>6.5120000000000005</v>
      </c>
      <c r="I3060">
        <v>10.000000000000009</v>
      </c>
      <c r="J3060" t="s">
        <v>20</v>
      </c>
    </row>
    <row r="3061" spans="1:10" x14ac:dyDescent="0.2">
      <c r="A3061">
        <v>13060</v>
      </c>
      <c r="B3061" t="s">
        <v>7</v>
      </c>
      <c r="C3061" t="s">
        <v>11</v>
      </c>
      <c r="D3061">
        <v>3.61</v>
      </c>
      <c r="E3061">
        <v>9</v>
      </c>
      <c r="F3061" t="s">
        <v>16</v>
      </c>
      <c r="G3061">
        <v>50</v>
      </c>
      <c r="H3061">
        <v>5.415</v>
      </c>
      <c r="I3061">
        <v>50</v>
      </c>
      <c r="J3061" t="s">
        <v>20</v>
      </c>
    </row>
    <row r="3062" spans="1:10" x14ac:dyDescent="0.2">
      <c r="A3062">
        <v>13061</v>
      </c>
      <c r="B3062" t="s">
        <v>7</v>
      </c>
      <c r="C3062" t="s">
        <v>9</v>
      </c>
      <c r="D3062">
        <v>8.98</v>
      </c>
      <c r="E3062">
        <v>3</v>
      </c>
      <c r="F3062" t="s">
        <v>14</v>
      </c>
      <c r="G3062">
        <v>15</v>
      </c>
      <c r="H3062">
        <v>10.327</v>
      </c>
      <c r="I3062">
        <v>14.999999999999991</v>
      </c>
      <c r="J3062" t="s">
        <v>20</v>
      </c>
    </row>
    <row r="3063" spans="1:10" x14ac:dyDescent="0.2">
      <c r="A3063">
        <v>13062</v>
      </c>
      <c r="B3063" t="s">
        <v>10</v>
      </c>
      <c r="C3063" t="s">
        <v>11</v>
      </c>
      <c r="D3063">
        <v>6.92</v>
      </c>
      <c r="E3063">
        <v>1</v>
      </c>
      <c r="F3063" t="s">
        <v>14</v>
      </c>
      <c r="G3063">
        <v>10</v>
      </c>
      <c r="H3063">
        <v>7.6120000000000001</v>
      </c>
      <c r="I3063">
        <v>10.000000000000009</v>
      </c>
      <c r="J3063" t="s">
        <v>20</v>
      </c>
    </row>
    <row r="3064" spans="1:10" x14ac:dyDescent="0.2">
      <c r="A3064">
        <v>13063</v>
      </c>
      <c r="B3064" t="s">
        <v>7</v>
      </c>
      <c r="C3064" t="s">
        <v>9</v>
      </c>
      <c r="D3064">
        <v>1</v>
      </c>
      <c r="E3064">
        <v>2</v>
      </c>
      <c r="F3064" t="s">
        <v>14</v>
      </c>
      <c r="G3064">
        <v>15</v>
      </c>
      <c r="H3064">
        <v>1.1499999999999999</v>
      </c>
      <c r="I3064">
        <v>14.999999999999991</v>
      </c>
      <c r="J3064" t="s">
        <v>20</v>
      </c>
    </row>
    <row r="3065" spans="1:10" x14ac:dyDescent="0.2">
      <c r="A3065">
        <v>13064</v>
      </c>
      <c r="B3065" t="s">
        <v>10</v>
      </c>
      <c r="C3065" t="s">
        <v>9</v>
      </c>
      <c r="D3065">
        <v>5.13</v>
      </c>
      <c r="E3065">
        <v>8</v>
      </c>
      <c r="F3065" t="s">
        <v>16</v>
      </c>
      <c r="G3065">
        <v>60</v>
      </c>
      <c r="H3065">
        <v>8.2080000000000002</v>
      </c>
      <c r="I3065">
        <v>60.000000000000007</v>
      </c>
      <c r="J3065" t="s">
        <v>20</v>
      </c>
    </row>
    <row r="3066" spans="1:10" x14ac:dyDescent="0.2">
      <c r="A3066">
        <v>13065</v>
      </c>
      <c r="B3066" t="s">
        <v>10</v>
      </c>
      <c r="C3066" t="s">
        <v>6</v>
      </c>
      <c r="D3066">
        <v>12.25</v>
      </c>
      <c r="E3066">
        <v>5</v>
      </c>
      <c r="F3066" t="s">
        <v>15</v>
      </c>
      <c r="G3066">
        <v>28</v>
      </c>
      <c r="H3066">
        <v>15.68</v>
      </c>
      <c r="I3066">
        <v>28.000000000000004</v>
      </c>
      <c r="J3066" t="s">
        <v>20</v>
      </c>
    </row>
    <row r="3067" spans="1:10" x14ac:dyDescent="0.2">
      <c r="A3067">
        <v>13066</v>
      </c>
      <c r="B3067" t="s">
        <v>10</v>
      </c>
      <c r="C3067" t="s">
        <v>6</v>
      </c>
      <c r="D3067">
        <v>10.5</v>
      </c>
      <c r="E3067">
        <v>7</v>
      </c>
      <c r="F3067" t="s">
        <v>15</v>
      </c>
      <c r="G3067">
        <v>28</v>
      </c>
      <c r="H3067">
        <v>13.44</v>
      </c>
      <c r="I3067">
        <v>28.000000000000004</v>
      </c>
      <c r="J3067" t="s">
        <v>20</v>
      </c>
    </row>
    <row r="3068" spans="1:10" x14ac:dyDescent="0.2">
      <c r="A3068">
        <v>13067</v>
      </c>
      <c r="B3068" t="s">
        <v>8</v>
      </c>
      <c r="C3068" t="s">
        <v>6</v>
      </c>
      <c r="D3068">
        <v>11.01</v>
      </c>
      <c r="E3068">
        <v>6</v>
      </c>
      <c r="F3068" t="s">
        <v>15</v>
      </c>
      <c r="G3068">
        <v>28</v>
      </c>
      <c r="H3068">
        <v>14.0928</v>
      </c>
      <c r="I3068">
        <v>28.000000000000004</v>
      </c>
      <c r="J3068" t="s">
        <v>20</v>
      </c>
    </row>
    <row r="3069" spans="1:10" x14ac:dyDescent="0.2">
      <c r="A3069">
        <v>13068</v>
      </c>
      <c r="B3069" t="s">
        <v>8</v>
      </c>
      <c r="C3069" t="s">
        <v>9</v>
      </c>
      <c r="D3069">
        <v>10.62</v>
      </c>
      <c r="E3069">
        <v>1</v>
      </c>
      <c r="F3069" t="s">
        <v>14</v>
      </c>
      <c r="G3069">
        <v>15</v>
      </c>
      <c r="H3069">
        <v>12.212999999999997</v>
      </c>
      <c r="I3069">
        <v>14.999999999999991</v>
      </c>
      <c r="J3069" t="s">
        <v>20</v>
      </c>
    </row>
    <row r="3070" spans="1:10" x14ac:dyDescent="0.2">
      <c r="A3070">
        <v>13069</v>
      </c>
      <c r="B3070" t="s">
        <v>7</v>
      </c>
      <c r="C3070" t="s">
        <v>9</v>
      </c>
      <c r="D3070">
        <v>5.01</v>
      </c>
      <c r="E3070">
        <v>6</v>
      </c>
      <c r="F3070" t="s">
        <v>15</v>
      </c>
      <c r="G3070">
        <v>30</v>
      </c>
      <c r="H3070">
        <v>6.5129999999999999</v>
      </c>
      <c r="I3070">
        <v>30.000000000000004</v>
      </c>
      <c r="J3070" t="s">
        <v>20</v>
      </c>
    </row>
    <row r="3071" spans="1:10" x14ac:dyDescent="0.2">
      <c r="A3071">
        <v>13070</v>
      </c>
      <c r="B3071" t="s">
        <v>10</v>
      </c>
      <c r="C3071" t="s">
        <v>9</v>
      </c>
      <c r="D3071">
        <v>1.95</v>
      </c>
      <c r="E3071">
        <v>7</v>
      </c>
      <c r="F3071" t="s">
        <v>15</v>
      </c>
      <c r="G3071">
        <v>30</v>
      </c>
      <c r="H3071">
        <v>2.5350000000000001</v>
      </c>
      <c r="I3071">
        <v>30.000000000000004</v>
      </c>
      <c r="J3071" t="s">
        <v>20</v>
      </c>
    </row>
    <row r="3072" spans="1:10" x14ac:dyDescent="0.2">
      <c r="A3072">
        <v>13071</v>
      </c>
      <c r="B3072" t="s">
        <v>8</v>
      </c>
      <c r="C3072" t="s">
        <v>11</v>
      </c>
      <c r="D3072">
        <v>4.45</v>
      </c>
      <c r="E3072">
        <v>4</v>
      </c>
      <c r="F3072" t="s">
        <v>15</v>
      </c>
      <c r="G3072">
        <v>25</v>
      </c>
      <c r="H3072">
        <v>5.5625</v>
      </c>
      <c r="I3072">
        <v>25</v>
      </c>
      <c r="J3072" t="s">
        <v>20</v>
      </c>
    </row>
    <row r="3073" spans="1:10" x14ac:dyDescent="0.2">
      <c r="A3073">
        <v>13072</v>
      </c>
      <c r="B3073" t="s">
        <v>10</v>
      </c>
      <c r="C3073" t="s">
        <v>9</v>
      </c>
      <c r="D3073">
        <v>12.56</v>
      </c>
      <c r="E3073">
        <v>8</v>
      </c>
      <c r="F3073" t="s">
        <v>16</v>
      </c>
      <c r="G3073">
        <v>60</v>
      </c>
      <c r="H3073">
        <v>20.096000000000004</v>
      </c>
      <c r="I3073">
        <v>60.000000000000028</v>
      </c>
      <c r="J3073" t="s">
        <v>20</v>
      </c>
    </row>
    <row r="3074" spans="1:10" x14ac:dyDescent="0.2">
      <c r="A3074">
        <v>13073</v>
      </c>
      <c r="B3074" t="s">
        <v>5</v>
      </c>
      <c r="C3074" t="s">
        <v>6</v>
      </c>
      <c r="D3074">
        <v>14.72</v>
      </c>
      <c r="E3074">
        <v>8</v>
      </c>
      <c r="F3074" t="s">
        <v>16</v>
      </c>
      <c r="G3074">
        <v>55</v>
      </c>
      <c r="H3074">
        <v>22.816000000000003</v>
      </c>
      <c r="I3074">
        <v>55.000000000000007</v>
      </c>
      <c r="J3074" t="s">
        <v>20</v>
      </c>
    </row>
    <row r="3075" spans="1:10" x14ac:dyDescent="0.2">
      <c r="A3075">
        <v>13074</v>
      </c>
      <c r="B3075" t="s">
        <v>5</v>
      </c>
      <c r="C3075" t="s">
        <v>6</v>
      </c>
      <c r="D3075">
        <v>7.66</v>
      </c>
      <c r="E3075">
        <v>7</v>
      </c>
      <c r="F3075" t="s">
        <v>15</v>
      </c>
      <c r="G3075">
        <v>28</v>
      </c>
      <c r="H3075">
        <v>9.8048000000000002</v>
      </c>
      <c r="I3075">
        <v>28.000000000000004</v>
      </c>
      <c r="J3075" t="s">
        <v>20</v>
      </c>
    </row>
    <row r="3076" spans="1:10" x14ac:dyDescent="0.2">
      <c r="A3076">
        <v>13075</v>
      </c>
      <c r="B3076" t="s">
        <v>5</v>
      </c>
      <c r="C3076" t="s">
        <v>9</v>
      </c>
      <c r="D3076">
        <v>0.64</v>
      </c>
      <c r="E3076">
        <v>2</v>
      </c>
      <c r="F3076" t="s">
        <v>14</v>
      </c>
      <c r="G3076">
        <v>15</v>
      </c>
      <c r="H3076">
        <v>0.73599999999999999</v>
      </c>
      <c r="I3076">
        <v>14.999999999999991</v>
      </c>
      <c r="J3076" t="s">
        <v>20</v>
      </c>
    </row>
    <row r="3077" spans="1:10" x14ac:dyDescent="0.2">
      <c r="A3077">
        <v>13076</v>
      </c>
      <c r="B3077" t="s">
        <v>7</v>
      </c>
      <c r="C3077" t="s">
        <v>9</v>
      </c>
      <c r="D3077">
        <v>2.5299999999999998</v>
      </c>
      <c r="E3077">
        <v>6</v>
      </c>
      <c r="F3077" t="s">
        <v>15</v>
      </c>
      <c r="G3077">
        <v>30</v>
      </c>
      <c r="H3077">
        <v>3.2889999999999997</v>
      </c>
      <c r="I3077">
        <v>30.000000000000004</v>
      </c>
      <c r="J3077" t="s">
        <v>20</v>
      </c>
    </row>
    <row r="3078" spans="1:10" x14ac:dyDescent="0.2">
      <c r="A3078">
        <v>13077</v>
      </c>
      <c r="B3078" t="s">
        <v>10</v>
      </c>
      <c r="C3078" t="s">
        <v>6</v>
      </c>
      <c r="D3078">
        <v>5.17</v>
      </c>
      <c r="E3078">
        <v>6</v>
      </c>
      <c r="F3078" t="s">
        <v>15</v>
      </c>
      <c r="G3078">
        <v>28</v>
      </c>
      <c r="H3078">
        <v>6.6176000000000004</v>
      </c>
      <c r="I3078">
        <v>28.000000000000004</v>
      </c>
      <c r="J3078" t="s">
        <v>20</v>
      </c>
    </row>
    <row r="3079" spans="1:10" x14ac:dyDescent="0.2">
      <c r="A3079">
        <v>13078</v>
      </c>
      <c r="B3079" t="s">
        <v>5</v>
      </c>
      <c r="C3079" t="s">
        <v>9</v>
      </c>
      <c r="D3079">
        <v>8.89</v>
      </c>
      <c r="E3079">
        <v>7</v>
      </c>
      <c r="F3079" t="s">
        <v>15</v>
      </c>
      <c r="G3079">
        <v>30</v>
      </c>
      <c r="H3079">
        <v>11.557</v>
      </c>
      <c r="I3079">
        <v>30.000000000000004</v>
      </c>
      <c r="J3079" t="s">
        <v>20</v>
      </c>
    </row>
    <row r="3080" spans="1:10" x14ac:dyDescent="0.2">
      <c r="A3080">
        <v>13079</v>
      </c>
      <c r="B3080" t="s">
        <v>8</v>
      </c>
      <c r="C3080" t="s">
        <v>6</v>
      </c>
      <c r="D3080">
        <v>1.59</v>
      </c>
      <c r="E3080">
        <v>6</v>
      </c>
      <c r="F3080" t="s">
        <v>15</v>
      </c>
      <c r="G3080">
        <v>28</v>
      </c>
      <c r="H3080">
        <v>2.0352000000000001</v>
      </c>
      <c r="I3080">
        <v>28.000000000000004</v>
      </c>
      <c r="J3080" t="s">
        <v>20</v>
      </c>
    </row>
    <row r="3081" spans="1:10" x14ac:dyDescent="0.2">
      <c r="A3081">
        <v>13080</v>
      </c>
      <c r="B3081" t="s">
        <v>5</v>
      </c>
      <c r="C3081" t="s">
        <v>11</v>
      </c>
      <c r="D3081">
        <v>14.18</v>
      </c>
      <c r="E3081">
        <v>2</v>
      </c>
      <c r="F3081" t="s">
        <v>14</v>
      </c>
      <c r="G3081">
        <v>10</v>
      </c>
      <c r="H3081">
        <v>15.598000000000001</v>
      </c>
      <c r="I3081">
        <v>10.000000000000009</v>
      </c>
      <c r="J3081" t="s">
        <v>20</v>
      </c>
    </row>
    <row r="3082" spans="1:10" x14ac:dyDescent="0.2">
      <c r="A3082">
        <v>13081</v>
      </c>
      <c r="B3082" t="s">
        <v>5</v>
      </c>
      <c r="C3082" t="s">
        <v>6</v>
      </c>
      <c r="D3082">
        <v>5.79</v>
      </c>
      <c r="E3082">
        <v>8</v>
      </c>
      <c r="F3082" t="s">
        <v>16</v>
      </c>
      <c r="G3082">
        <v>55</v>
      </c>
      <c r="H3082">
        <v>8.9745000000000008</v>
      </c>
      <c r="I3082">
        <v>55.000000000000007</v>
      </c>
      <c r="J3082" t="s">
        <v>20</v>
      </c>
    </row>
    <row r="3083" spans="1:10" x14ac:dyDescent="0.2">
      <c r="A3083">
        <v>13082</v>
      </c>
      <c r="B3083" t="s">
        <v>5</v>
      </c>
      <c r="C3083" t="s">
        <v>11</v>
      </c>
      <c r="D3083">
        <v>13.73</v>
      </c>
      <c r="E3083">
        <v>4</v>
      </c>
      <c r="F3083" t="s">
        <v>15</v>
      </c>
      <c r="G3083">
        <v>25</v>
      </c>
      <c r="H3083">
        <v>17.162500000000001</v>
      </c>
      <c r="I3083">
        <v>25</v>
      </c>
      <c r="J3083" t="s">
        <v>20</v>
      </c>
    </row>
    <row r="3084" spans="1:10" x14ac:dyDescent="0.2">
      <c r="A3084">
        <v>13083</v>
      </c>
      <c r="B3084" t="s">
        <v>7</v>
      </c>
      <c r="C3084" t="s">
        <v>9</v>
      </c>
      <c r="D3084">
        <v>11.82</v>
      </c>
      <c r="E3084">
        <v>9</v>
      </c>
      <c r="F3084" t="s">
        <v>16</v>
      </c>
      <c r="G3084">
        <v>60</v>
      </c>
      <c r="H3084">
        <v>18.912000000000003</v>
      </c>
      <c r="I3084">
        <v>60.000000000000007</v>
      </c>
      <c r="J3084" t="s">
        <v>20</v>
      </c>
    </row>
    <row r="3085" spans="1:10" x14ac:dyDescent="0.2">
      <c r="A3085">
        <v>13084</v>
      </c>
      <c r="B3085" t="s">
        <v>8</v>
      </c>
      <c r="C3085" t="s">
        <v>9</v>
      </c>
      <c r="D3085">
        <v>11.45</v>
      </c>
      <c r="E3085">
        <v>8</v>
      </c>
      <c r="F3085" t="s">
        <v>16</v>
      </c>
      <c r="G3085">
        <v>60</v>
      </c>
      <c r="H3085">
        <v>18.32</v>
      </c>
      <c r="I3085">
        <v>60.000000000000007</v>
      </c>
      <c r="J3085" t="s">
        <v>20</v>
      </c>
    </row>
    <row r="3086" spans="1:10" x14ac:dyDescent="0.2">
      <c r="A3086">
        <v>13085</v>
      </c>
      <c r="B3086" t="s">
        <v>10</v>
      </c>
      <c r="C3086" t="s">
        <v>11</v>
      </c>
      <c r="D3086">
        <v>9.3000000000000007</v>
      </c>
      <c r="E3086">
        <v>3</v>
      </c>
      <c r="F3086" t="s">
        <v>14</v>
      </c>
      <c r="G3086">
        <v>10</v>
      </c>
      <c r="H3086">
        <v>10.230000000000002</v>
      </c>
      <c r="I3086">
        <v>10.000000000000009</v>
      </c>
      <c r="J3086" t="s">
        <v>20</v>
      </c>
    </row>
    <row r="3087" spans="1:10" x14ac:dyDescent="0.2">
      <c r="A3087">
        <v>13086</v>
      </c>
      <c r="B3087" t="s">
        <v>8</v>
      </c>
      <c r="C3087" t="s">
        <v>9</v>
      </c>
      <c r="D3087">
        <v>9.59</v>
      </c>
      <c r="E3087">
        <v>3</v>
      </c>
      <c r="F3087" t="s">
        <v>14</v>
      </c>
      <c r="G3087">
        <v>15</v>
      </c>
      <c r="H3087">
        <v>11.028499999999999</v>
      </c>
      <c r="I3087">
        <v>14.999999999999991</v>
      </c>
      <c r="J3087" t="s">
        <v>20</v>
      </c>
    </row>
    <row r="3088" spans="1:10" x14ac:dyDescent="0.2">
      <c r="A3088">
        <v>13087</v>
      </c>
      <c r="B3088" t="s">
        <v>10</v>
      </c>
      <c r="C3088" t="s">
        <v>11</v>
      </c>
      <c r="D3088">
        <v>9.75</v>
      </c>
      <c r="E3088">
        <v>8</v>
      </c>
      <c r="F3088" t="s">
        <v>16</v>
      </c>
      <c r="G3088">
        <v>50</v>
      </c>
      <c r="H3088">
        <v>14.625</v>
      </c>
      <c r="I3088">
        <v>50</v>
      </c>
      <c r="J3088" t="s">
        <v>20</v>
      </c>
    </row>
    <row r="3089" spans="1:10" x14ac:dyDescent="0.2">
      <c r="A3089">
        <v>13088</v>
      </c>
      <c r="B3089" t="s">
        <v>7</v>
      </c>
      <c r="C3089" t="s">
        <v>9</v>
      </c>
      <c r="D3089">
        <v>9.6199999999999992</v>
      </c>
      <c r="E3089">
        <v>2</v>
      </c>
      <c r="F3089" t="s">
        <v>14</v>
      </c>
      <c r="G3089">
        <v>15</v>
      </c>
      <c r="H3089">
        <v>11.062999999999999</v>
      </c>
      <c r="I3089">
        <v>14.999999999999991</v>
      </c>
      <c r="J3089" t="s">
        <v>20</v>
      </c>
    </row>
    <row r="3090" spans="1:10" x14ac:dyDescent="0.2">
      <c r="A3090">
        <v>13089</v>
      </c>
      <c r="B3090" t="s">
        <v>7</v>
      </c>
      <c r="C3090" t="s">
        <v>6</v>
      </c>
      <c r="D3090">
        <v>8.5299999999999994</v>
      </c>
      <c r="E3090">
        <v>9</v>
      </c>
      <c r="F3090" t="s">
        <v>16</v>
      </c>
      <c r="G3090">
        <v>55</v>
      </c>
      <c r="H3090">
        <v>13.221499999999999</v>
      </c>
      <c r="I3090">
        <v>55.000000000000007</v>
      </c>
      <c r="J3090" t="s">
        <v>20</v>
      </c>
    </row>
    <row r="3091" spans="1:10" x14ac:dyDescent="0.2">
      <c r="A3091">
        <v>13090</v>
      </c>
      <c r="B3091" t="s">
        <v>7</v>
      </c>
      <c r="C3091" t="s">
        <v>9</v>
      </c>
      <c r="D3091">
        <v>14.8</v>
      </c>
      <c r="E3091">
        <v>4</v>
      </c>
      <c r="F3091" t="s">
        <v>15</v>
      </c>
      <c r="G3091">
        <v>30</v>
      </c>
      <c r="H3091">
        <v>19.240000000000002</v>
      </c>
      <c r="I3091">
        <v>30.000000000000004</v>
      </c>
      <c r="J3091" t="s">
        <v>20</v>
      </c>
    </row>
    <row r="3092" spans="1:10" x14ac:dyDescent="0.2">
      <c r="A3092">
        <v>13091</v>
      </c>
      <c r="B3092" t="s">
        <v>7</v>
      </c>
      <c r="C3092" t="s">
        <v>6</v>
      </c>
      <c r="D3092">
        <v>11.12</v>
      </c>
      <c r="E3092">
        <v>6</v>
      </c>
      <c r="F3092" t="s">
        <v>15</v>
      </c>
      <c r="G3092">
        <v>28</v>
      </c>
      <c r="H3092">
        <v>14.233599999999999</v>
      </c>
      <c r="I3092">
        <v>28.000000000000004</v>
      </c>
      <c r="J3092" t="s">
        <v>20</v>
      </c>
    </row>
    <row r="3093" spans="1:10" x14ac:dyDescent="0.2">
      <c r="A3093">
        <v>13092</v>
      </c>
      <c r="B3093" t="s">
        <v>10</v>
      </c>
      <c r="C3093" t="s">
        <v>6</v>
      </c>
      <c r="D3093">
        <v>11.77</v>
      </c>
      <c r="E3093">
        <v>3</v>
      </c>
      <c r="F3093" t="s">
        <v>14</v>
      </c>
      <c r="G3093">
        <v>12</v>
      </c>
      <c r="H3093">
        <v>13.182400000000001</v>
      </c>
      <c r="I3093">
        <v>12.000000000000011</v>
      </c>
      <c r="J3093" t="s">
        <v>20</v>
      </c>
    </row>
    <row r="3094" spans="1:10" x14ac:dyDescent="0.2">
      <c r="A3094">
        <v>13093</v>
      </c>
      <c r="B3094" t="s">
        <v>5</v>
      </c>
      <c r="C3094" t="s">
        <v>11</v>
      </c>
      <c r="D3094">
        <v>13.15</v>
      </c>
      <c r="E3094">
        <v>3</v>
      </c>
      <c r="F3094" t="s">
        <v>14</v>
      </c>
      <c r="G3094">
        <v>10</v>
      </c>
      <c r="H3094">
        <v>14.465000000000002</v>
      </c>
      <c r="I3094">
        <v>10.000000000000009</v>
      </c>
      <c r="J3094" t="s">
        <v>20</v>
      </c>
    </row>
    <row r="3095" spans="1:10" x14ac:dyDescent="0.2">
      <c r="A3095">
        <v>13094</v>
      </c>
      <c r="B3095" t="s">
        <v>10</v>
      </c>
      <c r="C3095" t="s">
        <v>9</v>
      </c>
      <c r="D3095">
        <v>3.63</v>
      </c>
      <c r="E3095">
        <v>3</v>
      </c>
      <c r="F3095" t="s">
        <v>14</v>
      </c>
      <c r="G3095">
        <v>15</v>
      </c>
      <c r="H3095">
        <v>4.1744999999999992</v>
      </c>
      <c r="I3095">
        <v>14.999999999999991</v>
      </c>
      <c r="J3095" t="s">
        <v>20</v>
      </c>
    </row>
    <row r="3096" spans="1:10" x14ac:dyDescent="0.2">
      <c r="A3096">
        <v>13095</v>
      </c>
      <c r="B3096" t="s">
        <v>8</v>
      </c>
      <c r="C3096" t="s">
        <v>11</v>
      </c>
      <c r="D3096">
        <v>1.72</v>
      </c>
      <c r="E3096">
        <v>10</v>
      </c>
      <c r="F3096" t="s">
        <v>16</v>
      </c>
      <c r="G3096">
        <v>50</v>
      </c>
      <c r="H3096">
        <v>2.58</v>
      </c>
      <c r="I3096">
        <v>50</v>
      </c>
      <c r="J3096" t="s">
        <v>20</v>
      </c>
    </row>
    <row r="3097" spans="1:10" x14ac:dyDescent="0.2">
      <c r="A3097">
        <v>13096</v>
      </c>
      <c r="B3097" t="s">
        <v>7</v>
      </c>
      <c r="C3097" t="s">
        <v>9</v>
      </c>
      <c r="D3097">
        <v>7.5</v>
      </c>
      <c r="E3097">
        <v>2</v>
      </c>
      <c r="F3097" t="s">
        <v>14</v>
      </c>
      <c r="G3097">
        <v>15</v>
      </c>
      <c r="H3097">
        <v>8.625</v>
      </c>
      <c r="I3097">
        <v>14.999999999999991</v>
      </c>
      <c r="J3097" t="s">
        <v>20</v>
      </c>
    </row>
    <row r="3098" spans="1:10" x14ac:dyDescent="0.2">
      <c r="A3098">
        <v>13097</v>
      </c>
      <c r="B3098" t="s">
        <v>7</v>
      </c>
      <c r="C3098" t="s">
        <v>6</v>
      </c>
      <c r="D3098">
        <v>7.95</v>
      </c>
      <c r="E3098">
        <v>8</v>
      </c>
      <c r="F3098" t="s">
        <v>16</v>
      </c>
      <c r="G3098">
        <v>55</v>
      </c>
      <c r="H3098">
        <v>12.3225</v>
      </c>
      <c r="I3098">
        <v>55.000000000000007</v>
      </c>
      <c r="J3098" t="s">
        <v>20</v>
      </c>
    </row>
    <row r="3099" spans="1:10" x14ac:dyDescent="0.2">
      <c r="A3099">
        <v>13098</v>
      </c>
      <c r="B3099" t="s">
        <v>8</v>
      </c>
      <c r="C3099" t="s">
        <v>6</v>
      </c>
      <c r="D3099">
        <v>12.52</v>
      </c>
      <c r="E3099">
        <v>9</v>
      </c>
      <c r="F3099" t="s">
        <v>16</v>
      </c>
      <c r="G3099">
        <v>55</v>
      </c>
      <c r="H3099">
        <v>19.405999999999999</v>
      </c>
      <c r="I3099">
        <v>55.000000000000007</v>
      </c>
      <c r="J3099" t="s">
        <v>20</v>
      </c>
    </row>
    <row r="3100" spans="1:10" x14ac:dyDescent="0.2">
      <c r="A3100">
        <v>13099</v>
      </c>
      <c r="B3100" t="s">
        <v>10</v>
      </c>
      <c r="C3100" t="s">
        <v>9</v>
      </c>
      <c r="D3100">
        <v>6.93</v>
      </c>
      <c r="E3100">
        <v>8</v>
      </c>
      <c r="F3100" t="s">
        <v>16</v>
      </c>
      <c r="G3100">
        <v>60</v>
      </c>
      <c r="H3100">
        <v>11.088000000000001</v>
      </c>
      <c r="I3100">
        <v>60.000000000000028</v>
      </c>
      <c r="J3100" t="s">
        <v>20</v>
      </c>
    </row>
    <row r="3101" spans="1:10" x14ac:dyDescent="0.2">
      <c r="A3101">
        <v>13100</v>
      </c>
      <c r="B3101" t="s">
        <v>5</v>
      </c>
      <c r="C3101" t="s">
        <v>9</v>
      </c>
      <c r="D3101">
        <v>8.7799999999999994</v>
      </c>
      <c r="E3101">
        <v>10</v>
      </c>
      <c r="F3101" t="s">
        <v>16</v>
      </c>
      <c r="G3101">
        <v>60</v>
      </c>
      <c r="H3101">
        <v>14.048</v>
      </c>
      <c r="I3101">
        <v>60.000000000000007</v>
      </c>
      <c r="J3101" t="s">
        <v>20</v>
      </c>
    </row>
    <row r="3102" spans="1:10" x14ac:dyDescent="0.2">
      <c r="A3102">
        <v>13101</v>
      </c>
      <c r="B3102" t="s">
        <v>5</v>
      </c>
      <c r="C3102" t="s">
        <v>11</v>
      </c>
      <c r="D3102">
        <v>8.14</v>
      </c>
      <c r="E3102">
        <v>3</v>
      </c>
      <c r="F3102" t="s">
        <v>14</v>
      </c>
      <c r="G3102">
        <v>10</v>
      </c>
      <c r="H3102">
        <v>8.9540000000000006</v>
      </c>
      <c r="I3102">
        <v>10.000000000000009</v>
      </c>
      <c r="J3102" t="s">
        <v>20</v>
      </c>
    </row>
    <row r="3103" spans="1:10" x14ac:dyDescent="0.2">
      <c r="A3103">
        <v>13102</v>
      </c>
      <c r="B3103" t="s">
        <v>8</v>
      </c>
      <c r="C3103" t="s">
        <v>9</v>
      </c>
      <c r="D3103">
        <v>1.05</v>
      </c>
      <c r="E3103">
        <v>7</v>
      </c>
      <c r="F3103" t="s">
        <v>15</v>
      </c>
      <c r="G3103">
        <v>30</v>
      </c>
      <c r="H3103">
        <v>1.3650000000000002</v>
      </c>
      <c r="I3103">
        <v>30.000000000000004</v>
      </c>
      <c r="J3103" t="s">
        <v>20</v>
      </c>
    </row>
    <row r="3104" spans="1:10" x14ac:dyDescent="0.2">
      <c r="A3104">
        <v>13103</v>
      </c>
      <c r="B3104" t="s">
        <v>5</v>
      </c>
      <c r="C3104" t="s">
        <v>9</v>
      </c>
      <c r="D3104">
        <v>9.42</v>
      </c>
      <c r="E3104">
        <v>10</v>
      </c>
      <c r="F3104" t="s">
        <v>16</v>
      </c>
      <c r="G3104">
        <v>60</v>
      </c>
      <c r="H3104">
        <v>15.072000000000001</v>
      </c>
      <c r="I3104">
        <v>60.000000000000007</v>
      </c>
      <c r="J3104" t="s">
        <v>20</v>
      </c>
    </row>
    <row r="3105" spans="1:10" x14ac:dyDescent="0.2">
      <c r="A3105">
        <v>13104</v>
      </c>
      <c r="B3105" t="s">
        <v>10</v>
      </c>
      <c r="C3105" t="s">
        <v>9</v>
      </c>
      <c r="D3105">
        <v>12.51</v>
      </c>
      <c r="E3105">
        <v>2</v>
      </c>
      <c r="F3105" t="s">
        <v>14</v>
      </c>
      <c r="G3105">
        <v>15</v>
      </c>
      <c r="H3105">
        <v>14.386499999999998</v>
      </c>
      <c r="I3105">
        <v>14.999999999999991</v>
      </c>
      <c r="J3105" t="s">
        <v>20</v>
      </c>
    </row>
    <row r="3106" spans="1:10" x14ac:dyDescent="0.2">
      <c r="A3106">
        <v>13105</v>
      </c>
      <c r="B3106" t="s">
        <v>10</v>
      </c>
      <c r="C3106" t="s">
        <v>11</v>
      </c>
      <c r="D3106">
        <v>2.78</v>
      </c>
      <c r="E3106">
        <v>4</v>
      </c>
      <c r="F3106" t="s">
        <v>15</v>
      </c>
      <c r="G3106">
        <v>25</v>
      </c>
      <c r="H3106">
        <v>3.4749999999999996</v>
      </c>
      <c r="I3106">
        <v>25</v>
      </c>
      <c r="J3106" t="s">
        <v>20</v>
      </c>
    </row>
    <row r="3107" spans="1:10" x14ac:dyDescent="0.2">
      <c r="A3107">
        <v>13106</v>
      </c>
      <c r="B3107" t="s">
        <v>8</v>
      </c>
      <c r="C3107" t="s">
        <v>9</v>
      </c>
      <c r="D3107">
        <v>9.1199999999999992</v>
      </c>
      <c r="E3107">
        <v>6</v>
      </c>
      <c r="F3107" t="s">
        <v>15</v>
      </c>
      <c r="G3107">
        <v>30</v>
      </c>
      <c r="H3107">
        <v>11.856</v>
      </c>
      <c r="I3107">
        <v>30.000000000000004</v>
      </c>
      <c r="J3107" t="s">
        <v>20</v>
      </c>
    </row>
    <row r="3108" spans="1:10" x14ac:dyDescent="0.2">
      <c r="A3108">
        <v>13107</v>
      </c>
      <c r="B3108" t="s">
        <v>10</v>
      </c>
      <c r="C3108" t="s">
        <v>6</v>
      </c>
      <c r="D3108">
        <v>9.11</v>
      </c>
      <c r="E3108">
        <v>5</v>
      </c>
      <c r="F3108" t="s">
        <v>15</v>
      </c>
      <c r="G3108">
        <v>28</v>
      </c>
      <c r="H3108">
        <v>11.6608</v>
      </c>
      <c r="I3108">
        <v>28.000000000000004</v>
      </c>
      <c r="J3108" t="s">
        <v>20</v>
      </c>
    </row>
    <row r="3109" spans="1:10" x14ac:dyDescent="0.2">
      <c r="A3109">
        <v>13108</v>
      </c>
      <c r="B3109" t="s">
        <v>7</v>
      </c>
      <c r="C3109" t="s">
        <v>11</v>
      </c>
      <c r="D3109">
        <v>2.88</v>
      </c>
      <c r="E3109">
        <v>9</v>
      </c>
      <c r="F3109" t="s">
        <v>16</v>
      </c>
      <c r="G3109">
        <v>50</v>
      </c>
      <c r="H3109">
        <v>4.32</v>
      </c>
      <c r="I3109">
        <v>50.000000000000021</v>
      </c>
      <c r="J3109" t="s">
        <v>20</v>
      </c>
    </row>
    <row r="3110" spans="1:10" x14ac:dyDescent="0.2">
      <c r="A3110">
        <v>13109</v>
      </c>
      <c r="B3110" t="s">
        <v>8</v>
      </c>
      <c r="C3110" t="s">
        <v>11</v>
      </c>
      <c r="D3110">
        <v>2.29</v>
      </c>
      <c r="E3110">
        <v>10</v>
      </c>
      <c r="F3110" t="s">
        <v>16</v>
      </c>
      <c r="G3110">
        <v>50</v>
      </c>
      <c r="H3110">
        <v>3.4350000000000001</v>
      </c>
      <c r="I3110">
        <v>50</v>
      </c>
      <c r="J3110" t="s">
        <v>20</v>
      </c>
    </row>
    <row r="3111" spans="1:10" x14ac:dyDescent="0.2">
      <c r="A3111">
        <v>13110</v>
      </c>
      <c r="B3111" t="s">
        <v>10</v>
      </c>
      <c r="C3111" t="s">
        <v>6</v>
      </c>
      <c r="D3111">
        <v>14.71</v>
      </c>
      <c r="E3111">
        <v>4</v>
      </c>
      <c r="F3111" t="s">
        <v>15</v>
      </c>
      <c r="G3111">
        <v>28</v>
      </c>
      <c r="H3111">
        <v>18.828800000000001</v>
      </c>
      <c r="I3111">
        <v>28.000000000000004</v>
      </c>
      <c r="J3111" t="s">
        <v>20</v>
      </c>
    </row>
    <row r="3112" spans="1:10" x14ac:dyDescent="0.2">
      <c r="A3112">
        <v>13111</v>
      </c>
      <c r="B3112" t="s">
        <v>8</v>
      </c>
      <c r="C3112" t="s">
        <v>6</v>
      </c>
      <c r="D3112">
        <v>6.21</v>
      </c>
      <c r="E3112">
        <v>5</v>
      </c>
      <c r="F3112" t="s">
        <v>15</v>
      </c>
      <c r="G3112">
        <v>28</v>
      </c>
      <c r="H3112">
        <v>7.9488000000000003</v>
      </c>
      <c r="I3112">
        <v>28.000000000000004</v>
      </c>
      <c r="J3112" t="s">
        <v>20</v>
      </c>
    </row>
    <row r="3113" spans="1:10" x14ac:dyDescent="0.2">
      <c r="A3113">
        <v>13112</v>
      </c>
      <c r="B3113" t="s">
        <v>5</v>
      </c>
      <c r="C3113" t="s">
        <v>6</v>
      </c>
      <c r="D3113">
        <v>3.8</v>
      </c>
      <c r="E3113">
        <v>4</v>
      </c>
      <c r="F3113" t="s">
        <v>15</v>
      </c>
      <c r="G3113">
        <v>28</v>
      </c>
      <c r="H3113">
        <v>4.8639999999999999</v>
      </c>
      <c r="I3113">
        <v>28.000000000000004</v>
      </c>
      <c r="J3113" t="s">
        <v>20</v>
      </c>
    </row>
    <row r="3114" spans="1:10" x14ac:dyDescent="0.2">
      <c r="A3114">
        <v>13113</v>
      </c>
      <c r="B3114" t="s">
        <v>10</v>
      </c>
      <c r="C3114" t="s">
        <v>9</v>
      </c>
      <c r="D3114">
        <v>2.98</v>
      </c>
      <c r="E3114">
        <v>8</v>
      </c>
      <c r="F3114" t="s">
        <v>16</v>
      </c>
      <c r="G3114">
        <v>60</v>
      </c>
      <c r="H3114">
        <v>4.7679999999999998</v>
      </c>
      <c r="I3114">
        <v>59.999999999999986</v>
      </c>
      <c r="J3114" t="s">
        <v>20</v>
      </c>
    </row>
    <row r="3115" spans="1:10" x14ac:dyDescent="0.2">
      <c r="A3115">
        <v>13114</v>
      </c>
      <c r="B3115" t="s">
        <v>7</v>
      </c>
      <c r="C3115" t="s">
        <v>6</v>
      </c>
      <c r="D3115">
        <v>10.18</v>
      </c>
      <c r="E3115">
        <v>8</v>
      </c>
      <c r="F3115" t="s">
        <v>16</v>
      </c>
      <c r="G3115">
        <v>55</v>
      </c>
      <c r="H3115">
        <v>15.779</v>
      </c>
      <c r="I3115">
        <v>55.000000000000007</v>
      </c>
      <c r="J3115" t="s">
        <v>20</v>
      </c>
    </row>
    <row r="3116" spans="1:10" x14ac:dyDescent="0.2">
      <c r="A3116">
        <v>13115</v>
      </c>
      <c r="B3116" t="s">
        <v>10</v>
      </c>
      <c r="C3116" t="s">
        <v>9</v>
      </c>
      <c r="D3116">
        <v>9.34</v>
      </c>
      <c r="E3116">
        <v>3</v>
      </c>
      <c r="F3116" t="s">
        <v>14</v>
      </c>
      <c r="G3116">
        <v>15</v>
      </c>
      <c r="H3116">
        <v>10.741</v>
      </c>
      <c r="I3116">
        <v>14.999999999999991</v>
      </c>
      <c r="J3116" t="s">
        <v>20</v>
      </c>
    </row>
    <row r="3117" spans="1:10" x14ac:dyDescent="0.2">
      <c r="A3117">
        <v>13116</v>
      </c>
      <c r="B3117" t="s">
        <v>8</v>
      </c>
      <c r="C3117" t="s">
        <v>11</v>
      </c>
      <c r="D3117">
        <v>9.83</v>
      </c>
      <c r="E3117">
        <v>1</v>
      </c>
      <c r="F3117" t="s">
        <v>14</v>
      </c>
      <c r="G3117">
        <v>10</v>
      </c>
      <c r="H3117">
        <v>10.813000000000001</v>
      </c>
      <c r="I3117">
        <v>10.000000000000009</v>
      </c>
      <c r="J3117" t="s">
        <v>20</v>
      </c>
    </row>
    <row r="3118" spans="1:10" x14ac:dyDescent="0.2">
      <c r="A3118">
        <v>13117</v>
      </c>
      <c r="B3118" t="s">
        <v>8</v>
      </c>
      <c r="C3118" t="s">
        <v>11</v>
      </c>
      <c r="D3118">
        <v>1.78</v>
      </c>
      <c r="E3118">
        <v>6</v>
      </c>
      <c r="F3118" t="s">
        <v>15</v>
      </c>
      <c r="G3118">
        <v>25</v>
      </c>
      <c r="H3118">
        <v>2.2250000000000001</v>
      </c>
      <c r="I3118">
        <v>25</v>
      </c>
      <c r="J3118" t="s">
        <v>20</v>
      </c>
    </row>
    <row r="3119" spans="1:10" x14ac:dyDescent="0.2">
      <c r="A3119">
        <v>13118</v>
      </c>
      <c r="B3119" t="s">
        <v>10</v>
      </c>
      <c r="C3119" t="s">
        <v>6</v>
      </c>
      <c r="D3119">
        <v>13.46</v>
      </c>
      <c r="E3119">
        <v>2</v>
      </c>
      <c r="F3119" t="s">
        <v>14</v>
      </c>
      <c r="G3119">
        <v>12</v>
      </c>
      <c r="H3119">
        <v>15.075200000000002</v>
      </c>
      <c r="I3119">
        <v>12.000000000000011</v>
      </c>
      <c r="J3119" t="s">
        <v>20</v>
      </c>
    </row>
    <row r="3120" spans="1:10" x14ac:dyDescent="0.2">
      <c r="A3120">
        <v>13119</v>
      </c>
      <c r="B3120" t="s">
        <v>7</v>
      </c>
      <c r="C3120" t="s">
        <v>9</v>
      </c>
      <c r="D3120">
        <v>6.14</v>
      </c>
      <c r="E3120">
        <v>2</v>
      </c>
      <c r="F3120" t="s">
        <v>14</v>
      </c>
      <c r="G3120">
        <v>15</v>
      </c>
      <c r="H3120">
        <v>7.0609999999999991</v>
      </c>
      <c r="I3120">
        <v>14.999999999999991</v>
      </c>
      <c r="J3120" t="s">
        <v>20</v>
      </c>
    </row>
    <row r="3121" spans="1:10" x14ac:dyDescent="0.2">
      <c r="A3121">
        <v>13120</v>
      </c>
      <c r="B3121" t="s">
        <v>7</v>
      </c>
      <c r="C3121" t="s">
        <v>6</v>
      </c>
      <c r="D3121">
        <v>5.04</v>
      </c>
      <c r="E3121">
        <v>3</v>
      </c>
      <c r="F3121" t="s">
        <v>14</v>
      </c>
      <c r="G3121">
        <v>12</v>
      </c>
      <c r="H3121">
        <v>5.6448000000000009</v>
      </c>
      <c r="I3121">
        <v>12.000000000000011</v>
      </c>
      <c r="J3121" t="s">
        <v>20</v>
      </c>
    </row>
    <row r="3122" spans="1:10" x14ac:dyDescent="0.2">
      <c r="A3122">
        <v>13121</v>
      </c>
      <c r="B3122" t="s">
        <v>7</v>
      </c>
      <c r="C3122" t="s">
        <v>6</v>
      </c>
      <c r="D3122">
        <v>7.2</v>
      </c>
      <c r="E3122">
        <v>8</v>
      </c>
      <c r="F3122" t="s">
        <v>16</v>
      </c>
      <c r="G3122">
        <v>55</v>
      </c>
      <c r="H3122">
        <v>11.16</v>
      </c>
      <c r="I3122">
        <v>55.000000000000007</v>
      </c>
      <c r="J3122" t="s">
        <v>20</v>
      </c>
    </row>
    <row r="3123" spans="1:10" x14ac:dyDescent="0.2">
      <c r="A3123">
        <v>13122</v>
      </c>
      <c r="B3123" t="s">
        <v>8</v>
      </c>
      <c r="C3123" t="s">
        <v>9</v>
      </c>
      <c r="D3123">
        <v>6.16</v>
      </c>
      <c r="E3123">
        <v>3</v>
      </c>
      <c r="F3123" t="s">
        <v>14</v>
      </c>
      <c r="G3123">
        <v>15</v>
      </c>
      <c r="H3123">
        <v>7.0839999999999996</v>
      </c>
      <c r="I3123">
        <v>14.999999999999991</v>
      </c>
      <c r="J3123" t="s">
        <v>20</v>
      </c>
    </row>
    <row r="3124" spans="1:10" x14ac:dyDescent="0.2">
      <c r="A3124">
        <v>13123</v>
      </c>
      <c r="B3124" t="s">
        <v>10</v>
      </c>
      <c r="C3124" t="s">
        <v>6</v>
      </c>
      <c r="D3124">
        <v>13.02</v>
      </c>
      <c r="E3124">
        <v>7</v>
      </c>
      <c r="F3124" t="s">
        <v>15</v>
      </c>
      <c r="G3124">
        <v>28</v>
      </c>
      <c r="H3124">
        <v>16.665600000000001</v>
      </c>
      <c r="I3124">
        <v>28.000000000000025</v>
      </c>
      <c r="J3124" t="s">
        <v>20</v>
      </c>
    </row>
    <row r="3125" spans="1:10" x14ac:dyDescent="0.2">
      <c r="A3125">
        <v>13124</v>
      </c>
      <c r="B3125" t="s">
        <v>5</v>
      </c>
      <c r="C3125" t="s">
        <v>11</v>
      </c>
      <c r="D3125">
        <v>13.97</v>
      </c>
      <c r="E3125">
        <v>10</v>
      </c>
      <c r="F3125" t="s">
        <v>16</v>
      </c>
      <c r="G3125">
        <v>50</v>
      </c>
      <c r="H3125">
        <v>20.955000000000002</v>
      </c>
      <c r="I3125">
        <v>50</v>
      </c>
      <c r="J3125" t="s">
        <v>20</v>
      </c>
    </row>
    <row r="3126" spans="1:10" x14ac:dyDescent="0.2">
      <c r="A3126">
        <v>13125</v>
      </c>
      <c r="B3126" t="s">
        <v>8</v>
      </c>
      <c r="C3126" t="s">
        <v>6</v>
      </c>
      <c r="D3126">
        <v>4.9000000000000004</v>
      </c>
      <c r="E3126">
        <v>10</v>
      </c>
      <c r="F3126" t="s">
        <v>16</v>
      </c>
      <c r="G3126">
        <v>55</v>
      </c>
      <c r="H3126">
        <v>7.5950000000000006</v>
      </c>
      <c r="I3126">
        <v>55.000000000000007</v>
      </c>
      <c r="J3126" t="s">
        <v>20</v>
      </c>
    </row>
    <row r="3127" spans="1:10" x14ac:dyDescent="0.2">
      <c r="A3127">
        <v>13126</v>
      </c>
      <c r="B3127" t="s">
        <v>7</v>
      </c>
      <c r="C3127" t="s">
        <v>9</v>
      </c>
      <c r="D3127">
        <v>13.03</v>
      </c>
      <c r="E3127">
        <v>9</v>
      </c>
      <c r="F3127" t="s">
        <v>16</v>
      </c>
      <c r="G3127">
        <v>60</v>
      </c>
      <c r="H3127">
        <v>20.847999999999999</v>
      </c>
      <c r="I3127">
        <v>60.000000000000007</v>
      </c>
      <c r="J3127" t="s">
        <v>20</v>
      </c>
    </row>
    <row r="3128" spans="1:10" x14ac:dyDescent="0.2">
      <c r="A3128">
        <v>13127</v>
      </c>
      <c r="B3128" t="s">
        <v>10</v>
      </c>
      <c r="C3128" t="s">
        <v>9</v>
      </c>
      <c r="D3128">
        <v>11.83</v>
      </c>
      <c r="E3128">
        <v>8</v>
      </c>
      <c r="F3128" t="s">
        <v>16</v>
      </c>
      <c r="G3128">
        <v>60</v>
      </c>
      <c r="H3128">
        <v>18.928000000000001</v>
      </c>
      <c r="I3128">
        <v>60.000000000000007</v>
      </c>
      <c r="J3128" t="s">
        <v>20</v>
      </c>
    </row>
    <row r="3129" spans="1:10" x14ac:dyDescent="0.2">
      <c r="A3129">
        <v>13128</v>
      </c>
      <c r="B3129" t="s">
        <v>7</v>
      </c>
      <c r="C3129" t="s">
        <v>11</v>
      </c>
      <c r="D3129">
        <v>14</v>
      </c>
      <c r="E3129">
        <v>1</v>
      </c>
      <c r="F3129" t="s">
        <v>14</v>
      </c>
      <c r="G3129">
        <v>10</v>
      </c>
      <c r="H3129">
        <v>15.400000000000002</v>
      </c>
      <c r="I3129">
        <v>10.000000000000009</v>
      </c>
      <c r="J3129" t="s">
        <v>20</v>
      </c>
    </row>
    <row r="3130" spans="1:10" x14ac:dyDescent="0.2">
      <c r="A3130">
        <v>13129</v>
      </c>
      <c r="B3130" t="s">
        <v>5</v>
      </c>
      <c r="C3130" t="s">
        <v>9</v>
      </c>
      <c r="D3130">
        <v>4.0599999999999996</v>
      </c>
      <c r="E3130">
        <v>7</v>
      </c>
      <c r="F3130" t="s">
        <v>15</v>
      </c>
      <c r="G3130">
        <v>30</v>
      </c>
      <c r="H3130">
        <v>5.2779999999999996</v>
      </c>
      <c r="I3130">
        <v>30.000000000000004</v>
      </c>
      <c r="J3130" t="s">
        <v>20</v>
      </c>
    </row>
    <row r="3131" spans="1:10" x14ac:dyDescent="0.2">
      <c r="A3131">
        <v>13130</v>
      </c>
      <c r="B3131" t="s">
        <v>7</v>
      </c>
      <c r="C3131" t="s">
        <v>9</v>
      </c>
      <c r="D3131">
        <v>8.8699999999999992</v>
      </c>
      <c r="E3131">
        <v>7</v>
      </c>
      <c r="F3131" t="s">
        <v>15</v>
      </c>
      <c r="G3131">
        <v>30</v>
      </c>
      <c r="H3131">
        <v>11.530999999999999</v>
      </c>
      <c r="I3131">
        <v>30.000000000000004</v>
      </c>
      <c r="J3131" t="s">
        <v>20</v>
      </c>
    </row>
    <row r="3132" spans="1:10" x14ac:dyDescent="0.2">
      <c r="A3132">
        <v>13131</v>
      </c>
      <c r="B3132" t="s">
        <v>7</v>
      </c>
      <c r="C3132" t="s">
        <v>11</v>
      </c>
      <c r="D3132">
        <v>4.4800000000000004</v>
      </c>
      <c r="E3132">
        <v>8</v>
      </c>
      <c r="F3132" t="s">
        <v>16</v>
      </c>
      <c r="G3132">
        <v>50</v>
      </c>
      <c r="H3132">
        <v>6.7200000000000006</v>
      </c>
      <c r="I3132">
        <v>50</v>
      </c>
      <c r="J3132" t="s">
        <v>20</v>
      </c>
    </row>
    <row r="3133" spans="1:10" x14ac:dyDescent="0.2">
      <c r="A3133">
        <v>13132</v>
      </c>
      <c r="B3133" t="s">
        <v>5</v>
      </c>
      <c r="C3133" t="s">
        <v>6</v>
      </c>
      <c r="D3133">
        <v>12.45</v>
      </c>
      <c r="E3133">
        <v>10</v>
      </c>
      <c r="F3133" t="s">
        <v>16</v>
      </c>
      <c r="G3133">
        <v>55</v>
      </c>
      <c r="H3133">
        <v>19.297499999999999</v>
      </c>
      <c r="I3133">
        <v>55.000000000000007</v>
      </c>
      <c r="J3133" t="s">
        <v>20</v>
      </c>
    </row>
    <row r="3134" spans="1:10" x14ac:dyDescent="0.2">
      <c r="A3134">
        <v>13133</v>
      </c>
      <c r="B3134" t="s">
        <v>10</v>
      </c>
      <c r="C3134" t="s">
        <v>11</v>
      </c>
      <c r="D3134">
        <v>0.57999999999999996</v>
      </c>
      <c r="E3134">
        <v>5</v>
      </c>
      <c r="F3134" t="s">
        <v>15</v>
      </c>
      <c r="G3134">
        <v>25</v>
      </c>
      <c r="H3134">
        <v>0.72499999999999998</v>
      </c>
      <c r="I3134">
        <v>25</v>
      </c>
      <c r="J3134" t="s">
        <v>20</v>
      </c>
    </row>
    <row r="3135" spans="1:10" x14ac:dyDescent="0.2">
      <c r="A3135">
        <v>13134</v>
      </c>
      <c r="B3135" t="s">
        <v>8</v>
      </c>
      <c r="C3135" t="s">
        <v>6</v>
      </c>
      <c r="D3135">
        <v>8.69</v>
      </c>
      <c r="E3135">
        <v>10</v>
      </c>
      <c r="F3135" t="s">
        <v>16</v>
      </c>
      <c r="G3135">
        <v>55</v>
      </c>
      <c r="H3135">
        <v>13.4695</v>
      </c>
      <c r="I3135">
        <v>55.000000000000007</v>
      </c>
      <c r="J3135" t="s">
        <v>20</v>
      </c>
    </row>
    <row r="3136" spans="1:10" x14ac:dyDescent="0.2">
      <c r="A3136">
        <v>13135</v>
      </c>
      <c r="B3136" t="s">
        <v>10</v>
      </c>
      <c r="C3136" t="s">
        <v>11</v>
      </c>
      <c r="D3136">
        <v>5.42</v>
      </c>
      <c r="E3136">
        <v>9</v>
      </c>
      <c r="F3136" t="s">
        <v>16</v>
      </c>
      <c r="G3136">
        <v>50</v>
      </c>
      <c r="H3136">
        <v>8.129999999999999</v>
      </c>
      <c r="I3136">
        <v>49.999999999999979</v>
      </c>
      <c r="J3136" t="s">
        <v>20</v>
      </c>
    </row>
    <row r="3137" spans="1:10" x14ac:dyDescent="0.2">
      <c r="A3137">
        <v>13136</v>
      </c>
      <c r="B3137" t="s">
        <v>5</v>
      </c>
      <c r="C3137" t="s">
        <v>6</v>
      </c>
      <c r="D3137">
        <v>5.18</v>
      </c>
      <c r="E3137">
        <v>9</v>
      </c>
      <c r="F3137" t="s">
        <v>16</v>
      </c>
      <c r="G3137">
        <v>55</v>
      </c>
      <c r="H3137">
        <v>8.0289999999999999</v>
      </c>
      <c r="I3137">
        <v>55.000000000000007</v>
      </c>
      <c r="J3137" t="s">
        <v>20</v>
      </c>
    </row>
    <row r="3138" spans="1:10" x14ac:dyDescent="0.2">
      <c r="A3138">
        <v>13137</v>
      </c>
      <c r="B3138" t="s">
        <v>7</v>
      </c>
      <c r="C3138" t="s">
        <v>11</v>
      </c>
      <c r="D3138">
        <v>9.85</v>
      </c>
      <c r="E3138">
        <v>8</v>
      </c>
      <c r="F3138" t="s">
        <v>16</v>
      </c>
      <c r="G3138">
        <v>50</v>
      </c>
      <c r="H3138">
        <v>14.774999999999999</v>
      </c>
      <c r="I3138">
        <v>50</v>
      </c>
      <c r="J3138" t="s">
        <v>20</v>
      </c>
    </row>
    <row r="3139" spans="1:10" x14ac:dyDescent="0.2">
      <c r="A3139">
        <v>13138</v>
      </c>
      <c r="B3139" t="s">
        <v>10</v>
      </c>
      <c r="C3139" t="s">
        <v>6</v>
      </c>
      <c r="D3139">
        <v>12.85</v>
      </c>
      <c r="E3139">
        <v>6</v>
      </c>
      <c r="F3139" t="s">
        <v>15</v>
      </c>
      <c r="G3139">
        <v>28</v>
      </c>
      <c r="H3139">
        <v>16.448</v>
      </c>
      <c r="I3139">
        <v>28.000000000000004</v>
      </c>
      <c r="J3139" t="s">
        <v>20</v>
      </c>
    </row>
    <row r="3140" spans="1:10" x14ac:dyDescent="0.2">
      <c r="A3140">
        <v>13139</v>
      </c>
      <c r="B3140" t="s">
        <v>8</v>
      </c>
      <c r="C3140" t="s">
        <v>11</v>
      </c>
      <c r="D3140">
        <v>9.33</v>
      </c>
      <c r="E3140">
        <v>6</v>
      </c>
      <c r="F3140" t="s">
        <v>15</v>
      </c>
      <c r="G3140">
        <v>25</v>
      </c>
      <c r="H3140">
        <v>11.6625</v>
      </c>
      <c r="I3140">
        <v>25</v>
      </c>
      <c r="J3140" t="s">
        <v>20</v>
      </c>
    </row>
    <row r="3141" spans="1:10" x14ac:dyDescent="0.2">
      <c r="A3141">
        <v>13140</v>
      </c>
      <c r="B3141" t="s">
        <v>5</v>
      </c>
      <c r="C3141" t="s">
        <v>6</v>
      </c>
      <c r="D3141">
        <v>12.87</v>
      </c>
      <c r="E3141">
        <v>1</v>
      </c>
      <c r="F3141" t="s">
        <v>14</v>
      </c>
      <c r="G3141">
        <v>12</v>
      </c>
      <c r="H3141">
        <v>14.414400000000001</v>
      </c>
      <c r="I3141">
        <v>12.000000000000011</v>
      </c>
      <c r="J3141" t="s">
        <v>20</v>
      </c>
    </row>
    <row r="3142" spans="1:10" x14ac:dyDescent="0.2">
      <c r="A3142">
        <v>13141</v>
      </c>
      <c r="B3142" t="s">
        <v>10</v>
      </c>
      <c r="C3142" t="s">
        <v>11</v>
      </c>
      <c r="D3142">
        <v>4.34</v>
      </c>
      <c r="E3142">
        <v>6</v>
      </c>
      <c r="F3142" t="s">
        <v>15</v>
      </c>
      <c r="G3142">
        <v>25</v>
      </c>
      <c r="H3142">
        <v>5.4249999999999998</v>
      </c>
      <c r="I3142">
        <v>25</v>
      </c>
      <c r="J3142" t="s">
        <v>20</v>
      </c>
    </row>
    <row r="3143" spans="1:10" x14ac:dyDescent="0.2">
      <c r="A3143">
        <v>13142</v>
      </c>
      <c r="B3143" t="s">
        <v>8</v>
      </c>
      <c r="C3143" t="s">
        <v>9</v>
      </c>
      <c r="D3143">
        <v>8.0299999999999994</v>
      </c>
      <c r="E3143">
        <v>4</v>
      </c>
      <c r="F3143" t="s">
        <v>15</v>
      </c>
      <c r="G3143">
        <v>30</v>
      </c>
      <c r="H3143">
        <v>10.439</v>
      </c>
      <c r="I3143">
        <v>30.000000000000004</v>
      </c>
      <c r="J3143" t="s">
        <v>20</v>
      </c>
    </row>
    <row r="3144" spans="1:10" x14ac:dyDescent="0.2">
      <c r="A3144">
        <v>13143</v>
      </c>
      <c r="B3144" t="s">
        <v>5</v>
      </c>
      <c r="C3144" t="s">
        <v>6</v>
      </c>
      <c r="D3144">
        <v>7.03</v>
      </c>
      <c r="E3144">
        <v>4</v>
      </c>
      <c r="F3144" t="s">
        <v>15</v>
      </c>
      <c r="G3144">
        <v>28</v>
      </c>
      <c r="H3144">
        <v>8.9984000000000002</v>
      </c>
      <c r="I3144">
        <v>28.000000000000004</v>
      </c>
      <c r="J3144" t="s">
        <v>20</v>
      </c>
    </row>
    <row r="3145" spans="1:10" x14ac:dyDescent="0.2">
      <c r="A3145">
        <v>13144</v>
      </c>
      <c r="B3145" t="s">
        <v>8</v>
      </c>
      <c r="C3145" t="s">
        <v>11</v>
      </c>
      <c r="D3145">
        <v>0.67</v>
      </c>
      <c r="E3145">
        <v>2</v>
      </c>
      <c r="F3145" t="s">
        <v>14</v>
      </c>
      <c r="G3145">
        <v>10</v>
      </c>
      <c r="H3145">
        <v>0.7370000000000001</v>
      </c>
      <c r="I3145">
        <v>10.000000000000009</v>
      </c>
      <c r="J3145" t="s">
        <v>20</v>
      </c>
    </row>
    <row r="3146" spans="1:10" x14ac:dyDescent="0.2">
      <c r="A3146">
        <v>13145</v>
      </c>
      <c r="B3146" t="s">
        <v>5</v>
      </c>
      <c r="C3146" t="s">
        <v>6</v>
      </c>
      <c r="D3146">
        <v>8.57</v>
      </c>
      <c r="E3146">
        <v>4</v>
      </c>
      <c r="F3146" t="s">
        <v>15</v>
      </c>
      <c r="G3146">
        <v>28</v>
      </c>
      <c r="H3146">
        <v>10.9696</v>
      </c>
      <c r="I3146">
        <v>28.000000000000004</v>
      </c>
      <c r="J3146" t="s">
        <v>20</v>
      </c>
    </row>
    <row r="3147" spans="1:10" x14ac:dyDescent="0.2">
      <c r="A3147">
        <v>13146</v>
      </c>
      <c r="B3147" t="s">
        <v>7</v>
      </c>
      <c r="C3147" t="s">
        <v>6</v>
      </c>
      <c r="D3147">
        <v>10.09</v>
      </c>
      <c r="E3147">
        <v>5</v>
      </c>
      <c r="F3147" t="s">
        <v>15</v>
      </c>
      <c r="G3147">
        <v>28</v>
      </c>
      <c r="H3147">
        <v>12.9152</v>
      </c>
      <c r="I3147">
        <v>28.000000000000004</v>
      </c>
      <c r="J3147" t="s">
        <v>20</v>
      </c>
    </row>
    <row r="3148" spans="1:10" x14ac:dyDescent="0.2">
      <c r="A3148">
        <v>13147</v>
      </c>
      <c r="B3148" t="s">
        <v>10</v>
      </c>
      <c r="C3148" t="s">
        <v>11</v>
      </c>
      <c r="D3148">
        <v>9.08</v>
      </c>
      <c r="E3148">
        <v>5</v>
      </c>
      <c r="F3148" t="s">
        <v>15</v>
      </c>
      <c r="G3148">
        <v>25</v>
      </c>
      <c r="H3148">
        <v>11.35</v>
      </c>
      <c r="I3148">
        <v>25</v>
      </c>
      <c r="J3148" t="s">
        <v>20</v>
      </c>
    </row>
    <row r="3149" spans="1:10" x14ac:dyDescent="0.2">
      <c r="A3149">
        <v>13148</v>
      </c>
      <c r="B3149" t="s">
        <v>8</v>
      </c>
      <c r="C3149" t="s">
        <v>6</v>
      </c>
      <c r="D3149">
        <v>11.18</v>
      </c>
      <c r="E3149">
        <v>5</v>
      </c>
      <c r="F3149" t="s">
        <v>15</v>
      </c>
      <c r="G3149">
        <v>28</v>
      </c>
      <c r="H3149">
        <v>14.3104</v>
      </c>
      <c r="I3149">
        <v>28.000000000000004</v>
      </c>
      <c r="J3149" t="s">
        <v>20</v>
      </c>
    </row>
    <row r="3150" spans="1:10" x14ac:dyDescent="0.2">
      <c r="A3150">
        <v>13149</v>
      </c>
      <c r="B3150" t="s">
        <v>5</v>
      </c>
      <c r="C3150" t="s">
        <v>11</v>
      </c>
      <c r="D3150">
        <v>8.7799999999999994</v>
      </c>
      <c r="E3150">
        <v>4</v>
      </c>
      <c r="F3150" t="s">
        <v>15</v>
      </c>
      <c r="G3150">
        <v>25</v>
      </c>
      <c r="H3150">
        <v>10.975</v>
      </c>
      <c r="I3150">
        <v>25</v>
      </c>
      <c r="J3150" t="s">
        <v>20</v>
      </c>
    </row>
    <row r="3151" spans="1:10" x14ac:dyDescent="0.2">
      <c r="A3151">
        <v>13150</v>
      </c>
      <c r="B3151" t="s">
        <v>8</v>
      </c>
      <c r="C3151" t="s">
        <v>9</v>
      </c>
      <c r="D3151">
        <v>1.47</v>
      </c>
      <c r="E3151">
        <v>1</v>
      </c>
      <c r="F3151" t="s">
        <v>14</v>
      </c>
      <c r="G3151">
        <v>15</v>
      </c>
      <c r="H3151">
        <v>1.6904999999999999</v>
      </c>
      <c r="I3151">
        <v>14.999999999999991</v>
      </c>
      <c r="J3151" t="s">
        <v>20</v>
      </c>
    </row>
    <row r="3152" spans="1:10" x14ac:dyDescent="0.2">
      <c r="A3152">
        <v>13151</v>
      </c>
      <c r="B3152" t="s">
        <v>8</v>
      </c>
      <c r="C3152" t="s">
        <v>6</v>
      </c>
      <c r="D3152">
        <v>2.19</v>
      </c>
      <c r="E3152">
        <v>10</v>
      </c>
      <c r="F3152" t="s">
        <v>16</v>
      </c>
      <c r="G3152">
        <v>55</v>
      </c>
      <c r="H3152">
        <v>3.3944999999999999</v>
      </c>
      <c r="I3152">
        <v>55.000000000000007</v>
      </c>
      <c r="J3152" t="s">
        <v>20</v>
      </c>
    </row>
    <row r="3153" spans="1:10" x14ac:dyDescent="0.2">
      <c r="A3153">
        <v>13152</v>
      </c>
      <c r="B3153" t="s">
        <v>10</v>
      </c>
      <c r="C3153" t="s">
        <v>9</v>
      </c>
      <c r="D3153">
        <v>9.15</v>
      </c>
      <c r="E3153">
        <v>8</v>
      </c>
      <c r="F3153" t="s">
        <v>16</v>
      </c>
      <c r="G3153">
        <v>60</v>
      </c>
      <c r="H3153">
        <v>14.64</v>
      </c>
      <c r="I3153">
        <v>60.000000000000007</v>
      </c>
      <c r="J3153" t="s">
        <v>20</v>
      </c>
    </row>
    <row r="3154" spans="1:10" x14ac:dyDescent="0.2">
      <c r="A3154">
        <v>13153</v>
      </c>
      <c r="B3154" t="s">
        <v>7</v>
      </c>
      <c r="C3154" t="s">
        <v>6</v>
      </c>
      <c r="D3154">
        <v>4.49</v>
      </c>
      <c r="E3154">
        <v>3</v>
      </c>
      <c r="F3154" t="s">
        <v>14</v>
      </c>
      <c r="G3154">
        <v>12</v>
      </c>
      <c r="H3154">
        <v>5.0288000000000004</v>
      </c>
      <c r="I3154">
        <v>12.000000000000011</v>
      </c>
      <c r="J3154" t="s">
        <v>20</v>
      </c>
    </row>
    <row r="3155" spans="1:10" x14ac:dyDescent="0.2">
      <c r="A3155">
        <v>13154</v>
      </c>
      <c r="B3155" t="s">
        <v>8</v>
      </c>
      <c r="C3155" t="s">
        <v>6</v>
      </c>
      <c r="D3155">
        <v>1.65</v>
      </c>
      <c r="E3155">
        <v>2</v>
      </c>
      <c r="F3155" t="s">
        <v>14</v>
      </c>
      <c r="G3155">
        <v>12</v>
      </c>
      <c r="H3155">
        <v>1.8480000000000001</v>
      </c>
      <c r="I3155">
        <v>12.000000000000011</v>
      </c>
      <c r="J3155" t="s">
        <v>20</v>
      </c>
    </row>
    <row r="3156" spans="1:10" x14ac:dyDescent="0.2">
      <c r="A3156">
        <v>13155</v>
      </c>
      <c r="B3156" t="s">
        <v>5</v>
      </c>
      <c r="C3156" t="s">
        <v>6</v>
      </c>
      <c r="D3156">
        <v>6.73</v>
      </c>
      <c r="E3156">
        <v>9</v>
      </c>
      <c r="F3156" t="s">
        <v>16</v>
      </c>
      <c r="G3156">
        <v>55</v>
      </c>
      <c r="H3156">
        <v>10.431500000000002</v>
      </c>
      <c r="I3156">
        <v>55.000000000000007</v>
      </c>
      <c r="J3156" t="s">
        <v>20</v>
      </c>
    </row>
    <row r="3157" spans="1:10" x14ac:dyDescent="0.2">
      <c r="A3157">
        <v>13156</v>
      </c>
      <c r="B3157" t="s">
        <v>5</v>
      </c>
      <c r="C3157" t="s">
        <v>11</v>
      </c>
      <c r="D3157">
        <v>8.5399999999999991</v>
      </c>
      <c r="E3157">
        <v>7</v>
      </c>
      <c r="F3157" t="s">
        <v>15</v>
      </c>
      <c r="G3157">
        <v>25</v>
      </c>
      <c r="H3157">
        <v>10.674999999999999</v>
      </c>
      <c r="I3157">
        <v>25</v>
      </c>
      <c r="J3157" t="s">
        <v>20</v>
      </c>
    </row>
    <row r="3158" spans="1:10" x14ac:dyDescent="0.2">
      <c r="A3158">
        <v>13157</v>
      </c>
      <c r="B3158" t="s">
        <v>7</v>
      </c>
      <c r="C3158" t="s">
        <v>9</v>
      </c>
      <c r="D3158">
        <v>5.27</v>
      </c>
      <c r="E3158">
        <v>9</v>
      </c>
      <c r="F3158" t="s">
        <v>16</v>
      </c>
      <c r="G3158">
        <v>60</v>
      </c>
      <c r="H3158">
        <v>8.4320000000000004</v>
      </c>
      <c r="I3158">
        <v>60.000000000000028</v>
      </c>
      <c r="J3158" t="s">
        <v>20</v>
      </c>
    </row>
    <row r="3159" spans="1:10" x14ac:dyDescent="0.2">
      <c r="A3159">
        <v>13158</v>
      </c>
      <c r="B3159" t="s">
        <v>5</v>
      </c>
      <c r="C3159" t="s">
        <v>6</v>
      </c>
      <c r="D3159">
        <v>10.95</v>
      </c>
      <c r="E3159">
        <v>2</v>
      </c>
      <c r="F3159" t="s">
        <v>14</v>
      </c>
      <c r="G3159">
        <v>12</v>
      </c>
      <c r="H3159">
        <v>12.264000000000001</v>
      </c>
      <c r="I3159">
        <v>12.000000000000011</v>
      </c>
      <c r="J3159" t="s">
        <v>20</v>
      </c>
    </row>
    <row r="3160" spans="1:10" x14ac:dyDescent="0.2">
      <c r="A3160">
        <v>13159</v>
      </c>
      <c r="B3160" t="s">
        <v>7</v>
      </c>
      <c r="C3160" t="s">
        <v>11</v>
      </c>
      <c r="D3160">
        <v>9.83</v>
      </c>
      <c r="E3160">
        <v>9</v>
      </c>
      <c r="F3160" t="s">
        <v>16</v>
      </c>
      <c r="G3160">
        <v>50</v>
      </c>
      <c r="H3160">
        <v>14.745000000000001</v>
      </c>
      <c r="I3160">
        <v>50</v>
      </c>
      <c r="J3160" t="s">
        <v>20</v>
      </c>
    </row>
    <row r="3161" spans="1:10" x14ac:dyDescent="0.2">
      <c r="A3161">
        <v>13160</v>
      </c>
      <c r="B3161" t="s">
        <v>5</v>
      </c>
      <c r="C3161" t="s">
        <v>6</v>
      </c>
      <c r="D3161">
        <v>5.33</v>
      </c>
      <c r="E3161">
        <v>10</v>
      </c>
      <c r="F3161" t="s">
        <v>16</v>
      </c>
      <c r="G3161">
        <v>55</v>
      </c>
      <c r="H3161">
        <v>8.2614999999999998</v>
      </c>
      <c r="I3161">
        <v>55.000000000000007</v>
      </c>
      <c r="J3161" t="s">
        <v>20</v>
      </c>
    </row>
    <row r="3162" spans="1:10" x14ac:dyDescent="0.2">
      <c r="A3162">
        <v>13161</v>
      </c>
      <c r="B3162" t="s">
        <v>10</v>
      </c>
      <c r="C3162" t="s">
        <v>11</v>
      </c>
      <c r="D3162">
        <v>11.45</v>
      </c>
      <c r="E3162">
        <v>9</v>
      </c>
      <c r="F3162" t="s">
        <v>16</v>
      </c>
      <c r="G3162">
        <v>50</v>
      </c>
      <c r="H3162">
        <v>17.174999999999997</v>
      </c>
      <c r="I3162">
        <v>49.999999999999979</v>
      </c>
      <c r="J3162" t="s">
        <v>20</v>
      </c>
    </row>
    <row r="3163" spans="1:10" x14ac:dyDescent="0.2">
      <c r="A3163">
        <v>13162</v>
      </c>
      <c r="B3163" t="s">
        <v>8</v>
      </c>
      <c r="C3163" t="s">
        <v>6</v>
      </c>
      <c r="D3163">
        <v>9.91</v>
      </c>
      <c r="E3163">
        <v>9</v>
      </c>
      <c r="F3163" t="s">
        <v>16</v>
      </c>
      <c r="G3163">
        <v>55</v>
      </c>
      <c r="H3163">
        <v>15.3605</v>
      </c>
      <c r="I3163">
        <v>55.000000000000007</v>
      </c>
      <c r="J3163" t="s">
        <v>20</v>
      </c>
    </row>
    <row r="3164" spans="1:10" x14ac:dyDescent="0.2">
      <c r="A3164">
        <v>13163</v>
      </c>
      <c r="B3164" t="s">
        <v>10</v>
      </c>
      <c r="C3164" t="s">
        <v>9</v>
      </c>
      <c r="D3164">
        <v>9.74</v>
      </c>
      <c r="E3164">
        <v>10</v>
      </c>
      <c r="F3164" t="s">
        <v>16</v>
      </c>
      <c r="G3164">
        <v>60</v>
      </c>
      <c r="H3164">
        <v>15.584000000000001</v>
      </c>
      <c r="I3164">
        <v>60.000000000000007</v>
      </c>
      <c r="J3164" t="s">
        <v>20</v>
      </c>
    </row>
    <row r="3165" spans="1:10" x14ac:dyDescent="0.2">
      <c r="A3165">
        <v>13164</v>
      </c>
      <c r="B3165" t="s">
        <v>8</v>
      </c>
      <c r="C3165" t="s">
        <v>9</v>
      </c>
      <c r="D3165">
        <v>8.52</v>
      </c>
      <c r="E3165">
        <v>10</v>
      </c>
      <c r="F3165" t="s">
        <v>16</v>
      </c>
      <c r="G3165">
        <v>60</v>
      </c>
      <c r="H3165">
        <v>13.632</v>
      </c>
      <c r="I3165">
        <v>60.000000000000007</v>
      </c>
      <c r="J3165" t="s">
        <v>20</v>
      </c>
    </row>
    <row r="3166" spans="1:10" x14ac:dyDescent="0.2">
      <c r="A3166">
        <v>13165</v>
      </c>
      <c r="B3166" t="s">
        <v>8</v>
      </c>
      <c r="C3166" t="s">
        <v>6</v>
      </c>
      <c r="D3166">
        <v>0.67</v>
      </c>
      <c r="E3166">
        <v>4</v>
      </c>
      <c r="F3166" t="s">
        <v>15</v>
      </c>
      <c r="G3166">
        <v>28</v>
      </c>
      <c r="H3166">
        <v>0.85760000000000003</v>
      </c>
      <c r="I3166">
        <v>28.000000000000004</v>
      </c>
      <c r="J3166" t="s">
        <v>20</v>
      </c>
    </row>
    <row r="3167" spans="1:10" x14ac:dyDescent="0.2">
      <c r="A3167">
        <v>13166</v>
      </c>
      <c r="B3167" t="s">
        <v>8</v>
      </c>
      <c r="C3167" t="s">
        <v>11</v>
      </c>
      <c r="D3167">
        <v>10.6</v>
      </c>
      <c r="E3167">
        <v>10</v>
      </c>
      <c r="F3167" t="s">
        <v>16</v>
      </c>
      <c r="G3167">
        <v>50</v>
      </c>
      <c r="H3167">
        <v>15.899999999999999</v>
      </c>
      <c r="I3167">
        <v>50</v>
      </c>
      <c r="J3167" t="s">
        <v>20</v>
      </c>
    </row>
    <row r="3168" spans="1:10" x14ac:dyDescent="0.2">
      <c r="A3168">
        <v>13167</v>
      </c>
      <c r="B3168" t="s">
        <v>10</v>
      </c>
      <c r="C3168" t="s">
        <v>6</v>
      </c>
      <c r="D3168">
        <v>5.95</v>
      </c>
      <c r="E3168">
        <v>3</v>
      </c>
      <c r="F3168" t="s">
        <v>14</v>
      </c>
      <c r="G3168">
        <v>12</v>
      </c>
      <c r="H3168">
        <v>6.6640000000000006</v>
      </c>
      <c r="I3168">
        <v>12.000000000000011</v>
      </c>
      <c r="J3168" t="s">
        <v>20</v>
      </c>
    </row>
    <row r="3169" spans="1:10" x14ac:dyDescent="0.2">
      <c r="A3169">
        <v>13168</v>
      </c>
      <c r="B3169" t="s">
        <v>8</v>
      </c>
      <c r="C3169" t="s">
        <v>11</v>
      </c>
      <c r="D3169">
        <v>14.17</v>
      </c>
      <c r="E3169">
        <v>6</v>
      </c>
      <c r="F3169" t="s">
        <v>15</v>
      </c>
      <c r="G3169">
        <v>25</v>
      </c>
      <c r="H3169">
        <v>17.712499999999999</v>
      </c>
      <c r="I3169">
        <v>25</v>
      </c>
      <c r="J3169" t="s">
        <v>20</v>
      </c>
    </row>
    <row r="3170" spans="1:10" x14ac:dyDescent="0.2">
      <c r="A3170">
        <v>13169</v>
      </c>
      <c r="B3170" t="s">
        <v>10</v>
      </c>
      <c r="C3170" t="s">
        <v>6</v>
      </c>
      <c r="D3170">
        <v>12.36</v>
      </c>
      <c r="E3170">
        <v>3</v>
      </c>
      <c r="F3170" t="s">
        <v>14</v>
      </c>
      <c r="G3170">
        <v>12</v>
      </c>
      <c r="H3170">
        <v>13.843200000000001</v>
      </c>
      <c r="I3170">
        <v>12.000000000000011</v>
      </c>
      <c r="J3170" t="s">
        <v>20</v>
      </c>
    </row>
    <row r="3171" spans="1:10" x14ac:dyDescent="0.2">
      <c r="A3171">
        <v>13170</v>
      </c>
      <c r="B3171" t="s">
        <v>7</v>
      </c>
      <c r="C3171" t="s">
        <v>11</v>
      </c>
      <c r="D3171">
        <v>9.02</v>
      </c>
      <c r="E3171">
        <v>9</v>
      </c>
      <c r="F3171" t="s">
        <v>16</v>
      </c>
      <c r="G3171">
        <v>50</v>
      </c>
      <c r="H3171">
        <v>13.53</v>
      </c>
      <c r="I3171">
        <v>50</v>
      </c>
      <c r="J3171" t="s">
        <v>20</v>
      </c>
    </row>
    <row r="3172" spans="1:10" x14ac:dyDescent="0.2">
      <c r="A3172">
        <v>13171</v>
      </c>
      <c r="B3172" t="s">
        <v>5</v>
      </c>
      <c r="C3172" t="s">
        <v>9</v>
      </c>
      <c r="D3172">
        <v>4.16</v>
      </c>
      <c r="E3172">
        <v>3</v>
      </c>
      <c r="F3172" t="s">
        <v>14</v>
      </c>
      <c r="G3172">
        <v>15</v>
      </c>
      <c r="H3172">
        <v>4.7839999999999998</v>
      </c>
      <c r="I3172">
        <v>14.999999999999991</v>
      </c>
      <c r="J3172" t="s">
        <v>20</v>
      </c>
    </row>
    <row r="3173" spans="1:10" x14ac:dyDescent="0.2">
      <c r="A3173">
        <v>13172</v>
      </c>
      <c r="B3173" t="s">
        <v>5</v>
      </c>
      <c r="C3173" t="s">
        <v>6</v>
      </c>
      <c r="D3173">
        <v>3.45</v>
      </c>
      <c r="E3173">
        <v>2</v>
      </c>
      <c r="F3173" t="s">
        <v>14</v>
      </c>
      <c r="G3173">
        <v>12</v>
      </c>
      <c r="H3173">
        <v>3.8640000000000008</v>
      </c>
      <c r="I3173">
        <v>12.000000000000011</v>
      </c>
      <c r="J3173" t="s">
        <v>20</v>
      </c>
    </row>
    <row r="3174" spans="1:10" x14ac:dyDescent="0.2">
      <c r="A3174">
        <v>13173</v>
      </c>
      <c r="B3174" t="s">
        <v>8</v>
      </c>
      <c r="C3174" t="s">
        <v>9</v>
      </c>
      <c r="D3174">
        <v>5.44</v>
      </c>
      <c r="E3174">
        <v>8</v>
      </c>
      <c r="F3174" t="s">
        <v>16</v>
      </c>
      <c r="G3174">
        <v>60</v>
      </c>
      <c r="H3174">
        <v>8.7040000000000006</v>
      </c>
      <c r="I3174">
        <v>60.000000000000007</v>
      </c>
      <c r="J3174" t="s">
        <v>20</v>
      </c>
    </row>
    <row r="3175" spans="1:10" x14ac:dyDescent="0.2">
      <c r="A3175">
        <v>13174</v>
      </c>
      <c r="B3175" t="s">
        <v>10</v>
      </c>
      <c r="C3175" t="s">
        <v>9</v>
      </c>
      <c r="D3175">
        <v>7.41</v>
      </c>
      <c r="E3175">
        <v>6</v>
      </c>
      <c r="F3175" t="s">
        <v>15</v>
      </c>
      <c r="G3175">
        <v>30</v>
      </c>
      <c r="H3175">
        <v>9.6330000000000009</v>
      </c>
      <c r="I3175">
        <v>30.000000000000004</v>
      </c>
      <c r="J3175" t="s">
        <v>20</v>
      </c>
    </row>
    <row r="3176" spans="1:10" x14ac:dyDescent="0.2">
      <c r="A3176">
        <v>13175</v>
      </c>
      <c r="B3176" t="s">
        <v>5</v>
      </c>
      <c r="C3176" t="s">
        <v>6</v>
      </c>
      <c r="D3176">
        <v>4.79</v>
      </c>
      <c r="E3176">
        <v>8</v>
      </c>
      <c r="F3176" t="s">
        <v>16</v>
      </c>
      <c r="G3176">
        <v>55</v>
      </c>
      <c r="H3176">
        <v>7.4245000000000001</v>
      </c>
      <c r="I3176">
        <v>55.000000000000007</v>
      </c>
      <c r="J3176" t="s">
        <v>20</v>
      </c>
    </row>
    <row r="3177" spans="1:10" x14ac:dyDescent="0.2">
      <c r="A3177">
        <v>13176</v>
      </c>
      <c r="B3177" t="s">
        <v>10</v>
      </c>
      <c r="C3177" t="s">
        <v>6</v>
      </c>
      <c r="D3177">
        <v>7.97</v>
      </c>
      <c r="E3177">
        <v>7</v>
      </c>
      <c r="F3177" t="s">
        <v>15</v>
      </c>
      <c r="G3177">
        <v>28</v>
      </c>
      <c r="H3177">
        <v>10.201599999999999</v>
      </c>
      <c r="I3177">
        <v>28.000000000000004</v>
      </c>
      <c r="J3177" t="s">
        <v>20</v>
      </c>
    </row>
    <row r="3178" spans="1:10" x14ac:dyDescent="0.2">
      <c r="A3178">
        <v>13177</v>
      </c>
      <c r="B3178" t="s">
        <v>10</v>
      </c>
      <c r="C3178" t="s">
        <v>11</v>
      </c>
      <c r="D3178">
        <v>2.9</v>
      </c>
      <c r="E3178">
        <v>3</v>
      </c>
      <c r="F3178" t="s">
        <v>14</v>
      </c>
      <c r="G3178">
        <v>10</v>
      </c>
      <c r="H3178">
        <v>3.19</v>
      </c>
      <c r="I3178">
        <v>10.000000000000009</v>
      </c>
      <c r="J3178" t="s">
        <v>20</v>
      </c>
    </row>
    <row r="3179" spans="1:10" x14ac:dyDescent="0.2">
      <c r="A3179">
        <v>13178</v>
      </c>
      <c r="B3179" t="s">
        <v>8</v>
      </c>
      <c r="C3179" t="s">
        <v>11</v>
      </c>
      <c r="D3179">
        <v>14.68</v>
      </c>
      <c r="E3179">
        <v>8</v>
      </c>
      <c r="F3179" t="s">
        <v>16</v>
      </c>
      <c r="G3179">
        <v>50</v>
      </c>
      <c r="H3179">
        <v>22.02</v>
      </c>
      <c r="I3179">
        <v>50</v>
      </c>
      <c r="J3179" t="s">
        <v>20</v>
      </c>
    </row>
    <row r="3180" spans="1:10" x14ac:dyDescent="0.2">
      <c r="A3180">
        <v>13179</v>
      </c>
      <c r="B3180" t="s">
        <v>5</v>
      </c>
      <c r="C3180" t="s">
        <v>9</v>
      </c>
      <c r="D3180">
        <v>2.06</v>
      </c>
      <c r="E3180">
        <v>10</v>
      </c>
      <c r="F3180" t="s">
        <v>16</v>
      </c>
      <c r="G3180">
        <v>60</v>
      </c>
      <c r="H3180">
        <v>3.2960000000000003</v>
      </c>
      <c r="I3180">
        <v>60.000000000000007</v>
      </c>
      <c r="J3180" t="s">
        <v>20</v>
      </c>
    </row>
    <row r="3181" spans="1:10" x14ac:dyDescent="0.2">
      <c r="A3181">
        <v>13180</v>
      </c>
      <c r="B3181" t="s">
        <v>8</v>
      </c>
      <c r="C3181" t="s">
        <v>11</v>
      </c>
      <c r="D3181">
        <v>14.01</v>
      </c>
      <c r="E3181">
        <v>1</v>
      </c>
      <c r="F3181" t="s">
        <v>14</v>
      </c>
      <c r="G3181">
        <v>10</v>
      </c>
      <c r="H3181">
        <v>15.411000000000001</v>
      </c>
      <c r="I3181">
        <v>10.000000000000009</v>
      </c>
      <c r="J3181" t="s">
        <v>20</v>
      </c>
    </row>
    <row r="3182" spans="1:10" x14ac:dyDescent="0.2">
      <c r="A3182">
        <v>13181</v>
      </c>
      <c r="B3182" t="s">
        <v>8</v>
      </c>
      <c r="C3182" t="s">
        <v>11</v>
      </c>
      <c r="D3182">
        <v>13.75</v>
      </c>
      <c r="E3182">
        <v>1</v>
      </c>
      <c r="F3182" t="s">
        <v>14</v>
      </c>
      <c r="G3182">
        <v>10</v>
      </c>
      <c r="H3182">
        <v>15.125000000000002</v>
      </c>
      <c r="I3182">
        <v>10.000000000000009</v>
      </c>
      <c r="J3182" t="s">
        <v>20</v>
      </c>
    </row>
    <row r="3183" spans="1:10" x14ac:dyDescent="0.2">
      <c r="A3183">
        <v>13182</v>
      </c>
      <c r="B3183" t="s">
        <v>5</v>
      </c>
      <c r="C3183" t="s">
        <v>6</v>
      </c>
      <c r="D3183">
        <v>8.1199999999999992</v>
      </c>
      <c r="E3183">
        <v>10</v>
      </c>
      <c r="F3183" t="s">
        <v>16</v>
      </c>
      <c r="G3183">
        <v>55</v>
      </c>
      <c r="H3183">
        <v>12.585999999999999</v>
      </c>
      <c r="I3183">
        <v>55.000000000000007</v>
      </c>
      <c r="J3183" t="s">
        <v>20</v>
      </c>
    </row>
    <row r="3184" spans="1:10" x14ac:dyDescent="0.2">
      <c r="A3184">
        <v>13183</v>
      </c>
      <c r="B3184" t="s">
        <v>5</v>
      </c>
      <c r="C3184" t="s">
        <v>11</v>
      </c>
      <c r="D3184">
        <v>11.01</v>
      </c>
      <c r="E3184">
        <v>8</v>
      </c>
      <c r="F3184" t="s">
        <v>16</v>
      </c>
      <c r="G3184">
        <v>50</v>
      </c>
      <c r="H3184">
        <v>16.515000000000001</v>
      </c>
      <c r="I3184">
        <v>50</v>
      </c>
      <c r="J3184" t="s">
        <v>20</v>
      </c>
    </row>
    <row r="3185" spans="1:10" x14ac:dyDescent="0.2">
      <c r="A3185">
        <v>13184</v>
      </c>
      <c r="B3185" t="s">
        <v>7</v>
      </c>
      <c r="C3185" t="s">
        <v>9</v>
      </c>
      <c r="D3185">
        <v>6.82</v>
      </c>
      <c r="E3185">
        <v>9</v>
      </c>
      <c r="F3185" t="s">
        <v>16</v>
      </c>
      <c r="G3185">
        <v>60</v>
      </c>
      <c r="H3185">
        <v>10.912000000000001</v>
      </c>
      <c r="I3185">
        <v>60.000000000000007</v>
      </c>
      <c r="J3185" t="s">
        <v>20</v>
      </c>
    </row>
    <row r="3186" spans="1:10" x14ac:dyDescent="0.2">
      <c r="A3186">
        <v>13185</v>
      </c>
      <c r="B3186" t="s">
        <v>7</v>
      </c>
      <c r="C3186" t="s">
        <v>11</v>
      </c>
      <c r="D3186">
        <v>9.64</v>
      </c>
      <c r="E3186">
        <v>10</v>
      </c>
      <c r="F3186" t="s">
        <v>16</v>
      </c>
      <c r="G3186">
        <v>50</v>
      </c>
      <c r="H3186">
        <v>14.46</v>
      </c>
      <c r="I3186">
        <v>50</v>
      </c>
      <c r="J3186" t="s">
        <v>20</v>
      </c>
    </row>
    <row r="3187" spans="1:10" x14ac:dyDescent="0.2">
      <c r="A3187">
        <v>13186</v>
      </c>
      <c r="B3187" t="s">
        <v>10</v>
      </c>
      <c r="C3187" t="s">
        <v>9</v>
      </c>
      <c r="D3187">
        <v>5.44</v>
      </c>
      <c r="E3187">
        <v>6</v>
      </c>
      <c r="F3187" t="s">
        <v>15</v>
      </c>
      <c r="G3187">
        <v>30</v>
      </c>
      <c r="H3187">
        <v>7.072000000000001</v>
      </c>
      <c r="I3187">
        <v>30.000000000000004</v>
      </c>
      <c r="J3187" t="s">
        <v>20</v>
      </c>
    </row>
    <row r="3188" spans="1:10" x14ac:dyDescent="0.2">
      <c r="A3188">
        <v>13187</v>
      </c>
      <c r="B3188" t="s">
        <v>5</v>
      </c>
      <c r="C3188" t="s">
        <v>6</v>
      </c>
      <c r="D3188">
        <v>4.87</v>
      </c>
      <c r="E3188">
        <v>5</v>
      </c>
      <c r="F3188" t="s">
        <v>15</v>
      </c>
      <c r="G3188">
        <v>28</v>
      </c>
      <c r="H3188">
        <v>6.2336</v>
      </c>
      <c r="I3188">
        <v>28.000000000000004</v>
      </c>
      <c r="J3188" t="s">
        <v>20</v>
      </c>
    </row>
    <row r="3189" spans="1:10" x14ac:dyDescent="0.2">
      <c r="A3189">
        <v>13188</v>
      </c>
      <c r="B3189" t="s">
        <v>7</v>
      </c>
      <c r="C3189" t="s">
        <v>9</v>
      </c>
      <c r="D3189">
        <v>8.8800000000000008</v>
      </c>
      <c r="E3189">
        <v>2</v>
      </c>
      <c r="F3189" t="s">
        <v>14</v>
      </c>
      <c r="G3189">
        <v>15</v>
      </c>
      <c r="H3189">
        <v>10.212</v>
      </c>
      <c r="I3189">
        <v>14.999999999999991</v>
      </c>
      <c r="J3189" t="s">
        <v>20</v>
      </c>
    </row>
    <row r="3190" spans="1:10" x14ac:dyDescent="0.2">
      <c r="A3190">
        <v>13189</v>
      </c>
      <c r="B3190" t="s">
        <v>10</v>
      </c>
      <c r="C3190" t="s">
        <v>11</v>
      </c>
      <c r="D3190">
        <v>7.72</v>
      </c>
      <c r="E3190">
        <v>9</v>
      </c>
      <c r="F3190" t="s">
        <v>16</v>
      </c>
      <c r="G3190">
        <v>50</v>
      </c>
      <c r="H3190">
        <v>11.58</v>
      </c>
      <c r="I3190">
        <v>50</v>
      </c>
      <c r="J3190" t="s">
        <v>20</v>
      </c>
    </row>
    <row r="3191" spans="1:10" x14ac:dyDescent="0.2">
      <c r="A3191">
        <v>13190</v>
      </c>
      <c r="B3191" t="s">
        <v>10</v>
      </c>
      <c r="C3191" t="s">
        <v>6</v>
      </c>
      <c r="D3191">
        <v>8.9</v>
      </c>
      <c r="E3191">
        <v>6</v>
      </c>
      <c r="F3191" t="s">
        <v>15</v>
      </c>
      <c r="G3191">
        <v>28</v>
      </c>
      <c r="H3191">
        <v>11.392000000000001</v>
      </c>
      <c r="I3191">
        <v>28.000000000000004</v>
      </c>
      <c r="J3191" t="s">
        <v>20</v>
      </c>
    </row>
    <row r="3192" spans="1:10" x14ac:dyDescent="0.2">
      <c r="A3192">
        <v>13191</v>
      </c>
      <c r="B3192" t="s">
        <v>10</v>
      </c>
      <c r="C3192" t="s">
        <v>11</v>
      </c>
      <c r="D3192">
        <v>4.66</v>
      </c>
      <c r="E3192">
        <v>8</v>
      </c>
      <c r="F3192" t="s">
        <v>16</v>
      </c>
      <c r="G3192">
        <v>50</v>
      </c>
      <c r="H3192">
        <v>6.99</v>
      </c>
      <c r="I3192">
        <v>50</v>
      </c>
      <c r="J3192" t="s">
        <v>20</v>
      </c>
    </row>
    <row r="3193" spans="1:10" x14ac:dyDescent="0.2">
      <c r="A3193">
        <v>13192</v>
      </c>
      <c r="B3193" t="s">
        <v>7</v>
      </c>
      <c r="C3193" t="s">
        <v>6</v>
      </c>
      <c r="D3193">
        <v>5.82</v>
      </c>
      <c r="E3193">
        <v>9</v>
      </c>
      <c r="F3193" t="s">
        <v>16</v>
      </c>
      <c r="G3193">
        <v>55</v>
      </c>
      <c r="H3193">
        <v>9.0210000000000008</v>
      </c>
      <c r="I3193">
        <v>55.000000000000007</v>
      </c>
      <c r="J3193" t="s">
        <v>20</v>
      </c>
    </row>
    <row r="3194" spans="1:10" x14ac:dyDescent="0.2">
      <c r="A3194">
        <v>13193</v>
      </c>
      <c r="B3194" t="s">
        <v>5</v>
      </c>
      <c r="C3194" t="s">
        <v>6</v>
      </c>
      <c r="D3194">
        <v>1.72</v>
      </c>
      <c r="E3194">
        <v>9</v>
      </c>
      <c r="F3194" t="s">
        <v>16</v>
      </c>
      <c r="G3194">
        <v>55</v>
      </c>
      <c r="H3194">
        <v>2.6659999999999999</v>
      </c>
      <c r="I3194">
        <v>55.000000000000007</v>
      </c>
      <c r="J3194" t="s">
        <v>20</v>
      </c>
    </row>
    <row r="3195" spans="1:10" x14ac:dyDescent="0.2">
      <c r="A3195">
        <v>13194</v>
      </c>
      <c r="B3195" t="s">
        <v>8</v>
      </c>
      <c r="C3195" t="s">
        <v>11</v>
      </c>
      <c r="D3195">
        <v>1.26</v>
      </c>
      <c r="E3195">
        <v>8</v>
      </c>
      <c r="F3195" t="s">
        <v>16</v>
      </c>
      <c r="G3195">
        <v>50</v>
      </c>
      <c r="H3195">
        <v>1.8900000000000001</v>
      </c>
      <c r="I3195">
        <v>50</v>
      </c>
      <c r="J3195" t="s">
        <v>20</v>
      </c>
    </row>
    <row r="3196" spans="1:10" x14ac:dyDescent="0.2">
      <c r="A3196">
        <v>13195</v>
      </c>
      <c r="B3196" t="s">
        <v>10</v>
      </c>
      <c r="C3196" t="s">
        <v>11</v>
      </c>
      <c r="D3196">
        <v>4.18</v>
      </c>
      <c r="E3196">
        <v>10</v>
      </c>
      <c r="F3196" t="s">
        <v>16</v>
      </c>
      <c r="G3196">
        <v>50</v>
      </c>
      <c r="H3196">
        <v>6.27</v>
      </c>
      <c r="I3196">
        <v>50</v>
      </c>
      <c r="J3196" t="s">
        <v>20</v>
      </c>
    </row>
    <row r="3197" spans="1:10" x14ac:dyDescent="0.2">
      <c r="A3197">
        <v>13196</v>
      </c>
      <c r="B3197" t="s">
        <v>7</v>
      </c>
      <c r="C3197" t="s">
        <v>6</v>
      </c>
      <c r="D3197">
        <v>1.58</v>
      </c>
      <c r="E3197">
        <v>8</v>
      </c>
      <c r="F3197" t="s">
        <v>16</v>
      </c>
      <c r="G3197">
        <v>55</v>
      </c>
      <c r="H3197">
        <v>2.4490000000000003</v>
      </c>
      <c r="I3197">
        <v>55.000000000000007</v>
      </c>
      <c r="J3197" t="s">
        <v>20</v>
      </c>
    </row>
    <row r="3198" spans="1:10" x14ac:dyDescent="0.2">
      <c r="A3198">
        <v>13197</v>
      </c>
      <c r="B3198" t="s">
        <v>7</v>
      </c>
      <c r="C3198" t="s">
        <v>6</v>
      </c>
      <c r="D3198">
        <v>2</v>
      </c>
      <c r="E3198">
        <v>3</v>
      </c>
      <c r="F3198" t="s">
        <v>14</v>
      </c>
      <c r="G3198">
        <v>12</v>
      </c>
      <c r="H3198">
        <v>2.2400000000000002</v>
      </c>
      <c r="I3198">
        <v>12.000000000000011</v>
      </c>
      <c r="J3198" t="s">
        <v>20</v>
      </c>
    </row>
    <row r="3199" spans="1:10" x14ac:dyDescent="0.2">
      <c r="A3199">
        <v>13198</v>
      </c>
      <c r="B3199" t="s">
        <v>8</v>
      </c>
      <c r="C3199" t="s">
        <v>11</v>
      </c>
      <c r="D3199">
        <v>12.29</v>
      </c>
      <c r="E3199">
        <v>3</v>
      </c>
      <c r="F3199" t="s">
        <v>14</v>
      </c>
      <c r="G3199">
        <v>10</v>
      </c>
      <c r="H3199">
        <v>13.519</v>
      </c>
      <c r="I3199">
        <v>10.000000000000009</v>
      </c>
      <c r="J3199" t="s">
        <v>20</v>
      </c>
    </row>
    <row r="3200" spans="1:10" x14ac:dyDescent="0.2">
      <c r="A3200">
        <v>13199</v>
      </c>
      <c r="B3200" t="s">
        <v>8</v>
      </c>
      <c r="C3200" t="s">
        <v>9</v>
      </c>
      <c r="D3200">
        <v>1.06</v>
      </c>
      <c r="E3200">
        <v>2</v>
      </c>
      <c r="F3200" t="s">
        <v>14</v>
      </c>
      <c r="G3200">
        <v>15</v>
      </c>
      <c r="H3200">
        <v>1.2189999999999999</v>
      </c>
      <c r="I3200">
        <v>14.999999999999991</v>
      </c>
      <c r="J3200" t="s">
        <v>20</v>
      </c>
    </row>
    <row r="3201" spans="1:10" x14ac:dyDescent="0.2">
      <c r="A3201">
        <v>13200</v>
      </c>
      <c r="B3201" t="s">
        <v>7</v>
      </c>
      <c r="C3201" t="s">
        <v>11</v>
      </c>
      <c r="D3201">
        <v>10.050000000000001</v>
      </c>
      <c r="E3201">
        <v>1</v>
      </c>
      <c r="F3201" t="s">
        <v>14</v>
      </c>
      <c r="G3201">
        <v>10</v>
      </c>
      <c r="H3201">
        <v>11.055000000000001</v>
      </c>
      <c r="I3201">
        <v>10.000000000000009</v>
      </c>
      <c r="J3201" t="s">
        <v>20</v>
      </c>
    </row>
    <row r="3202" spans="1:10" x14ac:dyDescent="0.2">
      <c r="A3202">
        <v>13201</v>
      </c>
      <c r="B3202" t="s">
        <v>5</v>
      </c>
      <c r="C3202" t="s">
        <v>6</v>
      </c>
      <c r="D3202">
        <v>4.45</v>
      </c>
      <c r="E3202">
        <v>4</v>
      </c>
      <c r="F3202" t="s">
        <v>15</v>
      </c>
      <c r="G3202">
        <v>28</v>
      </c>
      <c r="H3202">
        <v>5.6960000000000006</v>
      </c>
      <c r="I3202">
        <v>28.000000000000004</v>
      </c>
      <c r="J3202" t="s">
        <v>20</v>
      </c>
    </row>
    <row r="3203" spans="1:10" x14ac:dyDescent="0.2">
      <c r="A3203">
        <v>13202</v>
      </c>
      <c r="B3203" t="s">
        <v>8</v>
      </c>
      <c r="C3203" t="s">
        <v>11</v>
      </c>
      <c r="D3203">
        <v>13.14</v>
      </c>
      <c r="E3203">
        <v>2</v>
      </c>
      <c r="F3203" t="s">
        <v>14</v>
      </c>
      <c r="G3203">
        <v>10</v>
      </c>
      <c r="H3203">
        <v>14.454000000000002</v>
      </c>
      <c r="I3203">
        <v>10.000000000000009</v>
      </c>
      <c r="J3203" t="s">
        <v>20</v>
      </c>
    </row>
    <row r="3204" spans="1:10" x14ac:dyDescent="0.2">
      <c r="A3204">
        <v>13203</v>
      </c>
      <c r="B3204" t="s">
        <v>7</v>
      </c>
      <c r="C3204" t="s">
        <v>9</v>
      </c>
      <c r="D3204">
        <v>7.53</v>
      </c>
      <c r="E3204">
        <v>2</v>
      </c>
      <c r="F3204" t="s">
        <v>14</v>
      </c>
      <c r="G3204">
        <v>15</v>
      </c>
      <c r="H3204">
        <v>8.6594999999999995</v>
      </c>
      <c r="I3204">
        <v>14.999999999999991</v>
      </c>
      <c r="J3204" t="s">
        <v>20</v>
      </c>
    </row>
    <row r="3205" spans="1:10" x14ac:dyDescent="0.2">
      <c r="A3205">
        <v>13204</v>
      </c>
      <c r="B3205" t="s">
        <v>8</v>
      </c>
      <c r="C3205" t="s">
        <v>11</v>
      </c>
      <c r="D3205">
        <v>4.93</v>
      </c>
      <c r="E3205">
        <v>5</v>
      </c>
      <c r="F3205" t="s">
        <v>15</v>
      </c>
      <c r="G3205">
        <v>25</v>
      </c>
      <c r="H3205">
        <v>6.1624999999999996</v>
      </c>
      <c r="I3205">
        <v>25</v>
      </c>
      <c r="J3205" t="s">
        <v>20</v>
      </c>
    </row>
    <row r="3206" spans="1:10" x14ac:dyDescent="0.2">
      <c r="A3206">
        <v>13205</v>
      </c>
      <c r="B3206" t="s">
        <v>5</v>
      </c>
      <c r="C3206" t="s">
        <v>6</v>
      </c>
      <c r="D3206">
        <v>8.01</v>
      </c>
      <c r="E3206">
        <v>4</v>
      </c>
      <c r="F3206" t="s">
        <v>15</v>
      </c>
      <c r="G3206">
        <v>28</v>
      </c>
      <c r="H3206">
        <v>10.252800000000001</v>
      </c>
      <c r="I3206">
        <v>28.000000000000004</v>
      </c>
      <c r="J3206" t="s">
        <v>20</v>
      </c>
    </row>
    <row r="3207" spans="1:10" x14ac:dyDescent="0.2">
      <c r="A3207">
        <v>13206</v>
      </c>
      <c r="B3207" t="s">
        <v>10</v>
      </c>
      <c r="C3207" t="s">
        <v>11</v>
      </c>
      <c r="D3207">
        <v>6.04</v>
      </c>
      <c r="E3207">
        <v>1</v>
      </c>
      <c r="F3207" t="s">
        <v>14</v>
      </c>
      <c r="G3207">
        <v>10</v>
      </c>
      <c r="H3207">
        <v>6.644000000000001</v>
      </c>
      <c r="I3207">
        <v>10.000000000000009</v>
      </c>
      <c r="J3207" t="s">
        <v>20</v>
      </c>
    </row>
    <row r="3208" spans="1:10" x14ac:dyDescent="0.2">
      <c r="A3208">
        <v>13207</v>
      </c>
      <c r="B3208" t="s">
        <v>8</v>
      </c>
      <c r="C3208" t="s">
        <v>6</v>
      </c>
      <c r="D3208">
        <v>8.68</v>
      </c>
      <c r="E3208">
        <v>9</v>
      </c>
      <c r="F3208" t="s">
        <v>16</v>
      </c>
      <c r="G3208">
        <v>55</v>
      </c>
      <c r="H3208">
        <v>13.454000000000001</v>
      </c>
      <c r="I3208">
        <v>55.000000000000007</v>
      </c>
      <c r="J3208" t="s">
        <v>20</v>
      </c>
    </row>
    <row r="3209" spans="1:10" x14ac:dyDescent="0.2">
      <c r="A3209">
        <v>13208</v>
      </c>
      <c r="B3209" t="s">
        <v>5</v>
      </c>
      <c r="C3209" t="s">
        <v>6</v>
      </c>
      <c r="D3209">
        <v>2.16</v>
      </c>
      <c r="E3209">
        <v>4</v>
      </c>
      <c r="F3209" t="s">
        <v>15</v>
      </c>
      <c r="G3209">
        <v>28</v>
      </c>
      <c r="H3209">
        <v>2.7648000000000001</v>
      </c>
      <c r="I3209">
        <v>28.000000000000004</v>
      </c>
      <c r="J3209" t="s">
        <v>20</v>
      </c>
    </row>
    <row r="3210" spans="1:10" x14ac:dyDescent="0.2">
      <c r="A3210">
        <v>13209</v>
      </c>
      <c r="B3210" t="s">
        <v>7</v>
      </c>
      <c r="C3210" t="s">
        <v>11</v>
      </c>
      <c r="D3210">
        <v>14.96</v>
      </c>
      <c r="E3210">
        <v>5</v>
      </c>
      <c r="F3210" t="s">
        <v>15</v>
      </c>
      <c r="G3210">
        <v>25</v>
      </c>
      <c r="H3210">
        <v>18.700000000000003</v>
      </c>
      <c r="I3210">
        <v>25.000000000000021</v>
      </c>
      <c r="J3210" t="s">
        <v>20</v>
      </c>
    </row>
    <row r="3211" spans="1:10" x14ac:dyDescent="0.2">
      <c r="A3211">
        <v>13210</v>
      </c>
      <c r="B3211" t="s">
        <v>8</v>
      </c>
      <c r="C3211" t="s">
        <v>6</v>
      </c>
      <c r="D3211">
        <v>6.67</v>
      </c>
      <c r="E3211">
        <v>7</v>
      </c>
      <c r="F3211" t="s">
        <v>15</v>
      </c>
      <c r="G3211">
        <v>28</v>
      </c>
      <c r="H3211">
        <v>8.5375999999999994</v>
      </c>
      <c r="I3211">
        <v>28.000000000000004</v>
      </c>
      <c r="J3211" t="s">
        <v>20</v>
      </c>
    </row>
    <row r="3212" spans="1:10" x14ac:dyDescent="0.2">
      <c r="A3212">
        <v>13211</v>
      </c>
      <c r="B3212" t="s">
        <v>8</v>
      </c>
      <c r="C3212" t="s">
        <v>6</v>
      </c>
      <c r="D3212">
        <v>5.55</v>
      </c>
      <c r="E3212">
        <v>2</v>
      </c>
      <c r="F3212" t="s">
        <v>14</v>
      </c>
      <c r="G3212">
        <v>12</v>
      </c>
      <c r="H3212">
        <v>6.2160000000000002</v>
      </c>
      <c r="I3212">
        <v>12.000000000000011</v>
      </c>
      <c r="J3212" t="s">
        <v>20</v>
      </c>
    </row>
    <row r="3213" spans="1:10" x14ac:dyDescent="0.2">
      <c r="A3213">
        <v>13212</v>
      </c>
      <c r="B3213" t="s">
        <v>7</v>
      </c>
      <c r="C3213" t="s">
        <v>9</v>
      </c>
      <c r="D3213">
        <v>10.8</v>
      </c>
      <c r="E3213">
        <v>8</v>
      </c>
      <c r="F3213" t="s">
        <v>16</v>
      </c>
      <c r="G3213">
        <v>60</v>
      </c>
      <c r="H3213">
        <v>17.28</v>
      </c>
      <c r="I3213">
        <v>60.000000000000007</v>
      </c>
      <c r="J3213" t="s">
        <v>20</v>
      </c>
    </row>
    <row r="3214" spans="1:10" x14ac:dyDescent="0.2">
      <c r="A3214">
        <v>13213</v>
      </c>
      <c r="B3214" t="s">
        <v>10</v>
      </c>
      <c r="C3214" t="s">
        <v>9</v>
      </c>
      <c r="D3214">
        <v>5.78</v>
      </c>
      <c r="E3214">
        <v>2</v>
      </c>
      <c r="F3214" t="s">
        <v>14</v>
      </c>
      <c r="G3214">
        <v>15</v>
      </c>
      <c r="H3214">
        <v>6.6469999999999994</v>
      </c>
      <c r="I3214">
        <v>14.999999999999991</v>
      </c>
      <c r="J3214" t="s">
        <v>20</v>
      </c>
    </row>
    <row r="3215" spans="1:10" x14ac:dyDescent="0.2">
      <c r="A3215">
        <v>13214</v>
      </c>
      <c r="B3215" t="s">
        <v>7</v>
      </c>
      <c r="C3215" t="s">
        <v>9</v>
      </c>
      <c r="D3215">
        <v>12.58</v>
      </c>
      <c r="E3215">
        <v>10</v>
      </c>
      <c r="F3215" t="s">
        <v>16</v>
      </c>
      <c r="G3215">
        <v>60</v>
      </c>
      <c r="H3215">
        <v>20.128</v>
      </c>
      <c r="I3215">
        <v>60.000000000000007</v>
      </c>
      <c r="J3215" t="s">
        <v>20</v>
      </c>
    </row>
    <row r="3216" spans="1:10" x14ac:dyDescent="0.2">
      <c r="A3216">
        <v>13215</v>
      </c>
      <c r="B3216" t="s">
        <v>8</v>
      </c>
      <c r="C3216" t="s">
        <v>9</v>
      </c>
      <c r="D3216">
        <v>7.09</v>
      </c>
      <c r="E3216">
        <v>5</v>
      </c>
      <c r="F3216" t="s">
        <v>15</v>
      </c>
      <c r="G3216">
        <v>30</v>
      </c>
      <c r="H3216">
        <v>9.2170000000000005</v>
      </c>
      <c r="I3216">
        <v>30.000000000000004</v>
      </c>
      <c r="J3216" t="s">
        <v>20</v>
      </c>
    </row>
    <row r="3217" spans="1:10" x14ac:dyDescent="0.2">
      <c r="A3217">
        <v>13216</v>
      </c>
      <c r="B3217" t="s">
        <v>7</v>
      </c>
      <c r="C3217" t="s">
        <v>6</v>
      </c>
      <c r="D3217">
        <v>10.93</v>
      </c>
      <c r="E3217">
        <v>2</v>
      </c>
      <c r="F3217" t="s">
        <v>14</v>
      </c>
      <c r="G3217">
        <v>12</v>
      </c>
      <c r="H3217">
        <v>12.2416</v>
      </c>
      <c r="I3217">
        <v>12.000000000000011</v>
      </c>
      <c r="J3217" t="s">
        <v>20</v>
      </c>
    </row>
    <row r="3218" spans="1:10" x14ac:dyDescent="0.2">
      <c r="A3218">
        <v>13217</v>
      </c>
      <c r="B3218" t="s">
        <v>5</v>
      </c>
      <c r="C3218" t="s">
        <v>11</v>
      </c>
      <c r="D3218">
        <v>2.06</v>
      </c>
      <c r="E3218">
        <v>2</v>
      </c>
      <c r="F3218" t="s">
        <v>14</v>
      </c>
      <c r="G3218">
        <v>10</v>
      </c>
      <c r="H3218">
        <v>2.2660000000000005</v>
      </c>
      <c r="I3218">
        <v>10.000000000000009</v>
      </c>
      <c r="J3218" t="s">
        <v>20</v>
      </c>
    </row>
    <row r="3219" spans="1:10" x14ac:dyDescent="0.2">
      <c r="A3219">
        <v>13218</v>
      </c>
      <c r="B3219" t="s">
        <v>7</v>
      </c>
      <c r="C3219" t="s">
        <v>6</v>
      </c>
      <c r="D3219">
        <v>12.77</v>
      </c>
      <c r="E3219">
        <v>4</v>
      </c>
      <c r="F3219" t="s">
        <v>15</v>
      </c>
      <c r="G3219">
        <v>28</v>
      </c>
      <c r="H3219">
        <v>16.345600000000001</v>
      </c>
      <c r="I3219">
        <v>28.000000000000004</v>
      </c>
      <c r="J3219" t="s">
        <v>20</v>
      </c>
    </row>
    <row r="3220" spans="1:10" x14ac:dyDescent="0.2">
      <c r="A3220">
        <v>13219</v>
      </c>
      <c r="B3220" t="s">
        <v>8</v>
      </c>
      <c r="C3220" t="s">
        <v>6</v>
      </c>
      <c r="D3220">
        <v>11.17</v>
      </c>
      <c r="E3220">
        <v>4</v>
      </c>
      <c r="F3220" t="s">
        <v>15</v>
      </c>
      <c r="G3220">
        <v>28</v>
      </c>
      <c r="H3220">
        <v>14.297600000000001</v>
      </c>
      <c r="I3220">
        <v>28.000000000000004</v>
      </c>
      <c r="J3220" t="s">
        <v>20</v>
      </c>
    </row>
    <row r="3221" spans="1:10" x14ac:dyDescent="0.2">
      <c r="A3221">
        <v>13220</v>
      </c>
      <c r="B3221" t="s">
        <v>7</v>
      </c>
      <c r="C3221" t="s">
        <v>6</v>
      </c>
      <c r="D3221">
        <v>3.57</v>
      </c>
      <c r="E3221">
        <v>8</v>
      </c>
      <c r="F3221" t="s">
        <v>16</v>
      </c>
      <c r="G3221">
        <v>55</v>
      </c>
      <c r="H3221">
        <v>5.5335000000000001</v>
      </c>
      <c r="I3221">
        <v>55.000000000000007</v>
      </c>
      <c r="J3221" t="s">
        <v>20</v>
      </c>
    </row>
    <row r="3222" spans="1:10" x14ac:dyDescent="0.2">
      <c r="A3222">
        <v>13221</v>
      </c>
      <c r="B3222" t="s">
        <v>10</v>
      </c>
      <c r="C3222" t="s">
        <v>11</v>
      </c>
      <c r="D3222">
        <v>2.61</v>
      </c>
      <c r="E3222">
        <v>6</v>
      </c>
      <c r="F3222" t="s">
        <v>15</v>
      </c>
      <c r="G3222">
        <v>25</v>
      </c>
      <c r="H3222">
        <v>3.2624999999999997</v>
      </c>
      <c r="I3222">
        <v>25</v>
      </c>
      <c r="J3222" t="s">
        <v>20</v>
      </c>
    </row>
    <row r="3223" spans="1:10" x14ac:dyDescent="0.2">
      <c r="A3223">
        <v>13222</v>
      </c>
      <c r="B3223" t="s">
        <v>7</v>
      </c>
      <c r="C3223" t="s">
        <v>9</v>
      </c>
      <c r="D3223">
        <v>5.09</v>
      </c>
      <c r="E3223">
        <v>10</v>
      </c>
      <c r="F3223" t="s">
        <v>16</v>
      </c>
      <c r="G3223">
        <v>60</v>
      </c>
      <c r="H3223">
        <v>8.1440000000000001</v>
      </c>
      <c r="I3223">
        <v>60.000000000000007</v>
      </c>
      <c r="J3223" t="s">
        <v>20</v>
      </c>
    </row>
    <row r="3224" spans="1:10" x14ac:dyDescent="0.2">
      <c r="A3224">
        <v>13223</v>
      </c>
      <c r="B3224" t="s">
        <v>10</v>
      </c>
      <c r="C3224" t="s">
        <v>6</v>
      </c>
      <c r="D3224">
        <v>14.65</v>
      </c>
      <c r="E3224">
        <v>8</v>
      </c>
      <c r="F3224" t="s">
        <v>16</v>
      </c>
      <c r="G3224">
        <v>55</v>
      </c>
      <c r="H3224">
        <v>22.7075</v>
      </c>
      <c r="I3224">
        <v>54.999999999999986</v>
      </c>
      <c r="J3224" t="s">
        <v>20</v>
      </c>
    </row>
    <row r="3225" spans="1:10" x14ac:dyDescent="0.2">
      <c r="A3225">
        <v>13224</v>
      </c>
      <c r="B3225" t="s">
        <v>5</v>
      </c>
      <c r="C3225" t="s">
        <v>6</v>
      </c>
      <c r="D3225">
        <v>4.22</v>
      </c>
      <c r="E3225">
        <v>7</v>
      </c>
      <c r="F3225" t="s">
        <v>15</v>
      </c>
      <c r="G3225">
        <v>28</v>
      </c>
      <c r="H3225">
        <v>5.4016000000000002</v>
      </c>
      <c r="I3225">
        <v>28.000000000000004</v>
      </c>
      <c r="J3225" t="s">
        <v>20</v>
      </c>
    </row>
    <row r="3226" spans="1:10" x14ac:dyDescent="0.2">
      <c r="A3226">
        <v>13225</v>
      </c>
      <c r="B3226" t="s">
        <v>10</v>
      </c>
      <c r="C3226" t="s">
        <v>9</v>
      </c>
      <c r="D3226">
        <v>7.11</v>
      </c>
      <c r="E3226">
        <v>10</v>
      </c>
      <c r="F3226" t="s">
        <v>16</v>
      </c>
      <c r="G3226">
        <v>60</v>
      </c>
      <c r="H3226">
        <v>11.376000000000001</v>
      </c>
      <c r="I3226">
        <v>60.000000000000007</v>
      </c>
      <c r="J3226" t="s">
        <v>20</v>
      </c>
    </row>
    <row r="3227" spans="1:10" x14ac:dyDescent="0.2">
      <c r="A3227">
        <v>13226</v>
      </c>
      <c r="B3227" t="s">
        <v>7</v>
      </c>
      <c r="C3227" t="s">
        <v>6</v>
      </c>
      <c r="D3227">
        <v>0.94</v>
      </c>
      <c r="E3227">
        <v>4</v>
      </c>
      <c r="F3227" t="s">
        <v>15</v>
      </c>
      <c r="G3227">
        <v>28</v>
      </c>
      <c r="H3227">
        <v>1.2032</v>
      </c>
      <c r="I3227">
        <v>28.000000000000004</v>
      </c>
      <c r="J3227" t="s">
        <v>20</v>
      </c>
    </row>
    <row r="3228" spans="1:10" x14ac:dyDescent="0.2">
      <c r="A3228">
        <v>13227</v>
      </c>
      <c r="B3228" t="s">
        <v>8</v>
      </c>
      <c r="C3228" t="s">
        <v>11</v>
      </c>
      <c r="D3228">
        <v>6.26</v>
      </c>
      <c r="E3228">
        <v>2</v>
      </c>
      <c r="F3228" t="s">
        <v>14</v>
      </c>
      <c r="G3228">
        <v>10</v>
      </c>
      <c r="H3228">
        <v>6.8860000000000001</v>
      </c>
      <c r="I3228">
        <v>10.000000000000009</v>
      </c>
      <c r="J3228" t="s">
        <v>20</v>
      </c>
    </row>
    <row r="3229" spans="1:10" x14ac:dyDescent="0.2">
      <c r="A3229">
        <v>13228</v>
      </c>
      <c r="B3229" t="s">
        <v>10</v>
      </c>
      <c r="C3229" t="s">
        <v>6</v>
      </c>
      <c r="D3229">
        <v>8.7799999999999994</v>
      </c>
      <c r="E3229">
        <v>9</v>
      </c>
      <c r="F3229" t="s">
        <v>16</v>
      </c>
      <c r="G3229">
        <v>55</v>
      </c>
      <c r="H3229">
        <v>13.609</v>
      </c>
      <c r="I3229">
        <v>55.000000000000007</v>
      </c>
      <c r="J3229" t="s">
        <v>20</v>
      </c>
    </row>
    <row r="3230" spans="1:10" x14ac:dyDescent="0.2">
      <c r="A3230">
        <v>13229</v>
      </c>
      <c r="B3230" t="s">
        <v>5</v>
      </c>
      <c r="C3230" t="s">
        <v>6</v>
      </c>
      <c r="D3230">
        <v>14.32</v>
      </c>
      <c r="E3230">
        <v>2</v>
      </c>
      <c r="F3230" t="s">
        <v>14</v>
      </c>
      <c r="G3230">
        <v>12</v>
      </c>
      <c r="H3230">
        <v>16.038400000000003</v>
      </c>
      <c r="I3230">
        <v>12.000000000000011</v>
      </c>
      <c r="J3230" t="s">
        <v>20</v>
      </c>
    </row>
    <row r="3231" spans="1:10" x14ac:dyDescent="0.2">
      <c r="A3231">
        <v>13230</v>
      </c>
      <c r="B3231" t="s">
        <v>10</v>
      </c>
      <c r="C3231" t="s">
        <v>9</v>
      </c>
      <c r="D3231">
        <v>7.99</v>
      </c>
      <c r="E3231">
        <v>1</v>
      </c>
      <c r="F3231" t="s">
        <v>14</v>
      </c>
      <c r="G3231">
        <v>15</v>
      </c>
      <c r="H3231">
        <v>9.1884999999999994</v>
      </c>
      <c r="I3231">
        <v>14.999999999999991</v>
      </c>
      <c r="J3231" t="s">
        <v>20</v>
      </c>
    </row>
    <row r="3232" spans="1:10" x14ac:dyDescent="0.2">
      <c r="A3232">
        <v>13231</v>
      </c>
      <c r="B3232" t="s">
        <v>10</v>
      </c>
      <c r="C3232" t="s">
        <v>6</v>
      </c>
      <c r="D3232">
        <v>12.38</v>
      </c>
      <c r="E3232">
        <v>8</v>
      </c>
      <c r="F3232" t="s">
        <v>16</v>
      </c>
      <c r="G3232">
        <v>55</v>
      </c>
      <c r="H3232">
        <v>19.189</v>
      </c>
      <c r="I3232">
        <v>54.999999999999986</v>
      </c>
      <c r="J3232" t="s">
        <v>20</v>
      </c>
    </row>
    <row r="3233" spans="1:10" x14ac:dyDescent="0.2">
      <c r="A3233">
        <v>13232</v>
      </c>
      <c r="B3233" t="s">
        <v>10</v>
      </c>
      <c r="C3233" t="s">
        <v>6</v>
      </c>
      <c r="D3233">
        <v>8.43</v>
      </c>
      <c r="E3233">
        <v>10</v>
      </c>
      <c r="F3233" t="s">
        <v>16</v>
      </c>
      <c r="G3233">
        <v>55</v>
      </c>
      <c r="H3233">
        <v>13.0665</v>
      </c>
      <c r="I3233">
        <v>55.000000000000007</v>
      </c>
      <c r="J3233" t="s">
        <v>20</v>
      </c>
    </row>
    <row r="3234" spans="1:10" x14ac:dyDescent="0.2">
      <c r="A3234">
        <v>13233</v>
      </c>
      <c r="B3234" t="s">
        <v>5</v>
      </c>
      <c r="C3234" t="s">
        <v>11</v>
      </c>
      <c r="D3234">
        <v>1.0900000000000001</v>
      </c>
      <c r="E3234">
        <v>9</v>
      </c>
      <c r="F3234" t="s">
        <v>16</v>
      </c>
      <c r="G3234">
        <v>50</v>
      </c>
      <c r="H3234">
        <v>1.6350000000000002</v>
      </c>
      <c r="I3234">
        <v>50</v>
      </c>
      <c r="J3234" t="s">
        <v>20</v>
      </c>
    </row>
    <row r="3235" spans="1:10" x14ac:dyDescent="0.2">
      <c r="A3235">
        <v>13234</v>
      </c>
      <c r="B3235" t="s">
        <v>7</v>
      </c>
      <c r="C3235" t="s">
        <v>9</v>
      </c>
      <c r="D3235">
        <v>5.07</v>
      </c>
      <c r="E3235">
        <v>1</v>
      </c>
      <c r="F3235" t="s">
        <v>14</v>
      </c>
      <c r="G3235">
        <v>15</v>
      </c>
      <c r="H3235">
        <v>5.8304999999999998</v>
      </c>
      <c r="I3235">
        <v>14.999999999999991</v>
      </c>
      <c r="J3235" t="s">
        <v>20</v>
      </c>
    </row>
    <row r="3236" spans="1:10" x14ac:dyDescent="0.2">
      <c r="A3236">
        <v>13235</v>
      </c>
      <c r="B3236" t="s">
        <v>10</v>
      </c>
      <c r="C3236" t="s">
        <v>9</v>
      </c>
      <c r="D3236">
        <v>8.85</v>
      </c>
      <c r="E3236">
        <v>7</v>
      </c>
      <c r="F3236" t="s">
        <v>15</v>
      </c>
      <c r="G3236">
        <v>30</v>
      </c>
      <c r="H3236">
        <v>11.505000000000001</v>
      </c>
      <c r="I3236">
        <v>30.000000000000004</v>
      </c>
      <c r="J3236" t="s">
        <v>20</v>
      </c>
    </row>
    <row r="3237" spans="1:10" x14ac:dyDescent="0.2">
      <c r="A3237">
        <v>13236</v>
      </c>
      <c r="B3237" t="s">
        <v>10</v>
      </c>
      <c r="C3237" t="s">
        <v>11</v>
      </c>
      <c r="D3237">
        <v>14.28</v>
      </c>
      <c r="E3237">
        <v>2</v>
      </c>
      <c r="F3237" t="s">
        <v>14</v>
      </c>
      <c r="G3237">
        <v>10</v>
      </c>
      <c r="H3237">
        <v>15.708</v>
      </c>
      <c r="I3237">
        <v>10.000000000000009</v>
      </c>
      <c r="J3237" t="s">
        <v>20</v>
      </c>
    </row>
    <row r="3238" spans="1:10" x14ac:dyDescent="0.2">
      <c r="A3238">
        <v>13237</v>
      </c>
      <c r="B3238" t="s">
        <v>8</v>
      </c>
      <c r="C3238" t="s">
        <v>6</v>
      </c>
      <c r="D3238">
        <v>12.96</v>
      </c>
      <c r="E3238">
        <v>6</v>
      </c>
      <c r="F3238" t="s">
        <v>15</v>
      </c>
      <c r="G3238">
        <v>28</v>
      </c>
      <c r="H3238">
        <v>16.588800000000003</v>
      </c>
      <c r="I3238">
        <v>28.000000000000004</v>
      </c>
      <c r="J3238" t="s">
        <v>20</v>
      </c>
    </row>
    <row r="3239" spans="1:10" x14ac:dyDescent="0.2">
      <c r="A3239">
        <v>13238</v>
      </c>
      <c r="B3239" t="s">
        <v>5</v>
      </c>
      <c r="C3239" t="s">
        <v>9</v>
      </c>
      <c r="D3239">
        <v>3.81</v>
      </c>
      <c r="E3239">
        <v>5</v>
      </c>
      <c r="F3239" t="s">
        <v>15</v>
      </c>
      <c r="G3239">
        <v>30</v>
      </c>
      <c r="H3239">
        <v>4.9530000000000003</v>
      </c>
      <c r="I3239">
        <v>30.000000000000004</v>
      </c>
      <c r="J3239" t="s">
        <v>20</v>
      </c>
    </row>
    <row r="3240" spans="1:10" x14ac:dyDescent="0.2">
      <c r="A3240">
        <v>13239</v>
      </c>
      <c r="B3240" t="s">
        <v>10</v>
      </c>
      <c r="C3240" t="s">
        <v>9</v>
      </c>
      <c r="D3240">
        <v>3.69</v>
      </c>
      <c r="E3240">
        <v>1</v>
      </c>
      <c r="F3240" t="s">
        <v>14</v>
      </c>
      <c r="G3240">
        <v>15</v>
      </c>
      <c r="H3240">
        <v>4.2435</v>
      </c>
      <c r="I3240">
        <v>15.000000000000014</v>
      </c>
      <c r="J3240" t="s">
        <v>20</v>
      </c>
    </row>
    <row r="3241" spans="1:10" x14ac:dyDescent="0.2">
      <c r="A3241">
        <v>13240</v>
      </c>
      <c r="B3241" t="s">
        <v>5</v>
      </c>
      <c r="C3241" t="s">
        <v>6</v>
      </c>
      <c r="D3241">
        <v>3.42</v>
      </c>
      <c r="E3241">
        <v>2</v>
      </c>
      <c r="F3241" t="s">
        <v>14</v>
      </c>
      <c r="G3241">
        <v>12</v>
      </c>
      <c r="H3241">
        <v>3.8304000000000005</v>
      </c>
      <c r="I3241">
        <v>12.000000000000011</v>
      </c>
      <c r="J3241" t="s">
        <v>20</v>
      </c>
    </row>
    <row r="3242" spans="1:10" x14ac:dyDescent="0.2">
      <c r="A3242">
        <v>13241</v>
      </c>
      <c r="B3242" t="s">
        <v>10</v>
      </c>
      <c r="C3242" t="s">
        <v>6</v>
      </c>
      <c r="D3242">
        <v>13.88</v>
      </c>
      <c r="E3242">
        <v>2</v>
      </c>
      <c r="F3242" t="s">
        <v>14</v>
      </c>
      <c r="G3242">
        <v>12</v>
      </c>
      <c r="H3242">
        <v>15.545600000000002</v>
      </c>
      <c r="I3242">
        <v>12.000000000000011</v>
      </c>
      <c r="J3242" t="s">
        <v>20</v>
      </c>
    </row>
    <row r="3243" spans="1:10" x14ac:dyDescent="0.2">
      <c r="A3243">
        <v>13242</v>
      </c>
      <c r="B3243" t="s">
        <v>7</v>
      </c>
      <c r="C3243" t="s">
        <v>9</v>
      </c>
      <c r="D3243">
        <v>12.86</v>
      </c>
      <c r="E3243">
        <v>10</v>
      </c>
      <c r="F3243" t="s">
        <v>16</v>
      </c>
      <c r="G3243">
        <v>60</v>
      </c>
      <c r="H3243">
        <v>20.576000000000001</v>
      </c>
      <c r="I3243">
        <v>60.000000000000007</v>
      </c>
      <c r="J3243" t="s">
        <v>20</v>
      </c>
    </row>
    <row r="3244" spans="1:10" x14ac:dyDescent="0.2">
      <c r="A3244">
        <v>13243</v>
      </c>
      <c r="B3244" t="s">
        <v>7</v>
      </c>
      <c r="C3244" t="s">
        <v>6</v>
      </c>
      <c r="D3244">
        <v>11.74</v>
      </c>
      <c r="E3244">
        <v>10</v>
      </c>
      <c r="F3244" t="s">
        <v>16</v>
      </c>
      <c r="G3244">
        <v>55</v>
      </c>
      <c r="H3244">
        <v>18.196999999999999</v>
      </c>
      <c r="I3244">
        <v>54.999999999999986</v>
      </c>
      <c r="J3244" t="s">
        <v>20</v>
      </c>
    </row>
    <row r="3245" spans="1:10" x14ac:dyDescent="0.2">
      <c r="A3245">
        <v>13244</v>
      </c>
      <c r="B3245" t="s">
        <v>10</v>
      </c>
      <c r="C3245" t="s">
        <v>9</v>
      </c>
      <c r="D3245">
        <v>6.19</v>
      </c>
      <c r="E3245">
        <v>6</v>
      </c>
      <c r="F3245" t="s">
        <v>15</v>
      </c>
      <c r="G3245">
        <v>30</v>
      </c>
      <c r="H3245">
        <v>8.0470000000000006</v>
      </c>
      <c r="I3245">
        <v>30.000000000000004</v>
      </c>
      <c r="J3245" t="s">
        <v>20</v>
      </c>
    </row>
    <row r="3246" spans="1:10" x14ac:dyDescent="0.2">
      <c r="A3246">
        <v>13245</v>
      </c>
      <c r="B3246" t="s">
        <v>7</v>
      </c>
      <c r="C3246" t="s">
        <v>6</v>
      </c>
      <c r="D3246">
        <v>7.81</v>
      </c>
      <c r="E3246">
        <v>1</v>
      </c>
      <c r="F3246" t="s">
        <v>14</v>
      </c>
      <c r="G3246">
        <v>12</v>
      </c>
      <c r="H3246">
        <v>8.7472000000000012</v>
      </c>
      <c r="I3246">
        <v>12.000000000000011</v>
      </c>
      <c r="J3246" t="s">
        <v>20</v>
      </c>
    </row>
    <row r="3247" spans="1:10" x14ac:dyDescent="0.2">
      <c r="A3247">
        <v>13246</v>
      </c>
      <c r="B3247" t="s">
        <v>10</v>
      </c>
      <c r="C3247" t="s">
        <v>6</v>
      </c>
      <c r="D3247">
        <v>7.23</v>
      </c>
      <c r="E3247">
        <v>4</v>
      </c>
      <c r="F3247" t="s">
        <v>15</v>
      </c>
      <c r="G3247">
        <v>28</v>
      </c>
      <c r="H3247">
        <v>9.2544000000000004</v>
      </c>
      <c r="I3247">
        <v>28.000000000000004</v>
      </c>
      <c r="J3247" t="s">
        <v>20</v>
      </c>
    </row>
    <row r="3248" spans="1:10" x14ac:dyDescent="0.2">
      <c r="A3248">
        <v>13247</v>
      </c>
      <c r="B3248" t="s">
        <v>7</v>
      </c>
      <c r="C3248" t="s">
        <v>11</v>
      </c>
      <c r="D3248">
        <v>4.17</v>
      </c>
      <c r="E3248">
        <v>10</v>
      </c>
      <c r="F3248" t="s">
        <v>16</v>
      </c>
      <c r="G3248">
        <v>50</v>
      </c>
      <c r="H3248">
        <v>6.2549999999999999</v>
      </c>
      <c r="I3248">
        <v>50</v>
      </c>
      <c r="J3248" t="s">
        <v>20</v>
      </c>
    </row>
    <row r="3249" spans="1:10" x14ac:dyDescent="0.2">
      <c r="A3249">
        <v>13248</v>
      </c>
      <c r="B3249" t="s">
        <v>8</v>
      </c>
      <c r="C3249" t="s">
        <v>6</v>
      </c>
      <c r="D3249">
        <v>7.82</v>
      </c>
      <c r="E3249">
        <v>5</v>
      </c>
      <c r="F3249" t="s">
        <v>15</v>
      </c>
      <c r="G3249">
        <v>28</v>
      </c>
      <c r="H3249">
        <v>10.009600000000001</v>
      </c>
      <c r="I3249">
        <v>28.000000000000004</v>
      </c>
      <c r="J3249" t="s">
        <v>20</v>
      </c>
    </row>
    <row r="3250" spans="1:10" x14ac:dyDescent="0.2">
      <c r="A3250">
        <v>13249</v>
      </c>
      <c r="B3250" t="s">
        <v>8</v>
      </c>
      <c r="C3250" t="s">
        <v>11</v>
      </c>
      <c r="D3250">
        <v>0.94</v>
      </c>
      <c r="E3250">
        <v>2</v>
      </c>
      <c r="F3250" t="s">
        <v>14</v>
      </c>
      <c r="G3250">
        <v>10</v>
      </c>
      <c r="H3250">
        <v>1.034</v>
      </c>
      <c r="I3250">
        <v>10.000000000000009</v>
      </c>
      <c r="J3250" t="s">
        <v>20</v>
      </c>
    </row>
    <row r="3251" spans="1:10" x14ac:dyDescent="0.2">
      <c r="A3251">
        <v>13250</v>
      </c>
      <c r="B3251" t="s">
        <v>8</v>
      </c>
      <c r="C3251" t="s">
        <v>6</v>
      </c>
      <c r="D3251">
        <v>2.41</v>
      </c>
      <c r="E3251">
        <v>2</v>
      </c>
      <c r="F3251" t="s">
        <v>14</v>
      </c>
      <c r="G3251">
        <v>12</v>
      </c>
      <c r="H3251">
        <v>2.6992000000000003</v>
      </c>
      <c r="I3251">
        <v>12.000000000000011</v>
      </c>
      <c r="J3251" t="s">
        <v>20</v>
      </c>
    </row>
    <row r="3252" spans="1:10" x14ac:dyDescent="0.2">
      <c r="A3252">
        <v>13251</v>
      </c>
      <c r="B3252" t="s">
        <v>5</v>
      </c>
      <c r="C3252" t="s">
        <v>9</v>
      </c>
      <c r="D3252">
        <v>13.36</v>
      </c>
      <c r="E3252">
        <v>7</v>
      </c>
      <c r="F3252" t="s">
        <v>15</v>
      </c>
      <c r="G3252">
        <v>30</v>
      </c>
      <c r="H3252">
        <v>17.367999999999999</v>
      </c>
      <c r="I3252">
        <v>30.000000000000004</v>
      </c>
      <c r="J3252" t="s">
        <v>20</v>
      </c>
    </row>
    <row r="3253" spans="1:10" x14ac:dyDescent="0.2">
      <c r="A3253">
        <v>13252</v>
      </c>
      <c r="B3253" t="s">
        <v>5</v>
      </c>
      <c r="C3253" t="s">
        <v>9</v>
      </c>
      <c r="D3253">
        <v>11.4</v>
      </c>
      <c r="E3253">
        <v>7</v>
      </c>
      <c r="F3253" t="s">
        <v>15</v>
      </c>
      <c r="G3253">
        <v>30</v>
      </c>
      <c r="H3253">
        <v>14.82</v>
      </c>
      <c r="I3253">
        <v>30.000000000000004</v>
      </c>
      <c r="J3253" t="s">
        <v>20</v>
      </c>
    </row>
    <row r="3254" spans="1:10" x14ac:dyDescent="0.2">
      <c r="A3254">
        <v>13253</v>
      </c>
      <c r="B3254" t="s">
        <v>8</v>
      </c>
      <c r="C3254" t="s">
        <v>6</v>
      </c>
      <c r="D3254">
        <v>6.63</v>
      </c>
      <c r="E3254">
        <v>6</v>
      </c>
      <c r="F3254" t="s">
        <v>15</v>
      </c>
      <c r="G3254">
        <v>28</v>
      </c>
      <c r="H3254">
        <v>8.4863999999999997</v>
      </c>
      <c r="I3254">
        <v>28.000000000000004</v>
      </c>
      <c r="J3254" t="s">
        <v>20</v>
      </c>
    </row>
    <row r="3255" spans="1:10" x14ac:dyDescent="0.2">
      <c r="A3255">
        <v>13254</v>
      </c>
      <c r="B3255" t="s">
        <v>5</v>
      </c>
      <c r="C3255" t="s">
        <v>6</v>
      </c>
      <c r="D3255">
        <v>8</v>
      </c>
      <c r="E3255">
        <v>1</v>
      </c>
      <c r="F3255" t="s">
        <v>14</v>
      </c>
      <c r="G3255">
        <v>12</v>
      </c>
      <c r="H3255">
        <v>8.9600000000000009</v>
      </c>
      <c r="I3255">
        <v>12.000000000000011</v>
      </c>
      <c r="J3255" t="s">
        <v>20</v>
      </c>
    </row>
    <row r="3256" spans="1:10" x14ac:dyDescent="0.2">
      <c r="A3256">
        <v>13255</v>
      </c>
      <c r="B3256" t="s">
        <v>7</v>
      </c>
      <c r="C3256" t="s">
        <v>9</v>
      </c>
      <c r="D3256">
        <v>5.86</v>
      </c>
      <c r="E3256">
        <v>3</v>
      </c>
      <c r="F3256" t="s">
        <v>14</v>
      </c>
      <c r="G3256">
        <v>15</v>
      </c>
      <c r="H3256">
        <v>6.7389999999999999</v>
      </c>
      <c r="I3256">
        <v>14.999999999999991</v>
      </c>
      <c r="J3256" t="s">
        <v>20</v>
      </c>
    </row>
    <row r="3257" spans="1:10" x14ac:dyDescent="0.2">
      <c r="A3257">
        <v>13256</v>
      </c>
      <c r="B3257" t="s">
        <v>10</v>
      </c>
      <c r="C3257" t="s">
        <v>6</v>
      </c>
      <c r="D3257">
        <v>11.24</v>
      </c>
      <c r="E3257">
        <v>9</v>
      </c>
      <c r="F3257" t="s">
        <v>16</v>
      </c>
      <c r="G3257">
        <v>55</v>
      </c>
      <c r="H3257">
        <v>17.422000000000001</v>
      </c>
      <c r="I3257">
        <v>55.000000000000007</v>
      </c>
      <c r="J3257" t="s">
        <v>20</v>
      </c>
    </row>
    <row r="3258" spans="1:10" x14ac:dyDescent="0.2">
      <c r="A3258">
        <v>13257</v>
      </c>
      <c r="B3258" t="s">
        <v>10</v>
      </c>
      <c r="C3258" t="s">
        <v>11</v>
      </c>
      <c r="D3258">
        <v>11.87</v>
      </c>
      <c r="E3258">
        <v>10</v>
      </c>
      <c r="F3258" t="s">
        <v>16</v>
      </c>
      <c r="G3258">
        <v>50</v>
      </c>
      <c r="H3258">
        <v>17.805</v>
      </c>
      <c r="I3258">
        <v>50</v>
      </c>
      <c r="J3258" t="s">
        <v>20</v>
      </c>
    </row>
    <row r="3259" spans="1:10" x14ac:dyDescent="0.2">
      <c r="A3259">
        <v>13258</v>
      </c>
      <c r="B3259" t="s">
        <v>10</v>
      </c>
      <c r="C3259" t="s">
        <v>11</v>
      </c>
      <c r="D3259">
        <v>11.57</v>
      </c>
      <c r="E3259">
        <v>1</v>
      </c>
      <c r="F3259" t="s">
        <v>14</v>
      </c>
      <c r="G3259">
        <v>10</v>
      </c>
      <c r="H3259">
        <v>12.727000000000002</v>
      </c>
      <c r="I3259">
        <v>10.000000000000009</v>
      </c>
      <c r="J3259" t="s">
        <v>20</v>
      </c>
    </row>
    <row r="3260" spans="1:10" x14ac:dyDescent="0.2">
      <c r="A3260">
        <v>13259</v>
      </c>
      <c r="B3260" t="s">
        <v>8</v>
      </c>
      <c r="C3260" t="s">
        <v>11</v>
      </c>
      <c r="D3260">
        <v>10.98</v>
      </c>
      <c r="E3260">
        <v>2</v>
      </c>
      <c r="F3260" t="s">
        <v>14</v>
      </c>
      <c r="G3260">
        <v>10</v>
      </c>
      <c r="H3260">
        <v>12.078000000000001</v>
      </c>
      <c r="I3260">
        <v>10.000000000000009</v>
      </c>
      <c r="J3260" t="s">
        <v>20</v>
      </c>
    </row>
    <row r="3261" spans="1:10" x14ac:dyDescent="0.2">
      <c r="A3261">
        <v>13260</v>
      </c>
      <c r="B3261" t="s">
        <v>5</v>
      </c>
      <c r="C3261" t="s">
        <v>11</v>
      </c>
      <c r="D3261">
        <v>3.47</v>
      </c>
      <c r="E3261">
        <v>8</v>
      </c>
      <c r="F3261" t="s">
        <v>16</v>
      </c>
      <c r="G3261">
        <v>50</v>
      </c>
      <c r="H3261">
        <v>5.2050000000000001</v>
      </c>
      <c r="I3261">
        <v>50</v>
      </c>
      <c r="J3261" t="s">
        <v>20</v>
      </c>
    </row>
    <row r="3262" spans="1:10" x14ac:dyDescent="0.2">
      <c r="A3262">
        <v>13261</v>
      </c>
      <c r="B3262" t="s">
        <v>7</v>
      </c>
      <c r="C3262" t="s">
        <v>11</v>
      </c>
      <c r="D3262">
        <v>5.4</v>
      </c>
      <c r="E3262">
        <v>7</v>
      </c>
      <c r="F3262" t="s">
        <v>15</v>
      </c>
      <c r="G3262">
        <v>25</v>
      </c>
      <c r="H3262">
        <v>6.75</v>
      </c>
      <c r="I3262">
        <v>25</v>
      </c>
      <c r="J3262" t="s">
        <v>20</v>
      </c>
    </row>
    <row r="3263" spans="1:10" x14ac:dyDescent="0.2">
      <c r="A3263">
        <v>13262</v>
      </c>
      <c r="B3263" t="s">
        <v>7</v>
      </c>
      <c r="C3263" t="s">
        <v>6</v>
      </c>
      <c r="D3263">
        <v>7.31</v>
      </c>
      <c r="E3263">
        <v>9</v>
      </c>
      <c r="F3263" t="s">
        <v>16</v>
      </c>
      <c r="G3263">
        <v>55</v>
      </c>
      <c r="H3263">
        <v>11.330499999999999</v>
      </c>
      <c r="I3263">
        <v>54.999999999999986</v>
      </c>
      <c r="J3263" t="s">
        <v>20</v>
      </c>
    </row>
    <row r="3264" spans="1:10" x14ac:dyDescent="0.2">
      <c r="A3264">
        <v>13263</v>
      </c>
      <c r="B3264" t="s">
        <v>8</v>
      </c>
      <c r="C3264" t="s">
        <v>6</v>
      </c>
      <c r="D3264">
        <v>5.3</v>
      </c>
      <c r="E3264">
        <v>10</v>
      </c>
      <c r="F3264" t="s">
        <v>16</v>
      </c>
      <c r="G3264">
        <v>55</v>
      </c>
      <c r="H3264">
        <v>8.2149999999999999</v>
      </c>
      <c r="I3264">
        <v>55.000000000000007</v>
      </c>
      <c r="J3264" t="s">
        <v>20</v>
      </c>
    </row>
    <row r="3265" spans="1:10" x14ac:dyDescent="0.2">
      <c r="A3265">
        <v>13264</v>
      </c>
      <c r="B3265" t="s">
        <v>7</v>
      </c>
      <c r="C3265" t="s">
        <v>11</v>
      </c>
      <c r="D3265">
        <v>11.45</v>
      </c>
      <c r="E3265">
        <v>4</v>
      </c>
      <c r="F3265" t="s">
        <v>15</v>
      </c>
      <c r="G3265">
        <v>25</v>
      </c>
      <c r="H3265">
        <v>14.3125</v>
      </c>
      <c r="I3265">
        <v>25</v>
      </c>
      <c r="J3265" t="s">
        <v>20</v>
      </c>
    </row>
    <row r="3266" spans="1:10" x14ac:dyDescent="0.2">
      <c r="A3266">
        <v>13265</v>
      </c>
      <c r="B3266" t="s">
        <v>7</v>
      </c>
      <c r="C3266" t="s">
        <v>6</v>
      </c>
      <c r="D3266">
        <v>5.28</v>
      </c>
      <c r="E3266">
        <v>4</v>
      </c>
      <c r="F3266" t="s">
        <v>15</v>
      </c>
      <c r="G3266">
        <v>28</v>
      </c>
      <c r="H3266">
        <v>6.7584000000000009</v>
      </c>
      <c r="I3266">
        <v>28.000000000000004</v>
      </c>
      <c r="J3266" t="s">
        <v>20</v>
      </c>
    </row>
    <row r="3267" spans="1:10" x14ac:dyDescent="0.2">
      <c r="A3267">
        <v>13266</v>
      </c>
      <c r="B3267" t="s">
        <v>7</v>
      </c>
      <c r="C3267" t="s">
        <v>6</v>
      </c>
      <c r="D3267">
        <v>2.5</v>
      </c>
      <c r="E3267">
        <v>7</v>
      </c>
      <c r="F3267" t="s">
        <v>15</v>
      </c>
      <c r="G3267">
        <v>28</v>
      </c>
      <c r="H3267">
        <v>3.2</v>
      </c>
      <c r="I3267">
        <v>28.000000000000004</v>
      </c>
      <c r="J3267" t="s">
        <v>20</v>
      </c>
    </row>
    <row r="3268" spans="1:10" x14ac:dyDescent="0.2">
      <c r="A3268">
        <v>13267</v>
      </c>
      <c r="B3268" t="s">
        <v>7</v>
      </c>
      <c r="C3268" t="s">
        <v>11</v>
      </c>
      <c r="D3268">
        <v>6.29</v>
      </c>
      <c r="E3268">
        <v>1</v>
      </c>
      <c r="F3268" t="s">
        <v>14</v>
      </c>
      <c r="G3268">
        <v>10</v>
      </c>
      <c r="H3268">
        <v>6.9190000000000005</v>
      </c>
      <c r="I3268">
        <v>10.000000000000009</v>
      </c>
      <c r="J3268" t="s">
        <v>20</v>
      </c>
    </row>
    <row r="3269" spans="1:10" x14ac:dyDescent="0.2">
      <c r="A3269">
        <v>13268</v>
      </c>
      <c r="B3269" t="s">
        <v>5</v>
      </c>
      <c r="C3269" t="s">
        <v>6</v>
      </c>
      <c r="D3269">
        <v>14.71</v>
      </c>
      <c r="E3269">
        <v>10</v>
      </c>
      <c r="F3269" t="s">
        <v>16</v>
      </c>
      <c r="G3269">
        <v>55</v>
      </c>
      <c r="H3269">
        <v>22.800500000000003</v>
      </c>
      <c r="I3269">
        <v>55.000000000000007</v>
      </c>
      <c r="J3269" t="s">
        <v>20</v>
      </c>
    </row>
    <row r="3270" spans="1:10" x14ac:dyDescent="0.2">
      <c r="A3270">
        <v>13269</v>
      </c>
      <c r="B3270" t="s">
        <v>7</v>
      </c>
      <c r="C3270" t="s">
        <v>6</v>
      </c>
      <c r="D3270">
        <v>3.78</v>
      </c>
      <c r="E3270">
        <v>9</v>
      </c>
      <c r="F3270" t="s">
        <v>16</v>
      </c>
      <c r="G3270">
        <v>55</v>
      </c>
      <c r="H3270">
        <v>5.859</v>
      </c>
      <c r="I3270">
        <v>55.000000000000007</v>
      </c>
      <c r="J3270" t="s">
        <v>20</v>
      </c>
    </row>
    <row r="3271" spans="1:10" x14ac:dyDescent="0.2">
      <c r="A3271">
        <v>13270</v>
      </c>
      <c r="B3271" t="s">
        <v>10</v>
      </c>
      <c r="C3271" t="s">
        <v>6</v>
      </c>
      <c r="D3271">
        <v>9.3800000000000008</v>
      </c>
      <c r="E3271">
        <v>2</v>
      </c>
      <c r="F3271" t="s">
        <v>14</v>
      </c>
      <c r="G3271">
        <v>12</v>
      </c>
      <c r="H3271">
        <v>10.505600000000001</v>
      </c>
      <c r="I3271">
        <v>12.000000000000011</v>
      </c>
      <c r="J3271" t="s">
        <v>20</v>
      </c>
    </row>
    <row r="3272" spans="1:10" x14ac:dyDescent="0.2">
      <c r="A3272">
        <v>13271</v>
      </c>
      <c r="B3272" t="s">
        <v>8</v>
      </c>
      <c r="C3272" t="s">
        <v>11</v>
      </c>
      <c r="D3272">
        <v>6.78</v>
      </c>
      <c r="E3272">
        <v>1</v>
      </c>
      <c r="F3272" t="s">
        <v>14</v>
      </c>
      <c r="G3272">
        <v>10</v>
      </c>
      <c r="H3272">
        <v>7.4580000000000011</v>
      </c>
      <c r="I3272">
        <v>10.000000000000009</v>
      </c>
      <c r="J3272" t="s">
        <v>20</v>
      </c>
    </row>
    <row r="3273" spans="1:10" x14ac:dyDescent="0.2">
      <c r="A3273">
        <v>13272</v>
      </c>
      <c r="B3273" t="s">
        <v>5</v>
      </c>
      <c r="C3273" t="s">
        <v>6</v>
      </c>
      <c r="D3273">
        <v>1.53</v>
      </c>
      <c r="E3273">
        <v>7</v>
      </c>
      <c r="F3273" t="s">
        <v>15</v>
      </c>
      <c r="G3273">
        <v>28</v>
      </c>
      <c r="H3273">
        <v>1.9584000000000001</v>
      </c>
      <c r="I3273">
        <v>28.000000000000004</v>
      </c>
      <c r="J3273" t="s">
        <v>20</v>
      </c>
    </row>
    <row r="3274" spans="1:10" x14ac:dyDescent="0.2">
      <c r="A3274">
        <v>13273</v>
      </c>
      <c r="B3274" t="s">
        <v>7</v>
      </c>
      <c r="C3274" t="s">
        <v>9</v>
      </c>
      <c r="D3274">
        <v>7.57</v>
      </c>
      <c r="E3274">
        <v>6</v>
      </c>
      <c r="F3274" t="s">
        <v>15</v>
      </c>
      <c r="G3274">
        <v>30</v>
      </c>
      <c r="H3274">
        <v>9.8410000000000011</v>
      </c>
      <c r="I3274">
        <v>30.000000000000004</v>
      </c>
      <c r="J3274" t="s">
        <v>20</v>
      </c>
    </row>
    <row r="3275" spans="1:10" x14ac:dyDescent="0.2">
      <c r="A3275">
        <v>13274</v>
      </c>
      <c r="B3275" t="s">
        <v>5</v>
      </c>
      <c r="C3275" t="s">
        <v>9</v>
      </c>
      <c r="D3275">
        <v>10.68</v>
      </c>
      <c r="E3275">
        <v>3</v>
      </c>
      <c r="F3275" t="s">
        <v>14</v>
      </c>
      <c r="G3275">
        <v>15</v>
      </c>
      <c r="H3275">
        <v>12.281999999999998</v>
      </c>
      <c r="I3275">
        <v>14.999999999999991</v>
      </c>
      <c r="J3275" t="s">
        <v>20</v>
      </c>
    </row>
    <row r="3276" spans="1:10" x14ac:dyDescent="0.2">
      <c r="A3276">
        <v>13275</v>
      </c>
      <c r="B3276" t="s">
        <v>7</v>
      </c>
      <c r="C3276" t="s">
        <v>11</v>
      </c>
      <c r="D3276">
        <v>7.94</v>
      </c>
      <c r="E3276">
        <v>1</v>
      </c>
      <c r="F3276" t="s">
        <v>14</v>
      </c>
      <c r="G3276">
        <v>10</v>
      </c>
      <c r="H3276">
        <v>8.7340000000000018</v>
      </c>
      <c r="I3276">
        <v>10.000000000000009</v>
      </c>
      <c r="J3276" t="s">
        <v>20</v>
      </c>
    </row>
    <row r="3277" spans="1:10" x14ac:dyDescent="0.2">
      <c r="A3277">
        <v>13276</v>
      </c>
      <c r="B3277" t="s">
        <v>10</v>
      </c>
      <c r="C3277" t="s">
        <v>9</v>
      </c>
      <c r="D3277">
        <v>13.15</v>
      </c>
      <c r="E3277">
        <v>5</v>
      </c>
      <c r="F3277" t="s">
        <v>15</v>
      </c>
      <c r="G3277">
        <v>30</v>
      </c>
      <c r="H3277">
        <v>17.095000000000002</v>
      </c>
      <c r="I3277">
        <v>30.000000000000004</v>
      </c>
      <c r="J3277" t="s">
        <v>20</v>
      </c>
    </row>
    <row r="3278" spans="1:10" x14ac:dyDescent="0.2">
      <c r="A3278">
        <v>13277</v>
      </c>
      <c r="B3278" t="s">
        <v>8</v>
      </c>
      <c r="C3278" t="s">
        <v>11</v>
      </c>
      <c r="D3278">
        <v>4.6900000000000004</v>
      </c>
      <c r="E3278">
        <v>10</v>
      </c>
      <c r="F3278" t="s">
        <v>16</v>
      </c>
      <c r="G3278">
        <v>50</v>
      </c>
      <c r="H3278">
        <v>7.0350000000000001</v>
      </c>
      <c r="I3278">
        <v>50</v>
      </c>
      <c r="J3278" t="s">
        <v>20</v>
      </c>
    </row>
    <row r="3279" spans="1:10" x14ac:dyDescent="0.2">
      <c r="A3279">
        <v>13278</v>
      </c>
      <c r="B3279" t="s">
        <v>7</v>
      </c>
      <c r="C3279" t="s">
        <v>9</v>
      </c>
      <c r="D3279">
        <v>1.75</v>
      </c>
      <c r="E3279">
        <v>4</v>
      </c>
      <c r="F3279" t="s">
        <v>15</v>
      </c>
      <c r="G3279">
        <v>30</v>
      </c>
      <c r="H3279">
        <v>2.2749999999999999</v>
      </c>
      <c r="I3279">
        <v>30.000000000000004</v>
      </c>
      <c r="J3279" t="s">
        <v>20</v>
      </c>
    </row>
    <row r="3280" spans="1:10" x14ac:dyDescent="0.2">
      <c r="A3280">
        <v>13279</v>
      </c>
      <c r="B3280" t="s">
        <v>7</v>
      </c>
      <c r="C3280" t="s">
        <v>9</v>
      </c>
      <c r="D3280">
        <v>14.08</v>
      </c>
      <c r="E3280">
        <v>5</v>
      </c>
      <c r="F3280" t="s">
        <v>15</v>
      </c>
      <c r="G3280">
        <v>30</v>
      </c>
      <c r="H3280">
        <v>18.304000000000002</v>
      </c>
      <c r="I3280">
        <v>30.000000000000004</v>
      </c>
      <c r="J3280" t="s">
        <v>20</v>
      </c>
    </row>
    <row r="3281" spans="1:10" x14ac:dyDescent="0.2">
      <c r="A3281">
        <v>13280</v>
      </c>
      <c r="B3281" t="s">
        <v>7</v>
      </c>
      <c r="C3281" t="s">
        <v>9</v>
      </c>
      <c r="D3281">
        <v>5.98</v>
      </c>
      <c r="E3281">
        <v>1</v>
      </c>
      <c r="F3281" t="s">
        <v>14</v>
      </c>
      <c r="G3281">
        <v>15</v>
      </c>
      <c r="H3281">
        <v>6.8769999999999998</v>
      </c>
      <c r="I3281">
        <v>14.999999999999991</v>
      </c>
      <c r="J3281" t="s">
        <v>20</v>
      </c>
    </row>
    <row r="3282" spans="1:10" x14ac:dyDescent="0.2">
      <c r="A3282">
        <v>13281</v>
      </c>
      <c r="B3282" t="s">
        <v>7</v>
      </c>
      <c r="C3282" t="s">
        <v>11</v>
      </c>
      <c r="D3282">
        <v>8.86</v>
      </c>
      <c r="E3282">
        <v>1</v>
      </c>
      <c r="F3282" t="s">
        <v>14</v>
      </c>
      <c r="G3282">
        <v>10</v>
      </c>
      <c r="H3282">
        <v>9.7460000000000004</v>
      </c>
      <c r="I3282">
        <v>10.000000000000009</v>
      </c>
      <c r="J3282" t="s">
        <v>20</v>
      </c>
    </row>
    <row r="3283" spans="1:10" x14ac:dyDescent="0.2">
      <c r="A3283">
        <v>13282</v>
      </c>
      <c r="B3283" t="s">
        <v>8</v>
      </c>
      <c r="C3283" t="s">
        <v>11</v>
      </c>
      <c r="D3283">
        <v>11.98</v>
      </c>
      <c r="E3283">
        <v>5</v>
      </c>
      <c r="F3283" t="s">
        <v>15</v>
      </c>
      <c r="G3283">
        <v>25</v>
      </c>
      <c r="H3283">
        <v>14.975000000000001</v>
      </c>
      <c r="I3283">
        <v>25</v>
      </c>
      <c r="J3283" t="s">
        <v>20</v>
      </c>
    </row>
    <row r="3284" spans="1:10" x14ac:dyDescent="0.2">
      <c r="A3284">
        <v>13283</v>
      </c>
      <c r="B3284" t="s">
        <v>8</v>
      </c>
      <c r="C3284" t="s">
        <v>6</v>
      </c>
      <c r="D3284">
        <v>5.2</v>
      </c>
      <c r="E3284">
        <v>6</v>
      </c>
      <c r="F3284" t="s">
        <v>15</v>
      </c>
      <c r="G3284">
        <v>28</v>
      </c>
      <c r="H3284">
        <v>6.6560000000000006</v>
      </c>
      <c r="I3284">
        <v>28.000000000000004</v>
      </c>
      <c r="J3284" t="s">
        <v>20</v>
      </c>
    </row>
    <row r="3285" spans="1:10" x14ac:dyDescent="0.2">
      <c r="A3285">
        <v>13284</v>
      </c>
      <c r="B3285" t="s">
        <v>10</v>
      </c>
      <c r="C3285" t="s">
        <v>11</v>
      </c>
      <c r="D3285">
        <v>10.88</v>
      </c>
      <c r="E3285">
        <v>5</v>
      </c>
      <c r="F3285" t="s">
        <v>15</v>
      </c>
      <c r="G3285">
        <v>25</v>
      </c>
      <c r="H3285">
        <v>13.600000000000001</v>
      </c>
      <c r="I3285">
        <v>25</v>
      </c>
      <c r="J3285" t="s">
        <v>20</v>
      </c>
    </row>
    <row r="3286" spans="1:10" x14ac:dyDescent="0.2">
      <c r="A3286">
        <v>13285</v>
      </c>
      <c r="B3286" t="s">
        <v>8</v>
      </c>
      <c r="C3286" t="s">
        <v>9</v>
      </c>
      <c r="D3286">
        <v>2.46</v>
      </c>
      <c r="E3286">
        <v>2</v>
      </c>
      <c r="F3286" t="s">
        <v>14</v>
      </c>
      <c r="G3286">
        <v>15</v>
      </c>
      <c r="H3286">
        <v>2.8289999999999997</v>
      </c>
      <c r="I3286">
        <v>14.999999999999991</v>
      </c>
      <c r="J3286" t="s">
        <v>20</v>
      </c>
    </row>
    <row r="3287" spans="1:10" x14ac:dyDescent="0.2">
      <c r="A3287">
        <v>13286</v>
      </c>
      <c r="B3287" t="s">
        <v>7</v>
      </c>
      <c r="C3287" t="s">
        <v>9</v>
      </c>
      <c r="D3287">
        <v>4.72</v>
      </c>
      <c r="E3287">
        <v>9</v>
      </c>
      <c r="F3287" t="s">
        <v>16</v>
      </c>
      <c r="G3287">
        <v>60</v>
      </c>
      <c r="H3287">
        <v>7.5519999999999996</v>
      </c>
      <c r="I3287">
        <v>60.000000000000007</v>
      </c>
      <c r="J3287" t="s">
        <v>20</v>
      </c>
    </row>
    <row r="3288" spans="1:10" x14ac:dyDescent="0.2">
      <c r="A3288">
        <v>13287</v>
      </c>
      <c r="B3288" t="s">
        <v>10</v>
      </c>
      <c r="C3288" t="s">
        <v>11</v>
      </c>
      <c r="D3288">
        <v>2.6</v>
      </c>
      <c r="E3288">
        <v>5</v>
      </c>
      <c r="F3288" t="s">
        <v>15</v>
      </c>
      <c r="G3288">
        <v>25</v>
      </c>
      <c r="H3288">
        <v>3.25</v>
      </c>
      <c r="I3288">
        <v>25</v>
      </c>
      <c r="J3288" t="s">
        <v>20</v>
      </c>
    </row>
    <row r="3289" spans="1:10" x14ac:dyDescent="0.2">
      <c r="A3289">
        <v>13288</v>
      </c>
      <c r="B3289" t="s">
        <v>10</v>
      </c>
      <c r="C3289" t="s">
        <v>11</v>
      </c>
      <c r="D3289">
        <v>12.26</v>
      </c>
      <c r="E3289">
        <v>5</v>
      </c>
      <c r="F3289" t="s">
        <v>15</v>
      </c>
      <c r="G3289">
        <v>25</v>
      </c>
      <c r="H3289">
        <v>15.324999999999999</v>
      </c>
      <c r="I3289">
        <v>25</v>
      </c>
      <c r="J3289" t="s">
        <v>20</v>
      </c>
    </row>
    <row r="3290" spans="1:10" x14ac:dyDescent="0.2">
      <c r="A3290">
        <v>13289</v>
      </c>
      <c r="B3290" t="s">
        <v>10</v>
      </c>
      <c r="C3290" t="s">
        <v>11</v>
      </c>
      <c r="D3290">
        <v>3.73</v>
      </c>
      <c r="E3290">
        <v>10</v>
      </c>
      <c r="F3290" t="s">
        <v>16</v>
      </c>
      <c r="G3290">
        <v>50</v>
      </c>
      <c r="H3290">
        <v>5.5949999999999998</v>
      </c>
      <c r="I3290">
        <v>50</v>
      </c>
      <c r="J3290" t="s">
        <v>20</v>
      </c>
    </row>
    <row r="3291" spans="1:10" x14ac:dyDescent="0.2">
      <c r="A3291">
        <v>13290</v>
      </c>
      <c r="B3291" t="s">
        <v>7</v>
      </c>
      <c r="C3291" t="s">
        <v>6</v>
      </c>
      <c r="D3291">
        <v>10.9</v>
      </c>
      <c r="E3291">
        <v>9</v>
      </c>
      <c r="F3291" t="s">
        <v>16</v>
      </c>
      <c r="G3291">
        <v>55</v>
      </c>
      <c r="H3291">
        <v>16.895</v>
      </c>
      <c r="I3291">
        <v>54.999999999999986</v>
      </c>
      <c r="J3291" t="s">
        <v>20</v>
      </c>
    </row>
    <row r="3292" spans="1:10" x14ac:dyDescent="0.2">
      <c r="A3292">
        <v>13291</v>
      </c>
      <c r="B3292" t="s">
        <v>5</v>
      </c>
      <c r="C3292" t="s">
        <v>9</v>
      </c>
      <c r="D3292">
        <v>14.18</v>
      </c>
      <c r="E3292">
        <v>3</v>
      </c>
      <c r="F3292" t="s">
        <v>14</v>
      </c>
      <c r="G3292">
        <v>15</v>
      </c>
      <c r="H3292">
        <v>16.306999999999999</v>
      </c>
      <c r="I3292">
        <v>14.999999999999991</v>
      </c>
      <c r="J3292" t="s">
        <v>20</v>
      </c>
    </row>
    <row r="3293" spans="1:10" x14ac:dyDescent="0.2">
      <c r="A3293">
        <v>13292</v>
      </c>
      <c r="B3293" t="s">
        <v>7</v>
      </c>
      <c r="C3293" t="s">
        <v>6</v>
      </c>
      <c r="D3293">
        <v>8.15</v>
      </c>
      <c r="E3293">
        <v>5</v>
      </c>
      <c r="F3293" t="s">
        <v>15</v>
      </c>
      <c r="G3293">
        <v>28</v>
      </c>
      <c r="H3293">
        <v>10.432</v>
      </c>
      <c r="I3293">
        <v>28.000000000000004</v>
      </c>
      <c r="J3293" t="s">
        <v>20</v>
      </c>
    </row>
    <row r="3294" spans="1:10" x14ac:dyDescent="0.2">
      <c r="A3294">
        <v>13293</v>
      </c>
      <c r="B3294" t="s">
        <v>8</v>
      </c>
      <c r="C3294" t="s">
        <v>6</v>
      </c>
      <c r="D3294">
        <v>8.33</v>
      </c>
      <c r="E3294">
        <v>5</v>
      </c>
      <c r="F3294" t="s">
        <v>15</v>
      </c>
      <c r="G3294">
        <v>28</v>
      </c>
      <c r="H3294">
        <v>10.6624</v>
      </c>
      <c r="I3294">
        <v>28.000000000000004</v>
      </c>
      <c r="J3294" t="s">
        <v>20</v>
      </c>
    </row>
    <row r="3295" spans="1:10" x14ac:dyDescent="0.2">
      <c r="A3295">
        <v>13294</v>
      </c>
      <c r="B3295" t="s">
        <v>8</v>
      </c>
      <c r="C3295" t="s">
        <v>9</v>
      </c>
      <c r="D3295">
        <v>7.18</v>
      </c>
      <c r="E3295">
        <v>2</v>
      </c>
      <c r="F3295" t="s">
        <v>14</v>
      </c>
      <c r="G3295">
        <v>15</v>
      </c>
      <c r="H3295">
        <v>8.2569999999999997</v>
      </c>
      <c r="I3295">
        <v>14.999999999999991</v>
      </c>
      <c r="J3295" t="s">
        <v>20</v>
      </c>
    </row>
    <row r="3296" spans="1:10" x14ac:dyDescent="0.2">
      <c r="A3296">
        <v>13295</v>
      </c>
      <c r="B3296" t="s">
        <v>7</v>
      </c>
      <c r="C3296" t="s">
        <v>9</v>
      </c>
      <c r="D3296">
        <v>5.23</v>
      </c>
      <c r="E3296">
        <v>4</v>
      </c>
      <c r="F3296" t="s">
        <v>15</v>
      </c>
      <c r="G3296">
        <v>30</v>
      </c>
      <c r="H3296">
        <v>6.7990000000000004</v>
      </c>
      <c r="I3296">
        <v>30.000000000000004</v>
      </c>
      <c r="J3296" t="s">
        <v>20</v>
      </c>
    </row>
    <row r="3297" spans="1:10" x14ac:dyDescent="0.2">
      <c r="A3297">
        <v>13296</v>
      </c>
      <c r="B3297" t="s">
        <v>7</v>
      </c>
      <c r="C3297" t="s">
        <v>11</v>
      </c>
      <c r="D3297">
        <v>7.4</v>
      </c>
      <c r="E3297">
        <v>2</v>
      </c>
      <c r="F3297" t="s">
        <v>14</v>
      </c>
      <c r="G3297">
        <v>10</v>
      </c>
      <c r="H3297">
        <v>8.14</v>
      </c>
      <c r="I3297">
        <v>10.000000000000009</v>
      </c>
      <c r="J3297" t="s">
        <v>20</v>
      </c>
    </row>
    <row r="3298" spans="1:10" x14ac:dyDescent="0.2">
      <c r="A3298">
        <v>13297</v>
      </c>
      <c r="B3298" t="s">
        <v>10</v>
      </c>
      <c r="C3298" t="s">
        <v>11</v>
      </c>
      <c r="D3298">
        <v>9.24</v>
      </c>
      <c r="E3298">
        <v>5</v>
      </c>
      <c r="F3298" t="s">
        <v>15</v>
      </c>
      <c r="G3298">
        <v>25</v>
      </c>
      <c r="H3298">
        <v>11.55</v>
      </c>
      <c r="I3298">
        <v>25</v>
      </c>
      <c r="J3298" t="s">
        <v>20</v>
      </c>
    </row>
    <row r="3299" spans="1:10" x14ac:dyDescent="0.2">
      <c r="A3299">
        <v>13298</v>
      </c>
      <c r="B3299" t="s">
        <v>7</v>
      </c>
      <c r="C3299" t="s">
        <v>6</v>
      </c>
      <c r="D3299">
        <v>14.8</v>
      </c>
      <c r="E3299">
        <v>10</v>
      </c>
      <c r="F3299" t="s">
        <v>16</v>
      </c>
      <c r="G3299">
        <v>55</v>
      </c>
      <c r="H3299">
        <v>22.94</v>
      </c>
      <c r="I3299">
        <v>55.000000000000007</v>
      </c>
      <c r="J3299" t="s">
        <v>20</v>
      </c>
    </row>
    <row r="3300" spans="1:10" x14ac:dyDescent="0.2">
      <c r="A3300">
        <v>13299</v>
      </c>
      <c r="B3300" t="s">
        <v>10</v>
      </c>
      <c r="C3300" t="s">
        <v>11</v>
      </c>
      <c r="D3300">
        <v>14.1</v>
      </c>
      <c r="E3300">
        <v>2</v>
      </c>
      <c r="F3300" t="s">
        <v>14</v>
      </c>
      <c r="G3300">
        <v>10</v>
      </c>
      <c r="H3300">
        <v>15.510000000000002</v>
      </c>
      <c r="I3300">
        <v>10.000000000000009</v>
      </c>
      <c r="J3300" t="s">
        <v>20</v>
      </c>
    </row>
    <row r="3301" spans="1:10" x14ac:dyDescent="0.2">
      <c r="A3301">
        <v>13300</v>
      </c>
      <c r="B3301" t="s">
        <v>8</v>
      </c>
      <c r="C3301" t="s">
        <v>11</v>
      </c>
      <c r="D3301">
        <v>13</v>
      </c>
      <c r="E3301">
        <v>10</v>
      </c>
      <c r="F3301" t="s">
        <v>16</v>
      </c>
      <c r="G3301">
        <v>50</v>
      </c>
      <c r="H3301">
        <v>19.5</v>
      </c>
      <c r="I3301">
        <v>50</v>
      </c>
      <c r="J3301" t="s">
        <v>20</v>
      </c>
    </row>
    <row r="3302" spans="1:10" x14ac:dyDescent="0.2">
      <c r="A3302">
        <v>13301</v>
      </c>
      <c r="B3302" t="s">
        <v>10</v>
      </c>
      <c r="C3302" t="s">
        <v>9</v>
      </c>
      <c r="D3302">
        <v>13.39</v>
      </c>
      <c r="E3302">
        <v>9</v>
      </c>
      <c r="F3302" t="s">
        <v>16</v>
      </c>
      <c r="G3302">
        <v>60</v>
      </c>
      <c r="H3302">
        <v>21.424000000000003</v>
      </c>
      <c r="I3302">
        <v>60.000000000000007</v>
      </c>
      <c r="J3302" t="s">
        <v>20</v>
      </c>
    </row>
    <row r="3303" spans="1:10" x14ac:dyDescent="0.2">
      <c r="A3303">
        <v>13302</v>
      </c>
      <c r="B3303" t="s">
        <v>7</v>
      </c>
      <c r="C3303" t="s">
        <v>9</v>
      </c>
      <c r="D3303">
        <v>7.28</v>
      </c>
      <c r="E3303">
        <v>10</v>
      </c>
      <c r="F3303" t="s">
        <v>16</v>
      </c>
      <c r="G3303">
        <v>60</v>
      </c>
      <c r="H3303">
        <v>11.648000000000001</v>
      </c>
      <c r="I3303">
        <v>60.000000000000007</v>
      </c>
      <c r="J3303" t="s">
        <v>20</v>
      </c>
    </row>
    <row r="3304" spans="1:10" x14ac:dyDescent="0.2">
      <c r="A3304">
        <v>13303</v>
      </c>
      <c r="B3304" t="s">
        <v>8</v>
      </c>
      <c r="C3304" t="s">
        <v>11</v>
      </c>
      <c r="D3304">
        <v>10.029999999999999</v>
      </c>
      <c r="E3304">
        <v>6</v>
      </c>
      <c r="F3304" t="s">
        <v>15</v>
      </c>
      <c r="G3304">
        <v>25</v>
      </c>
      <c r="H3304">
        <v>12.5375</v>
      </c>
      <c r="I3304">
        <v>25</v>
      </c>
      <c r="J3304" t="s">
        <v>20</v>
      </c>
    </row>
    <row r="3305" spans="1:10" x14ac:dyDescent="0.2">
      <c r="A3305">
        <v>13304</v>
      </c>
      <c r="B3305" t="s">
        <v>5</v>
      </c>
      <c r="C3305" t="s">
        <v>9</v>
      </c>
      <c r="D3305">
        <v>13.48</v>
      </c>
      <c r="E3305">
        <v>8</v>
      </c>
      <c r="F3305" t="s">
        <v>16</v>
      </c>
      <c r="G3305">
        <v>60</v>
      </c>
      <c r="H3305">
        <v>21.568000000000001</v>
      </c>
      <c r="I3305">
        <v>60.000000000000007</v>
      </c>
      <c r="J3305" t="s">
        <v>20</v>
      </c>
    </row>
    <row r="3306" spans="1:10" x14ac:dyDescent="0.2">
      <c r="A3306">
        <v>13305</v>
      </c>
      <c r="B3306" t="s">
        <v>10</v>
      </c>
      <c r="C3306" t="s">
        <v>11</v>
      </c>
      <c r="D3306">
        <v>6.2</v>
      </c>
      <c r="E3306">
        <v>9</v>
      </c>
      <c r="F3306" t="s">
        <v>16</v>
      </c>
      <c r="G3306">
        <v>50</v>
      </c>
      <c r="H3306">
        <v>9.3000000000000007</v>
      </c>
      <c r="I3306">
        <v>50</v>
      </c>
      <c r="J3306" t="s">
        <v>20</v>
      </c>
    </row>
    <row r="3307" spans="1:10" x14ac:dyDescent="0.2">
      <c r="A3307">
        <v>13306</v>
      </c>
      <c r="B3307" t="s">
        <v>8</v>
      </c>
      <c r="C3307" t="s">
        <v>9</v>
      </c>
      <c r="D3307">
        <v>14.45</v>
      </c>
      <c r="E3307">
        <v>8</v>
      </c>
      <c r="F3307" t="s">
        <v>16</v>
      </c>
      <c r="G3307">
        <v>60</v>
      </c>
      <c r="H3307">
        <v>23.12</v>
      </c>
      <c r="I3307">
        <v>60.000000000000007</v>
      </c>
      <c r="J3307" t="s">
        <v>20</v>
      </c>
    </row>
    <row r="3308" spans="1:10" x14ac:dyDescent="0.2">
      <c r="A3308">
        <v>13307</v>
      </c>
      <c r="B3308" t="s">
        <v>10</v>
      </c>
      <c r="C3308" t="s">
        <v>9</v>
      </c>
      <c r="D3308">
        <v>6.53</v>
      </c>
      <c r="E3308">
        <v>5</v>
      </c>
      <c r="F3308" t="s">
        <v>15</v>
      </c>
      <c r="G3308">
        <v>30</v>
      </c>
      <c r="H3308">
        <v>8.4890000000000008</v>
      </c>
      <c r="I3308">
        <v>30.000000000000004</v>
      </c>
      <c r="J3308" t="s">
        <v>20</v>
      </c>
    </row>
    <row r="3309" spans="1:10" x14ac:dyDescent="0.2">
      <c r="A3309">
        <v>13308</v>
      </c>
      <c r="B3309" t="s">
        <v>8</v>
      </c>
      <c r="C3309" t="s">
        <v>9</v>
      </c>
      <c r="D3309">
        <v>9.2200000000000006</v>
      </c>
      <c r="E3309">
        <v>5</v>
      </c>
      <c r="F3309" t="s">
        <v>15</v>
      </c>
      <c r="G3309">
        <v>30</v>
      </c>
      <c r="H3309">
        <v>11.986000000000001</v>
      </c>
      <c r="I3309">
        <v>30.000000000000004</v>
      </c>
      <c r="J3309" t="s">
        <v>20</v>
      </c>
    </row>
    <row r="3310" spans="1:10" x14ac:dyDescent="0.2">
      <c r="A3310">
        <v>13309</v>
      </c>
      <c r="B3310" t="s">
        <v>8</v>
      </c>
      <c r="C3310" t="s">
        <v>9</v>
      </c>
      <c r="D3310">
        <v>10.79</v>
      </c>
      <c r="E3310">
        <v>6</v>
      </c>
      <c r="F3310" t="s">
        <v>15</v>
      </c>
      <c r="G3310">
        <v>30</v>
      </c>
      <c r="H3310">
        <v>14.026999999999999</v>
      </c>
      <c r="I3310">
        <v>30.000000000000004</v>
      </c>
      <c r="J3310" t="s">
        <v>20</v>
      </c>
    </row>
    <row r="3311" spans="1:10" x14ac:dyDescent="0.2">
      <c r="A3311">
        <v>13310</v>
      </c>
      <c r="B3311" t="s">
        <v>10</v>
      </c>
      <c r="C3311" t="s">
        <v>11</v>
      </c>
      <c r="D3311">
        <v>14.28</v>
      </c>
      <c r="E3311">
        <v>1</v>
      </c>
      <c r="F3311" t="s">
        <v>14</v>
      </c>
      <c r="G3311">
        <v>10</v>
      </c>
      <c r="H3311">
        <v>15.708</v>
      </c>
      <c r="I3311">
        <v>10.000000000000009</v>
      </c>
      <c r="J3311" t="s">
        <v>20</v>
      </c>
    </row>
    <row r="3312" spans="1:10" x14ac:dyDescent="0.2">
      <c r="A3312">
        <v>13311</v>
      </c>
      <c r="B3312" t="s">
        <v>5</v>
      </c>
      <c r="C3312" t="s">
        <v>6</v>
      </c>
      <c r="D3312">
        <v>4.05</v>
      </c>
      <c r="E3312">
        <v>8</v>
      </c>
      <c r="F3312" t="s">
        <v>16</v>
      </c>
      <c r="G3312">
        <v>55</v>
      </c>
      <c r="H3312">
        <v>6.2774999999999999</v>
      </c>
      <c r="I3312">
        <v>55.000000000000007</v>
      </c>
      <c r="J3312" t="s">
        <v>20</v>
      </c>
    </row>
    <row r="3313" spans="1:10" x14ac:dyDescent="0.2">
      <c r="A3313">
        <v>13312</v>
      </c>
      <c r="B3313" t="s">
        <v>8</v>
      </c>
      <c r="C3313" t="s">
        <v>9</v>
      </c>
      <c r="D3313">
        <v>11.32</v>
      </c>
      <c r="E3313">
        <v>2</v>
      </c>
      <c r="F3313" t="s">
        <v>14</v>
      </c>
      <c r="G3313">
        <v>15</v>
      </c>
      <c r="H3313">
        <v>13.017999999999999</v>
      </c>
      <c r="I3313">
        <v>14.999999999999991</v>
      </c>
      <c r="J3313" t="s">
        <v>20</v>
      </c>
    </row>
    <row r="3314" spans="1:10" x14ac:dyDescent="0.2">
      <c r="A3314">
        <v>13313</v>
      </c>
      <c r="B3314" t="s">
        <v>8</v>
      </c>
      <c r="C3314" t="s">
        <v>11</v>
      </c>
      <c r="D3314">
        <v>8.0500000000000007</v>
      </c>
      <c r="E3314">
        <v>6</v>
      </c>
      <c r="F3314" t="s">
        <v>15</v>
      </c>
      <c r="G3314">
        <v>25</v>
      </c>
      <c r="H3314">
        <v>10.0625</v>
      </c>
      <c r="I3314">
        <v>25</v>
      </c>
      <c r="J3314" t="s">
        <v>20</v>
      </c>
    </row>
    <row r="3315" spans="1:10" x14ac:dyDescent="0.2">
      <c r="A3315">
        <v>13314</v>
      </c>
      <c r="B3315" t="s">
        <v>8</v>
      </c>
      <c r="C3315" t="s">
        <v>11</v>
      </c>
      <c r="D3315">
        <v>4.3899999999999997</v>
      </c>
      <c r="E3315">
        <v>9</v>
      </c>
      <c r="F3315" t="s">
        <v>16</v>
      </c>
      <c r="G3315">
        <v>50</v>
      </c>
      <c r="H3315">
        <v>6.5849999999999991</v>
      </c>
      <c r="I3315">
        <v>50</v>
      </c>
      <c r="J3315" t="s">
        <v>20</v>
      </c>
    </row>
    <row r="3316" spans="1:10" x14ac:dyDescent="0.2">
      <c r="A3316">
        <v>13315</v>
      </c>
      <c r="B3316" t="s">
        <v>5</v>
      </c>
      <c r="C3316" t="s">
        <v>9</v>
      </c>
      <c r="D3316">
        <v>11.76</v>
      </c>
      <c r="E3316">
        <v>3</v>
      </c>
      <c r="F3316" t="s">
        <v>14</v>
      </c>
      <c r="G3316">
        <v>15</v>
      </c>
      <c r="H3316">
        <v>13.523999999999999</v>
      </c>
      <c r="I3316">
        <v>14.999999999999991</v>
      </c>
      <c r="J3316" t="s">
        <v>20</v>
      </c>
    </row>
    <row r="3317" spans="1:10" x14ac:dyDescent="0.2">
      <c r="A3317">
        <v>13316</v>
      </c>
      <c r="B3317" t="s">
        <v>5</v>
      </c>
      <c r="C3317" t="s">
        <v>6</v>
      </c>
      <c r="D3317">
        <v>8.51</v>
      </c>
      <c r="E3317">
        <v>2</v>
      </c>
      <c r="F3317" t="s">
        <v>14</v>
      </c>
      <c r="G3317">
        <v>12</v>
      </c>
      <c r="H3317">
        <v>9.5312000000000001</v>
      </c>
      <c r="I3317">
        <v>12.000000000000011</v>
      </c>
      <c r="J3317" t="s">
        <v>20</v>
      </c>
    </row>
    <row r="3318" spans="1:10" x14ac:dyDescent="0.2">
      <c r="A3318">
        <v>13317</v>
      </c>
      <c r="B3318" t="s">
        <v>7</v>
      </c>
      <c r="C3318" t="s">
        <v>9</v>
      </c>
      <c r="D3318">
        <v>10.08</v>
      </c>
      <c r="E3318">
        <v>10</v>
      </c>
      <c r="F3318" t="s">
        <v>16</v>
      </c>
      <c r="G3318">
        <v>60</v>
      </c>
      <c r="H3318">
        <v>16.128</v>
      </c>
      <c r="I3318">
        <v>60.000000000000007</v>
      </c>
      <c r="J3318" t="s">
        <v>20</v>
      </c>
    </row>
    <row r="3319" spans="1:10" x14ac:dyDescent="0.2">
      <c r="A3319">
        <v>13318</v>
      </c>
      <c r="B3319" t="s">
        <v>10</v>
      </c>
      <c r="C3319" t="s">
        <v>11</v>
      </c>
      <c r="D3319">
        <v>5.18</v>
      </c>
      <c r="E3319">
        <v>5</v>
      </c>
      <c r="F3319" t="s">
        <v>15</v>
      </c>
      <c r="G3319">
        <v>25</v>
      </c>
      <c r="H3319">
        <v>6.4749999999999996</v>
      </c>
      <c r="I3319">
        <v>25</v>
      </c>
      <c r="J3319" t="s">
        <v>20</v>
      </c>
    </row>
    <row r="3320" spans="1:10" x14ac:dyDescent="0.2">
      <c r="A3320">
        <v>13319</v>
      </c>
      <c r="B3320" t="s">
        <v>5</v>
      </c>
      <c r="C3320" t="s">
        <v>6</v>
      </c>
      <c r="D3320">
        <v>7.48</v>
      </c>
      <c r="E3320">
        <v>9</v>
      </c>
      <c r="F3320" t="s">
        <v>16</v>
      </c>
      <c r="G3320">
        <v>55</v>
      </c>
      <c r="H3320">
        <v>11.594000000000001</v>
      </c>
      <c r="I3320">
        <v>55.000000000000007</v>
      </c>
      <c r="J3320" t="s">
        <v>20</v>
      </c>
    </row>
    <row r="3321" spans="1:10" x14ac:dyDescent="0.2">
      <c r="A3321">
        <v>13320</v>
      </c>
      <c r="B3321" t="s">
        <v>10</v>
      </c>
      <c r="C3321" t="s">
        <v>11</v>
      </c>
      <c r="D3321">
        <v>9.4499999999999993</v>
      </c>
      <c r="E3321">
        <v>6</v>
      </c>
      <c r="F3321" t="s">
        <v>15</v>
      </c>
      <c r="G3321">
        <v>25</v>
      </c>
      <c r="H3321">
        <v>11.8125</v>
      </c>
      <c r="I3321">
        <v>25</v>
      </c>
      <c r="J3321" t="s">
        <v>20</v>
      </c>
    </row>
    <row r="3322" spans="1:10" x14ac:dyDescent="0.2">
      <c r="A3322">
        <v>13321</v>
      </c>
      <c r="B3322" t="s">
        <v>7</v>
      </c>
      <c r="C3322" t="s">
        <v>9</v>
      </c>
      <c r="D3322">
        <v>6.37</v>
      </c>
      <c r="E3322">
        <v>8</v>
      </c>
      <c r="F3322" t="s">
        <v>16</v>
      </c>
      <c r="G3322">
        <v>60</v>
      </c>
      <c r="H3322">
        <v>10.192</v>
      </c>
      <c r="I3322">
        <v>60.000000000000007</v>
      </c>
      <c r="J3322" t="s">
        <v>20</v>
      </c>
    </row>
    <row r="3323" spans="1:10" x14ac:dyDescent="0.2">
      <c r="A3323">
        <v>13322</v>
      </c>
      <c r="B3323" t="s">
        <v>10</v>
      </c>
      <c r="C3323" t="s">
        <v>6</v>
      </c>
      <c r="D3323">
        <v>3.38</v>
      </c>
      <c r="E3323">
        <v>8</v>
      </c>
      <c r="F3323" t="s">
        <v>16</v>
      </c>
      <c r="G3323">
        <v>55</v>
      </c>
      <c r="H3323">
        <v>5.2389999999999999</v>
      </c>
      <c r="I3323">
        <v>55.000000000000007</v>
      </c>
      <c r="J3323" t="s">
        <v>20</v>
      </c>
    </row>
    <row r="3324" spans="1:10" x14ac:dyDescent="0.2">
      <c r="A3324">
        <v>13323</v>
      </c>
      <c r="B3324" t="s">
        <v>5</v>
      </c>
      <c r="C3324" t="s">
        <v>11</v>
      </c>
      <c r="D3324">
        <v>14.44</v>
      </c>
      <c r="E3324">
        <v>7</v>
      </c>
      <c r="F3324" t="s">
        <v>15</v>
      </c>
      <c r="G3324">
        <v>25</v>
      </c>
      <c r="H3324">
        <v>18.05</v>
      </c>
      <c r="I3324">
        <v>25</v>
      </c>
      <c r="J3324" t="s">
        <v>20</v>
      </c>
    </row>
    <row r="3325" spans="1:10" x14ac:dyDescent="0.2">
      <c r="A3325">
        <v>13324</v>
      </c>
      <c r="B3325" t="s">
        <v>10</v>
      </c>
      <c r="C3325" t="s">
        <v>11</v>
      </c>
      <c r="D3325">
        <v>7.92</v>
      </c>
      <c r="E3325">
        <v>5</v>
      </c>
      <c r="F3325" t="s">
        <v>15</v>
      </c>
      <c r="G3325">
        <v>25</v>
      </c>
      <c r="H3325">
        <v>9.9</v>
      </c>
      <c r="I3325">
        <v>25</v>
      </c>
      <c r="J3325" t="s">
        <v>20</v>
      </c>
    </row>
    <row r="3326" spans="1:10" x14ac:dyDescent="0.2">
      <c r="A3326">
        <v>13325</v>
      </c>
      <c r="B3326" t="s">
        <v>5</v>
      </c>
      <c r="C3326" t="s">
        <v>11</v>
      </c>
      <c r="D3326">
        <v>11.14</v>
      </c>
      <c r="E3326">
        <v>2</v>
      </c>
      <c r="F3326" t="s">
        <v>14</v>
      </c>
      <c r="G3326">
        <v>10</v>
      </c>
      <c r="H3326">
        <v>12.254000000000001</v>
      </c>
      <c r="I3326">
        <v>10.000000000000009</v>
      </c>
      <c r="J3326" t="s">
        <v>20</v>
      </c>
    </row>
    <row r="3327" spans="1:10" x14ac:dyDescent="0.2">
      <c r="A3327">
        <v>13326</v>
      </c>
      <c r="B3327" t="s">
        <v>10</v>
      </c>
      <c r="C3327" t="s">
        <v>9</v>
      </c>
      <c r="D3327">
        <v>6.46</v>
      </c>
      <c r="E3327">
        <v>10</v>
      </c>
      <c r="F3327" t="s">
        <v>16</v>
      </c>
      <c r="G3327">
        <v>60</v>
      </c>
      <c r="H3327">
        <v>10.336</v>
      </c>
      <c r="I3327">
        <v>60.000000000000007</v>
      </c>
      <c r="J3327" t="s">
        <v>20</v>
      </c>
    </row>
    <row r="3328" spans="1:10" x14ac:dyDescent="0.2">
      <c r="A3328">
        <v>13327</v>
      </c>
      <c r="B3328" t="s">
        <v>5</v>
      </c>
      <c r="C3328" t="s">
        <v>6</v>
      </c>
      <c r="D3328">
        <v>5.65</v>
      </c>
      <c r="E3328">
        <v>10</v>
      </c>
      <c r="F3328" t="s">
        <v>16</v>
      </c>
      <c r="G3328">
        <v>55</v>
      </c>
      <c r="H3328">
        <v>8.7575000000000003</v>
      </c>
      <c r="I3328">
        <v>55.000000000000007</v>
      </c>
      <c r="J3328" t="s">
        <v>20</v>
      </c>
    </row>
    <row r="3329" spans="1:10" x14ac:dyDescent="0.2">
      <c r="A3329">
        <v>13328</v>
      </c>
      <c r="B3329" t="s">
        <v>5</v>
      </c>
      <c r="C3329" t="s">
        <v>9</v>
      </c>
      <c r="D3329">
        <v>6.4</v>
      </c>
      <c r="E3329">
        <v>5</v>
      </c>
      <c r="F3329" t="s">
        <v>15</v>
      </c>
      <c r="G3329">
        <v>30</v>
      </c>
      <c r="H3329">
        <v>8.32</v>
      </c>
      <c r="I3329">
        <v>30.000000000000004</v>
      </c>
      <c r="J3329" t="s">
        <v>20</v>
      </c>
    </row>
    <row r="3330" spans="1:10" x14ac:dyDescent="0.2">
      <c r="A3330">
        <v>13329</v>
      </c>
      <c r="B3330" t="s">
        <v>10</v>
      </c>
      <c r="C3330" t="s">
        <v>9</v>
      </c>
      <c r="D3330">
        <v>6.43</v>
      </c>
      <c r="E3330">
        <v>7</v>
      </c>
      <c r="F3330" t="s">
        <v>15</v>
      </c>
      <c r="G3330">
        <v>30</v>
      </c>
      <c r="H3330">
        <v>8.359</v>
      </c>
      <c r="I3330">
        <v>30.000000000000004</v>
      </c>
      <c r="J3330" t="s">
        <v>20</v>
      </c>
    </row>
    <row r="3331" spans="1:10" x14ac:dyDescent="0.2">
      <c r="A3331">
        <v>13330</v>
      </c>
      <c r="B3331" t="s">
        <v>7</v>
      </c>
      <c r="C3331" t="s">
        <v>9</v>
      </c>
      <c r="D3331">
        <v>8.39</v>
      </c>
      <c r="E3331">
        <v>7</v>
      </c>
      <c r="F3331" t="s">
        <v>15</v>
      </c>
      <c r="G3331">
        <v>30</v>
      </c>
      <c r="H3331">
        <v>10.907000000000002</v>
      </c>
      <c r="I3331">
        <v>30.000000000000004</v>
      </c>
      <c r="J3331" t="s">
        <v>20</v>
      </c>
    </row>
    <row r="3332" spans="1:10" x14ac:dyDescent="0.2">
      <c r="A3332">
        <v>13331</v>
      </c>
      <c r="B3332" t="s">
        <v>8</v>
      </c>
      <c r="C3332" t="s">
        <v>6</v>
      </c>
      <c r="D3332">
        <v>8.3800000000000008</v>
      </c>
      <c r="E3332">
        <v>2</v>
      </c>
      <c r="F3332" t="s">
        <v>14</v>
      </c>
      <c r="G3332">
        <v>12</v>
      </c>
      <c r="H3332">
        <v>9.3856000000000019</v>
      </c>
      <c r="I3332">
        <v>12.000000000000011</v>
      </c>
      <c r="J3332" t="s">
        <v>20</v>
      </c>
    </row>
    <row r="3333" spans="1:10" x14ac:dyDescent="0.2">
      <c r="A3333">
        <v>13332</v>
      </c>
      <c r="B3333" t="s">
        <v>7</v>
      </c>
      <c r="C3333" t="s">
        <v>9</v>
      </c>
      <c r="D3333">
        <v>7.71</v>
      </c>
      <c r="E3333">
        <v>7</v>
      </c>
      <c r="F3333" t="s">
        <v>15</v>
      </c>
      <c r="G3333">
        <v>30</v>
      </c>
      <c r="H3333">
        <v>10.023</v>
      </c>
      <c r="I3333">
        <v>30.000000000000004</v>
      </c>
      <c r="J3333" t="s">
        <v>20</v>
      </c>
    </row>
    <row r="3334" spans="1:10" x14ac:dyDescent="0.2">
      <c r="A3334">
        <v>13333</v>
      </c>
      <c r="B3334" t="s">
        <v>10</v>
      </c>
      <c r="C3334" t="s">
        <v>9</v>
      </c>
      <c r="D3334">
        <v>2.4500000000000002</v>
      </c>
      <c r="E3334">
        <v>6</v>
      </c>
      <c r="F3334" t="s">
        <v>15</v>
      </c>
      <c r="G3334">
        <v>30</v>
      </c>
      <c r="H3334">
        <v>3.1850000000000005</v>
      </c>
      <c r="I3334">
        <v>30.000000000000004</v>
      </c>
      <c r="J3334" t="s">
        <v>20</v>
      </c>
    </row>
    <row r="3335" spans="1:10" x14ac:dyDescent="0.2">
      <c r="A3335">
        <v>13334</v>
      </c>
      <c r="B3335" t="s">
        <v>7</v>
      </c>
      <c r="C3335" t="s">
        <v>9</v>
      </c>
      <c r="D3335">
        <v>7.69</v>
      </c>
      <c r="E3335">
        <v>7</v>
      </c>
      <c r="F3335" t="s">
        <v>15</v>
      </c>
      <c r="G3335">
        <v>30</v>
      </c>
      <c r="H3335">
        <v>9.9970000000000017</v>
      </c>
      <c r="I3335">
        <v>30.000000000000004</v>
      </c>
      <c r="J3335" t="s">
        <v>20</v>
      </c>
    </row>
    <row r="3336" spans="1:10" x14ac:dyDescent="0.2">
      <c r="A3336">
        <v>13335</v>
      </c>
      <c r="B3336" t="s">
        <v>5</v>
      </c>
      <c r="C3336" t="s">
        <v>9</v>
      </c>
      <c r="D3336">
        <v>2.95</v>
      </c>
      <c r="E3336">
        <v>8</v>
      </c>
      <c r="F3336" t="s">
        <v>16</v>
      </c>
      <c r="G3336">
        <v>60</v>
      </c>
      <c r="H3336">
        <v>4.7200000000000006</v>
      </c>
      <c r="I3336">
        <v>60.000000000000007</v>
      </c>
      <c r="J3336" t="s">
        <v>20</v>
      </c>
    </row>
    <row r="3337" spans="1:10" x14ac:dyDescent="0.2">
      <c r="A3337">
        <v>13336</v>
      </c>
      <c r="B3337" t="s">
        <v>8</v>
      </c>
      <c r="C3337" t="s">
        <v>11</v>
      </c>
      <c r="D3337">
        <v>2.33</v>
      </c>
      <c r="E3337">
        <v>4</v>
      </c>
      <c r="F3337" t="s">
        <v>15</v>
      </c>
      <c r="G3337">
        <v>25</v>
      </c>
      <c r="H3337">
        <v>2.9125000000000001</v>
      </c>
      <c r="I3337">
        <v>25</v>
      </c>
      <c r="J3337" t="s">
        <v>20</v>
      </c>
    </row>
    <row r="3338" spans="1:10" x14ac:dyDescent="0.2">
      <c r="A3338">
        <v>13337</v>
      </c>
      <c r="B3338" t="s">
        <v>10</v>
      </c>
      <c r="C3338" t="s">
        <v>9</v>
      </c>
      <c r="D3338">
        <v>14.02</v>
      </c>
      <c r="E3338">
        <v>1</v>
      </c>
      <c r="F3338" t="s">
        <v>14</v>
      </c>
      <c r="G3338">
        <v>15</v>
      </c>
      <c r="H3338">
        <v>16.122999999999998</v>
      </c>
      <c r="I3338">
        <v>14.999999999999991</v>
      </c>
      <c r="J3338" t="s">
        <v>20</v>
      </c>
    </row>
    <row r="3339" spans="1:10" x14ac:dyDescent="0.2">
      <c r="A3339">
        <v>13338</v>
      </c>
      <c r="B3339" t="s">
        <v>10</v>
      </c>
      <c r="C3339" t="s">
        <v>11</v>
      </c>
      <c r="D3339">
        <v>9.27</v>
      </c>
      <c r="E3339">
        <v>8</v>
      </c>
      <c r="F3339" t="s">
        <v>16</v>
      </c>
      <c r="G3339">
        <v>50</v>
      </c>
      <c r="H3339">
        <v>13.904999999999999</v>
      </c>
      <c r="I3339">
        <v>50</v>
      </c>
      <c r="J3339" t="s">
        <v>20</v>
      </c>
    </row>
    <row r="3340" spans="1:10" x14ac:dyDescent="0.2">
      <c r="A3340">
        <v>13339</v>
      </c>
      <c r="B3340" t="s">
        <v>10</v>
      </c>
      <c r="C3340" t="s">
        <v>9</v>
      </c>
      <c r="D3340">
        <v>10.06</v>
      </c>
      <c r="E3340">
        <v>8</v>
      </c>
      <c r="F3340" t="s">
        <v>16</v>
      </c>
      <c r="G3340">
        <v>60</v>
      </c>
      <c r="H3340">
        <v>16.096</v>
      </c>
      <c r="I3340">
        <v>59.999999999999986</v>
      </c>
      <c r="J3340" t="s">
        <v>20</v>
      </c>
    </row>
    <row r="3341" spans="1:10" x14ac:dyDescent="0.2">
      <c r="A3341">
        <v>13340</v>
      </c>
      <c r="B3341" t="s">
        <v>8</v>
      </c>
      <c r="C3341" t="s">
        <v>6</v>
      </c>
      <c r="D3341">
        <v>6.33</v>
      </c>
      <c r="E3341">
        <v>3</v>
      </c>
      <c r="F3341" t="s">
        <v>14</v>
      </c>
      <c r="G3341">
        <v>12</v>
      </c>
      <c r="H3341">
        <v>7.0896000000000008</v>
      </c>
      <c r="I3341">
        <v>12.000000000000011</v>
      </c>
      <c r="J3341" t="s">
        <v>20</v>
      </c>
    </row>
    <row r="3342" spans="1:10" x14ac:dyDescent="0.2">
      <c r="A3342">
        <v>13341</v>
      </c>
      <c r="B3342" t="s">
        <v>5</v>
      </c>
      <c r="C3342" t="s">
        <v>11</v>
      </c>
      <c r="D3342">
        <v>13.68</v>
      </c>
      <c r="E3342">
        <v>3</v>
      </c>
      <c r="F3342" t="s">
        <v>14</v>
      </c>
      <c r="G3342">
        <v>10</v>
      </c>
      <c r="H3342">
        <v>15.048</v>
      </c>
      <c r="I3342">
        <v>10.000000000000009</v>
      </c>
      <c r="J3342" t="s">
        <v>20</v>
      </c>
    </row>
    <row r="3343" spans="1:10" x14ac:dyDescent="0.2">
      <c r="A3343">
        <v>13342</v>
      </c>
      <c r="B3343" t="s">
        <v>10</v>
      </c>
      <c r="C3343" t="s">
        <v>11</v>
      </c>
      <c r="D3343">
        <v>9.75</v>
      </c>
      <c r="E3343">
        <v>5</v>
      </c>
      <c r="F3343" t="s">
        <v>15</v>
      </c>
      <c r="G3343">
        <v>25</v>
      </c>
      <c r="H3343">
        <v>12.1875</v>
      </c>
      <c r="I3343">
        <v>25</v>
      </c>
      <c r="J3343" t="s">
        <v>20</v>
      </c>
    </row>
    <row r="3344" spans="1:10" x14ac:dyDescent="0.2">
      <c r="A3344">
        <v>13343</v>
      </c>
      <c r="B3344" t="s">
        <v>7</v>
      </c>
      <c r="C3344" t="s">
        <v>11</v>
      </c>
      <c r="D3344">
        <v>11.65</v>
      </c>
      <c r="E3344">
        <v>3</v>
      </c>
      <c r="F3344" t="s">
        <v>14</v>
      </c>
      <c r="G3344">
        <v>10</v>
      </c>
      <c r="H3344">
        <v>12.815000000000001</v>
      </c>
      <c r="I3344">
        <v>10.000000000000009</v>
      </c>
      <c r="J3344" t="s">
        <v>20</v>
      </c>
    </row>
    <row r="3345" spans="1:10" x14ac:dyDescent="0.2">
      <c r="A3345">
        <v>13344</v>
      </c>
      <c r="B3345" t="s">
        <v>10</v>
      </c>
      <c r="C3345" t="s">
        <v>11</v>
      </c>
      <c r="D3345">
        <v>5.84</v>
      </c>
      <c r="E3345">
        <v>5</v>
      </c>
      <c r="F3345" t="s">
        <v>15</v>
      </c>
      <c r="G3345">
        <v>25</v>
      </c>
      <c r="H3345">
        <v>7.3</v>
      </c>
      <c r="I3345">
        <v>25</v>
      </c>
      <c r="J3345" t="s">
        <v>20</v>
      </c>
    </row>
    <row r="3346" spans="1:10" x14ac:dyDescent="0.2">
      <c r="A3346">
        <v>13345</v>
      </c>
      <c r="B3346" t="s">
        <v>10</v>
      </c>
      <c r="C3346" t="s">
        <v>6</v>
      </c>
      <c r="D3346">
        <v>14.42</v>
      </c>
      <c r="E3346">
        <v>8</v>
      </c>
      <c r="F3346" t="s">
        <v>16</v>
      </c>
      <c r="G3346">
        <v>55</v>
      </c>
      <c r="H3346">
        <v>22.350999999999999</v>
      </c>
      <c r="I3346">
        <v>55.000000000000007</v>
      </c>
      <c r="J3346" t="s">
        <v>20</v>
      </c>
    </row>
    <row r="3347" spans="1:10" x14ac:dyDescent="0.2">
      <c r="A3347">
        <v>13346</v>
      </c>
      <c r="B3347" t="s">
        <v>10</v>
      </c>
      <c r="C3347" t="s">
        <v>9</v>
      </c>
      <c r="D3347">
        <v>12.4</v>
      </c>
      <c r="E3347">
        <v>1</v>
      </c>
      <c r="F3347" t="s">
        <v>14</v>
      </c>
      <c r="G3347">
        <v>15</v>
      </c>
      <c r="H3347">
        <v>14.26</v>
      </c>
      <c r="I3347">
        <v>14.999999999999991</v>
      </c>
      <c r="J3347" t="s">
        <v>20</v>
      </c>
    </row>
    <row r="3348" spans="1:10" x14ac:dyDescent="0.2">
      <c r="A3348">
        <v>13347</v>
      </c>
      <c r="B3348" t="s">
        <v>10</v>
      </c>
      <c r="C3348" t="s">
        <v>11</v>
      </c>
      <c r="D3348">
        <v>12.88</v>
      </c>
      <c r="E3348">
        <v>2</v>
      </c>
      <c r="F3348" t="s">
        <v>14</v>
      </c>
      <c r="G3348">
        <v>10</v>
      </c>
      <c r="H3348">
        <v>14.168000000000003</v>
      </c>
      <c r="I3348">
        <v>10.000000000000009</v>
      </c>
      <c r="J3348" t="s">
        <v>20</v>
      </c>
    </row>
    <row r="3349" spans="1:10" x14ac:dyDescent="0.2">
      <c r="A3349">
        <v>13348</v>
      </c>
      <c r="B3349" t="s">
        <v>5</v>
      </c>
      <c r="C3349" t="s">
        <v>6</v>
      </c>
      <c r="D3349">
        <v>3</v>
      </c>
      <c r="E3349">
        <v>2</v>
      </c>
      <c r="F3349" t="s">
        <v>14</v>
      </c>
      <c r="G3349">
        <v>12</v>
      </c>
      <c r="H3349">
        <v>3.3600000000000003</v>
      </c>
      <c r="I3349">
        <v>12.000000000000011</v>
      </c>
      <c r="J3349" t="s">
        <v>20</v>
      </c>
    </row>
    <row r="3350" spans="1:10" x14ac:dyDescent="0.2">
      <c r="A3350">
        <v>13349</v>
      </c>
      <c r="B3350" t="s">
        <v>7</v>
      </c>
      <c r="C3350" t="s">
        <v>11</v>
      </c>
      <c r="D3350">
        <v>4.43</v>
      </c>
      <c r="E3350">
        <v>4</v>
      </c>
      <c r="F3350" t="s">
        <v>15</v>
      </c>
      <c r="G3350">
        <v>25</v>
      </c>
      <c r="H3350">
        <v>5.5374999999999996</v>
      </c>
      <c r="I3350">
        <v>25</v>
      </c>
      <c r="J3350" t="s">
        <v>20</v>
      </c>
    </row>
    <row r="3351" spans="1:10" x14ac:dyDescent="0.2">
      <c r="A3351">
        <v>13350</v>
      </c>
      <c r="B3351" t="s">
        <v>5</v>
      </c>
      <c r="C3351" t="s">
        <v>9</v>
      </c>
      <c r="D3351">
        <v>4.6399999999999997</v>
      </c>
      <c r="E3351">
        <v>9</v>
      </c>
      <c r="F3351" t="s">
        <v>16</v>
      </c>
      <c r="G3351">
        <v>60</v>
      </c>
      <c r="H3351">
        <v>7.4239999999999995</v>
      </c>
      <c r="I3351">
        <v>60.000000000000007</v>
      </c>
      <c r="J3351" t="s">
        <v>20</v>
      </c>
    </row>
    <row r="3352" spans="1:10" x14ac:dyDescent="0.2">
      <c r="A3352">
        <v>13351</v>
      </c>
      <c r="B3352" t="s">
        <v>7</v>
      </c>
      <c r="C3352" t="s">
        <v>11</v>
      </c>
      <c r="D3352">
        <v>4.43</v>
      </c>
      <c r="E3352">
        <v>2</v>
      </c>
      <c r="F3352" t="s">
        <v>14</v>
      </c>
      <c r="G3352">
        <v>10</v>
      </c>
      <c r="H3352">
        <v>4.8730000000000002</v>
      </c>
      <c r="I3352">
        <v>10.000000000000009</v>
      </c>
      <c r="J3352" t="s">
        <v>20</v>
      </c>
    </row>
    <row r="3353" spans="1:10" x14ac:dyDescent="0.2">
      <c r="A3353">
        <v>13352</v>
      </c>
      <c r="B3353" t="s">
        <v>10</v>
      </c>
      <c r="C3353" t="s">
        <v>6</v>
      </c>
      <c r="D3353">
        <v>12.9</v>
      </c>
      <c r="E3353">
        <v>9</v>
      </c>
      <c r="F3353" t="s">
        <v>16</v>
      </c>
      <c r="G3353">
        <v>55</v>
      </c>
      <c r="H3353">
        <v>19.995000000000001</v>
      </c>
      <c r="I3353">
        <v>55.000000000000007</v>
      </c>
      <c r="J3353" t="s">
        <v>20</v>
      </c>
    </row>
    <row r="3354" spans="1:10" x14ac:dyDescent="0.2">
      <c r="A3354">
        <v>13353</v>
      </c>
      <c r="B3354" t="s">
        <v>8</v>
      </c>
      <c r="C3354" t="s">
        <v>9</v>
      </c>
      <c r="D3354">
        <v>0.96</v>
      </c>
      <c r="E3354">
        <v>7</v>
      </c>
      <c r="F3354" t="s">
        <v>15</v>
      </c>
      <c r="G3354">
        <v>30</v>
      </c>
      <c r="H3354">
        <v>1.248</v>
      </c>
      <c r="I3354">
        <v>30.000000000000004</v>
      </c>
      <c r="J3354" t="s">
        <v>20</v>
      </c>
    </row>
    <row r="3355" spans="1:10" x14ac:dyDescent="0.2">
      <c r="A3355">
        <v>13354</v>
      </c>
      <c r="B3355" t="s">
        <v>5</v>
      </c>
      <c r="C3355" t="s">
        <v>6</v>
      </c>
      <c r="D3355">
        <v>1.6</v>
      </c>
      <c r="E3355">
        <v>10</v>
      </c>
      <c r="F3355" t="s">
        <v>16</v>
      </c>
      <c r="G3355">
        <v>55</v>
      </c>
      <c r="H3355">
        <v>2.4800000000000004</v>
      </c>
      <c r="I3355">
        <v>55.000000000000028</v>
      </c>
      <c r="J3355" t="s">
        <v>20</v>
      </c>
    </row>
    <row r="3356" spans="1:10" x14ac:dyDescent="0.2">
      <c r="A3356">
        <v>13355</v>
      </c>
      <c r="B3356" t="s">
        <v>8</v>
      </c>
      <c r="C3356" t="s">
        <v>9</v>
      </c>
      <c r="D3356">
        <v>4.47</v>
      </c>
      <c r="E3356">
        <v>8</v>
      </c>
      <c r="F3356" t="s">
        <v>16</v>
      </c>
      <c r="G3356">
        <v>60</v>
      </c>
      <c r="H3356">
        <v>7.1520000000000001</v>
      </c>
      <c r="I3356">
        <v>60.000000000000007</v>
      </c>
      <c r="J3356" t="s">
        <v>20</v>
      </c>
    </row>
    <row r="3357" spans="1:10" x14ac:dyDescent="0.2">
      <c r="A3357">
        <v>13356</v>
      </c>
      <c r="B3357" t="s">
        <v>5</v>
      </c>
      <c r="C3357" t="s">
        <v>9</v>
      </c>
      <c r="D3357">
        <v>3.4</v>
      </c>
      <c r="E3357">
        <v>1</v>
      </c>
      <c r="F3357" t="s">
        <v>14</v>
      </c>
      <c r="G3357">
        <v>15</v>
      </c>
      <c r="H3357">
        <v>3.9099999999999997</v>
      </c>
      <c r="I3357">
        <v>14.999999999999991</v>
      </c>
      <c r="J3357" t="s">
        <v>20</v>
      </c>
    </row>
    <row r="3358" spans="1:10" x14ac:dyDescent="0.2">
      <c r="A3358">
        <v>13357</v>
      </c>
      <c r="B3358" t="s">
        <v>10</v>
      </c>
      <c r="C3358" t="s">
        <v>9</v>
      </c>
      <c r="D3358">
        <v>3.86</v>
      </c>
      <c r="E3358">
        <v>5</v>
      </c>
      <c r="F3358" t="s">
        <v>15</v>
      </c>
      <c r="G3358">
        <v>30</v>
      </c>
      <c r="H3358">
        <v>5.0179999999999998</v>
      </c>
      <c r="I3358">
        <v>30.000000000000004</v>
      </c>
      <c r="J3358" t="s">
        <v>20</v>
      </c>
    </row>
    <row r="3359" spans="1:10" x14ac:dyDescent="0.2">
      <c r="A3359">
        <v>13358</v>
      </c>
      <c r="B3359" t="s">
        <v>5</v>
      </c>
      <c r="C3359" t="s">
        <v>11</v>
      </c>
      <c r="D3359">
        <v>12.07</v>
      </c>
      <c r="E3359">
        <v>9</v>
      </c>
      <c r="F3359" t="s">
        <v>16</v>
      </c>
      <c r="G3359">
        <v>50</v>
      </c>
      <c r="H3359">
        <v>18.105</v>
      </c>
      <c r="I3359">
        <v>50</v>
      </c>
      <c r="J3359" t="s">
        <v>20</v>
      </c>
    </row>
    <row r="3360" spans="1:10" x14ac:dyDescent="0.2">
      <c r="A3360">
        <v>13359</v>
      </c>
      <c r="B3360" t="s">
        <v>10</v>
      </c>
      <c r="C3360" t="s">
        <v>6</v>
      </c>
      <c r="D3360">
        <v>8.67</v>
      </c>
      <c r="E3360">
        <v>4</v>
      </c>
      <c r="F3360" t="s">
        <v>15</v>
      </c>
      <c r="G3360">
        <v>28</v>
      </c>
      <c r="H3360">
        <v>11.0976</v>
      </c>
      <c r="I3360">
        <v>28.000000000000004</v>
      </c>
      <c r="J3360" t="s">
        <v>20</v>
      </c>
    </row>
    <row r="3361" spans="1:10" x14ac:dyDescent="0.2">
      <c r="A3361">
        <v>13360</v>
      </c>
      <c r="B3361" t="s">
        <v>5</v>
      </c>
      <c r="C3361" t="s">
        <v>6</v>
      </c>
      <c r="D3361">
        <v>0.57999999999999996</v>
      </c>
      <c r="E3361">
        <v>2</v>
      </c>
      <c r="F3361" t="s">
        <v>14</v>
      </c>
      <c r="G3361">
        <v>12</v>
      </c>
      <c r="H3361">
        <v>0.64960000000000007</v>
      </c>
      <c r="I3361">
        <v>12.000000000000011</v>
      </c>
      <c r="J3361" t="s">
        <v>20</v>
      </c>
    </row>
    <row r="3362" spans="1:10" x14ac:dyDescent="0.2">
      <c r="A3362">
        <v>13361</v>
      </c>
      <c r="B3362" t="s">
        <v>10</v>
      </c>
      <c r="C3362" t="s">
        <v>6</v>
      </c>
      <c r="D3362">
        <v>6.73</v>
      </c>
      <c r="E3362">
        <v>6</v>
      </c>
      <c r="F3362" t="s">
        <v>15</v>
      </c>
      <c r="G3362">
        <v>28</v>
      </c>
      <c r="H3362">
        <v>8.6144000000000016</v>
      </c>
      <c r="I3362">
        <v>28.000000000000025</v>
      </c>
      <c r="J3362" t="s">
        <v>20</v>
      </c>
    </row>
    <row r="3363" spans="1:10" x14ac:dyDescent="0.2">
      <c r="A3363">
        <v>13362</v>
      </c>
      <c r="B3363" t="s">
        <v>10</v>
      </c>
      <c r="C3363" t="s">
        <v>9</v>
      </c>
      <c r="D3363">
        <v>6.41</v>
      </c>
      <c r="E3363">
        <v>2</v>
      </c>
      <c r="F3363" t="s">
        <v>14</v>
      </c>
      <c r="G3363">
        <v>15</v>
      </c>
      <c r="H3363">
        <v>7.3714999999999993</v>
      </c>
      <c r="I3363">
        <v>14.999999999999991</v>
      </c>
      <c r="J3363" t="s">
        <v>20</v>
      </c>
    </row>
    <row r="3364" spans="1:10" x14ac:dyDescent="0.2">
      <c r="A3364">
        <v>13363</v>
      </c>
      <c r="B3364" t="s">
        <v>7</v>
      </c>
      <c r="C3364" t="s">
        <v>11</v>
      </c>
      <c r="D3364">
        <v>2.15</v>
      </c>
      <c r="E3364">
        <v>3</v>
      </c>
      <c r="F3364" t="s">
        <v>14</v>
      </c>
      <c r="G3364">
        <v>10</v>
      </c>
      <c r="H3364">
        <v>2.3650000000000002</v>
      </c>
      <c r="I3364">
        <v>10.000000000000009</v>
      </c>
      <c r="J3364" t="s">
        <v>20</v>
      </c>
    </row>
    <row r="3365" spans="1:10" x14ac:dyDescent="0.2">
      <c r="A3365">
        <v>13364</v>
      </c>
      <c r="B3365" t="s">
        <v>10</v>
      </c>
      <c r="C3365" t="s">
        <v>9</v>
      </c>
      <c r="D3365">
        <v>10.3</v>
      </c>
      <c r="E3365">
        <v>8</v>
      </c>
      <c r="F3365" t="s">
        <v>16</v>
      </c>
      <c r="G3365">
        <v>60</v>
      </c>
      <c r="H3365">
        <v>16.48</v>
      </c>
      <c r="I3365">
        <v>59.999999999999986</v>
      </c>
      <c r="J3365" t="s">
        <v>20</v>
      </c>
    </row>
    <row r="3366" spans="1:10" x14ac:dyDescent="0.2">
      <c r="A3366">
        <v>13365</v>
      </c>
      <c r="B3366" t="s">
        <v>7</v>
      </c>
      <c r="C3366" t="s">
        <v>6</v>
      </c>
      <c r="D3366">
        <v>10.68</v>
      </c>
      <c r="E3366">
        <v>3</v>
      </c>
      <c r="F3366" t="s">
        <v>14</v>
      </c>
      <c r="G3366">
        <v>12</v>
      </c>
      <c r="H3366">
        <v>11.961600000000001</v>
      </c>
      <c r="I3366">
        <v>12.000000000000011</v>
      </c>
      <c r="J3366" t="s">
        <v>20</v>
      </c>
    </row>
    <row r="3367" spans="1:10" x14ac:dyDescent="0.2">
      <c r="A3367">
        <v>13366</v>
      </c>
      <c r="B3367" t="s">
        <v>10</v>
      </c>
      <c r="C3367" t="s">
        <v>11</v>
      </c>
      <c r="D3367">
        <v>10.95</v>
      </c>
      <c r="E3367">
        <v>2</v>
      </c>
      <c r="F3367" t="s">
        <v>14</v>
      </c>
      <c r="G3367">
        <v>10</v>
      </c>
      <c r="H3367">
        <v>12.045</v>
      </c>
      <c r="I3367">
        <v>10.000000000000009</v>
      </c>
      <c r="J3367" t="s">
        <v>20</v>
      </c>
    </row>
    <row r="3368" spans="1:10" x14ac:dyDescent="0.2">
      <c r="A3368">
        <v>13367</v>
      </c>
      <c r="B3368" t="s">
        <v>8</v>
      </c>
      <c r="C3368" t="s">
        <v>11</v>
      </c>
      <c r="D3368">
        <v>11.06</v>
      </c>
      <c r="E3368">
        <v>6</v>
      </c>
      <c r="F3368" t="s">
        <v>15</v>
      </c>
      <c r="G3368">
        <v>25</v>
      </c>
      <c r="H3368">
        <v>13.825000000000001</v>
      </c>
      <c r="I3368">
        <v>25</v>
      </c>
      <c r="J3368" t="s">
        <v>20</v>
      </c>
    </row>
    <row r="3369" spans="1:10" x14ac:dyDescent="0.2">
      <c r="A3369">
        <v>13368</v>
      </c>
      <c r="B3369" t="s">
        <v>10</v>
      </c>
      <c r="C3369" t="s">
        <v>11</v>
      </c>
      <c r="D3369">
        <v>0.5</v>
      </c>
      <c r="E3369">
        <v>3</v>
      </c>
      <c r="F3369" t="s">
        <v>14</v>
      </c>
      <c r="G3369">
        <v>10</v>
      </c>
      <c r="H3369">
        <v>0.55000000000000004</v>
      </c>
      <c r="I3369">
        <v>10.000000000000009</v>
      </c>
      <c r="J3369" t="s">
        <v>20</v>
      </c>
    </row>
    <row r="3370" spans="1:10" x14ac:dyDescent="0.2">
      <c r="A3370">
        <v>13369</v>
      </c>
      <c r="B3370" t="s">
        <v>8</v>
      </c>
      <c r="C3370" t="s">
        <v>6</v>
      </c>
      <c r="D3370">
        <v>14.33</v>
      </c>
      <c r="E3370">
        <v>1</v>
      </c>
      <c r="F3370" t="s">
        <v>14</v>
      </c>
      <c r="G3370">
        <v>12</v>
      </c>
      <c r="H3370">
        <v>16.049600000000002</v>
      </c>
      <c r="I3370">
        <v>12.000000000000011</v>
      </c>
      <c r="J3370" t="s">
        <v>20</v>
      </c>
    </row>
    <row r="3371" spans="1:10" x14ac:dyDescent="0.2">
      <c r="A3371">
        <v>13370</v>
      </c>
      <c r="B3371" t="s">
        <v>8</v>
      </c>
      <c r="C3371" t="s">
        <v>11</v>
      </c>
      <c r="D3371">
        <v>12.31</v>
      </c>
      <c r="E3371">
        <v>3</v>
      </c>
      <c r="F3371" t="s">
        <v>14</v>
      </c>
      <c r="G3371">
        <v>10</v>
      </c>
      <c r="H3371">
        <v>13.541000000000002</v>
      </c>
      <c r="I3371">
        <v>10.000000000000009</v>
      </c>
      <c r="J3371" t="s">
        <v>20</v>
      </c>
    </row>
    <row r="3372" spans="1:10" x14ac:dyDescent="0.2">
      <c r="A3372">
        <v>13371</v>
      </c>
      <c r="B3372" t="s">
        <v>10</v>
      </c>
      <c r="C3372" t="s">
        <v>11</v>
      </c>
      <c r="D3372">
        <v>13.61</v>
      </c>
      <c r="E3372">
        <v>6</v>
      </c>
      <c r="F3372" t="s">
        <v>15</v>
      </c>
      <c r="G3372">
        <v>25</v>
      </c>
      <c r="H3372">
        <v>17.012499999999999</v>
      </c>
      <c r="I3372">
        <v>25</v>
      </c>
      <c r="J3372" t="s">
        <v>20</v>
      </c>
    </row>
    <row r="3373" spans="1:10" x14ac:dyDescent="0.2">
      <c r="A3373">
        <v>13372</v>
      </c>
      <c r="B3373" t="s">
        <v>8</v>
      </c>
      <c r="C3373" t="s">
        <v>9</v>
      </c>
      <c r="D3373">
        <v>0.73</v>
      </c>
      <c r="E3373">
        <v>3</v>
      </c>
      <c r="F3373" t="s">
        <v>14</v>
      </c>
      <c r="G3373">
        <v>15</v>
      </c>
      <c r="H3373">
        <v>0.83949999999999991</v>
      </c>
      <c r="I3373">
        <v>14.999999999999991</v>
      </c>
      <c r="J3373" t="s">
        <v>20</v>
      </c>
    </row>
    <row r="3374" spans="1:10" x14ac:dyDescent="0.2">
      <c r="A3374">
        <v>13373</v>
      </c>
      <c r="B3374" t="s">
        <v>7</v>
      </c>
      <c r="C3374" t="s">
        <v>9</v>
      </c>
      <c r="D3374">
        <v>14.04</v>
      </c>
      <c r="E3374">
        <v>9</v>
      </c>
      <c r="F3374" t="s">
        <v>16</v>
      </c>
      <c r="G3374">
        <v>60</v>
      </c>
      <c r="H3374">
        <v>22.463999999999999</v>
      </c>
      <c r="I3374">
        <v>60.000000000000007</v>
      </c>
      <c r="J3374" t="s">
        <v>20</v>
      </c>
    </row>
    <row r="3375" spans="1:10" x14ac:dyDescent="0.2">
      <c r="A3375">
        <v>13374</v>
      </c>
      <c r="B3375" t="s">
        <v>5</v>
      </c>
      <c r="C3375" t="s">
        <v>11</v>
      </c>
      <c r="D3375">
        <v>12.24</v>
      </c>
      <c r="E3375">
        <v>7</v>
      </c>
      <c r="F3375" t="s">
        <v>15</v>
      </c>
      <c r="G3375">
        <v>25</v>
      </c>
      <c r="H3375">
        <v>15.3</v>
      </c>
      <c r="I3375">
        <v>25</v>
      </c>
      <c r="J3375" t="s">
        <v>20</v>
      </c>
    </row>
    <row r="3376" spans="1:10" x14ac:dyDescent="0.2">
      <c r="A3376">
        <v>13375</v>
      </c>
      <c r="B3376" t="s">
        <v>10</v>
      </c>
      <c r="C3376" t="s">
        <v>11</v>
      </c>
      <c r="D3376">
        <v>12.64</v>
      </c>
      <c r="E3376">
        <v>5</v>
      </c>
      <c r="F3376" t="s">
        <v>15</v>
      </c>
      <c r="G3376">
        <v>25</v>
      </c>
      <c r="H3376">
        <v>15.8</v>
      </c>
      <c r="I3376">
        <v>25</v>
      </c>
      <c r="J3376" t="s">
        <v>20</v>
      </c>
    </row>
    <row r="3377" spans="1:10" x14ac:dyDescent="0.2">
      <c r="A3377">
        <v>13376</v>
      </c>
      <c r="B3377" t="s">
        <v>8</v>
      </c>
      <c r="C3377" t="s">
        <v>9</v>
      </c>
      <c r="D3377">
        <v>1.85</v>
      </c>
      <c r="E3377">
        <v>2</v>
      </c>
      <c r="F3377" t="s">
        <v>14</v>
      </c>
      <c r="G3377">
        <v>15</v>
      </c>
      <c r="H3377">
        <v>2.1274999999999999</v>
      </c>
      <c r="I3377">
        <v>14.999999999999991</v>
      </c>
      <c r="J3377" t="s">
        <v>20</v>
      </c>
    </row>
    <row r="3378" spans="1:10" x14ac:dyDescent="0.2">
      <c r="A3378">
        <v>13377</v>
      </c>
      <c r="B3378" t="s">
        <v>10</v>
      </c>
      <c r="C3378" t="s">
        <v>9</v>
      </c>
      <c r="D3378">
        <v>11.21</v>
      </c>
      <c r="E3378">
        <v>9</v>
      </c>
      <c r="F3378" t="s">
        <v>16</v>
      </c>
      <c r="G3378">
        <v>60</v>
      </c>
      <c r="H3378">
        <v>17.936000000000003</v>
      </c>
      <c r="I3378">
        <v>60.000000000000007</v>
      </c>
      <c r="J3378" t="s">
        <v>20</v>
      </c>
    </row>
    <row r="3379" spans="1:10" x14ac:dyDescent="0.2">
      <c r="A3379">
        <v>13378</v>
      </c>
      <c r="B3379" t="s">
        <v>7</v>
      </c>
      <c r="C3379" t="s">
        <v>9</v>
      </c>
      <c r="D3379">
        <v>14.42</v>
      </c>
      <c r="E3379">
        <v>5</v>
      </c>
      <c r="F3379" t="s">
        <v>15</v>
      </c>
      <c r="G3379">
        <v>30</v>
      </c>
      <c r="H3379">
        <v>18.746000000000002</v>
      </c>
      <c r="I3379">
        <v>30.000000000000028</v>
      </c>
      <c r="J3379" t="s">
        <v>20</v>
      </c>
    </row>
    <row r="3380" spans="1:10" x14ac:dyDescent="0.2">
      <c r="A3380">
        <v>13379</v>
      </c>
      <c r="B3380" t="s">
        <v>10</v>
      </c>
      <c r="C3380" t="s">
        <v>6</v>
      </c>
      <c r="D3380">
        <v>10.34</v>
      </c>
      <c r="E3380">
        <v>7</v>
      </c>
      <c r="F3380" t="s">
        <v>15</v>
      </c>
      <c r="G3380">
        <v>28</v>
      </c>
      <c r="H3380">
        <v>13.235200000000001</v>
      </c>
      <c r="I3380">
        <v>28.000000000000004</v>
      </c>
      <c r="J3380" t="s">
        <v>20</v>
      </c>
    </row>
    <row r="3381" spans="1:10" x14ac:dyDescent="0.2">
      <c r="A3381">
        <v>13380</v>
      </c>
      <c r="B3381" t="s">
        <v>10</v>
      </c>
      <c r="C3381" t="s">
        <v>6</v>
      </c>
      <c r="D3381">
        <v>8.77</v>
      </c>
      <c r="E3381">
        <v>9</v>
      </c>
      <c r="F3381" t="s">
        <v>16</v>
      </c>
      <c r="G3381">
        <v>55</v>
      </c>
      <c r="H3381">
        <v>13.593500000000001</v>
      </c>
      <c r="I3381">
        <v>55.000000000000007</v>
      </c>
      <c r="J3381" t="s">
        <v>20</v>
      </c>
    </row>
    <row r="3382" spans="1:10" x14ac:dyDescent="0.2">
      <c r="A3382">
        <v>13381</v>
      </c>
      <c r="B3382" t="s">
        <v>8</v>
      </c>
      <c r="C3382" t="s">
        <v>9</v>
      </c>
      <c r="D3382">
        <v>14.21</v>
      </c>
      <c r="E3382">
        <v>4</v>
      </c>
      <c r="F3382" t="s">
        <v>15</v>
      </c>
      <c r="G3382">
        <v>30</v>
      </c>
      <c r="H3382">
        <v>18.473000000000003</v>
      </c>
      <c r="I3382">
        <v>30.000000000000004</v>
      </c>
      <c r="J3382" t="s">
        <v>20</v>
      </c>
    </row>
    <row r="3383" spans="1:10" x14ac:dyDescent="0.2">
      <c r="A3383">
        <v>13382</v>
      </c>
      <c r="B3383" t="s">
        <v>7</v>
      </c>
      <c r="C3383" t="s">
        <v>11</v>
      </c>
      <c r="D3383">
        <v>6.92</v>
      </c>
      <c r="E3383">
        <v>9</v>
      </c>
      <c r="F3383" t="s">
        <v>16</v>
      </c>
      <c r="G3383">
        <v>50</v>
      </c>
      <c r="H3383">
        <v>10.379999999999999</v>
      </c>
      <c r="I3383">
        <v>49.999999999999979</v>
      </c>
      <c r="J3383" t="s">
        <v>20</v>
      </c>
    </row>
    <row r="3384" spans="1:10" x14ac:dyDescent="0.2">
      <c r="A3384">
        <v>13383</v>
      </c>
      <c r="B3384" t="s">
        <v>5</v>
      </c>
      <c r="C3384" t="s">
        <v>9</v>
      </c>
      <c r="D3384">
        <v>9.19</v>
      </c>
      <c r="E3384">
        <v>1</v>
      </c>
      <c r="F3384" t="s">
        <v>14</v>
      </c>
      <c r="G3384">
        <v>15</v>
      </c>
      <c r="H3384">
        <v>10.568499999999998</v>
      </c>
      <c r="I3384">
        <v>14.999999999999991</v>
      </c>
      <c r="J3384" t="s">
        <v>20</v>
      </c>
    </row>
    <row r="3385" spans="1:10" x14ac:dyDescent="0.2">
      <c r="A3385">
        <v>13384</v>
      </c>
      <c r="B3385" t="s">
        <v>5</v>
      </c>
      <c r="C3385" t="s">
        <v>6</v>
      </c>
      <c r="D3385">
        <v>7.41</v>
      </c>
      <c r="E3385">
        <v>6</v>
      </c>
      <c r="F3385" t="s">
        <v>15</v>
      </c>
      <c r="G3385">
        <v>28</v>
      </c>
      <c r="H3385">
        <v>9.4847999999999999</v>
      </c>
      <c r="I3385">
        <v>28.000000000000004</v>
      </c>
      <c r="J3385" t="s">
        <v>20</v>
      </c>
    </row>
    <row r="3386" spans="1:10" x14ac:dyDescent="0.2">
      <c r="A3386">
        <v>13385</v>
      </c>
      <c r="B3386" t="s">
        <v>8</v>
      </c>
      <c r="C3386" t="s">
        <v>11</v>
      </c>
      <c r="D3386">
        <v>14.03</v>
      </c>
      <c r="E3386">
        <v>2</v>
      </c>
      <c r="F3386" t="s">
        <v>14</v>
      </c>
      <c r="G3386">
        <v>10</v>
      </c>
      <c r="H3386">
        <v>15.433</v>
      </c>
      <c r="I3386">
        <v>10.000000000000009</v>
      </c>
      <c r="J3386" t="s">
        <v>20</v>
      </c>
    </row>
    <row r="3387" spans="1:10" x14ac:dyDescent="0.2">
      <c r="A3387">
        <v>13386</v>
      </c>
      <c r="B3387" t="s">
        <v>10</v>
      </c>
      <c r="C3387" t="s">
        <v>6</v>
      </c>
      <c r="D3387">
        <v>1.6</v>
      </c>
      <c r="E3387">
        <v>8</v>
      </c>
      <c r="F3387" t="s">
        <v>16</v>
      </c>
      <c r="G3387">
        <v>55</v>
      </c>
      <c r="H3387">
        <v>2.4800000000000004</v>
      </c>
      <c r="I3387">
        <v>55.000000000000028</v>
      </c>
      <c r="J3387" t="s">
        <v>20</v>
      </c>
    </row>
    <row r="3388" spans="1:10" x14ac:dyDescent="0.2">
      <c r="A3388">
        <v>13387</v>
      </c>
      <c r="B3388" t="s">
        <v>8</v>
      </c>
      <c r="C3388" t="s">
        <v>11</v>
      </c>
      <c r="D3388">
        <v>7.77</v>
      </c>
      <c r="E3388">
        <v>5</v>
      </c>
      <c r="F3388" t="s">
        <v>15</v>
      </c>
      <c r="G3388">
        <v>25</v>
      </c>
      <c r="H3388">
        <v>9.7124999999999986</v>
      </c>
      <c r="I3388">
        <v>24.999999999999979</v>
      </c>
      <c r="J3388" t="s">
        <v>20</v>
      </c>
    </row>
    <row r="3389" spans="1:10" x14ac:dyDescent="0.2">
      <c r="A3389">
        <v>13388</v>
      </c>
      <c r="B3389" t="s">
        <v>8</v>
      </c>
      <c r="C3389" t="s">
        <v>6</v>
      </c>
      <c r="D3389">
        <v>10.46</v>
      </c>
      <c r="E3389">
        <v>3</v>
      </c>
      <c r="F3389" t="s">
        <v>14</v>
      </c>
      <c r="G3389">
        <v>12</v>
      </c>
      <c r="H3389">
        <v>11.715200000000003</v>
      </c>
      <c r="I3389">
        <v>12.000000000000011</v>
      </c>
      <c r="J3389" t="s">
        <v>20</v>
      </c>
    </row>
    <row r="3390" spans="1:10" x14ac:dyDescent="0.2">
      <c r="A3390">
        <v>13389</v>
      </c>
      <c r="B3390" t="s">
        <v>8</v>
      </c>
      <c r="C3390" t="s">
        <v>11</v>
      </c>
      <c r="D3390">
        <v>11.98</v>
      </c>
      <c r="E3390">
        <v>2</v>
      </c>
      <c r="F3390" t="s">
        <v>14</v>
      </c>
      <c r="G3390">
        <v>10</v>
      </c>
      <c r="H3390">
        <v>13.178000000000001</v>
      </c>
      <c r="I3390">
        <v>10.000000000000009</v>
      </c>
      <c r="J3390" t="s">
        <v>20</v>
      </c>
    </row>
    <row r="3391" spans="1:10" x14ac:dyDescent="0.2">
      <c r="A3391">
        <v>13390</v>
      </c>
      <c r="B3391" t="s">
        <v>10</v>
      </c>
      <c r="C3391" t="s">
        <v>11</v>
      </c>
      <c r="D3391">
        <v>8.9499999999999993</v>
      </c>
      <c r="E3391">
        <v>8</v>
      </c>
      <c r="F3391" t="s">
        <v>16</v>
      </c>
      <c r="G3391">
        <v>50</v>
      </c>
      <c r="H3391">
        <v>13.424999999999999</v>
      </c>
      <c r="I3391">
        <v>50</v>
      </c>
      <c r="J3391" t="s">
        <v>20</v>
      </c>
    </row>
    <row r="3392" spans="1:10" x14ac:dyDescent="0.2">
      <c r="A3392">
        <v>13391</v>
      </c>
      <c r="B3392" t="s">
        <v>7</v>
      </c>
      <c r="C3392" t="s">
        <v>11</v>
      </c>
      <c r="D3392">
        <v>13.68</v>
      </c>
      <c r="E3392">
        <v>7</v>
      </c>
      <c r="F3392" t="s">
        <v>15</v>
      </c>
      <c r="G3392">
        <v>25</v>
      </c>
      <c r="H3392">
        <v>17.100000000000001</v>
      </c>
      <c r="I3392">
        <v>25.000000000000021</v>
      </c>
      <c r="J3392" t="s">
        <v>20</v>
      </c>
    </row>
    <row r="3393" spans="1:10" x14ac:dyDescent="0.2">
      <c r="A3393">
        <v>13392</v>
      </c>
      <c r="B3393" t="s">
        <v>8</v>
      </c>
      <c r="C3393" t="s">
        <v>11</v>
      </c>
      <c r="D3393">
        <v>14.16</v>
      </c>
      <c r="E3393">
        <v>9</v>
      </c>
      <c r="F3393" t="s">
        <v>16</v>
      </c>
      <c r="G3393">
        <v>50</v>
      </c>
      <c r="H3393">
        <v>21.240000000000002</v>
      </c>
      <c r="I3393">
        <v>50.000000000000021</v>
      </c>
      <c r="J3393" t="s">
        <v>20</v>
      </c>
    </row>
    <row r="3394" spans="1:10" x14ac:dyDescent="0.2">
      <c r="A3394">
        <v>13393</v>
      </c>
      <c r="B3394" t="s">
        <v>10</v>
      </c>
      <c r="C3394" t="s">
        <v>6</v>
      </c>
      <c r="D3394">
        <v>1.43</v>
      </c>
      <c r="E3394">
        <v>8</v>
      </c>
      <c r="F3394" t="s">
        <v>16</v>
      </c>
      <c r="G3394">
        <v>55</v>
      </c>
      <c r="H3394">
        <v>2.2164999999999999</v>
      </c>
      <c r="I3394">
        <v>55.000000000000007</v>
      </c>
      <c r="J3394" t="s">
        <v>20</v>
      </c>
    </row>
    <row r="3395" spans="1:10" x14ac:dyDescent="0.2">
      <c r="A3395">
        <v>13394</v>
      </c>
      <c r="B3395" t="s">
        <v>7</v>
      </c>
      <c r="C3395" t="s">
        <v>6</v>
      </c>
      <c r="D3395">
        <v>6.33</v>
      </c>
      <c r="E3395">
        <v>4</v>
      </c>
      <c r="F3395" t="s">
        <v>15</v>
      </c>
      <c r="G3395">
        <v>28</v>
      </c>
      <c r="H3395">
        <v>8.1023999999999994</v>
      </c>
      <c r="I3395">
        <v>27.999999999999979</v>
      </c>
      <c r="J3395" t="s">
        <v>20</v>
      </c>
    </row>
    <row r="3396" spans="1:10" x14ac:dyDescent="0.2">
      <c r="A3396">
        <v>13395</v>
      </c>
      <c r="B3396" t="s">
        <v>8</v>
      </c>
      <c r="C3396" t="s">
        <v>11</v>
      </c>
      <c r="D3396">
        <v>0.84</v>
      </c>
      <c r="E3396">
        <v>2</v>
      </c>
      <c r="F3396" t="s">
        <v>14</v>
      </c>
      <c r="G3396">
        <v>10</v>
      </c>
      <c r="H3396">
        <v>0.92400000000000004</v>
      </c>
      <c r="I3396">
        <v>10.000000000000009</v>
      </c>
      <c r="J3396" t="s">
        <v>20</v>
      </c>
    </row>
    <row r="3397" spans="1:10" x14ac:dyDescent="0.2">
      <c r="A3397">
        <v>13396</v>
      </c>
      <c r="B3397" t="s">
        <v>5</v>
      </c>
      <c r="C3397" t="s">
        <v>11</v>
      </c>
      <c r="D3397">
        <v>5.28</v>
      </c>
      <c r="E3397">
        <v>2</v>
      </c>
      <c r="F3397" t="s">
        <v>14</v>
      </c>
      <c r="G3397">
        <v>10</v>
      </c>
      <c r="H3397">
        <v>5.8080000000000007</v>
      </c>
      <c r="I3397">
        <v>10.000000000000009</v>
      </c>
      <c r="J3397" t="s">
        <v>20</v>
      </c>
    </row>
    <row r="3398" spans="1:10" x14ac:dyDescent="0.2">
      <c r="A3398">
        <v>13397</v>
      </c>
      <c r="B3398" t="s">
        <v>7</v>
      </c>
      <c r="C3398" t="s">
        <v>6</v>
      </c>
      <c r="D3398">
        <v>8.2799999999999994</v>
      </c>
      <c r="E3398">
        <v>2</v>
      </c>
      <c r="F3398" t="s">
        <v>14</v>
      </c>
      <c r="G3398">
        <v>12</v>
      </c>
      <c r="H3398">
        <v>9.2736000000000001</v>
      </c>
      <c r="I3398">
        <v>12.000000000000011</v>
      </c>
      <c r="J3398" t="s">
        <v>20</v>
      </c>
    </row>
    <row r="3399" spans="1:10" x14ac:dyDescent="0.2">
      <c r="A3399">
        <v>13398</v>
      </c>
      <c r="B3399" t="s">
        <v>8</v>
      </c>
      <c r="C3399" t="s">
        <v>11</v>
      </c>
      <c r="D3399">
        <v>13.71</v>
      </c>
      <c r="E3399">
        <v>6</v>
      </c>
      <c r="F3399" t="s">
        <v>15</v>
      </c>
      <c r="G3399">
        <v>25</v>
      </c>
      <c r="H3399">
        <v>17.137500000000003</v>
      </c>
      <c r="I3399">
        <v>25.000000000000021</v>
      </c>
      <c r="J3399" t="s">
        <v>20</v>
      </c>
    </row>
    <row r="3400" spans="1:10" x14ac:dyDescent="0.2">
      <c r="A3400">
        <v>13399</v>
      </c>
      <c r="B3400" t="s">
        <v>7</v>
      </c>
      <c r="C3400" t="s">
        <v>11</v>
      </c>
      <c r="D3400">
        <v>12.78</v>
      </c>
      <c r="E3400">
        <v>7</v>
      </c>
      <c r="F3400" t="s">
        <v>15</v>
      </c>
      <c r="G3400">
        <v>25</v>
      </c>
      <c r="H3400">
        <v>15.975</v>
      </c>
      <c r="I3400">
        <v>25</v>
      </c>
      <c r="J3400" t="s">
        <v>20</v>
      </c>
    </row>
    <row r="3401" spans="1:10" x14ac:dyDescent="0.2">
      <c r="A3401">
        <v>13400</v>
      </c>
      <c r="B3401" t="s">
        <v>7</v>
      </c>
      <c r="C3401" t="s">
        <v>11</v>
      </c>
      <c r="D3401">
        <v>2.35</v>
      </c>
      <c r="E3401">
        <v>6</v>
      </c>
      <c r="F3401" t="s">
        <v>15</v>
      </c>
      <c r="G3401">
        <v>25</v>
      </c>
      <c r="H3401">
        <v>2.9375</v>
      </c>
      <c r="I3401">
        <v>25</v>
      </c>
      <c r="J3401" t="s">
        <v>20</v>
      </c>
    </row>
    <row r="3402" spans="1:10" x14ac:dyDescent="0.2">
      <c r="A3402">
        <v>13401</v>
      </c>
      <c r="B3402" t="s">
        <v>7</v>
      </c>
      <c r="C3402" t="s">
        <v>9</v>
      </c>
      <c r="D3402">
        <v>1.85</v>
      </c>
      <c r="E3402">
        <v>2</v>
      </c>
      <c r="F3402" t="s">
        <v>14</v>
      </c>
      <c r="G3402">
        <v>15</v>
      </c>
      <c r="H3402">
        <v>2.1274999999999999</v>
      </c>
      <c r="I3402">
        <v>14.999999999999991</v>
      </c>
      <c r="J3402" t="s">
        <v>20</v>
      </c>
    </row>
    <row r="3403" spans="1:10" x14ac:dyDescent="0.2">
      <c r="A3403">
        <v>13402</v>
      </c>
      <c r="B3403" t="s">
        <v>7</v>
      </c>
      <c r="C3403" t="s">
        <v>11</v>
      </c>
      <c r="D3403">
        <v>9.0399999999999991</v>
      </c>
      <c r="E3403">
        <v>4</v>
      </c>
      <c r="F3403" t="s">
        <v>15</v>
      </c>
      <c r="G3403">
        <v>25</v>
      </c>
      <c r="H3403">
        <v>11.299999999999999</v>
      </c>
      <c r="I3403">
        <v>25</v>
      </c>
      <c r="J3403" t="s">
        <v>20</v>
      </c>
    </row>
    <row r="3404" spans="1:10" x14ac:dyDescent="0.2">
      <c r="A3404">
        <v>13403</v>
      </c>
      <c r="B3404" t="s">
        <v>7</v>
      </c>
      <c r="C3404" t="s">
        <v>9</v>
      </c>
      <c r="D3404">
        <v>8.2200000000000006</v>
      </c>
      <c r="E3404">
        <v>3</v>
      </c>
      <c r="F3404" t="s">
        <v>14</v>
      </c>
      <c r="G3404">
        <v>15</v>
      </c>
      <c r="H3404">
        <v>9.4529999999999994</v>
      </c>
      <c r="I3404">
        <v>14.999999999999991</v>
      </c>
      <c r="J3404" t="s">
        <v>20</v>
      </c>
    </row>
    <row r="3405" spans="1:10" x14ac:dyDescent="0.2">
      <c r="A3405">
        <v>13404</v>
      </c>
      <c r="B3405" t="s">
        <v>7</v>
      </c>
      <c r="C3405" t="s">
        <v>11</v>
      </c>
      <c r="D3405">
        <v>4.3600000000000003</v>
      </c>
      <c r="E3405">
        <v>4</v>
      </c>
      <c r="F3405" t="s">
        <v>15</v>
      </c>
      <c r="G3405">
        <v>25</v>
      </c>
      <c r="H3405">
        <v>5.45</v>
      </c>
      <c r="I3405">
        <v>25</v>
      </c>
      <c r="J3405" t="s">
        <v>20</v>
      </c>
    </row>
    <row r="3406" spans="1:10" x14ac:dyDescent="0.2">
      <c r="A3406">
        <v>13405</v>
      </c>
      <c r="B3406" t="s">
        <v>8</v>
      </c>
      <c r="C3406" t="s">
        <v>6</v>
      </c>
      <c r="D3406">
        <v>13.54</v>
      </c>
      <c r="E3406">
        <v>5</v>
      </c>
      <c r="F3406" t="s">
        <v>15</v>
      </c>
      <c r="G3406">
        <v>28</v>
      </c>
      <c r="H3406">
        <v>17.331199999999999</v>
      </c>
      <c r="I3406">
        <v>28.000000000000004</v>
      </c>
      <c r="J3406" t="s">
        <v>20</v>
      </c>
    </row>
    <row r="3407" spans="1:10" x14ac:dyDescent="0.2">
      <c r="A3407">
        <v>13406</v>
      </c>
      <c r="B3407" t="s">
        <v>5</v>
      </c>
      <c r="C3407" t="s">
        <v>9</v>
      </c>
      <c r="D3407">
        <v>13.95</v>
      </c>
      <c r="E3407">
        <v>7</v>
      </c>
      <c r="F3407" t="s">
        <v>15</v>
      </c>
      <c r="G3407">
        <v>30</v>
      </c>
      <c r="H3407">
        <v>18.134999999999998</v>
      </c>
      <c r="I3407">
        <v>29.999999999999982</v>
      </c>
      <c r="J3407" t="s">
        <v>20</v>
      </c>
    </row>
    <row r="3408" spans="1:10" x14ac:dyDescent="0.2">
      <c r="A3408">
        <v>13407</v>
      </c>
      <c r="B3408" t="s">
        <v>10</v>
      </c>
      <c r="C3408" t="s">
        <v>9</v>
      </c>
      <c r="D3408">
        <v>6.34</v>
      </c>
      <c r="E3408">
        <v>9</v>
      </c>
      <c r="F3408" t="s">
        <v>16</v>
      </c>
      <c r="G3408">
        <v>60</v>
      </c>
      <c r="H3408">
        <v>10.144</v>
      </c>
      <c r="I3408">
        <v>60.000000000000007</v>
      </c>
      <c r="J3408" t="s">
        <v>20</v>
      </c>
    </row>
    <row r="3409" spans="1:10" x14ac:dyDescent="0.2">
      <c r="A3409">
        <v>13408</v>
      </c>
      <c r="B3409" t="s">
        <v>7</v>
      </c>
      <c r="C3409" t="s">
        <v>11</v>
      </c>
      <c r="D3409">
        <v>13.41</v>
      </c>
      <c r="E3409">
        <v>2</v>
      </c>
      <c r="F3409" t="s">
        <v>14</v>
      </c>
      <c r="G3409">
        <v>10</v>
      </c>
      <c r="H3409">
        <v>14.751000000000001</v>
      </c>
      <c r="I3409">
        <v>10.000000000000009</v>
      </c>
      <c r="J3409" t="s">
        <v>20</v>
      </c>
    </row>
    <row r="3410" spans="1:10" x14ac:dyDescent="0.2">
      <c r="A3410">
        <v>13409</v>
      </c>
      <c r="B3410" t="s">
        <v>10</v>
      </c>
      <c r="C3410" t="s">
        <v>11</v>
      </c>
      <c r="D3410">
        <v>6.07</v>
      </c>
      <c r="E3410">
        <v>8</v>
      </c>
      <c r="F3410" t="s">
        <v>16</v>
      </c>
      <c r="G3410">
        <v>50</v>
      </c>
      <c r="H3410">
        <v>9.1050000000000004</v>
      </c>
      <c r="I3410">
        <v>50</v>
      </c>
      <c r="J3410" t="s">
        <v>20</v>
      </c>
    </row>
    <row r="3411" spans="1:10" x14ac:dyDescent="0.2">
      <c r="A3411">
        <v>13410</v>
      </c>
      <c r="B3411" t="s">
        <v>8</v>
      </c>
      <c r="C3411" t="s">
        <v>9</v>
      </c>
      <c r="D3411">
        <v>11.18</v>
      </c>
      <c r="E3411">
        <v>3</v>
      </c>
      <c r="F3411" t="s">
        <v>14</v>
      </c>
      <c r="G3411">
        <v>15</v>
      </c>
      <c r="H3411">
        <v>12.856999999999999</v>
      </c>
      <c r="I3411">
        <v>14.999999999999991</v>
      </c>
      <c r="J3411" t="s">
        <v>20</v>
      </c>
    </row>
    <row r="3412" spans="1:10" x14ac:dyDescent="0.2">
      <c r="A3412">
        <v>13411</v>
      </c>
      <c r="B3412" t="s">
        <v>7</v>
      </c>
      <c r="C3412" t="s">
        <v>6</v>
      </c>
      <c r="D3412">
        <v>7.4</v>
      </c>
      <c r="E3412">
        <v>9</v>
      </c>
      <c r="F3412" t="s">
        <v>16</v>
      </c>
      <c r="G3412">
        <v>55</v>
      </c>
      <c r="H3412">
        <v>11.47</v>
      </c>
      <c r="I3412">
        <v>55.000000000000007</v>
      </c>
      <c r="J3412" t="s">
        <v>20</v>
      </c>
    </row>
    <row r="3413" spans="1:10" x14ac:dyDescent="0.2">
      <c r="A3413">
        <v>13412</v>
      </c>
      <c r="B3413" t="s">
        <v>5</v>
      </c>
      <c r="C3413" t="s">
        <v>6</v>
      </c>
      <c r="D3413">
        <v>2.2799999999999998</v>
      </c>
      <c r="E3413">
        <v>10</v>
      </c>
      <c r="F3413" t="s">
        <v>16</v>
      </c>
      <c r="G3413">
        <v>55</v>
      </c>
      <c r="H3413">
        <v>3.5339999999999998</v>
      </c>
      <c r="I3413">
        <v>55.000000000000007</v>
      </c>
      <c r="J3413" t="s">
        <v>20</v>
      </c>
    </row>
    <row r="3414" spans="1:10" x14ac:dyDescent="0.2">
      <c r="A3414">
        <v>13413</v>
      </c>
      <c r="B3414" t="s">
        <v>10</v>
      </c>
      <c r="C3414" t="s">
        <v>11</v>
      </c>
      <c r="D3414">
        <v>13.96</v>
      </c>
      <c r="E3414">
        <v>4</v>
      </c>
      <c r="F3414" t="s">
        <v>15</v>
      </c>
      <c r="G3414">
        <v>25</v>
      </c>
      <c r="H3414">
        <v>17.450000000000003</v>
      </c>
      <c r="I3414">
        <v>25.000000000000021</v>
      </c>
      <c r="J3414" t="s">
        <v>20</v>
      </c>
    </row>
    <row r="3415" spans="1:10" x14ac:dyDescent="0.2">
      <c r="A3415">
        <v>13414</v>
      </c>
      <c r="B3415" t="s">
        <v>7</v>
      </c>
      <c r="C3415" t="s">
        <v>6</v>
      </c>
      <c r="D3415">
        <v>7.08</v>
      </c>
      <c r="E3415">
        <v>3</v>
      </c>
      <c r="F3415" t="s">
        <v>14</v>
      </c>
      <c r="G3415">
        <v>12</v>
      </c>
      <c r="H3415">
        <v>7.9296000000000006</v>
      </c>
      <c r="I3415">
        <v>12.000000000000011</v>
      </c>
      <c r="J3415" t="s">
        <v>20</v>
      </c>
    </row>
    <row r="3416" spans="1:10" x14ac:dyDescent="0.2">
      <c r="A3416">
        <v>13415</v>
      </c>
      <c r="B3416" t="s">
        <v>8</v>
      </c>
      <c r="C3416" t="s">
        <v>6</v>
      </c>
      <c r="D3416">
        <v>11.15</v>
      </c>
      <c r="E3416">
        <v>10</v>
      </c>
      <c r="F3416" t="s">
        <v>16</v>
      </c>
      <c r="G3416">
        <v>55</v>
      </c>
      <c r="H3416">
        <v>17.282500000000002</v>
      </c>
      <c r="I3416">
        <v>55.000000000000028</v>
      </c>
      <c r="J3416" t="s">
        <v>20</v>
      </c>
    </row>
    <row r="3417" spans="1:10" x14ac:dyDescent="0.2">
      <c r="A3417">
        <v>13416</v>
      </c>
      <c r="B3417" t="s">
        <v>5</v>
      </c>
      <c r="C3417" t="s">
        <v>11</v>
      </c>
      <c r="D3417">
        <v>5.82</v>
      </c>
      <c r="E3417">
        <v>6</v>
      </c>
      <c r="F3417" t="s">
        <v>15</v>
      </c>
      <c r="G3417">
        <v>25</v>
      </c>
      <c r="H3417">
        <v>7.2750000000000004</v>
      </c>
      <c r="I3417">
        <v>25</v>
      </c>
      <c r="J3417" t="s">
        <v>20</v>
      </c>
    </row>
    <row r="3418" spans="1:10" x14ac:dyDescent="0.2">
      <c r="A3418">
        <v>13417</v>
      </c>
      <c r="B3418" t="s">
        <v>10</v>
      </c>
      <c r="C3418" t="s">
        <v>6</v>
      </c>
      <c r="D3418">
        <v>0.77</v>
      </c>
      <c r="E3418">
        <v>10</v>
      </c>
      <c r="F3418" t="s">
        <v>16</v>
      </c>
      <c r="G3418">
        <v>55</v>
      </c>
      <c r="H3418">
        <v>1.1935</v>
      </c>
      <c r="I3418">
        <v>55.000000000000007</v>
      </c>
      <c r="J3418" t="s">
        <v>20</v>
      </c>
    </row>
    <row r="3419" spans="1:10" x14ac:dyDescent="0.2">
      <c r="A3419">
        <v>13418</v>
      </c>
      <c r="B3419" t="s">
        <v>10</v>
      </c>
      <c r="C3419" t="s">
        <v>11</v>
      </c>
      <c r="D3419">
        <v>1.96</v>
      </c>
      <c r="E3419">
        <v>9</v>
      </c>
      <c r="F3419" t="s">
        <v>16</v>
      </c>
      <c r="G3419">
        <v>50</v>
      </c>
      <c r="H3419">
        <v>2.94</v>
      </c>
      <c r="I3419">
        <v>50</v>
      </c>
      <c r="J3419" t="s">
        <v>20</v>
      </c>
    </row>
    <row r="3420" spans="1:10" x14ac:dyDescent="0.2">
      <c r="A3420">
        <v>13419</v>
      </c>
      <c r="B3420" t="s">
        <v>7</v>
      </c>
      <c r="C3420" t="s">
        <v>9</v>
      </c>
      <c r="D3420">
        <v>7.7</v>
      </c>
      <c r="E3420">
        <v>7</v>
      </c>
      <c r="F3420" t="s">
        <v>15</v>
      </c>
      <c r="G3420">
        <v>30</v>
      </c>
      <c r="H3420">
        <v>10.01</v>
      </c>
      <c r="I3420">
        <v>30.000000000000004</v>
      </c>
      <c r="J3420" t="s">
        <v>20</v>
      </c>
    </row>
    <row r="3421" spans="1:10" x14ac:dyDescent="0.2">
      <c r="A3421">
        <v>13420</v>
      </c>
      <c r="B3421" t="s">
        <v>5</v>
      </c>
      <c r="C3421" t="s">
        <v>11</v>
      </c>
      <c r="D3421">
        <v>10.5</v>
      </c>
      <c r="E3421">
        <v>4</v>
      </c>
      <c r="F3421" t="s">
        <v>15</v>
      </c>
      <c r="G3421">
        <v>25</v>
      </c>
      <c r="H3421">
        <v>13.125</v>
      </c>
      <c r="I3421">
        <v>25</v>
      </c>
      <c r="J3421" t="s">
        <v>20</v>
      </c>
    </row>
    <row r="3422" spans="1:10" x14ac:dyDescent="0.2">
      <c r="A3422">
        <v>13421</v>
      </c>
      <c r="B3422" t="s">
        <v>5</v>
      </c>
      <c r="C3422" t="s">
        <v>9</v>
      </c>
      <c r="D3422">
        <v>5.35</v>
      </c>
      <c r="E3422">
        <v>3</v>
      </c>
      <c r="F3422" t="s">
        <v>14</v>
      </c>
      <c r="G3422">
        <v>15</v>
      </c>
      <c r="H3422">
        <v>6.152499999999999</v>
      </c>
      <c r="I3422">
        <v>14.999999999999991</v>
      </c>
      <c r="J3422" t="s">
        <v>20</v>
      </c>
    </row>
    <row r="3423" spans="1:10" x14ac:dyDescent="0.2">
      <c r="A3423">
        <v>13422</v>
      </c>
      <c r="B3423" t="s">
        <v>5</v>
      </c>
      <c r="C3423" t="s">
        <v>9</v>
      </c>
      <c r="D3423">
        <v>10.58</v>
      </c>
      <c r="E3423">
        <v>10</v>
      </c>
      <c r="F3423" t="s">
        <v>16</v>
      </c>
      <c r="G3423">
        <v>60</v>
      </c>
      <c r="H3423">
        <v>16.928000000000001</v>
      </c>
      <c r="I3423">
        <v>60.000000000000007</v>
      </c>
      <c r="J3423" t="s">
        <v>20</v>
      </c>
    </row>
    <row r="3424" spans="1:10" x14ac:dyDescent="0.2">
      <c r="A3424">
        <v>13423</v>
      </c>
      <c r="B3424" t="s">
        <v>5</v>
      </c>
      <c r="C3424" t="s">
        <v>6</v>
      </c>
      <c r="D3424">
        <v>10.63</v>
      </c>
      <c r="E3424">
        <v>4</v>
      </c>
      <c r="F3424" t="s">
        <v>15</v>
      </c>
      <c r="G3424">
        <v>28</v>
      </c>
      <c r="H3424">
        <v>13.606400000000001</v>
      </c>
      <c r="I3424">
        <v>28.000000000000004</v>
      </c>
      <c r="J3424" t="s">
        <v>20</v>
      </c>
    </row>
    <row r="3425" spans="1:10" x14ac:dyDescent="0.2">
      <c r="A3425">
        <v>13424</v>
      </c>
      <c r="B3425" t="s">
        <v>8</v>
      </c>
      <c r="C3425" t="s">
        <v>6</v>
      </c>
      <c r="D3425">
        <v>10.71</v>
      </c>
      <c r="E3425">
        <v>3</v>
      </c>
      <c r="F3425" t="s">
        <v>14</v>
      </c>
      <c r="G3425">
        <v>12</v>
      </c>
      <c r="H3425">
        <v>11.995200000000002</v>
      </c>
      <c r="I3425">
        <v>12.000000000000011</v>
      </c>
      <c r="J3425" t="s">
        <v>20</v>
      </c>
    </row>
    <row r="3426" spans="1:10" x14ac:dyDescent="0.2">
      <c r="A3426">
        <v>13425</v>
      </c>
      <c r="B3426" t="s">
        <v>5</v>
      </c>
      <c r="C3426" t="s">
        <v>6</v>
      </c>
      <c r="D3426">
        <v>7.64</v>
      </c>
      <c r="E3426">
        <v>3</v>
      </c>
      <c r="F3426" t="s">
        <v>14</v>
      </c>
      <c r="G3426">
        <v>12</v>
      </c>
      <c r="H3426">
        <v>8.5568000000000008</v>
      </c>
      <c r="I3426">
        <v>12.000000000000011</v>
      </c>
      <c r="J3426" t="s">
        <v>20</v>
      </c>
    </row>
    <row r="3427" spans="1:10" x14ac:dyDescent="0.2">
      <c r="A3427">
        <v>13426</v>
      </c>
      <c r="B3427" t="s">
        <v>10</v>
      </c>
      <c r="C3427" t="s">
        <v>11</v>
      </c>
      <c r="D3427">
        <v>13.77</v>
      </c>
      <c r="E3427">
        <v>9</v>
      </c>
      <c r="F3427" t="s">
        <v>16</v>
      </c>
      <c r="G3427">
        <v>50</v>
      </c>
      <c r="H3427">
        <v>20.655000000000001</v>
      </c>
      <c r="I3427">
        <v>50.000000000000021</v>
      </c>
      <c r="J3427" t="s">
        <v>20</v>
      </c>
    </row>
    <row r="3428" spans="1:10" x14ac:dyDescent="0.2">
      <c r="A3428">
        <v>13427</v>
      </c>
      <c r="B3428" t="s">
        <v>10</v>
      </c>
      <c r="C3428" t="s">
        <v>6</v>
      </c>
      <c r="D3428">
        <v>7.59</v>
      </c>
      <c r="E3428">
        <v>4</v>
      </c>
      <c r="F3428" t="s">
        <v>15</v>
      </c>
      <c r="G3428">
        <v>28</v>
      </c>
      <c r="H3428">
        <v>9.7151999999999994</v>
      </c>
      <c r="I3428">
        <v>28.000000000000004</v>
      </c>
      <c r="J3428" t="s">
        <v>20</v>
      </c>
    </row>
    <row r="3429" spans="1:10" x14ac:dyDescent="0.2">
      <c r="A3429">
        <v>13428</v>
      </c>
      <c r="B3429" t="s">
        <v>8</v>
      </c>
      <c r="C3429" t="s">
        <v>9</v>
      </c>
      <c r="D3429">
        <v>7.03</v>
      </c>
      <c r="E3429">
        <v>9</v>
      </c>
      <c r="F3429" t="s">
        <v>16</v>
      </c>
      <c r="G3429">
        <v>60</v>
      </c>
      <c r="H3429">
        <v>11.248000000000001</v>
      </c>
      <c r="I3429">
        <v>60.000000000000007</v>
      </c>
      <c r="J3429" t="s">
        <v>20</v>
      </c>
    </row>
    <row r="3430" spans="1:10" x14ac:dyDescent="0.2">
      <c r="A3430">
        <v>13429</v>
      </c>
      <c r="B3430" t="s">
        <v>10</v>
      </c>
      <c r="C3430" t="s">
        <v>6</v>
      </c>
      <c r="D3430">
        <v>3.39</v>
      </c>
      <c r="E3430">
        <v>10</v>
      </c>
      <c r="F3430" t="s">
        <v>16</v>
      </c>
      <c r="G3430">
        <v>55</v>
      </c>
      <c r="H3430">
        <v>5.2545000000000002</v>
      </c>
      <c r="I3430">
        <v>55.000000000000007</v>
      </c>
      <c r="J3430" t="s">
        <v>20</v>
      </c>
    </row>
    <row r="3431" spans="1:10" x14ac:dyDescent="0.2">
      <c r="A3431">
        <v>13430</v>
      </c>
      <c r="B3431" t="s">
        <v>10</v>
      </c>
      <c r="C3431" t="s">
        <v>6</v>
      </c>
      <c r="D3431">
        <v>4.96</v>
      </c>
      <c r="E3431">
        <v>5</v>
      </c>
      <c r="F3431" t="s">
        <v>15</v>
      </c>
      <c r="G3431">
        <v>28</v>
      </c>
      <c r="H3431">
        <v>6.3487999999999998</v>
      </c>
      <c r="I3431">
        <v>28.000000000000004</v>
      </c>
      <c r="J3431" t="s">
        <v>20</v>
      </c>
    </row>
    <row r="3432" spans="1:10" x14ac:dyDescent="0.2">
      <c r="A3432">
        <v>13431</v>
      </c>
      <c r="B3432" t="s">
        <v>5</v>
      </c>
      <c r="C3432" t="s">
        <v>11</v>
      </c>
      <c r="D3432">
        <v>1.1100000000000001</v>
      </c>
      <c r="E3432">
        <v>7</v>
      </c>
      <c r="F3432" t="s">
        <v>15</v>
      </c>
      <c r="G3432">
        <v>25</v>
      </c>
      <c r="H3432">
        <v>1.3875000000000002</v>
      </c>
      <c r="I3432">
        <v>25</v>
      </c>
      <c r="J3432" t="s">
        <v>20</v>
      </c>
    </row>
    <row r="3433" spans="1:10" x14ac:dyDescent="0.2">
      <c r="A3433">
        <v>13432</v>
      </c>
      <c r="B3433" t="s">
        <v>10</v>
      </c>
      <c r="C3433" t="s">
        <v>11</v>
      </c>
      <c r="D3433">
        <v>9.69</v>
      </c>
      <c r="E3433">
        <v>5</v>
      </c>
      <c r="F3433" t="s">
        <v>15</v>
      </c>
      <c r="G3433">
        <v>25</v>
      </c>
      <c r="H3433">
        <v>12.112499999999999</v>
      </c>
      <c r="I3433">
        <v>25</v>
      </c>
      <c r="J3433" t="s">
        <v>20</v>
      </c>
    </row>
    <row r="3434" spans="1:10" x14ac:dyDescent="0.2">
      <c r="A3434">
        <v>13433</v>
      </c>
      <c r="B3434" t="s">
        <v>8</v>
      </c>
      <c r="C3434" t="s">
        <v>9</v>
      </c>
      <c r="D3434">
        <v>4.0999999999999996</v>
      </c>
      <c r="E3434">
        <v>1</v>
      </c>
      <c r="F3434" t="s">
        <v>14</v>
      </c>
      <c r="G3434">
        <v>15</v>
      </c>
      <c r="H3434">
        <v>4.714999999999999</v>
      </c>
      <c r="I3434">
        <v>14.999999999999991</v>
      </c>
      <c r="J3434" t="s">
        <v>20</v>
      </c>
    </row>
    <row r="3435" spans="1:10" x14ac:dyDescent="0.2">
      <c r="A3435">
        <v>13434</v>
      </c>
      <c r="B3435" t="s">
        <v>5</v>
      </c>
      <c r="C3435" t="s">
        <v>11</v>
      </c>
      <c r="D3435">
        <v>4.91</v>
      </c>
      <c r="E3435">
        <v>2</v>
      </c>
      <c r="F3435" t="s">
        <v>14</v>
      </c>
      <c r="G3435">
        <v>10</v>
      </c>
      <c r="H3435">
        <v>5.4010000000000007</v>
      </c>
      <c r="I3435">
        <v>10.000000000000009</v>
      </c>
      <c r="J3435" t="s">
        <v>20</v>
      </c>
    </row>
    <row r="3436" spans="1:10" x14ac:dyDescent="0.2">
      <c r="A3436">
        <v>13435</v>
      </c>
      <c r="B3436" t="s">
        <v>7</v>
      </c>
      <c r="C3436" t="s">
        <v>6</v>
      </c>
      <c r="D3436">
        <v>11.68</v>
      </c>
      <c r="E3436">
        <v>5</v>
      </c>
      <c r="F3436" t="s">
        <v>15</v>
      </c>
      <c r="G3436">
        <v>28</v>
      </c>
      <c r="H3436">
        <v>14.9504</v>
      </c>
      <c r="I3436">
        <v>28.000000000000004</v>
      </c>
      <c r="J3436" t="s">
        <v>20</v>
      </c>
    </row>
    <row r="3437" spans="1:10" x14ac:dyDescent="0.2">
      <c r="A3437">
        <v>13436</v>
      </c>
      <c r="B3437" t="s">
        <v>5</v>
      </c>
      <c r="C3437" t="s">
        <v>11</v>
      </c>
      <c r="D3437">
        <v>5.24</v>
      </c>
      <c r="E3437">
        <v>6</v>
      </c>
      <c r="F3437" t="s">
        <v>15</v>
      </c>
      <c r="G3437">
        <v>25</v>
      </c>
      <c r="H3437">
        <v>6.5500000000000007</v>
      </c>
      <c r="I3437">
        <v>25</v>
      </c>
      <c r="J3437" t="s">
        <v>20</v>
      </c>
    </row>
    <row r="3438" spans="1:10" x14ac:dyDescent="0.2">
      <c r="A3438">
        <v>13437</v>
      </c>
      <c r="B3438" t="s">
        <v>8</v>
      </c>
      <c r="C3438" t="s">
        <v>9</v>
      </c>
      <c r="D3438">
        <v>4.01</v>
      </c>
      <c r="E3438">
        <v>7</v>
      </c>
      <c r="F3438" t="s">
        <v>15</v>
      </c>
      <c r="G3438">
        <v>30</v>
      </c>
      <c r="H3438">
        <v>5.2130000000000001</v>
      </c>
      <c r="I3438">
        <v>30.000000000000004</v>
      </c>
      <c r="J3438" t="s">
        <v>20</v>
      </c>
    </row>
    <row r="3439" spans="1:10" x14ac:dyDescent="0.2">
      <c r="A3439">
        <v>13438</v>
      </c>
      <c r="B3439" t="s">
        <v>5</v>
      </c>
      <c r="C3439" t="s">
        <v>6</v>
      </c>
      <c r="D3439">
        <v>2.95</v>
      </c>
      <c r="E3439">
        <v>2</v>
      </c>
      <c r="F3439" t="s">
        <v>14</v>
      </c>
      <c r="G3439">
        <v>12</v>
      </c>
      <c r="H3439">
        <v>3.3040000000000007</v>
      </c>
      <c r="I3439">
        <v>12.000000000000011</v>
      </c>
      <c r="J3439" t="s">
        <v>20</v>
      </c>
    </row>
    <row r="3440" spans="1:10" x14ac:dyDescent="0.2">
      <c r="A3440">
        <v>13439</v>
      </c>
      <c r="B3440" t="s">
        <v>5</v>
      </c>
      <c r="C3440" t="s">
        <v>9</v>
      </c>
      <c r="D3440">
        <v>11.74</v>
      </c>
      <c r="E3440">
        <v>10</v>
      </c>
      <c r="F3440" t="s">
        <v>16</v>
      </c>
      <c r="G3440">
        <v>60</v>
      </c>
      <c r="H3440">
        <v>18.784000000000002</v>
      </c>
      <c r="I3440">
        <v>60.000000000000007</v>
      </c>
      <c r="J3440" t="s">
        <v>20</v>
      </c>
    </row>
    <row r="3441" spans="1:10" x14ac:dyDescent="0.2">
      <c r="A3441">
        <v>13440</v>
      </c>
      <c r="B3441" t="s">
        <v>8</v>
      </c>
      <c r="C3441" t="s">
        <v>11</v>
      </c>
      <c r="D3441">
        <v>2.38</v>
      </c>
      <c r="E3441">
        <v>9</v>
      </c>
      <c r="F3441" t="s">
        <v>16</v>
      </c>
      <c r="G3441">
        <v>50</v>
      </c>
      <c r="H3441">
        <v>3.57</v>
      </c>
      <c r="I3441">
        <v>50</v>
      </c>
      <c r="J3441" t="s">
        <v>20</v>
      </c>
    </row>
    <row r="3442" spans="1:10" x14ac:dyDescent="0.2">
      <c r="A3442">
        <v>13441</v>
      </c>
      <c r="B3442" t="s">
        <v>5</v>
      </c>
      <c r="C3442" t="s">
        <v>11</v>
      </c>
      <c r="D3442">
        <v>7.08</v>
      </c>
      <c r="E3442">
        <v>6</v>
      </c>
      <c r="F3442" t="s">
        <v>15</v>
      </c>
      <c r="G3442">
        <v>25</v>
      </c>
      <c r="H3442">
        <v>8.85</v>
      </c>
      <c r="I3442">
        <v>25</v>
      </c>
      <c r="J3442" t="s">
        <v>20</v>
      </c>
    </row>
    <row r="3443" spans="1:10" x14ac:dyDescent="0.2">
      <c r="A3443">
        <v>13442</v>
      </c>
      <c r="B3443" t="s">
        <v>8</v>
      </c>
      <c r="C3443" t="s">
        <v>9</v>
      </c>
      <c r="D3443">
        <v>7.85</v>
      </c>
      <c r="E3443">
        <v>2</v>
      </c>
      <c r="F3443" t="s">
        <v>14</v>
      </c>
      <c r="G3443">
        <v>15</v>
      </c>
      <c r="H3443">
        <v>9.0274999999999981</v>
      </c>
      <c r="I3443">
        <v>14.999999999999991</v>
      </c>
      <c r="J3443" t="s">
        <v>20</v>
      </c>
    </row>
    <row r="3444" spans="1:10" x14ac:dyDescent="0.2">
      <c r="A3444">
        <v>13443</v>
      </c>
      <c r="B3444" t="s">
        <v>8</v>
      </c>
      <c r="C3444" t="s">
        <v>6</v>
      </c>
      <c r="D3444">
        <v>10.47</v>
      </c>
      <c r="E3444">
        <v>2</v>
      </c>
      <c r="F3444" t="s">
        <v>14</v>
      </c>
      <c r="G3444">
        <v>12</v>
      </c>
      <c r="H3444">
        <v>11.726400000000002</v>
      </c>
      <c r="I3444">
        <v>12.000000000000011</v>
      </c>
      <c r="J3444" t="s">
        <v>20</v>
      </c>
    </row>
    <row r="3445" spans="1:10" x14ac:dyDescent="0.2">
      <c r="A3445">
        <v>13444</v>
      </c>
      <c r="B3445" t="s">
        <v>7</v>
      </c>
      <c r="C3445" t="s">
        <v>11</v>
      </c>
      <c r="D3445">
        <v>9.68</v>
      </c>
      <c r="E3445">
        <v>3</v>
      </c>
      <c r="F3445" t="s">
        <v>14</v>
      </c>
      <c r="G3445">
        <v>10</v>
      </c>
      <c r="H3445">
        <v>10.648</v>
      </c>
      <c r="I3445">
        <v>10.000000000000009</v>
      </c>
      <c r="J3445" t="s">
        <v>20</v>
      </c>
    </row>
    <row r="3446" spans="1:10" x14ac:dyDescent="0.2">
      <c r="A3446">
        <v>13445</v>
      </c>
      <c r="B3446" t="s">
        <v>10</v>
      </c>
      <c r="C3446" t="s">
        <v>11</v>
      </c>
      <c r="D3446">
        <v>12.26</v>
      </c>
      <c r="E3446">
        <v>1</v>
      </c>
      <c r="F3446" t="s">
        <v>14</v>
      </c>
      <c r="G3446">
        <v>10</v>
      </c>
      <c r="H3446">
        <v>13.486000000000001</v>
      </c>
      <c r="I3446">
        <v>10.000000000000009</v>
      </c>
      <c r="J3446" t="s">
        <v>20</v>
      </c>
    </row>
    <row r="3447" spans="1:10" x14ac:dyDescent="0.2">
      <c r="A3447">
        <v>13446</v>
      </c>
      <c r="B3447" t="s">
        <v>10</v>
      </c>
      <c r="C3447" t="s">
        <v>6</v>
      </c>
      <c r="D3447">
        <v>1.1499999999999999</v>
      </c>
      <c r="E3447">
        <v>9</v>
      </c>
      <c r="F3447" t="s">
        <v>16</v>
      </c>
      <c r="G3447">
        <v>55</v>
      </c>
      <c r="H3447">
        <v>1.7825</v>
      </c>
      <c r="I3447">
        <v>55.000000000000007</v>
      </c>
      <c r="J3447" t="s">
        <v>20</v>
      </c>
    </row>
    <row r="3448" spans="1:10" x14ac:dyDescent="0.2">
      <c r="A3448">
        <v>13447</v>
      </c>
      <c r="B3448" t="s">
        <v>5</v>
      </c>
      <c r="C3448" t="s">
        <v>11</v>
      </c>
      <c r="D3448">
        <v>4.8</v>
      </c>
      <c r="E3448">
        <v>10</v>
      </c>
      <c r="F3448" t="s">
        <v>16</v>
      </c>
      <c r="G3448">
        <v>50</v>
      </c>
      <c r="H3448">
        <v>7.1999999999999993</v>
      </c>
      <c r="I3448">
        <v>50</v>
      </c>
      <c r="J3448" t="s">
        <v>20</v>
      </c>
    </row>
    <row r="3449" spans="1:10" x14ac:dyDescent="0.2">
      <c r="A3449">
        <v>13448</v>
      </c>
      <c r="B3449" t="s">
        <v>5</v>
      </c>
      <c r="C3449" t="s">
        <v>9</v>
      </c>
      <c r="D3449">
        <v>4.5599999999999996</v>
      </c>
      <c r="E3449">
        <v>4</v>
      </c>
      <c r="F3449" t="s">
        <v>15</v>
      </c>
      <c r="G3449">
        <v>30</v>
      </c>
      <c r="H3449">
        <v>5.9279999999999999</v>
      </c>
      <c r="I3449">
        <v>30.000000000000004</v>
      </c>
      <c r="J3449" t="s">
        <v>20</v>
      </c>
    </row>
    <row r="3450" spans="1:10" x14ac:dyDescent="0.2">
      <c r="A3450">
        <v>13449</v>
      </c>
      <c r="B3450" t="s">
        <v>7</v>
      </c>
      <c r="C3450" t="s">
        <v>11</v>
      </c>
      <c r="D3450">
        <v>2.62</v>
      </c>
      <c r="E3450">
        <v>5</v>
      </c>
      <c r="F3450" t="s">
        <v>15</v>
      </c>
      <c r="G3450">
        <v>25</v>
      </c>
      <c r="H3450">
        <v>3.2750000000000004</v>
      </c>
      <c r="I3450">
        <v>25</v>
      </c>
      <c r="J3450" t="s">
        <v>20</v>
      </c>
    </row>
    <row r="3451" spans="1:10" x14ac:dyDescent="0.2">
      <c r="A3451">
        <v>13450</v>
      </c>
      <c r="B3451" t="s">
        <v>7</v>
      </c>
      <c r="C3451" t="s">
        <v>11</v>
      </c>
      <c r="D3451">
        <v>4.6900000000000004</v>
      </c>
      <c r="E3451">
        <v>7</v>
      </c>
      <c r="F3451" t="s">
        <v>15</v>
      </c>
      <c r="G3451">
        <v>25</v>
      </c>
      <c r="H3451">
        <v>5.8625000000000007</v>
      </c>
      <c r="I3451">
        <v>25</v>
      </c>
      <c r="J3451" t="s">
        <v>20</v>
      </c>
    </row>
    <row r="3452" spans="1:10" x14ac:dyDescent="0.2">
      <c r="A3452">
        <v>13451</v>
      </c>
      <c r="B3452" t="s">
        <v>7</v>
      </c>
      <c r="C3452" t="s">
        <v>6</v>
      </c>
      <c r="D3452">
        <v>4.99</v>
      </c>
      <c r="E3452">
        <v>1</v>
      </c>
      <c r="F3452" t="s">
        <v>14</v>
      </c>
      <c r="G3452">
        <v>12</v>
      </c>
      <c r="H3452">
        <v>5.5888000000000009</v>
      </c>
      <c r="I3452">
        <v>12.000000000000011</v>
      </c>
      <c r="J3452" t="s">
        <v>20</v>
      </c>
    </row>
    <row r="3453" spans="1:10" x14ac:dyDescent="0.2">
      <c r="A3453">
        <v>13452</v>
      </c>
      <c r="B3453" t="s">
        <v>8</v>
      </c>
      <c r="C3453" t="s">
        <v>9</v>
      </c>
      <c r="D3453">
        <v>8.07</v>
      </c>
      <c r="E3453">
        <v>3</v>
      </c>
      <c r="F3453" t="s">
        <v>14</v>
      </c>
      <c r="G3453">
        <v>15</v>
      </c>
      <c r="H3453">
        <v>9.2805</v>
      </c>
      <c r="I3453">
        <v>14.999999999999991</v>
      </c>
      <c r="J3453" t="s">
        <v>20</v>
      </c>
    </row>
    <row r="3454" spans="1:10" x14ac:dyDescent="0.2">
      <c r="A3454">
        <v>13453</v>
      </c>
      <c r="B3454" t="s">
        <v>7</v>
      </c>
      <c r="C3454" t="s">
        <v>6</v>
      </c>
      <c r="D3454">
        <v>10.119999999999999</v>
      </c>
      <c r="E3454">
        <v>3</v>
      </c>
      <c r="F3454" t="s">
        <v>14</v>
      </c>
      <c r="G3454">
        <v>12</v>
      </c>
      <c r="H3454">
        <v>11.3344</v>
      </c>
      <c r="I3454">
        <v>12.000000000000011</v>
      </c>
      <c r="J3454" t="s">
        <v>20</v>
      </c>
    </row>
    <row r="3455" spans="1:10" x14ac:dyDescent="0.2">
      <c r="A3455">
        <v>13454</v>
      </c>
      <c r="B3455" t="s">
        <v>7</v>
      </c>
      <c r="C3455" t="s">
        <v>11</v>
      </c>
      <c r="D3455">
        <v>6.03</v>
      </c>
      <c r="E3455">
        <v>2</v>
      </c>
      <c r="F3455" t="s">
        <v>14</v>
      </c>
      <c r="G3455">
        <v>10</v>
      </c>
      <c r="H3455">
        <v>6.6330000000000009</v>
      </c>
      <c r="I3455">
        <v>10.000000000000009</v>
      </c>
      <c r="J3455" t="s">
        <v>20</v>
      </c>
    </row>
    <row r="3456" spans="1:10" x14ac:dyDescent="0.2">
      <c r="A3456">
        <v>13455</v>
      </c>
      <c r="B3456" t="s">
        <v>5</v>
      </c>
      <c r="C3456" t="s">
        <v>11</v>
      </c>
      <c r="D3456">
        <v>10.93</v>
      </c>
      <c r="E3456">
        <v>8</v>
      </c>
      <c r="F3456" t="s">
        <v>16</v>
      </c>
      <c r="G3456">
        <v>50</v>
      </c>
      <c r="H3456">
        <v>16.395</v>
      </c>
      <c r="I3456">
        <v>50</v>
      </c>
      <c r="J3456" t="s">
        <v>20</v>
      </c>
    </row>
    <row r="3457" spans="1:10" x14ac:dyDescent="0.2">
      <c r="A3457">
        <v>13456</v>
      </c>
      <c r="B3457" t="s">
        <v>7</v>
      </c>
      <c r="C3457" t="s">
        <v>6</v>
      </c>
      <c r="D3457">
        <v>5.37</v>
      </c>
      <c r="E3457">
        <v>5</v>
      </c>
      <c r="F3457" t="s">
        <v>15</v>
      </c>
      <c r="G3457">
        <v>28</v>
      </c>
      <c r="H3457">
        <v>6.8736000000000006</v>
      </c>
      <c r="I3457">
        <v>28.000000000000004</v>
      </c>
      <c r="J3457" t="s">
        <v>20</v>
      </c>
    </row>
    <row r="3458" spans="1:10" x14ac:dyDescent="0.2">
      <c r="A3458">
        <v>13457</v>
      </c>
      <c r="B3458" t="s">
        <v>8</v>
      </c>
      <c r="C3458" t="s">
        <v>6</v>
      </c>
      <c r="D3458">
        <v>4.71</v>
      </c>
      <c r="E3458">
        <v>1</v>
      </c>
      <c r="F3458" t="s">
        <v>14</v>
      </c>
      <c r="G3458">
        <v>12</v>
      </c>
      <c r="H3458">
        <v>5.2752000000000008</v>
      </c>
      <c r="I3458">
        <v>12.000000000000011</v>
      </c>
      <c r="J3458" t="s">
        <v>20</v>
      </c>
    </row>
    <row r="3459" spans="1:10" x14ac:dyDescent="0.2">
      <c r="A3459">
        <v>13458</v>
      </c>
      <c r="B3459" t="s">
        <v>8</v>
      </c>
      <c r="C3459" t="s">
        <v>6</v>
      </c>
      <c r="D3459">
        <v>8.35</v>
      </c>
      <c r="E3459">
        <v>2</v>
      </c>
      <c r="F3459" t="s">
        <v>14</v>
      </c>
      <c r="G3459">
        <v>12</v>
      </c>
      <c r="H3459">
        <v>9.3520000000000003</v>
      </c>
      <c r="I3459">
        <v>12.000000000000011</v>
      </c>
      <c r="J3459" t="s">
        <v>20</v>
      </c>
    </row>
    <row r="3460" spans="1:10" x14ac:dyDescent="0.2">
      <c r="A3460">
        <v>13459</v>
      </c>
      <c r="B3460" t="s">
        <v>5</v>
      </c>
      <c r="C3460" t="s">
        <v>9</v>
      </c>
      <c r="D3460">
        <v>0.84</v>
      </c>
      <c r="E3460">
        <v>1</v>
      </c>
      <c r="F3460" t="s">
        <v>14</v>
      </c>
      <c r="G3460">
        <v>15</v>
      </c>
      <c r="H3460">
        <v>0.96599999999999986</v>
      </c>
      <c r="I3460">
        <v>14.999999999999991</v>
      </c>
      <c r="J3460" t="s">
        <v>20</v>
      </c>
    </row>
    <row r="3461" spans="1:10" x14ac:dyDescent="0.2">
      <c r="A3461">
        <v>13460</v>
      </c>
      <c r="B3461" t="s">
        <v>7</v>
      </c>
      <c r="C3461" t="s">
        <v>11</v>
      </c>
      <c r="D3461">
        <v>1.66</v>
      </c>
      <c r="E3461">
        <v>6</v>
      </c>
      <c r="F3461" t="s">
        <v>15</v>
      </c>
      <c r="G3461">
        <v>25</v>
      </c>
      <c r="H3461">
        <v>2.0749999999999997</v>
      </c>
      <c r="I3461">
        <v>25</v>
      </c>
      <c r="J3461" t="s">
        <v>20</v>
      </c>
    </row>
    <row r="3462" spans="1:10" x14ac:dyDescent="0.2">
      <c r="A3462">
        <v>13461</v>
      </c>
      <c r="B3462" t="s">
        <v>7</v>
      </c>
      <c r="C3462" t="s">
        <v>6</v>
      </c>
      <c r="D3462">
        <v>6.56</v>
      </c>
      <c r="E3462">
        <v>9</v>
      </c>
      <c r="F3462" t="s">
        <v>16</v>
      </c>
      <c r="G3462">
        <v>55</v>
      </c>
      <c r="H3462">
        <v>10.167999999999999</v>
      </c>
      <c r="I3462">
        <v>55.000000000000007</v>
      </c>
      <c r="J3462" t="s">
        <v>20</v>
      </c>
    </row>
    <row r="3463" spans="1:10" x14ac:dyDescent="0.2">
      <c r="A3463">
        <v>13462</v>
      </c>
      <c r="B3463" t="s">
        <v>8</v>
      </c>
      <c r="C3463" t="s">
        <v>11</v>
      </c>
      <c r="D3463">
        <v>14.17</v>
      </c>
      <c r="E3463">
        <v>7</v>
      </c>
      <c r="F3463" t="s">
        <v>15</v>
      </c>
      <c r="G3463">
        <v>25</v>
      </c>
      <c r="H3463">
        <v>17.712499999999999</v>
      </c>
      <c r="I3463">
        <v>25</v>
      </c>
      <c r="J3463" t="s">
        <v>20</v>
      </c>
    </row>
    <row r="3464" spans="1:10" x14ac:dyDescent="0.2">
      <c r="A3464">
        <v>13463</v>
      </c>
      <c r="B3464" t="s">
        <v>7</v>
      </c>
      <c r="C3464" t="s">
        <v>9</v>
      </c>
      <c r="D3464">
        <v>10.96</v>
      </c>
      <c r="E3464">
        <v>5</v>
      </c>
      <c r="F3464" t="s">
        <v>15</v>
      </c>
      <c r="G3464">
        <v>30</v>
      </c>
      <c r="H3464">
        <v>14.248000000000001</v>
      </c>
      <c r="I3464">
        <v>30.000000000000004</v>
      </c>
      <c r="J3464" t="s">
        <v>20</v>
      </c>
    </row>
    <row r="3465" spans="1:10" x14ac:dyDescent="0.2">
      <c r="A3465">
        <v>13464</v>
      </c>
      <c r="B3465" t="s">
        <v>7</v>
      </c>
      <c r="C3465" t="s">
        <v>9</v>
      </c>
      <c r="D3465">
        <v>1.78</v>
      </c>
      <c r="E3465">
        <v>3</v>
      </c>
      <c r="F3465" t="s">
        <v>14</v>
      </c>
      <c r="G3465">
        <v>15</v>
      </c>
      <c r="H3465">
        <v>2.0469999999999997</v>
      </c>
      <c r="I3465">
        <v>14.999999999999991</v>
      </c>
      <c r="J3465" t="s">
        <v>20</v>
      </c>
    </row>
    <row r="3466" spans="1:10" x14ac:dyDescent="0.2">
      <c r="A3466">
        <v>13465</v>
      </c>
      <c r="B3466" t="s">
        <v>7</v>
      </c>
      <c r="C3466" t="s">
        <v>9</v>
      </c>
      <c r="D3466">
        <v>12.77</v>
      </c>
      <c r="E3466">
        <v>8</v>
      </c>
      <c r="F3466" t="s">
        <v>16</v>
      </c>
      <c r="G3466">
        <v>60</v>
      </c>
      <c r="H3466">
        <v>20.432000000000002</v>
      </c>
      <c r="I3466">
        <v>60.000000000000028</v>
      </c>
      <c r="J3466" t="s">
        <v>20</v>
      </c>
    </row>
    <row r="3467" spans="1:10" x14ac:dyDescent="0.2">
      <c r="A3467">
        <v>13466</v>
      </c>
      <c r="B3467" t="s">
        <v>10</v>
      </c>
      <c r="C3467" t="s">
        <v>9</v>
      </c>
      <c r="D3467">
        <v>11.12</v>
      </c>
      <c r="E3467">
        <v>10</v>
      </c>
      <c r="F3467" t="s">
        <v>16</v>
      </c>
      <c r="G3467">
        <v>60</v>
      </c>
      <c r="H3467">
        <v>17.791999999999998</v>
      </c>
      <c r="I3467">
        <v>59.999999999999986</v>
      </c>
      <c r="J3467" t="s">
        <v>20</v>
      </c>
    </row>
    <row r="3468" spans="1:10" x14ac:dyDescent="0.2">
      <c r="A3468">
        <v>13467</v>
      </c>
      <c r="B3468" t="s">
        <v>5</v>
      </c>
      <c r="C3468" t="s">
        <v>11</v>
      </c>
      <c r="D3468">
        <v>9.36</v>
      </c>
      <c r="E3468">
        <v>4</v>
      </c>
      <c r="F3468" t="s">
        <v>15</v>
      </c>
      <c r="G3468">
        <v>25</v>
      </c>
      <c r="H3468">
        <v>11.7</v>
      </c>
      <c r="I3468">
        <v>25</v>
      </c>
      <c r="J3468" t="s">
        <v>20</v>
      </c>
    </row>
    <row r="3469" spans="1:10" x14ac:dyDescent="0.2">
      <c r="A3469">
        <v>13468</v>
      </c>
      <c r="B3469" t="s">
        <v>10</v>
      </c>
      <c r="C3469" t="s">
        <v>9</v>
      </c>
      <c r="D3469">
        <v>12.39</v>
      </c>
      <c r="E3469">
        <v>9</v>
      </c>
      <c r="F3469" t="s">
        <v>16</v>
      </c>
      <c r="G3469">
        <v>60</v>
      </c>
      <c r="H3469">
        <v>19.824000000000002</v>
      </c>
      <c r="I3469">
        <v>60.000000000000007</v>
      </c>
      <c r="J3469" t="s">
        <v>20</v>
      </c>
    </row>
    <row r="3470" spans="1:10" x14ac:dyDescent="0.2">
      <c r="A3470">
        <v>13469</v>
      </c>
      <c r="B3470" t="s">
        <v>5</v>
      </c>
      <c r="C3470" t="s">
        <v>9</v>
      </c>
      <c r="D3470">
        <v>6.36</v>
      </c>
      <c r="E3470">
        <v>5</v>
      </c>
      <c r="F3470" t="s">
        <v>15</v>
      </c>
      <c r="G3470">
        <v>30</v>
      </c>
      <c r="H3470">
        <v>8.2680000000000007</v>
      </c>
      <c r="I3470">
        <v>30.000000000000004</v>
      </c>
      <c r="J3470" t="s">
        <v>20</v>
      </c>
    </row>
    <row r="3471" spans="1:10" x14ac:dyDescent="0.2">
      <c r="A3471">
        <v>13470</v>
      </c>
      <c r="B3471" t="s">
        <v>8</v>
      </c>
      <c r="C3471" t="s">
        <v>6</v>
      </c>
      <c r="D3471">
        <v>3.71</v>
      </c>
      <c r="E3471">
        <v>6</v>
      </c>
      <c r="F3471" t="s">
        <v>15</v>
      </c>
      <c r="G3471">
        <v>28</v>
      </c>
      <c r="H3471">
        <v>4.7488000000000001</v>
      </c>
      <c r="I3471">
        <v>28.000000000000004</v>
      </c>
      <c r="J3471" t="s">
        <v>20</v>
      </c>
    </row>
    <row r="3472" spans="1:10" x14ac:dyDescent="0.2">
      <c r="A3472">
        <v>13471</v>
      </c>
      <c r="B3472" t="s">
        <v>7</v>
      </c>
      <c r="C3472" t="s">
        <v>9</v>
      </c>
      <c r="D3472">
        <v>7.92</v>
      </c>
      <c r="E3472">
        <v>5</v>
      </c>
      <c r="F3472" t="s">
        <v>15</v>
      </c>
      <c r="G3472">
        <v>30</v>
      </c>
      <c r="H3472">
        <v>10.295999999999999</v>
      </c>
      <c r="I3472">
        <v>29.999999999999982</v>
      </c>
      <c r="J3472" t="s">
        <v>20</v>
      </c>
    </row>
    <row r="3473" spans="1:10" x14ac:dyDescent="0.2">
      <c r="A3473">
        <v>13472</v>
      </c>
      <c r="B3473" t="s">
        <v>5</v>
      </c>
      <c r="C3473" t="s">
        <v>6</v>
      </c>
      <c r="D3473">
        <v>8.4600000000000009</v>
      </c>
      <c r="E3473">
        <v>10</v>
      </c>
      <c r="F3473" t="s">
        <v>16</v>
      </c>
      <c r="G3473">
        <v>55</v>
      </c>
      <c r="H3473">
        <v>13.113000000000001</v>
      </c>
      <c r="I3473">
        <v>55.000000000000007</v>
      </c>
      <c r="J3473" t="s">
        <v>20</v>
      </c>
    </row>
    <row r="3474" spans="1:10" x14ac:dyDescent="0.2">
      <c r="A3474">
        <v>13473</v>
      </c>
      <c r="B3474" t="s">
        <v>10</v>
      </c>
      <c r="C3474" t="s">
        <v>9</v>
      </c>
      <c r="D3474">
        <v>8.31</v>
      </c>
      <c r="E3474">
        <v>7</v>
      </c>
      <c r="F3474" t="s">
        <v>15</v>
      </c>
      <c r="G3474">
        <v>30</v>
      </c>
      <c r="H3474">
        <v>10.803000000000001</v>
      </c>
      <c r="I3474">
        <v>30.000000000000004</v>
      </c>
      <c r="J3474" t="s">
        <v>20</v>
      </c>
    </row>
    <row r="3475" spans="1:10" x14ac:dyDescent="0.2">
      <c r="A3475">
        <v>13474</v>
      </c>
      <c r="B3475" t="s">
        <v>7</v>
      </c>
      <c r="C3475" t="s">
        <v>9</v>
      </c>
      <c r="D3475">
        <v>8.69</v>
      </c>
      <c r="E3475">
        <v>7</v>
      </c>
      <c r="F3475" t="s">
        <v>15</v>
      </c>
      <c r="G3475">
        <v>30</v>
      </c>
      <c r="H3475">
        <v>11.297000000000001</v>
      </c>
      <c r="I3475">
        <v>30.000000000000004</v>
      </c>
      <c r="J3475" t="s">
        <v>20</v>
      </c>
    </row>
    <row r="3476" spans="1:10" x14ac:dyDescent="0.2">
      <c r="A3476">
        <v>13475</v>
      </c>
      <c r="B3476" t="s">
        <v>8</v>
      </c>
      <c r="C3476" t="s">
        <v>6</v>
      </c>
      <c r="D3476">
        <v>14.26</v>
      </c>
      <c r="E3476">
        <v>1</v>
      </c>
      <c r="F3476" t="s">
        <v>14</v>
      </c>
      <c r="G3476">
        <v>12</v>
      </c>
      <c r="H3476">
        <v>15.971200000000001</v>
      </c>
      <c r="I3476">
        <v>12.000000000000011</v>
      </c>
      <c r="J3476" t="s">
        <v>20</v>
      </c>
    </row>
    <row r="3477" spans="1:10" x14ac:dyDescent="0.2">
      <c r="A3477">
        <v>13476</v>
      </c>
      <c r="B3477" t="s">
        <v>5</v>
      </c>
      <c r="C3477" t="s">
        <v>9</v>
      </c>
      <c r="D3477">
        <v>13.58</v>
      </c>
      <c r="E3477">
        <v>2</v>
      </c>
      <c r="F3477" t="s">
        <v>14</v>
      </c>
      <c r="G3477">
        <v>15</v>
      </c>
      <c r="H3477">
        <v>15.616999999999999</v>
      </c>
      <c r="I3477">
        <v>14.999999999999991</v>
      </c>
      <c r="J3477" t="s">
        <v>20</v>
      </c>
    </row>
    <row r="3478" spans="1:10" x14ac:dyDescent="0.2">
      <c r="A3478">
        <v>13477</v>
      </c>
      <c r="B3478" t="s">
        <v>5</v>
      </c>
      <c r="C3478" t="s">
        <v>11</v>
      </c>
      <c r="D3478">
        <v>13.2</v>
      </c>
      <c r="E3478">
        <v>7</v>
      </c>
      <c r="F3478" t="s">
        <v>15</v>
      </c>
      <c r="G3478">
        <v>25</v>
      </c>
      <c r="H3478">
        <v>16.5</v>
      </c>
      <c r="I3478">
        <v>25</v>
      </c>
      <c r="J3478" t="s">
        <v>20</v>
      </c>
    </row>
    <row r="3479" spans="1:10" x14ac:dyDescent="0.2">
      <c r="A3479">
        <v>13478</v>
      </c>
      <c r="B3479" t="s">
        <v>5</v>
      </c>
      <c r="C3479" t="s">
        <v>11</v>
      </c>
      <c r="D3479">
        <v>12.12</v>
      </c>
      <c r="E3479">
        <v>8</v>
      </c>
      <c r="F3479" t="s">
        <v>16</v>
      </c>
      <c r="G3479">
        <v>50</v>
      </c>
      <c r="H3479">
        <v>18.18</v>
      </c>
      <c r="I3479">
        <v>50</v>
      </c>
      <c r="J3479" t="s">
        <v>20</v>
      </c>
    </row>
    <row r="3480" spans="1:10" x14ac:dyDescent="0.2">
      <c r="A3480">
        <v>13479</v>
      </c>
      <c r="B3480" t="s">
        <v>7</v>
      </c>
      <c r="C3480" t="s">
        <v>9</v>
      </c>
      <c r="D3480">
        <v>14.18</v>
      </c>
      <c r="E3480">
        <v>4</v>
      </c>
      <c r="F3480" t="s">
        <v>15</v>
      </c>
      <c r="G3480">
        <v>30</v>
      </c>
      <c r="H3480">
        <v>18.434000000000001</v>
      </c>
      <c r="I3480">
        <v>30.000000000000004</v>
      </c>
      <c r="J3480" t="s">
        <v>20</v>
      </c>
    </row>
    <row r="3481" spans="1:10" x14ac:dyDescent="0.2">
      <c r="A3481">
        <v>13480</v>
      </c>
      <c r="B3481" t="s">
        <v>10</v>
      </c>
      <c r="C3481" t="s">
        <v>11</v>
      </c>
      <c r="D3481">
        <v>1.93</v>
      </c>
      <c r="E3481">
        <v>6</v>
      </c>
      <c r="F3481" t="s">
        <v>15</v>
      </c>
      <c r="G3481">
        <v>25</v>
      </c>
      <c r="H3481">
        <v>2.4125000000000001</v>
      </c>
      <c r="I3481">
        <v>25</v>
      </c>
      <c r="J3481" t="s">
        <v>20</v>
      </c>
    </row>
    <row r="3482" spans="1:10" x14ac:dyDescent="0.2">
      <c r="A3482">
        <v>13481</v>
      </c>
      <c r="B3482" t="s">
        <v>10</v>
      </c>
      <c r="C3482" t="s">
        <v>6</v>
      </c>
      <c r="D3482">
        <v>4.34</v>
      </c>
      <c r="E3482">
        <v>10</v>
      </c>
      <c r="F3482" t="s">
        <v>16</v>
      </c>
      <c r="G3482">
        <v>55</v>
      </c>
      <c r="H3482">
        <v>6.7270000000000003</v>
      </c>
      <c r="I3482">
        <v>55.000000000000007</v>
      </c>
      <c r="J3482" t="s">
        <v>20</v>
      </c>
    </row>
    <row r="3483" spans="1:10" x14ac:dyDescent="0.2">
      <c r="A3483">
        <v>13482</v>
      </c>
      <c r="B3483" t="s">
        <v>5</v>
      </c>
      <c r="C3483" t="s">
        <v>9</v>
      </c>
      <c r="D3483">
        <v>7.68</v>
      </c>
      <c r="E3483">
        <v>3</v>
      </c>
      <c r="F3483" t="s">
        <v>14</v>
      </c>
      <c r="G3483">
        <v>15</v>
      </c>
      <c r="H3483">
        <v>8.831999999999999</v>
      </c>
      <c r="I3483">
        <v>14.999999999999991</v>
      </c>
      <c r="J3483" t="s">
        <v>20</v>
      </c>
    </row>
    <row r="3484" spans="1:10" x14ac:dyDescent="0.2">
      <c r="A3484">
        <v>13483</v>
      </c>
      <c r="B3484" t="s">
        <v>8</v>
      </c>
      <c r="C3484" t="s">
        <v>9</v>
      </c>
      <c r="D3484">
        <v>12.77</v>
      </c>
      <c r="E3484">
        <v>7</v>
      </c>
      <c r="F3484" t="s">
        <v>15</v>
      </c>
      <c r="G3484">
        <v>30</v>
      </c>
      <c r="H3484">
        <v>16.600999999999999</v>
      </c>
      <c r="I3484">
        <v>30.000000000000004</v>
      </c>
      <c r="J3484" t="s">
        <v>20</v>
      </c>
    </row>
    <row r="3485" spans="1:10" x14ac:dyDescent="0.2">
      <c r="A3485">
        <v>13484</v>
      </c>
      <c r="B3485" t="s">
        <v>8</v>
      </c>
      <c r="C3485" t="s">
        <v>6</v>
      </c>
      <c r="D3485">
        <v>7.82</v>
      </c>
      <c r="E3485">
        <v>3</v>
      </c>
      <c r="F3485" t="s">
        <v>14</v>
      </c>
      <c r="G3485">
        <v>12</v>
      </c>
      <c r="H3485">
        <v>8.7584000000000017</v>
      </c>
      <c r="I3485">
        <v>12.000000000000011</v>
      </c>
      <c r="J3485" t="s">
        <v>20</v>
      </c>
    </row>
    <row r="3486" spans="1:10" x14ac:dyDescent="0.2">
      <c r="A3486">
        <v>13485</v>
      </c>
      <c r="B3486" t="s">
        <v>10</v>
      </c>
      <c r="C3486" t="s">
        <v>6</v>
      </c>
      <c r="D3486">
        <v>11.35</v>
      </c>
      <c r="E3486">
        <v>7</v>
      </c>
      <c r="F3486" t="s">
        <v>15</v>
      </c>
      <c r="G3486">
        <v>28</v>
      </c>
      <c r="H3486">
        <v>14.528</v>
      </c>
      <c r="I3486">
        <v>28.000000000000004</v>
      </c>
      <c r="J3486" t="s">
        <v>20</v>
      </c>
    </row>
    <row r="3487" spans="1:10" x14ac:dyDescent="0.2">
      <c r="A3487">
        <v>13486</v>
      </c>
      <c r="B3487" t="s">
        <v>8</v>
      </c>
      <c r="C3487" t="s">
        <v>6</v>
      </c>
      <c r="D3487">
        <v>2.5099999999999998</v>
      </c>
      <c r="E3487">
        <v>8</v>
      </c>
      <c r="F3487" t="s">
        <v>16</v>
      </c>
      <c r="G3487">
        <v>55</v>
      </c>
      <c r="H3487">
        <v>3.8904999999999998</v>
      </c>
      <c r="I3487">
        <v>55.000000000000007</v>
      </c>
      <c r="J3487" t="s">
        <v>20</v>
      </c>
    </row>
    <row r="3488" spans="1:10" x14ac:dyDescent="0.2">
      <c r="A3488">
        <v>13487</v>
      </c>
      <c r="B3488" t="s">
        <v>10</v>
      </c>
      <c r="C3488" t="s">
        <v>9</v>
      </c>
      <c r="D3488">
        <v>4.16</v>
      </c>
      <c r="E3488">
        <v>3</v>
      </c>
      <c r="F3488" t="s">
        <v>14</v>
      </c>
      <c r="G3488">
        <v>15</v>
      </c>
      <c r="H3488">
        <v>4.7839999999999998</v>
      </c>
      <c r="I3488">
        <v>14.999999999999991</v>
      </c>
      <c r="J3488" t="s">
        <v>20</v>
      </c>
    </row>
    <row r="3489" spans="1:10" x14ac:dyDescent="0.2">
      <c r="A3489">
        <v>13488</v>
      </c>
      <c r="B3489" t="s">
        <v>5</v>
      </c>
      <c r="C3489" t="s">
        <v>6</v>
      </c>
      <c r="D3489">
        <v>11.11</v>
      </c>
      <c r="E3489">
        <v>2</v>
      </c>
      <c r="F3489" t="s">
        <v>14</v>
      </c>
      <c r="G3489">
        <v>12</v>
      </c>
      <c r="H3489">
        <v>12.443200000000001</v>
      </c>
      <c r="I3489">
        <v>12.000000000000011</v>
      </c>
      <c r="J3489" t="s">
        <v>20</v>
      </c>
    </row>
    <row r="3490" spans="1:10" x14ac:dyDescent="0.2">
      <c r="A3490">
        <v>13489</v>
      </c>
      <c r="B3490" t="s">
        <v>10</v>
      </c>
      <c r="C3490" t="s">
        <v>6</v>
      </c>
      <c r="D3490">
        <v>2.89</v>
      </c>
      <c r="E3490">
        <v>6</v>
      </c>
      <c r="F3490" t="s">
        <v>15</v>
      </c>
      <c r="G3490">
        <v>28</v>
      </c>
      <c r="H3490">
        <v>3.6992000000000003</v>
      </c>
      <c r="I3490">
        <v>28.000000000000004</v>
      </c>
      <c r="J3490" t="s">
        <v>20</v>
      </c>
    </row>
    <row r="3491" spans="1:10" x14ac:dyDescent="0.2">
      <c r="A3491">
        <v>13490</v>
      </c>
      <c r="B3491" t="s">
        <v>10</v>
      </c>
      <c r="C3491" t="s">
        <v>11</v>
      </c>
      <c r="D3491">
        <v>5.59</v>
      </c>
      <c r="E3491">
        <v>4</v>
      </c>
      <c r="F3491" t="s">
        <v>15</v>
      </c>
      <c r="G3491">
        <v>25</v>
      </c>
      <c r="H3491">
        <v>6.9874999999999998</v>
      </c>
      <c r="I3491">
        <v>25</v>
      </c>
      <c r="J3491" t="s">
        <v>20</v>
      </c>
    </row>
    <row r="3492" spans="1:10" x14ac:dyDescent="0.2">
      <c r="A3492">
        <v>13491</v>
      </c>
      <c r="B3492" t="s">
        <v>5</v>
      </c>
      <c r="C3492" t="s">
        <v>11</v>
      </c>
      <c r="D3492">
        <v>4.34</v>
      </c>
      <c r="E3492">
        <v>8</v>
      </c>
      <c r="F3492" t="s">
        <v>16</v>
      </c>
      <c r="G3492">
        <v>50</v>
      </c>
      <c r="H3492">
        <v>6.51</v>
      </c>
      <c r="I3492">
        <v>50</v>
      </c>
      <c r="J3492" t="s">
        <v>20</v>
      </c>
    </row>
    <row r="3493" spans="1:10" x14ac:dyDescent="0.2">
      <c r="A3493">
        <v>13492</v>
      </c>
      <c r="B3493" t="s">
        <v>8</v>
      </c>
      <c r="C3493" t="s">
        <v>9</v>
      </c>
      <c r="D3493">
        <v>5.57</v>
      </c>
      <c r="E3493">
        <v>2</v>
      </c>
      <c r="F3493" t="s">
        <v>14</v>
      </c>
      <c r="G3493">
        <v>15</v>
      </c>
      <c r="H3493">
        <v>6.4055</v>
      </c>
      <c r="I3493">
        <v>14.999999999999991</v>
      </c>
      <c r="J3493" t="s">
        <v>20</v>
      </c>
    </row>
    <row r="3494" spans="1:10" x14ac:dyDescent="0.2">
      <c r="A3494">
        <v>13493</v>
      </c>
      <c r="B3494" t="s">
        <v>10</v>
      </c>
      <c r="C3494" t="s">
        <v>11</v>
      </c>
      <c r="D3494">
        <v>10.77</v>
      </c>
      <c r="E3494">
        <v>4</v>
      </c>
      <c r="F3494" t="s">
        <v>15</v>
      </c>
      <c r="G3494">
        <v>25</v>
      </c>
      <c r="H3494">
        <v>13.462499999999999</v>
      </c>
      <c r="I3494">
        <v>25</v>
      </c>
      <c r="J3494" t="s">
        <v>20</v>
      </c>
    </row>
    <row r="3495" spans="1:10" x14ac:dyDescent="0.2">
      <c r="A3495">
        <v>13494</v>
      </c>
      <c r="B3495" t="s">
        <v>10</v>
      </c>
      <c r="C3495" t="s">
        <v>11</v>
      </c>
      <c r="D3495">
        <v>5.83</v>
      </c>
      <c r="E3495">
        <v>2</v>
      </c>
      <c r="F3495" t="s">
        <v>14</v>
      </c>
      <c r="G3495">
        <v>10</v>
      </c>
      <c r="H3495">
        <v>6.4130000000000003</v>
      </c>
      <c r="I3495">
        <v>10.000000000000009</v>
      </c>
      <c r="J3495" t="s">
        <v>20</v>
      </c>
    </row>
    <row r="3496" spans="1:10" x14ac:dyDescent="0.2">
      <c r="A3496">
        <v>13495</v>
      </c>
      <c r="B3496" t="s">
        <v>5</v>
      </c>
      <c r="C3496" t="s">
        <v>6</v>
      </c>
      <c r="D3496">
        <v>8.5500000000000007</v>
      </c>
      <c r="E3496">
        <v>2</v>
      </c>
      <c r="F3496" t="s">
        <v>14</v>
      </c>
      <c r="G3496">
        <v>12</v>
      </c>
      <c r="H3496">
        <v>9.5760000000000023</v>
      </c>
      <c r="I3496">
        <v>12.000000000000011</v>
      </c>
      <c r="J3496" t="s">
        <v>20</v>
      </c>
    </row>
    <row r="3497" spans="1:10" x14ac:dyDescent="0.2">
      <c r="A3497">
        <v>13496</v>
      </c>
      <c r="B3497" t="s">
        <v>8</v>
      </c>
      <c r="C3497" t="s">
        <v>6</v>
      </c>
      <c r="D3497">
        <v>1.95</v>
      </c>
      <c r="E3497">
        <v>2</v>
      </c>
      <c r="F3497" t="s">
        <v>14</v>
      </c>
      <c r="G3497">
        <v>12</v>
      </c>
      <c r="H3497">
        <v>2.1840000000000002</v>
      </c>
      <c r="I3497">
        <v>12.000000000000011</v>
      </c>
      <c r="J3497" t="s">
        <v>20</v>
      </c>
    </row>
    <row r="3498" spans="1:10" x14ac:dyDescent="0.2">
      <c r="A3498">
        <v>13497</v>
      </c>
      <c r="B3498" t="s">
        <v>10</v>
      </c>
      <c r="C3498" t="s">
        <v>11</v>
      </c>
      <c r="D3498">
        <v>12.17</v>
      </c>
      <c r="E3498">
        <v>1</v>
      </c>
      <c r="F3498" t="s">
        <v>14</v>
      </c>
      <c r="G3498">
        <v>10</v>
      </c>
      <c r="H3498">
        <v>13.387</v>
      </c>
      <c r="I3498">
        <v>10.000000000000009</v>
      </c>
      <c r="J3498" t="s">
        <v>20</v>
      </c>
    </row>
    <row r="3499" spans="1:10" x14ac:dyDescent="0.2">
      <c r="A3499">
        <v>13498</v>
      </c>
      <c r="B3499" t="s">
        <v>5</v>
      </c>
      <c r="C3499" t="s">
        <v>11</v>
      </c>
      <c r="D3499">
        <v>5.86</v>
      </c>
      <c r="E3499">
        <v>4</v>
      </c>
      <c r="F3499" t="s">
        <v>15</v>
      </c>
      <c r="G3499">
        <v>25</v>
      </c>
      <c r="H3499">
        <v>7.3250000000000002</v>
      </c>
      <c r="I3499">
        <v>25</v>
      </c>
      <c r="J3499" t="s">
        <v>20</v>
      </c>
    </row>
    <row r="3500" spans="1:10" x14ac:dyDescent="0.2">
      <c r="A3500">
        <v>13499</v>
      </c>
      <c r="B3500" t="s">
        <v>10</v>
      </c>
      <c r="C3500" t="s">
        <v>11</v>
      </c>
      <c r="D3500">
        <v>9.9</v>
      </c>
      <c r="E3500">
        <v>2</v>
      </c>
      <c r="F3500" t="s">
        <v>14</v>
      </c>
      <c r="G3500">
        <v>10</v>
      </c>
      <c r="H3500">
        <v>10.89</v>
      </c>
      <c r="I3500">
        <v>10.000000000000009</v>
      </c>
      <c r="J3500" t="s">
        <v>20</v>
      </c>
    </row>
    <row r="3501" spans="1:10" x14ac:dyDescent="0.2">
      <c r="A3501">
        <v>13500</v>
      </c>
      <c r="B3501" t="s">
        <v>7</v>
      </c>
      <c r="C3501" t="s">
        <v>9</v>
      </c>
      <c r="D3501">
        <v>11.02</v>
      </c>
      <c r="E3501">
        <v>9</v>
      </c>
      <c r="F3501" t="s">
        <v>16</v>
      </c>
      <c r="G3501">
        <v>60</v>
      </c>
      <c r="H3501">
        <v>17.632000000000001</v>
      </c>
      <c r="I3501">
        <v>60.000000000000007</v>
      </c>
      <c r="J3501" t="s">
        <v>20</v>
      </c>
    </row>
    <row r="3502" spans="1:10" x14ac:dyDescent="0.2">
      <c r="A3502">
        <v>13501</v>
      </c>
      <c r="B3502" t="s">
        <v>5</v>
      </c>
      <c r="C3502" t="s">
        <v>9</v>
      </c>
      <c r="D3502">
        <v>3.54</v>
      </c>
      <c r="E3502">
        <v>9</v>
      </c>
      <c r="F3502" t="s">
        <v>16</v>
      </c>
      <c r="G3502">
        <v>60</v>
      </c>
      <c r="H3502">
        <v>5.6640000000000006</v>
      </c>
      <c r="I3502">
        <v>60.000000000000007</v>
      </c>
      <c r="J3502" t="s">
        <v>20</v>
      </c>
    </row>
    <row r="3503" spans="1:10" x14ac:dyDescent="0.2">
      <c r="A3503">
        <v>13502</v>
      </c>
      <c r="B3503" t="s">
        <v>8</v>
      </c>
      <c r="C3503" t="s">
        <v>9</v>
      </c>
      <c r="D3503">
        <v>13.33</v>
      </c>
      <c r="E3503">
        <v>7</v>
      </c>
      <c r="F3503" t="s">
        <v>15</v>
      </c>
      <c r="G3503">
        <v>30</v>
      </c>
      <c r="H3503">
        <v>17.329000000000001</v>
      </c>
      <c r="I3503">
        <v>30.000000000000004</v>
      </c>
      <c r="J3503" t="s">
        <v>20</v>
      </c>
    </row>
    <row r="3504" spans="1:10" x14ac:dyDescent="0.2">
      <c r="A3504">
        <v>13503</v>
      </c>
      <c r="B3504" t="s">
        <v>8</v>
      </c>
      <c r="C3504" t="s">
        <v>11</v>
      </c>
      <c r="D3504">
        <v>9.44</v>
      </c>
      <c r="E3504">
        <v>6</v>
      </c>
      <c r="F3504" t="s">
        <v>15</v>
      </c>
      <c r="G3504">
        <v>25</v>
      </c>
      <c r="H3504">
        <v>11.799999999999999</v>
      </c>
      <c r="I3504">
        <v>25</v>
      </c>
      <c r="J3504" t="s">
        <v>20</v>
      </c>
    </row>
    <row r="3505" spans="1:10" x14ac:dyDescent="0.2">
      <c r="A3505">
        <v>13504</v>
      </c>
      <c r="B3505" t="s">
        <v>8</v>
      </c>
      <c r="C3505" t="s">
        <v>11</v>
      </c>
      <c r="D3505">
        <v>6.72</v>
      </c>
      <c r="E3505">
        <v>3</v>
      </c>
      <c r="F3505" t="s">
        <v>14</v>
      </c>
      <c r="G3505">
        <v>10</v>
      </c>
      <c r="H3505">
        <v>7.3920000000000003</v>
      </c>
      <c r="I3505">
        <v>10.000000000000009</v>
      </c>
      <c r="J3505" t="s">
        <v>20</v>
      </c>
    </row>
    <row r="3506" spans="1:10" x14ac:dyDescent="0.2">
      <c r="A3506">
        <v>13505</v>
      </c>
      <c r="B3506" t="s">
        <v>8</v>
      </c>
      <c r="C3506" t="s">
        <v>9</v>
      </c>
      <c r="D3506">
        <v>3.14</v>
      </c>
      <c r="E3506">
        <v>7</v>
      </c>
      <c r="F3506" t="s">
        <v>15</v>
      </c>
      <c r="G3506">
        <v>30</v>
      </c>
      <c r="H3506">
        <v>4.0820000000000007</v>
      </c>
      <c r="I3506">
        <v>30.000000000000028</v>
      </c>
      <c r="J3506" t="s">
        <v>20</v>
      </c>
    </row>
    <row r="3507" spans="1:10" x14ac:dyDescent="0.2">
      <c r="A3507">
        <v>13506</v>
      </c>
      <c r="B3507" t="s">
        <v>10</v>
      </c>
      <c r="C3507" t="s">
        <v>9</v>
      </c>
      <c r="D3507">
        <v>14.16</v>
      </c>
      <c r="E3507">
        <v>1</v>
      </c>
      <c r="F3507" t="s">
        <v>14</v>
      </c>
      <c r="G3507">
        <v>15</v>
      </c>
      <c r="H3507">
        <v>16.283999999999999</v>
      </c>
      <c r="I3507">
        <v>14.999999999999991</v>
      </c>
      <c r="J3507" t="s">
        <v>20</v>
      </c>
    </row>
    <row r="3508" spans="1:10" x14ac:dyDescent="0.2">
      <c r="A3508">
        <v>13507</v>
      </c>
      <c r="B3508" t="s">
        <v>10</v>
      </c>
      <c r="C3508" t="s">
        <v>11</v>
      </c>
      <c r="D3508">
        <v>11.45</v>
      </c>
      <c r="E3508">
        <v>9</v>
      </c>
      <c r="F3508" t="s">
        <v>16</v>
      </c>
      <c r="G3508">
        <v>50</v>
      </c>
      <c r="H3508">
        <v>17.174999999999997</v>
      </c>
      <c r="I3508">
        <v>49.999999999999979</v>
      </c>
      <c r="J3508" t="s">
        <v>20</v>
      </c>
    </row>
    <row r="3509" spans="1:10" x14ac:dyDescent="0.2">
      <c r="A3509">
        <v>13508</v>
      </c>
      <c r="B3509" t="s">
        <v>8</v>
      </c>
      <c r="C3509" t="s">
        <v>6</v>
      </c>
      <c r="D3509">
        <v>3.52</v>
      </c>
      <c r="E3509">
        <v>4</v>
      </c>
      <c r="F3509" t="s">
        <v>15</v>
      </c>
      <c r="G3509">
        <v>28</v>
      </c>
      <c r="H3509">
        <v>4.5056000000000003</v>
      </c>
      <c r="I3509">
        <v>28.000000000000004</v>
      </c>
      <c r="J3509" t="s">
        <v>20</v>
      </c>
    </row>
    <row r="3510" spans="1:10" x14ac:dyDescent="0.2">
      <c r="A3510">
        <v>13509</v>
      </c>
      <c r="B3510" t="s">
        <v>8</v>
      </c>
      <c r="C3510" t="s">
        <v>9</v>
      </c>
      <c r="D3510">
        <v>5.4</v>
      </c>
      <c r="E3510">
        <v>6</v>
      </c>
      <c r="F3510" t="s">
        <v>15</v>
      </c>
      <c r="G3510">
        <v>30</v>
      </c>
      <c r="H3510">
        <v>7.0200000000000005</v>
      </c>
      <c r="I3510">
        <v>30.000000000000004</v>
      </c>
      <c r="J3510" t="s">
        <v>20</v>
      </c>
    </row>
    <row r="3511" spans="1:10" x14ac:dyDescent="0.2">
      <c r="A3511">
        <v>13510</v>
      </c>
      <c r="B3511" t="s">
        <v>8</v>
      </c>
      <c r="C3511" t="s">
        <v>11</v>
      </c>
      <c r="D3511">
        <v>12.24</v>
      </c>
      <c r="E3511">
        <v>6</v>
      </c>
      <c r="F3511" t="s">
        <v>15</v>
      </c>
      <c r="G3511">
        <v>25</v>
      </c>
      <c r="H3511">
        <v>15.3</v>
      </c>
      <c r="I3511">
        <v>25</v>
      </c>
      <c r="J3511" t="s">
        <v>20</v>
      </c>
    </row>
    <row r="3512" spans="1:10" x14ac:dyDescent="0.2">
      <c r="A3512">
        <v>13511</v>
      </c>
      <c r="B3512" t="s">
        <v>10</v>
      </c>
      <c r="C3512" t="s">
        <v>11</v>
      </c>
      <c r="D3512">
        <v>10.59</v>
      </c>
      <c r="E3512">
        <v>3</v>
      </c>
      <c r="F3512" t="s">
        <v>14</v>
      </c>
      <c r="G3512">
        <v>10</v>
      </c>
      <c r="H3512">
        <v>11.649000000000001</v>
      </c>
      <c r="I3512">
        <v>10.000000000000009</v>
      </c>
      <c r="J3512" t="s">
        <v>20</v>
      </c>
    </row>
    <row r="3513" spans="1:10" x14ac:dyDescent="0.2">
      <c r="A3513">
        <v>13512</v>
      </c>
      <c r="B3513" t="s">
        <v>8</v>
      </c>
      <c r="C3513" t="s">
        <v>6</v>
      </c>
      <c r="D3513">
        <v>11.6</v>
      </c>
      <c r="E3513">
        <v>4</v>
      </c>
      <c r="F3513" t="s">
        <v>15</v>
      </c>
      <c r="G3513">
        <v>28</v>
      </c>
      <c r="H3513">
        <v>14.847999999999999</v>
      </c>
      <c r="I3513">
        <v>28.000000000000004</v>
      </c>
      <c r="J3513" t="s">
        <v>20</v>
      </c>
    </row>
    <row r="3514" spans="1:10" x14ac:dyDescent="0.2">
      <c r="A3514">
        <v>13513</v>
      </c>
      <c r="B3514" t="s">
        <v>8</v>
      </c>
      <c r="C3514" t="s">
        <v>11</v>
      </c>
      <c r="D3514">
        <v>6.9</v>
      </c>
      <c r="E3514">
        <v>10</v>
      </c>
      <c r="F3514" t="s">
        <v>16</v>
      </c>
      <c r="G3514">
        <v>50</v>
      </c>
      <c r="H3514">
        <v>10.350000000000001</v>
      </c>
      <c r="I3514">
        <v>50.000000000000021</v>
      </c>
      <c r="J3514" t="s">
        <v>20</v>
      </c>
    </row>
    <row r="3515" spans="1:10" x14ac:dyDescent="0.2">
      <c r="A3515">
        <v>13514</v>
      </c>
      <c r="B3515" t="s">
        <v>7</v>
      </c>
      <c r="C3515" t="s">
        <v>11</v>
      </c>
      <c r="D3515">
        <v>10.89</v>
      </c>
      <c r="E3515">
        <v>3</v>
      </c>
      <c r="F3515" t="s">
        <v>14</v>
      </c>
      <c r="G3515">
        <v>10</v>
      </c>
      <c r="H3515">
        <v>11.979000000000001</v>
      </c>
      <c r="I3515">
        <v>10.000000000000009</v>
      </c>
      <c r="J3515" t="s">
        <v>20</v>
      </c>
    </row>
    <row r="3516" spans="1:10" x14ac:dyDescent="0.2">
      <c r="A3516">
        <v>13515</v>
      </c>
      <c r="B3516" t="s">
        <v>7</v>
      </c>
      <c r="C3516" t="s">
        <v>9</v>
      </c>
      <c r="D3516">
        <v>6.1</v>
      </c>
      <c r="E3516">
        <v>6</v>
      </c>
      <c r="F3516" t="s">
        <v>15</v>
      </c>
      <c r="G3516">
        <v>30</v>
      </c>
      <c r="H3516">
        <v>7.93</v>
      </c>
      <c r="I3516">
        <v>30.000000000000004</v>
      </c>
      <c r="J3516" t="s">
        <v>20</v>
      </c>
    </row>
    <row r="3517" spans="1:10" x14ac:dyDescent="0.2">
      <c r="A3517">
        <v>13516</v>
      </c>
      <c r="B3517" t="s">
        <v>8</v>
      </c>
      <c r="C3517" t="s">
        <v>9</v>
      </c>
      <c r="D3517">
        <v>3.56</v>
      </c>
      <c r="E3517">
        <v>1</v>
      </c>
      <c r="F3517" t="s">
        <v>14</v>
      </c>
      <c r="G3517">
        <v>15</v>
      </c>
      <c r="H3517">
        <v>4.0939999999999994</v>
      </c>
      <c r="I3517">
        <v>14.999999999999991</v>
      </c>
      <c r="J3517" t="s">
        <v>20</v>
      </c>
    </row>
    <row r="3518" spans="1:10" x14ac:dyDescent="0.2">
      <c r="A3518">
        <v>13517</v>
      </c>
      <c r="B3518" t="s">
        <v>5</v>
      </c>
      <c r="C3518" t="s">
        <v>6</v>
      </c>
      <c r="D3518">
        <v>9.67</v>
      </c>
      <c r="E3518">
        <v>8</v>
      </c>
      <c r="F3518" t="s">
        <v>16</v>
      </c>
      <c r="G3518">
        <v>55</v>
      </c>
      <c r="H3518">
        <v>14.9885</v>
      </c>
      <c r="I3518">
        <v>55.000000000000007</v>
      </c>
      <c r="J3518" t="s">
        <v>20</v>
      </c>
    </row>
    <row r="3519" spans="1:10" x14ac:dyDescent="0.2">
      <c r="A3519">
        <v>13518</v>
      </c>
      <c r="B3519" t="s">
        <v>8</v>
      </c>
      <c r="C3519" t="s">
        <v>6</v>
      </c>
      <c r="D3519">
        <v>14.65</v>
      </c>
      <c r="E3519">
        <v>8</v>
      </c>
      <c r="F3519" t="s">
        <v>16</v>
      </c>
      <c r="G3519">
        <v>55</v>
      </c>
      <c r="H3519">
        <v>22.7075</v>
      </c>
      <c r="I3519">
        <v>54.999999999999986</v>
      </c>
      <c r="J3519" t="s">
        <v>20</v>
      </c>
    </row>
    <row r="3520" spans="1:10" x14ac:dyDescent="0.2">
      <c r="A3520">
        <v>13519</v>
      </c>
      <c r="B3520" t="s">
        <v>7</v>
      </c>
      <c r="C3520" t="s">
        <v>11</v>
      </c>
      <c r="D3520">
        <v>5</v>
      </c>
      <c r="E3520">
        <v>9</v>
      </c>
      <c r="F3520" t="s">
        <v>16</v>
      </c>
      <c r="G3520">
        <v>50</v>
      </c>
      <c r="H3520">
        <v>7.5</v>
      </c>
      <c r="I3520">
        <v>50</v>
      </c>
      <c r="J3520" t="s">
        <v>20</v>
      </c>
    </row>
    <row r="3521" spans="1:10" x14ac:dyDescent="0.2">
      <c r="A3521">
        <v>13520</v>
      </c>
      <c r="B3521" t="s">
        <v>5</v>
      </c>
      <c r="C3521" t="s">
        <v>9</v>
      </c>
      <c r="D3521">
        <v>7.18</v>
      </c>
      <c r="E3521">
        <v>6</v>
      </c>
      <c r="F3521" t="s">
        <v>15</v>
      </c>
      <c r="G3521">
        <v>30</v>
      </c>
      <c r="H3521">
        <v>9.3339999999999996</v>
      </c>
      <c r="I3521">
        <v>30.000000000000004</v>
      </c>
      <c r="J3521" t="s">
        <v>20</v>
      </c>
    </row>
    <row r="3522" spans="1:10" x14ac:dyDescent="0.2">
      <c r="A3522">
        <v>13521</v>
      </c>
      <c r="B3522" t="s">
        <v>5</v>
      </c>
      <c r="C3522" t="s">
        <v>6</v>
      </c>
      <c r="D3522">
        <v>10.27</v>
      </c>
      <c r="E3522">
        <v>1</v>
      </c>
      <c r="F3522" t="s">
        <v>14</v>
      </c>
      <c r="G3522">
        <v>12</v>
      </c>
      <c r="H3522">
        <v>11.5024</v>
      </c>
      <c r="I3522">
        <v>12.000000000000011</v>
      </c>
      <c r="J3522" t="s">
        <v>20</v>
      </c>
    </row>
    <row r="3523" spans="1:10" x14ac:dyDescent="0.2">
      <c r="A3523">
        <v>13522</v>
      </c>
      <c r="B3523" t="s">
        <v>8</v>
      </c>
      <c r="C3523" t="s">
        <v>6</v>
      </c>
      <c r="D3523">
        <v>8.35</v>
      </c>
      <c r="E3523">
        <v>3</v>
      </c>
      <c r="F3523" t="s">
        <v>14</v>
      </c>
      <c r="G3523">
        <v>12</v>
      </c>
      <c r="H3523">
        <v>9.3520000000000003</v>
      </c>
      <c r="I3523">
        <v>12.000000000000011</v>
      </c>
      <c r="J3523" t="s">
        <v>20</v>
      </c>
    </row>
    <row r="3524" spans="1:10" x14ac:dyDescent="0.2">
      <c r="A3524">
        <v>13523</v>
      </c>
      <c r="B3524" t="s">
        <v>7</v>
      </c>
      <c r="C3524" t="s">
        <v>6</v>
      </c>
      <c r="D3524">
        <v>12.73</v>
      </c>
      <c r="E3524">
        <v>1</v>
      </c>
      <c r="F3524" t="s">
        <v>14</v>
      </c>
      <c r="G3524">
        <v>12</v>
      </c>
      <c r="H3524">
        <v>14.257600000000002</v>
      </c>
      <c r="I3524">
        <v>12.000000000000011</v>
      </c>
      <c r="J3524" t="s">
        <v>20</v>
      </c>
    </row>
    <row r="3525" spans="1:10" x14ac:dyDescent="0.2">
      <c r="A3525">
        <v>13524</v>
      </c>
      <c r="B3525" t="s">
        <v>7</v>
      </c>
      <c r="C3525" t="s">
        <v>11</v>
      </c>
      <c r="D3525">
        <v>11.55</v>
      </c>
      <c r="E3525">
        <v>5</v>
      </c>
      <c r="F3525" t="s">
        <v>15</v>
      </c>
      <c r="G3525">
        <v>25</v>
      </c>
      <c r="H3525">
        <v>14.4375</v>
      </c>
      <c r="I3525">
        <v>25</v>
      </c>
      <c r="J3525" t="s">
        <v>20</v>
      </c>
    </row>
    <row r="3526" spans="1:10" x14ac:dyDescent="0.2">
      <c r="A3526">
        <v>13525</v>
      </c>
      <c r="B3526" t="s">
        <v>5</v>
      </c>
      <c r="C3526" t="s">
        <v>9</v>
      </c>
      <c r="D3526">
        <v>1.35</v>
      </c>
      <c r="E3526">
        <v>3</v>
      </c>
      <c r="F3526" t="s">
        <v>14</v>
      </c>
      <c r="G3526">
        <v>15</v>
      </c>
      <c r="H3526">
        <v>1.5525</v>
      </c>
      <c r="I3526">
        <v>14.999999999999991</v>
      </c>
      <c r="J3526" t="s">
        <v>20</v>
      </c>
    </row>
    <row r="3527" spans="1:10" x14ac:dyDescent="0.2">
      <c r="A3527">
        <v>13526</v>
      </c>
      <c r="B3527" t="s">
        <v>8</v>
      </c>
      <c r="C3527" t="s">
        <v>6</v>
      </c>
      <c r="D3527">
        <v>14.98</v>
      </c>
      <c r="E3527">
        <v>2</v>
      </c>
      <c r="F3527" t="s">
        <v>14</v>
      </c>
      <c r="G3527">
        <v>12</v>
      </c>
      <c r="H3527">
        <v>16.777600000000003</v>
      </c>
      <c r="I3527">
        <v>12.000000000000011</v>
      </c>
      <c r="J3527" t="s">
        <v>20</v>
      </c>
    </row>
    <row r="3528" spans="1:10" x14ac:dyDescent="0.2">
      <c r="A3528">
        <v>13527</v>
      </c>
      <c r="B3528" t="s">
        <v>10</v>
      </c>
      <c r="C3528" t="s">
        <v>9</v>
      </c>
      <c r="D3528">
        <v>11.41</v>
      </c>
      <c r="E3528">
        <v>3</v>
      </c>
      <c r="F3528" t="s">
        <v>14</v>
      </c>
      <c r="G3528">
        <v>15</v>
      </c>
      <c r="H3528">
        <v>13.121499999999999</v>
      </c>
      <c r="I3528">
        <v>14.999999999999991</v>
      </c>
      <c r="J3528" t="s">
        <v>20</v>
      </c>
    </row>
    <row r="3529" spans="1:10" x14ac:dyDescent="0.2">
      <c r="A3529">
        <v>13528</v>
      </c>
      <c r="B3529" t="s">
        <v>10</v>
      </c>
      <c r="C3529" t="s">
        <v>6</v>
      </c>
      <c r="D3529">
        <v>13.03</v>
      </c>
      <c r="E3529">
        <v>9</v>
      </c>
      <c r="F3529" t="s">
        <v>16</v>
      </c>
      <c r="G3529">
        <v>55</v>
      </c>
      <c r="H3529">
        <v>20.1965</v>
      </c>
      <c r="I3529">
        <v>55.000000000000007</v>
      </c>
      <c r="J3529" t="s">
        <v>20</v>
      </c>
    </row>
    <row r="3530" spans="1:10" x14ac:dyDescent="0.2">
      <c r="A3530">
        <v>13529</v>
      </c>
      <c r="B3530" t="s">
        <v>7</v>
      </c>
      <c r="C3530" t="s">
        <v>6</v>
      </c>
      <c r="D3530">
        <v>9.94</v>
      </c>
      <c r="E3530">
        <v>8</v>
      </c>
      <c r="F3530" t="s">
        <v>16</v>
      </c>
      <c r="G3530">
        <v>55</v>
      </c>
      <c r="H3530">
        <v>15.407</v>
      </c>
      <c r="I3530">
        <v>55.000000000000007</v>
      </c>
      <c r="J3530" t="s">
        <v>20</v>
      </c>
    </row>
    <row r="3531" spans="1:10" x14ac:dyDescent="0.2">
      <c r="A3531">
        <v>13530</v>
      </c>
      <c r="B3531" t="s">
        <v>10</v>
      </c>
      <c r="C3531" t="s">
        <v>9</v>
      </c>
      <c r="D3531">
        <v>12.92</v>
      </c>
      <c r="E3531">
        <v>3</v>
      </c>
      <c r="F3531" t="s">
        <v>14</v>
      </c>
      <c r="G3531">
        <v>15</v>
      </c>
      <c r="H3531">
        <v>14.857999999999999</v>
      </c>
      <c r="I3531">
        <v>14.999999999999991</v>
      </c>
      <c r="J3531" t="s">
        <v>20</v>
      </c>
    </row>
    <row r="3532" spans="1:10" x14ac:dyDescent="0.2">
      <c r="A3532">
        <v>13531</v>
      </c>
      <c r="B3532" t="s">
        <v>7</v>
      </c>
      <c r="C3532" t="s">
        <v>9</v>
      </c>
      <c r="D3532">
        <v>2.13</v>
      </c>
      <c r="E3532">
        <v>2</v>
      </c>
      <c r="F3532" t="s">
        <v>14</v>
      </c>
      <c r="G3532">
        <v>15</v>
      </c>
      <c r="H3532">
        <v>2.4494999999999996</v>
      </c>
      <c r="I3532">
        <v>14.999999999999991</v>
      </c>
      <c r="J3532" t="s">
        <v>20</v>
      </c>
    </row>
    <row r="3533" spans="1:10" x14ac:dyDescent="0.2">
      <c r="A3533">
        <v>13532</v>
      </c>
      <c r="B3533" t="s">
        <v>7</v>
      </c>
      <c r="C3533" t="s">
        <v>9</v>
      </c>
      <c r="D3533">
        <v>5.54</v>
      </c>
      <c r="E3533">
        <v>5</v>
      </c>
      <c r="F3533" t="s">
        <v>15</v>
      </c>
      <c r="G3533">
        <v>30</v>
      </c>
      <c r="H3533">
        <v>7.202</v>
      </c>
      <c r="I3533">
        <v>30.000000000000004</v>
      </c>
      <c r="J3533" t="s">
        <v>20</v>
      </c>
    </row>
    <row r="3534" spans="1:10" x14ac:dyDescent="0.2">
      <c r="A3534">
        <v>13533</v>
      </c>
      <c r="B3534" t="s">
        <v>7</v>
      </c>
      <c r="C3534" t="s">
        <v>11</v>
      </c>
      <c r="D3534">
        <v>13.21</v>
      </c>
      <c r="E3534">
        <v>1</v>
      </c>
      <c r="F3534" t="s">
        <v>14</v>
      </c>
      <c r="G3534">
        <v>10</v>
      </c>
      <c r="H3534">
        <v>14.531000000000002</v>
      </c>
      <c r="I3534">
        <v>10.000000000000009</v>
      </c>
      <c r="J3534" t="s">
        <v>20</v>
      </c>
    </row>
    <row r="3535" spans="1:10" x14ac:dyDescent="0.2">
      <c r="A3535">
        <v>13534</v>
      </c>
      <c r="B3535" t="s">
        <v>10</v>
      </c>
      <c r="C3535" t="s">
        <v>6</v>
      </c>
      <c r="D3535">
        <v>3.42</v>
      </c>
      <c r="E3535">
        <v>4</v>
      </c>
      <c r="F3535" t="s">
        <v>15</v>
      </c>
      <c r="G3535">
        <v>28</v>
      </c>
      <c r="H3535">
        <v>4.3776000000000002</v>
      </c>
      <c r="I3535">
        <v>28.000000000000004</v>
      </c>
      <c r="J3535" t="s">
        <v>20</v>
      </c>
    </row>
    <row r="3536" spans="1:10" x14ac:dyDescent="0.2">
      <c r="A3536">
        <v>13535</v>
      </c>
      <c r="B3536" t="s">
        <v>7</v>
      </c>
      <c r="C3536" t="s">
        <v>11</v>
      </c>
      <c r="D3536">
        <v>1.63</v>
      </c>
      <c r="E3536">
        <v>8</v>
      </c>
      <c r="F3536" t="s">
        <v>16</v>
      </c>
      <c r="G3536">
        <v>50</v>
      </c>
      <c r="H3536">
        <v>2.4449999999999998</v>
      </c>
      <c r="I3536">
        <v>50</v>
      </c>
      <c r="J3536" t="s">
        <v>20</v>
      </c>
    </row>
    <row r="3537" spans="1:10" x14ac:dyDescent="0.2">
      <c r="A3537">
        <v>13536</v>
      </c>
      <c r="B3537" t="s">
        <v>5</v>
      </c>
      <c r="C3537" t="s">
        <v>9</v>
      </c>
      <c r="D3537">
        <v>11.93</v>
      </c>
      <c r="E3537">
        <v>1</v>
      </c>
      <c r="F3537" t="s">
        <v>14</v>
      </c>
      <c r="G3537">
        <v>15</v>
      </c>
      <c r="H3537">
        <v>13.719499999999998</v>
      </c>
      <c r="I3537">
        <v>14.999999999999991</v>
      </c>
      <c r="J3537" t="s">
        <v>20</v>
      </c>
    </row>
    <row r="3538" spans="1:10" x14ac:dyDescent="0.2">
      <c r="A3538">
        <v>13537</v>
      </c>
      <c r="B3538" t="s">
        <v>8</v>
      </c>
      <c r="C3538" t="s">
        <v>6</v>
      </c>
      <c r="D3538">
        <v>12.61</v>
      </c>
      <c r="E3538">
        <v>5</v>
      </c>
      <c r="F3538" t="s">
        <v>15</v>
      </c>
      <c r="G3538">
        <v>28</v>
      </c>
      <c r="H3538">
        <v>16.140799999999999</v>
      </c>
      <c r="I3538">
        <v>28.000000000000004</v>
      </c>
      <c r="J3538" t="s">
        <v>20</v>
      </c>
    </row>
    <row r="3539" spans="1:10" x14ac:dyDescent="0.2">
      <c r="A3539">
        <v>13538</v>
      </c>
      <c r="B3539" t="s">
        <v>8</v>
      </c>
      <c r="C3539" t="s">
        <v>11</v>
      </c>
      <c r="D3539">
        <v>2.86</v>
      </c>
      <c r="E3539">
        <v>4</v>
      </c>
      <c r="F3539" t="s">
        <v>15</v>
      </c>
      <c r="G3539">
        <v>25</v>
      </c>
      <c r="H3539">
        <v>3.5749999999999997</v>
      </c>
      <c r="I3539">
        <v>25</v>
      </c>
      <c r="J3539" t="s">
        <v>20</v>
      </c>
    </row>
    <row r="3540" spans="1:10" x14ac:dyDescent="0.2">
      <c r="A3540">
        <v>13539</v>
      </c>
      <c r="B3540" t="s">
        <v>7</v>
      </c>
      <c r="C3540" t="s">
        <v>6</v>
      </c>
      <c r="D3540">
        <v>12.89</v>
      </c>
      <c r="E3540">
        <v>6</v>
      </c>
      <c r="F3540" t="s">
        <v>15</v>
      </c>
      <c r="G3540">
        <v>28</v>
      </c>
      <c r="H3540">
        <v>16.499200000000002</v>
      </c>
      <c r="I3540">
        <v>28.000000000000004</v>
      </c>
      <c r="J3540" t="s">
        <v>20</v>
      </c>
    </row>
    <row r="3541" spans="1:10" x14ac:dyDescent="0.2">
      <c r="A3541">
        <v>13540</v>
      </c>
      <c r="B3541" t="s">
        <v>8</v>
      </c>
      <c r="C3541" t="s">
        <v>11</v>
      </c>
      <c r="D3541">
        <v>10.46</v>
      </c>
      <c r="E3541">
        <v>7</v>
      </c>
      <c r="F3541" t="s">
        <v>15</v>
      </c>
      <c r="G3541">
        <v>25</v>
      </c>
      <c r="H3541">
        <v>13.075000000000001</v>
      </c>
      <c r="I3541">
        <v>25</v>
      </c>
      <c r="J3541" t="s">
        <v>20</v>
      </c>
    </row>
    <row r="3542" spans="1:10" x14ac:dyDescent="0.2">
      <c r="A3542">
        <v>13541</v>
      </c>
      <c r="B3542" t="s">
        <v>10</v>
      </c>
      <c r="C3542" t="s">
        <v>9</v>
      </c>
      <c r="D3542">
        <v>8.0399999999999991</v>
      </c>
      <c r="E3542">
        <v>9</v>
      </c>
      <c r="F3542" t="s">
        <v>16</v>
      </c>
      <c r="G3542">
        <v>60</v>
      </c>
      <c r="H3542">
        <v>12.863999999999999</v>
      </c>
      <c r="I3542">
        <v>60.000000000000007</v>
      </c>
      <c r="J3542" t="s">
        <v>20</v>
      </c>
    </row>
    <row r="3543" spans="1:10" x14ac:dyDescent="0.2">
      <c r="A3543">
        <v>13542</v>
      </c>
      <c r="B3543" t="s">
        <v>10</v>
      </c>
      <c r="C3543" t="s">
        <v>11</v>
      </c>
      <c r="D3543">
        <v>12.54</v>
      </c>
      <c r="E3543">
        <v>1</v>
      </c>
      <c r="F3543" t="s">
        <v>14</v>
      </c>
      <c r="G3543">
        <v>10</v>
      </c>
      <c r="H3543">
        <v>13.794</v>
      </c>
      <c r="I3543">
        <v>10.000000000000009</v>
      </c>
      <c r="J3543" t="s">
        <v>20</v>
      </c>
    </row>
    <row r="3544" spans="1:10" x14ac:dyDescent="0.2">
      <c r="A3544">
        <v>13543</v>
      </c>
      <c r="B3544" t="s">
        <v>8</v>
      </c>
      <c r="C3544" t="s">
        <v>6</v>
      </c>
      <c r="D3544">
        <v>6.58</v>
      </c>
      <c r="E3544">
        <v>10</v>
      </c>
      <c r="F3544" t="s">
        <v>16</v>
      </c>
      <c r="G3544">
        <v>55</v>
      </c>
      <c r="H3544">
        <v>10.199</v>
      </c>
      <c r="I3544">
        <v>55.000000000000007</v>
      </c>
      <c r="J3544" t="s">
        <v>20</v>
      </c>
    </row>
    <row r="3545" spans="1:10" x14ac:dyDescent="0.2">
      <c r="A3545">
        <v>13544</v>
      </c>
      <c r="B3545" t="s">
        <v>10</v>
      </c>
      <c r="C3545" t="s">
        <v>6</v>
      </c>
      <c r="D3545">
        <v>3.31</v>
      </c>
      <c r="E3545">
        <v>4</v>
      </c>
      <c r="F3545" t="s">
        <v>15</v>
      </c>
      <c r="G3545">
        <v>28</v>
      </c>
      <c r="H3545">
        <v>4.2368000000000006</v>
      </c>
      <c r="I3545">
        <v>28.000000000000025</v>
      </c>
      <c r="J3545" t="s">
        <v>20</v>
      </c>
    </row>
    <row r="3546" spans="1:10" x14ac:dyDescent="0.2">
      <c r="A3546">
        <v>13545</v>
      </c>
      <c r="B3546" t="s">
        <v>8</v>
      </c>
      <c r="C3546" t="s">
        <v>6</v>
      </c>
      <c r="D3546">
        <v>4.63</v>
      </c>
      <c r="E3546">
        <v>6</v>
      </c>
      <c r="F3546" t="s">
        <v>15</v>
      </c>
      <c r="G3546">
        <v>28</v>
      </c>
      <c r="H3546">
        <v>5.9264000000000001</v>
      </c>
      <c r="I3546">
        <v>28.000000000000004</v>
      </c>
      <c r="J3546" t="s">
        <v>20</v>
      </c>
    </row>
    <row r="3547" spans="1:10" x14ac:dyDescent="0.2">
      <c r="A3547">
        <v>13546</v>
      </c>
      <c r="B3547" t="s">
        <v>8</v>
      </c>
      <c r="C3547" t="s">
        <v>6</v>
      </c>
      <c r="D3547">
        <v>7.82</v>
      </c>
      <c r="E3547">
        <v>10</v>
      </c>
      <c r="F3547" t="s">
        <v>16</v>
      </c>
      <c r="G3547">
        <v>55</v>
      </c>
      <c r="H3547">
        <v>12.121</v>
      </c>
      <c r="I3547">
        <v>55.000000000000007</v>
      </c>
      <c r="J3547" t="s">
        <v>20</v>
      </c>
    </row>
    <row r="3548" spans="1:10" x14ac:dyDescent="0.2">
      <c r="A3548">
        <v>13547</v>
      </c>
      <c r="B3548" t="s">
        <v>8</v>
      </c>
      <c r="C3548" t="s">
        <v>9</v>
      </c>
      <c r="D3548">
        <v>8.1999999999999993</v>
      </c>
      <c r="E3548">
        <v>7</v>
      </c>
      <c r="F3548" t="s">
        <v>15</v>
      </c>
      <c r="G3548">
        <v>30</v>
      </c>
      <c r="H3548">
        <v>10.66</v>
      </c>
      <c r="I3548">
        <v>30.000000000000004</v>
      </c>
      <c r="J3548" t="s">
        <v>20</v>
      </c>
    </row>
    <row r="3549" spans="1:10" x14ac:dyDescent="0.2">
      <c r="A3549">
        <v>13548</v>
      </c>
      <c r="B3549" t="s">
        <v>7</v>
      </c>
      <c r="C3549" t="s">
        <v>11</v>
      </c>
      <c r="D3549">
        <v>12.18</v>
      </c>
      <c r="E3549">
        <v>7</v>
      </c>
      <c r="F3549" t="s">
        <v>15</v>
      </c>
      <c r="G3549">
        <v>25</v>
      </c>
      <c r="H3549">
        <v>15.225</v>
      </c>
      <c r="I3549">
        <v>25</v>
      </c>
      <c r="J3549" t="s">
        <v>20</v>
      </c>
    </row>
    <row r="3550" spans="1:10" x14ac:dyDescent="0.2">
      <c r="A3550">
        <v>13549</v>
      </c>
      <c r="B3550" t="s">
        <v>8</v>
      </c>
      <c r="C3550" t="s">
        <v>9</v>
      </c>
      <c r="D3550">
        <v>11.97</v>
      </c>
      <c r="E3550">
        <v>8</v>
      </c>
      <c r="F3550" t="s">
        <v>16</v>
      </c>
      <c r="G3550">
        <v>60</v>
      </c>
      <c r="H3550">
        <v>19.152000000000001</v>
      </c>
      <c r="I3550">
        <v>60.000000000000007</v>
      </c>
      <c r="J3550" t="s">
        <v>20</v>
      </c>
    </row>
    <row r="3551" spans="1:10" x14ac:dyDescent="0.2">
      <c r="A3551">
        <v>13550</v>
      </c>
      <c r="B3551" t="s">
        <v>7</v>
      </c>
      <c r="C3551" t="s">
        <v>9</v>
      </c>
      <c r="D3551">
        <v>8.93</v>
      </c>
      <c r="E3551">
        <v>10</v>
      </c>
      <c r="F3551" t="s">
        <v>16</v>
      </c>
      <c r="G3551">
        <v>60</v>
      </c>
      <c r="H3551">
        <v>14.288</v>
      </c>
      <c r="I3551">
        <v>60.000000000000007</v>
      </c>
      <c r="J3551" t="s">
        <v>20</v>
      </c>
    </row>
    <row r="3552" spans="1:10" x14ac:dyDescent="0.2">
      <c r="A3552">
        <v>13551</v>
      </c>
      <c r="B3552" t="s">
        <v>8</v>
      </c>
      <c r="C3552" t="s">
        <v>9</v>
      </c>
      <c r="D3552">
        <v>11.82</v>
      </c>
      <c r="E3552">
        <v>8</v>
      </c>
      <c r="F3552" t="s">
        <v>16</v>
      </c>
      <c r="G3552">
        <v>60</v>
      </c>
      <c r="H3552">
        <v>18.912000000000003</v>
      </c>
      <c r="I3552">
        <v>60.000000000000007</v>
      </c>
      <c r="J3552" t="s">
        <v>20</v>
      </c>
    </row>
    <row r="3553" spans="1:10" x14ac:dyDescent="0.2">
      <c r="A3553">
        <v>13552</v>
      </c>
      <c r="B3553" t="s">
        <v>8</v>
      </c>
      <c r="C3553" t="s">
        <v>6</v>
      </c>
      <c r="D3553">
        <v>3.28</v>
      </c>
      <c r="E3553">
        <v>8</v>
      </c>
      <c r="F3553" t="s">
        <v>16</v>
      </c>
      <c r="G3553">
        <v>55</v>
      </c>
      <c r="H3553">
        <v>5.0839999999999996</v>
      </c>
      <c r="I3553">
        <v>55.000000000000007</v>
      </c>
      <c r="J3553" t="s">
        <v>20</v>
      </c>
    </row>
    <row r="3554" spans="1:10" x14ac:dyDescent="0.2">
      <c r="A3554">
        <v>13553</v>
      </c>
      <c r="B3554" t="s">
        <v>8</v>
      </c>
      <c r="C3554" t="s">
        <v>6</v>
      </c>
      <c r="D3554">
        <v>1.23</v>
      </c>
      <c r="E3554">
        <v>8</v>
      </c>
      <c r="F3554" t="s">
        <v>16</v>
      </c>
      <c r="G3554">
        <v>55</v>
      </c>
      <c r="H3554">
        <v>1.9065000000000001</v>
      </c>
      <c r="I3554">
        <v>55.000000000000007</v>
      </c>
      <c r="J3554" t="s">
        <v>20</v>
      </c>
    </row>
    <row r="3555" spans="1:10" x14ac:dyDescent="0.2">
      <c r="A3555">
        <v>13554</v>
      </c>
      <c r="B3555" t="s">
        <v>10</v>
      </c>
      <c r="C3555" t="s">
        <v>6</v>
      </c>
      <c r="D3555">
        <v>13.17</v>
      </c>
      <c r="E3555">
        <v>8</v>
      </c>
      <c r="F3555" t="s">
        <v>16</v>
      </c>
      <c r="G3555">
        <v>55</v>
      </c>
      <c r="H3555">
        <v>20.413499999999999</v>
      </c>
      <c r="I3555">
        <v>55.000000000000007</v>
      </c>
      <c r="J3555" t="s">
        <v>20</v>
      </c>
    </row>
    <row r="3556" spans="1:10" x14ac:dyDescent="0.2">
      <c r="A3556">
        <v>13555</v>
      </c>
      <c r="B3556" t="s">
        <v>7</v>
      </c>
      <c r="C3556" t="s">
        <v>11</v>
      </c>
      <c r="D3556">
        <v>1.6</v>
      </c>
      <c r="E3556">
        <v>6</v>
      </c>
      <c r="F3556" t="s">
        <v>15</v>
      </c>
      <c r="G3556">
        <v>25</v>
      </c>
      <c r="H3556">
        <v>2</v>
      </c>
      <c r="I3556">
        <v>25</v>
      </c>
      <c r="J3556" t="s">
        <v>20</v>
      </c>
    </row>
    <row r="3557" spans="1:10" x14ac:dyDescent="0.2">
      <c r="A3557">
        <v>13556</v>
      </c>
      <c r="B3557" t="s">
        <v>7</v>
      </c>
      <c r="C3557" t="s">
        <v>6</v>
      </c>
      <c r="D3557">
        <v>4.08</v>
      </c>
      <c r="E3557">
        <v>9</v>
      </c>
      <c r="F3557" t="s">
        <v>16</v>
      </c>
      <c r="G3557">
        <v>55</v>
      </c>
      <c r="H3557">
        <v>6.3240000000000007</v>
      </c>
      <c r="I3557">
        <v>55.000000000000007</v>
      </c>
      <c r="J3557" t="s">
        <v>20</v>
      </c>
    </row>
    <row r="3558" spans="1:10" x14ac:dyDescent="0.2">
      <c r="A3558">
        <v>13557</v>
      </c>
      <c r="B3558" t="s">
        <v>8</v>
      </c>
      <c r="C3558" t="s">
        <v>11</v>
      </c>
      <c r="D3558">
        <v>10.58</v>
      </c>
      <c r="E3558">
        <v>3</v>
      </c>
      <c r="F3558" t="s">
        <v>14</v>
      </c>
      <c r="G3558">
        <v>10</v>
      </c>
      <c r="H3558">
        <v>11.638000000000002</v>
      </c>
      <c r="I3558">
        <v>10.000000000000009</v>
      </c>
      <c r="J3558" t="s">
        <v>20</v>
      </c>
    </row>
    <row r="3559" spans="1:10" x14ac:dyDescent="0.2">
      <c r="A3559">
        <v>13558</v>
      </c>
      <c r="B3559" t="s">
        <v>8</v>
      </c>
      <c r="C3559" t="s">
        <v>6</v>
      </c>
      <c r="D3559">
        <v>6.44</v>
      </c>
      <c r="E3559">
        <v>6</v>
      </c>
      <c r="F3559" t="s">
        <v>15</v>
      </c>
      <c r="G3559">
        <v>28</v>
      </c>
      <c r="H3559">
        <v>8.2431999999999999</v>
      </c>
      <c r="I3559">
        <v>27.999999999999979</v>
      </c>
      <c r="J3559" t="s">
        <v>20</v>
      </c>
    </row>
    <row r="3560" spans="1:10" x14ac:dyDescent="0.2">
      <c r="A3560">
        <v>13559</v>
      </c>
      <c r="B3560" t="s">
        <v>10</v>
      </c>
      <c r="C3560" t="s">
        <v>6</v>
      </c>
      <c r="D3560">
        <v>13.21</v>
      </c>
      <c r="E3560">
        <v>5</v>
      </c>
      <c r="F3560" t="s">
        <v>15</v>
      </c>
      <c r="G3560">
        <v>28</v>
      </c>
      <c r="H3560">
        <v>16.908800000000003</v>
      </c>
      <c r="I3560">
        <v>28.000000000000025</v>
      </c>
      <c r="J3560" t="s">
        <v>20</v>
      </c>
    </row>
    <row r="3561" spans="1:10" x14ac:dyDescent="0.2">
      <c r="A3561">
        <v>13560</v>
      </c>
      <c r="B3561" t="s">
        <v>10</v>
      </c>
      <c r="C3561" t="s">
        <v>9</v>
      </c>
      <c r="D3561">
        <v>4.82</v>
      </c>
      <c r="E3561">
        <v>8</v>
      </c>
      <c r="F3561" t="s">
        <v>16</v>
      </c>
      <c r="G3561">
        <v>60</v>
      </c>
      <c r="H3561">
        <v>7.7120000000000006</v>
      </c>
      <c r="I3561">
        <v>60.000000000000007</v>
      </c>
      <c r="J3561" t="s">
        <v>20</v>
      </c>
    </row>
    <row r="3562" spans="1:10" x14ac:dyDescent="0.2">
      <c r="A3562">
        <v>13561</v>
      </c>
      <c r="B3562" t="s">
        <v>10</v>
      </c>
      <c r="C3562" t="s">
        <v>9</v>
      </c>
      <c r="D3562">
        <v>0.67</v>
      </c>
      <c r="E3562">
        <v>4</v>
      </c>
      <c r="F3562" t="s">
        <v>15</v>
      </c>
      <c r="G3562">
        <v>30</v>
      </c>
      <c r="H3562">
        <v>0.87100000000000011</v>
      </c>
      <c r="I3562">
        <v>30.000000000000004</v>
      </c>
      <c r="J3562" t="s">
        <v>20</v>
      </c>
    </row>
    <row r="3563" spans="1:10" x14ac:dyDescent="0.2">
      <c r="A3563">
        <v>13562</v>
      </c>
      <c r="B3563" t="s">
        <v>7</v>
      </c>
      <c r="C3563" t="s">
        <v>9</v>
      </c>
      <c r="D3563">
        <v>4.8600000000000003</v>
      </c>
      <c r="E3563">
        <v>4</v>
      </c>
      <c r="F3563" t="s">
        <v>15</v>
      </c>
      <c r="G3563">
        <v>30</v>
      </c>
      <c r="H3563">
        <v>6.3180000000000005</v>
      </c>
      <c r="I3563">
        <v>30.000000000000004</v>
      </c>
      <c r="J3563" t="s">
        <v>20</v>
      </c>
    </row>
    <row r="3564" spans="1:10" x14ac:dyDescent="0.2">
      <c r="A3564">
        <v>13563</v>
      </c>
      <c r="B3564" t="s">
        <v>7</v>
      </c>
      <c r="C3564" t="s">
        <v>11</v>
      </c>
      <c r="D3564">
        <v>8.8800000000000008</v>
      </c>
      <c r="E3564">
        <v>10</v>
      </c>
      <c r="F3564" t="s">
        <v>16</v>
      </c>
      <c r="G3564">
        <v>50</v>
      </c>
      <c r="H3564">
        <v>13.32</v>
      </c>
      <c r="I3564">
        <v>50</v>
      </c>
      <c r="J3564" t="s">
        <v>20</v>
      </c>
    </row>
    <row r="3565" spans="1:10" x14ac:dyDescent="0.2">
      <c r="A3565">
        <v>13564</v>
      </c>
      <c r="B3565" t="s">
        <v>7</v>
      </c>
      <c r="C3565" t="s">
        <v>11</v>
      </c>
      <c r="D3565">
        <v>5.95</v>
      </c>
      <c r="E3565">
        <v>10</v>
      </c>
      <c r="F3565" t="s">
        <v>16</v>
      </c>
      <c r="G3565">
        <v>50</v>
      </c>
      <c r="H3565">
        <v>8.9250000000000007</v>
      </c>
      <c r="I3565">
        <v>50</v>
      </c>
      <c r="J3565" t="s">
        <v>20</v>
      </c>
    </row>
    <row r="3566" spans="1:10" x14ac:dyDescent="0.2">
      <c r="A3566">
        <v>13565</v>
      </c>
      <c r="B3566" t="s">
        <v>8</v>
      </c>
      <c r="C3566" t="s">
        <v>6</v>
      </c>
      <c r="D3566">
        <v>8.26</v>
      </c>
      <c r="E3566">
        <v>5</v>
      </c>
      <c r="F3566" t="s">
        <v>15</v>
      </c>
      <c r="G3566">
        <v>28</v>
      </c>
      <c r="H3566">
        <v>10.572799999999999</v>
      </c>
      <c r="I3566">
        <v>28.000000000000004</v>
      </c>
      <c r="J3566" t="s">
        <v>20</v>
      </c>
    </row>
    <row r="3567" spans="1:10" x14ac:dyDescent="0.2">
      <c r="A3567">
        <v>13566</v>
      </c>
      <c r="B3567" t="s">
        <v>7</v>
      </c>
      <c r="C3567" t="s">
        <v>11</v>
      </c>
      <c r="D3567">
        <v>13.21</v>
      </c>
      <c r="E3567">
        <v>6</v>
      </c>
      <c r="F3567" t="s">
        <v>15</v>
      </c>
      <c r="G3567">
        <v>25</v>
      </c>
      <c r="H3567">
        <v>16.512500000000003</v>
      </c>
      <c r="I3567">
        <v>25.000000000000021</v>
      </c>
      <c r="J3567" t="s">
        <v>20</v>
      </c>
    </row>
    <row r="3568" spans="1:10" x14ac:dyDescent="0.2">
      <c r="A3568">
        <v>13567</v>
      </c>
      <c r="B3568" t="s">
        <v>5</v>
      </c>
      <c r="C3568" t="s">
        <v>6</v>
      </c>
      <c r="D3568">
        <v>13.73</v>
      </c>
      <c r="E3568">
        <v>4</v>
      </c>
      <c r="F3568" t="s">
        <v>15</v>
      </c>
      <c r="G3568">
        <v>28</v>
      </c>
      <c r="H3568">
        <v>17.574400000000001</v>
      </c>
      <c r="I3568">
        <v>28.000000000000004</v>
      </c>
      <c r="J3568" t="s">
        <v>20</v>
      </c>
    </row>
    <row r="3569" spans="1:10" x14ac:dyDescent="0.2">
      <c r="A3569">
        <v>13568</v>
      </c>
      <c r="B3569" t="s">
        <v>5</v>
      </c>
      <c r="C3569" t="s">
        <v>11</v>
      </c>
      <c r="D3569">
        <v>4.3600000000000003</v>
      </c>
      <c r="E3569">
        <v>2</v>
      </c>
      <c r="F3569" t="s">
        <v>14</v>
      </c>
      <c r="G3569">
        <v>10</v>
      </c>
      <c r="H3569">
        <v>4.7960000000000012</v>
      </c>
      <c r="I3569">
        <v>10.000000000000009</v>
      </c>
      <c r="J3569" t="s">
        <v>20</v>
      </c>
    </row>
    <row r="3570" spans="1:10" x14ac:dyDescent="0.2">
      <c r="A3570">
        <v>13569</v>
      </c>
      <c r="B3570" t="s">
        <v>10</v>
      </c>
      <c r="C3570" t="s">
        <v>11</v>
      </c>
      <c r="D3570">
        <v>7.2</v>
      </c>
      <c r="E3570">
        <v>2</v>
      </c>
      <c r="F3570" t="s">
        <v>14</v>
      </c>
      <c r="G3570">
        <v>10</v>
      </c>
      <c r="H3570">
        <v>7.9200000000000008</v>
      </c>
      <c r="I3570">
        <v>10.000000000000009</v>
      </c>
      <c r="J3570" t="s">
        <v>20</v>
      </c>
    </row>
    <row r="3571" spans="1:10" x14ac:dyDescent="0.2">
      <c r="A3571">
        <v>13570</v>
      </c>
      <c r="B3571" t="s">
        <v>7</v>
      </c>
      <c r="C3571" t="s">
        <v>11</v>
      </c>
      <c r="D3571">
        <v>8.4600000000000009</v>
      </c>
      <c r="E3571">
        <v>3</v>
      </c>
      <c r="F3571" t="s">
        <v>14</v>
      </c>
      <c r="G3571">
        <v>10</v>
      </c>
      <c r="H3571">
        <v>9.3060000000000009</v>
      </c>
      <c r="I3571">
        <v>10.000000000000009</v>
      </c>
      <c r="J3571" t="s">
        <v>20</v>
      </c>
    </row>
    <row r="3572" spans="1:10" x14ac:dyDescent="0.2">
      <c r="A3572">
        <v>13571</v>
      </c>
      <c r="B3572" t="s">
        <v>5</v>
      </c>
      <c r="C3572" t="s">
        <v>9</v>
      </c>
      <c r="D3572">
        <v>14.26</v>
      </c>
      <c r="E3572">
        <v>2</v>
      </c>
      <c r="F3572" t="s">
        <v>14</v>
      </c>
      <c r="G3572">
        <v>15</v>
      </c>
      <c r="H3572">
        <v>16.398999999999997</v>
      </c>
      <c r="I3572">
        <v>14.999999999999991</v>
      </c>
      <c r="J3572" t="s">
        <v>20</v>
      </c>
    </row>
    <row r="3573" spans="1:10" x14ac:dyDescent="0.2">
      <c r="A3573">
        <v>13572</v>
      </c>
      <c r="B3573" t="s">
        <v>10</v>
      </c>
      <c r="C3573" t="s">
        <v>11</v>
      </c>
      <c r="D3573">
        <v>14.98</v>
      </c>
      <c r="E3573">
        <v>1</v>
      </c>
      <c r="F3573" t="s">
        <v>14</v>
      </c>
      <c r="G3573">
        <v>10</v>
      </c>
      <c r="H3573">
        <v>16.478000000000002</v>
      </c>
      <c r="I3573">
        <v>10.000000000000009</v>
      </c>
      <c r="J3573" t="s">
        <v>20</v>
      </c>
    </row>
    <row r="3574" spans="1:10" x14ac:dyDescent="0.2">
      <c r="A3574">
        <v>13573</v>
      </c>
      <c r="B3574" t="s">
        <v>7</v>
      </c>
      <c r="C3574" t="s">
        <v>9</v>
      </c>
      <c r="D3574">
        <v>3.91</v>
      </c>
      <c r="E3574">
        <v>8</v>
      </c>
      <c r="F3574" t="s">
        <v>16</v>
      </c>
      <c r="G3574">
        <v>60</v>
      </c>
      <c r="H3574">
        <v>6.2560000000000002</v>
      </c>
      <c r="I3574">
        <v>60.000000000000007</v>
      </c>
      <c r="J3574" t="s">
        <v>20</v>
      </c>
    </row>
    <row r="3575" spans="1:10" x14ac:dyDescent="0.2">
      <c r="A3575">
        <v>13574</v>
      </c>
      <c r="B3575" t="s">
        <v>8</v>
      </c>
      <c r="C3575" t="s">
        <v>9</v>
      </c>
      <c r="D3575">
        <v>11.04</v>
      </c>
      <c r="E3575">
        <v>5</v>
      </c>
      <c r="F3575" t="s">
        <v>15</v>
      </c>
      <c r="G3575">
        <v>30</v>
      </c>
      <c r="H3575">
        <v>14.351999999999999</v>
      </c>
      <c r="I3575">
        <v>30.000000000000004</v>
      </c>
      <c r="J3575" t="s">
        <v>20</v>
      </c>
    </row>
    <row r="3576" spans="1:10" x14ac:dyDescent="0.2">
      <c r="A3576">
        <v>13575</v>
      </c>
      <c r="B3576" t="s">
        <v>5</v>
      </c>
      <c r="C3576" t="s">
        <v>11</v>
      </c>
      <c r="D3576">
        <v>5.98</v>
      </c>
      <c r="E3576">
        <v>10</v>
      </c>
      <c r="F3576" t="s">
        <v>16</v>
      </c>
      <c r="G3576">
        <v>50</v>
      </c>
      <c r="H3576">
        <v>8.9700000000000006</v>
      </c>
      <c r="I3576">
        <v>50</v>
      </c>
      <c r="J3576" t="s">
        <v>20</v>
      </c>
    </row>
    <row r="3577" spans="1:10" x14ac:dyDescent="0.2">
      <c r="A3577">
        <v>13576</v>
      </c>
      <c r="B3577" t="s">
        <v>8</v>
      </c>
      <c r="C3577" t="s">
        <v>6</v>
      </c>
      <c r="D3577">
        <v>0.62</v>
      </c>
      <c r="E3577">
        <v>1</v>
      </c>
      <c r="F3577" t="s">
        <v>14</v>
      </c>
      <c r="G3577">
        <v>12</v>
      </c>
      <c r="H3577">
        <v>0.69440000000000002</v>
      </c>
      <c r="I3577">
        <v>12.000000000000011</v>
      </c>
      <c r="J3577" t="s">
        <v>20</v>
      </c>
    </row>
    <row r="3578" spans="1:10" x14ac:dyDescent="0.2">
      <c r="A3578">
        <v>13577</v>
      </c>
      <c r="B3578" t="s">
        <v>7</v>
      </c>
      <c r="C3578" t="s">
        <v>6</v>
      </c>
      <c r="D3578">
        <v>0.63</v>
      </c>
      <c r="E3578">
        <v>9</v>
      </c>
      <c r="F3578" t="s">
        <v>16</v>
      </c>
      <c r="G3578">
        <v>55</v>
      </c>
      <c r="H3578">
        <v>0.97650000000000003</v>
      </c>
      <c r="I3578">
        <v>55.000000000000007</v>
      </c>
      <c r="J3578" t="s">
        <v>20</v>
      </c>
    </row>
    <row r="3579" spans="1:10" x14ac:dyDescent="0.2">
      <c r="A3579">
        <v>13578</v>
      </c>
      <c r="B3579" t="s">
        <v>5</v>
      </c>
      <c r="C3579" t="s">
        <v>6</v>
      </c>
      <c r="D3579">
        <v>7.18</v>
      </c>
      <c r="E3579">
        <v>8</v>
      </c>
      <c r="F3579" t="s">
        <v>16</v>
      </c>
      <c r="G3579">
        <v>55</v>
      </c>
      <c r="H3579">
        <v>11.129</v>
      </c>
      <c r="I3579">
        <v>55.000000000000007</v>
      </c>
      <c r="J3579" t="s">
        <v>20</v>
      </c>
    </row>
    <row r="3580" spans="1:10" x14ac:dyDescent="0.2">
      <c r="A3580">
        <v>13579</v>
      </c>
      <c r="B3580" t="s">
        <v>7</v>
      </c>
      <c r="C3580" t="s">
        <v>11</v>
      </c>
      <c r="D3580">
        <v>7.58</v>
      </c>
      <c r="E3580">
        <v>4</v>
      </c>
      <c r="F3580" t="s">
        <v>15</v>
      </c>
      <c r="G3580">
        <v>25</v>
      </c>
      <c r="H3580">
        <v>9.4749999999999996</v>
      </c>
      <c r="I3580">
        <v>25</v>
      </c>
      <c r="J3580" t="s">
        <v>20</v>
      </c>
    </row>
    <row r="3581" spans="1:10" x14ac:dyDescent="0.2">
      <c r="A3581">
        <v>13580</v>
      </c>
      <c r="B3581" t="s">
        <v>8</v>
      </c>
      <c r="C3581" t="s">
        <v>6</v>
      </c>
      <c r="D3581">
        <v>0.83</v>
      </c>
      <c r="E3581">
        <v>8</v>
      </c>
      <c r="F3581" t="s">
        <v>16</v>
      </c>
      <c r="G3581">
        <v>55</v>
      </c>
      <c r="H3581">
        <v>1.2865</v>
      </c>
      <c r="I3581">
        <v>55.000000000000007</v>
      </c>
      <c r="J3581" t="s">
        <v>20</v>
      </c>
    </row>
    <row r="3582" spans="1:10" x14ac:dyDescent="0.2">
      <c r="A3582">
        <v>13581</v>
      </c>
      <c r="B3582" t="s">
        <v>5</v>
      </c>
      <c r="C3582" t="s">
        <v>9</v>
      </c>
      <c r="D3582">
        <v>10.46</v>
      </c>
      <c r="E3582">
        <v>10</v>
      </c>
      <c r="F3582" t="s">
        <v>16</v>
      </c>
      <c r="G3582">
        <v>60</v>
      </c>
      <c r="H3582">
        <v>16.736000000000001</v>
      </c>
      <c r="I3582">
        <v>59.999999999999986</v>
      </c>
      <c r="J3582" t="s">
        <v>20</v>
      </c>
    </row>
    <row r="3583" spans="1:10" x14ac:dyDescent="0.2">
      <c r="A3583">
        <v>13582</v>
      </c>
      <c r="B3583" t="s">
        <v>8</v>
      </c>
      <c r="C3583" t="s">
        <v>6</v>
      </c>
      <c r="D3583">
        <v>4.76</v>
      </c>
      <c r="E3583">
        <v>7</v>
      </c>
      <c r="F3583" t="s">
        <v>15</v>
      </c>
      <c r="G3583">
        <v>28</v>
      </c>
      <c r="H3583">
        <v>6.0927999999999995</v>
      </c>
      <c r="I3583">
        <v>28.000000000000004</v>
      </c>
      <c r="J3583" t="s">
        <v>20</v>
      </c>
    </row>
    <row r="3584" spans="1:10" x14ac:dyDescent="0.2">
      <c r="A3584">
        <v>13583</v>
      </c>
      <c r="B3584" t="s">
        <v>7</v>
      </c>
      <c r="C3584" t="s">
        <v>11</v>
      </c>
      <c r="D3584">
        <v>8.6199999999999992</v>
      </c>
      <c r="E3584">
        <v>7</v>
      </c>
      <c r="F3584" t="s">
        <v>15</v>
      </c>
      <c r="G3584">
        <v>25</v>
      </c>
      <c r="H3584">
        <v>10.774999999999999</v>
      </c>
      <c r="I3584">
        <v>25</v>
      </c>
      <c r="J3584" t="s">
        <v>20</v>
      </c>
    </row>
    <row r="3585" spans="1:10" x14ac:dyDescent="0.2">
      <c r="A3585">
        <v>13584</v>
      </c>
      <c r="B3585" t="s">
        <v>7</v>
      </c>
      <c r="C3585" t="s">
        <v>6</v>
      </c>
      <c r="D3585">
        <v>4.8600000000000003</v>
      </c>
      <c r="E3585">
        <v>1</v>
      </c>
      <c r="F3585" t="s">
        <v>14</v>
      </c>
      <c r="G3585">
        <v>12</v>
      </c>
      <c r="H3585">
        <v>5.4432000000000009</v>
      </c>
      <c r="I3585">
        <v>12.000000000000011</v>
      </c>
      <c r="J3585" t="s">
        <v>20</v>
      </c>
    </row>
    <row r="3586" spans="1:10" x14ac:dyDescent="0.2">
      <c r="A3586">
        <v>13585</v>
      </c>
      <c r="B3586" t="s">
        <v>8</v>
      </c>
      <c r="C3586" t="s">
        <v>9</v>
      </c>
      <c r="D3586">
        <v>2.92</v>
      </c>
      <c r="E3586">
        <v>6</v>
      </c>
      <c r="F3586" t="s">
        <v>15</v>
      </c>
      <c r="G3586">
        <v>30</v>
      </c>
      <c r="H3586">
        <v>3.7959999999999998</v>
      </c>
      <c r="I3586">
        <v>30.000000000000004</v>
      </c>
      <c r="J3586" t="s">
        <v>20</v>
      </c>
    </row>
    <row r="3587" spans="1:10" x14ac:dyDescent="0.2">
      <c r="A3587">
        <v>13586</v>
      </c>
      <c r="B3587" t="s">
        <v>5</v>
      </c>
      <c r="C3587" t="s">
        <v>11</v>
      </c>
      <c r="D3587">
        <v>6.4</v>
      </c>
      <c r="E3587">
        <v>4</v>
      </c>
      <c r="F3587" t="s">
        <v>15</v>
      </c>
      <c r="G3587">
        <v>25</v>
      </c>
      <c r="H3587">
        <v>8</v>
      </c>
      <c r="I3587">
        <v>25</v>
      </c>
      <c r="J3587" t="s">
        <v>20</v>
      </c>
    </row>
    <row r="3588" spans="1:10" x14ac:dyDescent="0.2">
      <c r="A3588">
        <v>13587</v>
      </c>
      <c r="B3588" t="s">
        <v>8</v>
      </c>
      <c r="C3588" t="s">
        <v>6</v>
      </c>
      <c r="D3588">
        <v>3.87</v>
      </c>
      <c r="E3588">
        <v>10</v>
      </c>
      <c r="F3588" t="s">
        <v>16</v>
      </c>
      <c r="G3588">
        <v>55</v>
      </c>
      <c r="H3588">
        <v>5.9984999999999999</v>
      </c>
      <c r="I3588">
        <v>55.000000000000007</v>
      </c>
      <c r="J3588" t="s">
        <v>20</v>
      </c>
    </row>
    <row r="3589" spans="1:10" x14ac:dyDescent="0.2">
      <c r="A3589">
        <v>13588</v>
      </c>
      <c r="B3589" t="s">
        <v>7</v>
      </c>
      <c r="C3589" t="s">
        <v>11</v>
      </c>
      <c r="D3589">
        <v>8.25</v>
      </c>
      <c r="E3589">
        <v>10</v>
      </c>
      <c r="F3589" t="s">
        <v>16</v>
      </c>
      <c r="G3589">
        <v>50</v>
      </c>
      <c r="H3589">
        <v>12.375</v>
      </c>
      <c r="I3589">
        <v>50</v>
      </c>
      <c r="J3589" t="s">
        <v>20</v>
      </c>
    </row>
    <row r="3590" spans="1:10" x14ac:dyDescent="0.2">
      <c r="A3590">
        <v>13589</v>
      </c>
      <c r="B3590" t="s">
        <v>8</v>
      </c>
      <c r="C3590" t="s">
        <v>11</v>
      </c>
      <c r="D3590">
        <v>3.38</v>
      </c>
      <c r="E3590">
        <v>10</v>
      </c>
      <c r="F3590" t="s">
        <v>16</v>
      </c>
      <c r="G3590">
        <v>50</v>
      </c>
      <c r="H3590">
        <v>5.07</v>
      </c>
      <c r="I3590">
        <v>50.000000000000021</v>
      </c>
      <c r="J3590" t="s">
        <v>20</v>
      </c>
    </row>
    <row r="3591" spans="1:10" x14ac:dyDescent="0.2">
      <c r="A3591">
        <v>13590</v>
      </c>
      <c r="B3591" t="s">
        <v>7</v>
      </c>
      <c r="C3591" t="s">
        <v>11</v>
      </c>
      <c r="D3591">
        <v>7.87</v>
      </c>
      <c r="E3591">
        <v>2</v>
      </c>
      <c r="F3591" t="s">
        <v>14</v>
      </c>
      <c r="G3591">
        <v>10</v>
      </c>
      <c r="H3591">
        <v>8.657</v>
      </c>
      <c r="I3591">
        <v>10.000000000000009</v>
      </c>
      <c r="J3591" t="s">
        <v>20</v>
      </c>
    </row>
    <row r="3592" spans="1:10" x14ac:dyDescent="0.2">
      <c r="A3592">
        <v>13591</v>
      </c>
      <c r="B3592" t="s">
        <v>8</v>
      </c>
      <c r="C3592" t="s">
        <v>6</v>
      </c>
      <c r="D3592">
        <v>2.78</v>
      </c>
      <c r="E3592">
        <v>10</v>
      </c>
      <c r="F3592" t="s">
        <v>16</v>
      </c>
      <c r="G3592">
        <v>55</v>
      </c>
      <c r="H3592">
        <v>4.3090000000000002</v>
      </c>
      <c r="I3592">
        <v>55.000000000000028</v>
      </c>
      <c r="J3592" t="s">
        <v>20</v>
      </c>
    </row>
    <row r="3593" spans="1:10" x14ac:dyDescent="0.2">
      <c r="A3593">
        <v>13592</v>
      </c>
      <c r="B3593" t="s">
        <v>5</v>
      </c>
      <c r="C3593" t="s">
        <v>11</v>
      </c>
      <c r="D3593">
        <v>10.23</v>
      </c>
      <c r="E3593">
        <v>7</v>
      </c>
      <c r="F3593" t="s">
        <v>15</v>
      </c>
      <c r="G3593">
        <v>25</v>
      </c>
      <c r="H3593">
        <v>12.787500000000001</v>
      </c>
      <c r="I3593">
        <v>25</v>
      </c>
      <c r="J3593" t="s">
        <v>20</v>
      </c>
    </row>
    <row r="3594" spans="1:10" x14ac:dyDescent="0.2">
      <c r="A3594">
        <v>13593</v>
      </c>
      <c r="B3594" t="s">
        <v>5</v>
      </c>
      <c r="C3594" t="s">
        <v>6</v>
      </c>
      <c r="D3594">
        <v>11.43</v>
      </c>
      <c r="E3594">
        <v>9</v>
      </c>
      <c r="F3594" t="s">
        <v>16</v>
      </c>
      <c r="G3594">
        <v>55</v>
      </c>
      <c r="H3594">
        <v>17.7165</v>
      </c>
      <c r="I3594">
        <v>55.000000000000007</v>
      </c>
      <c r="J3594" t="s">
        <v>20</v>
      </c>
    </row>
    <row r="3595" spans="1:10" x14ac:dyDescent="0.2">
      <c r="A3595">
        <v>13594</v>
      </c>
      <c r="B3595" t="s">
        <v>8</v>
      </c>
      <c r="C3595" t="s">
        <v>9</v>
      </c>
      <c r="D3595">
        <v>2.1</v>
      </c>
      <c r="E3595">
        <v>5</v>
      </c>
      <c r="F3595" t="s">
        <v>15</v>
      </c>
      <c r="G3595">
        <v>30</v>
      </c>
      <c r="H3595">
        <v>2.7300000000000004</v>
      </c>
      <c r="I3595">
        <v>30.000000000000004</v>
      </c>
      <c r="J3595" t="s">
        <v>20</v>
      </c>
    </row>
    <row r="3596" spans="1:10" x14ac:dyDescent="0.2">
      <c r="A3596">
        <v>13595</v>
      </c>
      <c r="B3596" t="s">
        <v>8</v>
      </c>
      <c r="C3596" t="s">
        <v>6</v>
      </c>
      <c r="D3596">
        <v>7.28</v>
      </c>
      <c r="E3596">
        <v>8</v>
      </c>
      <c r="F3596" t="s">
        <v>16</v>
      </c>
      <c r="G3596">
        <v>55</v>
      </c>
      <c r="H3596">
        <v>11.284000000000001</v>
      </c>
      <c r="I3596">
        <v>55.000000000000007</v>
      </c>
      <c r="J3596" t="s">
        <v>20</v>
      </c>
    </row>
    <row r="3597" spans="1:10" x14ac:dyDescent="0.2">
      <c r="A3597">
        <v>13596</v>
      </c>
      <c r="B3597" t="s">
        <v>5</v>
      </c>
      <c r="C3597" t="s">
        <v>9</v>
      </c>
      <c r="D3597">
        <v>1.53</v>
      </c>
      <c r="E3597">
        <v>5</v>
      </c>
      <c r="F3597" t="s">
        <v>15</v>
      </c>
      <c r="G3597">
        <v>30</v>
      </c>
      <c r="H3597">
        <v>1.9890000000000001</v>
      </c>
      <c r="I3597">
        <v>30.000000000000004</v>
      </c>
      <c r="J3597" t="s">
        <v>20</v>
      </c>
    </row>
    <row r="3598" spans="1:10" x14ac:dyDescent="0.2">
      <c r="A3598">
        <v>13597</v>
      </c>
      <c r="B3598" t="s">
        <v>7</v>
      </c>
      <c r="C3598" t="s">
        <v>6</v>
      </c>
      <c r="D3598">
        <v>9.17</v>
      </c>
      <c r="E3598">
        <v>7</v>
      </c>
      <c r="F3598" t="s">
        <v>15</v>
      </c>
      <c r="G3598">
        <v>28</v>
      </c>
      <c r="H3598">
        <v>11.7376</v>
      </c>
      <c r="I3598">
        <v>28.000000000000004</v>
      </c>
      <c r="J3598" t="s">
        <v>20</v>
      </c>
    </row>
    <row r="3599" spans="1:10" x14ac:dyDescent="0.2">
      <c r="A3599">
        <v>13598</v>
      </c>
      <c r="B3599" t="s">
        <v>5</v>
      </c>
      <c r="C3599" t="s">
        <v>11</v>
      </c>
      <c r="D3599">
        <v>4.33</v>
      </c>
      <c r="E3599">
        <v>7</v>
      </c>
      <c r="F3599" t="s">
        <v>15</v>
      </c>
      <c r="G3599">
        <v>25</v>
      </c>
      <c r="H3599">
        <v>5.4124999999999996</v>
      </c>
      <c r="I3599">
        <v>25</v>
      </c>
      <c r="J3599" t="s">
        <v>20</v>
      </c>
    </row>
    <row r="3600" spans="1:10" x14ac:dyDescent="0.2">
      <c r="A3600">
        <v>13599</v>
      </c>
      <c r="B3600" t="s">
        <v>7</v>
      </c>
      <c r="C3600" t="s">
        <v>6</v>
      </c>
      <c r="D3600">
        <v>8.15</v>
      </c>
      <c r="E3600">
        <v>9</v>
      </c>
      <c r="F3600" t="s">
        <v>16</v>
      </c>
      <c r="G3600">
        <v>55</v>
      </c>
      <c r="H3600">
        <v>12.6325</v>
      </c>
      <c r="I3600">
        <v>55.000000000000007</v>
      </c>
      <c r="J3600" t="s">
        <v>20</v>
      </c>
    </row>
    <row r="3601" spans="1:10" x14ac:dyDescent="0.2">
      <c r="A3601">
        <v>13600</v>
      </c>
      <c r="B3601" t="s">
        <v>8</v>
      </c>
      <c r="C3601" t="s">
        <v>11</v>
      </c>
      <c r="D3601">
        <v>8</v>
      </c>
      <c r="E3601">
        <v>3</v>
      </c>
      <c r="F3601" t="s">
        <v>14</v>
      </c>
      <c r="G3601">
        <v>10</v>
      </c>
      <c r="H3601">
        <v>8.8000000000000007</v>
      </c>
      <c r="I3601">
        <v>10.000000000000009</v>
      </c>
      <c r="J3601" t="s">
        <v>20</v>
      </c>
    </row>
    <row r="3602" spans="1:10" x14ac:dyDescent="0.2">
      <c r="A3602">
        <v>13601</v>
      </c>
      <c r="B3602" t="s">
        <v>8</v>
      </c>
      <c r="C3602" t="s">
        <v>9</v>
      </c>
      <c r="D3602">
        <v>13.9</v>
      </c>
      <c r="E3602">
        <v>1</v>
      </c>
      <c r="F3602" t="s">
        <v>14</v>
      </c>
      <c r="G3602">
        <v>15</v>
      </c>
      <c r="H3602">
        <v>15.984999999999999</v>
      </c>
      <c r="I3602">
        <v>14.999999999999991</v>
      </c>
      <c r="J3602" t="s">
        <v>20</v>
      </c>
    </row>
    <row r="3603" spans="1:10" x14ac:dyDescent="0.2">
      <c r="A3603">
        <v>13602</v>
      </c>
      <c r="B3603" t="s">
        <v>7</v>
      </c>
      <c r="C3603" t="s">
        <v>6</v>
      </c>
      <c r="D3603">
        <v>8.4600000000000009</v>
      </c>
      <c r="E3603">
        <v>2</v>
      </c>
      <c r="F3603" t="s">
        <v>14</v>
      </c>
      <c r="G3603">
        <v>12</v>
      </c>
      <c r="H3603">
        <v>9.4752000000000027</v>
      </c>
      <c r="I3603">
        <v>12.000000000000011</v>
      </c>
      <c r="J3603" t="s">
        <v>20</v>
      </c>
    </row>
    <row r="3604" spans="1:10" x14ac:dyDescent="0.2">
      <c r="A3604">
        <v>13603</v>
      </c>
      <c r="B3604" t="s">
        <v>8</v>
      </c>
      <c r="C3604" t="s">
        <v>11</v>
      </c>
      <c r="D3604">
        <v>8.9499999999999993</v>
      </c>
      <c r="E3604">
        <v>6</v>
      </c>
      <c r="F3604" t="s">
        <v>15</v>
      </c>
      <c r="G3604">
        <v>25</v>
      </c>
      <c r="H3604">
        <v>11.1875</v>
      </c>
      <c r="I3604">
        <v>25</v>
      </c>
      <c r="J3604" t="s">
        <v>20</v>
      </c>
    </row>
    <row r="3605" spans="1:10" x14ac:dyDescent="0.2">
      <c r="A3605">
        <v>13604</v>
      </c>
      <c r="B3605" t="s">
        <v>7</v>
      </c>
      <c r="C3605" t="s">
        <v>9</v>
      </c>
      <c r="D3605">
        <v>6.32</v>
      </c>
      <c r="E3605">
        <v>10</v>
      </c>
      <c r="F3605" t="s">
        <v>16</v>
      </c>
      <c r="G3605">
        <v>60</v>
      </c>
      <c r="H3605">
        <v>10.112000000000002</v>
      </c>
      <c r="I3605">
        <v>60.000000000000028</v>
      </c>
      <c r="J3605" t="s">
        <v>20</v>
      </c>
    </row>
    <row r="3606" spans="1:10" x14ac:dyDescent="0.2">
      <c r="A3606">
        <v>13605</v>
      </c>
      <c r="B3606" t="s">
        <v>10</v>
      </c>
      <c r="C3606" t="s">
        <v>9</v>
      </c>
      <c r="D3606">
        <v>14.26</v>
      </c>
      <c r="E3606">
        <v>10</v>
      </c>
      <c r="F3606" t="s">
        <v>16</v>
      </c>
      <c r="G3606">
        <v>60</v>
      </c>
      <c r="H3606">
        <v>22.816000000000003</v>
      </c>
      <c r="I3606">
        <v>60.000000000000007</v>
      </c>
      <c r="J3606" t="s">
        <v>20</v>
      </c>
    </row>
    <row r="3607" spans="1:10" x14ac:dyDescent="0.2">
      <c r="A3607">
        <v>13606</v>
      </c>
      <c r="B3607" t="s">
        <v>5</v>
      </c>
      <c r="C3607" t="s">
        <v>6</v>
      </c>
      <c r="D3607">
        <v>11.77</v>
      </c>
      <c r="E3607">
        <v>9</v>
      </c>
      <c r="F3607" t="s">
        <v>16</v>
      </c>
      <c r="G3607">
        <v>55</v>
      </c>
      <c r="H3607">
        <v>18.243500000000001</v>
      </c>
      <c r="I3607">
        <v>55.000000000000007</v>
      </c>
      <c r="J3607" t="s">
        <v>20</v>
      </c>
    </row>
    <row r="3608" spans="1:10" x14ac:dyDescent="0.2">
      <c r="A3608">
        <v>13607</v>
      </c>
      <c r="B3608" t="s">
        <v>10</v>
      </c>
      <c r="C3608" t="s">
        <v>9</v>
      </c>
      <c r="D3608">
        <v>4.6399999999999997</v>
      </c>
      <c r="E3608">
        <v>3</v>
      </c>
      <c r="F3608" t="s">
        <v>14</v>
      </c>
      <c r="G3608">
        <v>15</v>
      </c>
      <c r="H3608">
        <v>5.3359999999999994</v>
      </c>
      <c r="I3608">
        <v>14.999999999999991</v>
      </c>
      <c r="J3608" t="s">
        <v>20</v>
      </c>
    </row>
    <row r="3609" spans="1:10" x14ac:dyDescent="0.2">
      <c r="A3609">
        <v>13608</v>
      </c>
      <c r="B3609" t="s">
        <v>7</v>
      </c>
      <c r="C3609" t="s">
        <v>11</v>
      </c>
      <c r="D3609">
        <v>12.74</v>
      </c>
      <c r="E3609">
        <v>10</v>
      </c>
      <c r="F3609" t="s">
        <v>16</v>
      </c>
      <c r="G3609">
        <v>50</v>
      </c>
      <c r="H3609">
        <v>19.11</v>
      </c>
      <c r="I3609">
        <v>50</v>
      </c>
      <c r="J3609" t="s">
        <v>20</v>
      </c>
    </row>
    <row r="3610" spans="1:10" x14ac:dyDescent="0.2">
      <c r="A3610">
        <v>13609</v>
      </c>
      <c r="B3610" t="s">
        <v>5</v>
      </c>
      <c r="C3610" t="s">
        <v>9</v>
      </c>
      <c r="D3610">
        <v>6.77</v>
      </c>
      <c r="E3610">
        <v>2</v>
      </c>
      <c r="F3610" t="s">
        <v>14</v>
      </c>
      <c r="G3610">
        <v>15</v>
      </c>
      <c r="H3610">
        <v>7.785499999999999</v>
      </c>
      <c r="I3610">
        <v>14.999999999999991</v>
      </c>
      <c r="J3610" t="s">
        <v>20</v>
      </c>
    </row>
    <row r="3611" spans="1:10" x14ac:dyDescent="0.2">
      <c r="A3611">
        <v>13610</v>
      </c>
      <c r="B3611" t="s">
        <v>7</v>
      </c>
      <c r="C3611" t="s">
        <v>9</v>
      </c>
      <c r="D3611">
        <v>12.52</v>
      </c>
      <c r="E3611">
        <v>1</v>
      </c>
      <c r="F3611" t="s">
        <v>14</v>
      </c>
      <c r="G3611">
        <v>15</v>
      </c>
      <c r="H3611">
        <v>14.397999999999998</v>
      </c>
      <c r="I3611">
        <v>14.999999999999991</v>
      </c>
      <c r="J3611" t="s">
        <v>20</v>
      </c>
    </row>
    <row r="3612" spans="1:10" x14ac:dyDescent="0.2">
      <c r="A3612">
        <v>13611</v>
      </c>
      <c r="B3612" t="s">
        <v>5</v>
      </c>
      <c r="C3612" t="s">
        <v>11</v>
      </c>
      <c r="D3612">
        <v>12.43</v>
      </c>
      <c r="E3612">
        <v>2</v>
      </c>
      <c r="F3612" t="s">
        <v>14</v>
      </c>
      <c r="G3612">
        <v>10</v>
      </c>
      <c r="H3612">
        <v>13.673</v>
      </c>
      <c r="I3612">
        <v>10.000000000000009</v>
      </c>
      <c r="J3612" t="s">
        <v>20</v>
      </c>
    </row>
    <row r="3613" spans="1:10" x14ac:dyDescent="0.2">
      <c r="A3613">
        <v>13612</v>
      </c>
      <c r="B3613" t="s">
        <v>5</v>
      </c>
      <c r="C3613" t="s">
        <v>9</v>
      </c>
      <c r="D3613">
        <v>3.24</v>
      </c>
      <c r="E3613">
        <v>3</v>
      </c>
      <c r="F3613" t="s">
        <v>14</v>
      </c>
      <c r="G3613">
        <v>15</v>
      </c>
      <c r="H3613">
        <v>3.726</v>
      </c>
      <c r="I3613">
        <v>14.999999999999991</v>
      </c>
      <c r="J3613" t="s">
        <v>20</v>
      </c>
    </row>
    <row r="3614" spans="1:10" x14ac:dyDescent="0.2">
      <c r="A3614">
        <v>13613</v>
      </c>
      <c r="B3614" t="s">
        <v>5</v>
      </c>
      <c r="C3614" t="s">
        <v>9</v>
      </c>
      <c r="D3614">
        <v>10.67</v>
      </c>
      <c r="E3614">
        <v>7</v>
      </c>
      <c r="F3614" t="s">
        <v>15</v>
      </c>
      <c r="G3614">
        <v>30</v>
      </c>
      <c r="H3614">
        <v>13.871</v>
      </c>
      <c r="I3614">
        <v>30.000000000000004</v>
      </c>
      <c r="J3614" t="s">
        <v>20</v>
      </c>
    </row>
    <row r="3615" spans="1:10" x14ac:dyDescent="0.2">
      <c r="A3615">
        <v>13614</v>
      </c>
      <c r="B3615" t="s">
        <v>5</v>
      </c>
      <c r="C3615" t="s">
        <v>9</v>
      </c>
      <c r="D3615">
        <v>4.71</v>
      </c>
      <c r="E3615">
        <v>2</v>
      </c>
      <c r="F3615" t="s">
        <v>14</v>
      </c>
      <c r="G3615">
        <v>15</v>
      </c>
      <c r="H3615">
        <v>5.4164999999999992</v>
      </c>
      <c r="I3615">
        <v>14.999999999999991</v>
      </c>
      <c r="J3615" t="s">
        <v>20</v>
      </c>
    </row>
    <row r="3616" spans="1:10" x14ac:dyDescent="0.2">
      <c r="A3616">
        <v>13615</v>
      </c>
      <c r="B3616" t="s">
        <v>7</v>
      </c>
      <c r="C3616" t="s">
        <v>9</v>
      </c>
      <c r="D3616">
        <v>4.8099999999999996</v>
      </c>
      <c r="E3616">
        <v>5</v>
      </c>
      <c r="F3616" t="s">
        <v>15</v>
      </c>
      <c r="G3616">
        <v>30</v>
      </c>
      <c r="H3616">
        <v>6.2530000000000001</v>
      </c>
      <c r="I3616">
        <v>30.000000000000004</v>
      </c>
      <c r="J3616" t="s">
        <v>20</v>
      </c>
    </row>
    <row r="3617" spans="1:10" x14ac:dyDescent="0.2">
      <c r="A3617">
        <v>13616</v>
      </c>
      <c r="B3617" t="s">
        <v>5</v>
      </c>
      <c r="C3617" t="s">
        <v>11</v>
      </c>
      <c r="D3617">
        <v>4.8</v>
      </c>
      <c r="E3617">
        <v>2</v>
      </c>
      <c r="F3617" t="s">
        <v>14</v>
      </c>
      <c r="G3617">
        <v>10</v>
      </c>
      <c r="H3617">
        <v>5.28</v>
      </c>
      <c r="I3617">
        <v>10.000000000000009</v>
      </c>
      <c r="J3617" t="s">
        <v>20</v>
      </c>
    </row>
    <row r="3618" spans="1:10" x14ac:dyDescent="0.2">
      <c r="A3618">
        <v>13617</v>
      </c>
      <c r="B3618" t="s">
        <v>5</v>
      </c>
      <c r="C3618" t="s">
        <v>9</v>
      </c>
      <c r="D3618">
        <v>11.02</v>
      </c>
      <c r="E3618">
        <v>7</v>
      </c>
      <c r="F3618" t="s">
        <v>15</v>
      </c>
      <c r="G3618">
        <v>30</v>
      </c>
      <c r="H3618">
        <v>14.326000000000001</v>
      </c>
      <c r="I3618">
        <v>30.000000000000004</v>
      </c>
      <c r="J3618" t="s">
        <v>20</v>
      </c>
    </row>
    <row r="3619" spans="1:10" x14ac:dyDescent="0.2">
      <c r="A3619">
        <v>13618</v>
      </c>
      <c r="B3619" t="s">
        <v>10</v>
      </c>
      <c r="C3619" t="s">
        <v>11</v>
      </c>
      <c r="D3619">
        <v>3.83</v>
      </c>
      <c r="E3619">
        <v>10</v>
      </c>
      <c r="F3619" t="s">
        <v>16</v>
      </c>
      <c r="G3619">
        <v>50</v>
      </c>
      <c r="H3619">
        <v>5.7450000000000001</v>
      </c>
      <c r="I3619">
        <v>50</v>
      </c>
      <c r="J3619" t="s">
        <v>20</v>
      </c>
    </row>
    <row r="3620" spans="1:10" x14ac:dyDescent="0.2">
      <c r="A3620">
        <v>13619</v>
      </c>
      <c r="B3620" t="s">
        <v>8</v>
      </c>
      <c r="C3620" t="s">
        <v>9</v>
      </c>
      <c r="D3620">
        <v>0.51</v>
      </c>
      <c r="E3620">
        <v>8</v>
      </c>
      <c r="F3620" t="s">
        <v>16</v>
      </c>
      <c r="G3620">
        <v>60</v>
      </c>
      <c r="H3620">
        <v>0.81600000000000006</v>
      </c>
      <c r="I3620">
        <v>60.000000000000007</v>
      </c>
      <c r="J3620" t="s">
        <v>20</v>
      </c>
    </row>
    <row r="3621" spans="1:10" x14ac:dyDescent="0.2">
      <c r="A3621">
        <v>13620</v>
      </c>
      <c r="B3621" t="s">
        <v>8</v>
      </c>
      <c r="C3621" t="s">
        <v>9</v>
      </c>
      <c r="D3621">
        <v>10.87</v>
      </c>
      <c r="E3621">
        <v>8</v>
      </c>
      <c r="F3621" t="s">
        <v>16</v>
      </c>
      <c r="G3621">
        <v>60</v>
      </c>
      <c r="H3621">
        <v>17.391999999999999</v>
      </c>
      <c r="I3621">
        <v>60.000000000000007</v>
      </c>
      <c r="J3621" t="s">
        <v>20</v>
      </c>
    </row>
    <row r="3622" spans="1:10" x14ac:dyDescent="0.2">
      <c r="A3622">
        <v>13621</v>
      </c>
      <c r="B3622" t="s">
        <v>10</v>
      </c>
      <c r="C3622" t="s">
        <v>9</v>
      </c>
      <c r="D3622">
        <v>2.98</v>
      </c>
      <c r="E3622">
        <v>8</v>
      </c>
      <c r="F3622" t="s">
        <v>16</v>
      </c>
      <c r="G3622">
        <v>60</v>
      </c>
      <c r="H3622">
        <v>4.7679999999999998</v>
      </c>
      <c r="I3622">
        <v>59.999999999999986</v>
      </c>
      <c r="J3622" t="s">
        <v>20</v>
      </c>
    </row>
    <row r="3623" spans="1:10" x14ac:dyDescent="0.2">
      <c r="A3623">
        <v>13622</v>
      </c>
      <c r="B3623" t="s">
        <v>10</v>
      </c>
      <c r="C3623" t="s">
        <v>9</v>
      </c>
      <c r="D3623">
        <v>2.0099999999999998</v>
      </c>
      <c r="E3623">
        <v>10</v>
      </c>
      <c r="F3623" t="s">
        <v>16</v>
      </c>
      <c r="G3623">
        <v>60</v>
      </c>
      <c r="H3623">
        <v>3.2159999999999997</v>
      </c>
      <c r="I3623">
        <v>60.000000000000007</v>
      </c>
      <c r="J3623" t="s">
        <v>20</v>
      </c>
    </row>
    <row r="3624" spans="1:10" x14ac:dyDescent="0.2">
      <c r="A3624">
        <v>13623</v>
      </c>
      <c r="B3624" t="s">
        <v>7</v>
      </c>
      <c r="C3624" t="s">
        <v>11</v>
      </c>
      <c r="D3624">
        <v>3.94</v>
      </c>
      <c r="E3624">
        <v>9</v>
      </c>
      <c r="F3624" t="s">
        <v>16</v>
      </c>
      <c r="G3624">
        <v>50</v>
      </c>
      <c r="H3624">
        <v>5.91</v>
      </c>
      <c r="I3624">
        <v>50</v>
      </c>
      <c r="J3624" t="s">
        <v>20</v>
      </c>
    </row>
    <row r="3625" spans="1:10" x14ac:dyDescent="0.2">
      <c r="A3625">
        <v>13624</v>
      </c>
      <c r="B3625" t="s">
        <v>7</v>
      </c>
      <c r="C3625" t="s">
        <v>11</v>
      </c>
      <c r="D3625">
        <v>6.01</v>
      </c>
      <c r="E3625">
        <v>1</v>
      </c>
      <c r="F3625" t="s">
        <v>14</v>
      </c>
      <c r="G3625">
        <v>10</v>
      </c>
      <c r="H3625">
        <v>6.6110000000000007</v>
      </c>
      <c r="I3625">
        <v>10.000000000000009</v>
      </c>
      <c r="J3625" t="s">
        <v>20</v>
      </c>
    </row>
    <row r="3626" spans="1:10" x14ac:dyDescent="0.2">
      <c r="A3626">
        <v>13625</v>
      </c>
      <c r="B3626" t="s">
        <v>7</v>
      </c>
      <c r="C3626" t="s">
        <v>11</v>
      </c>
      <c r="D3626">
        <v>7.4</v>
      </c>
      <c r="E3626">
        <v>1</v>
      </c>
      <c r="F3626" t="s">
        <v>14</v>
      </c>
      <c r="G3626">
        <v>10</v>
      </c>
      <c r="H3626">
        <v>8.14</v>
      </c>
      <c r="I3626">
        <v>10.000000000000009</v>
      </c>
      <c r="J3626" t="s">
        <v>20</v>
      </c>
    </row>
    <row r="3627" spans="1:10" x14ac:dyDescent="0.2">
      <c r="A3627">
        <v>13626</v>
      </c>
      <c r="B3627" t="s">
        <v>10</v>
      </c>
      <c r="C3627" t="s">
        <v>6</v>
      </c>
      <c r="D3627">
        <v>1.1499999999999999</v>
      </c>
      <c r="E3627">
        <v>10</v>
      </c>
      <c r="F3627" t="s">
        <v>16</v>
      </c>
      <c r="G3627">
        <v>55</v>
      </c>
      <c r="H3627">
        <v>1.7825</v>
      </c>
      <c r="I3627">
        <v>55.000000000000007</v>
      </c>
      <c r="J3627" t="s">
        <v>20</v>
      </c>
    </row>
    <row r="3628" spans="1:10" x14ac:dyDescent="0.2">
      <c r="A3628">
        <v>13627</v>
      </c>
      <c r="B3628" t="s">
        <v>10</v>
      </c>
      <c r="C3628" t="s">
        <v>9</v>
      </c>
      <c r="D3628">
        <v>14.57</v>
      </c>
      <c r="E3628">
        <v>2</v>
      </c>
      <c r="F3628" t="s">
        <v>14</v>
      </c>
      <c r="G3628">
        <v>15</v>
      </c>
      <c r="H3628">
        <v>16.755499999999998</v>
      </c>
      <c r="I3628">
        <v>14.999999999999991</v>
      </c>
      <c r="J3628" t="s">
        <v>20</v>
      </c>
    </row>
    <row r="3629" spans="1:10" x14ac:dyDescent="0.2">
      <c r="A3629">
        <v>13628</v>
      </c>
      <c r="B3629" t="s">
        <v>5</v>
      </c>
      <c r="C3629" t="s">
        <v>9</v>
      </c>
      <c r="D3629">
        <v>10.88</v>
      </c>
      <c r="E3629">
        <v>6</v>
      </c>
      <c r="F3629" t="s">
        <v>15</v>
      </c>
      <c r="G3629">
        <v>30</v>
      </c>
      <c r="H3629">
        <v>14.144000000000002</v>
      </c>
      <c r="I3629">
        <v>30.000000000000004</v>
      </c>
      <c r="J3629" t="s">
        <v>20</v>
      </c>
    </row>
    <row r="3630" spans="1:10" x14ac:dyDescent="0.2">
      <c r="A3630">
        <v>13629</v>
      </c>
      <c r="B3630" t="s">
        <v>7</v>
      </c>
      <c r="C3630" t="s">
        <v>11</v>
      </c>
      <c r="D3630">
        <v>5.19</v>
      </c>
      <c r="E3630">
        <v>1</v>
      </c>
      <c r="F3630" t="s">
        <v>14</v>
      </c>
      <c r="G3630">
        <v>10</v>
      </c>
      <c r="H3630">
        <v>5.7090000000000005</v>
      </c>
      <c r="I3630">
        <v>10.000000000000009</v>
      </c>
      <c r="J3630" t="s">
        <v>20</v>
      </c>
    </row>
    <row r="3631" spans="1:10" x14ac:dyDescent="0.2">
      <c r="A3631">
        <v>13630</v>
      </c>
      <c r="B3631" t="s">
        <v>7</v>
      </c>
      <c r="C3631" t="s">
        <v>6</v>
      </c>
      <c r="D3631">
        <v>5.12</v>
      </c>
      <c r="E3631">
        <v>5</v>
      </c>
      <c r="F3631" t="s">
        <v>15</v>
      </c>
      <c r="G3631">
        <v>28</v>
      </c>
      <c r="H3631">
        <v>6.5536000000000003</v>
      </c>
      <c r="I3631">
        <v>28.000000000000004</v>
      </c>
      <c r="J3631" t="s">
        <v>20</v>
      </c>
    </row>
    <row r="3632" spans="1:10" x14ac:dyDescent="0.2">
      <c r="A3632">
        <v>13631</v>
      </c>
      <c r="B3632" t="s">
        <v>7</v>
      </c>
      <c r="C3632" t="s">
        <v>9</v>
      </c>
      <c r="D3632">
        <v>7</v>
      </c>
      <c r="E3632">
        <v>5</v>
      </c>
      <c r="F3632" t="s">
        <v>15</v>
      </c>
      <c r="G3632">
        <v>30</v>
      </c>
      <c r="H3632">
        <v>9.1</v>
      </c>
      <c r="I3632">
        <v>30.000000000000004</v>
      </c>
      <c r="J3632" t="s">
        <v>20</v>
      </c>
    </row>
    <row r="3633" spans="1:10" x14ac:dyDescent="0.2">
      <c r="A3633">
        <v>13632</v>
      </c>
      <c r="B3633" t="s">
        <v>8</v>
      </c>
      <c r="C3633" t="s">
        <v>11</v>
      </c>
      <c r="D3633">
        <v>9.58</v>
      </c>
      <c r="E3633">
        <v>4</v>
      </c>
      <c r="F3633" t="s">
        <v>15</v>
      </c>
      <c r="G3633">
        <v>25</v>
      </c>
      <c r="H3633">
        <v>11.975</v>
      </c>
      <c r="I3633">
        <v>25</v>
      </c>
      <c r="J3633" t="s">
        <v>20</v>
      </c>
    </row>
    <row r="3634" spans="1:10" x14ac:dyDescent="0.2">
      <c r="A3634">
        <v>13633</v>
      </c>
      <c r="B3634" t="s">
        <v>5</v>
      </c>
      <c r="C3634" t="s">
        <v>9</v>
      </c>
      <c r="D3634">
        <v>2.62</v>
      </c>
      <c r="E3634">
        <v>5</v>
      </c>
      <c r="F3634" t="s">
        <v>15</v>
      </c>
      <c r="G3634">
        <v>30</v>
      </c>
      <c r="H3634">
        <v>3.4060000000000001</v>
      </c>
      <c r="I3634">
        <v>30.000000000000004</v>
      </c>
      <c r="J3634" t="s">
        <v>20</v>
      </c>
    </row>
    <row r="3635" spans="1:10" x14ac:dyDescent="0.2">
      <c r="A3635">
        <v>13634</v>
      </c>
      <c r="B3635" t="s">
        <v>7</v>
      </c>
      <c r="C3635" t="s">
        <v>9</v>
      </c>
      <c r="D3635">
        <v>3.24</v>
      </c>
      <c r="E3635">
        <v>1</v>
      </c>
      <c r="F3635" t="s">
        <v>14</v>
      </c>
      <c r="G3635">
        <v>15</v>
      </c>
      <c r="H3635">
        <v>3.726</v>
      </c>
      <c r="I3635">
        <v>14.999999999999991</v>
      </c>
      <c r="J3635" t="s">
        <v>20</v>
      </c>
    </row>
    <row r="3636" spans="1:10" x14ac:dyDescent="0.2">
      <c r="A3636">
        <v>13635</v>
      </c>
      <c r="B3636" t="s">
        <v>7</v>
      </c>
      <c r="C3636" t="s">
        <v>11</v>
      </c>
      <c r="D3636">
        <v>12.96</v>
      </c>
      <c r="E3636">
        <v>6</v>
      </c>
      <c r="F3636" t="s">
        <v>15</v>
      </c>
      <c r="G3636">
        <v>25</v>
      </c>
      <c r="H3636">
        <v>16.200000000000003</v>
      </c>
      <c r="I3636">
        <v>25.000000000000021</v>
      </c>
      <c r="J3636" t="s">
        <v>20</v>
      </c>
    </row>
    <row r="3637" spans="1:10" x14ac:dyDescent="0.2">
      <c r="A3637">
        <v>13636</v>
      </c>
      <c r="B3637" t="s">
        <v>7</v>
      </c>
      <c r="C3637" t="s">
        <v>11</v>
      </c>
      <c r="D3637">
        <v>4.22</v>
      </c>
      <c r="E3637">
        <v>7</v>
      </c>
      <c r="F3637" t="s">
        <v>15</v>
      </c>
      <c r="G3637">
        <v>25</v>
      </c>
      <c r="H3637">
        <v>5.2749999999999995</v>
      </c>
      <c r="I3637">
        <v>25</v>
      </c>
      <c r="J3637" t="s">
        <v>20</v>
      </c>
    </row>
    <row r="3638" spans="1:10" x14ac:dyDescent="0.2">
      <c r="A3638">
        <v>13637</v>
      </c>
      <c r="B3638" t="s">
        <v>8</v>
      </c>
      <c r="C3638" t="s">
        <v>9</v>
      </c>
      <c r="D3638">
        <v>6.01</v>
      </c>
      <c r="E3638">
        <v>8</v>
      </c>
      <c r="F3638" t="s">
        <v>16</v>
      </c>
      <c r="G3638">
        <v>60</v>
      </c>
      <c r="H3638">
        <v>9.6159999999999997</v>
      </c>
      <c r="I3638">
        <v>60.000000000000007</v>
      </c>
      <c r="J3638" t="s">
        <v>20</v>
      </c>
    </row>
    <row r="3639" spans="1:10" x14ac:dyDescent="0.2">
      <c r="A3639">
        <v>13638</v>
      </c>
      <c r="B3639" t="s">
        <v>8</v>
      </c>
      <c r="C3639" t="s">
        <v>9</v>
      </c>
      <c r="D3639">
        <v>13.13</v>
      </c>
      <c r="E3639">
        <v>2</v>
      </c>
      <c r="F3639" t="s">
        <v>14</v>
      </c>
      <c r="G3639">
        <v>15</v>
      </c>
      <c r="H3639">
        <v>15.099499999999999</v>
      </c>
      <c r="I3639">
        <v>14.999999999999991</v>
      </c>
      <c r="J3639" t="s">
        <v>20</v>
      </c>
    </row>
    <row r="3640" spans="1:10" x14ac:dyDescent="0.2">
      <c r="A3640">
        <v>13639</v>
      </c>
      <c r="B3640" t="s">
        <v>10</v>
      </c>
      <c r="C3640" t="s">
        <v>11</v>
      </c>
      <c r="D3640">
        <v>10.119999999999999</v>
      </c>
      <c r="E3640">
        <v>7</v>
      </c>
      <c r="F3640" t="s">
        <v>15</v>
      </c>
      <c r="G3640">
        <v>25</v>
      </c>
      <c r="H3640">
        <v>12.649999999999999</v>
      </c>
      <c r="I3640">
        <v>25</v>
      </c>
      <c r="J3640" t="s">
        <v>20</v>
      </c>
    </row>
    <row r="3641" spans="1:10" x14ac:dyDescent="0.2">
      <c r="A3641">
        <v>13640</v>
      </c>
      <c r="B3641" t="s">
        <v>5</v>
      </c>
      <c r="C3641" t="s">
        <v>9</v>
      </c>
      <c r="D3641">
        <v>5.45</v>
      </c>
      <c r="E3641">
        <v>6</v>
      </c>
      <c r="F3641" t="s">
        <v>15</v>
      </c>
      <c r="G3641">
        <v>30</v>
      </c>
      <c r="H3641">
        <v>7.0850000000000009</v>
      </c>
      <c r="I3641">
        <v>30.000000000000004</v>
      </c>
      <c r="J3641" t="s">
        <v>20</v>
      </c>
    </row>
    <row r="3642" spans="1:10" x14ac:dyDescent="0.2">
      <c r="A3642">
        <v>13641</v>
      </c>
      <c r="B3642" t="s">
        <v>10</v>
      </c>
      <c r="C3642" t="s">
        <v>9</v>
      </c>
      <c r="D3642">
        <v>10.41</v>
      </c>
      <c r="E3642">
        <v>9</v>
      </c>
      <c r="F3642" t="s">
        <v>16</v>
      </c>
      <c r="G3642">
        <v>60</v>
      </c>
      <c r="H3642">
        <v>16.656000000000002</v>
      </c>
      <c r="I3642">
        <v>60.000000000000028</v>
      </c>
      <c r="J3642" t="s">
        <v>20</v>
      </c>
    </row>
    <row r="3643" spans="1:10" x14ac:dyDescent="0.2">
      <c r="A3643">
        <v>13642</v>
      </c>
      <c r="B3643" t="s">
        <v>5</v>
      </c>
      <c r="C3643" t="s">
        <v>11</v>
      </c>
      <c r="D3643">
        <v>0.79</v>
      </c>
      <c r="E3643">
        <v>8</v>
      </c>
      <c r="F3643" t="s">
        <v>16</v>
      </c>
      <c r="G3643">
        <v>50</v>
      </c>
      <c r="H3643">
        <v>1.1850000000000001</v>
      </c>
      <c r="I3643">
        <v>50</v>
      </c>
      <c r="J3643" t="s">
        <v>20</v>
      </c>
    </row>
    <row r="3644" spans="1:10" x14ac:dyDescent="0.2">
      <c r="A3644">
        <v>13643</v>
      </c>
      <c r="B3644" t="s">
        <v>8</v>
      </c>
      <c r="C3644" t="s">
        <v>9</v>
      </c>
      <c r="D3644">
        <v>11.17</v>
      </c>
      <c r="E3644">
        <v>4</v>
      </c>
      <c r="F3644" t="s">
        <v>15</v>
      </c>
      <c r="G3644">
        <v>30</v>
      </c>
      <c r="H3644">
        <v>14.521000000000001</v>
      </c>
      <c r="I3644">
        <v>30.000000000000004</v>
      </c>
      <c r="J3644" t="s">
        <v>20</v>
      </c>
    </row>
    <row r="3645" spans="1:10" x14ac:dyDescent="0.2">
      <c r="A3645">
        <v>13644</v>
      </c>
      <c r="B3645" t="s">
        <v>7</v>
      </c>
      <c r="C3645" t="s">
        <v>9</v>
      </c>
      <c r="D3645">
        <v>7.56</v>
      </c>
      <c r="E3645">
        <v>9</v>
      </c>
      <c r="F3645" t="s">
        <v>16</v>
      </c>
      <c r="G3645">
        <v>60</v>
      </c>
      <c r="H3645">
        <v>12.096</v>
      </c>
      <c r="I3645">
        <v>60.000000000000007</v>
      </c>
      <c r="J3645" t="s">
        <v>20</v>
      </c>
    </row>
    <row r="3646" spans="1:10" x14ac:dyDescent="0.2">
      <c r="A3646">
        <v>13645</v>
      </c>
      <c r="B3646" t="s">
        <v>10</v>
      </c>
      <c r="C3646" t="s">
        <v>6</v>
      </c>
      <c r="D3646">
        <v>12.29</v>
      </c>
      <c r="E3646">
        <v>1</v>
      </c>
      <c r="F3646" t="s">
        <v>14</v>
      </c>
      <c r="G3646">
        <v>12</v>
      </c>
      <c r="H3646">
        <v>13.764800000000001</v>
      </c>
      <c r="I3646">
        <v>12.000000000000011</v>
      </c>
      <c r="J3646" t="s">
        <v>20</v>
      </c>
    </row>
    <row r="3647" spans="1:10" x14ac:dyDescent="0.2">
      <c r="A3647">
        <v>13646</v>
      </c>
      <c r="B3647" t="s">
        <v>7</v>
      </c>
      <c r="C3647" t="s">
        <v>11</v>
      </c>
      <c r="D3647">
        <v>14.34</v>
      </c>
      <c r="E3647">
        <v>6</v>
      </c>
      <c r="F3647" t="s">
        <v>15</v>
      </c>
      <c r="G3647">
        <v>25</v>
      </c>
      <c r="H3647">
        <v>17.925000000000001</v>
      </c>
      <c r="I3647">
        <v>25</v>
      </c>
      <c r="J3647" t="s">
        <v>20</v>
      </c>
    </row>
    <row r="3648" spans="1:10" x14ac:dyDescent="0.2">
      <c r="A3648">
        <v>13647</v>
      </c>
      <c r="B3648" t="s">
        <v>10</v>
      </c>
      <c r="C3648" t="s">
        <v>6</v>
      </c>
      <c r="D3648">
        <v>13.92</v>
      </c>
      <c r="E3648">
        <v>8</v>
      </c>
      <c r="F3648" t="s">
        <v>16</v>
      </c>
      <c r="G3648">
        <v>55</v>
      </c>
      <c r="H3648">
        <v>21.576000000000001</v>
      </c>
      <c r="I3648">
        <v>55.000000000000007</v>
      </c>
      <c r="J3648" t="s">
        <v>20</v>
      </c>
    </row>
    <row r="3649" spans="1:10" x14ac:dyDescent="0.2">
      <c r="A3649">
        <v>13648</v>
      </c>
      <c r="B3649" t="s">
        <v>8</v>
      </c>
      <c r="C3649" t="s">
        <v>6</v>
      </c>
      <c r="D3649">
        <v>13.68</v>
      </c>
      <c r="E3649">
        <v>4</v>
      </c>
      <c r="F3649" t="s">
        <v>15</v>
      </c>
      <c r="G3649">
        <v>28</v>
      </c>
      <c r="H3649">
        <v>17.510400000000001</v>
      </c>
      <c r="I3649">
        <v>28.000000000000004</v>
      </c>
      <c r="J3649" t="s">
        <v>20</v>
      </c>
    </row>
    <row r="3650" spans="1:10" x14ac:dyDescent="0.2">
      <c r="A3650">
        <v>13649</v>
      </c>
      <c r="B3650" t="s">
        <v>8</v>
      </c>
      <c r="C3650" t="s">
        <v>6</v>
      </c>
      <c r="D3650">
        <v>7.93</v>
      </c>
      <c r="E3650">
        <v>2</v>
      </c>
      <c r="F3650" t="s">
        <v>14</v>
      </c>
      <c r="G3650">
        <v>12</v>
      </c>
      <c r="H3650">
        <v>8.8816000000000006</v>
      </c>
      <c r="I3650">
        <v>12.000000000000011</v>
      </c>
      <c r="J3650" t="s">
        <v>20</v>
      </c>
    </row>
    <row r="3651" spans="1:10" x14ac:dyDescent="0.2">
      <c r="A3651">
        <v>13650</v>
      </c>
      <c r="B3651" t="s">
        <v>8</v>
      </c>
      <c r="C3651" t="s">
        <v>9</v>
      </c>
      <c r="D3651">
        <v>5.72</v>
      </c>
      <c r="E3651">
        <v>2</v>
      </c>
      <c r="F3651" t="s">
        <v>14</v>
      </c>
      <c r="G3651">
        <v>15</v>
      </c>
      <c r="H3651">
        <v>6.5779999999999994</v>
      </c>
      <c r="I3651">
        <v>14.999999999999991</v>
      </c>
      <c r="J3651" t="s">
        <v>20</v>
      </c>
    </row>
    <row r="3652" spans="1:10" x14ac:dyDescent="0.2">
      <c r="A3652">
        <v>13651</v>
      </c>
      <c r="B3652" t="s">
        <v>10</v>
      </c>
      <c r="C3652" t="s">
        <v>9</v>
      </c>
      <c r="D3652">
        <v>7.24</v>
      </c>
      <c r="E3652">
        <v>10</v>
      </c>
      <c r="F3652" t="s">
        <v>16</v>
      </c>
      <c r="G3652">
        <v>60</v>
      </c>
      <c r="H3652">
        <v>11.584000000000001</v>
      </c>
      <c r="I3652">
        <v>60.000000000000007</v>
      </c>
      <c r="J3652" t="s">
        <v>20</v>
      </c>
    </row>
    <row r="3653" spans="1:10" x14ac:dyDescent="0.2">
      <c r="A3653">
        <v>13652</v>
      </c>
      <c r="B3653" t="s">
        <v>5</v>
      </c>
      <c r="C3653" t="s">
        <v>6</v>
      </c>
      <c r="D3653">
        <v>10.5</v>
      </c>
      <c r="E3653">
        <v>1</v>
      </c>
      <c r="F3653" t="s">
        <v>14</v>
      </c>
      <c r="G3653">
        <v>12</v>
      </c>
      <c r="H3653">
        <v>11.760000000000002</v>
      </c>
      <c r="I3653">
        <v>12.000000000000011</v>
      </c>
      <c r="J3653" t="s">
        <v>20</v>
      </c>
    </row>
    <row r="3654" spans="1:10" x14ac:dyDescent="0.2">
      <c r="A3654">
        <v>13653</v>
      </c>
      <c r="B3654" t="s">
        <v>10</v>
      </c>
      <c r="C3654" t="s">
        <v>6</v>
      </c>
      <c r="D3654">
        <v>13.32</v>
      </c>
      <c r="E3654">
        <v>5</v>
      </c>
      <c r="F3654" t="s">
        <v>15</v>
      </c>
      <c r="G3654">
        <v>28</v>
      </c>
      <c r="H3654">
        <v>17.049600000000002</v>
      </c>
      <c r="I3654">
        <v>28.000000000000004</v>
      </c>
      <c r="J3654" t="s">
        <v>20</v>
      </c>
    </row>
    <row r="3655" spans="1:10" x14ac:dyDescent="0.2">
      <c r="A3655">
        <v>13654</v>
      </c>
      <c r="B3655" t="s">
        <v>5</v>
      </c>
      <c r="C3655" t="s">
        <v>6</v>
      </c>
      <c r="D3655">
        <v>3.5</v>
      </c>
      <c r="E3655">
        <v>6</v>
      </c>
      <c r="F3655" t="s">
        <v>15</v>
      </c>
      <c r="G3655">
        <v>28</v>
      </c>
      <c r="H3655">
        <v>4.4800000000000004</v>
      </c>
      <c r="I3655">
        <v>28.000000000000004</v>
      </c>
      <c r="J3655" t="s">
        <v>20</v>
      </c>
    </row>
    <row r="3656" spans="1:10" x14ac:dyDescent="0.2">
      <c r="A3656">
        <v>13655</v>
      </c>
      <c r="B3656" t="s">
        <v>10</v>
      </c>
      <c r="C3656" t="s">
        <v>9</v>
      </c>
      <c r="D3656">
        <v>13.81</v>
      </c>
      <c r="E3656">
        <v>4</v>
      </c>
      <c r="F3656" t="s">
        <v>15</v>
      </c>
      <c r="G3656">
        <v>30</v>
      </c>
      <c r="H3656">
        <v>17.953000000000003</v>
      </c>
      <c r="I3656">
        <v>30.000000000000028</v>
      </c>
      <c r="J3656" t="s">
        <v>20</v>
      </c>
    </row>
    <row r="3657" spans="1:10" x14ac:dyDescent="0.2">
      <c r="A3657">
        <v>13656</v>
      </c>
      <c r="B3657" t="s">
        <v>10</v>
      </c>
      <c r="C3657" t="s">
        <v>6</v>
      </c>
      <c r="D3657">
        <v>12.32</v>
      </c>
      <c r="E3657">
        <v>4</v>
      </c>
      <c r="F3657" t="s">
        <v>15</v>
      </c>
      <c r="G3657">
        <v>28</v>
      </c>
      <c r="H3657">
        <v>15.769600000000001</v>
      </c>
      <c r="I3657">
        <v>28.000000000000004</v>
      </c>
      <c r="J3657" t="s">
        <v>20</v>
      </c>
    </row>
    <row r="3658" spans="1:10" x14ac:dyDescent="0.2">
      <c r="A3658">
        <v>13657</v>
      </c>
      <c r="B3658" t="s">
        <v>8</v>
      </c>
      <c r="C3658" t="s">
        <v>6</v>
      </c>
      <c r="D3658">
        <v>14.69</v>
      </c>
      <c r="E3658">
        <v>5</v>
      </c>
      <c r="F3658" t="s">
        <v>15</v>
      </c>
      <c r="G3658">
        <v>28</v>
      </c>
      <c r="H3658">
        <v>18.8032</v>
      </c>
      <c r="I3658">
        <v>28.000000000000004</v>
      </c>
      <c r="J3658" t="s">
        <v>20</v>
      </c>
    </row>
    <row r="3659" spans="1:10" x14ac:dyDescent="0.2">
      <c r="A3659">
        <v>13658</v>
      </c>
      <c r="B3659" t="s">
        <v>7</v>
      </c>
      <c r="C3659" t="s">
        <v>11</v>
      </c>
      <c r="D3659">
        <v>13.26</v>
      </c>
      <c r="E3659">
        <v>5</v>
      </c>
      <c r="F3659" t="s">
        <v>15</v>
      </c>
      <c r="G3659">
        <v>25</v>
      </c>
      <c r="H3659">
        <v>16.574999999999999</v>
      </c>
      <c r="I3659">
        <v>25</v>
      </c>
      <c r="J3659" t="s">
        <v>20</v>
      </c>
    </row>
    <row r="3660" spans="1:10" x14ac:dyDescent="0.2">
      <c r="A3660">
        <v>13659</v>
      </c>
      <c r="B3660" t="s">
        <v>7</v>
      </c>
      <c r="C3660" t="s">
        <v>11</v>
      </c>
      <c r="D3660">
        <v>4.5599999999999996</v>
      </c>
      <c r="E3660">
        <v>9</v>
      </c>
      <c r="F3660" t="s">
        <v>16</v>
      </c>
      <c r="G3660">
        <v>50</v>
      </c>
      <c r="H3660">
        <v>6.84</v>
      </c>
      <c r="I3660">
        <v>50</v>
      </c>
      <c r="J3660" t="s">
        <v>20</v>
      </c>
    </row>
    <row r="3661" spans="1:10" x14ac:dyDescent="0.2">
      <c r="A3661">
        <v>13660</v>
      </c>
      <c r="B3661" t="s">
        <v>5</v>
      </c>
      <c r="C3661" t="s">
        <v>9</v>
      </c>
      <c r="D3661">
        <v>2.04</v>
      </c>
      <c r="E3661">
        <v>8</v>
      </c>
      <c r="F3661" t="s">
        <v>16</v>
      </c>
      <c r="G3661">
        <v>60</v>
      </c>
      <c r="H3661">
        <v>3.2640000000000002</v>
      </c>
      <c r="I3661">
        <v>60.000000000000007</v>
      </c>
      <c r="J3661" t="s">
        <v>20</v>
      </c>
    </row>
    <row r="3662" spans="1:10" x14ac:dyDescent="0.2">
      <c r="A3662">
        <v>13661</v>
      </c>
      <c r="B3662" t="s">
        <v>7</v>
      </c>
      <c r="C3662" t="s">
        <v>11</v>
      </c>
      <c r="D3662">
        <v>2.13</v>
      </c>
      <c r="E3662">
        <v>9</v>
      </c>
      <c r="F3662" t="s">
        <v>16</v>
      </c>
      <c r="G3662">
        <v>50</v>
      </c>
      <c r="H3662">
        <v>3.1949999999999998</v>
      </c>
      <c r="I3662">
        <v>50</v>
      </c>
      <c r="J3662" t="s">
        <v>20</v>
      </c>
    </row>
    <row r="3663" spans="1:10" x14ac:dyDescent="0.2">
      <c r="A3663">
        <v>13662</v>
      </c>
      <c r="B3663" t="s">
        <v>10</v>
      </c>
      <c r="C3663" t="s">
        <v>11</v>
      </c>
      <c r="D3663">
        <v>4.72</v>
      </c>
      <c r="E3663">
        <v>3</v>
      </c>
      <c r="F3663" t="s">
        <v>14</v>
      </c>
      <c r="G3663">
        <v>10</v>
      </c>
      <c r="H3663">
        <v>5.1920000000000002</v>
      </c>
      <c r="I3663">
        <v>10.000000000000009</v>
      </c>
      <c r="J3663" t="s">
        <v>20</v>
      </c>
    </row>
    <row r="3664" spans="1:10" x14ac:dyDescent="0.2">
      <c r="A3664">
        <v>13663</v>
      </c>
      <c r="B3664" t="s">
        <v>10</v>
      </c>
      <c r="C3664" t="s">
        <v>11</v>
      </c>
      <c r="D3664">
        <v>9.41</v>
      </c>
      <c r="E3664">
        <v>3</v>
      </c>
      <c r="F3664" t="s">
        <v>14</v>
      </c>
      <c r="G3664">
        <v>10</v>
      </c>
      <c r="H3664">
        <v>10.351000000000001</v>
      </c>
      <c r="I3664">
        <v>10.000000000000009</v>
      </c>
      <c r="J3664" t="s">
        <v>20</v>
      </c>
    </row>
    <row r="3665" spans="1:10" x14ac:dyDescent="0.2">
      <c r="A3665">
        <v>13664</v>
      </c>
      <c r="B3665" t="s">
        <v>8</v>
      </c>
      <c r="C3665" t="s">
        <v>9</v>
      </c>
      <c r="D3665">
        <v>12.16</v>
      </c>
      <c r="E3665">
        <v>1</v>
      </c>
      <c r="F3665" t="s">
        <v>14</v>
      </c>
      <c r="G3665">
        <v>15</v>
      </c>
      <c r="H3665">
        <v>13.983999999999998</v>
      </c>
      <c r="I3665">
        <v>14.999999999999991</v>
      </c>
      <c r="J3665" t="s">
        <v>20</v>
      </c>
    </row>
    <row r="3666" spans="1:10" x14ac:dyDescent="0.2">
      <c r="A3666">
        <v>13665</v>
      </c>
      <c r="B3666" t="s">
        <v>8</v>
      </c>
      <c r="C3666" t="s">
        <v>11</v>
      </c>
      <c r="D3666">
        <v>13.54</v>
      </c>
      <c r="E3666">
        <v>10</v>
      </c>
      <c r="F3666" t="s">
        <v>16</v>
      </c>
      <c r="G3666">
        <v>50</v>
      </c>
      <c r="H3666">
        <v>20.309999999999999</v>
      </c>
      <c r="I3666">
        <v>50</v>
      </c>
      <c r="J3666" t="s">
        <v>20</v>
      </c>
    </row>
    <row r="3667" spans="1:10" x14ac:dyDescent="0.2">
      <c r="A3667">
        <v>13666</v>
      </c>
      <c r="B3667" t="s">
        <v>7</v>
      </c>
      <c r="C3667" t="s">
        <v>9</v>
      </c>
      <c r="D3667">
        <v>9.5399999999999991</v>
      </c>
      <c r="E3667">
        <v>6</v>
      </c>
      <c r="F3667" t="s">
        <v>15</v>
      </c>
      <c r="G3667">
        <v>30</v>
      </c>
      <c r="H3667">
        <v>12.401999999999999</v>
      </c>
      <c r="I3667">
        <v>30.000000000000004</v>
      </c>
      <c r="J3667" t="s">
        <v>20</v>
      </c>
    </row>
    <row r="3668" spans="1:10" x14ac:dyDescent="0.2">
      <c r="A3668">
        <v>13667</v>
      </c>
      <c r="B3668" t="s">
        <v>5</v>
      </c>
      <c r="C3668" t="s">
        <v>6</v>
      </c>
      <c r="D3668">
        <v>0.57999999999999996</v>
      </c>
      <c r="E3668">
        <v>4</v>
      </c>
      <c r="F3668" t="s">
        <v>15</v>
      </c>
      <c r="G3668">
        <v>28</v>
      </c>
      <c r="H3668">
        <v>0.74239999999999995</v>
      </c>
      <c r="I3668">
        <v>28.000000000000004</v>
      </c>
      <c r="J3668" t="s">
        <v>20</v>
      </c>
    </row>
    <row r="3669" spans="1:10" x14ac:dyDescent="0.2">
      <c r="A3669">
        <v>13668</v>
      </c>
      <c r="B3669" t="s">
        <v>7</v>
      </c>
      <c r="C3669" t="s">
        <v>11</v>
      </c>
      <c r="D3669">
        <v>3.2</v>
      </c>
      <c r="E3669">
        <v>8</v>
      </c>
      <c r="F3669" t="s">
        <v>16</v>
      </c>
      <c r="G3669">
        <v>50</v>
      </c>
      <c r="H3669">
        <v>4.8000000000000007</v>
      </c>
      <c r="I3669">
        <v>50.000000000000021</v>
      </c>
      <c r="J3669" t="s">
        <v>20</v>
      </c>
    </row>
    <row r="3670" spans="1:10" x14ac:dyDescent="0.2">
      <c r="A3670">
        <v>13669</v>
      </c>
      <c r="B3670" t="s">
        <v>7</v>
      </c>
      <c r="C3670" t="s">
        <v>9</v>
      </c>
      <c r="D3670">
        <v>1.95</v>
      </c>
      <c r="E3670">
        <v>2</v>
      </c>
      <c r="F3670" t="s">
        <v>14</v>
      </c>
      <c r="G3670">
        <v>15</v>
      </c>
      <c r="H3670">
        <v>2.2424999999999997</v>
      </c>
      <c r="I3670">
        <v>14.999999999999991</v>
      </c>
      <c r="J3670" t="s">
        <v>20</v>
      </c>
    </row>
    <row r="3671" spans="1:10" x14ac:dyDescent="0.2">
      <c r="A3671">
        <v>13670</v>
      </c>
      <c r="B3671" t="s">
        <v>7</v>
      </c>
      <c r="C3671" t="s">
        <v>11</v>
      </c>
      <c r="D3671">
        <v>5.77</v>
      </c>
      <c r="E3671">
        <v>2</v>
      </c>
      <c r="F3671" t="s">
        <v>14</v>
      </c>
      <c r="G3671">
        <v>10</v>
      </c>
      <c r="H3671">
        <v>6.3470000000000004</v>
      </c>
      <c r="I3671">
        <v>10.000000000000009</v>
      </c>
      <c r="J3671" t="s">
        <v>20</v>
      </c>
    </row>
    <row r="3672" spans="1:10" x14ac:dyDescent="0.2">
      <c r="A3672">
        <v>13671</v>
      </c>
      <c r="B3672" t="s">
        <v>7</v>
      </c>
      <c r="C3672" t="s">
        <v>6</v>
      </c>
      <c r="D3672">
        <v>7.77</v>
      </c>
      <c r="E3672">
        <v>7</v>
      </c>
      <c r="F3672" t="s">
        <v>15</v>
      </c>
      <c r="G3672">
        <v>28</v>
      </c>
      <c r="H3672">
        <v>9.9455999999999989</v>
      </c>
      <c r="I3672">
        <v>28.000000000000004</v>
      </c>
      <c r="J3672" t="s">
        <v>20</v>
      </c>
    </row>
    <row r="3673" spans="1:10" x14ac:dyDescent="0.2">
      <c r="A3673">
        <v>13672</v>
      </c>
      <c r="B3673" t="s">
        <v>10</v>
      </c>
      <c r="C3673" t="s">
        <v>9</v>
      </c>
      <c r="D3673">
        <v>1.1299999999999999</v>
      </c>
      <c r="E3673">
        <v>5</v>
      </c>
      <c r="F3673" t="s">
        <v>15</v>
      </c>
      <c r="G3673">
        <v>30</v>
      </c>
      <c r="H3673">
        <v>1.4689999999999999</v>
      </c>
      <c r="I3673">
        <v>30.000000000000004</v>
      </c>
      <c r="J3673" t="s">
        <v>20</v>
      </c>
    </row>
    <row r="3674" spans="1:10" x14ac:dyDescent="0.2">
      <c r="A3674">
        <v>13673</v>
      </c>
      <c r="B3674" t="s">
        <v>5</v>
      </c>
      <c r="C3674" t="s">
        <v>9</v>
      </c>
      <c r="D3674">
        <v>5.55</v>
      </c>
      <c r="E3674">
        <v>1</v>
      </c>
      <c r="F3674" t="s">
        <v>14</v>
      </c>
      <c r="G3674">
        <v>15</v>
      </c>
      <c r="H3674">
        <v>6.3824999999999994</v>
      </c>
      <c r="I3674">
        <v>14.999999999999991</v>
      </c>
      <c r="J3674" t="s">
        <v>20</v>
      </c>
    </row>
    <row r="3675" spans="1:10" x14ac:dyDescent="0.2">
      <c r="A3675">
        <v>13674</v>
      </c>
      <c r="B3675" t="s">
        <v>10</v>
      </c>
      <c r="C3675" t="s">
        <v>9</v>
      </c>
      <c r="D3675">
        <v>3.1</v>
      </c>
      <c r="E3675">
        <v>7</v>
      </c>
      <c r="F3675" t="s">
        <v>15</v>
      </c>
      <c r="G3675">
        <v>30</v>
      </c>
      <c r="H3675">
        <v>4.03</v>
      </c>
      <c r="I3675">
        <v>30.000000000000004</v>
      </c>
      <c r="J3675" t="s">
        <v>20</v>
      </c>
    </row>
    <row r="3676" spans="1:10" x14ac:dyDescent="0.2">
      <c r="A3676">
        <v>13675</v>
      </c>
      <c r="B3676" t="s">
        <v>5</v>
      </c>
      <c r="C3676" t="s">
        <v>6</v>
      </c>
      <c r="D3676">
        <v>9.8800000000000008</v>
      </c>
      <c r="E3676">
        <v>7</v>
      </c>
      <c r="F3676" t="s">
        <v>15</v>
      </c>
      <c r="G3676">
        <v>28</v>
      </c>
      <c r="H3676">
        <v>12.646400000000002</v>
      </c>
      <c r="I3676">
        <v>28.000000000000004</v>
      </c>
      <c r="J3676" t="s">
        <v>20</v>
      </c>
    </row>
    <row r="3677" spans="1:10" x14ac:dyDescent="0.2">
      <c r="A3677">
        <v>13676</v>
      </c>
      <c r="B3677" t="s">
        <v>8</v>
      </c>
      <c r="C3677" t="s">
        <v>6</v>
      </c>
      <c r="D3677">
        <v>7.23</v>
      </c>
      <c r="E3677">
        <v>10</v>
      </c>
      <c r="F3677" t="s">
        <v>16</v>
      </c>
      <c r="G3677">
        <v>55</v>
      </c>
      <c r="H3677">
        <v>11.2065</v>
      </c>
      <c r="I3677">
        <v>54.999999999999986</v>
      </c>
      <c r="J3677" t="s">
        <v>20</v>
      </c>
    </row>
    <row r="3678" spans="1:10" x14ac:dyDescent="0.2">
      <c r="A3678">
        <v>13677</v>
      </c>
      <c r="B3678" t="s">
        <v>7</v>
      </c>
      <c r="C3678" t="s">
        <v>6</v>
      </c>
      <c r="D3678">
        <v>7.68</v>
      </c>
      <c r="E3678">
        <v>6</v>
      </c>
      <c r="F3678" t="s">
        <v>15</v>
      </c>
      <c r="G3678">
        <v>28</v>
      </c>
      <c r="H3678">
        <v>9.8303999999999991</v>
      </c>
      <c r="I3678">
        <v>28.000000000000004</v>
      </c>
      <c r="J3678" t="s">
        <v>20</v>
      </c>
    </row>
    <row r="3679" spans="1:10" x14ac:dyDescent="0.2">
      <c r="A3679">
        <v>13678</v>
      </c>
      <c r="B3679" t="s">
        <v>10</v>
      </c>
      <c r="C3679" t="s">
        <v>9</v>
      </c>
      <c r="D3679">
        <v>6.7</v>
      </c>
      <c r="E3679">
        <v>4</v>
      </c>
      <c r="F3679" t="s">
        <v>15</v>
      </c>
      <c r="G3679">
        <v>30</v>
      </c>
      <c r="H3679">
        <v>8.7100000000000009</v>
      </c>
      <c r="I3679">
        <v>30.000000000000004</v>
      </c>
      <c r="J3679" t="s">
        <v>20</v>
      </c>
    </row>
    <row r="3680" spans="1:10" x14ac:dyDescent="0.2">
      <c r="A3680">
        <v>13679</v>
      </c>
      <c r="B3680" t="s">
        <v>5</v>
      </c>
      <c r="C3680" t="s">
        <v>6</v>
      </c>
      <c r="D3680">
        <v>14.36</v>
      </c>
      <c r="E3680">
        <v>8</v>
      </c>
      <c r="F3680" t="s">
        <v>16</v>
      </c>
      <c r="G3680">
        <v>55</v>
      </c>
      <c r="H3680">
        <v>22.257999999999999</v>
      </c>
      <c r="I3680">
        <v>55.000000000000007</v>
      </c>
      <c r="J3680" t="s">
        <v>20</v>
      </c>
    </row>
    <row r="3681" spans="1:10" x14ac:dyDescent="0.2">
      <c r="A3681">
        <v>13680</v>
      </c>
      <c r="B3681" t="s">
        <v>8</v>
      </c>
      <c r="C3681" t="s">
        <v>11</v>
      </c>
      <c r="D3681">
        <v>3.61</v>
      </c>
      <c r="E3681">
        <v>2</v>
      </c>
      <c r="F3681" t="s">
        <v>14</v>
      </c>
      <c r="G3681">
        <v>10</v>
      </c>
      <c r="H3681">
        <v>3.9710000000000001</v>
      </c>
      <c r="I3681">
        <v>10.000000000000009</v>
      </c>
      <c r="J3681" t="s">
        <v>20</v>
      </c>
    </row>
    <row r="3682" spans="1:10" x14ac:dyDescent="0.2">
      <c r="A3682">
        <v>13681</v>
      </c>
      <c r="B3682" t="s">
        <v>8</v>
      </c>
      <c r="C3682" t="s">
        <v>6</v>
      </c>
      <c r="D3682">
        <v>7.99</v>
      </c>
      <c r="E3682">
        <v>2</v>
      </c>
      <c r="F3682" t="s">
        <v>14</v>
      </c>
      <c r="G3682">
        <v>12</v>
      </c>
      <c r="H3682">
        <v>8.9488000000000003</v>
      </c>
      <c r="I3682">
        <v>12.000000000000011</v>
      </c>
      <c r="J3682" t="s">
        <v>20</v>
      </c>
    </row>
    <row r="3683" spans="1:10" x14ac:dyDescent="0.2">
      <c r="A3683">
        <v>13682</v>
      </c>
      <c r="B3683" t="s">
        <v>7</v>
      </c>
      <c r="C3683" t="s">
        <v>9</v>
      </c>
      <c r="D3683">
        <v>11.17</v>
      </c>
      <c r="E3683">
        <v>2</v>
      </c>
      <c r="F3683" t="s">
        <v>14</v>
      </c>
      <c r="G3683">
        <v>15</v>
      </c>
      <c r="H3683">
        <v>12.845499999999999</v>
      </c>
      <c r="I3683">
        <v>14.999999999999991</v>
      </c>
      <c r="J3683" t="s">
        <v>20</v>
      </c>
    </row>
    <row r="3684" spans="1:10" x14ac:dyDescent="0.2">
      <c r="A3684">
        <v>13683</v>
      </c>
      <c r="B3684" t="s">
        <v>5</v>
      </c>
      <c r="C3684" t="s">
        <v>11</v>
      </c>
      <c r="D3684">
        <v>8.57</v>
      </c>
      <c r="E3684">
        <v>3</v>
      </c>
      <c r="F3684" t="s">
        <v>14</v>
      </c>
      <c r="G3684">
        <v>10</v>
      </c>
      <c r="H3684">
        <v>9.4270000000000014</v>
      </c>
      <c r="I3684">
        <v>10.000000000000009</v>
      </c>
      <c r="J3684" t="s">
        <v>20</v>
      </c>
    </row>
    <row r="3685" spans="1:10" x14ac:dyDescent="0.2">
      <c r="A3685">
        <v>13684</v>
      </c>
      <c r="B3685" t="s">
        <v>10</v>
      </c>
      <c r="C3685" t="s">
        <v>6</v>
      </c>
      <c r="D3685">
        <v>13.97</v>
      </c>
      <c r="E3685">
        <v>6</v>
      </c>
      <c r="F3685" t="s">
        <v>15</v>
      </c>
      <c r="G3685">
        <v>28</v>
      </c>
      <c r="H3685">
        <v>17.881600000000002</v>
      </c>
      <c r="I3685">
        <v>28.000000000000004</v>
      </c>
      <c r="J3685" t="s">
        <v>20</v>
      </c>
    </row>
    <row r="3686" spans="1:10" x14ac:dyDescent="0.2">
      <c r="A3686">
        <v>13685</v>
      </c>
      <c r="B3686" t="s">
        <v>7</v>
      </c>
      <c r="C3686" t="s">
        <v>11</v>
      </c>
      <c r="D3686">
        <v>5.98</v>
      </c>
      <c r="E3686">
        <v>1</v>
      </c>
      <c r="F3686" t="s">
        <v>14</v>
      </c>
      <c r="G3686">
        <v>10</v>
      </c>
      <c r="H3686">
        <v>6.5780000000000012</v>
      </c>
      <c r="I3686">
        <v>10.000000000000009</v>
      </c>
      <c r="J3686" t="s">
        <v>20</v>
      </c>
    </row>
    <row r="3687" spans="1:10" x14ac:dyDescent="0.2">
      <c r="A3687">
        <v>13686</v>
      </c>
      <c r="B3687" t="s">
        <v>10</v>
      </c>
      <c r="C3687" t="s">
        <v>11</v>
      </c>
      <c r="D3687">
        <v>7.22</v>
      </c>
      <c r="E3687">
        <v>2</v>
      </c>
      <c r="F3687" t="s">
        <v>14</v>
      </c>
      <c r="G3687">
        <v>10</v>
      </c>
      <c r="H3687">
        <v>7.9420000000000002</v>
      </c>
      <c r="I3687">
        <v>10.000000000000009</v>
      </c>
      <c r="J3687" t="s">
        <v>20</v>
      </c>
    </row>
    <row r="3688" spans="1:10" x14ac:dyDescent="0.2">
      <c r="A3688">
        <v>13687</v>
      </c>
      <c r="B3688" t="s">
        <v>8</v>
      </c>
      <c r="C3688" t="s">
        <v>9</v>
      </c>
      <c r="D3688">
        <v>1.78</v>
      </c>
      <c r="E3688">
        <v>10</v>
      </c>
      <c r="F3688" t="s">
        <v>16</v>
      </c>
      <c r="G3688">
        <v>60</v>
      </c>
      <c r="H3688">
        <v>2.8480000000000003</v>
      </c>
      <c r="I3688">
        <v>60.000000000000007</v>
      </c>
      <c r="J3688" t="s">
        <v>20</v>
      </c>
    </row>
    <row r="3689" spans="1:10" x14ac:dyDescent="0.2">
      <c r="A3689">
        <v>13688</v>
      </c>
      <c r="B3689" t="s">
        <v>10</v>
      </c>
      <c r="C3689" t="s">
        <v>11</v>
      </c>
      <c r="D3689">
        <v>9.33</v>
      </c>
      <c r="E3689">
        <v>2</v>
      </c>
      <c r="F3689" t="s">
        <v>14</v>
      </c>
      <c r="G3689">
        <v>10</v>
      </c>
      <c r="H3689">
        <v>10.263000000000002</v>
      </c>
      <c r="I3689">
        <v>10.000000000000009</v>
      </c>
      <c r="J3689" t="s">
        <v>20</v>
      </c>
    </row>
    <row r="3690" spans="1:10" x14ac:dyDescent="0.2">
      <c r="A3690">
        <v>13689</v>
      </c>
      <c r="B3690" t="s">
        <v>10</v>
      </c>
      <c r="C3690" t="s">
        <v>11</v>
      </c>
      <c r="D3690">
        <v>4.68</v>
      </c>
      <c r="E3690">
        <v>1</v>
      </c>
      <c r="F3690" t="s">
        <v>14</v>
      </c>
      <c r="G3690">
        <v>10</v>
      </c>
      <c r="H3690">
        <v>5.1479999999999997</v>
      </c>
      <c r="I3690">
        <v>10.000000000000009</v>
      </c>
      <c r="J3690" t="s">
        <v>20</v>
      </c>
    </row>
    <row r="3691" spans="1:10" x14ac:dyDescent="0.2">
      <c r="A3691">
        <v>13690</v>
      </c>
      <c r="B3691" t="s">
        <v>7</v>
      </c>
      <c r="C3691" t="s">
        <v>9</v>
      </c>
      <c r="D3691">
        <v>2.82</v>
      </c>
      <c r="E3691">
        <v>3</v>
      </c>
      <c r="F3691" t="s">
        <v>14</v>
      </c>
      <c r="G3691">
        <v>15</v>
      </c>
      <c r="H3691">
        <v>3.2429999999999994</v>
      </c>
      <c r="I3691">
        <v>14.999999999999991</v>
      </c>
      <c r="J3691" t="s">
        <v>20</v>
      </c>
    </row>
    <row r="3692" spans="1:10" x14ac:dyDescent="0.2">
      <c r="A3692">
        <v>13691</v>
      </c>
      <c r="B3692" t="s">
        <v>10</v>
      </c>
      <c r="C3692" t="s">
        <v>9</v>
      </c>
      <c r="D3692">
        <v>8.4</v>
      </c>
      <c r="E3692">
        <v>10</v>
      </c>
      <c r="F3692" t="s">
        <v>16</v>
      </c>
      <c r="G3692">
        <v>60</v>
      </c>
      <c r="H3692">
        <v>13.440000000000001</v>
      </c>
      <c r="I3692">
        <v>60.000000000000007</v>
      </c>
      <c r="J3692" t="s">
        <v>20</v>
      </c>
    </row>
    <row r="3693" spans="1:10" x14ac:dyDescent="0.2">
      <c r="A3693">
        <v>13692</v>
      </c>
      <c r="B3693" t="s">
        <v>7</v>
      </c>
      <c r="C3693" t="s">
        <v>9</v>
      </c>
      <c r="D3693">
        <v>8.2200000000000006</v>
      </c>
      <c r="E3693">
        <v>7</v>
      </c>
      <c r="F3693" t="s">
        <v>15</v>
      </c>
      <c r="G3693">
        <v>30</v>
      </c>
      <c r="H3693">
        <v>10.686000000000002</v>
      </c>
      <c r="I3693">
        <v>30.000000000000004</v>
      </c>
      <c r="J3693" t="s">
        <v>20</v>
      </c>
    </row>
    <row r="3694" spans="1:10" x14ac:dyDescent="0.2">
      <c r="A3694">
        <v>13693</v>
      </c>
      <c r="B3694" t="s">
        <v>8</v>
      </c>
      <c r="C3694" t="s">
        <v>11</v>
      </c>
      <c r="D3694">
        <v>1.6</v>
      </c>
      <c r="E3694">
        <v>1</v>
      </c>
      <c r="F3694" t="s">
        <v>14</v>
      </c>
      <c r="G3694">
        <v>10</v>
      </c>
      <c r="H3694">
        <v>1.7600000000000002</v>
      </c>
      <c r="I3694">
        <v>10.000000000000009</v>
      </c>
      <c r="J3694" t="s">
        <v>20</v>
      </c>
    </row>
    <row r="3695" spans="1:10" x14ac:dyDescent="0.2">
      <c r="A3695">
        <v>13694</v>
      </c>
      <c r="B3695" t="s">
        <v>7</v>
      </c>
      <c r="C3695" t="s">
        <v>11</v>
      </c>
      <c r="D3695">
        <v>10.62</v>
      </c>
      <c r="E3695">
        <v>7</v>
      </c>
      <c r="F3695" t="s">
        <v>15</v>
      </c>
      <c r="G3695">
        <v>25</v>
      </c>
      <c r="H3695">
        <v>13.274999999999999</v>
      </c>
      <c r="I3695">
        <v>25</v>
      </c>
      <c r="J3695" t="s">
        <v>20</v>
      </c>
    </row>
    <row r="3696" spans="1:10" x14ac:dyDescent="0.2">
      <c r="A3696">
        <v>13695</v>
      </c>
      <c r="B3696" t="s">
        <v>7</v>
      </c>
      <c r="C3696" t="s">
        <v>11</v>
      </c>
      <c r="D3696">
        <v>9.5399999999999991</v>
      </c>
      <c r="E3696">
        <v>5</v>
      </c>
      <c r="F3696" t="s">
        <v>15</v>
      </c>
      <c r="G3696">
        <v>25</v>
      </c>
      <c r="H3696">
        <v>11.924999999999999</v>
      </c>
      <c r="I3696">
        <v>25</v>
      </c>
      <c r="J3696" t="s">
        <v>20</v>
      </c>
    </row>
    <row r="3697" spans="1:10" x14ac:dyDescent="0.2">
      <c r="A3697">
        <v>13696</v>
      </c>
      <c r="B3697" t="s">
        <v>5</v>
      </c>
      <c r="C3697" t="s">
        <v>9</v>
      </c>
      <c r="D3697">
        <v>3.24</v>
      </c>
      <c r="E3697">
        <v>9</v>
      </c>
      <c r="F3697" t="s">
        <v>16</v>
      </c>
      <c r="G3697">
        <v>60</v>
      </c>
      <c r="H3697">
        <v>5.1840000000000011</v>
      </c>
      <c r="I3697">
        <v>60.000000000000028</v>
      </c>
      <c r="J3697" t="s">
        <v>20</v>
      </c>
    </row>
    <row r="3698" spans="1:10" x14ac:dyDescent="0.2">
      <c r="A3698">
        <v>13697</v>
      </c>
      <c r="B3698" t="s">
        <v>10</v>
      </c>
      <c r="C3698" t="s">
        <v>6</v>
      </c>
      <c r="D3698">
        <v>7.31</v>
      </c>
      <c r="E3698">
        <v>2</v>
      </c>
      <c r="F3698" t="s">
        <v>14</v>
      </c>
      <c r="G3698">
        <v>12</v>
      </c>
      <c r="H3698">
        <v>8.1872000000000007</v>
      </c>
      <c r="I3698">
        <v>12.000000000000011</v>
      </c>
      <c r="J3698" t="s">
        <v>20</v>
      </c>
    </row>
    <row r="3699" spans="1:10" x14ac:dyDescent="0.2">
      <c r="A3699">
        <v>13698</v>
      </c>
      <c r="B3699" t="s">
        <v>8</v>
      </c>
      <c r="C3699" t="s">
        <v>11</v>
      </c>
      <c r="D3699">
        <v>10.94</v>
      </c>
      <c r="E3699">
        <v>1</v>
      </c>
      <c r="F3699" t="s">
        <v>14</v>
      </c>
      <c r="G3699">
        <v>10</v>
      </c>
      <c r="H3699">
        <v>12.034000000000001</v>
      </c>
      <c r="I3699">
        <v>10.000000000000009</v>
      </c>
      <c r="J3699" t="s">
        <v>20</v>
      </c>
    </row>
    <row r="3700" spans="1:10" x14ac:dyDescent="0.2">
      <c r="A3700">
        <v>13699</v>
      </c>
      <c r="B3700" t="s">
        <v>7</v>
      </c>
      <c r="C3700" t="s">
        <v>6</v>
      </c>
      <c r="D3700">
        <v>8.18</v>
      </c>
      <c r="E3700">
        <v>9</v>
      </c>
      <c r="F3700" t="s">
        <v>16</v>
      </c>
      <c r="G3700">
        <v>55</v>
      </c>
      <c r="H3700">
        <v>12.679</v>
      </c>
      <c r="I3700">
        <v>55.000000000000007</v>
      </c>
      <c r="J3700" t="s">
        <v>20</v>
      </c>
    </row>
    <row r="3701" spans="1:10" x14ac:dyDescent="0.2">
      <c r="A3701">
        <v>13700</v>
      </c>
      <c r="B3701" t="s">
        <v>8</v>
      </c>
      <c r="C3701" t="s">
        <v>9</v>
      </c>
      <c r="D3701">
        <v>6.23</v>
      </c>
      <c r="E3701">
        <v>8</v>
      </c>
      <c r="F3701" t="s">
        <v>16</v>
      </c>
      <c r="G3701">
        <v>60</v>
      </c>
      <c r="H3701">
        <v>9.9680000000000017</v>
      </c>
      <c r="I3701">
        <v>60.000000000000007</v>
      </c>
      <c r="J3701" t="s">
        <v>20</v>
      </c>
    </row>
    <row r="3702" spans="1:10" x14ac:dyDescent="0.2">
      <c r="A3702">
        <v>13701</v>
      </c>
      <c r="B3702" t="s">
        <v>5</v>
      </c>
      <c r="C3702" t="s">
        <v>11</v>
      </c>
      <c r="D3702">
        <v>5.17</v>
      </c>
      <c r="E3702">
        <v>10</v>
      </c>
      <c r="F3702" t="s">
        <v>16</v>
      </c>
      <c r="G3702">
        <v>50</v>
      </c>
      <c r="H3702">
        <v>7.7549999999999999</v>
      </c>
      <c r="I3702">
        <v>50</v>
      </c>
      <c r="J3702" t="s">
        <v>20</v>
      </c>
    </row>
    <row r="3703" spans="1:10" x14ac:dyDescent="0.2">
      <c r="A3703">
        <v>13702</v>
      </c>
      <c r="B3703" t="s">
        <v>10</v>
      </c>
      <c r="C3703" t="s">
        <v>6</v>
      </c>
      <c r="D3703">
        <v>9.35</v>
      </c>
      <c r="E3703">
        <v>6</v>
      </c>
      <c r="F3703" t="s">
        <v>15</v>
      </c>
      <c r="G3703">
        <v>28</v>
      </c>
      <c r="H3703">
        <v>11.968</v>
      </c>
      <c r="I3703">
        <v>28.000000000000004</v>
      </c>
      <c r="J3703" t="s">
        <v>20</v>
      </c>
    </row>
    <row r="3704" spans="1:10" x14ac:dyDescent="0.2">
      <c r="A3704">
        <v>13703</v>
      </c>
      <c r="B3704" t="s">
        <v>7</v>
      </c>
      <c r="C3704" t="s">
        <v>11</v>
      </c>
      <c r="D3704">
        <v>14.12</v>
      </c>
      <c r="E3704">
        <v>5</v>
      </c>
      <c r="F3704" t="s">
        <v>15</v>
      </c>
      <c r="G3704">
        <v>25</v>
      </c>
      <c r="H3704">
        <v>17.649999999999999</v>
      </c>
      <c r="I3704">
        <v>25</v>
      </c>
      <c r="J3704" t="s">
        <v>20</v>
      </c>
    </row>
    <row r="3705" spans="1:10" x14ac:dyDescent="0.2">
      <c r="A3705">
        <v>13704</v>
      </c>
      <c r="B3705" t="s">
        <v>10</v>
      </c>
      <c r="C3705" t="s">
        <v>11</v>
      </c>
      <c r="D3705">
        <v>10.24</v>
      </c>
      <c r="E3705">
        <v>8</v>
      </c>
      <c r="F3705" t="s">
        <v>16</v>
      </c>
      <c r="G3705">
        <v>50</v>
      </c>
      <c r="H3705">
        <v>15.36</v>
      </c>
      <c r="I3705">
        <v>50</v>
      </c>
      <c r="J3705" t="s">
        <v>20</v>
      </c>
    </row>
    <row r="3706" spans="1:10" x14ac:dyDescent="0.2">
      <c r="A3706">
        <v>13705</v>
      </c>
      <c r="B3706" t="s">
        <v>5</v>
      </c>
      <c r="C3706" t="s">
        <v>11</v>
      </c>
      <c r="D3706">
        <v>1.58</v>
      </c>
      <c r="E3706">
        <v>8</v>
      </c>
      <c r="F3706" t="s">
        <v>16</v>
      </c>
      <c r="G3706">
        <v>50</v>
      </c>
      <c r="H3706">
        <v>2.37</v>
      </c>
      <c r="I3706">
        <v>50</v>
      </c>
      <c r="J3706" t="s">
        <v>20</v>
      </c>
    </row>
    <row r="3707" spans="1:10" x14ac:dyDescent="0.2">
      <c r="A3707">
        <v>13706</v>
      </c>
      <c r="B3707" t="s">
        <v>5</v>
      </c>
      <c r="C3707" t="s">
        <v>6</v>
      </c>
      <c r="D3707">
        <v>7.18</v>
      </c>
      <c r="E3707">
        <v>5</v>
      </c>
      <c r="F3707" t="s">
        <v>15</v>
      </c>
      <c r="G3707">
        <v>28</v>
      </c>
      <c r="H3707">
        <v>9.1904000000000003</v>
      </c>
      <c r="I3707">
        <v>28.000000000000004</v>
      </c>
      <c r="J3707" t="s">
        <v>20</v>
      </c>
    </row>
    <row r="3708" spans="1:10" x14ac:dyDescent="0.2">
      <c r="A3708">
        <v>13707</v>
      </c>
      <c r="B3708" t="s">
        <v>8</v>
      </c>
      <c r="C3708" t="s">
        <v>9</v>
      </c>
      <c r="D3708">
        <v>13.42</v>
      </c>
      <c r="E3708">
        <v>7</v>
      </c>
      <c r="F3708" t="s">
        <v>15</v>
      </c>
      <c r="G3708">
        <v>30</v>
      </c>
      <c r="H3708">
        <v>17.446000000000002</v>
      </c>
      <c r="I3708">
        <v>30.000000000000004</v>
      </c>
      <c r="J3708" t="s">
        <v>20</v>
      </c>
    </row>
    <row r="3709" spans="1:10" x14ac:dyDescent="0.2">
      <c r="A3709">
        <v>13708</v>
      </c>
      <c r="B3709" t="s">
        <v>7</v>
      </c>
      <c r="C3709" t="s">
        <v>11</v>
      </c>
      <c r="D3709">
        <v>1.87</v>
      </c>
      <c r="E3709">
        <v>1</v>
      </c>
      <c r="F3709" t="s">
        <v>14</v>
      </c>
      <c r="G3709">
        <v>10</v>
      </c>
      <c r="H3709">
        <v>2.0570000000000004</v>
      </c>
      <c r="I3709">
        <v>10.000000000000009</v>
      </c>
      <c r="J3709" t="s">
        <v>20</v>
      </c>
    </row>
    <row r="3710" spans="1:10" x14ac:dyDescent="0.2">
      <c r="A3710">
        <v>13709</v>
      </c>
      <c r="B3710" t="s">
        <v>8</v>
      </c>
      <c r="C3710" t="s">
        <v>9</v>
      </c>
      <c r="D3710">
        <v>14.84</v>
      </c>
      <c r="E3710">
        <v>4</v>
      </c>
      <c r="F3710" t="s">
        <v>15</v>
      </c>
      <c r="G3710">
        <v>30</v>
      </c>
      <c r="H3710">
        <v>19.292000000000002</v>
      </c>
      <c r="I3710">
        <v>30.000000000000004</v>
      </c>
      <c r="J3710" t="s">
        <v>20</v>
      </c>
    </row>
    <row r="3711" spans="1:10" x14ac:dyDescent="0.2">
      <c r="A3711">
        <v>13710</v>
      </c>
      <c r="B3711" t="s">
        <v>5</v>
      </c>
      <c r="C3711" t="s">
        <v>9</v>
      </c>
      <c r="D3711">
        <v>14.26</v>
      </c>
      <c r="E3711">
        <v>2</v>
      </c>
      <c r="F3711" t="s">
        <v>14</v>
      </c>
      <c r="G3711">
        <v>15</v>
      </c>
      <c r="H3711">
        <v>16.398999999999997</v>
      </c>
      <c r="I3711">
        <v>14.999999999999991</v>
      </c>
      <c r="J3711" t="s">
        <v>20</v>
      </c>
    </row>
    <row r="3712" spans="1:10" x14ac:dyDescent="0.2">
      <c r="A3712">
        <v>13711</v>
      </c>
      <c r="B3712" t="s">
        <v>10</v>
      </c>
      <c r="C3712" t="s">
        <v>6</v>
      </c>
      <c r="D3712">
        <v>1.63</v>
      </c>
      <c r="E3712">
        <v>10</v>
      </c>
      <c r="F3712" t="s">
        <v>16</v>
      </c>
      <c r="G3712">
        <v>55</v>
      </c>
      <c r="H3712">
        <v>2.5265</v>
      </c>
      <c r="I3712">
        <v>55.000000000000007</v>
      </c>
      <c r="J3712" t="s">
        <v>20</v>
      </c>
    </row>
    <row r="3713" spans="1:10" x14ac:dyDescent="0.2">
      <c r="A3713">
        <v>13712</v>
      </c>
      <c r="B3713" t="s">
        <v>8</v>
      </c>
      <c r="C3713" t="s">
        <v>6</v>
      </c>
      <c r="D3713">
        <v>14.03</v>
      </c>
      <c r="E3713">
        <v>3</v>
      </c>
      <c r="F3713" t="s">
        <v>14</v>
      </c>
      <c r="G3713">
        <v>12</v>
      </c>
      <c r="H3713">
        <v>15.713600000000001</v>
      </c>
      <c r="I3713">
        <v>12.000000000000011</v>
      </c>
      <c r="J3713" t="s">
        <v>20</v>
      </c>
    </row>
    <row r="3714" spans="1:10" x14ac:dyDescent="0.2">
      <c r="A3714">
        <v>13713</v>
      </c>
      <c r="B3714" t="s">
        <v>8</v>
      </c>
      <c r="C3714" t="s">
        <v>9</v>
      </c>
      <c r="D3714">
        <v>5.77</v>
      </c>
      <c r="E3714">
        <v>1</v>
      </c>
      <c r="F3714" t="s">
        <v>14</v>
      </c>
      <c r="G3714">
        <v>15</v>
      </c>
      <c r="H3714">
        <v>6.6354999999999986</v>
      </c>
      <c r="I3714">
        <v>14.999999999999991</v>
      </c>
      <c r="J3714" t="s">
        <v>20</v>
      </c>
    </row>
    <row r="3715" spans="1:10" x14ac:dyDescent="0.2">
      <c r="A3715">
        <v>13714</v>
      </c>
      <c r="B3715" t="s">
        <v>10</v>
      </c>
      <c r="C3715" t="s">
        <v>11</v>
      </c>
      <c r="D3715">
        <v>12.75</v>
      </c>
      <c r="E3715">
        <v>2</v>
      </c>
      <c r="F3715" t="s">
        <v>14</v>
      </c>
      <c r="G3715">
        <v>10</v>
      </c>
      <c r="H3715">
        <v>14.025</v>
      </c>
      <c r="I3715">
        <v>10.000000000000009</v>
      </c>
      <c r="J3715" t="s">
        <v>20</v>
      </c>
    </row>
    <row r="3716" spans="1:10" x14ac:dyDescent="0.2">
      <c r="A3716">
        <v>13715</v>
      </c>
      <c r="B3716" t="s">
        <v>8</v>
      </c>
      <c r="C3716" t="s">
        <v>6</v>
      </c>
      <c r="D3716">
        <v>6.57</v>
      </c>
      <c r="E3716">
        <v>1</v>
      </c>
      <c r="F3716" t="s">
        <v>14</v>
      </c>
      <c r="G3716">
        <v>12</v>
      </c>
      <c r="H3716">
        <v>7.3584000000000014</v>
      </c>
      <c r="I3716">
        <v>12.000000000000011</v>
      </c>
      <c r="J3716" t="s">
        <v>20</v>
      </c>
    </row>
    <row r="3717" spans="1:10" x14ac:dyDescent="0.2">
      <c r="A3717">
        <v>13716</v>
      </c>
      <c r="B3717" t="s">
        <v>10</v>
      </c>
      <c r="C3717" t="s">
        <v>11</v>
      </c>
      <c r="D3717">
        <v>6.89</v>
      </c>
      <c r="E3717">
        <v>8</v>
      </c>
      <c r="F3717" t="s">
        <v>16</v>
      </c>
      <c r="G3717">
        <v>50</v>
      </c>
      <c r="H3717">
        <v>10.334999999999999</v>
      </c>
      <c r="I3717">
        <v>50</v>
      </c>
      <c r="J3717" t="s">
        <v>20</v>
      </c>
    </row>
    <row r="3718" spans="1:10" x14ac:dyDescent="0.2">
      <c r="A3718">
        <v>13717</v>
      </c>
      <c r="B3718" t="s">
        <v>7</v>
      </c>
      <c r="C3718" t="s">
        <v>11</v>
      </c>
      <c r="D3718">
        <v>9.6999999999999993</v>
      </c>
      <c r="E3718">
        <v>4</v>
      </c>
      <c r="F3718" t="s">
        <v>15</v>
      </c>
      <c r="G3718">
        <v>25</v>
      </c>
      <c r="H3718">
        <v>12.125</v>
      </c>
      <c r="I3718">
        <v>25</v>
      </c>
      <c r="J3718" t="s">
        <v>20</v>
      </c>
    </row>
    <row r="3719" spans="1:10" x14ac:dyDescent="0.2">
      <c r="A3719">
        <v>13718</v>
      </c>
      <c r="B3719" t="s">
        <v>10</v>
      </c>
      <c r="C3719" t="s">
        <v>11</v>
      </c>
      <c r="D3719">
        <v>11.73</v>
      </c>
      <c r="E3719">
        <v>3</v>
      </c>
      <c r="F3719" t="s">
        <v>14</v>
      </c>
      <c r="G3719">
        <v>10</v>
      </c>
      <c r="H3719">
        <v>12.903000000000002</v>
      </c>
      <c r="I3719">
        <v>10.000000000000009</v>
      </c>
      <c r="J3719" t="s">
        <v>20</v>
      </c>
    </row>
    <row r="3720" spans="1:10" x14ac:dyDescent="0.2">
      <c r="A3720">
        <v>13719</v>
      </c>
      <c r="B3720" t="s">
        <v>7</v>
      </c>
      <c r="C3720" t="s">
        <v>9</v>
      </c>
      <c r="D3720">
        <v>0.99</v>
      </c>
      <c r="E3720">
        <v>1</v>
      </c>
      <c r="F3720" t="s">
        <v>14</v>
      </c>
      <c r="G3720">
        <v>15</v>
      </c>
      <c r="H3720">
        <v>1.1384999999999998</v>
      </c>
      <c r="I3720">
        <v>14.999999999999991</v>
      </c>
      <c r="J3720" t="s">
        <v>20</v>
      </c>
    </row>
    <row r="3721" spans="1:10" x14ac:dyDescent="0.2">
      <c r="A3721">
        <v>13720</v>
      </c>
      <c r="B3721" t="s">
        <v>10</v>
      </c>
      <c r="C3721" t="s">
        <v>11</v>
      </c>
      <c r="D3721">
        <v>9.1</v>
      </c>
      <c r="E3721">
        <v>2</v>
      </c>
      <c r="F3721" t="s">
        <v>14</v>
      </c>
      <c r="G3721">
        <v>10</v>
      </c>
      <c r="H3721">
        <v>10.01</v>
      </c>
      <c r="I3721">
        <v>10.000000000000009</v>
      </c>
      <c r="J3721" t="s">
        <v>20</v>
      </c>
    </row>
    <row r="3722" spans="1:10" x14ac:dyDescent="0.2">
      <c r="A3722">
        <v>13721</v>
      </c>
      <c r="B3722" t="s">
        <v>5</v>
      </c>
      <c r="C3722" t="s">
        <v>9</v>
      </c>
      <c r="D3722">
        <v>3.21</v>
      </c>
      <c r="E3722">
        <v>3</v>
      </c>
      <c r="F3722" t="s">
        <v>14</v>
      </c>
      <c r="G3722">
        <v>15</v>
      </c>
      <c r="H3722">
        <v>3.6914999999999996</v>
      </c>
      <c r="I3722">
        <v>14.999999999999991</v>
      </c>
      <c r="J3722" t="s">
        <v>20</v>
      </c>
    </row>
    <row r="3723" spans="1:10" x14ac:dyDescent="0.2">
      <c r="A3723">
        <v>13722</v>
      </c>
      <c r="B3723" t="s">
        <v>5</v>
      </c>
      <c r="C3723" t="s">
        <v>9</v>
      </c>
      <c r="D3723">
        <v>5.52</v>
      </c>
      <c r="E3723">
        <v>3</v>
      </c>
      <c r="F3723" t="s">
        <v>14</v>
      </c>
      <c r="G3723">
        <v>15</v>
      </c>
      <c r="H3723">
        <v>6.347999999999999</v>
      </c>
      <c r="I3723">
        <v>14.999999999999991</v>
      </c>
      <c r="J3723" t="s">
        <v>20</v>
      </c>
    </row>
    <row r="3724" spans="1:10" x14ac:dyDescent="0.2">
      <c r="A3724">
        <v>13723</v>
      </c>
      <c r="B3724" t="s">
        <v>7</v>
      </c>
      <c r="C3724" t="s">
        <v>11</v>
      </c>
      <c r="D3724">
        <v>5.55</v>
      </c>
      <c r="E3724">
        <v>6</v>
      </c>
      <c r="F3724" t="s">
        <v>15</v>
      </c>
      <c r="G3724">
        <v>25</v>
      </c>
      <c r="H3724">
        <v>6.9375</v>
      </c>
      <c r="I3724">
        <v>25</v>
      </c>
      <c r="J3724" t="s">
        <v>20</v>
      </c>
    </row>
    <row r="3725" spans="1:10" x14ac:dyDescent="0.2">
      <c r="A3725">
        <v>13724</v>
      </c>
      <c r="B3725" t="s">
        <v>7</v>
      </c>
      <c r="C3725" t="s">
        <v>11</v>
      </c>
      <c r="D3725">
        <v>7.3</v>
      </c>
      <c r="E3725">
        <v>10</v>
      </c>
      <c r="F3725" t="s">
        <v>16</v>
      </c>
      <c r="G3725">
        <v>50</v>
      </c>
      <c r="H3725">
        <v>10.95</v>
      </c>
      <c r="I3725">
        <v>50</v>
      </c>
      <c r="J3725" t="s">
        <v>20</v>
      </c>
    </row>
    <row r="3726" spans="1:10" x14ac:dyDescent="0.2">
      <c r="A3726">
        <v>13725</v>
      </c>
      <c r="B3726" t="s">
        <v>5</v>
      </c>
      <c r="C3726" t="s">
        <v>11</v>
      </c>
      <c r="D3726">
        <v>5.34</v>
      </c>
      <c r="E3726">
        <v>8</v>
      </c>
      <c r="F3726" t="s">
        <v>16</v>
      </c>
      <c r="G3726">
        <v>50</v>
      </c>
      <c r="H3726">
        <v>8.01</v>
      </c>
      <c r="I3726">
        <v>50</v>
      </c>
      <c r="J3726" t="s">
        <v>20</v>
      </c>
    </row>
    <row r="3727" spans="1:10" x14ac:dyDescent="0.2">
      <c r="A3727">
        <v>13726</v>
      </c>
      <c r="B3727" t="s">
        <v>7</v>
      </c>
      <c r="C3727" t="s">
        <v>11</v>
      </c>
      <c r="D3727">
        <v>2.06</v>
      </c>
      <c r="E3727">
        <v>6</v>
      </c>
      <c r="F3727" t="s">
        <v>15</v>
      </c>
      <c r="G3727">
        <v>25</v>
      </c>
      <c r="H3727">
        <v>2.5750000000000002</v>
      </c>
      <c r="I3727">
        <v>25</v>
      </c>
      <c r="J3727" t="s">
        <v>20</v>
      </c>
    </row>
    <row r="3728" spans="1:10" x14ac:dyDescent="0.2">
      <c r="A3728">
        <v>13727</v>
      </c>
      <c r="B3728" t="s">
        <v>10</v>
      </c>
      <c r="C3728" t="s">
        <v>9</v>
      </c>
      <c r="D3728">
        <v>2.61</v>
      </c>
      <c r="E3728">
        <v>2</v>
      </c>
      <c r="F3728" t="s">
        <v>14</v>
      </c>
      <c r="G3728">
        <v>15</v>
      </c>
      <c r="H3728">
        <v>3.0014999999999996</v>
      </c>
      <c r="I3728">
        <v>14.999999999999991</v>
      </c>
      <c r="J3728" t="s">
        <v>20</v>
      </c>
    </row>
    <row r="3729" spans="1:10" x14ac:dyDescent="0.2">
      <c r="A3729">
        <v>13728</v>
      </c>
      <c r="B3729" t="s">
        <v>10</v>
      </c>
      <c r="C3729" t="s">
        <v>11</v>
      </c>
      <c r="D3729">
        <v>0.98</v>
      </c>
      <c r="E3729">
        <v>2</v>
      </c>
      <c r="F3729" t="s">
        <v>14</v>
      </c>
      <c r="G3729">
        <v>10</v>
      </c>
      <c r="H3729">
        <v>1.0780000000000001</v>
      </c>
      <c r="I3729">
        <v>10.000000000000009</v>
      </c>
      <c r="J3729" t="s">
        <v>20</v>
      </c>
    </row>
    <row r="3730" spans="1:10" x14ac:dyDescent="0.2">
      <c r="A3730">
        <v>13729</v>
      </c>
      <c r="B3730" t="s">
        <v>5</v>
      </c>
      <c r="C3730" t="s">
        <v>11</v>
      </c>
      <c r="D3730">
        <v>7.32</v>
      </c>
      <c r="E3730">
        <v>7</v>
      </c>
      <c r="F3730" t="s">
        <v>15</v>
      </c>
      <c r="G3730">
        <v>25</v>
      </c>
      <c r="H3730">
        <v>9.15</v>
      </c>
      <c r="I3730">
        <v>25</v>
      </c>
      <c r="J3730" t="s">
        <v>20</v>
      </c>
    </row>
    <row r="3731" spans="1:10" x14ac:dyDescent="0.2">
      <c r="A3731">
        <v>13730</v>
      </c>
      <c r="B3731" t="s">
        <v>8</v>
      </c>
      <c r="C3731" t="s">
        <v>9</v>
      </c>
      <c r="D3731">
        <v>14.34</v>
      </c>
      <c r="E3731">
        <v>1</v>
      </c>
      <c r="F3731" t="s">
        <v>14</v>
      </c>
      <c r="G3731">
        <v>15</v>
      </c>
      <c r="H3731">
        <v>16.491</v>
      </c>
      <c r="I3731">
        <v>14.999999999999991</v>
      </c>
      <c r="J3731" t="s">
        <v>20</v>
      </c>
    </row>
    <row r="3732" spans="1:10" x14ac:dyDescent="0.2">
      <c r="A3732">
        <v>13731</v>
      </c>
      <c r="B3732" t="s">
        <v>10</v>
      </c>
      <c r="C3732" t="s">
        <v>6</v>
      </c>
      <c r="D3732">
        <v>2.1800000000000002</v>
      </c>
      <c r="E3732">
        <v>1</v>
      </c>
      <c r="F3732" t="s">
        <v>14</v>
      </c>
      <c r="G3732">
        <v>12</v>
      </c>
      <c r="H3732">
        <v>2.4416000000000002</v>
      </c>
      <c r="I3732">
        <v>12.000000000000011</v>
      </c>
      <c r="J3732" t="s">
        <v>20</v>
      </c>
    </row>
    <row r="3733" spans="1:10" x14ac:dyDescent="0.2">
      <c r="A3733">
        <v>13732</v>
      </c>
      <c r="B3733" t="s">
        <v>7</v>
      </c>
      <c r="C3733" t="s">
        <v>6</v>
      </c>
      <c r="D3733">
        <v>14.22</v>
      </c>
      <c r="E3733">
        <v>7</v>
      </c>
      <c r="F3733" t="s">
        <v>15</v>
      </c>
      <c r="G3733">
        <v>28</v>
      </c>
      <c r="H3733">
        <v>18.201600000000003</v>
      </c>
      <c r="I3733">
        <v>28.000000000000004</v>
      </c>
      <c r="J3733" t="s">
        <v>20</v>
      </c>
    </row>
    <row r="3734" spans="1:10" x14ac:dyDescent="0.2">
      <c r="A3734">
        <v>13733</v>
      </c>
      <c r="B3734" t="s">
        <v>8</v>
      </c>
      <c r="C3734" t="s">
        <v>9</v>
      </c>
      <c r="D3734">
        <v>11.13</v>
      </c>
      <c r="E3734">
        <v>9</v>
      </c>
      <c r="F3734" t="s">
        <v>16</v>
      </c>
      <c r="G3734">
        <v>60</v>
      </c>
      <c r="H3734">
        <v>17.808000000000003</v>
      </c>
      <c r="I3734">
        <v>60.000000000000007</v>
      </c>
      <c r="J3734" t="s">
        <v>20</v>
      </c>
    </row>
    <row r="3735" spans="1:10" x14ac:dyDescent="0.2">
      <c r="A3735">
        <v>13734</v>
      </c>
      <c r="B3735" t="s">
        <v>8</v>
      </c>
      <c r="C3735" t="s">
        <v>6</v>
      </c>
      <c r="D3735">
        <v>9.74</v>
      </c>
      <c r="E3735">
        <v>5</v>
      </c>
      <c r="F3735" t="s">
        <v>15</v>
      </c>
      <c r="G3735">
        <v>28</v>
      </c>
      <c r="H3735">
        <v>12.4672</v>
      </c>
      <c r="I3735">
        <v>28.000000000000004</v>
      </c>
      <c r="J3735" t="s">
        <v>20</v>
      </c>
    </row>
    <row r="3736" spans="1:10" x14ac:dyDescent="0.2">
      <c r="A3736">
        <v>13735</v>
      </c>
      <c r="B3736" t="s">
        <v>10</v>
      </c>
      <c r="C3736" t="s">
        <v>9</v>
      </c>
      <c r="D3736">
        <v>9.86</v>
      </c>
      <c r="E3736">
        <v>1</v>
      </c>
      <c r="F3736" t="s">
        <v>14</v>
      </c>
      <c r="G3736">
        <v>15</v>
      </c>
      <c r="H3736">
        <v>11.338999999999999</v>
      </c>
      <c r="I3736">
        <v>14.999999999999991</v>
      </c>
      <c r="J3736" t="s">
        <v>20</v>
      </c>
    </row>
    <row r="3737" spans="1:10" x14ac:dyDescent="0.2">
      <c r="A3737">
        <v>13736</v>
      </c>
      <c r="B3737" t="s">
        <v>10</v>
      </c>
      <c r="C3737" t="s">
        <v>11</v>
      </c>
      <c r="D3737">
        <v>12.49</v>
      </c>
      <c r="E3737">
        <v>5</v>
      </c>
      <c r="F3737" t="s">
        <v>15</v>
      </c>
      <c r="G3737">
        <v>25</v>
      </c>
      <c r="H3737">
        <v>15.612500000000001</v>
      </c>
      <c r="I3737">
        <v>25</v>
      </c>
      <c r="J3737" t="s">
        <v>20</v>
      </c>
    </row>
    <row r="3738" spans="1:10" x14ac:dyDescent="0.2">
      <c r="A3738">
        <v>13737</v>
      </c>
      <c r="B3738" t="s">
        <v>8</v>
      </c>
      <c r="C3738" t="s">
        <v>11</v>
      </c>
      <c r="D3738">
        <v>2.0499999999999998</v>
      </c>
      <c r="E3738">
        <v>1</v>
      </c>
      <c r="F3738" t="s">
        <v>14</v>
      </c>
      <c r="G3738">
        <v>10</v>
      </c>
      <c r="H3738">
        <v>2.2549999999999999</v>
      </c>
      <c r="I3738">
        <v>10.000000000000009</v>
      </c>
      <c r="J3738" t="s">
        <v>20</v>
      </c>
    </row>
    <row r="3739" spans="1:10" x14ac:dyDescent="0.2">
      <c r="A3739">
        <v>13738</v>
      </c>
      <c r="B3739" t="s">
        <v>8</v>
      </c>
      <c r="C3739" t="s">
        <v>6</v>
      </c>
      <c r="D3739">
        <v>7.82</v>
      </c>
      <c r="E3739">
        <v>10</v>
      </c>
      <c r="F3739" t="s">
        <v>16</v>
      </c>
      <c r="G3739">
        <v>55</v>
      </c>
      <c r="H3739">
        <v>12.121</v>
      </c>
      <c r="I3739">
        <v>55.000000000000007</v>
      </c>
      <c r="J3739" t="s">
        <v>20</v>
      </c>
    </row>
    <row r="3740" spans="1:10" x14ac:dyDescent="0.2">
      <c r="A3740">
        <v>13739</v>
      </c>
      <c r="B3740" t="s">
        <v>5</v>
      </c>
      <c r="C3740" t="s">
        <v>11</v>
      </c>
      <c r="D3740">
        <v>10.61</v>
      </c>
      <c r="E3740">
        <v>9</v>
      </c>
      <c r="F3740" t="s">
        <v>16</v>
      </c>
      <c r="G3740">
        <v>50</v>
      </c>
      <c r="H3740">
        <v>15.914999999999999</v>
      </c>
      <c r="I3740">
        <v>50</v>
      </c>
      <c r="J3740" t="s">
        <v>20</v>
      </c>
    </row>
    <row r="3741" spans="1:10" x14ac:dyDescent="0.2">
      <c r="A3741">
        <v>13740</v>
      </c>
      <c r="B3741" t="s">
        <v>7</v>
      </c>
      <c r="C3741" t="s">
        <v>6</v>
      </c>
      <c r="D3741">
        <v>9.01</v>
      </c>
      <c r="E3741">
        <v>4</v>
      </c>
      <c r="F3741" t="s">
        <v>15</v>
      </c>
      <c r="G3741">
        <v>28</v>
      </c>
      <c r="H3741">
        <v>11.5328</v>
      </c>
      <c r="I3741">
        <v>28.000000000000004</v>
      </c>
      <c r="J3741" t="s">
        <v>20</v>
      </c>
    </row>
    <row r="3742" spans="1:10" x14ac:dyDescent="0.2">
      <c r="A3742">
        <v>13741</v>
      </c>
      <c r="B3742" t="s">
        <v>5</v>
      </c>
      <c r="C3742" t="s">
        <v>6</v>
      </c>
      <c r="D3742">
        <v>12.58</v>
      </c>
      <c r="E3742">
        <v>9</v>
      </c>
      <c r="F3742" t="s">
        <v>16</v>
      </c>
      <c r="G3742">
        <v>55</v>
      </c>
      <c r="H3742">
        <v>19.499000000000002</v>
      </c>
      <c r="I3742">
        <v>55.000000000000028</v>
      </c>
      <c r="J3742" t="s">
        <v>20</v>
      </c>
    </row>
    <row r="3743" spans="1:10" x14ac:dyDescent="0.2">
      <c r="A3743">
        <v>13742</v>
      </c>
      <c r="B3743" t="s">
        <v>10</v>
      </c>
      <c r="C3743" t="s">
        <v>11</v>
      </c>
      <c r="D3743">
        <v>1.55</v>
      </c>
      <c r="E3743">
        <v>2</v>
      </c>
      <c r="F3743" t="s">
        <v>14</v>
      </c>
      <c r="G3743">
        <v>10</v>
      </c>
      <c r="H3743">
        <v>1.7050000000000003</v>
      </c>
      <c r="I3743">
        <v>10.000000000000009</v>
      </c>
      <c r="J3743" t="s">
        <v>20</v>
      </c>
    </row>
    <row r="3744" spans="1:10" x14ac:dyDescent="0.2">
      <c r="A3744">
        <v>13743</v>
      </c>
      <c r="B3744" t="s">
        <v>5</v>
      </c>
      <c r="C3744" t="s">
        <v>11</v>
      </c>
      <c r="D3744">
        <v>10.52</v>
      </c>
      <c r="E3744">
        <v>7</v>
      </c>
      <c r="F3744" t="s">
        <v>15</v>
      </c>
      <c r="G3744">
        <v>25</v>
      </c>
      <c r="H3744">
        <v>13.149999999999999</v>
      </c>
      <c r="I3744">
        <v>25</v>
      </c>
      <c r="J3744" t="s">
        <v>20</v>
      </c>
    </row>
    <row r="3745" spans="1:10" x14ac:dyDescent="0.2">
      <c r="A3745">
        <v>13744</v>
      </c>
      <c r="B3745" t="s">
        <v>5</v>
      </c>
      <c r="C3745" t="s">
        <v>6</v>
      </c>
      <c r="D3745">
        <v>8.24</v>
      </c>
      <c r="E3745">
        <v>2</v>
      </c>
      <c r="F3745" t="s">
        <v>14</v>
      </c>
      <c r="G3745">
        <v>12</v>
      </c>
      <c r="H3745">
        <v>9.2288000000000014</v>
      </c>
      <c r="I3745">
        <v>12.000000000000011</v>
      </c>
      <c r="J3745" t="s">
        <v>20</v>
      </c>
    </row>
    <row r="3746" spans="1:10" x14ac:dyDescent="0.2">
      <c r="A3746">
        <v>13745</v>
      </c>
      <c r="B3746" t="s">
        <v>5</v>
      </c>
      <c r="C3746" t="s">
        <v>11</v>
      </c>
      <c r="D3746">
        <v>6</v>
      </c>
      <c r="E3746">
        <v>4</v>
      </c>
      <c r="F3746" t="s">
        <v>15</v>
      </c>
      <c r="G3746">
        <v>25</v>
      </c>
      <c r="H3746">
        <v>7.5</v>
      </c>
      <c r="I3746">
        <v>25</v>
      </c>
      <c r="J3746" t="s">
        <v>20</v>
      </c>
    </row>
    <row r="3747" spans="1:10" x14ac:dyDescent="0.2">
      <c r="A3747">
        <v>13746</v>
      </c>
      <c r="B3747" t="s">
        <v>5</v>
      </c>
      <c r="C3747" t="s">
        <v>9</v>
      </c>
      <c r="D3747">
        <v>5.43</v>
      </c>
      <c r="E3747">
        <v>6</v>
      </c>
      <c r="F3747" t="s">
        <v>15</v>
      </c>
      <c r="G3747">
        <v>30</v>
      </c>
      <c r="H3747">
        <v>7.0590000000000002</v>
      </c>
      <c r="I3747">
        <v>30.000000000000004</v>
      </c>
      <c r="J3747" t="s">
        <v>20</v>
      </c>
    </row>
    <row r="3748" spans="1:10" x14ac:dyDescent="0.2">
      <c r="A3748">
        <v>13747</v>
      </c>
      <c r="B3748" t="s">
        <v>7</v>
      </c>
      <c r="C3748" t="s">
        <v>11</v>
      </c>
      <c r="D3748">
        <v>9.5</v>
      </c>
      <c r="E3748">
        <v>2</v>
      </c>
      <c r="F3748" t="s">
        <v>14</v>
      </c>
      <c r="G3748">
        <v>10</v>
      </c>
      <c r="H3748">
        <v>10.450000000000001</v>
      </c>
      <c r="I3748">
        <v>10.000000000000009</v>
      </c>
      <c r="J3748" t="s">
        <v>20</v>
      </c>
    </row>
    <row r="3749" spans="1:10" x14ac:dyDescent="0.2">
      <c r="A3749">
        <v>13748</v>
      </c>
      <c r="B3749" t="s">
        <v>7</v>
      </c>
      <c r="C3749" t="s">
        <v>11</v>
      </c>
      <c r="D3749">
        <v>13.42</v>
      </c>
      <c r="E3749">
        <v>2</v>
      </c>
      <c r="F3749" t="s">
        <v>14</v>
      </c>
      <c r="G3749">
        <v>10</v>
      </c>
      <c r="H3749">
        <v>14.762</v>
      </c>
      <c r="I3749">
        <v>10.000000000000009</v>
      </c>
      <c r="J3749" t="s">
        <v>20</v>
      </c>
    </row>
    <row r="3750" spans="1:10" x14ac:dyDescent="0.2">
      <c r="A3750">
        <v>13749</v>
      </c>
      <c r="B3750" t="s">
        <v>8</v>
      </c>
      <c r="C3750" t="s">
        <v>9</v>
      </c>
      <c r="D3750">
        <v>7.69</v>
      </c>
      <c r="E3750">
        <v>2</v>
      </c>
      <c r="F3750" t="s">
        <v>14</v>
      </c>
      <c r="G3750">
        <v>15</v>
      </c>
      <c r="H3750">
        <v>8.8435000000000006</v>
      </c>
      <c r="I3750">
        <v>14.999999999999991</v>
      </c>
      <c r="J3750" t="s">
        <v>20</v>
      </c>
    </row>
    <row r="3751" spans="1:10" x14ac:dyDescent="0.2">
      <c r="A3751">
        <v>13750</v>
      </c>
      <c r="B3751" t="s">
        <v>10</v>
      </c>
      <c r="C3751" t="s">
        <v>11</v>
      </c>
      <c r="D3751">
        <v>12.46</v>
      </c>
      <c r="E3751">
        <v>3</v>
      </c>
      <c r="F3751" t="s">
        <v>14</v>
      </c>
      <c r="G3751">
        <v>10</v>
      </c>
      <c r="H3751">
        <v>13.706000000000001</v>
      </c>
      <c r="I3751">
        <v>10.000000000000009</v>
      </c>
      <c r="J3751" t="s">
        <v>20</v>
      </c>
    </row>
    <row r="3752" spans="1:10" x14ac:dyDescent="0.2">
      <c r="A3752">
        <v>13751</v>
      </c>
      <c r="B3752" t="s">
        <v>5</v>
      </c>
      <c r="C3752" t="s">
        <v>11</v>
      </c>
      <c r="D3752">
        <v>6.33</v>
      </c>
      <c r="E3752">
        <v>5</v>
      </c>
      <c r="F3752" t="s">
        <v>15</v>
      </c>
      <c r="G3752">
        <v>25</v>
      </c>
      <c r="H3752">
        <v>7.9124999999999996</v>
      </c>
      <c r="I3752">
        <v>25</v>
      </c>
      <c r="J3752" t="s">
        <v>20</v>
      </c>
    </row>
    <row r="3753" spans="1:10" x14ac:dyDescent="0.2">
      <c r="A3753">
        <v>13752</v>
      </c>
      <c r="B3753" t="s">
        <v>8</v>
      </c>
      <c r="C3753" t="s">
        <v>6</v>
      </c>
      <c r="D3753">
        <v>1.98</v>
      </c>
      <c r="E3753">
        <v>9</v>
      </c>
      <c r="F3753" t="s">
        <v>16</v>
      </c>
      <c r="G3753">
        <v>55</v>
      </c>
      <c r="H3753">
        <v>3.069</v>
      </c>
      <c r="I3753">
        <v>55.000000000000007</v>
      </c>
      <c r="J3753" t="s">
        <v>20</v>
      </c>
    </row>
    <row r="3754" spans="1:10" x14ac:dyDescent="0.2">
      <c r="A3754">
        <v>13753</v>
      </c>
      <c r="B3754" t="s">
        <v>8</v>
      </c>
      <c r="C3754" t="s">
        <v>11</v>
      </c>
      <c r="D3754">
        <v>1.39</v>
      </c>
      <c r="E3754">
        <v>6</v>
      </c>
      <c r="F3754" t="s">
        <v>15</v>
      </c>
      <c r="G3754">
        <v>25</v>
      </c>
      <c r="H3754">
        <v>1.7374999999999998</v>
      </c>
      <c r="I3754">
        <v>25</v>
      </c>
      <c r="J3754" t="s">
        <v>20</v>
      </c>
    </row>
    <row r="3755" spans="1:10" x14ac:dyDescent="0.2">
      <c r="A3755">
        <v>13754</v>
      </c>
      <c r="B3755" t="s">
        <v>8</v>
      </c>
      <c r="C3755" t="s">
        <v>11</v>
      </c>
      <c r="D3755">
        <v>1.24</v>
      </c>
      <c r="E3755">
        <v>9</v>
      </c>
      <c r="F3755" t="s">
        <v>16</v>
      </c>
      <c r="G3755">
        <v>50</v>
      </c>
      <c r="H3755">
        <v>1.8599999999999999</v>
      </c>
      <c r="I3755">
        <v>50</v>
      </c>
      <c r="J3755" t="s">
        <v>20</v>
      </c>
    </row>
    <row r="3756" spans="1:10" x14ac:dyDescent="0.2">
      <c r="A3756">
        <v>13755</v>
      </c>
      <c r="B3756" t="s">
        <v>7</v>
      </c>
      <c r="C3756" t="s">
        <v>9</v>
      </c>
      <c r="D3756">
        <v>6.01</v>
      </c>
      <c r="E3756">
        <v>10</v>
      </c>
      <c r="F3756" t="s">
        <v>16</v>
      </c>
      <c r="G3756">
        <v>60</v>
      </c>
      <c r="H3756">
        <v>9.6159999999999997</v>
      </c>
      <c r="I3756">
        <v>60.000000000000007</v>
      </c>
      <c r="J3756" t="s">
        <v>20</v>
      </c>
    </row>
    <row r="3757" spans="1:10" x14ac:dyDescent="0.2">
      <c r="A3757">
        <v>13756</v>
      </c>
      <c r="B3757" t="s">
        <v>5</v>
      </c>
      <c r="C3757" t="s">
        <v>6</v>
      </c>
      <c r="D3757">
        <v>5.39</v>
      </c>
      <c r="E3757">
        <v>5</v>
      </c>
      <c r="F3757" t="s">
        <v>15</v>
      </c>
      <c r="G3757">
        <v>28</v>
      </c>
      <c r="H3757">
        <v>6.8991999999999996</v>
      </c>
      <c r="I3757">
        <v>28.000000000000004</v>
      </c>
      <c r="J3757" t="s">
        <v>20</v>
      </c>
    </row>
    <row r="3758" spans="1:10" x14ac:dyDescent="0.2">
      <c r="A3758">
        <v>13757</v>
      </c>
      <c r="B3758" t="s">
        <v>5</v>
      </c>
      <c r="C3758" t="s">
        <v>6</v>
      </c>
      <c r="D3758">
        <v>10.91</v>
      </c>
      <c r="E3758">
        <v>6</v>
      </c>
      <c r="F3758" t="s">
        <v>15</v>
      </c>
      <c r="G3758">
        <v>28</v>
      </c>
      <c r="H3758">
        <v>13.9648</v>
      </c>
      <c r="I3758">
        <v>28.000000000000004</v>
      </c>
      <c r="J3758" t="s">
        <v>20</v>
      </c>
    </row>
    <row r="3759" spans="1:10" x14ac:dyDescent="0.2">
      <c r="A3759">
        <v>13758</v>
      </c>
      <c r="B3759" t="s">
        <v>10</v>
      </c>
      <c r="C3759" t="s">
        <v>6</v>
      </c>
      <c r="D3759">
        <v>11.27</v>
      </c>
      <c r="E3759">
        <v>10</v>
      </c>
      <c r="F3759" t="s">
        <v>16</v>
      </c>
      <c r="G3759">
        <v>55</v>
      </c>
      <c r="H3759">
        <v>17.468499999999999</v>
      </c>
      <c r="I3759">
        <v>55.000000000000007</v>
      </c>
      <c r="J3759" t="s">
        <v>20</v>
      </c>
    </row>
    <row r="3760" spans="1:10" x14ac:dyDescent="0.2">
      <c r="A3760">
        <v>13759</v>
      </c>
      <c r="B3760" t="s">
        <v>5</v>
      </c>
      <c r="C3760" t="s">
        <v>11</v>
      </c>
      <c r="D3760">
        <v>1.24</v>
      </c>
      <c r="E3760">
        <v>8</v>
      </c>
      <c r="F3760" t="s">
        <v>16</v>
      </c>
      <c r="G3760">
        <v>50</v>
      </c>
      <c r="H3760">
        <v>1.8599999999999999</v>
      </c>
      <c r="I3760">
        <v>50</v>
      </c>
      <c r="J3760" t="s">
        <v>20</v>
      </c>
    </row>
    <row r="3761" spans="1:10" x14ac:dyDescent="0.2">
      <c r="A3761">
        <v>13760</v>
      </c>
      <c r="B3761" t="s">
        <v>5</v>
      </c>
      <c r="C3761" t="s">
        <v>6</v>
      </c>
      <c r="D3761">
        <v>3.71</v>
      </c>
      <c r="E3761">
        <v>3</v>
      </c>
      <c r="F3761" t="s">
        <v>14</v>
      </c>
      <c r="G3761">
        <v>12</v>
      </c>
      <c r="H3761">
        <v>4.1552000000000007</v>
      </c>
      <c r="I3761">
        <v>12.000000000000011</v>
      </c>
      <c r="J3761" t="s">
        <v>20</v>
      </c>
    </row>
    <row r="3762" spans="1:10" x14ac:dyDescent="0.2">
      <c r="A3762">
        <v>13761</v>
      </c>
      <c r="B3762" t="s">
        <v>8</v>
      </c>
      <c r="C3762" t="s">
        <v>9</v>
      </c>
      <c r="D3762">
        <v>4.4800000000000004</v>
      </c>
      <c r="E3762">
        <v>2</v>
      </c>
      <c r="F3762" t="s">
        <v>14</v>
      </c>
      <c r="G3762">
        <v>15</v>
      </c>
      <c r="H3762">
        <v>5.1520000000000001</v>
      </c>
      <c r="I3762">
        <v>14.999999999999991</v>
      </c>
      <c r="J3762" t="s">
        <v>20</v>
      </c>
    </row>
    <row r="3763" spans="1:10" x14ac:dyDescent="0.2">
      <c r="A3763">
        <v>13762</v>
      </c>
      <c r="B3763" t="s">
        <v>10</v>
      </c>
      <c r="C3763" t="s">
        <v>6</v>
      </c>
      <c r="D3763">
        <v>8.44</v>
      </c>
      <c r="E3763">
        <v>3</v>
      </c>
      <c r="F3763" t="s">
        <v>14</v>
      </c>
      <c r="G3763">
        <v>12</v>
      </c>
      <c r="H3763">
        <v>9.4527999999999999</v>
      </c>
      <c r="I3763">
        <v>12.000000000000011</v>
      </c>
      <c r="J3763" t="s">
        <v>20</v>
      </c>
    </row>
    <row r="3764" spans="1:10" x14ac:dyDescent="0.2">
      <c r="A3764">
        <v>13763</v>
      </c>
      <c r="B3764" t="s">
        <v>5</v>
      </c>
      <c r="C3764" t="s">
        <v>9</v>
      </c>
      <c r="D3764">
        <v>2.6</v>
      </c>
      <c r="E3764">
        <v>9</v>
      </c>
      <c r="F3764" t="s">
        <v>16</v>
      </c>
      <c r="G3764">
        <v>60</v>
      </c>
      <c r="H3764">
        <v>4.16</v>
      </c>
      <c r="I3764">
        <v>60.000000000000007</v>
      </c>
      <c r="J3764" t="s">
        <v>20</v>
      </c>
    </row>
    <row r="3765" spans="1:10" x14ac:dyDescent="0.2">
      <c r="A3765">
        <v>13764</v>
      </c>
      <c r="B3765" t="s">
        <v>7</v>
      </c>
      <c r="C3765" t="s">
        <v>6</v>
      </c>
      <c r="D3765">
        <v>2.44</v>
      </c>
      <c r="E3765">
        <v>6</v>
      </c>
      <c r="F3765" t="s">
        <v>15</v>
      </c>
      <c r="G3765">
        <v>28</v>
      </c>
      <c r="H3765">
        <v>3.1232000000000002</v>
      </c>
      <c r="I3765">
        <v>28.000000000000004</v>
      </c>
      <c r="J3765" t="s">
        <v>20</v>
      </c>
    </row>
    <row r="3766" spans="1:10" x14ac:dyDescent="0.2">
      <c r="A3766">
        <v>13765</v>
      </c>
      <c r="B3766" t="s">
        <v>5</v>
      </c>
      <c r="C3766" t="s">
        <v>6</v>
      </c>
      <c r="D3766">
        <v>14.18</v>
      </c>
      <c r="E3766">
        <v>10</v>
      </c>
      <c r="F3766" t="s">
        <v>16</v>
      </c>
      <c r="G3766">
        <v>55</v>
      </c>
      <c r="H3766">
        <v>21.978999999999999</v>
      </c>
      <c r="I3766">
        <v>55.000000000000007</v>
      </c>
      <c r="J3766" t="s">
        <v>20</v>
      </c>
    </row>
    <row r="3767" spans="1:10" x14ac:dyDescent="0.2">
      <c r="A3767">
        <v>13766</v>
      </c>
      <c r="B3767" t="s">
        <v>8</v>
      </c>
      <c r="C3767" t="s">
        <v>9</v>
      </c>
      <c r="D3767">
        <v>12.16</v>
      </c>
      <c r="E3767">
        <v>4</v>
      </c>
      <c r="F3767" t="s">
        <v>15</v>
      </c>
      <c r="G3767">
        <v>30</v>
      </c>
      <c r="H3767">
        <v>15.808000000000002</v>
      </c>
      <c r="I3767">
        <v>30.000000000000004</v>
      </c>
      <c r="J3767" t="s">
        <v>20</v>
      </c>
    </row>
    <row r="3768" spans="1:10" x14ac:dyDescent="0.2">
      <c r="A3768">
        <v>13767</v>
      </c>
      <c r="B3768" t="s">
        <v>7</v>
      </c>
      <c r="C3768" t="s">
        <v>6</v>
      </c>
      <c r="D3768">
        <v>3.12</v>
      </c>
      <c r="E3768">
        <v>10</v>
      </c>
      <c r="F3768" t="s">
        <v>16</v>
      </c>
      <c r="G3768">
        <v>55</v>
      </c>
      <c r="H3768">
        <v>4.8360000000000003</v>
      </c>
      <c r="I3768">
        <v>55.000000000000007</v>
      </c>
      <c r="J3768" t="s">
        <v>20</v>
      </c>
    </row>
    <row r="3769" spans="1:10" x14ac:dyDescent="0.2">
      <c r="A3769">
        <v>13768</v>
      </c>
      <c r="B3769" t="s">
        <v>8</v>
      </c>
      <c r="C3769" t="s">
        <v>6</v>
      </c>
      <c r="D3769">
        <v>6.4</v>
      </c>
      <c r="E3769">
        <v>3</v>
      </c>
      <c r="F3769" t="s">
        <v>14</v>
      </c>
      <c r="G3769">
        <v>12</v>
      </c>
      <c r="H3769">
        <v>7.168000000000001</v>
      </c>
      <c r="I3769">
        <v>12.000000000000011</v>
      </c>
      <c r="J3769" t="s">
        <v>20</v>
      </c>
    </row>
    <row r="3770" spans="1:10" x14ac:dyDescent="0.2">
      <c r="A3770">
        <v>13769</v>
      </c>
      <c r="B3770" t="s">
        <v>5</v>
      </c>
      <c r="C3770" t="s">
        <v>6</v>
      </c>
      <c r="D3770">
        <v>5.66</v>
      </c>
      <c r="E3770">
        <v>2</v>
      </c>
      <c r="F3770" t="s">
        <v>14</v>
      </c>
      <c r="G3770">
        <v>12</v>
      </c>
      <c r="H3770">
        <v>6.3392000000000008</v>
      </c>
      <c r="I3770">
        <v>12.000000000000011</v>
      </c>
      <c r="J3770" t="s">
        <v>20</v>
      </c>
    </row>
    <row r="3771" spans="1:10" x14ac:dyDescent="0.2">
      <c r="A3771">
        <v>13770</v>
      </c>
      <c r="B3771" t="s">
        <v>7</v>
      </c>
      <c r="C3771" t="s">
        <v>11</v>
      </c>
      <c r="D3771">
        <v>11.97</v>
      </c>
      <c r="E3771">
        <v>4</v>
      </c>
      <c r="F3771" t="s">
        <v>15</v>
      </c>
      <c r="G3771">
        <v>25</v>
      </c>
      <c r="H3771">
        <v>14.9625</v>
      </c>
      <c r="I3771">
        <v>25</v>
      </c>
      <c r="J3771" t="s">
        <v>20</v>
      </c>
    </row>
    <row r="3772" spans="1:10" x14ac:dyDescent="0.2">
      <c r="A3772">
        <v>13771</v>
      </c>
      <c r="B3772" t="s">
        <v>10</v>
      </c>
      <c r="C3772" t="s">
        <v>9</v>
      </c>
      <c r="D3772">
        <v>7.9</v>
      </c>
      <c r="E3772">
        <v>9</v>
      </c>
      <c r="F3772" t="s">
        <v>16</v>
      </c>
      <c r="G3772">
        <v>60</v>
      </c>
      <c r="H3772">
        <v>12.64</v>
      </c>
      <c r="I3772">
        <v>60.000000000000007</v>
      </c>
      <c r="J3772" t="s">
        <v>20</v>
      </c>
    </row>
    <row r="3773" spans="1:10" x14ac:dyDescent="0.2">
      <c r="A3773">
        <v>13772</v>
      </c>
      <c r="B3773" t="s">
        <v>10</v>
      </c>
      <c r="C3773" t="s">
        <v>6</v>
      </c>
      <c r="D3773">
        <v>2.35</v>
      </c>
      <c r="E3773">
        <v>4</v>
      </c>
      <c r="F3773" t="s">
        <v>15</v>
      </c>
      <c r="G3773">
        <v>28</v>
      </c>
      <c r="H3773">
        <v>3.008</v>
      </c>
      <c r="I3773">
        <v>28.000000000000004</v>
      </c>
      <c r="J3773" t="s">
        <v>20</v>
      </c>
    </row>
    <row r="3774" spans="1:10" x14ac:dyDescent="0.2">
      <c r="A3774">
        <v>13773</v>
      </c>
      <c r="B3774" t="s">
        <v>7</v>
      </c>
      <c r="C3774" t="s">
        <v>9</v>
      </c>
      <c r="D3774">
        <v>11.22</v>
      </c>
      <c r="E3774">
        <v>5</v>
      </c>
      <c r="F3774" t="s">
        <v>15</v>
      </c>
      <c r="G3774">
        <v>30</v>
      </c>
      <c r="H3774">
        <v>14.586000000000002</v>
      </c>
      <c r="I3774">
        <v>30.000000000000004</v>
      </c>
      <c r="J3774" t="s">
        <v>20</v>
      </c>
    </row>
    <row r="3775" spans="1:10" x14ac:dyDescent="0.2">
      <c r="A3775">
        <v>13774</v>
      </c>
      <c r="B3775" t="s">
        <v>7</v>
      </c>
      <c r="C3775" t="s">
        <v>9</v>
      </c>
      <c r="D3775">
        <v>6.25</v>
      </c>
      <c r="E3775">
        <v>8</v>
      </c>
      <c r="F3775" t="s">
        <v>16</v>
      </c>
      <c r="G3775">
        <v>60</v>
      </c>
      <c r="H3775">
        <v>10</v>
      </c>
      <c r="I3775">
        <v>60.000000000000007</v>
      </c>
      <c r="J3775" t="s">
        <v>20</v>
      </c>
    </row>
    <row r="3776" spans="1:10" x14ac:dyDescent="0.2">
      <c r="A3776">
        <v>13775</v>
      </c>
      <c r="B3776" t="s">
        <v>8</v>
      </c>
      <c r="C3776" t="s">
        <v>9</v>
      </c>
      <c r="D3776">
        <v>4.3099999999999996</v>
      </c>
      <c r="E3776">
        <v>2</v>
      </c>
      <c r="F3776" t="s">
        <v>14</v>
      </c>
      <c r="G3776">
        <v>15</v>
      </c>
      <c r="H3776">
        <v>4.9564999999999992</v>
      </c>
      <c r="I3776">
        <v>14.999999999999991</v>
      </c>
      <c r="J3776" t="s">
        <v>20</v>
      </c>
    </row>
    <row r="3777" spans="1:10" x14ac:dyDescent="0.2">
      <c r="A3777">
        <v>13776</v>
      </c>
      <c r="B3777" t="s">
        <v>7</v>
      </c>
      <c r="C3777" t="s">
        <v>6</v>
      </c>
      <c r="D3777">
        <v>5.94</v>
      </c>
      <c r="E3777">
        <v>3</v>
      </c>
      <c r="F3777" t="s">
        <v>14</v>
      </c>
      <c r="G3777">
        <v>12</v>
      </c>
      <c r="H3777">
        <v>6.6528000000000009</v>
      </c>
      <c r="I3777">
        <v>12.000000000000011</v>
      </c>
      <c r="J3777" t="s">
        <v>20</v>
      </c>
    </row>
    <row r="3778" spans="1:10" x14ac:dyDescent="0.2">
      <c r="A3778">
        <v>13777</v>
      </c>
      <c r="B3778" t="s">
        <v>8</v>
      </c>
      <c r="C3778" t="s">
        <v>6</v>
      </c>
      <c r="D3778">
        <v>7.72</v>
      </c>
      <c r="E3778">
        <v>6</v>
      </c>
      <c r="F3778" t="s">
        <v>15</v>
      </c>
      <c r="G3778">
        <v>28</v>
      </c>
      <c r="H3778">
        <v>9.8816000000000006</v>
      </c>
      <c r="I3778">
        <v>28.000000000000004</v>
      </c>
      <c r="J3778" t="s">
        <v>20</v>
      </c>
    </row>
    <row r="3779" spans="1:10" x14ac:dyDescent="0.2">
      <c r="A3779">
        <v>13778</v>
      </c>
      <c r="B3779" t="s">
        <v>5</v>
      </c>
      <c r="C3779" t="s">
        <v>9</v>
      </c>
      <c r="D3779">
        <v>5.48</v>
      </c>
      <c r="E3779">
        <v>7</v>
      </c>
      <c r="F3779" t="s">
        <v>15</v>
      </c>
      <c r="G3779">
        <v>30</v>
      </c>
      <c r="H3779">
        <v>7.1240000000000006</v>
      </c>
      <c r="I3779">
        <v>30.000000000000004</v>
      </c>
      <c r="J3779" t="s">
        <v>20</v>
      </c>
    </row>
    <row r="3780" spans="1:10" x14ac:dyDescent="0.2">
      <c r="A3780">
        <v>13779</v>
      </c>
      <c r="B3780" t="s">
        <v>8</v>
      </c>
      <c r="C3780" t="s">
        <v>11</v>
      </c>
      <c r="D3780">
        <v>4.01</v>
      </c>
      <c r="E3780">
        <v>4</v>
      </c>
      <c r="F3780" t="s">
        <v>15</v>
      </c>
      <c r="G3780">
        <v>25</v>
      </c>
      <c r="H3780">
        <v>5.0124999999999993</v>
      </c>
      <c r="I3780">
        <v>25</v>
      </c>
      <c r="J3780" t="s">
        <v>20</v>
      </c>
    </row>
    <row r="3781" spans="1:10" x14ac:dyDescent="0.2">
      <c r="A3781">
        <v>13780</v>
      </c>
      <c r="B3781" t="s">
        <v>7</v>
      </c>
      <c r="C3781" t="s">
        <v>9</v>
      </c>
      <c r="D3781">
        <v>6.28</v>
      </c>
      <c r="E3781">
        <v>1</v>
      </c>
      <c r="F3781" t="s">
        <v>14</v>
      </c>
      <c r="G3781">
        <v>15</v>
      </c>
      <c r="H3781">
        <v>7.2219999999999995</v>
      </c>
      <c r="I3781">
        <v>14.999999999999991</v>
      </c>
      <c r="J3781" t="s">
        <v>20</v>
      </c>
    </row>
    <row r="3782" spans="1:10" x14ac:dyDescent="0.2">
      <c r="A3782">
        <v>13781</v>
      </c>
      <c r="B3782" t="s">
        <v>7</v>
      </c>
      <c r="C3782" t="s">
        <v>11</v>
      </c>
      <c r="D3782">
        <v>0.78</v>
      </c>
      <c r="E3782">
        <v>7</v>
      </c>
      <c r="F3782" t="s">
        <v>15</v>
      </c>
      <c r="G3782">
        <v>25</v>
      </c>
      <c r="H3782">
        <v>0.97500000000000009</v>
      </c>
      <c r="I3782">
        <v>25</v>
      </c>
      <c r="J3782" t="s">
        <v>20</v>
      </c>
    </row>
    <row r="3783" spans="1:10" x14ac:dyDescent="0.2">
      <c r="A3783">
        <v>13782</v>
      </c>
      <c r="B3783" t="s">
        <v>5</v>
      </c>
      <c r="C3783" t="s">
        <v>9</v>
      </c>
      <c r="D3783">
        <v>11.7</v>
      </c>
      <c r="E3783">
        <v>9</v>
      </c>
      <c r="F3783" t="s">
        <v>16</v>
      </c>
      <c r="G3783">
        <v>60</v>
      </c>
      <c r="H3783">
        <v>18.72</v>
      </c>
      <c r="I3783">
        <v>60.000000000000007</v>
      </c>
      <c r="J3783" t="s">
        <v>20</v>
      </c>
    </row>
    <row r="3784" spans="1:10" x14ac:dyDescent="0.2">
      <c r="A3784">
        <v>13783</v>
      </c>
      <c r="B3784" t="s">
        <v>7</v>
      </c>
      <c r="C3784" t="s">
        <v>9</v>
      </c>
      <c r="D3784">
        <v>2.98</v>
      </c>
      <c r="E3784">
        <v>1</v>
      </c>
      <c r="F3784" t="s">
        <v>14</v>
      </c>
      <c r="G3784">
        <v>15</v>
      </c>
      <c r="H3784">
        <v>3.4269999999999996</v>
      </c>
      <c r="I3784">
        <v>14.999999999999991</v>
      </c>
      <c r="J3784" t="s">
        <v>20</v>
      </c>
    </row>
    <row r="3785" spans="1:10" x14ac:dyDescent="0.2">
      <c r="A3785">
        <v>13784</v>
      </c>
      <c r="B3785" t="s">
        <v>7</v>
      </c>
      <c r="C3785" t="s">
        <v>9</v>
      </c>
      <c r="D3785">
        <v>1.1399999999999999</v>
      </c>
      <c r="E3785">
        <v>1</v>
      </c>
      <c r="F3785" t="s">
        <v>14</v>
      </c>
      <c r="G3785">
        <v>15</v>
      </c>
      <c r="H3785">
        <v>1.3109999999999997</v>
      </c>
      <c r="I3785">
        <v>14.999999999999991</v>
      </c>
      <c r="J3785" t="s">
        <v>20</v>
      </c>
    </row>
    <row r="3786" spans="1:10" x14ac:dyDescent="0.2">
      <c r="A3786">
        <v>13785</v>
      </c>
      <c r="B3786" t="s">
        <v>10</v>
      </c>
      <c r="C3786" t="s">
        <v>6</v>
      </c>
      <c r="D3786">
        <v>9.98</v>
      </c>
      <c r="E3786">
        <v>1</v>
      </c>
      <c r="F3786" t="s">
        <v>14</v>
      </c>
      <c r="G3786">
        <v>12</v>
      </c>
      <c r="H3786">
        <v>11.177600000000002</v>
      </c>
      <c r="I3786">
        <v>12.000000000000011</v>
      </c>
      <c r="J3786" t="s">
        <v>20</v>
      </c>
    </row>
    <row r="3787" spans="1:10" x14ac:dyDescent="0.2">
      <c r="A3787">
        <v>13786</v>
      </c>
      <c r="B3787" t="s">
        <v>10</v>
      </c>
      <c r="C3787" t="s">
        <v>11</v>
      </c>
      <c r="D3787">
        <v>11.72</v>
      </c>
      <c r="E3787">
        <v>10</v>
      </c>
      <c r="F3787" t="s">
        <v>16</v>
      </c>
      <c r="G3787">
        <v>50</v>
      </c>
      <c r="H3787">
        <v>17.580000000000002</v>
      </c>
      <c r="I3787">
        <v>50</v>
      </c>
      <c r="J3787" t="s">
        <v>20</v>
      </c>
    </row>
    <row r="3788" spans="1:10" x14ac:dyDescent="0.2">
      <c r="A3788">
        <v>13787</v>
      </c>
      <c r="B3788" t="s">
        <v>5</v>
      </c>
      <c r="C3788" t="s">
        <v>11</v>
      </c>
      <c r="D3788">
        <v>12.3</v>
      </c>
      <c r="E3788">
        <v>7</v>
      </c>
      <c r="F3788" t="s">
        <v>15</v>
      </c>
      <c r="G3788">
        <v>25</v>
      </c>
      <c r="H3788">
        <v>15.375</v>
      </c>
      <c r="I3788">
        <v>25</v>
      </c>
      <c r="J3788" t="s">
        <v>20</v>
      </c>
    </row>
    <row r="3789" spans="1:10" x14ac:dyDescent="0.2">
      <c r="A3789">
        <v>13788</v>
      </c>
      <c r="B3789" t="s">
        <v>8</v>
      </c>
      <c r="C3789" t="s">
        <v>9</v>
      </c>
      <c r="D3789">
        <v>7.66</v>
      </c>
      <c r="E3789">
        <v>9</v>
      </c>
      <c r="F3789" t="s">
        <v>16</v>
      </c>
      <c r="G3789">
        <v>60</v>
      </c>
      <c r="H3789">
        <v>12.256</v>
      </c>
      <c r="I3789">
        <v>60.000000000000007</v>
      </c>
      <c r="J3789" t="s">
        <v>20</v>
      </c>
    </row>
    <row r="3790" spans="1:10" x14ac:dyDescent="0.2">
      <c r="A3790">
        <v>13789</v>
      </c>
      <c r="B3790" t="s">
        <v>10</v>
      </c>
      <c r="C3790" t="s">
        <v>6</v>
      </c>
      <c r="D3790">
        <v>3.48</v>
      </c>
      <c r="E3790">
        <v>3</v>
      </c>
      <c r="F3790" t="s">
        <v>14</v>
      </c>
      <c r="G3790">
        <v>12</v>
      </c>
      <c r="H3790">
        <v>3.8976000000000002</v>
      </c>
      <c r="I3790">
        <v>12.000000000000011</v>
      </c>
      <c r="J3790" t="s">
        <v>20</v>
      </c>
    </row>
    <row r="3791" spans="1:10" x14ac:dyDescent="0.2">
      <c r="A3791">
        <v>13790</v>
      </c>
      <c r="B3791" t="s">
        <v>8</v>
      </c>
      <c r="C3791" t="s">
        <v>6</v>
      </c>
      <c r="D3791">
        <v>11.19</v>
      </c>
      <c r="E3791">
        <v>8</v>
      </c>
      <c r="F3791" t="s">
        <v>16</v>
      </c>
      <c r="G3791">
        <v>55</v>
      </c>
      <c r="H3791">
        <v>17.3445</v>
      </c>
      <c r="I3791">
        <v>55.000000000000007</v>
      </c>
      <c r="J3791" t="s">
        <v>20</v>
      </c>
    </row>
    <row r="3792" spans="1:10" x14ac:dyDescent="0.2">
      <c r="A3792">
        <v>13791</v>
      </c>
      <c r="B3792" t="s">
        <v>7</v>
      </c>
      <c r="C3792" t="s">
        <v>11</v>
      </c>
      <c r="D3792">
        <v>10.65</v>
      </c>
      <c r="E3792">
        <v>9</v>
      </c>
      <c r="F3792" t="s">
        <v>16</v>
      </c>
      <c r="G3792">
        <v>50</v>
      </c>
      <c r="H3792">
        <v>15.975000000000001</v>
      </c>
      <c r="I3792">
        <v>50</v>
      </c>
      <c r="J3792" t="s">
        <v>20</v>
      </c>
    </row>
    <row r="3793" spans="1:10" x14ac:dyDescent="0.2">
      <c r="A3793">
        <v>13792</v>
      </c>
      <c r="B3793" t="s">
        <v>10</v>
      </c>
      <c r="C3793" t="s">
        <v>6</v>
      </c>
      <c r="D3793">
        <v>4.07</v>
      </c>
      <c r="E3793">
        <v>3</v>
      </c>
      <c r="F3793" t="s">
        <v>14</v>
      </c>
      <c r="G3793">
        <v>12</v>
      </c>
      <c r="H3793">
        <v>4.5584000000000007</v>
      </c>
      <c r="I3793">
        <v>12.000000000000011</v>
      </c>
      <c r="J3793" t="s">
        <v>20</v>
      </c>
    </row>
    <row r="3794" spans="1:10" x14ac:dyDescent="0.2">
      <c r="A3794">
        <v>13793</v>
      </c>
      <c r="B3794" t="s">
        <v>5</v>
      </c>
      <c r="C3794" t="s">
        <v>11</v>
      </c>
      <c r="D3794">
        <v>13.6</v>
      </c>
      <c r="E3794">
        <v>3</v>
      </c>
      <c r="F3794" t="s">
        <v>14</v>
      </c>
      <c r="G3794">
        <v>10</v>
      </c>
      <c r="H3794">
        <v>14.96</v>
      </c>
      <c r="I3794">
        <v>10.000000000000009</v>
      </c>
      <c r="J3794" t="s">
        <v>20</v>
      </c>
    </row>
    <row r="3795" spans="1:10" x14ac:dyDescent="0.2">
      <c r="A3795">
        <v>13794</v>
      </c>
      <c r="B3795" t="s">
        <v>5</v>
      </c>
      <c r="C3795" t="s">
        <v>11</v>
      </c>
      <c r="D3795">
        <v>2.0099999999999998</v>
      </c>
      <c r="E3795">
        <v>1</v>
      </c>
      <c r="F3795" t="s">
        <v>14</v>
      </c>
      <c r="G3795">
        <v>10</v>
      </c>
      <c r="H3795">
        <v>2.2109999999999999</v>
      </c>
      <c r="I3795">
        <v>10.000000000000009</v>
      </c>
      <c r="J3795" t="s">
        <v>20</v>
      </c>
    </row>
    <row r="3796" spans="1:10" x14ac:dyDescent="0.2">
      <c r="A3796">
        <v>13795</v>
      </c>
      <c r="B3796" t="s">
        <v>5</v>
      </c>
      <c r="C3796" t="s">
        <v>11</v>
      </c>
      <c r="D3796">
        <v>14.75</v>
      </c>
      <c r="E3796">
        <v>2</v>
      </c>
      <c r="F3796" t="s">
        <v>14</v>
      </c>
      <c r="G3796">
        <v>10</v>
      </c>
      <c r="H3796">
        <v>16.225000000000001</v>
      </c>
      <c r="I3796">
        <v>10.000000000000009</v>
      </c>
      <c r="J3796" t="s">
        <v>20</v>
      </c>
    </row>
    <row r="3797" spans="1:10" x14ac:dyDescent="0.2">
      <c r="A3797">
        <v>13796</v>
      </c>
      <c r="B3797" t="s">
        <v>10</v>
      </c>
      <c r="C3797" t="s">
        <v>6</v>
      </c>
      <c r="D3797">
        <v>12.97</v>
      </c>
      <c r="E3797">
        <v>7</v>
      </c>
      <c r="F3797" t="s">
        <v>15</v>
      </c>
      <c r="G3797">
        <v>28</v>
      </c>
      <c r="H3797">
        <v>16.601600000000001</v>
      </c>
      <c r="I3797">
        <v>28.000000000000004</v>
      </c>
      <c r="J3797" t="s">
        <v>20</v>
      </c>
    </row>
    <row r="3798" spans="1:10" x14ac:dyDescent="0.2">
      <c r="A3798">
        <v>13797</v>
      </c>
      <c r="B3798" t="s">
        <v>8</v>
      </c>
      <c r="C3798" t="s">
        <v>11</v>
      </c>
      <c r="D3798">
        <v>10.47</v>
      </c>
      <c r="E3798">
        <v>3</v>
      </c>
      <c r="F3798" t="s">
        <v>14</v>
      </c>
      <c r="G3798">
        <v>10</v>
      </c>
      <c r="H3798">
        <v>11.517000000000001</v>
      </c>
      <c r="I3798">
        <v>10.000000000000009</v>
      </c>
      <c r="J3798" t="s">
        <v>20</v>
      </c>
    </row>
    <row r="3799" spans="1:10" x14ac:dyDescent="0.2">
      <c r="A3799">
        <v>13798</v>
      </c>
      <c r="B3799" t="s">
        <v>7</v>
      </c>
      <c r="C3799" t="s">
        <v>11</v>
      </c>
      <c r="D3799">
        <v>14.11</v>
      </c>
      <c r="E3799">
        <v>7</v>
      </c>
      <c r="F3799" t="s">
        <v>15</v>
      </c>
      <c r="G3799">
        <v>25</v>
      </c>
      <c r="H3799">
        <v>17.637499999999999</v>
      </c>
      <c r="I3799">
        <v>25</v>
      </c>
      <c r="J3799" t="s">
        <v>20</v>
      </c>
    </row>
    <row r="3800" spans="1:10" x14ac:dyDescent="0.2">
      <c r="A3800">
        <v>13799</v>
      </c>
      <c r="B3800" t="s">
        <v>8</v>
      </c>
      <c r="C3800" t="s">
        <v>9</v>
      </c>
      <c r="D3800">
        <v>10.97</v>
      </c>
      <c r="E3800">
        <v>5</v>
      </c>
      <c r="F3800" t="s">
        <v>15</v>
      </c>
      <c r="G3800">
        <v>30</v>
      </c>
      <c r="H3800">
        <v>14.261000000000001</v>
      </c>
      <c r="I3800">
        <v>30.000000000000004</v>
      </c>
      <c r="J3800" t="s">
        <v>20</v>
      </c>
    </row>
    <row r="3801" spans="1:10" x14ac:dyDescent="0.2">
      <c r="A3801">
        <v>13800</v>
      </c>
      <c r="B3801" t="s">
        <v>8</v>
      </c>
      <c r="C3801" t="s">
        <v>11</v>
      </c>
      <c r="D3801">
        <v>3.26</v>
      </c>
      <c r="E3801">
        <v>10</v>
      </c>
      <c r="F3801" t="s">
        <v>16</v>
      </c>
      <c r="G3801">
        <v>50</v>
      </c>
      <c r="H3801">
        <v>4.8899999999999997</v>
      </c>
      <c r="I3801">
        <v>50</v>
      </c>
      <c r="J3801" t="s">
        <v>20</v>
      </c>
    </row>
    <row r="3802" spans="1:10" x14ac:dyDescent="0.2">
      <c r="A3802">
        <v>13801</v>
      </c>
      <c r="B3802" t="s">
        <v>7</v>
      </c>
      <c r="C3802" t="s">
        <v>11</v>
      </c>
      <c r="D3802">
        <v>6.91</v>
      </c>
      <c r="E3802">
        <v>8</v>
      </c>
      <c r="F3802" t="s">
        <v>16</v>
      </c>
      <c r="G3802">
        <v>50</v>
      </c>
      <c r="H3802">
        <v>10.365</v>
      </c>
      <c r="I3802">
        <v>50</v>
      </c>
      <c r="J3802" t="s">
        <v>20</v>
      </c>
    </row>
    <row r="3803" spans="1:10" x14ac:dyDescent="0.2">
      <c r="A3803">
        <v>13802</v>
      </c>
      <c r="B3803" t="s">
        <v>7</v>
      </c>
      <c r="C3803" t="s">
        <v>9</v>
      </c>
      <c r="D3803">
        <v>1.54</v>
      </c>
      <c r="E3803">
        <v>5</v>
      </c>
      <c r="F3803" t="s">
        <v>15</v>
      </c>
      <c r="G3803">
        <v>30</v>
      </c>
      <c r="H3803">
        <v>2.0020000000000002</v>
      </c>
      <c r="I3803">
        <v>30.000000000000004</v>
      </c>
      <c r="J3803" t="s">
        <v>20</v>
      </c>
    </row>
    <row r="3804" spans="1:10" x14ac:dyDescent="0.2">
      <c r="A3804">
        <v>13803</v>
      </c>
      <c r="B3804" t="s">
        <v>10</v>
      </c>
      <c r="C3804" t="s">
        <v>9</v>
      </c>
      <c r="D3804">
        <v>6.15</v>
      </c>
      <c r="E3804">
        <v>3</v>
      </c>
      <c r="F3804" t="s">
        <v>14</v>
      </c>
      <c r="G3804">
        <v>15</v>
      </c>
      <c r="H3804">
        <v>7.0724999999999998</v>
      </c>
      <c r="I3804">
        <v>14.999999999999991</v>
      </c>
      <c r="J3804" t="s">
        <v>20</v>
      </c>
    </row>
    <row r="3805" spans="1:10" x14ac:dyDescent="0.2">
      <c r="A3805">
        <v>13804</v>
      </c>
      <c r="B3805" t="s">
        <v>10</v>
      </c>
      <c r="C3805" t="s">
        <v>6</v>
      </c>
      <c r="D3805">
        <v>11.25</v>
      </c>
      <c r="E3805">
        <v>9</v>
      </c>
      <c r="F3805" t="s">
        <v>16</v>
      </c>
      <c r="G3805">
        <v>55</v>
      </c>
      <c r="H3805">
        <v>17.4375</v>
      </c>
      <c r="I3805">
        <v>55.000000000000007</v>
      </c>
      <c r="J3805" t="s">
        <v>20</v>
      </c>
    </row>
    <row r="3806" spans="1:10" x14ac:dyDescent="0.2">
      <c r="A3806">
        <v>13805</v>
      </c>
      <c r="B3806" t="s">
        <v>10</v>
      </c>
      <c r="C3806" t="s">
        <v>11</v>
      </c>
      <c r="D3806">
        <v>6.1</v>
      </c>
      <c r="E3806">
        <v>7</v>
      </c>
      <c r="F3806" t="s">
        <v>15</v>
      </c>
      <c r="G3806">
        <v>25</v>
      </c>
      <c r="H3806">
        <v>7.625</v>
      </c>
      <c r="I3806">
        <v>25</v>
      </c>
      <c r="J3806" t="s">
        <v>20</v>
      </c>
    </row>
    <row r="3807" spans="1:10" x14ac:dyDescent="0.2">
      <c r="A3807">
        <v>13806</v>
      </c>
      <c r="B3807" t="s">
        <v>10</v>
      </c>
      <c r="C3807" t="s">
        <v>6</v>
      </c>
      <c r="D3807">
        <v>5.29</v>
      </c>
      <c r="E3807">
        <v>5</v>
      </c>
      <c r="F3807" t="s">
        <v>15</v>
      </c>
      <c r="G3807">
        <v>28</v>
      </c>
      <c r="H3807">
        <v>6.7712000000000003</v>
      </c>
      <c r="I3807">
        <v>28.000000000000004</v>
      </c>
      <c r="J3807" t="s">
        <v>20</v>
      </c>
    </row>
    <row r="3808" spans="1:10" x14ac:dyDescent="0.2">
      <c r="A3808">
        <v>13807</v>
      </c>
      <c r="B3808" t="s">
        <v>10</v>
      </c>
      <c r="C3808" t="s">
        <v>6</v>
      </c>
      <c r="D3808">
        <v>9.1300000000000008</v>
      </c>
      <c r="E3808">
        <v>7</v>
      </c>
      <c r="F3808" t="s">
        <v>15</v>
      </c>
      <c r="G3808">
        <v>28</v>
      </c>
      <c r="H3808">
        <v>11.686400000000001</v>
      </c>
      <c r="I3808">
        <v>28.000000000000004</v>
      </c>
      <c r="J3808" t="s">
        <v>20</v>
      </c>
    </row>
    <row r="3809" spans="1:10" x14ac:dyDescent="0.2">
      <c r="A3809">
        <v>13808</v>
      </c>
      <c r="B3809" t="s">
        <v>7</v>
      </c>
      <c r="C3809" t="s">
        <v>9</v>
      </c>
      <c r="D3809">
        <v>13.15</v>
      </c>
      <c r="E3809">
        <v>10</v>
      </c>
      <c r="F3809" t="s">
        <v>16</v>
      </c>
      <c r="G3809">
        <v>60</v>
      </c>
      <c r="H3809">
        <v>21.040000000000003</v>
      </c>
      <c r="I3809">
        <v>60.000000000000007</v>
      </c>
      <c r="J3809" t="s">
        <v>20</v>
      </c>
    </row>
    <row r="3810" spans="1:10" x14ac:dyDescent="0.2">
      <c r="A3810">
        <v>13809</v>
      </c>
      <c r="B3810" t="s">
        <v>8</v>
      </c>
      <c r="C3810" t="s">
        <v>6</v>
      </c>
      <c r="D3810">
        <v>1.19</v>
      </c>
      <c r="E3810">
        <v>9</v>
      </c>
      <c r="F3810" t="s">
        <v>16</v>
      </c>
      <c r="G3810">
        <v>55</v>
      </c>
      <c r="H3810">
        <v>1.8445</v>
      </c>
      <c r="I3810">
        <v>55.000000000000007</v>
      </c>
      <c r="J3810" t="s">
        <v>20</v>
      </c>
    </row>
    <row r="3811" spans="1:10" x14ac:dyDescent="0.2">
      <c r="A3811">
        <v>13810</v>
      </c>
      <c r="B3811" t="s">
        <v>10</v>
      </c>
      <c r="C3811" t="s">
        <v>11</v>
      </c>
      <c r="D3811">
        <v>6.09</v>
      </c>
      <c r="E3811">
        <v>5</v>
      </c>
      <c r="F3811" t="s">
        <v>15</v>
      </c>
      <c r="G3811">
        <v>25</v>
      </c>
      <c r="H3811">
        <v>7.6124999999999998</v>
      </c>
      <c r="I3811">
        <v>25</v>
      </c>
      <c r="J3811" t="s">
        <v>20</v>
      </c>
    </row>
    <row r="3812" spans="1:10" x14ac:dyDescent="0.2">
      <c r="A3812">
        <v>13811</v>
      </c>
      <c r="B3812" t="s">
        <v>10</v>
      </c>
      <c r="C3812" t="s">
        <v>9</v>
      </c>
      <c r="D3812">
        <v>2.79</v>
      </c>
      <c r="E3812">
        <v>7</v>
      </c>
      <c r="F3812" t="s">
        <v>15</v>
      </c>
      <c r="G3812">
        <v>30</v>
      </c>
      <c r="H3812">
        <v>3.6270000000000002</v>
      </c>
      <c r="I3812">
        <v>30.000000000000004</v>
      </c>
      <c r="J3812" t="s">
        <v>20</v>
      </c>
    </row>
    <row r="3813" spans="1:10" x14ac:dyDescent="0.2">
      <c r="A3813">
        <v>13812</v>
      </c>
      <c r="B3813" t="s">
        <v>8</v>
      </c>
      <c r="C3813" t="s">
        <v>11</v>
      </c>
      <c r="D3813">
        <v>10.58</v>
      </c>
      <c r="E3813">
        <v>9</v>
      </c>
      <c r="F3813" t="s">
        <v>16</v>
      </c>
      <c r="G3813">
        <v>50</v>
      </c>
      <c r="H3813">
        <v>15.870000000000001</v>
      </c>
      <c r="I3813">
        <v>50</v>
      </c>
      <c r="J3813" t="s">
        <v>20</v>
      </c>
    </row>
    <row r="3814" spans="1:10" x14ac:dyDescent="0.2">
      <c r="A3814">
        <v>13813</v>
      </c>
      <c r="B3814" t="s">
        <v>10</v>
      </c>
      <c r="C3814" t="s">
        <v>11</v>
      </c>
      <c r="D3814">
        <v>2.0299999999999998</v>
      </c>
      <c r="E3814">
        <v>1</v>
      </c>
      <c r="F3814" t="s">
        <v>14</v>
      </c>
      <c r="G3814">
        <v>10</v>
      </c>
      <c r="H3814">
        <v>2.2330000000000001</v>
      </c>
      <c r="I3814">
        <v>10.000000000000009</v>
      </c>
      <c r="J3814" t="s">
        <v>20</v>
      </c>
    </row>
    <row r="3815" spans="1:10" x14ac:dyDescent="0.2">
      <c r="A3815">
        <v>13814</v>
      </c>
      <c r="B3815" t="s">
        <v>8</v>
      </c>
      <c r="C3815" t="s">
        <v>9</v>
      </c>
      <c r="D3815">
        <v>10.14</v>
      </c>
      <c r="E3815">
        <v>4</v>
      </c>
      <c r="F3815" t="s">
        <v>15</v>
      </c>
      <c r="G3815">
        <v>30</v>
      </c>
      <c r="H3815">
        <v>13.182</v>
      </c>
      <c r="I3815">
        <v>30.000000000000004</v>
      </c>
      <c r="J3815" t="s">
        <v>20</v>
      </c>
    </row>
    <row r="3816" spans="1:10" x14ac:dyDescent="0.2">
      <c r="A3816">
        <v>13815</v>
      </c>
      <c r="B3816" t="s">
        <v>8</v>
      </c>
      <c r="C3816" t="s">
        <v>11</v>
      </c>
      <c r="D3816">
        <v>4.6500000000000004</v>
      </c>
      <c r="E3816">
        <v>1</v>
      </c>
      <c r="F3816" t="s">
        <v>14</v>
      </c>
      <c r="G3816">
        <v>10</v>
      </c>
      <c r="H3816">
        <v>5.1150000000000011</v>
      </c>
      <c r="I3816">
        <v>10.000000000000009</v>
      </c>
      <c r="J3816" t="s">
        <v>20</v>
      </c>
    </row>
    <row r="3817" spans="1:10" x14ac:dyDescent="0.2">
      <c r="A3817">
        <v>13816</v>
      </c>
      <c r="B3817" t="s">
        <v>7</v>
      </c>
      <c r="C3817" t="s">
        <v>9</v>
      </c>
      <c r="D3817">
        <v>3.38</v>
      </c>
      <c r="E3817">
        <v>8</v>
      </c>
      <c r="F3817" t="s">
        <v>16</v>
      </c>
      <c r="G3817">
        <v>60</v>
      </c>
      <c r="H3817">
        <v>5.4080000000000004</v>
      </c>
      <c r="I3817">
        <v>60.000000000000007</v>
      </c>
      <c r="J3817" t="s">
        <v>20</v>
      </c>
    </row>
    <row r="3818" spans="1:10" x14ac:dyDescent="0.2">
      <c r="A3818">
        <v>13817</v>
      </c>
      <c r="B3818" t="s">
        <v>5</v>
      </c>
      <c r="C3818" t="s">
        <v>11</v>
      </c>
      <c r="D3818">
        <v>14.08</v>
      </c>
      <c r="E3818">
        <v>3</v>
      </c>
      <c r="F3818" t="s">
        <v>14</v>
      </c>
      <c r="G3818">
        <v>10</v>
      </c>
      <c r="H3818">
        <v>15.488000000000001</v>
      </c>
      <c r="I3818">
        <v>10.000000000000009</v>
      </c>
      <c r="J3818" t="s">
        <v>20</v>
      </c>
    </row>
    <row r="3819" spans="1:10" x14ac:dyDescent="0.2">
      <c r="A3819">
        <v>13818</v>
      </c>
      <c r="B3819" t="s">
        <v>7</v>
      </c>
      <c r="C3819" t="s">
        <v>9</v>
      </c>
      <c r="D3819">
        <v>0.77</v>
      </c>
      <c r="E3819">
        <v>2</v>
      </c>
      <c r="F3819" t="s">
        <v>14</v>
      </c>
      <c r="G3819">
        <v>15</v>
      </c>
      <c r="H3819">
        <v>0.88549999999999995</v>
      </c>
      <c r="I3819">
        <v>14.999999999999991</v>
      </c>
      <c r="J3819" t="s">
        <v>20</v>
      </c>
    </row>
    <row r="3820" spans="1:10" x14ac:dyDescent="0.2">
      <c r="A3820">
        <v>13819</v>
      </c>
      <c r="B3820" t="s">
        <v>5</v>
      </c>
      <c r="C3820" t="s">
        <v>6</v>
      </c>
      <c r="D3820">
        <v>6.85</v>
      </c>
      <c r="E3820">
        <v>4</v>
      </c>
      <c r="F3820" t="s">
        <v>15</v>
      </c>
      <c r="G3820">
        <v>28</v>
      </c>
      <c r="H3820">
        <v>8.7679999999999989</v>
      </c>
      <c r="I3820">
        <v>27.999999999999979</v>
      </c>
      <c r="J3820" t="s">
        <v>20</v>
      </c>
    </row>
    <row r="3821" spans="1:10" x14ac:dyDescent="0.2">
      <c r="A3821">
        <v>13820</v>
      </c>
      <c r="B3821" t="s">
        <v>5</v>
      </c>
      <c r="C3821" t="s">
        <v>11</v>
      </c>
      <c r="D3821">
        <v>0.81</v>
      </c>
      <c r="E3821">
        <v>3</v>
      </c>
      <c r="F3821" t="s">
        <v>14</v>
      </c>
      <c r="G3821">
        <v>10</v>
      </c>
      <c r="H3821">
        <v>0.89100000000000013</v>
      </c>
      <c r="I3821">
        <v>10.000000000000009</v>
      </c>
      <c r="J3821" t="s">
        <v>20</v>
      </c>
    </row>
    <row r="3822" spans="1:10" x14ac:dyDescent="0.2">
      <c r="A3822">
        <v>13821</v>
      </c>
      <c r="B3822" t="s">
        <v>5</v>
      </c>
      <c r="C3822" t="s">
        <v>9</v>
      </c>
      <c r="D3822">
        <v>7.51</v>
      </c>
      <c r="E3822">
        <v>5</v>
      </c>
      <c r="F3822" t="s">
        <v>15</v>
      </c>
      <c r="G3822">
        <v>30</v>
      </c>
      <c r="H3822">
        <v>9.7629999999999999</v>
      </c>
      <c r="I3822">
        <v>30.000000000000004</v>
      </c>
      <c r="J3822" t="s">
        <v>20</v>
      </c>
    </row>
    <row r="3823" spans="1:10" x14ac:dyDescent="0.2">
      <c r="A3823">
        <v>13822</v>
      </c>
      <c r="B3823" t="s">
        <v>10</v>
      </c>
      <c r="C3823" t="s">
        <v>11</v>
      </c>
      <c r="D3823">
        <v>7.77</v>
      </c>
      <c r="E3823">
        <v>8</v>
      </c>
      <c r="F3823" t="s">
        <v>16</v>
      </c>
      <c r="G3823">
        <v>50</v>
      </c>
      <c r="H3823">
        <v>11.654999999999999</v>
      </c>
      <c r="I3823">
        <v>50</v>
      </c>
      <c r="J3823" t="s">
        <v>20</v>
      </c>
    </row>
    <row r="3824" spans="1:10" x14ac:dyDescent="0.2">
      <c r="A3824">
        <v>13823</v>
      </c>
      <c r="B3824" t="s">
        <v>7</v>
      </c>
      <c r="C3824" t="s">
        <v>11</v>
      </c>
      <c r="D3824">
        <v>5.16</v>
      </c>
      <c r="E3824">
        <v>10</v>
      </c>
      <c r="F3824" t="s">
        <v>16</v>
      </c>
      <c r="G3824">
        <v>50</v>
      </c>
      <c r="H3824">
        <v>7.74</v>
      </c>
      <c r="I3824">
        <v>50</v>
      </c>
      <c r="J3824" t="s">
        <v>20</v>
      </c>
    </row>
    <row r="3825" spans="1:10" x14ac:dyDescent="0.2">
      <c r="A3825">
        <v>13824</v>
      </c>
      <c r="B3825" t="s">
        <v>5</v>
      </c>
      <c r="C3825" t="s">
        <v>11</v>
      </c>
      <c r="D3825">
        <v>2.42</v>
      </c>
      <c r="E3825">
        <v>8</v>
      </c>
      <c r="F3825" t="s">
        <v>16</v>
      </c>
      <c r="G3825">
        <v>50</v>
      </c>
      <c r="H3825">
        <v>3.63</v>
      </c>
      <c r="I3825">
        <v>50</v>
      </c>
      <c r="J3825" t="s">
        <v>20</v>
      </c>
    </row>
    <row r="3826" spans="1:10" x14ac:dyDescent="0.2">
      <c r="A3826">
        <v>13825</v>
      </c>
      <c r="B3826" t="s">
        <v>8</v>
      </c>
      <c r="C3826" t="s">
        <v>9</v>
      </c>
      <c r="D3826">
        <v>5.96</v>
      </c>
      <c r="E3826">
        <v>7</v>
      </c>
      <c r="F3826" t="s">
        <v>15</v>
      </c>
      <c r="G3826">
        <v>30</v>
      </c>
      <c r="H3826">
        <v>7.7480000000000002</v>
      </c>
      <c r="I3826">
        <v>30.000000000000004</v>
      </c>
      <c r="J3826" t="s">
        <v>20</v>
      </c>
    </row>
    <row r="3827" spans="1:10" x14ac:dyDescent="0.2">
      <c r="A3827">
        <v>13826</v>
      </c>
      <c r="B3827" t="s">
        <v>10</v>
      </c>
      <c r="C3827" t="s">
        <v>6</v>
      </c>
      <c r="D3827">
        <v>10.25</v>
      </c>
      <c r="E3827">
        <v>8</v>
      </c>
      <c r="F3827" t="s">
        <v>16</v>
      </c>
      <c r="G3827">
        <v>55</v>
      </c>
      <c r="H3827">
        <v>15.887500000000001</v>
      </c>
      <c r="I3827">
        <v>55.000000000000007</v>
      </c>
      <c r="J3827" t="s">
        <v>20</v>
      </c>
    </row>
    <row r="3828" spans="1:10" x14ac:dyDescent="0.2">
      <c r="A3828">
        <v>13827</v>
      </c>
      <c r="B3828" t="s">
        <v>7</v>
      </c>
      <c r="C3828" t="s">
        <v>6</v>
      </c>
      <c r="D3828">
        <v>11.84</v>
      </c>
      <c r="E3828">
        <v>5</v>
      </c>
      <c r="F3828" t="s">
        <v>15</v>
      </c>
      <c r="G3828">
        <v>28</v>
      </c>
      <c r="H3828">
        <v>15.155200000000001</v>
      </c>
      <c r="I3828">
        <v>28.000000000000004</v>
      </c>
      <c r="J3828" t="s">
        <v>20</v>
      </c>
    </row>
    <row r="3829" spans="1:10" x14ac:dyDescent="0.2">
      <c r="A3829">
        <v>13828</v>
      </c>
      <c r="B3829" t="s">
        <v>5</v>
      </c>
      <c r="C3829" t="s">
        <v>6</v>
      </c>
      <c r="D3829">
        <v>8.1999999999999993</v>
      </c>
      <c r="E3829">
        <v>10</v>
      </c>
      <c r="F3829" t="s">
        <v>16</v>
      </c>
      <c r="G3829">
        <v>55</v>
      </c>
      <c r="H3829">
        <v>12.709999999999999</v>
      </c>
      <c r="I3829">
        <v>55.000000000000007</v>
      </c>
      <c r="J3829" t="s">
        <v>20</v>
      </c>
    </row>
    <row r="3830" spans="1:10" x14ac:dyDescent="0.2">
      <c r="A3830">
        <v>13829</v>
      </c>
      <c r="B3830" t="s">
        <v>8</v>
      </c>
      <c r="C3830" t="s">
        <v>9</v>
      </c>
      <c r="D3830">
        <v>9.0500000000000007</v>
      </c>
      <c r="E3830">
        <v>10</v>
      </c>
      <c r="F3830" t="s">
        <v>16</v>
      </c>
      <c r="G3830">
        <v>60</v>
      </c>
      <c r="H3830">
        <v>14.480000000000002</v>
      </c>
      <c r="I3830">
        <v>60.000000000000007</v>
      </c>
      <c r="J3830" t="s">
        <v>20</v>
      </c>
    </row>
    <row r="3831" spans="1:10" x14ac:dyDescent="0.2">
      <c r="A3831">
        <v>13830</v>
      </c>
      <c r="B3831" t="s">
        <v>7</v>
      </c>
      <c r="C3831" t="s">
        <v>6</v>
      </c>
      <c r="D3831">
        <v>3.41</v>
      </c>
      <c r="E3831">
        <v>6</v>
      </c>
      <c r="F3831" t="s">
        <v>15</v>
      </c>
      <c r="G3831">
        <v>28</v>
      </c>
      <c r="H3831">
        <v>4.3648000000000007</v>
      </c>
      <c r="I3831">
        <v>28.000000000000025</v>
      </c>
      <c r="J3831" t="s">
        <v>20</v>
      </c>
    </row>
    <row r="3832" spans="1:10" x14ac:dyDescent="0.2">
      <c r="A3832">
        <v>13831</v>
      </c>
      <c r="B3832" t="s">
        <v>7</v>
      </c>
      <c r="C3832" t="s">
        <v>9</v>
      </c>
      <c r="D3832">
        <v>4.67</v>
      </c>
      <c r="E3832">
        <v>8</v>
      </c>
      <c r="F3832" t="s">
        <v>16</v>
      </c>
      <c r="G3832">
        <v>60</v>
      </c>
      <c r="H3832">
        <v>7.4720000000000004</v>
      </c>
      <c r="I3832">
        <v>60.000000000000007</v>
      </c>
      <c r="J3832" t="s">
        <v>20</v>
      </c>
    </row>
    <row r="3833" spans="1:10" x14ac:dyDescent="0.2">
      <c r="A3833">
        <v>13832</v>
      </c>
      <c r="B3833" t="s">
        <v>10</v>
      </c>
      <c r="C3833" t="s">
        <v>11</v>
      </c>
      <c r="D3833">
        <v>2.85</v>
      </c>
      <c r="E3833">
        <v>1</v>
      </c>
      <c r="F3833" t="s">
        <v>14</v>
      </c>
      <c r="G3833">
        <v>10</v>
      </c>
      <c r="H3833">
        <v>3.1350000000000002</v>
      </c>
      <c r="I3833">
        <v>10.000000000000009</v>
      </c>
      <c r="J3833" t="s">
        <v>20</v>
      </c>
    </row>
    <row r="3834" spans="1:10" x14ac:dyDescent="0.2">
      <c r="A3834">
        <v>13833</v>
      </c>
      <c r="B3834" t="s">
        <v>7</v>
      </c>
      <c r="C3834" t="s">
        <v>11</v>
      </c>
      <c r="D3834">
        <v>4.1100000000000003</v>
      </c>
      <c r="E3834">
        <v>6</v>
      </c>
      <c r="F3834" t="s">
        <v>15</v>
      </c>
      <c r="G3834">
        <v>25</v>
      </c>
      <c r="H3834">
        <v>5.1375000000000002</v>
      </c>
      <c r="I3834">
        <v>25</v>
      </c>
      <c r="J3834" t="s">
        <v>20</v>
      </c>
    </row>
    <row r="3835" spans="1:10" x14ac:dyDescent="0.2">
      <c r="A3835">
        <v>13834</v>
      </c>
      <c r="B3835" t="s">
        <v>10</v>
      </c>
      <c r="C3835" t="s">
        <v>6</v>
      </c>
      <c r="D3835">
        <v>3.76</v>
      </c>
      <c r="E3835">
        <v>6</v>
      </c>
      <c r="F3835" t="s">
        <v>15</v>
      </c>
      <c r="G3835">
        <v>28</v>
      </c>
      <c r="H3835">
        <v>4.8128000000000002</v>
      </c>
      <c r="I3835">
        <v>28.000000000000004</v>
      </c>
      <c r="J3835" t="s">
        <v>20</v>
      </c>
    </row>
    <row r="3836" spans="1:10" x14ac:dyDescent="0.2">
      <c r="A3836">
        <v>13835</v>
      </c>
      <c r="B3836" t="s">
        <v>5</v>
      </c>
      <c r="C3836" t="s">
        <v>9</v>
      </c>
      <c r="D3836">
        <v>8.0299999999999994</v>
      </c>
      <c r="E3836">
        <v>5</v>
      </c>
      <c r="F3836" t="s">
        <v>15</v>
      </c>
      <c r="G3836">
        <v>30</v>
      </c>
      <c r="H3836">
        <v>10.439</v>
      </c>
      <c r="I3836">
        <v>30.000000000000004</v>
      </c>
      <c r="J3836" t="s">
        <v>20</v>
      </c>
    </row>
    <row r="3837" spans="1:10" x14ac:dyDescent="0.2">
      <c r="A3837">
        <v>13836</v>
      </c>
      <c r="B3837" t="s">
        <v>10</v>
      </c>
      <c r="C3837" t="s">
        <v>11</v>
      </c>
      <c r="D3837">
        <v>8.66</v>
      </c>
      <c r="E3837">
        <v>4</v>
      </c>
      <c r="F3837" t="s">
        <v>15</v>
      </c>
      <c r="G3837">
        <v>25</v>
      </c>
      <c r="H3837">
        <v>10.824999999999999</v>
      </c>
      <c r="I3837">
        <v>25</v>
      </c>
      <c r="J3837" t="s">
        <v>20</v>
      </c>
    </row>
    <row r="3838" spans="1:10" x14ac:dyDescent="0.2">
      <c r="A3838">
        <v>13837</v>
      </c>
      <c r="B3838" t="s">
        <v>8</v>
      </c>
      <c r="C3838" t="s">
        <v>9</v>
      </c>
      <c r="D3838">
        <v>14.2</v>
      </c>
      <c r="E3838">
        <v>1</v>
      </c>
      <c r="F3838" t="s">
        <v>14</v>
      </c>
      <c r="G3838">
        <v>15</v>
      </c>
      <c r="H3838">
        <v>16.329999999999998</v>
      </c>
      <c r="I3838">
        <v>14.999999999999991</v>
      </c>
      <c r="J3838" t="s">
        <v>20</v>
      </c>
    </row>
    <row r="3839" spans="1:10" x14ac:dyDescent="0.2">
      <c r="A3839">
        <v>13838</v>
      </c>
      <c r="B3839" t="s">
        <v>10</v>
      </c>
      <c r="C3839" t="s">
        <v>9</v>
      </c>
      <c r="D3839">
        <v>3.34</v>
      </c>
      <c r="E3839">
        <v>10</v>
      </c>
      <c r="F3839" t="s">
        <v>16</v>
      </c>
      <c r="G3839">
        <v>60</v>
      </c>
      <c r="H3839">
        <v>5.3440000000000003</v>
      </c>
      <c r="I3839">
        <v>60.000000000000007</v>
      </c>
      <c r="J3839" t="s">
        <v>20</v>
      </c>
    </row>
    <row r="3840" spans="1:10" x14ac:dyDescent="0.2">
      <c r="A3840">
        <v>13839</v>
      </c>
      <c r="B3840" t="s">
        <v>8</v>
      </c>
      <c r="C3840" t="s">
        <v>11</v>
      </c>
      <c r="D3840">
        <v>9.8000000000000007</v>
      </c>
      <c r="E3840">
        <v>8</v>
      </c>
      <c r="F3840" t="s">
        <v>16</v>
      </c>
      <c r="G3840">
        <v>50</v>
      </c>
      <c r="H3840">
        <v>14.700000000000001</v>
      </c>
      <c r="I3840">
        <v>50</v>
      </c>
      <c r="J3840" t="s">
        <v>20</v>
      </c>
    </row>
    <row r="3841" spans="1:10" x14ac:dyDescent="0.2">
      <c r="A3841">
        <v>13840</v>
      </c>
      <c r="B3841" t="s">
        <v>10</v>
      </c>
      <c r="C3841" t="s">
        <v>9</v>
      </c>
      <c r="D3841">
        <v>12.35</v>
      </c>
      <c r="E3841">
        <v>6</v>
      </c>
      <c r="F3841" t="s">
        <v>15</v>
      </c>
      <c r="G3841">
        <v>30</v>
      </c>
      <c r="H3841">
        <v>16.055</v>
      </c>
      <c r="I3841">
        <v>30.000000000000004</v>
      </c>
      <c r="J3841" t="s">
        <v>20</v>
      </c>
    </row>
    <row r="3842" spans="1:10" x14ac:dyDescent="0.2">
      <c r="A3842">
        <v>13841</v>
      </c>
      <c r="B3842" t="s">
        <v>7</v>
      </c>
      <c r="C3842" t="s">
        <v>11</v>
      </c>
      <c r="D3842">
        <v>8.6199999999999992</v>
      </c>
      <c r="E3842">
        <v>3</v>
      </c>
      <c r="F3842" t="s">
        <v>14</v>
      </c>
      <c r="G3842">
        <v>10</v>
      </c>
      <c r="H3842">
        <v>9.4819999999999993</v>
      </c>
      <c r="I3842">
        <v>10.000000000000009</v>
      </c>
      <c r="J3842" t="s">
        <v>20</v>
      </c>
    </row>
    <row r="3843" spans="1:10" x14ac:dyDescent="0.2">
      <c r="A3843">
        <v>13842</v>
      </c>
      <c r="B3843" t="s">
        <v>5</v>
      </c>
      <c r="C3843" t="s">
        <v>11</v>
      </c>
      <c r="D3843">
        <v>4.2</v>
      </c>
      <c r="E3843">
        <v>3</v>
      </c>
      <c r="F3843" t="s">
        <v>14</v>
      </c>
      <c r="G3843">
        <v>10</v>
      </c>
      <c r="H3843">
        <v>4.620000000000001</v>
      </c>
      <c r="I3843">
        <v>10.000000000000009</v>
      </c>
      <c r="J3843" t="s">
        <v>20</v>
      </c>
    </row>
    <row r="3844" spans="1:10" x14ac:dyDescent="0.2">
      <c r="A3844">
        <v>13843</v>
      </c>
      <c r="B3844" t="s">
        <v>8</v>
      </c>
      <c r="C3844" t="s">
        <v>11</v>
      </c>
      <c r="D3844">
        <v>4.3099999999999996</v>
      </c>
      <c r="E3844">
        <v>6</v>
      </c>
      <c r="F3844" t="s">
        <v>15</v>
      </c>
      <c r="G3844">
        <v>25</v>
      </c>
      <c r="H3844">
        <v>5.3874999999999993</v>
      </c>
      <c r="I3844">
        <v>25</v>
      </c>
      <c r="J3844" t="s">
        <v>20</v>
      </c>
    </row>
    <row r="3845" spans="1:10" x14ac:dyDescent="0.2">
      <c r="A3845">
        <v>13844</v>
      </c>
      <c r="B3845" t="s">
        <v>10</v>
      </c>
      <c r="C3845" t="s">
        <v>9</v>
      </c>
      <c r="D3845">
        <v>1.07</v>
      </c>
      <c r="E3845">
        <v>7</v>
      </c>
      <c r="F3845" t="s">
        <v>15</v>
      </c>
      <c r="G3845">
        <v>30</v>
      </c>
      <c r="H3845">
        <v>1.3910000000000002</v>
      </c>
      <c r="I3845">
        <v>30.000000000000004</v>
      </c>
      <c r="J3845" t="s">
        <v>20</v>
      </c>
    </row>
    <row r="3846" spans="1:10" x14ac:dyDescent="0.2">
      <c r="A3846">
        <v>13845</v>
      </c>
      <c r="B3846" t="s">
        <v>10</v>
      </c>
      <c r="C3846" t="s">
        <v>11</v>
      </c>
      <c r="D3846">
        <v>4.93</v>
      </c>
      <c r="E3846">
        <v>8</v>
      </c>
      <c r="F3846" t="s">
        <v>16</v>
      </c>
      <c r="G3846">
        <v>50</v>
      </c>
      <c r="H3846">
        <v>7.3949999999999996</v>
      </c>
      <c r="I3846">
        <v>50</v>
      </c>
      <c r="J3846" t="s">
        <v>20</v>
      </c>
    </row>
    <row r="3847" spans="1:10" x14ac:dyDescent="0.2">
      <c r="A3847">
        <v>13846</v>
      </c>
      <c r="B3847" t="s">
        <v>10</v>
      </c>
      <c r="C3847" t="s">
        <v>9</v>
      </c>
      <c r="D3847">
        <v>11.3</v>
      </c>
      <c r="E3847">
        <v>5</v>
      </c>
      <c r="F3847" t="s">
        <v>15</v>
      </c>
      <c r="G3847">
        <v>30</v>
      </c>
      <c r="H3847">
        <v>14.690000000000001</v>
      </c>
      <c r="I3847">
        <v>30.000000000000004</v>
      </c>
      <c r="J3847" t="s">
        <v>20</v>
      </c>
    </row>
    <row r="3848" spans="1:10" x14ac:dyDescent="0.2">
      <c r="A3848">
        <v>13847</v>
      </c>
      <c r="B3848" t="s">
        <v>7</v>
      </c>
      <c r="C3848" t="s">
        <v>11</v>
      </c>
      <c r="D3848">
        <v>1.19</v>
      </c>
      <c r="E3848">
        <v>10</v>
      </c>
      <c r="F3848" t="s">
        <v>16</v>
      </c>
      <c r="G3848">
        <v>50</v>
      </c>
      <c r="H3848">
        <v>1.7849999999999999</v>
      </c>
      <c r="I3848">
        <v>50</v>
      </c>
      <c r="J3848" t="s">
        <v>20</v>
      </c>
    </row>
    <row r="3849" spans="1:10" x14ac:dyDescent="0.2">
      <c r="A3849">
        <v>13848</v>
      </c>
      <c r="B3849" t="s">
        <v>7</v>
      </c>
      <c r="C3849" t="s">
        <v>11</v>
      </c>
      <c r="D3849">
        <v>3.68</v>
      </c>
      <c r="E3849">
        <v>6</v>
      </c>
      <c r="F3849" t="s">
        <v>15</v>
      </c>
      <c r="G3849">
        <v>25</v>
      </c>
      <c r="H3849">
        <v>4.6000000000000005</v>
      </c>
      <c r="I3849">
        <v>25</v>
      </c>
      <c r="J3849" t="s">
        <v>20</v>
      </c>
    </row>
    <row r="3850" spans="1:10" x14ac:dyDescent="0.2">
      <c r="A3850">
        <v>13849</v>
      </c>
      <c r="B3850" t="s">
        <v>8</v>
      </c>
      <c r="C3850" t="s">
        <v>6</v>
      </c>
      <c r="D3850">
        <v>10.74</v>
      </c>
      <c r="E3850">
        <v>1</v>
      </c>
      <c r="F3850" t="s">
        <v>14</v>
      </c>
      <c r="G3850">
        <v>12</v>
      </c>
      <c r="H3850">
        <v>12.028800000000002</v>
      </c>
      <c r="I3850">
        <v>12.000000000000011</v>
      </c>
      <c r="J3850" t="s">
        <v>20</v>
      </c>
    </row>
    <row r="3851" spans="1:10" x14ac:dyDescent="0.2">
      <c r="A3851">
        <v>13850</v>
      </c>
      <c r="B3851" t="s">
        <v>8</v>
      </c>
      <c r="C3851" t="s">
        <v>6</v>
      </c>
      <c r="D3851">
        <v>11.85</v>
      </c>
      <c r="E3851">
        <v>6</v>
      </c>
      <c r="F3851" t="s">
        <v>15</v>
      </c>
      <c r="G3851">
        <v>28</v>
      </c>
      <c r="H3851">
        <v>15.167999999999999</v>
      </c>
      <c r="I3851">
        <v>28.000000000000004</v>
      </c>
      <c r="J3851" t="s">
        <v>20</v>
      </c>
    </row>
    <row r="3852" spans="1:10" x14ac:dyDescent="0.2">
      <c r="A3852">
        <v>13851</v>
      </c>
      <c r="B3852" t="s">
        <v>7</v>
      </c>
      <c r="C3852" t="s">
        <v>6</v>
      </c>
      <c r="D3852">
        <v>7.1</v>
      </c>
      <c r="E3852">
        <v>9</v>
      </c>
      <c r="F3852" t="s">
        <v>16</v>
      </c>
      <c r="G3852">
        <v>55</v>
      </c>
      <c r="H3852">
        <v>11.004999999999999</v>
      </c>
      <c r="I3852">
        <v>55.000000000000007</v>
      </c>
      <c r="J3852" t="s">
        <v>20</v>
      </c>
    </row>
    <row r="3853" spans="1:10" x14ac:dyDescent="0.2">
      <c r="A3853">
        <v>13852</v>
      </c>
      <c r="B3853" t="s">
        <v>8</v>
      </c>
      <c r="C3853" t="s">
        <v>9</v>
      </c>
      <c r="D3853">
        <v>10.62</v>
      </c>
      <c r="E3853">
        <v>10</v>
      </c>
      <c r="F3853" t="s">
        <v>16</v>
      </c>
      <c r="G3853">
        <v>60</v>
      </c>
      <c r="H3853">
        <v>16.992000000000001</v>
      </c>
      <c r="I3853">
        <v>60.000000000000028</v>
      </c>
      <c r="J3853" t="s">
        <v>20</v>
      </c>
    </row>
    <row r="3854" spans="1:10" x14ac:dyDescent="0.2">
      <c r="A3854">
        <v>13853</v>
      </c>
      <c r="B3854" t="s">
        <v>5</v>
      </c>
      <c r="C3854" t="s">
        <v>9</v>
      </c>
      <c r="D3854">
        <v>6.13</v>
      </c>
      <c r="E3854">
        <v>4</v>
      </c>
      <c r="F3854" t="s">
        <v>15</v>
      </c>
      <c r="G3854">
        <v>30</v>
      </c>
      <c r="H3854">
        <v>7.9690000000000003</v>
      </c>
      <c r="I3854">
        <v>30.000000000000004</v>
      </c>
      <c r="J3854" t="s">
        <v>20</v>
      </c>
    </row>
    <row r="3855" spans="1:10" x14ac:dyDescent="0.2">
      <c r="A3855">
        <v>13854</v>
      </c>
      <c r="B3855" t="s">
        <v>5</v>
      </c>
      <c r="C3855" t="s">
        <v>11</v>
      </c>
      <c r="D3855">
        <v>2.82</v>
      </c>
      <c r="E3855">
        <v>10</v>
      </c>
      <c r="F3855" t="s">
        <v>16</v>
      </c>
      <c r="G3855">
        <v>50</v>
      </c>
      <c r="H3855">
        <v>4.2299999999999995</v>
      </c>
      <c r="I3855">
        <v>50</v>
      </c>
      <c r="J3855" t="s">
        <v>20</v>
      </c>
    </row>
    <row r="3856" spans="1:10" x14ac:dyDescent="0.2">
      <c r="A3856">
        <v>13855</v>
      </c>
      <c r="B3856" t="s">
        <v>7</v>
      </c>
      <c r="C3856" t="s">
        <v>11</v>
      </c>
      <c r="D3856">
        <v>6.27</v>
      </c>
      <c r="E3856">
        <v>1</v>
      </c>
      <c r="F3856" t="s">
        <v>14</v>
      </c>
      <c r="G3856">
        <v>10</v>
      </c>
      <c r="H3856">
        <v>6.8970000000000002</v>
      </c>
      <c r="I3856">
        <v>10.000000000000009</v>
      </c>
      <c r="J3856" t="s">
        <v>20</v>
      </c>
    </row>
    <row r="3857" spans="1:10" x14ac:dyDescent="0.2">
      <c r="A3857">
        <v>13856</v>
      </c>
      <c r="B3857" t="s">
        <v>8</v>
      </c>
      <c r="C3857" t="s">
        <v>11</v>
      </c>
      <c r="D3857">
        <v>8.91</v>
      </c>
      <c r="E3857">
        <v>9</v>
      </c>
      <c r="F3857" t="s">
        <v>16</v>
      </c>
      <c r="G3857">
        <v>50</v>
      </c>
      <c r="H3857">
        <v>13.365</v>
      </c>
      <c r="I3857">
        <v>50</v>
      </c>
      <c r="J3857" t="s">
        <v>20</v>
      </c>
    </row>
    <row r="3858" spans="1:10" x14ac:dyDescent="0.2">
      <c r="A3858">
        <v>13857</v>
      </c>
      <c r="B3858" t="s">
        <v>10</v>
      </c>
      <c r="C3858" t="s">
        <v>11</v>
      </c>
      <c r="D3858">
        <v>14.25</v>
      </c>
      <c r="E3858">
        <v>4</v>
      </c>
      <c r="F3858" t="s">
        <v>15</v>
      </c>
      <c r="G3858">
        <v>25</v>
      </c>
      <c r="H3858">
        <v>17.8125</v>
      </c>
      <c r="I3858">
        <v>25</v>
      </c>
      <c r="J3858" t="s">
        <v>20</v>
      </c>
    </row>
    <row r="3859" spans="1:10" x14ac:dyDescent="0.2">
      <c r="A3859">
        <v>13858</v>
      </c>
      <c r="B3859" t="s">
        <v>5</v>
      </c>
      <c r="C3859" t="s">
        <v>9</v>
      </c>
      <c r="D3859">
        <v>1.5</v>
      </c>
      <c r="E3859">
        <v>2</v>
      </c>
      <c r="F3859" t="s">
        <v>14</v>
      </c>
      <c r="G3859">
        <v>15</v>
      </c>
      <c r="H3859">
        <v>1.7249999999999999</v>
      </c>
      <c r="I3859">
        <v>14.999999999999991</v>
      </c>
      <c r="J3859" t="s">
        <v>20</v>
      </c>
    </row>
    <row r="3860" spans="1:10" x14ac:dyDescent="0.2">
      <c r="A3860">
        <v>13859</v>
      </c>
      <c r="B3860" t="s">
        <v>7</v>
      </c>
      <c r="C3860" t="s">
        <v>11</v>
      </c>
      <c r="D3860">
        <v>7.86</v>
      </c>
      <c r="E3860">
        <v>1</v>
      </c>
      <c r="F3860" t="s">
        <v>14</v>
      </c>
      <c r="G3860">
        <v>10</v>
      </c>
      <c r="H3860">
        <v>8.6460000000000008</v>
      </c>
      <c r="I3860">
        <v>10.000000000000009</v>
      </c>
      <c r="J3860" t="s">
        <v>20</v>
      </c>
    </row>
    <row r="3861" spans="1:10" x14ac:dyDescent="0.2">
      <c r="A3861">
        <v>13860</v>
      </c>
      <c r="B3861" t="s">
        <v>8</v>
      </c>
      <c r="C3861" t="s">
        <v>11</v>
      </c>
      <c r="D3861">
        <v>5.27</v>
      </c>
      <c r="E3861">
        <v>3</v>
      </c>
      <c r="F3861" t="s">
        <v>14</v>
      </c>
      <c r="G3861">
        <v>10</v>
      </c>
      <c r="H3861">
        <v>5.7969999999999997</v>
      </c>
      <c r="I3861">
        <v>10.000000000000009</v>
      </c>
      <c r="J3861" t="s">
        <v>20</v>
      </c>
    </row>
    <row r="3862" spans="1:10" x14ac:dyDescent="0.2">
      <c r="A3862">
        <v>13861</v>
      </c>
      <c r="B3862" t="s">
        <v>7</v>
      </c>
      <c r="C3862" t="s">
        <v>6</v>
      </c>
      <c r="D3862">
        <v>7.87</v>
      </c>
      <c r="E3862">
        <v>7</v>
      </c>
      <c r="F3862" t="s">
        <v>15</v>
      </c>
      <c r="G3862">
        <v>28</v>
      </c>
      <c r="H3862">
        <v>10.073600000000001</v>
      </c>
      <c r="I3862">
        <v>28.000000000000004</v>
      </c>
      <c r="J3862" t="s">
        <v>20</v>
      </c>
    </row>
    <row r="3863" spans="1:10" x14ac:dyDescent="0.2">
      <c r="A3863">
        <v>13862</v>
      </c>
      <c r="B3863" t="s">
        <v>10</v>
      </c>
      <c r="C3863" t="s">
        <v>11</v>
      </c>
      <c r="D3863">
        <v>0.85</v>
      </c>
      <c r="E3863">
        <v>10</v>
      </c>
      <c r="F3863" t="s">
        <v>16</v>
      </c>
      <c r="G3863">
        <v>50</v>
      </c>
      <c r="H3863">
        <v>1.2749999999999999</v>
      </c>
      <c r="I3863">
        <v>50</v>
      </c>
      <c r="J3863" t="s">
        <v>20</v>
      </c>
    </row>
    <row r="3864" spans="1:10" x14ac:dyDescent="0.2">
      <c r="A3864">
        <v>13863</v>
      </c>
      <c r="B3864" t="s">
        <v>5</v>
      </c>
      <c r="C3864" t="s">
        <v>11</v>
      </c>
      <c r="D3864">
        <v>5.04</v>
      </c>
      <c r="E3864">
        <v>2</v>
      </c>
      <c r="F3864" t="s">
        <v>14</v>
      </c>
      <c r="G3864">
        <v>10</v>
      </c>
      <c r="H3864">
        <v>5.5440000000000005</v>
      </c>
      <c r="I3864">
        <v>10.000000000000009</v>
      </c>
      <c r="J3864" t="s">
        <v>20</v>
      </c>
    </row>
    <row r="3865" spans="1:10" x14ac:dyDescent="0.2">
      <c r="A3865">
        <v>13864</v>
      </c>
      <c r="B3865" t="s">
        <v>7</v>
      </c>
      <c r="C3865" t="s">
        <v>11</v>
      </c>
      <c r="D3865">
        <v>12.39</v>
      </c>
      <c r="E3865">
        <v>9</v>
      </c>
      <c r="F3865" t="s">
        <v>16</v>
      </c>
      <c r="G3865">
        <v>50</v>
      </c>
      <c r="H3865">
        <v>18.585000000000001</v>
      </c>
      <c r="I3865">
        <v>50</v>
      </c>
      <c r="J3865" t="s">
        <v>20</v>
      </c>
    </row>
    <row r="3866" spans="1:10" x14ac:dyDescent="0.2">
      <c r="A3866">
        <v>13865</v>
      </c>
      <c r="B3866" t="s">
        <v>7</v>
      </c>
      <c r="C3866" t="s">
        <v>9</v>
      </c>
      <c r="D3866">
        <v>8.5299999999999994</v>
      </c>
      <c r="E3866">
        <v>2</v>
      </c>
      <c r="F3866" t="s">
        <v>14</v>
      </c>
      <c r="G3866">
        <v>15</v>
      </c>
      <c r="H3866">
        <v>9.8094999999999981</v>
      </c>
      <c r="I3866">
        <v>14.999999999999991</v>
      </c>
      <c r="J3866" t="s">
        <v>20</v>
      </c>
    </row>
    <row r="3867" spans="1:10" x14ac:dyDescent="0.2">
      <c r="A3867">
        <v>13866</v>
      </c>
      <c r="B3867" t="s">
        <v>7</v>
      </c>
      <c r="C3867" t="s">
        <v>6</v>
      </c>
      <c r="D3867">
        <v>7.03</v>
      </c>
      <c r="E3867">
        <v>5</v>
      </c>
      <c r="F3867" t="s">
        <v>15</v>
      </c>
      <c r="G3867">
        <v>28</v>
      </c>
      <c r="H3867">
        <v>8.9984000000000002</v>
      </c>
      <c r="I3867">
        <v>28.000000000000004</v>
      </c>
      <c r="J3867" t="s">
        <v>20</v>
      </c>
    </row>
    <row r="3868" spans="1:10" x14ac:dyDescent="0.2">
      <c r="A3868">
        <v>13867</v>
      </c>
      <c r="B3868" t="s">
        <v>10</v>
      </c>
      <c r="C3868" t="s">
        <v>11</v>
      </c>
      <c r="D3868">
        <v>4.6399999999999997</v>
      </c>
      <c r="E3868">
        <v>8</v>
      </c>
      <c r="F3868" t="s">
        <v>16</v>
      </c>
      <c r="G3868">
        <v>50</v>
      </c>
      <c r="H3868">
        <v>6.9599999999999991</v>
      </c>
      <c r="I3868">
        <v>50</v>
      </c>
      <c r="J3868" t="s">
        <v>20</v>
      </c>
    </row>
    <row r="3869" spans="1:10" x14ac:dyDescent="0.2">
      <c r="A3869">
        <v>13868</v>
      </c>
      <c r="B3869" t="s">
        <v>7</v>
      </c>
      <c r="C3869" t="s">
        <v>11</v>
      </c>
      <c r="D3869">
        <v>4.82</v>
      </c>
      <c r="E3869">
        <v>10</v>
      </c>
      <c r="F3869" t="s">
        <v>16</v>
      </c>
      <c r="G3869">
        <v>50</v>
      </c>
      <c r="H3869">
        <v>7.23</v>
      </c>
      <c r="I3869">
        <v>50</v>
      </c>
      <c r="J3869" t="s">
        <v>20</v>
      </c>
    </row>
    <row r="3870" spans="1:10" x14ac:dyDescent="0.2">
      <c r="A3870">
        <v>13869</v>
      </c>
      <c r="B3870" t="s">
        <v>10</v>
      </c>
      <c r="C3870" t="s">
        <v>6</v>
      </c>
      <c r="D3870">
        <v>6.05</v>
      </c>
      <c r="E3870">
        <v>8</v>
      </c>
      <c r="F3870" t="s">
        <v>16</v>
      </c>
      <c r="G3870">
        <v>55</v>
      </c>
      <c r="H3870">
        <v>9.3774999999999995</v>
      </c>
      <c r="I3870">
        <v>55.000000000000007</v>
      </c>
      <c r="J3870" t="s">
        <v>20</v>
      </c>
    </row>
    <row r="3871" spans="1:10" x14ac:dyDescent="0.2">
      <c r="A3871">
        <v>13870</v>
      </c>
      <c r="B3871" t="s">
        <v>10</v>
      </c>
      <c r="C3871" t="s">
        <v>11</v>
      </c>
      <c r="D3871">
        <v>12.62</v>
      </c>
      <c r="E3871">
        <v>3</v>
      </c>
      <c r="F3871" t="s">
        <v>14</v>
      </c>
      <c r="G3871">
        <v>10</v>
      </c>
      <c r="H3871">
        <v>13.882</v>
      </c>
      <c r="I3871">
        <v>10.000000000000009</v>
      </c>
      <c r="J3871" t="s">
        <v>20</v>
      </c>
    </row>
    <row r="3872" spans="1:10" x14ac:dyDescent="0.2">
      <c r="A3872">
        <v>13871</v>
      </c>
      <c r="B3872" t="s">
        <v>10</v>
      </c>
      <c r="C3872" t="s">
        <v>9</v>
      </c>
      <c r="D3872">
        <v>14.52</v>
      </c>
      <c r="E3872">
        <v>2</v>
      </c>
      <c r="F3872" t="s">
        <v>14</v>
      </c>
      <c r="G3872">
        <v>15</v>
      </c>
      <c r="H3872">
        <v>16.697999999999997</v>
      </c>
      <c r="I3872">
        <v>14.999999999999991</v>
      </c>
      <c r="J3872" t="s">
        <v>20</v>
      </c>
    </row>
    <row r="3873" spans="1:10" x14ac:dyDescent="0.2">
      <c r="A3873">
        <v>13872</v>
      </c>
      <c r="B3873" t="s">
        <v>5</v>
      </c>
      <c r="C3873" t="s">
        <v>11</v>
      </c>
      <c r="D3873">
        <v>6.86</v>
      </c>
      <c r="E3873">
        <v>9</v>
      </c>
      <c r="F3873" t="s">
        <v>16</v>
      </c>
      <c r="G3873">
        <v>50</v>
      </c>
      <c r="H3873">
        <v>10.290000000000001</v>
      </c>
      <c r="I3873">
        <v>50</v>
      </c>
      <c r="J3873" t="s">
        <v>20</v>
      </c>
    </row>
    <row r="3874" spans="1:10" x14ac:dyDescent="0.2">
      <c r="A3874">
        <v>13873</v>
      </c>
      <c r="B3874" t="s">
        <v>5</v>
      </c>
      <c r="C3874" t="s">
        <v>9</v>
      </c>
      <c r="D3874">
        <v>6.2</v>
      </c>
      <c r="E3874">
        <v>3</v>
      </c>
      <c r="F3874" t="s">
        <v>14</v>
      </c>
      <c r="G3874">
        <v>15</v>
      </c>
      <c r="H3874">
        <v>7.13</v>
      </c>
      <c r="I3874">
        <v>14.999999999999991</v>
      </c>
      <c r="J3874" t="s">
        <v>20</v>
      </c>
    </row>
    <row r="3875" spans="1:10" x14ac:dyDescent="0.2">
      <c r="A3875">
        <v>13874</v>
      </c>
      <c r="B3875" t="s">
        <v>7</v>
      </c>
      <c r="C3875" t="s">
        <v>9</v>
      </c>
      <c r="D3875">
        <v>12.77</v>
      </c>
      <c r="E3875">
        <v>8</v>
      </c>
      <c r="F3875" t="s">
        <v>16</v>
      </c>
      <c r="G3875">
        <v>60</v>
      </c>
      <c r="H3875">
        <v>20.432000000000002</v>
      </c>
      <c r="I3875">
        <v>60.000000000000028</v>
      </c>
      <c r="J3875" t="s">
        <v>20</v>
      </c>
    </row>
    <row r="3876" spans="1:10" x14ac:dyDescent="0.2">
      <c r="A3876">
        <v>13875</v>
      </c>
      <c r="B3876" t="s">
        <v>7</v>
      </c>
      <c r="C3876" t="s">
        <v>11</v>
      </c>
      <c r="D3876">
        <v>6.69</v>
      </c>
      <c r="E3876">
        <v>2</v>
      </c>
      <c r="F3876" t="s">
        <v>14</v>
      </c>
      <c r="G3876">
        <v>10</v>
      </c>
      <c r="H3876">
        <v>7.3590000000000009</v>
      </c>
      <c r="I3876">
        <v>10.000000000000009</v>
      </c>
      <c r="J3876" t="s">
        <v>20</v>
      </c>
    </row>
    <row r="3877" spans="1:10" x14ac:dyDescent="0.2">
      <c r="A3877">
        <v>13876</v>
      </c>
      <c r="B3877" t="s">
        <v>5</v>
      </c>
      <c r="C3877" t="s">
        <v>6</v>
      </c>
      <c r="D3877">
        <v>8.5</v>
      </c>
      <c r="E3877">
        <v>3</v>
      </c>
      <c r="F3877" t="s">
        <v>14</v>
      </c>
      <c r="G3877">
        <v>12</v>
      </c>
      <c r="H3877">
        <v>9.5200000000000014</v>
      </c>
      <c r="I3877">
        <v>12.000000000000011</v>
      </c>
      <c r="J3877" t="s">
        <v>20</v>
      </c>
    </row>
    <row r="3878" spans="1:10" x14ac:dyDescent="0.2">
      <c r="A3878">
        <v>13877</v>
      </c>
      <c r="B3878" t="s">
        <v>8</v>
      </c>
      <c r="C3878" t="s">
        <v>9</v>
      </c>
      <c r="D3878">
        <v>3.85</v>
      </c>
      <c r="E3878">
        <v>1</v>
      </c>
      <c r="F3878" t="s">
        <v>14</v>
      </c>
      <c r="G3878">
        <v>15</v>
      </c>
      <c r="H3878">
        <v>4.4274999999999993</v>
      </c>
      <c r="I3878">
        <v>14.999999999999968</v>
      </c>
      <c r="J3878" t="s">
        <v>20</v>
      </c>
    </row>
    <row r="3879" spans="1:10" x14ac:dyDescent="0.2">
      <c r="A3879">
        <v>13878</v>
      </c>
      <c r="B3879" t="s">
        <v>5</v>
      </c>
      <c r="C3879" t="s">
        <v>6</v>
      </c>
      <c r="D3879">
        <v>11.28</v>
      </c>
      <c r="E3879">
        <v>6</v>
      </c>
      <c r="F3879" t="s">
        <v>15</v>
      </c>
      <c r="G3879">
        <v>28</v>
      </c>
      <c r="H3879">
        <v>14.4384</v>
      </c>
      <c r="I3879">
        <v>28.000000000000004</v>
      </c>
      <c r="J3879" t="s">
        <v>20</v>
      </c>
    </row>
    <row r="3880" spans="1:10" x14ac:dyDescent="0.2">
      <c r="A3880">
        <v>13879</v>
      </c>
      <c r="B3880" t="s">
        <v>10</v>
      </c>
      <c r="C3880" t="s">
        <v>11</v>
      </c>
      <c r="D3880">
        <v>8.2100000000000009</v>
      </c>
      <c r="E3880">
        <v>7</v>
      </c>
      <c r="F3880" t="s">
        <v>15</v>
      </c>
      <c r="G3880">
        <v>25</v>
      </c>
      <c r="H3880">
        <v>10.262500000000001</v>
      </c>
      <c r="I3880">
        <v>25</v>
      </c>
      <c r="J3880" t="s">
        <v>20</v>
      </c>
    </row>
    <row r="3881" spans="1:10" x14ac:dyDescent="0.2">
      <c r="A3881">
        <v>13880</v>
      </c>
      <c r="B3881" t="s">
        <v>5</v>
      </c>
      <c r="C3881" t="s">
        <v>9</v>
      </c>
      <c r="D3881">
        <v>12.23</v>
      </c>
      <c r="E3881">
        <v>4</v>
      </c>
      <c r="F3881" t="s">
        <v>15</v>
      </c>
      <c r="G3881">
        <v>30</v>
      </c>
      <c r="H3881">
        <v>15.899000000000001</v>
      </c>
      <c r="I3881">
        <v>30.000000000000004</v>
      </c>
      <c r="J3881" t="s">
        <v>20</v>
      </c>
    </row>
    <row r="3882" spans="1:10" x14ac:dyDescent="0.2">
      <c r="A3882">
        <v>13881</v>
      </c>
      <c r="B3882" t="s">
        <v>10</v>
      </c>
      <c r="C3882" t="s">
        <v>11</v>
      </c>
      <c r="D3882">
        <v>11.82</v>
      </c>
      <c r="E3882">
        <v>1</v>
      </c>
      <c r="F3882" t="s">
        <v>14</v>
      </c>
      <c r="G3882">
        <v>10</v>
      </c>
      <c r="H3882">
        <v>13.002000000000001</v>
      </c>
      <c r="I3882">
        <v>10.000000000000009</v>
      </c>
      <c r="J3882" t="s">
        <v>20</v>
      </c>
    </row>
    <row r="3883" spans="1:10" x14ac:dyDescent="0.2">
      <c r="A3883">
        <v>13882</v>
      </c>
      <c r="B3883" t="s">
        <v>7</v>
      </c>
      <c r="C3883" t="s">
        <v>6</v>
      </c>
      <c r="D3883">
        <v>3.62</v>
      </c>
      <c r="E3883">
        <v>3</v>
      </c>
      <c r="F3883" t="s">
        <v>14</v>
      </c>
      <c r="G3883">
        <v>12</v>
      </c>
      <c r="H3883">
        <v>4.0544000000000002</v>
      </c>
      <c r="I3883">
        <v>12.000000000000011</v>
      </c>
      <c r="J3883" t="s">
        <v>20</v>
      </c>
    </row>
    <row r="3884" spans="1:10" x14ac:dyDescent="0.2">
      <c r="A3884">
        <v>13883</v>
      </c>
      <c r="B3884" t="s">
        <v>8</v>
      </c>
      <c r="C3884" t="s">
        <v>11</v>
      </c>
      <c r="D3884">
        <v>10.88</v>
      </c>
      <c r="E3884">
        <v>9</v>
      </c>
      <c r="F3884" t="s">
        <v>16</v>
      </c>
      <c r="G3884">
        <v>50</v>
      </c>
      <c r="H3884">
        <v>16.32</v>
      </c>
      <c r="I3884">
        <v>50</v>
      </c>
      <c r="J3884" t="s">
        <v>20</v>
      </c>
    </row>
    <row r="3885" spans="1:10" x14ac:dyDescent="0.2">
      <c r="A3885">
        <v>13884</v>
      </c>
      <c r="B3885" t="s">
        <v>7</v>
      </c>
      <c r="C3885" t="s">
        <v>11</v>
      </c>
      <c r="D3885">
        <v>12.1</v>
      </c>
      <c r="E3885">
        <v>5</v>
      </c>
      <c r="F3885" t="s">
        <v>15</v>
      </c>
      <c r="G3885">
        <v>25</v>
      </c>
      <c r="H3885">
        <v>15.125</v>
      </c>
      <c r="I3885">
        <v>25</v>
      </c>
      <c r="J3885" t="s">
        <v>20</v>
      </c>
    </row>
    <row r="3886" spans="1:10" x14ac:dyDescent="0.2">
      <c r="A3886">
        <v>13885</v>
      </c>
      <c r="B3886" t="s">
        <v>10</v>
      </c>
      <c r="C3886" t="s">
        <v>9</v>
      </c>
      <c r="D3886">
        <v>5.52</v>
      </c>
      <c r="E3886">
        <v>6</v>
      </c>
      <c r="F3886" t="s">
        <v>15</v>
      </c>
      <c r="G3886">
        <v>30</v>
      </c>
      <c r="H3886">
        <v>7.1759999999999993</v>
      </c>
      <c r="I3886">
        <v>30.000000000000004</v>
      </c>
      <c r="J3886" t="s">
        <v>20</v>
      </c>
    </row>
    <row r="3887" spans="1:10" x14ac:dyDescent="0.2">
      <c r="A3887">
        <v>13886</v>
      </c>
      <c r="B3887" t="s">
        <v>10</v>
      </c>
      <c r="C3887" t="s">
        <v>11</v>
      </c>
      <c r="D3887">
        <v>3</v>
      </c>
      <c r="E3887">
        <v>4</v>
      </c>
      <c r="F3887" t="s">
        <v>15</v>
      </c>
      <c r="G3887">
        <v>25</v>
      </c>
      <c r="H3887">
        <v>3.75</v>
      </c>
      <c r="I3887">
        <v>25</v>
      </c>
      <c r="J3887" t="s">
        <v>20</v>
      </c>
    </row>
    <row r="3888" spans="1:10" x14ac:dyDescent="0.2">
      <c r="A3888">
        <v>13887</v>
      </c>
      <c r="B3888" t="s">
        <v>10</v>
      </c>
      <c r="C3888" t="s">
        <v>11</v>
      </c>
      <c r="D3888">
        <v>0.54</v>
      </c>
      <c r="E3888">
        <v>1</v>
      </c>
      <c r="F3888" t="s">
        <v>14</v>
      </c>
      <c r="G3888">
        <v>10</v>
      </c>
      <c r="H3888">
        <v>0.59400000000000008</v>
      </c>
      <c r="I3888">
        <v>10.000000000000009</v>
      </c>
      <c r="J3888" t="s">
        <v>20</v>
      </c>
    </row>
    <row r="3889" spans="1:10" x14ac:dyDescent="0.2">
      <c r="A3889">
        <v>13888</v>
      </c>
      <c r="B3889" t="s">
        <v>8</v>
      </c>
      <c r="C3889" t="s">
        <v>11</v>
      </c>
      <c r="D3889">
        <v>7.04</v>
      </c>
      <c r="E3889">
        <v>5</v>
      </c>
      <c r="F3889" t="s">
        <v>15</v>
      </c>
      <c r="G3889">
        <v>25</v>
      </c>
      <c r="H3889">
        <v>8.8000000000000007</v>
      </c>
      <c r="I3889">
        <v>25</v>
      </c>
      <c r="J3889" t="s">
        <v>20</v>
      </c>
    </row>
    <row r="3890" spans="1:10" x14ac:dyDescent="0.2">
      <c r="A3890">
        <v>13889</v>
      </c>
      <c r="B3890" t="s">
        <v>5</v>
      </c>
      <c r="C3890" t="s">
        <v>9</v>
      </c>
      <c r="D3890">
        <v>5.61</v>
      </c>
      <c r="E3890">
        <v>5</v>
      </c>
      <c r="F3890" t="s">
        <v>15</v>
      </c>
      <c r="G3890">
        <v>30</v>
      </c>
      <c r="H3890">
        <v>7.293000000000001</v>
      </c>
      <c r="I3890">
        <v>30.000000000000004</v>
      </c>
      <c r="J3890" t="s">
        <v>20</v>
      </c>
    </row>
    <row r="3891" spans="1:10" x14ac:dyDescent="0.2">
      <c r="A3891">
        <v>13890</v>
      </c>
      <c r="B3891" t="s">
        <v>7</v>
      </c>
      <c r="C3891" t="s">
        <v>6</v>
      </c>
      <c r="D3891">
        <v>8.5500000000000007</v>
      </c>
      <c r="E3891">
        <v>5</v>
      </c>
      <c r="F3891" t="s">
        <v>15</v>
      </c>
      <c r="G3891">
        <v>28</v>
      </c>
      <c r="H3891">
        <v>10.944000000000001</v>
      </c>
      <c r="I3891">
        <v>28.000000000000004</v>
      </c>
      <c r="J3891" t="s">
        <v>20</v>
      </c>
    </row>
    <row r="3892" spans="1:10" x14ac:dyDescent="0.2">
      <c r="A3892">
        <v>13891</v>
      </c>
      <c r="B3892" t="s">
        <v>7</v>
      </c>
      <c r="C3892" t="s">
        <v>6</v>
      </c>
      <c r="D3892">
        <v>3.23</v>
      </c>
      <c r="E3892">
        <v>6</v>
      </c>
      <c r="F3892" t="s">
        <v>15</v>
      </c>
      <c r="G3892">
        <v>28</v>
      </c>
      <c r="H3892">
        <v>4.1344000000000003</v>
      </c>
      <c r="I3892">
        <v>28.000000000000004</v>
      </c>
      <c r="J3892" t="s">
        <v>20</v>
      </c>
    </row>
    <row r="3893" spans="1:10" x14ac:dyDescent="0.2">
      <c r="A3893">
        <v>13892</v>
      </c>
      <c r="B3893" t="s">
        <v>5</v>
      </c>
      <c r="C3893" t="s">
        <v>11</v>
      </c>
      <c r="D3893">
        <v>12.97</v>
      </c>
      <c r="E3893">
        <v>2</v>
      </c>
      <c r="F3893" t="s">
        <v>14</v>
      </c>
      <c r="G3893">
        <v>10</v>
      </c>
      <c r="H3893">
        <v>14.267000000000001</v>
      </c>
      <c r="I3893">
        <v>10.000000000000009</v>
      </c>
      <c r="J3893" t="s">
        <v>20</v>
      </c>
    </row>
    <row r="3894" spans="1:10" x14ac:dyDescent="0.2">
      <c r="A3894">
        <v>13893</v>
      </c>
      <c r="B3894" t="s">
        <v>7</v>
      </c>
      <c r="C3894" t="s">
        <v>9</v>
      </c>
      <c r="D3894">
        <v>4.24</v>
      </c>
      <c r="E3894">
        <v>1</v>
      </c>
      <c r="F3894" t="s">
        <v>14</v>
      </c>
      <c r="G3894">
        <v>15</v>
      </c>
      <c r="H3894">
        <v>4.8759999999999994</v>
      </c>
      <c r="I3894">
        <v>14.999999999999991</v>
      </c>
      <c r="J3894" t="s">
        <v>20</v>
      </c>
    </row>
    <row r="3895" spans="1:10" x14ac:dyDescent="0.2">
      <c r="A3895">
        <v>13894</v>
      </c>
      <c r="B3895" t="s">
        <v>8</v>
      </c>
      <c r="C3895" t="s">
        <v>11</v>
      </c>
      <c r="D3895">
        <v>3.78</v>
      </c>
      <c r="E3895">
        <v>2</v>
      </c>
      <c r="F3895" t="s">
        <v>14</v>
      </c>
      <c r="G3895">
        <v>10</v>
      </c>
      <c r="H3895">
        <v>4.1580000000000004</v>
      </c>
      <c r="I3895">
        <v>10.000000000000009</v>
      </c>
      <c r="J3895" t="s">
        <v>20</v>
      </c>
    </row>
    <row r="3896" spans="1:10" x14ac:dyDescent="0.2">
      <c r="A3896">
        <v>13895</v>
      </c>
      <c r="B3896" t="s">
        <v>7</v>
      </c>
      <c r="C3896" t="s">
        <v>6</v>
      </c>
      <c r="D3896">
        <v>7.47</v>
      </c>
      <c r="E3896">
        <v>10</v>
      </c>
      <c r="F3896" t="s">
        <v>16</v>
      </c>
      <c r="G3896">
        <v>55</v>
      </c>
      <c r="H3896">
        <v>11.5785</v>
      </c>
      <c r="I3896">
        <v>55.000000000000007</v>
      </c>
      <c r="J3896" t="s">
        <v>20</v>
      </c>
    </row>
    <row r="3897" spans="1:10" x14ac:dyDescent="0.2">
      <c r="A3897">
        <v>13896</v>
      </c>
      <c r="B3897" t="s">
        <v>10</v>
      </c>
      <c r="C3897" t="s">
        <v>9</v>
      </c>
      <c r="D3897">
        <v>7.73</v>
      </c>
      <c r="E3897">
        <v>6</v>
      </c>
      <c r="F3897" t="s">
        <v>15</v>
      </c>
      <c r="G3897">
        <v>30</v>
      </c>
      <c r="H3897">
        <v>10.049000000000001</v>
      </c>
      <c r="I3897">
        <v>30.000000000000004</v>
      </c>
      <c r="J3897" t="s">
        <v>20</v>
      </c>
    </row>
    <row r="3898" spans="1:10" x14ac:dyDescent="0.2">
      <c r="A3898">
        <v>13897</v>
      </c>
      <c r="B3898" t="s">
        <v>5</v>
      </c>
      <c r="C3898" t="s">
        <v>6</v>
      </c>
      <c r="D3898">
        <v>3.62</v>
      </c>
      <c r="E3898">
        <v>5</v>
      </c>
      <c r="F3898" t="s">
        <v>15</v>
      </c>
      <c r="G3898">
        <v>28</v>
      </c>
      <c r="H3898">
        <v>4.6336000000000004</v>
      </c>
      <c r="I3898">
        <v>28.000000000000004</v>
      </c>
      <c r="J3898" t="s">
        <v>20</v>
      </c>
    </row>
    <row r="3899" spans="1:10" x14ac:dyDescent="0.2">
      <c r="A3899">
        <v>13898</v>
      </c>
      <c r="B3899" t="s">
        <v>8</v>
      </c>
      <c r="C3899" t="s">
        <v>6</v>
      </c>
      <c r="D3899">
        <v>4.4400000000000004</v>
      </c>
      <c r="E3899">
        <v>5</v>
      </c>
      <c r="F3899" t="s">
        <v>15</v>
      </c>
      <c r="G3899">
        <v>28</v>
      </c>
      <c r="H3899">
        <v>5.6832000000000003</v>
      </c>
      <c r="I3899">
        <v>28.000000000000004</v>
      </c>
      <c r="J3899" t="s">
        <v>20</v>
      </c>
    </row>
    <row r="3900" spans="1:10" x14ac:dyDescent="0.2">
      <c r="A3900">
        <v>13899</v>
      </c>
      <c r="B3900" t="s">
        <v>5</v>
      </c>
      <c r="C3900" t="s">
        <v>9</v>
      </c>
      <c r="D3900">
        <v>2.96</v>
      </c>
      <c r="E3900">
        <v>6</v>
      </c>
      <c r="F3900" t="s">
        <v>15</v>
      </c>
      <c r="G3900">
        <v>30</v>
      </c>
      <c r="H3900">
        <v>3.8479999999999999</v>
      </c>
      <c r="I3900">
        <v>30.000000000000004</v>
      </c>
      <c r="J3900" t="s">
        <v>20</v>
      </c>
    </row>
    <row r="3901" spans="1:10" x14ac:dyDescent="0.2">
      <c r="A3901">
        <v>13900</v>
      </c>
      <c r="B3901" t="s">
        <v>8</v>
      </c>
      <c r="C3901" t="s">
        <v>9</v>
      </c>
      <c r="D3901">
        <v>10.92</v>
      </c>
      <c r="E3901">
        <v>10</v>
      </c>
      <c r="F3901" t="s">
        <v>16</v>
      </c>
      <c r="G3901">
        <v>60</v>
      </c>
      <c r="H3901">
        <v>17.472000000000001</v>
      </c>
      <c r="I3901">
        <v>60.000000000000007</v>
      </c>
      <c r="J3901" t="s">
        <v>20</v>
      </c>
    </row>
    <row r="3902" spans="1:10" x14ac:dyDescent="0.2">
      <c r="A3902">
        <v>13901</v>
      </c>
      <c r="B3902" t="s">
        <v>10</v>
      </c>
      <c r="C3902" t="s">
        <v>11</v>
      </c>
      <c r="D3902">
        <v>11.67</v>
      </c>
      <c r="E3902">
        <v>7</v>
      </c>
      <c r="F3902" t="s">
        <v>15</v>
      </c>
      <c r="G3902">
        <v>25</v>
      </c>
      <c r="H3902">
        <v>14.5875</v>
      </c>
      <c r="I3902">
        <v>25</v>
      </c>
      <c r="J3902" t="s">
        <v>20</v>
      </c>
    </row>
    <row r="3903" spans="1:10" x14ac:dyDescent="0.2">
      <c r="A3903">
        <v>13902</v>
      </c>
      <c r="B3903" t="s">
        <v>5</v>
      </c>
      <c r="C3903" t="s">
        <v>11</v>
      </c>
      <c r="D3903">
        <v>7.2</v>
      </c>
      <c r="E3903">
        <v>9</v>
      </c>
      <c r="F3903" t="s">
        <v>16</v>
      </c>
      <c r="G3903">
        <v>50</v>
      </c>
      <c r="H3903">
        <v>10.8</v>
      </c>
      <c r="I3903">
        <v>50</v>
      </c>
      <c r="J3903" t="s">
        <v>20</v>
      </c>
    </row>
    <row r="3904" spans="1:10" x14ac:dyDescent="0.2">
      <c r="A3904">
        <v>13903</v>
      </c>
      <c r="B3904" t="s">
        <v>7</v>
      </c>
      <c r="C3904" t="s">
        <v>6</v>
      </c>
      <c r="D3904">
        <v>10.85</v>
      </c>
      <c r="E3904">
        <v>7</v>
      </c>
      <c r="F3904" t="s">
        <v>15</v>
      </c>
      <c r="G3904">
        <v>28</v>
      </c>
      <c r="H3904">
        <v>13.888</v>
      </c>
      <c r="I3904">
        <v>28.000000000000004</v>
      </c>
      <c r="J3904" t="s">
        <v>20</v>
      </c>
    </row>
    <row r="3905" spans="1:10" x14ac:dyDescent="0.2">
      <c r="A3905">
        <v>13904</v>
      </c>
      <c r="B3905" t="s">
        <v>8</v>
      </c>
      <c r="C3905" t="s">
        <v>9</v>
      </c>
      <c r="D3905">
        <v>11.17</v>
      </c>
      <c r="E3905">
        <v>2</v>
      </c>
      <c r="F3905" t="s">
        <v>14</v>
      </c>
      <c r="G3905">
        <v>15</v>
      </c>
      <c r="H3905">
        <v>12.845499999999999</v>
      </c>
      <c r="I3905">
        <v>14.999999999999991</v>
      </c>
      <c r="J3905" t="s">
        <v>20</v>
      </c>
    </row>
    <row r="3906" spans="1:10" x14ac:dyDescent="0.2">
      <c r="A3906">
        <v>13905</v>
      </c>
      <c r="B3906" t="s">
        <v>5</v>
      </c>
      <c r="C3906" t="s">
        <v>9</v>
      </c>
      <c r="D3906">
        <v>2.5</v>
      </c>
      <c r="E3906">
        <v>6</v>
      </c>
      <c r="F3906" t="s">
        <v>15</v>
      </c>
      <c r="G3906">
        <v>30</v>
      </c>
      <c r="H3906">
        <v>3.25</v>
      </c>
      <c r="I3906">
        <v>30.000000000000004</v>
      </c>
      <c r="J3906" t="s">
        <v>20</v>
      </c>
    </row>
    <row r="3907" spans="1:10" x14ac:dyDescent="0.2">
      <c r="A3907">
        <v>13906</v>
      </c>
      <c r="B3907" t="s">
        <v>7</v>
      </c>
      <c r="C3907" t="s">
        <v>11</v>
      </c>
      <c r="D3907">
        <v>14.51</v>
      </c>
      <c r="E3907">
        <v>9</v>
      </c>
      <c r="F3907" t="s">
        <v>16</v>
      </c>
      <c r="G3907">
        <v>50</v>
      </c>
      <c r="H3907">
        <v>21.765000000000001</v>
      </c>
      <c r="I3907">
        <v>50</v>
      </c>
      <c r="J3907" t="s">
        <v>20</v>
      </c>
    </row>
    <row r="3908" spans="1:10" x14ac:dyDescent="0.2">
      <c r="A3908">
        <v>13907</v>
      </c>
      <c r="B3908" t="s">
        <v>5</v>
      </c>
      <c r="C3908" t="s">
        <v>6</v>
      </c>
      <c r="D3908">
        <v>12.4</v>
      </c>
      <c r="E3908">
        <v>7</v>
      </c>
      <c r="F3908" t="s">
        <v>15</v>
      </c>
      <c r="G3908">
        <v>28</v>
      </c>
      <c r="H3908">
        <v>15.872000000000002</v>
      </c>
      <c r="I3908">
        <v>28.000000000000004</v>
      </c>
      <c r="J3908" t="s">
        <v>20</v>
      </c>
    </row>
    <row r="3909" spans="1:10" x14ac:dyDescent="0.2">
      <c r="A3909">
        <v>13908</v>
      </c>
      <c r="B3909" t="s">
        <v>5</v>
      </c>
      <c r="C3909" t="s">
        <v>6</v>
      </c>
      <c r="D3909">
        <v>3.47</v>
      </c>
      <c r="E3909">
        <v>2</v>
      </c>
      <c r="F3909" t="s">
        <v>14</v>
      </c>
      <c r="G3909">
        <v>12</v>
      </c>
      <c r="H3909">
        <v>3.8864000000000005</v>
      </c>
      <c r="I3909">
        <v>12.000000000000011</v>
      </c>
      <c r="J3909" t="s">
        <v>20</v>
      </c>
    </row>
    <row r="3910" spans="1:10" x14ac:dyDescent="0.2">
      <c r="A3910">
        <v>13909</v>
      </c>
      <c r="B3910" t="s">
        <v>5</v>
      </c>
      <c r="C3910" t="s">
        <v>11</v>
      </c>
      <c r="D3910">
        <v>3.2</v>
      </c>
      <c r="E3910">
        <v>3</v>
      </c>
      <c r="F3910" t="s">
        <v>14</v>
      </c>
      <c r="G3910">
        <v>10</v>
      </c>
      <c r="H3910">
        <v>3.5200000000000005</v>
      </c>
      <c r="I3910">
        <v>10.000000000000009</v>
      </c>
      <c r="J3910" t="s">
        <v>20</v>
      </c>
    </row>
    <row r="3911" spans="1:10" x14ac:dyDescent="0.2">
      <c r="A3911">
        <v>13910</v>
      </c>
      <c r="B3911" t="s">
        <v>8</v>
      </c>
      <c r="C3911" t="s">
        <v>9</v>
      </c>
      <c r="D3911">
        <v>2.3199999999999998</v>
      </c>
      <c r="E3911">
        <v>8</v>
      </c>
      <c r="F3911" t="s">
        <v>16</v>
      </c>
      <c r="G3911">
        <v>60</v>
      </c>
      <c r="H3911">
        <v>3.7119999999999997</v>
      </c>
      <c r="I3911">
        <v>60.000000000000007</v>
      </c>
      <c r="J3911" t="s">
        <v>20</v>
      </c>
    </row>
    <row r="3912" spans="1:10" x14ac:dyDescent="0.2">
      <c r="A3912">
        <v>13911</v>
      </c>
      <c r="B3912" t="s">
        <v>7</v>
      </c>
      <c r="C3912" t="s">
        <v>11</v>
      </c>
      <c r="D3912">
        <v>2.5099999999999998</v>
      </c>
      <c r="E3912">
        <v>9</v>
      </c>
      <c r="F3912" t="s">
        <v>16</v>
      </c>
      <c r="G3912">
        <v>50</v>
      </c>
      <c r="H3912">
        <v>3.7649999999999997</v>
      </c>
      <c r="I3912">
        <v>50</v>
      </c>
      <c r="J3912" t="s">
        <v>20</v>
      </c>
    </row>
    <row r="3913" spans="1:10" x14ac:dyDescent="0.2">
      <c r="A3913">
        <v>13912</v>
      </c>
      <c r="B3913" t="s">
        <v>10</v>
      </c>
      <c r="C3913" t="s">
        <v>11</v>
      </c>
      <c r="D3913">
        <v>11.35</v>
      </c>
      <c r="E3913">
        <v>4</v>
      </c>
      <c r="F3913" t="s">
        <v>15</v>
      </c>
      <c r="G3913">
        <v>25</v>
      </c>
      <c r="H3913">
        <v>14.1875</v>
      </c>
      <c r="I3913">
        <v>25</v>
      </c>
      <c r="J3913" t="s">
        <v>20</v>
      </c>
    </row>
    <row r="3914" spans="1:10" x14ac:dyDescent="0.2">
      <c r="A3914">
        <v>13913</v>
      </c>
      <c r="B3914" t="s">
        <v>8</v>
      </c>
      <c r="C3914" t="s">
        <v>11</v>
      </c>
      <c r="D3914">
        <v>7.31</v>
      </c>
      <c r="E3914">
        <v>9</v>
      </c>
      <c r="F3914" t="s">
        <v>16</v>
      </c>
      <c r="G3914">
        <v>50</v>
      </c>
      <c r="H3914">
        <v>10.965</v>
      </c>
      <c r="I3914">
        <v>50</v>
      </c>
      <c r="J3914" t="s">
        <v>20</v>
      </c>
    </row>
    <row r="3915" spans="1:10" x14ac:dyDescent="0.2">
      <c r="A3915">
        <v>13914</v>
      </c>
      <c r="B3915" t="s">
        <v>8</v>
      </c>
      <c r="C3915" t="s">
        <v>11</v>
      </c>
      <c r="D3915">
        <v>11.85</v>
      </c>
      <c r="E3915">
        <v>2</v>
      </c>
      <c r="F3915" t="s">
        <v>14</v>
      </c>
      <c r="G3915">
        <v>10</v>
      </c>
      <c r="H3915">
        <v>13.035</v>
      </c>
      <c r="I3915">
        <v>10.000000000000009</v>
      </c>
      <c r="J3915" t="s">
        <v>20</v>
      </c>
    </row>
    <row r="3916" spans="1:10" x14ac:dyDescent="0.2">
      <c r="A3916">
        <v>13915</v>
      </c>
      <c r="B3916" t="s">
        <v>8</v>
      </c>
      <c r="C3916" t="s">
        <v>9</v>
      </c>
      <c r="D3916">
        <v>11.32</v>
      </c>
      <c r="E3916">
        <v>5</v>
      </c>
      <c r="F3916" t="s">
        <v>15</v>
      </c>
      <c r="G3916">
        <v>30</v>
      </c>
      <c r="H3916">
        <v>14.716000000000001</v>
      </c>
      <c r="I3916">
        <v>30.000000000000004</v>
      </c>
      <c r="J3916" t="s">
        <v>20</v>
      </c>
    </row>
    <row r="3917" spans="1:10" x14ac:dyDescent="0.2">
      <c r="A3917">
        <v>13916</v>
      </c>
      <c r="B3917" t="s">
        <v>10</v>
      </c>
      <c r="C3917" t="s">
        <v>11</v>
      </c>
      <c r="D3917">
        <v>9.27</v>
      </c>
      <c r="E3917">
        <v>2</v>
      </c>
      <c r="F3917" t="s">
        <v>14</v>
      </c>
      <c r="G3917">
        <v>10</v>
      </c>
      <c r="H3917">
        <v>10.197000000000001</v>
      </c>
      <c r="I3917">
        <v>10.000000000000009</v>
      </c>
      <c r="J3917" t="s">
        <v>20</v>
      </c>
    </row>
    <row r="3918" spans="1:10" x14ac:dyDescent="0.2">
      <c r="A3918">
        <v>13917</v>
      </c>
      <c r="B3918" t="s">
        <v>7</v>
      </c>
      <c r="C3918" t="s">
        <v>9</v>
      </c>
      <c r="D3918">
        <v>10.45</v>
      </c>
      <c r="E3918">
        <v>1</v>
      </c>
      <c r="F3918" t="s">
        <v>14</v>
      </c>
      <c r="G3918">
        <v>15</v>
      </c>
      <c r="H3918">
        <v>12.017499999999998</v>
      </c>
      <c r="I3918">
        <v>14.999999999999991</v>
      </c>
      <c r="J3918" t="s">
        <v>20</v>
      </c>
    </row>
    <row r="3919" spans="1:10" x14ac:dyDescent="0.2">
      <c r="A3919">
        <v>13918</v>
      </c>
      <c r="B3919" t="s">
        <v>7</v>
      </c>
      <c r="C3919" t="s">
        <v>11</v>
      </c>
      <c r="D3919">
        <v>0.77</v>
      </c>
      <c r="E3919">
        <v>5</v>
      </c>
      <c r="F3919" t="s">
        <v>15</v>
      </c>
      <c r="G3919">
        <v>25</v>
      </c>
      <c r="H3919">
        <v>0.96250000000000002</v>
      </c>
      <c r="I3919">
        <v>25</v>
      </c>
      <c r="J3919" t="s">
        <v>20</v>
      </c>
    </row>
    <row r="3920" spans="1:10" x14ac:dyDescent="0.2">
      <c r="A3920">
        <v>13919</v>
      </c>
      <c r="B3920" t="s">
        <v>7</v>
      </c>
      <c r="C3920" t="s">
        <v>6</v>
      </c>
      <c r="D3920">
        <v>5.0199999999999996</v>
      </c>
      <c r="E3920">
        <v>2</v>
      </c>
      <c r="F3920" t="s">
        <v>14</v>
      </c>
      <c r="G3920">
        <v>12</v>
      </c>
      <c r="H3920">
        <v>5.6223999999999998</v>
      </c>
      <c r="I3920">
        <v>12.000000000000011</v>
      </c>
      <c r="J3920" t="s">
        <v>20</v>
      </c>
    </row>
    <row r="3921" spans="1:10" x14ac:dyDescent="0.2">
      <c r="A3921">
        <v>13920</v>
      </c>
      <c r="B3921" t="s">
        <v>5</v>
      </c>
      <c r="C3921" t="s">
        <v>9</v>
      </c>
      <c r="D3921">
        <v>9.75</v>
      </c>
      <c r="E3921">
        <v>7</v>
      </c>
      <c r="F3921" t="s">
        <v>15</v>
      </c>
      <c r="G3921">
        <v>30</v>
      </c>
      <c r="H3921">
        <v>12.675000000000001</v>
      </c>
      <c r="I3921">
        <v>30.000000000000004</v>
      </c>
      <c r="J3921" t="s">
        <v>20</v>
      </c>
    </row>
    <row r="3922" spans="1:10" x14ac:dyDescent="0.2">
      <c r="A3922">
        <v>13921</v>
      </c>
      <c r="B3922" t="s">
        <v>5</v>
      </c>
      <c r="C3922" t="s">
        <v>6</v>
      </c>
      <c r="D3922">
        <v>0.64</v>
      </c>
      <c r="E3922">
        <v>8</v>
      </c>
      <c r="F3922" t="s">
        <v>16</v>
      </c>
      <c r="G3922">
        <v>55</v>
      </c>
      <c r="H3922">
        <v>0.9920000000000001</v>
      </c>
      <c r="I3922">
        <v>55.000000000000007</v>
      </c>
      <c r="J3922" t="s">
        <v>20</v>
      </c>
    </row>
    <row r="3923" spans="1:10" x14ac:dyDescent="0.2">
      <c r="A3923">
        <v>13922</v>
      </c>
      <c r="B3923" t="s">
        <v>5</v>
      </c>
      <c r="C3923" t="s">
        <v>11</v>
      </c>
      <c r="D3923">
        <v>0.98</v>
      </c>
      <c r="E3923">
        <v>2</v>
      </c>
      <c r="F3923" t="s">
        <v>14</v>
      </c>
      <c r="G3923">
        <v>10</v>
      </c>
      <c r="H3923">
        <v>1.0780000000000001</v>
      </c>
      <c r="I3923">
        <v>10.000000000000009</v>
      </c>
      <c r="J3923" t="s">
        <v>20</v>
      </c>
    </row>
    <row r="3924" spans="1:10" x14ac:dyDescent="0.2">
      <c r="A3924">
        <v>13923</v>
      </c>
      <c r="B3924" t="s">
        <v>10</v>
      </c>
      <c r="C3924" t="s">
        <v>11</v>
      </c>
      <c r="D3924">
        <v>12.85</v>
      </c>
      <c r="E3924">
        <v>7</v>
      </c>
      <c r="F3924" t="s">
        <v>15</v>
      </c>
      <c r="G3924">
        <v>25</v>
      </c>
      <c r="H3924">
        <v>16.0625</v>
      </c>
      <c r="I3924">
        <v>25</v>
      </c>
      <c r="J3924" t="s">
        <v>20</v>
      </c>
    </row>
    <row r="3925" spans="1:10" x14ac:dyDescent="0.2">
      <c r="A3925">
        <v>13924</v>
      </c>
      <c r="B3925" t="s">
        <v>5</v>
      </c>
      <c r="C3925" t="s">
        <v>11</v>
      </c>
      <c r="D3925">
        <v>10.42</v>
      </c>
      <c r="E3925">
        <v>4</v>
      </c>
      <c r="F3925" t="s">
        <v>15</v>
      </c>
      <c r="G3925">
        <v>25</v>
      </c>
      <c r="H3925">
        <v>13.025</v>
      </c>
      <c r="I3925">
        <v>25</v>
      </c>
      <c r="J3925" t="s">
        <v>20</v>
      </c>
    </row>
    <row r="3926" spans="1:10" x14ac:dyDescent="0.2">
      <c r="A3926">
        <v>13925</v>
      </c>
      <c r="B3926" t="s">
        <v>10</v>
      </c>
      <c r="C3926" t="s">
        <v>9</v>
      </c>
      <c r="D3926">
        <v>4.3499999999999996</v>
      </c>
      <c r="E3926">
        <v>1</v>
      </c>
      <c r="F3926" t="s">
        <v>14</v>
      </c>
      <c r="G3926">
        <v>15</v>
      </c>
      <c r="H3926">
        <v>5.0024999999999995</v>
      </c>
      <c r="I3926">
        <v>14.999999999999991</v>
      </c>
      <c r="J3926" t="s">
        <v>20</v>
      </c>
    </row>
    <row r="3927" spans="1:10" x14ac:dyDescent="0.2">
      <c r="A3927">
        <v>13926</v>
      </c>
      <c r="B3927" t="s">
        <v>7</v>
      </c>
      <c r="C3927" t="s">
        <v>6</v>
      </c>
      <c r="D3927">
        <v>10.48</v>
      </c>
      <c r="E3927">
        <v>3</v>
      </c>
      <c r="F3927" t="s">
        <v>14</v>
      </c>
      <c r="G3927">
        <v>12</v>
      </c>
      <c r="H3927">
        <v>11.737600000000002</v>
      </c>
      <c r="I3927">
        <v>12.000000000000011</v>
      </c>
      <c r="J3927" t="s">
        <v>20</v>
      </c>
    </row>
    <row r="3928" spans="1:10" x14ac:dyDescent="0.2">
      <c r="A3928">
        <v>13927</v>
      </c>
      <c r="B3928" t="s">
        <v>5</v>
      </c>
      <c r="C3928" t="s">
        <v>9</v>
      </c>
      <c r="D3928">
        <v>11.99</v>
      </c>
      <c r="E3928">
        <v>1</v>
      </c>
      <c r="F3928" t="s">
        <v>14</v>
      </c>
      <c r="G3928">
        <v>15</v>
      </c>
      <c r="H3928">
        <v>13.788499999999999</v>
      </c>
      <c r="I3928">
        <v>14.999999999999991</v>
      </c>
      <c r="J3928" t="s">
        <v>20</v>
      </c>
    </row>
    <row r="3929" spans="1:10" x14ac:dyDescent="0.2">
      <c r="A3929">
        <v>13928</v>
      </c>
      <c r="B3929" t="s">
        <v>5</v>
      </c>
      <c r="C3929" t="s">
        <v>9</v>
      </c>
      <c r="D3929">
        <v>4.95</v>
      </c>
      <c r="E3929">
        <v>5</v>
      </c>
      <c r="F3929" t="s">
        <v>15</v>
      </c>
      <c r="G3929">
        <v>30</v>
      </c>
      <c r="H3929">
        <v>6.4350000000000005</v>
      </c>
      <c r="I3929">
        <v>30.000000000000004</v>
      </c>
      <c r="J3929" t="s">
        <v>20</v>
      </c>
    </row>
    <row r="3930" spans="1:10" x14ac:dyDescent="0.2">
      <c r="A3930">
        <v>13929</v>
      </c>
      <c r="B3930" t="s">
        <v>8</v>
      </c>
      <c r="C3930" t="s">
        <v>11</v>
      </c>
      <c r="D3930">
        <v>1.02</v>
      </c>
      <c r="E3930">
        <v>8</v>
      </c>
      <c r="F3930" t="s">
        <v>16</v>
      </c>
      <c r="G3930">
        <v>50</v>
      </c>
      <c r="H3930">
        <v>1.53</v>
      </c>
      <c r="I3930">
        <v>50</v>
      </c>
      <c r="J3930" t="s">
        <v>20</v>
      </c>
    </row>
    <row r="3931" spans="1:10" x14ac:dyDescent="0.2">
      <c r="A3931">
        <v>13930</v>
      </c>
      <c r="B3931" t="s">
        <v>10</v>
      </c>
      <c r="C3931" t="s">
        <v>6</v>
      </c>
      <c r="D3931">
        <v>14.03</v>
      </c>
      <c r="E3931">
        <v>1</v>
      </c>
      <c r="F3931" t="s">
        <v>14</v>
      </c>
      <c r="G3931">
        <v>12</v>
      </c>
      <c r="H3931">
        <v>15.713600000000001</v>
      </c>
      <c r="I3931">
        <v>12.000000000000011</v>
      </c>
      <c r="J3931" t="s">
        <v>20</v>
      </c>
    </row>
    <row r="3932" spans="1:10" x14ac:dyDescent="0.2">
      <c r="A3932">
        <v>13931</v>
      </c>
      <c r="B3932" t="s">
        <v>7</v>
      </c>
      <c r="C3932" t="s">
        <v>11</v>
      </c>
      <c r="D3932">
        <v>5.51</v>
      </c>
      <c r="E3932">
        <v>9</v>
      </c>
      <c r="F3932" t="s">
        <v>16</v>
      </c>
      <c r="G3932">
        <v>50</v>
      </c>
      <c r="H3932">
        <v>8.2650000000000006</v>
      </c>
      <c r="I3932">
        <v>50.000000000000021</v>
      </c>
      <c r="J3932" t="s">
        <v>20</v>
      </c>
    </row>
    <row r="3933" spans="1:10" x14ac:dyDescent="0.2">
      <c r="A3933">
        <v>13932</v>
      </c>
      <c r="B3933" t="s">
        <v>8</v>
      </c>
      <c r="C3933" t="s">
        <v>9</v>
      </c>
      <c r="D3933">
        <v>2.04</v>
      </c>
      <c r="E3933">
        <v>3</v>
      </c>
      <c r="F3933" t="s">
        <v>14</v>
      </c>
      <c r="G3933">
        <v>15</v>
      </c>
      <c r="H3933">
        <v>2.3459999999999996</v>
      </c>
      <c r="I3933">
        <v>14.999999999999991</v>
      </c>
      <c r="J3933" t="s">
        <v>20</v>
      </c>
    </row>
    <row r="3934" spans="1:10" x14ac:dyDescent="0.2">
      <c r="A3934">
        <v>13933</v>
      </c>
      <c r="B3934" t="s">
        <v>8</v>
      </c>
      <c r="C3934" t="s">
        <v>11</v>
      </c>
      <c r="D3934">
        <v>7.63</v>
      </c>
      <c r="E3934">
        <v>5</v>
      </c>
      <c r="F3934" t="s">
        <v>15</v>
      </c>
      <c r="G3934">
        <v>25</v>
      </c>
      <c r="H3934">
        <v>9.5374999999999996</v>
      </c>
      <c r="I3934">
        <v>25</v>
      </c>
      <c r="J3934" t="s">
        <v>20</v>
      </c>
    </row>
    <row r="3935" spans="1:10" x14ac:dyDescent="0.2">
      <c r="A3935">
        <v>13934</v>
      </c>
      <c r="B3935" t="s">
        <v>7</v>
      </c>
      <c r="C3935" t="s">
        <v>6</v>
      </c>
      <c r="D3935">
        <v>11.64</v>
      </c>
      <c r="E3935">
        <v>9</v>
      </c>
      <c r="F3935" t="s">
        <v>16</v>
      </c>
      <c r="G3935">
        <v>55</v>
      </c>
      <c r="H3935">
        <v>18.042000000000002</v>
      </c>
      <c r="I3935">
        <v>55.000000000000007</v>
      </c>
      <c r="J3935" t="s">
        <v>20</v>
      </c>
    </row>
    <row r="3936" spans="1:10" x14ac:dyDescent="0.2">
      <c r="A3936">
        <v>13935</v>
      </c>
      <c r="B3936" t="s">
        <v>8</v>
      </c>
      <c r="C3936" t="s">
        <v>11</v>
      </c>
      <c r="D3936">
        <v>3.71</v>
      </c>
      <c r="E3936">
        <v>5</v>
      </c>
      <c r="F3936" t="s">
        <v>15</v>
      </c>
      <c r="G3936">
        <v>25</v>
      </c>
      <c r="H3936">
        <v>4.6375000000000002</v>
      </c>
      <c r="I3936">
        <v>25</v>
      </c>
      <c r="J3936" t="s">
        <v>20</v>
      </c>
    </row>
    <row r="3937" spans="1:10" x14ac:dyDescent="0.2">
      <c r="A3937">
        <v>13936</v>
      </c>
      <c r="B3937" t="s">
        <v>10</v>
      </c>
      <c r="C3937" t="s">
        <v>6</v>
      </c>
      <c r="D3937">
        <v>4.41</v>
      </c>
      <c r="E3937">
        <v>9</v>
      </c>
      <c r="F3937" t="s">
        <v>16</v>
      </c>
      <c r="G3937">
        <v>55</v>
      </c>
      <c r="H3937">
        <v>6.8355000000000006</v>
      </c>
      <c r="I3937">
        <v>55.000000000000007</v>
      </c>
      <c r="J3937" t="s">
        <v>20</v>
      </c>
    </row>
    <row r="3938" spans="1:10" x14ac:dyDescent="0.2">
      <c r="A3938">
        <v>13937</v>
      </c>
      <c r="B3938" t="s">
        <v>10</v>
      </c>
      <c r="C3938" t="s">
        <v>6</v>
      </c>
      <c r="D3938">
        <v>4.0199999999999996</v>
      </c>
      <c r="E3938">
        <v>10</v>
      </c>
      <c r="F3938" t="s">
        <v>16</v>
      </c>
      <c r="G3938">
        <v>55</v>
      </c>
      <c r="H3938">
        <v>6.2309999999999999</v>
      </c>
      <c r="I3938">
        <v>55.000000000000007</v>
      </c>
      <c r="J3938" t="s">
        <v>20</v>
      </c>
    </row>
    <row r="3939" spans="1:10" x14ac:dyDescent="0.2">
      <c r="A3939">
        <v>13938</v>
      </c>
      <c r="B3939" t="s">
        <v>5</v>
      </c>
      <c r="C3939" t="s">
        <v>11</v>
      </c>
      <c r="D3939">
        <v>14.88</v>
      </c>
      <c r="E3939">
        <v>8</v>
      </c>
      <c r="F3939" t="s">
        <v>16</v>
      </c>
      <c r="G3939">
        <v>50</v>
      </c>
      <c r="H3939">
        <v>22.32</v>
      </c>
      <c r="I3939">
        <v>50</v>
      </c>
      <c r="J3939" t="s">
        <v>20</v>
      </c>
    </row>
    <row r="3940" spans="1:10" x14ac:dyDescent="0.2">
      <c r="A3940">
        <v>13939</v>
      </c>
      <c r="B3940" t="s">
        <v>8</v>
      </c>
      <c r="C3940" t="s">
        <v>9</v>
      </c>
      <c r="D3940">
        <v>3.36</v>
      </c>
      <c r="E3940">
        <v>7</v>
      </c>
      <c r="F3940" t="s">
        <v>15</v>
      </c>
      <c r="G3940">
        <v>30</v>
      </c>
      <c r="H3940">
        <v>4.3680000000000003</v>
      </c>
      <c r="I3940">
        <v>30.000000000000004</v>
      </c>
      <c r="J3940" t="s">
        <v>20</v>
      </c>
    </row>
    <row r="3941" spans="1:10" x14ac:dyDescent="0.2">
      <c r="A3941">
        <v>13940</v>
      </c>
      <c r="B3941" t="s">
        <v>5</v>
      </c>
      <c r="C3941" t="s">
        <v>11</v>
      </c>
      <c r="D3941">
        <v>8.85</v>
      </c>
      <c r="E3941">
        <v>1</v>
      </c>
      <c r="F3941" t="s">
        <v>14</v>
      </c>
      <c r="G3941">
        <v>10</v>
      </c>
      <c r="H3941">
        <v>9.7350000000000012</v>
      </c>
      <c r="I3941">
        <v>10.000000000000009</v>
      </c>
      <c r="J3941" t="s">
        <v>20</v>
      </c>
    </row>
    <row r="3942" spans="1:10" x14ac:dyDescent="0.2">
      <c r="A3942">
        <v>13941</v>
      </c>
      <c r="B3942" t="s">
        <v>8</v>
      </c>
      <c r="C3942" t="s">
        <v>9</v>
      </c>
      <c r="D3942">
        <v>13.92</v>
      </c>
      <c r="E3942">
        <v>4</v>
      </c>
      <c r="F3942" t="s">
        <v>15</v>
      </c>
      <c r="G3942">
        <v>30</v>
      </c>
      <c r="H3942">
        <v>18.096</v>
      </c>
      <c r="I3942">
        <v>30.000000000000004</v>
      </c>
      <c r="J3942" t="s">
        <v>20</v>
      </c>
    </row>
    <row r="3943" spans="1:10" x14ac:dyDescent="0.2">
      <c r="A3943">
        <v>13942</v>
      </c>
      <c r="B3943" t="s">
        <v>10</v>
      </c>
      <c r="C3943" t="s">
        <v>9</v>
      </c>
      <c r="D3943">
        <v>2.63</v>
      </c>
      <c r="E3943">
        <v>9</v>
      </c>
      <c r="F3943" t="s">
        <v>16</v>
      </c>
      <c r="G3943">
        <v>60</v>
      </c>
      <c r="H3943">
        <v>4.2080000000000002</v>
      </c>
      <c r="I3943">
        <v>60.000000000000007</v>
      </c>
      <c r="J3943" t="s">
        <v>20</v>
      </c>
    </row>
    <row r="3944" spans="1:10" x14ac:dyDescent="0.2">
      <c r="A3944">
        <v>13943</v>
      </c>
      <c r="B3944" t="s">
        <v>10</v>
      </c>
      <c r="C3944" t="s">
        <v>11</v>
      </c>
      <c r="D3944">
        <v>14.58</v>
      </c>
      <c r="E3944">
        <v>10</v>
      </c>
      <c r="F3944" t="s">
        <v>16</v>
      </c>
      <c r="G3944">
        <v>50</v>
      </c>
      <c r="H3944">
        <v>21.87</v>
      </c>
      <c r="I3944">
        <v>50</v>
      </c>
      <c r="J3944" t="s">
        <v>20</v>
      </c>
    </row>
    <row r="3945" spans="1:10" x14ac:dyDescent="0.2">
      <c r="A3945">
        <v>13944</v>
      </c>
      <c r="B3945" t="s">
        <v>10</v>
      </c>
      <c r="C3945" t="s">
        <v>9</v>
      </c>
      <c r="D3945">
        <v>14.24</v>
      </c>
      <c r="E3945">
        <v>8</v>
      </c>
      <c r="F3945" t="s">
        <v>16</v>
      </c>
      <c r="G3945">
        <v>60</v>
      </c>
      <c r="H3945">
        <v>22.784000000000002</v>
      </c>
      <c r="I3945">
        <v>60.000000000000007</v>
      </c>
      <c r="J3945" t="s">
        <v>20</v>
      </c>
    </row>
    <row r="3946" spans="1:10" x14ac:dyDescent="0.2">
      <c r="A3946">
        <v>13945</v>
      </c>
      <c r="B3946" t="s">
        <v>8</v>
      </c>
      <c r="C3946" t="s">
        <v>9</v>
      </c>
      <c r="D3946">
        <v>13.33</v>
      </c>
      <c r="E3946">
        <v>4</v>
      </c>
      <c r="F3946" t="s">
        <v>15</v>
      </c>
      <c r="G3946">
        <v>30</v>
      </c>
      <c r="H3946">
        <v>17.329000000000001</v>
      </c>
      <c r="I3946">
        <v>30.000000000000004</v>
      </c>
      <c r="J3946" t="s">
        <v>20</v>
      </c>
    </row>
    <row r="3947" spans="1:10" x14ac:dyDescent="0.2">
      <c r="A3947">
        <v>13946</v>
      </c>
      <c r="B3947" t="s">
        <v>10</v>
      </c>
      <c r="C3947" t="s">
        <v>11</v>
      </c>
      <c r="D3947">
        <v>3.61</v>
      </c>
      <c r="E3947">
        <v>1</v>
      </c>
      <c r="F3947" t="s">
        <v>14</v>
      </c>
      <c r="G3947">
        <v>10</v>
      </c>
      <c r="H3947">
        <v>3.9710000000000001</v>
      </c>
      <c r="I3947">
        <v>10.000000000000009</v>
      </c>
      <c r="J3947" t="s">
        <v>20</v>
      </c>
    </row>
    <row r="3948" spans="1:10" x14ac:dyDescent="0.2">
      <c r="A3948">
        <v>13947</v>
      </c>
      <c r="B3948" t="s">
        <v>8</v>
      </c>
      <c r="C3948" t="s">
        <v>11</v>
      </c>
      <c r="D3948">
        <v>9.69</v>
      </c>
      <c r="E3948">
        <v>10</v>
      </c>
      <c r="F3948" t="s">
        <v>16</v>
      </c>
      <c r="G3948">
        <v>50</v>
      </c>
      <c r="H3948">
        <v>14.535</v>
      </c>
      <c r="I3948">
        <v>50</v>
      </c>
      <c r="J3948" t="s">
        <v>20</v>
      </c>
    </row>
    <row r="3949" spans="1:10" x14ac:dyDescent="0.2">
      <c r="A3949">
        <v>13948</v>
      </c>
      <c r="B3949" t="s">
        <v>5</v>
      </c>
      <c r="C3949" t="s">
        <v>11</v>
      </c>
      <c r="D3949">
        <v>11.53</v>
      </c>
      <c r="E3949">
        <v>4</v>
      </c>
      <c r="F3949" t="s">
        <v>15</v>
      </c>
      <c r="G3949">
        <v>25</v>
      </c>
      <c r="H3949">
        <v>14.4125</v>
      </c>
      <c r="I3949">
        <v>25</v>
      </c>
      <c r="J3949" t="s">
        <v>20</v>
      </c>
    </row>
    <row r="3950" spans="1:10" x14ac:dyDescent="0.2">
      <c r="A3950">
        <v>13949</v>
      </c>
      <c r="B3950" t="s">
        <v>8</v>
      </c>
      <c r="C3950" t="s">
        <v>9</v>
      </c>
      <c r="D3950">
        <v>14.8</v>
      </c>
      <c r="E3950">
        <v>3</v>
      </c>
      <c r="F3950" t="s">
        <v>14</v>
      </c>
      <c r="G3950">
        <v>15</v>
      </c>
      <c r="H3950">
        <v>17.02</v>
      </c>
      <c r="I3950">
        <v>14.999999999999991</v>
      </c>
      <c r="J3950" t="s">
        <v>20</v>
      </c>
    </row>
    <row r="3951" spans="1:10" x14ac:dyDescent="0.2">
      <c r="A3951">
        <v>13950</v>
      </c>
      <c r="B3951" t="s">
        <v>5</v>
      </c>
      <c r="C3951" t="s">
        <v>6</v>
      </c>
      <c r="D3951">
        <v>3.12</v>
      </c>
      <c r="E3951">
        <v>6</v>
      </c>
      <c r="F3951" t="s">
        <v>15</v>
      </c>
      <c r="G3951">
        <v>28</v>
      </c>
      <c r="H3951">
        <v>3.9936000000000003</v>
      </c>
      <c r="I3951">
        <v>28.000000000000004</v>
      </c>
      <c r="J3951" t="s">
        <v>20</v>
      </c>
    </row>
    <row r="3952" spans="1:10" x14ac:dyDescent="0.2">
      <c r="A3952">
        <v>13951</v>
      </c>
      <c r="B3952" t="s">
        <v>8</v>
      </c>
      <c r="C3952" t="s">
        <v>9</v>
      </c>
      <c r="D3952">
        <v>11.61</v>
      </c>
      <c r="E3952">
        <v>5</v>
      </c>
      <c r="F3952" t="s">
        <v>15</v>
      </c>
      <c r="G3952">
        <v>30</v>
      </c>
      <c r="H3952">
        <v>15.093</v>
      </c>
      <c r="I3952">
        <v>30.000000000000004</v>
      </c>
      <c r="J3952" t="s">
        <v>20</v>
      </c>
    </row>
    <row r="3953" spans="1:10" x14ac:dyDescent="0.2">
      <c r="A3953">
        <v>13952</v>
      </c>
      <c r="B3953" t="s">
        <v>5</v>
      </c>
      <c r="C3953" t="s">
        <v>6</v>
      </c>
      <c r="D3953">
        <v>5.41</v>
      </c>
      <c r="E3953">
        <v>5</v>
      </c>
      <c r="F3953" t="s">
        <v>15</v>
      </c>
      <c r="G3953">
        <v>28</v>
      </c>
      <c r="H3953">
        <v>6.9248000000000003</v>
      </c>
      <c r="I3953">
        <v>28.000000000000004</v>
      </c>
      <c r="J3953" t="s">
        <v>20</v>
      </c>
    </row>
    <row r="3954" spans="1:10" x14ac:dyDescent="0.2">
      <c r="A3954">
        <v>13953</v>
      </c>
      <c r="B3954" t="s">
        <v>10</v>
      </c>
      <c r="C3954" t="s">
        <v>11</v>
      </c>
      <c r="D3954">
        <v>3.05</v>
      </c>
      <c r="E3954">
        <v>2</v>
      </c>
      <c r="F3954" t="s">
        <v>14</v>
      </c>
      <c r="G3954">
        <v>10</v>
      </c>
      <c r="H3954">
        <v>3.355</v>
      </c>
      <c r="I3954">
        <v>10.000000000000009</v>
      </c>
      <c r="J3954" t="s">
        <v>20</v>
      </c>
    </row>
    <row r="3955" spans="1:10" x14ac:dyDescent="0.2">
      <c r="A3955">
        <v>13954</v>
      </c>
      <c r="B3955" t="s">
        <v>5</v>
      </c>
      <c r="C3955" t="s">
        <v>6</v>
      </c>
      <c r="D3955">
        <v>6.61</v>
      </c>
      <c r="E3955">
        <v>3</v>
      </c>
      <c r="F3955" t="s">
        <v>14</v>
      </c>
      <c r="G3955">
        <v>12</v>
      </c>
      <c r="H3955">
        <v>7.4032000000000009</v>
      </c>
      <c r="I3955">
        <v>12.000000000000011</v>
      </c>
      <c r="J3955" t="s">
        <v>20</v>
      </c>
    </row>
    <row r="3956" spans="1:10" x14ac:dyDescent="0.2">
      <c r="A3956">
        <v>13955</v>
      </c>
      <c r="B3956" t="s">
        <v>10</v>
      </c>
      <c r="C3956" t="s">
        <v>11</v>
      </c>
      <c r="D3956">
        <v>12.01</v>
      </c>
      <c r="E3956">
        <v>6</v>
      </c>
      <c r="F3956" t="s">
        <v>15</v>
      </c>
      <c r="G3956">
        <v>25</v>
      </c>
      <c r="H3956">
        <v>15.012499999999999</v>
      </c>
      <c r="I3956">
        <v>25</v>
      </c>
      <c r="J3956" t="s">
        <v>20</v>
      </c>
    </row>
    <row r="3957" spans="1:10" x14ac:dyDescent="0.2">
      <c r="A3957">
        <v>13956</v>
      </c>
      <c r="B3957" t="s">
        <v>10</v>
      </c>
      <c r="C3957" t="s">
        <v>11</v>
      </c>
      <c r="D3957">
        <v>7.24</v>
      </c>
      <c r="E3957">
        <v>2</v>
      </c>
      <c r="F3957" t="s">
        <v>14</v>
      </c>
      <c r="G3957">
        <v>10</v>
      </c>
      <c r="H3957">
        <v>7.9640000000000013</v>
      </c>
      <c r="I3957">
        <v>10.000000000000009</v>
      </c>
      <c r="J3957" t="s">
        <v>20</v>
      </c>
    </row>
    <row r="3958" spans="1:10" x14ac:dyDescent="0.2">
      <c r="A3958">
        <v>13957</v>
      </c>
      <c r="B3958" t="s">
        <v>5</v>
      </c>
      <c r="C3958" t="s">
        <v>6</v>
      </c>
      <c r="D3958">
        <v>8.2899999999999991</v>
      </c>
      <c r="E3958">
        <v>4</v>
      </c>
      <c r="F3958" t="s">
        <v>15</v>
      </c>
      <c r="G3958">
        <v>28</v>
      </c>
      <c r="H3958">
        <v>10.611199999999998</v>
      </c>
      <c r="I3958">
        <v>28.000000000000004</v>
      </c>
      <c r="J3958" t="s">
        <v>20</v>
      </c>
    </row>
    <row r="3959" spans="1:10" x14ac:dyDescent="0.2">
      <c r="A3959">
        <v>13958</v>
      </c>
      <c r="B3959" t="s">
        <v>8</v>
      </c>
      <c r="C3959" t="s">
        <v>11</v>
      </c>
      <c r="D3959">
        <v>14.93</v>
      </c>
      <c r="E3959">
        <v>2</v>
      </c>
      <c r="F3959" t="s">
        <v>14</v>
      </c>
      <c r="G3959">
        <v>10</v>
      </c>
      <c r="H3959">
        <v>16.423000000000002</v>
      </c>
      <c r="I3959">
        <v>10.000000000000009</v>
      </c>
      <c r="J3959" t="s">
        <v>20</v>
      </c>
    </row>
    <row r="3960" spans="1:10" x14ac:dyDescent="0.2">
      <c r="A3960">
        <v>13959</v>
      </c>
      <c r="B3960" t="s">
        <v>8</v>
      </c>
      <c r="C3960" t="s">
        <v>6</v>
      </c>
      <c r="D3960">
        <v>6.29</v>
      </c>
      <c r="E3960">
        <v>9</v>
      </c>
      <c r="F3960" t="s">
        <v>16</v>
      </c>
      <c r="G3960">
        <v>55</v>
      </c>
      <c r="H3960">
        <v>9.7495000000000012</v>
      </c>
      <c r="I3960">
        <v>55.000000000000028</v>
      </c>
      <c r="J3960" t="s">
        <v>20</v>
      </c>
    </row>
    <row r="3961" spans="1:10" x14ac:dyDescent="0.2">
      <c r="A3961">
        <v>13960</v>
      </c>
      <c r="B3961" t="s">
        <v>7</v>
      </c>
      <c r="C3961" t="s">
        <v>11</v>
      </c>
      <c r="D3961">
        <v>9.42</v>
      </c>
      <c r="E3961">
        <v>3</v>
      </c>
      <c r="F3961" t="s">
        <v>14</v>
      </c>
      <c r="G3961">
        <v>10</v>
      </c>
      <c r="H3961">
        <v>10.362</v>
      </c>
      <c r="I3961">
        <v>10.000000000000009</v>
      </c>
      <c r="J3961" t="s">
        <v>20</v>
      </c>
    </row>
    <row r="3962" spans="1:10" x14ac:dyDescent="0.2">
      <c r="A3962">
        <v>13961</v>
      </c>
      <c r="B3962" t="s">
        <v>8</v>
      </c>
      <c r="C3962" t="s">
        <v>9</v>
      </c>
      <c r="D3962">
        <v>5.8</v>
      </c>
      <c r="E3962">
        <v>10</v>
      </c>
      <c r="F3962" t="s">
        <v>16</v>
      </c>
      <c r="G3962">
        <v>60</v>
      </c>
      <c r="H3962">
        <v>9.2799999999999994</v>
      </c>
      <c r="I3962">
        <v>59.999999999999986</v>
      </c>
      <c r="J3962" t="s">
        <v>20</v>
      </c>
    </row>
    <row r="3963" spans="1:10" x14ac:dyDescent="0.2">
      <c r="A3963">
        <v>13962</v>
      </c>
      <c r="B3963" t="s">
        <v>7</v>
      </c>
      <c r="C3963" t="s">
        <v>9</v>
      </c>
      <c r="D3963">
        <v>6.2</v>
      </c>
      <c r="E3963">
        <v>10</v>
      </c>
      <c r="F3963" t="s">
        <v>16</v>
      </c>
      <c r="G3963">
        <v>60</v>
      </c>
      <c r="H3963">
        <v>9.9200000000000017</v>
      </c>
      <c r="I3963">
        <v>60.000000000000028</v>
      </c>
      <c r="J3963" t="s">
        <v>20</v>
      </c>
    </row>
    <row r="3964" spans="1:10" x14ac:dyDescent="0.2">
      <c r="A3964">
        <v>13963</v>
      </c>
      <c r="B3964" t="s">
        <v>8</v>
      </c>
      <c r="C3964" t="s">
        <v>11</v>
      </c>
      <c r="D3964">
        <v>10.59</v>
      </c>
      <c r="E3964">
        <v>6</v>
      </c>
      <c r="F3964" t="s">
        <v>15</v>
      </c>
      <c r="G3964">
        <v>25</v>
      </c>
      <c r="H3964">
        <v>13.237500000000001</v>
      </c>
      <c r="I3964">
        <v>25</v>
      </c>
      <c r="J3964" t="s">
        <v>20</v>
      </c>
    </row>
    <row r="3965" spans="1:10" x14ac:dyDescent="0.2">
      <c r="A3965">
        <v>13964</v>
      </c>
      <c r="B3965" t="s">
        <v>8</v>
      </c>
      <c r="C3965" t="s">
        <v>11</v>
      </c>
      <c r="D3965">
        <v>14.1</v>
      </c>
      <c r="E3965">
        <v>1</v>
      </c>
      <c r="F3965" t="s">
        <v>14</v>
      </c>
      <c r="G3965">
        <v>10</v>
      </c>
      <c r="H3965">
        <v>15.510000000000002</v>
      </c>
      <c r="I3965">
        <v>10.000000000000009</v>
      </c>
      <c r="J3965" t="s">
        <v>20</v>
      </c>
    </row>
    <row r="3966" spans="1:10" x14ac:dyDescent="0.2">
      <c r="A3966">
        <v>13965</v>
      </c>
      <c r="B3966" t="s">
        <v>10</v>
      </c>
      <c r="C3966" t="s">
        <v>6</v>
      </c>
      <c r="D3966">
        <v>8.36</v>
      </c>
      <c r="E3966">
        <v>10</v>
      </c>
      <c r="F3966" t="s">
        <v>16</v>
      </c>
      <c r="G3966">
        <v>55</v>
      </c>
      <c r="H3966">
        <v>12.958</v>
      </c>
      <c r="I3966">
        <v>55.000000000000007</v>
      </c>
      <c r="J3966" t="s">
        <v>20</v>
      </c>
    </row>
    <row r="3967" spans="1:10" x14ac:dyDescent="0.2">
      <c r="A3967">
        <v>13966</v>
      </c>
      <c r="B3967" t="s">
        <v>7</v>
      </c>
      <c r="C3967" t="s">
        <v>9</v>
      </c>
      <c r="D3967">
        <v>11.64</v>
      </c>
      <c r="E3967">
        <v>3</v>
      </c>
      <c r="F3967" t="s">
        <v>14</v>
      </c>
      <c r="G3967">
        <v>15</v>
      </c>
      <c r="H3967">
        <v>13.385999999999999</v>
      </c>
      <c r="I3967">
        <v>14.999999999999991</v>
      </c>
      <c r="J3967" t="s">
        <v>20</v>
      </c>
    </row>
    <row r="3968" spans="1:10" x14ac:dyDescent="0.2">
      <c r="A3968">
        <v>13967</v>
      </c>
      <c r="B3968" t="s">
        <v>8</v>
      </c>
      <c r="C3968" t="s">
        <v>6</v>
      </c>
      <c r="D3968">
        <v>1.79</v>
      </c>
      <c r="E3968">
        <v>8</v>
      </c>
      <c r="F3968" t="s">
        <v>16</v>
      </c>
      <c r="G3968">
        <v>55</v>
      </c>
      <c r="H3968">
        <v>2.7745000000000002</v>
      </c>
      <c r="I3968">
        <v>55.000000000000007</v>
      </c>
      <c r="J3968" t="s">
        <v>20</v>
      </c>
    </row>
    <row r="3969" spans="1:10" x14ac:dyDescent="0.2">
      <c r="A3969">
        <v>13968</v>
      </c>
      <c r="B3969" t="s">
        <v>7</v>
      </c>
      <c r="C3969" t="s">
        <v>11</v>
      </c>
      <c r="D3969">
        <v>3.56</v>
      </c>
      <c r="E3969">
        <v>5</v>
      </c>
      <c r="F3969" t="s">
        <v>15</v>
      </c>
      <c r="G3969">
        <v>25</v>
      </c>
      <c r="H3969">
        <v>4.45</v>
      </c>
      <c r="I3969">
        <v>25</v>
      </c>
      <c r="J3969" t="s">
        <v>20</v>
      </c>
    </row>
    <row r="3970" spans="1:10" x14ac:dyDescent="0.2">
      <c r="A3970">
        <v>13969</v>
      </c>
      <c r="B3970" t="s">
        <v>10</v>
      </c>
      <c r="C3970" t="s">
        <v>11</v>
      </c>
      <c r="D3970">
        <v>7.78</v>
      </c>
      <c r="E3970">
        <v>8</v>
      </c>
      <c r="F3970" t="s">
        <v>16</v>
      </c>
      <c r="G3970">
        <v>50</v>
      </c>
      <c r="H3970">
        <v>11.67</v>
      </c>
      <c r="I3970">
        <v>50</v>
      </c>
      <c r="J3970" t="s">
        <v>20</v>
      </c>
    </row>
    <row r="3971" spans="1:10" x14ac:dyDescent="0.2">
      <c r="A3971">
        <v>13970</v>
      </c>
      <c r="B3971" t="s">
        <v>10</v>
      </c>
      <c r="C3971" t="s">
        <v>6</v>
      </c>
      <c r="D3971">
        <v>0.79</v>
      </c>
      <c r="E3971">
        <v>2</v>
      </c>
      <c r="F3971" t="s">
        <v>14</v>
      </c>
      <c r="G3971">
        <v>12</v>
      </c>
      <c r="H3971">
        <v>0.88480000000000014</v>
      </c>
      <c r="I3971">
        <v>12.000000000000011</v>
      </c>
      <c r="J3971" t="s">
        <v>20</v>
      </c>
    </row>
    <row r="3972" spans="1:10" x14ac:dyDescent="0.2">
      <c r="A3972">
        <v>13971</v>
      </c>
      <c r="B3972" t="s">
        <v>7</v>
      </c>
      <c r="C3972" t="s">
        <v>11</v>
      </c>
      <c r="D3972">
        <v>4.17</v>
      </c>
      <c r="E3972">
        <v>7</v>
      </c>
      <c r="F3972" t="s">
        <v>15</v>
      </c>
      <c r="G3972">
        <v>25</v>
      </c>
      <c r="H3972">
        <v>5.2125000000000004</v>
      </c>
      <c r="I3972">
        <v>25</v>
      </c>
      <c r="J3972" t="s">
        <v>20</v>
      </c>
    </row>
    <row r="3973" spans="1:10" x14ac:dyDescent="0.2">
      <c r="A3973">
        <v>13972</v>
      </c>
      <c r="B3973" t="s">
        <v>10</v>
      </c>
      <c r="C3973" t="s">
        <v>9</v>
      </c>
      <c r="D3973">
        <v>8</v>
      </c>
      <c r="E3973">
        <v>9</v>
      </c>
      <c r="F3973" t="s">
        <v>16</v>
      </c>
      <c r="G3973">
        <v>60</v>
      </c>
      <c r="H3973">
        <v>12.8</v>
      </c>
      <c r="I3973">
        <v>60.000000000000007</v>
      </c>
      <c r="J3973" t="s">
        <v>20</v>
      </c>
    </row>
    <row r="3974" spans="1:10" x14ac:dyDescent="0.2">
      <c r="A3974">
        <v>13973</v>
      </c>
      <c r="B3974" t="s">
        <v>5</v>
      </c>
      <c r="C3974" t="s">
        <v>6</v>
      </c>
      <c r="D3974">
        <v>0.72</v>
      </c>
      <c r="E3974">
        <v>7</v>
      </c>
      <c r="F3974" t="s">
        <v>15</v>
      </c>
      <c r="G3974">
        <v>28</v>
      </c>
      <c r="H3974">
        <v>0.92159999999999997</v>
      </c>
      <c r="I3974">
        <v>28.000000000000004</v>
      </c>
      <c r="J3974" t="s">
        <v>20</v>
      </c>
    </row>
    <row r="3975" spans="1:10" x14ac:dyDescent="0.2">
      <c r="A3975">
        <v>13974</v>
      </c>
      <c r="B3975" t="s">
        <v>5</v>
      </c>
      <c r="C3975" t="s">
        <v>9</v>
      </c>
      <c r="D3975">
        <v>4.34</v>
      </c>
      <c r="E3975">
        <v>3</v>
      </c>
      <c r="F3975" t="s">
        <v>14</v>
      </c>
      <c r="G3975">
        <v>15</v>
      </c>
      <c r="H3975">
        <v>4.9909999999999997</v>
      </c>
      <c r="I3975">
        <v>14.999999999999991</v>
      </c>
      <c r="J3975" t="s">
        <v>20</v>
      </c>
    </row>
    <row r="3976" spans="1:10" x14ac:dyDescent="0.2">
      <c r="A3976">
        <v>13975</v>
      </c>
      <c r="B3976" t="s">
        <v>10</v>
      </c>
      <c r="C3976" t="s">
        <v>9</v>
      </c>
      <c r="D3976">
        <v>7.95</v>
      </c>
      <c r="E3976">
        <v>7</v>
      </c>
      <c r="F3976" t="s">
        <v>15</v>
      </c>
      <c r="G3976">
        <v>30</v>
      </c>
      <c r="H3976">
        <v>10.335000000000001</v>
      </c>
      <c r="I3976">
        <v>30.000000000000004</v>
      </c>
      <c r="J3976" t="s">
        <v>20</v>
      </c>
    </row>
    <row r="3977" spans="1:10" x14ac:dyDescent="0.2">
      <c r="A3977">
        <v>13976</v>
      </c>
      <c r="B3977" t="s">
        <v>5</v>
      </c>
      <c r="C3977" t="s">
        <v>9</v>
      </c>
      <c r="D3977">
        <v>8.81</v>
      </c>
      <c r="E3977">
        <v>8</v>
      </c>
      <c r="F3977" t="s">
        <v>16</v>
      </c>
      <c r="G3977">
        <v>60</v>
      </c>
      <c r="H3977">
        <v>14.096000000000002</v>
      </c>
      <c r="I3977">
        <v>60.000000000000007</v>
      </c>
      <c r="J3977" t="s">
        <v>20</v>
      </c>
    </row>
    <row r="3978" spans="1:10" x14ac:dyDescent="0.2">
      <c r="A3978">
        <v>13977</v>
      </c>
      <c r="B3978" t="s">
        <v>8</v>
      </c>
      <c r="C3978" t="s">
        <v>6</v>
      </c>
      <c r="D3978">
        <v>13.92</v>
      </c>
      <c r="E3978">
        <v>1</v>
      </c>
      <c r="F3978" t="s">
        <v>14</v>
      </c>
      <c r="G3978">
        <v>12</v>
      </c>
      <c r="H3978">
        <v>15.590400000000001</v>
      </c>
      <c r="I3978">
        <v>12.000000000000011</v>
      </c>
      <c r="J3978" t="s">
        <v>20</v>
      </c>
    </row>
    <row r="3979" spans="1:10" x14ac:dyDescent="0.2">
      <c r="A3979">
        <v>13978</v>
      </c>
      <c r="B3979" t="s">
        <v>7</v>
      </c>
      <c r="C3979" t="s">
        <v>11</v>
      </c>
      <c r="D3979">
        <v>9.86</v>
      </c>
      <c r="E3979">
        <v>3</v>
      </c>
      <c r="F3979" t="s">
        <v>14</v>
      </c>
      <c r="G3979">
        <v>10</v>
      </c>
      <c r="H3979">
        <v>10.846</v>
      </c>
      <c r="I3979">
        <v>10.000000000000009</v>
      </c>
      <c r="J3979" t="s">
        <v>20</v>
      </c>
    </row>
    <row r="3980" spans="1:10" x14ac:dyDescent="0.2">
      <c r="A3980">
        <v>13979</v>
      </c>
      <c r="B3980" t="s">
        <v>8</v>
      </c>
      <c r="C3980" t="s">
        <v>9</v>
      </c>
      <c r="D3980">
        <v>6.51</v>
      </c>
      <c r="E3980">
        <v>5</v>
      </c>
      <c r="F3980" t="s">
        <v>15</v>
      </c>
      <c r="G3980">
        <v>30</v>
      </c>
      <c r="H3980">
        <v>8.4629999999999992</v>
      </c>
      <c r="I3980">
        <v>29.999999999999982</v>
      </c>
      <c r="J3980" t="s">
        <v>20</v>
      </c>
    </row>
    <row r="3981" spans="1:10" x14ac:dyDescent="0.2">
      <c r="A3981">
        <v>13980</v>
      </c>
      <c r="B3981" t="s">
        <v>7</v>
      </c>
      <c r="C3981" t="s">
        <v>9</v>
      </c>
      <c r="D3981">
        <v>13.99</v>
      </c>
      <c r="E3981">
        <v>6</v>
      </c>
      <c r="F3981" t="s">
        <v>15</v>
      </c>
      <c r="G3981">
        <v>30</v>
      </c>
      <c r="H3981">
        <v>18.187000000000001</v>
      </c>
      <c r="I3981">
        <v>30.000000000000004</v>
      </c>
      <c r="J3981" t="s">
        <v>20</v>
      </c>
    </row>
    <row r="3982" spans="1:10" x14ac:dyDescent="0.2">
      <c r="A3982">
        <v>13981</v>
      </c>
      <c r="B3982" t="s">
        <v>10</v>
      </c>
      <c r="C3982" t="s">
        <v>9</v>
      </c>
      <c r="D3982">
        <v>11.88</v>
      </c>
      <c r="E3982">
        <v>3</v>
      </c>
      <c r="F3982" t="s">
        <v>14</v>
      </c>
      <c r="G3982">
        <v>15</v>
      </c>
      <c r="H3982">
        <v>13.661999999999999</v>
      </c>
      <c r="I3982">
        <v>14.999999999999991</v>
      </c>
      <c r="J3982" t="s">
        <v>20</v>
      </c>
    </row>
    <row r="3983" spans="1:10" x14ac:dyDescent="0.2">
      <c r="A3983">
        <v>13982</v>
      </c>
      <c r="B3983" t="s">
        <v>8</v>
      </c>
      <c r="C3983" t="s">
        <v>11</v>
      </c>
      <c r="D3983">
        <v>3.4</v>
      </c>
      <c r="E3983">
        <v>4</v>
      </c>
      <c r="F3983" t="s">
        <v>15</v>
      </c>
      <c r="G3983">
        <v>25</v>
      </c>
      <c r="H3983">
        <v>4.25</v>
      </c>
      <c r="I3983">
        <v>25</v>
      </c>
      <c r="J3983" t="s">
        <v>20</v>
      </c>
    </row>
    <row r="3984" spans="1:10" x14ac:dyDescent="0.2">
      <c r="A3984">
        <v>13983</v>
      </c>
      <c r="B3984" t="s">
        <v>10</v>
      </c>
      <c r="C3984" t="s">
        <v>11</v>
      </c>
      <c r="D3984">
        <v>2.4</v>
      </c>
      <c r="E3984">
        <v>5</v>
      </c>
      <c r="F3984" t="s">
        <v>15</v>
      </c>
      <c r="G3984">
        <v>25</v>
      </c>
      <c r="H3984">
        <v>3</v>
      </c>
      <c r="I3984">
        <v>25</v>
      </c>
      <c r="J3984" t="s">
        <v>20</v>
      </c>
    </row>
    <row r="3985" spans="1:10" x14ac:dyDescent="0.2">
      <c r="A3985">
        <v>13984</v>
      </c>
      <c r="B3985" t="s">
        <v>10</v>
      </c>
      <c r="C3985" t="s">
        <v>6</v>
      </c>
      <c r="D3985">
        <v>10.3</v>
      </c>
      <c r="E3985">
        <v>3</v>
      </c>
      <c r="F3985" t="s">
        <v>14</v>
      </c>
      <c r="G3985">
        <v>12</v>
      </c>
      <c r="H3985">
        <v>11.536000000000001</v>
      </c>
      <c r="I3985">
        <v>12.000000000000011</v>
      </c>
      <c r="J3985" t="s">
        <v>20</v>
      </c>
    </row>
    <row r="3986" spans="1:10" x14ac:dyDescent="0.2">
      <c r="A3986">
        <v>13985</v>
      </c>
      <c r="B3986" t="s">
        <v>7</v>
      </c>
      <c r="C3986" t="s">
        <v>11</v>
      </c>
      <c r="D3986">
        <v>8.6199999999999992</v>
      </c>
      <c r="E3986">
        <v>4</v>
      </c>
      <c r="F3986" t="s">
        <v>15</v>
      </c>
      <c r="G3986">
        <v>25</v>
      </c>
      <c r="H3986">
        <v>10.774999999999999</v>
      </c>
      <c r="I3986">
        <v>25</v>
      </c>
      <c r="J3986" t="s">
        <v>20</v>
      </c>
    </row>
    <row r="3987" spans="1:10" x14ac:dyDescent="0.2">
      <c r="A3987">
        <v>13986</v>
      </c>
      <c r="B3987" t="s">
        <v>7</v>
      </c>
      <c r="C3987" t="s">
        <v>6</v>
      </c>
      <c r="D3987">
        <v>11.95</v>
      </c>
      <c r="E3987">
        <v>5</v>
      </c>
      <c r="F3987" t="s">
        <v>15</v>
      </c>
      <c r="G3987">
        <v>28</v>
      </c>
      <c r="H3987">
        <v>15.295999999999999</v>
      </c>
      <c r="I3987">
        <v>28.000000000000004</v>
      </c>
      <c r="J3987" t="s">
        <v>20</v>
      </c>
    </row>
    <row r="3988" spans="1:10" x14ac:dyDescent="0.2">
      <c r="A3988">
        <v>13987</v>
      </c>
      <c r="B3988" t="s">
        <v>7</v>
      </c>
      <c r="C3988" t="s">
        <v>6</v>
      </c>
      <c r="D3988">
        <v>11.21</v>
      </c>
      <c r="E3988">
        <v>2</v>
      </c>
      <c r="F3988" t="s">
        <v>14</v>
      </c>
      <c r="G3988">
        <v>12</v>
      </c>
      <c r="H3988">
        <v>12.555200000000003</v>
      </c>
      <c r="I3988">
        <v>12.000000000000011</v>
      </c>
      <c r="J3988" t="s">
        <v>20</v>
      </c>
    </row>
    <row r="3989" spans="1:10" x14ac:dyDescent="0.2">
      <c r="A3989">
        <v>13988</v>
      </c>
      <c r="B3989" t="s">
        <v>8</v>
      </c>
      <c r="C3989" t="s">
        <v>6</v>
      </c>
      <c r="D3989">
        <v>9.57</v>
      </c>
      <c r="E3989">
        <v>10</v>
      </c>
      <c r="F3989" t="s">
        <v>16</v>
      </c>
      <c r="G3989">
        <v>55</v>
      </c>
      <c r="H3989">
        <v>14.833500000000001</v>
      </c>
      <c r="I3989">
        <v>55.000000000000007</v>
      </c>
      <c r="J3989" t="s">
        <v>20</v>
      </c>
    </row>
    <row r="3990" spans="1:10" x14ac:dyDescent="0.2">
      <c r="A3990">
        <v>13989</v>
      </c>
      <c r="B3990" t="s">
        <v>5</v>
      </c>
      <c r="C3990" t="s">
        <v>6</v>
      </c>
      <c r="D3990">
        <v>14.8</v>
      </c>
      <c r="E3990">
        <v>9</v>
      </c>
      <c r="F3990" t="s">
        <v>16</v>
      </c>
      <c r="G3990">
        <v>55</v>
      </c>
      <c r="H3990">
        <v>22.94</v>
      </c>
      <c r="I3990">
        <v>55.000000000000007</v>
      </c>
      <c r="J3990" t="s">
        <v>20</v>
      </c>
    </row>
    <row r="3991" spans="1:10" x14ac:dyDescent="0.2">
      <c r="A3991">
        <v>13990</v>
      </c>
      <c r="B3991" t="s">
        <v>7</v>
      </c>
      <c r="C3991" t="s">
        <v>6</v>
      </c>
      <c r="D3991">
        <v>8.24</v>
      </c>
      <c r="E3991">
        <v>10</v>
      </c>
      <c r="F3991" t="s">
        <v>16</v>
      </c>
      <c r="G3991">
        <v>55</v>
      </c>
      <c r="H3991">
        <v>12.772</v>
      </c>
      <c r="I3991">
        <v>55.000000000000007</v>
      </c>
      <c r="J3991" t="s">
        <v>20</v>
      </c>
    </row>
    <row r="3992" spans="1:10" x14ac:dyDescent="0.2">
      <c r="A3992">
        <v>13991</v>
      </c>
      <c r="B3992" t="s">
        <v>7</v>
      </c>
      <c r="C3992" t="s">
        <v>9</v>
      </c>
      <c r="D3992">
        <v>2.14</v>
      </c>
      <c r="E3992">
        <v>8</v>
      </c>
      <c r="F3992" t="s">
        <v>16</v>
      </c>
      <c r="G3992">
        <v>60</v>
      </c>
      <c r="H3992">
        <v>3.4240000000000004</v>
      </c>
      <c r="I3992">
        <v>60.000000000000007</v>
      </c>
      <c r="J3992" t="s">
        <v>20</v>
      </c>
    </row>
    <row r="3993" spans="1:10" x14ac:dyDescent="0.2">
      <c r="A3993">
        <v>13992</v>
      </c>
      <c r="B3993" t="s">
        <v>8</v>
      </c>
      <c r="C3993" t="s">
        <v>11</v>
      </c>
      <c r="D3993">
        <v>12.51</v>
      </c>
      <c r="E3993">
        <v>6</v>
      </c>
      <c r="F3993" t="s">
        <v>15</v>
      </c>
      <c r="G3993">
        <v>25</v>
      </c>
      <c r="H3993">
        <v>15.637499999999999</v>
      </c>
      <c r="I3993">
        <v>25</v>
      </c>
      <c r="J3993" t="s">
        <v>20</v>
      </c>
    </row>
    <row r="3994" spans="1:10" x14ac:dyDescent="0.2">
      <c r="A3994">
        <v>13993</v>
      </c>
      <c r="B3994" t="s">
        <v>7</v>
      </c>
      <c r="C3994" t="s">
        <v>9</v>
      </c>
      <c r="D3994">
        <v>4.1500000000000004</v>
      </c>
      <c r="E3994">
        <v>10</v>
      </c>
      <c r="F3994" t="s">
        <v>16</v>
      </c>
      <c r="G3994">
        <v>60</v>
      </c>
      <c r="H3994">
        <v>6.6400000000000006</v>
      </c>
      <c r="I3994">
        <v>60.000000000000007</v>
      </c>
      <c r="J3994" t="s">
        <v>20</v>
      </c>
    </row>
    <row r="3995" spans="1:10" x14ac:dyDescent="0.2">
      <c r="A3995">
        <v>13994</v>
      </c>
      <c r="B3995" t="s">
        <v>8</v>
      </c>
      <c r="C3995" t="s">
        <v>6</v>
      </c>
      <c r="D3995">
        <v>11.77</v>
      </c>
      <c r="E3995">
        <v>3</v>
      </c>
      <c r="F3995" t="s">
        <v>14</v>
      </c>
      <c r="G3995">
        <v>12</v>
      </c>
      <c r="H3995">
        <v>13.182400000000001</v>
      </c>
      <c r="I3995">
        <v>12.000000000000011</v>
      </c>
      <c r="J3995" t="s">
        <v>20</v>
      </c>
    </row>
    <row r="3996" spans="1:10" x14ac:dyDescent="0.2">
      <c r="A3996">
        <v>13995</v>
      </c>
      <c r="B3996" t="s">
        <v>10</v>
      </c>
      <c r="C3996" t="s">
        <v>11</v>
      </c>
      <c r="D3996">
        <v>14.38</v>
      </c>
      <c r="E3996">
        <v>2</v>
      </c>
      <c r="F3996" t="s">
        <v>14</v>
      </c>
      <c r="G3996">
        <v>10</v>
      </c>
      <c r="H3996">
        <v>15.818000000000001</v>
      </c>
      <c r="I3996">
        <v>10.000000000000009</v>
      </c>
      <c r="J3996" t="s">
        <v>20</v>
      </c>
    </row>
    <row r="3997" spans="1:10" x14ac:dyDescent="0.2">
      <c r="A3997">
        <v>13996</v>
      </c>
      <c r="B3997" t="s">
        <v>7</v>
      </c>
      <c r="C3997" t="s">
        <v>9</v>
      </c>
      <c r="D3997">
        <v>10.6</v>
      </c>
      <c r="E3997">
        <v>7</v>
      </c>
      <c r="F3997" t="s">
        <v>15</v>
      </c>
      <c r="G3997">
        <v>30</v>
      </c>
      <c r="H3997">
        <v>13.78</v>
      </c>
      <c r="I3997">
        <v>30.000000000000004</v>
      </c>
      <c r="J3997" t="s">
        <v>20</v>
      </c>
    </row>
    <row r="3998" spans="1:10" x14ac:dyDescent="0.2">
      <c r="A3998">
        <v>13997</v>
      </c>
      <c r="B3998" t="s">
        <v>7</v>
      </c>
      <c r="C3998" t="s">
        <v>9</v>
      </c>
      <c r="D3998">
        <v>9.14</v>
      </c>
      <c r="E3998">
        <v>8</v>
      </c>
      <c r="F3998" t="s">
        <v>16</v>
      </c>
      <c r="G3998">
        <v>60</v>
      </c>
      <c r="H3998">
        <v>14.624000000000002</v>
      </c>
      <c r="I3998">
        <v>60.000000000000007</v>
      </c>
      <c r="J3998" t="s">
        <v>20</v>
      </c>
    </row>
    <row r="3999" spans="1:10" x14ac:dyDescent="0.2">
      <c r="A3999">
        <v>13998</v>
      </c>
      <c r="B3999" t="s">
        <v>10</v>
      </c>
      <c r="C3999" t="s">
        <v>6</v>
      </c>
      <c r="D3999">
        <v>7.18</v>
      </c>
      <c r="E3999">
        <v>10</v>
      </c>
      <c r="F3999" t="s">
        <v>16</v>
      </c>
      <c r="G3999">
        <v>55</v>
      </c>
      <c r="H3999">
        <v>11.129</v>
      </c>
      <c r="I3999">
        <v>55.000000000000007</v>
      </c>
      <c r="J3999" t="s">
        <v>20</v>
      </c>
    </row>
    <row r="4000" spans="1:10" x14ac:dyDescent="0.2">
      <c r="A4000">
        <v>13999</v>
      </c>
      <c r="B4000" t="s">
        <v>10</v>
      </c>
      <c r="C4000" t="s">
        <v>9</v>
      </c>
      <c r="D4000">
        <v>5.78</v>
      </c>
      <c r="E4000">
        <v>1</v>
      </c>
      <c r="F4000" t="s">
        <v>14</v>
      </c>
      <c r="G4000">
        <v>15</v>
      </c>
      <c r="H4000">
        <v>6.6469999999999994</v>
      </c>
      <c r="I4000">
        <v>14.999999999999991</v>
      </c>
      <c r="J4000" t="s">
        <v>20</v>
      </c>
    </row>
    <row r="4001" spans="1:10" x14ac:dyDescent="0.2">
      <c r="A4001">
        <v>14000</v>
      </c>
      <c r="B4001" t="s">
        <v>10</v>
      </c>
      <c r="C4001" t="s">
        <v>9</v>
      </c>
      <c r="D4001">
        <v>5.62</v>
      </c>
      <c r="E4001">
        <v>6</v>
      </c>
      <c r="F4001" t="s">
        <v>15</v>
      </c>
      <c r="G4001">
        <v>30</v>
      </c>
      <c r="H4001">
        <v>7.306</v>
      </c>
      <c r="I4001">
        <v>30.000000000000004</v>
      </c>
      <c r="J4001" t="s">
        <v>20</v>
      </c>
    </row>
    <row r="4002" spans="1:10" x14ac:dyDescent="0.2">
      <c r="A4002">
        <v>14001</v>
      </c>
      <c r="B4002" t="s">
        <v>7</v>
      </c>
      <c r="C4002" t="s">
        <v>9</v>
      </c>
      <c r="D4002">
        <v>9.73</v>
      </c>
      <c r="E4002">
        <v>7</v>
      </c>
      <c r="F4002" t="s">
        <v>15</v>
      </c>
      <c r="G4002">
        <v>30</v>
      </c>
      <c r="H4002">
        <v>12.649000000000001</v>
      </c>
      <c r="I4002">
        <v>30.000000000000004</v>
      </c>
      <c r="J4002" t="s">
        <v>20</v>
      </c>
    </row>
    <row r="4003" spans="1:10" x14ac:dyDescent="0.2">
      <c r="A4003">
        <v>14002</v>
      </c>
      <c r="B4003" t="s">
        <v>5</v>
      </c>
      <c r="C4003" t="s">
        <v>9</v>
      </c>
      <c r="D4003">
        <v>11.39</v>
      </c>
      <c r="E4003">
        <v>9</v>
      </c>
      <c r="F4003" t="s">
        <v>16</v>
      </c>
      <c r="G4003">
        <v>60</v>
      </c>
      <c r="H4003">
        <v>18.224</v>
      </c>
      <c r="I4003">
        <v>59.999999999999986</v>
      </c>
      <c r="J4003" t="s">
        <v>20</v>
      </c>
    </row>
    <row r="4004" spans="1:10" x14ac:dyDescent="0.2">
      <c r="A4004">
        <v>14003</v>
      </c>
      <c r="B4004" t="s">
        <v>5</v>
      </c>
      <c r="C4004" t="s">
        <v>9</v>
      </c>
      <c r="D4004">
        <v>10.34</v>
      </c>
      <c r="E4004">
        <v>3</v>
      </c>
      <c r="F4004" t="s">
        <v>14</v>
      </c>
      <c r="G4004">
        <v>15</v>
      </c>
      <c r="H4004">
        <v>11.890999999999998</v>
      </c>
      <c r="I4004">
        <v>14.999999999999991</v>
      </c>
      <c r="J4004" t="s">
        <v>20</v>
      </c>
    </row>
    <row r="4005" spans="1:10" x14ac:dyDescent="0.2">
      <c r="A4005">
        <v>14004</v>
      </c>
      <c r="B4005" t="s">
        <v>5</v>
      </c>
      <c r="C4005" t="s">
        <v>6</v>
      </c>
      <c r="D4005">
        <v>3.38</v>
      </c>
      <c r="E4005">
        <v>2</v>
      </c>
      <c r="F4005" t="s">
        <v>14</v>
      </c>
      <c r="G4005">
        <v>12</v>
      </c>
      <c r="H4005">
        <v>3.7856000000000001</v>
      </c>
      <c r="I4005">
        <v>12.000000000000011</v>
      </c>
      <c r="J4005" t="s">
        <v>20</v>
      </c>
    </row>
    <row r="4006" spans="1:10" x14ac:dyDescent="0.2">
      <c r="A4006">
        <v>14005</v>
      </c>
      <c r="B4006" t="s">
        <v>7</v>
      </c>
      <c r="C4006" t="s">
        <v>6</v>
      </c>
      <c r="D4006">
        <v>7.66</v>
      </c>
      <c r="E4006">
        <v>5</v>
      </c>
      <c r="F4006" t="s">
        <v>15</v>
      </c>
      <c r="G4006">
        <v>28</v>
      </c>
      <c r="H4006">
        <v>9.8048000000000002</v>
      </c>
      <c r="I4006">
        <v>28.000000000000004</v>
      </c>
      <c r="J4006" t="s">
        <v>20</v>
      </c>
    </row>
    <row r="4007" spans="1:10" x14ac:dyDescent="0.2">
      <c r="A4007">
        <v>14006</v>
      </c>
      <c r="B4007" t="s">
        <v>10</v>
      </c>
      <c r="C4007" t="s">
        <v>9</v>
      </c>
      <c r="D4007">
        <v>11.98</v>
      </c>
      <c r="E4007">
        <v>10</v>
      </c>
      <c r="F4007" t="s">
        <v>16</v>
      </c>
      <c r="G4007">
        <v>60</v>
      </c>
      <c r="H4007">
        <v>19.168000000000003</v>
      </c>
      <c r="I4007">
        <v>60.000000000000007</v>
      </c>
      <c r="J4007" t="s">
        <v>20</v>
      </c>
    </row>
    <row r="4008" spans="1:10" x14ac:dyDescent="0.2">
      <c r="A4008">
        <v>14007</v>
      </c>
      <c r="B4008" t="s">
        <v>7</v>
      </c>
      <c r="C4008" t="s">
        <v>6</v>
      </c>
      <c r="D4008">
        <v>7.4</v>
      </c>
      <c r="E4008">
        <v>1</v>
      </c>
      <c r="F4008" t="s">
        <v>14</v>
      </c>
      <c r="G4008">
        <v>12</v>
      </c>
      <c r="H4008">
        <v>8.288000000000002</v>
      </c>
      <c r="I4008">
        <v>12.000000000000032</v>
      </c>
      <c r="J4008" t="s">
        <v>20</v>
      </c>
    </row>
    <row r="4009" spans="1:10" x14ac:dyDescent="0.2">
      <c r="A4009">
        <v>14008</v>
      </c>
      <c r="B4009" t="s">
        <v>10</v>
      </c>
      <c r="C4009" t="s">
        <v>6</v>
      </c>
      <c r="D4009">
        <v>8.2799999999999994</v>
      </c>
      <c r="E4009">
        <v>6</v>
      </c>
      <c r="F4009" t="s">
        <v>15</v>
      </c>
      <c r="G4009">
        <v>28</v>
      </c>
      <c r="H4009">
        <v>10.5984</v>
      </c>
      <c r="I4009">
        <v>28.000000000000004</v>
      </c>
      <c r="J4009" t="s">
        <v>20</v>
      </c>
    </row>
    <row r="4010" spans="1:10" x14ac:dyDescent="0.2">
      <c r="A4010">
        <v>14009</v>
      </c>
      <c r="B4010" t="s">
        <v>7</v>
      </c>
      <c r="C4010" t="s">
        <v>11</v>
      </c>
      <c r="D4010">
        <v>11.68</v>
      </c>
      <c r="E4010">
        <v>9</v>
      </c>
      <c r="F4010" t="s">
        <v>16</v>
      </c>
      <c r="G4010">
        <v>50</v>
      </c>
      <c r="H4010">
        <v>17.52</v>
      </c>
      <c r="I4010">
        <v>50</v>
      </c>
      <c r="J4010" t="s">
        <v>20</v>
      </c>
    </row>
    <row r="4011" spans="1:10" x14ac:dyDescent="0.2">
      <c r="A4011">
        <v>14010</v>
      </c>
      <c r="B4011" t="s">
        <v>7</v>
      </c>
      <c r="C4011" t="s">
        <v>9</v>
      </c>
      <c r="D4011">
        <v>10.09</v>
      </c>
      <c r="E4011">
        <v>10</v>
      </c>
      <c r="F4011" t="s">
        <v>16</v>
      </c>
      <c r="G4011">
        <v>60</v>
      </c>
      <c r="H4011">
        <v>16.144000000000002</v>
      </c>
      <c r="I4011">
        <v>60.000000000000028</v>
      </c>
      <c r="J4011" t="s">
        <v>20</v>
      </c>
    </row>
    <row r="4012" spans="1:10" x14ac:dyDescent="0.2">
      <c r="A4012">
        <v>14011</v>
      </c>
      <c r="B4012" t="s">
        <v>10</v>
      </c>
      <c r="C4012" t="s">
        <v>6</v>
      </c>
      <c r="D4012">
        <v>6.44</v>
      </c>
      <c r="E4012">
        <v>9</v>
      </c>
      <c r="F4012" t="s">
        <v>16</v>
      </c>
      <c r="G4012">
        <v>55</v>
      </c>
      <c r="H4012">
        <v>9.9820000000000011</v>
      </c>
      <c r="I4012">
        <v>55.000000000000007</v>
      </c>
      <c r="J4012" t="s">
        <v>20</v>
      </c>
    </row>
    <row r="4013" spans="1:10" x14ac:dyDescent="0.2">
      <c r="A4013">
        <v>14012</v>
      </c>
      <c r="B4013" t="s">
        <v>5</v>
      </c>
      <c r="C4013" t="s">
        <v>6</v>
      </c>
      <c r="D4013">
        <v>13.48</v>
      </c>
      <c r="E4013">
        <v>7</v>
      </c>
      <c r="F4013" t="s">
        <v>15</v>
      </c>
      <c r="G4013">
        <v>28</v>
      </c>
      <c r="H4013">
        <v>17.2544</v>
      </c>
      <c r="I4013">
        <v>28.000000000000004</v>
      </c>
      <c r="J4013" t="s">
        <v>20</v>
      </c>
    </row>
    <row r="4014" spans="1:10" x14ac:dyDescent="0.2">
      <c r="A4014">
        <v>14013</v>
      </c>
      <c r="B4014" t="s">
        <v>10</v>
      </c>
      <c r="C4014" t="s">
        <v>9</v>
      </c>
      <c r="D4014">
        <v>2.86</v>
      </c>
      <c r="E4014">
        <v>7</v>
      </c>
      <c r="F4014" t="s">
        <v>15</v>
      </c>
      <c r="G4014">
        <v>30</v>
      </c>
      <c r="H4014">
        <v>3.718</v>
      </c>
      <c r="I4014">
        <v>30.000000000000004</v>
      </c>
      <c r="J4014" t="s">
        <v>20</v>
      </c>
    </row>
    <row r="4015" spans="1:10" x14ac:dyDescent="0.2">
      <c r="A4015">
        <v>14014</v>
      </c>
      <c r="B4015" t="s">
        <v>8</v>
      </c>
      <c r="C4015" t="s">
        <v>11</v>
      </c>
      <c r="D4015">
        <v>14.93</v>
      </c>
      <c r="E4015">
        <v>8</v>
      </c>
      <c r="F4015" t="s">
        <v>16</v>
      </c>
      <c r="G4015">
        <v>50</v>
      </c>
      <c r="H4015">
        <v>22.395</v>
      </c>
      <c r="I4015">
        <v>50</v>
      </c>
      <c r="J4015" t="s">
        <v>20</v>
      </c>
    </row>
    <row r="4016" spans="1:10" x14ac:dyDescent="0.2">
      <c r="A4016">
        <v>14015</v>
      </c>
      <c r="B4016" t="s">
        <v>8</v>
      </c>
      <c r="C4016" t="s">
        <v>9</v>
      </c>
      <c r="D4016">
        <v>2.2200000000000002</v>
      </c>
      <c r="E4016">
        <v>10</v>
      </c>
      <c r="F4016" t="s">
        <v>16</v>
      </c>
      <c r="G4016">
        <v>60</v>
      </c>
      <c r="H4016">
        <v>3.5520000000000005</v>
      </c>
      <c r="I4016">
        <v>60.000000000000007</v>
      </c>
      <c r="J4016" t="s">
        <v>20</v>
      </c>
    </row>
    <row r="4017" spans="1:10" x14ac:dyDescent="0.2">
      <c r="A4017">
        <v>14016</v>
      </c>
      <c r="B4017" t="s">
        <v>10</v>
      </c>
      <c r="C4017" t="s">
        <v>11</v>
      </c>
      <c r="D4017">
        <v>0.72</v>
      </c>
      <c r="E4017">
        <v>2</v>
      </c>
      <c r="F4017" t="s">
        <v>14</v>
      </c>
      <c r="G4017">
        <v>10</v>
      </c>
      <c r="H4017">
        <v>0.79200000000000004</v>
      </c>
      <c r="I4017">
        <v>10.000000000000009</v>
      </c>
      <c r="J4017" t="s">
        <v>20</v>
      </c>
    </row>
    <row r="4018" spans="1:10" x14ac:dyDescent="0.2">
      <c r="A4018">
        <v>14017</v>
      </c>
      <c r="B4018" t="s">
        <v>7</v>
      </c>
      <c r="C4018" t="s">
        <v>9</v>
      </c>
      <c r="D4018">
        <v>13.41</v>
      </c>
      <c r="E4018">
        <v>6</v>
      </c>
      <c r="F4018" t="s">
        <v>15</v>
      </c>
      <c r="G4018">
        <v>30</v>
      </c>
      <c r="H4018">
        <v>17.433</v>
      </c>
      <c r="I4018">
        <v>30.000000000000004</v>
      </c>
      <c r="J4018" t="s">
        <v>20</v>
      </c>
    </row>
    <row r="4019" spans="1:10" x14ac:dyDescent="0.2">
      <c r="A4019">
        <v>14018</v>
      </c>
      <c r="B4019" t="s">
        <v>8</v>
      </c>
      <c r="C4019" t="s">
        <v>9</v>
      </c>
      <c r="D4019">
        <v>4.05</v>
      </c>
      <c r="E4019">
        <v>5</v>
      </c>
      <c r="F4019" t="s">
        <v>15</v>
      </c>
      <c r="G4019">
        <v>30</v>
      </c>
      <c r="H4019">
        <v>5.2649999999999997</v>
      </c>
      <c r="I4019">
        <v>30.000000000000004</v>
      </c>
      <c r="J4019" t="s">
        <v>20</v>
      </c>
    </row>
    <row r="4020" spans="1:10" x14ac:dyDescent="0.2">
      <c r="A4020">
        <v>14019</v>
      </c>
      <c r="B4020" t="s">
        <v>8</v>
      </c>
      <c r="C4020" t="s">
        <v>9</v>
      </c>
      <c r="D4020">
        <v>11.08</v>
      </c>
      <c r="E4020">
        <v>5</v>
      </c>
      <c r="F4020" t="s">
        <v>15</v>
      </c>
      <c r="G4020">
        <v>30</v>
      </c>
      <c r="H4020">
        <v>14.404</v>
      </c>
      <c r="I4020">
        <v>30.000000000000004</v>
      </c>
      <c r="J4020" t="s">
        <v>20</v>
      </c>
    </row>
    <row r="4021" spans="1:10" x14ac:dyDescent="0.2">
      <c r="A4021">
        <v>14020</v>
      </c>
      <c r="B4021" t="s">
        <v>7</v>
      </c>
      <c r="C4021" t="s">
        <v>9</v>
      </c>
      <c r="D4021">
        <v>12.26</v>
      </c>
      <c r="E4021">
        <v>3</v>
      </c>
      <c r="F4021" t="s">
        <v>14</v>
      </c>
      <c r="G4021">
        <v>15</v>
      </c>
      <c r="H4021">
        <v>14.098999999999998</v>
      </c>
      <c r="I4021">
        <v>14.999999999999991</v>
      </c>
      <c r="J4021" t="s">
        <v>20</v>
      </c>
    </row>
    <row r="4022" spans="1:10" x14ac:dyDescent="0.2">
      <c r="A4022">
        <v>14021</v>
      </c>
      <c r="B4022" t="s">
        <v>7</v>
      </c>
      <c r="C4022" t="s">
        <v>11</v>
      </c>
      <c r="D4022">
        <v>12.96</v>
      </c>
      <c r="E4022">
        <v>3</v>
      </c>
      <c r="F4022" t="s">
        <v>14</v>
      </c>
      <c r="G4022">
        <v>10</v>
      </c>
      <c r="H4022">
        <v>14.256000000000002</v>
      </c>
      <c r="I4022">
        <v>10.000000000000009</v>
      </c>
      <c r="J4022" t="s">
        <v>20</v>
      </c>
    </row>
    <row r="4023" spans="1:10" x14ac:dyDescent="0.2">
      <c r="A4023">
        <v>14022</v>
      </c>
      <c r="B4023" t="s">
        <v>5</v>
      </c>
      <c r="C4023" t="s">
        <v>11</v>
      </c>
      <c r="D4023">
        <v>14.88</v>
      </c>
      <c r="E4023">
        <v>6</v>
      </c>
      <c r="F4023" t="s">
        <v>15</v>
      </c>
      <c r="G4023">
        <v>25</v>
      </c>
      <c r="H4023">
        <v>18.600000000000001</v>
      </c>
      <c r="I4023">
        <v>25</v>
      </c>
      <c r="J4023" t="s">
        <v>20</v>
      </c>
    </row>
    <row r="4024" spans="1:10" x14ac:dyDescent="0.2">
      <c r="A4024">
        <v>14023</v>
      </c>
      <c r="B4024" t="s">
        <v>7</v>
      </c>
      <c r="C4024" t="s">
        <v>6</v>
      </c>
      <c r="D4024">
        <v>4.76</v>
      </c>
      <c r="E4024">
        <v>10</v>
      </c>
      <c r="F4024" t="s">
        <v>16</v>
      </c>
      <c r="G4024">
        <v>55</v>
      </c>
      <c r="H4024">
        <v>7.3780000000000001</v>
      </c>
      <c r="I4024">
        <v>55.000000000000007</v>
      </c>
      <c r="J4024" t="s">
        <v>20</v>
      </c>
    </row>
    <row r="4025" spans="1:10" x14ac:dyDescent="0.2">
      <c r="A4025">
        <v>14024</v>
      </c>
      <c r="B4025" t="s">
        <v>10</v>
      </c>
      <c r="C4025" t="s">
        <v>9</v>
      </c>
      <c r="D4025">
        <v>10.8</v>
      </c>
      <c r="E4025">
        <v>10</v>
      </c>
      <c r="F4025" t="s">
        <v>16</v>
      </c>
      <c r="G4025">
        <v>60</v>
      </c>
      <c r="H4025">
        <v>17.28</v>
      </c>
      <c r="I4025">
        <v>60.000000000000007</v>
      </c>
      <c r="J4025" t="s">
        <v>20</v>
      </c>
    </row>
    <row r="4026" spans="1:10" x14ac:dyDescent="0.2">
      <c r="A4026">
        <v>14025</v>
      </c>
      <c r="B4026" t="s">
        <v>10</v>
      </c>
      <c r="C4026" t="s">
        <v>11</v>
      </c>
      <c r="D4026">
        <v>2.17</v>
      </c>
      <c r="E4026">
        <v>7</v>
      </c>
      <c r="F4026" t="s">
        <v>15</v>
      </c>
      <c r="G4026">
        <v>25</v>
      </c>
      <c r="H4026">
        <v>2.7124999999999999</v>
      </c>
      <c r="I4026">
        <v>25</v>
      </c>
      <c r="J4026" t="s">
        <v>20</v>
      </c>
    </row>
    <row r="4027" spans="1:10" x14ac:dyDescent="0.2">
      <c r="A4027">
        <v>14026</v>
      </c>
      <c r="B4027" t="s">
        <v>5</v>
      </c>
      <c r="C4027" t="s">
        <v>11</v>
      </c>
      <c r="D4027">
        <v>6.4</v>
      </c>
      <c r="E4027">
        <v>1</v>
      </c>
      <c r="F4027" t="s">
        <v>14</v>
      </c>
      <c r="G4027">
        <v>10</v>
      </c>
      <c r="H4027">
        <v>7.0400000000000009</v>
      </c>
      <c r="I4027">
        <v>10.000000000000009</v>
      </c>
      <c r="J4027" t="s">
        <v>20</v>
      </c>
    </row>
    <row r="4028" spans="1:10" x14ac:dyDescent="0.2">
      <c r="A4028">
        <v>14027</v>
      </c>
      <c r="B4028" t="s">
        <v>8</v>
      </c>
      <c r="C4028" t="s">
        <v>11</v>
      </c>
      <c r="D4028">
        <v>12.8</v>
      </c>
      <c r="E4028">
        <v>3</v>
      </c>
      <c r="F4028" t="s">
        <v>14</v>
      </c>
      <c r="G4028">
        <v>10</v>
      </c>
      <c r="H4028">
        <v>14.080000000000002</v>
      </c>
      <c r="I4028">
        <v>10.000000000000009</v>
      </c>
      <c r="J4028" t="s">
        <v>20</v>
      </c>
    </row>
    <row r="4029" spans="1:10" x14ac:dyDescent="0.2">
      <c r="A4029">
        <v>14028</v>
      </c>
      <c r="B4029" t="s">
        <v>8</v>
      </c>
      <c r="C4029" t="s">
        <v>9</v>
      </c>
      <c r="D4029">
        <v>5.83</v>
      </c>
      <c r="E4029">
        <v>1</v>
      </c>
      <c r="F4029" t="s">
        <v>14</v>
      </c>
      <c r="G4029">
        <v>15</v>
      </c>
      <c r="H4029">
        <v>6.7044999999999995</v>
      </c>
      <c r="I4029">
        <v>14.999999999999991</v>
      </c>
      <c r="J4029" t="s">
        <v>20</v>
      </c>
    </row>
    <row r="4030" spans="1:10" x14ac:dyDescent="0.2">
      <c r="A4030">
        <v>14029</v>
      </c>
      <c r="B4030" t="s">
        <v>7</v>
      </c>
      <c r="C4030" t="s">
        <v>6</v>
      </c>
      <c r="D4030">
        <v>9.07</v>
      </c>
      <c r="E4030">
        <v>10</v>
      </c>
      <c r="F4030" t="s">
        <v>16</v>
      </c>
      <c r="G4030">
        <v>55</v>
      </c>
      <c r="H4030">
        <v>14.0585</v>
      </c>
      <c r="I4030">
        <v>55.000000000000007</v>
      </c>
      <c r="J4030" t="s">
        <v>20</v>
      </c>
    </row>
    <row r="4031" spans="1:10" x14ac:dyDescent="0.2">
      <c r="A4031">
        <v>14030</v>
      </c>
      <c r="B4031" t="s">
        <v>10</v>
      </c>
      <c r="C4031" t="s">
        <v>11</v>
      </c>
      <c r="D4031">
        <v>7.8</v>
      </c>
      <c r="E4031">
        <v>3</v>
      </c>
      <c r="F4031" t="s">
        <v>14</v>
      </c>
      <c r="G4031">
        <v>10</v>
      </c>
      <c r="H4031">
        <v>8.58</v>
      </c>
      <c r="I4031">
        <v>10.000000000000009</v>
      </c>
      <c r="J4031" t="s">
        <v>20</v>
      </c>
    </row>
    <row r="4032" spans="1:10" x14ac:dyDescent="0.2">
      <c r="A4032">
        <v>14031</v>
      </c>
      <c r="B4032" t="s">
        <v>8</v>
      </c>
      <c r="C4032" t="s">
        <v>9</v>
      </c>
      <c r="D4032">
        <v>9.8699999999999992</v>
      </c>
      <c r="E4032">
        <v>5</v>
      </c>
      <c r="F4032" t="s">
        <v>15</v>
      </c>
      <c r="G4032">
        <v>30</v>
      </c>
      <c r="H4032">
        <v>12.831</v>
      </c>
      <c r="I4032">
        <v>30.000000000000004</v>
      </c>
      <c r="J4032" t="s">
        <v>20</v>
      </c>
    </row>
    <row r="4033" spans="1:10" x14ac:dyDescent="0.2">
      <c r="A4033">
        <v>14032</v>
      </c>
      <c r="B4033" t="s">
        <v>5</v>
      </c>
      <c r="C4033" t="s">
        <v>11</v>
      </c>
      <c r="D4033">
        <v>14.61</v>
      </c>
      <c r="E4033">
        <v>9</v>
      </c>
      <c r="F4033" t="s">
        <v>16</v>
      </c>
      <c r="G4033">
        <v>50</v>
      </c>
      <c r="H4033">
        <v>21.914999999999999</v>
      </c>
      <c r="I4033">
        <v>50</v>
      </c>
      <c r="J4033" t="s">
        <v>20</v>
      </c>
    </row>
    <row r="4034" spans="1:10" x14ac:dyDescent="0.2">
      <c r="A4034">
        <v>14033</v>
      </c>
      <c r="B4034" t="s">
        <v>5</v>
      </c>
      <c r="C4034" t="s">
        <v>11</v>
      </c>
      <c r="D4034">
        <v>1.31</v>
      </c>
      <c r="E4034">
        <v>3</v>
      </c>
      <c r="F4034" t="s">
        <v>14</v>
      </c>
      <c r="G4034">
        <v>10</v>
      </c>
      <c r="H4034">
        <v>1.4410000000000003</v>
      </c>
      <c r="I4034">
        <v>10.000000000000009</v>
      </c>
      <c r="J4034" t="s">
        <v>20</v>
      </c>
    </row>
    <row r="4035" spans="1:10" x14ac:dyDescent="0.2">
      <c r="A4035">
        <v>14034</v>
      </c>
      <c r="B4035" t="s">
        <v>10</v>
      </c>
      <c r="C4035" t="s">
        <v>6</v>
      </c>
      <c r="D4035">
        <v>8.82</v>
      </c>
      <c r="E4035">
        <v>10</v>
      </c>
      <c r="F4035" t="s">
        <v>16</v>
      </c>
      <c r="G4035">
        <v>55</v>
      </c>
      <c r="H4035">
        <v>13.671000000000001</v>
      </c>
      <c r="I4035">
        <v>55.000000000000007</v>
      </c>
      <c r="J4035" t="s">
        <v>20</v>
      </c>
    </row>
    <row r="4036" spans="1:10" x14ac:dyDescent="0.2">
      <c r="A4036">
        <v>14035</v>
      </c>
      <c r="B4036" t="s">
        <v>5</v>
      </c>
      <c r="C4036" t="s">
        <v>11</v>
      </c>
      <c r="D4036">
        <v>13.01</v>
      </c>
      <c r="E4036">
        <v>10</v>
      </c>
      <c r="F4036" t="s">
        <v>16</v>
      </c>
      <c r="G4036">
        <v>50</v>
      </c>
      <c r="H4036">
        <v>19.515000000000001</v>
      </c>
      <c r="I4036">
        <v>50</v>
      </c>
      <c r="J4036" t="s">
        <v>20</v>
      </c>
    </row>
    <row r="4037" spans="1:10" x14ac:dyDescent="0.2">
      <c r="A4037">
        <v>14036</v>
      </c>
      <c r="B4037" t="s">
        <v>5</v>
      </c>
      <c r="C4037" t="s">
        <v>11</v>
      </c>
      <c r="D4037">
        <v>7.48</v>
      </c>
      <c r="E4037">
        <v>9</v>
      </c>
      <c r="F4037" t="s">
        <v>16</v>
      </c>
      <c r="G4037">
        <v>50</v>
      </c>
      <c r="H4037">
        <v>11.22</v>
      </c>
      <c r="I4037">
        <v>50</v>
      </c>
      <c r="J4037" t="s">
        <v>20</v>
      </c>
    </row>
    <row r="4038" spans="1:10" x14ac:dyDescent="0.2">
      <c r="A4038">
        <v>14037</v>
      </c>
      <c r="B4038" t="s">
        <v>10</v>
      </c>
      <c r="C4038" t="s">
        <v>9</v>
      </c>
      <c r="D4038">
        <v>1.64</v>
      </c>
      <c r="E4038">
        <v>1</v>
      </c>
      <c r="F4038" t="s">
        <v>14</v>
      </c>
      <c r="G4038">
        <v>15</v>
      </c>
      <c r="H4038">
        <v>1.8859999999999997</v>
      </c>
      <c r="I4038">
        <v>14.999999999999991</v>
      </c>
      <c r="J4038" t="s">
        <v>20</v>
      </c>
    </row>
    <row r="4039" spans="1:10" x14ac:dyDescent="0.2">
      <c r="A4039">
        <v>14038</v>
      </c>
      <c r="B4039" t="s">
        <v>7</v>
      </c>
      <c r="C4039" t="s">
        <v>9</v>
      </c>
      <c r="D4039">
        <v>8.6300000000000008</v>
      </c>
      <c r="E4039">
        <v>6</v>
      </c>
      <c r="F4039" t="s">
        <v>15</v>
      </c>
      <c r="G4039">
        <v>30</v>
      </c>
      <c r="H4039">
        <v>11.219000000000001</v>
      </c>
      <c r="I4039">
        <v>30.000000000000004</v>
      </c>
      <c r="J4039" t="s">
        <v>20</v>
      </c>
    </row>
    <row r="4040" spans="1:10" x14ac:dyDescent="0.2">
      <c r="A4040">
        <v>14039</v>
      </c>
      <c r="B4040" t="s">
        <v>7</v>
      </c>
      <c r="C4040" t="s">
        <v>6</v>
      </c>
      <c r="D4040">
        <v>5.32</v>
      </c>
      <c r="E4040">
        <v>9</v>
      </c>
      <c r="F4040" t="s">
        <v>16</v>
      </c>
      <c r="G4040">
        <v>55</v>
      </c>
      <c r="H4040">
        <v>8.2460000000000004</v>
      </c>
      <c r="I4040">
        <v>55.000000000000007</v>
      </c>
      <c r="J4040" t="s">
        <v>20</v>
      </c>
    </row>
    <row r="4041" spans="1:10" x14ac:dyDescent="0.2">
      <c r="A4041">
        <v>14040</v>
      </c>
      <c r="B4041" t="s">
        <v>5</v>
      </c>
      <c r="C4041" t="s">
        <v>9</v>
      </c>
      <c r="D4041">
        <v>2.75</v>
      </c>
      <c r="E4041">
        <v>5</v>
      </c>
      <c r="F4041" t="s">
        <v>15</v>
      </c>
      <c r="G4041">
        <v>30</v>
      </c>
      <c r="H4041">
        <v>3.5750000000000002</v>
      </c>
      <c r="I4041">
        <v>30.000000000000004</v>
      </c>
      <c r="J4041" t="s">
        <v>20</v>
      </c>
    </row>
    <row r="4042" spans="1:10" x14ac:dyDescent="0.2">
      <c r="A4042">
        <v>14041</v>
      </c>
      <c r="B4042" t="s">
        <v>7</v>
      </c>
      <c r="C4042" t="s">
        <v>9</v>
      </c>
      <c r="D4042">
        <v>12.81</v>
      </c>
      <c r="E4042">
        <v>10</v>
      </c>
      <c r="F4042" t="s">
        <v>16</v>
      </c>
      <c r="G4042">
        <v>60</v>
      </c>
      <c r="H4042">
        <v>20.496000000000002</v>
      </c>
      <c r="I4042">
        <v>60.000000000000007</v>
      </c>
      <c r="J4042" t="s">
        <v>20</v>
      </c>
    </row>
    <row r="4043" spans="1:10" x14ac:dyDescent="0.2">
      <c r="A4043">
        <v>14042</v>
      </c>
      <c r="B4043" t="s">
        <v>7</v>
      </c>
      <c r="C4043" t="s">
        <v>6</v>
      </c>
      <c r="D4043">
        <v>8.06</v>
      </c>
      <c r="E4043">
        <v>2</v>
      </c>
      <c r="F4043" t="s">
        <v>14</v>
      </c>
      <c r="G4043">
        <v>12</v>
      </c>
      <c r="H4043">
        <v>9.0272000000000006</v>
      </c>
      <c r="I4043">
        <v>12.000000000000011</v>
      </c>
      <c r="J4043" t="s">
        <v>20</v>
      </c>
    </row>
    <row r="4044" spans="1:10" x14ac:dyDescent="0.2">
      <c r="A4044">
        <v>14043</v>
      </c>
      <c r="B4044" t="s">
        <v>5</v>
      </c>
      <c r="C4044" t="s">
        <v>11</v>
      </c>
      <c r="D4044">
        <v>14.03</v>
      </c>
      <c r="E4044">
        <v>5</v>
      </c>
      <c r="F4044" t="s">
        <v>15</v>
      </c>
      <c r="G4044">
        <v>25</v>
      </c>
      <c r="H4044">
        <v>17.537499999999998</v>
      </c>
      <c r="I4044">
        <v>25</v>
      </c>
      <c r="J4044" t="s">
        <v>20</v>
      </c>
    </row>
    <row r="4045" spans="1:10" x14ac:dyDescent="0.2">
      <c r="A4045">
        <v>14044</v>
      </c>
      <c r="B4045" t="s">
        <v>7</v>
      </c>
      <c r="C4045" t="s">
        <v>6</v>
      </c>
      <c r="D4045">
        <v>12.19</v>
      </c>
      <c r="E4045">
        <v>1</v>
      </c>
      <c r="F4045" t="s">
        <v>14</v>
      </c>
      <c r="G4045">
        <v>12</v>
      </c>
      <c r="H4045">
        <v>13.652800000000001</v>
      </c>
      <c r="I4045">
        <v>12.000000000000011</v>
      </c>
      <c r="J4045" t="s">
        <v>20</v>
      </c>
    </row>
    <row r="4046" spans="1:10" x14ac:dyDescent="0.2">
      <c r="A4046">
        <v>14045</v>
      </c>
      <c r="B4046" t="s">
        <v>5</v>
      </c>
      <c r="C4046" t="s">
        <v>9</v>
      </c>
      <c r="D4046">
        <v>10.55</v>
      </c>
      <c r="E4046">
        <v>9</v>
      </c>
      <c r="F4046" t="s">
        <v>16</v>
      </c>
      <c r="G4046">
        <v>60</v>
      </c>
      <c r="H4046">
        <v>16.880000000000003</v>
      </c>
      <c r="I4046">
        <v>60.000000000000007</v>
      </c>
      <c r="J4046" t="s">
        <v>20</v>
      </c>
    </row>
    <row r="4047" spans="1:10" x14ac:dyDescent="0.2">
      <c r="A4047">
        <v>14046</v>
      </c>
      <c r="B4047" t="s">
        <v>8</v>
      </c>
      <c r="C4047" t="s">
        <v>6</v>
      </c>
      <c r="D4047">
        <v>0.56999999999999995</v>
      </c>
      <c r="E4047">
        <v>10</v>
      </c>
      <c r="F4047" t="s">
        <v>16</v>
      </c>
      <c r="G4047">
        <v>55</v>
      </c>
      <c r="H4047">
        <v>0.88349999999999995</v>
      </c>
      <c r="I4047">
        <v>55.000000000000007</v>
      </c>
      <c r="J4047" t="s">
        <v>20</v>
      </c>
    </row>
    <row r="4048" spans="1:10" x14ac:dyDescent="0.2">
      <c r="A4048">
        <v>14047</v>
      </c>
      <c r="B4048" t="s">
        <v>10</v>
      </c>
      <c r="C4048" t="s">
        <v>11</v>
      </c>
      <c r="D4048">
        <v>6.7</v>
      </c>
      <c r="E4048">
        <v>10</v>
      </c>
      <c r="F4048" t="s">
        <v>16</v>
      </c>
      <c r="G4048">
        <v>50</v>
      </c>
      <c r="H4048">
        <v>10.050000000000001</v>
      </c>
      <c r="I4048">
        <v>50</v>
      </c>
      <c r="J4048" t="s">
        <v>20</v>
      </c>
    </row>
    <row r="4049" spans="1:10" x14ac:dyDescent="0.2">
      <c r="A4049">
        <v>14048</v>
      </c>
      <c r="B4049" t="s">
        <v>10</v>
      </c>
      <c r="C4049" t="s">
        <v>6</v>
      </c>
      <c r="D4049">
        <v>3.36</v>
      </c>
      <c r="E4049">
        <v>9</v>
      </c>
      <c r="F4049" t="s">
        <v>16</v>
      </c>
      <c r="G4049">
        <v>55</v>
      </c>
      <c r="H4049">
        <v>5.2080000000000002</v>
      </c>
      <c r="I4049">
        <v>55.000000000000007</v>
      </c>
      <c r="J4049" t="s">
        <v>20</v>
      </c>
    </row>
    <row r="4050" spans="1:10" x14ac:dyDescent="0.2">
      <c r="A4050">
        <v>14049</v>
      </c>
      <c r="B4050" t="s">
        <v>7</v>
      </c>
      <c r="C4050" t="s">
        <v>9</v>
      </c>
      <c r="D4050">
        <v>13.71</v>
      </c>
      <c r="E4050">
        <v>6</v>
      </c>
      <c r="F4050" t="s">
        <v>15</v>
      </c>
      <c r="G4050">
        <v>30</v>
      </c>
      <c r="H4050">
        <v>17.823</v>
      </c>
      <c r="I4050">
        <v>30.000000000000004</v>
      </c>
      <c r="J4050" t="s">
        <v>20</v>
      </c>
    </row>
    <row r="4051" spans="1:10" x14ac:dyDescent="0.2">
      <c r="A4051">
        <v>14050</v>
      </c>
      <c r="B4051" t="s">
        <v>7</v>
      </c>
      <c r="C4051" t="s">
        <v>9</v>
      </c>
      <c r="D4051">
        <v>3.03</v>
      </c>
      <c r="E4051">
        <v>9</v>
      </c>
      <c r="F4051" t="s">
        <v>16</v>
      </c>
      <c r="G4051">
        <v>60</v>
      </c>
      <c r="H4051">
        <v>4.8479999999999999</v>
      </c>
      <c r="I4051">
        <v>60.000000000000007</v>
      </c>
      <c r="J4051" t="s">
        <v>20</v>
      </c>
    </row>
    <row r="4052" spans="1:10" x14ac:dyDescent="0.2">
      <c r="A4052">
        <v>14051</v>
      </c>
      <c r="B4052" t="s">
        <v>7</v>
      </c>
      <c r="C4052" t="s">
        <v>6</v>
      </c>
      <c r="D4052">
        <v>4.6500000000000004</v>
      </c>
      <c r="E4052">
        <v>3</v>
      </c>
      <c r="F4052" t="s">
        <v>14</v>
      </c>
      <c r="G4052">
        <v>12</v>
      </c>
      <c r="H4052">
        <v>5.2080000000000011</v>
      </c>
      <c r="I4052">
        <v>12.000000000000011</v>
      </c>
      <c r="J4052" t="s">
        <v>20</v>
      </c>
    </row>
    <row r="4053" spans="1:10" x14ac:dyDescent="0.2">
      <c r="A4053">
        <v>14052</v>
      </c>
      <c r="B4053" t="s">
        <v>10</v>
      </c>
      <c r="C4053" t="s">
        <v>11</v>
      </c>
      <c r="D4053">
        <v>7.99</v>
      </c>
      <c r="E4053">
        <v>4</v>
      </c>
      <c r="F4053" t="s">
        <v>15</v>
      </c>
      <c r="G4053">
        <v>25</v>
      </c>
      <c r="H4053">
        <v>9.9875000000000007</v>
      </c>
      <c r="I4053">
        <v>25</v>
      </c>
      <c r="J4053" t="s">
        <v>20</v>
      </c>
    </row>
    <row r="4054" spans="1:10" x14ac:dyDescent="0.2">
      <c r="A4054">
        <v>14053</v>
      </c>
      <c r="B4054" t="s">
        <v>8</v>
      </c>
      <c r="C4054" t="s">
        <v>6</v>
      </c>
      <c r="D4054">
        <v>4.32</v>
      </c>
      <c r="E4054">
        <v>6</v>
      </c>
      <c r="F4054" t="s">
        <v>15</v>
      </c>
      <c r="G4054">
        <v>28</v>
      </c>
      <c r="H4054">
        <v>5.5296000000000003</v>
      </c>
      <c r="I4054">
        <v>28.000000000000004</v>
      </c>
      <c r="J4054" t="s">
        <v>20</v>
      </c>
    </row>
    <row r="4055" spans="1:10" x14ac:dyDescent="0.2">
      <c r="A4055">
        <v>14054</v>
      </c>
      <c r="B4055" t="s">
        <v>8</v>
      </c>
      <c r="C4055" t="s">
        <v>11</v>
      </c>
      <c r="D4055">
        <v>3.54</v>
      </c>
      <c r="E4055">
        <v>4</v>
      </c>
      <c r="F4055" t="s">
        <v>15</v>
      </c>
      <c r="G4055">
        <v>25</v>
      </c>
      <c r="H4055">
        <v>4.4249999999999998</v>
      </c>
      <c r="I4055">
        <v>25</v>
      </c>
      <c r="J4055" t="s">
        <v>20</v>
      </c>
    </row>
    <row r="4056" spans="1:10" x14ac:dyDescent="0.2">
      <c r="A4056">
        <v>14055</v>
      </c>
      <c r="B4056" t="s">
        <v>10</v>
      </c>
      <c r="C4056" t="s">
        <v>11</v>
      </c>
      <c r="D4056">
        <v>9.19</v>
      </c>
      <c r="E4056">
        <v>1</v>
      </c>
      <c r="F4056" t="s">
        <v>14</v>
      </c>
      <c r="G4056">
        <v>10</v>
      </c>
      <c r="H4056">
        <v>10.109</v>
      </c>
      <c r="I4056">
        <v>10.000000000000009</v>
      </c>
      <c r="J4056" t="s">
        <v>20</v>
      </c>
    </row>
    <row r="4057" spans="1:10" x14ac:dyDescent="0.2">
      <c r="A4057">
        <v>14056</v>
      </c>
      <c r="B4057" t="s">
        <v>8</v>
      </c>
      <c r="C4057" t="s">
        <v>6</v>
      </c>
      <c r="D4057">
        <v>1.79</v>
      </c>
      <c r="E4057">
        <v>7</v>
      </c>
      <c r="F4057" t="s">
        <v>15</v>
      </c>
      <c r="G4057">
        <v>28</v>
      </c>
      <c r="H4057">
        <v>2.2911999999999999</v>
      </c>
      <c r="I4057">
        <v>28.000000000000004</v>
      </c>
      <c r="J4057" t="s">
        <v>20</v>
      </c>
    </row>
    <row r="4058" spans="1:10" x14ac:dyDescent="0.2">
      <c r="A4058">
        <v>14057</v>
      </c>
      <c r="B4058" t="s">
        <v>10</v>
      </c>
      <c r="C4058" t="s">
        <v>11</v>
      </c>
      <c r="D4058">
        <v>1.34</v>
      </c>
      <c r="E4058">
        <v>5</v>
      </c>
      <c r="F4058" t="s">
        <v>15</v>
      </c>
      <c r="G4058">
        <v>25</v>
      </c>
      <c r="H4058">
        <v>1.675</v>
      </c>
      <c r="I4058">
        <v>25</v>
      </c>
      <c r="J4058" t="s">
        <v>20</v>
      </c>
    </row>
    <row r="4059" spans="1:10" x14ac:dyDescent="0.2">
      <c r="A4059">
        <v>14058</v>
      </c>
      <c r="B4059" t="s">
        <v>8</v>
      </c>
      <c r="C4059" t="s">
        <v>9</v>
      </c>
      <c r="D4059">
        <v>5.9</v>
      </c>
      <c r="E4059">
        <v>8</v>
      </c>
      <c r="F4059" t="s">
        <v>16</v>
      </c>
      <c r="G4059">
        <v>60</v>
      </c>
      <c r="H4059">
        <v>9.4400000000000013</v>
      </c>
      <c r="I4059">
        <v>60.000000000000007</v>
      </c>
      <c r="J4059" t="s">
        <v>20</v>
      </c>
    </row>
    <row r="4060" spans="1:10" x14ac:dyDescent="0.2">
      <c r="A4060">
        <v>14059</v>
      </c>
      <c r="B4060" t="s">
        <v>5</v>
      </c>
      <c r="C4060" t="s">
        <v>6</v>
      </c>
      <c r="D4060">
        <v>10.95</v>
      </c>
      <c r="E4060">
        <v>9</v>
      </c>
      <c r="F4060" t="s">
        <v>16</v>
      </c>
      <c r="G4060">
        <v>55</v>
      </c>
      <c r="H4060">
        <v>16.9725</v>
      </c>
      <c r="I4060">
        <v>55.000000000000007</v>
      </c>
      <c r="J4060" t="s">
        <v>20</v>
      </c>
    </row>
    <row r="4061" spans="1:10" x14ac:dyDescent="0.2">
      <c r="A4061">
        <v>14060</v>
      </c>
      <c r="B4061" t="s">
        <v>5</v>
      </c>
      <c r="C4061" t="s">
        <v>11</v>
      </c>
      <c r="D4061">
        <v>8.5399999999999991</v>
      </c>
      <c r="E4061">
        <v>5</v>
      </c>
      <c r="F4061" t="s">
        <v>15</v>
      </c>
      <c r="G4061">
        <v>25</v>
      </c>
      <c r="H4061">
        <v>10.674999999999999</v>
      </c>
      <c r="I4061">
        <v>25</v>
      </c>
      <c r="J4061" t="s">
        <v>20</v>
      </c>
    </row>
    <row r="4062" spans="1:10" x14ac:dyDescent="0.2">
      <c r="A4062">
        <v>14061</v>
      </c>
      <c r="B4062" t="s">
        <v>10</v>
      </c>
      <c r="C4062" t="s">
        <v>9</v>
      </c>
      <c r="D4062">
        <v>6.63</v>
      </c>
      <c r="E4062">
        <v>8</v>
      </c>
      <c r="F4062" t="s">
        <v>16</v>
      </c>
      <c r="G4062">
        <v>60</v>
      </c>
      <c r="H4062">
        <v>10.608000000000001</v>
      </c>
      <c r="I4062">
        <v>60.000000000000007</v>
      </c>
      <c r="J4062" t="s">
        <v>20</v>
      </c>
    </row>
    <row r="4063" spans="1:10" x14ac:dyDescent="0.2">
      <c r="A4063">
        <v>14062</v>
      </c>
      <c r="B4063" t="s">
        <v>8</v>
      </c>
      <c r="C4063" t="s">
        <v>6</v>
      </c>
      <c r="D4063">
        <v>8.6999999999999993</v>
      </c>
      <c r="E4063">
        <v>1</v>
      </c>
      <c r="F4063" t="s">
        <v>14</v>
      </c>
      <c r="G4063">
        <v>12</v>
      </c>
      <c r="H4063">
        <v>9.7439999999999998</v>
      </c>
      <c r="I4063">
        <v>12.000000000000011</v>
      </c>
      <c r="J4063" t="s">
        <v>20</v>
      </c>
    </row>
    <row r="4064" spans="1:10" x14ac:dyDescent="0.2">
      <c r="A4064">
        <v>14063</v>
      </c>
      <c r="B4064" t="s">
        <v>7</v>
      </c>
      <c r="C4064" t="s">
        <v>9</v>
      </c>
      <c r="D4064">
        <v>5.8</v>
      </c>
      <c r="E4064">
        <v>1</v>
      </c>
      <c r="F4064" t="s">
        <v>14</v>
      </c>
      <c r="G4064">
        <v>15</v>
      </c>
      <c r="H4064">
        <v>6.669999999999999</v>
      </c>
      <c r="I4064">
        <v>14.999999999999991</v>
      </c>
      <c r="J4064" t="s">
        <v>20</v>
      </c>
    </row>
    <row r="4065" spans="1:10" x14ac:dyDescent="0.2">
      <c r="A4065">
        <v>14064</v>
      </c>
      <c r="B4065" t="s">
        <v>8</v>
      </c>
      <c r="C4065" t="s">
        <v>9</v>
      </c>
      <c r="D4065">
        <v>14.07</v>
      </c>
      <c r="E4065">
        <v>7</v>
      </c>
      <c r="F4065" t="s">
        <v>15</v>
      </c>
      <c r="G4065">
        <v>30</v>
      </c>
      <c r="H4065">
        <v>18.291</v>
      </c>
      <c r="I4065">
        <v>30.000000000000004</v>
      </c>
      <c r="J4065" t="s">
        <v>20</v>
      </c>
    </row>
    <row r="4066" spans="1:10" x14ac:dyDescent="0.2">
      <c r="A4066">
        <v>14065</v>
      </c>
      <c r="B4066" t="s">
        <v>5</v>
      </c>
      <c r="C4066" t="s">
        <v>9</v>
      </c>
      <c r="D4066">
        <v>1.3</v>
      </c>
      <c r="E4066">
        <v>6</v>
      </c>
      <c r="F4066" t="s">
        <v>15</v>
      </c>
      <c r="G4066">
        <v>30</v>
      </c>
      <c r="H4066">
        <v>1.6900000000000002</v>
      </c>
      <c r="I4066">
        <v>30.000000000000004</v>
      </c>
      <c r="J4066" t="s">
        <v>20</v>
      </c>
    </row>
    <row r="4067" spans="1:10" x14ac:dyDescent="0.2">
      <c r="A4067">
        <v>14066</v>
      </c>
      <c r="B4067" t="s">
        <v>5</v>
      </c>
      <c r="C4067" t="s">
        <v>11</v>
      </c>
      <c r="D4067">
        <v>10.26</v>
      </c>
      <c r="E4067">
        <v>5</v>
      </c>
      <c r="F4067" t="s">
        <v>15</v>
      </c>
      <c r="G4067">
        <v>25</v>
      </c>
      <c r="H4067">
        <v>12.824999999999999</v>
      </c>
      <c r="I4067">
        <v>25</v>
      </c>
      <c r="J4067" t="s">
        <v>20</v>
      </c>
    </row>
    <row r="4068" spans="1:10" x14ac:dyDescent="0.2">
      <c r="A4068">
        <v>14067</v>
      </c>
      <c r="B4068" t="s">
        <v>8</v>
      </c>
      <c r="C4068" t="s">
        <v>6</v>
      </c>
      <c r="D4068">
        <v>13.42</v>
      </c>
      <c r="E4068">
        <v>5</v>
      </c>
      <c r="F4068" t="s">
        <v>15</v>
      </c>
      <c r="G4068">
        <v>28</v>
      </c>
      <c r="H4068">
        <v>17.177600000000002</v>
      </c>
      <c r="I4068">
        <v>28.000000000000004</v>
      </c>
      <c r="J4068" t="s">
        <v>20</v>
      </c>
    </row>
    <row r="4069" spans="1:10" x14ac:dyDescent="0.2">
      <c r="A4069">
        <v>14068</v>
      </c>
      <c r="B4069" t="s">
        <v>8</v>
      </c>
      <c r="C4069" t="s">
        <v>6</v>
      </c>
      <c r="D4069">
        <v>12.16</v>
      </c>
      <c r="E4069">
        <v>9</v>
      </c>
      <c r="F4069" t="s">
        <v>16</v>
      </c>
      <c r="G4069">
        <v>55</v>
      </c>
      <c r="H4069">
        <v>18.848000000000003</v>
      </c>
      <c r="I4069">
        <v>55.000000000000028</v>
      </c>
      <c r="J4069" t="s">
        <v>20</v>
      </c>
    </row>
    <row r="4070" spans="1:10" x14ac:dyDescent="0.2">
      <c r="A4070">
        <v>14069</v>
      </c>
      <c r="B4070" t="s">
        <v>7</v>
      </c>
      <c r="C4070" t="s">
        <v>11</v>
      </c>
      <c r="D4070">
        <v>3.17</v>
      </c>
      <c r="E4070">
        <v>1</v>
      </c>
      <c r="F4070" t="s">
        <v>14</v>
      </c>
      <c r="G4070">
        <v>10</v>
      </c>
      <c r="H4070">
        <v>3.4870000000000001</v>
      </c>
      <c r="I4070">
        <v>10.000000000000009</v>
      </c>
      <c r="J4070" t="s">
        <v>20</v>
      </c>
    </row>
    <row r="4071" spans="1:10" x14ac:dyDescent="0.2">
      <c r="A4071">
        <v>14070</v>
      </c>
      <c r="B4071" t="s">
        <v>7</v>
      </c>
      <c r="C4071" t="s">
        <v>6</v>
      </c>
      <c r="D4071">
        <v>4.79</v>
      </c>
      <c r="E4071">
        <v>8</v>
      </c>
      <c r="F4071" t="s">
        <v>16</v>
      </c>
      <c r="G4071">
        <v>55</v>
      </c>
      <c r="H4071">
        <v>7.4245000000000001</v>
      </c>
      <c r="I4071">
        <v>55.000000000000007</v>
      </c>
      <c r="J4071" t="s">
        <v>20</v>
      </c>
    </row>
    <row r="4072" spans="1:10" x14ac:dyDescent="0.2">
      <c r="A4072">
        <v>14071</v>
      </c>
      <c r="B4072" t="s">
        <v>8</v>
      </c>
      <c r="C4072" t="s">
        <v>9</v>
      </c>
      <c r="D4072">
        <v>10.9</v>
      </c>
      <c r="E4072">
        <v>2</v>
      </c>
      <c r="F4072" t="s">
        <v>14</v>
      </c>
      <c r="G4072">
        <v>15</v>
      </c>
      <c r="H4072">
        <v>12.535</v>
      </c>
      <c r="I4072">
        <v>14.999999999999991</v>
      </c>
      <c r="J4072" t="s">
        <v>20</v>
      </c>
    </row>
    <row r="4073" spans="1:10" x14ac:dyDescent="0.2">
      <c r="A4073">
        <v>14072</v>
      </c>
      <c r="B4073" t="s">
        <v>8</v>
      </c>
      <c r="C4073" t="s">
        <v>6</v>
      </c>
      <c r="D4073">
        <v>1.72</v>
      </c>
      <c r="E4073">
        <v>7</v>
      </c>
      <c r="F4073" t="s">
        <v>15</v>
      </c>
      <c r="G4073">
        <v>28</v>
      </c>
      <c r="H4073">
        <v>2.2016</v>
      </c>
      <c r="I4073">
        <v>28.000000000000004</v>
      </c>
      <c r="J4073" t="s">
        <v>20</v>
      </c>
    </row>
    <row r="4074" spans="1:10" x14ac:dyDescent="0.2">
      <c r="A4074">
        <v>14073</v>
      </c>
      <c r="B4074" t="s">
        <v>8</v>
      </c>
      <c r="C4074" t="s">
        <v>11</v>
      </c>
      <c r="D4074">
        <v>12.27</v>
      </c>
      <c r="E4074">
        <v>6</v>
      </c>
      <c r="F4074" t="s">
        <v>15</v>
      </c>
      <c r="G4074">
        <v>25</v>
      </c>
      <c r="H4074">
        <v>15.337499999999999</v>
      </c>
      <c r="I4074">
        <v>25</v>
      </c>
      <c r="J4074" t="s">
        <v>20</v>
      </c>
    </row>
    <row r="4075" spans="1:10" x14ac:dyDescent="0.2">
      <c r="A4075">
        <v>14074</v>
      </c>
      <c r="B4075" t="s">
        <v>8</v>
      </c>
      <c r="C4075" t="s">
        <v>9</v>
      </c>
      <c r="D4075">
        <v>10.92</v>
      </c>
      <c r="E4075">
        <v>10</v>
      </c>
      <c r="F4075" t="s">
        <v>16</v>
      </c>
      <c r="G4075">
        <v>60</v>
      </c>
      <c r="H4075">
        <v>17.472000000000001</v>
      </c>
      <c r="I4075">
        <v>60.000000000000007</v>
      </c>
      <c r="J4075" t="s">
        <v>20</v>
      </c>
    </row>
    <row r="4076" spans="1:10" x14ac:dyDescent="0.2">
      <c r="A4076">
        <v>14075</v>
      </c>
      <c r="B4076" t="s">
        <v>10</v>
      </c>
      <c r="C4076" t="s">
        <v>11</v>
      </c>
      <c r="D4076">
        <v>11.08</v>
      </c>
      <c r="E4076">
        <v>2</v>
      </c>
      <c r="F4076" t="s">
        <v>14</v>
      </c>
      <c r="G4076">
        <v>10</v>
      </c>
      <c r="H4076">
        <v>12.188000000000001</v>
      </c>
      <c r="I4076">
        <v>10.000000000000009</v>
      </c>
      <c r="J4076" t="s">
        <v>20</v>
      </c>
    </row>
    <row r="4077" spans="1:10" x14ac:dyDescent="0.2">
      <c r="A4077">
        <v>14076</v>
      </c>
      <c r="B4077" t="s">
        <v>8</v>
      </c>
      <c r="C4077" t="s">
        <v>9</v>
      </c>
      <c r="D4077">
        <v>1.95</v>
      </c>
      <c r="E4077">
        <v>3</v>
      </c>
      <c r="F4077" t="s">
        <v>14</v>
      </c>
      <c r="G4077">
        <v>15</v>
      </c>
      <c r="H4077">
        <v>2.2424999999999997</v>
      </c>
      <c r="I4077">
        <v>14.999999999999991</v>
      </c>
      <c r="J4077" t="s">
        <v>20</v>
      </c>
    </row>
    <row r="4078" spans="1:10" x14ac:dyDescent="0.2">
      <c r="A4078">
        <v>14077</v>
      </c>
      <c r="B4078" t="s">
        <v>7</v>
      </c>
      <c r="C4078" t="s">
        <v>9</v>
      </c>
      <c r="D4078">
        <v>10.91</v>
      </c>
      <c r="E4078">
        <v>4</v>
      </c>
      <c r="F4078" t="s">
        <v>15</v>
      </c>
      <c r="G4078">
        <v>30</v>
      </c>
      <c r="H4078">
        <v>14.183</v>
      </c>
      <c r="I4078">
        <v>30.000000000000004</v>
      </c>
      <c r="J4078" t="s">
        <v>20</v>
      </c>
    </row>
    <row r="4079" spans="1:10" x14ac:dyDescent="0.2">
      <c r="A4079">
        <v>14078</v>
      </c>
      <c r="B4079" t="s">
        <v>5</v>
      </c>
      <c r="C4079" t="s">
        <v>6</v>
      </c>
      <c r="D4079">
        <v>10.36</v>
      </c>
      <c r="E4079">
        <v>7</v>
      </c>
      <c r="F4079" t="s">
        <v>15</v>
      </c>
      <c r="G4079">
        <v>28</v>
      </c>
      <c r="H4079">
        <v>13.2608</v>
      </c>
      <c r="I4079">
        <v>28.000000000000004</v>
      </c>
      <c r="J4079" t="s">
        <v>20</v>
      </c>
    </row>
    <row r="4080" spans="1:10" x14ac:dyDescent="0.2">
      <c r="A4080">
        <v>14079</v>
      </c>
      <c r="B4080" t="s">
        <v>10</v>
      </c>
      <c r="C4080" t="s">
        <v>9</v>
      </c>
      <c r="D4080">
        <v>12.55</v>
      </c>
      <c r="E4080">
        <v>8</v>
      </c>
      <c r="F4080" t="s">
        <v>16</v>
      </c>
      <c r="G4080">
        <v>60</v>
      </c>
      <c r="H4080">
        <v>20.080000000000002</v>
      </c>
      <c r="I4080">
        <v>60.000000000000007</v>
      </c>
      <c r="J4080" t="s">
        <v>20</v>
      </c>
    </row>
    <row r="4081" spans="1:10" x14ac:dyDescent="0.2">
      <c r="A4081">
        <v>14080</v>
      </c>
      <c r="B4081" t="s">
        <v>8</v>
      </c>
      <c r="C4081" t="s">
        <v>11</v>
      </c>
      <c r="D4081">
        <v>1.1000000000000001</v>
      </c>
      <c r="E4081">
        <v>2</v>
      </c>
      <c r="F4081" t="s">
        <v>14</v>
      </c>
      <c r="G4081">
        <v>10</v>
      </c>
      <c r="H4081">
        <v>1.2100000000000002</v>
      </c>
      <c r="I4081">
        <v>10.000000000000009</v>
      </c>
      <c r="J4081" t="s">
        <v>20</v>
      </c>
    </row>
    <row r="4082" spans="1:10" x14ac:dyDescent="0.2">
      <c r="A4082">
        <v>14081</v>
      </c>
      <c r="B4082" t="s">
        <v>5</v>
      </c>
      <c r="C4082" t="s">
        <v>6</v>
      </c>
      <c r="D4082">
        <v>0.84</v>
      </c>
      <c r="E4082">
        <v>8</v>
      </c>
      <c r="F4082" t="s">
        <v>16</v>
      </c>
      <c r="G4082">
        <v>55</v>
      </c>
      <c r="H4082">
        <v>1.302</v>
      </c>
      <c r="I4082">
        <v>55.000000000000007</v>
      </c>
      <c r="J4082" t="s">
        <v>20</v>
      </c>
    </row>
    <row r="4083" spans="1:10" x14ac:dyDescent="0.2">
      <c r="A4083">
        <v>14082</v>
      </c>
      <c r="B4083" t="s">
        <v>10</v>
      </c>
      <c r="C4083" t="s">
        <v>11</v>
      </c>
      <c r="D4083">
        <v>5.91</v>
      </c>
      <c r="E4083">
        <v>9</v>
      </c>
      <c r="F4083" t="s">
        <v>16</v>
      </c>
      <c r="G4083">
        <v>50</v>
      </c>
      <c r="H4083">
        <v>8.8650000000000002</v>
      </c>
      <c r="I4083">
        <v>50</v>
      </c>
      <c r="J4083" t="s">
        <v>20</v>
      </c>
    </row>
    <row r="4084" spans="1:10" x14ac:dyDescent="0.2">
      <c r="A4084">
        <v>14083</v>
      </c>
      <c r="B4084" t="s">
        <v>5</v>
      </c>
      <c r="C4084" t="s">
        <v>9</v>
      </c>
      <c r="D4084">
        <v>2.66</v>
      </c>
      <c r="E4084">
        <v>7</v>
      </c>
      <c r="F4084" t="s">
        <v>15</v>
      </c>
      <c r="G4084">
        <v>30</v>
      </c>
      <c r="H4084">
        <v>3.4580000000000002</v>
      </c>
      <c r="I4084">
        <v>30.000000000000004</v>
      </c>
      <c r="J4084" t="s">
        <v>20</v>
      </c>
    </row>
    <row r="4085" spans="1:10" x14ac:dyDescent="0.2">
      <c r="A4085">
        <v>14084</v>
      </c>
      <c r="B4085" t="s">
        <v>8</v>
      </c>
      <c r="C4085" t="s">
        <v>11</v>
      </c>
      <c r="D4085">
        <v>8.6</v>
      </c>
      <c r="E4085">
        <v>1</v>
      </c>
      <c r="F4085" t="s">
        <v>14</v>
      </c>
      <c r="G4085">
        <v>10</v>
      </c>
      <c r="H4085">
        <v>9.4600000000000009</v>
      </c>
      <c r="I4085">
        <v>10.000000000000009</v>
      </c>
      <c r="J4085" t="s">
        <v>20</v>
      </c>
    </row>
    <row r="4086" spans="1:10" x14ac:dyDescent="0.2">
      <c r="A4086">
        <v>14085</v>
      </c>
      <c r="B4086" t="s">
        <v>8</v>
      </c>
      <c r="C4086" t="s">
        <v>11</v>
      </c>
      <c r="D4086">
        <v>13.8</v>
      </c>
      <c r="E4086">
        <v>6</v>
      </c>
      <c r="F4086" t="s">
        <v>15</v>
      </c>
      <c r="G4086">
        <v>25</v>
      </c>
      <c r="H4086">
        <v>17.25</v>
      </c>
      <c r="I4086">
        <v>25</v>
      </c>
      <c r="J4086" t="s">
        <v>20</v>
      </c>
    </row>
    <row r="4087" spans="1:10" x14ac:dyDescent="0.2">
      <c r="A4087">
        <v>14086</v>
      </c>
      <c r="B4087" t="s">
        <v>7</v>
      </c>
      <c r="C4087" t="s">
        <v>9</v>
      </c>
      <c r="D4087">
        <v>6.18</v>
      </c>
      <c r="E4087">
        <v>8</v>
      </c>
      <c r="F4087" t="s">
        <v>16</v>
      </c>
      <c r="G4087">
        <v>60</v>
      </c>
      <c r="H4087">
        <v>9.8879999999999999</v>
      </c>
      <c r="I4087">
        <v>60.000000000000007</v>
      </c>
      <c r="J4087" t="s">
        <v>20</v>
      </c>
    </row>
    <row r="4088" spans="1:10" x14ac:dyDescent="0.2">
      <c r="A4088">
        <v>14087</v>
      </c>
      <c r="B4088" t="s">
        <v>8</v>
      </c>
      <c r="C4088" t="s">
        <v>6</v>
      </c>
      <c r="D4088">
        <v>12.75</v>
      </c>
      <c r="E4088">
        <v>5</v>
      </c>
      <c r="F4088" t="s">
        <v>15</v>
      </c>
      <c r="G4088">
        <v>28</v>
      </c>
      <c r="H4088">
        <v>16.32</v>
      </c>
      <c r="I4088">
        <v>28.000000000000004</v>
      </c>
      <c r="J4088" t="s">
        <v>20</v>
      </c>
    </row>
    <row r="4089" spans="1:10" x14ac:dyDescent="0.2">
      <c r="A4089">
        <v>14088</v>
      </c>
      <c r="B4089" t="s">
        <v>8</v>
      </c>
      <c r="C4089" t="s">
        <v>11</v>
      </c>
      <c r="D4089">
        <v>0.5</v>
      </c>
      <c r="E4089">
        <v>2</v>
      </c>
      <c r="F4089" t="s">
        <v>14</v>
      </c>
      <c r="G4089">
        <v>10</v>
      </c>
      <c r="H4089">
        <v>0.55000000000000004</v>
      </c>
      <c r="I4089">
        <v>10.000000000000009</v>
      </c>
      <c r="J4089" t="s">
        <v>20</v>
      </c>
    </row>
    <row r="4090" spans="1:10" x14ac:dyDescent="0.2">
      <c r="A4090">
        <v>14089</v>
      </c>
      <c r="B4090" t="s">
        <v>10</v>
      </c>
      <c r="C4090" t="s">
        <v>9</v>
      </c>
      <c r="D4090">
        <v>2.94</v>
      </c>
      <c r="E4090">
        <v>5</v>
      </c>
      <c r="F4090" t="s">
        <v>15</v>
      </c>
      <c r="G4090">
        <v>30</v>
      </c>
      <c r="H4090">
        <v>3.8220000000000001</v>
      </c>
      <c r="I4090">
        <v>30.000000000000004</v>
      </c>
      <c r="J4090" t="s">
        <v>20</v>
      </c>
    </row>
    <row r="4091" spans="1:10" x14ac:dyDescent="0.2">
      <c r="A4091">
        <v>14090</v>
      </c>
      <c r="B4091" t="s">
        <v>7</v>
      </c>
      <c r="C4091" t="s">
        <v>6</v>
      </c>
      <c r="D4091">
        <v>0.94</v>
      </c>
      <c r="E4091">
        <v>8</v>
      </c>
      <c r="F4091" t="s">
        <v>16</v>
      </c>
      <c r="G4091">
        <v>55</v>
      </c>
      <c r="H4091">
        <v>1.4569999999999999</v>
      </c>
      <c r="I4091">
        <v>54.999999999999986</v>
      </c>
      <c r="J4091" t="s">
        <v>20</v>
      </c>
    </row>
    <row r="4092" spans="1:10" x14ac:dyDescent="0.2">
      <c r="A4092">
        <v>14091</v>
      </c>
      <c r="B4092" t="s">
        <v>10</v>
      </c>
      <c r="C4092" t="s">
        <v>6</v>
      </c>
      <c r="D4092">
        <v>5.26</v>
      </c>
      <c r="E4092">
        <v>2</v>
      </c>
      <c r="F4092" t="s">
        <v>14</v>
      </c>
      <c r="G4092">
        <v>12</v>
      </c>
      <c r="H4092">
        <v>5.8912000000000004</v>
      </c>
      <c r="I4092">
        <v>12.000000000000011</v>
      </c>
      <c r="J4092" t="s">
        <v>20</v>
      </c>
    </row>
    <row r="4093" spans="1:10" x14ac:dyDescent="0.2">
      <c r="A4093">
        <v>14092</v>
      </c>
      <c r="B4093" t="s">
        <v>5</v>
      </c>
      <c r="C4093" t="s">
        <v>6</v>
      </c>
      <c r="D4093">
        <v>13.67</v>
      </c>
      <c r="E4093">
        <v>1</v>
      </c>
      <c r="F4093" t="s">
        <v>14</v>
      </c>
      <c r="G4093">
        <v>12</v>
      </c>
      <c r="H4093">
        <v>15.310400000000001</v>
      </c>
      <c r="I4093">
        <v>12.000000000000011</v>
      </c>
      <c r="J4093" t="s">
        <v>20</v>
      </c>
    </row>
    <row r="4094" spans="1:10" x14ac:dyDescent="0.2">
      <c r="A4094">
        <v>14093</v>
      </c>
      <c r="B4094" t="s">
        <v>8</v>
      </c>
      <c r="C4094" t="s">
        <v>11</v>
      </c>
      <c r="D4094">
        <v>1.91</v>
      </c>
      <c r="E4094">
        <v>4</v>
      </c>
      <c r="F4094" t="s">
        <v>15</v>
      </c>
      <c r="G4094">
        <v>25</v>
      </c>
      <c r="H4094">
        <v>2.3874999999999997</v>
      </c>
      <c r="I4094">
        <v>25</v>
      </c>
      <c r="J4094" t="s">
        <v>20</v>
      </c>
    </row>
    <row r="4095" spans="1:10" x14ac:dyDescent="0.2">
      <c r="A4095">
        <v>14094</v>
      </c>
      <c r="B4095" t="s">
        <v>5</v>
      </c>
      <c r="C4095" t="s">
        <v>11</v>
      </c>
      <c r="D4095">
        <v>9.2899999999999991</v>
      </c>
      <c r="E4095">
        <v>4</v>
      </c>
      <c r="F4095" t="s">
        <v>15</v>
      </c>
      <c r="G4095">
        <v>25</v>
      </c>
      <c r="H4095">
        <v>11.612499999999999</v>
      </c>
      <c r="I4095">
        <v>25</v>
      </c>
      <c r="J4095" t="s">
        <v>20</v>
      </c>
    </row>
    <row r="4096" spans="1:10" x14ac:dyDescent="0.2">
      <c r="A4096">
        <v>14095</v>
      </c>
      <c r="B4096" t="s">
        <v>10</v>
      </c>
      <c r="C4096" t="s">
        <v>11</v>
      </c>
      <c r="D4096">
        <v>7.05</v>
      </c>
      <c r="E4096">
        <v>9</v>
      </c>
      <c r="F4096" t="s">
        <v>16</v>
      </c>
      <c r="G4096">
        <v>50</v>
      </c>
      <c r="H4096">
        <v>10.574999999999999</v>
      </c>
      <c r="I4096">
        <v>50</v>
      </c>
      <c r="J4096" t="s">
        <v>20</v>
      </c>
    </row>
    <row r="4097" spans="1:10" x14ac:dyDescent="0.2">
      <c r="A4097">
        <v>14096</v>
      </c>
      <c r="B4097" t="s">
        <v>8</v>
      </c>
      <c r="C4097" t="s">
        <v>6</v>
      </c>
      <c r="D4097">
        <v>14.11</v>
      </c>
      <c r="E4097">
        <v>3</v>
      </c>
      <c r="F4097" t="s">
        <v>14</v>
      </c>
      <c r="G4097">
        <v>12</v>
      </c>
      <c r="H4097">
        <v>15.8032</v>
      </c>
      <c r="I4097">
        <v>12.000000000000011</v>
      </c>
      <c r="J4097" t="s">
        <v>20</v>
      </c>
    </row>
    <row r="4098" spans="1:10" x14ac:dyDescent="0.2">
      <c r="A4098">
        <v>14097</v>
      </c>
      <c r="B4098" t="s">
        <v>8</v>
      </c>
      <c r="C4098" t="s">
        <v>11</v>
      </c>
      <c r="D4098">
        <v>2.2799999999999998</v>
      </c>
      <c r="E4098">
        <v>4</v>
      </c>
      <c r="F4098" t="s">
        <v>15</v>
      </c>
      <c r="G4098">
        <v>25</v>
      </c>
      <c r="H4098">
        <v>2.8499999999999996</v>
      </c>
      <c r="I4098">
        <v>25</v>
      </c>
      <c r="J4098" t="s">
        <v>20</v>
      </c>
    </row>
    <row r="4099" spans="1:10" x14ac:dyDescent="0.2">
      <c r="A4099">
        <v>14098</v>
      </c>
      <c r="B4099" t="s">
        <v>10</v>
      </c>
      <c r="C4099" t="s">
        <v>9</v>
      </c>
      <c r="D4099">
        <v>3.57</v>
      </c>
      <c r="E4099">
        <v>3</v>
      </c>
      <c r="F4099" t="s">
        <v>14</v>
      </c>
      <c r="G4099">
        <v>15</v>
      </c>
      <c r="H4099">
        <v>4.1054999999999993</v>
      </c>
      <c r="I4099">
        <v>14.999999999999991</v>
      </c>
      <c r="J4099" t="s">
        <v>20</v>
      </c>
    </row>
    <row r="4100" spans="1:10" x14ac:dyDescent="0.2">
      <c r="A4100">
        <v>14099</v>
      </c>
      <c r="B4100" t="s">
        <v>10</v>
      </c>
      <c r="C4100" t="s">
        <v>11</v>
      </c>
      <c r="D4100">
        <v>0.93</v>
      </c>
      <c r="E4100">
        <v>2</v>
      </c>
      <c r="F4100" t="s">
        <v>14</v>
      </c>
      <c r="G4100">
        <v>10</v>
      </c>
      <c r="H4100">
        <v>1.0230000000000001</v>
      </c>
      <c r="I4100">
        <v>10.000000000000009</v>
      </c>
      <c r="J4100" t="s">
        <v>20</v>
      </c>
    </row>
    <row r="4101" spans="1:10" x14ac:dyDescent="0.2">
      <c r="A4101">
        <v>14100</v>
      </c>
      <c r="B4101" t="s">
        <v>10</v>
      </c>
      <c r="C4101" t="s">
        <v>11</v>
      </c>
      <c r="D4101">
        <v>6.79</v>
      </c>
      <c r="E4101">
        <v>4</v>
      </c>
      <c r="F4101" t="s">
        <v>15</v>
      </c>
      <c r="G4101">
        <v>25</v>
      </c>
      <c r="H4101">
        <v>8.4875000000000007</v>
      </c>
      <c r="I4101">
        <v>25</v>
      </c>
      <c r="J4101" t="s">
        <v>20</v>
      </c>
    </row>
    <row r="4102" spans="1:10" x14ac:dyDescent="0.2">
      <c r="A4102">
        <v>14101</v>
      </c>
      <c r="B4102" t="s">
        <v>10</v>
      </c>
      <c r="C4102" t="s">
        <v>6</v>
      </c>
      <c r="D4102">
        <v>4.53</v>
      </c>
      <c r="E4102">
        <v>8</v>
      </c>
      <c r="F4102" t="s">
        <v>16</v>
      </c>
      <c r="G4102">
        <v>55</v>
      </c>
      <c r="H4102">
        <v>7.0215000000000005</v>
      </c>
      <c r="I4102">
        <v>55.000000000000007</v>
      </c>
      <c r="J4102" t="s">
        <v>20</v>
      </c>
    </row>
    <row r="4103" spans="1:10" x14ac:dyDescent="0.2">
      <c r="A4103">
        <v>14102</v>
      </c>
      <c r="B4103" t="s">
        <v>10</v>
      </c>
      <c r="C4103" t="s">
        <v>11</v>
      </c>
      <c r="D4103">
        <v>13.11</v>
      </c>
      <c r="E4103">
        <v>1</v>
      </c>
      <c r="F4103" t="s">
        <v>14</v>
      </c>
      <c r="G4103">
        <v>10</v>
      </c>
      <c r="H4103">
        <v>14.421000000000001</v>
      </c>
      <c r="I4103">
        <v>10.000000000000009</v>
      </c>
      <c r="J4103" t="s">
        <v>20</v>
      </c>
    </row>
    <row r="4104" spans="1:10" x14ac:dyDescent="0.2">
      <c r="A4104">
        <v>14103</v>
      </c>
      <c r="B4104" t="s">
        <v>8</v>
      </c>
      <c r="C4104" t="s">
        <v>9</v>
      </c>
      <c r="D4104">
        <v>9.27</v>
      </c>
      <c r="E4104">
        <v>8</v>
      </c>
      <c r="F4104" t="s">
        <v>16</v>
      </c>
      <c r="G4104">
        <v>60</v>
      </c>
      <c r="H4104">
        <v>14.832000000000001</v>
      </c>
      <c r="I4104">
        <v>60.000000000000007</v>
      </c>
      <c r="J4104" t="s">
        <v>20</v>
      </c>
    </row>
    <row r="4105" spans="1:10" x14ac:dyDescent="0.2">
      <c r="A4105">
        <v>14104</v>
      </c>
      <c r="B4105" t="s">
        <v>10</v>
      </c>
      <c r="C4105" t="s">
        <v>6</v>
      </c>
      <c r="D4105">
        <v>9.4</v>
      </c>
      <c r="E4105">
        <v>8</v>
      </c>
      <c r="F4105" t="s">
        <v>16</v>
      </c>
      <c r="G4105">
        <v>55</v>
      </c>
      <c r="H4105">
        <v>14.57</v>
      </c>
      <c r="I4105">
        <v>55.000000000000007</v>
      </c>
      <c r="J4105" t="s">
        <v>20</v>
      </c>
    </row>
    <row r="4106" spans="1:10" x14ac:dyDescent="0.2">
      <c r="A4106">
        <v>14105</v>
      </c>
      <c r="B4106" t="s">
        <v>8</v>
      </c>
      <c r="C4106" t="s">
        <v>9</v>
      </c>
      <c r="D4106">
        <v>8.2100000000000009</v>
      </c>
      <c r="E4106">
        <v>3</v>
      </c>
      <c r="F4106" t="s">
        <v>14</v>
      </c>
      <c r="G4106">
        <v>15</v>
      </c>
      <c r="H4106">
        <v>9.4414999999999996</v>
      </c>
      <c r="I4106">
        <v>14.999999999999991</v>
      </c>
      <c r="J4106" t="s">
        <v>20</v>
      </c>
    </row>
    <row r="4107" spans="1:10" x14ac:dyDescent="0.2">
      <c r="A4107">
        <v>14106</v>
      </c>
      <c r="B4107" t="s">
        <v>8</v>
      </c>
      <c r="C4107" t="s">
        <v>6</v>
      </c>
      <c r="D4107">
        <v>1.83</v>
      </c>
      <c r="E4107">
        <v>10</v>
      </c>
      <c r="F4107" t="s">
        <v>16</v>
      </c>
      <c r="G4107">
        <v>55</v>
      </c>
      <c r="H4107">
        <v>2.8365</v>
      </c>
      <c r="I4107">
        <v>55.000000000000007</v>
      </c>
      <c r="J4107" t="s">
        <v>20</v>
      </c>
    </row>
    <row r="4108" spans="1:10" x14ac:dyDescent="0.2">
      <c r="A4108">
        <v>14107</v>
      </c>
      <c r="B4108" t="s">
        <v>10</v>
      </c>
      <c r="C4108" t="s">
        <v>6</v>
      </c>
      <c r="D4108">
        <v>6.95</v>
      </c>
      <c r="E4108">
        <v>10</v>
      </c>
      <c r="F4108" t="s">
        <v>16</v>
      </c>
      <c r="G4108">
        <v>55</v>
      </c>
      <c r="H4108">
        <v>10.772500000000001</v>
      </c>
      <c r="I4108">
        <v>55.000000000000007</v>
      </c>
      <c r="J4108" t="s">
        <v>20</v>
      </c>
    </row>
    <row r="4109" spans="1:10" x14ac:dyDescent="0.2">
      <c r="A4109">
        <v>14108</v>
      </c>
      <c r="B4109" t="s">
        <v>10</v>
      </c>
      <c r="C4109" t="s">
        <v>11</v>
      </c>
      <c r="D4109">
        <v>14.99</v>
      </c>
      <c r="E4109">
        <v>6</v>
      </c>
      <c r="F4109" t="s">
        <v>15</v>
      </c>
      <c r="G4109">
        <v>25</v>
      </c>
      <c r="H4109">
        <v>18.737500000000001</v>
      </c>
      <c r="I4109">
        <v>25</v>
      </c>
      <c r="J4109" t="s">
        <v>20</v>
      </c>
    </row>
    <row r="4110" spans="1:10" x14ac:dyDescent="0.2">
      <c r="A4110">
        <v>14109</v>
      </c>
      <c r="B4110" t="s">
        <v>7</v>
      </c>
      <c r="C4110" t="s">
        <v>9</v>
      </c>
      <c r="D4110">
        <v>12.61</v>
      </c>
      <c r="E4110">
        <v>4</v>
      </c>
      <c r="F4110" t="s">
        <v>15</v>
      </c>
      <c r="G4110">
        <v>30</v>
      </c>
      <c r="H4110">
        <v>16.393000000000001</v>
      </c>
      <c r="I4110">
        <v>30.000000000000004</v>
      </c>
      <c r="J4110" t="s">
        <v>20</v>
      </c>
    </row>
    <row r="4111" spans="1:10" x14ac:dyDescent="0.2">
      <c r="A4111">
        <v>14110</v>
      </c>
      <c r="B4111" t="s">
        <v>8</v>
      </c>
      <c r="C4111" t="s">
        <v>6</v>
      </c>
      <c r="D4111">
        <v>13.46</v>
      </c>
      <c r="E4111">
        <v>1</v>
      </c>
      <c r="F4111" t="s">
        <v>14</v>
      </c>
      <c r="G4111">
        <v>12</v>
      </c>
      <c r="H4111">
        <v>15.075200000000002</v>
      </c>
      <c r="I4111">
        <v>12.000000000000011</v>
      </c>
      <c r="J4111" t="s">
        <v>20</v>
      </c>
    </row>
    <row r="4112" spans="1:10" x14ac:dyDescent="0.2">
      <c r="A4112">
        <v>14111</v>
      </c>
      <c r="B4112" t="s">
        <v>10</v>
      </c>
      <c r="C4112" t="s">
        <v>11</v>
      </c>
      <c r="D4112">
        <v>12.44</v>
      </c>
      <c r="E4112">
        <v>1</v>
      </c>
      <c r="F4112" t="s">
        <v>14</v>
      </c>
      <c r="G4112">
        <v>10</v>
      </c>
      <c r="H4112">
        <v>13.684000000000001</v>
      </c>
      <c r="I4112">
        <v>10.000000000000009</v>
      </c>
      <c r="J4112" t="s">
        <v>20</v>
      </c>
    </row>
    <row r="4113" spans="1:10" x14ac:dyDescent="0.2">
      <c r="A4113">
        <v>14112</v>
      </c>
      <c r="B4113" t="s">
        <v>10</v>
      </c>
      <c r="C4113" t="s">
        <v>6</v>
      </c>
      <c r="D4113">
        <v>1.99</v>
      </c>
      <c r="E4113">
        <v>5</v>
      </c>
      <c r="F4113" t="s">
        <v>15</v>
      </c>
      <c r="G4113">
        <v>28</v>
      </c>
      <c r="H4113">
        <v>2.5472000000000001</v>
      </c>
      <c r="I4113">
        <v>28.000000000000004</v>
      </c>
      <c r="J4113" t="s">
        <v>20</v>
      </c>
    </row>
    <row r="4114" spans="1:10" x14ac:dyDescent="0.2">
      <c r="A4114">
        <v>14113</v>
      </c>
      <c r="B4114" t="s">
        <v>10</v>
      </c>
      <c r="C4114" t="s">
        <v>6</v>
      </c>
      <c r="D4114">
        <v>3.8</v>
      </c>
      <c r="E4114">
        <v>8</v>
      </c>
      <c r="F4114" t="s">
        <v>16</v>
      </c>
      <c r="G4114">
        <v>55</v>
      </c>
      <c r="H4114">
        <v>5.89</v>
      </c>
      <c r="I4114">
        <v>55.000000000000007</v>
      </c>
      <c r="J4114" t="s">
        <v>20</v>
      </c>
    </row>
    <row r="4115" spans="1:10" x14ac:dyDescent="0.2">
      <c r="A4115">
        <v>14114</v>
      </c>
      <c r="B4115" t="s">
        <v>7</v>
      </c>
      <c r="C4115" t="s">
        <v>6</v>
      </c>
      <c r="D4115">
        <v>0.55000000000000004</v>
      </c>
      <c r="E4115">
        <v>1</v>
      </c>
      <c r="F4115" t="s">
        <v>14</v>
      </c>
      <c r="G4115">
        <v>12</v>
      </c>
      <c r="H4115">
        <v>0.6160000000000001</v>
      </c>
      <c r="I4115">
        <v>12.000000000000011</v>
      </c>
      <c r="J4115" t="s">
        <v>20</v>
      </c>
    </row>
    <row r="4116" spans="1:10" x14ac:dyDescent="0.2">
      <c r="A4116">
        <v>14115</v>
      </c>
      <c r="B4116" t="s">
        <v>7</v>
      </c>
      <c r="C4116" t="s">
        <v>6</v>
      </c>
      <c r="D4116">
        <v>4.9000000000000004</v>
      </c>
      <c r="E4116">
        <v>2</v>
      </c>
      <c r="F4116" t="s">
        <v>14</v>
      </c>
      <c r="G4116">
        <v>12</v>
      </c>
      <c r="H4116">
        <v>5.4880000000000013</v>
      </c>
      <c r="I4116">
        <v>12.000000000000011</v>
      </c>
      <c r="J4116" t="s">
        <v>20</v>
      </c>
    </row>
    <row r="4117" spans="1:10" x14ac:dyDescent="0.2">
      <c r="A4117">
        <v>14116</v>
      </c>
      <c r="B4117" t="s">
        <v>5</v>
      </c>
      <c r="C4117" t="s">
        <v>6</v>
      </c>
      <c r="D4117">
        <v>2.0699999999999998</v>
      </c>
      <c r="E4117">
        <v>7</v>
      </c>
      <c r="F4117" t="s">
        <v>15</v>
      </c>
      <c r="G4117">
        <v>28</v>
      </c>
      <c r="H4117">
        <v>2.6496</v>
      </c>
      <c r="I4117">
        <v>28.000000000000004</v>
      </c>
      <c r="J4117" t="s">
        <v>20</v>
      </c>
    </row>
    <row r="4118" spans="1:10" x14ac:dyDescent="0.2">
      <c r="A4118">
        <v>14117</v>
      </c>
      <c r="B4118" t="s">
        <v>8</v>
      </c>
      <c r="C4118" t="s">
        <v>6</v>
      </c>
      <c r="D4118">
        <v>7.36</v>
      </c>
      <c r="E4118">
        <v>8</v>
      </c>
      <c r="F4118" t="s">
        <v>16</v>
      </c>
      <c r="G4118">
        <v>55</v>
      </c>
      <c r="H4118">
        <v>11.408000000000001</v>
      </c>
      <c r="I4118">
        <v>55.000000000000007</v>
      </c>
      <c r="J4118" t="s">
        <v>20</v>
      </c>
    </row>
    <row r="4119" spans="1:10" x14ac:dyDescent="0.2">
      <c r="A4119">
        <v>14118</v>
      </c>
      <c r="B4119" t="s">
        <v>5</v>
      </c>
      <c r="C4119" t="s">
        <v>11</v>
      </c>
      <c r="D4119">
        <v>10.32</v>
      </c>
      <c r="E4119">
        <v>3</v>
      </c>
      <c r="F4119" t="s">
        <v>14</v>
      </c>
      <c r="G4119">
        <v>10</v>
      </c>
      <c r="H4119">
        <v>11.352000000000002</v>
      </c>
      <c r="I4119">
        <v>10.000000000000009</v>
      </c>
      <c r="J4119" t="s">
        <v>20</v>
      </c>
    </row>
    <row r="4120" spans="1:10" x14ac:dyDescent="0.2">
      <c r="A4120">
        <v>14119</v>
      </c>
      <c r="B4120" t="s">
        <v>10</v>
      </c>
      <c r="C4120" t="s">
        <v>6</v>
      </c>
      <c r="D4120">
        <v>13.18</v>
      </c>
      <c r="E4120">
        <v>8</v>
      </c>
      <c r="F4120" t="s">
        <v>16</v>
      </c>
      <c r="G4120">
        <v>55</v>
      </c>
      <c r="H4120">
        <v>20.428999999999998</v>
      </c>
      <c r="I4120">
        <v>54.999999999999986</v>
      </c>
      <c r="J4120" t="s">
        <v>20</v>
      </c>
    </row>
    <row r="4121" spans="1:10" x14ac:dyDescent="0.2">
      <c r="A4121">
        <v>14120</v>
      </c>
      <c r="B4121" t="s">
        <v>7</v>
      </c>
      <c r="C4121" t="s">
        <v>9</v>
      </c>
      <c r="D4121">
        <v>11.36</v>
      </c>
      <c r="E4121">
        <v>1</v>
      </c>
      <c r="F4121" t="s">
        <v>14</v>
      </c>
      <c r="G4121">
        <v>15</v>
      </c>
      <c r="H4121">
        <v>13.063999999999998</v>
      </c>
      <c r="I4121">
        <v>14.999999999999991</v>
      </c>
      <c r="J4121" t="s">
        <v>20</v>
      </c>
    </row>
    <row r="4122" spans="1:10" x14ac:dyDescent="0.2">
      <c r="A4122">
        <v>14121</v>
      </c>
      <c r="B4122" t="s">
        <v>7</v>
      </c>
      <c r="C4122" t="s">
        <v>11</v>
      </c>
      <c r="D4122">
        <v>14.11</v>
      </c>
      <c r="E4122">
        <v>9</v>
      </c>
      <c r="F4122" t="s">
        <v>16</v>
      </c>
      <c r="G4122">
        <v>50</v>
      </c>
      <c r="H4122">
        <v>21.164999999999999</v>
      </c>
      <c r="I4122">
        <v>50</v>
      </c>
      <c r="J4122" t="s">
        <v>20</v>
      </c>
    </row>
    <row r="4123" spans="1:10" x14ac:dyDescent="0.2">
      <c r="A4123">
        <v>14122</v>
      </c>
      <c r="B4123" t="s">
        <v>5</v>
      </c>
      <c r="C4123" t="s">
        <v>9</v>
      </c>
      <c r="D4123">
        <v>1.28</v>
      </c>
      <c r="E4123">
        <v>2</v>
      </c>
      <c r="F4123" t="s">
        <v>14</v>
      </c>
      <c r="G4123">
        <v>15</v>
      </c>
      <c r="H4123">
        <v>1.472</v>
      </c>
      <c r="I4123">
        <v>14.999999999999991</v>
      </c>
      <c r="J4123" t="s">
        <v>20</v>
      </c>
    </row>
    <row r="4124" spans="1:10" x14ac:dyDescent="0.2">
      <c r="A4124">
        <v>14123</v>
      </c>
      <c r="B4124" t="s">
        <v>7</v>
      </c>
      <c r="C4124" t="s">
        <v>6</v>
      </c>
      <c r="D4124">
        <v>0.68</v>
      </c>
      <c r="E4124">
        <v>2</v>
      </c>
      <c r="F4124" t="s">
        <v>14</v>
      </c>
      <c r="G4124">
        <v>12</v>
      </c>
      <c r="H4124">
        <v>0.76160000000000017</v>
      </c>
      <c r="I4124">
        <v>12.000000000000011</v>
      </c>
      <c r="J4124" t="s">
        <v>20</v>
      </c>
    </row>
    <row r="4125" spans="1:10" x14ac:dyDescent="0.2">
      <c r="A4125">
        <v>14124</v>
      </c>
      <c r="B4125" t="s">
        <v>10</v>
      </c>
      <c r="C4125" t="s">
        <v>9</v>
      </c>
      <c r="D4125">
        <v>10.09</v>
      </c>
      <c r="E4125">
        <v>4</v>
      </c>
      <c r="F4125" t="s">
        <v>15</v>
      </c>
      <c r="G4125">
        <v>30</v>
      </c>
      <c r="H4125">
        <v>13.117000000000001</v>
      </c>
      <c r="I4125">
        <v>30.000000000000004</v>
      </c>
      <c r="J4125" t="s">
        <v>20</v>
      </c>
    </row>
    <row r="4126" spans="1:10" x14ac:dyDescent="0.2">
      <c r="A4126">
        <v>14125</v>
      </c>
      <c r="B4126" t="s">
        <v>7</v>
      </c>
      <c r="C4126" t="s">
        <v>6</v>
      </c>
      <c r="D4126">
        <v>4.7</v>
      </c>
      <c r="E4126">
        <v>10</v>
      </c>
      <c r="F4126" t="s">
        <v>16</v>
      </c>
      <c r="G4126">
        <v>55</v>
      </c>
      <c r="H4126">
        <v>7.2850000000000001</v>
      </c>
      <c r="I4126">
        <v>55.000000000000007</v>
      </c>
      <c r="J4126" t="s">
        <v>20</v>
      </c>
    </row>
    <row r="4127" spans="1:10" x14ac:dyDescent="0.2">
      <c r="A4127">
        <v>14126</v>
      </c>
      <c r="B4127" t="s">
        <v>5</v>
      </c>
      <c r="C4127" t="s">
        <v>6</v>
      </c>
      <c r="D4127">
        <v>4.18</v>
      </c>
      <c r="E4127">
        <v>3</v>
      </c>
      <c r="F4127" t="s">
        <v>14</v>
      </c>
      <c r="G4127">
        <v>12</v>
      </c>
      <c r="H4127">
        <v>4.6816000000000004</v>
      </c>
      <c r="I4127">
        <v>12.000000000000011</v>
      </c>
      <c r="J4127" t="s">
        <v>20</v>
      </c>
    </row>
    <row r="4128" spans="1:10" x14ac:dyDescent="0.2">
      <c r="A4128">
        <v>14127</v>
      </c>
      <c r="B4128" t="s">
        <v>10</v>
      </c>
      <c r="C4128" t="s">
        <v>11</v>
      </c>
      <c r="D4128">
        <v>5.3</v>
      </c>
      <c r="E4128">
        <v>4</v>
      </c>
      <c r="F4128" t="s">
        <v>15</v>
      </c>
      <c r="G4128">
        <v>25</v>
      </c>
      <c r="H4128">
        <v>6.625</v>
      </c>
      <c r="I4128">
        <v>25</v>
      </c>
      <c r="J4128" t="s">
        <v>20</v>
      </c>
    </row>
    <row r="4129" spans="1:10" x14ac:dyDescent="0.2">
      <c r="A4129">
        <v>14128</v>
      </c>
      <c r="B4129" t="s">
        <v>5</v>
      </c>
      <c r="C4129" t="s">
        <v>11</v>
      </c>
      <c r="D4129">
        <v>4.41</v>
      </c>
      <c r="E4129">
        <v>6</v>
      </c>
      <c r="F4129" t="s">
        <v>15</v>
      </c>
      <c r="G4129">
        <v>25</v>
      </c>
      <c r="H4129">
        <v>5.5125000000000002</v>
      </c>
      <c r="I4129">
        <v>25</v>
      </c>
      <c r="J4129" t="s">
        <v>20</v>
      </c>
    </row>
    <row r="4130" spans="1:10" x14ac:dyDescent="0.2">
      <c r="A4130">
        <v>14129</v>
      </c>
      <c r="B4130" t="s">
        <v>7</v>
      </c>
      <c r="C4130" t="s">
        <v>6</v>
      </c>
      <c r="D4130">
        <v>7.92</v>
      </c>
      <c r="E4130">
        <v>7</v>
      </c>
      <c r="F4130" t="s">
        <v>15</v>
      </c>
      <c r="G4130">
        <v>28</v>
      </c>
      <c r="H4130">
        <v>10.137600000000001</v>
      </c>
      <c r="I4130">
        <v>28.000000000000004</v>
      </c>
      <c r="J4130" t="s">
        <v>20</v>
      </c>
    </row>
    <row r="4131" spans="1:10" x14ac:dyDescent="0.2">
      <c r="A4131">
        <v>14130</v>
      </c>
      <c r="B4131" t="s">
        <v>5</v>
      </c>
      <c r="C4131" t="s">
        <v>11</v>
      </c>
      <c r="D4131">
        <v>6.88</v>
      </c>
      <c r="E4131">
        <v>5</v>
      </c>
      <c r="F4131" t="s">
        <v>15</v>
      </c>
      <c r="G4131">
        <v>25</v>
      </c>
      <c r="H4131">
        <v>8.6</v>
      </c>
      <c r="I4131">
        <v>25</v>
      </c>
      <c r="J4131" t="s">
        <v>20</v>
      </c>
    </row>
    <row r="4132" spans="1:10" x14ac:dyDescent="0.2">
      <c r="A4132">
        <v>14131</v>
      </c>
      <c r="B4132" t="s">
        <v>5</v>
      </c>
      <c r="C4132" t="s">
        <v>9</v>
      </c>
      <c r="D4132">
        <v>7.93</v>
      </c>
      <c r="E4132">
        <v>2</v>
      </c>
      <c r="F4132" t="s">
        <v>14</v>
      </c>
      <c r="G4132">
        <v>15</v>
      </c>
      <c r="H4132">
        <v>9.1194999999999986</v>
      </c>
      <c r="I4132">
        <v>14.999999999999991</v>
      </c>
      <c r="J4132" t="s">
        <v>20</v>
      </c>
    </row>
    <row r="4133" spans="1:10" x14ac:dyDescent="0.2">
      <c r="A4133">
        <v>14132</v>
      </c>
      <c r="B4133" t="s">
        <v>8</v>
      </c>
      <c r="C4133" t="s">
        <v>11</v>
      </c>
      <c r="D4133">
        <v>10.25</v>
      </c>
      <c r="E4133">
        <v>3</v>
      </c>
      <c r="F4133" t="s">
        <v>14</v>
      </c>
      <c r="G4133">
        <v>10</v>
      </c>
      <c r="H4133">
        <v>11.275</v>
      </c>
      <c r="I4133">
        <v>10.000000000000009</v>
      </c>
      <c r="J4133" t="s">
        <v>20</v>
      </c>
    </row>
    <row r="4134" spans="1:10" x14ac:dyDescent="0.2">
      <c r="A4134">
        <v>14133</v>
      </c>
      <c r="B4134" t="s">
        <v>7</v>
      </c>
      <c r="C4134" t="s">
        <v>11</v>
      </c>
      <c r="D4134">
        <v>6.11</v>
      </c>
      <c r="E4134">
        <v>10</v>
      </c>
      <c r="F4134" t="s">
        <v>16</v>
      </c>
      <c r="G4134">
        <v>50</v>
      </c>
      <c r="H4134">
        <v>9.1650000000000009</v>
      </c>
      <c r="I4134">
        <v>50</v>
      </c>
      <c r="J4134" t="s">
        <v>20</v>
      </c>
    </row>
    <row r="4135" spans="1:10" x14ac:dyDescent="0.2">
      <c r="A4135">
        <v>14134</v>
      </c>
      <c r="B4135" t="s">
        <v>7</v>
      </c>
      <c r="C4135" t="s">
        <v>9</v>
      </c>
      <c r="D4135">
        <v>4.1399999999999997</v>
      </c>
      <c r="E4135">
        <v>3</v>
      </c>
      <c r="F4135" t="s">
        <v>14</v>
      </c>
      <c r="G4135">
        <v>15</v>
      </c>
      <c r="H4135">
        <v>4.7609999999999992</v>
      </c>
      <c r="I4135">
        <v>14.999999999999991</v>
      </c>
      <c r="J4135" t="s">
        <v>20</v>
      </c>
    </row>
    <row r="4136" spans="1:10" x14ac:dyDescent="0.2">
      <c r="A4136">
        <v>14135</v>
      </c>
      <c r="B4136" t="s">
        <v>5</v>
      </c>
      <c r="C4136" t="s">
        <v>11</v>
      </c>
      <c r="D4136">
        <v>2.91</v>
      </c>
      <c r="E4136">
        <v>5</v>
      </c>
      <c r="F4136" t="s">
        <v>15</v>
      </c>
      <c r="G4136">
        <v>25</v>
      </c>
      <c r="H4136">
        <v>3.6375000000000002</v>
      </c>
      <c r="I4136">
        <v>25</v>
      </c>
      <c r="J4136" t="s">
        <v>20</v>
      </c>
    </row>
    <row r="4137" spans="1:10" x14ac:dyDescent="0.2">
      <c r="A4137">
        <v>14136</v>
      </c>
      <c r="B4137" t="s">
        <v>8</v>
      </c>
      <c r="C4137" t="s">
        <v>6</v>
      </c>
      <c r="D4137">
        <v>5.57</v>
      </c>
      <c r="E4137">
        <v>5</v>
      </c>
      <c r="F4137" t="s">
        <v>15</v>
      </c>
      <c r="G4137">
        <v>28</v>
      </c>
      <c r="H4137">
        <v>7.1296000000000008</v>
      </c>
      <c r="I4137">
        <v>28.000000000000004</v>
      </c>
      <c r="J4137" t="s">
        <v>20</v>
      </c>
    </row>
    <row r="4138" spans="1:10" x14ac:dyDescent="0.2">
      <c r="A4138">
        <v>14137</v>
      </c>
      <c r="B4138" t="s">
        <v>7</v>
      </c>
      <c r="C4138" t="s">
        <v>9</v>
      </c>
      <c r="D4138">
        <v>11.26</v>
      </c>
      <c r="E4138">
        <v>4</v>
      </c>
      <c r="F4138" t="s">
        <v>15</v>
      </c>
      <c r="G4138">
        <v>30</v>
      </c>
      <c r="H4138">
        <v>14.638</v>
      </c>
      <c r="I4138">
        <v>30.000000000000004</v>
      </c>
      <c r="J4138" t="s">
        <v>20</v>
      </c>
    </row>
    <row r="4139" spans="1:10" x14ac:dyDescent="0.2">
      <c r="A4139">
        <v>14138</v>
      </c>
      <c r="B4139" t="s">
        <v>10</v>
      </c>
      <c r="C4139" t="s">
        <v>6</v>
      </c>
      <c r="D4139">
        <v>11.47</v>
      </c>
      <c r="E4139">
        <v>8</v>
      </c>
      <c r="F4139" t="s">
        <v>16</v>
      </c>
      <c r="G4139">
        <v>55</v>
      </c>
      <c r="H4139">
        <v>17.778500000000001</v>
      </c>
      <c r="I4139">
        <v>55.000000000000007</v>
      </c>
      <c r="J4139" t="s">
        <v>20</v>
      </c>
    </row>
    <row r="4140" spans="1:10" x14ac:dyDescent="0.2">
      <c r="A4140">
        <v>14139</v>
      </c>
      <c r="B4140" t="s">
        <v>5</v>
      </c>
      <c r="C4140" t="s">
        <v>9</v>
      </c>
      <c r="D4140">
        <v>10.17</v>
      </c>
      <c r="E4140">
        <v>6</v>
      </c>
      <c r="F4140" t="s">
        <v>15</v>
      </c>
      <c r="G4140">
        <v>30</v>
      </c>
      <c r="H4140">
        <v>13.221</v>
      </c>
      <c r="I4140">
        <v>30.000000000000004</v>
      </c>
      <c r="J4140" t="s">
        <v>20</v>
      </c>
    </row>
    <row r="4141" spans="1:10" x14ac:dyDescent="0.2">
      <c r="A4141">
        <v>14140</v>
      </c>
      <c r="B4141" t="s">
        <v>7</v>
      </c>
      <c r="C4141" t="s">
        <v>6</v>
      </c>
      <c r="D4141">
        <v>3.89</v>
      </c>
      <c r="E4141">
        <v>6</v>
      </c>
      <c r="F4141" t="s">
        <v>15</v>
      </c>
      <c r="G4141">
        <v>28</v>
      </c>
      <c r="H4141">
        <v>4.9792000000000005</v>
      </c>
      <c r="I4141">
        <v>28.000000000000004</v>
      </c>
      <c r="J4141" t="s">
        <v>20</v>
      </c>
    </row>
    <row r="4142" spans="1:10" x14ac:dyDescent="0.2">
      <c r="A4142">
        <v>14141</v>
      </c>
      <c r="B4142" t="s">
        <v>10</v>
      </c>
      <c r="C4142" t="s">
        <v>6</v>
      </c>
      <c r="D4142">
        <v>9.0299999999999994</v>
      </c>
      <c r="E4142">
        <v>1</v>
      </c>
      <c r="F4142" t="s">
        <v>14</v>
      </c>
      <c r="G4142">
        <v>12</v>
      </c>
      <c r="H4142">
        <v>10.1136</v>
      </c>
      <c r="I4142">
        <v>12.000000000000011</v>
      </c>
      <c r="J4142" t="s">
        <v>20</v>
      </c>
    </row>
    <row r="4143" spans="1:10" x14ac:dyDescent="0.2">
      <c r="A4143">
        <v>14142</v>
      </c>
      <c r="B4143" t="s">
        <v>7</v>
      </c>
      <c r="C4143" t="s">
        <v>11</v>
      </c>
      <c r="D4143">
        <v>8.7799999999999994</v>
      </c>
      <c r="E4143">
        <v>6</v>
      </c>
      <c r="F4143" t="s">
        <v>15</v>
      </c>
      <c r="G4143">
        <v>25</v>
      </c>
      <c r="H4143">
        <v>10.975</v>
      </c>
      <c r="I4143">
        <v>25</v>
      </c>
      <c r="J4143" t="s">
        <v>20</v>
      </c>
    </row>
    <row r="4144" spans="1:10" x14ac:dyDescent="0.2">
      <c r="A4144">
        <v>14143</v>
      </c>
      <c r="B4144" t="s">
        <v>10</v>
      </c>
      <c r="C4144" t="s">
        <v>6</v>
      </c>
      <c r="D4144">
        <v>7.52</v>
      </c>
      <c r="E4144">
        <v>3</v>
      </c>
      <c r="F4144" t="s">
        <v>14</v>
      </c>
      <c r="G4144">
        <v>12</v>
      </c>
      <c r="H4144">
        <v>8.4223999999999997</v>
      </c>
      <c r="I4144">
        <v>12.000000000000011</v>
      </c>
      <c r="J4144" t="s">
        <v>20</v>
      </c>
    </row>
    <row r="4145" spans="1:10" x14ac:dyDescent="0.2">
      <c r="A4145">
        <v>14144</v>
      </c>
      <c r="B4145" t="s">
        <v>5</v>
      </c>
      <c r="C4145" t="s">
        <v>11</v>
      </c>
      <c r="D4145">
        <v>8.4700000000000006</v>
      </c>
      <c r="E4145">
        <v>6</v>
      </c>
      <c r="F4145" t="s">
        <v>15</v>
      </c>
      <c r="G4145">
        <v>25</v>
      </c>
      <c r="H4145">
        <v>10.5875</v>
      </c>
      <c r="I4145">
        <v>25</v>
      </c>
      <c r="J4145" t="s">
        <v>20</v>
      </c>
    </row>
    <row r="4146" spans="1:10" x14ac:dyDescent="0.2">
      <c r="A4146">
        <v>14145</v>
      </c>
      <c r="B4146" t="s">
        <v>7</v>
      </c>
      <c r="C4146" t="s">
        <v>9</v>
      </c>
      <c r="D4146">
        <v>7.63</v>
      </c>
      <c r="E4146">
        <v>10</v>
      </c>
      <c r="F4146" t="s">
        <v>16</v>
      </c>
      <c r="G4146">
        <v>60</v>
      </c>
      <c r="H4146">
        <v>12.208</v>
      </c>
      <c r="I4146">
        <v>60.000000000000007</v>
      </c>
      <c r="J4146" t="s">
        <v>20</v>
      </c>
    </row>
    <row r="4147" spans="1:10" x14ac:dyDescent="0.2">
      <c r="A4147">
        <v>14146</v>
      </c>
      <c r="B4147" t="s">
        <v>7</v>
      </c>
      <c r="C4147" t="s">
        <v>6</v>
      </c>
      <c r="D4147">
        <v>8.6999999999999993</v>
      </c>
      <c r="E4147">
        <v>6</v>
      </c>
      <c r="F4147" t="s">
        <v>15</v>
      </c>
      <c r="G4147">
        <v>28</v>
      </c>
      <c r="H4147">
        <v>11.135999999999999</v>
      </c>
      <c r="I4147">
        <v>28.000000000000004</v>
      </c>
      <c r="J4147" t="s">
        <v>20</v>
      </c>
    </row>
    <row r="4148" spans="1:10" x14ac:dyDescent="0.2">
      <c r="A4148">
        <v>14147</v>
      </c>
      <c r="B4148" t="s">
        <v>8</v>
      </c>
      <c r="C4148" t="s">
        <v>6</v>
      </c>
      <c r="D4148">
        <v>10.87</v>
      </c>
      <c r="E4148">
        <v>2</v>
      </c>
      <c r="F4148" t="s">
        <v>14</v>
      </c>
      <c r="G4148">
        <v>12</v>
      </c>
      <c r="H4148">
        <v>12.1744</v>
      </c>
      <c r="I4148">
        <v>12.000000000000011</v>
      </c>
      <c r="J4148" t="s">
        <v>20</v>
      </c>
    </row>
    <row r="4149" spans="1:10" x14ac:dyDescent="0.2">
      <c r="A4149">
        <v>14148</v>
      </c>
      <c r="B4149" t="s">
        <v>5</v>
      </c>
      <c r="C4149" t="s">
        <v>9</v>
      </c>
      <c r="D4149">
        <v>2.09</v>
      </c>
      <c r="E4149">
        <v>1</v>
      </c>
      <c r="F4149" t="s">
        <v>14</v>
      </c>
      <c r="G4149">
        <v>15</v>
      </c>
      <c r="H4149">
        <v>2.4034999999999997</v>
      </c>
      <c r="I4149">
        <v>14.999999999999991</v>
      </c>
      <c r="J4149" t="s">
        <v>20</v>
      </c>
    </row>
    <row r="4150" spans="1:10" x14ac:dyDescent="0.2">
      <c r="A4150">
        <v>14149</v>
      </c>
      <c r="B4150" t="s">
        <v>10</v>
      </c>
      <c r="C4150" t="s">
        <v>9</v>
      </c>
      <c r="D4150">
        <v>11.37</v>
      </c>
      <c r="E4150">
        <v>3</v>
      </c>
      <c r="F4150" t="s">
        <v>14</v>
      </c>
      <c r="G4150">
        <v>15</v>
      </c>
      <c r="H4150">
        <v>13.075499999999998</v>
      </c>
      <c r="I4150">
        <v>14.999999999999991</v>
      </c>
      <c r="J4150" t="s">
        <v>20</v>
      </c>
    </row>
    <row r="4151" spans="1:10" x14ac:dyDescent="0.2">
      <c r="A4151">
        <v>14150</v>
      </c>
      <c r="B4151" t="s">
        <v>7</v>
      </c>
      <c r="C4151" t="s">
        <v>6</v>
      </c>
      <c r="D4151">
        <v>2.4700000000000002</v>
      </c>
      <c r="E4151">
        <v>5</v>
      </c>
      <c r="F4151" t="s">
        <v>15</v>
      </c>
      <c r="G4151">
        <v>28</v>
      </c>
      <c r="H4151">
        <v>3.1616000000000004</v>
      </c>
      <c r="I4151">
        <v>28.000000000000004</v>
      </c>
      <c r="J4151" t="s">
        <v>20</v>
      </c>
    </row>
    <row r="4152" spans="1:10" x14ac:dyDescent="0.2">
      <c r="A4152">
        <v>14151</v>
      </c>
      <c r="B4152" t="s">
        <v>7</v>
      </c>
      <c r="C4152" t="s">
        <v>9</v>
      </c>
      <c r="D4152">
        <v>1.47</v>
      </c>
      <c r="E4152">
        <v>4</v>
      </c>
      <c r="F4152" t="s">
        <v>15</v>
      </c>
      <c r="G4152">
        <v>30</v>
      </c>
      <c r="H4152">
        <v>1.911</v>
      </c>
      <c r="I4152">
        <v>30.000000000000004</v>
      </c>
      <c r="J4152" t="s">
        <v>20</v>
      </c>
    </row>
    <row r="4153" spans="1:10" x14ac:dyDescent="0.2">
      <c r="A4153">
        <v>14152</v>
      </c>
      <c r="B4153" t="s">
        <v>10</v>
      </c>
      <c r="C4153" t="s">
        <v>11</v>
      </c>
      <c r="D4153">
        <v>14.65</v>
      </c>
      <c r="E4153">
        <v>7</v>
      </c>
      <c r="F4153" t="s">
        <v>15</v>
      </c>
      <c r="G4153">
        <v>25</v>
      </c>
      <c r="H4153">
        <v>18.3125</v>
      </c>
      <c r="I4153">
        <v>25</v>
      </c>
      <c r="J4153" t="s">
        <v>20</v>
      </c>
    </row>
    <row r="4154" spans="1:10" x14ac:dyDescent="0.2">
      <c r="A4154">
        <v>14153</v>
      </c>
      <c r="B4154" t="s">
        <v>5</v>
      </c>
      <c r="C4154" t="s">
        <v>9</v>
      </c>
      <c r="D4154">
        <v>14.38</v>
      </c>
      <c r="E4154">
        <v>4</v>
      </c>
      <c r="F4154" t="s">
        <v>15</v>
      </c>
      <c r="G4154">
        <v>30</v>
      </c>
      <c r="H4154">
        <v>18.694000000000003</v>
      </c>
      <c r="I4154">
        <v>30.000000000000004</v>
      </c>
      <c r="J4154" t="s">
        <v>20</v>
      </c>
    </row>
    <row r="4155" spans="1:10" x14ac:dyDescent="0.2">
      <c r="A4155">
        <v>14154</v>
      </c>
      <c r="B4155" t="s">
        <v>8</v>
      </c>
      <c r="C4155" t="s">
        <v>9</v>
      </c>
      <c r="D4155">
        <v>1.38</v>
      </c>
      <c r="E4155">
        <v>8</v>
      </c>
      <c r="F4155" t="s">
        <v>16</v>
      </c>
      <c r="G4155">
        <v>60</v>
      </c>
      <c r="H4155">
        <v>2.2079999999999997</v>
      </c>
      <c r="I4155">
        <v>59.999999999999986</v>
      </c>
      <c r="J4155" t="s">
        <v>20</v>
      </c>
    </row>
    <row r="4156" spans="1:10" x14ac:dyDescent="0.2">
      <c r="A4156">
        <v>14155</v>
      </c>
      <c r="B4156" t="s">
        <v>8</v>
      </c>
      <c r="C4156" t="s">
        <v>6</v>
      </c>
      <c r="D4156">
        <v>6.93</v>
      </c>
      <c r="E4156">
        <v>7</v>
      </c>
      <c r="F4156" t="s">
        <v>15</v>
      </c>
      <c r="G4156">
        <v>28</v>
      </c>
      <c r="H4156">
        <v>8.8704000000000001</v>
      </c>
      <c r="I4156">
        <v>28.000000000000004</v>
      </c>
      <c r="J4156" t="s">
        <v>20</v>
      </c>
    </row>
    <row r="4157" spans="1:10" x14ac:dyDescent="0.2">
      <c r="A4157">
        <v>14156</v>
      </c>
      <c r="B4157" t="s">
        <v>7</v>
      </c>
      <c r="C4157" t="s">
        <v>11</v>
      </c>
      <c r="D4157">
        <v>3.2</v>
      </c>
      <c r="E4157">
        <v>10</v>
      </c>
      <c r="F4157" t="s">
        <v>16</v>
      </c>
      <c r="G4157">
        <v>50</v>
      </c>
      <c r="H4157">
        <v>4.8000000000000007</v>
      </c>
      <c r="I4157">
        <v>50.000000000000021</v>
      </c>
      <c r="J4157" t="s">
        <v>20</v>
      </c>
    </row>
    <row r="4158" spans="1:10" x14ac:dyDescent="0.2">
      <c r="A4158">
        <v>14157</v>
      </c>
      <c r="B4158" t="s">
        <v>10</v>
      </c>
      <c r="C4158" t="s">
        <v>9</v>
      </c>
      <c r="D4158">
        <v>7.54</v>
      </c>
      <c r="E4158">
        <v>9</v>
      </c>
      <c r="F4158" t="s">
        <v>16</v>
      </c>
      <c r="G4158">
        <v>60</v>
      </c>
      <c r="H4158">
        <v>12.064</v>
      </c>
      <c r="I4158">
        <v>60.000000000000007</v>
      </c>
      <c r="J4158" t="s">
        <v>20</v>
      </c>
    </row>
    <row r="4159" spans="1:10" x14ac:dyDescent="0.2">
      <c r="A4159">
        <v>14158</v>
      </c>
      <c r="B4159" t="s">
        <v>7</v>
      </c>
      <c r="C4159" t="s">
        <v>11</v>
      </c>
      <c r="D4159">
        <v>12.54</v>
      </c>
      <c r="E4159">
        <v>1</v>
      </c>
      <c r="F4159" t="s">
        <v>14</v>
      </c>
      <c r="G4159">
        <v>10</v>
      </c>
      <c r="H4159">
        <v>13.794</v>
      </c>
      <c r="I4159">
        <v>10.000000000000009</v>
      </c>
      <c r="J4159" t="s">
        <v>20</v>
      </c>
    </row>
    <row r="4160" spans="1:10" x14ac:dyDescent="0.2">
      <c r="A4160">
        <v>14159</v>
      </c>
      <c r="B4160" t="s">
        <v>10</v>
      </c>
      <c r="C4160" t="s">
        <v>11</v>
      </c>
      <c r="D4160">
        <v>14.28</v>
      </c>
      <c r="E4160">
        <v>5</v>
      </c>
      <c r="F4160" t="s">
        <v>15</v>
      </c>
      <c r="G4160">
        <v>25</v>
      </c>
      <c r="H4160">
        <v>17.849999999999998</v>
      </c>
      <c r="I4160">
        <v>25</v>
      </c>
      <c r="J4160" t="s">
        <v>20</v>
      </c>
    </row>
    <row r="4161" spans="1:10" x14ac:dyDescent="0.2">
      <c r="A4161">
        <v>14160</v>
      </c>
      <c r="B4161" t="s">
        <v>8</v>
      </c>
      <c r="C4161" t="s">
        <v>11</v>
      </c>
      <c r="D4161">
        <v>9.6999999999999993</v>
      </c>
      <c r="E4161">
        <v>4</v>
      </c>
      <c r="F4161" t="s">
        <v>15</v>
      </c>
      <c r="G4161">
        <v>25</v>
      </c>
      <c r="H4161">
        <v>12.125</v>
      </c>
      <c r="I4161">
        <v>25</v>
      </c>
      <c r="J4161" t="s">
        <v>20</v>
      </c>
    </row>
    <row r="4162" spans="1:10" x14ac:dyDescent="0.2">
      <c r="A4162">
        <v>14161</v>
      </c>
      <c r="B4162" t="s">
        <v>5</v>
      </c>
      <c r="C4162" t="s">
        <v>6</v>
      </c>
      <c r="D4162">
        <v>5.63</v>
      </c>
      <c r="E4162">
        <v>6</v>
      </c>
      <c r="F4162" t="s">
        <v>15</v>
      </c>
      <c r="G4162">
        <v>28</v>
      </c>
      <c r="H4162">
        <v>7.2064000000000004</v>
      </c>
      <c r="I4162">
        <v>28.000000000000004</v>
      </c>
      <c r="J4162" t="s">
        <v>20</v>
      </c>
    </row>
    <row r="4163" spans="1:10" x14ac:dyDescent="0.2">
      <c r="A4163">
        <v>14162</v>
      </c>
      <c r="B4163" t="s">
        <v>10</v>
      </c>
      <c r="C4163" t="s">
        <v>9</v>
      </c>
      <c r="D4163">
        <v>9.25</v>
      </c>
      <c r="E4163">
        <v>1</v>
      </c>
      <c r="F4163" t="s">
        <v>14</v>
      </c>
      <c r="G4163">
        <v>15</v>
      </c>
      <c r="H4163">
        <v>10.637499999999999</v>
      </c>
      <c r="I4163">
        <v>14.999999999999991</v>
      </c>
      <c r="J4163" t="s">
        <v>20</v>
      </c>
    </row>
    <row r="4164" spans="1:10" x14ac:dyDescent="0.2">
      <c r="A4164">
        <v>14163</v>
      </c>
      <c r="B4164" t="s">
        <v>8</v>
      </c>
      <c r="C4164" t="s">
        <v>6</v>
      </c>
      <c r="D4164">
        <v>5.0199999999999996</v>
      </c>
      <c r="E4164">
        <v>6</v>
      </c>
      <c r="F4164" t="s">
        <v>15</v>
      </c>
      <c r="G4164">
        <v>28</v>
      </c>
      <c r="H4164">
        <v>6.4255999999999993</v>
      </c>
      <c r="I4164">
        <v>28.000000000000004</v>
      </c>
      <c r="J4164" t="s">
        <v>20</v>
      </c>
    </row>
    <row r="4165" spans="1:10" x14ac:dyDescent="0.2">
      <c r="A4165">
        <v>14164</v>
      </c>
      <c r="B4165" t="s">
        <v>7</v>
      </c>
      <c r="C4165" t="s">
        <v>9</v>
      </c>
      <c r="D4165">
        <v>13.69</v>
      </c>
      <c r="E4165">
        <v>1</v>
      </c>
      <c r="F4165" t="s">
        <v>14</v>
      </c>
      <c r="G4165">
        <v>15</v>
      </c>
      <c r="H4165">
        <v>15.743499999999997</v>
      </c>
      <c r="I4165">
        <v>14.999999999999991</v>
      </c>
      <c r="J4165" t="s">
        <v>20</v>
      </c>
    </row>
    <row r="4166" spans="1:10" x14ac:dyDescent="0.2">
      <c r="A4166">
        <v>14165</v>
      </c>
      <c r="B4166" t="s">
        <v>10</v>
      </c>
      <c r="C4166" t="s">
        <v>9</v>
      </c>
      <c r="D4166">
        <v>13.12</v>
      </c>
      <c r="E4166">
        <v>1</v>
      </c>
      <c r="F4166" t="s">
        <v>14</v>
      </c>
      <c r="G4166">
        <v>15</v>
      </c>
      <c r="H4166">
        <v>15.087999999999997</v>
      </c>
      <c r="I4166">
        <v>14.999999999999991</v>
      </c>
      <c r="J4166" t="s">
        <v>20</v>
      </c>
    </row>
    <row r="4167" spans="1:10" x14ac:dyDescent="0.2">
      <c r="A4167">
        <v>14166</v>
      </c>
      <c r="B4167" t="s">
        <v>5</v>
      </c>
      <c r="C4167" t="s">
        <v>6</v>
      </c>
      <c r="D4167">
        <v>8.59</v>
      </c>
      <c r="E4167">
        <v>8</v>
      </c>
      <c r="F4167" t="s">
        <v>16</v>
      </c>
      <c r="G4167">
        <v>55</v>
      </c>
      <c r="H4167">
        <v>13.314500000000001</v>
      </c>
      <c r="I4167">
        <v>55.000000000000007</v>
      </c>
      <c r="J4167" t="s">
        <v>20</v>
      </c>
    </row>
    <row r="4168" spans="1:10" x14ac:dyDescent="0.2">
      <c r="A4168">
        <v>14167</v>
      </c>
      <c r="B4168" t="s">
        <v>7</v>
      </c>
      <c r="C4168" t="s">
        <v>11</v>
      </c>
      <c r="D4168">
        <v>5.21</v>
      </c>
      <c r="E4168">
        <v>2</v>
      </c>
      <c r="F4168" t="s">
        <v>14</v>
      </c>
      <c r="G4168">
        <v>10</v>
      </c>
      <c r="H4168">
        <v>5.7310000000000008</v>
      </c>
      <c r="I4168">
        <v>10.000000000000009</v>
      </c>
      <c r="J4168" t="s">
        <v>20</v>
      </c>
    </row>
    <row r="4169" spans="1:10" x14ac:dyDescent="0.2">
      <c r="A4169">
        <v>14168</v>
      </c>
      <c r="B4169" t="s">
        <v>7</v>
      </c>
      <c r="C4169" t="s">
        <v>11</v>
      </c>
      <c r="D4169">
        <v>4.75</v>
      </c>
      <c r="E4169">
        <v>10</v>
      </c>
      <c r="F4169" t="s">
        <v>16</v>
      </c>
      <c r="G4169">
        <v>50</v>
      </c>
      <c r="H4169">
        <v>7.125</v>
      </c>
      <c r="I4169">
        <v>50</v>
      </c>
      <c r="J4169" t="s">
        <v>20</v>
      </c>
    </row>
    <row r="4170" spans="1:10" x14ac:dyDescent="0.2">
      <c r="A4170">
        <v>14169</v>
      </c>
      <c r="B4170" t="s">
        <v>8</v>
      </c>
      <c r="C4170" t="s">
        <v>9</v>
      </c>
      <c r="D4170">
        <v>0.98</v>
      </c>
      <c r="E4170">
        <v>6</v>
      </c>
      <c r="F4170" t="s">
        <v>15</v>
      </c>
      <c r="G4170">
        <v>30</v>
      </c>
      <c r="H4170">
        <v>1.274</v>
      </c>
      <c r="I4170">
        <v>30.000000000000004</v>
      </c>
      <c r="J4170" t="s">
        <v>20</v>
      </c>
    </row>
    <row r="4171" spans="1:10" x14ac:dyDescent="0.2">
      <c r="A4171">
        <v>14170</v>
      </c>
      <c r="B4171" t="s">
        <v>10</v>
      </c>
      <c r="C4171" t="s">
        <v>6</v>
      </c>
      <c r="D4171">
        <v>12.33</v>
      </c>
      <c r="E4171">
        <v>6</v>
      </c>
      <c r="F4171" t="s">
        <v>15</v>
      </c>
      <c r="G4171">
        <v>28</v>
      </c>
      <c r="H4171">
        <v>15.782400000000001</v>
      </c>
      <c r="I4171">
        <v>28.000000000000004</v>
      </c>
      <c r="J4171" t="s">
        <v>20</v>
      </c>
    </row>
    <row r="4172" spans="1:10" x14ac:dyDescent="0.2">
      <c r="A4172">
        <v>14171</v>
      </c>
      <c r="B4172" t="s">
        <v>7</v>
      </c>
      <c r="C4172" t="s">
        <v>11</v>
      </c>
      <c r="D4172">
        <v>7.03</v>
      </c>
      <c r="E4172">
        <v>6</v>
      </c>
      <c r="F4172" t="s">
        <v>15</v>
      </c>
      <c r="G4172">
        <v>25</v>
      </c>
      <c r="H4172">
        <v>8.7874999999999996</v>
      </c>
      <c r="I4172">
        <v>25</v>
      </c>
      <c r="J4172" t="s">
        <v>20</v>
      </c>
    </row>
    <row r="4173" spans="1:10" x14ac:dyDescent="0.2">
      <c r="A4173">
        <v>14172</v>
      </c>
      <c r="B4173" t="s">
        <v>5</v>
      </c>
      <c r="C4173" t="s">
        <v>11</v>
      </c>
      <c r="D4173">
        <v>5.21</v>
      </c>
      <c r="E4173">
        <v>8</v>
      </c>
      <c r="F4173" t="s">
        <v>16</v>
      </c>
      <c r="G4173">
        <v>50</v>
      </c>
      <c r="H4173">
        <v>7.8149999999999995</v>
      </c>
      <c r="I4173">
        <v>50</v>
      </c>
      <c r="J4173" t="s">
        <v>20</v>
      </c>
    </row>
    <row r="4174" spans="1:10" x14ac:dyDescent="0.2">
      <c r="A4174">
        <v>14173</v>
      </c>
      <c r="B4174" t="s">
        <v>10</v>
      </c>
      <c r="C4174" t="s">
        <v>9</v>
      </c>
      <c r="D4174">
        <v>7.33</v>
      </c>
      <c r="E4174">
        <v>4</v>
      </c>
      <c r="F4174" t="s">
        <v>15</v>
      </c>
      <c r="G4174">
        <v>30</v>
      </c>
      <c r="H4174">
        <v>9.5289999999999999</v>
      </c>
      <c r="I4174">
        <v>30.000000000000004</v>
      </c>
      <c r="J4174" t="s">
        <v>20</v>
      </c>
    </row>
    <row r="4175" spans="1:10" x14ac:dyDescent="0.2">
      <c r="A4175">
        <v>14174</v>
      </c>
      <c r="B4175" t="s">
        <v>5</v>
      </c>
      <c r="C4175" t="s">
        <v>9</v>
      </c>
      <c r="D4175">
        <v>12.37</v>
      </c>
      <c r="E4175">
        <v>3</v>
      </c>
      <c r="F4175" t="s">
        <v>14</v>
      </c>
      <c r="G4175">
        <v>15</v>
      </c>
      <c r="H4175">
        <v>14.225499999999998</v>
      </c>
      <c r="I4175">
        <v>14.999999999999991</v>
      </c>
      <c r="J4175" t="s">
        <v>20</v>
      </c>
    </row>
    <row r="4176" spans="1:10" x14ac:dyDescent="0.2">
      <c r="A4176">
        <v>14175</v>
      </c>
      <c r="B4176" t="s">
        <v>7</v>
      </c>
      <c r="C4176" t="s">
        <v>6</v>
      </c>
      <c r="D4176">
        <v>2.31</v>
      </c>
      <c r="E4176">
        <v>6</v>
      </c>
      <c r="F4176" t="s">
        <v>15</v>
      </c>
      <c r="G4176">
        <v>28</v>
      </c>
      <c r="H4176">
        <v>2.9568000000000003</v>
      </c>
      <c r="I4176">
        <v>28.000000000000004</v>
      </c>
      <c r="J4176" t="s">
        <v>20</v>
      </c>
    </row>
    <row r="4177" spans="1:10" x14ac:dyDescent="0.2">
      <c r="A4177">
        <v>14176</v>
      </c>
      <c r="B4177" t="s">
        <v>5</v>
      </c>
      <c r="C4177" t="s">
        <v>9</v>
      </c>
      <c r="D4177">
        <v>12.94</v>
      </c>
      <c r="E4177">
        <v>4</v>
      </c>
      <c r="F4177" t="s">
        <v>15</v>
      </c>
      <c r="G4177">
        <v>30</v>
      </c>
      <c r="H4177">
        <v>16.821999999999999</v>
      </c>
      <c r="I4177">
        <v>30.000000000000004</v>
      </c>
      <c r="J4177" t="s">
        <v>20</v>
      </c>
    </row>
    <row r="4178" spans="1:10" x14ac:dyDescent="0.2">
      <c r="A4178">
        <v>14177</v>
      </c>
      <c r="B4178" t="s">
        <v>8</v>
      </c>
      <c r="C4178" t="s">
        <v>11</v>
      </c>
      <c r="D4178">
        <v>13.51</v>
      </c>
      <c r="E4178">
        <v>2</v>
      </c>
      <c r="F4178" t="s">
        <v>14</v>
      </c>
      <c r="G4178">
        <v>10</v>
      </c>
      <c r="H4178">
        <v>14.861000000000001</v>
      </c>
      <c r="I4178">
        <v>10.000000000000009</v>
      </c>
      <c r="J4178" t="s">
        <v>20</v>
      </c>
    </row>
    <row r="4179" spans="1:10" x14ac:dyDescent="0.2">
      <c r="A4179">
        <v>14178</v>
      </c>
      <c r="B4179" t="s">
        <v>5</v>
      </c>
      <c r="C4179" t="s">
        <v>11</v>
      </c>
      <c r="D4179">
        <v>14.23</v>
      </c>
      <c r="E4179">
        <v>6</v>
      </c>
      <c r="F4179" t="s">
        <v>15</v>
      </c>
      <c r="G4179">
        <v>25</v>
      </c>
      <c r="H4179">
        <v>17.787500000000001</v>
      </c>
      <c r="I4179">
        <v>25</v>
      </c>
      <c r="J4179" t="s">
        <v>20</v>
      </c>
    </row>
    <row r="4180" spans="1:10" x14ac:dyDescent="0.2">
      <c r="A4180">
        <v>14179</v>
      </c>
      <c r="B4180" t="s">
        <v>10</v>
      </c>
      <c r="C4180" t="s">
        <v>11</v>
      </c>
      <c r="D4180">
        <v>6.26</v>
      </c>
      <c r="E4180">
        <v>10</v>
      </c>
      <c r="F4180" t="s">
        <v>16</v>
      </c>
      <c r="G4180">
        <v>50</v>
      </c>
      <c r="H4180">
        <v>9.39</v>
      </c>
      <c r="I4180">
        <v>50.000000000000021</v>
      </c>
      <c r="J4180" t="s">
        <v>20</v>
      </c>
    </row>
    <row r="4181" spans="1:10" x14ac:dyDescent="0.2">
      <c r="A4181">
        <v>14180</v>
      </c>
      <c r="B4181" t="s">
        <v>5</v>
      </c>
      <c r="C4181" t="s">
        <v>11</v>
      </c>
      <c r="D4181">
        <v>3.65</v>
      </c>
      <c r="E4181">
        <v>5</v>
      </c>
      <c r="F4181" t="s">
        <v>15</v>
      </c>
      <c r="G4181">
        <v>25</v>
      </c>
      <c r="H4181">
        <v>4.5625</v>
      </c>
      <c r="I4181">
        <v>25</v>
      </c>
      <c r="J4181" t="s">
        <v>20</v>
      </c>
    </row>
    <row r="4182" spans="1:10" x14ac:dyDescent="0.2">
      <c r="A4182">
        <v>14181</v>
      </c>
      <c r="B4182" t="s">
        <v>5</v>
      </c>
      <c r="C4182" t="s">
        <v>6</v>
      </c>
      <c r="D4182">
        <v>5.92</v>
      </c>
      <c r="E4182">
        <v>9</v>
      </c>
      <c r="F4182" t="s">
        <v>16</v>
      </c>
      <c r="G4182">
        <v>55</v>
      </c>
      <c r="H4182">
        <v>9.1760000000000002</v>
      </c>
      <c r="I4182">
        <v>55.000000000000007</v>
      </c>
      <c r="J4182" t="s">
        <v>20</v>
      </c>
    </row>
    <row r="4183" spans="1:10" x14ac:dyDescent="0.2">
      <c r="A4183">
        <v>14182</v>
      </c>
      <c r="B4183" t="s">
        <v>8</v>
      </c>
      <c r="C4183" t="s">
        <v>6</v>
      </c>
      <c r="D4183">
        <v>5.33</v>
      </c>
      <c r="E4183">
        <v>6</v>
      </c>
      <c r="F4183" t="s">
        <v>15</v>
      </c>
      <c r="G4183">
        <v>28</v>
      </c>
      <c r="H4183">
        <v>6.8224</v>
      </c>
      <c r="I4183">
        <v>28.000000000000004</v>
      </c>
      <c r="J4183" t="s">
        <v>20</v>
      </c>
    </row>
    <row r="4184" spans="1:10" x14ac:dyDescent="0.2">
      <c r="A4184">
        <v>14183</v>
      </c>
      <c r="B4184" t="s">
        <v>5</v>
      </c>
      <c r="C4184" t="s">
        <v>9</v>
      </c>
      <c r="D4184">
        <v>3.05</v>
      </c>
      <c r="E4184">
        <v>3</v>
      </c>
      <c r="F4184" t="s">
        <v>14</v>
      </c>
      <c r="G4184">
        <v>15</v>
      </c>
      <c r="H4184">
        <v>3.5074999999999994</v>
      </c>
      <c r="I4184">
        <v>14.999999999999991</v>
      </c>
      <c r="J4184" t="s">
        <v>20</v>
      </c>
    </row>
    <row r="4185" spans="1:10" x14ac:dyDescent="0.2">
      <c r="A4185">
        <v>14184</v>
      </c>
      <c r="B4185" t="s">
        <v>5</v>
      </c>
      <c r="C4185" t="s">
        <v>9</v>
      </c>
      <c r="D4185">
        <v>9.31</v>
      </c>
      <c r="E4185">
        <v>5</v>
      </c>
      <c r="F4185" t="s">
        <v>15</v>
      </c>
      <c r="G4185">
        <v>30</v>
      </c>
      <c r="H4185">
        <v>12.103000000000002</v>
      </c>
      <c r="I4185">
        <v>30.000000000000004</v>
      </c>
      <c r="J4185" t="s">
        <v>20</v>
      </c>
    </row>
    <row r="4186" spans="1:10" x14ac:dyDescent="0.2">
      <c r="A4186">
        <v>14185</v>
      </c>
      <c r="B4186" t="s">
        <v>7</v>
      </c>
      <c r="C4186" t="s">
        <v>9</v>
      </c>
      <c r="D4186">
        <v>7.41</v>
      </c>
      <c r="E4186">
        <v>10</v>
      </c>
      <c r="F4186" t="s">
        <v>16</v>
      </c>
      <c r="G4186">
        <v>60</v>
      </c>
      <c r="H4186">
        <v>11.856000000000002</v>
      </c>
      <c r="I4186">
        <v>60.000000000000007</v>
      </c>
      <c r="J4186" t="s">
        <v>20</v>
      </c>
    </row>
    <row r="4187" spans="1:10" x14ac:dyDescent="0.2">
      <c r="A4187">
        <v>14186</v>
      </c>
      <c r="B4187" t="s">
        <v>7</v>
      </c>
      <c r="C4187" t="s">
        <v>6</v>
      </c>
      <c r="D4187">
        <v>13.05</v>
      </c>
      <c r="E4187">
        <v>8</v>
      </c>
      <c r="F4187" t="s">
        <v>16</v>
      </c>
      <c r="G4187">
        <v>55</v>
      </c>
      <c r="H4187">
        <v>20.227500000000003</v>
      </c>
      <c r="I4187">
        <v>55.000000000000007</v>
      </c>
      <c r="J4187" t="s">
        <v>20</v>
      </c>
    </row>
    <row r="4188" spans="1:10" x14ac:dyDescent="0.2">
      <c r="A4188">
        <v>14187</v>
      </c>
      <c r="B4188" t="s">
        <v>10</v>
      </c>
      <c r="C4188" t="s">
        <v>11</v>
      </c>
      <c r="D4188">
        <v>0.97</v>
      </c>
      <c r="E4188">
        <v>9</v>
      </c>
      <c r="F4188" t="s">
        <v>16</v>
      </c>
      <c r="G4188">
        <v>50</v>
      </c>
      <c r="H4188">
        <v>1.4550000000000001</v>
      </c>
      <c r="I4188">
        <v>50.000000000000021</v>
      </c>
      <c r="J4188" t="s">
        <v>20</v>
      </c>
    </row>
    <row r="4189" spans="1:10" x14ac:dyDescent="0.2">
      <c r="A4189">
        <v>14188</v>
      </c>
      <c r="B4189" t="s">
        <v>7</v>
      </c>
      <c r="C4189" t="s">
        <v>9</v>
      </c>
      <c r="D4189">
        <v>9.84</v>
      </c>
      <c r="E4189">
        <v>8</v>
      </c>
      <c r="F4189" t="s">
        <v>16</v>
      </c>
      <c r="G4189">
        <v>60</v>
      </c>
      <c r="H4189">
        <v>15.744</v>
      </c>
      <c r="I4189">
        <v>60.000000000000007</v>
      </c>
      <c r="J4189" t="s">
        <v>20</v>
      </c>
    </row>
    <row r="4190" spans="1:10" x14ac:dyDescent="0.2">
      <c r="A4190">
        <v>14189</v>
      </c>
      <c r="B4190" t="s">
        <v>7</v>
      </c>
      <c r="C4190" t="s">
        <v>11</v>
      </c>
      <c r="D4190">
        <v>11.56</v>
      </c>
      <c r="E4190">
        <v>3</v>
      </c>
      <c r="F4190" t="s">
        <v>14</v>
      </c>
      <c r="G4190">
        <v>10</v>
      </c>
      <c r="H4190">
        <v>12.716000000000001</v>
      </c>
      <c r="I4190">
        <v>10.000000000000009</v>
      </c>
      <c r="J4190" t="s">
        <v>20</v>
      </c>
    </row>
    <row r="4191" spans="1:10" x14ac:dyDescent="0.2">
      <c r="A4191">
        <v>14190</v>
      </c>
      <c r="B4191" t="s">
        <v>7</v>
      </c>
      <c r="C4191" t="s">
        <v>9</v>
      </c>
      <c r="D4191">
        <v>11.51</v>
      </c>
      <c r="E4191">
        <v>9</v>
      </c>
      <c r="F4191" t="s">
        <v>16</v>
      </c>
      <c r="G4191">
        <v>60</v>
      </c>
      <c r="H4191">
        <v>18.416</v>
      </c>
      <c r="I4191">
        <v>60.000000000000007</v>
      </c>
      <c r="J4191" t="s">
        <v>20</v>
      </c>
    </row>
    <row r="4192" spans="1:10" x14ac:dyDescent="0.2">
      <c r="A4192">
        <v>14191</v>
      </c>
      <c r="B4192" t="s">
        <v>7</v>
      </c>
      <c r="C4192" t="s">
        <v>9</v>
      </c>
      <c r="D4192">
        <v>13.35</v>
      </c>
      <c r="E4192">
        <v>3</v>
      </c>
      <c r="F4192" t="s">
        <v>14</v>
      </c>
      <c r="G4192">
        <v>15</v>
      </c>
      <c r="H4192">
        <v>15.352499999999999</v>
      </c>
      <c r="I4192">
        <v>14.999999999999991</v>
      </c>
      <c r="J4192" t="s">
        <v>20</v>
      </c>
    </row>
    <row r="4193" spans="1:10" x14ac:dyDescent="0.2">
      <c r="A4193">
        <v>14192</v>
      </c>
      <c r="B4193" t="s">
        <v>8</v>
      </c>
      <c r="C4193" t="s">
        <v>9</v>
      </c>
      <c r="D4193">
        <v>11.07</v>
      </c>
      <c r="E4193">
        <v>8</v>
      </c>
      <c r="F4193" t="s">
        <v>16</v>
      </c>
      <c r="G4193">
        <v>60</v>
      </c>
      <c r="H4193">
        <v>17.712</v>
      </c>
      <c r="I4193">
        <v>59.999999999999986</v>
      </c>
      <c r="J4193" t="s">
        <v>20</v>
      </c>
    </row>
    <row r="4194" spans="1:10" x14ac:dyDescent="0.2">
      <c r="A4194">
        <v>14193</v>
      </c>
      <c r="B4194" t="s">
        <v>7</v>
      </c>
      <c r="C4194" t="s">
        <v>9</v>
      </c>
      <c r="D4194">
        <v>13.95</v>
      </c>
      <c r="E4194">
        <v>10</v>
      </c>
      <c r="F4194" t="s">
        <v>16</v>
      </c>
      <c r="G4194">
        <v>60</v>
      </c>
      <c r="H4194">
        <v>22.32</v>
      </c>
      <c r="I4194">
        <v>60.000000000000007</v>
      </c>
      <c r="J4194" t="s">
        <v>20</v>
      </c>
    </row>
    <row r="4195" spans="1:10" x14ac:dyDescent="0.2">
      <c r="A4195">
        <v>14194</v>
      </c>
      <c r="B4195" t="s">
        <v>8</v>
      </c>
      <c r="C4195" t="s">
        <v>9</v>
      </c>
      <c r="D4195">
        <v>5.32</v>
      </c>
      <c r="E4195">
        <v>9</v>
      </c>
      <c r="F4195" t="s">
        <v>16</v>
      </c>
      <c r="G4195">
        <v>60</v>
      </c>
      <c r="H4195">
        <v>8.5120000000000005</v>
      </c>
      <c r="I4195">
        <v>60.000000000000007</v>
      </c>
      <c r="J4195" t="s">
        <v>20</v>
      </c>
    </row>
    <row r="4196" spans="1:10" x14ac:dyDescent="0.2">
      <c r="A4196">
        <v>14195</v>
      </c>
      <c r="B4196" t="s">
        <v>8</v>
      </c>
      <c r="C4196" t="s">
        <v>11</v>
      </c>
      <c r="D4196">
        <v>7.8</v>
      </c>
      <c r="E4196">
        <v>7</v>
      </c>
      <c r="F4196" t="s">
        <v>15</v>
      </c>
      <c r="G4196">
        <v>25</v>
      </c>
      <c r="H4196">
        <v>9.75</v>
      </c>
      <c r="I4196">
        <v>25</v>
      </c>
      <c r="J4196" t="s">
        <v>20</v>
      </c>
    </row>
    <row r="4197" spans="1:10" x14ac:dyDescent="0.2">
      <c r="A4197">
        <v>14196</v>
      </c>
      <c r="B4197" t="s">
        <v>7</v>
      </c>
      <c r="C4197" t="s">
        <v>9</v>
      </c>
      <c r="D4197">
        <v>0.7</v>
      </c>
      <c r="E4197">
        <v>4</v>
      </c>
      <c r="F4197" t="s">
        <v>15</v>
      </c>
      <c r="G4197">
        <v>30</v>
      </c>
      <c r="H4197">
        <v>0.90999999999999992</v>
      </c>
      <c r="I4197">
        <v>30.000000000000004</v>
      </c>
      <c r="J4197" t="s">
        <v>20</v>
      </c>
    </row>
    <row r="4198" spans="1:10" x14ac:dyDescent="0.2">
      <c r="A4198">
        <v>14197</v>
      </c>
      <c r="B4198" t="s">
        <v>5</v>
      </c>
      <c r="C4198" t="s">
        <v>11</v>
      </c>
      <c r="D4198">
        <v>0.6</v>
      </c>
      <c r="E4198">
        <v>10</v>
      </c>
      <c r="F4198" t="s">
        <v>16</v>
      </c>
      <c r="G4198">
        <v>50</v>
      </c>
      <c r="H4198">
        <v>0.89999999999999991</v>
      </c>
      <c r="I4198">
        <v>50</v>
      </c>
      <c r="J4198" t="s">
        <v>20</v>
      </c>
    </row>
    <row r="4199" spans="1:10" x14ac:dyDescent="0.2">
      <c r="A4199">
        <v>14198</v>
      </c>
      <c r="B4199" t="s">
        <v>8</v>
      </c>
      <c r="C4199" t="s">
        <v>6</v>
      </c>
      <c r="D4199">
        <v>3.98</v>
      </c>
      <c r="E4199">
        <v>9</v>
      </c>
      <c r="F4199" t="s">
        <v>16</v>
      </c>
      <c r="G4199">
        <v>55</v>
      </c>
      <c r="H4199">
        <v>6.1690000000000005</v>
      </c>
      <c r="I4199">
        <v>55.000000000000007</v>
      </c>
      <c r="J4199" t="s">
        <v>20</v>
      </c>
    </row>
    <row r="4200" spans="1:10" x14ac:dyDescent="0.2">
      <c r="A4200">
        <v>14199</v>
      </c>
      <c r="B4200" t="s">
        <v>5</v>
      </c>
      <c r="C4200" t="s">
        <v>9</v>
      </c>
      <c r="D4200">
        <v>1.96</v>
      </c>
      <c r="E4200">
        <v>3</v>
      </c>
      <c r="F4200" t="s">
        <v>14</v>
      </c>
      <c r="G4200">
        <v>15</v>
      </c>
      <c r="H4200">
        <v>2.254</v>
      </c>
      <c r="I4200">
        <v>15.000000000000014</v>
      </c>
      <c r="J4200" t="s">
        <v>20</v>
      </c>
    </row>
    <row r="4201" spans="1:10" x14ac:dyDescent="0.2">
      <c r="A4201">
        <v>14200</v>
      </c>
      <c r="B4201" t="s">
        <v>5</v>
      </c>
      <c r="C4201" t="s">
        <v>11</v>
      </c>
      <c r="D4201">
        <v>4.2699999999999996</v>
      </c>
      <c r="E4201">
        <v>3</v>
      </c>
      <c r="F4201" t="s">
        <v>14</v>
      </c>
      <c r="G4201">
        <v>10</v>
      </c>
      <c r="H4201">
        <v>4.6970000000000001</v>
      </c>
      <c r="I4201">
        <v>10.000000000000009</v>
      </c>
      <c r="J4201" t="s">
        <v>20</v>
      </c>
    </row>
    <row r="4202" spans="1:10" x14ac:dyDescent="0.2">
      <c r="A4202">
        <v>14201</v>
      </c>
      <c r="B4202" t="s">
        <v>7</v>
      </c>
      <c r="C4202" t="s">
        <v>6</v>
      </c>
      <c r="D4202">
        <v>3.07</v>
      </c>
      <c r="E4202">
        <v>2</v>
      </c>
      <c r="F4202" t="s">
        <v>14</v>
      </c>
      <c r="G4202">
        <v>12</v>
      </c>
      <c r="H4202">
        <v>3.4384000000000001</v>
      </c>
      <c r="I4202">
        <v>12.000000000000011</v>
      </c>
      <c r="J4202" t="s">
        <v>20</v>
      </c>
    </row>
    <row r="4203" spans="1:10" x14ac:dyDescent="0.2">
      <c r="A4203">
        <v>14202</v>
      </c>
      <c r="B4203" t="s">
        <v>10</v>
      </c>
      <c r="C4203" t="s">
        <v>6</v>
      </c>
      <c r="D4203">
        <v>0.91</v>
      </c>
      <c r="E4203">
        <v>10</v>
      </c>
      <c r="F4203" t="s">
        <v>16</v>
      </c>
      <c r="G4203">
        <v>55</v>
      </c>
      <c r="H4203">
        <v>1.4105000000000001</v>
      </c>
      <c r="I4203">
        <v>55.000000000000007</v>
      </c>
      <c r="J4203" t="s">
        <v>20</v>
      </c>
    </row>
    <row r="4204" spans="1:10" x14ac:dyDescent="0.2">
      <c r="A4204">
        <v>14203</v>
      </c>
      <c r="B4204" t="s">
        <v>7</v>
      </c>
      <c r="C4204" t="s">
        <v>6</v>
      </c>
      <c r="D4204">
        <v>13.68</v>
      </c>
      <c r="E4204">
        <v>3</v>
      </c>
      <c r="F4204" t="s">
        <v>14</v>
      </c>
      <c r="G4204">
        <v>12</v>
      </c>
      <c r="H4204">
        <v>15.321600000000002</v>
      </c>
      <c r="I4204">
        <v>12.000000000000011</v>
      </c>
      <c r="J4204" t="s">
        <v>20</v>
      </c>
    </row>
    <row r="4205" spans="1:10" x14ac:dyDescent="0.2">
      <c r="A4205">
        <v>14204</v>
      </c>
      <c r="B4205" t="s">
        <v>10</v>
      </c>
      <c r="C4205" t="s">
        <v>11</v>
      </c>
      <c r="D4205">
        <v>0.62</v>
      </c>
      <c r="E4205">
        <v>1</v>
      </c>
      <c r="F4205" t="s">
        <v>14</v>
      </c>
      <c r="G4205">
        <v>10</v>
      </c>
      <c r="H4205">
        <v>0.68200000000000005</v>
      </c>
      <c r="I4205">
        <v>10.000000000000009</v>
      </c>
      <c r="J4205" t="s">
        <v>20</v>
      </c>
    </row>
    <row r="4206" spans="1:10" x14ac:dyDescent="0.2">
      <c r="A4206">
        <v>14205</v>
      </c>
      <c r="B4206" t="s">
        <v>10</v>
      </c>
      <c r="C4206" t="s">
        <v>9</v>
      </c>
      <c r="D4206">
        <v>11.17</v>
      </c>
      <c r="E4206">
        <v>4</v>
      </c>
      <c r="F4206" t="s">
        <v>15</v>
      </c>
      <c r="G4206">
        <v>30</v>
      </c>
      <c r="H4206">
        <v>14.521000000000001</v>
      </c>
      <c r="I4206">
        <v>30.000000000000004</v>
      </c>
      <c r="J4206" t="s">
        <v>20</v>
      </c>
    </row>
    <row r="4207" spans="1:10" x14ac:dyDescent="0.2">
      <c r="A4207">
        <v>14206</v>
      </c>
      <c r="B4207" t="s">
        <v>7</v>
      </c>
      <c r="C4207" t="s">
        <v>9</v>
      </c>
      <c r="D4207">
        <v>2.71</v>
      </c>
      <c r="E4207">
        <v>8</v>
      </c>
      <c r="F4207" t="s">
        <v>16</v>
      </c>
      <c r="G4207">
        <v>60</v>
      </c>
      <c r="H4207">
        <v>4.3360000000000003</v>
      </c>
      <c r="I4207">
        <v>60.000000000000007</v>
      </c>
      <c r="J4207" t="s">
        <v>20</v>
      </c>
    </row>
    <row r="4208" spans="1:10" x14ac:dyDescent="0.2">
      <c r="A4208">
        <v>14207</v>
      </c>
      <c r="B4208" t="s">
        <v>7</v>
      </c>
      <c r="C4208" t="s">
        <v>11</v>
      </c>
      <c r="D4208">
        <v>13.73</v>
      </c>
      <c r="E4208">
        <v>5</v>
      </c>
      <c r="F4208" t="s">
        <v>15</v>
      </c>
      <c r="G4208">
        <v>25</v>
      </c>
      <c r="H4208">
        <v>17.162500000000001</v>
      </c>
      <c r="I4208">
        <v>25</v>
      </c>
      <c r="J4208" t="s">
        <v>20</v>
      </c>
    </row>
    <row r="4209" spans="1:10" x14ac:dyDescent="0.2">
      <c r="A4209">
        <v>14208</v>
      </c>
      <c r="B4209" t="s">
        <v>10</v>
      </c>
      <c r="C4209" t="s">
        <v>9</v>
      </c>
      <c r="D4209">
        <v>13.45</v>
      </c>
      <c r="E4209">
        <v>2</v>
      </c>
      <c r="F4209" t="s">
        <v>14</v>
      </c>
      <c r="G4209">
        <v>15</v>
      </c>
      <c r="H4209">
        <v>15.467499999999998</v>
      </c>
      <c r="I4209">
        <v>14.999999999999991</v>
      </c>
      <c r="J4209" t="s">
        <v>20</v>
      </c>
    </row>
    <row r="4210" spans="1:10" x14ac:dyDescent="0.2">
      <c r="A4210">
        <v>14209</v>
      </c>
      <c r="B4210" t="s">
        <v>7</v>
      </c>
      <c r="C4210" t="s">
        <v>11</v>
      </c>
      <c r="D4210">
        <v>9.98</v>
      </c>
      <c r="E4210">
        <v>3</v>
      </c>
      <c r="F4210" t="s">
        <v>14</v>
      </c>
      <c r="G4210">
        <v>10</v>
      </c>
      <c r="H4210">
        <v>10.978000000000002</v>
      </c>
      <c r="I4210">
        <v>10.000000000000009</v>
      </c>
      <c r="J4210" t="s">
        <v>20</v>
      </c>
    </row>
    <row r="4211" spans="1:10" x14ac:dyDescent="0.2">
      <c r="A4211">
        <v>14210</v>
      </c>
      <c r="B4211" t="s">
        <v>10</v>
      </c>
      <c r="C4211" t="s">
        <v>9</v>
      </c>
      <c r="D4211">
        <v>10.25</v>
      </c>
      <c r="E4211">
        <v>1</v>
      </c>
      <c r="F4211" t="s">
        <v>14</v>
      </c>
      <c r="G4211">
        <v>15</v>
      </c>
      <c r="H4211">
        <v>11.7875</v>
      </c>
      <c r="I4211">
        <v>14.999999999999991</v>
      </c>
      <c r="J4211" t="s">
        <v>20</v>
      </c>
    </row>
    <row r="4212" spans="1:10" x14ac:dyDescent="0.2">
      <c r="A4212">
        <v>14211</v>
      </c>
      <c r="B4212" t="s">
        <v>5</v>
      </c>
      <c r="C4212" t="s">
        <v>6</v>
      </c>
      <c r="D4212">
        <v>0.57999999999999996</v>
      </c>
      <c r="E4212">
        <v>2</v>
      </c>
      <c r="F4212" t="s">
        <v>14</v>
      </c>
      <c r="G4212">
        <v>12</v>
      </c>
      <c r="H4212">
        <v>0.64960000000000007</v>
      </c>
      <c r="I4212">
        <v>12.000000000000011</v>
      </c>
      <c r="J4212" t="s">
        <v>20</v>
      </c>
    </row>
    <row r="4213" spans="1:10" x14ac:dyDescent="0.2">
      <c r="A4213">
        <v>14212</v>
      </c>
      <c r="B4213" t="s">
        <v>7</v>
      </c>
      <c r="C4213" t="s">
        <v>9</v>
      </c>
      <c r="D4213">
        <v>14.78</v>
      </c>
      <c r="E4213">
        <v>1</v>
      </c>
      <c r="F4213" t="s">
        <v>14</v>
      </c>
      <c r="G4213">
        <v>15</v>
      </c>
      <c r="H4213">
        <v>16.996999999999996</v>
      </c>
      <c r="I4213">
        <v>14.999999999999991</v>
      </c>
      <c r="J4213" t="s">
        <v>20</v>
      </c>
    </row>
    <row r="4214" spans="1:10" x14ac:dyDescent="0.2">
      <c r="A4214">
        <v>14213</v>
      </c>
      <c r="B4214" t="s">
        <v>5</v>
      </c>
      <c r="C4214" t="s">
        <v>11</v>
      </c>
      <c r="D4214">
        <v>13.23</v>
      </c>
      <c r="E4214">
        <v>2</v>
      </c>
      <c r="F4214" t="s">
        <v>14</v>
      </c>
      <c r="G4214">
        <v>10</v>
      </c>
      <c r="H4214">
        <v>14.553000000000001</v>
      </c>
      <c r="I4214">
        <v>10.000000000000009</v>
      </c>
      <c r="J4214" t="s">
        <v>20</v>
      </c>
    </row>
    <row r="4215" spans="1:10" x14ac:dyDescent="0.2">
      <c r="A4215">
        <v>14214</v>
      </c>
      <c r="B4215" t="s">
        <v>8</v>
      </c>
      <c r="C4215" t="s">
        <v>11</v>
      </c>
      <c r="D4215">
        <v>13.48</v>
      </c>
      <c r="E4215">
        <v>3</v>
      </c>
      <c r="F4215" t="s">
        <v>14</v>
      </c>
      <c r="G4215">
        <v>10</v>
      </c>
      <c r="H4215">
        <v>14.828000000000001</v>
      </c>
      <c r="I4215">
        <v>10.000000000000009</v>
      </c>
      <c r="J4215" t="s">
        <v>20</v>
      </c>
    </row>
    <row r="4216" spans="1:10" x14ac:dyDescent="0.2">
      <c r="A4216">
        <v>14215</v>
      </c>
      <c r="B4216" t="s">
        <v>5</v>
      </c>
      <c r="C4216" t="s">
        <v>6</v>
      </c>
      <c r="D4216">
        <v>10.06</v>
      </c>
      <c r="E4216">
        <v>1</v>
      </c>
      <c r="F4216" t="s">
        <v>14</v>
      </c>
      <c r="G4216">
        <v>12</v>
      </c>
      <c r="H4216">
        <v>11.267200000000001</v>
      </c>
      <c r="I4216">
        <v>12.000000000000011</v>
      </c>
      <c r="J4216" t="s">
        <v>20</v>
      </c>
    </row>
    <row r="4217" spans="1:10" x14ac:dyDescent="0.2">
      <c r="A4217">
        <v>14216</v>
      </c>
      <c r="B4217" t="s">
        <v>5</v>
      </c>
      <c r="C4217" t="s">
        <v>11</v>
      </c>
      <c r="D4217">
        <v>5.5</v>
      </c>
      <c r="E4217">
        <v>9</v>
      </c>
      <c r="F4217" t="s">
        <v>16</v>
      </c>
      <c r="G4217">
        <v>50</v>
      </c>
      <c r="H4217">
        <v>8.25</v>
      </c>
      <c r="I4217">
        <v>50</v>
      </c>
      <c r="J4217" t="s">
        <v>20</v>
      </c>
    </row>
    <row r="4218" spans="1:10" x14ac:dyDescent="0.2">
      <c r="A4218">
        <v>14217</v>
      </c>
      <c r="B4218" t="s">
        <v>10</v>
      </c>
      <c r="C4218" t="s">
        <v>9</v>
      </c>
      <c r="D4218">
        <v>13.46</v>
      </c>
      <c r="E4218">
        <v>10</v>
      </c>
      <c r="F4218" t="s">
        <v>16</v>
      </c>
      <c r="G4218">
        <v>60</v>
      </c>
      <c r="H4218">
        <v>21.536000000000001</v>
      </c>
      <c r="I4218">
        <v>60.000000000000007</v>
      </c>
      <c r="J4218" t="s">
        <v>20</v>
      </c>
    </row>
    <row r="4219" spans="1:10" x14ac:dyDescent="0.2">
      <c r="A4219">
        <v>14218</v>
      </c>
      <c r="B4219" t="s">
        <v>5</v>
      </c>
      <c r="C4219" t="s">
        <v>9</v>
      </c>
      <c r="D4219">
        <v>4.7300000000000004</v>
      </c>
      <c r="E4219">
        <v>5</v>
      </c>
      <c r="F4219" t="s">
        <v>15</v>
      </c>
      <c r="G4219">
        <v>30</v>
      </c>
      <c r="H4219">
        <v>6.1490000000000009</v>
      </c>
      <c r="I4219">
        <v>30.000000000000004</v>
      </c>
      <c r="J4219" t="s">
        <v>20</v>
      </c>
    </row>
    <row r="4220" spans="1:10" x14ac:dyDescent="0.2">
      <c r="A4220">
        <v>14219</v>
      </c>
      <c r="B4220" t="s">
        <v>7</v>
      </c>
      <c r="C4220" t="s">
        <v>6</v>
      </c>
      <c r="D4220">
        <v>8.66</v>
      </c>
      <c r="E4220">
        <v>8</v>
      </c>
      <c r="F4220" t="s">
        <v>16</v>
      </c>
      <c r="G4220">
        <v>55</v>
      </c>
      <c r="H4220">
        <v>13.423</v>
      </c>
      <c r="I4220">
        <v>55.000000000000007</v>
      </c>
      <c r="J4220" t="s">
        <v>20</v>
      </c>
    </row>
    <row r="4221" spans="1:10" x14ac:dyDescent="0.2">
      <c r="A4221">
        <v>14220</v>
      </c>
      <c r="B4221" t="s">
        <v>10</v>
      </c>
      <c r="C4221" t="s">
        <v>11</v>
      </c>
      <c r="D4221">
        <v>1.95</v>
      </c>
      <c r="E4221">
        <v>5</v>
      </c>
      <c r="F4221" t="s">
        <v>15</v>
      </c>
      <c r="G4221">
        <v>25</v>
      </c>
      <c r="H4221">
        <v>2.4375</v>
      </c>
      <c r="I4221">
        <v>25</v>
      </c>
      <c r="J4221" t="s">
        <v>20</v>
      </c>
    </row>
    <row r="4222" spans="1:10" x14ac:dyDescent="0.2">
      <c r="A4222">
        <v>14221</v>
      </c>
      <c r="B4222" t="s">
        <v>8</v>
      </c>
      <c r="C4222" t="s">
        <v>6</v>
      </c>
      <c r="D4222">
        <v>13.87</v>
      </c>
      <c r="E4222">
        <v>8</v>
      </c>
      <c r="F4222" t="s">
        <v>16</v>
      </c>
      <c r="G4222">
        <v>55</v>
      </c>
      <c r="H4222">
        <v>21.4985</v>
      </c>
      <c r="I4222">
        <v>55.000000000000007</v>
      </c>
      <c r="J4222" t="s">
        <v>20</v>
      </c>
    </row>
    <row r="4223" spans="1:10" x14ac:dyDescent="0.2">
      <c r="A4223">
        <v>14222</v>
      </c>
      <c r="B4223" t="s">
        <v>7</v>
      </c>
      <c r="C4223" t="s">
        <v>9</v>
      </c>
      <c r="D4223">
        <v>2.54</v>
      </c>
      <c r="E4223">
        <v>7</v>
      </c>
      <c r="F4223" t="s">
        <v>15</v>
      </c>
      <c r="G4223">
        <v>30</v>
      </c>
      <c r="H4223">
        <v>3.302</v>
      </c>
      <c r="I4223">
        <v>30.000000000000004</v>
      </c>
      <c r="J4223" t="s">
        <v>20</v>
      </c>
    </row>
    <row r="4224" spans="1:10" x14ac:dyDescent="0.2">
      <c r="A4224">
        <v>14223</v>
      </c>
      <c r="B4224" t="s">
        <v>8</v>
      </c>
      <c r="C4224" t="s">
        <v>6</v>
      </c>
      <c r="D4224">
        <v>3.76</v>
      </c>
      <c r="E4224">
        <v>4</v>
      </c>
      <c r="F4224" t="s">
        <v>15</v>
      </c>
      <c r="G4224">
        <v>28</v>
      </c>
      <c r="H4224">
        <v>4.8128000000000002</v>
      </c>
      <c r="I4224">
        <v>28.000000000000004</v>
      </c>
      <c r="J4224" t="s">
        <v>20</v>
      </c>
    </row>
    <row r="4225" spans="1:10" x14ac:dyDescent="0.2">
      <c r="A4225">
        <v>14224</v>
      </c>
      <c r="B4225" t="s">
        <v>5</v>
      </c>
      <c r="C4225" t="s">
        <v>11</v>
      </c>
      <c r="D4225">
        <v>8.59</v>
      </c>
      <c r="E4225">
        <v>7</v>
      </c>
      <c r="F4225" t="s">
        <v>15</v>
      </c>
      <c r="G4225">
        <v>25</v>
      </c>
      <c r="H4225">
        <v>10.737500000000001</v>
      </c>
      <c r="I4225">
        <v>25</v>
      </c>
      <c r="J4225" t="s">
        <v>20</v>
      </c>
    </row>
    <row r="4226" spans="1:10" x14ac:dyDescent="0.2">
      <c r="A4226">
        <v>14225</v>
      </c>
      <c r="B4226" t="s">
        <v>7</v>
      </c>
      <c r="C4226" t="s">
        <v>6</v>
      </c>
      <c r="D4226">
        <v>11.58</v>
      </c>
      <c r="E4226">
        <v>6</v>
      </c>
      <c r="F4226" t="s">
        <v>15</v>
      </c>
      <c r="G4226">
        <v>28</v>
      </c>
      <c r="H4226">
        <v>14.8224</v>
      </c>
      <c r="I4226">
        <v>28.000000000000004</v>
      </c>
      <c r="J4226" t="s">
        <v>20</v>
      </c>
    </row>
    <row r="4227" spans="1:10" x14ac:dyDescent="0.2">
      <c r="A4227">
        <v>14226</v>
      </c>
      <c r="B4227" t="s">
        <v>7</v>
      </c>
      <c r="C4227" t="s">
        <v>11</v>
      </c>
      <c r="D4227">
        <v>9.48</v>
      </c>
      <c r="E4227">
        <v>3</v>
      </c>
      <c r="F4227" t="s">
        <v>14</v>
      </c>
      <c r="G4227">
        <v>10</v>
      </c>
      <c r="H4227">
        <v>10.428000000000001</v>
      </c>
      <c r="I4227">
        <v>10.000000000000009</v>
      </c>
      <c r="J4227" t="s">
        <v>20</v>
      </c>
    </row>
    <row r="4228" spans="1:10" x14ac:dyDescent="0.2">
      <c r="A4228">
        <v>14227</v>
      </c>
      <c r="B4228" t="s">
        <v>8</v>
      </c>
      <c r="C4228" t="s">
        <v>11</v>
      </c>
      <c r="D4228">
        <v>3.87</v>
      </c>
      <c r="E4228">
        <v>9</v>
      </c>
      <c r="F4228" t="s">
        <v>16</v>
      </c>
      <c r="G4228">
        <v>50</v>
      </c>
      <c r="H4228">
        <v>5.8049999999999997</v>
      </c>
      <c r="I4228">
        <v>49.999999999999979</v>
      </c>
      <c r="J4228" t="s">
        <v>20</v>
      </c>
    </row>
    <row r="4229" spans="1:10" x14ac:dyDescent="0.2">
      <c r="A4229">
        <v>14228</v>
      </c>
      <c r="B4229" t="s">
        <v>7</v>
      </c>
      <c r="C4229" t="s">
        <v>9</v>
      </c>
      <c r="D4229">
        <v>0.51</v>
      </c>
      <c r="E4229">
        <v>10</v>
      </c>
      <c r="F4229" t="s">
        <v>16</v>
      </c>
      <c r="G4229">
        <v>60</v>
      </c>
      <c r="H4229">
        <v>0.81600000000000006</v>
      </c>
      <c r="I4229">
        <v>60.000000000000007</v>
      </c>
      <c r="J4229" t="s">
        <v>20</v>
      </c>
    </row>
    <row r="4230" spans="1:10" x14ac:dyDescent="0.2">
      <c r="A4230">
        <v>14229</v>
      </c>
      <c r="B4230" t="s">
        <v>7</v>
      </c>
      <c r="C4230" t="s">
        <v>9</v>
      </c>
      <c r="D4230">
        <v>11.48</v>
      </c>
      <c r="E4230">
        <v>9</v>
      </c>
      <c r="F4230" t="s">
        <v>16</v>
      </c>
      <c r="G4230">
        <v>60</v>
      </c>
      <c r="H4230">
        <v>18.368000000000002</v>
      </c>
      <c r="I4230">
        <v>60.000000000000007</v>
      </c>
      <c r="J4230" t="s">
        <v>20</v>
      </c>
    </row>
    <row r="4231" spans="1:10" x14ac:dyDescent="0.2">
      <c r="A4231">
        <v>14230</v>
      </c>
      <c r="B4231" t="s">
        <v>7</v>
      </c>
      <c r="C4231" t="s">
        <v>9</v>
      </c>
      <c r="D4231">
        <v>14.79</v>
      </c>
      <c r="E4231">
        <v>5</v>
      </c>
      <c r="F4231" t="s">
        <v>15</v>
      </c>
      <c r="G4231">
        <v>30</v>
      </c>
      <c r="H4231">
        <v>19.227</v>
      </c>
      <c r="I4231">
        <v>30.000000000000004</v>
      </c>
      <c r="J4231" t="s">
        <v>20</v>
      </c>
    </row>
    <row r="4232" spans="1:10" x14ac:dyDescent="0.2">
      <c r="A4232">
        <v>14231</v>
      </c>
      <c r="B4232" t="s">
        <v>5</v>
      </c>
      <c r="C4232" t="s">
        <v>11</v>
      </c>
      <c r="D4232">
        <v>12.24</v>
      </c>
      <c r="E4232">
        <v>8</v>
      </c>
      <c r="F4232" t="s">
        <v>16</v>
      </c>
      <c r="G4232">
        <v>50</v>
      </c>
      <c r="H4232">
        <v>18.36</v>
      </c>
      <c r="I4232">
        <v>50</v>
      </c>
      <c r="J4232" t="s">
        <v>20</v>
      </c>
    </row>
    <row r="4233" spans="1:10" x14ac:dyDescent="0.2">
      <c r="A4233">
        <v>14232</v>
      </c>
      <c r="B4233" t="s">
        <v>8</v>
      </c>
      <c r="C4233" t="s">
        <v>6</v>
      </c>
      <c r="D4233">
        <v>7.17</v>
      </c>
      <c r="E4233">
        <v>7</v>
      </c>
      <c r="F4233" t="s">
        <v>15</v>
      </c>
      <c r="G4233">
        <v>28</v>
      </c>
      <c r="H4233">
        <v>9.1776</v>
      </c>
      <c r="I4233">
        <v>28.000000000000004</v>
      </c>
      <c r="J4233" t="s">
        <v>20</v>
      </c>
    </row>
    <row r="4234" spans="1:10" x14ac:dyDescent="0.2">
      <c r="A4234">
        <v>14233</v>
      </c>
      <c r="B4234" t="s">
        <v>7</v>
      </c>
      <c r="C4234" t="s">
        <v>11</v>
      </c>
      <c r="D4234">
        <v>13.6</v>
      </c>
      <c r="E4234">
        <v>9</v>
      </c>
      <c r="F4234" t="s">
        <v>16</v>
      </c>
      <c r="G4234">
        <v>50</v>
      </c>
      <c r="H4234">
        <v>20.399999999999999</v>
      </c>
      <c r="I4234">
        <v>50</v>
      </c>
      <c r="J4234" t="s">
        <v>20</v>
      </c>
    </row>
    <row r="4235" spans="1:10" x14ac:dyDescent="0.2">
      <c r="A4235">
        <v>14234</v>
      </c>
      <c r="B4235" t="s">
        <v>10</v>
      </c>
      <c r="C4235" t="s">
        <v>9</v>
      </c>
      <c r="D4235">
        <v>6.44</v>
      </c>
      <c r="E4235">
        <v>7</v>
      </c>
      <c r="F4235" t="s">
        <v>15</v>
      </c>
      <c r="G4235">
        <v>30</v>
      </c>
      <c r="H4235">
        <v>8.3720000000000017</v>
      </c>
      <c r="I4235">
        <v>30.000000000000028</v>
      </c>
      <c r="J4235" t="s">
        <v>20</v>
      </c>
    </row>
    <row r="4236" spans="1:10" x14ac:dyDescent="0.2">
      <c r="A4236">
        <v>14235</v>
      </c>
      <c r="B4236" t="s">
        <v>10</v>
      </c>
      <c r="C4236" t="s">
        <v>9</v>
      </c>
      <c r="D4236">
        <v>8.11</v>
      </c>
      <c r="E4236">
        <v>4</v>
      </c>
      <c r="F4236" t="s">
        <v>15</v>
      </c>
      <c r="G4236">
        <v>30</v>
      </c>
      <c r="H4236">
        <v>10.542999999999999</v>
      </c>
      <c r="I4236">
        <v>30.000000000000004</v>
      </c>
      <c r="J4236" t="s">
        <v>20</v>
      </c>
    </row>
    <row r="4237" spans="1:10" x14ac:dyDescent="0.2">
      <c r="A4237">
        <v>14236</v>
      </c>
      <c r="B4237" t="s">
        <v>10</v>
      </c>
      <c r="C4237" t="s">
        <v>6</v>
      </c>
      <c r="D4237">
        <v>7.42</v>
      </c>
      <c r="E4237">
        <v>4</v>
      </c>
      <c r="F4237" t="s">
        <v>15</v>
      </c>
      <c r="G4237">
        <v>28</v>
      </c>
      <c r="H4237">
        <v>9.4976000000000003</v>
      </c>
      <c r="I4237">
        <v>28.000000000000004</v>
      </c>
      <c r="J4237" t="s">
        <v>20</v>
      </c>
    </row>
    <row r="4238" spans="1:10" x14ac:dyDescent="0.2">
      <c r="A4238">
        <v>14237</v>
      </c>
      <c r="B4238" t="s">
        <v>10</v>
      </c>
      <c r="C4238" t="s">
        <v>9</v>
      </c>
      <c r="D4238">
        <v>6.99</v>
      </c>
      <c r="E4238">
        <v>8</v>
      </c>
      <c r="F4238" t="s">
        <v>16</v>
      </c>
      <c r="G4238">
        <v>60</v>
      </c>
      <c r="H4238">
        <v>11.184000000000001</v>
      </c>
      <c r="I4238">
        <v>60.000000000000007</v>
      </c>
      <c r="J4238" t="s">
        <v>20</v>
      </c>
    </row>
    <row r="4239" spans="1:10" x14ac:dyDescent="0.2">
      <c r="A4239">
        <v>14238</v>
      </c>
      <c r="B4239" t="s">
        <v>5</v>
      </c>
      <c r="C4239" t="s">
        <v>9</v>
      </c>
      <c r="D4239">
        <v>11.74</v>
      </c>
      <c r="E4239">
        <v>6</v>
      </c>
      <c r="F4239" t="s">
        <v>15</v>
      </c>
      <c r="G4239">
        <v>30</v>
      </c>
      <c r="H4239">
        <v>15.262</v>
      </c>
      <c r="I4239">
        <v>30.000000000000004</v>
      </c>
      <c r="J4239" t="s">
        <v>20</v>
      </c>
    </row>
    <row r="4240" spans="1:10" x14ac:dyDescent="0.2">
      <c r="A4240">
        <v>14239</v>
      </c>
      <c r="B4240" t="s">
        <v>7</v>
      </c>
      <c r="C4240" t="s">
        <v>9</v>
      </c>
      <c r="D4240">
        <v>8.14</v>
      </c>
      <c r="E4240">
        <v>9</v>
      </c>
      <c r="F4240" t="s">
        <v>16</v>
      </c>
      <c r="G4240">
        <v>60</v>
      </c>
      <c r="H4240">
        <v>13.024000000000001</v>
      </c>
      <c r="I4240">
        <v>60.000000000000007</v>
      </c>
      <c r="J4240" t="s">
        <v>20</v>
      </c>
    </row>
    <row r="4241" spans="1:10" x14ac:dyDescent="0.2">
      <c r="A4241">
        <v>14240</v>
      </c>
      <c r="B4241" t="s">
        <v>8</v>
      </c>
      <c r="C4241" t="s">
        <v>6</v>
      </c>
      <c r="D4241">
        <v>5.09</v>
      </c>
      <c r="E4241">
        <v>10</v>
      </c>
      <c r="F4241" t="s">
        <v>16</v>
      </c>
      <c r="G4241">
        <v>55</v>
      </c>
      <c r="H4241">
        <v>7.8895</v>
      </c>
      <c r="I4241">
        <v>55.000000000000007</v>
      </c>
      <c r="J4241" t="s">
        <v>20</v>
      </c>
    </row>
    <row r="4242" spans="1:10" x14ac:dyDescent="0.2">
      <c r="A4242">
        <v>14241</v>
      </c>
      <c r="B4242" t="s">
        <v>7</v>
      </c>
      <c r="C4242" t="s">
        <v>11</v>
      </c>
      <c r="D4242">
        <v>4.24</v>
      </c>
      <c r="E4242">
        <v>7</v>
      </c>
      <c r="F4242" t="s">
        <v>15</v>
      </c>
      <c r="G4242">
        <v>25</v>
      </c>
      <c r="H4242">
        <v>5.3000000000000007</v>
      </c>
      <c r="I4242">
        <v>25</v>
      </c>
      <c r="J4242" t="s">
        <v>20</v>
      </c>
    </row>
    <row r="4243" spans="1:10" x14ac:dyDescent="0.2">
      <c r="A4243">
        <v>14242</v>
      </c>
      <c r="B4243" t="s">
        <v>5</v>
      </c>
      <c r="C4243" t="s">
        <v>9</v>
      </c>
      <c r="D4243">
        <v>1.05</v>
      </c>
      <c r="E4243">
        <v>7</v>
      </c>
      <c r="F4243" t="s">
        <v>15</v>
      </c>
      <c r="G4243">
        <v>30</v>
      </c>
      <c r="H4243">
        <v>1.3650000000000002</v>
      </c>
      <c r="I4243">
        <v>30.000000000000004</v>
      </c>
      <c r="J4243" t="s">
        <v>20</v>
      </c>
    </row>
    <row r="4244" spans="1:10" x14ac:dyDescent="0.2">
      <c r="A4244">
        <v>14243</v>
      </c>
      <c r="B4244" t="s">
        <v>10</v>
      </c>
      <c r="C4244" t="s">
        <v>6</v>
      </c>
      <c r="D4244">
        <v>8.9600000000000009</v>
      </c>
      <c r="E4244">
        <v>4</v>
      </c>
      <c r="F4244" t="s">
        <v>15</v>
      </c>
      <c r="G4244">
        <v>28</v>
      </c>
      <c r="H4244">
        <v>11.468800000000002</v>
      </c>
      <c r="I4244">
        <v>28.000000000000004</v>
      </c>
      <c r="J4244" t="s">
        <v>20</v>
      </c>
    </row>
    <row r="4245" spans="1:10" x14ac:dyDescent="0.2">
      <c r="A4245">
        <v>14244</v>
      </c>
      <c r="B4245" t="s">
        <v>5</v>
      </c>
      <c r="C4245" t="s">
        <v>9</v>
      </c>
      <c r="D4245">
        <v>3.83</v>
      </c>
      <c r="E4245">
        <v>3</v>
      </c>
      <c r="F4245" t="s">
        <v>14</v>
      </c>
      <c r="G4245">
        <v>15</v>
      </c>
      <c r="H4245">
        <v>4.4044999999999996</v>
      </c>
      <c r="I4245">
        <v>14.999999999999991</v>
      </c>
      <c r="J4245" t="s">
        <v>20</v>
      </c>
    </row>
    <row r="4246" spans="1:10" x14ac:dyDescent="0.2">
      <c r="A4246">
        <v>14245</v>
      </c>
      <c r="B4246" t="s">
        <v>7</v>
      </c>
      <c r="C4246" t="s">
        <v>6</v>
      </c>
      <c r="D4246">
        <v>2.65</v>
      </c>
      <c r="E4246">
        <v>8</v>
      </c>
      <c r="F4246" t="s">
        <v>16</v>
      </c>
      <c r="G4246">
        <v>55</v>
      </c>
      <c r="H4246">
        <v>4.1074999999999999</v>
      </c>
      <c r="I4246">
        <v>55.000000000000007</v>
      </c>
      <c r="J4246" t="s">
        <v>20</v>
      </c>
    </row>
    <row r="4247" spans="1:10" x14ac:dyDescent="0.2">
      <c r="A4247">
        <v>14246</v>
      </c>
      <c r="B4247" t="s">
        <v>8</v>
      </c>
      <c r="C4247" t="s">
        <v>9</v>
      </c>
      <c r="D4247">
        <v>9.98</v>
      </c>
      <c r="E4247">
        <v>7</v>
      </c>
      <c r="F4247" t="s">
        <v>15</v>
      </c>
      <c r="G4247">
        <v>30</v>
      </c>
      <c r="H4247">
        <v>12.974</v>
      </c>
      <c r="I4247">
        <v>30.000000000000004</v>
      </c>
      <c r="J4247" t="s">
        <v>20</v>
      </c>
    </row>
    <row r="4248" spans="1:10" x14ac:dyDescent="0.2">
      <c r="A4248">
        <v>14247</v>
      </c>
      <c r="B4248" t="s">
        <v>5</v>
      </c>
      <c r="C4248" t="s">
        <v>6</v>
      </c>
      <c r="D4248">
        <v>10.38</v>
      </c>
      <c r="E4248">
        <v>4</v>
      </c>
      <c r="F4248" t="s">
        <v>15</v>
      </c>
      <c r="G4248">
        <v>28</v>
      </c>
      <c r="H4248">
        <v>13.2864</v>
      </c>
      <c r="I4248">
        <v>28.000000000000004</v>
      </c>
      <c r="J4248" t="s">
        <v>20</v>
      </c>
    </row>
    <row r="4249" spans="1:10" x14ac:dyDescent="0.2">
      <c r="A4249">
        <v>14248</v>
      </c>
      <c r="B4249" t="s">
        <v>8</v>
      </c>
      <c r="C4249" t="s">
        <v>9</v>
      </c>
      <c r="D4249">
        <v>11.41</v>
      </c>
      <c r="E4249">
        <v>4</v>
      </c>
      <c r="F4249" t="s">
        <v>15</v>
      </c>
      <c r="G4249">
        <v>30</v>
      </c>
      <c r="H4249">
        <v>14.833</v>
      </c>
      <c r="I4249">
        <v>30.000000000000004</v>
      </c>
      <c r="J4249" t="s">
        <v>20</v>
      </c>
    </row>
    <row r="4250" spans="1:10" x14ac:dyDescent="0.2">
      <c r="A4250">
        <v>14249</v>
      </c>
      <c r="B4250" t="s">
        <v>5</v>
      </c>
      <c r="C4250" t="s">
        <v>11</v>
      </c>
      <c r="D4250">
        <v>7.8</v>
      </c>
      <c r="E4250">
        <v>1</v>
      </c>
      <c r="F4250" t="s">
        <v>14</v>
      </c>
      <c r="G4250">
        <v>10</v>
      </c>
      <c r="H4250">
        <v>8.58</v>
      </c>
      <c r="I4250">
        <v>10.000000000000009</v>
      </c>
      <c r="J4250" t="s">
        <v>20</v>
      </c>
    </row>
    <row r="4251" spans="1:10" x14ac:dyDescent="0.2">
      <c r="A4251">
        <v>14250</v>
      </c>
      <c r="B4251" t="s">
        <v>8</v>
      </c>
      <c r="C4251" t="s">
        <v>9</v>
      </c>
      <c r="D4251">
        <v>13.46</v>
      </c>
      <c r="E4251">
        <v>7</v>
      </c>
      <c r="F4251" t="s">
        <v>15</v>
      </c>
      <c r="G4251">
        <v>30</v>
      </c>
      <c r="H4251">
        <v>17.498000000000001</v>
      </c>
      <c r="I4251">
        <v>30.000000000000004</v>
      </c>
      <c r="J4251" t="s">
        <v>20</v>
      </c>
    </row>
    <row r="4252" spans="1:10" x14ac:dyDescent="0.2">
      <c r="A4252">
        <v>14251</v>
      </c>
      <c r="B4252" t="s">
        <v>8</v>
      </c>
      <c r="C4252" t="s">
        <v>6</v>
      </c>
      <c r="D4252">
        <v>14.08</v>
      </c>
      <c r="E4252">
        <v>1</v>
      </c>
      <c r="F4252" t="s">
        <v>14</v>
      </c>
      <c r="G4252">
        <v>12</v>
      </c>
      <c r="H4252">
        <v>15.769600000000002</v>
      </c>
      <c r="I4252">
        <v>12.000000000000011</v>
      </c>
      <c r="J4252" t="s">
        <v>20</v>
      </c>
    </row>
    <row r="4253" spans="1:10" x14ac:dyDescent="0.2">
      <c r="A4253">
        <v>14252</v>
      </c>
      <c r="B4253" t="s">
        <v>10</v>
      </c>
      <c r="C4253" t="s">
        <v>9</v>
      </c>
      <c r="D4253">
        <v>12.21</v>
      </c>
      <c r="E4253">
        <v>10</v>
      </c>
      <c r="F4253" t="s">
        <v>16</v>
      </c>
      <c r="G4253">
        <v>60</v>
      </c>
      <c r="H4253">
        <v>19.536000000000001</v>
      </c>
      <c r="I4253">
        <v>60.000000000000007</v>
      </c>
      <c r="J4253" t="s">
        <v>20</v>
      </c>
    </row>
    <row r="4254" spans="1:10" x14ac:dyDescent="0.2">
      <c r="A4254">
        <v>14253</v>
      </c>
      <c r="B4254" t="s">
        <v>8</v>
      </c>
      <c r="C4254" t="s">
        <v>11</v>
      </c>
      <c r="D4254">
        <v>9.7200000000000006</v>
      </c>
      <c r="E4254">
        <v>10</v>
      </c>
      <c r="F4254" t="s">
        <v>16</v>
      </c>
      <c r="G4254">
        <v>50</v>
      </c>
      <c r="H4254">
        <v>14.580000000000002</v>
      </c>
      <c r="I4254">
        <v>50</v>
      </c>
      <c r="J4254" t="s">
        <v>20</v>
      </c>
    </row>
    <row r="4255" spans="1:10" x14ac:dyDescent="0.2">
      <c r="A4255">
        <v>14254</v>
      </c>
      <c r="B4255" t="s">
        <v>10</v>
      </c>
      <c r="C4255" t="s">
        <v>9</v>
      </c>
      <c r="D4255">
        <v>4.9000000000000004</v>
      </c>
      <c r="E4255">
        <v>4</v>
      </c>
      <c r="F4255" t="s">
        <v>15</v>
      </c>
      <c r="G4255">
        <v>30</v>
      </c>
      <c r="H4255">
        <v>6.370000000000001</v>
      </c>
      <c r="I4255">
        <v>30.000000000000004</v>
      </c>
      <c r="J4255" t="s">
        <v>20</v>
      </c>
    </row>
    <row r="4256" spans="1:10" x14ac:dyDescent="0.2">
      <c r="A4256">
        <v>14255</v>
      </c>
      <c r="B4256" t="s">
        <v>7</v>
      </c>
      <c r="C4256" t="s">
        <v>6</v>
      </c>
      <c r="D4256">
        <v>14.75</v>
      </c>
      <c r="E4256">
        <v>3</v>
      </c>
      <c r="F4256" t="s">
        <v>14</v>
      </c>
      <c r="G4256">
        <v>12</v>
      </c>
      <c r="H4256">
        <v>16.520000000000003</v>
      </c>
      <c r="I4256">
        <v>12.000000000000011</v>
      </c>
      <c r="J4256" t="s">
        <v>20</v>
      </c>
    </row>
    <row r="4257" spans="1:10" x14ac:dyDescent="0.2">
      <c r="A4257">
        <v>14256</v>
      </c>
      <c r="B4257" t="s">
        <v>7</v>
      </c>
      <c r="C4257" t="s">
        <v>6</v>
      </c>
      <c r="D4257">
        <v>4.47</v>
      </c>
      <c r="E4257">
        <v>3</v>
      </c>
      <c r="F4257" t="s">
        <v>14</v>
      </c>
      <c r="G4257">
        <v>12</v>
      </c>
      <c r="H4257">
        <v>5.0064000000000002</v>
      </c>
      <c r="I4257">
        <v>12.000000000000011</v>
      </c>
      <c r="J4257" t="s">
        <v>20</v>
      </c>
    </row>
    <row r="4258" spans="1:10" x14ac:dyDescent="0.2">
      <c r="A4258">
        <v>14257</v>
      </c>
      <c r="B4258" t="s">
        <v>10</v>
      </c>
      <c r="C4258" t="s">
        <v>11</v>
      </c>
      <c r="D4258">
        <v>3.44</v>
      </c>
      <c r="E4258">
        <v>1</v>
      </c>
      <c r="F4258" t="s">
        <v>14</v>
      </c>
      <c r="G4258">
        <v>10</v>
      </c>
      <c r="H4258">
        <v>3.7840000000000003</v>
      </c>
      <c r="I4258">
        <v>10.000000000000009</v>
      </c>
      <c r="J4258" t="s">
        <v>20</v>
      </c>
    </row>
    <row r="4259" spans="1:10" x14ac:dyDescent="0.2">
      <c r="A4259">
        <v>14258</v>
      </c>
      <c r="B4259" t="s">
        <v>10</v>
      </c>
      <c r="C4259" t="s">
        <v>6</v>
      </c>
      <c r="D4259">
        <v>6.91</v>
      </c>
      <c r="E4259">
        <v>4</v>
      </c>
      <c r="F4259" t="s">
        <v>15</v>
      </c>
      <c r="G4259">
        <v>28</v>
      </c>
      <c r="H4259">
        <v>8.8448000000000011</v>
      </c>
      <c r="I4259">
        <v>28.000000000000004</v>
      </c>
      <c r="J4259" t="s">
        <v>20</v>
      </c>
    </row>
    <row r="4260" spans="1:10" x14ac:dyDescent="0.2">
      <c r="A4260">
        <v>14259</v>
      </c>
      <c r="B4260" t="s">
        <v>5</v>
      </c>
      <c r="C4260" t="s">
        <v>9</v>
      </c>
      <c r="D4260">
        <v>1.32</v>
      </c>
      <c r="E4260">
        <v>1</v>
      </c>
      <c r="F4260" t="s">
        <v>14</v>
      </c>
      <c r="G4260">
        <v>15</v>
      </c>
      <c r="H4260">
        <v>1.518</v>
      </c>
      <c r="I4260">
        <v>14.999999999999991</v>
      </c>
      <c r="J4260" t="s">
        <v>20</v>
      </c>
    </row>
    <row r="4261" spans="1:10" x14ac:dyDescent="0.2">
      <c r="A4261">
        <v>14260</v>
      </c>
      <c r="B4261" t="s">
        <v>5</v>
      </c>
      <c r="C4261" t="s">
        <v>9</v>
      </c>
      <c r="D4261">
        <v>14.69</v>
      </c>
      <c r="E4261">
        <v>8</v>
      </c>
      <c r="F4261" t="s">
        <v>16</v>
      </c>
      <c r="G4261">
        <v>60</v>
      </c>
      <c r="H4261">
        <v>23.504000000000001</v>
      </c>
      <c r="I4261">
        <v>60.000000000000007</v>
      </c>
      <c r="J4261" t="s">
        <v>20</v>
      </c>
    </row>
    <row r="4262" spans="1:10" x14ac:dyDescent="0.2">
      <c r="A4262">
        <v>14261</v>
      </c>
      <c r="B4262" t="s">
        <v>5</v>
      </c>
      <c r="C4262" t="s">
        <v>9</v>
      </c>
      <c r="D4262">
        <v>9.0299999999999994</v>
      </c>
      <c r="E4262">
        <v>1</v>
      </c>
      <c r="F4262" t="s">
        <v>14</v>
      </c>
      <c r="G4262">
        <v>15</v>
      </c>
      <c r="H4262">
        <v>10.384499999999999</v>
      </c>
      <c r="I4262">
        <v>14.999999999999991</v>
      </c>
      <c r="J4262" t="s">
        <v>20</v>
      </c>
    </row>
    <row r="4263" spans="1:10" x14ac:dyDescent="0.2">
      <c r="A4263">
        <v>14262</v>
      </c>
      <c r="B4263" t="s">
        <v>7</v>
      </c>
      <c r="C4263" t="s">
        <v>6</v>
      </c>
      <c r="D4263">
        <v>8.58</v>
      </c>
      <c r="E4263">
        <v>6</v>
      </c>
      <c r="F4263" t="s">
        <v>15</v>
      </c>
      <c r="G4263">
        <v>28</v>
      </c>
      <c r="H4263">
        <v>10.9824</v>
      </c>
      <c r="I4263">
        <v>28.000000000000004</v>
      </c>
      <c r="J4263" t="s">
        <v>20</v>
      </c>
    </row>
    <row r="4264" spans="1:10" x14ac:dyDescent="0.2">
      <c r="A4264">
        <v>14263</v>
      </c>
      <c r="B4264" t="s">
        <v>5</v>
      </c>
      <c r="C4264" t="s">
        <v>9</v>
      </c>
      <c r="D4264">
        <v>10.01</v>
      </c>
      <c r="E4264">
        <v>7</v>
      </c>
      <c r="F4264" t="s">
        <v>15</v>
      </c>
      <c r="G4264">
        <v>30</v>
      </c>
      <c r="H4264">
        <v>13.013</v>
      </c>
      <c r="I4264">
        <v>30.000000000000004</v>
      </c>
      <c r="J4264" t="s">
        <v>20</v>
      </c>
    </row>
    <row r="4265" spans="1:10" x14ac:dyDescent="0.2">
      <c r="A4265">
        <v>14264</v>
      </c>
      <c r="B4265" t="s">
        <v>8</v>
      </c>
      <c r="C4265" t="s">
        <v>9</v>
      </c>
      <c r="D4265">
        <v>7.71</v>
      </c>
      <c r="E4265">
        <v>10</v>
      </c>
      <c r="F4265" t="s">
        <v>16</v>
      </c>
      <c r="G4265">
        <v>60</v>
      </c>
      <c r="H4265">
        <v>12.336</v>
      </c>
      <c r="I4265">
        <v>60.000000000000007</v>
      </c>
      <c r="J4265" t="s">
        <v>20</v>
      </c>
    </row>
    <row r="4266" spans="1:10" x14ac:dyDescent="0.2">
      <c r="A4266">
        <v>14265</v>
      </c>
      <c r="B4266" t="s">
        <v>8</v>
      </c>
      <c r="C4266" t="s">
        <v>9</v>
      </c>
      <c r="D4266">
        <v>0.96</v>
      </c>
      <c r="E4266">
        <v>2</v>
      </c>
      <c r="F4266" t="s">
        <v>14</v>
      </c>
      <c r="G4266">
        <v>15</v>
      </c>
      <c r="H4266">
        <v>1.1039999999999999</v>
      </c>
      <c r="I4266">
        <v>14.999999999999991</v>
      </c>
      <c r="J4266" t="s">
        <v>20</v>
      </c>
    </row>
    <row r="4267" spans="1:10" x14ac:dyDescent="0.2">
      <c r="A4267">
        <v>14266</v>
      </c>
      <c r="B4267" t="s">
        <v>5</v>
      </c>
      <c r="C4267" t="s">
        <v>11</v>
      </c>
      <c r="D4267">
        <v>9.3800000000000008</v>
      </c>
      <c r="E4267">
        <v>4</v>
      </c>
      <c r="F4267" t="s">
        <v>15</v>
      </c>
      <c r="G4267">
        <v>25</v>
      </c>
      <c r="H4267">
        <v>11.725000000000001</v>
      </c>
      <c r="I4267">
        <v>25</v>
      </c>
      <c r="J4267" t="s">
        <v>20</v>
      </c>
    </row>
    <row r="4268" spans="1:10" x14ac:dyDescent="0.2">
      <c r="A4268">
        <v>14267</v>
      </c>
      <c r="B4268" t="s">
        <v>8</v>
      </c>
      <c r="C4268" t="s">
        <v>6</v>
      </c>
      <c r="D4268">
        <v>10.88</v>
      </c>
      <c r="E4268">
        <v>3</v>
      </c>
      <c r="F4268" t="s">
        <v>14</v>
      </c>
      <c r="G4268">
        <v>12</v>
      </c>
      <c r="H4268">
        <v>12.185600000000003</v>
      </c>
      <c r="I4268">
        <v>12.000000000000011</v>
      </c>
      <c r="J4268" t="s">
        <v>20</v>
      </c>
    </row>
    <row r="4269" spans="1:10" x14ac:dyDescent="0.2">
      <c r="A4269">
        <v>14268</v>
      </c>
      <c r="B4269" t="s">
        <v>7</v>
      </c>
      <c r="C4269" t="s">
        <v>6</v>
      </c>
      <c r="D4269">
        <v>6.54</v>
      </c>
      <c r="E4269">
        <v>9</v>
      </c>
      <c r="F4269" t="s">
        <v>16</v>
      </c>
      <c r="G4269">
        <v>55</v>
      </c>
      <c r="H4269">
        <v>10.137</v>
      </c>
      <c r="I4269">
        <v>55.000000000000007</v>
      </c>
      <c r="J4269" t="s">
        <v>20</v>
      </c>
    </row>
    <row r="4270" spans="1:10" x14ac:dyDescent="0.2">
      <c r="A4270">
        <v>14269</v>
      </c>
      <c r="B4270" t="s">
        <v>8</v>
      </c>
      <c r="C4270" t="s">
        <v>6</v>
      </c>
      <c r="D4270">
        <v>11.48</v>
      </c>
      <c r="E4270">
        <v>7</v>
      </c>
      <c r="F4270" t="s">
        <v>15</v>
      </c>
      <c r="G4270">
        <v>28</v>
      </c>
      <c r="H4270">
        <v>14.694400000000002</v>
      </c>
      <c r="I4270">
        <v>28.000000000000004</v>
      </c>
      <c r="J4270" t="s">
        <v>20</v>
      </c>
    </row>
    <row r="4271" spans="1:10" x14ac:dyDescent="0.2">
      <c r="A4271">
        <v>14270</v>
      </c>
      <c r="B4271" t="s">
        <v>7</v>
      </c>
      <c r="C4271" t="s">
        <v>11</v>
      </c>
      <c r="D4271">
        <v>3.79</v>
      </c>
      <c r="E4271">
        <v>2</v>
      </c>
      <c r="F4271" t="s">
        <v>14</v>
      </c>
      <c r="G4271">
        <v>10</v>
      </c>
      <c r="H4271">
        <v>4.1690000000000005</v>
      </c>
      <c r="I4271">
        <v>10.000000000000009</v>
      </c>
      <c r="J4271" t="s">
        <v>20</v>
      </c>
    </row>
    <row r="4272" spans="1:10" x14ac:dyDescent="0.2">
      <c r="A4272">
        <v>14271</v>
      </c>
      <c r="B4272" t="s">
        <v>10</v>
      </c>
      <c r="C4272" t="s">
        <v>6</v>
      </c>
      <c r="D4272">
        <v>3.71</v>
      </c>
      <c r="E4272">
        <v>6</v>
      </c>
      <c r="F4272" t="s">
        <v>15</v>
      </c>
      <c r="G4272">
        <v>28</v>
      </c>
      <c r="H4272">
        <v>4.7488000000000001</v>
      </c>
      <c r="I4272">
        <v>28.000000000000004</v>
      </c>
      <c r="J4272" t="s">
        <v>20</v>
      </c>
    </row>
    <row r="4273" spans="1:10" x14ac:dyDescent="0.2">
      <c r="A4273">
        <v>14272</v>
      </c>
      <c r="B4273" t="s">
        <v>10</v>
      </c>
      <c r="C4273" t="s">
        <v>11</v>
      </c>
      <c r="D4273">
        <v>2.84</v>
      </c>
      <c r="E4273">
        <v>9</v>
      </c>
      <c r="F4273" t="s">
        <v>16</v>
      </c>
      <c r="G4273">
        <v>50</v>
      </c>
      <c r="H4273">
        <v>4.26</v>
      </c>
      <c r="I4273">
        <v>50</v>
      </c>
      <c r="J4273" t="s">
        <v>20</v>
      </c>
    </row>
    <row r="4274" spans="1:10" x14ac:dyDescent="0.2">
      <c r="A4274">
        <v>14273</v>
      </c>
      <c r="B4274" t="s">
        <v>10</v>
      </c>
      <c r="C4274" t="s">
        <v>11</v>
      </c>
      <c r="D4274">
        <v>5.89</v>
      </c>
      <c r="E4274">
        <v>3</v>
      </c>
      <c r="F4274" t="s">
        <v>14</v>
      </c>
      <c r="G4274">
        <v>10</v>
      </c>
      <c r="H4274">
        <v>6.4790000000000001</v>
      </c>
      <c r="I4274">
        <v>10.000000000000009</v>
      </c>
      <c r="J4274" t="s">
        <v>20</v>
      </c>
    </row>
    <row r="4275" spans="1:10" x14ac:dyDescent="0.2">
      <c r="A4275">
        <v>14274</v>
      </c>
      <c r="B4275" t="s">
        <v>10</v>
      </c>
      <c r="C4275" t="s">
        <v>6</v>
      </c>
      <c r="D4275">
        <v>12.78</v>
      </c>
      <c r="E4275">
        <v>6</v>
      </c>
      <c r="F4275" t="s">
        <v>15</v>
      </c>
      <c r="G4275">
        <v>28</v>
      </c>
      <c r="H4275">
        <v>16.3584</v>
      </c>
      <c r="I4275">
        <v>28.000000000000004</v>
      </c>
      <c r="J4275" t="s">
        <v>20</v>
      </c>
    </row>
    <row r="4276" spans="1:10" x14ac:dyDescent="0.2">
      <c r="A4276">
        <v>14275</v>
      </c>
      <c r="B4276" t="s">
        <v>8</v>
      </c>
      <c r="C4276" t="s">
        <v>9</v>
      </c>
      <c r="D4276">
        <v>12.5</v>
      </c>
      <c r="E4276">
        <v>3</v>
      </c>
      <c r="F4276" t="s">
        <v>14</v>
      </c>
      <c r="G4276">
        <v>15</v>
      </c>
      <c r="H4276">
        <v>14.374999999999998</v>
      </c>
      <c r="I4276">
        <v>14.999999999999991</v>
      </c>
      <c r="J4276" t="s">
        <v>20</v>
      </c>
    </row>
    <row r="4277" spans="1:10" x14ac:dyDescent="0.2">
      <c r="A4277">
        <v>14276</v>
      </c>
      <c r="B4277" t="s">
        <v>5</v>
      </c>
      <c r="C4277" t="s">
        <v>9</v>
      </c>
      <c r="D4277">
        <v>6.05</v>
      </c>
      <c r="E4277">
        <v>3</v>
      </c>
      <c r="F4277" t="s">
        <v>14</v>
      </c>
      <c r="G4277">
        <v>15</v>
      </c>
      <c r="H4277">
        <v>6.9574999999999996</v>
      </c>
      <c r="I4277">
        <v>14.999999999999991</v>
      </c>
      <c r="J4277" t="s">
        <v>20</v>
      </c>
    </row>
    <row r="4278" spans="1:10" x14ac:dyDescent="0.2">
      <c r="A4278">
        <v>14277</v>
      </c>
      <c r="B4278" t="s">
        <v>8</v>
      </c>
      <c r="C4278" t="s">
        <v>6</v>
      </c>
      <c r="D4278">
        <v>9.0399999999999991</v>
      </c>
      <c r="E4278">
        <v>4</v>
      </c>
      <c r="F4278" t="s">
        <v>15</v>
      </c>
      <c r="G4278">
        <v>28</v>
      </c>
      <c r="H4278">
        <v>11.571199999999999</v>
      </c>
      <c r="I4278">
        <v>28.000000000000004</v>
      </c>
      <c r="J4278" t="s">
        <v>20</v>
      </c>
    </row>
    <row r="4279" spans="1:10" x14ac:dyDescent="0.2">
      <c r="A4279">
        <v>14278</v>
      </c>
      <c r="B4279" t="s">
        <v>7</v>
      </c>
      <c r="C4279" t="s">
        <v>6</v>
      </c>
      <c r="D4279">
        <v>10.95</v>
      </c>
      <c r="E4279">
        <v>9</v>
      </c>
      <c r="F4279" t="s">
        <v>16</v>
      </c>
      <c r="G4279">
        <v>55</v>
      </c>
      <c r="H4279">
        <v>16.9725</v>
      </c>
      <c r="I4279">
        <v>55.000000000000007</v>
      </c>
      <c r="J4279" t="s">
        <v>20</v>
      </c>
    </row>
    <row r="4280" spans="1:10" x14ac:dyDescent="0.2">
      <c r="A4280">
        <v>14279</v>
      </c>
      <c r="B4280" t="s">
        <v>8</v>
      </c>
      <c r="C4280" t="s">
        <v>11</v>
      </c>
      <c r="D4280">
        <v>4</v>
      </c>
      <c r="E4280">
        <v>8</v>
      </c>
      <c r="F4280" t="s">
        <v>16</v>
      </c>
      <c r="G4280">
        <v>50</v>
      </c>
      <c r="H4280">
        <v>6</v>
      </c>
      <c r="I4280">
        <v>50</v>
      </c>
      <c r="J4280" t="s">
        <v>20</v>
      </c>
    </row>
    <row r="4281" spans="1:10" x14ac:dyDescent="0.2">
      <c r="A4281">
        <v>14280</v>
      </c>
      <c r="B4281" t="s">
        <v>8</v>
      </c>
      <c r="C4281" t="s">
        <v>6</v>
      </c>
      <c r="D4281">
        <v>2.94</v>
      </c>
      <c r="E4281">
        <v>1</v>
      </c>
      <c r="F4281" t="s">
        <v>14</v>
      </c>
      <c r="G4281">
        <v>12</v>
      </c>
      <c r="H4281">
        <v>3.2928000000000002</v>
      </c>
      <c r="I4281">
        <v>12.000000000000011</v>
      </c>
      <c r="J4281" t="s">
        <v>20</v>
      </c>
    </row>
    <row r="4282" spans="1:10" x14ac:dyDescent="0.2">
      <c r="A4282">
        <v>14281</v>
      </c>
      <c r="B4282" t="s">
        <v>7</v>
      </c>
      <c r="C4282" t="s">
        <v>11</v>
      </c>
      <c r="D4282">
        <v>14.6</v>
      </c>
      <c r="E4282">
        <v>1</v>
      </c>
      <c r="F4282" t="s">
        <v>14</v>
      </c>
      <c r="G4282">
        <v>10</v>
      </c>
      <c r="H4282">
        <v>16.060000000000002</v>
      </c>
      <c r="I4282">
        <v>10.000000000000009</v>
      </c>
      <c r="J4282" t="s">
        <v>20</v>
      </c>
    </row>
    <row r="4283" spans="1:10" x14ac:dyDescent="0.2">
      <c r="A4283">
        <v>14282</v>
      </c>
      <c r="B4283" t="s">
        <v>10</v>
      </c>
      <c r="C4283" t="s">
        <v>6</v>
      </c>
      <c r="D4283">
        <v>9.4499999999999993</v>
      </c>
      <c r="E4283">
        <v>7</v>
      </c>
      <c r="F4283" t="s">
        <v>15</v>
      </c>
      <c r="G4283">
        <v>28</v>
      </c>
      <c r="H4283">
        <v>12.096</v>
      </c>
      <c r="I4283">
        <v>28.000000000000004</v>
      </c>
      <c r="J4283" t="s">
        <v>20</v>
      </c>
    </row>
    <row r="4284" spans="1:10" x14ac:dyDescent="0.2">
      <c r="A4284">
        <v>14283</v>
      </c>
      <c r="B4284" t="s">
        <v>10</v>
      </c>
      <c r="C4284" t="s">
        <v>9</v>
      </c>
      <c r="D4284">
        <v>14.73</v>
      </c>
      <c r="E4284">
        <v>3</v>
      </c>
      <c r="F4284" t="s">
        <v>14</v>
      </c>
      <c r="G4284">
        <v>15</v>
      </c>
      <c r="H4284">
        <v>16.939499999999999</v>
      </c>
      <c r="I4284">
        <v>14.999999999999991</v>
      </c>
      <c r="J4284" t="s">
        <v>20</v>
      </c>
    </row>
    <row r="4285" spans="1:10" x14ac:dyDescent="0.2">
      <c r="A4285">
        <v>14284</v>
      </c>
      <c r="B4285" t="s">
        <v>10</v>
      </c>
      <c r="C4285" t="s">
        <v>9</v>
      </c>
      <c r="D4285">
        <v>5.4</v>
      </c>
      <c r="E4285">
        <v>7</v>
      </c>
      <c r="F4285" t="s">
        <v>15</v>
      </c>
      <c r="G4285">
        <v>30</v>
      </c>
      <c r="H4285">
        <v>7.0200000000000005</v>
      </c>
      <c r="I4285">
        <v>30.000000000000004</v>
      </c>
      <c r="J4285" t="s">
        <v>20</v>
      </c>
    </row>
    <row r="4286" spans="1:10" x14ac:dyDescent="0.2">
      <c r="A4286">
        <v>14285</v>
      </c>
      <c r="B4286" t="s">
        <v>5</v>
      </c>
      <c r="C4286" t="s">
        <v>6</v>
      </c>
      <c r="D4286">
        <v>10.69</v>
      </c>
      <c r="E4286">
        <v>9</v>
      </c>
      <c r="F4286" t="s">
        <v>16</v>
      </c>
      <c r="G4286">
        <v>55</v>
      </c>
      <c r="H4286">
        <v>16.569500000000001</v>
      </c>
      <c r="I4286">
        <v>55.000000000000028</v>
      </c>
      <c r="J4286" t="s">
        <v>20</v>
      </c>
    </row>
    <row r="4287" spans="1:10" x14ac:dyDescent="0.2">
      <c r="A4287">
        <v>14286</v>
      </c>
      <c r="B4287" t="s">
        <v>7</v>
      </c>
      <c r="C4287" t="s">
        <v>11</v>
      </c>
      <c r="D4287">
        <v>3.73</v>
      </c>
      <c r="E4287">
        <v>3</v>
      </c>
      <c r="F4287" t="s">
        <v>14</v>
      </c>
      <c r="G4287">
        <v>10</v>
      </c>
      <c r="H4287">
        <v>4.1030000000000006</v>
      </c>
      <c r="I4287">
        <v>10.000000000000009</v>
      </c>
      <c r="J4287" t="s">
        <v>20</v>
      </c>
    </row>
    <row r="4288" spans="1:10" x14ac:dyDescent="0.2">
      <c r="A4288">
        <v>14287</v>
      </c>
      <c r="B4288" t="s">
        <v>7</v>
      </c>
      <c r="C4288" t="s">
        <v>9</v>
      </c>
      <c r="D4288">
        <v>4.29</v>
      </c>
      <c r="E4288">
        <v>3</v>
      </c>
      <c r="F4288" t="s">
        <v>14</v>
      </c>
      <c r="G4288">
        <v>15</v>
      </c>
      <c r="H4288">
        <v>4.9334999999999996</v>
      </c>
      <c r="I4288">
        <v>14.999999999999991</v>
      </c>
      <c r="J4288" t="s">
        <v>20</v>
      </c>
    </row>
    <row r="4289" spans="1:10" x14ac:dyDescent="0.2">
      <c r="A4289">
        <v>14288</v>
      </c>
      <c r="B4289" t="s">
        <v>8</v>
      </c>
      <c r="C4289" t="s">
        <v>11</v>
      </c>
      <c r="D4289">
        <v>7.92</v>
      </c>
      <c r="E4289">
        <v>2</v>
      </c>
      <c r="F4289" t="s">
        <v>14</v>
      </c>
      <c r="G4289">
        <v>10</v>
      </c>
      <c r="H4289">
        <v>8.7119999999999997</v>
      </c>
      <c r="I4289">
        <v>9.9999999999999858</v>
      </c>
      <c r="J4289" t="s">
        <v>20</v>
      </c>
    </row>
    <row r="4290" spans="1:10" x14ac:dyDescent="0.2">
      <c r="A4290">
        <v>14289</v>
      </c>
      <c r="B4290" t="s">
        <v>5</v>
      </c>
      <c r="C4290" t="s">
        <v>6</v>
      </c>
      <c r="D4290">
        <v>5.13</v>
      </c>
      <c r="E4290">
        <v>10</v>
      </c>
      <c r="F4290" t="s">
        <v>16</v>
      </c>
      <c r="G4290">
        <v>55</v>
      </c>
      <c r="H4290">
        <v>7.9515000000000002</v>
      </c>
      <c r="I4290">
        <v>55.000000000000007</v>
      </c>
      <c r="J4290" t="s">
        <v>20</v>
      </c>
    </row>
    <row r="4291" spans="1:10" x14ac:dyDescent="0.2">
      <c r="A4291">
        <v>14290</v>
      </c>
      <c r="B4291" t="s">
        <v>10</v>
      </c>
      <c r="C4291" t="s">
        <v>6</v>
      </c>
      <c r="D4291">
        <v>2.93</v>
      </c>
      <c r="E4291">
        <v>1</v>
      </c>
      <c r="F4291" t="s">
        <v>14</v>
      </c>
      <c r="G4291">
        <v>12</v>
      </c>
      <c r="H4291">
        <v>3.2816000000000005</v>
      </c>
      <c r="I4291">
        <v>12.000000000000011</v>
      </c>
      <c r="J4291" t="s">
        <v>20</v>
      </c>
    </row>
    <row r="4292" spans="1:10" x14ac:dyDescent="0.2">
      <c r="A4292">
        <v>14291</v>
      </c>
      <c r="B4292" t="s">
        <v>5</v>
      </c>
      <c r="C4292" t="s">
        <v>9</v>
      </c>
      <c r="D4292">
        <v>4.3099999999999996</v>
      </c>
      <c r="E4292">
        <v>9</v>
      </c>
      <c r="F4292" t="s">
        <v>16</v>
      </c>
      <c r="G4292">
        <v>60</v>
      </c>
      <c r="H4292">
        <v>6.8959999999999999</v>
      </c>
      <c r="I4292">
        <v>60.000000000000007</v>
      </c>
      <c r="J4292" t="s">
        <v>20</v>
      </c>
    </row>
    <row r="4293" spans="1:10" x14ac:dyDescent="0.2">
      <c r="A4293">
        <v>14292</v>
      </c>
      <c r="B4293" t="s">
        <v>7</v>
      </c>
      <c r="C4293" t="s">
        <v>6</v>
      </c>
      <c r="D4293">
        <v>1.02</v>
      </c>
      <c r="E4293">
        <v>6</v>
      </c>
      <c r="F4293" t="s">
        <v>15</v>
      </c>
      <c r="G4293">
        <v>28</v>
      </c>
      <c r="H4293">
        <v>1.3056000000000001</v>
      </c>
      <c r="I4293">
        <v>28.000000000000004</v>
      </c>
      <c r="J4293" t="s">
        <v>20</v>
      </c>
    </row>
    <row r="4294" spans="1:10" x14ac:dyDescent="0.2">
      <c r="A4294">
        <v>14293</v>
      </c>
      <c r="B4294" t="s">
        <v>7</v>
      </c>
      <c r="C4294" t="s">
        <v>9</v>
      </c>
      <c r="D4294">
        <v>10.71</v>
      </c>
      <c r="E4294">
        <v>6</v>
      </c>
      <c r="F4294" t="s">
        <v>15</v>
      </c>
      <c r="G4294">
        <v>30</v>
      </c>
      <c r="H4294">
        <v>13.923000000000002</v>
      </c>
      <c r="I4294">
        <v>30.000000000000004</v>
      </c>
      <c r="J4294" t="s">
        <v>20</v>
      </c>
    </row>
    <row r="4295" spans="1:10" x14ac:dyDescent="0.2">
      <c r="A4295">
        <v>14294</v>
      </c>
      <c r="B4295" t="s">
        <v>8</v>
      </c>
      <c r="C4295" t="s">
        <v>11</v>
      </c>
      <c r="D4295">
        <v>7.64</v>
      </c>
      <c r="E4295">
        <v>8</v>
      </c>
      <c r="F4295" t="s">
        <v>16</v>
      </c>
      <c r="G4295">
        <v>50</v>
      </c>
      <c r="H4295">
        <v>11.459999999999999</v>
      </c>
      <c r="I4295">
        <v>50</v>
      </c>
      <c r="J4295" t="s">
        <v>20</v>
      </c>
    </row>
    <row r="4296" spans="1:10" x14ac:dyDescent="0.2">
      <c r="A4296">
        <v>14295</v>
      </c>
      <c r="B4296" t="s">
        <v>8</v>
      </c>
      <c r="C4296" t="s">
        <v>9</v>
      </c>
      <c r="D4296">
        <v>1.87</v>
      </c>
      <c r="E4296">
        <v>5</v>
      </c>
      <c r="F4296" t="s">
        <v>15</v>
      </c>
      <c r="G4296">
        <v>30</v>
      </c>
      <c r="H4296">
        <v>2.431</v>
      </c>
      <c r="I4296">
        <v>30.000000000000004</v>
      </c>
      <c r="J4296" t="s">
        <v>20</v>
      </c>
    </row>
    <row r="4297" spans="1:10" x14ac:dyDescent="0.2">
      <c r="A4297">
        <v>14296</v>
      </c>
      <c r="B4297" t="s">
        <v>7</v>
      </c>
      <c r="C4297" t="s">
        <v>9</v>
      </c>
      <c r="D4297">
        <v>2.99</v>
      </c>
      <c r="E4297">
        <v>9</v>
      </c>
      <c r="F4297" t="s">
        <v>16</v>
      </c>
      <c r="G4297">
        <v>60</v>
      </c>
      <c r="H4297">
        <v>4.7840000000000007</v>
      </c>
      <c r="I4297">
        <v>60.000000000000007</v>
      </c>
      <c r="J4297" t="s">
        <v>20</v>
      </c>
    </row>
    <row r="4298" spans="1:10" x14ac:dyDescent="0.2">
      <c r="A4298">
        <v>14297</v>
      </c>
      <c r="B4298" t="s">
        <v>10</v>
      </c>
      <c r="C4298" t="s">
        <v>11</v>
      </c>
      <c r="D4298">
        <v>1.99</v>
      </c>
      <c r="E4298">
        <v>5</v>
      </c>
      <c r="F4298" t="s">
        <v>15</v>
      </c>
      <c r="G4298">
        <v>25</v>
      </c>
      <c r="H4298">
        <v>2.4874999999999998</v>
      </c>
      <c r="I4298">
        <v>25</v>
      </c>
      <c r="J4298" t="s">
        <v>20</v>
      </c>
    </row>
    <row r="4299" spans="1:10" x14ac:dyDescent="0.2">
      <c r="A4299">
        <v>14298</v>
      </c>
      <c r="B4299" t="s">
        <v>10</v>
      </c>
      <c r="C4299" t="s">
        <v>9</v>
      </c>
      <c r="D4299">
        <v>9.3800000000000008</v>
      </c>
      <c r="E4299">
        <v>2</v>
      </c>
      <c r="F4299" t="s">
        <v>14</v>
      </c>
      <c r="G4299">
        <v>15</v>
      </c>
      <c r="H4299">
        <v>10.787000000000001</v>
      </c>
      <c r="I4299">
        <v>14.999999999999991</v>
      </c>
      <c r="J4299" t="s">
        <v>20</v>
      </c>
    </row>
    <row r="4300" spans="1:10" x14ac:dyDescent="0.2">
      <c r="A4300">
        <v>14299</v>
      </c>
      <c r="B4300" t="s">
        <v>5</v>
      </c>
      <c r="C4300" t="s">
        <v>9</v>
      </c>
      <c r="D4300">
        <v>1.87</v>
      </c>
      <c r="E4300">
        <v>6</v>
      </c>
      <c r="F4300" t="s">
        <v>15</v>
      </c>
      <c r="G4300">
        <v>30</v>
      </c>
      <c r="H4300">
        <v>2.431</v>
      </c>
      <c r="I4300">
        <v>30.000000000000004</v>
      </c>
      <c r="J4300" t="s">
        <v>20</v>
      </c>
    </row>
    <row r="4301" spans="1:10" x14ac:dyDescent="0.2">
      <c r="A4301">
        <v>14300</v>
      </c>
      <c r="B4301" t="s">
        <v>7</v>
      </c>
      <c r="C4301" t="s">
        <v>6</v>
      </c>
      <c r="D4301">
        <v>11.44</v>
      </c>
      <c r="E4301">
        <v>9</v>
      </c>
      <c r="F4301" t="s">
        <v>16</v>
      </c>
      <c r="G4301">
        <v>55</v>
      </c>
      <c r="H4301">
        <v>17.731999999999999</v>
      </c>
      <c r="I4301">
        <v>55.000000000000007</v>
      </c>
      <c r="J4301" t="s">
        <v>20</v>
      </c>
    </row>
    <row r="4302" spans="1:10" x14ac:dyDescent="0.2">
      <c r="A4302">
        <v>14301</v>
      </c>
      <c r="B4302" t="s">
        <v>7</v>
      </c>
      <c r="C4302" t="s">
        <v>11</v>
      </c>
      <c r="D4302">
        <v>0.8</v>
      </c>
      <c r="E4302">
        <v>3</v>
      </c>
      <c r="F4302" t="s">
        <v>14</v>
      </c>
      <c r="G4302">
        <v>10</v>
      </c>
      <c r="H4302">
        <v>0.88000000000000012</v>
      </c>
      <c r="I4302">
        <v>10.000000000000009</v>
      </c>
      <c r="J4302" t="s">
        <v>20</v>
      </c>
    </row>
    <row r="4303" spans="1:10" x14ac:dyDescent="0.2">
      <c r="A4303">
        <v>14302</v>
      </c>
      <c r="B4303" t="s">
        <v>10</v>
      </c>
      <c r="C4303" t="s">
        <v>9</v>
      </c>
      <c r="D4303">
        <v>4.12</v>
      </c>
      <c r="E4303">
        <v>10</v>
      </c>
      <c r="F4303" t="s">
        <v>16</v>
      </c>
      <c r="G4303">
        <v>60</v>
      </c>
      <c r="H4303">
        <v>6.5920000000000005</v>
      </c>
      <c r="I4303">
        <v>60.000000000000007</v>
      </c>
      <c r="J4303" t="s">
        <v>20</v>
      </c>
    </row>
    <row r="4304" spans="1:10" x14ac:dyDescent="0.2">
      <c r="A4304">
        <v>14303</v>
      </c>
      <c r="B4304" t="s">
        <v>10</v>
      </c>
      <c r="C4304" t="s">
        <v>11</v>
      </c>
      <c r="D4304">
        <v>13.41</v>
      </c>
      <c r="E4304">
        <v>4</v>
      </c>
      <c r="F4304" t="s">
        <v>15</v>
      </c>
      <c r="G4304">
        <v>25</v>
      </c>
      <c r="H4304">
        <v>16.762499999999999</v>
      </c>
      <c r="I4304">
        <v>25</v>
      </c>
      <c r="J4304" t="s">
        <v>20</v>
      </c>
    </row>
    <row r="4305" spans="1:10" x14ac:dyDescent="0.2">
      <c r="A4305">
        <v>14304</v>
      </c>
      <c r="B4305" t="s">
        <v>7</v>
      </c>
      <c r="C4305" t="s">
        <v>11</v>
      </c>
      <c r="D4305">
        <v>10.92</v>
      </c>
      <c r="E4305">
        <v>10</v>
      </c>
      <c r="F4305" t="s">
        <v>16</v>
      </c>
      <c r="G4305">
        <v>50</v>
      </c>
      <c r="H4305">
        <v>16.38</v>
      </c>
      <c r="I4305">
        <v>50</v>
      </c>
      <c r="J4305" t="s">
        <v>20</v>
      </c>
    </row>
    <row r="4306" spans="1:10" x14ac:dyDescent="0.2">
      <c r="A4306">
        <v>14305</v>
      </c>
      <c r="B4306" t="s">
        <v>8</v>
      </c>
      <c r="C4306" t="s">
        <v>9</v>
      </c>
      <c r="D4306">
        <v>1.56</v>
      </c>
      <c r="E4306">
        <v>8</v>
      </c>
      <c r="F4306" t="s">
        <v>16</v>
      </c>
      <c r="G4306">
        <v>60</v>
      </c>
      <c r="H4306">
        <v>2.4960000000000004</v>
      </c>
      <c r="I4306">
        <v>60.000000000000028</v>
      </c>
      <c r="J4306" t="s">
        <v>20</v>
      </c>
    </row>
    <row r="4307" spans="1:10" x14ac:dyDescent="0.2">
      <c r="A4307">
        <v>14306</v>
      </c>
      <c r="B4307" t="s">
        <v>7</v>
      </c>
      <c r="C4307" t="s">
        <v>6</v>
      </c>
      <c r="D4307">
        <v>12.41</v>
      </c>
      <c r="E4307">
        <v>6</v>
      </c>
      <c r="F4307" t="s">
        <v>15</v>
      </c>
      <c r="G4307">
        <v>28</v>
      </c>
      <c r="H4307">
        <v>15.8848</v>
      </c>
      <c r="I4307">
        <v>28.000000000000004</v>
      </c>
      <c r="J4307" t="s">
        <v>20</v>
      </c>
    </row>
    <row r="4308" spans="1:10" x14ac:dyDescent="0.2">
      <c r="A4308">
        <v>14307</v>
      </c>
      <c r="B4308" t="s">
        <v>7</v>
      </c>
      <c r="C4308" t="s">
        <v>11</v>
      </c>
      <c r="D4308">
        <v>7.65</v>
      </c>
      <c r="E4308">
        <v>7</v>
      </c>
      <c r="F4308" t="s">
        <v>15</v>
      </c>
      <c r="G4308">
        <v>25</v>
      </c>
      <c r="H4308">
        <v>9.5625</v>
      </c>
      <c r="I4308">
        <v>25</v>
      </c>
      <c r="J4308" t="s">
        <v>20</v>
      </c>
    </row>
    <row r="4309" spans="1:10" x14ac:dyDescent="0.2">
      <c r="A4309">
        <v>14308</v>
      </c>
      <c r="B4309" t="s">
        <v>10</v>
      </c>
      <c r="C4309" t="s">
        <v>9</v>
      </c>
      <c r="D4309">
        <v>12.78</v>
      </c>
      <c r="E4309">
        <v>7</v>
      </c>
      <c r="F4309" t="s">
        <v>15</v>
      </c>
      <c r="G4309">
        <v>30</v>
      </c>
      <c r="H4309">
        <v>16.614000000000001</v>
      </c>
      <c r="I4309">
        <v>30.000000000000004</v>
      </c>
      <c r="J4309" t="s">
        <v>20</v>
      </c>
    </row>
    <row r="4310" spans="1:10" x14ac:dyDescent="0.2">
      <c r="A4310">
        <v>14309</v>
      </c>
      <c r="B4310" t="s">
        <v>10</v>
      </c>
      <c r="C4310" t="s">
        <v>11</v>
      </c>
      <c r="D4310">
        <v>9.2100000000000009</v>
      </c>
      <c r="E4310">
        <v>4</v>
      </c>
      <c r="F4310" t="s">
        <v>15</v>
      </c>
      <c r="G4310">
        <v>25</v>
      </c>
      <c r="H4310">
        <v>11.512500000000001</v>
      </c>
      <c r="I4310">
        <v>25</v>
      </c>
      <c r="J4310" t="s">
        <v>20</v>
      </c>
    </row>
    <row r="4311" spans="1:10" x14ac:dyDescent="0.2">
      <c r="A4311">
        <v>14310</v>
      </c>
      <c r="B4311" t="s">
        <v>8</v>
      </c>
      <c r="C4311" t="s">
        <v>6</v>
      </c>
      <c r="D4311">
        <v>10.39</v>
      </c>
      <c r="E4311">
        <v>6</v>
      </c>
      <c r="F4311" t="s">
        <v>15</v>
      </c>
      <c r="G4311">
        <v>28</v>
      </c>
      <c r="H4311">
        <v>13.299200000000001</v>
      </c>
      <c r="I4311">
        <v>28.000000000000004</v>
      </c>
      <c r="J4311" t="s">
        <v>20</v>
      </c>
    </row>
    <row r="4312" spans="1:10" x14ac:dyDescent="0.2">
      <c r="A4312">
        <v>14311</v>
      </c>
      <c r="B4312" t="s">
        <v>8</v>
      </c>
      <c r="C4312" t="s">
        <v>6</v>
      </c>
      <c r="D4312">
        <v>14.91</v>
      </c>
      <c r="E4312">
        <v>9</v>
      </c>
      <c r="F4312" t="s">
        <v>16</v>
      </c>
      <c r="G4312">
        <v>55</v>
      </c>
      <c r="H4312">
        <v>23.110500000000002</v>
      </c>
      <c r="I4312">
        <v>55.000000000000007</v>
      </c>
      <c r="J4312" t="s">
        <v>20</v>
      </c>
    </row>
    <row r="4313" spans="1:10" x14ac:dyDescent="0.2">
      <c r="A4313">
        <v>14312</v>
      </c>
      <c r="B4313" t="s">
        <v>5</v>
      </c>
      <c r="C4313" t="s">
        <v>6</v>
      </c>
      <c r="D4313">
        <v>3.87</v>
      </c>
      <c r="E4313">
        <v>3</v>
      </c>
      <c r="F4313" t="s">
        <v>14</v>
      </c>
      <c r="G4313">
        <v>12</v>
      </c>
      <c r="H4313">
        <v>4.3344000000000005</v>
      </c>
      <c r="I4313">
        <v>12.000000000000011</v>
      </c>
      <c r="J4313" t="s">
        <v>20</v>
      </c>
    </row>
    <row r="4314" spans="1:10" x14ac:dyDescent="0.2">
      <c r="A4314">
        <v>14313</v>
      </c>
      <c r="B4314" t="s">
        <v>7</v>
      </c>
      <c r="C4314" t="s">
        <v>9</v>
      </c>
      <c r="D4314">
        <v>9.5500000000000007</v>
      </c>
      <c r="E4314">
        <v>8</v>
      </c>
      <c r="F4314" t="s">
        <v>16</v>
      </c>
      <c r="G4314">
        <v>60</v>
      </c>
      <c r="H4314">
        <v>15.280000000000001</v>
      </c>
      <c r="I4314">
        <v>60.000000000000007</v>
      </c>
      <c r="J4314" t="s">
        <v>20</v>
      </c>
    </row>
    <row r="4315" spans="1:10" x14ac:dyDescent="0.2">
      <c r="A4315">
        <v>14314</v>
      </c>
      <c r="B4315" t="s">
        <v>10</v>
      </c>
      <c r="C4315" t="s">
        <v>9</v>
      </c>
      <c r="D4315">
        <v>7.17</v>
      </c>
      <c r="E4315">
        <v>7</v>
      </c>
      <c r="F4315" t="s">
        <v>15</v>
      </c>
      <c r="G4315">
        <v>30</v>
      </c>
      <c r="H4315">
        <v>9.3209999999999997</v>
      </c>
      <c r="I4315">
        <v>30.000000000000004</v>
      </c>
      <c r="J4315" t="s">
        <v>20</v>
      </c>
    </row>
    <row r="4316" spans="1:10" x14ac:dyDescent="0.2">
      <c r="A4316">
        <v>14315</v>
      </c>
      <c r="B4316" t="s">
        <v>8</v>
      </c>
      <c r="C4316" t="s">
        <v>6</v>
      </c>
      <c r="D4316">
        <v>1.07</v>
      </c>
      <c r="E4316">
        <v>4</v>
      </c>
      <c r="F4316" t="s">
        <v>15</v>
      </c>
      <c r="G4316">
        <v>28</v>
      </c>
      <c r="H4316">
        <v>1.3696000000000002</v>
      </c>
      <c r="I4316">
        <v>28.000000000000004</v>
      </c>
      <c r="J4316" t="s">
        <v>20</v>
      </c>
    </row>
    <row r="4317" spans="1:10" x14ac:dyDescent="0.2">
      <c r="A4317">
        <v>14316</v>
      </c>
      <c r="B4317" t="s">
        <v>5</v>
      </c>
      <c r="C4317" t="s">
        <v>9</v>
      </c>
      <c r="D4317">
        <v>0.71</v>
      </c>
      <c r="E4317">
        <v>10</v>
      </c>
      <c r="F4317" t="s">
        <v>16</v>
      </c>
      <c r="G4317">
        <v>60</v>
      </c>
      <c r="H4317">
        <v>1.1359999999999999</v>
      </c>
      <c r="I4317">
        <v>59.999999999999986</v>
      </c>
      <c r="J4317" t="s">
        <v>20</v>
      </c>
    </row>
    <row r="4318" spans="1:10" x14ac:dyDescent="0.2">
      <c r="A4318">
        <v>14317</v>
      </c>
      <c r="B4318" t="s">
        <v>5</v>
      </c>
      <c r="C4318" t="s">
        <v>6</v>
      </c>
      <c r="D4318">
        <v>2.23</v>
      </c>
      <c r="E4318">
        <v>3</v>
      </c>
      <c r="F4318" t="s">
        <v>14</v>
      </c>
      <c r="G4318">
        <v>12</v>
      </c>
      <c r="H4318">
        <v>2.4976000000000003</v>
      </c>
      <c r="I4318">
        <v>12.000000000000011</v>
      </c>
      <c r="J4318" t="s">
        <v>20</v>
      </c>
    </row>
    <row r="4319" spans="1:10" x14ac:dyDescent="0.2">
      <c r="A4319">
        <v>14318</v>
      </c>
      <c r="B4319" t="s">
        <v>10</v>
      </c>
      <c r="C4319" t="s">
        <v>9</v>
      </c>
      <c r="D4319">
        <v>9.91</v>
      </c>
      <c r="E4319">
        <v>7</v>
      </c>
      <c r="F4319" t="s">
        <v>15</v>
      </c>
      <c r="G4319">
        <v>30</v>
      </c>
      <c r="H4319">
        <v>12.883000000000001</v>
      </c>
      <c r="I4319">
        <v>30.000000000000004</v>
      </c>
      <c r="J4319" t="s">
        <v>20</v>
      </c>
    </row>
    <row r="4320" spans="1:10" x14ac:dyDescent="0.2">
      <c r="A4320">
        <v>14319</v>
      </c>
      <c r="B4320" t="s">
        <v>10</v>
      </c>
      <c r="C4320" t="s">
        <v>6</v>
      </c>
      <c r="D4320">
        <v>8.7200000000000006</v>
      </c>
      <c r="E4320">
        <v>10</v>
      </c>
      <c r="F4320" t="s">
        <v>16</v>
      </c>
      <c r="G4320">
        <v>55</v>
      </c>
      <c r="H4320">
        <v>13.516000000000002</v>
      </c>
      <c r="I4320">
        <v>55.000000000000007</v>
      </c>
      <c r="J4320" t="s">
        <v>20</v>
      </c>
    </row>
    <row r="4321" spans="1:10" x14ac:dyDescent="0.2">
      <c r="A4321">
        <v>14320</v>
      </c>
      <c r="B4321" t="s">
        <v>5</v>
      </c>
      <c r="C4321" t="s">
        <v>11</v>
      </c>
      <c r="D4321">
        <v>8.52</v>
      </c>
      <c r="E4321">
        <v>9</v>
      </c>
      <c r="F4321" t="s">
        <v>16</v>
      </c>
      <c r="G4321">
        <v>50</v>
      </c>
      <c r="H4321">
        <v>12.78</v>
      </c>
      <c r="I4321">
        <v>50</v>
      </c>
      <c r="J4321" t="s">
        <v>20</v>
      </c>
    </row>
    <row r="4322" spans="1:10" x14ac:dyDescent="0.2">
      <c r="A4322">
        <v>14321</v>
      </c>
      <c r="B4322" t="s">
        <v>8</v>
      </c>
      <c r="C4322" t="s">
        <v>6</v>
      </c>
      <c r="D4322">
        <v>0.96</v>
      </c>
      <c r="E4322">
        <v>10</v>
      </c>
      <c r="F4322" t="s">
        <v>16</v>
      </c>
      <c r="G4322">
        <v>55</v>
      </c>
      <c r="H4322">
        <v>1.488</v>
      </c>
      <c r="I4322">
        <v>55.000000000000007</v>
      </c>
      <c r="J4322" t="s">
        <v>20</v>
      </c>
    </row>
    <row r="4323" spans="1:10" x14ac:dyDescent="0.2">
      <c r="A4323">
        <v>14322</v>
      </c>
      <c r="B4323" t="s">
        <v>5</v>
      </c>
      <c r="C4323" t="s">
        <v>6</v>
      </c>
      <c r="D4323">
        <v>7.3</v>
      </c>
      <c r="E4323">
        <v>3</v>
      </c>
      <c r="F4323" t="s">
        <v>14</v>
      </c>
      <c r="G4323">
        <v>12</v>
      </c>
      <c r="H4323">
        <v>8.1760000000000002</v>
      </c>
      <c r="I4323">
        <v>12.000000000000011</v>
      </c>
      <c r="J4323" t="s">
        <v>20</v>
      </c>
    </row>
    <row r="4324" spans="1:10" x14ac:dyDescent="0.2">
      <c r="A4324">
        <v>14323</v>
      </c>
      <c r="B4324" t="s">
        <v>7</v>
      </c>
      <c r="C4324" t="s">
        <v>9</v>
      </c>
      <c r="D4324">
        <v>13.91</v>
      </c>
      <c r="E4324">
        <v>10</v>
      </c>
      <c r="F4324" t="s">
        <v>16</v>
      </c>
      <c r="G4324">
        <v>60</v>
      </c>
      <c r="H4324">
        <v>22.256</v>
      </c>
      <c r="I4324">
        <v>60.000000000000007</v>
      </c>
      <c r="J4324" t="s">
        <v>20</v>
      </c>
    </row>
    <row r="4325" spans="1:10" x14ac:dyDescent="0.2">
      <c r="A4325">
        <v>14324</v>
      </c>
      <c r="B4325" t="s">
        <v>7</v>
      </c>
      <c r="C4325" t="s">
        <v>9</v>
      </c>
      <c r="D4325">
        <v>6.27</v>
      </c>
      <c r="E4325">
        <v>9</v>
      </c>
      <c r="F4325" t="s">
        <v>16</v>
      </c>
      <c r="G4325">
        <v>60</v>
      </c>
      <c r="H4325">
        <v>10.032</v>
      </c>
      <c r="I4325">
        <v>60.000000000000007</v>
      </c>
      <c r="J4325" t="s">
        <v>20</v>
      </c>
    </row>
    <row r="4326" spans="1:10" x14ac:dyDescent="0.2">
      <c r="A4326">
        <v>14325</v>
      </c>
      <c r="B4326" t="s">
        <v>10</v>
      </c>
      <c r="C4326" t="s">
        <v>9</v>
      </c>
      <c r="D4326">
        <v>9.56</v>
      </c>
      <c r="E4326">
        <v>8</v>
      </c>
      <c r="F4326" t="s">
        <v>16</v>
      </c>
      <c r="G4326">
        <v>60</v>
      </c>
      <c r="H4326">
        <v>15.296000000000001</v>
      </c>
      <c r="I4326">
        <v>60.000000000000007</v>
      </c>
      <c r="J4326" t="s">
        <v>20</v>
      </c>
    </row>
    <row r="4327" spans="1:10" x14ac:dyDescent="0.2">
      <c r="A4327">
        <v>14326</v>
      </c>
      <c r="B4327" t="s">
        <v>8</v>
      </c>
      <c r="C4327" t="s">
        <v>9</v>
      </c>
      <c r="D4327">
        <v>11.81</v>
      </c>
      <c r="E4327">
        <v>3</v>
      </c>
      <c r="F4327" t="s">
        <v>14</v>
      </c>
      <c r="G4327">
        <v>15</v>
      </c>
      <c r="H4327">
        <v>13.5815</v>
      </c>
      <c r="I4327">
        <v>14.999999999999991</v>
      </c>
      <c r="J4327" t="s">
        <v>20</v>
      </c>
    </row>
    <row r="4328" spans="1:10" x14ac:dyDescent="0.2">
      <c r="A4328">
        <v>14327</v>
      </c>
      <c r="B4328" t="s">
        <v>8</v>
      </c>
      <c r="C4328" t="s">
        <v>9</v>
      </c>
      <c r="D4328">
        <v>11.87</v>
      </c>
      <c r="E4328">
        <v>8</v>
      </c>
      <c r="F4328" t="s">
        <v>16</v>
      </c>
      <c r="G4328">
        <v>60</v>
      </c>
      <c r="H4328">
        <v>18.992000000000001</v>
      </c>
      <c r="I4328">
        <v>60.000000000000007</v>
      </c>
      <c r="J4328" t="s">
        <v>20</v>
      </c>
    </row>
    <row r="4329" spans="1:10" x14ac:dyDescent="0.2">
      <c r="A4329">
        <v>14328</v>
      </c>
      <c r="B4329" t="s">
        <v>7</v>
      </c>
      <c r="C4329" t="s">
        <v>9</v>
      </c>
      <c r="D4329">
        <v>8.0299999999999994</v>
      </c>
      <c r="E4329">
        <v>4</v>
      </c>
      <c r="F4329" t="s">
        <v>15</v>
      </c>
      <c r="G4329">
        <v>30</v>
      </c>
      <c r="H4329">
        <v>10.439</v>
      </c>
      <c r="I4329">
        <v>30.000000000000004</v>
      </c>
      <c r="J4329" t="s">
        <v>20</v>
      </c>
    </row>
    <row r="4330" spans="1:10" x14ac:dyDescent="0.2">
      <c r="A4330">
        <v>14329</v>
      </c>
      <c r="B4330" t="s">
        <v>5</v>
      </c>
      <c r="C4330" t="s">
        <v>11</v>
      </c>
      <c r="D4330">
        <v>12.94</v>
      </c>
      <c r="E4330">
        <v>6</v>
      </c>
      <c r="F4330" t="s">
        <v>15</v>
      </c>
      <c r="G4330">
        <v>25</v>
      </c>
      <c r="H4330">
        <v>16.175000000000001</v>
      </c>
      <c r="I4330">
        <v>25</v>
      </c>
      <c r="J4330" t="s">
        <v>20</v>
      </c>
    </row>
    <row r="4331" spans="1:10" x14ac:dyDescent="0.2">
      <c r="A4331">
        <v>14330</v>
      </c>
      <c r="B4331" t="s">
        <v>10</v>
      </c>
      <c r="C4331" t="s">
        <v>6</v>
      </c>
      <c r="D4331">
        <v>6.17</v>
      </c>
      <c r="E4331">
        <v>10</v>
      </c>
      <c r="F4331" t="s">
        <v>16</v>
      </c>
      <c r="G4331">
        <v>55</v>
      </c>
      <c r="H4331">
        <v>9.5634999999999994</v>
      </c>
      <c r="I4331">
        <v>54.999999999999986</v>
      </c>
      <c r="J4331" t="s">
        <v>20</v>
      </c>
    </row>
    <row r="4332" spans="1:10" x14ac:dyDescent="0.2">
      <c r="A4332">
        <v>14331</v>
      </c>
      <c r="B4332" t="s">
        <v>5</v>
      </c>
      <c r="C4332" t="s">
        <v>6</v>
      </c>
      <c r="D4332">
        <v>13.39</v>
      </c>
      <c r="E4332">
        <v>2</v>
      </c>
      <c r="F4332" t="s">
        <v>14</v>
      </c>
      <c r="G4332">
        <v>12</v>
      </c>
      <c r="H4332">
        <v>14.996800000000002</v>
      </c>
      <c r="I4332">
        <v>12.000000000000011</v>
      </c>
      <c r="J4332" t="s">
        <v>20</v>
      </c>
    </row>
    <row r="4333" spans="1:10" x14ac:dyDescent="0.2">
      <c r="A4333">
        <v>14332</v>
      </c>
      <c r="B4333" t="s">
        <v>5</v>
      </c>
      <c r="C4333" t="s">
        <v>6</v>
      </c>
      <c r="D4333">
        <v>3.98</v>
      </c>
      <c r="E4333">
        <v>8</v>
      </c>
      <c r="F4333" t="s">
        <v>16</v>
      </c>
      <c r="G4333">
        <v>55</v>
      </c>
      <c r="H4333">
        <v>6.1690000000000005</v>
      </c>
      <c r="I4333">
        <v>55.000000000000007</v>
      </c>
      <c r="J4333" t="s">
        <v>20</v>
      </c>
    </row>
    <row r="4334" spans="1:10" x14ac:dyDescent="0.2">
      <c r="A4334">
        <v>14333</v>
      </c>
      <c r="B4334" t="s">
        <v>5</v>
      </c>
      <c r="C4334" t="s">
        <v>11</v>
      </c>
      <c r="D4334">
        <v>4.5599999999999996</v>
      </c>
      <c r="E4334">
        <v>9</v>
      </c>
      <c r="F4334" t="s">
        <v>16</v>
      </c>
      <c r="G4334">
        <v>50</v>
      </c>
      <c r="H4334">
        <v>6.84</v>
      </c>
      <c r="I4334">
        <v>50</v>
      </c>
      <c r="J4334" t="s">
        <v>20</v>
      </c>
    </row>
    <row r="4335" spans="1:10" x14ac:dyDescent="0.2">
      <c r="A4335">
        <v>14334</v>
      </c>
      <c r="B4335" t="s">
        <v>8</v>
      </c>
      <c r="C4335" t="s">
        <v>6</v>
      </c>
      <c r="D4335">
        <v>1.27</v>
      </c>
      <c r="E4335">
        <v>7</v>
      </c>
      <c r="F4335" t="s">
        <v>15</v>
      </c>
      <c r="G4335">
        <v>28</v>
      </c>
      <c r="H4335">
        <v>1.6256000000000002</v>
      </c>
      <c r="I4335">
        <v>28.000000000000004</v>
      </c>
      <c r="J4335" t="s">
        <v>20</v>
      </c>
    </row>
    <row r="4336" spans="1:10" x14ac:dyDescent="0.2">
      <c r="A4336">
        <v>14335</v>
      </c>
      <c r="B4336" t="s">
        <v>7</v>
      </c>
      <c r="C4336" t="s">
        <v>11</v>
      </c>
      <c r="D4336">
        <v>12.04</v>
      </c>
      <c r="E4336">
        <v>8</v>
      </c>
      <c r="F4336" t="s">
        <v>16</v>
      </c>
      <c r="G4336">
        <v>50</v>
      </c>
      <c r="H4336">
        <v>18.059999999999999</v>
      </c>
      <c r="I4336">
        <v>50</v>
      </c>
      <c r="J4336" t="s">
        <v>20</v>
      </c>
    </row>
    <row r="4337" spans="1:10" x14ac:dyDescent="0.2">
      <c r="A4337">
        <v>14336</v>
      </c>
      <c r="B4337" t="s">
        <v>8</v>
      </c>
      <c r="C4337" t="s">
        <v>11</v>
      </c>
      <c r="D4337">
        <v>6.55</v>
      </c>
      <c r="E4337">
        <v>7</v>
      </c>
      <c r="F4337" t="s">
        <v>15</v>
      </c>
      <c r="G4337">
        <v>25</v>
      </c>
      <c r="H4337">
        <v>8.1875</v>
      </c>
      <c r="I4337">
        <v>25</v>
      </c>
      <c r="J4337" t="s">
        <v>20</v>
      </c>
    </row>
    <row r="4338" spans="1:10" x14ac:dyDescent="0.2">
      <c r="A4338">
        <v>14337</v>
      </c>
      <c r="B4338" t="s">
        <v>7</v>
      </c>
      <c r="C4338" t="s">
        <v>11</v>
      </c>
      <c r="D4338">
        <v>3.82</v>
      </c>
      <c r="E4338">
        <v>10</v>
      </c>
      <c r="F4338" t="s">
        <v>16</v>
      </c>
      <c r="G4338">
        <v>50</v>
      </c>
      <c r="H4338">
        <v>5.7299999999999995</v>
      </c>
      <c r="I4338">
        <v>50</v>
      </c>
      <c r="J4338" t="s">
        <v>20</v>
      </c>
    </row>
    <row r="4339" spans="1:10" x14ac:dyDescent="0.2">
      <c r="A4339">
        <v>14338</v>
      </c>
      <c r="B4339" t="s">
        <v>10</v>
      </c>
      <c r="C4339" t="s">
        <v>6</v>
      </c>
      <c r="D4339">
        <v>3.86</v>
      </c>
      <c r="E4339">
        <v>4</v>
      </c>
      <c r="F4339" t="s">
        <v>15</v>
      </c>
      <c r="G4339">
        <v>28</v>
      </c>
      <c r="H4339">
        <v>4.9408000000000003</v>
      </c>
      <c r="I4339">
        <v>28.000000000000004</v>
      </c>
      <c r="J4339" t="s">
        <v>20</v>
      </c>
    </row>
    <row r="4340" spans="1:10" x14ac:dyDescent="0.2">
      <c r="A4340">
        <v>14339</v>
      </c>
      <c r="B4340" t="s">
        <v>10</v>
      </c>
      <c r="C4340" t="s">
        <v>11</v>
      </c>
      <c r="D4340">
        <v>13.57</v>
      </c>
      <c r="E4340">
        <v>1</v>
      </c>
      <c r="F4340" t="s">
        <v>14</v>
      </c>
      <c r="G4340">
        <v>10</v>
      </c>
      <c r="H4340">
        <v>14.927000000000001</v>
      </c>
      <c r="I4340">
        <v>10.000000000000009</v>
      </c>
      <c r="J4340" t="s">
        <v>20</v>
      </c>
    </row>
    <row r="4341" spans="1:10" x14ac:dyDescent="0.2">
      <c r="A4341">
        <v>14340</v>
      </c>
      <c r="B4341" t="s">
        <v>5</v>
      </c>
      <c r="C4341" t="s">
        <v>6</v>
      </c>
      <c r="D4341">
        <v>12.59</v>
      </c>
      <c r="E4341">
        <v>3</v>
      </c>
      <c r="F4341" t="s">
        <v>14</v>
      </c>
      <c r="G4341">
        <v>12</v>
      </c>
      <c r="H4341">
        <v>14.100800000000001</v>
      </c>
      <c r="I4341">
        <v>12.000000000000011</v>
      </c>
      <c r="J4341" t="s">
        <v>20</v>
      </c>
    </row>
    <row r="4342" spans="1:10" x14ac:dyDescent="0.2">
      <c r="A4342">
        <v>14341</v>
      </c>
      <c r="B4342" t="s">
        <v>7</v>
      </c>
      <c r="C4342" t="s">
        <v>6</v>
      </c>
      <c r="D4342">
        <v>8.5299999999999994</v>
      </c>
      <c r="E4342">
        <v>7</v>
      </c>
      <c r="F4342" t="s">
        <v>15</v>
      </c>
      <c r="G4342">
        <v>28</v>
      </c>
      <c r="H4342">
        <v>10.9184</v>
      </c>
      <c r="I4342">
        <v>28.000000000000004</v>
      </c>
      <c r="J4342" t="s">
        <v>20</v>
      </c>
    </row>
    <row r="4343" spans="1:10" x14ac:dyDescent="0.2">
      <c r="A4343">
        <v>14342</v>
      </c>
      <c r="B4343" t="s">
        <v>7</v>
      </c>
      <c r="C4343" t="s">
        <v>9</v>
      </c>
      <c r="D4343">
        <v>9.43</v>
      </c>
      <c r="E4343">
        <v>7</v>
      </c>
      <c r="F4343" t="s">
        <v>15</v>
      </c>
      <c r="G4343">
        <v>30</v>
      </c>
      <c r="H4343">
        <v>12.259</v>
      </c>
      <c r="I4343">
        <v>30.000000000000004</v>
      </c>
      <c r="J4343" t="s">
        <v>20</v>
      </c>
    </row>
    <row r="4344" spans="1:10" x14ac:dyDescent="0.2">
      <c r="A4344">
        <v>14343</v>
      </c>
      <c r="B4344" t="s">
        <v>7</v>
      </c>
      <c r="C4344" t="s">
        <v>9</v>
      </c>
      <c r="D4344">
        <v>7.38</v>
      </c>
      <c r="E4344">
        <v>3</v>
      </c>
      <c r="F4344" t="s">
        <v>14</v>
      </c>
      <c r="G4344">
        <v>15</v>
      </c>
      <c r="H4344">
        <v>8.4870000000000001</v>
      </c>
      <c r="I4344">
        <v>15.000000000000014</v>
      </c>
      <c r="J4344" t="s">
        <v>20</v>
      </c>
    </row>
    <row r="4345" spans="1:10" x14ac:dyDescent="0.2">
      <c r="A4345">
        <v>14344</v>
      </c>
      <c r="B4345" t="s">
        <v>5</v>
      </c>
      <c r="C4345" t="s">
        <v>11</v>
      </c>
      <c r="D4345">
        <v>6.18</v>
      </c>
      <c r="E4345">
        <v>1</v>
      </c>
      <c r="F4345" t="s">
        <v>14</v>
      </c>
      <c r="G4345">
        <v>10</v>
      </c>
      <c r="H4345">
        <v>6.798</v>
      </c>
      <c r="I4345">
        <v>10.000000000000009</v>
      </c>
      <c r="J4345" t="s">
        <v>20</v>
      </c>
    </row>
    <row r="4346" spans="1:10" x14ac:dyDescent="0.2">
      <c r="A4346">
        <v>14345</v>
      </c>
      <c r="B4346" t="s">
        <v>5</v>
      </c>
      <c r="C4346" t="s">
        <v>11</v>
      </c>
      <c r="D4346">
        <v>13.77</v>
      </c>
      <c r="E4346">
        <v>10</v>
      </c>
      <c r="F4346" t="s">
        <v>16</v>
      </c>
      <c r="G4346">
        <v>50</v>
      </c>
      <c r="H4346">
        <v>20.655000000000001</v>
      </c>
      <c r="I4346">
        <v>50.000000000000021</v>
      </c>
      <c r="J4346" t="s">
        <v>20</v>
      </c>
    </row>
    <row r="4347" spans="1:10" x14ac:dyDescent="0.2">
      <c r="A4347">
        <v>14346</v>
      </c>
      <c r="B4347" t="s">
        <v>10</v>
      </c>
      <c r="C4347" t="s">
        <v>6</v>
      </c>
      <c r="D4347">
        <v>2.3199999999999998</v>
      </c>
      <c r="E4347">
        <v>9</v>
      </c>
      <c r="F4347" t="s">
        <v>16</v>
      </c>
      <c r="G4347">
        <v>55</v>
      </c>
      <c r="H4347">
        <v>3.5959999999999996</v>
      </c>
      <c r="I4347">
        <v>55.000000000000007</v>
      </c>
      <c r="J4347" t="s">
        <v>20</v>
      </c>
    </row>
    <row r="4348" spans="1:10" x14ac:dyDescent="0.2">
      <c r="A4348">
        <v>14347</v>
      </c>
      <c r="B4348" t="s">
        <v>8</v>
      </c>
      <c r="C4348" t="s">
        <v>11</v>
      </c>
      <c r="D4348">
        <v>6.57</v>
      </c>
      <c r="E4348">
        <v>6</v>
      </c>
      <c r="F4348" t="s">
        <v>15</v>
      </c>
      <c r="G4348">
        <v>25</v>
      </c>
      <c r="H4348">
        <v>8.2125000000000004</v>
      </c>
      <c r="I4348">
        <v>25</v>
      </c>
      <c r="J4348" t="s">
        <v>20</v>
      </c>
    </row>
    <row r="4349" spans="1:10" x14ac:dyDescent="0.2">
      <c r="A4349">
        <v>14348</v>
      </c>
      <c r="B4349" t="s">
        <v>7</v>
      </c>
      <c r="C4349" t="s">
        <v>11</v>
      </c>
      <c r="D4349">
        <v>5.5</v>
      </c>
      <c r="E4349">
        <v>7</v>
      </c>
      <c r="F4349" t="s">
        <v>15</v>
      </c>
      <c r="G4349">
        <v>25</v>
      </c>
      <c r="H4349">
        <v>6.875</v>
      </c>
      <c r="I4349">
        <v>25</v>
      </c>
      <c r="J4349" t="s">
        <v>20</v>
      </c>
    </row>
    <row r="4350" spans="1:10" x14ac:dyDescent="0.2">
      <c r="A4350">
        <v>14349</v>
      </c>
      <c r="B4350" t="s">
        <v>7</v>
      </c>
      <c r="C4350" t="s">
        <v>6</v>
      </c>
      <c r="D4350">
        <v>7.72</v>
      </c>
      <c r="E4350">
        <v>1</v>
      </c>
      <c r="F4350" t="s">
        <v>14</v>
      </c>
      <c r="G4350">
        <v>12</v>
      </c>
      <c r="H4350">
        <v>8.6463999999999999</v>
      </c>
      <c r="I4350">
        <v>12.000000000000011</v>
      </c>
      <c r="J4350" t="s">
        <v>20</v>
      </c>
    </row>
    <row r="4351" spans="1:10" x14ac:dyDescent="0.2">
      <c r="A4351">
        <v>14350</v>
      </c>
      <c r="B4351" t="s">
        <v>8</v>
      </c>
      <c r="C4351" t="s">
        <v>11</v>
      </c>
      <c r="D4351">
        <v>7.14</v>
      </c>
      <c r="E4351">
        <v>1</v>
      </c>
      <c r="F4351" t="s">
        <v>14</v>
      </c>
      <c r="G4351">
        <v>10</v>
      </c>
      <c r="H4351">
        <v>7.8540000000000001</v>
      </c>
      <c r="I4351">
        <v>10.000000000000009</v>
      </c>
      <c r="J4351" t="s">
        <v>20</v>
      </c>
    </row>
    <row r="4352" spans="1:10" x14ac:dyDescent="0.2">
      <c r="A4352">
        <v>14351</v>
      </c>
      <c r="B4352" t="s">
        <v>7</v>
      </c>
      <c r="C4352" t="s">
        <v>11</v>
      </c>
      <c r="D4352">
        <v>8.02</v>
      </c>
      <c r="E4352">
        <v>4</v>
      </c>
      <c r="F4352" t="s">
        <v>15</v>
      </c>
      <c r="G4352">
        <v>25</v>
      </c>
      <c r="H4352">
        <v>10.024999999999999</v>
      </c>
      <c r="I4352">
        <v>25</v>
      </c>
      <c r="J4352" t="s">
        <v>20</v>
      </c>
    </row>
    <row r="4353" spans="1:10" x14ac:dyDescent="0.2">
      <c r="A4353">
        <v>14352</v>
      </c>
      <c r="B4353" t="s">
        <v>5</v>
      </c>
      <c r="C4353" t="s">
        <v>6</v>
      </c>
      <c r="D4353">
        <v>2.5299999999999998</v>
      </c>
      <c r="E4353">
        <v>7</v>
      </c>
      <c r="F4353" t="s">
        <v>15</v>
      </c>
      <c r="G4353">
        <v>28</v>
      </c>
      <c r="H4353">
        <v>3.2383999999999999</v>
      </c>
      <c r="I4353">
        <v>28.000000000000004</v>
      </c>
      <c r="J4353" t="s">
        <v>20</v>
      </c>
    </row>
    <row r="4354" spans="1:10" x14ac:dyDescent="0.2">
      <c r="A4354">
        <v>14353</v>
      </c>
      <c r="B4354" t="s">
        <v>5</v>
      </c>
      <c r="C4354" t="s">
        <v>6</v>
      </c>
      <c r="D4354">
        <v>7.94</v>
      </c>
      <c r="E4354">
        <v>8</v>
      </c>
      <c r="F4354" t="s">
        <v>16</v>
      </c>
      <c r="G4354">
        <v>55</v>
      </c>
      <c r="H4354">
        <v>12.307</v>
      </c>
      <c r="I4354">
        <v>55.000000000000007</v>
      </c>
      <c r="J4354" t="s">
        <v>20</v>
      </c>
    </row>
    <row r="4355" spans="1:10" x14ac:dyDescent="0.2">
      <c r="A4355">
        <v>14354</v>
      </c>
      <c r="B4355" t="s">
        <v>7</v>
      </c>
      <c r="C4355" t="s">
        <v>9</v>
      </c>
      <c r="D4355">
        <v>4.0199999999999996</v>
      </c>
      <c r="E4355">
        <v>10</v>
      </c>
      <c r="F4355" t="s">
        <v>16</v>
      </c>
      <c r="G4355">
        <v>60</v>
      </c>
      <c r="H4355">
        <v>6.4319999999999995</v>
      </c>
      <c r="I4355">
        <v>60.000000000000007</v>
      </c>
      <c r="J4355" t="s">
        <v>20</v>
      </c>
    </row>
    <row r="4356" spans="1:10" x14ac:dyDescent="0.2">
      <c r="A4356">
        <v>14355</v>
      </c>
      <c r="B4356" t="s">
        <v>5</v>
      </c>
      <c r="C4356" t="s">
        <v>6</v>
      </c>
      <c r="D4356">
        <v>3.17</v>
      </c>
      <c r="E4356">
        <v>9</v>
      </c>
      <c r="F4356" t="s">
        <v>16</v>
      </c>
      <c r="G4356">
        <v>55</v>
      </c>
      <c r="H4356">
        <v>4.9135</v>
      </c>
      <c r="I4356">
        <v>55.000000000000007</v>
      </c>
      <c r="J4356" t="s">
        <v>20</v>
      </c>
    </row>
    <row r="4357" spans="1:10" x14ac:dyDescent="0.2">
      <c r="A4357">
        <v>14356</v>
      </c>
      <c r="B4357" t="s">
        <v>5</v>
      </c>
      <c r="C4357" t="s">
        <v>9</v>
      </c>
      <c r="D4357">
        <v>1.44</v>
      </c>
      <c r="E4357">
        <v>1</v>
      </c>
      <c r="F4357" t="s">
        <v>14</v>
      </c>
      <c r="G4357">
        <v>15</v>
      </c>
      <c r="H4357">
        <v>1.6559999999999999</v>
      </c>
      <c r="I4357">
        <v>14.999999999999991</v>
      </c>
      <c r="J4357" t="s">
        <v>20</v>
      </c>
    </row>
    <row r="4358" spans="1:10" x14ac:dyDescent="0.2">
      <c r="A4358">
        <v>14357</v>
      </c>
      <c r="B4358" t="s">
        <v>7</v>
      </c>
      <c r="C4358" t="s">
        <v>11</v>
      </c>
      <c r="D4358">
        <v>11.56</v>
      </c>
      <c r="E4358">
        <v>4</v>
      </c>
      <c r="F4358" t="s">
        <v>15</v>
      </c>
      <c r="G4358">
        <v>25</v>
      </c>
      <c r="H4358">
        <v>14.450000000000001</v>
      </c>
      <c r="I4358">
        <v>25</v>
      </c>
      <c r="J4358" t="s">
        <v>20</v>
      </c>
    </row>
    <row r="4359" spans="1:10" x14ac:dyDescent="0.2">
      <c r="A4359">
        <v>14358</v>
      </c>
      <c r="B4359" t="s">
        <v>10</v>
      </c>
      <c r="C4359" t="s">
        <v>6</v>
      </c>
      <c r="D4359">
        <v>6.7</v>
      </c>
      <c r="E4359">
        <v>4</v>
      </c>
      <c r="F4359" t="s">
        <v>15</v>
      </c>
      <c r="G4359">
        <v>28</v>
      </c>
      <c r="H4359">
        <v>8.5760000000000005</v>
      </c>
      <c r="I4359">
        <v>28.000000000000004</v>
      </c>
      <c r="J4359" t="s">
        <v>20</v>
      </c>
    </row>
    <row r="4360" spans="1:10" x14ac:dyDescent="0.2">
      <c r="A4360">
        <v>14359</v>
      </c>
      <c r="B4360" t="s">
        <v>8</v>
      </c>
      <c r="C4360" t="s">
        <v>6</v>
      </c>
      <c r="D4360">
        <v>9.59</v>
      </c>
      <c r="E4360">
        <v>3</v>
      </c>
      <c r="F4360" t="s">
        <v>14</v>
      </c>
      <c r="G4360">
        <v>12</v>
      </c>
      <c r="H4360">
        <v>10.7408</v>
      </c>
      <c r="I4360">
        <v>12.000000000000011</v>
      </c>
      <c r="J4360" t="s">
        <v>20</v>
      </c>
    </row>
    <row r="4361" spans="1:10" x14ac:dyDescent="0.2">
      <c r="A4361">
        <v>14360</v>
      </c>
      <c r="B4361" t="s">
        <v>5</v>
      </c>
      <c r="C4361" t="s">
        <v>6</v>
      </c>
      <c r="D4361">
        <v>11.05</v>
      </c>
      <c r="E4361">
        <v>7</v>
      </c>
      <c r="F4361" t="s">
        <v>15</v>
      </c>
      <c r="G4361">
        <v>28</v>
      </c>
      <c r="H4361">
        <v>14.144000000000002</v>
      </c>
      <c r="I4361">
        <v>28.000000000000004</v>
      </c>
      <c r="J4361" t="s">
        <v>20</v>
      </c>
    </row>
    <row r="4362" spans="1:10" x14ac:dyDescent="0.2">
      <c r="A4362">
        <v>14361</v>
      </c>
      <c r="B4362" t="s">
        <v>10</v>
      </c>
      <c r="C4362" t="s">
        <v>11</v>
      </c>
      <c r="D4362">
        <v>10.35</v>
      </c>
      <c r="E4362">
        <v>1</v>
      </c>
      <c r="F4362" t="s">
        <v>14</v>
      </c>
      <c r="G4362">
        <v>10</v>
      </c>
      <c r="H4362">
        <v>11.385</v>
      </c>
      <c r="I4362">
        <v>10.000000000000009</v>
      </c>
      <c r="J4362" t="s">
        <v>20</v>
      </c>
    </row>
    <row r="4363" spans="1:10" x14ac:dyDescent="0.2">
      <c r="A4363">
        <v>14362</v>
      </c>
      <c r="B4363" t="s">
        <v>5</v>
      </c>
      <c r="C4363" t="s">
        <v>9</v>
      </c>
      <c r="D4363">
        <v>7.32</v>
      </c>
      <c r="E4363">
        <v>9</v>
      </c>
      <c r="F4363" t="s">
        <v>16</v>
      </c>
      <c r="G4363">
        <v>60</v>
      </c>
      <c r="H4363">
        <v>11.712000000000002</v>
      </c>
      <c r="I4363">
        <v>60.000000000000007</v>
      </c>
      <c r="J4363" t="s">
        <v>20</v>
      </c>
    </row>
    <row r="4364" spans="1:10" x14ac:dyDescent="0.2">
      <c r="A4364">
        <v>14363</v>
      </c>
      <c r="B4364" t="s">
        <v>5</v>
      </c>
      <c r="C4364" t="s">
        <v>11</v>
      </c>
      <c r="D4364">
        <v>6.12</v>
      </c>
      <c r="E4364">
        <v>8</v>
      </c>
      <c r="F4364" t="s">
        <v>16</v>
      </c>
      <c r="G4364">
        <v>50</v>
      </c>
      <c r="H4364">
        <v>9.18</v>
      </c>
      <c r="I4364">
        <v>50</v>
      </c>
      <c r="J4364" t="s">
        <v>20</v>
      </c>
    </row>
    <row r="4365" spans="1:10" x14ac:dyDescent="0.2">
      <c r="A4365">
        <v>14364</v>
      </c>
      <c r="B4365" t="s">
        <v>8</v>
      </c>
      <c r="C4365" t="s">
        <v>11</v>
      </c>
      <c r="D4365">
        <v>5.95</v>
      </c>
      <c r="E4365">
        <v>2</v>
      </c>
      <c r="F4365" t="s">
        <v>14</v>
      </c>
      <c r="G4365">
        <v>10</v>
      </c>
      <c r="H4365">
        <v>6.5450000000000008</v>
      </c>
      <c r="I4365">
        <v>10.000000000000009</v>
      </c>
      <c r="J4365" t="s">
        <v>20</v>
      </c>
    </row>
    <row r="4366" spans="1:10" x14ac:dyDescent="0.2">
      <c r="A4366">
        <v>14365</v>
      </c>
      <c r="B4366" t="s">
        <v>5</v>
      </c>
      <c r="C4366" t="s">
        <v>6</v>
      </c>
      <c r="D4366">
        <v>9.7799999999999994</v>
      </c>
      <c r="E4366">
        <v>2</v>
      </c>
      <c r="F4366" t="s">
        <v>14</v>
      </c>
      <c r="G4366">
        <v>12</v>
      </c>
      <c r="H4366">
        <v>10.9536</v>
      </c>
      <c r="I4366">
        <v>12.000000000000011</v>
      </c>
      <c r="J4366" t="s">
        <v>20</v>
      </c>
    </row>
    <row r="4367" spans="1:10" x14ac:dyDescent="0.2">
      <c r="A4367">
        <v>14366</v>
      </c>
      <c r="B4367" t="s">
        <v>8</v>
      </c>
      <c r="C4367" t="s">
        <v>9</v>
      </c>
      <c r="D4367">
        <v>7.67</v>
      </c>
      <c r="E4367">
        <v>8</v>
      </c>
      <c r="F4367" t="s">
        <v>16</v>
      </c>
      <c r="G4367">
        <v>60</v>
      </c>
      <c r="H4367">
        <v>12.272</v>
      </c>
      <c r="I4367">
        <v>60.000000000000007</v>
      </c>
      <c r="J4367" t="s">
        <v>20</v>
      </c>
    </row>
    <row r="4368" spans="1:10" x14ac:dyDescent="0.2">
      <c r="A4368">
        <v>14367</v>
      </c>
      <c r="B4368" t="s">
        <v>8</v>
      </c>
      <c r="C4368" t="s">
        <v>11</v>
      </c>
      <c r="D4368">
        <v>12.81</v>
      </c>
      <c r="E4368">
        <v>1</v>
      </c>
      <c r="F4368" t="s">
        <v>14</v>
      </c>
      <c r="G4368">
        <v>10</v>
      </c>
      <c r="H4368">
        <v>14.091000000000001</v>
      </c>
      <c r="I4368">
        <v>10.000000000000009</v>
      </c>
      <c r="J4368" t="s">
        <v>20</v>
      </c>
    </row>
    <row r="4369" spans="1:10" x14ac:dyDescent="0.2">
      <c r="A4369">
        <v>14368</v>
      </c>
      <c r="B4369" t="s">
        <v>8</v>
      </c>
      <c r="C4369" t="s">
        <v>6</v>
      </c>
      <c r="D4369">
        <v>13.18</v>
      </c>
      <c r="E4369">
        <v>7</v>
      </c>
      <c r="F4369" t="s">
        <v>15</v>
      </c>
      <c r="G4369">
        <v>28</v>
      </c>
      <c r="H4369">
        <v>16.8704</v>
      </c>
      <c r="I4369">
        <v>28.000000000000004</v>
      </c>
      <c r="J4369" t="s">
        <v>20</v>
      </c>
    </row>
    <row r="4370" spans="1:10" x14ac:dyDescent="0.2">
      <c r="A4370">
        <v>14369</v>
      </c>
      <c r="B4370" t="s">
        <v>10</v>
      </c>
      <c r="C4370" t="s">
        <v>11</v>
      </c>
      <c r="D4370">
        <v>2.97</v>
      </c>
      <c r="E4370">
        <v>9</v>
      </c>
      <c r="F4370" t="s">
        <v>16</v>
      </c>
      <c r="G4370">
        <v>50</v>
      </c>
      <c r="H4370">
        <v>4.4550000000000001</v>
      </c>
      <c r="I4370">
        <v>50</v>
      </c>
      <c r="J4370" t="s">
        <v>20</v>
      </c>
    </row>
    <row r="4371" spans="1:10" x14ac:dyDescent="0.2">
      <c r="A4371">
        <v>14370</v>
      </c>
      <c r="B4371" t="s">
        <v>7</v>
      </c>
      <c r="C4371" t="s">
        <v>11</v>
      </c>
      <c r="D4371">
        <v>2.48</v>
      </c>
      <c r="E4371">
        <v>3</v>
      </c>
      <c r="F4371" t="s">
        <v>14</v>
      </c>
      <c r="G4371">
        <v>10</v>
      </c>
      <c r="H4371">
        <v>2.7280000000000002</v>
      </c>
      <c r="I4371">
        <v>10.000000000000009</v>
      </c>
      <c r="J4371" t="s">
        <v>20</v>
      </c>
    </row>
    <row r="4372" spans="1:10" x14ac:dyDescent="0.2">
      <c r="A4372">
        <v>14371</v>
      </c>
      <c r="B4372" t="s">
        <v>10</v>
      </c>
      <c r="C4372" t="s">
        <v>6</v>
      </c>
      <c r="D4372">
        <v>9.64</v>
      </c>
      <c r="E4372">
        <v>7</v>
      </c>
      <c r="F4372" t="s">
        <v>15</v>
      </c>
      <c r="G4372">
        <v>28</v>
      </c>
      <c r="H4372">
        <v>12.339200000000002</v>
      </c>
      <c r="I4372">
        <v>28.000000000000004</v>
      </c>
      <c r="J4372" t="s">
        <v>20</v>
      </c>
    </row>
    <row r="4373" spans="1:10" x14ac:dyDescent="0.2">
      <c r="A4373">
        <v>14372</v>
      </c>
      <c r="B4373" t="s">
        <v>7</v>
      </c>
      <c r="C4373" t="s">
        <v>6</v>
      </c>
      <c r="D4373">
        <v>4.87</v>
      </c>
      <c r="E4373">
        <v>6</v>
      </c>
      <c r="F4373" t="s">
        <v>15</v>
      </c>
      <c r="G4373">
        <v>28</v>
      </c>
      <c r="H4373">
        <v>6.2336</v>
      </c>
      <c r="I4373">
        <v>28.000000000000004</v>
      </c>
      <c r="J4373" t="s">
        <v>20</v>
      </c>
    </row>
    <row r="4374" spans="1:10" x14ac:dyDescent="0.2">
      <c r="A4374">
        <v>14373</v>
      </c>
      <c r="B4374" t="s">
        <v>7</v>
      </c>
      <c r="C4374" t="s">
        <v>9</v>
      </c>
      <c r="D4374">
        <v>0.77</v>
      </c>
      <c r="E4374">
        <v>7</v>
      </c>
      <c r="F4374" t="s">
        <v>15</v>
      </c>
      <c r="G4374">
        <v>30</v>
      </c>
      <c r="H4374">
        <v>1.0010000000000001</v>
      </c>
      <c r="I4374">
        <v>30.000000000000004</v>
      </c>
      <c r="J4374" t="s">
        <v>20</v>
      </c>
    </row>
    <row r="4375" spans="1:10" x14ac:dyDescent="0.2">
      <c r="A4375">
        <v>14374</v>
      </c>
      <c r="B4375" t="s">
        <v>8</v>
      </c>
      <c r="C4375" t="s">
        <v>11</v>
      </c>
      <c r="D4375">
        <v>13.39</v>
      </c>
      <c r="E4375">
        <v>7</v>
      </c>
      <c r="F4375" t="s">
        <v>15</v>
      </c>
      <c r="G4375">
        <v>25</v>
      </c>
      <c r="H4375">
        <v>16.737500000000001</v>
      </c>
      <c r="I4375">
        <v>25</v>
      </c>
      <c r="J4375" t="s">
        <v>20</v>
      </c>
    </row>
    <row r="4376" spans="1:10" x14ac:dyDescent="0.2">
      <c r="A4376">
        <v>14375</v>
      </c>
      <c r="B4376" t="s">
        <v>5</v>
      </c>
      <c r="C4376" t="s">
        <v>6</v>
      </c>
      <c r="D4376">
        <v>3.79</v>
      </c>
      <c r="E4376">
        <v>10</v>
      </c>
      <c r="F4376" t="s">
        <v>16</v>
      </c>
      <c r="G4376">
        <v>55</v>
      </c>
      <c r="H4376">
        <v>5.8745000000000003</v>
      </c>
      <c r="I4376">
        <v>55.000000000000007</v>
      </c>
      <c r="J4376" t="s">
        <v>20</v>
      </c>
    </row>
    <row r="4377" spans="1:10" x14ac:dyDescent="0.2">
      <c r="A4377">
        <v>14376</v>
      </c>
      <c r="B4377" t="s">
        <v>8</v>
      </c>
      <c r="C4377" t="s">
        <v>6</v>
      </c>
      <c r="D4377">
        <v>13.97</v>
      </c>
      <c r="E4377">
        <v>1</v>
      </c>
      <c r="F4377" t="s">
        <v>14</v>
      </c>
      <c r="G4377">
        <v>12</v>
      </c>
      <c r="H4377">
        <v>15.646400000000002</v>
      </c>
      <c r="I4377">
        <v>12.000000000000011</v>
      </c>
      <c r="J4377" t="s">
        <v>20</v>
      </c>
    </row>
    <row r="4378" spans="1:10" x14ac:dyDescent="0.2">
      <c r="A4378">
        <v>14377</v>
      </c>
      <c r="B4378" t="s">
        <v>5</v>
      </c>
      <c r="C4378" t="s">
        <v>9</v>
      </c>
      <c r="D4378">
        <v>10.9</v>
      </c>
      <c r="E4378">
        <v>3</v>
      </c>
      <c r="F4378" t="s">
        <v>14</v>
      </c>
      <c r="G4378">
        <v>15</v>
      </c>
      <c r="H4378">
        <v>12.535</v>
      </c>
      <c r="I4378">
        <v>14.999999999999991</v>
      </c>
      <c r="J4378" t="s">
        <v>20</v>
      </c>
    </row>
    <row r="4379" spans="1:10" x14ac:dyDescent="0.2">
      <c r="A4379">
        <v>14378</v>
      </c>
      <c r="B4379" t="s">
        <v>7</v>
      </c>
      <c r="C4379" t="s">
        <v>9</v>
      </c>
      <c r="D4379">
        <v>11.56</v>
      </c>
      <c r="E4379">
        <v>10</v>
      </c>
      <c r="F4379" t="s">
        <v>16</v>
      </c>
      <c r="G4379">
        <v>60</v>
      </c>
      <c r="H4379">
        <v>18.496000000000002</v>
      </c>
      <c r="I4379">
        <v>60.000000000000007</v>
      </c>
      <c r="J4379" t="s">
        <v>20</v>
      </c>
    </row>
    <row r="4380" spans="1:10" x14ac:dyDescent="0.2">
      <c r="A4380">
        <v>14379</v>
      </c>
      <c r="B4380" t="s">
        <v>8</v>
      </c>
      <c r="C4380" t="s">
        <v>6</v>
      </c>
      <c r="D4380">
        <v>3.42</v>
      </c>
      <c r="E4380">
        <v>1</v>
      </c>
      <c r="F4380" t="s">
        <v>14</v>
      </c>
      <c r="G4380">
        <v>12</v>
      </c>
      <c r="H4380">
        <v>3.8304000000000005</v>
      </c>
      <c r="I4380">
        <v>12.000000000000011</v>
      </c>
      <c r="J4380" t="s">
        <v>20</v>
      </c>
    </row>
    <row r="4381" spans="1:10" x14ac:dyDescent="0.2">
      <c r="A4381">
        <v>14380</v>
      </c>
      <c r="B4381" t="s">
        <v>5</v>
      </c>
      <c r="C4381" t="s">
        <v>9</v>
      </c>
      <c r="D4381">
        <v>3.9</v>
      </c>
      <c r="E4381">
        <v>5</v>
      </c>
      <c r="F4381" t="s">
        <v>15</v>
      </c>
      <c r="G4381">
        <v>30</v>
      </c>
      <c r="H4381">
        <v>5.07</v>
      </c>
      <c r="I4381">
        <v>30.000000000000004</v>
      </c>
      <c r="J4381" t="s">
        <v>20</v>
      </c>
    </row>
    <row r="4382" spans="1:10" x14ac:dyDescent="0.2">
      <c r="A4382">
        <v>14381</v>
      </c>
      <c r="B4382" t="s">
        <v>10</v>
      </c>
      <c r="C4382" t="s">
        <v>6</v>
      </c>
      <c r="D4382">
        <v>8.06</v>
      </c>
      <c r="E4382">
        <v>3</v>
      </c>
      <c r="F4382" t="s">
        <v>14</v>
      </c>
      <c r="G4382">
        <v>12</v>
      </c>
      <c r="H4382">
        <v>9.0272000000000006</v>
      </c>
      <c r="I4382">
        <v>12.000000000000011</v>
      </c>
      <c r="J4382" t="s">
        <v>20</v>
      </c>
    </row>
    <row r="4383" spans="1:10" x14ac:dyDescent="0.2">
      <c r="A4383">
        <v>14382</v>
      </c>
      <c r="B4383" t="s">
        <v>5</v>
      </c>
      <c r="C4383" t="s">
        <v>11</v>
      </c>
      <c r="D4383">
        <v>3</v>
      </c>
      <c r="E4383">
        <v>1</v>
      </c>
      <c r="F4383" t="s">
        <v>14</v>
      </c>
      <c r="G4383">
        <v>10</v>
      </c>
      <c r="H4383">
        <v>3.3000000000000003</v>
      </c>
      <c r="I4383">
        <v>10.000000000000009</v>
      </c>
      <c r="J4383" t="s">
        <v>20</v>
      </c>
    </row>
    <row r="4384" spans="1:10" x14ac:dyDescent="0.2">
      <c r="A4384">
        <v>14383</v>
      </c>
      <c r="B4384" t="s">
        <v>8</v>
      </c>
      <c r="C4384" t="s">
        <v>9</v>
      </c>
      <c r="D4384">
        <v>4.93</v>
      </c>
      <c r="E4384">
        <v>2</v>
      </c>
      <c r="F4384" t="s">
        <v>14</v>
      </c>
      <c r="G4384">
        <v>15</v>
      </c>
      <c r="H4384">
        <v>5.6694999999999993</v>
      </c>
      <c r="I4384">
        <v>14.999999999999991</v>
      </c>
      <c r="J4384" t="s">
        <v>20</v>
      </c>
    </row>
    <row r="4385" spans="1:10" x14ac:dyDescent="0.2">
      <c r="A4385">
        <v>14384</v>
      </c>
      <c r="B4385" t="s">
        <v>10</v>
      </c>
      <c r="C4385" t="s">
        <v>11</v>
      </c>
      <c r="D4385">
        <v>5.16</v>
      </c>
      <c r="E4385">
        <v>10</v>
      </c>
      <c r="F4385" t="s">
        <v>16</v>
      </c>
      <c r="G4385">
        <v>50</v>
      </c>
      <c r="H4385">
        <v>7.74</v>
      </c>
      <c r="I4385">
        <v>50</v>
      </c>
      <c r="J4385" t="s">
        <v>20</v>
      </c>
    </row>
    <row r="4386" spans="1:10" x14ac:dyDescent="0.2">
      <c r="A4386">
        <v>14385</v>
      </c>
      <c r="B4386" t="s">
        <v>5</v>
      </c>
      <c r="C4386" t="s">
        <v>11</v>
      </c>
      <c r="D4386">
        <v>2.81</v>
      </c>
      <c r="E4386">
        <v>5</v>
      </c>
      <c r="F4386" t="s">
        <v>15</v>
      </c>
      <c r="G4386">
        <v>25</v>
      </c>
      <c r="H4386">
        <v>3.5125000000000002</v>
      </c>
      <c r="I4386">
        <v>25</v>
      </c>
      <c r="J4386" t="s">
        <v>20</v>
      </c>
    </row>
    <row r="4387" spans="1:10" x14ac:dyDescent="0.2">
      <c r="A4387">
        <v>14386</v>
      </c>
      <c r="B4387" t="s">
        <v>5</v>
      </c>
      <c r="C4387" t="s">
        <v>11</v>
      </c>
      <c r="D4387">
        <v>3.48</v>
      </c>
      <c r="E4387">
        <v>3</v>
      </c>
      <c r="F4387" t="s">
        <v>14</v>
      </c>
      <c r="G4387">
        <v>10</v>
      </c>
      <c r="H4387">
        <v>3.8280000000000003</v>
      </c>
      <c r="I4387">
        <v>10.000000000000009</v>
      </c>
      <c r="J4387" t="s">
        <v>20</v>
      </c>
    </row>
    <row r="4388" spans="1:10" x14ac:dyDescent="0.2">
      <c r="A4388">
        <v>14387</v>
      </c>
      <c r="B4388" t="s">
        <v>5</v>
      </c>
      <c r="C4388" t="s">
        <v>6</v>
      </c>
      <c r="D4388">
        <v>11.93</v>
      </c>
      <c r="E4388">
        <v>6</v>
      </c>
      <c r="F4388" t="s">
        <v>15</v>
      </c>
      <c r="G4388">
        <v>28</v>
      </c>
      <c r="H4388">
        <v>15.2704</v>
      </c>
      <c r="I4388">
        <v>28.000000000000004</v>
      </c>
      <c r="J4388" t="s">
        <v>20</v>
      </c>
    </row>
    <row r="4389" spans="1:10" x14ac:dyDescent="0.2">
      <c r="A4389">
        <v>14388</v>
      </c>
      <c r="B4389" t="s">
        <v>5</v>
      </c>
      <c r="C4389" t="s">
        <v>11</v>
      </c>
      <c r="D4389">
        <v>2.92</v>
      </c>
      <c r="E4389">
        <v>9</v>
      </c>
      <c r="F4389" t="s">
        <v>16</v>
      </c>
      <c r="G4389">
        <v>50</v>
      </c>
      <c r="H4389">
        <v>4.38</v>
      </c>
      <c r="I4389">
        <v>50</v>
      </c>
      <c r="J4389" t="s">
        <v>20</v>
      </c>
    </row>
    <row r="4390" spans="1:10" x14ac:dyDescent="0.2">
      <c r="A4390">
        <v>14389</v>
      </c>
      <c r="B4390" t="s">
        <v>5</v>
      </c>
      <c r="C4390" t="s">
        <v>11</v>
      </c>
      <c r="D4390">
        <v>0.91</v>
      </c>
      <c r="E4390">
        <v>6</v>
      </c>
      <c r="F4390" t="s">
        <v>15</v>
      </c>
      <c r="G4390">
        <v>25</v>
      </c>
      <c r="H4390">
        <v>1.1375</v>
      </c>
      <c r="I4390">
        <v>25</v>
      </c>
      <c r="J4390" t="s">
        <v>20</v>
      </c>
    </row>
    <row r="4391" spans="1:10" x14ac:dyDescent="0.2">
      <c r="A4391">
        <v>14390</v>
      </c>
      <c r="B4391" t="s">
        <v>10</v>
      </c>
      <c r="C4391" t="s">
        <v>11</v>
      </c>
      <c r="D4391">
        <v>9.6300000000000008</v>
      </c>
      <c r="E4391">
        <v>2</v>
      </c>
      <c r="F4391" t="s">
        <v>14</v>
      </c>
      <c r="G4391">
        <v>10</v>
      </c>
      <c r="H4391">
        <v>10.593000000000002</v>
      </c>
      <c r="I4391">
        <v>10.000000000000009</v>
      </c>
      <c r="J4391" t="s">
        <v>20</v>
      </c>
    </row>
    <row r="4392" spans="1:10" x14ac:dyDescent="0.2">
      <c r="A4392">
        <v>14391</v>
      </c>
      <c r="B4392" t="s">
        <v>7</v>
      </c>
      <c r="C4392" t="s">
        <v>6</v>
      </c>
      <c r="D4392">
        <v>14.65</v>
      </c>
      <c r="E4392">
        <v>2</v>
      </c>
      <c r="F4392" t="s">
        <v>14</v>
      </c>
      <c r="G4392">
        <v>12</v>
      </c>
      <c r="H4392">
        <v>16.408000000000001</v>
      </c>
      <c r="I4392">
        <v>12.000000000000011</v>
      </c>
      <c r="J4392" t="s">
        <v>20</v>
      </c>
    </row>
    <row r="4393" spans="1:10" x14ac:dyDescent="0.2">
      <c r="A4393">
        <v>14392</v>
      </c>
      <c r="B4393" t="s">
        <v>10</v>
      </c>
      <c r="C4393" t="s">
        <v>11</v>
      </c>
      <c r="D4393">
        <v>5.3</v>
      </c>
      <c r="E4393">
        <v>8</v>
      </c>
      <c r="F4393" t="s">
        <v>16</v>
      </c>
      <c r="G4393">
        <v>50</v>
      </c>
      <c r="H4393">
        <v>7.9499999999999993</v>
      </c>
      <c r="I4393">
        <v>50</v>
      </c>
      <c r="J4393" t="s">
        <v>20</v>
      </c>
    </row>
    <row r="4394" spans="1:10" x14ac:dyDescent="0.2">
      <c r="A4394">
        <v>14393</v>
      </c>
      <c r="B4394" t="s">
        <v>10</v>
      </c>
      <c r="C4394" t="s">
        <v>11</v>
      </c>
      <c r="D4394">
        <v>2.2200000000000002</v>
      </c>
      <c r="E4394">
        <v>8</v>
      </c>
      <c r="F4394" t="s">
        <v>16</v>
      </c>
      <c r="G4394">
        <v>50</v>
      </c>
      <c r="H4394">
        <v>3.33</v>
      </c>
      <c r="I4394">
        <v>50</v>
      </c>
      <c r="J4394" t="s">
        <v>20</v>
      </c>
    </row>
    <row r="4395" spans="1:10" x14ac:dyDescent="0.2">
      <c r="A4395">
        <v>14394</v>
      </c>
      <c r="B4395" t="s">
        <v>10</v>
      </c>
      <c r="C4395" t="s">
        <v>9</v>
      </c>
      <c r="D4395">
        <v>8.77</v>
      </c>
      <c r="E4395">
        <v>6</v>
      </c>
      <c r="F4395" t="s">
        <v>15</v>
      </c>
      <c r="G4395">
        <v>30</v>
      </c>
      <c r="H4395">
        <v>11.401</v>
      </c>
      <c r="I4395">
        <v>30.000000000000004</v>
      </c>
      <c r="J4395" t="s">
        <v>20</v>
      </c>
    </row>
    <row r="4396" spans="1:10" x14ac:dyDescent="0.2">
      <c r="A4396">
        <v>14395</v>
      </c>
      <c r="B4396" t="s">
        <v>7</v>
      </c>
      <c r="C4396" t="s">
        <v>6</v>
      </c>
      <c r="D4396">
        <v>13.64</v>
      </c>
      <c r="E4396">
        <v>10</v>
      </c>
      <c r="F4396" t="s">
        <v>16</v>
      </c>
      <c r="G4396">
        <v>55</v>
      </c>
      <c r="H4396">
        <v>21.142000000000003</v>
      </c>
      <c r="I4396">
        <v>55.000000000000028</v>
      </c>
      <c r="J4396" t="s">
        <v>20</v>
      </c>
    </row>
    <row r="4397" spans="1:10" x14ac:dyDescent="0.2">
      <c r="A4397">
        <v>14396</v>
      </c>
      <c r="B4397" t="s">
        <v>8</v>
      </c>
      <c r="C4397" t="s">
        <v>11</v>
      </c>
      <c r="D4397">
        <v>11.87</v>
      </c>
      <c r="E4397">
        <v>7</v>
      </c>
      <c r="F4397" t="s">
        <v>15</v>
      </c>
      <c r="G4397">
        <v>25</v>
      </c>
      <c r="H4397">
        <v>14.837499999999999</v>
      </c>
      <c r="I4397">
        <v>25</v>
      </c>
      <c r="J4397" t="s">
        <v>20</v>
      </c>
    </row>
    <row r="4398" spans="1:10" x14ac:dyDescent="0.2">
      <c r="A4398">
        <v>14397</v>
      </c>
      <c r="B4398" t="s">
        <v>7</v>
      </c>
      <c r="C4398" t="s">
        <v>9</v>
      </c>
      <c r="D4398">
        <v>9.5299999999999994</v>
      </c>
      <c r="E4398">
        <v>1</v>
      </c>
      <c r="F4398" t="s">
        <v>14</v>
      </c>
      <c r="G4398">
        <v>15</v>
      </c>
      <c r="H4398">
        <v>10.959499999999998</v>
      </c>
      <c r="I4398">
        <v>14.999999999999991</v>
      </c>
      <c r="J4398" t="s">
        <v>20</v>
      </c>
    </row>
    <row r="4399" spans="1:10" x14ac:dyDescent="0.2">
      <c r="A4399">
        <v>14398</v>
      </c>
      <c r="B4399" t="s">
        <v>10</v>
      </c>
      <c r="C4399" t="s">
        <v>6</v>
      </c>
      <c r="D4399">
        <v>5.07</v>
      </c>
      <c r="E4399">
        <v>9</v>
      </c>
      <c r="F4399" t="s">
        <v>16</v>
      </c>
      <c r="G4399">
        <v>55</v>
      </c>
      <c r="H4399">
        <v>7.8585000000000003</v>
      </c>
      <c r="I4399">
        <v>55.000000000000007</v>
      </c>
      <c r="J4399" t="s">
        <v>20</v>
      </c>
    </row>
    <row r="4400" spans="1:10" x14ac:dyDescent="0.2">
      <c r="A4400">
        <v>14399</v>
      </c>
      <c r="B4400" t="s">
        <v>5</v>
      </c>
      <c r="C4400" t="s">
        <v>6</v>
      </c>
      <c r="D4400">
        <v>8.36</v>
      </c>
      <c r="E4400">
        <v>5</v>
      </c>
      <c r="F4400" t="s">
        <v>15</v>
      </c>
      <c r="G4400">
        <v>28</v>
      </c>
      <c r="H4400">
        <v>10.700799999999999</v>
      </c>
      <c r="I4400">
        <v>28.000000000000004</v>
      </c>
      <c r="J4400" t="s">
        <v>20</v>
      </c>
    </row>
    <row r="4401" spans="1:10" x14ac:dyDescent="0.2">
      <c r="A4401">
        <v>14400</v>
      </c>
      <c r="B4401" t="s">
        <v>5</v>
      </c>
      <c r="C4401" t="s">
        <v>6</v>
      </c>
      <c r="D4401">
        <v>1.82</v>
      </c>
      <c r="E4401">
        <v>9</v>
      </c>
      <c r="F4401" t="s">
        <v>16</v>
      </c>
      <c r="G4401">
        <v>55</v>
      </c>
      <c r="H4401">
        <v>2.8210000000000002</v>
      </c>
      <c r="I4401">
        <v>55.000000000000007</v>
      </c>
      <c r="J4401" t="s">
        <v>20</v>
      </c>
    </row>
    <row r="4402" spans="1:10" x14ac:dyDescent="0.2">
      <c r="A4402">
        <v>14401</v>
      </c>
      <c r="B4402" t="s">
        <v>10</v>
      </c>
      <c r="C4402" t="s">
        <v>6</v>
      </c>
      <c r="D4402">
        <v>10.34</v>
      </c>
      <c r="E4402">
        <v>2</v>
      </c>
      <c r="F4402" t="s">
        <v>14</v>
      </c>
      <c r="G4402">
        <v>12</v>
      </c>
      <c r="H4402">
        <v>11.580800000000002</v>
      </c>
      <c r="I4402">
        <v>12.000000000000011</v>
      </c>
      <c r="J4402" t="s">
        <v>20</v>
      </c>
    </row>
    <row r="4403" spans="1:10" x14ac:dyDescent="0.2">
      <c r="A4403">
        <v>14402</v>
      </c>
      <c r="B4403" t="s">
        <v>5</v>
      </c>
      <c r="C4403" t="s">
        <v>6</v>
      </c>
      <c r="D4403">
        <v>11.01</v>
      </c>
      <c r="E4403">
        <v>8</v>
      </c>
      <c r="F4403" t="s">
        <v>16</v>
      </c>
      <c r="G4403">
        <v>55</v>
      </c>
      <c r="H4403">
        <v>17.0655</v>
      </c>
      <c r="I4403">
        <v>55.000000000000007</v>
      </c>
      <c r="J4403" t="s">
        <v>20</v>
      </c>
    </row>
    <row r="4404" spans="1:10" x14ac:dyDescent="0.2">
      <c r="A4404">
        <v>14403</v>
      </c>
      <c r="B4404" t="s">
        <v>10</v>
      </c>
      <c r="C4404" t="s">
        <v>6</v>
      </c>
      <c r="D4404">
        <v>14.49</v>
      </c>
      <c r="E4404">
        <v>7</v>
      </c>
      <c r="F4404" t="s">
        <v>15</v>
      </c>
      <c r="G4404">
        <v>28</v>
      </c>
      <c r="H4404">
        <v>18.5472</v>
      </c>
      <c r="I4404">
        <v>28.000000000000004</v>
      </c>
      <c r="J4404" t="s">
        <v>20</v>
      </c>
    </row>
    <row r="4405" spans="1:10" x14ac:dyDescent="0.2">
      <c r="A4405">
        <v>14404</v>
      </c>
      <c r="B4405" t="s">
        <v>5</v>
      </c>
      <c r="C4405" t="s">
        <v>11</v>
      </c>
      <c r="D4405">
        <v>4.28</v>
      </c>
      <c r="E4405">
        <v>4</v>
      </c>
      <c r="F4405" t="s">
        <v>15</v>
      </c>
      <c r="G4405">
        <v>25</v>
      </c>
      <c r="H4405">
        <v>5.3500000000000005</v>
      </c>
      <c r="I4405">
        <v>25</v>
      </c>
      <c r="J4405" t="s">
        <v>20</v>
      </c>
    </row>
    <row r="4406" spans="1:10" x14ac:dyDescent="0.2">
      <c r="A4406">
        <v>14405</v>
      </c>
      <c r="B4406" t="s">
        <v>7</v>
      </c>
      <c r="C4406" t="s">
        <v>11</v>
      </c>
      <c r="D4406">
        <v>0.77</v>
      </c>
      <c r="E4406">
        <v>3</v>
      </c>
      <c r="F4406" t="s">
        <v>14</v>
      </c>
      <c r="G4406">
        <v>10</v>
      </c>
      <c r="H4406">
        <v>0.84700000000000009</v>
      </c>
      <c r="I4406">
        <v>10.000000000000009</v>
      </c>
      <c r="J4406" t="s">
        <v>20</v>
      </c>
    </row>
    <row r="4407" spans="1:10" x14ac:dyDescent="0.2">
      <c r="A4407">
        <v>14406</v>
      </c>
      <c r="B4407" t="s">
        <v>8</v>
      </c>
      <c r="C4407" t="s">
        <v>11</v>
      </c>
      <c r="D4407">
        <v>8.41</v>
      </c>
      <c r="E4407">
        <v>4</v>
      </c>
      <c r="F4407" t="s">
        <v>15</v>
      </c>
      <c r="G4407">
        <v>25</v>
      </c>
      <c r="H4407">
        <v>10.512499999999999</v>
      </c>
      <c r="I4407">
        <v>25</v>
      </c>
      <c r="J4407" t="s">
        <v>20</v>
      </c>
    </row>
    <row r="4408" spans="1:10" x14ac:dyDescent="0.2">
      <c r="A4408">
        <v>14407</v>
      </c>
      <c r="B4408" t="s">
        <v>8</v>
      </c>
      <c r="C4408" t="s">
        <v>11</v>
      </c>
      <c r="D4408">
        <v>10.75</v>
      </c>
      <c r="E4408">
        <v>4</v>
      </c>
      <c r="F4408" t="s">
        <v>15</v>
      </c>
      <c r="G4408">
        <v>25</v>
      </c>
      <c r="H4408">
        <v>13.4375</v>
      </c>
      <c r="I4408">
        <v>25</v>
      </c>
      <c r="J4408" t="s">
        <v>20</v>
      </c>
    </row>
    <row r="4409" spans="1:10" x14ac:dyDescent="0.2">
      <c r="A4409">
        <v>14408</v>
      </c>
      <c r="B4409" t="s">
        <v>7</v>
      </c>
      <c r="C4409" t="s">
        <v>9</v>
      </c>
      <c r="D4409">
        <v>11.96</v>
      </c>
      <c r="E4409">
        <v>10</v>
      </c>
      <c r="F4409" t="s">
        <v>16</v>
      </c>
      <c r="G4409">
        <v>60</v>
      </c>
      <c r="H4409">
        <v>19.136000000000003</v>
      </c>
      <c r="I4409">
        <v>60.000000000000007</v>
      </c>
      <c r="J4409" t="s">
        <v>20</v>
      </c>
    </row>
    <row r="4410" spans="1:10" x14ac:dyDescent="0.2">
      <c r="A4410">
        <v>14409</v>
      </c>
      <c r="B4410" t="s">
        <v>7</v>
      </c>
      <c r="C4410" t="s">
        <v>11</v>
      </c>
      <c r="D4410">
        <v>3.31</v>
      </c>
      <c r="E4410">
        <v>10</v>
      </c>
      <c r="F4410" t="s">
        <v>16</v>
      </c>
      <c r="G4410">
        <v>50</v>
      </c>
      <c r="H4410">
        <v>4.9649999999999999</v>
      </c>
      <c r="I4410">
        <v>50</v>
      </c>
      <c r="J4410" t="s">
        <v>20</v>
      </c>
    </row>
    <row r="4411" spans="1:10" x14ac:dyDescent="0.2">
      <c r="A4411">
        <v>14410</v>
      </c>
      <c r="B4411" t="s">
        <v>10</v>
      </c>
      <c r="C4411" t="s">
        <v>6</v>
      </c>
      <c r="D4411">
        <v>4.3</v>
      </c>
      <c r="E4411">
        <v>8</v>
      </c>
      <c r="F4411" t="s">
        <v>16</v>
      </c>
      <c r="G4411">
        <v>55</v>
      </c>
      <c r="H4411">
        <v>6.665</v>
      </c>
      <c r="I4411">
        <v>55.000000000000007</v>
      </c>
      <c r="J4411" t="s">
        <v>20</v>
      </c>
    </row>
    <row r="4412" spans="1:10" x14ac:dyDescent="0.2">
      <c r="A4412">
        <v>14411</v>
      </c>
      <c r="B4412" t="s">
        <v>10</v>
      </c>
      <c r="C4412" t="s">
        <v>11</v>
      </c>
      <c r="D4412">
        <v>7.93</v>
      </c>
      <c r="E4412">
        <v>4</v>
      </c>
      <c r="F4412" t="s">
        <v>15</v>
      </c>
      <c r="G4412">
        <v>25</v>
      </c>
      <c r="H4412">
        <v>9.9124999999999996</v>
      </c>
      <c r="I4412">
        <v>25</v>
      </c>
      <c r="J4412" t="s">
        <v>20</v>
      </c>
    </row>
    <row r="4413" spans="1:10" x14ac:dyDescent="0.2">
      <c r="A4413">
        <v>14412</v>
      </c>
      <c r="B4413" t="s">
        <v>10</v>
      </c>
      <c r="C4413" t="s">
        <v>11</v>
      </c>
      <c r="D4413">
        <v>5.29</v>
      </c>
      <c r="E4413">
        <v>5</v>
      </c>
      <c r="F4413" t="s">
        <v>15</v>
      </c>
      <c r="G4413">
        <v>25</v>
      </c>
      <c r="H4413">
        <v>6.6124999999999998</v>
      </c>
      <c r="I4413">
        <v>25</v>
      </c>
      <c r="J4413" t="s">
        <v>20</v>
      </c>
    </row>
    <row r="4414" spans="1:10" x14ac:dyDescent="0.2">
      <c r="A4414">
        <v>14413</v>
      </c>
      <c r="B4414" t="s">
        <v>5</v>
      </c>
      <c r="C4414" t="s">
        <v>6</v>
      </c>
      <c r="D4414">
        <v>12.98</v>
      </c>
      <c r="E4414">
        <v>2</v>
      </c>
      <c r="F4414" t="s">
        <v>14</v>
      </c>
      <c r="G4414">
        <v>12</v>
      </c>
      <c r="H4414">
        <v>14.537600000000001</v>
      </c>
      <c r="I4414">
        <v>12.000000000000011</v>
      </c>
      <c r="J4414" t="s">
        <v>20</v>
      </c>
    </row>
    <row r="4415" spans="1:10" x14ac:dyDescent="0.2">
      <c r="A4415">
        <v>14414</v>
      </c>
      <c r="B4415" t="s">
        <v>10</v>
      </c>
      <c r="C4415" t="s">
        <v>11</v>
      </c>
      <c r="D4415">
        <v>7.37</v>
      </c>
      <c r="E4415">
        <v>4</v>
      </c>
      <c r="F4415" t="s">
        <v>15</v>
      </c>
      <c r="G4415">
        <v>25</v>
      </c>
      <c r="H4415">
        <v>9.2125000000000004</v>
      </c>
      <c r="I4415">
        <v>25</v>
      </c>
      <c r="J4415" t="s">
        <v>20</v>
      </c>
    </row>
    <row r="4416" spans="1:10" x14ac:dyDescent="0.2">
      <c r="A4416">
        <v>14415</v>
      </c>
      <c r="B4416" t="s">
        <v>7</v>
      </c>
      <c r="C4416" t="s">
        <v>11</v>
      </c>
      <c r="D4416">
        <v>12.09</v>
      </c>
      <c r="E4416">
        <v>7</v>
      </c>
      <c r="F4416" t="s">
        <v>15</v>
      </c>
      <c r="G4416">
        <v>25</v>
      </c>
      <c r="H4416">
        <v>15.112500000000001</v>
      </c>
      <c r="I4416">
        <v>25</v>
      </c>
      <c r="J4416" t="s">
        <v>20</v>
      </c>
    </row>
    <row r="4417" spans="1:10" x14ac:dyDescent="0.2">
      <c r="A4417">
        <v>14416</v>
      </c>
      <c r="B4417" t="s">
        <v>8</v>
      </c>
      <c r="C4417" t="s">
        <v>11</v>
      </c>
      <c r="D4417">
        <v>8.92</v>
      </c>
      <c r="E4417">
        <v>3</v>
      </c>
      <c r="F4417" t="s">
        <v>14</v>
      </c>
      <c r="G4417">
        <v>10</v>
      </c>
      <c r="H4417">
        <v>9.8120000000000012</v>
      </c>
      <c r="I4417">
        <v>10.000000000000009</v>
      </c>
      <c r="J4417" t="s">
        <v>20</v>
      </c>
    </row>
    <row r="4418" spans="1:10" x14ac:dyDescent="0.2">
      <c r="A4418">
        <v>14417</v>
      </c>
      <c r="B4418" t="s">
        <v>5</v>
      </c>
      <c r="C4418" t="s">
        <v>9</v>
      </c>
      <c r="D4418">
        <v>11.71</v>
      </c>
      <c r="E4418">
        <v>1</v>
      </c>
      <c r="F4418" t="s">
        <v>14</v>
      </c>
      <c r="G4418">
        <v>15</v>
      </c>
      <c r="H4418">
        <v>13.4665</v>
      </c>
      <c r="I4418">
        <v>14.999999999999991</v>
      </c>
      <c r="J4418" t="s">
        <v>20</v>
      </c>
    </row>
    <row r="4419" spans="1:10" x14ac:dyDescent="0.2">
      <c r="A4419">
        <v>14418</v>
      </c>
      <c r="B4419" t="s">
        <v>10</v>
      </c>
      <c r="C4419" t="s">
        <v>11</v>
      </c>
      <c r="D4419">
        <v>5.32</v>
      </c>
      <c r="E4419">
        <v>8</v>
      </c>
      <c r="F4419" t="s">
        <v>16</v>
      </c>
      <c r="G4419">
        <v>50</v>
      </c>
      <c r="H4419">
        <v>7.98</v>
      </c>
      <c r="I4419">
        <v>50</v>
      </c>
      <c r="J4419" t="s">
        <v>20</v>
      </c>
    </row>
    <row r="4420" spans="1:10" x14ac:dyDescent="0.2">
      <c r="A4420">
        <v>14419</v>
      </c>
      <c r="B4420" t="s">
        <v>5</v>
      </c>
      <c r="C4420" t="s">
        <v>6</v>
      </c>
      <c r="D4420">
        <v>12.56</v>
      </c>
      <c r="E4420">
        <v>8</v>
      </c>
      <c r="F4420" t="s">
        <v>16</v>
      </c>
      <c r="G4420">
        <v>55</v>
      </c>
      <c r="H4420">
        <v>19.468</v>
      </c>
      <c r="I4420">
        <v>55.000000000000007</v>
      </c>
      <c r="J4420" t="s">
        <v>20</v>
      </c>
    </row>
    <row r="4421" spans="1:10" x14ac:dyDescent="0.2">
      <c r="A4421">
        <v>14420</v>
      </c>
      <c r="B4421" t="s">
        <v>5</v>
      </c>
      <c r="C4421" t="s">
        <v>6</v>
      </c>
      <c r="D4421">
        <v>4.4800000000000004</v>
      </c>
      <c r="E4421">
        <v>6</v>
      </c>
      <c r="F4421" t="s">
        <v>15</v>
      </c>
      <c r="G4421">
        <v>28</v>
      </c>
      <c r="H4421">
        <v>5.7344000000000008</v>
      </c>
      <c r="I4421">
        <v>28.000000000000004</v>
      </c>
      <c r="J4421" t="s">
        <v>20</v>
      </c>
    </row>
    <row r="4422" spans="1:10" x14ac:dyDescent="0.2">
      <c r="A4422">
        <v>14421</v>
      </c>
      <c r="B4422" t="s">
        <v>10</v>
      </c>
      <c r="C4422" t="s">
        <v>11</v>
      </c>
      <c r="D4422">
        <v>8.42</v>
      </c>
      <c r="E4422">
        <v>7</v>
      </c>
      <c r="F4422" t="s">
        <v>15</v>
      </c>
      <c r="G4422">
        <v>25</v>
      </c>
      <c r="H4422">
        <v>10.525</v>
      </c>
      <c r="I4422">
        <v>25</v>
      </c>
      <c r="J4422" t="s">
        <v>20</v>
      </c>
    </row>
    <row r="4423" spans="1:10" x14ac:dyDescent="0.2">
      <c r="A4423">
        <v>14422</v>
      </c>
      <c r="B4423" t="s">
        <v>5</v>
      </c>
      <c r="C4423" t="s">
        <v>11</v>
      </c>
      <c r="D4423">
        <v>3.6</v>
      </c>
      <c r="E4423">
        <v>10</v>
      </c>
      <c r="F4423" t="s">
        <v>16</v>
      </c>
      <c r="G4423">
        <v>50</v>
      </c>
      <c r="H4423">
        <v>5.4</v>
      </c>
      <c r="I4423">
        <v>50</v>
      </c>
      <c r="J4423" t="s">
        <v>20</v>
      </c>
    </row>
    <row r="4424" spans="1:10" x14ac:dyDescent="0.2">
      <c r="A4424">
        <v>14423</v>
      </c>
      <c r="B4424" t="s">
        <v>8</v>
      </c>
      <c r="C4424" t="s">
        <v>11</v>
      </c>
      <c r="D4424">
        <v>7.4</v>
      </c>
      <c r="E4424">
        <v>2</v>
      </c>
      <c r="F4424" t="s">
        <v>14</v>
      </c>
      <c r="G4424">
        <v>10</v>
      </c>
      <c r="H4424">
        <v>8.14</v>
      </c>
      <c r="I4424">
        <v>10.000000000000009</v>
      </c>
      <c r="J4424" t="s">
        <v>20</v>
      </c>
    </row>
    <row r="4425" spans="1:10" x14ac:dyDescent="0.2">
      <c r="A4425">
        <v>14424</v>
      </c>
      <c r="B4425" t="s">
        <v>7</v>
      </c>
      <c r="C4425" t="s">
        <v>6</v>
      </c>
      <c r="D4425">
        <v>5.1100000000000003</v>
      </c>
      <c r="E4425">
        <v>5</v>
      </c>
      <c r="F4425" t="s">
        <v>15</v>
      </c>
      <c r="G4425">
        <v>28</v>
      </c>
      <c r="H4425">
        <v>6.5408000000000008</v>
      </c>
      <c r="I4425">
        <v>28.000000000000004</v>
      </c>
      <c r="J4425" t="s">
        <v>20</v>
      </c>
    </row>
    <row r="4426" spans="1:10" x14ac:dyDescent="0.2">
      <c r="A4426">
        <v>14425</v>
      </c>
      <c r="B4426" t="s">
        <v>7</v>
      </c>
      <c r="C4426" t="s">
        <v>6</v>
      </c>
      <c r="D4426">
        <v>4.37</v>
      </c>
      <c r="E4426">
        <v>7</v>
      </c>
      <c r="F4426" t="s">
        <v>15</v>
      </c>
      <c r="G4426">
        <v>28</v>
      </c>
      <c r="H4426">
        <v>5.5936000000000003</v>
      </c>
      <c r="I4426">
        <v>28.000000000000004</v>
      </c>
      <c r="J4426" t="s">
        <v>20</v>
      </c>
    </row>
    <row r="4427" spans="1:10" x14ac:dyDescent="0.2">
      <c r="A4427">
        <v>14426</v>
      </c>
      <c r="B4427" t="s">
        <v>8</v>
      </c>
      <c r="C4427" t="s">
        <v>9</v>
      </c>
      <c r="D4427">
        <v>14.52</v>
      </c>
      <c r="E4427">
        <v>9</v>
      </c>
      <c r="F4427" t="s">
        <v>16</v>
      </c>
      <c r="G4427">
        <v>60</v>
      </c>
      <c r="H4427">
        <v>23.231999999999999</v>
      </c>
      <c r="I4427">
        <v>60.000000000000007</v>
      </c>
      <c r="J4427" t="s">
        <v>20</v>
      </c>
    </row>
    <row r="4428" spans="1:10" x14ac:dyDescent="0.2">
      <c r="A4428">
        <v>14427</v>
      </c>
      <c r="B4428" t="s">
        <v>5</v>
      </c>
      <c r="C4428" t="s">
        <v>9</v>
      </c>
      <c r="D4428">
        <v>2.82</v>
      </c>
      <c r="E4428">
        <v>1</v>
      </c>
      <c r="F4428" t="s">
        <v>14</v>
      </c>
      <c r="G4428">
        <v>15</v>
      </c>
      <c r="H4428">
        <v>3.2429999999999994</v>
      </c>
      <c r="I4428">
        <v>14.999999999999991</v>
      </c>
      <c r="J4428" t="s">
        <v>20</v>
      </c>
    </row>
    <row r="4429" spans="1:10" x14ac:dyDescent="0.2">
      <c r="A4429">
        <v>14428</v>
      </c>
      <c r="B4429" t="s">
        <v>10</v>
      </c>
      <c r="C4429" t="s">
        <v>9</v>
      </c>
      <c r="D4429">
        <v>11.92</v>
      </c>
      <c r="E4429">
        <v>3</v>
      </c>
      <c r="F4429" t="s">
        <v>14</v>
      </c>
      <c r="G4429">
        <v>15</v>
      </c>
      <c r="H4429">
        <v>13.707999999999998</v>
      </c>
      <c r="I4429">
        <v>14.999999999999991</v>
      </c>
      <c r="J4429" t="s">
        <v>20</v>
      </c>
    </row>
    <row r="4430" spans="1:10" x14ac:dyDescent="0.2">
      <c r="A4430">
        <v>14429</v>
      </c>
      <c r="B4430" t="s">
        <v>5</v>
      </c>
      <c r="C4430" t="s">
        <v>6</v>
      </c>
      <c r="D4430">
        <v>14.77</v>
      </c>
      <c r="E4430">
        <v>6</v>
      </c>
      <c r="F4430" t="s">
        <v>15</v>
      </c>
      <c r="G4430">
        <v>28</v>
      </c>
      <c r="H4430">
        <v>18.9056</v>
      </c>
      <c r="I4430">
        <v>28.000000000000004</v>
      </c>
      <c r="J4430" t="s">
        <v>20</v>
      </c>
    </row>
    <row r="4431" spans="1:10" x14ac:dyDescent="0.2">
      <c r="A4431">
        <v>14430</v>
      </c>
      <c r="B4431" t="s">
        <v>8</v>
      </c>
      <c r="C4431" t="s">
        <v>9</v>
      </c>
      <c r="D4431">
        <v>0.79</v>
      </c>
      <c r="E4431">
        <v>7</v>
      </c>
      <c r="F4431" t="s">
        <v>15</v>
      </c>
      <c r="G4431">
        <v>30</v>
      </c>
      <c r="H4431">
        <v>1.0270000000000001</v>
      </c>
      <c r="I4431">
        <v>30.000000000000004</v>
      </c>
      <c r="J4431" t="s">
        <v>20</v>
      </c>
    </row>
    <row r="4432" spans="1:10" x14ac:dyDescent="0.2">
      <c r="A4432">
        <v>14431</v>
      </c>
      <c r="B4432" t="s">
        <v>5</v>
      </c>
      <c r="C4432" t="s">
        <v>11</v>
      </c>
      <c r="D4432">
        <v>10.64</v>
      </c>
      <c r="E4432">
        <v>6</v>
      </c>
      <c r="F4432" t="s">
        <v>15</v>
      </c>
      <c r="G4432">
        <v>25</v>
      </c>
      <c r="H4432">
        <v>13.3</v>
      </c>
      <c r="I4432">
        <v>25</v>
      </c>
      <c r="J4432" t="s">
        <v>20</v>
      </c>
    </row>
    <row r="4433" spans="1:10" x14ac:dyDescent="0.2">
      <c r="A4433">
        <v>14432</v>
      </c>
      <c r="B4433" t="s">
        <v>7</v>
      </c>
      <c r="C4433" t="s">
        <v>11</v>
      </c>
      <c r="D4433">
        <v>4.17</v>
      </c>
      <c r="E4433">
        <v>1</v>
      </c>
      <c r="F4433" t="s">
        <v>14</v>
      </c>
      <c r="G4433">
        <v>10</v>
      </c>
      <c r="H4433">
        <v>4.5870000000000006</v>
      </c>
      <c r="I4433">
        <v>10.000000000000009</v>
      </c>
      <c r="J4433" t="s">
        <v>20</v>
      </c>
    </row>
    <row r="4434" spans="1:10" x14ac:dyDescent="0.2">
      <c r="A4434">
        <v>14433</v>
      </c>
      <c r="B4434" t="s">
        <v>5</v>
      </c>
      <c r="C4434" t="s">
        <v>6</v>
      </c>
      <c r="D4434">
        <v>1.0900000000000001</v>
      </c>
      <c r="E4434">
        <v>4</v>
      </c>
      <c r="F4434" t="s">
        <v>15</v>
      </c>
      <c r="G4434">
        <v>28</v>
      </c>
      <c r="H4434">
        <v>1.3952000000000002</v>
      </c>
      <c r="I4434">
        <v>28.000000000000004</v>
      </c>
      <c r="J4434" t="s">
        <v>20</v>
      </c>
    </row>
    <row r="4435" spans="1:10" x14ac:dyDescent="0.2">
      <c r="A4435">
        <v>14434</v>
      </c>
      <c r="B4435" t="s">
        <v>8</v>
      </c>
      <c r="C4435" t="s">
        <v>9</v>
      </c>
      <c r="D4435">
        <v>6.34</v>
      </c>
      <c r="E4435">
        <v>6</v>
      </c>
      <c r="F4435" t="s">
        <v>15</v>
      </c>
      <c r="G4435">
        <v>30</v>
      </c>
      <c r="H4435">
        <v>8.2420000000000009</v>
      </c>
      <c r="I4435">
        <v>30.000000000000028</v>
      </c>
      <c r="J4435" t="s">
        <v>20</v>
      </c>
    </row>
    <row r="4436" spans="1:10" x14ac:dyDescent="0.2">
      <c r="A4436">
        <v>14435</v>
      </c>
      <c r="B4436" t="s">
        <v>7</v>
      </c>
      <c r="C4436" t="s">
        <v>11</v>
      </c>
      <c r="D4436">
        <v>14.06</v>
      </c>
      <c r="E4436">
        <v>8</v>
      </c>
      <c r="F4436" t="s">
        <v>16</v>
      </c>
      <c r="G4436">
        <v>50</v>
      </c>
      <c r="H4436">
        <v>21.09</v>
      </c>
      <c r="I4436">
        <v>50</v>
      </c>
      <c r="J4436" t="s">
        <v>20</v>
      </c>
    </row>
    <row r="4437" spans="1:10" x14ac:dyDescent="0.2">
      <c r="A4437">
        <v>14436</v>
      </c>
      <c r="B4437" t="s">
        <v>5</v>
      </c>
      <c r="C4437" t="s">
        <v>6</v>
      </c>
      <c r="D4437">
        <v>0.67</v>
      </c>
      <c r="E4437">
        <v>10</v>
      </c>
      <c r="F4437" t="s">
        <v>16</v>
      </c>
      <c r="G4437">
        <v>55</v>
      </c>
      <c r="H4437">
        <v>1.0385000000000002</v>
      </c>
      <c r="I4437">
        <v>55.000000000000028</v>
      </c>
      <c r="J4437" t="s">
        <v>20</v>
      </c>
    </row>
    <row r="4438" spans="1:10" x14ac:dyDescent="0.2">
      <c r="A4438">
        <v>14437</v>
      </c>
      <c r="B4438" t="s">
        <v>5</v>
      </c>
      <c r="C4438" t="s">
        <v>9</v>
      </c>
      <c r="D4438">
        <v>9.02</v>
      </c>
      <c r="E4438">
        <v>4</v>
      </c>
      <c r="F4438" t="s">
        <v>15</v>
      </c>
      <c r="G4438">
        <v>30</v>
      </c>
      <c r="H4438">
        <v>11.725999999999999</v>
      </c>
      <c r="I4438">
        <v>30.000000000000004</v>
      </c>
      <c r="J4438" t="s">
        <v>20</v>
      </c>
    </row>
    <row r="4439" spans="1:10" x14ac:dyDescent="0.2">
      <c r="A4439">
        <v>14438</v>
      </c>
      <c r="B4439" t="s">
        <v>7</v>
      </c>
      <c r="C4439" t="s">
        <v>11</v>
      </c>
      <c r="D4439">
        <v>7.77</v>
      </c>
      <c r="E4439">
        <v>7</v>
      </c>
      <c r="F4439" t="s">
        <v>15</v>
      </c>
      <c r="G4439">
        <v>25</v>
      </c>
      <c r="H4439">
        <v>9.7124999999999986</v>
      </c>
      <c r="I4439">
        <v>24.999999999999979</v>
      </c>
      <c r="J4439" t="s">
        <v>20</v>
      </c>
    </row>
    <row r="4440" spans="1:10" x14ac:dyDescent="0.2">
      <c r="A4440">
        <v>14439</v>
      </c>
      <c r="B4440" t="s">
        <v>10</v>
      </c>
      <c r="C4440" t="s">
        <v>9</v>
      </c>
      <c r="D4440">
        <v>13.16</v>
      </c>
      <c r="E4440">
        <v>3</v>
      </c>
      <c r="F4440" t="s">
        <v>14</v>
      </c>
      <c r="G4440">
        <v>15</v>
      </c>
      <c r="H4440">
        <v>15.133999999999999</v>
      </c>
      <c r="I4440">
        <v>14.999999999999991</v>
      </c>
      <c r="J4440" t="s">
        <v>20</v>
      </c>
    </row>
    <row r="4441" spans="1:10" x14ac:dyDescent="0.2">
      <c r="A4441">
        <v>14440</v>
      </c>
      <c r="B4441" t="s">
        <v>7</v>
      </c>
      <c r="C4441" t="s">
        <v>6</v>
      </c>
      <c r="D4441">
        <v>1.72</v>
      </c>
      <c r="E4441">
        <v>8</v>
      </c>
      <c r="F4441" t="s">
        <v>16</v>
      </c>
      <c r="G4441">
        <v>55</v>
      </c>
      <c r="H4441">
        <v>2.6659999999999999</v>
      </c>
      <c r="I4441">
        <v>55.000000000000007</v>
      </c>
      <c r="J4441" t="s">
        <v>20</v>
      </c>
    </row>
    <row r="4442" spans="1:10" x14ac:dyDescent="0.2">
      <c r="A4442">
        <v>14441</v>
      </c>
      <c r="B4442" t="s">
        <v>10</v>
      </c>
      <c r="C4442" t="s">
        <v>9</v>
      </c>
      <c r="D4442">
        <v>10.38</v>
      </c>
      <c r="E4442">
        <v>1</v>
      </c>
      <c r="F4442" t="s">
        <v>14</v>
      </c>
      <c r="G4442">
        <v>15</v>
      </c>
      <c r="H4442">
        <v>11.936999999999999</v>
      </c>
      <c r="I4442">
        <v>14.999999999999991</v>
      </c>
      <c r="J4442" t="s">
        <v>20</v>
      </c>
    </row>
    <row r="4443" spans="1:10" x14ac:dyDescent="0.2">
      <c r="A4443">
        <v>14442</v>
      </c>
      <c r="B4443" t="s">
        <v>8</v>
      </c>
      <c r="C4443" t="s">
        <v>6</v>
      </c>
      <c r="D4443">
        <v>10.36</v>
      </c>
      <c r="E4443">
        <v>4</v>
      </c>
      <c r="F4443" t="s">
        <v>15</v>
      </c>
      <c r="G4443">
        <v>28</v>
      </c>
      <c r="H4443">
        <v>13.2608</v>
      </c>
      <c r="I4443">
        <v>28.000000000000004</v>
      </c>
      <c r="J4443" t="s">
        <v>20</v>
      </c>
    </row>
    <row r="4444" spans="1:10" x14ac:dyDescent="0.2">
      <c r="A4444">
        <v>14443</v>
      </c>
      <c r="B4444" t="s">
        <v>8</v>
      </c>
      <c r="C4444" t="s">
        <v>9</v>
      </c>
      <c r="D4444">
        <v>10.199999999999999</v>
      </c>
      <c r="E4444">
        <v>8</v>
      </c>
      <c r="F4444" t="s">
        <v>16</v>
      </c>
      <c r="G4444">
        <v>60</v>
      </c>
      <c r="H4444">
        <v>16.32</v>
      </c>
      <c r="I4444">
        <v>60.000000000000007</v>
      </c>
      <c r="J4444" t="s">
        <v>20</v>
      </c>
    </row>
    <row r="4445" spans="1:10" x14ac:dyDescent="0.2">
      <c r="A4445">
        <v>14444</v>
      </c>
      <c r="B4445" t="s">
        <v>7</v>
      </c>
      <c r="C4445" t="s">
        <v>11</v>
      </c>
      <c r="D4445">
        <v>14.16</v>
      </c>
      <c r="E4445">
        <v>10</v>
      </c>
      <c r="F4445" t="s">
        <v>16</v>
      </c>
      <c r="G4445">
        <v>50</v>
      </c>
      <c r="H4445">
        <v>21.240000000000002</v>
      </c>
      <c r="I4445">
        <v>50.000000000000021</v>
      </c>
      <c r="J4445" t="s">
        <v>20</v>
      </c>
    </row>
    <row r="4446" spans="1:10" x14ac:dyDescent="0.2">
      <c r="A4446">
        <v>14445</v>
      </c>
      <c r="B4446" t="s">
        <v>7</v>
      </c>
      <c r="C4446" t="s">
        <v>6</v>
      </c>
      <c r="D4446">
        <v>12.43</v>
      </c>
      <c r="E4446">
        <v>4</v>
      </c>
      <c r="F4446" t="s">
        <v>15</v>
      </c>
      <c r="G4446">
        <v>28</v>
      </c>
      <c r="H4446">
        <v>15.910399999999999</v>
      </c>
      <c r="I4446">
        <v>28.000000000000004</v>
      </c>
      <c r="J4446" t="s">
        <v>20</v>
      </c>
    </row>
    <row r="4447" spans="1:10" x14ac:dyDescent="0.2">
      <c r="A4447">
        <v>14446</v>
      </c>
      <c r="B4447" t="s">
        <v>8</v>
      </c>
      <c r="C4447" t="s">
        <v>6</v>
      </c>
      <c r="D4447">
        <v>1.1100000000000001</v>
      </c>
      <c r="E4447">
        <v>2</v>
      </c>
      <c r="F4447" t="s">
        <v>14</v>
      </c>
      <c r="G4447">
        <v>12</v>
      </c>
      <c r="H4447">
        <v>1.2432000000000003</v>
      </c>
      <c r="I4447">
        <v>12.000000000000011</v>
      </c>
      <c r="J4447" t="s">
        <v>20</v>
      </c>
    </row>
    <row r="4448" spans="1:10" x14ac:dyDescent="0.2">
      <c r="A4448">
        <v>14447</v>
      </c>
      <c r="B4448" t="s">
        <v>10</v>
      </c>
      <c r="C4448" t="s">
        <v>6</v>
      </c>
      <c r="D4448">
        <v>7.33</v>
      </c>
      <c r="E4448">
        <v>2</v>
      </c>
      <c r="F4448" t="s">
        <v>14</v>
      </c>
      <c r="G4448">
        <v>12</v>
      </c>
      <c r="H4448">
        <v>8.2096</v>
      </c>
      <c r="I4448">
        <v>11.999999999999989</v>
      </c>
      <c r="J4448" t="s">
        <v>20</v>
      </c>
    </row>
    <row r="4449" spans="1:10" x14ac:dyDescent="0.2">
      <c r="A4449">
        <v>14448</v>
      </c>
      <c r="B4449" t="s">
        <v>8</v>
      </c>
      <c r="C4449" t="s">
        <v>9</v>
      </c>
      <c r="D4449">
        <v>6.27</v>
      </c>
      <c r="E4449">
        <v>4</v>
      </c>
      <c r="F4449" t="s">
        <v>15</v>
      </c>
      <c r="G4449">
        <v>30</v>
      </c>
      <c r="H4449">
        <v>8.1509999999999998</v>
      </c>
      <c r="I4449">
        <v>30.000000000000004</v>
      </c>
      <c r="J4449" t="s">
        <v>20</v>
      </c>
    </row>
    <row r="4450" spans="1:10" x14ac:dyDescent="0.2">
      <c r="A4450">
        <v>14449</v>
      </c>
      <c r="B4450" t="s">
        <v>7</v>
      </c>
      <c r="C4450" t="s">
        <v>9</v>
      </c>
      <c r="D4450">
        <v>5</v>
      </c>
      <c r="E4450">
        <v>4</v>
      </c>
      <c r="F4450" t="s">
        <v>15</v>
      </c>
      <c r="G4450">
        <v>30</v>
      </c>
      <c r="H4450">
        <v>6.5</v>
      </c>
      <c r="I4450">
        <v>30.000000000000004</v>
      </c>
      <c r="J4450" t="s">
        <v>20</v>
      </c>
    </row>
    <row r="4451" spans="1:10" x14ac:dyDescent="0.2">
      <c r="A4451">
        <v>14450</v>
      </c>
      <c r="B4451" t="s">
        <v>8</v>
      </c>
      <c r="C4451" t="s">
        <v>11</v>
      </c>
      <c r="D4451">
        <v>7.04</v>
      </c>
      <c r="E4451">
        <v>2</v>
      </c>
      <c r="F4451" t="s">
        <v>14</v>
      </c>
      <c r="G4451">
        <v>10</v>
      </c>
      <c r="H4451">
        <v>7.7440000000000007</v>
      </c>
      <c r="I4451">
        <v>10.000000000000009</v>
      </c>
      <c r="J4451" t="s">
        <v>20</v>
      </c>
    </row>
    <row r="4452" spans="1:10" x14ac:dyDescent="0.2">
      <c r="A4452">
        <v>14451</v>
      </c>
      <c r="B4452" t="s">
        <v>7</v>
      </c>
      <c r="C4452" t="s">
        <v>6</v>
      </c>
      <c r="D4452">
        <v>6.07</v>
      </c>
      <c r="E4452">
        <v>7</v>
      </c>
      <c r="F4452" t="s">
        <v>15</v>
      </c>
      <c r="G4452">
        <v>28</v>
      </c>
      <c r="H4452">
        <v>7.7696000000000005</v>
      </c>
      <c r="I4452">
        <v>28.000000000000004</v>
      </c>
      <c r="J4452" t="s">
        <v>20</v>
      </c>
    </row>
    <row r="4453" spans="1:10" x14ac:dyDescent="0.2">
      <c r="A4453">
        <v>14452</v>
      </c>
      <c r="B4453" t="s">
        <v>7</v>
      </c>
      <c r="C4453" t="s">
        <v>6</v>
      </c>
      <c r="D4453">
        <v>6.77</v>
      </c>
      <c r="E4453">
        <v>6</v>
      </c>
      <c r="F4453" t="s">
        <v>15</v>
      </c>
      <c r="G4453">
        <v>28</v>
      </c>
      <c r="H4453">
        <v>8.6655999999999995</v>
      </c>
      <c r="I4453">
        <v>28.000000000000004</v>
      </c>
      <c r="J4453" t="s">
        <v>20</v>
      </c>
    </row>
    <row r="4454" spans="1:10" x14ac:dyDescent="0.2">
      <c r="A4454">
        <v>14453</v>
      </c>
      <c r="B4454" t="s">
        <v>8</v>
      </c>
      <c r="C4454" t="s">
        <v>9</v>
      </c>
      <c r="D4454">
        <v>14.7</v>
      </c>
      <c r="E4454">
        <v>3</v>
      </c>
      <c r="F4454" t="s">
        <v>14</v>
      </c>
      <c r="G4454">
        <v>15</v>
      </c>
      <c r="H4454">
        <v>16.904999999999998</v>
      </c>
      <c r="I4454">
        <v>14.999999999999991</v>
      </c>
      <c r="J4454" t="s">
        <v>20</v>
      </c>
    </row>
    <row r="4455" spans="1:10" x14ac:dyDescent="0.2">
      <c r="A4455">
        <v>14454</v>
      </c>
      <c r="B4455" t="s">
        <v>10</v>
      </c>
      <c r="C4455" t="s">
        <v>9</v>
      </c>
      <c r="D4455">
        <v>1.79</v>
      </c>
      <c r="E4455">
        <v>8</v>
      </c>
      <c r="F4455" t="s">
        <v>16</v>
      </c>
      <c r="G4455">
        <v>60</v>
      </c>
      <c r="H4455">
        <v>2.8640000000000003</v>
      </c>
      <c r="I4455">
        <v>60.000000000000007</v>
      </c>
      <c r="J4455" t="s">
        <v>20</v>
      </c>
    </row>
    <row r="4456" spans="1:10" x14ac:dyDescent="0.2">
      <c r="A4456">
        <v>14455</v>
      </c>
      <c r="B4456" t="s">
        <v>5</v>
      </c>
      <c r="C4456" t="s">
        <v>11</v>
      </c>
      <c r="D4456">
        <v>13.87</v>
      </c>
      <c r="E4456">
        <v>8</v>
      </c>
      <c r="F4456" t="s">
        <v>16</v>
      </c>
      <c r="G4456">
        <v>50</v>
      </c>
      <c r="H4456">
        <v>20.805</v>
      </c>
      <c r="I4456">
        <v>50</v>
      </c>
      <c r="J4456" t="s">
        <v>20</v>
      </c>
    </row>
    <row r="4457" spans="1:10" x14ac:dyDescent="0.2">
      <c r="A4457">
        <v>14456</v>
      </c>
      <c r="B4457" t="s">
        <v>8</v>
      </c>
      <c r="C4457" t="s">
        <v>11</v>
      </c>
      <c r="D4457">
        <v>7.46</v>
      </c>
      <c r="E4457">
        <v>1</v>
      </c>
      <c r="F4457" t="s">
        <v>14</v>
      </c>
      <c r="G4457">
        <v>10</v>
      </c>
      <c r="H4457">
        <v>8.2060000000000013</v>
      </c>
      <c r="I4457">
        <v>10.000000000000009</v>
      </c>
      <c r="J4457" t="s">
        <v>20</v>
      </c>
    </row>
    <row r="4458" spans="1:10" x14ac:dyDescent="0.2">
      <c r="A4458">
        <v>14457</v>
      </c>
      <c r="B4458" t="s">
        <v>5</v>
      </c>
      <c r="C4458" t="s">
        <v>9</v>
      </c>
      <c r="D4458">
        <v>9.5399999999999991</v>
      </c>
      <c r="E4458">
        <v>3</v>
      </c>
      <c r="F4458" t="s">
        <v>14</v>
      </c>
      <c r="G4458">
        <v>15</v>
      </c>
      <c r="H4458">
        <v>10.970999999999998</v>
      </c>
      <c r="I4458">
        <v>14.999999999999991</v>
      </c>
      <c r="J4458" t="s">
        <v>20</v>
      </c>
    </row>
    <row r="4459" spans="1:10" x14ac:dyDescent="0.2">
      <c r="A4459">
        <v>14458</v>
      </c>
      <c r="B4459" t="s">
        <v>8</v>
      </c>
      <c r="C4459" t="s">
        <v>6</v>
      </c>
      <c r="D4459">
        <v>12.54</v>
      </c>
      <c r="E4459">
        <v>5</v>
      </c>
      <c r="F4459" t="s">
        <v>15</v>
      </c>
      <c r="G4459">
        <v>28</v>
      </c>
      <c r="H4459">
        <v>16.051199999999998</v>
      </c>
      <c r="I4459">
        <v>28.000000000000004</v>
      </c>
      <c r="J4459" t="s">
        <v>20</v>
      </c>
    </row>
    <row r="4460" spans="1:10" x14ac:dyDescent="0.2">
      <c r="A4460">
        <v>14459</v>
      </c>
      <c r="B4460" t="s">
        <v>5</v>
      </c>
      <c r="C4460" t="s">
        <v>11</v>
      </c>
      <c r="D4460">
        <v>5.73</v>
      </c>
      <c r="E4460">
        <v>2</v>
      </c>
      <c r="F4460" t="s">
        <v>14</v>
      </c>
      <c r="G4460">
        <v>10</v>
      </c>
      <c r="H4460">
        <v>6.3030000000000008</v>
      </c>
      <c r="I4460">
        <v>10.000000000000009</v>
      </c>
      <c r="J4460" t="s">
        <v>20</v>
      </c>
    </row>
    <row r="4461" spans="1:10" x14ac:dyDescent="0.2">
      <c r="A4461">
        <v>14460</v>
      </c>
      <c r="B4461" t="s">
        <v>10</v>
      </c>
      <c r="C4461" t="s">
        <v>9</v>
      </c>
      <c r="D4461">
        <v>6.74</v>
      </c>
      <c r="E4461">
        <v>5</v>
      </c>
      <c r="F4461" t="s">
        <v>15</v>
      </c>
      <c r="G4461">
        <v>30</v>
      </c>
      <c r="H4461">
        <v>8.7620000000000005</v>
      </c>
      <c r="I4461">
        <v>30.000000000000004</v>
      </c>
      <c r="J4461" t="s">
        <v>20</v>
      </c>
    </row>
    <row r="4462" spans="1:10" x14ac:dyDescent="0.2">
      <c r="A4462">
        <v>14461</v>
      </c>
      <c r="B4462" t="s">
        <v>10</v>
      </c>
      <c r="C4462" t="s">
        <v>9</v>
      </c>
      <c r="D4462">
        <v>6.44</v>
      </c>
      <c r="E4462">
        <v>10</v>
      </c>
      <c r="F4462" t="s">
        <v>16</v>
      </c>
      <c r="G4462">
        <v>60</v>
      </c>
      <c r="H4462">
        <v>10.304000000000002</v>
      </c>
      <c r="I4462">
        <v>60.000000000000028</v>
      </c>
      <c r="J4462" t="s">
        <v>20</v>
      </c>
    </row>
    <row r="4463" spans="1:10" x14ac:dyDescent="0.2">
      <c r="A4463">
        <v>14462</v>
      </c>
      <c r="B4463" t="s">
        <v>8</v>
      </c>
      <c r="C4463" t="s">
        <v>6</v>
      </c>
      <c r="D4463">
        <v>5.93</v>
      </c>
      <c r="E4463">
        <v>3</v>
      </c>
      <c r="F4463" t="s">
        <v>14</v>
      </c>
      <c r="G4463">
        <v>12</v>
      </c>
      <c r="H4463">
        <v>6.6416000000000004</v>
      </c>
      <c r="I4463">
        <v>12.000000000000011</v>
      </c>
      <c r="J4463" t="s">
        <v>20</v>
      </c>
    </row>
    <row r="4464" spans="1:10" x14ac:dyDescent="0.2">
      <c r="A4464">
        <v>14463</v>
      </c>
      <c r="B4464" t="s">
        <v>7</v>
      </c>
      <c r="C4464" t="s">
        <v>9</v>
      </c>
      <c r="D4464">
        <v>13.92</v>
      </c>
      <c r="E4464">
        <v>9</v>
      </c>
      <c r="F4464" t="s">
        <v>16</v>
      </c>
      <c r="G4464">
        <v>60</v>
      </c>
      <c r="H4464">
        <v>22.272000000000002</v>
      </c>
      <c r="I4464">
        <v>60.000000000000007</v>
      </c>
      <c r="J4464" t="s">
        <v>20</v>
      </c>
    </row>
    <row r="4465" spans="1:10" x14ac:dyDescent="0.2">
      <c r="A4465">
        <v>14464</v>
      </c>
      <c r="B4465" t="s">
        <v>5</v>
      </c>
      <c r="C4465" t="s">
        <v>9</v>
      </c>
      <c r="D4465">
        <v>12.52</v>
      </c>
      <c r="E4465">
        <v>1</v>
      </c>
      <c r="F4465" t="s">
        <v>14</v>
      </c>
      <c r="G4465">
        <v>15</v>
      </c>
      <c r="H4465">
        <v>14.397999999999998</v>
      </c>
      <c r="I4465">
        <v>14.999999999999991</v>
      </c>
      <c r="J4465" t="s">
        <v>20</v>
      </c>
    </row>
    <row r="4466" spans="1:10" x14ac:dyDescent="0.2">
      <c r="A4466">
        <v>14465</v>
      </c>
      <c r="B4466" t="s">
        <v>7</v>
      </c>
      <c r="C4466" t="s">
        <v>11</v>
      </c>
      <c r="D4466">
        <v>2.08</v>
      </c>
      <c r="E4466">
        <v>4</v>
      </c>
      <c r="F4466" t="s">
        <v>15</v>
      </c>
      <c r="G4466">
        <v>25</v>
      </c>
      <c r="H4466">
        <v>2.6</v>
      </c>
      <c r="I4466">
        <v>25</v>
      </c>
      <c r="J4466" t="s">
        <v>20</v>
      </c>
    </row>
    <row r="4467" spans="1:10" x14ac:dyDescent="0.2">
      <c r="A4467">
        <v>14466</v>
      </c>
      <c r="B4467" t="s">
        <v>7</v>
      </c>
      <c r="C4467" t="s">
        <v>9</v>
      </c>
      <c r="D4467">
        <v>2.0699999999999998</v>
      </c>
      <c r="E4467">
        <v>10</v>
      </c>
      <c r="F4467" t="s">
        <v>16</v>
      </c>
      <c r="G4467">
        <v>60</v>
      </c>
      <c r="H4467">
        <v>3.3119999999999998</v>
      </c>
      <c r="I4467">
        <v>60.000000000000007</v>
      </c>
      <c r="J4467" t="s">
        <v>20</v>
      </c>
    </row>
    <row r="4468" spans="1:10" x14ac:dyDescent="0.2">
      <c r="A4468">
        <v>14467</v>
      </c>
      <c r="B4468" t="s">
        <v>7</v>
      </c>
      <c r="C4468" t="s">
        <v>9</v>
      </c>
      <c r="D4468">
        <v>6.7</v>
      </c>
      <c r="E4468">
        <v>6</v>
      </c>
      <c r="F4468" t="s">
        <v>15</v>
      </c>
      <c r="G4468">
        <v>30</v>
      </c>
      <c r="H4468">
        <v>8.7100000000000009</v>
      </c>
      <c r="I4468">
        <v>30.000000000000004</v>
      </c>
      <c r="J4468" t="s">
        <v>20</v>
      </c>
    </row>
    <row r="4469" spans="1:10" x14ac:dyDescent="0.2">
      <c r="A4469">
        <v>14468</v>
      </c>
      <c r="B4469" t="s">
        <v>10</v>
      </c>
      <c r="C4469" t="s">
        <v>11</v>
      </c>
      <c r="D4469">
        <v>1.93</v>
      </c>
      <c r="E4469">
        <v>9</v>
      </c>
      <c r="F4469" t="s">
        <v>16</v>
      </c>
      <c r="G4469">
        <v>50</v>
      </c>
      <c r="H4469">
        <v>2.895</v>
      </c>
      <c r="I4469">
        <v>50</v>
      </c>
      <c r="J4469" t="s">
        <v>20</v>
      </c>
    </row>
    <row r="4470" spans="1:10" x14ac:dyDescent="0.2">
      <c r="A4470">
        <v>14469</v>
      </c>
      <c r="B4470" t="s">
        <v>8</v>
      </c>
      <c r="C4470" t="s">
        <v>6</v>
      </c>
      <c r="D4470">
        <v>9.48</v>
      </c>
      <c r="E4470">
        <v>3</v>
      </c>
      <c r="F4470" t="s">
        <v>14</v>
      </c>
      <c r="G4470">
        <v>12</v>
      </c>
      <c r="H4470">
        <v>10.617600000000001</v>
      </c>
      <c r="I4470">
        <v>12.000000000000011</v>
      </c>
      <c r="J4470" t="s">
        <v>20</v>
      </c>
    </row>
    <row r="4471" spans="1:10" x14ac:dyDescent="0.2">
      <c r="A4471">
        <v>14470</v>
      </c>
      <c r="B4471" t="s">
        <v>8</v>
      </c>
      <c r="C4471" t="s">
        <v>6</v>
      </c>
      <c r="D4471">
        <v>2.58</v>
      </c>
      <c r="E4471">
        <v>3</v>
      </c>
      <c r="F4471" t="s">
        <v>14</v>
      </c>
      <c r="G4471">
        <v>12</v>
      </c>
      <c r="H4471">
        <v>2.8896000000000002</v>
      </c>
      <c r="I4471">
        <v>12.000000000000011</v>
      </c>
      <c r="J4471" t="s">
        <v>20</v>
      </c>
    </row>
    <row r="4472" spans="1:10" x14ac:dyDescent="0.2">
      <c r="A4472">
        <v>14471</v>
      </c>
      <c r="B4472" t="s">
        <v>10</v>
      </c>
      <c r="C4472" t="s">
        <v>11</v>
      </c>
      <c r="D4472">
        <v>8.07</v>
      </c>
      <c r="E4472">
        <v>5</v>
      </c>
      <c r="F4472" t="s">
        <v>15</v>
      </c>
      <c r="G4472">
        <v>25</v>
      </c>
      <c r="H4472">
        <v>10.0875</v>
      </c>
      <c r="I4472">
        <v>25</v>
      </c>
      <c r="J4472" t="s">
        <v>20</v>
      </c>
    </row>
    <row r="4473" spans="1:10" x14ac:dyDescent="0.2">
      <c r="A4473">
        <v>14472</v>
      </c>
      <c r="B4473" t="s">
        <v>10</v>
      </c>
      <c r="C4473" t="s">
        <v>11</v>
      </c>
      <c r="D4473">
        <v>0.6</v>
      </c>
      <c r="E4473">
        <v>7</v>
      </c>
      <c r="F4473" t="s">
        <v>15</v>
      </c>
      <c r="G4473">
        <v>25</v>
      </c>
      <c r="H4473">
        <v>0.75</v>
      </c>
      <c r="I4473">
        <v>25</v>
      </c>
      <c r="J4473" t="s">
        <v>20</v>
      </c>
    </row>
    <row r="4474" spans="1:10" x14ac:dyDescent="0.2">
      <c r="A4474">
        <v>14473</v>
      </c>
      <c r="B4474" t="s">
        <v>8</v>
      </c>
      <c r="C4474" t="s">
        <v>6</v>
      </c>
      <c r="D4474">
        <v>5.09</v>
      </c>
      <c r="E4474">
        <v>5</v>
      </c>
      <c r="F4474" t="s">
        <v>15</v>
      </c>
      <c r="G4474">
        <v>28</v>
      </c>
      <c r="H4474">
        <v>6.5152000000000001</v>
      </c>
      <c r="I4474">
        <v>28.000000000000004</v>
      </c>
      <c r="J4474" t="s">
        <v>20</v>
      </c>
    </row>
    <row r="4475" spans="1:10" x14ac:dyDescent="0.2">
      <c r="A4475">
        <v>14474</v>
      </c>
      <c r="B4475" t="s">
        <v>7</v>
      </c>
      <c r="C4475" t="s">
        <v>6</v>
      </c>
      <c r="D4475">
        <v>10.32</v>
      </c>
      <c r="E4475">
        <v>8</v>
      </c>
      <c r="F4475" t="s">
        <v>16</v>
      </c>
      <c r="G4475">
        <v>55</v>
      </c>
      <c r="H4475">
        <v>15.996</v>
      </c>
      <c r="I4475">
        <v>55.000000000000007</v>
      </c>
      <c r="J4475" t="s">
        <v>20</v>
      </c>
    </row>
    <row r="4476" spans="1:10" x14ac:dyDescent="0.2">
      <c r="A4476">
        <v>14475</v>
      </c>
      <c r="B4476" t="s">
        <v>5</v>
      </c>
      <c r="C4476" t="s">
        <v>6</v>
      </c>
      <c r="D4476">
        <v>7.52</v>
      </c>
      <c r="E4476">
        <v>5</v>
      </c>
      <c r="F4476" t="s">
        <v>15</v>
      </c>
      <c r="G4476">
        <v>28</v>
      </c>
      <c r="H4476">
        <v>9.6256000000000004</v>
      </c>
      <c r="I4476">
        <v>28.000000000000004</v>
      </c>
      <c r="J4476" t="s">
        <v>20</v>
      </c>
    </row>
    <row r="4477" spans="1:10" x14ac:dyDescent="0.2">
      <c r="A4477">
        <v>14476</v>
      </c>
      <c r="B4477" t="s">
        <v>5</v>
      </c>
      <c r="C4477" t="s">
        <v>6</v>
      </c>
      <c r="D4477">
        <v>14.68</v>
      </c>
      <c r="E4477">
        <v>7</v>
      </c>
      <c r="F4477" t="s">
        <v>15</v>
      </c>
      <c r="G4477">
        <v>28</v>
      </c>
      <c r="H4477">
        <v>18.790400000000002</v>
      </c>
      <c r="I4477">
        <v>28.000000000000025</v>
      </c>
      <c r="J4477" t="s">
        <v>20</v>
      </c>
    </row>
    <row r="4478" spans="1:10" x14ac:dyDescent="0.2">
      <c r="A4478">
        <v>14477</v>
      </c>
      <c r="B4478" t="s">
        <v>5</v>
      </c>
      <c r="C4478" t="s">
        <v>6</v>
      </c>
      <c r="D4478">
        <v>13.17</v>
      </c>
      <c r="E4478">
        <v>6</v>
      </c>
      <c r="F4478" t="s">
        <v>15</v>
      </c>
      <c r="G4478">
        <v>28</v>
      </c>
      <c r="H4478">
        <v>16.857600000000001</v>
      </c>
      <c r="I4478">
        <v>28.000000000000004</v>
      </c>
      <c r="J4478" t="s">
        <v>20</v>
      </c>
    </row>
    <row r="4479" spans="1:10" x14ac:dyDescent="0.2">
      <c r="A4479">
        <v>14478</v>
      </c>
      <c r="B4479" t="s">
        <v>7</v>
      </c>
      <c r="C4479" t="s">
        <v>11</v>
      </c>
      <c r="D4479">
        <v>5.71</v>
      </c>
      <c r="E4479">
        <v>10</v>
      </c>
      <c r="F4479" t="s">
        <v>16</v>
      </c>
      <c r="G4479">
        <v>50</v>
      </c>
      <c r="H4479">
        <v>8.5649999999999995</v>
      </c>
      <c r="I4479">
        <v>50</v>
      </c>
      <c r="J4479" t="s">
        <v>20</v>
      </c>
    </row>
    <row r="4480" spans="1:10" x14ac:dyDescent="0.2">
      <c r="A4480">
        <v>14479</v>
      </c>
      <c r="B4480" t="s">
        <v>8</v>
      </c>
      <c r="C4480" t="s">
        <v>9</v>
      </c>
      <c r="D4480">
        <v>1.1599999999999999</v>
      </c>
      <c r="E4480">
        <v>2</v>
      </c>
      <c r="F4480" t="s">
        <v>14</v>
      </c>
      <c r="G4480">
        <v>15</v>
      </c>
      <c r="H4480">
        <v>1.3339999999999999</v>
      </c>
      <c r="I4480">
        <v>14.999999999999991</v>
      </c>
      <c r="J4480" t="s">
        <v>20</v>
      </c>
    </row>
    <row r="4481" spans="1:10" x14ac:dyDescent="0.2">
      <c r="A4481">
        <v>14480</v>
      </c>
      <c r="B4481" t="s">
        <v>10</v>
      </c>
      <c r="C4481" t="s">
        <v>6</v>
      </c>
      <c r="D4481">
        <v>12.76</v>
      </c>
      <c r="E4481">
        <v>3</v>
      </c>
      <c r="F4481" t="s">
        <v>14</v>
      </c>
      <c r="G4481">
        <v>12</v>
      </c>
      <c r="H4481">
        <v>14.291200000000002</v>
      </c>
      <c r="I4481">
        <v>12.000000000000011</v>
      </c>
      <c r="J4481" t="s">
        <v>20</v>
      </c>
    </row>
    <row r="4482" spans="1:10" x14ac:dyDescent="0.2">
      <c r="A4482">
        <v>14481</v>
      </c>
      <c r="B4482" t="s">
        <v>8</v>
      </c>
      <c r="C4482" t="s">
        <v>6</v>
      </c>
      <c r="D4482">
        <v>13.71</v>
      </c>
      <c r="E4482">
        <v>4</v>
      </c>
      <c r="F4482" t="s">
        <v>15</v>
      </c>
      <c r="G4482">
        <v>28</v>
      </c>
      <c r="H4482">
        <v>17.5488</v>
      </c>
      <c r="I4482">
        <v>28.000000000000004</v>
      </c>
      <c r="J4482" t="s">
        <v>20</v>
      </c>
    </row>
    <row r="4483" spans="1:10" x14ac:dyDescent="0.2">
      <c r="A4483">
        <v>14482</v>
      </c>
      <c r="B4483" t="s">
        <v>7</v>
      </c>
      <c r="C4483" t="s">
        <v>9</v>
      </c>
      <c r="D4483">
        <v>12.4</v>
      </c>
      <c r="E4483">
        <v>5</v>
      </c>
      <c r="F4483" t="s">
        <v>15</v>
      </c>
      <c r="G4483">
        <v>30</v>
      </c>
      <c r="H4483">
        <v>16.12</v>
      </c>
      <c r="I4483">
        <v>30.000000000000004</v>
      </c>
      <c r="J4483" t="s">
        <v>20</v>
      </c>
    </row>
    <row r="4484" spans="1:10" x14ac:dyDescent="0.2">
      <c r="A4484">
        <v>14483</v>
      </c>
      <c r="B4484" t="s">
        <v>10</v>
      </c>
      <c r="C4484" t="s">
        <v>9</v>
      </c>
      <c r="D4484">
        <v>2.36</v>
      </c>
      <c r="E4484">
        <v>9</v>
      </c>
      <c r="F4484" t="s">
        <v>16</v>
      </c>
      <c r="G4484">
        <v>60</v>
      </c>
      <c r="H4484">
        <v>3.7759999999999998</v>
      </c>
      <c r="I4484">
        <v>60.000000000000007</v>
      </c>
      <c r="J4484" t="s">
        <v>20</v>
      </c>
    </row>
    <row r="4485" spans="1:10" x14ac:dyDescent="0.2">
      <c r="A4485">
        <v>14484</v>
      </c>
      <c r="B4485" t="s">
        <v>7</v>
      </c>
      <c r="C4485" t="s">
        <v>9</v>
      </c>
      <c r="D4485">
        <v>14.97</v>
      </c>
      <c r="E4485">
        <v>6</v>
      </c>
      <c r="F4485" t="s">
        <v>15</v>
      </c>
      <c r="G4485">
        <v>30</v>
      </c>
      <c r="H4485">
        <v>19.461000000000002</v>
      </c>
      <c r="I4485">
        <v>30.000000000000004</v>
      </c>
      <c r="J4485" t="s">
        <v>20</v>
      </c>
    </row>
    <row r="4486" spans="1:10" x14ac:dyDescent="0.2">
      <c r="A4486">
        <v>14485</v>
      </c>
      <c r="B4486" t="s">
        <v>5</v>
      </c>
      <c r="C4486" t="s">
        <v>9</v>
      </c>
      <c r="D4486">
        <v>4.25</v>
      </c>
      <c r="E4486">
        <v>1</v>
      </c>
      <c r="F4486" t="s">
        <v>14</v>
      </c>
      <c r="G4486">
        <v>15</v>
      </c>
      <c r="H4486">
        <v>4.8874999999999993</v>
      </c>
      <c r="I4486">
        <v>14.999999999999991</v>
      </c>
      <c r="J4486" t="s">
        <v>20</v>
      </c>
    </row>
    <row r="4487" spans="1:10" x14ac:dyDescent="0.2">
      <c r="A4487">
        <v>14486</v>
      </c>
      <c r="B4487" t="s">
        <v>5</v>
      </c>
      <c r="C4487" t="s">
        <v>9</v>
      </c>
      <c r="D4487">
        <v>11</v>
      </c>
      <c r="E4487">
        <v>3</v>
      </c>
      <c r="F4487" t="s">
        <v>14</v>
      </c>
      <c r="G4487">
        <v>15</v>
      </c>
      <c r="H4487">
        <v>12.649999999999999</v>
      </c>
      <c r="I4487">
        <v>14.999999999999991</v>
      </c>
      <c r="J4487" t="s">
        <v>20</v>
      </c>
    </row>
    <row r="4488" spans="1:10" x14ac:dyDescent="0.2">
      <c r="A4488">
        <v>14487</v>
      </c>
      <c r="B4488" t="s">
        <v>7</v>
      </c>
      <c r="C4488" t="s">
        <v>9</v>
      </c>
      <c r="D4488">
        <v>13.67</v>
      </c>
      <c r="E4488">
        <v>7</v>
      </c>
      <c r="F4488" t="s">
        <v>15</v>
      </c>
      <c r="G4488">
        <v>30</v>
      </c>
      <c r="H4488">
        <v>17.771000000000001</v>
      </c>
      <c r="I4488">
        <v>30.000000000000004</v>
      </c>
      <c r="J4488" t="s">
        <v>20</v>
      </c>
    </row>
    <row r="4489" spans="1:10" x14ac:dyDescent="0.2">
      <c r="A4489">
        <v>14488</v>
      </c>
      <c r="B4489" t="s">
        <v>10</v>
      </c>
      <c r="C4489" t="s">
        <v>11</v>
      </c>
      <c r="D4489">
        <v>3.92</v>
      </c>
      <c r="E4489">
        <v>8</v>
      </c>
      <c r="F4489" t="s">
        <v>16</v>
      </c>
      <c r="G4489">
        <v>50</v>
      </c>
      <c r="H4489">
        <v>5.88</v>
      </c>
      <c r="I4489">
        <v>50</v>
      </c>
      <c r="J4489" t="s">
        <v>20</v>
      </c>
    </row>
    <row r="4490" spans="1:10" x14ac:dyDescent="0.2">
      <c r="A4490">
        <v>14489</v>
      </c>
      <c r="B4490" t="s">
        <v>10</v>
      </c>
      <c r="C4490" t="s">
        <v>9</v>
      </c>
      <c r="D4490">
        <v>13.67</v>
      </c>
      <c r="E4490">
        <v>7</v>
      </c>
      <c r="F4490" t="s">
        <v>15</v>
      </c>
      <c r="G4490">
        <v>30</v>
      </c>
      <c r="H4490">
        <v>17.771000000000001</v>
      </c>
      <c r="I4490">
        <v>30.000000000000004</v>
      </c>
      <c r="J4490" t="s">
        <v>20</v>
      </c>
    </row>
    <row r="4491" spans="1:10" x14ac:dyDescent="0.2">
      <c r="A4491">
        <v>14490</v>
      </c>
      <c r="B4491" t="s">
        <v>8</v>
      </c>
      <c r="C4491" t="s">
        <v>9</v>
      </c>
      <c r="D4491">
        <v>4.99</v>
      </c>
      <c r="E4491">
        <v>5</v>
      </c>
      <c r="F4491" t="s">
        <v>15</v>
      </c>
      <c r="G4491">
        <v>30</v>
      </c>
      <c r="H4491">
        <v>6.4870000000000001</v>
      </c>
      <c r="I4491">
        <v>30.000000000000004</v>
      </c>
      <c r="J4491" t="s">
        <v>20</v>
      </c>
    </row>
    <row r="4492" spans="1:10" x14ac:dyDescent="0.2">
      <c r="A4492">
        <v>14491</v>
      </c>
      <c r="B4492" t="s">
        <v>5</v>
      </c>
      <c r="C4492" t="s">
        <v>11</v>
      </c>
      <c r="D4492">
        <v>14.66</v>
      </c>
      <c r="E4492">
        <v>10</v>
      </c>
      <c r="F4492" t="s">
        <v>16</v>
      </c>
      <c r="G4492">
        <v>50</v>
      </c>
      <c r="H4492">
        <v>21.990000000000002</v>
      </c>
      <c r="I4492">
        <v>50.000000000000021</v>
      </c>
      <c r="J4492" t="s">
        <v>20</v>
      </c>
    </row>
    <row r="4493" spans="1:10" x14ac:dyDescent="0.2">
      <c r="A4493">
        <v>14492</v>
      </c>
      <c r="B4493" t="s">
        <v>8</v>
      </c>
      <c r="C4493" t="s">
        <v>9</v>
      </c>
      <c r="D4493">
        <v>4.58</v>
      </c>
      <c r="E4493">
        <v>8</v>
      </c>
      <c r="F4493" t="s">
        <v>16</v>
      </c>
      <c r="G4493">
        <v>60</v>
      </c>
      <c r="H4493">
        <v>7.3280000000000003</v>
      </c>
      <c r="I4493">
        <v>60.000000000000007</v>
      </c>
      <c r="J4493" t="s">
        <v>20</v>
      </c>
    </row>
    <row r="4494" spans="1:10" x14ac:dyDescent="0.2">
      <c r="A4494">
        <v>14493</v>
      </c>
      <c r="B4494" t="s">
        <v>8</v>
      </c>
      <c r="C4494" t="s">
        <v>6</v>
      </c>
      <c r="D4494">
        <v>14.32</v>
      </c>
      <c r="E4494">
        <v>9</v>
      </c>
      <c r="F4494" t="s">
        <v>16</v>
      </c>
      <c r="G4494">
        <v>55</v>
      </c>
      <c r="H4494">
        <v>22.196000000000002</v>
      </c>
      <c r="I4494">
        <v>55.000000000000007</v>
      </c>
      <c r="J4494" t="s">
        <v>20</v>
      </c>
    </row>
    <row r="4495" spans="1:10" x14ac:dyDescent="0.2">
      <c r="A4495">
        <v>14494</v>
      </c>
      <c r="B4495" t="s">
        <v>7</v>
      </c>
      <c r="C4495" t="s">
        <v>6</v>
      </c>
      <c r="D4495">
        <v>1.28</v>
      </c>
      <c r="E4495">
        <v>7</v>
      </c>
      <c r="F4495" t="s">
        <v>15</v>
      </c>
      <c r="G4495">
        <v>28</v>
      </c>
      <c r="H4495">
        <v>1.6384000000000001</v>
      </c>
      <c r="I4495">
        <v>28.000000000000004</v>
      </c>
      <c r="J4495" t="s">
        <v>20</v>
      </c>
    </row>
    <row r="4496" spans="1:10" x14ac:dyDescent="0.2">
      <c r="A4496">
        <v>14495</v>
      </c>
      <c r="B4496" t="s">
        <v>7</v>
      </c>
      <c r="C4496" t="s">
        <v>9</v>
      </c>
      <c r="D4496">
        <v>10.78</v>
      </c>
      <c r="E4496">
        <v>9</v>
      </c>
      <c r="F4496" t="s">
        <v>16</v>
      </c>
      <c r="G4496">
        <v>60</v>
      </c>
      <c r="H4496">
        <v>17.248000000000001</v>
      </c>
      <c r="I4496">
        <v>60.000000000000007</v>
      </c>
      <c r="J4496" t="s">
        <v>20</v>
      </c>
    </row>
    <row r="4497" spans="1:10" x14ac:dyDescent="0.2">
      <c r="A4497">
        <v>14496</v>
      </c>
      <c r="B4497" t="s">
        <v>8</v>
      </c>
      <c r="C4497" t="s">
        <v>11</v>
      </c>
      <c r="D4497">
        <v>8.2200000000000006</v>
      </c>
      <c r="E4497">
        <v>1</v>
      </c>
      <c r="F4497" t="s">
        <v>14</v>
      </c>
      <c r="G4497">
        <v>10</v>
      </c>
      <c r="H4497">
        <v>9.0420000000000016</v>
      </c>
      <c r="I4497">
        <v>10.000000000000009</v>
      </c>
      <c r="J4497" t="s">
        <v>20</v>
      </c>
    </row>
    <row r="4498" spans="1:10" x14ac:dyDescent="0.2">
      <c r="A4498">
        <v>14497</v>
      </c>
      <c r="B4498" t="s">
        <v>5</v>
      </c>
      <c r="C4498" t="s">
        <v>6</v>
      </c>
      <c r="D4498">
        <v>7.43</v>
      </c>
      <c r="E4498">
        <v>9</v>
      </c>
      <c r="F4498" t="s">
        <v>16</v>
      </c>
      <c r="G4498">
        <v>55</v>
      </c>
      <c r="H4498">
        <v>11.516500000000001</v>
      </c>
      <c r="I4498">
        <v>55.000000000000007</v>
      </c>
      <c r="J4498" t="s">
        <v>20</v>
      </c>
    </row>
    <row r="4499" spans="1:10" x14ac:dyDescent="0.2">
      <c r="A4499">
        <v>14498</v>
      </c>
      <c r="B4499" t="s">
        <v>7</v>
      </c>
      <c r="C4499" t="s">
        <v>11</v>
      </c>
      <c r="D4499">
        <v>3.74</v>
      </c>
      <c r="E4499">
        <v>3</v>
      </c>
      <c r="F4499" t="s">
        <v>14</v>
      </c>
      <c r="G4499">
        <v>10</v>
      </c>
      <c r="H4499">
        <v>4.1140000000000008</v>
      </c>
      <c r="I4499">
        <v>10.000000000000009</v>
      </c>
      <c r="J4499" t="s">
        <v>20</v>
      </c>
    </row>
    <row r="4500" spans="1:10" x14ac:dyDescent="0.2">
      <c r="A4500">
        <v>14499</v>
      </c>
      <c r="B4500" t="s">
        <v>8</v>
      </c>
      <c r="C4500" t="s">
        <v>6</v>
      </c>
      <c r="D4500">
        <v>10.73</v>
      </c>
      <c r="E4500">
        <v>6</v>
      </c>
      <c r="F4500" t="s">
        <v>15</v>
      </c>
      <c r="G4500">
        <v>28</v>
      </c>
      <c r="H4500">
        <v>13.734400000000001</v>
      </c>
      <c r="I4500">
        <v>28.000000000000004</v>
      </c>
      <c r="J4500" t="s">
        <v>20</v>
      </c>
    </row>
    <row r="4501" spans="1:10" x14ac:dyDescent="0.2">
      <c r="A4501">
        <v>14500</v>
      </c>
      <c r="B4501" t="s">
        <v>8</v>
      </c>
      <c r="C4501" t="s">
        <v>9</v>
      </c>
      <c r="D4501">
        <v>3.27</v>
      </c>
      <c r="E4501">
        <v>8</v>
      </c>
      <c r="F4501" t="s">
        <v>16</v>
      </c>
      <c r="G4501">
        <v>60</v>
      </c>
      <c r="H4501">
        <v>5.2320000000000002</v>
      </c>
      <c r="I4501">
        <v>60.000000000000007</v>
      </c>
      <c r="J4501" t="s">
        <v>20</v>
      </c>
    </row>
    <row r="4502" spans="1:10" x14ac:dyDescent="0.2">
      <c r="A4502">
        <v>14501</v>
      </c>
      <c r="B4502" t="s">
        <v>8</v>
      </c>
      <c r="C4502" t="s">
        <v>11</v>
      </c>
      <c r="D4502">
        <v>8.52</v>
      </c>
      <c r="E4502">
        <v>3</v>
      </c>
      <c r="F4502" t="s">
        <v>14</v>
      </c>
      <c r="G4502">
        <v>10</v>
      </c>
      <c r="H4502">
        <v>9.3719999999999999</v>
      </c>
      <c r="I4502">
        <v>10.000000000000009</v>
      </c>
      <c r="J4502" t="s">
        <v>20</v>
      </c>
    </row>
    <row r="4503" spans="1:10" x14ac:dyDescent="0.2">
      <c r="A4503">
        <v>14502</v>
      </c>
      <c r="B4503" t="s">
        <v>8</v>
      </c>
      <c r="C4503" t="s">
        <v>11</v>
      </c>
      <c r="D4503">
        <v>4.17</v>
      </c>
      <c r="E4503">
        <v>4</v>
      </c>
      <c r="F4503" t="s">
        <v>15</v>
      </c>
      <c r="G4503">
        <v>25</v>
      </c>
      <c r="H4503">
        <v>5.2125000000000004</v>
      </c>
      <c r="I4503">
        <v>25</v>
      </c>
      <c r="J4503" t="s">
        <v>20</v>
      </c>
    </row>
    <row r="4504" spans="1:10" x14ac:dyDescent="0.2">
      <c r="A4504">
        <v>14503</v>
      </c>
      <c r="B4504" t="s">
        <v>8</v>
      </c>
      <c r="C4504" t="s">
        <v>11</v>
      </c>
      <c r="D4504">
        <v>14.36</v>
      </c>
      <c r="E4504">
        <v>7</v>
      </c>
      <c r="F4504" t="s">
        <v>15</v>
      </c>
      <c r="G4504">
        <v>25</v>
      </c>
      <c r="H4504">
        <v>17.95</v>
      </c>
      <c r="I4504">
        <v>25</v>
      </c>
      <c r="J4504" t="s">
        <v>20</v>
      </c>
    </row>
    <row r="4505" spans="1:10" x14ac:dyDescent="0.2">
      <c r="A4505">
        <v>14504</v>
      </c>
      <c r="B4505" t="s">
        <v>8</v>
      </c>
      <c r="C4505" t="s">
        <v>6</v>
      </c>
      <c r="D4505">
        <v>0.92</v>
      </c>
      <c r="E4505">
        <v>7</v>
      </c>
      <c r="F4505" t="s">
        <v>15</v>
      </c>
      <c r="G4505">
        <v>28</v>
      </c>
      <c r="H4505">
        <v>1.1776</v>
      </c>
      <c r="I4505">
        <v>28.000000000000004</v>
      </c>
      <c r="J4505" t="s">
        <v>20</v>
      </c>
    </row>
    <row r="4506" spans="1:10" x14ac:dyDescent="0.2">
      <c r="A4506">
        <v>14505</v>
      </c>
      <c r="B4506" t="s">
        <v>7</v>
      </c>
      <c r="C4506" t="s">
        <v>6</v>
      </c>
      <c r="D4506">
        <v>3.4</v>
      </c>
      <c r="E4506">
        <v>4</v>
      </c>
      <c r="F4506" t="s">
        <v>15</v>
      </c>
      <c r="G4506">
        <v>28</v>
      </c>
      <c r="H4506">
        <v>4.3520000000000003</v>
      </c>
      <c r="I4506">
        <v>28.000000000000004</v>
      </c>
      <c r="J4506" t="s">
        <v>20</v>
      </c>
    </row>
    <row r="4507" spans="1:10" x14ac:dyDescent="0.2">
      <c r="A4507">
        <v>14506</v>
      </c>
      <c r="B4507" t="s">
        <v>5</v>
      </c>
      <c r="C4507" t="s">
        <v>6</v>
      </c>
      <c r="D4507">
        <v>4.01</v>
      </c>
      <c r="E4507">
        <v>9</v>
      </c>
      <c r="F4507" t="s">
        <v>16</v>
      </c>
      <c r="G4507">
        <v>55</v>
      </c>
      <c r="H4507">
        <v>6.2154999999999996</v>
      </c>
      <c r="I4507">
        <v>55.000000000000007</v>
      </c>
      <c r="J4507" t="s">
        <v>20</v>
      </c>
    </row>
    <row r="4508" spans="1:10" x14ac:dyDescent="0.2">
      <c r="A4508">
        <v>14507</v>
      </c>
      <c r="B4508" t="s">
        <v>8</v>
      </c>
      <c r="C4508" t="s">
        <v>9</v>
      </c>
      <c r="D4508">
        <v>6.5</v>
      </c>
      <c r="E4508">
        <v>3</v>
      </c>
      <c r="F4508" t="s">
        <v>14</v>
      </c>
      <c r="G4508">
        <v>15</v>
      </c>
      <c r="H4508">
        <v>7.4749999999999996</v>
      </c>
      <c r="I4508">
        <v>14.999999999999991</v>
      </c>
      <c r="J4508" t="s">
        <v>20</v>
      </c>
    </row>
    <row r="4509" spans="1:10" x14ac:dyDescent="0.2">
      <c r="A4509">
        <v>14508</v>
      </c>
      <c r="B4509" t="s">
        <v>10</v>
      </c>
      <c r="C4509" t="s">
        <v>6</v>
      </c>
      <c r="D4509">
        <v>3.87</v>
      </c>
      <c r="E4509">
        <v>8</v>
      </c>
      <c r="F4509" t="s">
        <v>16</v>
      </c>
      <c r="G4509">
        <v>55</v>
      </c>
      <c r="H4509">
        <v>5.9984999999999999</v>
      </c>
      <c r="I4509">
        <v>55.000000000000007</v>
      </c>
      <c r="J4509" t="s">
        <v>20</v>
      </c>
    </row>
    <row r="4510" spans="1:10" x14ac:dyDescent="0.2">
      <c r="A4510">
        <v>14509</v>
      </c>
      <c r="B4510" t="s">
        <v>7</v>
      </c>
      <c r="C4510" t="s">
        <v>9</v>
      </c>
      <c r="D4510">
        <v>7.62</v>
      </c>
      <c r="E4510">
        <v>8</v>
      </c>
      <c r="F4510" t="s">
        <v>16</v>
      </c>
      <c r="G4510">
        <v>60</v>
      </c>
      <c r="H4510">
        <v>12.192</v>
      </c>
      <c r="I4510">
        <v>60.000000000000007</v>
      </c>
      <c r="J4510" t="s">
        <v>20</v>
      </c>
    </row>
    <row r="4511" spans="1:10" x14ac:dyDescent="0.2">
      <c r="A4511">
        <v>14510</v>
      </c>
      <c r="B4511" t="s">
        <v>7</v>
      </c>
      <c r="C4511" t="s">
        <v>11</v>
      </c>
      <c r="D4511">
        <v>13.15</v>
      </c>
      <c r="E4511">
        <v>4</v>
      </c>
      <c r="F4511" t="s">
        <v>15</v>
      </c>
      <c r="G4511">
        <v>25</v>
      </c>
      <c r="H4511">
        <v>16.4375</v>
      </c>
      <c r="I4511">
        <v>25</v>
      </c>
      <c r="J4511" t="s">
        <v>20</v>
      </c>
    </row>
    <row r="4512" spans="1:10" x14ac:dyDescent="0.2">
      <c r="A4512">
        <v>14511</v>
      </c>
      <c r="B4512" t="s">
        <v>8</v>
      </c>
      <c r="C4512" t="s">
        <v>11</v>
      </c>
      <c r="D4512">
        <v>10.82</v>
      </c>
      <c r="E4512">
        <v>7</v>
      </c>
      <c r="F4512" t="s">
        <v>15</v>
      </c>
      <c r="G4512">
        <v>25</v>
      </c>
      <c r="H4512">
        <v>13.525</v>
      </c>
      <c r="I4512">
        <v>25</v>
      </c>
      <c r="J4512" t="s">
        <v>20</v>
      </c>
    </row>
    <row r="4513" spans="1:10" x14ac:dyDescent="0.2">
      <c r="A4513">
        <v>14512</v>
      </c>
      <c r="B4513" t="s">
        <v>7</v>
      </c>
      <c r="C4513" t="s">
        <v>9</v>
      </c>
      <c r="D4513">
        <v>8.91</v>
      </c>
      <c r="E4513">
        <v>4</v>
      </c>
      <c r="F4513" t="s">
        <v>15</v>
      </c>
      <c r="G4513">
        <v>30</v>
      </c>
      <c r="H4513">
        <v>11.583</v>
      </c>
      <c r="I4513">
        <v>30.000000000000004</v>
      </c>
      <c r="J4513" t="s">
        <v>20</v>
      </c>
    </row>
    <row r="4514" spans="1:10" x14ac:dyDescent="0.2">
      <c r="A4514">
        <v>14513</v>
      </c>
      <c r="B4514" t="s">
        <v>8</v>
      </c>
      <c r="C4514" t="s">
        <v>6</v>
      </c>
      <c r="D4514">
        <v>1.79</v>
      </c>
      <c r="E4514">
        <v>1</v>
      </c>
      <c r="F4514" t="s">
        <v>14</v>
      </c>
      <c r="G4514">
        <v>12</v>
      </c>
      <c r="H4514">
        <v>2.0048000000000004</v>
      </c>
      <c r="I4514">
        <v>12.000000000000011</v>
      </c>
      <c r="J4514" t="s">
        <v>20</v>
      </c>
    </row>
    <row r="4515" spans="1:10" x14ac:dyDescent="0.2">
      <c r="A4515">
        <v>14514</v>
      </c>
      <c r="B4515" t="s">
        <v>5</v>
      </c>
      <c r="C4515" t="s">
        <v>9</v>
      </c>
      <c r="D4515">
        <v>10.56</v>
      </c>
      <c r="E4515">
        <v>1</v>
      </c>
      <c r="F4515" t="s">
        <v>14</v>
      </c>
      <c r="G4515">
        <v>15</v>
      </c>
      <c r="H4515">
        <v>12.144</v>
      </c>
      <c r="I4515">
        <v>14.999999999999991</v>
      </c>
      <c r="J4515" t="s">
        <v>20</v>
      </c>
    </row>
    <row r="4516" spans="1:10" x14ac:dyDescent="0.2">
      <c r="A4516">
        <v>14515</v>
      </c>
      <c r="B4516" t="s">
        <v>5</v>
      </c>
      <c r="C4516" t="s">
        <v>11</v>
      </c>
      <c r="D4516">
        <v>2.91</v>
      </c>
      <c r="E4516">
        <v>1</v>
      </c>
      <c r="F4516" t="s">
        <v>14</v>
      </c>
      <c r="G4516">
        <v>10</v>
      </c>
      <c r="H4516">
        <v>3.2010000000000005</v>
      </c>
      <c r="I4516">
        <v>10.000000000000009</v>
      </c>
      <c r="J4516" t="s">
        <v>20</v>
      </c>
    </row>
    <row r="4517" spans="1:10" x14ac:dyDescent="0.2">
      <c r="A4517">
        <v>14516</v>
      </c>
      <c r="B4517" t="s">
        <v>7</v>
      </c>
      <c r="C4517" t="s">
        <v>11</v>
      </c>
      <c r="D4517">
        <v>11.9</v>
      </c>
      <c r="E4517">
        <v>2</v>
      </c>
      <c r="F4517" t="s">
        <v>14</v>
      </c>
      <c r="G4517">
        <v>10</v>
      </c>
      <c r="H4517">
        <v>13.090000000000002</v>
      </c>
      <c r="I4517">
        <v>10.000000000000009</v>
      </c>
      <c r="J4517" t="s">
        <v>20</v>
      </c>
    </row>
    <row r="4518" spans="1:10" x14ac:dyDescent="0.2">
      <c r="A4518">
        <v>14517</v>
      </c>
      <c r="B4518" t="s">
        <v>7</v>
      </c>
      <c r="C4518" t="s">
        <v>9</v>
      </c>
      <c r="D4518">
        <v>4.13</v>
      </c>
      <c r="E4518">
        <v>6</v>
      </c>
      <c r="F4518" t="s">
        <v>15</v>
      </c>
      <c r="G4518">
        <v>30</v>
      </c>
      <c r="H4518">
        <v>5.3689999999999998</v>
      </c>
      <c r="I4518">
        <v>30.000000000000004</v>
      </c>
      <c r="J4518" t="s">
        <v>20</v>
      </c>
    </row>
    <row r="4519" spans="1:10" x14ac:dyDescent="0.2">
      <c r="A4519">
        <v>14518</v>
      </c>
      <c r="B4519" t="s">
        <v>10</v>
      </c>
      <c r="C4519" t="s">
        <v>6</v>
      </c>
      <c r="D4519">
        <v>6.55</v>
      </c>
      <c r="E4519">
        <v>10</v>
      </c>
      <c r="F4519" t="s">
        <v>16</v>
      </c>
      <c r="G4519">
        <v>55</v>
      </c>
      <c r="H4519">
        <v>10.1525</v>
      </c>
      <c r="I4519">
        <v>55.000000000000007</v>
      </c>
      <c r="J4519" t="s">
        <v>20</v>
      </c>
    </row>
    <row r="4520" spans="1:10" x14ac:dyDescent="0.2">
      <c r="A4520">
        <v>14519</v>
      </c>
      <c r="B4520" t="s">
        <v>7</v>
      </c>
      <c r="C4520" t="s">
        <v>6</v>
      </c>
      <c r="D4520">
        <v>5.58</v>
      </c>
      <c r="E4520">
        <v>5</v>
      </c>
      <c r="F4520" t="s">
        <v>15</v>
      </c>
      <c r="G4520">
        <v>28</v>
      </c>
      <c r="H4520">
        <v>7.1424000000000003</v>
      </c>
      <c r="I4520">
        <v>28.000000000000004</v>
      </c>
      <c r="J4520" t="s">
        <v>20</v>
      </c>
    </row>
    <row r="4521" spans="1:10" x14ac:dyDescent="0.2">
      <c r="A4521">
        <v>14520</v>
      </c>
      <c r="B4521" t="s">
        <v>10</v>
      </c>
      <c r="C4521" t="s">
        <v>9</v>
      </c>
      <c r="D4521">
        <v>12.95</v>
      </c>
      <c r="E4521">
        <v>2</v>
      </c>
      <c r="F4521" t="s">
        <v>14</v>
      </c>
      <c r="G4521">
        <v>15</v>
      </c>
      <c r="H4521">
        <v>14.892499999999998</v>
      </c>
      <c r="I4521">
        <v>14.999999999999991</v>
      </c>
      <c r="J4521" t="s">
        <v>20</v>
      </c>
    </row>
    <row r="4522" spans="1:10" x14ac:dyDescent="0.2">
      <c r="A4522">
        <v>14521</v>
      </c>
      <c r="B4522" t="s">
        <v>5</v>
      </c>
      <c r="C4522" t="s">
        <v>9</v>
      </c>
      <c r="D4522">
        <v>2.33</v>
      </c>
      <c r="E4522">
        <v>8</v>
      </c>
      <c r="F4522" t="s">
        <v>16</v>
      </c>
      <c r="G4522">
        <v>60</v>
      </c>
      <c r="H4522">
        <v>3.7280000000000002</v>
      </c>
      <c r="I4522">
        <v>60.000000000000007</v>
      </c>
      <c r="J4522" t="s">
        <v>20</v>
      </c>
    </row>
    <row r="4523" spans="1:10" x14ac:dyDescent="0.2">
      <c r="A4523">
        <v>14522</v>
      </c>
      <c r="B4523" t="s">
        <v>5</v>
      </c>
      <c r="C4523" t="s">
        <v>6</v>
      </c>
      <c r="D4523">
        <v>8.6999999999999993</v>
      </c>
      <c r="E4523">
        <v>9</v>
      </c>
      <c r="F4523" t="s">
        <v>16</v>
      </c>
      <c r="G4523">
        <v>55</v>
      </c>
      <c r="H4523">
        <v>13.484999999999999</v>
      </c>
      <c r="I4523">
        <v>55.000000000000007</v>
      </c>
      <c r="J4523" t="s">
        <v>20</v>
      </c>
    </row>
    <row r="4524" spans="1:10" x14ac:dyDescent="0.2">
      <c r="A4524">
        <v>14523</v>
      </c>
      <c r="B4524" t="s">
        <v>8</v>
      </c>
      <c r="C4524" t="s">
        <v>11</v>
      </c>
      <c r="D4524">
        <v>2.56</v>
      </c>
      <c r="E4524">
        <v>7</v>
      </c>
      <c r="F4524" t="s">
        <v>15</v>
      </c>
      <c r="G4524">
        <v>25</v>
      </c>
      <c r="H4524">
        <v>3.2</v>
      </c>
      <c r="I4524">
        <v>25</v>
      </c>
      <c r="J4524" t="s">
        <v>20</v>
      </c>
    </row>
    <row r="4525" spans="1:10" x14ac:dyDescent="0.2">
      <c r="A4525">
        <v>14524</v>
      </c>
      <c r="B4525" t="s">
        <v>5</v>
      </c>
      <c r="C4525" t="s">
        <v>9</v>
      </c>
      <c r="D4525">
        <v>10.72</v>
      </c>
      <c r="E4525">
        <v>9</v>
      </c>
      <c r="F4525" t="s">
        <v>16</v>
      </c>
      <c r="G4525">
        <v>60</v>
      </c>
      <c r="H4525">
        <v>17.152000000000001</v>
      </c>
      <c r="I4525">
        <v>60.000000000000007</v>
      </c>
      <c r="J4525" t="s">
        <v>20</v>
      </c>
    </row>
    <row r="4526" spans="1:10" x14ac:dyDescent="0.2">
      <c r="A4526">
        <v>14525</v>
      </c>
      <c r="B4526" t="s">
        <v>10</v>
      </c>
      <c r="C4526" t="s">
        <v>6</v>
      </c>
      <c r="D4526">
        <v>13.62</v>
      </c>
      <c r="E4526">
        <v>4</v>
      </c>
      <c r="F4526" t="s">
        <v>15</v>
      </c>
      <c r="G4526">
        <v>28</v>
      </c>
      <c r="H4526">
        <v>17.433599999999998</v>
      </c>
      <c r="I4526">
        <v>28.000000000000004</v>
      </c>
      <c r="J4526" t="s">
        <v>20</v>
      </c>
    </row>
    <row r="4527" spans="1:10" x14ac:dyDescent="0.2">
      <c r="A4527">
        <v>14526</v>
      </c>
      <c r="B4527" t="s">
        <v>7</v>
      </c>
      <c r="C4527" t="s">
        <v>6</v>
      </c>
      <c r="D4527">
        <v>6.8</v>
      </c>
      <c r="E4527">
        <v>7</v>
      </c>
      <c r="F4527" t="s">
        <v>15</v>
      </c>
      <c r="G4527">
        <v>28</v>
      </c>
      <c r="H4527">
        <v>8.7040000000000006</v>
      </c>
      <c r="I4527">
        <v>28.000000000000004</v>
      </c>
      <c r="J4527" t="s">
        <v>20</v>
      </c>
    </row>
    <row r="4528" spans="1:10" x14ac:dyDescent="0.2">
      <c r="A4528">
        <v>14527</v>
      </c>
      <c r="B4528" t="s">
        <v>8</v>
      </c>
      <c r="C4528" t="s">
        <v>11</v>
      </c>
      <c r="D4528">
        <v>7.58</v>
      </c>
      <c r="E4528">
        <v>5</v>
      </c>
      <c r="F4528" t="s">
        <v>15</v>
      </c>
      <c r="G4528">
        <v>25</v>
      </c>
      <c r="H4528">
        <v>9.4749999999999996</v>
      </c>
      <c r="I4528">
        <v>25</v>
      </c>
      <c r="J4528" t="s">
        <v>20</v>
      </c>
    </row>
    <row r="4529" spans="1:10" x14ac:dyDescent="0.2">
      <c r="A4529">
        <v>14528</v>
      </c>
      <c r="B4529" t="s">
        <v>10</v>
      </c>
      <c r="C4529" t="s">
        <v>11</v>
      </c>
      <c r="D4529">
        <v>13.95</v>
      </c>
      <c r="E4529">
        <v>5</v>
      </c>
      <c r="F4529" t="s">
        <v>15</v>
      </c>
      <c r="G4529">
        <v>25</v>
      </c>
      <c r="H4529">
        <v>17.4375</v>
      </c>
      <c r="I4529">
        <v>25</v>
      </c>
      <c r="J4529" t="s">
        <v>20</v>
      </c>
    </row>
    <row r="4530" spans="1:10" x14ac:dyDescent="0.2">
      <c r="A4530">
        <v>14529</v>
      </c>
      <c r="B4530" t="s">
        <v>7</v>
      </c>
      <c r="C4530" t="s">
        <v>11</v>
      </c>
      <c r="D4530">
        <v>8.0500000000000007</v>
      </c>
      <c r="E4530">
        <v>3</v>
      </c>
      <c r="F4530" t="s">
        <v>14</v>
      </c>
      <c r="G4530">
        <v>10</v>
      </c>
      <c r="H4530">
        <v>8.8550000000000022</v>
      </c>
      <c r="I4530">
        <v>10.000000000000009</v>
      </c>
      <c r="J4530" t="s">
        <v>20</v>
      </c>
    </row>
    <row r="4531" spans="1:10" x14ac:dyDescent="0.2">
      <c r="A4531">
        <v>14530</v>
      </c>
      <c r="B4531" t="s">
        <v>8</v>
      </c>
      <c r="C4531" t="s">
        <v>11</v>
      </c>
      <c r="D4531">
        <v>7.57</v>
      </c>
      <c r="E4531">
        <v>9</v>
      </c>
      <c r="F4531" t="s">
        <v>16</v>
      </c>
      <c r="G4531">
        <v>50</v>
      </c>
      <c r="H4531">
        <v>11.355</v>
      </c>
      <c r="I4531">
        <v>50</v>
      </c>
      <c r="J4531" t="s">
        <v>20</v>
      </c>
    </row>
    <row r="4532" spans="1:10" x14ac:dyDescent="0.2">
      <c r="A4532">
        <v>14531</v>
      </c>
      <c r="B4532" t="s">
        <v>5</v>
      </c>
      <c r="C4532" t="s">
        <v>11</v>
      </c>
      <c r="D4532">
        <v>8.89</v>
      </c>
      <c r="E4532">
        <v>10</v>
      </c>
      <c r="F4532" t="s">
        <v>16</v>
      </c>
      <c r="G4532">
        <v>50</v>
      </c>
      <c r="H4532">
        <v>13.335000000000001</v>
      </c>
      <c r="I4532">
        <v>50</v>
      </c>
      <c r="J4532" t="s">
        <v>20</v>
      </c>
    </row>
    <row r="4533" spans="1:10" x14ac:dyDescent="0.2">
      <c r="A4533">
        <v>14532</v>
      </c>
      <c r="B4533" t="s">
        <v>10</v>
      </c>
      <c r="C4533" t="s">
        <v>9</v>
      </c>
      <c r="D4533">
        <v>10.49</v>
      </c>
      <c r="E4533">
        <v>5</v>
      </c>
      <c r="F4533" t="s">
        <v>15</v>
      </c>
      <c r="G4533">
        <v>30</v>
      </c>
      <c r="H4533">
        <v>13.637</v>
      </c>
      <c r="I4533">
        <v>30.000000000000004</v>
      </c>
      <c r="J4533" t="s">
        <v>20</v>
      </c>
    </row>
    <row r="4534" spans="1:10" x14ac:dyDescent="0.2">
      <c r="A4534">
        <v>14533</v>
      </c>
      <c r="B4534" t="s">
        <v>7</v>
      </c>
      <c r="C4534" t="s">
        <v>6</v>
      </c>
      <c r="D4534">
        <v>2.0499999999999998</v>
      </c>
      <c r="E4534">
        <v>6</v>
      </c>
      <c r="F4534" t="s">
        <v>15</v>
      </c>
      <c r="G4534">
        <v>28</v>
      </c>
      <c r="H4534">
        <v>2.6239999999999997</v>
      </c>
      <c r="I4534">
        <v>28.000000000000004</v>
      </c>
      <c r="J4534" t="s">
        <v>20</v>
      </c>
    </row>
    <row r="4535" spans="1:10" x14ac:dyDescent="0.2">
      <c r="A4535">
        <v>14534</v>
      </c>
      <c r="B4535" t="s">
        <v>8</v>
      </c>
      <c r="C4535" t="s">
        <v>9</v>
      </c>
      <c r="D4535">
        <v>12.41</v>
      </c>
      <c r="E4535">
        <v>3</v>
      </c>
      <c r="F4535" t="s">
        <v>14</v>
      </c>
      <c r="G4535">
        <v>15</v>
      </c>
      <c r="H4535">
        <v>14.2715</v>
      </c>
      <c r="I4535">
        <v>14.999999999999991</v>
      </c>
      <c r="J4535" t="s">
        <v>20</v>
      </c>
    </row>
    <row r="4536" spans="1:10" x14ac:dyDescent="0.2">
      <c r="A4536">
        <v>14535</v>
      </c>
      <c r="B4536" t="s">
        <v>8</v>
      </c>
      <c r="C4536" t="s">
        <v>9</v>
      </c>
      <c r="D4536">
        <v>6.81</v>
      </c>
      <c r="E4536">
        <v>10</v>
      </c>
      <c r="F4536" t="s">
        <v>16</v>
      </c>
      <c r="G4536">
        <v>60</v>
      </c>
      <c r="H4536">
        <v>10.896000000000001</v>
      </c>
      <c r="I4536">
        <v>60.000000000000028</v>
      </c>
      <c r="J4536" t="s">
        <v>20</v>
      </c>
    </row>
    <row r="4537" spans="1:10" x14ac:dyDescent="0.2">
      <c r="A4537">
        <v>14536</v>
      </c>
      <c r="B4537" t="s">
        <v>5</v>
      </c>
      <c r="C4537" t="s">
        <v>9</v>
      </c>
      <c r="D4537">
        <v>1.55</v>
      </c>
      <c r="E4537">
        <v>7</v>
      </c>
      <c r="F4537" t="s">
        <v>15</v>
      </c>
      <c r="G4537">
        <v>30</v>
      </c>
      <c r="H4537">
        <v>2.0150000000000001</v>
      </c>
      <c r="I4537">
        <v>30.000000000000004</v>
      </c>
      <c r="J4537" t="s">
        <v>20</v>
      </c>
    </row>
    <row r="4538" spans="1:10" x14ac:dyDescent="0.2">
      <c r="A4538">
        <v>14537</v>
      </c>
      <c r="B4538" t="s">
        <v>7</v>
      </c>
      <c r="C4538" t="s">
        <v>9</v>
      </c>
      <c r="D4538">
        <v>11.9</v>
      </c>
      <c r="E4538">
        <v>9</v>
      </c>
      <c r="F4538" t="s">
        <v>16</v>
      </c>
      <c r="G4538">
        <v>60</v>
      </c>
      <c r="H4538">
        <v>19.040000000000003</v>
      </c>
      <c r="I4538">
        <v>60.000000000000007</v>
      </c>
      <c r="J4538" t="s">
        <v>20</v>
      </c>
    </row>
    <row r="4539" spans="1:10" x14ac:dyDescent="0.2">
      <c r="A4539">
        <v>14538</v>
      </c>
      <c r="B4539" t="s">
        <v>5</v>
      </c>
      <c r="C4539" t="s">
        <v>9</v>
      </c>
      <c r="D4539">
        <v>5.97</v>
      </c>
      <c r="E4539">
        <v>9</v>
      </c>
      <c r="F4539" t="s">
        <v>16</v>
      </c>
      <c r="G4539">
        <v>60</v>
      </c>
      <c r="H4539">
        <v>9.5519999999999996</v>
      </c>
      <c r="I4539">
        <v>60.000000000000007</v>
      </c>
      <c r="J4539" t="s">
        <v>20</v>
      </c>
    </row>
    <row r="4540" spans="1:10" x14ac:dyDescent="0.2">
      <c r="A4540">
        <v>14539</v>
      </c>
      <c r="B4540" t="s">
        <v>5</v>
      </c>
      <c r="C4540" t="s">
        <v>11</v>
      </c>
      <c r="D4540">
        <v>1.96</v>
      </c>
      <c r="E4540">
        <v>10</v>
      </c>
      <c r="F4540" t="s">
        <v>16</v>
      </c>
      <c r="G4540">
        <v>50</v>
      </c>
      <c r="H4540">
        <v>2.94</v>
      </c>
      <c r="I4540">
        <v>50</v>
      </c>
      <c r="J4540" t="s">
        <v>20</v>
      </c>
    </row>
    <row r="4541" spans="1:10" x14ac:dyDescent="0.2">
      <c r="A4541">
        <v>14540</v>
      </c>
      <c r="B4541" t="s">
        <v>7</v>
      </c>
      <c r="C4541" t="s">
        <v>11</v>
      </c>
      <c r="D4541">
        <v>9.69</v>
      </c>
      <c r="E4541">
        <v>10</v>
      </c>
      <c r="F4541" t="s">
        <v>16</v>
      </c>
      <c r="G4541">
        <v>50</v>
      </c>
      <c r="H4541">
        <v>14.535</v>
      </c>
      <c r="I4541">
        <v>50</v>
      </c>
      <c r="J4541" t="s">
        <v>20</v>
      </c>
    </row>
    <row r="4542" spans="1:10" x14ac:dyDescent="0.2">
      <c r="A4542">
        <v>14541</v>
      </c>
      <c r="B4542" t="s">
        <v>7</v>
      </c>
      <c r="C4542" t="s">
        <v>6</v>
      </c>
      <c r="D4542">
        <v>13.26</v>
      </c>
      <c r="E4542">
        <v>5</v>
      </c>
      <c r="F4542" t="s">
        <v>15</v>
      </c>
      <c r="G4542">
        <v>28</v>
      </c>
      <c r="H4542">
        <v>16.972799999999999</v>
      </c>
      <c r="I4542">
        <v>28.000000000000004</v>
      </c>
      <c r="J4542" t="s">
        <v>20</v>
      </c>
    </row>
    <row r="4543" spans="1:10" x14ac:dyDescent="0.2">
      <c r="A4543">
        <v>14542</v>
      </c>
      <c r="B4543" t="s">
        <v>7</v>
      </c>
      <c r="C4543" t="s">
        <v>9</v>
      </c>
      <c r="D4543">
        <v>13.37</v>
      </c>
      <c r="E4543">
        <v>7</v>
      </c>
      <c r="F4543" t="s">
        <v>15</v>
      </c>
      <c r="G4543">
        <v>30</v>
      </c>
      <c r="H4543">
        <v>17.381</v>
      </c>
      <c r="I4543">
        <v>30.000000000000004</v>
      </c>
      <c r="J4543" t="s">
        <v>20</v>
      </c>
    </row>
    <row r="4544" spans="1:10" x14ac:dyDescent="0.2">
      <c r="A4544">
        <v>14543</v>
      </c>
      <c r="B4544" t="s">
        <v>10</v>
      </c>
      <c r="C4544" t="s">
        <v>6</v>
      </c>
      <c r="D4544">
        <v>14.39</v>
      </c>
      <c r="E4544">
        <v>3</v>
      </c>
      <c r="F4544" t="s">
        <v>14</v>
      </c>
      <c r="G4544">
        <v>12</v>
      </c>
      <c r="H4544">
        <v>16.116800000000001</v>
      </c>
      <c r="I4544">
        <v>12.000000000000011</v>
      </c>
      <c r="J4544" t="s">
        <v>20</v>
      </c>
    </row>
    <row r="4545" spans="1:10" x14ac:dyDescent="0.2">
      <c r="A4545">
        <v>14544</v>
      </c>
      <c r="B4545" t="s">
        <v>7</v>
      </c>
      <c r="C4545" t="s">
        <v>11</v>
      </c>
      <c r="D4545">
        <v>13.08</v>
      </c>
      <c r="E4545">
        <v>6</v>
      </c>
      <c r="F4545" t="s">
        <v>15</v>
      </c>
      <c r="G4545">
        <v>25</v>
      </c>
      <c r="H4545">
        <v>16.350000000000001</v>
      </c>
      <c r="I4545">
        <v>25</v>
      </c>
      <c r="J4545" t="s">
        <v>20</v>
      </c>
    </row>
    <row r="4546" spans="1:10" x14ac:dyDescent="0.2">
      <c r="A4546">
        <v>14545</v>
      </c>
      <c r="B4546" t="s">
        <v>8</v>
      </c>
      <c r="C4546" t="s">
        <v>11</v>
      </c>
      <c r="D4546">
        <v>0.53</v>
      </c>
      <c r="E4546">
        <v>8</v>
      </c>
      <c r="F4546" t="s">
        <v>16</v>
      </c>
      <c r="G4546">
        <v>50</v>
      </c>
      <c r="H4546">
        <v>0.79500000000000004</v>
      </c>
      <c r="I4546">
        <v>50</v>
      </c>
      <c r="J4546" t="s">
        <v>20</v>
      </c>
    </row>
    <row r="4547" spans="1:10" x14ac:dyDescent="0.2">
      <c r="A4547">
        <v>14546</v>
      </c>
      <c r="B4547" t="s">
        <v>5</v>
      </c>
      <c r="C4547" t="s">
        <v>11</v>
      </c>
      <c r="D4547">
        <v>6.01</v>
      </c>
      <c r="E4547">
        <v>8</v>
      </c>
      <c r="F4547" t="s">
        <v>16</v>
      </c>
      <c r="G4547">
        <v>50</v>
      </c>
      <c r="H4547">
        <v>9.0150000000000006</v>
      </c>
      <c r="I4547">
        <v>50.000000000000021</v>
      </c>
      <c r="J4547" t="s">
        <v>20</v>
      </c>
    </row>
    <row r="4548" spans="1:10" x14ac:dyDescent="0.2">
      <c r="A4548">
        <v>14547</v>
      </c>
      <c r="B4548" t="s">
        <v>10</v>
      </c>
      <c r="C4548" t="s">
        <v>9</v>
      </c>
      <c r="D4548">
        <v>12.37</v>
      </c>
      <c r="E4548">
        <v>2</v>
      </c>
      <c r="F4548" t="s">
        <v>14</v>
      </c>
      <c r="G4548">
        <v>15</v>
      </c>
      <c r="H4548">
        <v>14.225499999999998</v>
      </c>
      <c r="I4548">
        <v>14.999999999999991</v>
      </c>
      <c r="J4548" t="s">
        <v>20</v>
      </c>
    </row>
    <row r="4549" spans="1:10" x14ac:dyDescent="0.2">
      <c r="A4549">
        <v>14548</v>
      </c>
      <c r="B4549" t="s">
        <v>7</v>
      </c>
      <c r="C4549" t="s">
        <v>9</v>
      </c>
      <c r="D4549">
        <v>5.81</v>
      </c>
      <c r="E4549">
        <v>6</v>
      </c>
      <c r="F4549" t="s">
        <v>15</v>
      </c>
      <c r="G4549">
        <v>30</v>
      </c>
      <c r="H4549">
        <v>7.5529999999999999</v>
      </c>
      <c r="I4549">
        <v>30.000000000000004</v>
      </c>
      <c r="J4549" t="s">
        <v>20</v>
      </c>
    </row>
    <row r="4550" spans="1:10" x14ac:dyDescent="0.2">
      <c r="A4550">
        <v>14549</v>
      </c>
      <c r="B4550" t="s">
        <v>10</v>
      </c>
      <c r="C4550" t="s">
        <v>11</v>
      </c>
      <c r="D4550">
        <v>9.2200000000000006</v>
      </c>
      <c r="E4550">
        <v>7</v>
      </c>
      <c r="F4550" t="s">
        <v>15</v>
      </c>
      <c r="G4550">
        <v>25</v>
      </c>
      <c r="H4550">
        <v>11.525</v>
      </c>
      <c r="I4550">
        <v>25</v>
      </c>
      <c r="J4550" t="s">
        <v>20</v>
      </c>
    </row>
    <row r="4551" spans="1:10" x14ac:dyDescent="0.2">
      <c r="A4551">
        <v>14550</v>
      </c>
      <c r="B4551" t="s">
        <v>7</v>
      </c>
      <c r="C4551" t="s">
        <v>6</v>
      </c>
      <c r="D4551">
        <v>9.2899999999999991</v>
      </c>
      <c r="E4551">
        <v>7</v>
      </c>
      <c r="F4551" t="s">
        <v>15</v>
      </c>
      <c r="G4551">
        <v>28</v>
      </c>
      <c r="H4551">
        <v>11.8912</v>
      </c>
      <c r="I4551">
        <v>28.000000000000004</v>
      </c>
      <c r="J4551" t="s">
        <v>20</v>
      </c>
    </row>
    <row r="4552" spans="1:10" x14ac:dyDescent="0.2">
      <c r="A4552">
        <v>14551</v>
      </c>
      <c r="B4552" t="s">
        <v>10</v>
      </c>
      <c r="C4552" t="s">
        <v>6</v>
      </c>
      <c r="D4552">
        <v>5.79</v>
      </c>
      <c r="E4552">
        <v>3</v>
      </c>
      <c r="F4552" t="s">
        <v>14</v>
      </c>
      <c r="G4552">
        <v>12</v>
      </c>
      <c r="H4552">
        <v>6.4848000000000008</v>
      </c>
      <c r="I4552">
        <v>12.000000000000011</v>
      </c>
      <c r="J4552" t="s">
        <v>20</v>
      </c>
    </row>
    <row r="4553" spans="1:10" x14ac:dyDescent="0.2">
      <c r="A4553">
        <v>14552</v>
      </c>
      <c r="B4553" t="s">
        <v>5</v>
      </c>
      <c r="C4553" t="s">
        <v>11</v>
      </c>
      <c r="D4553">
        <v>13.61</v>
      </c>
      <c r="E4553">
        <v>9</v>
      </c>
      <c r="F4553" t="s">
        <v>16</v>
      </c>
      <c r="G4553">
        <v>50</v>
      </c>
      <c r="H4553">
        <v>20.414999999999999</v>
      </c>
      <c r="I4553">
        <v>50</v>
      </c>
      <c r="J4553" t="s">
        <v>20</v>
      </c>
    </row>
    <row r="4554" spans="1:10" x14ac:dyDescent="0.2">
      <c r="A4554">
        <v>14553</v>
      </c>
      <c r="B4554" t="s">
        <v>5</v>
      </c>
      <c r="C4554" t="s">
        <v>6</v>
      </c>
      <c r="D4554">
        <v>7.8</v>
      </c>
      <c r="E4554">
        <v>2</v>
      </c>
      <c r="F4554" t="s">
        <v>14</v>
      </c>
      <c r="G4554">
        <v>12</v>
      </c>
      <c r="H4554">
        <v>8.7360000000000007</v>
      </c>
      <c r="I4554">
        <v>12.000000000000011</v>
      </c>
      <c r="J4554" t="s">
        <v>20</v>
      </c>
    </row>
    <row r="4555" spans="1:10" x14ac:dyDescent="0.2">
      <c r="A4555">
        <v>14554</v>
      </c>
      <c r="B4555" t="s">
        <v>8</v>
      </c>
      <c r="C4555" t="s">
        <v>11</v>
      </c>
      <c r="D4555">
        <v>7.24</v>
      </c>
      <c r="E4555">
        <v>3</v>
      </c>
      <c r="F4555" t="s">
        <v>14</v>
      </c>
      <c r="G4555">
        <v>10</v>
      </c>
      <c r="H4555">
        <v>7.9640000000000013</v>
      </c>
      <c r="I4555">
        <v>10.000000000000009</v>
      </c>
      <c r="J4555" t="s">
        <v>20</v>
      </c>
    </row>
    <row r="4556" spans="1:10" x14ac:dyDescent="0.2">
      <c r="A4556">
        <v>14555</v>
      </c>
      <c r="B4556" t="s">
        <v>8</v>
      </c>
      <c r="C4556" t="s">
        <v>6</v>
      </c>
      <c r="D4556">
        <v>14.96</v>
      </c>
      <c r="E4556">
        <v>2</v>
      </c>
      <c r="F4556" t="s">
        <v>14</v>
      </c>
      <c r="G4556">
        <v>12</v>
      </c>
      <c r="H4556">
        <v>16.755200000000002</v>
      </c>
      <c r="I4556">
        <v>12.000000000000011</v>
      </c>
      <c r="J4556" t="s">
        <v>20</v>
      </c>
    </row>
    <row r="4557" spans="1:10" x14ac:dyDescent="0.2">
      <c r="A4557">
        <v>14556</v>
      </c>
      <c r="B4557" t="s">
        <v>7</v>
      </c>
      <c r="C4557" t="s">
        <v>11</v>
      </c>
      <c r="D4557">
        <v>7.66</v>
      </c>
      <c r="E4557">
        <v>9</v>
      </c>
      <c r="F4557" t="s">
        <v>16</v>
      </c>
      <c r="G4557">
        <v>50</v>
      </c>
      <c r="H4557">
        <v>11.49</v>
      </c>
      <c r="I4557">
        <v>50</v>
      </c>
      <c r="J4557" t="s">
        <v>20</v>
      </c>
    </row>
    <row r="4558" spans="1:10" x14ac:dyDescent="0.2">
      <c r="A4558">
        <v>14557</v>
      </c>
      <c r="B4558" t="s">
        <v>5</v>
      </c>
      <c r="C4558" t="s">
        <v>6</v>
      </c>
      <c r="D4558">
        <v>3.09</v>
      </c>
      <c r="E4558">
        <v>4</v>
      </c>
      <c r="F4558" t="s">
        <v>15</v>
      </c>
      <c r="G4558">
        <v>28</v>
      </c>
      <c r="H4558">
        <v>3.9552</v>
      </c>
      <c r="I4558">
        <v>28.000000000000004</v>
      </c>
      <c r="J4558" t="s">
        <v>20</v>
      </c>
    </row>
    <row r="4559" spans="1:10" x14ac:dyDescent="0.2">
      <c r="A4559">
        <v>14558</v>
      </c>
      <c r="B4559" t="s">
        <v>10</v>
      </c>
      <c r="C4559" t="s">
        <v>9</v>
      </c>
      <c r="D4559">
        <v>7.94</v>
      </c>
      <c r="E4559">
        <v>2</v>
      </c>
      <c r="F4559" t="s">
        <v>14</v>
      </c>
      <c r="G4559">
        <v>15</v>
      </c>
      <c r="H4559">
        <v>9.1310000000000002</v>
      </c>
      <c r="I4559">
        <v>14.999999999999991</v>
      </c>
      <c r="J4559" t="s">
        <v>20</v>
      </c>
    </row>
    <row r="4560" spans="1:10" x14ac:dyDescent="0.2">
      <c r="A4560">
        <v>14559</v>
      </c>
      <c r="B4560" t="s">
        <v>10</v>
      </c>
      <c r="C4560" t="s">
        <v>11</v>
      </c>
      <c r="D4560">
        <v>12.3</v>
      </c>
      <c r="E4560">
        <v>3</v>
      </c>
      <c r="F4560" t="s">
        <v>14</v>
      </c>
      <c r="G4560">
        <v>10</v>
      </c>
      <c r="H4560">
        <v>13.530000000000001</v>
      </c>
      <c r="I4560">
        <v>10.000000000000009</v>
      </c>
      <c r="J4560" t="s">
        <v>20</v>
      </c>
    </row>
    <row r="4561" spans="1:10" x14ac:dyDescent="0.2">
      <c r="A4561">
        <v>14560</v>
      </c>
      <c r="B4561" t="s">
        <v>10</v>
      </c>
      <c r="C4561" t="s">
        <v>11</v>
      </c>
      <c r="D4561">
        <v>11.76</v>
      </c>
      <c r="E4561">
        <v>4</v>
      </c>
      <c r="F4561" t="s">
        <v>15</v>
      </c>
      <c r="G4561">
        <v>25</v>
      </c>
      <c r="H4561">
        <v>14.7</v>
      </c>
      <c r="I4561">
        <v>25</v>
      </c>
      <c r="J4561" t="s">
        <v>20</v>
      </c>
    </row>
    <row r="4562" spans="1:10" x14ac:dyDescent="0.2">
      <c r="A4562">
        <v>14561</v>
      </c>
      <c r="B4562" t="s">
        <v>8</v>
      </c>
      <c r="C4562" t="s">
        <v>6</v>
      </c>
      <c r="D4562">
        <v>11.93</v>
      </c>
      <c r="E4562">
        <v>10</v>
      </c>
      <c r="F4562" t="s">
        <v>16</v>
      </c>
      <c r="G4562">
        <v>55</v>
      </c>
      <c r="H4562">
        <v>18.491499999999998</v>
      </c>
      <c r="I4562">
        <v>54.999999999999986</v>
      </c>
      <c r="J4562" t="s">
        <v>20</v>
      </c>
    </row>
    <row r="4563" spans="1:10" x14ac:dyDescent="0.2">
      <c r="A4563">
        <v>14562</v>
      </c>
      <c r="B4563" t="s">
        <v>10</v>
      </c>
      <c r="C4563" t="s">
        <v>11</v>
      </c>
      <c r="D4563">
        <v>10.77</v>
      </c>
      <c r="E4563">
        <v>6</v>
      </c>
      <c r="F4563" t="s">
        <v>15</v>
      </c>
      <c r="G4563">
        <v>25</v>
      </c>
      <c r="H4563">
        <v>13.462499999999999</v>
      </c>
      <c r="I4563">
        <v>25</v>
      </c>
      <c r="J4563" t="s">
        <v>20</v>
      </c>
    </row>
    <row r="4564" spans="1:10" x14ac:dyDescent="0.2">
      <c r="A4564">
        <v>14563</v>
      </c>
      <c r="B4564" t="s">
        <v>8</v>
      </c>
      <c r="C4564" t="s">
        <v>11</v>
      </c>
      <c r="D4564">
        <v>4.1900000000000004</v>
      </c>
      <c r="E4564">
        <v>5</v>
      </c>
      <c r="F4564" t="s">
        <v>15</v>
      </c>
      <c r="G4564">
        <v>25</v>
      </c>
      <c r="H4564">
        <v>5.2375000000000007</v>
      </c>
      <c r="I4564">
        <v>25</v>
      </c>
      <c r="J4564" t="s">
        <v>20</v>
      </c>
    </row>
    <row r="4565" spans="1:10" x14ac:dyDescent="0.2">
      <c r="A4565">
        <v>14564</v>
      </c>
      <c r="B4565" t="s">
        <v>8</v>
      </c>
      <c r="C4565" t="s">
        <v>11</v>
      </c>
      <c r="D4565">
        <v>13</v>
      </c>
      <c r="E4565">
        <v>3</v>
      </c>
      <c r="F4565" t="s">
        <v>14</v>
      </c>
      <c r="G4565">
        <v>10</v>
      </c>
      <c r="H4565">
        <v>14.3</v>
      </c>
      <c r="I4565">
        <v>10.000000000000009</v>
      </c>
      <c r="J4565" t="s">
        <v>20</v>
      </c>
    </row>
    <row r="4566" spans="1:10" x14ac:dyDescent="0.2">
      <c r="A4566">
        <v>14565</v>
      </c>
      <c r="B4566" t="s">
        <v>7</v>
      </c>
      <c r="C4566" t="s">
        <v>9</v>
      </c>
      <c r="D4566">
        <v>13.45</v>
      </c>
      <c r="E4566">
        <v>10</v>
      </c>
      <c r="F4566" t="s">
        <v>16</v>
      </c>
      <c r="G4566">
        <v>60</v>
      </c>
      <c r="H4566">
        <v>21.52</v>
      </c>
      <c r="I4566">
        <v>60.000000000000007</v>
      </c>
      <c r="J4566" t="s">
        <v>20</v>
      </c>
    </row>
    <row r="4567" spans="1:10" x14ac:dyDescent="0.2">
      <c r="A4567">
        <v>14566</v>
      </c>
      <c r="B4567" t="s">
        <v>10</v>
      </c>
      <c r="C4567" t="s">
        <v>9</v>
      </c>
      <c r="D4567">
        <v>3.32</v>
      </c>
      <c r="E4567">
        <v>8</v>
      </c>
      <c r="F4567" t="s">
        <v>16</v>
      </c>
      <c r="G4567">
        <v>60</v>
      </c>
      <c r="H4567">
        <v>5.3120000000000003</v>
      </c>
      <c r="I4567">
        <v>60.000000000000007</v>
      </c>
      <c r="J4567" t="s">
        <v>20</v>
      </c>
    </row>
    <row r="4568" spans="1:10" x14ac:dyDescent="0.2">
      <c r="A4568">
        <v>14567</v>
      </c>
      <c r="B4568" t="s">
        <v>10</v>
      </c>
      <c r="C4568" t="s">
        <v>6</v>
      </c>
      <c r="D4568">
        <v>2.39</v>
      </c>
      <c r="E4568">
        <v>8</v>
      </c>
      <c r="F4568" t="s">
        <v>16</v>
      </c>
      <c r="G4568">
        <v>55</v>
      </c>
      <c r="H4568">
        <v>3.7045000000000003</v>
      </c>
      <c r="I4568">
        <v>55.000000000000007</v>
      </c>
      <c r="J4568" t="s">
        <v>20</v>
      </c>
    </row>
    <row r="4569" spans="1:10" x14ac:dyDescent="0.2">
      <c r="A4569">
        <v>14568</v>
      </c>
      <c r="B4569" t="s">
        <v>5</v>
      </c>
      <c r="C4569" t="s">
        <v>9</v>
      </c>
      <c r="D4569">
        <v>14.65</v>
      </c>
      <c r="E4569">
        <v>7</v>
      </c>
      <c r="F4569" t="s">
        <v>15</v>
      </c>
      <c r="G4569">
        <v>30</v>
      </c>
      <c r="H4569">
        <v>19.045000000000002</v>
      </c>
      <c r="I4569">
        <v>30.000000000000004</v>
      </c>
      <c r="J4569" t="s">
        <v>20</v>
      </c>
    </row>
    <row r="4570" spans="1:10" x14ac:dyDescent="0.2">
      <c r="A4570">
        <v>14569</v>
      </c>
      <c r="B4570" t="s">
        <v>7</v>
      </c>
      <c r="C4570" t="s">
        <v>6</v>
      </c>
      <c r="D4570">
        <v>13.09</v>
      </c>
      <c r="E4570">
        <v>3</v>
      </c>
      <c r="F4570" t="s">
        <v>14</v>
      </c>
      <c r="G4570">
        <v>12</v>
      </c>
      <c r="H4570">
        <v>14.660800000000002</v>
      </c>
      <c r="I4570">
        <v>12.000000000000011</v>
      </c>
      <c r="J4570" t="s">
        <v>20</v>
      </c>
    </row>
    <row r="4571" spans="1:10" x14ac:dyDescent="0.2">
      <c r="A4571">
        <v>14570</v>
      </c>
      <c r="B4571" t="s">
        <v>5</v>
      </c>
      <c r="C4571" t="s">
        <v>9</v>
      </c>
      <c r="D4571">
        <v>13.45</v>
      </c>
      <c r="E4571">
        <v>1</v>
      </c>
      <c r="F4571" t="s">
        <v>14</v>
      </c>
      <c r="G4571">
        <v>15</v>
      </c>
      <c r="H4571">
        <v>15.467499999999998</v>
      </c>
      <c r="I4571">
        <v>14.999999999999991</v>
      </c>
      <c r="J4571" t="s">
        <v>20</v>
      </c>
    </row>
    <row r="4572" spans="1:10" x14ac:dyDescent="0.2">
      <c r="A4572">
        <v>14571</v>
      </c>
      <c r="B4572" t="s">
        <v>7</v>
      </c>
      <c r="C4572" t="s">
        <v>6</v>
      </c>
      <c r="D4572">
        <v>13.35</v>
      </c>
      <c r="E4572">
        <v>5</v>
      </c>
      <c r="F4572" t="s">
        <v>15</v>
      </c>
      <c r="G4572">
        <v>28</v>
      </c>
      <c r="H4572">
        <v>17.088000000000001</v>
      </c>
      <c r="I4572">
        <v>28.000000000000004</v>
      </c>
      <c r="J4572" t="s">
        <v>20</v>
      </c>
    </row>
    <row r="4573" spans="1:10" x14ac:dyDescent="0.2">
      <c r="A4573">
        <v>14572</v>
      </c>
      <c r="B4573" t="s">
        <v>10</v>
      </c>
      <c r="C4573" t="s">
        <v>9</v>
      </c>
      <c r="D4573">
        <v>8.35</v>
      </c>
      <c r="E4573">
        <v>1</v>
      </c>
      <c r="F4573" t="s">
        <v>14</v>
      </c>
      <c r="G4573">
        <v>15</v>
      </c>
      <c r="H4573">
        <v>9.6024999999999991</v>
      </c>
      <c r="I4573">
        <v>14.999999999999991</v>
      </c>
      <c r="J4573" t="s">
        <v>20</v>
      </c>
    </row>
    <row r="4574" spans="1:10" x14ac:dyDescent="0.2">
      <c r="A4574">
        <v>14573</v>
      </c>
      <c r="B4574" t="s">
        <v>8</v>
      </c>
      <c r="C4574" t="s">
        <v>9</v>
      </c>
      <c r="D4574">
        <v>9.8699999999999992</v>
      </c>
      <c r="E4574">
        <v>6</v>
      </c>
      <c r="F4574" t="s">
        <v>15</v>
      </c>
      <c r="G4574">
        <v>30</v>
      </c>
      <c r="H4574">
        <v>12.831</v>
      </c>
      <c r="I4574">
        <v>30.000000000000004</v>
      </c>
      <c r="J4574" t="s">
        <v>20</v>
      </c>
    </row>
    <row r="4575" spans="1:10" x14ac:dyDescent="0.2">
      <c r="A4575">
        <v>14574</v>
      </c>
      <c r="B4575" t="s">
        <v>8</v>
      </c>
      <c r="C4575" t="s">
        <v>6</v>
      </c>
      <c r="D4575">
        <v>8.41</v>
      </c>
      <c r="E4575">
        <v>7</v>
      </c>
      <c r="F4575" t="s">
        <v>15</v>
      </c>
      <c r="G4575">
        <v>28</v>
      </c>
      <c r="H4575">
        <v>10.764800000000001</v>
      </c>
      <c r="I4575">
        <v>28.000000000000004</v>
      </c>
      <c r="J4575" t="s">
        <v>20</v>
      </c>
    </row>
    <row r="4576" spans="1:10" x14ac:dyDescent="0.2">
      <c r="A4576">
        <v>14575</v>
      </c>
      <c r="B4576" t="s">
        <v>8</v>
      </c>
      <c r="C4576" t="s">
        <v>11</v>
      </c>
      <c r="D4576">
        <v>1.24</v>
      </c>
      <c r="E4576">
        <v>5</v>
      </c>
      <c r="F4576" t="s">
        <v>15</v>
      </c>
      <c r="G4576">
        <v>25</v>
      </c>
      <c r="H4576">
        <v>1.55</v>
      </c>
      <c r="I4576">
        <v>25</v>
      </c>
      <c r="J4576" t="s">
        <v>20</v>
      </c>
    </row>
    <row r="4577" spans="1:10" x14ac:dyDescent="0.2">
      <c r="A4577">
        <v>14576</v>
      </c>
      <c r="B4577" t="s">
        <v>8</v>
      </c>
      <c r="C4577" t="s">
        <v>11</v>
      </c>
      <c r="D4577">
        <v>11.31</v>
      </c>
      <c r="E4577">
        <v>4</v>
      </c>
      <c r="F4577" t="s">
        <v>15</v>
      </c>
      <c r="G4577">
        <v>25</v>
      </c>
      <c r="H4577">
        <v>14.137500000000001</v>
      </c>
      <c r="I4577">
        <v>25</v>
      </c>
      <c r="J4577" t="s">
        <v>20</v>
      </c>
    </row>
    <row r="4578" spans="1:10" x14ac:dyDescent="0.2">
      <c r="A4578">
        <v>14577</v>
      </c>
      <c r="B4578" t="s">
        <v>8</v>
      </c>
      <c r="C4578" t="s">
        <v>9</v>
      </c>
      <c r="D4578">
        <v>7.83</v>
      </c>
      <c r="E4578">
        <v>2</v>
      </c>
      <c r="F4578" t="s">
        <v>14</v>
      </c>
      <c r="G4578">
        <v>15</v>
      </c>
      <c r="H4578">
        <v>9.0045000000000002</v>
      </c>
      <c r="I4578">
        <v>14.999999999999991</v>
      </c>
      <c r="J4578" t="s">
        <v>20</v>
      </c>
    </row>
    <row r="4579" spans="1:10" x14ac:dyDescent="0.2">
      <c r="A4579">
        <v>14578</v>
      </c>
      <c r="B4579" t="s">
        <v>5</v>
      </c>
      <c r="C4579" t="s">
        <v>6</v>
      </c>
      <c r="D4579">
        <v>9.89</v>
      </c>
      <c r="E4579">
        <v>5</v>
      </c>
      <c r="F4579" t="s">
        <v>15</v>
      </c>
      <c r="G4579">
        <v>28</v>
      </c>
      <c r="H4579">
        <v>12.6592</v>
      </c>
      <c r="I4579">
        <v>28.000000000000004</v>
      </c>
      <c r="J4579" t="s">
        <v>20</v>
      </c>
    </row>
    <row r="4580" spans="1:10" x14ac:dyDescent="0.2">
      <c r="A4580">
        <v>14579</v>
      </c>
      <c r="B4580" t="s">
        <v>7</v>
      </c>
      <c r="C4580" t="s">
        <v>11</v>
      </c>
      <c r="D4580">
        <v>7.79</v>
      </c>
      <c r="E4580">
        <v>9</v>
      </c>
      <c r="F4580" t="s">
        <v>16</v>
      </c>
      <c r="G4580">
        <v>50</v>
      </c>
      <c r="H4580">
        <v>11.685</v>
      </c>
      <c r="I4580">
        <v>50</v>
      </c>
      <c r="J4580" t="s">
        <v>20</v>
      </c>
    </row>
    <row r="4581" spans="1:10" x14ac:dyDescent="0.2">
      <c r="A4581">
        <v>14580</v>
      </c>
      <c r="B4581" t="s">
        <v>10</v>
      </c>
      <c r="C4581" t="s">
        <v>6</v>
      </c>
      <c r="D4581">
        <v>7.63</v>
      </c>
      <c r="E4581">
        <v>4</v>
      </c>
      <c r="F4581" t="s">
        <v>15</v>
      </c>
      <c r="G4581">
        <v>28</v>
      </c>
      <c r="H4581">
        <v>9.7664000000000009</v>
      </c>
      <c r="I4581">
        <v>28.000000000000004</v>
      </c>
      <c r="J4581" t="s">
        <v>20</v>
      </c>
    </row>
    <row r="4582" spans="1:10" x14ac:dyDescent="0.2">
      <c r="A4582">
        <v>14581</v>
      </c>
      <c r="B4582" t="s">
        <v>5</v>
      </c>
      <c r="C4582" t="s">
        <v>11</v>
      </c>
      <c r="D4582">
        <v>2.99</v>
      </c>
      <c r="E4582">
        <v>2</v>
      </c>
      <c r="F4582" t="s">
        <v>14</v>
      </c>
      <c r="G4582">
        <v>10</v>
      </c>
      <c r="H4582">
        <v>3.2890000000000006</v>
      </c>
      <c r="I4582">
        <v>10.000000000000009</v>
      </c>
      <c r="J4582" t="s">
        <v>20</v>
      </c>
    </row>
    <row r="4583" spans="1:10" x14ac:dyDescent="0.2">
      <c r="A4583">
        <v>14582</v>
      </c>
      <c r="B4583" t="s">
        <v>7</v>
      </c>
      <c r="C4583" t="s">
        <v>6</v>
      </c>
      <c r="D4583">
        <v>4.54</v>
      </c>
      <c r="E4583">
        <v>6</v>
      </c>
      <c r="F4583" t="s">
        <v>15</v>
      </c>
      <c r="G4583">
        <v>28</v>
      </c>
      <c r="H4583">
        <v>5.8112000000000004</v>
      </c>
      <c r="I4583">
        <v>28.000000000000004</v>
      </c>
      <c r="J4583" t="s">
        <v>20</v>
      </c>
    </row>
    <row r="4584" spans="1:10" x14ac:dyDescent="0.2">
      <c r="A4584">
        <v>14583</v>
      </c>
      <c r="B4584" t="s">
        <v>8</v>
      </c>
      <c r="C4584" t="s">
        <v>9</v>
      </c>
      <c r="D4584">
        <v>2.8</v>
      </c>
      <c r="E4584">
        <v>8</v>
      </c>
      <c r="F4584" t="s">
        <v>16</v>
      </c>
      <c r="G4584">
        <v>60</v>
      </c>
      <c r="H4584">
        <v>4.4799999999999995</v>
      </c>
      <c r="I4584">
        <v>59.999999999999986</v>
      </c>
      <c r="J4584" t="s">
        <v>20</v>
      </c>
    </row>
    <row r="4585" spans="1:10" x14ac:dyDescent="0.2">
      <c r="A4585">
        <v>14584</v>
      </c>
      <c r="B4585" t="s">
        <v>7</v>
      </c>
      <c r="C4585" t="s">
        <v>6</v>
      </c>
      <c r="D4585">
        <v>3.34</v>
      </c>
      <c r="E4585">
        <v>2</v>
      </c>
      <c r="F4585" t="s">
        <v>14</v>
      </c>
      <c r="G4585">
        <v>12</v>
      </c>
      <c r="H4585">
        <v>3.7408000000000001</v>
      </c>
      <c r="I4585">
        <v>12.000000000000011</v>
      </c>
      <c r="J4585" t="s">
        <v>20</v>
      </c>
    </row>
    <row r="4586" spans="1:10" x14ac:dyDescent="0.2">
      <c r="A4586">
        <v>14585</v>
      </c>
      <c r="B4586" t="s">
        <v>7</v>
      </c>
      <c r="C4586" t="s">
        <v>11</v>
      </c>
      <c r="D4586">
        <v>14.61</v>
      </c>
      <c r="E4586">
        <v>9</v>
      </c>
      <c r="F4586" t="s">
        <v>16</v>
      </c>
      <c r="G4586">
        <v>50</v>
      </c>
      <c r="H4586">
        <v>21.914999999999999</v>
      </c>
      <c r="I4586">
        <v>50</v>
      </c>
      <c r="J4586" t="s">
        <v>20</v>
      </c>
    </row>
    <row r="4587" spans="1:10" x14ac:dyDescent="0.2">
      <c r="A4587">
        <v>14586</v>
      </c>
      <c r="B4587" t="s">
        <v>8</v>
      </c>
      <c r="C4587" t="s">
        <v>9</v>
      </c>
      <c r="D4587">
        <v>2.72</v>
      </c>
      <c r="E4587">
        <v>7</v>
      </c>
      <c r="F4587" t="s">
        <v>15</v>
      </c>
      <c r="G4587">
        <v>30</v>
      </c>
      <c r="H4587">
        <v>3.5360000000000005</v>
      </c>
      <c r="I4587">
        <v>30.000000000000004</v>
      </c>
      <c r="J4587" t="s">
        <v>20</v>
      </c>
    </row>
    <row r="4588" spans="1:10" x14ac:dyDescent="0.2">
      <c r="A4588">
        <v>14587</v>
      </c>
      <c r="B4588" t="s">
        <v>8</v>
      </c>
      <c r="C4588" t="s">
        <v>6</v>
      </c>
      <c r="D4588">
        <v>4.4000000000000004</v>
      </c>
      <c r="E4588">
        <v>2</v>
      </c>
      <c r="F4588" t="s">
        <v>14</v>
      </c>
      <c r="G4588">
        <v>12</v>
      </c>
      <c r="H4588">
        <v>4.9280000000000008</v>
      </c>
      <c r="I4588">
        <v>12.000000000000011</v>
      </c>
      <c r="J4588" t="s">
        <v>20</v>
      </c>
    </row>
    <row r="4589" spans="1:10" x14ac:dyDescent="0.2">
      <c r="A4589">
        <v>14588</v>
      </c>
      <c r="B4589" t="s">
        <v>8</v>
      </c>
      <c r="C4589" t="s">
        <v>11</v>
      </c>
      <c r="D4589">
        <v>9.06</v>
      </c>
      <c r="E4589">
        <v>5</v>
      </c>
      <c r="F4589" t="s">
        <v>15</v>
      </c>
      <c r="G4589">
        <v>25</v>
      </c>
      <c r="H4589">
        <v>11.325000000000001</v>
      </c>
      <c r="I4589">
        <v>25</v>
      </c>
      <c r="J4589" t="s">
        <v>20</v>
      </c>
    </row>
    <row r="4590" spans="1:10" x14ac:dyDescent="0.2">
      <c r="A4590">
        <v>14589</v>
      </c>
      <c r="B4590" t="s">
        <v>10</v>
      </c>
      <c r="C4590" t="s">
        <v>9</v>
      </c>
      <c r="D4590">
        <v>9.35</v>
      </c>
      <c r="E4590">
        <v>5</v>
      </c>
      <c r="F4590" t="s">
        <v>15</v>
      </c>
      <c r="G4590">
        <v>30</v>
      </c>
      <c r="H4590">
        <v>12.154999999999999</v>
      </c>
      <c r="I4590">
        <v>30.000000000000004</v>
      </c>
      <c r="J4590" t="s">
        <v>20</v>
      </c>
    </row>
    <row r="4591" spans="1:10" x14ac:dyDescent="0.2">
      <c r="A4591">
        <v>14590</v>
      </c>
      <c r="B4591" t="s">
        <v>8</v>
      </c>
      <c r="C4591" t="s">
        <v>6</v>
      </c>
      <c r="D4591">
        <v>2.73</v>
      </c>
      <c r="E4591">
        <v>7</v>
      </c>
      <c r="F4591" t="s">
        <v>15</v>
      </c>
      <c r="G4591">
        <v>28</v>
      </c>
      <c r="H4591">
        <v>3.4944000000000002</v>
      </c>
      <c r="I4591">
        <v>28.000000000000004</v>
      </c>
      <c r="J4591" t="s">
        <v>20</v>
      </c>
    </row>
    <row r="4592" spans="1:10" x14ac:dyDescent="0.2">
      <c r="A4592">
        <v>14591</v>
      </c>
      <c r="B4592" t="s">
        <v>10</v>
      </c>
      <c r="C4592" t="s">
        <v>11</v>
      </c>
      <c r="D4592">
        <v>12.01</v>
      </c>
      <c r="E4592">
        <v>5</v>
      </c>
      <c r="F4592" t="s">
        <v>15</v>
      </c>
      <c r="G4592">
        <v>25</v>
      </c>
      <c r="H4592">
        <v>15.012499999999999</v>
      </c>
      <c r="I4592">
        <v>25</v>
      </c>
      <c r="J4592" t="s">
        <v>20</v>
      </c>
    </row>
    <row r="4593" spans="1:10" x14ac:dyDescent="0.2">
      <c r="A4593">
        <v>14592</v>
      </c>
      <c r="B4593" t="s">
        <v>8</v>
      </c>
      <c r="C4593" t="s">
        <v>6</v>
      </c>
      <c r="D4593">
        <v>11.89</v>
      </c>
      <c r="E4593">
        <v>6</v>
      </c>
      <c r="F4593" t="s">
        <v>15</v>
      </c>
      <c r="G4593">
        <v>28</v>
      </c>
      <c r="H4593">
        <v>15.219200000000001</v>
      </c>
      <c r="I4593">
        <v>28.000000000000004</v>
      </c>
      <c r="J4593" t="s">
        <v>20</v>
      </c>
    </row>
    <row r="4594" spans="1:10" x14ac:dyDescent="0.2">
      <c r="A4594">
        <v>14593</v>
      </c>
      <c r="B4594" t="s">
        <v>10</v>
      </c>
      <c r="C4594" t="s">
        <v>6</v>
      </c>
      <c r="D4594">
        <v>3.94</v>
      </c>
      <c r="E4594">
        <v>9</v>
      </c>
      <c r="F4594" t="s">
        <v>16</v>
      </c>
      <c r="G4594">
        <v>55</v>
      </c>
      <c r="H4594">
        <v>6.1070000000000002</v>
      </c>
      <c r="I4594">
        <v>55.000000000000007</v>
      </c>
      <c r="J4594" t="s">
        <v>20</v>
      </c>
    </row>
    <row r="4595" spans="1:10" x14ac:dyDescent="0.2">
      <c r="A4595">
        <v>14594</v>
      </c>
      <c r="B4595" t="s">
        <v>7</v>
      </c>
      <c r="C4595" t="s">
        <v>9</v>
      </c>
      <c r="D4595">
        <v>4.6900000000000004</v>
      </c>
      <c r="E4595">
        <v>3</v>
      </c>
      <c r="F4595" t="s">
        <v>14</v>
      </c>
      <c r="G4595">
        <v>15</v>
      </c>
      <c r="H4595">
        <v>5.3935000000000004</v>
      </c>
      <c r="I4595">
        <v>14.999999999999991</v>
      </c>
      <c r="J4595" t="s">
        <v>20</v>
      </c>
    </row>
    <row r="4596" spans="1:10" x14ac:dyDescent="0.2">
      <c r="A4596">
        <v>14595</v>
      </c>
      <c r="B4596" t="s">
        <v>5</v>
      </c>
      <c r="C4596" t="s">
        <v>9</v>
      </c>
      <c r="D4596">
        <v>14.1</v>
      </c>
      <c r="E4596">
        <v>3</v>
      </c>
      <c r="F4596" t="s">
        <v>14</v>
      </c>
      <c r="G4596">
        <v>15</v>
      </c>
      <c r="H4596">
        <v>16.215</v>
      </c>
      <c r="I4596">
        <v>14.999999999999991</v>
      </c>
      <c r="J4596" t="s">
        <v>20</v>
      </c>
    </row>
    <row r="4597" spans="1:10" x14ac:dyDescent="0.2">
      <c r="A4597">
        <v>14596</v>
      </c>
      <c r="B4597" t="s">
        <v>7</v>
      </c>
      <c r="C4597" t="s">
        <v>11</v>
      </c>
      <c r="D4597">
        <v>12.47</v>
      </c>
      <c r="E4597">
        <v>8</v>
      </c>
      <c r="F4597" t="s">
        <v>16</v>
      </c>
      <c r="G4597">
        <v>50</v>
      </c>
      <c r="H4597">
        <v>18.705000000000002</v>
      </c>
      <c r="I4597">
        <v>50</v>
      </c>
      <c r="J4597" t="s">
        <v>20</v>
      </c>
    </row>
    <row r="4598" spans="1:10" x14ac:dyDescent="0.2">
      <c r="A4598">
        <v>14597</v>
      </c>
      <c r="B4598" t="s">
        <v>7</v>
      </c>
      <c r="C4598" t="s">
        <v>9</v>
      </c>
      <c r="D4598">
        <v>10.62</v>
      </c>
      <c r="E4598">
        <v>10</v>
      </c>
      <c r="F4598" t="s">
        <v>16</v>
      </c>
      <c r="G4598">
        <v>60</v>
      </c>
      <c r="H4598">
        <v>16.992000000000001</v>
      </c>
      <c r="I4598">
        <v>60.000000000000028</v>
      </c>
      <c r="J4598" t="s">
        <v>20</v>
      </c>
    </row>
    <row r="4599" spans="1:10" x14ac:dyDescent="0.2">
      <c r="A4599">
        <v>14598</v>
      </c>
      <c r="B4599" t="s">
        <v>8</v>
      </c>
      <c r="C4599" t="s">
        <v>11</v>
      </c>
      <c r="D4599">
        <v>1.69</v>
      </c>
      <c r="E4599">
        <v>6</v>
      </c>
      <c r="F4599" t="s">
        <v>15</v>
      </c>
      <c r="G4599">
        <v>25</v>
      </c>
      <c r="H4599">
        <v>2.1124999999999998</v>
      </c>
      <c r="I4599">
        <v>25</v>
      </c>
      <c r="J4599" t="s">
        <v>20</v>
      </c>
    </row>
    <row r="4600" spans="1:10" x14ac:dyDescent="0.2">
      <c r="A4600">
        <v>14599</v>
      </c>
      <c r="B4600" t="s">
        <v>10</v>
      </c>
      <c r="C4600" t="s">
        <v>6</v>
      </c>
      <c r="D4600">
        <v>6.56</v>
      </c>
      <c r="E4600">
        <v>10</v>
      </c>
      <c r="F4600" t="s">
        <v>16</v>
      </c>
      <c r="G4600">
        <v>55</v>
      </c>
      <c r="H4600">
        <v>10.167999999999999</v>
      </c>
      <c r="I4600">
        <v>55.000000000000007</v>
      </c>
      <c r="J4600" t="s">
        <v>20</v>
      </c>
    </row>
    <row r="4601" spans="1:10" x14ac:dyDescent="0.2">
      <c r="A4601">
        <v>14600</v>
      </c>
      <c r="B4601" t="s">
        <v>5</v>
      </c>
      <c r="C4601" t="s">
        <v>6</v>
      </c>
      <c r="D4601">
        <v>8.61</v>
      </c>
      <c r="E4601">
        <v>3</v>
      </c>
      <c r="F4601" t="s">
        <v>14</v>
      </c>
      <c r="G4601">
        <v>12</v>
      </c>
      <c r="H4601">
        <v>9.6432000000000002</v>
      </c>
      <c r="I4601">
        <v>12.000000000000011</v>
      </c>
      <c r="J4601" t="s">
        <v>20</v>
      </c>
    </row>
    <row r="4602" spans="1:10" x14ac:dyDescent="0.2">
      <c r="A4602">
        <v>14601</v>
      </c>
      <c r="B4602" t="s">
        <v>8</v>
      </c>
      <c r="C4602" t="s">
        <v>11</v>
      </c>
      <c r="D4602">
        <v>3.22</v>
      </c>
      <c r="E4602">
        <v>2</v>
      </c>
      <c r="F4602" t="s">
        <v>14</v>
      </c>
      <c r="G4602">
        <v>10</v>
      </c>
      <c r="H4602">
        <v>3.5420000000000007</v>
      </c>
      <c r="I4602">
        <v>10.000000000000009</v>
      </c>
      <c r="J4602" t="s">
        <v>20</v>
      </c>
    </row>
    <row r="4603" spans="1:10" x14ac:dyDescent="0.2">
      <c r="A4603">
        <v>14602</v>
      </c>
      <c r="B4603" t="s">
        <v>8</v>
      </c>
      <c r="C4603" t="s">
        <v>6</v>
      </c>
      <c r="D4603">
        <v>7</v>
      </c>
      <c r="E4603">
        <v>2</v>
      </c>
      <c r="F4603" t="s">
        <v>14</v>
      </c>
      <c r="G4603">
        <v>12</v>
      </c>
      <c r="H4603">
        <v>7.8400000000000007</v>
      </c>
      <c r="I4603">
        <v>12.000000000000011</v>
      </c>
      <c r="J4603" t="s">
        <v>20</v>
      </c>
    </row>
    <row r="4604" spans="1:10" x14ac:dyDescent="0.2">
      <c r="A4604">
        <v>14603</v>
      </c>
      <c r="B4604" t="s">
        <v>8</v>
      </c>
      <c r="C4604" t="s">
        <v>9</v>
      </c>
      <c r="D4604">
        <v>9.2100000000000009</v>
      </c>
      <c r="E4604">
        <v>2</v>
      </c>
      <c r="F4604" t="s">
        <v>14</v>
      </c>
      <c r="G4604">
        <v>15</v>
      </c>
      <c r="H4604">
        <v>10.5915</v>
      </c>
      <c r="I4604">
        <v>14.999999999999991</v>
      </c>
      <c r="J4604" t="s">
        <v>20</v>
      </c>
    </row>
    <row r="4605" spans="1:10" x14ac:dyDescent="0.2">
      <c r="A4605">
        <v>14604</v>
      </c>
      <c r="B4605" t="s">
        <v>7</v>
      </c>
      <c r="C4605" t="s">
        <v>6</v>
      </c>
      <c r="D4605">
        <v>5.25</v>
      </c>
      <c r="E4605">
        <v>5</v>
      </c>
      <c r="F4605" t="s">
        <v>15</v>
      </c>
      <c r="G4605">
        <v>28</v>
      </c>
      <c r="H4605">
        <v>6.72</v>
      </c>
      <c r="I4605">
        <v>28.000000000000004</v>
      </c>
      <c r="J4605" t="s">
        <v>20</v>
      </c>
    </row>
    <row r="4606" spans="1:10" x14ac:dyDescent="0.2">
      <c r="A4606">
        <v>14605</v>
      </c>
      <c r="B4606" t="s">
        <v>10</v>
      </c>
      <c r="C4606" t="s">
        <v>9</v>
      </c>
      <c r="D4606">
        <v>11.82</v>
      </c>
      <c r="E4606">
        <v>5</v>
      </c>
      <c r="F4606" t="s">
        <v>15</v>
      </c>
      <c r="G4606">
        <v>30</v>
      </c>
      <c r="H4606">
        <v>15.366000000000001</v>
      </c>
      <c r="I4606">
        <v>30.000000000000004</v>
      </c>
      <c r="J4606" t="s">
        <v>20</v>
      </c>
    </row>
    <row r="4607" spans="1:10" x14ac:dyDescent="0.2">
      <c r="A4607">
        <v>14606</v>
      </c>
      <c r="B4607" t="s">
        <v>10</v>
      </c>
      <c r="C4607" t="s">
        <v>11</v>
      </c>
      <c r="D4607">
        <v>12.69</v>
      </c>
      <c r="E4607">
        <v>1</v>
      </c>
      <c r="F4607" t="s">
        <v>14</v>
      </c>
      <c r="G4607">
        <v>10</v>
      </c>
      <c r="H4607">
        <v>13.959000000000001</v>
      </c>
      <c r="I4607">
        <v>10.000000000000009</v>
      </c>
      <c r="J4607" t="s">
        <v>20</v>
      </c>
    </row>
    <row r="4608" spans="1:10" x14ac:dyDescent="0.2">
      <c r="A4608">
        <v>14607</v>
      </c>
      <c r="B4608" t="s">
        <v>5</v>
      </c>
      <c r="C4608" t="s">
        <v>11</v>
      </c>
      <c r="D4608">
        <v>5.19</v>
      </c>
      <c r="E4608">
        <v>2</v>
      </c>
      <c r="F4608" t="s">
        <v>14</v>
      </c>
      <c r="G4608">
        <v>10</v>
      </c>
      <c r="H4608">
        <v>5.7090000000000005</v>
      </c>
      <c r="I4608">
        <v>10.000000000000009</v>
      </c>
      <c r="J4608" t="s">
        <v>20</v>
      </c>
    </row>
    <row r="4609" spans="1:10" x14ac:dyDescent="0.2">
      <c r="A4609">
        <v>14608</v>
      </c>
      <c r="B4609" t="s">
        <v>10</v>
      </c>
      <c r="C4609" t="s">
        <v>6</v>
      </c>
      <c r="D4609">
        <v>12.66</v>
      </c>
      <c r="E4609">
        <v>2</v>
      </c>
      <c r="F4609" t="s">
        <v>14</v>
      </c>
      <c r="G4609">
        <v>12</v>
      </c>
      <c r="H4609">
        <v>14.179200000000002</v>
      </c>
      <c r="I4609">
        <v>12.000000000000011</v>
      </c>
      <c r="J4609" t="s">
        <v>20</v>
      </c>
    </row>
    <row r="4610" spans="1:10" x14ac:dyDescent="0.2">
      <c r="A4610">
        <v>14609</v>
      </c>
      <c r="B4610" t="s">
        <v>10</v>
      </c>
      <c r="C4610" t="s">
        <v>6</v>
      </c>
      <c r="D4610">
        <v>2</v>
      </c>
      <c r="E4610">
        <v>4</v>
      </c>
      <c r="F4610" t="s">
        <v>15</v>
      </c>
      <c r="G4610">
        <v>28</v>
      </c>
      <c r="H4610">
        <v>2.56</v>
      </c>
      <c r="I4610">
        <v>28.000000000000004</v>
      </c>
      <c r="J4610" t="s">
        <v>20</v>
      </c>
    </row>
    <row r="4611" spans="1:10" x14ac:dyDescent="0.2">
      <c r="A4611">
        <v>14610</v>
      </c>
      <c r="B4611" t="s">
        <v>8</v>
      </c>
      <c r="C4611" t="s">
        <v>9</v>
      </c>
      <c r="D4611">
        <v>12.65</v>
      </c>
      <c r="E4611">
        <v>7</v>
      </c>
      <c r="F4611" t="s">
        <v>15</v>
      </c>
      <c r="G4611">
        <v>30</v>
      </c>
      <c r="H4611">
        <v>16.445</v>
      </c>
      <c r="I4611">
        <v>30.000000000000004</v>
      </c>
      <c r="J4611" t="s">
        <v>20</v>
      </c>
    </row>
    <row r="4612" spans="1:10" x14ac:dyDescent="0.2">
      <c r="A4612">
        <v>14611</v>
      </c>
      <c r="B4612" t="s">
        <v>8</v>
      </c>
      <c r="C4612" t="s">
        <v>9</v>
      </c>
      <c r="D4612">
        <v>2.71</v>
      </c>
      <c r="E4612">
        <v>3</v>
      </c>
      <c r="F4612" t="s">
        <v>14</v>
      </c>
      <c r="G4612">
        <v>15</v>
      </c>
      <c r="H4612">
        <v>3.1164999999999998</v>
      </c>
      <c r="I4612">
        <v>14.999999999999991</v>
      </c>
      <c r="J4612" t="s">
        <v>20</v>
      </c>
    </row>
    <row r="4613" spans="1:10" x14ac:dyDescent="0.2">
      <c r="A4613">
        <v>14612</v>
      </c>
      <c r="B4613" t="s">
        <v>7</v>
      </c>
      <c r="C4613" t="s">
        <v>6</v>
      </c>
      <c r="D4613">
        <v>1.7</v>
      </c>
      <c r="E4613">
        <v>5</v>
      </c>
      <c r="F4613" t="s">
        <v>15</v>
      </c>
      <c r="G4613">
        <v>28</v>
      </c>
      <c r="H4613">
        <v>2.1760000000000002</v>
      </c>
      <c r="I4613">
        <v>28.000000000000004</v>
      </c>
      <c r="J4613" t="s">
        <v>20</v>
      </c>
    </row>
    <row r="4614" spans="1:10" x14ac:dyDescent="0.2">
      <c r="A4614">
        <v>14613</v>
      </c>
      <c r="B4614" t="s">
        <v>8</v>
      </c>
      <c r="C4614" t="s">
        <v>6</v>
      </c>
      <c r="D4614">
        <v>9.81</v>
      </c>
      <c r="E4614">
        <v>9</v>
      </c>
      <c r="F4614" t="s">
        <v>16</v>
      </c>
      <c r="G4614">
        <v>55</v>
      </c>
      <c r="H4614">
        <v>15.205500000000001</v>
      </c>
      <c r="I4614">
        <v>55.000000000000007</v>
      </c>
      <c r="J4614" t="s">
        <v>20</v>
      </c>
    </row>
    <row r="4615" spans="1:10" x14ac:dyDescent="0.2">
      <c r="A4615">
        <v>14614</v>
      </c>
      <c r="B4615" t="s">
        <v>8</v>
      </c>
      <c r="C4615" t="s">
        <v>11</v>
      </c>
      <c r="D4615">
        <v>7.34</v>
      </c>
      <c r="E4615">
        <v>5</v>
      </c>
      <c r="F4615" t="s">
        <v>15</v>
      </c>
      <c r="G4615">
        <v>25</v>
      </c>
      <c r="H4615">
        <v>9.1750000000000007</v>
      </c>
      <c r="I4615">
        <v>25.000000000000021</v>
      </c>
      <c r="J4615" t="s">
        <v>20</v>
      </c>
    </row>
    <row r="4616" spans="1:10" x14ac:dyDescent="0.2">
      <c r="A4616">
        <v>14615</v>
      </c>
      <c r="B4616" t="s">
        <v>8</v>
      </c>
      <c r="C4616" t="s">
        <v>11</v>
      </c>
      <c r="D4616">
        <v>13.66</v>
      </c>
      <c r="E4616">
        <v>9</v>
      </c>
      <c r="F4616" t="s">
        <v>16</v>
      </c>
      <c r="G4616">
        <v>50</v>
      </c>
      <c r="H4616">
        <v>20.490000000000002</v>
      </c>
      <c r="I4616">
        <v>50.000000000000021</v>
      </c>
      <c r="J4616" t="s">
        <v>20</v>
      </c>
    </row>
    <row r="4617" spans="1:10" x14ac:dyDescent="0.2">
      <c r="A4617">
        <v>14616</v>
      </c>
      <c r="B4617" t="s">
        <v>8</v>
      </c>
      <c r="C4617" t="s">
        <v>11</v>
      </c>
      <c r="D4617">
        <v>5.77</v>
      </c>
      <c r="E4617">
        <v>1</v>
      </c>
      <c r="F4617" t="s">
        <v>14</v>
      </c>
      <c r="G4617">
        <v>10</v>
      </c>
      <c r="H4617">
        <v>6.3470000000000004</v>
      </c>
      <c r="I4617">
        <v>10.000000000000009</v>
      </c>
      <c r="J4617" t="s">
        <v>20</v>
      </c>
    </row>
    <row r="4618" spans="1:10" x14ac:dyDescent="0.2">
      <c r="A4618">
        <v>14617</v>
      </c>
      <c r="B4618" t="s">
        <v>7</v>
      </c>
      <c r="C4618" t="s">
        <v>6</v>
      </c>
      <c r="D4618">
        <v>4.66</v>
      </c>
      <c r="E4618">
        <v>9</v>
      </c>
      <c r="F4618" t="s">
        <v>16</v>
      </c>
      <c r="G4618">
        <v>55</v>
      </c>
      <c r="H4618">
        <v>7.2230000000000008</v>
      </c>
      <c r="I4618">
        <v>55.000000000000007</v>
      </c>
      <c r="J4618" t="s">
        <v>20</v>
      </c>
    </row>
    <row r="4619" spans="1:10" x14ac:dyDescent="0.2">
      <c r="A4619">
        <v>14618</v>
      </c>
      <c r="B4619" t="s">
        <v>8</v>
      </c>
      <c r="C4619" t="s">
        <v>6</v>
      </c>
      <c r="D4619">
        <v>7.76</v>
      </c>
      <c r="E4619">
        <v>5</v>
      </c>
      <c r="F4619" t="s">
        <v>15</v>
      </c>
      <c r="G4619">
        <v>28</v>
      </c>
      <c r="H4619">
        <v>9.9328000000000003</v>
      </c>
      <c r="I4619">
        <v>28.000000000000004</v>
      </c>
      <c r="J4619" t="s">
        <v>20</v>
      </c>
    </row>
    <row r="4620" spans="1:10" x14ac:dyDescent="0.2">
      <c r="A4620">
        <v>14619</v>
      </c>
      <c r="B4620" t="s">
        <v>5</v>
      </c>
      <c r="C4620" t="s">
        <v>6</v>
      </c>
      <c r="D4620">
        <v>7.11</v>
      </c>
      <c r="E4620">
        <v>8</v>
      </c>
      <c r="F4620" t="s">
        <v>16</v>
      </c>
      <c r="G4620">
        <v>55</v>
      </c>
      <c r="H4620">
        <v>11.0205</v>
      </c>
      <c r="I4620">
        <v>55.000000000000007</v>
      </c>
      <c r="J4620" t="s">
        <v>20</v>
      </c>
    </row>
    <row r="4621" spans="1:10" x14ac:dyDescent="0.2">
      <c r="A4621">
        <v>14620</v>
      </c>
      <c r="B4621" t="s">
        <v>5</v>
      </c>
      <c r="C4621" t="s">
        <v>11</v>
      </c>
      <c r="D4621">
        <v>5.49</v>
      </c>
      <c r="E4621">
        <v>5</v>
      </c>
      <c r="F4621" t="s">
        <v>15</v>
      </c>
      <c r="G4621">
        <v>25</v>
      </c>
      <c r="H4621">
        <v>6.8625000000000007</v>
      </c>
      <c r="I4621">
        <v>25</v>
      </c>
      <c r="J4621" t="s">
        <v>20</v>
      </c>
    </row>
    <row r="4622" spans="1:10" x14ac:dyDescent="0.2">
      <c r="A4622">
        <v>14621</v>
      </c>
      <c r="B4622" t="s">
        <v>5</v>
      </c>
      <c r="C4622" t="s">
        <v>6</v>
      </c>
      <c r="D4622">
        <v>10.56</v>
      </c>
      <c r="E4622">
        <v>6</v>
      </c>
      <c r="F4622" t="s">
        <v>15</v>
      </c>
      <c r="G4622">
        <v>28</v>
      </c>
      <c r="H4622">
        <v>13.516800000000002</v>
      </c>
      <c r="I4622">
        <v>28.000000000000004</v>
      </c>
      <c r="J4622" t="s">
        <v>20</v>
      </c>
    </row>
    <row r="4623" spans="1:10" x14ac:dyDescent="0.2">
      <c r="A4623">
        <v>14622</v>
      </c>
      <c r="B4623" t="s">
        <v>5</v>
      </c>
      <c r="C4623" t="s">
        <v>9</v>
      </c>
      <c r="D4623">
        <v>11.51</v>
      </c>
      <c r="E4623">
        <v>8</v>
      </c>
      <c r="F4623" t="s">
        <v>16</v>
      </c>
      <c r="G4623">
        <v>60</v>
      </c>
      <c r="H4623">
        <v>18.416</v>
      </c>
      <c r="I4623">
        <v>60.000000000000007</v>
      </c>
      <c r="J4623" t="s">
        <v>20</v>
      </c>
    </row>
    <row r="4624" spans="1:10" x14ac:dyDescent="0.2">
      <c r="A4624">
        <v>14623</v>
      </c>
      <c r="B4624" t="s">
        <v>8</v>
      </c>
      <c r="C4624" t="s">
        <v>6</v>
      </c>
      <c r="D4624">
        <v>12.87</v>
      </c>
      <c r="E4624">
        <v>2</v>
      </c>
      <c r="F4624" t="s">
        <v>14</v>
      </c>
      <c r="G4624">
        <v>12</v>
      </c>
      <c r="H4624">
        <v>14.414400000000001</v>
      </c>
      <c r="I4624">
        <v>12.000000000000011</v>
      </c>
      <c r="J4624" t="s">
        <v>20</v>
      </c>
    </row>
    <row r="4625" spans="1:10" x14ac:dyDescent="0.2">
      <c r="A4625">
        <v>14624</v>
      </c>
      <c r="B4625" t="s">
        <v>5</v>
      </c>
      <c r="C4625" t="s">
        <v>6</v>
      </c>
      <c r="D4625">
        <v>14.61</v>
      </c>
      <c r="E4625">
        <v>3</v>
      </c>
      <c r="F4625" t="s">
        <v>14</v>
      </c>
      <c r="G4625">
        <v>12</v>
      </c>
      <c r="H4625">
        <v>16.363200000000003</v>
      </c>
      <c r="I4625">
        <v>12.000000000000032</v>
      </c>
      <c r="J4625" t="s">
        <v>20</v>
      </c>
    </row>
    <row r="4626" spans="1:10" x14ac:dyDescent="0.2">
      <c r="A4626">
        <v>14625</v>
      </c>
      <c r="B4626" t="s">
        <v>8</v>
      </c>
      <c r="C4626" t="s">
        <v>6</v>
      </c>
      <c r="D4626">
        <v>4.37</v>
      </c>
      <c r="E4626">
        <v>9</v>
      </c>
      <c r="F4626" t="s">
        <v>16</v>
      </c>
      <c r="G4626">
        <v>55</v>
      </c>
      <c r="H4626">
        <v>6.7735000000000003</v>
      </c>
      <c r="I4626">
        <v>55.000000000000007</v>
      </c>
      <c r="J4626" t="s">
        <v>20</v>
      </c>
    </row>
    <row r="4627" spans="1:10" x14ac:dyDescent="0.2">
      <c r="A4627">
        <v>14626</v>
      </c>
      <c r="B4627" t="s">
        <v>7</v>
      </c>
      <c r="C4627" t="s">
        <v>6</v>
      </c>
      <c r="D4627">
        <v>10.88</v>
      </c>
      <c r="E4627">
        <v>5</v>
      </c>
      <c r="F4627" t="s">
        <v>15</v>
      </c>
      <c r="G4627">
        <v>28</v>
      </c>
      <c r="H4627">
        <v>13.926400000000001</v>
      </c>
      <c r="I4627">
        <v>28.000000000000004</v>
      </c>
      <c r="J4627" t="s">
        <v>20</v>
      </c>
    </row>
    <row r="4628" spans="1:10" x14ac:dyDescent="0.2">
      <c r="A4628">
        <v>14627</v>
      </c>
      <c r="B4628" t="s">
        <v>5</v>
      </c>
      <c r="C4628" t="s">
        <v>6</v>
      </c>
      <c r="D4628">
        <v>6.22</v>
      </c>
      <c r="E4628">
        <v>5</v>
      </c>
      <c r="F4628" t="s">
        <v>15</v>
      </c>
      <c r="G4628">
        <v>28</v>
      </c>
      <c r="H4628">
        <v>7.9615999999999998</v>
      </c>
      <c r="I4628">
        <v>28.000000000000004</v>
      </c>
      <c r="J4628" t="s">
        <v>20</v>
      </c>
    </row>
    <row r="4629" spans="1:10" x14ac:dyDescent="0.2">
      <c r="A4629">
        <v>14628</v>
      </c>
      <c r="B4629" t="s">
        <v>10</v>
      </c>
      <c r="C4629" t="s">
        <v>9</v>
      </c>
      <c r="D4629">
        <v>10.32</v>
      </c>
      <c r="E4629">
        <v>9</v>
      </c>
      <c r="F4629" t="s">
        <v>16</v>
      </c>
      <c r="G4629">
        <v>60</v>
      </c>
      <c r="H4629">
        <v>16.512</v>
      </c>
      <c r="I4629">
        <v>60.000000000000007</v>
      </c>
      <c r="J4629" t="s">
        <v>20</v>
      </c>
    </row>
    <row r="4630" spans="1:10" x14ac:dyDescent="0.2">
      <c r="A4630">
        <v>14629</v>
      </c>
      <c r="B4630" t="s">
        <v>5</v>
      </c>
      <c r="C4630" t="s">
        <v>9</v>
      </c>
      <c r="D4630">
        <v>7.4</v>
      </c>
      <c r="E4630">
        <v>10</v>
      </c>
      <c r="F4630" t="s">
        <v>16</v>
      </c>
      <c r="G4630">
        <v>60</v>
      </c>
      <c r="H4630">
        <v>11.840000000000002</v>
      </c>
      <c r="I4630">
        <v>60.000000000000007</v>
      </c>
      <c r="J4630" t="s">
        <v>20</v>
      </c>
    </row>
    <row r="4631" spans="1:10" x14ac:dyDescent="0.2">
      <c r="A4631">
        <v>14630</v>
      </c>
      <c r="B4631" t="s">
        <v>5</v>
      </c>
      <c r="C4631" t="s">
        <v>6</v>
      </c>
      <c r="D4631">
        <v>14.91</v>
      </c>
      <c r="E4631">
        <v>3</v>
      </c>
      <c r="F4631" t="s">
        <v>14</v>
      </c>
      <c r="G4631">
        <v>12</v>
      </c>
      <c r="H4631">
        <v>16.699200000000001</v>
      </c>
      <c r="I4631">
        <v>12.000000000000011</v>
      </c>
      <c r="J4631" t="s">
        <v>20</v>
      </c>
    </row>
    <row r="4632" spans="1:10" x14ac:dyDescent="0.2">
      <c r="A4632">
        <v>14631</v>
      </c>
      <c r="B4632" t="s">
        <v>8</v>
      </c>
      <c r="C4632" t="s">
        <v>11</v>
      </c>
      <c r="D4632">
        <v>11.07</v>
      </c>
      <c r="E4632">
        <v>4</v>
      </c>
      <c r="F4632" t="s">
        <v>15</v>
      </c>
      <c r="G4632">
        <v>25</v>
      </c>
      <c r="H4632">
        <v>13.8375</v>
      </c>
      <c r="I4632">
        <v>25</v>
      </c>
      <c r="J4632" t="s">
        <v>20</v>
      </c>
    </row>
    <row r="4633" spans="1:10" x14ac:dyDescent="0.2">
      <c r="A4633">
        <v>14632</v>
      </c>
      <c r="B4633" t="s">
        <v>5</v>
      </c>
      <c r="C4633" t="s">
        <v>6</v>
      </c>
      <c r="D4633">
        <v>14.31</v>
      </c>
      <c r="E4633">
        <v>7</v>
      </c>
      <c r="F4633" t="s">
        <v>15</v>
      </c>
      <c r="G4633">
        <v>28</v>
      </c>
      <c r="H4633">
        <v>18.316800000000001</v>
      </c>
      <c r="I4633">
        <v>28.000000000000004</v>
      </c>
      <c r="J4633" t="s">
        <v>20</v>
      </c>
    </row>
    <row r="4634" spans="1:10" x14ac:dyDescent="0.2">
      <c r="A4634">
        <v>14633</v>
      </c>
      <c r="B4634" t="s">
        <v>10</v>
      </c>
      <c r="C4634" t="s">
        <v>6</v>
      </c>
      <c r="D4634">
        <v>12.61</v>
      </c>
      <c r="E4634">
        <v>2</v>
      </c>
      <c r="F4634" t="s">
        <v>14</v>
      </c>
      <c r="G4634">
        <v>12</v>
      </c>
      <c r="H4634">
        <v>14.123200000000001</v>
      </c>
      <c r="I4634">
        <v>12.000000000000011</v>
      </c>
      <c r="J4634" t="s">
        <v>20</v>
      </c>
    </row>
    <row r="4635" spans="1:10" x14ac:dyDescent="0.2">
      <c r="A4635">
        <v>14634</v>
      </c>
      <c r="B4635" t="s">
        <v>8</v>
      </c>
      <c r="C4635" t="s">
        <v>6</v>
      </c>
      <c r="D4635">
        <v>13.59</v>
      </c>
      <c r="E4635">
        <v>8</v>
      </c>
      <c r="F4635" t="s">
        <v>16</v>
      </c>
      <c r="G4635">
        <v>55</v>
      </c>
      <c r="H4635">
        <v>21.064499999999999</v>
      </c>
      <c r="I4635">
        <v>55.000000000000007</v>
      </c>
      <c r="J4635" t="s">
        <v>20</v>
      </c>
    </row>
    <row r="4636" spans="1:10" x14ac:dyDescent="0.2">
      <c r="A4636">
        <v>14635</v>
      </c>
      <c r="B4636" t="s">
        <v>8</v>
      </c>
      <c r="C4636" t="s">
        <v>11</v>
      </c>
      <c r="D4636">
        <v>12.31</v>
      </c>
      <c r="E4636">
        <v>5</v>
      </c>
      <c r="F4636" t="s">
        <v>15</v>
      </c>
      <c r="G4636">
        <v>25</v>
      </c>
      <c r="H4636">
        <v>15.387500000000001</v>
      </c>
      <c r="I4636">
        <v>25</v>
      </c>
      <c r="J4636" t="s">
        <v>20</v>
      </c>
    </row>
    <row r="4637" spans="1:10" x14ac:dyDescent="0.2">
      <c r="A4637">
        <v>14636</v>
      </c>
      <c r="B4637" t="s">
        <v>7</v>
      </c>
      <c r="C4637" t="s">
        <v>11</v>
      </c>
      <c r="D4637">
        <v>7.16</v>
      </c>
      <c r="E4637">
        <v>1</v>
      </c>
      <c r="F4637" t="s">
        <v>14</v>
      </c>
      <c r="G4637">
        <v>10</v>
      </c>
      <c r="H4637">
        <v>7.8760000000000012</v>
      </c>
      <c r="I4637">
        <v>10.000000000000009</v>
      </c>
      <c r="J4637" t="s">
        <v>20</v>
      </c>
    </row>
    <row r="4638" spans="1:10" x14ac:dyDescent="0.2">
      <c r="A4638">
        <v>14637</v>
      </c>
      <c r="B4638" t="s">
        <v>7</v>
      </c>
      <c r="C4638" t="s">
        <v>11</v>
      </c>
      <c r="D4638">
        <v>4.1500000000000004</v>
      </c>
      <c r="E4638">
        <v>3</v>
      </c>
      <c r="F4638" t="s">
        <v>14</v>
      </c>
      <c r="G4638">
        <v>10</v>
      </c>
      <c r="H4638">
        <v>4.5650000000000004</v>
      </c>
      <c r="I4638">
        <v>10.000000000000009</v>
      </c>
      <c r="J4638" t="s">
        <v>20</v>
      </c>
    </row>
    <row r="4639" spans="1:10" x14ac:dyDescent="0.2">
      <c r="A4639">
        <v>14638</v>
      </c>
      <c r="B4639" t="s">
        <v>5</v>
      </c>
      <c r="C4639" t="s">
        <v>9</v>
      </c>
      <c r="D4639">
        <v>5.87</v>
      </c>
      <c r="E4639">
        <v>9</v>
      </c>
      <c r="F4639" t="s">
        <v>16</v>
      </c>
      <c r="G4639">
        <v>60</v>
      </c>
      <c r="H4639">
        <v>9.3920000000000012</v>
      </c>
      <c r="I4639">
        <v>60.000000000000007</v>
      </c>
      <c r="J4639" t="s">
        <v>20</v>
      </c>
    </row>
    <row r="4640" spans="1:10" x14ac:dyDescent="0.2">
      <c r="A4640">
        <v>14639</v>
      </c>
      <c r="B4640" t="s">
        <v>7</v>
      </c>
      <c r="C4640" t="s">
        <v>11</v>
      </c>
      <c r="D4640">
        <v>0.79</v>
      </c>
      <c r="E4640">
        <v>5</v>
      </c>
      <c r="F4640" t="s">
        <v>15</v>
      </c>
      <c r="G4640">
        <v>25</v>
      </c>
      <c r="H4640">
        <v>0.98750000000000004</v>
      </c>
      <c r="I4640">
        <v>25</v>
      </c>
      <c r="J4640" t="s">
        <v>20</v>
      </c>
    </row>
    <row r="4641" spans="1:10" x14ac:dyDescent="0.2">
      <c r="A4641">
        <v>14640</v>
      </c>
      <c r="B4641" t="s">
        <v>7</v>
      </c>
      <c r="C4641" t="s">
        <v>9</v>
      </c>
      <c r="D4641">
        <v>8.1</v>
      </c>
      <c r="E4641">
        <v>8</v>
      </c>
      <c r="F4641" t="s">
        <v>16</v>
      </c>
      <c r="G4641">
        <v>60</v>
      </c>
      <c r="H4641">
        <v>12.96</v>
      </c>
      <c r="I4641">
        <v>60.000000000000007</v>
      </c>
      <c r="J4641" t="s">
        <v>20</v>
      </c>
    </row>
    <row r="4642" spans="1:10" x14ac:dyDescent="0.2">
      <c r="A4642">
        <v>14641</v>
      </c>
      <c r="B4642" t="s">
        <v>7</v>
      </c>
      <c r="C4642" t="s">
        <v>9</v>
      </c>
      <c r="D4642">
        <v>7.82</v>
      </c>
      <c r="E4642">
        <v>1</v>
      </c>
      <c r="F4642" t="s">
        <v>14</v>
      </c>
      <c r="G4642">
        <v>15</v>
      </c>
      <c r="H4642">
        <v>8.9930000000000003</v>
      </c>
      <c r="I4642">
        <v>14.999999999999991</v>
      </c>
      <c r="J4642" t="s">
        <v>20</v>
      </c>
    </row>
    <row r="4643" spans="1:10" x14ac:dyDescent="0.2">
      <c r="A4643">
        <v>14642</v>
      </c>
      <c r="B4643" t="s">
        <v>8</v>
      </c>
      <c r="C4643" t="s">
        <v>11</v>
      </c>
      <c r="D4643">
        <v>8.1199999999999992</v>
      </c>
      <c r="E4643">
        <v>7</v>
      </c>
      <c r="F4643" t="s">
        <v>15</v>
      </c>
      <c r="G4643">
        <v>25</v>
      </c>
      <c r="H4643">
        <v>10.149999999999999</v>
      </c>
      <c r="I4643">
        <v>25</v>
      </c>
      <c r="J4643" t="s">
        <v>20</v>
      </c>
    </row>
    <row r="4644" spans="1:10" x14ac:dyDescent="0.2">
      <c r="A4644">
        <v>14643</v>
      </c>
      <c r="B4644" t="s">
        <v>8</v>
      </c>
      <c r="C4644" t="s">
        <v>11</v>
      </c>
      <c r="D4644">
        <v>14.62</v>
      </c>
      <c r="E4644">
        <v>7</v>
      </c>
      <c r="F4644" t="s">
        <v>15</v>
      </c>
      <c r="G4644">
        <v>25</v>
      </c>
      <c r="H4644">
        <v>18.274999999999999</v>
      </c>
      <c r="I4644">
        <v>25</v>
      </c>
      <c r="J4644" t="s">
        <v>20</v>
      </c>
    </row>
    <row r="4645" spans="1:10" x14ac:dyDescent="0.2">
      <c r="A4645">
        <v>14644</v>
      </c>
      <c r="B4645" t="s">
        <v>8</v>
      </c>
      <c r="C4645" t="s">
        <v>11</v>
      </c>
      <c r="D4645">
        <v>13.72</v>
      </c>
      <c r="E4645">
        <v>8</v>
      </c>
      <c r="F4645" t="s">
        <v>16</v>
      </c>
      <c r="G4645">
        <v>50</v>
      </c>
      <c r="H4645">
        <v>20.580000000000002</v>
      </c>
      <c r="I4645">
        <v>50</v>
      </c>
      <c r="J4645" t="s">
        <v>20</v>
      </c>
    </row>
    <row r="4646" spans="1:10" x14ac:dyDescent="0.2">
      <c r="A4646">
        <v>14645</v>
      </c>
      <c r="B4646" t="s">
        <v>7</v>
      </c>
      <c r="C4646" t="s">
        <v>9</v>
      </c>
      <c r="D4646">
        <v>2.84</v>
      </c>
      <c r="E4646">
        <v>3</v>
      </c>
      <c r="F4646" t="s">
        <v>14</v>
      </c>
      <c r="G4646">
        <v>15</v>
      </c>
      <c r="H4646">
        <v>3.2659999999999996</v>
      </c>
      <c r="I4646">
        <v>14.999999999999991</v>
      </c>
      <c r="J4646" t="s">
        <v>20</v>
      </c>
    </row>
    <row r="4647" spans="1:10" x14ac:dyDescent="0.2">
      <c r="A4647">
        <v>14646</v>
      </c>
      <c r="B4647" t="s">
        <v>8</v>
      </c>
      <c r="C4647" t="s">
        <v>6</v>
      </c>
      <c r="D4647">
        <v>5.85</v>
      </c>
      <c r="E4647">
        <v>1</v>
      </c>
      <c r="F4647" t="s">
        <v>14</v>
      </c>
      <c r="G4647">
        <v>12</v>
      </c>
      <c r="H4647">
        <v>6.5520000000000005</v>
      </c>
      <c r="I4647">
        <v>12.000000000000011</v>
      </c>
      <c r="J4647" t="s">
        <v>20</v>
      </c>
    </row>
    <row r="4648" spans="1:10" x14ac:dyDescent="0.2">
      <c r="A4648">
        <v>14647</v>
      </c>
      <c r="B4648" t="s">
        <v>7</v>
      </c>
      <c r="C4648" t="s">
        <v>11</v>
      </c>
      <c r="D4648">
        <v>6.65</v>
      </c>
      <c r="E4648">
        <v>9</v>
      </c>
      <c r="F4648" t="s">
        <v>16</v>
      </c>
      <c r="G4648">
        <v>50</v>
      </c>
      <c r="H4648">
        <v>9.9750000000000014</v>
      </c>
      <c r="I4648">
        <v>50.000000000000021</v>
      </c>
      <c r="J4648" t="s">
        <v>20</v>
      </c>
    </row>
    <row r="4649" spans="1:10" x14ac:dyDescent="0.2">
      <c r="A4649">
        <v>14648</v>
      </c>
      <c r="B4649" t="s">
        <v>8</v>
      </c>
      <c r="C4649" t="s">
        <v>11</v>
      </c>
      <c r="D4649">
        <v>5.73</v>
      </c>
      <c r="E4649">
        <v>1</v>
      </c>
      <c r="F4649" t="s">
        <v>14</v>
      </c>
      <c r="G4649">
        <v>10</v>
      </c>
      <c r="H4649">
        <v>6.3030000000000008</v>
      </c>
      <c r="I4649">
        <v>10.000000000000009</v>
      </c>
      <c r="J4649" t="s">
        <v>20</v>
      </c>
    </row>
    <row r="4650" spans="1:10" x14ac:dyDescent="0.2">
      <c r="A4650">
        <v>14649</v>
      </c>
      <c r="B4650" t="s">
        <v>8</v>
      </c>
      <c r="C4650" t="s">
        <v>11</v>
      </c>
      <c r="D4650">
        <v>12.08</v>
      </c>
      <c r="E4650">
        <v>6</v>
      </c>
      <c r="F4650" t="s">
        <v>15</v>
      </c>
      <c r="G4650">
        <v>25</v>
      </c>
      <c r="H4650">
        <v>15.1</v>
      </c>
      <c r="I4650">
        <v>25</v>
      </c>
      <c r="J4650" t="s">
        <v>20</v>
      </c>
    </row>
    <row r="4651" spans="1:10" x14ac:dyDescent="0.2">
      <c r="A4651">
        <v>14650</v>
      </c>
      <c r="B4651" t="s">
        <v>10</v>
      </c>
      <c r="C4651" t="s">
        <v>9</v>
      </c>
      <c r="D4651">
        <v>8.1</v>
      </c>
      <c r="E4651">
        <v>9</v>
      </c>
      <c r="F4651" t="s">
        <v>16</v>
      </c>
      <c r="G4651">
        <v>60</v>
      </c>
      <c r="H4651">
        <v>12.96</v>
      </c>
      <c r="I4651">
        <v>60.000000000000007</v>
      </c>
      <c r="J4651" t="s">
        <v>20</v>
      </c>
    </row>
    <row r="4652" spans="1:10" x14ac:dyDescent="0.2">
      <c r="A4652">
        <v>14651</v>
      </c>
      <c r="B4652" t="s">
        <v>5</v>
      </c>
      <c r="C4652" t="s">
        <v>9</v>
      </c>
      <c r="D4652">
        <v>8.8000000000000007</v>
      </c>
      <c r="E4652">
        <v>2</v>
      </c>
      <c r="F4652" t="s">
        <v>14</v>
      </c>
      <c r="G4652">
        <v>15</v>
      </c>
      <c r="H4652">
        <v>10.119999999999999</v>
      </c>
      <c r="I4652">
        <v>14.999999999999991</v>
      </c>
      <c r="J4652" t="s">
        <v>20</v>
      </c>
    </row>
    <row r="4653" spans="1:10" x14ac:dyDescent="0.2">
      <c r="A4653">
        <v>14652</v>
      </c>
      <c r="B4653" t="s">
        <v>7</v>
      </c>
      <c r="C4653" t="s">
        <v>6</v>
      </c>
      <c r="D4653">
        <v>12.87</v>
      </c>
      <c r="E4653">
        <v>4</v>
      </c>
      <c r="F4653" t="s">
        <v>15</v>
      </c>
      <c r="G4653">
        <v>28</v>
      </c>
      <c r="H4653">
        <v>16.473599999999998</v>
      </c>
      <c r="I4653">
        <v>27.999999999999979</v>
      </c>
      <c r="J4653" t="s">
        <v>20</v>
      </c>
    </row>
    <row r="4654" spans="1:10" x14ac:dyDescent="0.2">
      <c r="A4654">
        <v>14653</v>
      </c>
      <c r="B4654" t="s">
        <v>10</v>
      </c>
      <c r="C4654" t="s">
        <v>11</v>
      </c>
      <c r="D4654">
        <v>12.19</v>
      </c>
      <c r="E4654">
        <v>2</v>
      </c>
      <c r="F4654" t="s">
        <v>14</v>
      </c>
      <c r="G4654">
        <v>10</v>
      </c>
      <c r="H4654">
        <v>13.409000000000001</v>
      </c>
      <c r="I4654">
        <v>10.000000000000009</v>
      </c>
      <c r="J4654" t="s">
        <v>20</v>
      </c>
    </row>
    <row r="4655" spans="1:10" x14ac:dyDescent="0.2">
      <c r="A4655">
        <v>14654</v>
      </c>
      <c r="B4655" t="s">
        <v>8</v>
      </c>
      <c r="C4655" t="s">
        <v>9</v>
      </c>
      <c r="D4655">
        <v>2.42</v>
      </c>
      <c r="E4655">
        <v>4</v>
      </c>
      <c r="F4655" t="s">
        <v>15</v>
      </c>
      <c r="G4655">
        <v>30</v>
      </c>
      <c r="H4655">
        <v>3.1459999999999999</v>
      </c>
      <c r="I4655">
        <v>30.000000000000004</v>
      </c>
      <c r="J4655" t="s">
        <v>20</v>
      </c>
    </row>
    <row r="4656" spans="1:10" x14ac:dyDescent="0.2">
      <c r="A4656">
        <v>14655</v>
      </c>
      <c r="B4656" t="s">
        <v>7</v>
      </c>
      <c r="C4656" t="s">
        <v>6</v>
      </c>
      <c r="D4656">
        <v>10.85</v>
      </c>
      <c r="E4656">
        <v>2</v>
      </c>
      <c r="F4656" t="s">
        <v>14</v>
      </c>
      <c r="G4656">
        <v>12</v>
      </c>
      <c r="H4656">
        <v>12.152000000000001</v>
      </c>
      <c r="I4656">
        <v>12.000000000000011</v>
      </c>
      <c r="J4656" t="s">
        <v>20</v>
      </c>
    </row>
    <row r="4657" spans="1:10" x14ac:dyDescent="0.2">
      <c r="A4657">
        <v>14656</v>
      </c>
      <c r="B4657" t="s">
        <v>8</v>
      </c>
      <c r="C4657" t="s">
        <v>11</v>
      </c>
      <c r="D4657">
        <v>6.81</v>
      </c>
      <c r="E4657">
        <v>1</v>
      </c>
      <c r="F4657" t="s">
        <v>14</v>
      </c>
      <c r="G4657">
        <v>10</v>
      </c>
      <c r="H4657">
        <v>7.4910000000000005</v>
      </c>
      <c r="I4657">
        <v>10.000000000000009</v>
      </c>
      <c r="J4657" t="s">
        <v>20</v>
      </c>
    </row>
    <row r="4658" spans="1:10" x14ac:dyDescent="0.2">
      <c r="A4658">
        <v>14657</v>
      </c>
      <c r="B4658" t="s">
        <v>5</v>
      </c>
      <c r="C4658" t="s">
        <v>9</v>
      </c>
      <c r="D4658">
        <v>4.7699999999999996</v>
      </c>
      <c r="E4658">
        <v>3</v>
      </c>
      <c r="F4658" t="s">
        <v>14</v>
      </c>
      <c r="G4658">
        <v>15</v>
      </c>
      <c r="H4658">
        <v>5.4854999999999992</v>
      </c>
      <c r="I4658">
        <v>14.999999999999991</v>
      </c>
      <c r="J4658" t="s">
        <v>20</v>
      </c>
    </row>
    <row r="4659" spans="1:10" x14ac:dyDescent="0.2">
      <c r="A4659">
        <v>14658</v>
      </c>
      <c r="B4659" t="s">
        <v>10</v>
      </c>
      <c r="C4659" t="s">
        <v>11</v>
      </c>
      <c r="D4659">
        <v>1.23</v>
      </c>
      <c r="E4659">
        <v>8</v>
      </c>
      <c r="F4659" t="s">
        <v>16</v>
      </c>
      <c r="G4659">
        <v>50</v>
      </c>
      <c r="H4659">
        <v>1.845</v>
      </c>
      <c r="I4659">
        <v>50</v>
      </c>
      <c r="J4659" t="s">
        <v>20</v>
      </c>
    </row>
    <row r="4660" spans="1:10" x14ac:dyDescent="0.2">
      <c r="A4660">
        <v>14659</v>
      </c>
      <c r="B4660" t="s">
        <v>5</v>
      </c>
      <c r="C4660" t="s">
        <v>11</v>
      </c>
      <c r="D4660">
        <v>7.57</v>
      </c>
      <c r="E4660">
        <v>5</v>
      </c>
      <c r="F4660" t="s">
        <v>15</v>
      </c>
      <c r="G4660">
        <v>25</v>
      </c>
      <c r="H4660">
        <v>9.4625000000000004</v>
      </c>
      <c r="I4660">
        <v>25</v>
      </c>
      <c r="J4660" t="s">
        <v>20</v>
      </c>
    </row>
    <row r="4661" spans="1:10" x14ac:dyDescent="0.2">
      <c r="A4661">
        <v>14660</v>
      </c>
      <c r="B4661" t="s">
        <v>10</v>
      </c>
      <c r="C4661" t="s">
        <v>9</v>
      </c>
      <c r="D4661">
        <v>5.65</v>
      </c>
      <c r="E4661">
        <v>4</v>
      </c>
      <c r="F4661" t="s">
        <v>15</v>
      </c>
      <c r="G4661">
        <v>30</v>
      </c>
      <c r="H4661">
        <v>7.3450000000000006</v>
      </c>
      <c r="I4661">
        <v>30.000000000000004</v>
      </c>
      <c r="J4661" t="s">
        <v>20</v>
      </c>
    </row>
    <row r="4662" spans="1:10" x14ac:dyDescent="0.2">
      <c r="A4662">
        <v>14661</v>
      </c>
      <c r="B4662" t="s">
        <v>8</v>
      </c>
      <c r="C4662" t="s">
        <v>9</v>
      </c>
      <c r="D4662">
        <v>4.1500000000000004</v>
      </c>
      <c r="E4662">
        <v>5</v>
      </c>
      <c r="F4662" t="s">
        <v>15</v>
      </c>
      <c r="G4662">
        <v>30</v>
      </c>
      <c r="H4662">
        <v>5.3950000000000005</v>
      </c>
      <c r="I4662">
        <v>30.000000000000004</v>
      </c>
      <c r="J4662" t="s">
        <v>20</v>
      </c>
    </row>
    <row r="4663" spans="1:10" x14ac:dyDescent="0.2">
      <c r="A4663">
        <v>14662</v>
      </c>
      <c r="B4663" t="s">
        <v>5</v>
      </c>
      <c r="C4663" t="s">
        <v>9</v>
      </c>
      <c r="D4663">
        <v>10.57</v>
      </c>
      <c r="E4663">
        <v>6</v>
      </c>
      <c r="F4663" t="s">
        <v>15</v>
      </c>
      <c r="G4663">
        <v>30</v>
      </c>
      <c r="H4663">
        <v>13.741000000000001</v>
      </c>
      <c r="I4663">
        <v>30.000000000000004</v>
      </c>
      <c r="J4663" t="s">
        <v>20</v>
      </c>
    </row>
    <row r="4664" spans="1:10" x14ac:dyDescent="0.2">
      <c r="A4664">
        <v>14663</v>
      </c>
      <c r="B4664" t="s">
        <v>5</v>
      </c>
      <c r="C4664" t="s">
        <v>11</v>
      </c>
      <c r="D4664">
        <v>11.66</v>
      </c>
      <c r="E4664">
        <v>6</v>
      </c>
      <c r="F4664" t="s">
        <v>15</v>
      </c>
      <c r="G4664">
        <v>25</v>
      </c>
      <c r="H4664">
        <v>14.574999999999999</v>
      </c>
      <c r="I4664">
        <v>25</v>
      </c>
      <c r="J4664" t="s">
        <v>20</v>
      </c>
    </row>
    <row r="4665" spans="1:10" x14ac:dyDescent="0.2">
      <c r="A4665">
        <v>14664</v>
      </c>
      <c r="B4665" t="s">
        <v>8</v>
      </c>
      <c r="C4665" t="s">
        <v>11</v>
      </c>
      <c r="D4665">
        <v>4.05</v>
      </c>
      <c r="E4665">
        <v>5</v>
      </c>
      <c r="F4665" t="s">
        <v>15</v>
      </c>
      <c r="G4665">
        <v>25</v>
      </c>
      <c r="H4665">
        <v>5.0625</v>
      </c>
      <c r="I4665">
        <v>25</v>
      </c>
      <c r="J4665" t="s">
        <v>20</v>
      </c>
    </row>
    <row r="4666" spans="1:10" x14ac:dyDescent="0.2">
      <c r="A4666">
        <v>14665</v>
      </c>
      <c r="B4666" t="s">
        <v>5</v>
      </c>
      <c r="C4666" t="s">
        <v>6</v>
      </c>
      <c r="D4666">
        <v>1.22</v>
      </c>
      <c r="E4666">
        <v>6</v>
      </c>
      <c r="F4666" t="s">
        <v>15</v>
      </c>
      <c r="G4666">
        <v>28</v>
      </c>
      <c r="H4666">
        <v>1.5616000000000001</v>
      </c>
      <c r="I4666">
        <v>28.000000000000004</v>
      </c>
      <c r="J4666" t="s">
        <v>20</v>
      </c>
    </row>
    <row r="4667" spans="1:10" x14ac:dyDescent="0.2">
      <c r="A4667">
        <v>14666</v>
      </c>
      <c r="B4667" t="s">
        <v>7</v>
      </c>
      <c r="C4667" t="s">
        <v>11</v>
      </c>
      <c r="D4667">
        <v>12.81</v>
      </c>
      <c r="E4667">
        <v>9</v>
      </c>
      <c r="F4667" t="s">
        <v>16</v>
      </c>
      <c r="G4667">
        <v>50</v>
      </c>
      <c r="H4667">
        <v>19.215</v>
      </c>
      <c r="I4667">
        <v>50</v>
      </c>
      <c r="J4667" t="s">
        <v>20</v>
      </c>
    </row>
    <row r="4668" spans="1:10" x14ac:dyDescent="0.2">
      <c r="A4668">
        <v>14667</v>
      </c>
      <c r="B4668" t="s">
        <v>10</v>
      </c>
      <c r="C4668" t="s">
        <v>9</v>
      </c>
      <c r="D4668">
        <v>0.64</v>
      </c>
      <c r="E4668">
        <v>5</v>
      </c>
      <c r="F4668" t="s">
        <v>15</v>
      </c>
      <c r="G4668">
        <v>30</v>
      </c>
      <c r="H4668">
        <v>0.83200000000000007</v>
      </c>
      <c r="I4668">
        <v>30.000000000000004</v>
      </c>
      <c r="J4668" t="s">
        <v>20</v>
      </c>
    </row>
    <row r="4669" spans="1:10" x14ac:dyDescent="0.2">
      <c r="A4669">
        <v>14668</v>
      </c>
      <c r="B4669" t="s">
        <v>10</v>
      </c>
      <c r="C4669" t="s">
        <v>11</v>
      </c>
      <c r="D4669">
        <v>14.09</v>
      </c>
      <c r="E4669">
        <v>6</v>
      </c>
      <c r="F4669" t="s">
        <v>15</v>
      </c>
      <c r="G4669">
        <v>25</v>
      </c>
      <c r="H4669">
        <v>17.612500000000001</v>
      </c>
      <c r="I4669">
        <v>25</v>
      </c>
      <c r="J4669" t="s">
        <v>20</v>
      </c>
    </row>
    <row r="4670" spans="1:10" x14ac:dyDescent="0.2">
      <c r="A4670">
        <v>14669</v>
      </c>
      <c r="B4670" t="s">
        <v>10</v>
      </c>
      <c r="C4670" t="s">
        <v>6</v>
      </c>
      <c r="D4670">
        <v>9.6</v>
      </c>
      <c r="E4670">
        <v>4</v>
      </c>
      <c r="F4670" t="s">
        <v>15</v>
      </c>
      <c r="G4670">
        <v>28</v>
      </c>
      <c r="H4670">
        <v>12.288</v>
      </c>
      <c r="I4670">
        <v>28.000000000000004</v>
      </c>
      <c r="J4670" t="s">
        <v>20</v>
      </c>
    </row>
    <row r="4671" spans="1:10" x14ac:dyDescent="0.2">
      <c r="A4671">
        <v>14670</v>
      </c>
      <c r="B4671" t="s">
        <v>7</v>
      </c>
      <c r="C4671" t="s">
        <v>6</v>
      </c>
      <c r="D4671">
        <v>5.17</v>
      </c>
      <c r="E4671">
        <v>3</v>
      </c>
      <c r="F4671" t="s">
        <v>14</v>
      </c>
      <c r="G4671">
        <v>12</v>
      </c>
      <c r="H4671">
        <v>5.7904000000000009</v>
      </c>
      <c r="I4671">
        <v>12.000000000000011</v>
      </c>
      <c r="J4671" t="s">
        <v>20</v>
      </c>
    </row>
    <row r="4672" spans="1:10" x14ac:dyDescent="0.2">
      <c r="A4672">
        <v>14671</v>
      </c>
      <c r="B4672" t="s">
        <v>10</v>
      </c>
      <c r="C4672" t="s">
        <v>9</v>
      </c>
      <c r="D4672">
        <v>4.07</v>
      </c>
      <c r="E4672">
        <v>6</v>
      </c>
      <c r="F4672" t="s">
        <v>15</v>
      </c>
      <c r="G4672">
        <v>30</v>
      </c>
      <c r="H4672">
        <v>5.2910000000000004</v>
      </c>
      <c r="I4672">
        <v>30.000000000000004</v>
      </c>
      <c r="J4672" t="s">
        <v>20</v>
      </c>
    </row>
    <row r="4673" spans="1:10" x14ac:dyDescent="0.2">
      <c r="A4673">
        <v>14672</v>
      </c>
      <c r="B4673" t="s">
        <v>8</v>
      </c>
      <c r="C4673" t="s">
        <v>9</v>
      </c>
      <c r="D4673">
        <v>0.63</v>
      </c>
      <c r="E4673">
        <v>5</v>
      </c>
      <c r="F4673" t="s">
        <v>15</v>
      </c>
      <c r="G4673">
        <v>30</v>
      </c>
      <c r="H4673">
        <v>0.81900000000000006</v>
      </c>
      <c r="I4673">
        <v>30.000000000000004</v>
      </c>
      <c r="J4673" t="s">
        <v>20</v>
      </c>
    </row>
    <row r="4674" spans="1:10" x14ac:dyDescent="0.2">
      <c r="A4674">
        <v>14673</v>
      </c>
      <c r="B4674" t="s">
        <v>5</v>
      </c>
      <c r="C4674" t="s">
        <v>6</v>
      </c>
      <c r="D4674">
        <v>3.91</v>
      </c>
      <c r="E4674">
        <v>4</v>
      </c>
      <c r="F4674" t="s">
        <v>15</v>
      </c>
      <c r="G4674">
        <v>28</v>
      </c>
      <c r="H4674">
        <v>5.0048000000000004</v>
      </c>
      <c r="I4674">
        <v>28.000000000000004</v>
      </c>
      <c r="J4674" t="s">
        <v>20</v>
      </c>
    </row>
    <row r="4675" spans="1:10" x14ac:dyDescent="0.2">
      <c r="A4675">
        <v>14674</v>
      </c>
      <c r="B4675" t="s">
        <v>7</v>
      </c>
      <c r="C4675" t="s">
        <v>6</v>
      </c>
      <c r="D4675">
        <v>2.5</v>
      </c>
      <c r="E4675">
        <v>5</v>
      </c>
      <c r="F4675" t="s">
        <v>15</v>
      </c>
      <c r="G4675">
        <v>28</v>
      </c>
      <c r="H4675">
        <v>3.2</v>
      </c>
      <c r="I4675">
        <v>28.000000000000004</v>
      </c>
      <c r="J4675" t="s">
        <v>20</v>
      </c>
    </row>
    <row r="4676" spans="1:10" x14ac:dyDescent="0.2">
      <c r="A4676">
        <v>14675</v>
      </c>
      <c r="B4676" t="s">
        <v>10</v>
      </c>
      <c r="C4676" t="s">
        <v>6</v>
      </c>
      <c r="D4676">
        <v>9.3800000000000008</v>
      </c>
      <c r="E4676">
        <v>7</v>
      </c>
      <c r="F4676" t="s">
        <v>15</v>
      </c>
      <c r="G4676">
        <v>28</v>
      </c>
      <c r="H4676">
        <v>12.006400000000001</v>
      </c>
      <c r="I4676">
        <v>28.000000000000004</v>
      </c>
      <c r="J4676" t="s">
        <v>20</v>
      </c>
    </row>
    <row r="4677" spans="1:10" x14ac:dyDescent="0.2">
      <c r="A4677">
        <v>14676</v>
      </c>
      <c r="B4677" t="s">
        <v>8</v>
      </c>
      <c r="C4677" t="s">
        <v>9</v>
      </c>
      <c r="D4677">
        <v>2.91</v>
      </c>
      <c r="E4677">
        <v>1</v>
      </c>
      <c r="F4677" t="s">
        <v>14</v>
      </c>
      <c r="G4677">
        <v>15</v>
      </c>
      <c r="H4677">
        <v>3.3464999999999998</v>
      </c>
      <c r="I4677">
        <v>14.999999999999991</v>
      </c>
      <c r="J4677" t="s">
        <v>20</v>
      </c>
    </row>
    <row r="4678" spans="1:10" x14ac:dyDescent="0.2">
      <c r="A4678">
        <v>14677</v>
      </c>
      <c r="B4678" t="s">
        <v>5</v>
      </c>
      <c r="C4678" t="s">
        <v>6</v>
      </c>
      <c r="D4678">
        <v>8.17</v>
      </c>
      <c r="E4678">
        <v>1</v>
      </c>
      <c r="F4678" t="s">
        <v>14</v>
      </c>
      <c r="G4678">
        <v>12</v>
      </c>
      <c r="H4678">
        <v>9.1504000000000012</v>
      </c>
      <c r="I4678">
        <v>12.000000000000011</v>
      </c>
      <c r="J4678" t="s">
        <v>20</v>
      </c>
    </row>
    <row r="4679" spans="1:10" x14ac:dyDescent="0.2">
      <c r="A4679">
        <v>14678</v>
      </c>
      <c r="B4679" t="s">
        <v>5</v>
      </c>
      <c r="C4679" t="s">
        <v>6</v>
      </c>
      <c r="D4679">
        <v>9.06</v>
      </c>
      <c r="E4679">
        <v>1</v>
      </c>
      <c r="F4679" t="s">
        <v>14</v>
      </c>
      <c r="G4679">
        <v>12</v>
      </c>
      <c r="H4679">
        <v>10.147200000000002</v>
      </c>
      <c r="I4679">
        <v>12.000000000000011</v>
      </c>
      <c r="J4679" t="s">
        <v>20</v>
      </c>
    </row>
    <row r="4680" spans="1:10" x14ac:dyDescent="0.2">
      <c r="A4680">
        <v>14679</v>
      </c>
      <c r="B4680" t="s">
        <v>7</v>
      </c>
      <c r="C4680" t="s">
        <v>9</v>
      </c>
      <c r="D4680">
        <v>4.82</v>
      </c>
      <c r="E4680">
        <v>2</v>
      </c>
      <c r="F4680" t="s">
        <v>14</v>
      </c>
      <c r="G4680">
        <v>15</v>
      </c>
      <c r="H4680">
        <v>5.5430000000000001</v>
      </c>
      <c r="I4680">
        <v>14.999999999999991</v>
      </c>
      <c r="J4680" t="s">
        <v>20</v>
      </c>
    </row>
    <row r="4681" spans="1:10" x14ac:dyDescent="0.2">
      <c r="A4681">
        <v>14680</v>
      </c>
      <c r="B4681" t="s">
        <v>7</v>
      </c>
      <c r="C4681" t="s">
        <v>11</v>
      </c>
      <c r="D4681">
        <v>1.01</v>
      </c>
      <c r="E4681">
        <v>9</v>
      </c>
      <c r="F4681" t="s">
        <v>16</v>
      </c>
      <c r="G4681">
        <v>50</v>
      </c>
      <c r="H4681">
        <v>1.5150000000000001</v>
      </c>
      <c r="I4681">
        <v>50</v>
      </c>
      <c r="J4681" t="s">
        <v>20</v>
      </c>
    </row>
    <row r="4682" spans="1:10" x14ac:dyDescent="0.2">
      <c r="A4682">
        <v>14681</v>
      </c>
      <c r="B4682" t="s">
        <v>7</v>
      </c>
      <c r="C4682" t="s">
        <v>11</v>
      </c>
      <c r="D4682">
        <v>1.04</v>
      </c>
      <c r="E4682">
        <v>5</v>
      </c>
      <c r="F4682" t="s">
        <v>15</v>
      </c>
      <c r="G4682">
        <v>25</v>
      </c>
      <c r="H4682">
        <v>1.3</v>
      </c>
      <c r="I4682">
        <v>25</v>
      </c>
      <c r="J4682" t="s">
        <v>20</v>
      </c>
    </row>
    <row r="4683" spans="1:10" x14ac:dyDescent="0.2">
      <c r="A4683">
        <v>14682</v>
      </c>
      <c r="B4683" t="s">
        <v>8</v>
      </c>
      <c r="C4683" t="s">
        <v>6</v>
      </c>
      <c r="D4683">
        <v>0.88</v>
      </c>
      <c r="E4683">
        <v>9</v>
      </c>
      <c r="F4683" t="s">
        <v>16</v>
      </c>
      <c r="G4683">
        <v>55</v>
      </c>
      <c r="H4683">
        <v>1.3640000000000001</v>
      </c>
      <c r="I4683">
        <v>55.000000000000007</v>
      </c>
      <c r="J4683" t="s">
        <v>20</v>
      </c>
    </row>
    <row r="4684" spans="1:10" x14ac:dyDescent="0.2">
      <c r="A4684">
        <v>14683</v>
      </c>
      <c r="B4684" t="s">
        <v>8</v>
      </c>
      <c r="C4684" t="s">
        <v>11</v>
      </c>
      <c r="D4684">
        <v>11.22</v>
      </c>
      <c r="E4684">
        <v>5</v>
      </c>
      <c r="F4684" t="s">
        <v>15</v>
      </c>
      <c r="G4684">
        <v>25</v>
      </c>
      <c r="H4684">
        <v>14.025</v>
      </c>
      <c r="I4684">
        <v>25</v>
      </c>
      <c r="J4684" t="s">
        <v>20</v>
      </c>
    </row>
    <row r="4685" spans="1:10" x14ac:dyDescent="0.2">
      <c r="A4685">
        <v>14684</v>
      </c>
      <c r="B4685" t="s">
        <v>7</v>
      </c>
      <c r="C4685" t="s">
        <v>11</v>
      </c>
      <c r="D4685">
        <v>5.1100000000000003</v>
      </c>
      <c r="E4685">
        <v>7</v>
      </c>
      <c r="F4685" t="s">
        <v>15</v>
      </c>
      <c r="G4685">
        <v>25</v>
      </c>
      <c r="H4685">
        <v>6.3875000000000002</v>
      </c>
      <c r="I4685">
        <v>25</v>
      </c>
      <c r="J4685" t="s">
        <v>20</v>
      </c>
    </row>
    <row r="4686" spans="1:10" x14ac:dyDescent="0.2">
      <c r="A4686">
        <v>14685</v>
      </c>
      <c r="B4686" t="s">
        <v>10</v>
      </c>
      <c r="C4686" t="s">
        <v>11</v>
      </c>
      <c r="D4686">
        <v>12.05</v>
      </c>
      <c r="E4686">
        <v>6</v>
      </c>
      <c r="F4686" t="s">
        <v>15</v>
      </c>
      <c r="G4686">
        <v>25</v>
      </c>
      <c r="H4686">
        <v>15.0625</v>
      </c>
      <c r="I4686">
        <v>25</v>
      </c>
      <c r="J4686" t="s">
        <v>20</v>
      </c>
    </row>
    <row r="4687" spans="1:10" x14ac:dyDescent="0.2">
      <c r="A4687">
        <v>14686</v>
      </c>
      <c r="B4687" t="s">
        <v>5</v>
      </c>
      <c r="C4687" t="s">
        <v>11</v>
      </c>
      <c r="D4687">
        <v>6.76</v>
      </c>
      <c r="E4687">
        <v>2</v>
      </c>
      <c r="F4687" t="s">
        <v>14</v>
      </c>
      <c r="G4687">
        <v>10</v>
      </c>
      <c r="H4687">
        <v>7.4359999999999999</v>
      </c>
      <c r="I4687">
        <v>10.000000000000009</v>
      </c>
      <c r="J4687" t="s">
        <v>20</v>
      </c>
    </row>
    <row r="4688" spans="1:10" x14ac:dyDescent="0.2">
      <c r="A4688">
        <v>14687</v>
      </c>
      <c r="B4688" t="s">
        <v>5</v>
      </c>
      <c r="C4688" t="s">
        <v>6</v>
      </c>
      <c r="D4688">
        <v>7.07</v>
      </c>
      <c r="E4688">
        <v>3</v>
      </c>
      <c r="F4688" t="s">
        <v>14</v>
      </c>
      <c r="G4688">
        <v>12</v>
      </c>
      <c r="H4688">
        <v>7.918400000000001</v>
      </c>
      <c r="I4688">
        <v>12.000000000000011</v>
      </c>
      <c r="J4688" t="s">
        <v>20</v>
      </c>
    </row>
    <row r="4689" spans="1:10" x14ac:dyDescent="0.2">
      <c r="A4689">
        <v>14688</v>
      </c>
      <c r="B4689" t="s">
        <v>8</v>
      </c>
      <c r="C4689" t="s">
        <v>11</v>
      </c>
      <c r="D4689">
        <v>7.94</v>
      </c>
      <c r="E4689">
        <v>5</v>
      </c>
      <c r="F4689" t="s">
        <v>15</v>
      </c>
      <c r="G4689">
        <v>25</v>
      </c>
      <c r="H4689">
        <v>9.9250000000000007</v>
      </c>
      <c r="I4689">
        <v>25</v>
      </c>
      <c r="J4689" t="s">
        <v>20</v>
      </c>
    </row>
    <row r="4690" spans="1:10" x14ac:dyDescent="0.2">
      <c r="A4690">
        <v>14689</v>
      </c>
      <c r="B4690" t="s">
        <v>5</v>
      </c>
      <c r="C4690" t="s">
        <v>11</v>
      </c>
      <c r="D4690">
        <v>10.84</v>
      </c>
      <c r="E4690">
        <v>4</v>
      </c>
      <c r="F4690" t="s">
        <v>15</v>
      </c>
      <c r="G4690">
        <v>25</v>
      </c>
      <c r="H4690">
        <v>13.55</v>
      </c>
      <c r="I4690">
        <v>25</v>
      </c>
      <c r="J4690" t="s">
        <v>20</v>
      </c>
    </row>
    <row r="4691" spans="1:10" x14ac:dyDescent="0.2">
      <c r="A4691">
        <v>14690</v>
      </c>
      <c r="B4691" t="s">
        <v>10</v>
      </c>
      <c r="C4691" t="s">
        <v>9</v>
      </c>
      <c r="D4691">
        <v>4.47</v>
      </c>
      <c r="E4691">
        <v>6</v>
      </c>
      <c r="F4691" t="s">
        <v>15</v>
      </c>
      <c r="G4691">
        <v>30</v>
      </c>
      <c r="H4691">
        <v>5.8109999999999999</v>
      </c>
      <c r="I4691">
        <v>30.000000000000004</v>
      </c>
      <c r="J4691" t="s">
        <v>20</v>
      </c>
    </row>
    <row r="4692" spans="1:10" x14ac:dyDescent="0.2">
      <c r="A4692">
        <v>14691</v>
      </c>
      <c r="B4692" t="s">
        <v>5</v>
      </c>
      <c r="C4692" t="s">
        <v>6</v>
      </c>
      <c r="D4692">
        <v>2.2599999999999998</v>
      </c>
      <c r="E4692">
        <v>8</v>
      </c>
      <c r="F4692" t="s">
        <v>16</v>
      </c>
      <c r="G4692">
        <v>55</v>
      </c>
      <c r="H4692">
        <v>3.5029999999999997</v>
      </c>
      <c r="I4692">
        <v>55.000000000000007</v>
      </c>
      <c r="J4692" t="s">
        <v>20</v>
      </c>
    </row>
    <row r="4693" spans="1:10" x14ac:dyDescent="0.2">
      <c r="A4693">
        <v>14692</v>
      </c>
      <c r="B4693" t="s">
        <v>8</v>
      </c>
      <c r="C4693" t="s">
        <v>9</v>
      </c>
      <c r="D4693">
        <v>8.56</v>
      </c>
      <c r="E4693">
        <v>8</v>
      </c>
      <c r="F4693" t="s">
        <v>16</v>
      </c>
      <c r="G4693">
        <v>60</v>
      </c>
      <c r="H4693">
        <v>13.696000000000002</v>
      </c>
      <c r="I4693">
        <v>60.000000000000007</v>
      </c>
      <c r="J4693" t="s">
        <v>20</v>
      </c>
    </row>
    <row r="4694" spans="1:10" x14ac:dyDescent="0.2">
      <c r="A4694">
        <v>14693</v>
      </c>
      <c r="B4694" t="s">
        <v>8</v>
      </c>
      <c r="C4694" t="s">
        <v>9</v>
      </c>
      <c r="D4694">
        <v>5.24</v>
      </c>
      <c r="E4694">
        <v>3</v>
      </c>
      <c r="F4694" t="s">
        <v>14</v>
      </c>
      <c r="G4694">
        <v>15</v>
      </c>
      <c r="H4694">
        <v>6.0259999999999998</v>
      </c>
      <c r="I4694">
        <v>14.999999999999991</v>
      </c>
      <c r="J4694" t="s">
        <v>20</v>
      </c>
    </row>
    <row r="4695" spans="1:10" x14ac:dyDescent="0.2">
      <c r="A4695">
        <v>14694</v>
      </c>
      <c r="B4695" t="s">
        <v>10</v>
      </c>
      <c r="C4695" t="s">
        <v>6</v>
      </c>
      <c r="D4695">
        <v>6.92</v>
      </c>
      <c r="E4695">
        <v>4</v>
      </c>
      <c r="F4695" t="s">
        <v>15</v>
      </c>
      <c r="G4695">
        <v>28</v>
      </c>
      <c r="H4695">
        <v>8.8575999999999997</v>
      </c>
      <c r="I4695">
        <v>28.000000000000004</v>
      </c>
      <c r="J4695" t="s">
        <v>20</v>
      </c>
    </row>
    <row r="4696" spans="1:10" x14ac:dyDescent="0.2">
      <c r="A4696">
        <v>14695</v>
      </c>
      <c r="B4696" t="s">
        <v>10</v>
      </c>
      <c r="C4696" t="s">
        <v>11</v>
      </c>
      <c r="D4696">
        <v>9.8800000000000008</v>
      </c>
      <c r="E4696">
        <v>1</v>
      </c>
      <c r="F4696" t="s">
        <v>14</v>
      </c>
      <c r="G4696">
        <v>10</v>
      </c>
      <c r="H4696">
        <v>10.868000000000002</v>
      </c>
      <c r="I4696">
        <v>10.000000000000009</v>
      </c>
      <c r="J4696" t="s">
        <v>20</v>
      </c>
    </row>
    <row r="4697" spans="1:10" x14ac:dyDescent="0.2">
      <c r="A4697">
        <v>14696</v>
      </c>
      <c r="B4697" t="s">
        <v>5</v>
      </c>
      <c r="C4697" t="s">
        <v>9</v>
      </c>
      <c r="D4697">
        <v>7.66</v>
      </c>
      <c r="E4697">
        <v>2</v>
      </c>
      <c r="F4697" t="s">
        <v>14</v>
      </c>
      <c r="G4697">
        <v>15</v>
      </c>
      <c r="H4697">
        <v>8.8089999999999993</v>
      </c>
      <c r="I4697">
        <v>14.999999999999991</v>
      </c>
      <c r="J4697" t="s">
        <v>20</v>
      </c>
    </row>
    <row r="4698" spans="1:10" x14ac:dyDescent="0.2">
      <c r="A4698">
        <v>14697</v>
      </c>
      <c r="B4698" t="s">
        <v>5</v>
      </c>
      <c r="C4698" t="s">
        <v>6</v>
      </c>
      <c r="D4698">
        <v>9.49</v>
      </c>
      <c r="E4698">
        <v>9</v>
      </c>
      <c r="F4698" t="s">
        <v>16</v>
      </c>
      <c r="G4698">
        <v>55</v>
      </c>
      <c r="H4698">
        <v>14.7095</v>
      </c>
      <c r="I4698">
        <v>55.000000000000007</v>
      </c>
      <c r="J4698" t="s">
        <v>20</v>
      </c>
    </row>
    <row r="4699" spans="1:10" x14ac:dyDescent="0.2">
      <c r="A4699">
        <v>14698</v>
      </c>
      <c r="B4699" t="s">
        <v>8</v>
      </c>
      <c r="C4699" t="s">
        <v>11</v>
      </c>
      <c r="D4699">
        <v>8.39</v>
      </c>
      <c r="E4699">
        <v>10</v>
      </c>
      <c r="F4699" t="s">
        <v>16</v>
      </c>
      <c r="G4699">
        <v>50</v>
      </c>
      <c r="H4699">
        <v>12.585000000000001</v>
      </c>
      <c r="I4699">
        <v>50</v>
      </c>
      <c r="J4699" t="s">
        <v>20</v>
      </c>
    </row>
    <row r="4700" spans="1:10" x14ac:dyDescent="0.2">
      <c r="A4700">
        <v>14699</v>
      </c>
      <c r="B4700" t="s">
        <v>10</v>
      </c>
      <c r="C4700" t="s">
        <v>6</v>
      </c>
      <c r="D4700">
        <v>11.23</v>
      </c>
      <c r="E4700">
        <v>10</v>
      </c>
      <c r="F4700" t="s">
        <v>16</v>
      </c>
      <c r="G4700">
        <v>55</v>
      </c>
      <c r="H4700">
        <v>17.406500000000001</v>
      </c>
      <c r="I4700">
        <v>55.000000000000007</v>
      </c>
      <c r="J4700" t="s">
        <v>20</v>
      </c>
    </row>
    <row r="4701" spans="1:10" x14ac:dyDescent="0.2">
      <c r="A4701">
        <v>14700</v>
      </c>
      <c r="B4701" t="s">
        <v>10</v>
      </c>
      <c r="C4701" t="s">
        <v>9</v>
      </c>
      <c r="D4701">
        <v>10.74</v>
      </c>
      <c r="E4701">
        <v>2</v>
      </c>
      <c r="F4701" t="s">
        <v>14</v>
      </c>
      <c r="G4701">
        <v>15</v>
      </c>
      <c r="H4701">
        <v>12.350999999999999</v>
      </c>
      <c r="I4701">
        <v>14.999999999999991</v>
      </c>
      <c r="J4701" t="s">
        <v>20</v>
      </c>
    </row>
    <row r="4702" spans="1:10" x14ac:dyDescent="0.2">
      <c r="A4702">
        <v>14701</v>
      </c>
      <c r="B4702" t="s">
        <v>10</v>
      </c>
      <c r="C4702" t="s">
        <v>11</v>
      </c>
      <c r="D4702">
        <v>8.25</v>
      </c>
      <c r="E4702">
        <v>6</v>
      </c>
      <c r="F4702" t="s">
        <v>15</v>
      </c>
      <c r="G4702">
        <v>25</v>
      </c>
      <c r="H4702">
        <v>10.3125</v>
      </c>
      <c r="I4702">
        <v>25</v>
      </c>
      <c r="J4702" t="s">
        <v>20</v>
      </c>
    </row>
    <row r="4703" spans="1:10" x14ac:dyDescent="0.2">
      <c r="A4703">
        <v>14702</v>
      </c>
      <c r="B4703" t="s">
        <v>5</v>
      </c>
      <c r="C4703" t="s">
        <v>11</v>
      </c>
      <c r="D4703">
        <v>10.34</v>
      </c>
      <c r="E4703">
        <v>7</v>
      </c>
      <c r="F4703" t="s">
        <v>15</v>
      </c>
      <c r="G4703">
        <v>25</v>
      </c>
      <c r="H4703">
        <v>12.925000000000001</v>
      </c>
      <c r="I4703">
        <v>25</v>
      </c>
      <c r="J4703" t="s">
        <v>20</v>
      </c>
    </row>
    <row r="4704" spans="1:10" x14ac:dyDescent="0.2">
      <c r="A4704">
        <v>14703</v>
      </c>
      <c r="B4704" t="s">
        <v>10</v>
      </c>
      <c r="C4704" t="s">
        <v>6</v>
      </c>
      <c r="D4704">
        <v>13.17</v>
      </c>
      <c r="E4704">
        <v>6</v>
      </c>
      <c r="F4704" t="s">
        <v>15</v>
      </c>
      <c r="G4704">
        <v>28</v>
      </c>
      <c r="H4704">
        <v>16.857600000000001</v>
      </c>
      <c r="I4704">
        <v>28.000000000000004</v>
      </c>
      <c r="J4704" t="s">
        <v>20</v>
      </c>
    </row>
    <row r="4705" spans="1:10" x14ac:dyDescent="0.2">
      <c r="A4705">
        <v>14704</v>
      </c>
      <c r="B4705" t="s">
        <v>8</v>
      </c>
      <c r="C4705" t="s">
        <v>11</v>
      </c>
      <c r="D4705">
        <v>6.77</v>
      </c>
      <c r="E4705">
        <v>8</v>
      </c>
      <c r="F4705" t="s">
        <v>16</v>
      </c>
      <c r="G4705">
        <v>50</v>
      </c>
      <c r="H4705">
        <v>10.154999999999999</v>
      </c>
      <c r="I4705">
        <v>50</v>
      </c>
      <c r="J4705" t="s">
        <v>20</v>
      </c>
    </row>
    <row r="4706" spans="1:10" x14ac:dyDescent="0.2">
      <c r="A4706">
        <v>14705</v>
      </c>
      <c r="B4706" t="s">
        <v>8</v>
      </c>
      <c r="C4706" t="s">
        <v>9</v>
      </c>
      <c r="D4706">
        <v>6.49</v>
      </c>
      <c r="E4706">
        <v>9</v>
      </c>
      <c r="F4706" t="s">
        <v>16</v>
      </c>
      <c r="G4706">
        <v>60</v>
      </c>
      <c r="H4706">
        <v>10.384</v>
      </c>
      <c r="I4706">
        <v>60.000000000000007</v>
      </c>
      <c r="J4706" t="s">
        <v>20</v>
      </c>
    </row>
    <row r="4707" spans="1:10" x14ac:dyDescent="0.2">
      <c r="A4707">
        <v>14706</v>
      </c>
      <c r="B4707" t="s">
        <v>5</v>
      </c>
      <c r="C4707" t="s">
        <v>9</v>
      </c>
      <c r="D4707">
        <v>11.58</v>
      </c>
      <c r="E4707">
        <v>8</v>
      </c>
      <c r="F4707" t="s">
        <v>16</v>
      </c>
      <c r="G4707">
        <v>60</v>
      </c>
      <c r="H4707">
        <v>18.528000000000002</v>
      </c>
      <c r="I4707">
        <v>60.000000000000007</v>
      </c>
      <c r="J4707" t="s">
        <v>20</v>
      </c>
    </row>
    <row r="4708" spans="1:10" x14ac:dyDescent="0.2">
      <c r="A4708">
        <v>14707</v>
      </c>
      <c r="B4708" t="s">
        <v>7</v>
      </c>
      <c r="C4708" t="s">
        <v>9</v>
      </c>
      <c r="D4708">
        <v>8.9499999999999993</v>
      </c>
      <c r="E4708">
        <v>5</v>
      </c>
      <c r="F4708" t="s">
        <v>15</v>
      </c>
      <c r="G4708">
        <v>30</v>
      </c>
      <c r="H4708">
        <v>11.635</v>
      </c>
      <c r="I4708">
        <v>30.000000000000004</v>
      </c>
      <c r="J4708" t="s">
        <v>20</v>
      </c>
    </row>
    <row r="4709" spans="1:10" x14ac:dyDescent="0.2">
      <c r="A4709">
        <v>14708</v>
      </c>
      <c r="B4709" t="s">
        <v>5</v>
      </c>
      <c r="C4709" t="s">
        <v>6</v>
      </c>
      <c r="D4709">
        <v>1.53</v>
      </c>
      <c r="E4709">
        <v>8</v>
      </c>
      <c r="F4709" t="s">
        <v>16</v>
      </c>
      <c r="G4709">
        <v>55</v>
      </c>
      <c r="H4709">
        <v>2.3715000000000002</v>
      </c>
      <c r="I4709">
        <v>55.000000000000007</v>
      </c>
      <c r="J4709" t="s">
        <v>20</v>
      </c>
    </row>
    <row r="4710" spans="1:10" x14ac:dyDescent="0.2">
      <c r="A4710">
        <v>14709</v>
      </c>
      <c r="B4710" t="s">
        <v>7</v>
      </c>
      <c r="C4710" t="s">
        <v>11</v>
      </c>
      <c r="D4710">
        <v>13.44</v>
      </c>
      <c r="E4710">
        <v>10</v>
      </c>
      <c r="F4710" t="s">
        <v>16</v>
      </c>
      <c r="G4710">
        <v>50</v>
      </c>
      <c r="H4710">
        <v>20.16</v>
      </c>
      <c r="I4710">
        <v>50</v>
      </c>
      <c r="J4710" t="s">
        <v>20</v>
      </c>
    </row>
    <row r="4711" spans="1:10" x14ac:dyDescent="0.2">
      <c r="A4711">
        <v>14710</v>
      </c>
      <c r="B4711" t="s">
        <v>10</v>
      </c>
      <c r="C4711" t="s">
        <v>11</v>
      </c>
      <c r="D4711">
        <v>0.95</v>
      </c>
      <c r="E4711">
        <v>10</v>
      </c>
      <c r="F4711" t="s">
        <v>16</v>
      </c>
      <c r="G4711">
        <v>50</v>
      </c>
      <c r="H4711">
        <v>1.4249999999999998</v>
      </c>
      <c r="I4711">
        <v>49.999999999999979</v>
      </c>
      <c r="J4711" t="s">
        <v>20</v>
      </c>
    </row>
    <row r="4712" spans="1:10" x14ac:dyDescent="0.2">
      <c r="A4712">
        <v>14711</v>
      </c>
      <c r="B4712" t="s">
        <v>5</v>
      </c>
      <c r="C4712" t="s">
        <v>11</v>
      </c>
      <c r="D4712">
        <v>11.35</v>
      </c>
      <c r="E4712">
        <v>9</v>
      </c>
      <c r="F4712" t="s">
        <v>16</v>
      </c>
      <c r="G4712">
        <v>50</v>
      </c>
      <c r="H4712">
        <v>17.024999999999999</v>
      </c>
      <c r="I4712">
        <v>50</v>
      </c>
      <c r="J4712" t="s">
        <v>20</v>
      </c>
    </row>
    <row r="4713" spans="1:10" x14ac:dyDescent="0.2">
      <c r="A4713">
        <v>14712</v>
      </c>
      <c r="B4713" t="s">
        <v>8</v>
      </c>
      <c r="C4713" t="s">
        <v>9</v>
      </c>
      <c r="D4713">
        <v>11.5</v>
      </c>
      <c r="E4713">
        <v>8</v>
      </c>
      <c r="F4713" t="s">
        <v>16</v>
      </c>
      <c r="G4713">
        <v>60</v>
      </c>
      <c r="H4713">
        <v>18.400000000000002</v>
      </c>
      <c r="I4713">
        <v>60.000000000000007</v>
      </c>
      <c r="J4713" t="s">
        <v>20</v>
      </c>
    </row>
    <row r="4714" spans="1:10" x14ac:dyDescent="0.2">
      <c r="A4714">
        <v>14713</v>
      </c>
      <c r="B4714" t="s">
        <v>10</v>
      </c>
      <c r="C4714" t="s">
        <v>11</v>
      </c>
      <c r="D4714">
        <v>14.32</v>
      </c>
      <c r="E4714">
        <v>2</v>
      </c>
      <c r="F4714" t="s">
        <v>14</v>
      </c>
      <c r="G4714">
        <v>10</v>
      </c>
      <c r="H4714">
        <v>15.752000000000002</v>
      </c>
      <c r="I4714">
        <v>10.000000000000009</v>
      </c>
      <c r="J4714" t="s">
        <v>20</v>
      </c>
    </row>
    <row r="4715" spans="1:10" x14ac:dyDescent="0.2">
      <c r="A4715">
        <v>14714</v>
      </c>
      <c r="B4715" t="s">
        <v>8</v>
      </c>
      <c r="C4715" t="s">
        <v>9</v>
      </c>
      <c r="D4715">
        <v>1.28</v>
      </c>
      <c r="E4715">
        <v>2</v>
      </c>
      <c r="F4715" t="s">
        <v>14</v>
      </c>
      <c r="G4715">
        <v>15</v>
      </c>
      <c r="H4715">
        <v>1.472</v>
      </c>
      <c r="I4715">
        <v>14.999999999999991</v>
      </c>
      <c r="J4715" t="s">
        <v>20</v>
      </c>
    </row>
    <row r="4716" spans="1:10" x14ac:dyDescent="0.2">
      <c r="A4716">
        <v>14715</v>
      </c>
      <c r="B4716" t="s">
        <v>10</v>
      </c>
      <c r="C4716" t="s">
        <v>11</v>
      </c>
      <c r="D4716">
        <v>9.15</v>
      </c>
      <c r="E4716">
        <v>3</v>
      </c>
      <c r="F4716" t="s">
        <v>14</v>
      </c>
      <c r="G4716">
        <v>10</v>
      </c>
      <c r="H4716">
        <v>10.065000000000001</v>
      </c>
      <c r="I4716">
        <v>10.000000000000009</v>
      </c>
      <c r="J4716" t="s">
        <v>20</v>
      </c>
    </row>
    <row r="4717" spans="1:10" x14ac:dyDescent="0.2">
      <c r="A4717">
        <v>14716</v>
      </c>
      <c r="B4717" t="s">
        <v>5</v>
      </c>
      <c r="C4717" t="s">
        <v>9</v>
      </c>
      <c r="D4717">
        <v>6.7</v>
      </c>
      <c r="E4717">
        <v>7</v>
      </c>
      <c r="F4717" t="s">
        <v>15</v>
      </c>
      <c r="G4717">
        <v>30</v>
      </c>
      <c r="H4717">
        <v>8.7100000000000009</v>
      </c>
      <c r="I4717">
        <v>30.000000000000004</v>
      </c>
      <c r="J4717" t="s">
        <v>20</v>
      </c>
    </row>
    <row r="4718" spans="1:10" x14ac:dyDescent="0.2">
      <c r="A4718">
        <v>14717</v>
      </c>
      <c r="B4718" t="s">
        <v>7</v>
      </c>
      <c r="C4718" t="s">
        <v>11</v>
      </c>
      <c r="D4718">
        <v>5.29</v>
      </c>
      <c r="E4718">
        <v>9</v>
      </c>
      <c r="F4718" t="s">
        <v>16</v>
      </c>
      <c r="G4718">
        <v>50</v>
      </c>
      <c r="H4718">
        <v>7.9350000000000005</v>
      </c>
      <c r="I4718">
        <v>50</v>
      </c>
      <c r="J4718" t="s">
        <v>20</v>
      </c>
    </row>
    <row r="4719" spans="1:10" x14ac:dyDescent="0.2">
      <c r="A4719">
        <v>14718</v>
      </c>
      <c r="B4719" t="s">
        <v>10</v>
      </c>
      <c r="C4719" t="s">
        <v>6</v>
      </c>
      <c r="D4719">
        <v>1.81</v>
      </c>
      <c r="E4719">
        <v>8</v>
      </c>
      <c r="F4719" t="s">
        <v>16</v>
      </c>
      <c r="G4719">
        <v>55</v>
      </c>
      <c r="H4719">
        <v>2.8055000000000003</v>
      </c>
      <c r="I4719">
        <v>55.000000000000007</v>
      </c>
      <c r="J4719" t="s">
        <v>20</v>
      </c>
    </row>
    <row r="4720" spans="1:10" x14ac:dyDescent="0.2">
      <c r="A4720">
        <v>14719</v>
      </c>
      <c r="B4720" t="s">
        <v>7</v>
      </c>
      <c r="C4720" t="s">
        <v>6</v>
      </c>
      <c r="D4720">
        <v>8.66</v>
      </c>
      <c r="E4720">
        <v>9</v>
      </c>
      <c r="F4720" t="s">
        <v>16</v>
      </c>
      <c r="G4720">
        <v>55</v>
      </c>
      <c r="H4720">
        <v>13.423</v>
      </c>
      <c r="I4720">
        <v>55.000000000000007</v>
      </c>
      <c r="J4720" t="s">
        <v>20</v>
      </c>
    </row>
    <row r="4721" spans="1:10" x14ac:dyDescent="0.2">
      <c r="A4721">
        <v>14720</v>
      </c>
      <c r="B4721" t="s">
        <v>10</v>
      </c>
      <c r="C4721" t="s">
        <v>9</v>
      </c>
      <c r="D4721">
        <v>7.45</v>
      </c>
      <c r="E4721">
        <v>6</v>
      </c>
      <c r="F4721" t="s">
        <v>15</v>
      </c>
      <c r="G4721">
        <v>30</v>
      </c>
      <c r="H4721">
        <v>9.6850000000000005</v>
      </c>
      <c r="I4721">
        <v>30.000000000000004</v>
      </c>
      <c r="J4721" t="s">
        <v>20</v>
      </c>
    </row>
    <row r="4722" spans="1:10" x14ac:dyDescent="0.2">
      <c r="A4722">
        <v>14721</v>
      </c>
      <c r="B4722" t="s">
        <v>8</v>
      </c>
      <c r="C4722" t="s">
        <v>9</v>
      </c>
      <c r="D4722">
        <v>2.02</v>
      </c>
      <c r="E4722">
        <v>1</v>
      </c>
      <c r="F4722" t="s">
        <v>14</v>
      </c>
      <c r="G4722">
        <v>15</v>
      </c>
      <c r="H4722">
        <v>2.323</v>
      </c>
      <c r="I4722">
        <v>14.999999999999991</v>
      </c>
      <c r="J4722" t="s">
        <v>20</v>
      </c>
    </row>
    <row r="4723" spans="1:10" x14ac:dyDescent="0.2">
      <c r="A4723">
        <v>14722</v>
      </c>
      <c r="B4723" t="s">
        <v>8</v>
      </c>
      <c r="C4723" t="s">
        <v>11</v>
      </c>
      <c r="D4723">
        <v>9.3800000000000008</v>
      </c>
      <c r="E4723">
        <v>4</v>
      </c>
      <c r="F4723" t="s">
        <v>15</v>
      </c>
      <c r="G4723">
        <v>25</v>
      </c>
      <c r="H4723">
        <v>11.725000000000001</v>
      </c>
      <c r="I4723">
        <v>25</v>
      </c>
      <c r="J4723" t="s">
        <v>20</v>
      </c>
    </row>
    <row r="4724" spans="1:10" x14ac:dyDescent="0.2">
      <c r="A4724">
        <v>14723</v>
      </c>
      <c r="B4724" t="s">
        <v>10</v>
      </c>
      <c r="C4724" t="s">
        <v>11</v>
      </c>
      <c r="D4724">
        <v>11.2</v>
      </c>
      <c r="E4724">
        <v>6</v>
      </c>
      <c r="F4724" t="s">
        <v>15</v>
      </c>
      <c r="G4724">
        <v>25</v>
      </c>
      <c r="H4724">
        <v>14</v>
      </c>
      <c r="I4724">
        <v>25</v>
      </c>
      <c r="J4724" t="s">
        <v>20</v>
      </c>
    </row>
    <row r="4725" spans="1:10" x14ac:dyDescent="0.2">
      <c r="A4725">
        <v>14724</v>
      </c>
      <c r="B4725" t="s">
        <v>7</v>
      </c>
      <c r="C4725" t="s">
        <v>6</v>
      </c>
      <c r="D4725">
        <v>11.63</v>
      </c>
      <c r="E4725">
        <v>6</v>
      </c>
      <c r="F4725" t="s">
        <v>15</v>
      </c>
      <c r="G4725">
        <v>28</v>
      </c>
      <c r="H4725">
        <v>14.886400000000002</v>
      </c>
      <c r="I4725">
        <v>28.000000000000004</v>
      </c>
      <c r="J4725" t="s">
        <v>20</v>
      </c>
    </row>
    <row r="4726" spans="1:10" x14ac:dyDescent="0.2">
      <c r="A4726">
        <v>14725</v>
      </c>
      <c r="B4726" t="s">
        <v>5</v>
      </c>
      <c r="C4726" t="s">
        <v>11</v>
      </c>
      <c r="D4726">
        <v>13.63</v>
      </c>
      <c r="E4726">
        <v>8</v>
      </c>
      <c r="F4726" t="s">
        <v>16</v>
      </c>
      <c r="G4726">
        <v>50</v>
      </c>
      <c r="H4726">
        <v>20.445</v>
      </c>
      <c r="I4726">
        <v>50</v>
      </c>
      <c r="J4726" t="s">
        <v>20</v>
      </c>
    </row>
    <row r="4727" spans="1:10" x14ac:dyDescent="0.2">
      <c r="A4727">
        <v>14726</v>
      </c>
      <c r="B4727" t="s">
        <v>5</v>
      </c>
      <c r="C4727" t="s">
        <v>9</v>
      </c>
      <c r="D4727">
        <v>6.44</v>
      </c>
      <c r="E4727">
        <v>1</v>
      </c>
      <c r="F4727" t="s">
        <v>14</v>
      </c>
      <c r="G4727">
        <v>15</v>
      </c>
      <c r="H4727">
        <v>7.4059999999999997</v>
      </c>
      <c r="I4727">
        <v>14.999999999999991</v>
      </c>
      <c r="J4727" t="s">
        <v>20</v>
      </c>
    </row>
    <row r="4728" spans="1:10" x14ac:dyDescent="0.2">
      <c r="A4728">
        <v>14727</v>
      </c>
      <c r="B4728" t="s">
        <v>8</v>
      </c>
      <c r="C4728" t="s">
        <v>9</v>
      </c>
      <c r="D4728">
        <v>14.32</v>
      </c>
      <c r="E4728">
        <v>2</v>
      </c>
      <c r="F4728" t="s">
        <v>14</v>
      </c>
      <c r="G4728">
        <v>15</v>
      </c>
      <c r="H4728">
        <v>16.468</v>
      </c>
      <c r="I4728">
        <v>14.999999999999991</v>
      </c>
      <c r="J4728" t="s">
        <v>20</v>
      </c>
    </row>
    <row r="4729" spans="1:10" x14ac:dyDescent="0.2">
      <c r="A4729">
        <v>14728</v>
      </c>
      <c r="B4729" t="s">
        <v>5</v>
      </c>
      <c r="C4729" t="s">
        <v>9</v>
      </c>
      <c r="D4729">
        <v>13.05</v>
      </c>
      <c r="E4729">
        <v>2</v>
      </c>
      <c r="F4729" t="s">
        <v>14</v>
      </c>
      <c r="G4729">
        <v>15</v>
      </c>
      <c r="H4729">
        <v>15.0075</v>
      </c>
      <c r="I4729">
        <v>14.999999999999991</v>
      </c>
      <c r="J4729" t="s">
        <v>20</v>
      </c>
    </row>
    <row r="4730" spans="1:10" x14ac:dyDescent="0.2">
      <c r="A4730">
        <v>14729</v>
      </c>
      <c r="B4730" t="s">
        <v>8</v>
      </c>
      <c r="C4730" t="s">
        <v>9</v>
      </c>
      <c r="D4730">
        <v>4.8</v>
      </c>
      <c r="E4730">
        <v>6</v>
      </c>
      <c r="F4730" t="s">
        <v>15</v>
      </c>
      <c r="G4730">
        <v>30</v>
      </c>
      <c r="H4730">
        <v>6.24</v>
      </c>
      <c r="I4730">
        <v>30.000000000000004</v>
      </c>
      <c r="J4730" t="s">
        <v>20</v>
      </c>
    </row>
    <row r="4731" spans="1:10" x14ac:dyDescent="0.2">
      <c r="A4731">
        <v>14730</v>
      </c>
      <c r="B4731" t="s">
        <v>5</v>
      </c>
      <c r="C4731" t="s">
        <v>9</v>
      </c>
      <c r="D4731">
        <v>2.81</v>
      </c>
      <c r="E4731">
        <v>7</v>
      </c>
      <c r="F4731" t="s">
        <v>15</v>
      </c>
      <c r="G4731">
        <v>30</v>
      </c>
      <c r="H4731">
        <v>3.653</v>
      </c>
      <c r="I4731">
        <v>30.000000000000004</v>
      </c>
      <c r="J4731" t="s">
        <v>20</v>
      </c>
    </row>
    <row r="4732" spans="1:10" x14ac:dyDescent="0.2">
      <c r="A4732">
        <v>14731</v>
      </c>
      <c r="B4732" t="s">
        <v>10</v>
      </c>
      <c r="C4732" t="s">
        <v>6</v>
      </c>
      <c r="D4732">
        <v>6.81</v>
      </c>
      <c r="E4732">
        <v>2</v>
      </c>
      <c r="F4732" t="s">
        <v>14</v>
      </c>
      <c r="G4732">
        <v>12</v>
      </c>
      <c r="H4732">
        <v>7.6272000000000002</v>
      </c>
      <c r="I4732">
        <v>12.000000000000011</v>
      </c>
      <c r="J4732" t="s">
        <v>20</v>
      </c>
    </row>
    <row r="4733" spans="1:10" x14ac:dyDescent="0.2">
      <c r="A4733">
        <v>14732</v>
      </c>
      <c r="B4733" t="s">
        <v>8</v>
      </c>
      <c r="C4733" t="s">
        <v>6</v>
      </c>
      <c r="D4733">
        <v>6.33</v>
      </c>
      <c r="E4733">
        <v>5</v>
      </c>
      <c r="F4733" t="s">
        <v>15</v>
      </c>
      <c r="G4733">
        <v>28</v>
      </c>
      <c r="H4733">
        <v>8.1023999999999994</v>
      </c>
      <c r="I4733">
        <v>27.999999999999979</v>
      </c>
      <c r="J4733" t="s">
        <v>20</v>
      </c>
    </row>
    <row r="4734" spans="1:10" x14ac:dyDescent="0.2">
      <c r="A4734">
        <v>14733</v>
      </c>
      <c r="B4734" t="s">
        <v>8</v>
      </c>
      <c r="C4734" t="s">
        <v>9</v>
      </c>
      <c r="D4734">
        <v>8.85</v>
      </c>
      <c r="E4734">
        <v>6</v>
      </c>
      <c r="F4734" t="s">
        <v>15</v>
      </c>
      <c r="G4734">
        <v>30</v>
      </c>
      <c r="H4734">
        <v>11.505000000000001</v>
      </c>
      <c r="I4734">
        <v>30.000000000000004</v>
      </c>
      <c r="J4734" t="s">
        <v>20</v>
      </c>
    </row>
    <row r="4735" spans="1:10" x14ac:dyDescent="0.2">
      <c r="A4735">
        <v>14734</v>
      </c>
      <c r="B4735" t="s">
        <v>10</v>
      </c>
      <c r="C4735" t="s">
        <v>11</v>
      </c>
      <c r="D4735">
        <v>8.9600000000000009</v>
      </c>
      <c r="E4735">
        <v>4</v>
      </c>
      <c r="F4735" t="s">
        <v>15</v>
      </c>
      <c r="G4735">
        <v>25</v>
      </c>
      <c r="H4735">
        <v>11.200000000000001</v>
      </c>
      <c r="I4735">
        <v>25</v>
      </c>
      <c r="J4735" t="s">
        <v>20</v>
      </c>
    </row>
    <row r="4736" spans="1:10" x14ac:dyDescent="0.2">
      <c r="A4736">
        <v>14735</v>
      </c>
      <c r="B4736" t="s">
        <v>8</v>
      </c>
      <c r="C4736" t="s">
        <v>9</v>
      </c>
      <c r="D4736">
        <v>11.37</v>
      </c>
      <c r="E4736">
        <v>1</v>
      </c>
      <c r="F4736" t="s">
        <v>14</v>
      </c>
      <c r="G4736">
        <v>15</v>
      </c>
      <c r="H4736">
        <v>13.075499999999998</v>
      </c>
      <c r="I4736">
        <v>14.999999999999991</v>
      </c>
      <c r="J4736" t="s">
        <v>20</v>
      </c>
    </row>
    <row r="4737" spans="1:10" x14ac:dyDescent="0.2">
      <c r="A4737">
        <v>14736</v>
      </c>
      <c r="B4737" t="s">
        <v>5</v>
      </c>
      <c r="C4737" t="s">
        <v>6</v>
      </c>
      <c r="D4737">
        <v>7.89</v>
      </c>
      <c r="E4737">
        <v>3</v>
      </c>
      <c r="F4737" t="s">
        <v>14</v>
      </c>
      <c r="G4737">
        <v>12</v>
      </c>
      <c r="H4737">
        <v>8.8368000000000002</v>
      </c>
      <c r="I4737">
        <v>12.000000000000011</v>
      </c>
      <c r="J4737" t="s">
        <v>20</v>
      </c>
    </row>
    <row r="4738" spans="1:10" x14ac:dyDescent="0.2">
      <c r="A4738">
        <v>14737</v>
      </c>
      <c r="B4738" t="s">
        <v>5</v>
      </c>
      <c r="C4738" t="s">
        <v>9</v>
      </c>
      <c r="D4738">
        <v>2.02</v>
      </c>
      <c r="E4738">
        <v>10</v>
      </c>
      <c r="F4738" t="s">
        <v>16</v>
      </c>
      <c r="G4738">
        <v>60</v>
      </c>
      <c r="H4738">
        <v>3.2320000000000002</v>
      </c>
      <c r="I4738">
        <v>60.000000000000007</v>
      </c>
      <c r="J4738" t="s">
        <v>20</v>
      </c>
    </row>
    <row r="4739" spans="1:10" x14ac:dyDescent="0.2">
      <c r="A4739">
        <v>14738</v>
      </c>
      <c r="B4739" t="s">
        <v>8</v>
      </c>
      <c r="C4739" t="s">
        <v>6</v>
      </c>
      <c r="D4739">
        <v>12.95</v>
      </c>
      <c r="E4739">
        <v>9</v>
      </c>
      <c r="F4739" t="s">
        <v>16</v>
      </c>
      <c r="G4739">
        <v>55</v>
      </c>
      <c r="H4739">
        <v>20.072499999999998</v>
      </c>
      <c r="I4739">
        <v>54.999999999999986</v>
      </c>
      <c r="J4739" t="s">
        <v>20</v>
      </c>
    </row>
    <row r="4740" spans="1:10" x14ac:dyDescent="0.2">
      <c r="A4740">
        <v>14739</v>
      </c>
      <c r="B4740" t="s">
        <v>5</v>
      </c>
      <c r="C4740" t="s">
        <v>6</v>
      </c>
      <c r="D4740">
        <v>4.99</v>
      </c>
      <c r="E4740">
        <v>6</v>
      </c>
      <c r="F4740" t="s">
        <v>15</v>
      </c>
      <c r="G4740">
        <v>28</v>
      </c>
      <c r="H4740">
        <v>6.3872</v>
      </c>
      <c r="I4740">
        <v>28.000000000000004</v>
      </c>
      <c r="J4740" t="s">
        <v>20</v>
      </c>
    </row>
    <row r="4741" spans="1:10" x14ac:dyDescent="0.2">
      <c r="A4741">
        <v>14740</v>
      </c>
      <c r="B4741" t="s">
        <v>7</v>
      </c>
      <c r="C4741" t="s">
        <v>9</v>
      </c>
      <c r="D4741">
        <v>14.58</v>
      </c>
      <c r="E4741">
        <v>2</v>
      </c>
      <c r="F4741" t="s">
        <v>14</v>
      </c>
      <c r="G4741">
        <v>15</v>
      </c>
      <c r="H4741">
        <v>16.766999999999999</v>
      </c>
      <c r="I4741">
        <v>14.999999999999991</v>
      </c>
      <c r="J4741" t="s">
        <v>20</v>
      </c>
    </row>
    <row r="4742" spans="1:10" x14ac:dyDescent="0.2">
      <c r="A4742">
        <v>14741</v>
      </c>
      <c r="B4742" t="s">
        <v>8</v>
      </c>
      <c r="C4742" t="s">
        <v>9</v>
      </c>
      <c r="D4742">
        <v>2.21</v>
      </c>
      <c r="E4742">
        <v>9</v>
      </c>
      <c r="F4742" t="s">
        <v>16</v>
      </c>
      <c r="G4742">
        <v>60</v>
      </c>
      <c r="H4742">
        <v>3.536</v>
      </c>
      <c r="I4742">
        <v>60.000000000000007</v>
      </c>
      <c r="J4742" t="s">
        <v>20</v>
      </c>
    </row>
    <row r="4743" spans="1:10" x14ac:dyDescent="0.2">
      <c r="A4743">
        <v>14742</v>
      </c>
      <c r="B4743" t="s">
        <v>10</v>
      </c>
      <c r="C4743" t="s">
        <v>11</v>
      </c>
      <c r="D4743">
        <v>14.39</v>
      </c>
      <c r="E4743">
        <v>4</v>
      </c>
      <c r="F4743" t="s">
        <v>15</v>
      </c>
      <c r="G4743">
        <v>25</v>
      </c>
      <c r="H4743">
        <v>17.987500000000001</v>
      </c>
      <c r="I4743">
        <v>25</v>
      </c>
      <c r="J4743" t="s">
        <v>20</v>
      </c>
    </row>
    <row r="4744" spans="1:10" x14ac:dyDescent="0.2">
      <c r="A4744">
        <v>14743</v>
      </c>
      <c r="B4744" t="s">
        <v>7</v>
      </c>
      <c r="C4744" t="s">
        <v>6</v>
      </c>
      <c r="D4744">
        <v>1.82</v>
      </c>
      <c r="E4744">
        <v>8</v>
      </c>
      <c r="F4744" t="s">
        <v>16</v>
      </c>
      <c r="G4744">
        <v>55</v>
      </c>
      <c r="H4744">
        <v>2.8210000000000002</v>
      </c>
      <c r="I4744">
        <v>55.000000000000007</v>
      </c>
      <c r="J4744" t="s">
        <v>20</v>
      </c>
    </row>
    <row r="4745" spans="1:10" x14ac:dyDescent="0.2">
      <c r="A4745">
        <v>14744</v>
      </c>
      <c r="B4745" t="s">
        <v>8</v>
      </c>
      <c r="C4745" t="s">
        <v>11</v>
      </c>
      <c r="D4745">
        <v>3.85</v>
      </c>
      <c r="E4745">
        <v>10</v>
      </c>
      <c r="F4745" t="s">
        <v>16</v>
      </c>
      <c r="G4745">
        <v>50</v>
      </c>
      <c r="H4745">
        <v>5.7750000000000004</v>
      </c>
      <c r="I4745">
        <v>50</v>
      </c>
      <c r="J4745" t="s">
        <v>20</v>
      </c>
    </row>
    <row r="4746" spans="1:10" x14ac:dyDescent="0.2">
      <c r="A4746">
        <v>14745</v>
      </c>
      <c r="B4746" t="s">
        <v>10</v>
      </c>
      <c r="C4746" t="s">
        <v>9</v>
      </c>
      <c r="D4746">
        <v>1.18</v>
      </c>
      <c r="E4746">
        <v>7</v>
      </c>
      <c r="F4746" t="s">
        <v>15</v>
      </c>
      <c r="G4746">
        <v>30</v>
      </c>
      <c r="H4746">
        <v>1.534</v>
      </c>
      <c r="I4746">
        <v>30.000000000000004</v>
      </c>
      <c r="J4746" t="s">
        <v>20</v>
      </c>
    </row>
    <row r="4747" spans="1:10" x14ac:dyDescent="0.2">
      <c r="A4747">
        <v>14746</v>
      </c>
      <c r="B4747" t="s">
        <v>5</v>
      </c>
      <c r="C4747" t="s">
        <v>6</v>
      </c>
      <c r="D4747">
        <v>10.72</v>
      </c>
      <c r="E4747">
        <v>3</v>
      </c>
      <c r="F4747" t="s">
        <v>14</v>
      </c>
      <c r="G4747">
        <v>12</v>
      </c>
      <c r="H4747">
        <v>12.006400000000001</v>
      </c>
      <c r="I4747">
        <v>12.000000000000011</v>
      </c>
      <c r="J4747" t="s">
        <v>20</v>
      </c>
    </row>
    <row r="4748" spans="1:10" x14ac:dyDescent="0.2">
      <c r="A4748">
        <v>14747</v>
      </c>
      <c r="B4748" t="s">
        <v>10</v>
      </c>
      <c r="C4748" t="s">
        <v>11</v>
      </c>
      <c r="D4748">
        <v>12.83</v>
      </c>
      <c r="E4748">
        <v>8</v>
      </c>
      <c r="F4748" t="s">
        <v>16</v>
      </c>
      <c r="G4748">
        <v>50</v>
      </c>
      <c r="H4748">
        <v>19.245000000000001</v>
      </c>
      <c r="I4748">
        <v>50</v>
      </c>
      <c r="J4748" t="s">
        <v>20</v>
      </c>
    </row>
    <row r="4749" spans="1:10" x14ac:dyDescent="0.2">
      <c r="A4749">
        <v>14748</v>
      </c>
      <c r="B4749" t="s">
        <v>7</v>
      </c>
      <c r="C4749" t="s">
        <v>11</v>
      </c>
      <c r="D4749">
        <v>6.79</v>
      </c>
      <c r="E4749">
        <v>4</v>
      </c>
      <c r="F4749" t="s">
        <v>15</v>
      </c>
      <c r="G4749">
        <v>25</v>
      </c>
      <c r="H4749">
        <v>8.4875000000000007</v>
      </c>
      <c r="I4749">
        <v>25</v>
      </c>
      <c r="J4749" t="s">
        <v>20</v>
      </c>
    </row>
    <row r="4750" spans="1:10" x14ac:dyDescent="0.2">
      <c r="A4750">
        <v>14749</v>
      </c>
      <c r="B4750" t="s">
        <v>5</v>
      </c>
      <c r="C4750" t="s">
        <v>11</v>
      </c>
      <c r="D4750">
        <v>13.96</v>
      </c>
      <c r="E4750">
        <v>2</v>
      </c>
      <c r="F4750" t="s">
        <v>14</v>
      </c>
      <c r="G4750">
        <v>10</v>
      </c>
      <c r="H4750">
        <v>15.356000000000002</v>
      </c>
      <c r="I4750">
        <v>10.000000000000009</v>
      </c>
      <c r="J4750" t="s">
        <v>20</v>
      </c>
    </row>
    <row r="4751" spans="1:10" x14ac:dyDescent="0.2">
      <c r="A4751">
        <v>14750</v>
      </c>
      <c r="B4751" t="s">
        <v>8</v>
      </c>
      <c r="C4751" t="s">
        <v>9</v>
      </c>
      <c r="D4751">
        <v>9.06</v>
      </c>
      <c r="E4751">
        <v>5</v>
      </c>
      <c r="F4751" t="s">
        <v>15</v>
      </c>
      <c r="G4751">
        <v>30</v>
      </c>
      <c r="H4751">
        <v>11.778</v>
      </c>
      <c r="I4751">
        <v>30.000000000000004</v>
      </c>
      <c r="J4751" t="s">
        <v>20</v>
      </c>
    </row>
    <row r="4752" spans="1:10" x14ac:dyDescent="0.2">
      <c r="A4752">
        <v>14751</v>
      </c>
      <c r="B4752" t="s">
        <v>5</v>
      </c>
      <c r="C4752" t="s">
        <v>9</v>
      </c>
      <c r="D4752">
        <v>9.64</v>
      </c>
      <c r="E4752">
        <v>1</v>
      </c>
      <c r="F4752" t="s">
        <v>14</v>
      </c>
      <c r="G4752">
        <v>15</v>
      </c>
      <c r="H4752">
        <v>11.086</v>
      </c>
      <c r="I4752">
        <v>14.999999999999991</v>
      </c>
      <c r="J4752" t="s">
        <v>20</v>
      </c>
    </row>
    <row r="4753" spans="1:10" x14ac:dyDescent="0.2">
      <c r="A4753">
        <v>14752</v>
      </c>
      <c r="B4753" t="s">
        <v>8</v>
      </c>
      <c r="C4753" t="s">
        <v>9</v>
      </c>
      <c r="D4753">
        <v>12.76</v>
      </c>
      <c r="E4753">
        <v>8</v>
      </c>
      <c r="F4753" t="s">
        <v>16</v>
      </c>
      <c r="G4753">
        <v>60</v>
      </c>
      <c r="H4753">
        <v>20.416</v>
      </c>
      <c r="I4753">
        <v>60.000000000000007</v>
      </c>
      <c r="J4753" t="s">
        <v>20</v>
      </c>
    </row>
    <row r="4754" spans="1:10" x14ac:dyDescent="0.2">
      <c r="A4754">
        <v>14753</v>
      </c>
      <c r="B4754" t="s">
        <v>8</v>
      </c>
      <c r="C4754" t="s">
        <v>6</v>
      </c>
      <c r="D4754">
        <v>4.8</v>
      </c>
      <c r="E4754">
        <v>8</v>
      </c>
      <c r="F4754" t="s">
        <v>16</v>
      </c>
      <c r="G4754">
        <v>55</v>
      </c>
      <c r="H4754">
        <v>7.4399999999999995</v>
      </c>
      <c r="I4754">
        <v>55.000000000000007</v>
      </c>
      <c r="J4754" t="s">
        <v>20</v>
      </c>
    </row>
    <row r="4755" spans="1:10" x14ac:dyDescent="0.2">
      <c r="A4755">
        <v>14754</v>
      </c>
      <c r="B4755" t="s">
        <v>10</v>
      </c>
      <c r="C4755" t="s">
        <v>9</v>
      </c>
      <c r="D4755">
        <v>5.64</v>
      </c>
      <c r="E4755">
        <v>3</v>
      </c>
      <c r="F4755" t="s">
        <v>14</v>
      </c>
      <c r="G4755">
        <v>15</v>
      </c>
      <c r="H4755">
        <v>6.4859999999999989</v>
      </c>
      <c r="I4755">
        <v>14.999999999999991</v>
      </c>
      <c r="J4755" t="s">
        <v>20</v>
      </c>
    </row>
    <row r="4756" spans="1:10" x14ac:dyDescent="0.2">
      <c r="A4756">
        <v>14755</v>
      </c>
      <c r="B4756" t="s">
        <v>10</v>
      </c>
      <c r="C4756" t="s">
        <v>6</v>
      </c>
      <c r="D4756">
        <v>13.64</v>
      </c>
      <c r="E4756">
        <v>1</v>
      </c>
      <c r="F4756" t="s">
        <v>14</v>
      </c>
      <c r="G4756">
        <v>12</v>
      </c>
      <c r="H4756">
        <v>15.276800000000001</v>
      </c>
      <c r="I4756">
        <v>12.000000000000011</v>
      </c>
      <c r="J4756" t="s">
        <v>20</v>
      </c>
    </row>
    <row r="4757" spans="1:10" x14ac:dyDescent="0.2">
      <c r="A4757">
        <v>14756</v>
      </c>
      <c r="B4757" t="s">
        <v>10</v>
      </c>
      <c r="C4757" t="s">
        <v>11</v>
      </c>
      <c r="D4757">
        <v>13.56</v>
      </c>
      <c r="E4757">
        <v>4</v>
      </c>
      <c r="F4757" t="s">
        <v>15</v>
      </c>
      <c r="G4757">
        <v>25</v>
      </c>
      <c r="H4757">
        <v>16.95</v>
      </c>
      <c r="I4757">
        <v>25</v>
      </c>
      <c r="J4757" t="s">
        <v>20</v>
      </c>
    </row>
    <row r="4758" spans="1:10" x14ac:dyDescent="0.2">
      <c r="A4758">
        <v>14757</v>
      </c>
      <c r="B4758" t="s">
        <v>7</v>
      </c>
      <c r="C4758" t="s">
        <v>11</v>
      </c>
      <c r="D4758">
        <v>14.66</v>
      </c>
      <c r="E4758">
        <v>9</v>
      </c>
      <c r="F4758" t="s">
        <v>16</v>
      </c>
      <c r="G4758">
        <v>50</v>
      </c>
      <c r="H4758">
        <v>21.990000000000002</v>
      </c>
      <c r="I4758">
        <v>50.000000000000021</v>
      </c>
      <c r="J4758" t="s">
        <v>20</v>
      </c>
    </row>
    <row r="4759" spans="1:10" x14ac:dyDescent="0.2">
      <c r="A4759">
        <v>14758</v>
      </c>
      <c r="B4759" t="s">
        <v>7</v>
      </c>
      <c r="C4759" t="s">
        <v>9</v>
      </c>
      <c r="D4759">
        <v>13.58</v>
      </c>
      <c r="E4759">
        <v>9</v>
      </c>
      <c r="F4759" t="s">
        <v>16</v>
      </c>
      <c r="G4759">
        <v>60</v>
      </c>
      <c r="H4759">
        <v>21.728000000000002</v>
      </c>
      <c r="I4759">
        <v>60.000000000000007</v>
      </c>
      <c r="J4759" t="s">
        <v>20</v>
      </c>
    </row>
    <row r="4760" spans="1:10" x14ac:dyDescent="0.2">
      <c r="A4760">
        <v>14759</v>
      </c>
      <c r="B4760" t="s">
        <v>10</v>
      </c>
      <c r="C4760" t="s">
        <v>11</v>
      </c>
      <c r="D4760">
        <v>2.35</v>
      </c>
      <c r="E4760">
        <v>1</v>
      </c>
      <c r="F4760" t="s">
        <v>14</v>
      </c>
      <c r="G4760">
        <v>10</v>
      </c>
      <c r="H4760">
        <v>2.5850000000000004</v>
      </c>
      <c r="I4760">
        <v>10.000000000000009</v>
      </c>
      <c r="J4760" t="s">
        <v>20</v>
      </c>
    </row>
    <row r="4761" spans="1:10" x14ac:dyDescent="0.2">
      <c r="A4761">
        <v>14760</v>
      </c>
      <c r="B4761" t="s">
        <v>7</v>
      </c>
      <c r="C4761" t="s">
        <v>9</v>
      </c>
      <c r="D4761">
        <v>12.44</v>
      </c>
      <c r="E4761">
        <v>7</v>
      </c>
      <c r="F4761" t="s">
        <v>15</v>
      </c>
      <c r="G4761">
        <v>30</v>
      </c>
      <c r="H4761">
        <v>16.172000000000001</v>
      </c>
      <c r="I4761">
        <v>30.000000000000004</v>
      </c>
      <c r="J4761" t="s">
        <v>20</v>
      </c>
    </row>
    <row r="4762" spans="1:10" x14ac:dyDescent="0.2">
      <c r="A4762">
        <v>14761</v>
      </c>
      <c r="B4762" t="s">
        <v>5</v>
      </c>
      <c r="C4762" t="s">
        <v>6</v>
      </c>
      <c r="D4762">
        <v>6.44</v>
      </c>
      <c r="E4762">
        <v>6</v>
      </c>
      <c r="F4762" t="s">
        <v>15</v>
      </c>
      <c r="G4762">
        <v>28</v>
      </c>
      <c r="H4762">
        <v>8.2431999999999999</v>
      </c>
      <c r="I4762">
        <v>27.999999999999979</v>
      </c>
      <c r="J4762" t="s">
        <v>20</v>
      </c>
    </row>
    <row r="4763" spans="1:10" x14ac:dyDescent="0.2">
      <c r="A4763">
        <v>14762</v>
      </c>
      <c r="B4763" t="s">
        <v>5</v>
      </c>
      <c r="C4763" t="s">
        <v>11</v>
      </c>
      <c r="D4763">
        <v>14.87</v>
      </c>
      <c r="E4763">
        <v>7</v>
      </c>
      <c r="F4763" t="s">
        <v>15</v>
      </c>
      <c r="G4763">
        <v>25</v>
      </c>
      <c r="H4763">
        <v>18.587499999999999</v>
      </c>
      <c r="I4763">
        <v>25</v>
      </c>
      <c r="J4763" t="s">
        <v>20</v>
      </c>
    </row>
    <row r="4764" spans="1:10" x14ac:dyDescent="0.2">
      <c r="A4764">
        <v>14763</v>
      </c>
      <c r="B4764" t="s">
        <v>7</v>
      </c>
      <c r="C4764" t="s">
        <v>9</v>
      </c>
      <c r="D4764">
        <v>7.35</v>
      </c>
      <c r="E4764">
        <v>7</v>
      </c>
      <c r="F4764" t="s">
        <v>15</v>
      </c>
      <c r="G4764">
        <v>30</v>
      </c>
      <c r="H4764">
        <v>9.5549999999999997</v>
      </c>
      <c r="I4764">
        <v>30.000000000000004</v>
      </c>
      <c r="J4764" t="s">
        <v>20</v>
      </c>
    </row>
    <row r="4765" spans="1:10" x14ac:dyDescent="0.2">
      <c r="A4765">
        <v>14764</v>
      </c>
      <c r="B4765" t="s">
        <v>7</v>
      </c>
      <c r="C4765" t="s">
        <v>11</v>
      </c>
      <c r="D4765">
        <v>8.5299999999999994</v>
      </c>
      <c r="E4765">
        <v>8</v>
      </c>
      <c r="F4765" t="s">
        <v>16</v>
      </c>
      <c r="G4765">
        <v>50</v>
      </c>
      <c r="H4765">
        <v>12.794999999999998</v>
      </c>
      <c r="I4765">
        <v>50</v>
      </c>
      <c r="J4765" t="s">
        <v>20</v>
      </c>
    </row>
    <row r="4766" spans="1:10" x14ac:dyDescent="0.2">
      <c r="A4766">
        <v>14765</v>
      </c>
      <c r="B4766" t="s">
        <v>5</v>
      </c>
      <c r="C4766" t="s">
        <v>11</v>
      </c>
      <c r="D4766">
        <v>8.18</v>
      </c>
      <c r="E4766">
        <v>8</v>
      </c>
      <c r="F4766" t="s">
        <v>16</v>
      </c>
      <c r="G4766">
        <v>50</v>
      </c>
      <c r="H4766">
        <v>12.27</v>
      </c>
      <c r="I4766">
        <v>50</v>
      </c>
      <c r="J4766" t="s">
        <v>20</v>
      </c>
    </row>
    <row r="4767" spans="1:10" x14ac:dyDescent="0.2">
      <c r="A4767">
        <v>14766</v>
      </c>
      <c r="B4767" t="s">
        <v>8</v>
      </c>
      <c r="C4767" t="s">
        <v>9</v>
      </c>
      <c r="D4767">
        <v>5.17</v>
      </c>
      <c r="E4767">
        <v>10</v>
      </c>
      <c r="F4767" t="s">
        <v>16</v>
      </c>
      <c r="G4767">
        <v>60</v>
      </c>
      <c r="H4767">
        <v>8.2720000000000002</v>
      </c>
      <c r="I4767">
        <v>60.000000000000007</v>
      </c>
      <c r="J4767" t="s">
        <v>20</v>
      </c>
    </row>
    <row r="4768" spans="1:10" x14ac:dyDescent="0.2">
      <c r="A4768">
        <v>14767</v>
      </c>
      <c r="B4768" t="s">
        <v>5</v>
      </c>
      <c r="C4768" t="s">
        <v>11</v>
      </c>
      <c r="D4768">
        <v>1.59</v>
      </c>
      <c r="E4768">
        <v>2</v>
      </c>
      <c r="F4768" t="s">
        <v>14</v>
      </c>
      <c r="G4768">
        <v>10</v>
      </c>
      <c r="H4768">
        <v>1.7490000000000003</v>
      </c>
      <c r="I4768">
        <v>10.000000000000009</v>
      </c>
      <c r="J4768" t="s">
        <v>20</v>
      </c>
    </row>
    <row r="4769" spans="1:10" x14ac:dyDescent="0.2">
      <c r="A4769">
        <v>14768</v>
      </c>
      <c r="B4769" t="s">
        <v>5</v>
      </c>
      <c r="C4769" t="s">
        <v>11</v>
      </c>
      <c r="D4769">
        <v>13.49</v>
      </c>
      <c r="E4769">
        <v>4</v>
      </c>
      <c r="F4769" t="s">
        <v>15</v>
      </c>
      <c r="G4769">
        <v>25</v>
      </c>
      <c r="H4769">
        <v>16.862500000000001</v>
      </c>
      <c r="I4769">
        <v>25</v>
      </c>
      <c r="J4769" t="s">
        <v>20</v>
      </c>
    </row>
    <row r="4770" spans="1:10" x14ac:dyDescent="0.2">
      <c r="A4770">
        <v>14769</v>
      </c>
      <c r="B4770" t="s">
        <v>7</v>
      </c>
      <c r="C4770" t="s">
        <v>11</v>
      </c>
      <c r="D4770">
        <v>12.14</v>
      </c>
      <c r="E4770">
        <v>4</v>
      </c>
      <c r="F4770" t="s">
        <v>15</v>
      </c>
      <c r="G4770">
        <v>25</v>
      </c>
      <c r="H4770">
        <v>15.175000000000001</v>
      </c>
      <c r="I4770">
        <v>25</v>
      </c>
      <c r="J4770" t="s">
        <v>20</v>
      </c>
    </row>
    <row r="4771" spans="1:10" x14ac:dyDescent="0.2">
      <c r="A4771">
        <v>14770</v>
      </c>
      <c r="B4771" t="s">
        <v>5</v>
      </c>
      <c r="C4771" t="s">
        <v>11</v>
      </c>
      <c r="D4771">
        <v>2.52</v>
      </c>
      <c r="E4771">
        <v>10</v>
      </c>
      <c r="F4771" t="s">
        <v>16</v>
      </c>
      <c r="G4771">
        <v>50</v>
      </c>
      <c r="H4771">
        <v>3.7800000000000002</v>
      </c>
      <c r="I4771">
        <v>50</v>
      </c>
      <c r="J4771" t="s">
        <v>20</v>
      </c>
    </row>
    <row r="4772" spans="1:10" x14ac:dyDescent="0.2">
      <c r="A4772">
        <v>14771</v>
      </c>
      <c r="B4772" t="s">
        <v>7</v>
      </c>
      <c r="C4772" t="s">
        <v>6</v>
      </c>
      <c r="D4772">
        <v>11.76</v>
      </c>
      <c r="E4772">
        <v>8</v>
      </c>
      <c r="F4772" t="s">
        <v>16</v>
      </c>
      <c r="G4772">
        <v>55</v>
      </c>
      <c r="H4772">
        <v>18.228000000000002</v>
      </c>
      <c r="I4772">
        <v>55.000000000000028</v>
      </c>
      <c r="J4772" t="s">
        <v>20</v>
      </c>
    </row>
    <row r="4773" spans="1:10" x14ac:dyDescent="0.2">
      <c r="A4773">
        <v>14772</v>
      </c>
      <c r="B4773" t="s">
        <v>7</v>
      </c>
      <c r="C4773" t="s">
        <v>11</v>
      </c>
      <c r="D4773">
        <v>9.57</v>
      </c>
      <c r="E4773">
        <v>3</v>
      </c>
      <c r="F4773" t="s">
        <v>14</v>
      </c>
      <c r="G4773">
        <v>10</v>
      </c>
      <c r="H4773">
        <v>10.527000000000001</v>
      </c>
      <c r="I4773">
        <v>10.000000000000009</v>
      </c>
      <c r="J4773" t="s">
        <v>20</v>
      </c>
    </row>
    <row r="4774" spans="1:10" x14ac:dyDescent="0.2">
      <c r="A4774">
        <v>14773</v>
      </c>
      <c r="B4774" t="s">
        <v>10</v>
      </c>
      <c r="C4774" t="s">
        <v>11</v>
      </c>
      <c r="D4774">
        <v>6.43</v>
      </c>
      <c r="E4774">
        <v>3</v>
      </c>
      <c r="F4774" t="s">
        <v>14</v>
      </c>
      <c r="G4774">
        <v>10</v>
      </c>
      <c r="H4774">
        <v>7.0730000000000004</v>
      </c>
      <c r="I4774">
        <v>10.000000000000009</v>
      </c>
      <c r="J4774" t="s">
        <v>20</v>
      </c>
    </row>
    <row r="4775" spans="1:10" x14ac:dyDescent="0.2">
      <c r="A4775">
        <v>14774</v>
      </c>
      <c r="B4775" t="s">
        <v>5</v>
      </c>
      <c r="C4775" t="s">
        <v>9</v>
      </c>
      <c r="D4775">
        <v>4.18</v>
      </c>
      <c r="E4775">
        <v>2</v>
      </c>
      <c r="F4775" t="s">
        <v>14</v>
      </c>
      <c r="G4775">
        <v>15</v>
      </c>
      <c r="H4775">
        <v>4.8069999999999995</v>
      </c>
      <c r="I4775">
        <v>14.999999999999991</v>
      </c>
      <c r="J4775" t="s">
        <v>20</v>
      </c>
    </row>
    <row r="4776" spans="1:10" x14ac:dyDescent="0.2">
      <c r="A4776">
        <v>14775</v>
      </c>
      <c r="B4776" t="s">
        <v>8</v>
      </c>
      <c r="C4776" t="s">
        <v>6</v>
      </c>
      <c r="D4776">
        <v>12.97</v>
      </c>
      <c r="E4776">
        <v>1</v>
      </c>
      <c r="F4776" t="s">
        <v>14</v>
      </c>
      <c r="G4776">
        <v>12</v>
      </c>
      <c r="H4776">
        <v>14.526400000000002</v>
      </c>
      <c r="I4776">
        <v>12.000000000000011</v>
      </c>
      <c r="J4776" t="s">
        <v>20</v>
      </c>
    </row>
    <row r="4777" spans="1:10" x14ac:dyDescent="0.2">
      <c r="A4777">
        <v>14776</v>
      </c>
      <c r="B4777" t="s">
        <v>10</v>
      </c>
      <c r="C4777" t="s">
        <v>9</v>
      </c>
      <c r="D4777">
        <v>10.65</v>
      </c>
      <c r="E4777">
        <v>8</v>
      </c>
      <c r="F4777" t="s">
        <v>16</v>
      </c>
      <c r="G4777">
        <v>60</v>
      </c>
      <c r="H4777">
        <v>17.040000000000003</v>
      </c>
      <c r="I4777">
        <v>60.000000000000028</v>
      </c>
      <c r="J4777" t="s">
        <v>20</v>
      </c>
    </row>
    <row r="4778" spans="1:10" x14ac:dyDescent="0.2">
      <c r="A4778">
        <v>14777</v>
      </c>
      <c r="B4778" t="s">
        <v>7</v>
      </c>
      <c r="C4778" t="s">
        <v>9</v>
      </c>
      <c r="D4778">
        <v>8.44</v>
      </c>
      <c r="E4778">
        <v>9</v>
      </c>
      <c r="F4778" t="s">
        <v>16</v>
      </c>
      <c r="G4778">
        <v>60</v>
      </c>
      <c r="H4778">
        <v>13.504</v>
      </c>
      <c r="I4778">
        <v>60.000000000000007</v>
      </c>
      <c r="J4778" t="s">
        <v>20</v>
      </c>
    </row>
    <row r="4779" spans="1:10" x14ac:dyDescent="0.2">
      <c r="A4779">
        <v>14778</v>
      </c>
      <c r="B4779" t="s">
        <v>7</v>
      </c>
      <c r="C4779" t="s">
        <v>9</v>
      </c>
      <c r="D4779">
        <v>9.34</v>
      </c>
      <c r="E4779">
        <v>9</v>
      </c>
      <c r="F4779" t="s">
        <v>16</v>
      </c>
      <c r="G4779">
        <v>60</v>
      </c>
      <c r="H4779">
        <v>14.944000000000001</v>
      </c>
      <c r="I4779">
        <v>60.000000000000007</v>
      </c>
      <c r="J4779" t="s">
        <v>20</v>
      </c>
    </row>
    <row r="4780" spans="1:10" x14ac:dyDescent="0.2">
      <c r="A4780">
        <v>14779</v>
      </c>
      <c r="B4780" t="s">
        <v>8</v>
      </c>
      <c r="C4780" t="s">
        <v>6</v>
      </c>
      <c r="D4780">
        <v>1.82</v>
      </c>
      <c r="E4780">
        <v>8</v>
      </c>
      <c r="F4780" t="s">
        <v>16</v>
      </c>
      <c r="G4780">
        <v>55</v>
      </c>
      <c r="H4780">
        <v>2.8210000000000002</v>
      </c>
      <c r="I4780">
        <v>55.000000000000007</v>
      </c>
      <c r="J4780" t="s">
        <v>20</v>
      </c>
    </row>
    <row r="4781" spans="1:10" x14ac:dyDescent="0.2">
      <c r="A4781">
        <v>14780</v>
      </c>
      <c r="B4781" t="s">
        <v>7</v>
      </c>
      <c r="C4781" t="s">
        <v>9</v>
      </c>
      <c r="D4781">
        <v>7.37</v>
      </c>
      <c r="E4781">
        <v>5</v>
      </c>
      <c r="F4781" t="s">
        <v>15</v>
      </c>
      <c r="G4781">
        <v>30</v>
      </c>
      <c r="H4781">
        <v>9.5810000000000013</v>
      </c>
      <c r="I4781">
        <v>30.000000000000028</v>
      </c>
      <c r="J4781" t="s">
        <v>20</v>
      </c>
    </row>
    <row r="4782" spans="1:10" x14ac:dyDescent="0.2">
      <c r="A4782">
        <v>14781</v>
      </c>
      <c r="B4782" t="s">
        <v>5</v>
      </c>
      <c r="C4782" t="s">
        <v>9</v>
      </c>
      <c r="D4782">
        <v>3.31</v>
      </c>
      <c r="E4782">
        <v>1</v>
      </c>
      <c r="F4782" t="s">
        <v>14</v>
      </c>
      <c r="G4782">
        <v>15</v>
      </c>
      <c r="H4782">
        <v>3.8064999999999998</v>
      </c>
      <c r="I4782">
        <v>14.999999999999991</v>
      </c>
      <c r="J4782" t="s">
        <v>20</v>
      </c>
    </row>
    <row r="4783" spans="1:10" x14ac:dyDescent="0.2">
      <c r="A4783">
        <v>14782</v>
      </c>
      <c r="B4783" t="s">
        <v>10</v>
      </c>
      <c r="C4783" t="s">
        <v>9</v>
      </c>
      <c r="D4783">
        <v>3.52</v>
      </c>
      <c r="E4783">
        <v>9</v>
      </c>
      <c r="F4783" t="s">
        <v>16</v>
      </c>
      <c r="G4783">
        <v>60</v>
      </c>
      <c r="H4783">
        <v>5.6320000000000006</v>
      </c>
      <c r="I4783">
        <v>60.000000000000007</v>
      </c>
      <c r="J4783" t="s">
        <v>20</v>
      </c>
    </row>
    <row r="4784" spans="1:10" x14ac:dyDescent="0.2">
      <c r="A4784">
        <v>14783</v>
      </c>
      <c r="B4784" t="s">
        <v>7</v>
      </c>
      <c r="C4784" t="s">
        <v>11</v>
      </c>
      <c r="D4784">
        <v>10.09</v>
      </c>
      <c r="E4784">
        <v>6</v>
      </c>
      <c r="F4784" t="s">
        <v>15</v>
      </c>
      <c r="G4784">
        <v>25</v>
      </c>
      <c r="H4784">
        <v>12.612500000000001</v>
      </c>
      <c r="I4784">
        <v>25</v>
      </c>
      <c r="J4784" t="s">
        <v>20</v>
      </c>
    </row>
    <row r="4785" spans="1:10" x14ac:dyDescent="0.2">
      <c r="A4785">
        <v>14784</v>
      </c>
      <c r="B4785" t="s">
        <v>7</v>
      </c>
      <c r="C4785" t="s">
        <v>9</v>
      </c>
      <c r="D4785">
        <v>13.71</v>
      </c>
      <c r="E4785">
        <v>7</v>
      </c>
      <c r="F4785" t="s">
        <v>15</v>
      </c>
      <c r="G4785">
        <v>30</v>
      </c>
      <c r="H4785">
        <v>17.823</v>
      </c>
      <c r="I4785">
        <v>30.000000000000004</v>
      </c>
      <c r="J4785" t="s">
        <v>20</v>
      </c>
    </row>
    <row r="4786" spans="1:10" x14ac:dyDescent="0.2">
      <c r="A4786">
        <v>14785</v>
      </c>
      <c r="B4786" t="s">
        <v>8</v>
      </c>
      <c r="C4786" t="s">
        <v>6</v>
      </c>
      <c r="D4786">
        <v>6.35</v>
      </c>
      <c r="E4786">
        <v>8</v>
      </c>
      <c r="F4786" t="s">
        <v>16</v>
      </c>
      <c r="G4786">
        <v>55</v>
      </c>
      <c r="H4786">
        <v>9.8424999999999994</v>
      </c>
      <c r="I4786">
        <v>55.000000000000007</v>
      </c>
      <c r="J4786" t="s">
        <v>20</v>
      </c>
    </row>
    <row r="4787" spans="1:10" x14ac:dyDescent="0.2">
      <c r="A4787">
        <v>14786</v>
      </c>
      <c r="B4787" t="s">
        <v>5</v>
      </c>
      <c r="C4787" t="s">
        <v>6</v>
      </c>
      <c r="D4787">
        <v>3.51</v>
      </c>
      <c r="E4787">
        <v>5</v>
      </c>
      <c r="F4787" t="s">
        <v>15</v>
      </c>
      <c r="G4787">
        <v>28</v>
      </c>
      <c r="H4787">
        <v>4.4927999999999999</v>
      </c>
      <c r="I4787">
        <v>28.000000000000004</v>
      </c>
      <c r="J4787" t="s">
        <v>20</v>
      </c>
    </row>
    <row r="4788" spans="1:10" x14ac:dyDescent="0.2">
      <c r="A4788">
        <v>14787</v>
      </c>
      <c r="B4788" t="s">
        <v>7</v>
      </c>
      <c r="C4788" t="s">
        <v>11</v>
      </c>
      <c r="D4788">
        <v>9.91</v>
      </c>
      <c r="E4788">
        <v>6</v>
      </c>
      <c r="F4788" t="s">
        <v>15</v>
      </c>
      <c r="G4788">
        <v>25</v>
      </c>
      <c r="H4788">
        <v>12.387499999999999</v>
      </c>
      <c r="I4788">
        <v>25</v>
      </c>
      <c r="J4788" t="s">
        <v>20</v>
      </c>
    </row>
    <row r="4789" spans="1:10" x14ac:dyDescent="0.2">
      <c r="A4789">
        <v>14788</v>
      </c>
      <c r="B4789" t="s">
        <v>8</v>
      </c>
      <c r="C4789" t="s">
        <v>6</v>
      </c>
      <c r="D4789">
        <v>13.13</v>
      </c>
      <c r="E4789">
        <v>7</v>
      </c>
      <c r="F4789" t="s">
        <v>15</v>
      </c>
      <c r="G4789">
        <v>28</v>
      </c>
      <c r="H4789">
        <v>16.8064</v>
      </c>
      <c r="I4789">
        <v>28.000000000000004</v>
      </c>
      <c r="J4789" t="s">
        <v>20</v>
      </c>
    </row>
    <row r="4790" spans="1:10" x14ac:dyDescent="0.2">
      <c r="A4790">
        <v>14789</v>
      </c>
      <c r="B4790" t="s">
        <v>7</v>
      </c>
      <c r="C4790" t="s">
        <v>6</v>
      </c>
      <c r="D4790">
        <v>11.35</v>
      </c>
      <c r="E4790">
        <v>7</v>
      </c>
      <c r="F4790" t="s">
        <v>15</v>
      </c>
      <c r="G4790">
        <v>28</v>
      </c>
      <c r="H4790">
        <v>14.528</v>
      </c>
      <c r="I4790">
        <v>28.000000000000004</v>
      </c>
      <c r="J4790" t="s">
        <v>20</v>
      </c>
    </row>
    <row r="4791" spans="1:10" x14ac:dyDescent="0.2">
      <c r="A4791">
        <v>14790</v>
      </c>
      <c r="B4791" t="s">
        <v>8</v>
      </c>
      <c r="C4791" t="s">
        <v>11</v>
      </c>
      <c r="D4791">
        <v>13.1</v>
      </c>
      <c r="E4791">
        <v>2</v>
      </c>
      <c r="F4791" t="s">
        <v>14</v>
      </c>
      <c r="G4791">
        <v>10</v>
      </c>
      <c r="H4791">
        <v>14.41</v>
      </c>
      <c r="I4791">
        <v>10.000000000000009</v>
      </c>
      <c r="J4791" t="s">
        <v>20</v>
      </c>
    </row>
    <row r="4792" spans="1:10" x14ac:dyDescent="0.2">
      <c r="A4792">
        <v>14791</v>
      </c>
      <c r="B4792" t="s">
        <v>8</v>
      </c>
      <c r="C4792" t="s">
        <v>9</v>
      </c>
      <c r="D4792">
        <v>8.2799999999999994</v>
      </c>
      <c r="E4792">
        <v>1</v>
      </c>
      <c r="F4792" t="s">
        <v>14</v>
      </c>
      <c r="G4792">
        <v>15</v>
      </c>
      <c r="H4792">
        <v>9.5219999999999985</v>
      </c>
      <c r="I4792">
        <v>14.999999999999991</v>
      </c>
      <c r="J4792" t="s">
        <v>20</v>
      </c>
    </row>
    <row r="4793" spans="1:10" x14ac:dyDescent="0.2">
      <c r="A4793">
        <v>14792</v>
      </c>
      <c r="B4793" t="s">
        <v>5</v>
      </c>
      <c r="C4793" t="s">
        <v>11</v>
      </c>
      <c r="D4793">
        <v>11.4</v>
      </c>
      <c r="E4793">
        <v>8</v>
      </c>
      <c r="F4793" t="s">
        <v>16</v>
      </c>
      <c r="G4793">
        <v>50</v>
      </c>
      <c r="H4793">
        <v>17.100000000000001</v>
      </c>
      <c r="I4793">
        <v>50</v>
      </c>
      <c r="J4793" t="s">
        <v>20</v>
      </c>
    </row>
    <row r="4794" spans="1:10" x14ac:dyDescent="0.2">
      <c r="A4794">
        <v>14793</v>
      </c>
      <c r="B4794" t="s">
        <v>7</v>
      </c>
      <c r="C4794" t="s">
        <v>9</v>
      </c>
      <c r="D4794">
        <v>2.5299999999999998</v>
      </c>
      <c r="E4794">
        <v>5</v>
      </c>
      <c r="F4794" t="s">
        <v>15</v>
      </c>
      <c r="G4794">
        <v>30</v>
      </c>
      <c r="H4794">
        <v>3.2889999999999997</v>
      </c>
      <c r="I4794">
        <v>30.000000000000004</v>
      </c>
      <c r="J4794" t="s">
        <v>20</v>
      </c>
    </row>
    <row r="4795" spans="1:10" x14ac:dyDescent="0.2">
      <c r="A4795">
        <v>14794</v>
      </c>
      <c r="B4795" t="s">
        <v>5</v>
      </c>
      <c r="C4795" t="s">
        <v>9</v>
      </c>
      <c r="D4795">
        <v>5.55</v>
      </c>
      <c r="E4795">
        <v>10</v>
      </c>
      <c r="F4795" t="s">
        <v>16</v>
      </c>
      <c r="G4795">
        <v>60</v>
      </c>
      <c r="H4795">
        <v>8.8800000000000008</v>
      </c>
      <c r="I4795">
        <v>60.000000000000007</v>
      </c>
      <c r="J4795" t="s">
        <v>20</v>
      </c>
    </row>
    <row r="4796" spans="1:10" x14ac:dyDescent="0.2">
      <c r="A4796">
        <v>14795</v>
      </c>
      <c r="B4796" t="s">
        <v>8</v>
      </c>
      <c r="C4796" t="s">
        <v>6</v>
      </c>
      <c r="D4796">
        <v>6.15</v>
      </c>
      <c r="E4796">
        <v>2</v>
      </c>
      <c r="F4796" t="s">
        <v>14</v>
      </c>
      <c r="G4796">
        <v>12</v>
      </c>
      <c r="H4796">
        <v>6.8880000000000008</v>
      </c>
      <c r="I4796">
        <v>12.000000000000011</v>
      </c>
      <c r="J4796" t="s">
        <v>20</v>
      </c>
    </row>
    <row r="4797" spans="1:10" x14ac:dyDescent="0.2">
      <c r="A4797">
        <v>14796</v>
      </c>
      <c r="B4797" t="s">
        <v>10</v>
      </c>
      <c r="C4797" t="s">
        <v>11</v>
      </c>
      <c r="D4797">
        <v>7.91</v>
      </c>
      <c r="E4797">
        <v>3</v>
      </c>
      <c r="F4797" t="s">
        <v>14</v>
      </c>
      <c r="G4797">
        <v>10</v>
      </c>
      <c r="H4797">
        <v>8.7010000000000005</v>
      </c>
      <c r="I4797">
        <v>10.000000000000009</v>
      </c>
      <c r="J4797" t="s">
        <v>20</v>
      </c>
    </row>
    <row r="4798" spans="1:10" x14ac:dyDescent="0.2">
      <c r="A4798">
        <v>14797</v>
      </c>
      <c r="B4798" t="s">
        <v>7</v>
      </c>
      <c r="C4798" t="s">
        <v>6</v>
      </c>
      <c r="D4798">
        <v>13.97</v>
      </c>
      <c r="E4798">
        <v>6</v>
      </c>
      <c r="F4798" t="s">
        <v>15</v>
      </c>
      <c r="G4798">
        <v>28</v>
      </c>
      <c r="H4798">
        <v>17.881600000000002</v>
      </c>
      <c r="I4798">
        <v>28.000000000000004</v>
      </c>
      <c r="J4798" t="s">
        <v>20</v>
      </c>
    </row>
    <row r="4799" spans="1:10" x14ac:dyDescent="0.2">
      <c r="A4799">
        <v>14798</v>
      </c>
      <c r="B4799" t="s">
        <v>10</v>
      </c>
      <c r="C4799" t="s">
        <v>6</v>
      </c>
      <c r="D4799">
        <v>13.18</v>
      </c>
      <c r="E4799">
        <v>10</v>
      </c>
      <c r="F4799" t="s">
        <v>16</v>
      </c>
      <c r="G4799">
        <v>55</v>
      </c>
      <c r="H4799">
        <v>20.428999999999998</v>
      </c>
      <c r="I4799">
        <v>54.999999999999986</v>
      </c>
      <c r="J4799" t="s">
        <v>20</v>
      </c>
    </row>
    <row r="4800" spans="1:10" x14ac:dyDescent="0.2">
      <c r="A4800">
        <v>14799</v>
      </c>
      <c r="B4800" t="s">
        <v>7</v>
      </c>
      <c r="C4800" t="s">
        <v>9</v>
      </c>
      <c r="D4800">
        <v>2.4500000000000002</v>
      </c>
      <c r="E4800">
        <v>6</v>
      </c>
      <c r="F4800" t="s">
        <v>15</v>
      </c>
      <c r="G4800">
        <v>30</v>
      </c>
      <c r="H4800">
        <v>3.1850000000000005</v>
      </c>
      <c r="I4800">
        <v>30.000000000000004</v>
      </c>
      <c r="J4800" t="s">
        <v>20</v>
      </c>
    </row>
    <row r="4801" spans="1:10" x14ac:dyDescent="0.2">
      <c r="A4801">
        <v>14800</v>
      </c>
      <c r="B4801" t="s">
        <v>5</v>
      </c>
      <c r="C4801" t="s">
        <v>6</v>
      </c>
      <c r="D4801">
        <v>3.01</v>
      </c>
      <c r="E4801">
        <v>8</v>
      </c>
      <c r="F4801" t="s">
        <v>16</v>
      </c>
      <c r="G4801">
        <v>55</v>
      </c>
      <c r="H4801">
        <v>4.6654999999999998</v>
      </c>
      <c r="I4801">
        <v>55.000000000000007</v>
      </c>
      <c r="J4801" t="s">
        <v>20</v>
      </c>
    </row>
    <row r="4802" spans="1:10" x14ac:dyDescent="0.2">
      <c r="A4802">
        <v>14801</v>
      </c>
      <c r="B4802" t="s">
        <v>5</v>
      </c>
      <c r="C4802" t="s">
        <v>11</v>
      </c>
      <c r="D4802">
        <v>5.69</v>
      </c>
      <c r="E4802">
        <v>5</v>
      </c>
      <c r="F4802" t="s">
        <v>15</v>
      </c>
      <c r="G4802">
        <v>25</v>
      </c>
      <c r="H4802">
        <v>7.1125000000000007</v>
      </c>
      <c r="I4802">
        <v>25</v>
      </c>
      <c r="J4802" t="s">
        <v>20</v>
      </c>
    </row>
    <row r="4803" spans="1:10" x14ac:dyDescent="0.2">
      <c r="A4803">
        <v>14802</v>
      </c>
      <c r="B4803" t="s">
        <v>5</v>
      </c>
      <c r="C4803" t="s">
        <v>6</v>
      </c>
      <c r="D4803">
        <v>4.72</v>
      </c>
      <c r="E4803">
        <v>5</v>
      </c>
      <c r="F4803" t="s">
        <v>15</v>
      </c>
      <c r="G4803">
        <v>28</v>
      </c>
      <c r="H4803">
        <v>6.0415999999999999</v>
      </c>
      <c r="I4803">
        <v>28.000000000000004</v>
      </c>
      <c r="J4803" t="s">
        <v>20</v>
      </c>
    </row>
    <row r="4804" spans="1:10" x14ac:dyDescent="0.2">
      <c r="A4804">
        <v>14803</v>
      </c>
      <c r="B4804" t="s">
        <v>5</v>
      </c>
      <c r="C4804" t="s">
        <v>6</v>
      </c>
      <c r="D4804">
        <v>9.41</v>
      </c>
      <c r="E4804">
        <v>7</v>
      </c>
      <c r="F4804" t="s">
        <v>15</v>
      </c>
      <c r="G4804">
        <v>28</v>
      </c>
      <c r="H4804">
        <v>12.0448</v>
      </c>
      <c r="I4804">
        <v>28.000000000000004</v>
      </c>
      <c r="J4804" t="s">
        <v>20</v>
      </c>
    </row>
    <row r="4805" spans="1:10" x14ac:dyDescent="0.2">
      <c r="A4805">
        <v>14804</v>
      </c>
      <c r="B4805" t="s">
        <v>5</v>
      </c>
      <c r="C4805" t="s">
        <v>9</v>
      </c>
      <c r="D4805">
        <v>13.59</v>
      </c>
      <c r="E4805">
        <v>10</v>
      </c>
      <c r="F4805" t="s">
        <v>16</v>
      </c>
      <c r="G4805">
        <v>60</v>
      </c>
      <c r="H4805">
        <v>21.744</v>
      </c>
      <c r="I4805">
        <v>60.000000000000007</v>
      </c>
      <c r="J4805" t="s">
        <v>20</v>
      </c>
    </row>
    <row r="4806" spans="1:10" x14ac:dyDescent="0.2">
      <c r="A4806">
        <v>14805</v>
      </c>
      <c r="B4806" t="s">
        <v>10</v>
      </c>
      <c r="C4806" t="s">
        <v>11</v>
      </c>
      <c r="D4806">
        <v>14.45</v>
      </c>
      <c r="E4806">
        <v>5</v>
      </c>
      <c r="F4806" t="s">
        <v>15</v>
      </c>
      <c r="G4806">
        <v>25</v>
      </c>
      <c r="H4806">
        <v>18.0625</v>
      </c>
      <c r="I4806">
        <v>25</v>
      </c>
      <c r="J4806" t="s">
        <v>20</v>
      </c>
    </row>
    <row r="4807" spans="1:10" x14ac:dyDescent="0.2">
      <c r="A4807">
        <v>14806</v>
      </c>
      <c r="B4807" t="s">
        <v>5</v>
      </c>
      <c r="C4807" t="s">
        <v>6</v>
      </c>
      <c r="D4807">
        <v>9.98</v>
      </c>
      <c r="E4807">
        <v>9</v>
      </c>
      <c r="F4807" t="s">
        <v>16</v>
      </c>
      <c r="G4807">
        <v>55</v>
      </c>
      <c r="H4807">
        <v>15.469000000000001</v>
      </c>
      <c r="I4807">
        <v>55.000000000000007</v>
      </c>
      <c r="J4807" t="s">
        <v>20</v>
      </c>
    </row>
    <row r="4808" spans="1:10" x14ac:dyDescent="0.2">
      <c r="A4808">
        <v>14807</v>
      </c>
      <c r="B4808" t="s">
        <v>8</v>
      </c>
      <c r="C4808" t="s">
        <v>9</v>
      </c>
      <c r="D4808">
        <v>12.65</v>
      </c>
      <c r="E4808">
        <v>6</v>
      </c>
      <c r="F4808" t="s">
        <v>15</v>
      </c>
      <c r="G4808">
        <v>30</v>
      </c>
      <c r="H4808">
        <v>16.445</v>
      </c>
      <c r="I4808">
        <v>30.000000000000004</v>
      </c>
      <c r="J4808" t="s">
        <v>20</v>
      </c>
    </row>
    <row r="4809" spans="1:10" x14ac:dyDescent="0.2">
      <c r="A4809">
        <v>14808</v>
      </c>
      <c r="B4809" t="s">
        <v>8</v>
      </c>
      <c r="C4809" t="s">
        <v>6</v>
      </c>
      <c r="D4809">
        <v>8.1199999999999992</v>
      </c>
      <c r="E4809">
        <v>7</v>
      </c>
      <c r="F4809" t="s">
        <v>15</v>
      </c>
      <c r="G4809">
        <v>28</v>
      </c>
      <c r="H4809">
        <v>10.393599999999999</v>
      </c>
      <c r="I4809">
        <v>28.000000000000004</v>
      </c>
      <c r="J4809" t="s">
        <v>20</v>
      </c>
    </row>
    <row r="4810" spans="1:10" x14ac:dyDescent="0.2">
      <c r="A4810">
        <v>14809</v>
      </c>
      <c r="B4810" t="s">
        <v>10</v>
      </c>
      <c r="C4810" t="s">
        <v>11</v>
      </c>
      <c r="D4810">
        <v>3.52</v>
      </c>
      <c r="E4810">
        <v>8</v>
      </c>
      <c r="F4810" t="s">
        <v>16</v>
      </c>
      <c r="G4810">
        <v>50</v>
      </c>
      <c r="H4810">
        <v>5.28</v>
      </c>
      <c r="I4810">
        <v>50</v>
      </c>
      <c r="J4810" t="s">
        <v>20</v>
      </c>
    </row>
    <row r="4811" spans="1:10" x14ac:dyDescent="0.2">
      <c r="A4811">
        <v>14810</v>
      </c>
      <c r="B4811" t="s">
        <v>7</v>
      </c>
      <c r="C4811" t="s">
        <v>6</v>
      </c>
      <c r="D4811">
        <v>8.11</v>
      </c>
      <c r="E4811">
        <v>5</v>
      </c>
      <c r="F4811" t="s">
        <v>15</v>
      </c>
      <c r="G4811">
        <v>28</v>
      </c>
      <c r="H4811">
        <v>10.380799999999999</v>
      </c>
      <c r="I4811">
        <v>28.000000000000004</v>
      </c>
      <c r="J4811" t="s">
        <v>20</v>
      </c>
    </row>
    <row r="4812" spans="1:10" x14ac:dyDescent="0.2">
      <c r="A4812">
        <v>14811</v>
      </c>
      <c r="B4812" t="s">
        <v>8</v>
      </c>
      <c r="C4812" t="s">
        <v>6</v>
      </c>
      <c r="D4812">
        <v>8.5500000000000007</v>
      </c>
      <c r="E4812">
        <v>4</v>
      </c>
      <c r="F4812" t="s">
        <v>15</v>
      </c>
      <c r="G4812">
        <v>28</v>
      </c>
      <c r="H4812">
        <v>10.944000000000001</v>
      </c>
      <c r="I4812">
        <v>28.000000000000004</v>
      </c>
      <c r="J4812" t="s">
        <v>20</v>
      </c>
    </row>
    <row r="4813" spans="1:10" x14ac:dyDescent="0.2">
      <c r="A4813">
        <v>14812</v>
      </c>
      <c r="B4813" t="s">
        <v>7</v>
      </c>
      <c r="C4813" t="s">
        <v>9</v>
      </c>
      <c r="D4813">
        <v>11.27</v>
      </c>
      <c r="E4813">
        <v>8</v>
      </c>
      <c r="F4813" t="s">
        <v>16</v>
      </c>
      <c r="G4813">
        <v>60</v>
      </c>
      <c r="H4813">
        <v>18.032</v>
      </c>
      <c r="I4813">
        <v>60.000000000000007</v>
      </c>
      <c r="J4813" t="s">
        <v>20</v>
      </c>
    </row>
    <row r="4814" spans="1:10" x14ac:dyDescent="0.2">
      <c r="A4814">
        <v>14813</v>
      </c>
      <c r="B4814" t="s">
        <v>10</v>
      </c>
      <c r="C4814" t="s">
        <v>6</v>
      </c>
      <c r="D4814">
        <v>3.69</v>
      </c>
      <c r="E4814">
        <v>10</v>
      </c>
      <c r="F4814" t="s">
        <v>16</v>
      </c>
      <c r="G4814">
        <v>55</v>
      </c>
      <c r="H4814">
        <v>5.7195</v>
      </c>
      <c r="I4814">
        <v>55.000000000000007</v>
      </c>
      <c r="J4814" t="s">
        <v>20</v>
      </c>
    </row>
    <row r="4815" spans="1:10" x14ac:dyDescent="0.2">
      <c r="A4815">
        <v>14814</v>
      </c>
      <c r="B4815" t="s">
        <v>7</v>
      </c>
      <c r="C4815" t="s">
        <v>9</v>
      </c>
      <c r="D4815">
        <v>5.84</v>
      </c>
      <c r="E4815">
        <v>9</v>
      </c>
      <c r="F4815" t="s">
        <v>16</v>
      </c>
      <c r="G4815">
        <v>60</v>
      </c>
      <c r="H4815">
        <v>9.3439999999999994</v>
      </c>
      <c r="I4815">
        <v>59.999999999999986</v>
      </c>
      <c r="J4815" t="s">
        <v>20</v>
      </c>
    </row>
    <row r="4816" spans="1:10" x14ac:dyDescent="0.2">
      <c r="A4816">
        <v>14815</v>
      </c>
      <c r="B4816" t="s">
        <v>7</v>
      </c>
      <c r="C4816" t="s">
        <v>11</v>
      </c>
      <c r="D4816">
        <v>5.78</v>
      </c>
      <c r="E4816">
        <v>1</v>
      </c>
      <c r="F4816" t="s">
        <v>14</v>
      </c>
      <c r="G4816">
        <v>10</v>
      </c>
      <c r="H4816">
        <v>6.3580000000000005</v>
      </c>
      <c r="I4816">
        <v>10.000000000000009</v>
      </c>
      <c r="J4816" t="s">
        <v>20</v>
      </c>
    </row>
    <row r="4817" spans="1:10" x14ac:dyDescent="0.2">
      <c r="A4817">
        <v>14816</v>
      </c>
      <c r="B4817" t="s">
        <v>7</v>
      </c>
      <c r="C4817" t="s">
        <v>6</v>
      </c>
      <c r="D4817">
        <v>14.41</v>
      </c>
      <c r="E4817">
        <v>3</v>
      </c>
      <c r="F4817" t="s">
        <v>14</v>
      </c>
      <c r="G4817">
        <v>12</v>
      </c>
      <c r="H4817">
        <v>16.139200000000002</v>
      </c>
      <c r="I4817">
        <v>12.000000000000011</v>
      </c>
      <c r="J4817" t="s">
        <v>20</v>
      </c>
    </row>
    <row r="4818" spans="1:10" x14ac:dyDescent="0.2">
      <c r="A4818">
        <v>14817</v>
      </c>
      <c r="B4818" t="s">
        <v>7</v>
      </c>
      <c r="C4818" t="s">
        <v>11</v>
      </c>
      <c r="D4818">
        <v>6.94</v>
      </c>
      <c r="E4818">
        <v>4</v>
      </c>
      <c r="F4818" t="s">
        <v>15</v>
      </c>
      <c r="G4818">
        <v>25</v>
      </c>
      <c r="H4818">
        <v>8.6750000000000007</v>
      </c>
      <c r="I4818">
        <v>25</v>
      </c>
      <c r="J4818" t="s">
        <v>20</v>
      </c>
    </row>
    <row r="4819" spans="1:10" x14ac:dyDescent="0.2">
      <c r="A4819">
        <v>14818</v>
      </c>
      <c r="B4819" t="s">
        <v>10</v>
      </c>
      <c r="C4819" t="s">
        <v>11</v>
      </c>
      <c r="D4819">
        <v>11.45</v>
      </c>
      <c r="E4819">
        <v>7</v>
      </c>
      <c r="F4819" t="s">
        <v>15</v>
      </c>
      <c r="G4819">
        <v>25</v>
      </c>
      <c r="H4819">
        <v>14.3125</v>
      </c>
      <c r="I4819">
        <v>25</v>
      </c>
      <c r="J4819" t="s">
        <v>20</v>
      </c>
    </row>
    <row r="4820" spans="1:10" x14ac:dyDescent="0.2">
      <c r="A4820">
        <v>14819</v>
      </c>
      <c r="B4820" t="s">
        <v>8</v>
      </c>
      <c r="C4820" t="s">
        <v>6</v>
      </c>
      <c r="D4820">
        <v>11.39</v>
      </c>
      <c r="E4820">
        <v>6</v>
      </c>
      <c r="F4820" t="s">
        <v>15</v>
      </c>
      <c r="G4820">
        <v>28</v>
      </c>
      <c r="H4820">
        <v>14.5792</v>
      </c>
      <c r="I4820">
        <v>28.000000000000004</v>
      </c>
      <c r="J4820" t="s">
        <v>20</v>
      </c>
    </row>
    <row r="4821" spans="1:10" x14ac:dyDescent="0.2">
      <c r="A4821">
        <v>14820</v>
      </c>
      <c r="B4821" t="s">
        <v>5</v>
      </c>
      <c r="C4821" t="s">
        <v>9</v>
      </c>
      <c r="D4821">
        <v>4.3499999999999996</v>
      </c>
      <c r="E4821">
        <v>10</v>
      </c>
      <c r="F4821" t="s">
        <v>16</v>
      </c>
      <c r="G4821">
        <v>60</v>
      </c>
      <c r="H4821">
        <v>6.96</v>
      </c>
      <c r="I4821">
        <v>60.000000000000007</v>
      </c>
      <c r="J4821" t="s">
        <v>20</v>
      </c>
    </row>
    <row r="4822" spans="1:10" x14ac:dyDescent="0.2">
      <c r="A4822">
        <v>14821</v>
      </c>
      <c r="B4822" t="s">
        <v>7</v>
      </c>
      <c r="C4822" t="s">
        <v>11</v>
      </c>
      <c r="D4822">
        <v>8.7899999999999991</v>
      </c>
      <c r="E4822">
        <v>10</v>
      </c>
      <c r="F4822" t="s">
        <v>16</v>
      </c>
      <c r="G4822">
        <v>50</v>
      </c>
      <c r="H4822">
        <v>13.184999999999999</v>
      </c>
      <c r="I4822">
        <v>50</v>
      </c>
      <c r="J4822" t="s">
        <v>20</v>
      </c>
    </row>
    <row r="4823" spans="1:10" x14ac:dyDescent="0.2">
      <c r="A4823">
        <v>14822</v>
      </c>
      <c r="B4823" t="s">
        <v>8</v>
      </c>
      <c r="C4823" t="s">
        <v>11</v>
      </c>
      <c r="D4823">
        <v>13.47</v>
      </c>
      <c r="E4823">
        <v>1</v>
      </c>
      <c r="F4823" t="s">
        <v>14</v>
      </c>
      <c r="G4823">
        <v>10</v>
      </c>
      <c r="H4823">
        <v>14.817000000000002</v>
      </c>
      <c r="I4823">
        <v>10.000000000000009</v>
      </c>
      <c r="J4823" t="s">
        <v>20</v>
      </c>
    </row>
    <row r="4824" spans="1:10" x14ac:dyDescent="0.2">
      <c r="A4824">
        <v>14823</v>
      </c>
      <c r="B4824" t="s">
        <v>8</v>
      </c>
      <c r="C4824" t="s">
        <v>6</v>
      </c>
      <c r="D4824">
        <v>7.39</v>
      </c>
      <c r="E4824">
        <v>4</v>
      </c>
      <c r="F4824" t="s">
        <v>15</v>
      </c>
      <c r="G4824">
        <v>28</v>
      </c>
      <c r="H4824">
        <v>9.4591999999999992</v>
      </c>
      <c r="I4824">
        <v>28.000000000000004</v>
      </c>
      <c r="J4824" t="s">
        <v>20</v>
      </c>
    </row>
    <row r="4825" spans="1:10" x14ac:dyDescent="0.2">
      <c r="A4825">
        <v>14824</v>
      </c>
      <c r="B4825" t="s">
        <v>10</v>
      </c>
      <c r="C4825" t="s">
        <v>6</v>
      </c>
      <c r="D4825">
        <v>14.2</v>
      </c>
      <c r="E4825">
        <v>6</v>
      </c>
      <c r="F4825" t="s">
        <v>15</v>
      </c>
      <c r="G4825">
        <v>28</v>
      </c>
      <c r="H4825">
        <v>18.175999999999998</v>
      </c>
      <c r="I4825">
        <v>28.000000000000004</v>
      </c>
      <c r="J4825" t="s">
        <v>20</v>
      </c>
    </row>
    <row r="4826" spans="1:10" x14ac:dyDescent="0.2">
      <c r="A4826">
        <v>14825</v>
      </c>
      <c r="B4826" t="s">
        <v>8</v>
      </c>
      <c r="C4826" t="s">
        <v>6</v>
      </c>
      <c r="D4826">
        <v>3.61</v>
      </c>
      <c r="E4826">
        <v>3</v>
      </c>
      <c r="F4826" t="s">
        <v>14</v>
      </c>
      <c r="G4826">
        <v>12</v>
      </c>
      <c r="H4826">
        <v>4.0432000000000006</v>
      </c>
      <c r="I4826">
        <v>12.000000000000011</v>
      </c>
      <c r="J4826" t="s">
        <v>20</v>
      </c>
    </row>
    <row r="4827" spans="1:10" x14ac:dyDescent="0.2">
      <c r="A4827">
        <v>14826</v>
      </c>
      <c r="B4827" t="s">
        <v>10</v>
      </c>
      <c r="C4827" t="s">
        <v>6</v>
      </c>
      <c r="D4827">
        <v>1.58</v>
      </c>
      <c r="E4827">
        <v>2</v>
      </c>
      <c r="F4827" t="s">
        <v>14</v>
      </c>
      <c r="G4827">
        <v>12</v>
      </c>
      <c r="H4827">
        <v>1.7696000000000003</v>
      </c>
      <c r="I4827">
        <v>12.000000000000011</v>
      </c>
      <c r="J4827" t="s">
        <v>20</v>
      </c>
    </row>
    <row r="4828" spans="1:10" x14ac:dyDescent="0.2">
      <c r="A4828">
        <v>14827</v>
      </c>
      <c r="B4828" t="s">
        <v>7</v>
      </c>
      <c r="C4828" t="s">
        <v>6</v>
      </c>
      <c r="D4828">
        <v>13.43</v>
      </c>
      <c r="E4828">
        <v>2</v>
      </c>
      <c r="F4828" t="s">
        <v>14</v>
      </c>
      <c r="G4828">
        <v>12</v>
      </c>
      <c r="H4828">
        <v>15.041600000000001</v>
      </c>
      <c r="I4828">
        <v>12.000000000000011</v>
      </c>
      <c r="J4828" t="s">
        <v>20</v>
      </c>
    </row>
    <row r="4829" spans="1:10" x14ac:dyDescent="0.2">
      <c r="A4829">
        <v>14828</v>
      </c>
      <c r="B4829" t="s">
        <v>7</v>
      </c>
      <c r="C4829" t="s">
        <v>6</v>
      </c>
      <c r="D4829">
        <v>12.79</v>
      </c>
      <c r="E4829">
        <v>10</v>
      </c>
      <c r="F4829" t="s">
        <v>16</v>
      </c>
      <c r="G4829">
        <v>55</v>
      </c>
      <c r="H4829">
        <v>19.8245</v>
      </c>
      <c r="I4829">
        <v>55.000000000000007</v>
      </c>
      <c r="J4829" t="s">
        <v>20</v>
      </c>
    </row>
    <row r="4830" spans="1:10" x14ac:dyDescent="0.2">
      <c r="A4830">
        <v>14829</v>
      </c>
      <c r="B4830" t="s">
        <v>5</v>
      </c>
      <c r="C4830" t="s">
        <v>9</v>
      </c>
      <c r="D4830">
        <v>14.89</v>
      </c>
      <c r="E4830">
        <v>4</v>
      </c>
      <c r="F4830" t="s">
        <v>15</v>
      </c>
      <c r="G4830">
        <v>30</v>
      </c>
      <c r="H4830">
        <v>19.357000000000003</v>
      </c>
      <c r="I4830">
        <v>30.000000000000004</v>
      </c>
      <c r="J4830" t="s">
        <v>20</v>
      </c>
    </row>
    <row r="4831" spans="1:10" x14ac:dyDescent="0.2">
      <c r="A4831">
        <v>14830</v>
      </c>
      <c r="B4831" t="s">
        <v>5</v>
      </c>
      <c r="C4831" t="s">
        <v>11</v>
      </c>
      <c r="D4831">
        <v>10.35</v>
      </c>
      <c r="E4831">
        <v>1</v>
      </c>
      <c r="F4831" t="s">
        <v>14</v>
      </c>
      <c r="G4831">
        <v>10</v>
      </c>
      <c r="H4831">
        <v>11.385</v>
      </c>
      <c r="I4831">
        <v>10.000000000000009</v>
      </c>
      <c r="J4831" t="s">
        <v>20</v>
      </c>
    </row>
    <row r="4832" spans="1:10" x14ac:dyDescent="0.2">
      <c r="A4832">
        <v>14831</v>
      </c>
      <c r="B4832" t="s">
        <v>5</v>
      </c>
      <c r="C4832" t="s">
        <v>9</v>
      </c>
      <c r="D4832">
        <v>14.08</v>
      </c>
      <c r="E4832">
        <v>10</v>
      </c>
      <c r="F4832" t="s">
        <v>16</v>
      </c>
      <c r="G4832">
        <v>60</v>
      </c>
      <c r="H4832">
        <v>22.528000000000002</v>
      </c>
      <c r="I4832">
        <v>60.000000000000007</v>
      </c>
      <c r="J4832" t="s">
        <v>20</v>
      </c>
    </row>
    <row r="4833" spans="1:10" x14ac:dyDescent="0.2">
      <c r="A4833">
        <v>14832</v>
      </c>
      <c r="B4833" t="s">
        <v>8</v>
      </c>
      <c r="C4833" t="s">
        <v>9</v>
      </c>
      <c r="D4833">
        <v>12.49</v>
      </c>
      <c r="E4833">
        <v>2</v>
      </c>
      <c r="F4833" t="s">
        <v>14</v>
      </c>
      <c r="G4833">
        <v>15</v>
      </c>
      <c r="H4833">
        <v>14.363499999999998</v>
      </c>
      <c r="I4833">
        <v>14.999999999999991</v>
      </c>
      <c r="J4833" t="s">
        <v>20</v>
      </c>
    </row>
    <row r="4834" spans="1:10" x14ac:dyDescent="0.2">
      <c r="A4834">
        <v>14833</v>
      </c>
      <c r="B4834" t="s">
        <v>7</v>
      </c>
      <c r="C4834" t="s">
        <v>6</v>
      </c>
      <c r="D4834">
        <v>12.74</v>
      </c>
      <c r="E4834">
        <v>10</v>
      </c>
      <c r="F4834" t="s">
        <v>16</v>
      </c>
      <c r="G4834">
        <v>55</v>
      </c>
      <c r="H4834">
        <v>19.747</v>
      </c>
      <c r="I4834">
        <v>55.000000000000007</v>
      </c>
      <c r="J4834" t="s">
        <v>20</v>
      </c>
    </row>
    <row r="4835" spans="1:10" x14ac:dyDescent="0.2">
      <c r="A4835">
        <v>14834</v>
      </c>
      <c r="B4835" t="s">
        <v>10</v>
      </c>
      <c r="C4835" t="s">
        <v>11</v>
      </c>
      <c r="D4835">
        <v>8.75</v>
      </c>
      <c r="E4835">
        <v>2</v>
      </c>
      <c r="F4835" t="s">
        <v>14</v>
      </c>
      <c r="G4835">
        <v>10</v>
      </c>
      <c r="H4835">
        <v>9.625</v>
      </c>
      <c r="I4835">
        <v>10.000000000000009</v>
      </c>
      <c r="J4835" t="s">
        <v>20</v>
      </c>
    </row>
    <row r="4836" spans="1:10" x14ac:dyDescent="0.2">
      <c r="A4836">
        <v>14835</v>
      </c>
      <c r="B4836" t="s">
        <v>5</v>
      </c>
      <c r="C4836" t="s">
        <v>9</v>
      </c>
      <c r="D4836">
        <v>6.04</v>
      </c>
      <c r="E4836">
        <v>4</v>
      </c>
      <c r="F4836" t="s">
        <v>15</v>
      </c>
      <c r="G4836">
        <v>30</v>
      </c>
      <c r="H4836">
        <v>7.8520000000000003</v>
      </c>
      <c r="I4836">
        <v>30.000000000000004</v>
      </c>
      <c r="J4836" t="s">
        <v>20</v>
      </c>
    </row>
    <row r="4837" spans="1:10" x14ac:dyDescent="0.2">
      <c r="A4837">
        <v>14836</v>
      </c>
      <c r="B4837" t="s">
        <v>10</v>
      </c>
      <c r="C4837" t="s">
        <v>6</v>
      </c>
      <c r="D4837">
        <v>14.05</v>
      </c>
      <c r="E4837">
        <v>4</v>
      </c>
      <c r="F4837" t="s">
        <v>15</v>
      </c>
      <c r="G4837">
        <v>28</v>
      </c>
      <c r="H4837">
        <v>17.984000000000002</v>
      </c>
      <c r="I4837">
        <v>28.000000000000004</v>
      </c>
      <c r="J4837" t="s">
        <v>20</v>
      </c>
    </row>
    <row r="4838" spans="1:10" x14ac:dyDescent="0.2">
      <c r="A4838">
        <v>14837</v>
      </c>
      <c r="B4838" t="s">
        <v>10</v>
      </c>
      <c r="C4838" t="s">
        <v>6</v>
      </c>
      <c r="D4838">
        <v>6.77</v>
      </c>
      <c r="E4838">
        <v>1</v>
      </c>
      <c r="F4838" t="s">
        <v>14</v>
      </c>
      <c r="G4838">
        <v>12</v>
      </c>
      <c r="H4838">
        <v>7.5823999999999998</v>
      </c>
      <c r="I4838">
        <v>12.000000000000011</v>
      </c>
      <c r="J4838" t="s">
        <v>20</v>
      </c>
    </row>
    <row r="4839" spans="1:10" x14ac:dyDescent="0.2">
      <c r="A4839">
        <v>14838</v>
      </c>
      <c r="B4839" t="s">
        <v>5</v>
      </c>
      <c r="C4839" t="s">
        <v>11</v>
      </c>
      <c r="D4839">
        <v>8.31</v>
      </c>
      <c r="E4839">
        <v>7</v>
      </c>
      <c r="F4839" t="s">
        <v>15</v>
      </c>
      <c r="G4839">
        <v>25</v>
      </c>
      <c r="H4839">
        <v>10.387500000000001</v>
      </c>
      <c r="I4839">
        <v>25</v>
      </c>
      <c r="J4839" t="s">
        <v>20</v>
      </c>
    </row>
    <row r="4840" spans="1:10" x14ac:dyDescent="0.2">
      <c r="A4840">
        <v>14839</v>
      </c>
      <c r="B4840" t="s">
        <v>7</v>
      </c>
      <c r="C4840" t="s">
        <v>9</v>
      </c>
      <c r="D4840">
        <v>6.97</v>
      </c>
      <c r="E4840">
        <v>7</v>
      </c>
      <c r="F4840" t="s">
        <v>15</v>
      </c>
      <c r="G4840">
        <v>30</v>
      </c>
      <c r="H4840">
        <v>9.0609999999999999</v>
      </c>
      <c r="I4840">
        <v>30.000000000000004</v>
      </c>
      <c r="J4840" t="s">
        <v>20</v>
      </c>
    </row>
    <row r="4841" spans="1:10" x14ac:dyDescent="0.2">
      <c r="A4841">
        <v>14840</v>
      </c>
      <c r="B4841" t="s">
        <v>5</v>
      </c>
      <c r="C4841" t="s">
        <v>9</v>
      </c>
      <c r="D4841">
        <v>8.69</v>
      </c>
      <c r="E4841">
        <v>10</v>
      </c>
      <c r="F4841" t="s">
        <v>16</v>
      </c>
      <c r="G4841">
        <v>60</v>
      </c>
      <c r="H4841">
        <v>13.904</v>
      </c>
      <c r="I4841">
        <v>60.000000000000007</v>
      </c>
      <c r="J4841" t="s">
        <v>20</v>
      </c>
    </row>
    <row r="4842" spans="1:10" x14ac:dyDescent="0.2">
      <c r="A4842">
        <v>14841</v>
      </c>
      <c r="B4842" t="s">
        <v>10</v>
      </c>
      <c r="C4842" t="s">
        <v>9</v>
      </c>
      <c r="D4842">
        <v>7.32</v>
      </c>
      <c r="E4842">
        <v>10</v>
      </c>
      <c r="F4842" t="s">
        <v>16</v>
      </c>
      <c r="G4842">
        <v>60</v>
      </c>
      <c r="H4842">
        <v>11.712000000000002</v>
      </c>
      <c r="I4842">
        <v>60.000000000000007</v>
      </c>
      <c r="J4842" t="s">
        <v>20</v>
      </c>
    </row>
    <row r="4843" spans="1:10" x14ac:dyDescent="0.2">
      <c r="A4843">
        <v>14842</v>
      </c>
      <c r="B4843" t="s">
        <v>5</v>
      </c>
      <c r="C4843" t="s">
        <v>6</v>
      </c>
      <c r="D4843">
        <v>1.2</v>
      </c>
      <c r="E4843">
        <v>10</v>
      </c>
      <c r="F4843" t="s">
        <v>16</v>
      </c>
      <c r="G4843">
        <v>55</v>
      </c>
      <c r="H4843">
        <v>1.8599999999999999</v>
      </c>
      <c r="I4843">
        <v>55.000000000000007</v>
      </c>
      <c r="J4843" t="s">
        <v>20</v>
      </c>
    </row>
    <row r="4844" spans="1:10" x14ac:dyDescent="0.2">
      <c r="A4844">
        <v>14843</v>
      </c>
      <c r="B4844" t="s">
        <v>10</v>
      </c>
      <c r="C4844" t="s">
        <v>11</v>
      </c>
      <c r="D4844">
        <v>13.29</v>
      </c>
      <c r="E4844">
        <v>1</v>
      </c>
      <c r="F4844" t="s">
        <v>14</v>
      </c>
      <c r="G4844">
        <v>10</v>
      </c>
      <c r="H4844">
        <v>14.619</v>
      </c>
      <c r="I4844">
        <v>10.000000000000009</v>
      </c>
      <c r="J4844" t="s">
        <v>20</v>
      </c>
    </row>
    <row r="4845" spans="1:10" x14ac:dyDescent="0.2">
      <c r="A4845">
        <v>14844</v>
      </c>
      <c r="B4845" t="s">
        <v>10</v>
      </c>
      <c r="C4845" t="s">
        <v>11</v>
      </c>
      <c r="D4845">
        <v>6.94</v>
      </c>
      <c r="E4845">
        <v>8</v>
      </c>
      <c r="F4845" t="s">
        <v>16</v>
      </c>
      <c r="G4845">
        <v>50</v>
      </c>
      <c r="H4845">
        <v>10.41</v>
      </c>
      <c r="I4845">
        <v>50</v>
      </c>
      <c r="J4845" t="s">
        <v>20</v>
      </c>
    </row>
    <row r="4846" spans="1:10" x14ac:dyDescent="0.2">
      <c r="A4846">
        <v>14845</v>
      </c>
      <c r="B4846" t="s">
        <v>5</v>
      </c>
      <c r="C4846" t="s">
        <v>9</v>
      </c>
      <c r="D4846">
        <v>9.0399999999999991</v>
      </c>
      <c r="E4846">
        <v>10</v>
      </c>
      <c r="F4846" t="s">
        <v>16</v>
      </c>
      <c r="G4846">
        <v>60</v>
      </c>
      <c r="H4846">
        <v>14.463999999999999</v>
      </c>
      <c r="I4846">
        <v>60.000000000000007</v>
      </c>
      <c r="J4846" t="s">
        <v>20</v>
      </c>
    </row>
    <row r="4847" spans="1:10" x14ac:dyDescent="0.2">
      <c r="A4847">
        <v>14846</v>
      </c>
      <c r="B4847" t="s">
        <v>8</v>
      </c>
      <c r="C4847" t="s">
        <v>6</v>
      </c>
      <c r="D4847">
        <v>2.52</v>
      </c>
      <c r="E4847">
        <v>7</v>
      </c>
      <c r="F4847" t="s">
        <v>15</v>
      </c>
      <c r="G4847">
        <v>28</v>
      </c>
      <c r="H4847">
        <v>3.2256</v>
      </c>
      <c r="I4847">
        <v>28.000000000000004</v>
      </c>
      <c r="J4847" t="s">
        <v>20</v>
      </c>
    </row>
    <row r="4848" spans="1:10" x14ac:dyDescent="0.2">
      <c r="A4848">
        <v>14847</v>
      </c>
      <c r="B4848" t="s">
        <v>5</v>
      </c>
      <c r="C4848" t="s">
        <v>9</v>
      </c>
      <c r="D4848">
        <v>0.55000000000000004</v>
      </c>
      <c r="E4848">
        <v>7</v>
      </c>
      <c r="F4848" t="s">
        <v>15</v>
      </c>
      <c r="G4848">
        <v>30</v>
      </c>
      <c r="H4848">
        <v>0.71500000000000008</v>
      </c>
      <c r="I4848">
        <v>30.000000000000004</v>
      </c>
      <c r="J4848" t="s">
        <v>20</v>
      </c>
    </row>
    <row r="4849" spans="1:10" x14ac:dyDescent="0.2">
      <c r="A4849">
        <v>14848</v>
      </c>
      <c r="B4849" t="s">
        <v>8</v>
      </c>
      <c r="C4849" t="s">
        <v>11</v>
      </c>
      <c r="D4849">
        <v>4.0599999999999996</v>
      </c>
      <c r="E4849">
        <v>6</v>
      </c>
      <c r="F4849" t="s">
        <v>15</v>
      </c>
      <c r="G4849">
        <v>25</v>
      </c>
      <c r="H4849">
        <v>5.0749999999999993</v>
      </c>
      <c r="I4849">
        <v>25</v>
      </c>
      <c r="J4849" t="s">
        <v>20</v>
      </c>
    </row>
    <row r="4850" spans="1:10" x14ac:dyDescent="0.2">
      <c r="A4850">
        <v>14849</v>
      </c>
      <c r="B4850" t="s">
        <v>10</v>
      </c>
      <c r="C4850" t="s">
        <v>6</v>
      </c>
      <c r="D4850">
        <v>10.72</v>
      </c>
      <c r="E4850">
        <v>4</v>
      </c>
      <c r="F4850" t="s">
        <v>15</v>
      </c>
      <c r="G4850">
        <v>28</v>
      </c>
      <c r="H4850">
        <v>13.7216</v>
      </c>
      <c r="I4850">
        <v>28.000000000000004</v>
      </c>
      <c r="J4850" t="s">
        <v>20</v>
      </c>
    </row>
    <row r="4851" spans="1:10" x14ac:dyDescent="0.2">
      <c r="A4851">
        <v>14850</v>
      </c>
      <c r="B4851" t="s">
        <v>10</v>
      </c>
      <c r="C4851" t="s">
        <v>9</v>
      </c>
      <c r="D4851">
        <v>1.94</v>
      </c>
      <c r="E4851">
        <v>8</v>
      </c>
      <c r="F4851" t="s">
        <v>16</v>
      </c>
      <c r="G4851">
        <v>60</v>
      </c>
      <c r="H4851">
        <v>3.1040000000000001</v>
      </c>
      <c r="I4851">
        <v>60.000000000000007</v>
      </c>
      <c r="J4851" t="s">
        <v>20</v>
      </c>
    </row>
    <row r="4852" spans="1:10" x14ac:dyDescent="0.2">
      <c r="A4852">
        <v>14851</v>
      </c>
      <c r="B4852" t="s">
        <v>8</v>
      </c>
      <c r="C4852" t="s">
        <v>9</v>
      </c>
      <c r="D4852">
        <v>13.68</v>
      </c>
      <c r="E4852">
        <v>2</v>
      </c>
      <c r="F4852" t="s">
        <v>14</v>
      </c>
      <c r="G4852">
        <v>15</v>
      </c>
      <c r="H4852">
        <v>15.731999999999999</v>
      </c>
      <c r="I4852">
        <v>14.999999999999991</v>
      </c>
      <c r="J4852" t="s">
        <v>20</v>
      </c>
    </row>
    <row r="4853" spans="1:10" x14ac:dyDescent="0.2">
      <c r="A4853">
        <v>14852</v>
      </c>
      <c r="B4853" t="s">
        <v>10</v>
      </c>
      <c r="C4853" t="s">
        <v>6</v>
      </c>
      <c r="D4853">
        <v>3.62</v>
      </c>
      <c r="E4853">
        <v>7</v>
      </c>
      <c r="F4853" t="s">
        <v>15</v>
      </c>
      <c r="G4853">
        <v>28</v>
      </c>
      <c r="H4853">
        <v>4.6336000000000004</v>
      </c>
      <c r="I4853">
        <v>28.000000000000004</v>
      </c>
      <c r="J4853" t="s">
        <v>20</v>
      </c>
    </row>
    <row r="4854" spans="1:10" x14ac:dyDescent="0.2">
      <c r="A4854">
        <v>14853</v>
      </c>
      <c r="B4854" t="s">
        <v>8</v>
      </c>
      <c r="C4854" t="s">
        <v>11</v>
      </c>
      <c r="D4854">
        <v>3.47</v>
      </c>
      <c r="E4854">
        <v>3</v>
      </c>
      <c r="F4854" t="s">
        <v>14</v>
      </c>
      <c r="G4854">
        <v>10</v>
      </c>
      <c r="H4854">
        <v>3.8170000000000006</v>
      </c>
      <c r="I4854">
        <v>10.000000000000009</v>
      </c>
      <c r="J4854" t="s">
        <v>20</v>
      </c>
    </row>
    <row r="4855" spans="1:10" x14ac:dyDescent="0.2">
      <c r="A4855">
        <v>14854</v>
      </c>
      <c r="B4855" t="s">
        <v>8</v>
      </c>
      <c r="C4855" t="s">
        <v>6</v>
      </c>
      <c r="D4855">
        <v>3.13</v>
      </c>
      <c r="E4855">
        <v>3</v>
      </c>
      <c r="F4855" t="s">
        <v>14</v>
      </c>
      <c r="G4855">
        <v>12</v>
      </c>
      <c r="H4855">
        <v>3.5056000000000003</v>
      </c>
      <c r="I4855">
        <v>12.000000000000011</v>
      </c>
      <c r="J4855" t="s">
        <v>20</v>
      </c>
    </row>
    <row r="4856" spans="1:10" x14ac:dyDescent="0.2">
      <c r="A4856">
        <v>14855</v>
      </c>
      <c r="B4856" t="s">
        <v>10</v>
      </c>
      <c r="C4856" t="s">
        <v>9</v>
      </c>
      <c r="D4856">
        <v>0.7</v>
      </c>
      <c r="E4856">
        <v>7</v>
      </c>
      <c r="F4856" t="s">
        <v>15</v>
      </c>
      <c r="G4856">
        <v>30</v>
      </c>
      <c r="H4856">
        <v>0.90999999999999992</v>
      </c>
      <c r="I4856">
        <v>30.000000000000004</v>
      </c>
      <c r="J4856" t="s">
        <v>20</v>
      </c>
    </row>
    <row r="4857" spans="1:10" x14ac:dyDescent="0.2">
      <c r="A4857">
        <v>14856</v>
      </c>
      <c r="B4857" t="s">
        <v>7</v>
      </c>
      <c r="C4857" t="s">
        <v>9</v>
      </c>
      <c r="D4857">
        <v>11.69</v>
      </c>
      <c r="E4857">
        <v>3</v>
      </c>
      <c r="F4857" t="s">
        <v>14</v>
      </c>
      <c r="G4857">
        <v>15</v>
      </c>
      <c r="H4857">
        <v>13.443499999999998</v>
      </c>
      <c r="I4857">
        <v>14.999999999999991</v>
      </c>
      <c r="J4857" t="s">
        <v>20</v>
      </c>
    </row>
    <row r="4858" spans="1:10" x14ac:dyDescent="0.2">
      <c r="A4858">
        <v>14857</v>
      </c>
      <c r="B4858" t="s">
        <v>8</v>
      </c>
      <c r="C4858" t="s">
        <v>9</v>
      </c>
      <c r="D4858">
        <v>13.19</v>
      </c>
      <c r="E4858">
        <v>5</v>
      </c>
      <c r="F4858" t="s">
        <v>15</v>
      </c>
      <c r="G4858">
        <v>30</v>
      </c>
      <c r="H4858">
        <v>17.146999999999998</v>
      </c>
      <c r="I4858">
        <v>29.999999999999982</v>
      </c>
      <c r="J4858" t="s">
        <v>20</v>
      </c>
    </row>
    <row r="4859" spans="1:10" x14ac:dyDescent="0.2">
      <c r="A4859">
        <v>14858</v>
      </c>
      <c r="B4859" t="s">
        <v>5</v>
      </c>
      <c r="C4859" t="s">
        <v>9</v>
      </c>
      <c r="D4859">
        <v>9.41</v>
      </c>
      <c r="E4859">
        <v>8</v>
      </c>
      <c r="F4859" t="s">
        <v>16</v>
      </c>
      <c r="G4859">
        <v>60</v>
      </c>
      <c r="H4859">
        <v>15.056000000000001</v>
      </c>
      <c r="I4859">
        <v>60.000000000000007</v>
      </c>
      <c r="J4859" t="s">
        <v>20</v>
      </c>
    </row>
    <row r="4860" spans="1:10" x14ac:dyDescent="0.2">
      <c r="A4860">
        <v>14859</v>
      </c>
      <c r="B4860" t="s">
        <v>5</v>
      </c>
      <c r="C4860" t="s">
        <v>11</v>
      </c>
      <c r="D4860">
        <v>3.23</v>
      </c>
      <c r="E4860">
        <v>4</v>
      </c>
      <c r="F4860" t="s">
        <v>15</v>
      </c>
      <c r="G4860">
        <v>25</v>
      </c>
      <c r="H4860">
        <v>4.0374999999999996</v>
      </c>
      <c r="I4860">
        <v>25</v>
      </c>
      <c r="J4860" t="s">
        <v>20</v>
      </c>
    </row>
    <row r="4861" spans="1:10" x14ac:dyDescent="0.2">
      <c r="A4861">
        <v>14860</v>
      </c>
      <c r="B4861" t="s">
        <v>10</v>
      </c>
      <c r="C4861" t="s">
        <v>11</v>
      </c>
      <c r="D4861">
        <v>4.6399999999999997</v>
      </c>
      <c r="E4861">
        <v>7</v>
      </c>
      <c r="F4861" t="s">
        <v>15</v>
      </c>
      <c r="G4861">
        <v>25</v>
      </c>
      <c r="H4861">
        <v>5.8</v>
      </c>
      <c r="I4861">
        <v>25</v>
      </c>
      <c r="J4861" t="s">
        <v>20</v>
      </c>
    </row>
    <row r="4862" spans="1:10" x14ac:dyDescent="0.2">
      <c r="A4862">
        <v>14861</v>
      </c>
      <c r="B4862" t="s">
        <v>7</v>
      </c>
      <c r="C4862" t="s">
        <v>9</v>
      </c>
      <c r="D4862">
        <v>7.4</v>
      </c>
      <c r="E4862">
        <v>7</v>
      </c>
      <c r="F4862" t="s">
        <v>15</v>
      </c>
      <c r="G4862">
        <v>30</v>
      </c>
      <c r="H4862">
        <v>9.620000000000001</v>
      </c>
      <c r="I4862">
        <v>30.000000000000004</v>
      </c>
      <c r="J4862" t="s">
        <v>20</v>
      </c>
    </row>
    <row r="4863" spans="1:10" x14ac:dyDescent="0.2">
      <c r="A4863">
        <v>14862</v>
      </c>
      <c r="B4863" t="s">
        <v>10</v>
      </c>
      <c r="C4863" t="s">
        <v>11</v>
      </c>
      <c r="D4863">
        <v>14.34</v>
      </c>
      <c r="E4863">
        <v>2</v>
      </c>
      <c r="F4863" t="s">
        <v>14</v>
      </c>
      <c r="G4863">
        <v>10</v>
      </c>
      <c r="H4863">
        <v>15.774000000000001</v>
      </c>
      <c r="I4863">
        <v>10.000000000000009</v>
      </c>
      <c r="J4863" t="s">
        <v>20</v>
      </c>
    </row>
    <row r="4864" spans="1:10" x14ac:dyDescent="0.2">
      <c r="A4864">
        <v>14863</v>
      </c>
      <c r="B4864" t="s">
        <v>7</v>
      </c>
      <c r="C4864" t="s">
        <v>11</v>
      </c>
      <c r="D4864">
        <v>4.09</v>
      </c>
      <c r="E4864">
        <v>8</v>
      </c>
      <c r="F4864" t="s">
        <v>16</v>
      </c>
      <c r="G4864">
        <v>50</v>
      </c>
      <c r="H4864">
        <v>6.1349999999999998</v>
      </c>
      <c r="I4864">
        <v>50</v>
      </c>
      <c r="J4864" t="s">
        <v>20</v>
      </c>
    </row>
    <row r="4865" spans="1:10" x14ac:dyDescent="0.2">
      <c r="A4865">
        <v>14864</v>
      </c>
      <c r="B4865" t="s">
        <v>8</v>
      </c>
      <c r="C4865" t="s">
        <v>11</v>
      </c>
      <c r="D4865">
        <v>11.11</v>
      </c>
      <c r="E4865">
        <v>10</v>
      </c>
      <c r="F4865" t="s">
        <v>16</v>
      </c>
      <c r="G4865">
        <v>50</v>
      </c>
      <c r="H4865">
        <v>16.664999999999999</v>
      </c>
      <c r="I4865">
        <v>50</v>
      </c>
      <c r="J4865" t="s">
        <v>20</v>
      </c>
    </row>
    <row r="4866" spans="1:10" x14ac:dyDescent="0.2">
      <c r="A4866">
        <v>14865</v>
      </c>
      <c r="B4866" t="s">
        <v>8</v>
      </c>
      <c r="C4866" t="s">
        <v>9</v>
      </c>
      <c r="D4866">
        <v>6.87</v>
      </c>
      <c r="E4866">
        <v>10</v>
      </c>
      <c r="F4866" t="s">
        <v>16</v>
      </c>
      <c r="G4866">
        <v>60</v>
      </c>
      <c r="H4866">
        <v>10.992000000000001</v>
      </c>
      <c r="I4866">
        <v>60.000000000000007</v>
      </c>
      <c r="J4866" t="s">
        <v>20</v>
      </c>
    </row>
    <row r="4867" spans="1:10" x14ac:dyDescent="0.2">
      <c r="A4867">
        <v>14866</v>
      </c>
      <c r="B4867" t="s">
        <v>8</v>
      </c>
      <c r="C4867" t="s">
        <v>6</v>
      </c>
      <c r="D4867">
        <v>4.82</v>
      </c>
      <c r="E4867">
        <v>9</v>
      </c>
      <c r="F4867" t="s">
        <v>16</v>
      </c>
      <c r="G4867">
        <v>55</v>
      </c>
      <c r="H4867">
        <v>7.471000000000001</v>
      </c>
      <c r="I4867">
        <v>55.000000000000007</v>
      </c>
      <c r="J4867" t="s">
        <v>20</v>
      </c>
    </row>
    <row r="4868" spans="1:10" x14ac:dyDescent="0.2">
      <c r="A4868">
        <v>14867</v>
      </c>
      <c r="B4868" t="s">
        <v>8</v>
      </c>
      <c r="C4868" t="s">
        <v>6</v>
      </c>
      <c r="D4868">
        <v>7.11</v>
      </c>
      <c r="E4868">
        <v>6</v>
      </c>
      <c r="F4868" t="s">
        <v>15</v>
      </c>
      <c r="G4868">
        <v>28</v>
      </c>
      <c r="H4868">
        <v>9.1008000000000013</v>
      </c>
      <c r="I4868">
        <v>28.000000000000004</v>
      </c>
      <c r="J4868" t="s">
        <v>20</v>
      </c>
    </row>
    <row r="4869" spans="1:10" x14ac:dyDescent="0.2">
      <c r="A4869">
        <v>14868</v>
      </c>
      <c r="B4869" t="s">
        <v>5</v>
      </c>
      <c r="C4869" t="s">
        <v>6</v>
      </c>
      <c r="D4869">
        <v>1.53</v>
      </c>
      <c r="E4869">
        <v>5</v>
      </c>
      <c r="F4869" t="s">
        <v>15</v>
      </c>
      <c r="G4869">
        <v>28</v>
      </c>
      <c r="H4869">
        <v>1.9584000000000001</v>
      </c>
      <c r="I4869">
        <v>28.000000000000004</v>
      </c>
      <c r="J4869" t="s">
        <v>20</v>
      </c>
    </row>
    <row r="4870" spans="1:10" x14ac:dyDescent="0.2">
      <c r="A4870">
        <v>14869</v>
      </c>
      <c r="B4870" t="s">
        <v>5</v>
      </c>
      <c r="C4870" t="s">
        <v>9</v>
      </c>
      <c r="D4870">
        <v>12.08</v>
      </c>
      <c r="E4870">
        <v>1</v>
      </c>
      <c r="F4870" t="s">
        <v>14</v>
      </c>
      <c r="G4870">
        <v>15</v>
      </c>
      <c r="H4870">
        <v>13.891999999999999</v>
      </c>
      <c r="I4870">
        <v>14.999999999999991</v>
      </c>
      <c r="J4870" t="s">
        <v>20</v>
      </c>
    </row>
    <row r="4871" spans="1:10" x14ac:dyDescent="0.2">
      <c r="A4871">
        <v>14870</v>
      </c>
      <c r="B4871" t="s">
        <v>10</v>
      </c>
      <c r="C4871" t="s">
        <v>11</v>
      </c>
      <c r="D4871">
        <v>4.03</v>
      </c>
      <c r="E4871">
        <v>1</v>
      </c>
      <c r="F4871" t="s">
        <v>14</v>
      </c>
      <c r="G4871">
        <v>10</v>
      </c>
      <c r="H4871">
        <v>4.4330000000000007</v>
      </c>
      <c r="I4871">
        <v>10.000000000000009</v>
      </c>
      <c r="J4871" t="s">
        <v>20</v>
      </c>
    </row>
    <row r="4872" spans="1:10" x14ac:dyDescent="0.2">
      <c r="A4872">
        <v>14871</v>
      </c>
      <c r="B4872" t="s">
        <v>7</v>
      </c>
      <c r="C4872" t="s">
        <v>11</v>
      </c>
      <c r="D4872">
        <v>11.02</v>
      </c>
      <c r="E4872">
        <v>9</v>
      </c>
      <c r="F4872" t="s">
        <v>16</v>
      </c>
      <c r="G4872">
        <v>50</v>
      </c>
      <c r="H4872">
        <v>16.53</v>
      </c>
      <c r="I4872">
        <v>50.000000000000021</v>
      </c>
      <c r="J4872" t="s">
        <v>20</v>
      </c>
    </row>
    <row r="4873" spans="1:10" x14ac:dyDescent="0.2">
      <c r="A4873">
        <v>14872</v>
      </c>
      <c r="B4873" t="s">
        <v>8</v>
      </c>
      <c r="C4873" t="s">
        <v>9</v>
      </c>
      <c r="D4873">
        <v>1.49</v>
      </c>
      <c r="E4873">
        <v>4</v>
      </c>
      <c r="F4873" t="s">
        <v>15</v>
      </c>
      <c r="G4873">
        <v>30</v>
      </c>
      <c r="H4873">
        <v>1.9370000000000001</v>
      </c>
      <c r="I4873">
        <v>30.000000000000004</v>
      </c>
      <c r="J4873" t="s">
        <v>20</v>
      </c>
    </row>
    <row r="4874" spans="1:10" x14ac:dyDescent="0.2">
      <c r="A4874">
        <v>14873</v>
      </c>
      <c r="B4874" t="s">
        <v>8</v>
      </c>
      <c r="C4874" t="s">
        <v>9</v>
      </c>
      <c r="D4874">
        <v>14.35</v>
      </c>
      <c r="E4874">
        <v>1</v>
      </c>
      <c r="F4874" t="s">
        <v>14</v>
      </c>
      <c r="G4874">
        <v>15</v>
      </c>
      <c r="H4874">
        <v>16.502499999999998</v>
      </c>
      <c r="I4874">
        <v>14.999999999999991</v>
      </c>
      <c r="J4874" t="s">
        <v>20</v>
      </c>
    </row>
    <row r="4875" spans="1:10" x14ac:dyDescent="0.2">
      <c r="A4875">
        <v>14874</v>
      </c>
      <c r="B4875" t="s">
        <v>7</v>
      </c>
      <c r="C4875" t="s">
        <v>6</v>
      </c>
      <c r="D4875">
        <v>3.3</v>
      </c>
      <c r="E4875">
        <v>10</v>
      </c>
      <c r="F4875" t="s">
        <v>16</v>
      </c>
      <c r="G4875">
        <v>55</v>
      </c>
      <c r="H4875">
        <v>5.1150000000000002</v>
      </c>
      <c r="I4875">
        <v>55.000000000000007</v>
      </c>
      <c r="J4875" t="s">
        <v>20</v>
      </c>
    </row>
    <row r="4876" spans="1:10" x14ac:dyDescent="0.2">
      <c r="A4876">
        <v>14875</v>
      </c>
      <c r="B4876" t="s">
        <v>7</v>
      </c>
      <c r="C4876" t="s">
        <v>6</v>
      </c>
      <c r="D4876">
        <v>13.3</v>
      </c>
      <c r="E4876">
        <v>3</v>
      </c>
      <c r="F4876" t="s">
        <v>14</v>
      </c>
      <c r="G4876">
        <v>12</v>
      </c>
      <c r="H4876">
        <v>14.896000000000003</v>
      </c>
      <c r="I4876">
        <v>12.000000000000011</v>
      </c>
      <c r="J4876" t="s">
        <v>20</v>
      </c>
    </row>
    <row r="4877" spans="1:10" x14ac:dyDescent="0.2">
      <c r="A4877">
        <v>14876</v>
      </c>
      <c r="B4877" t="s">
        <v>10</v>
      </c>
      <c r="C4877" t="s">
        <v>9</v>
      </c>
      <c r="D4877">
        <v>12.24</v>
      </c>
      <c r="E4877">
        <v>6</v>
      </c>
      <c r="F4877" t="s">
        <v>15</v>
      </c>
      <c r="G4877">
        <v>30</v>
      </c>
      <c r="H4877">
        <v>15.912000000000001</v>
      </c>
      <c r="I4877">
        <v>30.000000000000004</v>
      </c>
      <c r="J4877" t="s">
        <v>20</v>
      </c>
    </row>
    <row r="4878" spans="1:10" x14ac:dyDescent="0.2">
      <c r="A4878">
        <v>14877</v>
      </c>
      <c r="B4878" t="s">
        <v>7</v>
      </c>
      <c r="C4878" t="s">
        <v>6</v>
      </c>
      <c r="D4878">
        <v>14.53</v>
      </c>
      <c r="E4878">
        <v>8</v>
      </c>
      <c r="F4878" t="s">
        <v>16</v>
      </c>
      <c r="G4878">
        <v>55</v>
      </c>
      <c r="H4878">
        <v>22.5215</v>
      </c>
      <c r="I4878">
        <v>55.000000000000007</v>
      </c>
      <c r="J4878" t="s">
        <v>20</v>
      </c>
    </row>
    <row r="4879" spans="1:10" x14ac:dyDescent="0.2">
      <c r="A4879">
        <v>14878</v>
      </c>
      <c r="B4879" t="s">
        <v>8</v>
      </c>
      <c r="C4879" t="s">
        <v>11</v>
      </c>
      <c r="D4879">
        <v>7.43</v>
      </c>
      <c r="E4879">
        <v>10</v>
      </c>
      <c r="F4879" t="s">
        <v>16</v>
      </c>
      <c r="G4879">
        <v>50</v>
      </c>
      <c r="H4879">
        <v>11.145</v>
      </c>
      <c r="I4879">
        <v>50</v>
      </c>
      <c r="J4879" t="s">
        <v>20</v>
      </c>
    </row>
    <row r="4880" spans="1:10" x14ac:dyDescent="0.2">
      <c r="A4880">
        <v>14879</v>
      </c>
      <c r="B4880" t="s">
        <v>8</v>
      </c>
      <c r="C4880" t="s">
        <v>9</v>
      </c>
      <c r="D4880">
        <v>11.05</v>
      </c>
      <c r="E4880">
        <v>2</v>
      </c>
      <c r="F4880" t="s">
        <v>14</v>
      </c>
      <c r="G4880">
        <v>15</v>
      </c>
      <c r="H4880">
        <v>12.7075</v>
      </c>
      <c r="I4880">
        <v>14.999999999999991</v>
      </c>
      <c r="J4880" t="s">
        <v>20</v>
      </c>
    </row>
    <row r="4881" spans="1:10" x14ac:dyDescent="0.2">
      <c r="A4881">
        <v>14880</v>
      </c>
      <c r="B4881" t="s">
        <v>8</v>
      </c>
      <c r="C4881" t="s">
        <v>9</v>
      </c>
      <c r="D4881">
        <v>5.88</v>
      </c>
      <c r="E4881">
        <v>8</v>
      </c>
      <c r="F4881" t="s">
        <v>16</v>
      </c>
      <c r="G4881">
        <v>60</v>
      </c>
      <c r="H4881">
        <v>9.4079999999999995</v>
      </c>
      <c r="I4881">
        <v>59.999999999999986</v>
      </c>
      <c r="J4881" t="s">
        <v>20</v>
      </c>
    </row>
    <row r="4882" spans="1:10" x14ac:dyDescent="0.2">
      <c r="A4882">
        <v>14881</v>
      </c>
      <c r="B4882" t="s">
        <v>8</v>
      </c>
      <c r="C4882" t="s">
        <v>11</v>
      </c>
      <c r="D4882">
        <v>3.17</v>
      </c>
      <c r="E4882">
        <v>1</v>
      </c>
      <c r="F4882" t="s">
        <v>14</v>
      </c>
      <c r="G4882">
        <v>10</v>
      </c>
      <c r="H4882">
        <v>3.4870000000000001</v>
      </c>
      <c r="I4882">
        <v>10.000000000000009</v>
      </c>
      <c r="J4882" t="s">
        <v>20</v>
      </c>
    </row>
    <row r="4883" spans="1:10" x14ac:dyDescent="0.2">
      <c r="A4883">
        <v>14882</v>
      </c>
      <c r="B4883" t="s">
        <v>8</v>
      </c>
      <c r="C4883" t="s">
        <v>11</v>
      </c>
      <c r="D4883">
        <v>6.92</v>
      </c>
      <c r="E4883">
        <v>2</v>
      </c>
      <c r="F4883" t="s">
        <v>14</v>
      </c>
      <c r="G4883">
        <v>10</v>
      </c>
      <c r="H4883">
        <v>7.6120000000000001</v>
      </c>
      <c r="I4883">
        <v>10.000000000000009</v>
      </c>
      <c r="J4883" t="s">
        <v>20</v>
      </c>
    </row>
    <row r="4884" spans="1:10" x14ac:dyDescent="0.2">
      <c r="A4884">
        <v>14883</v>
      </c>
      <c r="B4884" t="s">
        <v>10</v>
      </c>
      <c r="C4884" t="s">
        <v>11</v>
      </c>
      <c r="D4884">
        <v>2.9</v>
      </c>
      <c r="E4884">
        <v>8</v>
      </c>
      <c r="F4884" t="s">
        <v>16</v>
      </c>
      <c r="G4884">
        <v>50</v>
      </c>
      <c r="H4884">
        <v>4.3499999999999996</v>
      </c>
      <c r="I4884">
        <v>50</v>
      </c>
      <c r="J4884" t="s">
        <v>20</v>
      </c>
    </row>
    <row r="4885" spans="1:10" x14ac:dyDescent="0.2">
      <c r="A4885">
        <v>14884</v>
      </c>
      <c r="B4885" t="s">
        <v>8</v>
      </c>
      <c r="C4885" t="s">
        <v>6</v>
      </c>
      <c r="D4885">
        <v>14.74</v>
      </c>
      <c r="E4885">
        <v>7</v>
      </c>
      <c r="F4885" t="s">
        <v>15</v>
      </c>
      <c r="G4885">
        <v>28</v>
      </c>
      <c r="H4885">
        <v>18.8672</v>
      </c>
      <c r="I4885">
        <v>28.000000000000004</v>
      </c>
      <c r="J4885" t="s">
        <v>20</v>
      </c>
    </row>
    <row r="4886" spans="1:10" x14ac:dyDescent="0.2">
      <c r="A4886">
        <v>14885</v>
      </c>
      <c r="B4886" t="s">
        <v>10</v>
      </c>
      <c r="C4886" t="s">
        <v>9</v>
      </c>
      <c r="D4886">
        <v>1.9</v>
      </c>
      <c r="E4886">
        <v>5</v>
      </c>
      <c r="F4886" t="s">
        <v>15</v>
      </c>
      <c r="G4886">
        <v>30</v>
      </c>
      <c r="H4886">
        <v>2.4699999999999998</v>
      </c>
      <c r="I4886">
        <v>29.999999999999982</v>
      </c>
      <c r="J4886" t="s">
        <v>20</v>
      </c>
    </row>
    <row r="4887" spans="1:10" x14ac:dyDescent="0.2">
      <c r="A4887">
        <v>14886</v>
      </c>
      <c r="B4887" t="s">
        <v>8</v>
      </c>
      <c r="C4887" t="s">
        <v>6</v>
      </c>
      <c r="D4887">
        <v>9.0399999999999991</v>
      </c>
      <c r="E4887">
        <v>10</v>
      </c>
      <c r="F4887" t="s">
        <v>16</v>
      </c>
      <c r="G4887">
        <v>55</v>
      </c>
      <c r="H4887">
        <v>14.011999999999999</v>
      </c>
      <c r="I4887">
        <v>55.000000000000007</v>
      </c>
      <c r="J4887" t="s">
        <v>20</v>
      </c>
    </row>
    <row r="4888" spans="1:10" x14ac:dyDescent="0.2">
      <c r="A4888">
        <v>14887</v>
      </c>
      <c r="B4888" t="s">
        <v>5</v>
      </c>
      <c r="C4888" t="s">
        <v>11</v>
      </c>
      <c r="D4888">
        <v>9.58</v>
      </c>
      <c r="E4888">
        <v>2</v>
      </c>
      <c r="F4888" t="s">
        <v>14</v>
      </c>
      <c r="G4888">
        <v>10</v>
      </c>
      <c r="H4888">
        <v>10.538</v>
      </c>
      <c r="I4888">
        <v>10.000000000000009</v>
      </c>
      <c r="J4888" t="s">
        <v>20</v>
      </c>
    </row>
    <row r="4889" spans="1:10" x14ac:dyDescent="0.2">
      <c r="A4889">
        <v>14888</v>
      </c>
      <c r="B4889" t="s">
        <v>5</v>
      </c>
      <c r="C4889" t="s">
        <v>6</v>
      </c>
      <c r="D4889">
        <v>8.3000000000000007</v>
      </c>
      <c r="E4889">
        <v>9</v>
      </c>
      <c r="F4889" t="s">
        <v>16</v>
      </c>
      <c r="G4889">
        <v>55</v>
      </c>
      <c r="H4889">
        <v>12.865000000000002</v>
      </c>
      <c r="I4889">
        <v>55.000000000000007</v>
      </c>
      <c r="J4889" t="s">
        <v>20</v>
      </c>
    </row>
    <row r="4890" spans="1:10" x14ac:dyDescent="0.2">
      <c r="A4890">
        <v>14889</v>
      </c>
      <c r="B4890" t="s">
        <v>5</v>
      </c>
      <c r="C4890" t="s">
        <v>11</v>
      </c>
      <c r="D4890">
        <v>10.1</v>
      </c>
      <c r="E4890">
        <v>5</v>
      </c>
      <c r="F4890" t="s">
        <v>15</v>
      </c>
      <c r="G4890">
        <v>25</v>
      </c>
      <c r="H4890">
        <v>12.625</v>
      </c>
      <c r="I4890">
        <v>25</v>
      </c>
      <c r="J4890" t="s">
        <v>20</v>
      </c>
    </row>
    <row r="4891" spans="1:10" x14ac:dyDescent="0.2">
      <c r="A4891">
        <v>14890</v>
      </c>
      <c r="B4891" t="s">
        <v>5</v>
      </c>
      <c r="C4891" t="s">
        <v>6</v>
      </c>
      <c r="D4891">
        <v>2.1800000000000002</v>
      </c>
      <c r="E4891">
        <v>8</v>
      </c>
      <c r="F4891" t="s">
        <v>16</v>
      </c>
      <c r="G4891">
        <v>55</v>
      </c>
      <c r="H4891">
        <v>3.3790000000000004</v>
      </c>
      <c r="I4891">
        <v>55.000000000000007</v>
      </c>
      <c r="J4891" t="s">
        <v>20</v>
      </c>
    </row>
    <row r="4892" spans="1:10" x14ac:dyDescent="0.2">
      <c r="A4892">
        <v>14891</v>
      </c>
      <c r="B4892" t="s">
        <v>10</v>
      </c>
      <c r="C4892" t="s">
        <v>6</v>
      </c>
      <c r="D4892">
        <v>8.5500000000000007</v>
      </c>
      <c r="E4892">
        <v>4</v>
      </c>
      <c r="F4892" t="s">
        <v>15</v>
      </c>
      <c r="G4892">
        <v>28</v>
      </c>
      <c r="H4892">
        <v>10.944000000000001</v>
      </c>
      <c r="I4892">
        <v>28.000000000000004</v>
      </c>
      <c r="J4892" t="s">
        <v>20</v>
      </c>
    </row>
    <row r="4893" spans="1:10" x14ac:dyDescent="0.2">
      <c r="A4893">
        <v>14892</v>
      </c>
      <c r="B4893" t="s">
        <v>10</v>
      </c>
      <c r="C4893" t="s">
        <v>11</v>
      </c>
      <c r="D4893">
        <v>4.66</v>
      </c>
      <c r="E4893">
        <v>9</v>
      </c>
      <c r="F4893" t="s">
        <v>16</v>
      </c>
      <c r="G4893">
        <v>50</v>
      </c>
      <c r="H4893">
        <v>6.99</v>
      </c>
      <c r="I4893">
        <v>50</v>
      </c>
      <c r="J4893" t="s">
        <v>20</v>
      </c>
    </row>
    <row r="4894" spans="1:10" x14ac:dyDescent="0.2">
      <c r="A4894">
        <v>14893</v>
      </c>
      <c r="B4894" t="s">
        <v>7</v>
      </c>
      <c r="C4894" t="s">
        <v>6</v>
      </c>
      <c r="D4894">
        <v>14.13</v>
      </c>
      <c r="E4894">
        <v>10</v>
      </c>
      <c r="F4894" t="s">
        <v>16</v>
      </c>
      <c r="G4894">
        <v>55</v>
      </c>
      <c r="H4894">
        <v>21.901500000000002</v>
      </c>
      <c r="I4894">
        <v>55.000000000000007</v>
      </c>
      <c r="J4894" t="s">
        <v>20</v>
      </c>
    </row>
    <row r="4895" spans="1:10" x14ac:dyDescent="0.2">
      <c r="A4895">
        <v>14894</v>
      </c>
      <c r="B4895" t="s">
        <v>8</v>
      </c>
      <c r="C4895" t="s">
        <v>9</v>
      </c>
      <c r="D4895">
        <v>11.55</v>
      </c>
      <c r="E4895">
        <v>7</v>
      </c>
      <c r="F4895" t="s">
        <v>15</v>
      </c>
      <c r="G4895">
        <v>30</v>
      </c>
      <c r="H4895">
        <v>15.015000000000001</v>
      </c>
      <c r="I4895">
        <v>30.000000000000004</v>
      </c>
      <c r="J4895" t="s">
        <v>20</v>
      </c>
    </row>
    <row r="4896" spans="1:10" x14ac:dyDescent="0.2">
      <c r="A4896">
        <v>14895</v>
      </c>
      <c r="B4896" t="s">
        <v>5</v>
      </c>
      <c r="C4896" t="s">
        <v>6</v>
      </c>
      <c r="D4896">
        <v>14.6</v>
      </c>
      <c r="E4896">
        <v>2</v>
      </c>
      <c r="F4896" t="s">
        <v>14</v>
      </c>
      <c r="G4896">
        <v>12</v>
      </c>
      <c r="H4896">
        <v>16.352</v>
      </c>
      <c r="I4896">
        <v>12.000000000000011</v>
      </c>
      <c r="J4896" t="s">
        <v>20</v>
      </c>
    </row>
    <row r="4897" spans="1:10" x14ac:dyDescent="0.2">
      <c r="A4897">
        <v>14896</v>
      </c>
      <c r="B4897" t="s">
        <v>10</v>
      </c>
      <c r="C4897" t="s">
        <v>6</v>
      </c>
      <c r="D4897">
        <v>1.04</v>
      </c>
      <c r="E4897">
        <v>3</v>
      </c>
      <c r="F4897" t="s">
        <v>14</v>
      </c>
      <c r="G4897">
        <v>12</v>
      </c>
      <c r="H4897">
        <v>1.1648000000000001</v>
      </c>
      <c r="I4897">
        <v>12.000000000000011</v>
      </c>
      <c r="J4897" t="s">
        <v>20</v>
      </c>
    </row>
    <row r="4898" spans="1:10" x14ac:dyDescent="0.2">
      <c r="A4898">
        <v>14897</v>
      </c>
      <c r="B4898" t="s">
        <v>8</v>
      </c>
      <c r="C4898" t="s">
        <v>9</v>
      </c>
      <c r="D4898">
        <v>4.63</v>
      </c>
      <c r="E4898">
        <v>2</v>
      </c>
      <c r="F4898" t="s">
        <v>14</v>
      </c>
      <c r="G4898">
        <v>15</v>
      </c>
      <c r="H4898">
        <v>5.3244999999999996</v>
      </c>
      <c r="I4898">
        <v>14.999999999999991</v>
      </c>
      <c r="J4898" t="s">
        <v>20</v>
      </c>
    </row>
    <row r="4899" spans="1:10" x14ac:dyDescent="0.2">
      <c r="A4899">
        <v>14898</v>
      </c>
      <c r="B4899" t="s">
        <v>8</v>
      </c>
      <c r="C4899" t="s">
        <v>11</v>
      </c>
      <c r="D4899">
        <v>3.33</v>
      </c>
      <c r="E4899">
        <v>5</v>
      </c>
      <c r="F4899" t="s">
        <v>15</v>
      </c>
      <c r="G4899">
        <v>25</v>
      </c>
      <c r="H4899">
        <v>4.1624999999999996</v>
      </c>
      <c r="I4899">
        <v>24.999999999999979</v>
      </c>
      <c r="J4899" t="s">
        <v>20</v>
      </c>
    </row>
    <row r="4900" spans="1:10" x14ac:dyDescent="0.2">
      <c r="A4900">
        <v>14899</v>
      </c>
      <c r="B4900" t="s">
        <v>10</v>
      </c>
      <c r="C4900" t="s">
        <v>9</v>
      </c>
      <c r="D4900">
        <v>0.66</v>
      </c>
      <c r="E4900">
        <v>2</v>
      </c>
      <c r="F4900" t="s">
        <v>14</v>
      </c>
      <c r="G4900">
        <v>15</v>
      </c>
      <c r="H4900">
        <v>0.75900000000000001</v>
      </c>
      <c r="I4900">
        <v>14.999999999999991</v>
      </c>
      <c r="J4900" t="s">
        <v>20</v>
      </c>
    </row>
    <row r="4901" spans="1:10" x14ac:dyDescent="0.2">
      <c r="A4901">
        <v>14900</v>
      </c>
      <c r="B4901" t="s">
        <v>5</v>
      </c>
      <c r="C4901" t="s">
        <v>6</v>
      </c>
      <c r="D4901">
        <v>4.01</v>
      </c>
      <c r="E4901">
        <v>5</v>
      </c>
      <c r="F4901" t="s">
        <v>15</v>
      </c>
      <c r="G4901">
        <v>28</v>
      </c>
      <c r="H4901">
        <v>5.1327999999999996</v>
      </c>
      <c r="I4901">
        <v>28.000000000000004</v>
      </c>
      <c r="J4901" t="s">
        <v>20</v>
      </c>
    </row>
    <row r="4902" spans="1:10" x14ac:dyDescent="0.2">
      <c r="A4902">
        <v>14901</v>
      </c>
      <c r="B4902" t="s">
        <v>7</v>
      </c>
      <c r="C4902" t="s">
        <v>11</v>
      </c>
      <c r="D4902">
        <v>10.34</v>
      </c>
      <c r="E4902">
        <v>9</v>
      </c>
      <c r="F4902" t="s">
        <v>16</v>
      </c>
      <c r="G4902">
        <v>50</v>
      </c>
      <c r="H4902">
        <v>15.51</v>
      </c>
      <c r="I4902">
        <v>50</v>
      </c>
      <c r="J4902" t="s">
        <v>20</v>
      </c>
    </row>
    <row r="4903" spans="1:10" x14ac:dyDescent="0.2">
      <c r="A4903">
        <v>14902</v>
      </c>
      <c r="B4903" t="s">
        <v>8</v>
      </c>
      <c r="C4903" t="s">
        <v>6</v>
      </c>
      <c r="D4903">
        <v>3.85</v>
      </c>
      <c r="E4903">
        <v>2</v>
      </c>
      <c r="F4903" t="s">
        <v>14</v>
      </c>
      <c r="G4903">
        <v>12</v>
      </c>
      <c r="H4903">
        <v>4.3120000000000003</v>
      </c>
      <c r="I4903">
        <v>12.000000000000011</v>
      </c>
      <c r="J4903" t="s">
        <v>20</v>
      </c>
    </row>
    <row r="4904" spans="1:10" x14ac:dyDescent="0.2">
      <c r="A4904">
        <v>14903</v>
      </c>
      <c r="B4904" t="s">
        <v>7</v>
      </c>
      <c r="C4904" t="s">
        <v>6</v>
      </c>
      <c r="D4904">
        <v>7.88</v>
      </c>
      <c r="E4904">
        <v>9</v>
      </c>
      <c r="F4904" t="s">
        <v>16</v>
      </c>
      <c r="G4904">
        <v>55</v>
      </c>
      <c r="H4904">
        <v>12.214</v>
      </c>
      <c r="I4904">
        <v>55.000000000000007</v>
      </c>
      <c r="J4904" t="s">
        <v>20</v>
      </c>
    </row>
    <row r="4905" spans="1:10" x14ac:dyDescent="0.2">
      <c r="A4905">
        <v>14904</v>
      </c>
      <c r="B4905" t="s">
        <v>5</v>
      </c>
      <c r="C4905" t="s">
        <v>9</v>
      </c>
      <c r="D4905">
        <v>13.37</v>
      </c>
      <c r="E4905">
        <v>7</v>
      </c>
      <c r="F4905" t="s">
        <v>15</v>
      </c>
      <c r="G4905">
        <v>30</v>
      </c>
      <c r="H4905">
        <v>17.381</v>
      </c>
      <c r="I4905">
        <v>30.000000000000004</v>
      </c>
      <c r="J4905" t="s">
        <v>20</v>
      </c>
    </row>
    <row r="4906" spans="1:10" x14ac:dyDescent="0.2">
      <c r="A4906">
        <v>14905</v>
      </c>
      <c r="B4906" t="s">
        <v>5</v>
      </c>
      <c r="C4906" t="s">
        <v>9</v>
      </c>
      <c r="D4906">
        <v>10.56</v>
      </c>
      <c r="E4906">
        <v>7</v>
      </c>
      <c r="F4906" t="s">
        <v>15</v>
      </c>
      <c r="G4906">
        <v>30</v>
      </c>
      <c r="H4906">
        <v>13.728000000000002</v>
      </c>
      <c r="I4906">
        <v>30.000000000000004</v>
      </c>
      <c r="J4906" t="s">
        <v>20</v>
      </c>
    </row>
    <row r="4907" spans="1:10" x14ac:dyDescent="0.2">
      <c r="A4907">
        <v>14906</v>
      </c>
      <c r="B4907" t="s">
        <v>7</v>
      </c>
      <c r="C4907" t="s">
        <v>11</v>
      </c>
      <c r="D4907">
        <v>6.22</v>
      </c>
      <c r="E4907">
        <v>5</v>
      </c>
      <c r="F4907" t="s">
        <v>15</v>
      </c>
      <c r="G4907">
        <v>25</v>
      </c>
      <c r="H4907">
        <v>7.7749999999999995</v>
      </c>
      <c r="I4907">
        <v>25</v>
      </c>
      <c r="J4907" t="s">
        <v>20</v>
      </c>
    </row>
    <row r="4908" spans="1:10" x14ac:dyDescent="0.2">
      <c r="A4908">
        <v>14907</v>
      </c>
      <c r="B4908" t="s">
        <v>5</v>
      </c>
      <c r="C4908" t="s">
        <v>11</v>
      </c>
      <c r="D4908">
        <v>5.9</v>
      </c>
      <c r="E4908">
        <v>8</v>
      </c>
      <c r="F4908" t="s">
        <v>16</v>
      </c>
      <c r="G4908">
        <v>50</v>
      </c>
      <c r="H4908">
        <v>8.8500000000000014</v>
      </c>
      <c r="I4908">
        <v>50.000000000000021</v>
      </c>
      <c r="J4908" t="s">
        <v>20</v>
      </c>
    </row>
    <row r="4909" spans="1:10" x14ac:dyDescent="0.2">
      <c r="A4909">
        <v>14908</v>
      </c>
      <c r="B4909" t="s">
        <v>8</v>
      </c>
      <c r="C4909" t="s">
        <v>11</v>
      </c>
      <c r="D4909">
        <v>7.11</v>
      </c>
      <c r="E4909">
        <v>7</v>
      </c>
      <c r="F4909" t="s">
        <v>15</v>
      </c>
      <c r="G4909">
        <v>25</v>
      </c>
      <c r="H4909">
        <v>8.8875000000000011</v>
      </c>
      <c r="I4909">
        <v>25</v>
      </c>
      <c r="J4909" t="s">
        <v>20</v>
      </c>
    </row>
    <row r="4910" spans="1:10" x14ac:dyDescent="0.2">
      <c r="A4910">
        <v>14909</v>
      </c>
      <c r="B4910" t="s">
        <v>7</v>
      </c>
      <c r="C4910" t="s">
        <v>6</v>
      </c>
      <c r="D4910">
        <v>3.07</v>
      </c>
      <c r="E4910">
        <v>6</v>
      </c>
      <c r="F4910" t="s">
        <v>15</v>
      </c>
      <c r="G4910">
        <v>28</v>
      </c>
      <c r="H4910">
        <v>3.9295999999999998</v>
      </c>
      <c r="I4910">
        <v>28.000000000000004</v>
      </c>
      <c r="J4910" t="s">
        <v>20</v>
      </c>
    </row>
    <row r="4911" spans="1:10" x14ac:dyDescent="0.2">
      <c r="A4911">
        <v>14910</v>
      </c>
      <c r="B4911" t="s">
        <v>5</v>
      </c>
      <c r="C4911" t="s">
        <v>9</v>
      </c>
      <c r="D4911">
        <v>9.69</v>
      </c>
      <c r="E4911">
        <v>2</v>
      </c>
      <c r="F4911" t="s">
        <v>14</v>
      </c>
      <c r="G4911">
        <v>15</v>
      </c>
      <c r="H4911">
        <v>11.143499999999998</v>
      </c>
      <c r="I4911">
        <v>14.999999999999991</v>
      </c>
      <c r="J4911" t="s">
        <v>20</v>
      </c>
    </row>
    <row r="4912" spans="1:10" x14ac:dyDescent="0.2">
      <c r="A4912">
        <v>14911</v>
      </c>
      <c r="B4912" t="s">
        <v>7</v>
      </c>
      <c r="C4912" t="s">
        <v>9</v>
      </c>
      <c r="D4912">
        <v>5.78</v>
      </c>
      <c r="E4912">
        <v>6</v>
      </c>
      <c r="F4912" t="s">
        <v>15</v>
      </c>
      <c r="G4912">
        <v>30</v>
      </c>
      <c r="H4912">
        <v>7.5140000000000002</v>
      </c>
      <c r="I4912">
        <v>30.000000000000004</v>
      </c>
      <c r="J4912" t="s">
        <v>20</v>
      </c>
    </row>
    <row r="4913" spans="1:10" x14ac:dyDescent="0.2">
      <c r="A4913">
        <v>14912</v>
      </c>
      <c r="B4913" t="s">
        <v>8</v>
      </c>
      <c r="C4913" t="s">
        <v>9</v>
      </c>
      <c r="D4913">
        <v>12.86</v>
      </c>
      <c r="E4913">
        <v>2</v>
      </c>
      <c r="F4913" t="s">
        <v>14</v>
      </c>
      <c r="G4913">
        <v>15</v>
      </c>
      <c r="H4913">
        <v>14.788999999999998</v>
      </c>
      <c r="I4913">
        <v>14.999999999999991</v>
      </c>
      <c r="J4913" t="s">
        <v>20</v>
      </c>
    </row>
    <row r="4914" spans="1:10" x14ac:dyDescent="0.2">
      <c r="A4914">
        <v>14913</v>
      </c>
      <c r="B4914" t="s">
        <v>5</v>
      </c>
      <c r="C4914" t="s">
        <v>11</v>
      </c>
      <c r="D4914">
        <v>11.47</v>
      </c>
      <c r="E4914">
        <v>1</v>
      </c>
      <c r="F4914" t="s">
        <v>14</v>
      </c>
      <c r="G4914">
        <v>10</v>
      </c>
      <c r="H4914">
        <v>12.617000000000001</v>
      </c>
      <c r="I4914">
        <v>10.000000000000009</v>
      </c>
      <c r="J4914" t="s">
        <v>20</v>
      </c>
    </row>
    <row r="4915" spans="1:10" x14ac:dyDescent="0.2">
      <c r="A4915">
        <v>14914</v>
      </c>
      <c r="B4915" t="s">
        <v>8</v>
      </c>
      <c r="C4915" t="s">
        <v>9</v>
      </c>
      <c r="D4915">
        <v>9.35</v>
      </c>
      <c r="E4915">
        <v>9</v>
      </c>
      <c r="F4915" t="s">
        <v>16</v>
      </c>
      <c r="G4915">
        <v>60</v>
      </c>
      <c r="H4915">
        <v>14.96</v>
      </c>
      <c r="I4915">
        <v>60.000000000000007</v>
      </c>
      <c r="J4915" t="s">
        <v>20</v>
      </c>
    </row>
    <row r="4916" spans="1:10" x14ac:dyDescent="0.2">
      <c r="A4916">
        <v>14915</v>
      </c>
      <c r="B4916" t="s">
        <v>5</v>
      </c>
      <c r="C4916" t="s">
        <v>9</v>
      </c>
      <c r="D4916">
        <v>5.78</v>
      </c>
      <c r="E4916">
        <v>5</v>
      </c>
      <c r="F4916" t="s">
        <v>15</v>
      </c>
      <c r="G4916">
        <v>30</v>
      </c>
      <c r="H4916">
        <v>7.5140000000000002</v>
      </c>
      <c r="I4916">
        <v>30.000000000000004</v>
      </c>
      <c r="J4916" t="s">
        <v>20</v>
      </c>
    </row>
    <row r="4917" spans="1:10" x14ac:dyDescent="0.2">
      <c r="A4917">
        <v>14916</v>
      </c>
      <c r="B4917" t="s">
        <v>10</v>
      </c>
      <c r="C4917" t="s">
        <v>9</v>
      </c>
      <c r="D4917">
        <v>3.54</v>
      </c>
      <c r="E4917">
        <v>10</v>
      </c>
      <c r="F4917" t="s">
        <v>16</v>
      </c>
      <c r="G4917">
        <v>60</v>
      </c>
      <c r="H4917">
        <v>5.6640000000000006</v>
      </c>
      <c r="I4917">
        <v>60.000000000000007</v>
      </c>
      <c r="J4917" t="s">
        <v>20</v>
      </c>
    </row>
    <row r="4918" spans="1:10" x14ac:dyDescent="0.2">
      <c r="A4918">
        <v>14917</v>
      </c>
      <c r="B4918" t="s">
        <v>5</v>
      </c>
      <c r="C4918" t="s">
        <v>11</v>
      </c>
      <c r="D4918">
        <v>11.75</v>
      </c>
      <c r="E4918">
        <v>10</v>
      </c>
      <c r="F4918" t="s">
        <v>16</v>
      </c>
      <c r="G4918">
        <v>50</v>
      </c>
      <c r="H4918">
        <v>17.625</v>
      </c>
      <c r="I4918">
        <v>50</v>
      </c>
      <c r="J4918" t="s">
        <v>20</v>
      </c>
    </row>
    <row r="4919" spans="1:10" x14ac:dyDescent="0.2">
      <c r="A4919">
        <v>14918</v>
      </c>
      <c r="B4919" t="s">
        <v>7</v>
      </c>
      <c r="C4919" t="s">
        <v>9</v>
      </c>
      <c r="D4919">
        <v>7.55</v>
      </c>
      <c r="E4919">
        <v>4</v>
      </c>
      <c r="F4919" t="s">
        <v>15</v>
      </c>
      <c r="G4919">
        <v>30</v>
      </c>
      <c r="H4919">
        <v>9.8149999999999995</v>
      </c>
      <c r="I4919">
        <v>30.000000000000004</v>
      </c>
      <c r="J4919" t="s">
        <v>20</v>
      </c>
    </row>
    <row r="4920" spans="1:10" x14ac:dyDescent="0.2">
      <c r="A4920">
        <v>14919</v>
      </c>
      <c r="B4920" t="s">
        <v>5</v>
      </c>
      <c r="C4920" t="s">
        <v>11</v>
      </c>
      <c r="D4920">
        <v>3.76</v>
      </c>
      <c r="E4920">
        <v>8</v>
      </c>
      <c r="F4920" t="s">
        <v>16</v>
      </c>
      <c r="G4920">
        <v>50</v>
      </c>
      <c r="H4920">
        <v>5.64</v>
      </c>
      <c r="I4920">
        <v>50</v>
      </c>
      <c r="J4920" t="s">
        <v>20</v>
      </c>
    </row>
    <row r="4921" spans="1:10" x14ac:dyDescent="0.2">
      <c r="A4921">
        <v>14920</v>
      </c>
      <c r="B4921" t="s">
        <v>8</v>
      </c>
      <c r="C4921" t="s">
        <v>9</v>
      </c>
      <c r="D4921">
        <v>3.33</v>
      </c>
      <c r="E4921">
        <v>5</v>
      </c>
      <c r="F4921" t="s">
        <v>15</v>
      </c>
      <c r="G4921">
        <v>30</v>
      </c>
      <c r="H4921">
        <v>4.3290000000000006</v>
      </c>
      <c r="I4921">
        <v>30.000000000000028</v>
      </c>
      <c r="J4921" t="s">
        <v>20</v>
      </c>
    </row>
    <row r="4922" spans="1:10" x14ac:dyDescent="0.2">
      <c r="A4922">
        <v>14921</v>
      </c>
      <c r="B4922" t="s">
        <v>8</v>
      </c>
      <c r="C4922" t="s">
        <v>9</v>
      </c>
      <c r="D4922">
        <v>2.9</v>
      </c>
      <c r="E4922">
        <v>7</v>
      </c>
      <c r="F4922" t="s">
        <v>15</v>
      </c>
      <c r="G4922">
        <v>30</v>
      </c>
      <c r="H4922">
        <v>3.77</v>
      </c>
      <c r="I4922">
        <v>30.000000000000004</v>
      </c>
      <c r="J4922" t="s">
        <v>20</v>
      </c>
    </row>
    <row r="4923" spans="1:10" x14ac:dyDescent="0.2">
      <c r="A4923">
        <v>14922</v>
      </c>
      <c r="B4923" t="s">
        <v>5</v>
      </c>
      <c r="C4923" t="s">
        <v>9</v>
      </c>
      <c r="D4923">
        <v>11.77</v>
      </c>
      <c r="E4923">
        <v>3</v>
      </c>
      <c r="F4923" t="s">
        <v>14</v>
      </c>
      <c r="G4923">
        <v>15</v>
      </c>
      <c r="H4923">
        <v>13.535499999999999</v>
      </c>
      <c r="I4923">
        <v>14.999999999999991</v>
      </c>
      <c r="J4923" t="s">
        <v>20</v>
      </c>
    </row>
    <row r="4924" spans="1:10" x14ac:dyDescent="0.2">
      <c r="A4924">
        <v>14923</v>
      </c>
      <c r="B4924" t="s">
        <v>7</v>
      </c>
      <c r="C4924" t="s">
        <v>11</v>
      </c>
      <c r="D4924">
        <v>3.82</v>
      </c>
      <c r="E4924">
        <v>8</v>
      </c>
      <c r="F4924" t="s">
        <v>16</v>
      </c>
      <c r="G4924">
        <v>50</v>
      </c>
      <c r="H4924">
        <v>5.7299999999999995</v>
      </c>
      <c r="I4924">
        <v>50</v>
      </c>
      <c r="J4924" t="s">
        <v>20</v>
      </c>
    </row>
    <row r="4925" spans="1:10" x14ac:dyDescent="0.2">
      <c r="A4925">
        <v>14924</v>
      </c>
      <c r="B4925" t="s">
        <v>10</v>
      </c>
      <c r="C4925" t="s">
        <v>11</v>
      </c>
      <c r="D4925">
        <v>8.14</v>
      </c>
      <c r="E4925">
        <v>8</v>
      </c>
      <c r="F4925" t="s">
        <v>16</v>
      </c>
      <c r="G4925">
        <v>50</v>
      </c>
      <c r="H4925">
        <v>12.21</v>
      </c>
      <c r="I4925">
        <v>50</v>
      </c>
      <c r="J4925" t="s">
        <v>20</v>
      </c>
    </row>
    <row r="4926" spans="1:10" x14ac:dyDescent="0.2">
      <c r="A4926">
        <v>14925</v>
      </c>
      <c r="B4926" t="s">
        <v>7</v>
      </c>
      <c r="C4926" t="s">
        <v>9</v>
      </c>
      <c r="D4926">
        <v>7.05</v>
      </c>
      <c r="E4926">
        <v>3</v>
      </c>
      <c r="F4926" t="s">
        <v>14</v>
      </c>
      <c r="G4926">
        <v>15</v>
      </c>
      <c r="H4926">
        <v>8.1074999999999999</v>
      </c>
      <c r="I4926">
        <v>14.999999999999991</v>
      </c>
      <c r="J4926" t="s">
        <v>20</v>
      </c>
    </row>
    <row r="4927" spans="1:10" x14ac:dyDescent="0.2">
      <c r="A4927">
        <v>14926</v>
      </c>
      <c r="B4927" t="s">
        <v>10</v>
      </c>
      <c r="C4927" t="s">
        <v>6</v>
      </c>
      <c r="D4927">
        <v>8.9</v>
      </c>
      <c r="E4927">
        <v>9</v>
      </c>
      <c r="F4927" t="s">
        <v>16</v>
      </c>
      <c r="G4927">
        <v>55</v>
      </c>
      <c r="H4927">
        <v>13.795000000000002</v>
      </c>
      <c r="I4927">
        <v>55.000000000000007</v>
      </c>
      <c r="J4927" t="s">
        <v>20</v>
      </c>
    </row>
    <row r="4928" spans="1:10" x14ac:dyDescent="0.2">
      <c r="A4928">
        <v>14927</v>
      </c>
      <c r="B4928" t="s">
        <v>8</v>
      </c>
      <c r="C4928" t="s">
        <v>11</v>
      </c>
      <c r="D4928">
        <v>13.22</v>
      </c>
      <c r="E4928">
        <v>8</v>
      </c>
      <c r="F4928" t="s">
        <v>16</v>
      </c>
      <c r="G4928">
        <v>50</v>
      </c>
      <c r="H4928">
        <v>19.830000000000002</v>
      </c>
      <c r="I4928">
        <v>50</v>
      </c>
      <c r="J4928" t="s">
        <v>20</v>
      </c>
    </row>
    <row r="4929" spans="1:10" x14ac:dyDescent="0.2">
      <c r="A4929">
        <v>14928</v>
      </c>
      <c r="B4929" t="s">
        <v>7</v>
      </c>
      <c r="C4929" t="s">
        <v>11</v>
      </c>
      <c r="D4929">
        <v>13.08</v>
      </c>
      <c r="E4929">
        <v>1</v>
      </c>
      <c r="F4929" t="s">
        <v>14</v>
      </c>
      <c r="G4929">
        <v>10</v>
      </c>
      <c r="H4929">
        <v>14.388000000000002</v>
      </c>
      <c r="I4929">
        <v>10.000000000000009</v>
      </c>
      <c r="J4929" t="s">
        <v>20</v>
      </c>
    </row>
    <row r="4930" spans="1:10" x14ac:dyDescent="0.2">
      <c r="A4930">
        <v>14929</v>
      </c>
      <c r="B4930" t="s">
        <v>10</v>
      </c>
      <c r="C4930" t="s">
        <v>9</v>
      </c>
      <c r="D4930">
        <v>7.04</v>
      </c>
      <c r="E4930">
        <v>8</v>
      </c>
      <c r="F4930" t="s">
        <v>16</v>
      </c>
      <c r="G4930">
        <v>60</v>
      </c>
      <c r="H4930">
        <v>11.264000000000001</v>
      </c>
      <c r="I4930">
        <v>60.000000000000007</v>
      </c>
      <c r="J4930" t="s">
        <v>20</v>
      </c>
    </row>
    <row r="4931" spans="1:10" x14ac:dyDescent="0.2">
      <c r="A4931">
        <v>14930</v>
      </c>
      <c r="B4931" t="s">
        <v>5</v>
      </c>
      <c r="C4931" t="s">
        <v>6</v>
      </c>
      <c r="D4931">
        <v>0.72</v>
      </c>
      <c r="E4931">
        <v>4</v>
      </c>
      <c r="F4931" t="s">
        <v>15</v>
      </c>
      <c r="G4931">
        <v>28</v>
      </c>
      <c r="H4931">
        <v>0.92159999999999997</v>
      </c>
      <c r="I4931">
        <v>28.000000000000004</v>
      </c>
      <c r="J4931" t="s">
        <v>20</v>
      </c>
    </row>
    <row r="4932" spans="1:10" x14ac:dyDescent="0.2">
      <c r="A4932">
        <v>14931</v>
      </c>
      <c r="B4932" t="s">
        <v>8</v>
      </c>
      <c r="C4932" t="s">
        <v>9</v>
      </c>
      <c r="D4932">
        <v>6.68</v>
      </c>
      <c r="E4932">
        <v>6</v>
      </c>
      <c r="F4932" t="s">
        <v>15</v>
      </c>
      <c r="G4932">
        <v>30</v>
      </c>
      <c r="H4932">
        <v>8.6839999999999993</v>
      </c>
      <c r="I4932">
        <v>30.000000000000004</v>
      </c>
      <c r="J4932" t="s">
        <v>20</v>
      </c>
    </row>
    <row r="4933" spans="1:10" x14ac:dyDescent="0.2">
      <c r="A4933">
        <v>14932</v>
      </c>
      <c r="B4933" t="s">
        <v>5</v>
      </c>
      <c r="C4933" t="s">
        <v>11</v>
      </c>
      <c r="D4933">
        <v>9.2899999999999991</v>
      </c>
      <c r="E4933">
        <v>10</v>
      </c>
      <c r="F4933" t="s">
        <v>16</v>
      </c>
      <c r="G4933">
        <v>50</v>
      </c>
      <c r="H4933">
        <v>13.934999999999999</v>
      </c>
      <c r="I4933">
        <v>50</v>
      </c>
      <c r="J4933" t="s">
        <v>20</v>
      </c>
    </row>
    <row r="4934" spans="1:10" x14ac:dyDescent="0.2">
      <c r="A4934">
        <v>14933</v>
      </c>
      <c r="B4934" t="s">
        <v>8</v>
      </c>
      <c r="C4934" t="s">
        <v>11</v>
      </c>
      <c r="D4934">
        <v>8.59</v>
      </c>
      <c r="E4934">
        <v>9</v>
      </c>
      <c r="F4934" t="s">
        <v>16</v>
      </c>
      <c r="G4934">
        <v>50</v>
      </c>
      <c r="H4934">
        <v>12.885</v>
      </c>
      <c r="I4934">
        <v>50</v>
      </c>
      <c r="J4934" t="s">
        <v>20</v>
      </c>
    </row>
    <row r="4935" spans="1:10" x14ac:dyDescent="0.2">
      <c r="A4935">
        <v>14934</v>
      </c>
      <c r="B4935" t="s">
        <v>7</v>
      </c>
      <c r="C4935" t="s">
        <v>9</v>
      </c>
      <c r="D4935">
        <v>9.94</v>
      </c>
      <c r="E4935">
        <v>5</v>
      </c>
      <c r="F4935" t="s">
        <v>15</v>
      </c>
      <c r="G4935">
        <v>30</v>
      </c>
      <c r="H4935">
        <v>12.922000000000001</v>
      </c>
      <c r="I4935">
        <v>30.000000000000004</v>
      </c>
      <c r="J4935" t="s">
        <v>20</v>
      </c>
    </row>
    <row r="4936" spans="1:10" x14ac:dyDescent="0.2">
      <c r="A4936">
        <v>14935</v>
      </c>
      <c r="B4936" t="s">
        <v>7</v>
      </c>
      <c r="C4936" t="s">
        <v>9</v>
      </c>
      <c r="D4936">
        <v>2.73</v>
      </c>
      <c r="E4936">
        <v>7</v>
      </c>
      <c r="F4936" t="s">
        <v>15</v>
      </c>
      <c r="G4936">
        <v>30</v>
      </c>
      <c r="H4936">
        <v>3.5489999999999999</v>
      </c>
      <c r="I4936">
        <v>30.000000000000004</v>
      </c>
      <c r="J4936" t="s">
        <v>20</v>
      </c>
    </row>
    <row r="4937" spans="1:10" x14ac:dyDescent="0.2">
      <c r="A4937">
        <v>14936</v>
      </c>
      <c r="B4937" t="s">
        <v>8</v>
      </c>
      <c r="C4937" t="s">
        <v>6</v>
      </c>
      <c r="D4937">
        <v>9.8699999999999992</v>
      </c>
      <c r="E4937">
        <v>1</v>
      </c>
      <c r="F4937" t="s">
        <v>14</v>
      </c>
      <c r="G4937">
        <v>12</v>
      </c>
      <c r="H4937">
        <v>11.054399999999999</v>
      </c>
      <c r="I4937">
        <v>12.000000000000011</v>
      </c>
      <c r="J4937" t="s">
        <v>20</v>
      </c>
    </row>
    <row r="4938" spans="1:10" x14ac:dyDescent="0.2">
      <c r="A4938">
        <v>14937</v>
      </c>
      <c r="B4938" t="s">
        <v>8</v>
      </c>
      <c r="C4938" t="s">
        <v>6</v>
      </c>
      <c r="D4938">
        <v>3.15</v>
      </c>
      <c r="E4938">
        <v>9</v>
      </c>
      <c r="F4938" t="s">
        <v>16</v>
      </c>
      <c r="G4938">
        <v>55</v>
      </c>
      <c r="H4938">
        <v>4.8825000000000003</v>
      </c>
      <c r="I4938">
        <v>55.000000000000007</v>
      </c>
      <c r="J4938" t="s">
        <v>20</v>
      </c>
    </row>
    <row r="4939" spans="1:10" x14ac:dyDescent="0.2">
      <c r="A4939">
        <v>14938</v>
      </c>
      <c r="B4939" t="s">
        <v>8</v>
      </c>
      <c r="C4939" t="s">
        <v>11</v>
      </c>
      <c r="D4939">
        <v>11.38</v>
      </c>
      <c r="E4939">
        <v>6</v>
      </c>
      <c r="F4939" t="s">
        <v>15</v>
      </c>
      <c r="G4939">
        <v>25</v>
      </c>
      <c r="H4939">
        <v>14.225000000000001</v>
      </c>
      <c r="I4939">
        <v>25</v>
      </c>
      <c r="J4939" t="s">
        <v>20</v>
      </c>
    </row>
    <row r="4940" spans="1:10" x14ac:dyDescent="0.2">
      <c r="A4940">
        <v>14939</v>
      </c>
      <c r="B4940" t="s">
        <v>7</v>
      </c>
      <c r="C4940" t="s">
        <v>6</v>
      </c>
      <c r="D4940">
        <v>5.42</v>
      </c>
      <c r="E4940">
        <v>4</v>
      </c>
      <c r="F4940" t="s">
        <v>15</v>
      </c>
      <c r="G4940">
        <v>28</v>
      </c>
      <c r="H4940">
        <v>6.9375999999999998</v>
      </c>
      <c r="I4940">
        <v>28.000000000000004</v>
      </c>
      <c r="J4940" t="s">
        <v>20</v>
      </c>
    </row>
    <row r="4941" spans="1:10" x14ac:dyDescent="0.2">
      <c r="A4941">
        <v>14940</v>
      </c>
      <c r="B4941" t="s">
        <v>10</v>
      </c>
      <c r="C4941" t="s">
        <v>6</v>
      </c>
      <c r="D4941">
        <v>10.79</v>
      </c>
      <c r="E4941">
        <v>6</v>
      </c>
      <c r="F4941" t="s">
        <v>15</v>
      </c>
      <c r="G4941">
        <v>28</v>
      </c>
      <c r="H4941">
        <v>13.811199999999999</v>
      </c>
      <c r="I4941">
        <v>28.000000000000004</v>
      </c>
      <c r="J4941" t="s">
        <v>20</v>
      </c>
    </row>
    <row r="4942" spans="1:10" x14ac:dyDescent="0.2">
      <c r="A4942">
        <v>14941</v>
      </c>
      <c r="B4942" t="s">
        <v>5</v>
      </c>
      <c r="C4942" t="s">
        <v>11</v>
      </c>
      <c r="D4942">
        <v>1.19</v>
      </c>
      <c r="E4942">
        <v>5</v>
      </c>
      <c r="F4942" t="s">
        <v>15</v>
      </c>
      <c r="G4942">
        <v>25</v>
      </c>
      <c r="H4942">
        <v>1.4874999999999998</v>
      </c>
      <c r="I4942">
        <v>25</v>
      </c>
      <c r="J4942" t="s">
        <v>20</v>
      </c>
    </row>
    <row r="4943" spans="1:10" x14ac:dyDescent="0.2">
      <c r="A4943">
        <v>14942</v>
      </c>
      <c r="B4943" t="s">
        <v>5</v>
      </c>
      <c r="C4943" t="s">
        <v>11</v>
      </c>
      <c r="D4943">
        <v>6.41</v>
      </c>
      <c r="E4943">
        <v>3</v>
      </c>
      <c r="F4943" t="s">
        <v>14</v>
      </c>
      <c r="G4943">
        <v>10</v>
      </c>
      <c r="H4943">
        <v>7.051000000000001</v>
      </c>
      <c r="I4943">
        <v>10.000000000000009</v>
      </c>
      <c r="J4943" t="s">
        <v>20</v>
      </c>
    </row>
    <row r="4944" spans="1:10" x14ac:dyDescent="0.2">
      <c r="A4944">
        <v>14943</v>
      </c>
      <c r="B4944" t="s">
        <v>7</v>
      </c>
      <c r="C4944" t="s">
        <v>11</v>
      </c>
      <c r="D4944">
        <v>10.72</v>
      </c>
      <c r="E4944">
        <v>7</v>
      </c>
      <c r="F4944" t="s">
        <v>15</v>
      </c>
      <c r="G4944">
        <v>25</v>
      </c>
      <c r="H4944">
        <v>13.4</v>
      </c>
      <c r="I4944">
        <v>25</v>
      </c>
      <c r="J4944" t="s">
        <v>20</v>
      </c>
    </row>
    <row r="4945" spans="1:10" x14ac:dyDescent="0.2">
      <c r="A4945">
        <v>14944</v>
      </c>
      <c r="B4945" t="s">
        <v>5</v>
      </c>
      <c r="C4945" t="s">
        <v>11</v>
      </c>
      <c r="D4945">
        <v>3.79</v>
      </c>
      <c r="E4945">
        <v>3</v>
      </c>
      <c r="F4945" t="s">
        <v>14</v>
      </c>
      <c r="G4945">
        <v>10</v>
      </c>
      <c r="H4945">
        <v>4.1690000000000005</v>
      </c>
      <c r="I4945">
        <v>10.000000000000009</v>
      </c>
      <c r="J4945" t="s">
        <v>20</v>
      </c>
    </row>
    <row r="4946" spans="1:10" x14ac:dyDescent="0.2">
      <c r="A4946">
        <v>14945</v>
      </c>
      <c r="B4946" t="s">
        <v>8</v>
      </c>
      <c r="C4946" t="s">
        <v>9</v>
      </c>
      <c r="D4946">
        <v>12.03</v>
      </c>
      <c r="E4946">
        <v>2</v>
      </c>
      <c r="F4946" t="s">
        <v>14</v>
      </c>
      <c r="G4946">
        <v>15</v>
      </c>
      <c r="H4946">
        <v>13.834499999999998</v>
      </c>
      <c r="I4946">
        <v>14.999999999999991</v>
      </c>
      <c r="J4946" t="s">
        <v>20</v>
      </c>
    </row>
    <row r="4947" spans="1:10" x14ac:dyDescent="0.2">
      <c r="A4947">
        <v>14946</v>
      </c>
      <c r="B4947" t="s">
        <v>10</v>
      </c>
      <c r="C4947" t="s">
        <v>11</v>
      </c>
      <c r="D4947">
        <v>9.65</v>
      </c>
      <c r="E4947">
        <v>4</v>
      </c>
      <c r="F4947" t="s">
        <v>15</v>
      </c>
      <c r="G4947">
        <v>25</v>
      </c>
      <c r="H4947">
        <v>12.0625</v>
      </c>
      <c r="I4947">
        <v>25</v>
      </c>
      <c r="J4947" t="s">
        <v>20</v>
      </c>
    </row>
    <row r="4948" spans="1:10" x14ac:dyDescent="0.2">
      <c r="A4948">
        <v>14947</v>
      </c>
      <c r="B4948" t="s">
        <v>5</v>
      </c>
      <c r="C4948" t="s">
        <v>11</v>
      </c>
      <c r="D4948">
        <v>9.02</v>
      </c>
      <c r="E4948">
        <v>7</v>
      </c>
      <c r="F4948" t="s">
        <v>15</v>
      </c>
      <c r="G4948">
        <v>25</v>
      </c>
      <c r="H4948">
        <v>11.274999999999999</v>
      </c>
      <c r="I4948">
        <v>25</v>
      </c>
      <c r="J4948" t="s">
        <v>20</v>
      </c>
    </row>
    <row r="4949" spans="1:10" x14ac:dyDescent="0.2">
      <c r="A4949">
        <v>14948</v>
      </c>
      <c r="B4949" t="s">
        <v>10</v>
      </c>
      <c r="C4949" t="s">
        <v>11</v>
      </c>
      <c r="D4949">
        <v>5.63</v>
      </c>
      <c r="E4949">
        <v>5</v>
      </c>
      <c r="F4949" t="s">
        <v>15</v>
      </c>
      <c r="G4949">
        <v>25</v>
      </c>
      <c r="H4949">
        <v>7.0374999999999996</v>
      </c>
      <c r="I4949">
        <v>25</v>
      </c>
      <c r="J4949" t="s">
        <v>20</v>
      </c>
    </row>
    <row r="4950" spans="1:10" x14ac:dyDescent="0.2">
      <c r="A4950">
        <v>14949</v>
      </c>
      <c r="B4950" t="s">
        <v>8</v>
      </c>
      <c r="C4950" t="s">
        <v>6</v>
      </c>
      <c r="D4950">
        <v>7.5</v>
      </c>
      <c r="E4950">
        <v>9</v>
      </c>
      <c r="F4950" t="s">
        <v>16</v>
      </c>
      <c r="G4950">
        <v>55</v>
      </c>
      <c r="H4950">
        <v>11.625</v>
      </c>
      <c r="I4950">
        <v>55.000000000000007</v>
      </c>
      <c r="J4950" t="s">
        <v>20</v>
      </c>
    </row>
    <row r="4951" spans="1:10" x14ac:dyDescent="0.2">
      <c r="A4951">
        <v>14950</v>
      </c>
      <c r="B4951" t="s">
        <v>5</v>
      </c>
      <c r="C4951" t="s">
        <v>11</v>
      </c>
      <c r="D4951">
        <v>9.16</v>
      </c>
      <c r="E4951">
        <v>10</v>
      </c>
      <c r="F4951" t="s">
        <v>16</v>
      </c>
      <c r="G4951">
        <v>50</v>
      </c>
      <c r="H4951">
        <v>13.74</v>
      </c>
      <c r="I4951">
        <v>50</v>
      </c>
      <c r="J4951" t="s">
        <v>20</v>
      </c>
    </row>
    <row r="4952" spans="1:10" x14ac:dyDescent="0.2">
      <c r="A4952">
        <v>14951</v>
      </c>
      <c r="B4952" t="s">
        <v>7</v>
      </c>
      <c r="C4952" t="s">
        <v>9</v>
      </c>
      <c r="D4952">
        <v>7.35</v>
      </c>
      <c r="E4952">
        <v>7</v>
      </c>
      <c r="F4952" t="s">
        <v>15</v>
      </c>
      <c r="G4952">
        <v>30</v>
      </c>
      <c r="H4952">
        <v>9.5549999999999997</v>
      </c>
      <c r="I4952">
        <v>30.000000000000004</v>
      </c>
      <c r="J4952" t="s">
        <v>20</v>
      </c>
    </row>
    <row r="4953" spans="1:10" x14ac:dyDescent="0.2">
      <c r="A4953">
        <v>14952</v>
      </c>
      <c r="B4953" t="s">
        <v>10</v>
      </c>
      <c r="C4953" t="s">
        <v>9</v>
      </c>
      <c r="D4953">
        <v>10.63</v>
      </c>
      <c r="E4953">
        <v>9</v>
      </c>
      <c r="F4953" t="s">
        <v>16</v>
      </c>
      <c r="G4953">
        <v>60</v>
      </c>
      <c r="H4953">
        <v>17.008000000000003</v>
      </c>
      <c r="I4953">
        <v>60.000000000000007</v>
      </c>
      <c r="J4953" t="s">
        <v>20</v>
      </c>
    </row>
    <row r="4954" spans="1:10" x14ac:dyDescent="0.2">
      <c r="A4954">
        <v>14953</v>
      </c>
      <c r="B4954" t="s">
        <v>8</v>
      </c>
      <c r="C4954" t="s">
        <v>11</v>
      </c>
      <c r="D4954">
        <v>6.79</v>
      </c>
      <c r="E4954">
        <v>9</v>
      </c>
      <c r="F4954" t="s">
        <v>16</v>
      </c>
      <c r="G4954">
        <v>50</v>
      </c>
      <c r="H4954">
        <v>10.185</v>
      </c>
      <c r="I4954">
        <v>50</v>
      </c>
      <c r="J4954" t="s">
        <v>20</v>
      </c>
    </row>
    <row r="4955" spans="1:10" x14ac:dyDescent="0.2">
      <c r="A4955">
        <v>14954</v>
      </c>
      <c r="B4955" t="s">
        <v>10</v>
      </c>
      <c r="C4955" t="s">
        <v>9</v>
      </c>
      <c r="D4955">
        <v>3.43</v>
      </c>
      <c r="E4955">
        <v>2</v>
      </c>
      <c r="F4955" t="s">
        <v>14</v>
      </c>
      <c r="G4955">
        <v>15</v>
      </c>
      <c r="H4955">
        <v>3.9444999999999997</v>
      </c>
      <c r="I4955">
        <v>14.999999999999991</v>
      </c>
      <c r="J4955" t="s">
        <v>20</v>
      </c>
    </row>
    <row r="4956" spans="1:10" x14ac:dyDescent="0.2">
      <c r="A4956">
        <v>14955</v>
      </c>
      <c r="B4956" t="s">
        <v>5</v>
      </c>
      <c r="C4956" t="s">
        <v>6</v>
      </c>
      <c r="D4956">
        <v>3.6</v>
      </c>
      <c r="E4956">
        <v>1</v>
      </c>
      <c r="F4956" t="s">
        <v>14</v>
      </c>
      <c r="G4956">
        <v>12</v>
      </c>
      <c r="H4956">
        <v>4.0320000000000009</v>
      </c>
      <c r="I4956">
        <v>12.000000000000032</v>
      </c>
      <c r="J4956" t="s">
        <v>20</v>
      </c>
    </row>
    <row r="4957" spans="1:10" x14ac:dyDescent="0.2">
      <c r="A4957">
        <v>14956</v>
      </c>
      <c r="B4957" t="s">
        <v>5</v>
      </c>
      <c r="C4957" t="s">
        <v>11</v>
      </c>
      <c r="D4957">
        <v>0.57999999999999996</v>
      </c>
      <c r="E4957">
        <v>4</v>
      </c>
      <c r="F4957" t="s">
        <v>15</v>
      </c>
      <c r="G4957">
        <v>25</v>
      </c>
      <c r="H4957">
        <v>0.72499999999999998</v>
      </c>
      <c r="I4957">
        <v>25</v>
      </c>
      <c r="J4957" t="s">
        <v>20</v>
      </c>
    </row>
    <row r="4958" spans="1:10" x14ac:dyDescent="0.2">
      <c r="A4958">
        <v>14957</v>
      </c>
      <c r="B4958" t="s">
        <v>7</v>
      </c>
      <c r="C4958" t="s">
        <v>9</v>
      </c>
      <c r="D4958">
        <v>4.8600000000000003</v>
      </c>
      <c r="E4958">
        <v>4</v>
      </c>
      <c r="F4958" t="s">
        <v>15</v>
      </c>
      <c r="G4958">
        <v>30</v>
      </c>
      <c r="H4958">
        <v>6.3180000000000005</v>
      </c>
      <c r="I4958">
        <v>30.000000000000004</v>
      </c>
      <c r="J4958" t="s">
        <v>20</v>
      </c>
    </row>
    <row r="4959" spans="1:10" x14ac:dyDescent="0.2">
      <c r="A4959">
        <v>14958</v>
      </c>
      <c r="B4959" t="s">
        <v>8</v>
      </c>
      <c r="C4959" t="s">
        <v>9</v>
      </c>
      <c r="D4959">
        <v>11.36</v>
      </c>
      <c r="E4959">
        <v>2</v>
      </c>
      <c r="F4959" t="s">
        <v>14</v>
      </c>
      <c r="G4959">
        <v>15</v>
      </c>
      <c r="H4959">
        <v>13.063999999999998</v>
      </c>
      <c r="I4959">
        <v>14.999999999999991</v>
      </c>
      <c r="J4959" t="s">
        <v>20</v>
      </c>
    </row>
    <row r="4960" spans="1:10" x14ac:dyDescent="0.2">
      <c r="A4960">
        <v>14959</v>
      </c>
      <c r="B4960" t="s">
        <v>8</v>
      </c>
      <c r="C4960" t="s">
        <v>11</v>
      </c>
      <c r="D4960">
        <v>12.02</v>
      </c>
      <c r="E4960">
        <v>3</v>
      </c>
      <c r="F4960" t="s">
        <v>14</v>
      </c>
      <c r="G4960">
        <v>10</v>
      </c>
      <c r="H4960">
        <v>13.222000000000001</v>
      </c>
      <c r="I4960">
        <v>10.000000000000009</v>
      </c>
      <c r="J4960" t="s">
        <v>20</v>
      </c>
    </row>
    <row r="4961" spans="1:10" x14ac:dyDescent="0.2">
      <c r="A4961">
        <v>14960</v>
      </c>
      <c r="B4961" t="s">
        <v>7</v>
      </c>
      <c r="C4961" t="s">
        <v>9</v>
      </c>
      <c r="D4961">
        <v>3.44</v>
      </c>
      <c r="E4961">
        <v>3</v>
      </c>
      <c r="F4961" t="s">
        <v>14</v>
      </c>
      <c r="G4961">
        <v>15</v>
      </c>
      <c r="H4961">
        <v>3.9559999999999995</v>
      </c>
      <c r="I4961">
        <v>14.999999999999991</v>
      </c>
      <c r="J4961" t="s">
        <v>20</v>
      </c>
    </row>
    <row r="4962" spans="1:10" x14ac:dyDescent="0.2">
      <c r="A4962">
        <v>14961</v>
      </c>
      <c r="B4962" t="s">
        <v>7</v>
      </c>
      <c r="C4962" t="s">
        <v>11</v>
      </c>
      <c r="D4962">
        <v>14.41</v>
      </c>
      <c r="E4962">
        <v>5</v>
      </c>
      <c r="F4962" t="s">
        <v>15</v>
      </c>
      <c r="G4962">
        <v>25</v>
      </c>
      <c r="H4962">
        <v>18.012499999999999</v>
      </c>
      <c r="I4962">
        <v>25</v>
      </c>
      <c r="J4962" t="s">
        <v>20</v>
      </c>
    </row>
    <row r="4963" spans="1:10" x14ac:dyDescent="0.2">
      <c r="A4963">
        <v>14962</v>
      </c>
      <c r="B4963" t="s">
        <v>8</v>
      </c>
      <c r="C4963" t="s">
        <v>9</v>
      </c>
      <c r="D4963">
        <v>7.78</v>
      </c>
      <c r="E4963">
        <v>1</v>
      </c>
      <c r="F4963" t="s">
        <v>14</v>
      </c>
      <c r="G4963">
        <v>15</v>
      </c>
      <c r="H4963">
        <v>8.9469999999999992</v>
      </c>
      <c r="I4963">
        <v>14.999999999999991</v>
      </c>
      <c r="J4963" t="s">
        <v>20</v>
      </c>
    </row>
    <row r="4964" spans="1:10" x14ac:dyDescent="0.2">
      <c r="A4964">
        <v>14963</v>
      </c>
      <c r="B4964" t="s">
        <v>10</v>
      </c>
      <c r="C4964" t="s">
        <v>6</v>
      </c>
      <c r="D4964">
        <v>13.8</v>
      </c>
      <c r="E4964">
        <v>9</v>
      </c>
      <c r="F4964" t="s">
        <v>16</v>
      </c>
      <c r="G4964">
        <v>55</v>
      </c>
      <c r="H4964">
        <v>21.39</v>
      </c>
      <c r="I4964">
        <v>55.000000000000007</v>
      </c>
      <c r="J4964" t="s">
        <v>20</v>
      </c>
    </row>
    <row r="4965" spans="1:10" x14ac:dyDescent="0.2">
      <c r="A4965">
        <v>14964</v>
      </c>
      <c r="B4965" t="s">
        <v>10</v>
      </c>
      <c r="C4965" t="s">
        <v>9</v>
      </c>
      <c r="D4965">
        <v>10.75</v>
      </c>
      <c r="E4965">
        <v>8</v>
      </c>
      <c r="F4965" t="s">
        <v>16</v>
      </c>
      <c r="G4965">
        <v>60</v>
      </c>
      <c r="H4965">
        <v>17.2</v>
      </c>
      <c r="I4965">
        <v>59.999999999999986</v>
      </c>
      <c r="J4965" t="s">
        <v>20</v>
      </c>
    </row>
    <row r="4966" spans="1:10" x14ac:dyDescent="0.2">
      <c r="A4966">
        <v>14965</v>
      </c>
      <c r="B4966" t="s">
        <v>7</v>
      </c>
      <c r="C4966" t="s">
        <v>9</v>
      </c>
      <c r="D4966">
        <v>10.98</v>
      </c>
      <c r="E4966">
        <v>8</v>
      </c>
      <c r="F4966" t="s">
        <v>16</v>
      </c>
      <c r="G4966">
        <v>60</v>
      </c>
      <c r="H4966">
        <v>17.568000000000001</v>
      </c>
      <c r="I4966">
        <v>60.000000000000007</v>
      </c>
      <c r="J4966" t="s">
        <v>20</v>
      </c>
    </row>
    <row r="4967" spans="1:10" x14ac:dyDescent="0.2">
      <c r="A4967">
        <v>14966</v>
      </c>
      <c r="B4967" t="s">
        <v>10</v>
      </c>
      <c r="C4967" t="s">
        <v>11</v>
      </c>
      <c r="D4967">
        <v>1.73</v>
      </c>
      <c r="E4967">
        <v>3</v>
      </c>
      <c r="F4967" t="s">
        <v>14</v>
      </c>
      <c r="G4967">
        <v>10</v>
      </c>
      <c r="H4967">
        <v>1.903</v>
      </c>
      <c r="I4967">
        <v>10.000000000000009</v>
      </c>
      <c r="J4967" t="s">
        <v>20</v>
      </c>
    </row>
    <row r="4968" spans="1:10" x14ac:dyDescent="0.2">
      <c r="A4968">
        <v>14967</v>
      </c>
      <c r="B4968" t="s">
        <v>8</v>
      </c>
      <c r="C4968" t="s">
        <v>9</v>
      </c>
      <c r="D4968">
        <v>3.69</v>
      </c>
      <c r="E4968">
        <v>2</v>
      </c>
      <c r="F4968" t="s">
        <v>14</v>
      </c>
      <c r="G4968">
        <v>15</v>
      </c>
      <c r="H4968">
        <v>4.2435</v>
      </c>
      <c r="I4968">
        <v>15.000000000000014</v>
      </c>
      <c r="J4968" t="s">
        <v>20</v>
      </c>
    </row>
    <row r="4969" spans="1:10" x14ac:dyDescent="0.2">
      <c r="A4969">
        <v>14968</v>
      </c>
      <c r="B4969" t="s">
        <v>5</v>
      </c>
      <c r="C4969" t="s">
        <v>11</v>
      </c>
      <c r="D4969">
        <v>0.63</v>
      </c>
      <c r="E4969">
        <v>1</v>
      </c>
      <c r="F4969" t="s">
        <v>14</v>
      </c>
      <c r="G4969">
        <v>10</v>
      </c>
      <c r="H4969">
        <v>0.69300000000000006</v>
      </c>
      <c r="I4969">
        <v>10.000000000000009</v>
      </c>
      <c r="J4969" t="s">
        <v>20</v>
      </c>
    </row>
    <row r="4970" spans="1:10" x14ac:dyDescent="0.2">
      <c r="A4970">
        <v>14969</v>
      </c>
      <c r="B4970" t="s">
        <v>5</v>
      </c>
      <c r="C4970" t="s">
        <v>6</v>
      </c>
      <c r="D4970">
        <v>10.88</v>
      </c>
      <c r="E4970">
        <v>6</v>
      </c>
      <c r="F4970" t="s">
        <v>15</v>
      </c>
      <c r="G4970">
        <v>28</v>
      </c>
      <c r="H4970">
        <v>13.926400000000001</v>
      </c>
      <c r="I4970">
        <v>28.000000000000004</v>
      </c>
      <c r="J4970" t="s">
        <v>20</v>
      </c>
    </row>
    <row r="4971" spans="1:10" x14ac:dyDescent="0.2">
      <c r="A4971">
        <v>14970</v>
      </c>
      <c r="B4971" t="s">
        <v>10</v>
      </c>
      <c r="C4971" t="s">
        <v>11</v>
      </c>
      <c r="D4971">
        <v>5.49</v>
      </c>
      <c r="E4971">
        <v>10</v>
      </c>
      <c r="F4971" t="s">
        <v>16</v>
      </c>
      <c r="G4971">
        <v>50</v>
      </c>
      <c r="H4971">
        <v>8.2349999999999994</v>
      </c>
      <c r="I4971">
        <v>49.999999999999979</v>
      </c>
      <c r="J4971" t="s">
        <v>20</v>
      </c>
    </row>
    <row r="4972" spans="1:10" x14ac:dyDescent="0.2">
      <c r="A4972">
        <v>14971</v>
      </c>
      <c r="B4972" t="s">
        <v>7</v>
      </c>
      <c r="C4972" t="s">
        <v>11</v>
      </c>
      <c r="D4972">
        <v>11.91</v>
      </c>
      <c r="E4972">
        <v>1</v>
      </c>
      <c r="F4972" t="s">
        <v>14</v>
      </c>
      <c r="G4972">
        <v>10</v>
      </c>
      <c r="H4972">
        <v>13.101000000000001</v>
      </c>
      <c r="I4972">
        <v>10.000000000000009</v>
      </c>
      <c r="J4972" t="s">
        <v>20</v>
      </c>
    </row>
    <row r="4973" spans="1:10" x14ac:dyDescent="0.2">
      <c r="A4973">
        <v>14972</v>
      </c>
      <c r="B4973" t="s">
        <v>7</v>
      </c>
      <c r="C4973" t="s">
        <v>9</v>
      </c>
      <c r="D4973">
        <v>5.41</v>
      </c>
      <c r="E4973">
        <v>5</v>
      </c>
      <c r="F4973" t="s">
        <v>15</v>
      </c>
      <c r="G4973">
        <v>30</v>
      </c>
      <c r="H4973">
        <v>7.0330000000000004</v>
      </c>
      <c r="I4973">
        <v>30.000000000000004</v>
      </c>
      <c r="J4973" t="s">
        <v>20</v>
      </c>
    </row>
    <row r="4974" spans="1:10" x14ac:dyDescent="0.2">
      <c r="A4974">
        <v>14973</v>
      </c>
      <c r="B4974" t="s">
        <v>7</v>
      </c>
      <c r="C4974" t="s">
        <v>6</v>
      </c>
      <c r="D4974">
        <v>12.38</v>
      </c>
      <c r="E4974">
        <v>9</v>
      </c>
      <c r="F4974" t="s">
        <v>16</v>
      </c>
      <c r="G4974">
        <v>55</v>
      </c>
      <c r="H4974">
        <v>19.189</v>
      </c>
      <c r="I4974">
        <v>54.999999999999986</v>
      </c>
      <c r="J4974" t="s">
        <v>20</v>
      </c>
    </row>
    <row r="4975" spans="1:10" x14ac:dyDescent="0.2">
      <c r="A4975">
        <v>14974</v>
      </c>
      <c r="B4975" t="s">
        <v>7</v>
      </c>
      <c r="C4975" t="s">
        <v>11</v>
      </c>
      <c r="D4975">
        <v>2.4</v>
      </c>
      <c r="E4975">
        <v>9</v>
      </c>
      <c r="F4975" t="s">
        <v>16</v>
      </c>
      <c r="G4975">
        <v>50</v>
      </c>
      <c r="H4975">
        <v>3.5999999999999996</v>
      </c>
      <c r="I4975">
        <v>50</v>
      </c>
      <c r="J4975" t="s">
        <v>20</v>
      </c>
    </row>
    <row r="4976" spans="1:10" x14ac:dyDescent="0.2">
      <c r="A4976">
        <v>14975</v>
      </c>
      <c r="B4976" t="s">
        <v>7</v>
      </c>
      <c r="C4976" t="s">
        <v>9</v>
      </c>
      <c r="D4976">
        <v>3.01</v>
      </c>
      <c r="E4976">
        <v>4</v>
      </c>
      <c r="F4976" t="s">
        <v>15</v>
      </c>
      <c r="G4976">
        <v>30</v>
      </c>
      <c r="H4976">
        <v>3.9129999999999998</v>
      </c>
      <c r="I4976">
        <v>30.000000000000004</v>
      </c>
      <c r="J4976" t="s">
        <v>20</v>
      </c>
    </row>
    <row r="4977" spans="1:10" x14ac:dyDescent="0.2">
      <c r="A4977">
        <v>14976</v>
      </c>
      <c r="B4977" t="s">
        <v>10</v>
      </c>
      <c r="C4977" t="s">
        <v>9</v>
      </c>
      <c r="D4977">
        <v>5.44</v>
      </c>
      <c r="E4977">
        <v>7</v>
      </c>
      <c r="F4977" t="s">
        <v>15</v>
      </c>
      <c r="G4977">
        <v>30</v>
      </c>
      <c r="H4977">
        <v>7.072000000000001</v>
      </c>
      <c r="I4977">
        <v>30.000000000000004</v>
      </c>
      <c r="J4977" t="s">
        <v>20</v>
      </c>
    </row>
    <row r="4978" spans="1:10" x14ac:dyDescent="0.2">
      <c r="A4978">
        <v>14977</v>
      </c>
      <c r="B4978" t="s">
        <v>5</v>
      </c>
      <c r="C4978" t="s">
        <v>11</v>
      </c>
      <c r="D4978">
        <v>6.42</v>
      </c>
      <c r="E4978">
        <v>7</v>
      </c>
      <c r="F4978" t="s">
        <v>15</v>
      </c>
      <c r="G4978">
        <v>25</v>
      </c>
      <c r="H4978">
        <v>8.0250000000000004</v>
      </c>
      <c r="I4978">
        <v>25</v>
      </c>
      <c r="J4978" t="s">
        <v>20</v>
      </c>
    </row>
    <row r="4979" spans="1:10" x14ac:dyDescent="0.2">
      <c r="A4979">
        <v>14978</v>
      </c>
      <c r="B4979" t="s">
        <v>5</v>
      </c>
      <c r="C4979" t="s">
        <v>9</v>
      </c>
      <c r="D4979">
        <v>5.56</v>
      </c>
      <c r="E4979">
        <v>4</v>
      </c>
      <c r="F4979" t="s">
        <v>15</v>
      </c>
      <c r="G4979">
        <v>30</v>
      </c>
      <c r="H4979">
        <v>7.2279999999999998</v>
      </c>
      <c r="I4979">
        <v>30.000000000000004</v>
      </c>
      <c r="J4979" t="s">
        <v>20</v>
      </c>
    </row>
    <row r="4980" spans="1:10" x14ac:dyDescent="0.2">
      <c r="A4980">
        <v>14979</v>
      </c>
      <c r="B4980" t="s">
        <v>10</v>
      </c>
      <c r="C4980" t="s">
        <v>11</v>
      </c>
      <c r="D4980">
        <v>11.57</v>
      </c>
      <c r="E4980">
        <v>5</v>
      </c>
      <c r="F4980" t="s">
        <v>15</v>
      </c>
      <c r="G4980">
        <v>25</v>
      </c>
      <c r="H4980">
        <v>14.4625</v>
      </c>
      <c r="I4980">
        <v>25</v>
      </c>
      <c r="J4980" t="s">
        <v>20</v>
      </c>
    </row>
    <row r="4981" spans="1:10" x14ac:dyDescent="0.2">
      <c r="A4981">
        <v>14980</v>
      </c>
      <c r="B4981" t="s">
        <v>7</v>
      </c>
      <c r="C4981" t="s">
        <v>11</v>
      </c>
      <c r="D4981">
        <v>1.91</v>
      </c>
      <c r="E4981">
        <v>9</v>
      </c>
      <c r="F4981" t="s">
        <v>16</v>
      </c>
      <c r="G4981">
        <v>50</v>
      </c>
      <c r="H4981">
        <v>2.8649999999999998</v>
      </c>
      <c r="I4981">
        <v>50</v>
      </c>
      <c r="J4981" t="s">
        <v>20</v>
      </c>
    </row>
    <row r="4982" spans="1:10" x14ac:dyDescent="0.2">
      <c r="A4982">
        <v>14981</v>
      </c>
      <c r="B4982" t="s">
        <v>10</v>
      </c>
      <c r="C4982" t="s">
        <v>11</v>
      </c>
      <c r="D4982">
        <v>5.59</v>
      </c>
      <c r="E4982">
        <v>7</v>
      </c>
      <c r="F4982" t="s">
        <v>15</v>
      </c>
      <c r="G4982">
        <v>25</v>
      </c>
      <c r="H4982">
        <v>6.9874999999999998</v>
      </c>
      <c r="I4982">
        <v>25</v>
      </c>
      <c r="J4982" t="s">
        <v>20</v>
      </c>
    </row>
    <row r="4983" spans="1:10" x14ac:dyDescent="0.2">
      <c r="A4983">
        <v>14982</v>
      </c>
      <c r="B4983" t="s">
        <v>5</v>
      </c>
      <c r="C4983" t="s">
        <v>6</v>
      </c>
      <c r="D4983">
        <v>12.64</v>
      </c>
      <c r="E4983">
        <v>7</v>
      </c>
      <c r="F4983" t="s">
        <v>15</v>
      </c>
      <c r="G4983">
        <v>28</v>
      </c>
      <c r="H4983">
        <v>16.179200000000002</v>
      </c>
      <c r="I4983">
        <v>28.000000000000004</v>
      </c>
      <c r="J4983" t="s">
        <v>20</v>
      </c>
    </row>
    <row r="4984" spans="1:10" x14ac:dyDescent="0.2">
      <c r="A4984">
        <v>14983</v>
      </c>
      <c r="B4984" t="s">
        <v>8</v>
      </c>
      <c r="C4984" t="s">
        <v>11</v>
      </c>
      <c r="D4984">
        <v>1.47</v>
      </c>
      <c r="E4984">
        <v>10</v>
      </c>
      <c r="F4984" t="s">
        <v>16</v>
      </c>
      <c r="G4984">
        <v>50</v>
      </c>
      <c r="H4984">
        <v>2.2050000000000001</v>
      </c>
      <c r="I4984">
        <v>50</v>
      </c>
      <c r="J4984" t="s">
        <v>20</v>
      </c>
    </row>
    <row r="4985" spans="1:10" x14ac:dyDescent="0.2">
      <c r="A4985">
        <v>14984</v>
      </c>
      <c r="B4985" t="s">
        <v>10</v>
      </c>
      <c r="C4985" t="s">
        <v>9</v>
      </c>
      <c r="D4985">
        <v>14.16</v>
      </c>
      <c r="E4985">
        <v>7</v>
      </c>
      <c r="F4985" t="s">
        <v>15</v>
      </c>
      <c r="G4985">
        <v>30</v>
      </c>
      <c r="H4985">
        <v>18.408000000000001</v>
      </c>
      <c r="I4985">
        <v>30.000000000000004</v>
      </c>
      <c r="J4985" t="s">
        <v>20</v>
      </c>
    </row>
    <row r="4986" spans="1:10" x14ac:dyDescent="0.2">
      <c r="A4986">
        <v>14985</v>
      </c>
      <c r="B4986" t="s">
        <v>7</v>
      </c>
      <c r="C4986" t="s">
        <v>6</v>
      </c>
      <c r="D4986">
        <v>14.8</v>
      </c>
      <c r="E4986">
        <v>9</v>
      </c>
      <c r="F4986" t="s">
        <v>16</v>
      </c>
      <c r="G4986">
        <v>55</v>
      </c>
      <c r="H4986">
        <v>22.94</v>
      </c>
      <c r="I4986">
        <v>55.000000000000007</v>
      </c>
      <c r="J4986" t="s">
        <v>20</v>
      </c>
    </row>
    <row r="4987" spans="1:10" x14ac:dyDescent="0.2">
      <c r="A4987">
        <v>14986</v>
      </c>
      <c r="B4987" t="s">
        <v>5</v>
      </c>
      <c r="C4987" t="s">
        <v>9</v>
      </c>
      <c r="D4987">
        <v>1.78</v>
      </c>
      <c r="E4987">
        <v>5</v>
      </c>
      <c r="F4987" t="s">
        <v>15</v>
      </c>
      <c r="G4987">
        <v>30</v>
      </c>
      <c r="H4987">
        <v>2.3140000000000001</v>
      </c>
      <c r="I4987">
        <v>30.000000000000004</v>
      </c>
      <c r="J4987" t="s">
        <v>20</v>
      </c>
    </row>
    <row r="4988" spans="1:10" x14ac:dyDescent="0.2">
      <c r="A4988">
        <v>14987</v>
      </c>
      <c r="B4988" t="s">
        <v>5</v>
      </c>
      <c r="C4988" t="s">
        <v>6</v>
      </c>
      <c r="D4988">
        <v>4.72</v>
      </c>
      <c r="E4988">
        <v>6</v>
      </c>
      <c r="F4988" t="s">
        <v>15</v>
      </c>
      <c r="G4988">
        <v>28</v>
      </c>
      <c r="H4988">
        <v>6.0415999999999999</v>
      </c>
      <c r="I4988">
        <v>28.000000000000004</v>
      </c>
      <c r="J4988" t="s">
        <v>20</v>
      </c>
    </row>
    <row r="4989" spans="1:10" x14ac:dyDescent="0.2">
      <c r="A4989">
        <v>14988</v>
      </c>
      <c r="B4989" t="s">
        <v>5</v>
      </c>
      <c r="C4989" t="s">
        <v>6</v>
      </c>
      <c r="D4989">
        <v>5.9</v>
      </c>
      <c r="E4989">
        <v>3</v>
      </c>
      <c r="F4989" t="s">
        <v>14</v>
      </c>
      <c r="G4989">
        <v>12</v>
      </c>
      <c r="H4989">
        <v>6.6080000000000014</v>
      </c>
      <c r="I4989">
        <v>12.000000000000011</v>
      </c>
      <c r="J4989" t="s">
        <v>20</v>
      </c>
    </row>
    <row r="4990" spans="1:10" x14ac:dyDescent="0.2">
      <c r="A4990">
        <v>14989</v>
      </c>
      <c r="B4990" t="s">
        <v>5</v>
      </c>
      <c r="C4990" t="s">
        <v>6</v>
      </c>
      <c r="D4990">
        <v>11.76</v>
      </c>
      <c r="E4990">
        <v>1</v>
      </c>
      <c r="F4990" t="s">
        <v>14</v>
      </c>
      <c r="G4990">
        <v>12</v>
      </c>
      <c r="H4990">
        <v>13.171200000000001</v>
      </c>
      <c r="I4990">
        <v>12.000000000000011</v>
      </c>
      <c r="J4990" t="s">
        <v>20</v>
      </c>
    </row>
    <row r="4991" spans="1:10" x14ac:dyDescent="0.2">
      <c r="A4991">
        <v>14990</v>
      </c>
      <c r="B4991" t="s">
        <v>7</v>
      </c>
      <c r="C4991" t="s">
        <v>6</v>
      </c>
      <c r="D4991">
        <v>9.14</v>
      </c>
      <c r="E4991">
        <v>2</v>
      </c>
      <c r="F4991" t="s">
        <v>14</v>
      </c>
      <c r="G4991">
        <v>12</v>
      </c>
      <c r="H4991">
        <v>10.236800000000002</v>
      </c>
      <c r="I4991">
        <v>12.000000000000011</v>
      </c>
      <c r="J4991" t="s">
        <v>20</v>
      </c>
    </row>
    <row r="4992" spans="1:10" x14ac:dyDescent="0.2">
      <c r="A4992">
        <v>14991</v>
      </c>
      <c r="B4992" t="s">
        <v>8</v>
      </c>
      <c r="C4992" t="s">
        <v>9</v>
      </c>
      <c r="D4992">
        <v>9.84</v>
      </c>
      <c r="E4992">
        <v>8</v>
      </c>
      <c r="F4992" t="s">
        <v>16</v>
      </c>
      <c r="G4992">
        <v>60</v>
      </c>
      <c r="H4992">
        <v>15.744</v>
      </c>
      <c r="I4992">
        <v>60.000000000000007</v>
      </c>
      <c r="J4992" t="s">
        <v>20</v>
      </c>
    </row>
    <row r="4993" spans="1:10" x14ac:dyDescent="0.2">
      <c r="A4993">
        <v>14992</v>
      </c>
      <c r="B4993" t="s">
        <v>5</v>
      </c>
      <c r="C4993" t="s">
        <v>11</v>
      </c>
      <c r="D4993">
        <v>11.48</v>
      </c>
      <c r="E4993">
        <v>1</v>
      </c>
      <c r="F4993" t="s">
        <v>14</v>
      </c>
      <c r="G4993">
        <v>10</v>
      </c>
      <c r="H4993">
        <v>12.628000000000002</v>
      </c>
      <c r="I4993">
        <v>10.000000000000009</v>
      </c>
      <c r="J4993" t="s">
        <v>20</v>
      </c>
    </row>
    <row r="4994" spans="1:10" x14ac:dyDescent="0.2">
      <c r="A4994">
        <v>14993</v>
      </c>
      <c r="B4994" t="s">
        <v>10</v>
      </c>
      <c r="C4994" t="s">
        <v>9</v>
      </c>
      <c r="D4994">
        <v>2.21</v>
      </c>
      <c r="E4994">
        <v>10</v>
      </c>
      <c r="F4994" t="s">
        <v>16</v>
      </c>
      <c r="G4994">
        <v>60</v>
      </c>
      <c r="H4994">
        <v>3.536</v>
      </c>
      <c r="I4994">
        <v>60.000000000000007</v>
      </c>
      <c r="J4994" t="s">
        <v>20</v>
      </c>
    </row>
    <row r="4995" spans="1:10" x14ac:dyDescent="0.2">
      <c r="A4995">
        <v>14994</v>
      </c>
      <c r="B4995" t="s">
        <v>8</v>
      </c>
      <c r="C4995" t="s">
        <v>11</v>
      </c>
      <c r="D4995">
        <v>12.58</v>
      </c>
      <c r="E4995">
        <v>7</v>
      </c>
      <c r="F4995" t="s">
        <v>15</v>
      </c>
      <c r="G4995">
        <v>25</v>
      </c>
      <c r="H4995">
        <v>15.725</v>
      </c>
      <c r="I4995">
        <v>25</v>
      </c>
      <c r="J4995" t="s">
        <v>20</v>
      </c>
    </row>
    <row r="4996" spans="1:10" x14ac:dyDescent="0.2">
      <c r="A4996">
        <v>14995</v>
      </c>
      <c r="B4996" t="s">
        <v>5</v>
      </c>
      <c r="C4996" t="s">
        <v>9</v>
      </c>
      <c r="D4996">
        <v>10.73</v>
      </c>
      <c r="E4996">
        <v>5</v>
      </c>
      <c r="F4996" t="s">
        <v>15</v>
      </c>
      <c r="G4996">
        <v>30</v>
      </c>
      <c r="H4996">
        <v>13.949000000000002</v>
      </c>
      <c r="I4996">
        <v>30.000000000000004</v>
      </c>
      <c r="J4996" t="s">
        <v>20</v>
      </c>
    </row>
    <row r="4997" spans="1:10" x14ac:dyDescent="0.2">
      <c r="A4997">
        <v>14996</v>
      </c>
      <c r="B4997" t="s">
        <v>8</v>
      </c>
      <c r="C4997" t="s">
        <v>6</v>
      </c>
      <c r="D4997">
        <v>8.8699999999999992</v>
      </c>
      <c r="E4997">
        <v>6</v>
      </c>
      <c r="F4997" t="s">
        <v>15</v>
      </c>
      <c r="G4997">
        <v>28</v>
      </c>
      <c r="H4997">
        <v>11.353599999999998</v>
      </c>
      <c r="I4997">
        <v>28.000000000000004</v>
      </c>
      <c r="J4997" t="s">
        <v>20</v>
      </c>
    </row>
    <row r="4998" spans="1:10" x14ac:dyDescent="0.2">
      <c r="A4998">
        <v>14997</v>
      </c>
      <c r="B4998" t="s">
        <v>10</v>
      </c>
      <c r="C4998" t="s">
        <v>6</v>
      </c>
      <c r="D4998">
        <v>13.4</v>
      </c>
      <c r="E4998">
        <v>8</v>
      </c>
      <c r="F4998" t="s">
        <v>16</v>
      </c>
      <c r="G4998">
        <v>55</v>
      </c>
      <c r="H4998">
        <v>20.77</v>
      </c>
      <c r="I4998">
        <v>54.999999999999986</v>
      </c>
      <c r="J4998" t="s">
        <v>20</v>
      </c>
    </row>
    <row r="4999" spans="1:10" x14ac:dyDescent="0.2">
      <c r="A4999">
        <v>14998</v>
      </c>
      <c r="B4999" t="s">
        <v>5</v>
      </c>
      <c r="C4999" t="s">
        <v>11</v>
      </c>
      <c r="D4999">
        <v>10.65</v>
      </c>
      <c r="E4999">
        <v>4</v>
      </c>
      <c r="F4999" t="s">
        <v>15</v>
      </c>
      <c r="G4999">
        <v>25</v>
      </c>
      <c r="H4999">
        <v>13.3125</v>
      </c>
      <c r="I4999">
        <v>25</v>
      </c>
      <c r="J4999" t="s">
        <v>20</v>
      </c>
    </row>
    <row r="5000" spans="1:10" x14ac:dyDescent="0.2">
      <c r="A5000">
        <v>14999</v>
      </c>
      <c r="B5000" t="s">
        <v>10</v>
      </c>
      <c r="C5000" t="s">
        <v>11</v>
      </c>
      <c r="D5000">
        <v>3.42</v>
      </c>
      <c r="E5000">
        <v>6</v>
      </c>
      <c r="F5000" t="s">
        <v>15</v>
      </c>
      <c r="G5000">
        <v>25</v>
      </c>
      <c r="H5000">
        <v>4.2750000000000004</v>
      </c>
      <c r="I5000">
        <v>25.000000000000021</v>
      </c>
      <c r="J5000" t="s">
        <v>20</v>
      </c>
    </row>
    <row r="5001" spans="1:10" x14ac:dyDescent="0.2">
      <c r="A5001">
        <v>15000</v>
      </c>
      <c r="B5001" t="s">
        <v>7</v>
      </c>
      <c r="C5001" t="s">
        <v>9</v>
      </c>
      <c r="D5001">
        <v>6.73</v>
      </c>
      <c r="E5001">
        <v>3</v>
      </c>
      <c r="F5001" t="s">
        <v>14</v>
      </c>
      <c r="G5001">
        <v>15</v>
      </c>
      <c r="H5001">
        <v>7.7394999999999996</v>
      </c>
      <c r="I5001">
        <v>14.999999999999991</v>
      </c>
      <c r="J500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9BEC-8295-C545-87AB-D099FBC9AC12}">
  <sheetPr codeName="Sheet1"/>
  <dimension ref="A1:F43"/>
  <sheetViews>
    <sheetView tabSelected="1" zoomScale="90" zoomScaleNormal="90" workbookViewId="0">
      <selection activeCell="D32" sqref="D32"/>
    </sheetView>
  </sheetViews>
  <sheetFormatPr baseColWidth="10" defaultRowHeight="16" x14ac:dyDescent="0.2"/>
  <cols>
    <col min="1" max="1" width="29.1640625" bestFit="1" customWidth="1"/>
    <col min="2" max="2" width="16" bestFit="1" customWidth="1"/>
    <col min="3" max="6" width="12.1640625" bestFit="1" customWidth="1"/>
  </cols>
  <sheetData>
    <row r="1" spans="1:5" x14ac:dyDescent="0.2">
      <c r="A1" s="9" t="s">
        <v>24</v>
      </c>
      <c r="B1" s="9" t="s">
        <v>23</v>
      </c>
    </row>
    <row r="2" spans="1:5" x14ac:dyDescent="0.2">
      <c r="A2" s="9" t="s">
        <v>21</v>
      </c>
      <c r="B2" t="s">
        <v>16</v>
      </c>
      <c r="C2" t="s">
        <v>15</v>
      </c>
      <c r="D2" t="s">
        <v>14</v>
      </c>
      <c r="E2" t="s">
        <v>22</v>
      </c>
    </row>
    <row r="3" spans="1:5" x14ac:dyDescent="0.2">
      <c r="A3" s="4" t="s">
        <v>10</v>
      </c>
      <c r="B3">
        <v>357</v>
      </c>
      <c r="C3">
        <v>495</v>
      </c>
      <c r="D3">
        <v>388</v>
      </c>
      <c r="E3">
        <v>1240</v>
      </c>
    </row>
    <row r="4" spans="1:5" x14ac:dyDescent="0.2">
      <c r="A4" s="4" t="s">
        <v>5</v>
      </c>
      <c r="B4">
        <v>376</v>
      </c>
      <c r="C4">
        <v>451</v>
      </c>
      <c r="D4">
        <v>382</v>
      </c>
      <c r="E4">
        <v>1209</v>
      </c>
    </row>
    <row r="5" spans="1:5" x14ac:dyDescent="0.2">
      <c r="A5" s="4" t="s">
        <v>7</v>
      </c>
      <c r="B5">
        <v>382</v>
      </c>
      <c r="C5">
        <v>510</v>
      </c>
      <c r="D5">
        <v>364</v>
      </c>
      <c r="E5">
        <v>1256</v>
      </c>
    </row>
    <row r="6" spans="1:5" x14ac:dyDescent="0.2">
      <c r="A6" s="4" t="s">
        <v>8</v>
      </c>
      <c r="B6">
        <v>367</v>
      </c>
      <c r="C6">
        <v>516</v>
      </c>
      <c r="D6">
        <v>412</v>
      </c>
      <c r="E6">
        <v>1295</v>
      </c>
    </row>
    <row r="7" spans="1:5" x14ac:dyDescent="0.2">
      <c r="A7" s="4" t="s">
        <v>22</v>
      </c>
      <c r="B7">
        <v>1482</v>
      </c>
      <c r="C7">
        <v>1972</v>
      </c>
      <c r="D7">
        <v>1546</v>
      </c>
      <c r="E7">
        <v>5000</v>
      </c>
    </row>
    <row r="20" spans="1:2" x14ac:dyDescent="0.2">
      <c r="A20" s="9" t="s">
        <v>21</v>
      </c>
      <c r="B20" t="s">
        <v>25</v>
      </c>
    </row>
    <row r="21" spans="1:2" x14ac:dyDescent="0.2">
      <c r="A21" s="4" t="s">
        <v>6</v>
      </c>
      <c r="B21" s="8">
        <v>10.038647985568238</v>
      </c>
    </row>
    <row r="22" spans="1:2" x14ac:dyDescent="0.2">
      <c r="A22" s="4" t="s">
        <v>11</v>
      </c>
      <c r="B22" s="8">
        <v>9.8325101250744389</v>
      </c>
    </row>
    <row r="23" spans="1:2" x14ac:dyDescent="0.2">
      <c r="A23" s="4" t="s">
        <v>9</v>
      </c>
      <c r="B23" s="8">
        <v>10.164010856453565</v>
      </c>
    </row>
    <row r="24" spans="1:2" x14ac:dyDescent="0.2">
      <c r="A24" s="4" t="s">
        <v>22</v>
      </c>
      <c r="B24" s="8">
        <v>10.010997219999981</v>
      </c>
    </row>
    <row r="38" spans="1:6" x14ac:dyDescent="0.2">
      <c r="A38" s="9" t="s">
        <v>26</v>
      </c>
      <c r="B38" s="9" t="s">
        <v>23</v>
      </c>
    </row>
    <row r="39" spans="1:6" x14ac:dyDescent="0.2">
      <c r="A39" s="9" t="s">
        <v>21</v>
      </c>
      <c r="B39" t="s">
        <v>10</v>
      </c>
      <c r="C39" t="s">
        <v>5</v>
      </c>
      <c r="D39" t="s">
        <v>7</v>
      </c>
      <c r="E39" t="s">
        <v>8</v>
      </c>
      <c r="F39" t="s">
        <v>22</v>
      </c>
    </row>
    <row r="40" spans="1:6" x14ac:dyDescent="0.2">
      <c r="A40" s="4" t="s">
        <v>6</v>
      </c>
      <c r="B40" s="10">
        <v>31.681592039800996</v>
      </c>
      <c r="C40" s="10">
        <v>32.354761904761908</v>
      </c>
      <c r="D40" s="10">
        <v>32.075757575757578</v>
      </c>
      <c r="E40" s="10">
        <v>31.555056179775281</v>
      </c>
      <c r="F40" s="10">
        <v>31.911605532170775</v>
      </c>
    </row>
    <row r="41" spans="1:6" x14ac:dyDescent="0.2">
      <c r="A41" s="4" t="s">
        <v>11</v>
      </c>
      <c r="B41" s="10">
        <v>25.851769911504423</v>
      </c>
      <c r="C41" s="10">
        <v>28.30708661417323</v>
      </c>
      <c r="D41" s="10">
        <v>27.511574074074073</v>
      </c>
      <c r="E41" s="10">
        <v>26.231884057971016</v>
      </c>
      <c r="F41" s="10">
        <v>26.929720071471113</v>
      </c>
    </row>
    <row r="42" spans="1:6" x14ac:dyDescent="0.2">
      <c r="A42" s="4" t="s">
        <v>9</v>
      </c>
      <c r="B42" s="10">
        <v>35.168393782383419</v>
      </c>
      <c r="C42" s="10">
        <v>33.198529411764703</v>
      </c>
      <c r="D42" s="10">
        <v>35.151869158878505</v>
      </c>
      <c r="E42" s="10">
        <v>33.818807339449542</v>
      </c>
      <c r="F42" s="10">
        <v>34.324487334137515</v>
      </c>
    </row>
    <row r="43" spans="1:6" x14ac:dyDescent="0.2">
      <c r="A43" s="4" t="s">
        <v>22</v>
      </c>
      <c r="B43" s="10">
        <v>30.641935483870967</v>
      </c>
      <c r="C43" s="10">
        <v>31.363937138130687</v>
      </c>
      <c r="D43" s="10">
        <v>31.554140127388536</v>
      </c>
      <c r="E43" s="10">
        <v>30.615444015444016</v>
      </c>
      <c r="F43" s="10">
        <v>31.038799999999998</v>
      </c>
    </row>
  </sheetData>
  <pageMargins left="0.7" right="0.7" top="0.75" bottom="0.75" header="0.3" footer="0.3"/>
  <pageSetup paperSize="9" orientation="portrait" horizontalDpi="0" verticalDpi="0"/>
  <headerFooter>
    <oddHeader>&amp;C&amp;"System Font,Regular"&amp;18&amp;K000000Tier Mix By Region</oddHead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98DE-C703-5940-8C35-46E70985C773}">
  <dimension ref="A1:C6"/>
  <sheetViews>
    <sheetView zoomScale="120" zoomScaleNormal="120" workbookViewId="0">
      <selection activeCell="B6" sqref="B6"/>
    </sheetView>
  </sheetViews>
  <sheetFormatPr baseColWidth="10" defaultRowHeight="16" x14ac:dyDescent="0.2"/>
  <cols>
    <col min="1" max="3" width="15.83203125" customWidth="1"/>
  </cols>
  <sheetData>
    <row r="1" spans="1:3" x14ac:dyDescent="0.2">
      <c r="A1" s="1" t="s">
        <v>32</v>
      </c>
      <c r="B1" s="1" t="s">
        <v>39</v>
      </c>
      <c r="C1" s="1" t="s">
        <v>33</v>
      </c>
    </row>
    <row r="2" spans="1:3" x14ac:dyDescent="0.2">
      <c r="A2" t="s">
        <v>27</v>
      </c>
      <c r="B2" s="10">
        <f>AVERAGE(Unilever_products__3[Recommended_selling_price])</f>
        <v>10.010997220000013</v>
      </c>
      <c r="C2" t="s">
        <v>34</v>
      </c>
    </row>
    <row r="3" spans="1:3" x14ac:dyDescent="0.2">
      <c r="A3" t="s">
        <v>28</v>
      </c>
      <c r="B3" s="10">
        <f>MEDIAN(Unilever_products__3[Recommended_selling_price])</f>
        <v>9.8223000000000003</v>
      </c>
      <c r="C3" t="s">
        <v>35</v>
      </c>
    </row>
    <row r="4" spans="1:3" x14ac:dyDescent="0.2">
      <c r="A4" t="s">
        <v>29</v>
      </c>
      <c r="B4" s="10">
        <f>_xlfn.MODE.SNGL(Unilever_products__3[Recommended_selling_price])</f>
        <v>8.8000000000000007</v>
      </c>
      <c r="C4" t="s">
        <v>36</v>
      </c>
    </row>
    <row r="5" spans="1:3" x14ac:dyDescent="0.2">
      <c r="A5" t="s">
        <v>30</v>
      </c>
      <c r="B5" s="10">
        <f>_xlfn.VAR.P(Unilever_products__3[Recommended_selling_price])</f>
        <v>31.163230400246142</v>
      </c>
      <c r="C5" t="s">
        <v>37</v>
      </c>
    </row>
    <row r="6" spans="1:3" x14ac:dyDescent="0.2">
      <c r="A6" t="s">
        <v>31</v>
      </c>
      <c r="B6" s="10">
        <f>_xlfn.STDEV.P(Unilever_products__3[Recommended_selling_price])</f>
        <v>5.5824036400323243</v>
      </c>
      <c r="C6" t="s">
        <v>38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3A10-2A37-5A4F-AAAA-87C971C12FF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28FC-2DF0-2D44-8AEF-42675E32A899}">
  <sheetPr codeName="Sheet3"/>
  <dimension ref="A1:J5001"/>
  <sheetViews>
    <sheetView topLeftCell="G1" zoomScale="120" zoomScaleNormal="120" workbookViewId="0">
      <selection activeCell="H1" sqref="H1"/>
    </sheetView>
  </sheetViews>
  <sheetFormatPr baseColWidth="10" defaultRowHeight="16" x14ac:dyDescent="0.2"/>
  <cols>
    <col min="1" max="1" width="15.6640625" customWidth="1"/>
    <col min="2" max="2" width="17.83203125" customWidth="1"/>
    <col min="3" max="3" width="18.83203125" customWidth="1"/>
    <col min="4" max="4" width="17.5" style="8" customWidth="1"/>
    <col min="5" max="5" width="19" customWidth="1"/>
    <col min="7" max="7" width="20" style="3" customWidth="1"/>
    <col min="8" max="8" width="24.1640625" style="8" customWidth="1"/>
    <col min="9" max="9" width="16.1640625" style="6" customWidth="1"/>
    <col min="10" max="10" width="15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12</v>
      </c>
      <c r="G1" s="2" t="s">
        <v>17</v>
      </c>
      <c r="H1" s="7" t="s">
        <v>41</v>
      </c>
      <c r="I1" s="5" t="s">
        <v>40</v>
      </c>
      <c r="J1" s="1" t="s">
        <v>19</v>
      </c>
    </row>
    <row r="2" spans="1:10" x14ac:dyDescent="0.2">
      <c r="A2">
        <v>10001</v>
      </c>
      <c r="B2" t="s">
        <v>5</v>
      </c>
      <c r="C2" t="s">
        <v>6</v>
      </c>
      <c r="D2" s="8">
        <v>12.72</v>
      </c>
      <c r="E2">
        <v>2</v>
      </c>
      <c r="F2" t="str">
        <f>IF(E2&lt;=3,"Value",
 IF(E2&lt;=7,"Standard","Premium"))</f>
        <v>Value</v>
      </c>
      <c r="G2" s="11" cm="1">
        <f t="array" ref="G2">_xlfn.XLOOKUP(C2 &amp; F2,
         [1]unilever_price_limits!A:A &amp; [1]unilever_price_limits!B:B,
         [1]unilever_price_limits!C:C)</f>
        <v>12</v>
      </c>
      <c r="H2" s="8">
        <f>D2 * (1 + G2/100)</f>
        <v>14.246400000000001</v>
      </c>
      <c r="I2" s="6">
        <f>(H2 / D2 - 1) * 100</f>
        <v>12.000000000000011</v>
      </c>
      <c r="J2" t="str">
        <f>IF(I1&gt; G1, "⚠ Exceeds Limit", "OK")</f>
        <v>OK</v>
      </c>
    </row>
    <row r="3" spans="1:10" x14ac:dyDescent="0.2">
      <c r="A3">
        <v>10002</v>
      </c>
      <c r="B3" t="s">
        <v>7</v>
      </c>
      <c r="C3" t="s">
        <v>6</v>
      </c>
      <c r="D3" s="8">
        <v>6.97</v>
      </c>
      <c r="E3">
        <v>4</v>
      </c>
      <c r="F3" t="str">
        <f t="shared" ref="F3:F66" si="0">IF(E3&lt;=3,"Value",
 IF(E3&lt;=7,"Standard","Premium"))</f>
        <v>Standard</v>
      </c>
      <c r="G3" s="3" cm="1">
        <f t="array" ref="G3">_xlfn.XLOOKUP(C3 &amp; F3,
         [1]unilever_price_limits!A:A &amp; [1]unilever_price_limits!B:B,
         [1]unilever_price_limits!C:C)</f>
        <v>28</v>
      </c>
      <c r="H3" s="8">
        <f t="shared" ref="H3:H66" si="1">D3 * (1 + G3/100)</f>
        <v>8.9215999999999998</v>
      </c>
      <c r="I3" s="6">
        <f t="shared" ref="I3:I66" si="2">(H3 / D3 - 1) * 100</f>
        <v>28.000000000000004</v>
      </c>
      <c r="J3" t="str">
        <f t="shared" ref="J3:J66" si="3">IF(I2&gt; G2, "⚠ Exceeds Limit", "OK")</f>
        <v>OK</v>
      </c>
    </row>
    <row r="4" spans="1:10" x14ac:dyDescent="0.2">
      <c r="A4">
        <v>10003</v>
      </c>
      <c r="B4" t="s">
        <v>8</v>
      </c>
      <c r="C4" t="s">
        <v>6</v>
      </c>
      <c r="D4" s="8">
        <v>10.77</v>
      </c>
      <c r="E4">
        <v>2</v>
      </c>
      <c r="F4" t="str">
        <f t="shared" si="0"/>
        <v>Value</v>
      </c>
      <c r="G4" s="3" cm="1">
        <f t="array" ref="G4">_xlfn.XLOOKUP(C4 &amp; F4,
         [1]unilever_price_limits!A:A &amp; [1]unilever_price_limits!B:B,
         [1]unilever_price_limits!C:C)</f>
        <v>12</v>
      </c>
      <c r="H4" s="8">
        <f t="shared" si="1"/>
        <v>12.0624</v>
      </c>
      <c r="I4" s="6">
        <f t="shared" si="2"/>
        <v>12.000000000000011</v>
      </c>
      <c r="J4" t="str">
        <f t="shared" si="3"/>
        <v>OK</v>
      </c>
    </row>
    <row r="5" spans="1:10" x14ac:dyDescent="0.2">
      <c r="A5">
        <v>10004</v>
      </c>
      <c r="B5" t="s">
        <v>5</v>
      </c>
      <c r="C5" t="s">
        <v>6</v>
      </c>
      <c r="D5" s="8">
        <v>11.11</v>
      </c>
      <c r="E5">
        <v>3</v>
      </c>
      <c r="F5" t="str">
        <f t="shared" si="0"/>
        <v>Value</v>
      </c>
      <c r="G5" s="3" cm="1">
        <f t="array" ref="G5">_xlfn.XLOOKUP(C5 &amp; F5,
         [1]unilever_price_limits!A:A &amp; [1]unilever_price_limits!B:B,
         [1]unilever_price_limits!C:C)</f>
        <v>12</v>
      </c>
      <c r="H5" s="8">
        <f t="shared" si="1"/>
        <v>12.443200000000001</v>
      </c>
      <c r="I5" s="6">
        <f t="shared" si="2"/>
        <v>12.000000000000011</v>
      </c>
      <c r="J5" t="str">
        <f t="shared" si="3"/>
        <v>OK</v>
      </c>
    </row>
    <row r="6" spans="1:10" x14ac:dyDescent="0.2">
      <c r="A6">
        <v>10005</v>
      </c>
      <c r="B6" t="s">
        <v>5</v>
      </c>
      <c r="C6" t="s">
        <v>6</v>
      </c>
      <c r="D6" s="8">
        <v>3.02</v>
      </c>
      <c r="E6">
        <v>4</v>
      </c>
      <c r="F6" t="str">
        <f t="shared" si="0"/>
        <v>Standard</v>
      </c>
      <c r="G6" s="3" cm="1">
        <f t="array" ref="G6">_xlfn.XLOOKUP(C6 &amp; F6,
         [1]unilever_price_limits!A:A &amp; [1]unilever_price_limits!B:B,
         [1]unilever_price_limits!C:C)</f>
        <v>28</v>
      </c>
      <c r="H6" s="8">
        <f t="shared" si="1"/>
        <v>3.8656000000000001</v>
      </c>
      <c r="I6" s="6">
        <f t="shared" si="2"/>
        <v>28.000000000000004</v>
      </c>
      <c r="J6" t="str">
        <f t="shared" si="3"/>
        <v>OK</v>
      </c>
    </row>
    <row r="7" spans="1:10" x14ac:dyDescent="0.2">
      <c r="A7">
        <v>10006</v>
      </c>
      <c r="B7" t="s">
        <v>7</v>
      </c>
      <c r="C7" t="s">
        <v>9</v>
      </c>
      <c r="D7" s="8">
        <v>5.74</v>
      </c>
      <c r="E7">
        <v>4</v>
      </c>
      <c r="F7" t="str">
        <f t="shared" si="0"/>
        <v>Standard</v>
      </c>
      <c r="G7" s="3" cm="1">
        <f t="array" ref="G7">_xlfn.XLOOKUP(C7 &amp; F7,
         [1]unilever_price_limits!A:A &amp; [1]unilever_price_limits!B:B,
         [1]unilever_price_limits!C:C)</f>
        <v>30</v>
      </c>
      <c r="H7" s="8">
        <f t="shared" si="1"/>
        <v>7.4620000000000006</v>
      </c>
      <c r="I7" s="6">
        <f t="shared" si="2"/>
        <v>30.000000000000004</v>
      </c>
      <c r="J7" t="str">
        <f t="shared" si="3"/>
        <v>OK</v>
      </c>
    </row>
    <row r="8" spans="1:10" x14ac:dyDescent="0.2">
      <c r="A8">
        <v>10007</v>
      </c>
      <c r="B8" t="s">
        <v>8</v>
      </c>
      <c r="C8" t="s">
        <v>6</v>
      </c>
      <c r="D8" s="8">
        <v>9.74</v>
      </c>
      <c r="E8">
        <v>10</v>
      </c>
      <c r="F8" t="str">
        <f t="shared" si="0"/>
        <v>Premium</v>
      </c>
      <c r="G8" s="3" cm="1">
        <f t="array" ref="G8">_xlfn.XLOOKUP(C8 &amp; F8,
         [1]unilever_price_limits!A:A &amp; [1]unilever_price_limits!B:B,
         [1]unilever_price_limits!C:C)</f>
        <v>55</v>
      </c>
      <c r="H8" s="8">
        <f t="shared" si="1"/>
        <v>15.097000000000001</v>
      </c>
      <c r="I8" s="6">
        <f t="shared" si="2"/>
        <v>55.000000000000007</v>
      </c>
      <c r="J8" t="str">
        <f t="shared" si="3"/>
        <v>OK</v>
      </c>
    </row>
    <row r="9" spans="1:10" x14ac:dyDescent="0.2">
      <c r="A9">
        <v>10008</v>
      </c>
      <c r="B9" t="s">
        <v>8</v>
      </c>
      <c r="C9" t="s">
        <v>6</v>
      </c>
      <c r="D9" s="8">
        <v>1.53</v>
      </c>
      <c r="E9">
        <v>9</v>
      </c>
      <c r="F9" t="str">
        <f t="shared" si="0"/>
        <v>Premium</v>
      </c>
      <c r="G9" s="3" cm="1">
        <f t="array" ref="G9">_xlfn.XLOOKUP(C9 &amp; F9,
         [1]unilever_price_limits!A:A &amp; [1]unilever_price_limits!B:B,
         [1]unilever_price_limits!C:C)</f>
        <v>55</v>
      </c>
      <c r="H9" s="8">
        <f t="shared" si="1"/>
        <v>2.3715000000000002</v>
      </c>
      <c r="I9" s="6">
        <f t="shared" si="2"/>
        <v>55.000000000000007</v>
      </c>
      <c r="J9" t="str">
        <f t="shared" si="3"/>
        <v>OK</v>
      </c>
    </row>
    <row r="10" spans="1:10" x14ac:dyDescent="0.2">
      <c r="A10">
        <v>10009</v>
      </c>
      <c r="B10" t="s">
        <v>5</v>
      </c>
      <c r="C10" t="s">
        <v>9</v>
      </c>
      <c r="D10" s="8">
        <v>5.74</v>
      </c>
      <c r="E10">
        <v>10</v>
      </c>
      <c r="F10" t="str">
        <f t="shared" si="0"/>
        <v>Premium</v>
      </c>
      <c r="G10" s="3" cm="1">
        <f t="array" ref="G10">_xlfn.XLOOKUP(C10 &amp; F10,
         [1]unilever_price_limits!A:A &amp; [1]unilever_price_limits!B:B,
         [1]unilever_price_limits!C:C)</f>
        <v>60</v>
      </c>
      <c r="H10" s="8">
        <f t="shared" si="1"/>
        <v>9.1840000000000011</v>
      </c>
      <c r="I10" s="6">
        <f t="shared" si="2"/>
        <v>60.000000000000007</v>
      </c>
      <c r="J10" t="str">
        <f t="shared" si="3"/>
        <v>OK</v>
      </c>
    </row>
    <row r="11" spans="1:10" x14ac:dyDescent="0.2">
      <c r="A11">
        <v>10010</v>
      </c>
      <c r="B11" t="s">
        <v>10</v>
      </c>
      <c r="C11" t="s">
        <v>9</v>
      </c>
      <c r="D11" s="8">
        <v>8.25</v>
      </c>
      <c r="E11">
        <v>6</v>
      </c>
      <c r="F11" t="str">
        <f t="shared" si="0"/>
        <v>Standard</v>
      </c>
      <c r="G11" s="3" cm="1">
        <f t="array" ref="G11">_xlfn.XLOOKUP(C11 &amp; F11,
         [1]unilever_price_limits!A:A &amp; [1]unilever_price_limits!B:B,
         [1]unilever_price_limits!C:C)</f>
        <v>30</v>
      </c>
      <c r="H11" s="8">
        <f t="shared" si="1"/>
        <v>10.725</v>
      </c>
      <c r="I11" s="6">
        <f t="shared" si="2"/>
        <v>30.000000000000004</v>
      </c>
      <c r="J11" t="str">
        <f>IF(I10&gt; G10, "⚠ Exceeds Limit", "OK")</f>
        <v>OK</v>
      </c>
    </row>
    <row r="12" spans="1:10" x14ac:dyDescent="0.2">
      <c r="A12">
        <v>10011</v>
      </c>
      <c r="B12" t="s">
        <v>5</v>
      </c>
      <c r="C12" t="s">
        <v>9</v>
      </c>
      <c r="D12" s="8">
        <v>14.95</v>
      </c>
      <c r="E12">
        <v>9</v>
      </c>
      <c r="F12" t="str">
        <f t="shared" si="0"/>
        <v>Premium</v>
      </c>
      <c r="G12" s="3" cm="1">
        <f t="array" ref="G12">_xlfn.XLOOKUP(C12 &amp; F12,
         [1]unilever_price_limits!A:A &amp; [1]unilever_price_limits!B:B,
         [1]unilever_price_limits!C:C)</f>
        <v>60</v>
      </c>
      <c r="H12" s="8">
        <f t="shared" si="1"/>
        <v>23.92</v>
      </c>
      <c r="I12" s="6">
        <f t="shared" si="2"/>
        <v>60.000000000000007</v>
      </c>
      <c r="J12" t="str">
        <f t="shared" si="3"/>
        <v>OK</v>
      </c>
    </row>
    <row r="13" spans="1:10" x14ac:dyDescent="0.2">
      <c r="A13">
        <v>10012</v>
      </c>
      <c r="B13" t="s">
        <v>5</v>
      </c>
      <c r="C13" t="s">
        <v>9</v>
      </c>
      <c r="D13" s="8">
        <v>7.38</v>
      </c>
      <c r="E13">
        <v>4</v>
      </c>
      <c r="F13" t="str">
        <f t="shared" si="0"/>
        <v>Standard</v>
      </c>
      <c r="G13" s="3" cm="1">
        <f t="array" ref="G13">_xlfn.XLOOKUP(C13 &amp; F13,
         [1]unilever_price_limits!A:A &amp; [1]unilever_price_limits!B:B,
         [1]unilever_price_limits!C:C)</f>
        <v>30</v>
      </c>
      <c r="H13" s="8">
        <f t="shared" si="1"/>
        <v>9.5939999999999994</v>
      </c>
      <c r="I13" s="6">
        <f t="shared" si="2"/>
        <v>30.000000000000004</v>
      </c>
      <c r="J13" t="str">
        <f t="shared" si="3"/>
        <v>OK</v>
      </c>
    </row>
    <row r="14" spans="1:10" x14ac:dyDescent="0.2">
      <c r="A14">
        <v>10013</v>
      </c>
      <c r="B14" t="s">
        <v>5</v>
      </c>
      <c r="C14" t="s">
        <v>9</v>
      </c>
      <c r="D14" s="8">
        <v>12.33</v>
      </c>
      <c r="E14">
        <v>9</v>
      </c>
      <c r="F14" t="str">
        <f t="shared" si="0"/>
        <v>Premium</v>
      </c>
      <c r="G14" s="3" cm="1">
        <f t="array" ref="G14">_xlfn.XLOOKUP(C14 &amp; F14,
         [1]unilever_price_limits!A:A &amp; [1]unilever_price_limits!B:B,
         [1]unilever_price_limits!C:C)</f>
        <v>60</v>
      </c>
      <c r="H14" s="8">
        <f t="shared" si="1"/>
        <v>19.728000000000002</v>
      </c>
      <c r="I14" s="6">
        <f t="shared" si="2"/>
        <v>60.000000000000007</v>
      </c>
      <c r="J14" t="str">
        <f t="shared" si="3"/>
        <v>OK</v>
      </c>
    </row>
    <row r="15" spans="1:10" x14ac:dyDescent="0.2">
      <c r="A15">
        <v>10014</v>
      </c>
      <c r="B15" t="s">
        <v>5</v>
      </c>
      <c r="C15" t="s">
        <v>9</v>
      </c>
      <c r="D15" s="8">
        <v>6.76</v>
      </c>
      <c r="E15">
        <v>9</v>
      </c>
      <c r="F15" t="str">
        <f t="shared" si="0"/>
        <v>Premium</v>
      </c>
      <c r="G15" s="3" cm="1">
        <f t="array" ref="G15">_xlfn.XLOOKUP(C15 &amp; F15,
         [1]unilever_price_limits!A:A &amp; [1]unilever_price_limits!B:B,
         [1]unilever_price_limits!C:C)</f>
        <v>60</v>
      </c>
      <c r="H15" s="8">
        <f t="shared" si="1"/>
        <v>10.816000000000001</v>
      </c>
      <c r="I15" s="6">
        <f t="shared" si="2"/>
        <v>60.000000000000007</v>
      </c>
      <c r="J15" t="str">
        <f t="shared" si="3"/>
        <v>OK</v>
      </c>
    </row>
    <row r="16" spans="1:10" x14ac:dyDescent="0.2">
      <c r="A16">
        <v>10015</v>
      </c>
      <c r="B16" t="s">
        <v>7</v>
      </c>
      <c r="C16" t="s">
        <v>6</v>
      </c>
      <c r="D16" s="8">
        <v>12.05</v>
      </c>
      <c r="E16">
        <v>6</v>
      </c>
      <c r="F16" t="str">
        <f t="shared" si="0"/>
        <v>Standard</v>
      </c>
      <c r="G16" s="3" cm="1">
        <f t="array" ref="G16">_xlfn.XLOOKUP(C16 &amp; F16,
         [1]unilever_price_limits!A:A &amp; [1]unilever_price_limits!B:B,
         [1]unilever_price_limits!C:C)</f>
        <v>28</v>
      </c>
      <c r="H16" s="8">
        <f t="shared" si="1"/>
        <v>15.424000000000001</v>
      </c>
      <c r="I16" s="6">
        <f t="shared" si="2"/>
        <v>28.000000000000004</v>
      </c>
      <c r="J16" t="str">
        <f t="shared" si="3"/>
        <v>OK</v>
      </c>
    </row>
    <row r="17" spans="1:10" x14ac:dyDescent="0.2">
      <c r="A17">
        <v>10016</v>
      </c>
      <c r="B17" t="s">
        <v>8</v>
      </c>
      <c r="C17" t="s">
        <v>6</v>
      </c>
      <c r="D17" s="8">
        <v>9.1300000000000008</v>
      </c>
      <c r="E17">
        <v>5</v>
      </c>
      <c r="F17" t="str">
        <f t="shared" si="0"/>
        <v>Standard</v>
      </c>
      <c r="G17" s="3" cm="1">
        <f t="array" ref="G17">_xlfn.XLOOKUP(C17 &amp; F17,
         [1]unilever_price_limits!A:A &amp; [1]unilever_price_limits!B:B,
         [1]unilever_price_limits!C:C)</f>
        <v>28</v>
      </c>
      <c r="H17" s="8">
        <f t="shared" si="1"/>
        <v>11.686400000000001</v>
      </c>
      <c r="I17" s="6">
        <f t="shared" si="2"/>
        <v>28.000000000000004</v>
      </c>
      <c r="J17" t="str">
        <f t="shared" si="3"/>
        <v>OK</v>
      </c>
    </row>
    <row r="18" spans="1:10" x14ac:dyDescent="0.2">
      <c r="A18">
        <v>10017</v>
      </c>
      <c r="B18" t="s">
        <v>7</v>
      </c>
      <c r="C18" t="s">
        <v>11</v>
      </c>
      <c r="D18" s="8">
        <v>13.36</v>
      </c>
      <c r="E18">
        <v>3</v>
      </c>
      <c r="F18" t="str">
        <f t="shared" si="0"/>
        <v>Value</v>
      </c>
      <c r="G18" s="3" cm="1">
        <f t="array" ref="G18">_xlfn.XLOOKUP(C18 &amp; F18,
         [1]unilever_price_limits!A:A &amp; [1]unilever_price_limits!B:B,
         [1]unilever_price_limits!C:C)</f>
        <v>10</v>
      </c>
      <c r="H18" s="8">
        <f t="shared" si="1"/>
        <v>14.696</v>
      </c>
      <c r="I18" s="6">
        <f t="shared" si="2"/>
        <v>10.000000000000009</v>
      </c>
      <c r="J18" t="str">
        <f>IF(I17&gt; G17, "⚠ Exceeds Limit", "OK")</f>
        <v>OK</v>
      </c>
    </row>
    <row r="19" spans="1:10" x14ac:dyDescent="0.2">
      <c r="A19">
        <v>10018</v>
      </c>
      <c r="B19" t="s">
        <v>7</v>
      </c>
      <c r="C19" t="s">
        <v>6</v>
      </c>
      <c r="D19" s="8">
        <v>6.46</v>
      </c>
      <c r="E19">
        <v>5</v>
      </c>
      <c r="F19" t="str">
        <f t="shared" si="0"/>
        <v>Standard</v>
      </c>
      <c r="G19" s="3" cm="1">
        <f t="array" ref="G19">_xlfn.XLOOKUP(C19 &amp; F19,
         [1]unilever_price_limits!A:A &amp; [1]unilever_price_limits!B:B,
         [1]unilever_price_limits!C:C)</f>
        <v>28</v>
      </c>
      <c r="H19" s="8">
        <f t="shared" si="1"/>
        <v>8.2688000000000006</v>
      </c>
      <c r="I19" s="6">
        <f t="shared" si="2"/>
        <v>28.000000000000004</v>
      </c>
      <c r="J19" t="str">
        <f t="shared" si="3"/>
        <v>OK</v>
      </c>
    </row>
    <row r="20" spans="1:10" x14ac:dyDescent="0.2">
      <c r="A20">
        <v>10019</v>
      </c>
      <c r="B20" t="s">
        <v>7</v>
      </c>
      <c r="C20" t="s">
        <v>6</v>
      </c>
      <c r="D20" s="8">
        <v>9.26</v>
      </c>
      <c r="E20">
        <v>3</v>
      </c>
      <c r="F20" t="str">
        <f t="shared" si="0"/>
        <v>Value</v>
      </c>
      <c r="G20" s="3" cm="1">
        <f t="array" ref="G20">_xlfn.XLOOKUP(C20 &amp; F20,
         [1]unilever_price_limits!A:A &amp; [1]unilever_price_limits!B:B,
         [1]unilever_price_limits!C:C)</f>
        <v>12</v>
      </c>
      <c r="H20" s="8">
        <f t="shared" si="1"/>
        <v>10.3712</v>
      </c>
      <c r="I20" s="6">
        <f t="shared" si="2"/>
        <v>12.000000000000011</v>
      </c>
      <c r="J20" t="str">
        <f t="shared" si="3"/>
        <v>OK</v>
      </c>
    </row>
    <row r="21" spans="1:10" x14ac:dyDescent="0.2">
      <c r="A21">
        <v>10020</v>
      </c>
      <c r="B21" t="s">
        <v>5</v>
      </c>
      <c r="C21" t="s">
        <v>9</v>
      </c>
      <c r="D21" s="8">
        <v>9.64</v>
      </c>
      <c r="E21">
        <v>5</v>
      </c>
      <c r="F21" t="str">
        <f t="shared" si="0"/>
        <v>Standard</v>
      </c>
      <c r="G21" s="3" cm="1">
        <f t="array" ref="G21">_xlfn.XLOOKUP(C21 &amp; F21,
         [1]unilever_price_limits!A:A &amp; [1]unilever_price_limits!B:B,
         [1]unilever_price_limits!C:C)</f>
        <v>30</v>
      </c>
      <c r="H21" s="8">
        <f t="shared" si="1"/>
        <v>12.532000000000002</v>
      </c>
      <c r="I21" s="6">
        <f t="shared" si="2"/>
        <v>30.000000000000004</v>
      </c>
      <c r="J21" t="str">
        <f t="shared" si="3"/>
        <v>OK</v>
      </c>
    </row>
    <row r="22" spans="1:10" x14ac:dyDescent="0.2">
      <c r="A22">
        <v>10021</v>
      </c>
      <c r="B22" t="s">
        <v>10</v>
      </c>
      <c r="C22" t="s">
        <v>9</v>
      </c>
      <c r="D22" s="8">
        <v>6.55</v>
      </c>
      <c r="E22">
        <v>5</v>
      </c>
      <c r="F22" t="str">
        <f>IF(E22&lt;=3,"Value",
 IF(E22&lt;=7,"Standard","Premium"))</f>
        <v>Standard</v>
      </c>
      <c r="G22" s="3" cm="1">
        <f t="array" ref="G22">_xlfn.XLOOKUP(C22 &amp; F22,
         [1]unilever_price_limits!A:A &amp; [1]unilever_price_limits!B:B,
         [1]unilever_price_limits!C:C)</f>
        <v>30</v>
      </c>
      <c r="H22" s="8">
        <f t="shared" si="1"/>
        <v>8.5150000000000006</v>
      </c>
      <c r="I22" s="6">
        <f t="shared" si="2"/>
        <v>30.000000000000004</v>
      </c>
      <c r="J22" t="str">
        <f t="shared" si="3"/>
        <v>OK</v>
      </c>
    </row>
    <row r="23" spans="1:10" x14ac:dyDescent="0.2">
      <c r="A23">
        <v>10022</v>
      </c>
      <c r="B23" t="s">
        <v>8</v>
      </c>
      <c r="C23" t="s">
        <v>6</v>
      </c>
      <c r="D23" s="8">
        <v>2.59</v>
      </c>
      <c r="E23">
        <v>2</v>
      </c>
      <c r="F23" t="str">
        <f t="shared" si="0"/>
        <v>Value</v>
      </c>
      <c r="G23" s="3" cm="1">
        <f t="array" ref="G23">_xlfn.XLOOKUP(C23 &amp; F23,
         [1]unilever_price_limits!A:A &amp; [1]unilever_price_limits!B:B,
         [1]unilever_price_limits!C:C)</f>
        <v>12</v>
      </c>
      <c r="H23" s="8">
        <f t="shared" si="1"/>
        <v>2.9008000000000003</v>
      </c>
      <c r="I23" s="6">
        <f t="shared" si="2"/>
        <v>12.000000000000011</v>
      </c>
      <c r="J23" t="str">
        <f t="shared" si="3"/>
        <v>OK</v>
      </c>
    </row>
    <row r="24" spans="1:10" x14ac:dyDescent="0.2">
      <c r="A24">
        <v>10023</v>
      </c>
      <c r="B24" t="s">
        <v>10</v>
      </c>
      <c r="C24" t="s">
        <v>11</v>
      </c>
      <c r="D24" s="8">
        <v>1.86</v>
      </c>
      <c r="E24">
        <v>9</v>
      </c>
      <c r="F24" t="str">
        <f t="shared" si="0"/>
        <v>Premium</v>
      </c>
      <c r="G24" s="3" cm="1">
        <f t="array" ref="G24">_xlfn.XLOOKUP(C24 &amp; F24,
         [1]unilever_price_limits!A:A &amp; [1]unilever_price_limits!B:B,
         [1]unilever_price_limits!C:C)</f>
        <v>50</v>
      </c>
      <c r="H24" s="8">
        <f t="shared" si="1"/>
        <v>2.79</v>
      </c>
      <c r="I24" s="6">
        <f t="shared" si="2"/>
        <v>50</v>
      </c>
      <c r="J24" t="str">
        <f t="shared" si="3"/>
        <v>OK</v>
      </c>
    </row>
    <row r="25" spans="1:10" x14ac:dyDescent="0.2">
      <c r="A25">
        <v>10024</v>
      </c>
      <c r="B25" t="s">
        <v>7</v>
      </c>
      <c r="C25" t="s">
        <v>9</v>
      </c>
      <c r="D25" s="8">
        <v>0.74</v>
      </c>
      <c r="E25">
        <v>7</v>
      </c>
      <c r="F25" t="str">
        <f t="shared" si="0"/>
        <v>Standard</v>
      </c>
      <c r="G25" s="3" cm="1">
        <f t="array" ref="G25">_xlfn.XLOOKUP(C25 &amp; F25,
         [1]unilever_price_limits!A:A &amp; [1]unilever_price_limits!B:B,
         [1]unilever_price_limits!C:C)</f>
        <v>30</v>
      </c>
      <c r="H25" s="8">
        <f t="shared" si="1"/>
        <v>0.96199999999999997</v>
      </c>
      <c r="I25" s="6">
        <f t="shared" si="2"/>
        <v>30.000000000000004</v>
      </c>
      <c r="J25" t="str">
        <f t="shared" si="3"/>
        <v>OK</v>
      </c>
    </row>
    <row r="26" spans="1:10" x14ac:dyDescent="0.2">
      <c r="A26">
        <v>10025</v>
      </c>
      <c r="B26" t="s">
        <v>7</v>
      </c>
      <c r="C26" t="s">
        <v>6</v>
      </c>
      <c r="D26" s="8">
        <v>13.17</v>
      </c>
      <c r="E26">
        <v>6</v>
      </c>
      <c r="F26" t="str">
        <f t="shared" si="0"/>
        <v>Standard</v>
      </c>
      <c r="G26" s="3" cm="1">
        <f t="array" ref="G26">_xlfn.XLOOKUP(C26 &amp; F26,
         [1]unilever_price_limits!A:A &amp; [1]unilever_price_limits!B:B,
         [1]unilever_price_limits!C:C)</f>
        <v>28</v>
      </c>
      <c r="H26" s="8">
        <f t="shared" si="1"/>
        <v>16.857600000000001</v>
      </c>
      <c r="I26" s="6">
        <f t="shared" si="2"/>
        <v>28.000000000000004</v>
      </c>
      <c r="J26" t="str">
        <f t="shared" si="3"/>
        <v>OK</v>
      </c>
    </row>
    <row r="27" spans="1:10" x14ac:dyDescent="0.2">
      <c r="A27">
        <v>10026</v>
      </c>
      <c r="B27" t="s">
        <v>10</v>
      </c>
      <c r="C27" t="s">
        <v>6</v>
      </c>
      <c r="D27" s="8">
        <v>3.93</v>
      </c>
      <c r="E27">
        <v>5</v>
      </c>
      <c r="F27" t="str">
        <f t="shared" si="0"/>
        <v>Standard</v>
      </c>
      <c r="G27" s="3" cm="1">
        <f t="array" ref="G27">_xlfn.XLOOKUP(C27 &amp; F27,
         [1]unilever_price_limits!A:A &amp; [1]unilever_price_limits!B:B,
         [1]unilever_price_limits!C:C)</f>
        <v>28</v>
      </c>
      <c r="H27" s="8">
        <f t="shared" si="1"/>
        <v>5.0304000000000002</v>
      </c>
      <c r="I27" s="6">
        <f t="shared" si="2"/>
        <v>28.000000000000004</v>
      </c>
      <c r="J27" t="str">
        <f t="shared" si="3"/>
        <v>OK</v>
      </c>
    </row>
    <row r="28" spans="1:10" x14ac:dyDescent="0.2">
      <c r="A28">
        <v>10027</v>
      </c>
      <c r="B28" t="s">
        <v>10</v>
      </c>
      <c r="C28" t="s">
        <v>11</v>
      </c>
      <c r="D28" s="8">
        <v>3.57</v>
      </c>
      <c r="E28">
        <v>4</v>
      </c>
      <c r="F28" t="str">
        <f t="shared" si="0"/>
        <v>Standard</v>
      </c>
      <c r="G28" s="3" cm="1">
        <f t="array" ref="G28">_xlfn.XLOOKUP(C28 &amp; F28,
         [1]unilever_price_limits!A:A &amp; [1]unilever_price_limits!B:B,
         [1]unilever_price_limits!C:C)</f>
        <v>25</v>
      </c>
      <c r="H28" s="8">
        <f t="shared" si="1"/>
        <v>4.4624999999999995</v>
      </c>
      <c r="I28" s="6">
        <f t="shared" si="2"/>
        <v>25</v>
      </c>
      <c r="J28" t="str">
        <f t="shared" si="3"/>
        <v>OK</v>
      </c>
    </row>
    <row r="29" spans="1:10" x14ac:dyDescent="0.2">
      <c r="A29">
        <v>10028</v>
      </c>
      <c r="B29" t="s">
        <v>10</v>
      </c>
      <c r="C29" t="s">
        <v>11</v>
      </c>
      <c r="D29" s="8">
        <v>11.17</v>
      </c>
      <c r="E29">
        <v>8</v>
      </c>
      <c r="F29" t="str">
        <f t="shared" si="0"/>
        <v>Premium</v>
      </c>
      <c r="G29" s="3" cm="1">
        <f t="array" ref="G29">_xlfn.XLOOKUP(C29 &amp; F29,
         [1]unilever_price_limits!A:A &amp; [1]unilever_price_limits!B:B,
         [1]unilever_price_limits!C:C)</f>
        <v>50</v>
      </c>
      <c r="H29" s="8">
        <f t="shared" si="1"/>
        <v>16.754999999999999</v>
      </c>
      <c r="I29" s="6">
        <f t="shared" si="2"/>
        <v>50</v>
      </c>
      <c r="J29" t="str">
        <f t="shared" si="3"/>
        <v>OK</v>
      </c>
    </row>
    <row r="30" spans="1:10" x14ac:dyDescent="0.2">
      <c r="A30">
        <v>10029</v>
      </c>
      <c r="B30" t="s">
        <v>7</v>
      </c>
      <c r="C30" t="s">
        <v>9</v>
      </c>
      <c r="D30" s="8">
        <v>5.14</v>
      </c>
      <c r="E30">
        <v>2</v>
      </c>
      <c r="F30" t="str">
        <f t="shared" si="0"/>
        <v>Value</v>
      </c>
      <c r="G30" s="3" cm="1">
        <f t="array" ref="G30">_xlfn.XLOOKUP(C30 &amp; F30,
         [1]unilever_price_limits!A:A &amp; [1]unilever_price_limits!B:B,
         [1]unilever_price_limits!C:C)</f>
        <v>15</v>
      </c>
      <c r="H30" s="8">
        <f t="shared" si="1"/>
        <v>5.9109999999999996</v>
      </c>
      <c r="I30" s="6">
        <f t="shared" si="2"/>
        <v>14.999999999999991</v>
      </c>
      <c r="J30" t="str">
        <f t="shared" si="3"/>
        <v>OK</v>
      </c>
    </row>
    <row r="31" spans="1:10" x14ac:dyDescent="0.2">
      <c r="A31">
        <v>10030</v>
      </c>
      <c r="B31" t="s">
        <v>7</v>
      </c>
      <c r="C31" t="s">
        <v>11</v>
      </c>
      <c r="D31" s="8">
        <v>7.84</v>
      </c>
      <c r="E31">
        <v>8</v>
      </c>
      <c r="F31" t="str">
        <f t="shared" si="0"/>
        <v>Premium</v>
      </c>
      <c r="G31" s="3" cm="1">
        <f t="array" ref="G31">_xlfn.XLOOKUP(C31 &amp; F31,
         [1]unilever_price_limits!A:A &amp; [1]unilever_price_limits!B:B,
         [1]unilever_price_limits!C:C)</f>
        <v>50</v>
      </c>
      <c r="H31" s="8">
        <f t="shared" si="1"/>
        <v>11.76</v>
      </c>
      <c r="I31" s="6">
        <f t="shared" si="2"/>
        <v>50</v>
      </c>
      <c r="J31" t="str">
        <f t="shared" si="3"/>
        <v>OK</v>
      </c>
    </row>
    <row r="32" spans="1:10" x14ac:dyDescent="0.2">
      <c r="A32">
        <v>10031</v>
      </c>
      <c r="B32" t="s">
        <v>8</v>
      </c>
      <c r="C32" t="s">
        <v>6</v>
      </c>
      <c r="D32" s="8">
        <v>2.86</v>
      </c>
      <c r="E32">
        <v>1</v>
      </c>
      <c r="F32" t="str">
        <f>IF(E32&lt;=3,"Value",
 IF(E32&lt;=7,"Standard","Premium"))</f>
        <v>Value</v>
      </c>
      <c r="G32" s="3" cm="1">
        <f t="array" ref="G32">_xlfn.XLOOKUP(C32 &amp; F32,
         [1]unilever_price_limits!A:A &amp; [1]unilever_price_limits!B:B,
         [1]unilever_price_limits!C:C)</f>
        <v>12</v>
      </c>
      <c r="H32" s="8">
        <f t="shared" si="1"/>
        <v>3.2032000000000003</v>
      </c>
      <c r="I32" s="6">
        <f t="shared" si="2"/>
        <v>12.000000000000011</v>
      </c>
      <c r="J32" t="str">
        <f t="shared" si="3"/>
        <v>OK</v>
      </c>
    </row>
    <row r="33" spans="1:10" x14ac:dyDescent="0.2">
      <c r="A33">
        <v>10032</v>
      </c>
      <c r="B33" t="s">
        <v>8</v>
      </c>
      <c r="C33" t="s">
        <v>6</v>
      </c>
      <c r="D33" s="8">
        <v>14.42</v>
      </c>
      <c r="E33">
        <v>10</v>
      </c>
      <c r="F33" t="str">
        <f t="shared" si="0"/>
        <v>Premium</v>
      </c>
      <c r="G33" s="3" cm="1">
        <f t="array" ref="G33">_xlfn.XLOOKUP(C33 &amp; F33,
         [1]unilever_price_limits!A:A &amp; [1]unilever_price_limits!B:B,
         [1]unilever_price_limits!C:C)</f>
        <v>55</v>
      </c>
      <c r="H33" s="8">
        <f t="shared" si="1"/>
        <v>22.350999999999999</v>
      </c>
      <c r="I33" s="6">
        <f t="shared" si="2"/>
        <v>55.000000000000007</v>
      </c>
      <c r="J33" t="str">
        <f t="shared" si="3"/>
        <v>OK</v>
      </c>
    </row>
    <row r="34" spans="1:10" x14ac:dyDescent="0.2">
      <c r="A34">
        <v>10033</v>
      </c>
      <c r="B34" t="s">
        <v>7</v>
      </c>
      <c r="C34" t="s">
        <v>11</v>
      </c>
      <c r="D34" s="8">
        <v>12.85</v>
      </c>
      <c r="E34">
        <v>1</v>
      </c>
      <c r="F34" t="str">
        <f t="shared" si="0"/>
        <v>Value</v>
      </c>
      <c r="G34" s="3" cm="1">
        <f t="array" ref="G34">_xlfn.XLOOKUP(C34 &amp; F34,
         [1]unilever_price_limits!A:A &amp; [1]unilever_price_limits!B:B,
         [1]unilever_price_limits!C:C)</f>
        <v>10</v>
      </c>
      <c r="H34" s="8">
        <f t="shared" si="1"/>
        <v>14.135000000000002</v>
      </c>
      <c r="I34" s="6">
        <f t="shared" si="2"/>
        <v>10.000000000000009</v>
      </c>
      <c r="J34" t="str">
        <f t="shared" si="3"/>
        <v>OK</v>
      </c>
    </row>
    <row r="35" spans="1:10" x14ac:dyDescent="0.2">
      <c r="A35">
        <v>10034</v>
      </c>
      <c r="B35" t="s">
        <v>10</v>
      </c>
      <c r="C35" t="s">
        <v>11</v>
      </c>
      <c r="D35" s="8">
        <v>13.02</v>
      </c>
      <c r="E35">
        <v>3</v>
      </c>
      <c r="F35" t="str">
        <f t="shared" si="0"/>
        <v>Value</v>
      </c>
      <c r="G35" s="3" cm="1">
        <f t="array" ref="G35">_xlfn.XLOOKUP(C35 &amp; F35,
         [1]unilever_price_limits!A:A &amp; [1]unilever_price_limits!B:B,
         [1]unilever_price_limits!C:C)</f>
        <v>10</v>
      </c>
      <c r="H35" s="8">
        <f t="shared" si="1"/>
        <v>14.322000000000001</v>
      </c>
      <c r="I35" s="6">
        <f t="shared" si="2"/>
        <v>10.000000000000009</v>
      </c>
      <c r="J35" t="str">
        <f t="shared" si="3"/>
        <v>OK</v>
      </c>
    </row>
    <row r="36" spans="1:10" x14ac:dyDescent="0.2">
      <c r="A36">
        <v>10035</v>
      </c>
      <c r="B36" t="s">
        <v>10</v>
      </c>
      <c r="C36" t="s">
        <v>11</v>
      </c>
      <c r="D36" s="8">
        <v>6.4</v>
      </c>
      <c r="E36">
        <v>5</v>
      </c>
      <c r="F36" t="str">
        <f t="shared" si="0"/>
        <v>Standard</v>
      </c>
      <c r="G36" s="3" cm="1">
        <f t="array" ref="G36">_xlfn.XLOOKUP(C36 &amp; F36,
         [1]unilever_price_limits!A:A &amp; [1]unilever_price_limits!B:B,
         [1]unilever_price_limits!C:C)</f>
        <v>25</v>
      </c>
      <c r="H36" s="8">
        <f t="shared" si="1"/>
        <v>8</v>
      </c>
      <c r="I36" s="6">
        <f t="shared" si="2"/>
        <v>25</v>
      </c>
      <c r="J36" t="str">
        <f t="shared" si="3"/>
        <v>OK</v>
      </c>
    </row>
    <row r="37" spans="1:10" x14ac:dyDescent="0.2">
      <c r="A37">
        <v>10036</v>
      </c>
      <c r="B37" t="s">
        <v>8</v>
      </c>
      <c r="C37" t="s">
        <v>11</v>
      </c>
      <c r="D37" s="8">
        <v>11.55</v>
      </c>
      <c r="E37">
        <v>6</v>
      </c>
      <c r="F37" t="str">
        <f t="shared" si="0"/>
        <v>Standard</v>
      </c>
      <c r="G37" s="3" cm="1">
        <f t="array" ref="G37">_xlfn.XLOOKUP(C37 &amp; F37,
         [1]unilever_price_limits!A:A &amp; [1]unilever_price_limits!B:B,
         [1]unilever_price_limits!C:C)</f>
        <v>25</v>
      </c>
      <c r="H37" s="8">
        <f t="shared" si="1"/>
        <v>14.4375</v>
      </c>
      <c r="I37" s="6">
        <f t="shared" si="2"/>
        <v>25</v>
      </c>
      <c r="J37" t="str">
        <f t="shared" si="3"/>
        <v>OK</v>
      </c>
    </row>
    <row r="38" spans="1:10" x14ac:dyDescent="0.2">
      <c r="A38">
        <v>10037</v>
      </c>
      <c r="B38" t="s">
        <v>7</v>
      </c>
      <c r="C38" t="s">
        <v>9</v>
      </c>
      <c r="D38" s="8">
        <v>2.59</v>
      </c>
      <c r="E38">
        <v>4</v>
      </c>
      <c r="F38" t="str">
        <f t="shared" si="0"/>
        <v>Standard</v>
      </c>
      <c r="G38" s="3" cm="1">
        <f t="array" ref="G38">_xlfn.XLOOKUP(C38 &amp; F38,
         [1]unilever_price_limits!A:A &amp; [1]unilever_price_limits!B:B,
         [1]unilever_price_limits!C:C)</f>
        <v>30</v>
      </c>
      <c r="H38" s="8">
        <f t="shared" si="1"/>
        <v>3.367</v>
      </c>
      <c r="I38" s="6">
        <f t="shared" si="2"/>
        <v>30.000000000000004</v>
      </c>
      <c r="J38" t="str">
        <f t="shared" si="3"/>
        <v>OK</v>
      </c>
    </row>
    <row r="39" spans="1:10" x14ac:dyDescent="0.2">
      <c r="A39">
        <v>10038</v>
      </c>
      <c r="B39" t="s">
        <v>8</v>
      </c>
      <c r="C39" t="s">
        <v>11</v>
      </c>
      <c r="D39" s="8">
        <v>0.62</v>
      </c>
      <c r="E39">
        <v>7</v>
      </c>
      <c r="F39" t="str">
        <f t="shared" si="0"/>
        <v>Standard</v>
      </c>
      <c r="G39" s="3" cm="1">
        <f t="array" ref="G39">_xlfn.XLOOKUP(C39 &amp; F39,
         [1]unilever_price_limits!A:A &amp; [1]unilever_price_limits!B:B,
         [1]unilever_price_limits!C:C)</f>
        <v>25</v>
      </c>
      <c r="H39" s="8">
        <f t="shared" si="1"/>
        <v>0.77500000000000002</v>
      </c>
      <c r="I39" s="6">
        <f t="shared" si="2"/>
        <v>25</v>
      </c>
      <c r="J39" t="str">
        <f t="shared" si="3"/>
        <v>OK</v>
      </c>
    </row>
    <row r="40" spans="1:10" x14ac:dyDescent="0.2">
      <c r="A40">
        <v>10039</v>
      </c>
      <c r="B40" t="s">
        <v>8</v>
      </c>
      <c r="C40" t="s">
        <v>9</v>
      </c>
      <c r="D40" s="8">
        <v>0.79</v>
      </c>
      <c r="E40">
        <v>7</v>
      </c>
      <c r="F40" t="str">
        <f t="shared" si="0"/>
        <v>Standard</v>
      </c>
      <c r="G40" s="3" cm="1">
        <f t="array" ref="G40">_xlfn.XLOOKUP(C40 &amp; F40,
         [1]unilever_price_limits!A:A &amp; [1]unilever_price_limits!B:B,
         [1]unilever_price_limits!C:C)</f>
        <v>30</v>
      </c>
      <c r="H40" s="8">
        <f t="shared" si="1"/>
        <v>1.0270000000000001</v>
      </c>
      <c r="I40" s="6">
        <f t="shared" si="2"/>
        <v>30.000000000000004</v>
      </c>
      <c r="J40" t="str">
        <f t="shared" si="3"/>
        <v>OK</v>
      </c>
    </row>
    <row r="41" spans="1:10" x14ac:dyDescent="0.2">
      <c r="A41">
        <v>10040</v>
      </c>
      <c r="B41" t="s">
        <v>5</v>
      </c>
      <c r="C41" t="s">
        <v>6</v>
      </c>
      <c r="D41" s="8">
        <v>9.01</v>
      </c>
      <c r="E41">
        <v>2</v>
      </c>
      <c r="F41" t="str">
        <f t="shared" si="0"/>
        <v>Value</v>
      </c>
      <c r="G41" s="3" cm="1">
        <f t="array" ref="G41">_xlfn.XLOOKUP(C41 &amp; F41,
         [1]unilever_price_limits!A:A &amp; [1]unilever_price_limits!B:B,
         [1]unilever_price_limits!C:C)</f>
        <v>12</v>
      </c>
      <c r="H41" s="8">
        <f t="shared" si="1"/>
        <v>10.091200000000001</v>
      </c>
      <c r="I41" s="6">
        <f t="shared" si="2"/>
        <v>12.000000000000011</v>
      </c>
      <c r="J41" t="str">
        <f t="shared" si="3"/>
        <v>OK</v>
      </c>
    </row>
    <row r="42" spans="1:10" x14ac:dyDescent="0.2">
      <c r="A42">
        <v>10041</v>
      </c>
      <c r="B42" t="s">
        <v>5</v>
      </c>
      <c r="C42" t="s">
        <v>11</v>
      </c>
      <c r="D42" s="8">
        <v>7.1</v>
      </c>
      <c r="E42">
        <v>2</v>
      </c>
      <c r="F42" t="str">
        <f t="shared" si="0"/>
        <v>Value</v>
      </c>
      <c r="G42" s="3" cm="1">
        <f t="array" ref="G42">_xlfn.XLOOKUP(C42 &amp; F42,
         [1]unilever_price_limits!A:A &amp; [1]unilever_price_limits!B:B,
         [1]unilever_price_limits!C:C)</f>
        <v>10</v>
      </c>
      <c r="H42" s="8">
        <f t="shared" si="1"/>
        <v>7.8100000000000005</v>
      </c>
      <c r="I42" s="6">
        <f t="shared" si="2"/>
        <v>10.000000000000009</v>
      </c>
      <c r="J42" t="str">
        <f t="shared" si="3"/>
        <v>OK</v>
      </c>
    </row>
    <row r="43" spans="1:10" x14ac:dyDescent="0.2">
      <c r="A43">
        <v>10042</v>
      </c>
      <c r="B43" t="s">
        <v>5</v>
      </c>
      <c r="C43" t="s">
        <v>9</v>
      </c>
      <c r="D43" s="8">
        <v>8.01</v>
      </c>
      <c r="E43">
        <v>2</v>
      </c>
      <c r="F43" t="str">
        <f t="shared" si="0"/>
        <v>Value</v>
      </c>
      <c r="G43" s="3" cm="1">
        <f t="array" ref="G43">_xlfn.XLOOKUP(C43 &amp; F43,
         [1]unilever_price_limits!A:A &amp; [1]unilever_price_limits!B:B,
         [1]unilever_price_limits!C:C)</f>
        <v>15</v>
      </c>
      <c r="H43" s="8">
        <f t="shared" si="1"/>
        <v>9.2114999999999991</v>
      </c>
      <c r="I43" s="6">
        <f t="shared" si="2"/>
        <v>14.999999999999991</v>
      </c>
      <c r="J43" t="str">
        <f t="shared" si="3"/>
        <v>OK</v>
      </c>
    </row>
    <row r="44" spans="1:10" x14ac:dyDescent="0.2">
      <c r="A44">
        <v>10043</v>
      </c>
      <c r="B44" t="s">
        <v>10</v>
      </c>
      <c r="C44" t="s">
        <v>11</v>
      </c>
      <c r="D44" s="8">
        <v>0.61</v>
      </c>
      <c r="E44">
        <v>2</v>
      </c>
      <c r="F44" t="str">
        <f t="shared" si="0"/>
        <v>Value</v>
      </c>
      <c r="G44" s="3" cm="1">
        <f t="array" ref="G44">_xlfn.XLOOKUP(C44 &amp; F44,
         [1]unilever_price_limits!A:A &amp; [1]unilever_price_limits!B:B,
         [1]unilever_price_limits!C:C)</f>
        <v>10</v>
      </c>
      <c r="H44" s="8">
        <f t="shared" si="1"/>
        <v>0.67100000000000004</v>
      </c>
      <c r="I44" s="6">
        <f t="shared" si="2"/>
        <v>10.000000000000009</v>
      </c>
      <c r="J44" t="str">
        <f t="shared" si="3"/>
        <v>OK</v>
      </c>
    </row>
    <row r="45" spans="1:10" x14ac:dyDescent="0.2">
      <c r="A45">
        <v>10044</v>
      </c>
      <c r="B45" t="s">
        <v>7</v>
      </c>
      <c r="C45" t="s">
        <v>6</v>
      </c>
      <c r="D45" s="8">
        <v>6.63</v>
      </c>
      <c r="E45">
        <v>9</v>
      </c>
      <c r="F45" t="str">
        <f t="shared" si="0"/>
        <v>Premium</v>
      </c>
      <c r="G45" s="3" cm="1">
        <f t="array" ref="G45">_xlfn.XLOOKUP(C45 &amp; F45,
         [1]unilever_price_limits!A:A &amp; [1]unilever_price_limits!B:B,
         [1]unilever_price_limits!C:C)</f>
        <v>55</v>
      </c>
      <c r="H45" s="8">
        <f t="shared" si="1"/>
        <v>10.2765</v>
      </c>
      <c r="I45" s="6">
        <f t="shared" si="2"/>
        <v>55.000000000000007</v>
      </c>
      <c r="J45" t="str">
        <f t="shared" si="3"/>
        <v>OK</v>
      </c>
    </row>
    <row r="46" spans="1:10" x14ac:dyDescent="0.2">
      <c r="A46">
        <v>10045</v>
      </c>
      <c r="B46" t="s">
        <v>7</v>
      </c>
      <c r="C46" t="s">
        <v>6</v>
      </c>
      <c r="D46" s="8">
        <v>10.91</v>
      </c>
      <c r="E46">
        <v>5</v>
      </c>
      <c r="F46" t="str">
        <f t="shared" si="0"/>
        <v>Standard</v>
      </c>
      <c r="G46" s="3" cm="1">
        <f t="array" ref="G46">_xlfn.XLOOKUP(C46 &amp; F46,
         [1]unilever_price_limits!A:A &amp; [1]unilever_price_limits!B:B,
         [1]unilever_price_limits!C:C)</f>
        <v>28</v>
      </c>
      <c r="H46" s="8">
        <f t="shared" si="1"/>
        <v>13.9648</v>
      </c>
      <c r="I46" s="6">
        <f t="shared" si="2"/>
        <v>28.000000000000004</v>
      </c>
      <c r="J46" t="str">
        <f t="shared" si="3"/>
        <v>OK</v>
      </c>
    </row>
    <row r="47" spans="1:10" x14ac:dyDescent="0.2">
      <c r="A47">
        <v>10046</v>
      </c>
      <c r="B47" t="s">
        <v>7</v>
      </c>
      <c r="C47" t="s">
        <v>6</v>
      </c>
      <c r="D47" s="8">
        <v>6.92</v>
      </c>
      <c r="E47">
        <v>8</v>
      </c>
      <c r="F47" t="str">
        <f t="shared" si="0"/>
        <v>Premium</v>
      </c>
      <c r="G47" s="3" cm="1">
        <f t="array" ref="G47">_xlfn.XLOOKUP(C47 &amp; F47,
         [1]unilever_price_limits!A:A &amp; [1]unilever_price_limits!B:B,
         [1]unilever_price_limits!C:C)</f>
        <v>55</v>
      </c>
      <c r="H47" s="8">
        <f t="shared" si="1"/>
        <v>10.726000000000001</v>
      </c>
      <c r="I47" s="6">
        <f t="shared" si="2"/>
        <v>55.000000000000007</v>
      </c>
      <c r="J47" t="str">
        <f t="shared" si="3"/>
        <v>OK</v>
      </c>
    </row>
    <row r="48" spans="1:10" x14ac:dyDescent="0.2">
      <c r="A48">
        <v>10047</v>
      </c>
      <c r="B48" t="s">
        <v>7</v>
      </c>
      <c r="C48" t="s">
        <v>11</v>
      </c>
      <c r="D48" s="8">
        <v>11.12</v>
      </c>
      <c r="E48">
        <v>5</v>
      </c>
      <c r="F48" t="str">
        <f t="shared" si="0"/>
        <v>Standard</v>
      </c>
      <c r="G48" s="3" cm="1">
        <f t="array" ref="G48">_xlfn.XLOOKUP(C48 &amp; F48,
         [1]unilever_price_limits!A:A &amp; [1]unilever_price_limits!B:B,
         [1]unilever_price_limits!C:C)</f>
        <v>25</v>
      </c>
      <c r="H48" s="8">
        <f t="shared" si="1"/>
        <v>13.899999999999999</v>
      </c>
      <c r="I48" s="6">
        <f t="shared" si="2"/>
        <v>25</v>
      </c>
      <c r="J48" t="str">
        <f t="shared" si="3"/>
        <v>OK</v>
      </c>
    </row>
    <row r="49" spans="1:10" x14ac:dyDescent="0.2">
      <c r="A49">
        <v>10048</v>
      </c>
      <c r="B49" t="s">
        <v>5</v>
      </c>
      <c r="C49" t="s">
        <v>11</v>
      </c>
      <c r="D49" s="8">
        <v>3.88</v>
      </c>
      <c r="E49">
        <v>5</v>
      </c>
      <c r="F49" t="str">
        <f t="shared" si="0"/>
        <v>Standard</v>
      </c>
      <c r="G49" s="3" cm="1">
        <f t="array" ref="G49">_xlfn.XLOOKUP(C49 &amp; F49,
         [1]unilever_price_limits!A:A &amp; [1]unilever_price_limits!B:B,
         [1]unilever_price_limits!C:C)</f>
        <v>25</v>
      </c>
      <c r="H49" s="8">
        <f t="shared" si="1"/>
        <v>4.8499999999999996</v>
      </c>
      <c r="I49" s="6">
        <f t="shared" si="2"/>
        <v>25</v>
      </c>
      <c r="J49" t="str">
        <f t="shared" si="3"/>
        <v>OK</v>
      </c>
    </row>
    <row r="50" spans="1:10" x14ac:dyDescent="0.2">
      <c r="A50">
        <v>10049</v>
      </c>
      <c r="B50" t="s">
        <v>10</v>
      </c>
      <c r="C50" t="s">
        <v>9</v>
      </c>
      <c r="D50" s="8">
        <v>12.29</v>
      </c>
      <c r="E50">
        <v>1</v>
      </c>
      <c r="F50" t="str">
        <f t="shared" si="0"/>
        <v>Value</v>
      </c>
      <c r="G50" s="3" cm="1">
        <f t="array" ref="G50">_xlfn.XLOOKUP(C50 &amp; F50,
         [1]unilever_price_limits!A:A &amp; [1]unilever_price_limits!B:B,
         [1]unilever_price_limits!C:C)</f>
        <v>15</v>
      </c>
      <c r="H50" s="8">
        <f t="shared" si="1"/>
        <v>14.133499999999998</v>
      </c>
      <c r="I50" s="6">
        <f t="shared" si="2"/>
        <v>14.999999999999991</v>
      </c>
      <c r="J50" t="str">
        <f t="shared" si="3"/>
        <v>OK</v>
      </c>
    </row>
    <row r="51" spans="1:10" x14ac:dyDescent="0.2">
      <c r="A51">
        <v>10050</v>
      </c>
      <c r="B51" t="s">
        <v>10</v>
      </c>
      <c r="C51" t="s">
        <v>6</v>
      </c>
      <c r="D51" s="8">
        <v>9.0299999999999994</v>
      </c>
      <c r="E51">
        <v>6</v>
      </c>
      <c r="F51" t="str">
        <f t="shared" si="0"/>
        <v>Standard</v>
      </c>
      <c r="G51" s="3" cm="1">
        <f t="array" ref="G51">_xlfn.XLOOKUP(C51 &amp; F51,
         [1]unilever_price_limits!A:A &amp; [1]unilever_price_limits!B:B,
         [1]unilever_price_limits!C:C)</f>
        <v>28</v>
      </c>
      <c r="H51" s="8">
        <f t="shared" si="1"/>
        <v>11.558399999999999</v>
      </c>
      <c r="I51" s="6">
        <f t="shared" si="2"/>
        <v>28.000000000000004</v>
      </c>
      <c r="J51" t="str">
        <f t="shared" si="3"/>
        <v>OK</v>
      </c>
    </row>
    <row r="52" spans="1:10" x14ac:dyDescent="0.2">
      <c r="A52">
        <v>10051</v>
      </c>
      <c r="B52" t="s">
        <v>5</v>
      </c>
      <c r="C52" t="s">
        <v>11</v>
      </c>
      <c r="D52" s="8">
        <v>3.56</v>
      </c>
      <c r="E52">
        <v>4</v>
      </c>
      <c r="F52" t="str">
        <f t="shared" si="0"/>
        <v>Standard</v>
      </c>
      <c r="G52" s="3" cm="1">
        <f t="array" ref="G52">_xlfn.XLOOKUP(C52 &amp; F52,
         [1]unilever_price_limits!A:A &amp; [1]unilever_price_limits!B:B,
         [1]unilever_price_limits!C:C)</f>
        <v>25</v>
      </c>
      <c r="H52" s="8">
        <f t="shared" si="1"/>
        <v>4.45</v>
      </c>
      <c r="I52" s="6">
        <f t="shared" si="2"/>
        <v>25</v>
      </c>
      <c r="J52" t="str">
        <f t="shared" si="3"/>
        <v>OK</v>
      </c>
    </row>
    <row r="53" spans="1:10" x14ac:dyDescent="0.2">
      <c r="A53">
        <v>10052</v>
      </c>
      <c r="B53" t="s">
        <v>10</v>
      </c>
      <c r="C53" t="s">
        <v>6</v>
      </c>
      <c r="D53" s="8">
        <v>3.93</v>
      </c>
      <c r="E53">
        <v>3</v>
      </c>
      <c r="F53" t="str">
        <f t="shared" si="0"/>
        <v>Value</v>
      </c>
      <c r="G53" s="3" cm="1">
        <f t="array" ref="G53">_xlfn.XLOOKUP(C53 &amp; F53,
         [1]unilever_price_limits!A:A &amp; [1]unilever_price_limits!B:B,
         [1]unilever_price_limits!C:C)</f>
        <v>12</v>
      </c>
      <c r="H53" s="8">
        <f t="shared" si="1"/>
        <v>4.4016000000000002</v>
      </c>
      <c r="I53" s="6">
        <f t="shared" si="2"/>
        <v>12.000000000000011</v>
      </c>
      <c r="J53" t="str">
        <f t="shared" si="3"/>
        <v>OK</v>
      </c>
    </row>
    <row r="54" spans="1:10" x14ac:dyDescent="0.2">
      <c r="A54">
        <v>10053</v>
      </c>
      <c r="B54" t="s">
        <v>5</v>
      </c>
      <c r="C54" t="s">
        <v>6</v>
      </c>
      <c r="D54" s="8">
        <v>9.61</v>
      </c>
      <c r="E54">
        <v>6</v>
      </c>
      <c r="F54" t="str">
        <f t="shared" si="0"/>
        <v>Standard</v>
      </c>
      <c r="G54" s="3" cm="1">
        <f t="array" ref="G54">_xlfn.XLOOKUP(C54 &amp; F54,
         [1]unilever_price_limits!A:A &amp; [1]unilever_price_limits!B:B,
         [1]unilever_price_limits!C:C)</f>
        <v>28</v>
      </c>
      <c r="H54" s="8">
        <f t="shared" si="1"/>
        <v>12.300799999999999</v>
      </c>
      <c r="I54" s="6">
        <f t="shared" si="2"/>
        <v>28.000000000000004</v>
      </c>
      <c r="J54" t="str">
        <f t="shared" si="3"/>
        <v>OK</v>
      </c>
    </row>
    <row r="55" spans="1:10" x14ac:dyDescent="0.2">
      <c r="A55">
        <v>10054</v>
      </c>
      <c r="B55" t="s">
        <v>7</v>
      </c>
      <c r="C55" t="s">
        <v>9</v>
      </c>
      <c r="D55" s="8">
        <v>12.53</v>
      </c>
      <c r="E55">
        <v>2</v>
      </c>
      <c r="F55" t="str">
        <f t="shared" si="0"/>
        <v>Value</v>
      </c>
      <c r="G55" s="3" cm="1">
        <f t="array" ref="G55">_xlfn.XLOOKUP(C55 &amp; F55,
         [1]unilever_price_limits!A:A &amp; [1]unilever_price_limits!B:B,
         [1]unilever_price_limits!C:C)</f>
        <v>15</v>
      </c>
      <c r="H55" s="8">
        <f t="shared" si="1"/>
        <v>14.409499999999998</v>
      </c>
      <c r="I55" s="6">
        <f t="shared" si="2"/>
        <v>14.999999999999991</v>
      </c>
      <c r="J55" t="str">
        <f t="shared" si="3"/>
        <v>OK</v>
      </c>
    </row>
    <row r="56" spans="1:10" x14ac:dyDescent="0.2">
      <c r="A56">
        <v>10055</v>
      </c>
      <c r="B56" t="s">
        <v>5</v>
      </c>
      <c r="C56" t="s">
        <v>9</v>
      </c>
      <c r="D56" s="8">
        <v>6.53</v>
      </c>
      <c r="E56">
        <v>8</v>
      </c>
      <c r="F56" t="str">
        <f t="shared" si="0"/>
        <v>Premium</v>
      </c>
      <c r="G56" s="3" cm="1">
        <f t="array" ref="G56">_xlfn.XLOOKUP(C56 &amp; F56,
         [1]unilever_price_limits!A:A &amp; [1]unilever_price_limits!B:B,
         [1]unilever_price_limits!C:C)</f>
        <v>60</v>
      </c>
      <c r="H56" s="8">
        <f t="shared" si="1"/>
        <v>10.448</v>
      </c>
      <c r="I56" s="6">
        <f t="shared" si="2"/>
        <v>60.000000000000007</v>
      </c>
      <c r="J56" t="str">
        <f t="shared" si="3"/>
        <v>OK</v>
      </c>
    </row>
    <row r="57" spans="1:10" x14ac:dyDescent="0.2">
      <c r="A57">
        <v>10056</v>
      </c>
      <c r="B57" t="s">
        <v>7</v>
      </c>
      <c r="C57" t="s">
        <v>9</v>
      </c>
      <c r="D57" s="8">
        <v>4.25</v>
      </c>
      <c r="E57">
        <v>1</v>
      </c>
      <c r="F57" t="str">
        <f t="shared" si="0"/>
        <v>Value</v>
      </c>
      <c r="G57" s="3" cm="1">
        <f t="array" ref="G57">_xlfn.XLOOKUP(C57 &amp; F57,
         [1]unilever_price_limits!A:A &amp; [1]unilever_price_limits!B:B,
         [1]unilever_price_limits!C:C)</f>
        <v>15</v>
      </c>
      <c r="H57" s="8">
        <f t="shared" si="1"/>
        <v>4.8874999999999993</v>
      </c>
      <c r="I57" s="6">
        <f t="shared" si="2"/>
        <v>14.999999999999991</v>
      </c>
      <c r="J57" t="str">
        <f t="shared" si="3"/>
        <v>OK</v>
      </c>
    </row>
    <row r="58" spans="1:10" x14ac:dyDescent="0.2">
      <c r="A58">
        <v>10057</v>
      </c>
      <c r="B58" t="s">
        <v>7</v>
      </c>
      <c r="C58" t="s">
        <v>9</v>
      </c>
      <c r="D58" s="8">
        <v>13.07</v>
      </c>
      <c r="E58">
        <v>9</v>
      </c>
      <c r="F58" t="str">
        <f t="shared" si="0"/>
        <v>Premium</v>
      </c>
      <c r="G58" s="3" cm="1">
        <f t="array" ref="G58">_xlfn.XLOOKUP(C58 &amp; F58,
         [1]unilever_price_limits!A:A &amp; [1]unilever_price_limits!B:B,
         [1]unilever_price_limits!C:C)</f>
        <v>60</v>
      </c>
      <c r="H58" s="8">
        <f t="shared" si="1"/>
        <v>20.912000000000003</v>
      </c>
      <c r="I58" s="6">
        <f t="shared" si="2"/>
        <v>60.000000000000007</v>
      </c>
      <c r="J58" t="str">
        <f t="shared" si="3"/>
        <v>OK</v>
      </c>
    </row>
    <row r="59" spans="1:10" x14ac:dyDescent="0.2">
      <c r="A59">
        <v>10058</v>
      </c>
      <c r="B59" t="s">
        <v>8</v>
      </c>
      <c r="C59" t="s">
        <v>6</v>
      </c>
      <c r="D59" s="8">
        <v>10.199999999999999</v>
      </c>
      <c r="E59">
        <v>8</v>
      </c>
      <c r="F59" t="str">
        <f t="shared" si="0"/>
        <v>Premium</v>
      </c>
      <c r="G59" s="3" cm="1">
        <f t="array" ref="G59">_xlfn.XLOOKUP(C59 &amp; F59,
         [1]unilever_price_limits!A:A &amp; [1]unilever_price_limits!B:B,
         [1]unilever_price_limits!C:C)</f>
        <v>55</v>
      </c>
      <c r="H59" s="8">
        <f t="shared" si="1"/>
        <v>15.809999999999999</v>
      </c>
      <c r="I59" s="6">
        <f t="shared" si="2"/>
        <v>55.000000000000007</v>
      </c>
      <c r="J59" t="str">
        <f t="shared" si="3"/>
        <v>OK</v>
      </c>
    </row>
    <row r="60" spans="1:10" x14ac:dyDescent="0.2">
      <c r="A60">
        <v>10059</v>
      </c>
      <c r="B60" t="s">
        <v>5</v>
      </c>
      <c r="C60" t="s">
        <v>9</v>
      </c>
      <c r="D60" s="8">
        <v>7</v>
      </c>
      <c r="E60">
        <v>1</v>
      </c>
      <c r="F60" t="str">
        <f t="shared" si="0"/>
        <v>Value</v>
      </c>
      <c r="G60" s="3" cm="1">
        <f t="array" ref="G60">_xlfn.XLOOKUP(C60 &amp; F60,
         [1]unilever_price_limits!A:A &amp; [1]unilever_price_limits!B:B,
         [1]unilever_price_limits!C:C)</f>
        <v>15</v>
      </c>
      <c r="H60" s="8">
        <f t="shared" si="1"/>
        <v>8.0499999999999989</v>
      </c>
      <c r="I60" s="6">
        <f t="shared" si="2"/>
        <v>14.999999999999991</v>
      </c>
      <c r="J60" t="str">
        <f t="shared" si="3"/>
        <v>OK</v>
      </c>
    </row>
    <row r="61" spans="1:10" x14ac:dyDescent="0.2">
      <c r="A61">
        <v>10060</v>
      </c>
      <c r="B61" t="s">
        <v>8</v>
      </c>
      <c r="C61" t="s">
        <v>9</v>
      </c>
      <c r="D61" s="8">
        <v>7.57</v>
      </c>
      <c r="E61">
        <v>10</v>
      </c>
      <c r="F61" t="str">
        <f t="shared" si="0"/>
        <v>Premium</v>
      </c>
      <c r="G61" s="3" cm="1">
        <f t="array" ref="G61">_xlfn.XLOOKUP(C61 &amp; F61,
         [1]unilever_price_limits!A:A &amp; [1]unilever_price_limits!B:B,
         [1]unilever_price_limits!C:C)</f>
        <v>60</v>
      </c>
      <c r="H61" s="8">
        <f t="shared" si="1"/>
        <v>12.112000000000002</v>
      </c>
      <c r="I61" s="6">
        <f t="shared" si="2"/>
        <v>60.000000000000007</v>
      </c>
      <c r="J61" t="str">
        <f t="shared" si="3"/>
        <v>OK</v>
      </c>
    </row>
    <row r="62" spans="1:10" x14ac:dyDescent="0.2">
      <c r="A62">
        <v>10061</v>
      </c>
      <c r="B62" t="s">
        <v>5</v>
      </c>
      <c r="C62" t="s">
        <v>9</v>
      </c>
      <c r="D62" s="8">
        <v>3.46</v>
      </c>
      <c r="E62">
        <v>9</v>
      </c>
      <c r="F62" t="str">
        <f t="shared" si="0"/>
        <v>Premium</v>
      </c>
      <c r="G62" s="3" cm="1">
        <f t="array" ref="G62">_xlfn.XLOOKUP(C62 &amp; F62,
         [1]unilever_price_limits!A:A &amp; [1]unilever_price_limits!B:B,
         [1]unilever_price_limits!C:C)</f>
        <v>60</v>
      </c>
      <c r="H62" s="8">
        <f t="shared" si="1"/>
        <v>5.5360000000000005</v>
      </c>
      <c r="I62" s="6">
        <f t="shared" si="2"/>
        <v>60.000000000000007</v>
      </c>
      <c r="J62" t="str">
        <f t="shared" si="3"/>
        <v>OK</v>
      </c>
    </row>
    <row r="63" spans="1:10" x14ac:dyDescent="0.2">
      <c r="A63">
        <v>10062</v>
      </c>
      <c r="B63" t="s">
        <v>5</v>
      </c>
      <c r="C63" t="s">
        <v>9</v>
      </c>
      <c r="D63" s="8">
        <v>9.59</v>
      </c>
      <c r="E63">
        <v>2</v>
      </c>
      <c r="F63" t="str">
        <f t="shared" si="0"/>
        <v>Value</v>
      </c>
      <c r="G63" s="3" cm="1">
        <f t="array" ref="G63">_xlfn.XLOOKUP(C63 &amp; F63,
         [1]unilever_price_limits!A:A &amp; [1]unilever_price_limits!B:B,
         [1]unilever_price_limits!C:C)</f>
        <v>15</v>
      </c>
      <c r="H63" s="8">
        <f t="shared" si="1"/>
        <v>11.028499999999999</v>
      </c>
      <c r="I63" s="6">
        <f t="shared" si="2"/>
        <v>14.999999999999991</v>
      </c>
      <c r="J63" t="str">
        <f t="shared" si="3"/>
        <v>OK</v>
      </c>
    </row>
    <row r="64" spans="1:10" x14ac:dyDescent="0.2">
      <c r="A64">
        <v>10063</v>
      </c>
      <c r="B64" t="s">
        <v>8</v>
      </c>
      <c r="C64" t="s">
        <v>6</v>
      </c>
      <c r="D64" s="8">
        <v>5.7</v>
      </c>
      <c r="E64">
        <v>3</v>
      </c>
      <c r="F64" t="str">
        <f t="shared" si="0"/>
        <v>Value</v>
      </c>
      <c r="G64" s="3" cm="1">
        <f t="array" ref="G64">_xlfn.XLOOKUP(C64 &amp; F64,
         [1]unilever_price_limits!A:A &amp; [1]unilever_price_limits!B:B,
         [1]unilever_price_limits!C:C)</f>
        <v>12</v>
      </c>
      <c r="H64" s="8">
        <f t="shared" si="1"/>
        <v>6.3840000000000012</v>
      </c>
      <c r="I64" s="6">
        <f t="shared" si="2"/>
        <v>12.000000000000011</v>
      </c>
      <c r="J64" t="str">
        <f t="shared" si="3"/>
        <v>OK</v>
      </c>
    </row>
    <row r="65" spans="1:10" x14ac:dyDescent="0.2">
      <c r="A65">
        <v>10064</v>
      </c>
      <c r="B65" t="s">
        <v>8</v>
      </c>
      <c r="C65" t="s">
        <v>9</v>
      </c>
      <c r="D65" s="8">
        <v>14.94</v>
      </c>
      <c r="E65">
        <v>2</v>
      </c>
      <c r="F65" t="str">
        <f t="shared" si="0"/>
        <v>Value</v>
      </c>
      <c r="G65" s="3" cm="1">
        <f t="array" ref="G65">_xlfn.XLOOKUP(C65 &amp; F65,
         [1]unilever_price_limits!A:A &amp; [1]unilever_price_limits!B:B,
         [1]unilever_price_limits!C:C)</f>
        <v>15</v>
      </c>
      <c r="H65" s="8">
        <f t="shared" si="1"/>
        <v>17.180999999999997</v>
      </c>
      <c r="I65" s="6">
        <f t="shared" si="2"/>
        <v>14.999999999999991</v>
      </c>
      <c r="J65" t="str">
        <f t="shared" si="3"/>
        <v>OK</v>
      </c>
    </row>
    <row r="66" spans="1:10" x14ac:dyDescent="0.2">
      <c r="A66">
        <v>10065</v>
      </c>
      <c r="B66" t="s">
        <v>5</v>
      </c>
      <c r="C66" t="s">
        <v>6</v>
      </c>
      <c r="D66" s="8">
        <v>7.46</v>
      </c>
      <c r="E66">
        <v>8</v>
      </c>
      <c r="F66" t="str">
        <f t="shared" si="0"/>
        <v>Premium</v>
      </c>
      <c r="G66" s="3" cm="1">
        <f t="array" ref="G66">_xlfn.XLOOKUP(C66 &amp; F66,
         [1]unilever_price_limits!A:A &amp; [1]unilever_price_limits!B:B,
         [1]unilever_price_limits!C:C)</f>
        <v>55</v>
      </c>
      <c r="H66" s="8">
        <f t="shared" si="1"/>
        <v>11.563000000000001</v>
      </c>
      <c r="I66" s="6">
        <f t="shared" si="2"/>
        <v>55.000000000000007</v>
      </c>
      <c r="J66" t="str">
        <f t="shared" si="3"/>
        <v>OK</v>
      </c>
    </row>
    <row r="67" spans="1:10" x14ac:dyDescent="0.2">
      <c r="A67">
        <v>10066</v>
      </c>
      <c r="B67" t="s">
        <v>10</v>
      </c>
      <c r="C67" t="s">
        <v>11</v>
      </c>
      <c r="D67" s="8">
        <v>7.55</v>
      </c>
      <c r="E67">
        <v>2</v>
      </c>
      <c r="F67" t="str">
        <f t="shared" ref="F67:F130" si="4">IF(E67&lt;=3,"Value",
 IF(E67&lt;=7,"Standard","Premium"))</f>
        <v>Value</v>
      </c>
      <c r="G67" s="3" cm="1">
        <f t="array" ref="G67">_xlfn.XLOOKUP(C67 &amp; F67,
         [1]unilever_price_limits!A:A &amp; [1]unilever_price_limits!B:B,
         [1]unilever_price_limits!C:C)</f>
        <v>10</v>
      </c>
      <c r="H67" s="8">
        <f t="shared" ref="H67:H130" si="5">D67 * (1 + G67/100)</f>
        <v>8.3049999999999997</v>
      </c>
      <c r="I67" s="6">
        <f t="shared" ref="I67:I130" si="6">(H67 / D67 - 1) * 100</f>
        <v>10.000000000000009</v>
      </c>
      <c r="J67" t="str">
        <f t="shared" ref="J67:J130" si="7">IF(I66&gt; G66, "⚠ Exceeds Limit", "OK")</f>
        <v>OK</v>
      </c>
    </row>
    <row r="68" spans="1:10" x14ac:dyDescent="0.2">
      <c r="A68">
        <v>10067</v>
      </c>
      <c r="B68" t="s">
        <v>7</v>
      </c>
      <c r="C68" t="s">
        <v>6</v>
      </c>
      <c r="D68" s="8">
        <v>8.6999999999999993</v>
      </c>
      <c r="E68">
        <v>10</v>
      </c>
      <c r="F68" t="str">
        <f t="shared" si="4"/>
        <v>Premium</v>
      </c>
      <c r="G68" s="3" cm="1">
        <f t="array" ref="G68">_xlfn.XLOOKUP(C68 &amp; F68,
         [1]unilever_price_limits!A:A &amp; [1]unilever_price_limits!B:B,
         [1]unilever_price_limits!C:C)</f>
        <v>55</v>
      </c>
      <c r="H68" s="8">
        <f t="shared" si="5"/>
        <v>13.484999999999999</v>
      </c>
      <c r="I68" s="6">
        <f t="shared" si="6"/>
        <v>55.000000000000007</v>
      </c>
      <c r="J68" t="str">
        <f t="shared" si="7"/>
        <v>OK</v>
      </c>
    </row>
    <row r="69" spans="1:10" x14ac:dyDescent="0.2">
      <c r="A69">
        <v>10068</v>
      </c>
      <c r="B69" t="s">
        <v>8</v>
      </c>
      <c r="C69" t="s">
        <v>6</v>
      </c>
      <c r="D69" s="8">
        <v>13.79</v>
      </c>
      <c r="E69">
        <v>2</v>
      </c>
      <c r="F69" t="str">
        <f t="shared" si="4"/>
        <v>Value</v>
      </c>
      <c r="G69" s="3" cm="1">
        <f t="array" ref="G69">_xlfn.XLOOKUP(C69 &amp; F69,
         [1]unilever_price_limits!A:A &amp; [1]unilever_price_limits!B:B,
         [1]unilever_price_limits!C:C)</f>
        <v>12</v>
      </c>
      <c r="H69" s="8">
        <f t="shared" si="5"/>
        <v>15.444800000000001</v>
      </c>
      <c r="I69" s="6">
        <f t="shared" si="6"/>
        <v>12.000000000000011</v>
      </c>
      <c r="J69" t="str">
        <f t="shared" si="7"/>
        <v>OK</v>
      </c>
    </row>
    <row r="70" spans="1:10" x14ac:dyDescent="0.2">
      <c r="A70">
        <v>10069</v>
      </c>
      <c r="B70" t="s">
        <v>7</v>
      </c>
      <c r="C70" t="s">
        <v>9</v>
      </c>
      <c r="D70" s="8">
        <v>12.11</v>
      </c>
      <c r="E70">
        <v>1</v>
      </c>
      <c r="F70" t="str">
        <f t="shared" si="4"/>
        <v>Value</v>
      </c>
      <c r="G70" s="3" cm="1">
        <f t="array" ref="G70">_xlfn.XLOOKUP(C70 &amp; F70,
         [1]unilever_price_limits!A:A &amp; [1]unilever_price_limits!B:B,
         [1]unilever_price_limits!C:C)</f>
        <v>15</v>
      </c>
      <c r="H70" s="8">
        <f t="shared" si="5"/>
        <v>13.926499999999999</v>
      </c>
      <c r="I70" s="6">
        <f t="shared" si="6"/>
        <v>14.999999999999991</v>
      </c>
      <c r="J70" t="str">
        <f t="shared" si="7"/>
        <v>OK</v>
      </c>
    </row>
    <row r="71" spans="1:10" x14ac:dyDescent="0.2">
      <c r="A71">
        <v>10070</v>
      </c>
      <c r="B71" t="s">
        <v>10</v>
      </c>
      <c r="C71" t="s">
        <v>11</v>
      </c>
      <c r="D71" s="8">
        <v>7.04</v>
      </c>
      <c r="E71">
        <v>7</v>
      </c>
      <c r="F71" t="str">
        <f t="shared" si="4"/>
        <v>Standard</v>
      </c>
      <c r="G71" s="3" cm="1">
        <f t="array" ref="G71">_xlfn.XLOOKUP(C71 &amp; F71,
         [1]unilever_price_limits!A:A &amp; [1]unilever_price_limits!B:B,
         [1]unilever_price_limits!C:C)</f>
        <v>25</v>
      </c>
      <c r="H71" s="8">
        <f t="shared" si="5"/>
        <v>8.8000000000000007</v>
      </c>
      <c r="I71" s="6">
        <f t="shared" si="6"/>
        <v>25</v>
      </c>
      <c r="J71" t="str">
        <f t="shared" si="7"/>
        <v>OK</v>
      </c>
    </row>
    <row r="72" spans="1:10" x14ac:dyDescent="0.2">
      <c r="A72">
        <v>10071</v>
      </c>
      <c r="B72" t="s">
        <v>10</v>
      </c>
      <c r="C72" t="s">
        <v>11</v>
      </c>
      <c r="D72" s="8">
        <v>10.92</v>
      </c>
      <c r="E72">
        <v>2</v>
      </c>
      <c r="F72" t="str">
        <f t="shared" si="4"/>
        <v>Value</v>
      </c>
      <c r="G72" s="3" cm="1">
        <f t="array" ref="G72">_xlfn.XLOOKUP(C72 &amp; F72,
         [1]unilever_price_limits!A:A &amp; [1]unilever_price_limits!B:B,
         [1]unilever_price_limits!C:C)</f>
        <v>10</v>
      </c>
      <c r="H72" s="8">
        <f t="shared" si="5"/>
        <v>12.012</v>
      </c>
      <c r="I72" s="6">
        <f t="shared" si="6"/>
        <v>10.000000000000009</v>
      </c>
      <c r="J72" t="str">
        <f t="shared" si="7"/>
        <v>OK</v>
      </c>
    </row>
    <row r="73" spans="1:10" x14ac:dyDescent="0.2">
      <c r="A73">
        <v>10072</v>
      </c>
      <c r="B73" t="s">
        <v>10</v>
      </c>
      <c r="C73" t="s">
        <v>11</v>
      </c>
      <c r="D73" s="8">
        <v>9</v>
      </c>
      <c r="E73">
        <v>10</v>
      </c>
      <c r="F73" t="str">
        <f t="shared" si="4"/>
        <v>Premium</v>
      </c>
      <c r="G73" s="3" cm="1">
        <f t="array" ref="G73">_xlfn.XLOOKUP(C73 &amp; F73,
         [1]unilever_price_limits!A:A &amp; [1]unilever_price_limits!B:B,
         [1]unilever_price_limits!C:C)</f>
        <v>50</v>
      </c>
      <c r="H73" s="8">
        <f t="shared" si="5"/>
        <v>13.5</v>
      </c>
      <c r="I73" s="6">
        <f t="shared" si="6"/>
        <v>50</v>
      </c>
      <c r="J73" t="str">
        <f t="shared" si="7"/>
        <v>OK</v>
      </c>
    </row>
    <row r="74" spans="1:10" x14ac:dyDescent="0.2">
      <c r="A74">
        <v>10073</v>
      </c>
      <c r="B74" t="s">
        <v>8</v>
      </c>
      <c r="C74" t="s">
        <v>11</v>
      </c>
      <c r="D74" s="8">
        <v>7.64</v>
      </c>
      <c r="E74">
        <v>5</v>
      </c>
      <c r="F74" t="str">
        <f t="shared" si="4"/>
        <v>Standard</v>
      </c>
      <c r="G74" s="3" cm="1">
        <f t="array" ref="G74">_xlfn.XLOOKUP(C74 &amp; F74,
         [1]unilever_price_limits!A:A &amp; [1]unilever_price_limits!B:B,
         [1]unilever_price_limits!C:C)</f>
        <v>25</v>
      </c>
      <c r="H74" s="8">
        <f t="shared" si="5"/>
        <v>9.5499999999999989</v>
      </c>
      <c r="I74" s="6">
        <f t="shared" si="6"/>
        <v>25</v>
      </c>
      <c r="J74" t="str">
        <f t="shared" si="7"/>
        <v>OK</v>
      </c>
    </row>
    <row r="75" spans="1:10" x14ac:dyDescent="0.2">
      <c r="A75">
        <v>10074</v>
      </c>
      <c r="B75" t="s">
        <v>10</v>
      </c>
      <c r="C75" t="s">
        <v>6</v>
      </c>
      <c r="D75" s="8">
        <v>3.29</v>
      </c>
      <c r="E75">
        <v>5</v>
      </c>
      <c r="F75" t="str">
        <f t="shared" si="4"/>
        <v>Standard</v>
      </c>
      <c r="G75" s="3" cm="1">
        <f t="array" ref="G75">_xlfn.XLOOKUP(C75 &amp; F75,
         [1]unilever_price_limits!A:A &amp; [1]unilever_price_limits!B:B,
         [1]unilever_price_limits!C:C)</f>
        <v>28</v>
      </c>
      <c r="H75" s="8">
        <f t="shared" si="5"/>
        <v>4.2111999999999998</v>
      </c>
      <c r="I75" s="6">
        <f t="shared" si="6"/>
        <v>28.000000000000004</v>
      </c>
      <c r="J75" t="str">
        <f t="shared" si="7"/>
        <v>OK</v>
      </c>
    </row>
    <row r="76" spans="1:10" x14ac:dyDescent="0.2">
      <c r="A76">
        <v>10075</v>
      </c>
      <c r="B76" t="s">
        <v>8</v>
      </c>
      <c r="C76" t="s">
        <v>11</v>
      </c>
      <c r="D76" s="8">
        <v>7.23</v>
      </c>
      <c r="E76">
        <v>3</v>
      </c>
      <c r="F76" t="str">
        <f t="shared" si="4"/>
        <v>Value</v>
      </c>
      <c r="G76" s="3" cm="1">
        <f t="array" ref="G76">_xlfn.XLOOKUP(C76 &amp; F76,
         [1]unilever_price_limits!A:A &amp; [1]unilever_price_limits!B:B,
         [1]unilever_price_limits!C:C)</f>
        <v>10</v>
      </c>
      <c r="H76" s="8">
        <f t="shared" si="5"/>
        <v>7.9530000000000012</v>
      </c>
      <c r="I76" s="6">
        <f t="shared" si="6"/>
        <v>10.000000000000009</v>
      </c>
      <c r="J76" t="str">
        <f t="shared" si="7"/>
        <v>OK</v>
      </c>
    </row>
    <row r="77" spans="1:10" x14ac:dyDescent="0.2">
      <c r="A77">
        <v>10076</v>
      </c>
      <c r="B77" t="s">
        <v>10</v>
      </c>
      <c r="C77" t="s">
        <v>6</v>
      </c>
      <c r="D77" s="8">
        <v>4.0599999999999996</v>
      </c>
      <c r="E77">
        <v>3</v>
      </c>
      <c r="F77" t="str">
        <f t="shared" si="4"/>
        <v>Value</v>
      </c>
      <c r="G77" s="3" cm="1">
        <f t="array" ref="G77">_xlfn.XLOOKUP(C77 &amp; F77,
         [1]unilever_price_limits!A:A &amp; [1]unilever_price_limits!B:B,
         [1]unilever_price_limits!C:C)</f>
        <v>12</v>
      </c>
      <c r="H77" s="8">
        <f t="shared" si="5"/>
        <v>4.5472000000000001</v>
      </c>
      <c r="I77" s="6">
        <f t="shared" si="6"/>
        <v>12.000000000000011</v>
      </c>
      <c r="J77" t="str">
        <f t="shared" si="7"/>
        <v>OK</v>
      </c>
    </row>
    <row r="78" spans="1:10" x14ac:dyDescent="0.2">
      <c r="A78">
        <v>10077</v>
      </c>
      <c r="B78" t="s">
        <v>7</v>
      </c>
      <c r="C78" t="s">
        <v>6</v>
      </c>
      <c r="D78" s="8">
        <v>13.77</v>
      </c>
      <c r="E78">
        <v>3</v>
      </c>
      <c r="F78" t="str">
        <f t="shared" si="4"/>
        <v>Value</v>
      </c>
      <c r="G78" s="3" cm="1">
        <f t="array" ref="G78">_xlfn.XLOOKUP(C78 &amp; F78,
         [1]unilever_price_limits!A:A &amp; [1]unilever_price_limits!B:B,
         [1]unilever_price_limits!C:C)</f>
        <v>12</v>
      </c>
      <c r="H78" s="8">
        <f t="shared" si="5"/>
        <v>15.422400000000001</v>
      </c>
      <c r="I78" s="6">
        <f t="shared" si="6"/>
        <v>12.000000000000011</v>
      </c>
      <c r="J78" t="str">
        <f t="shared" si="7"/>
        <v>OK</v>
      </c>
    </row>
    <row r="79" spans="1:10" x14ac:dyDescent="0.2">
      <c r="A79">
        <v>10078</v>
      </c>
      <c r="B79" t="s">
        <v>7</v>
      </c>
      <c r="C79" t="s">
        <v>6</v>
      </c>
      <c r="D79" s="8">
        <v>5.36</v>
      </c>
      <c r="E79">
        <v>6</v>
      </c>
      <c r="F79" t="str">
        <f t="shared" si="4"/>
        <v>Standard</v>
      </c>
      <c r="G79" s="3" cm="1">
        <f t="array" ref="G79">_xlfn.XLOOKUP(C79 &amp; F79,
         [1]unilever_price_limits!A:A &amp; [1]unilever_price_limits!B:B,
         [1]unilever_price_limits!C:C)</f>
        <v>28</v>
      </c>
      <c r="H79" s="8">
        <f t="shared" si="5"/>
        <v>6.8608000000000002</v>
      </c>
      <c r="I79" s="6">
        <f t="shared" si="6"/>
        <v>28.000000000000004</v>
      </c>
      <c r="J79" t="str">
        <f t="shared" si="7"/>
        <v>OK</v>
      </c>
    </row>
    <row r="80" spans="1:10" x14ac:dyDescent="0.2">
      <c r="A80">
        <v>10079</v>
      </c>
      <c r="B80" t="s">
        <v>5</v>
      </c>
      <c r="C80" t="s">
        <v>11</v>
      </c>
      <c r="D80" s="8">
        <v>14.31</v>
      </c>
      <c r="E80">
        <v>4</v>
      </c>
      <c r="F80" t="str">
        <f t="shared" si="4"/>
        <v>Standard</v>
      </c>
      <c r="G80" s="3" cm="1">
        <f t="array" ref="G80">_xlfn.XLOOKUP(C80 &amp; F80,
         [1]unilever_price_limits!A:A &amp; [1]unilever_price_limits!B:B,
         [1]unilever_price_limits!C:C)</f>
        <v>25</v>
      </c>
      <c r="H80" s="8">
        <f t="shared" si="5"/>
        <v>17.887499999999999</v>
      </c>
      <c r="I80" s="6">
        <f t="shared" si="6"/>
        <v>25</v>
      </c>
      <c r="J80" t="str">
        <f t="shared" si="7"/>
        <v>OK</v>
      </c>
    </row>
    <row r="81" spans="1:10" x14ac:dyDescent="0.2">
      <c r="A81">
        <v>10080</v>
      </c>
      <c r="B81" t="s">
        <v>7</v>
      </c>
      <c r="C81" t="s">
        <v>9</v>
      </c>
      <c r="D81" s="8">
        <v>8.23</v>
      </c>
      <c r="E81">
        <v>3</v>
      </c>
      <c r="F81" t="str">
        <f t="shared" si="4"/>
        <v>Value</v>
      </c>
      <c r="G81" s="3" cm="1">
        <f t="array" ref="G81">_xlfn.XLOOKUP(C81 &amp; F81,
         [1]unilever_price_limits!A:A &amp; [1]unilever_price_limits!B:B,
         [1]unilever_price_limits!C:C)</f>
        <v>15</v>
      </c>
      <c r="H81" s="8">
        <f t="shared" si="5"/>
        <v>9.4644999999999992</v>
      </c>
      <c r="I81" s="6">
        <f t="shared" si="6"/>
        <v>14.999999999999991</v>
      </c>
      <c r="J81" t="str">
        <f t="shared" si="7"/>
        <v>OK</v>
      </c>
    </row>
    <row r="82" spans="1:10" x14ac:dyDescent="0.2">
      <c r="A82">
        <v>10081</v>
      </c>
      <c r="B82" t="s">
        <v>5</v>
      </c>
      <c r="C82" t="s">
        <v>9</v>
      </c>
      <c r="D82" s="8">
        <v>9.66</v>
      </c>
      <c r="E82">
        <v>2</v>
      </c>
      <c r="F82" t="str">
        <f t="shared" si="4"/>
        <v>Value</v>
      </c>
      <c r="G82" s="3" cm="1">
        <f t="array" ref="G82">_xlfn.XLOOKUP(C82 &amp; F82,
         [1]unilever_price_limits!A:A &amp; [1]unilever_price_limits!B:B,
         [1]unilever_price_limits!C:C)</f>
        <v>15</v>
      </c>
      <c r="H82" s="8">
        <f t="shared" si="5"/>
        <v>11.109</v>
      </c>
      <c r="I82" s="6">
        <f t="shared" si="6"/>
        <v>14.999999999999991</v>
      </c>
      <c r="J82" t="str">
        <f t="shared" si="7"/>
        <v>OK</v>
      </c>
    </row>
    <row r="83" spans="1:10" x14ac:dyDescent="0.2">
      <c r="A83">
        <v>10082</v>
      </c>
      <c r="B83" t="s">
        <v>7</v>
      </c>
      <c r="C83" t="s">
        <v>11</v>
      </c>
      <c r="D83" s="8">
        <v>8.3699999999999992</v>
      </c>
      <c r="E83">
        <v>3</v>
      </c>
      <c r="F83" t="str">
        <f t="shared" si="4"/>
        <v>Value</v>
      </c>
      <c r="G83" s="3" cm="1">
        <f t="array" ref="G83">_xlfn.XLOOKUP(C83 &amp; F83,
         [1]unilever_price_limits!A:A &amp; [1]unilever_price_limits!B:B,
         [1]unilever_price_limits!C:C)</f>
        <v>10</v>
      </c>
      <c r="H83" s="8">
        <f t="shared" si="5"/>
        <v>9.2070000000000007</v>
      </c>
      <c r="I83" s="6">
        <f t="shared" si="6"/>
        <v>10.000000000000009</v>
      </c>
      <c r="J83" t="str">
        <f t="shared" si="7"/>
        <v>OK</v>
      </c>
    </row>
    <row r="84" spans="1:10" x14ac:dyDescent="0.2">
      <c r="A84">
        <v>10083</v>
      </c>
      <c r="B84" t="s">
        <v>8</v>
      </c>
      <c r="C84" t="s">
        <v>9</v>
      </c>
      <c r="D84" s="8">
        <v>2.38</v>
      </c>
      <c r="E84">
        <v>4</v>
      </c>
      <c r="F84" t="str">
        <f t="shared" si="4"/>
        <v>Standard</v>
      </c>
      <c r="G84" s="3" cm="1">
        <f t="array" ref="G84">_xlfn.XLOOKUP(C84 &amp; F84,
         [1]unilever_price_limits!A:A &amp; [1]unilever_price_limits!B:B,
         [1]unilever_price_limits!C:C)</f>
        <v>30</v>
      </c>
      <c r="H84" s="8">
        <f t="shared" si="5"/>
        <v>3.0939999999999999</v>
      </c>
      <c r="I84" s="6">
        <f t="shared" si="6"/>
        <v>30.000000000000004</v>
      </c>
      <c r="J84" t="str">
        <f t="shared" si="7"/>
        <v>OK</v>
      </c>
    </row>
    <row r="85" spans="1:10" x14ac:dyDescent="0.2">
      <c r="A85">
        <v>10084</v>
      </c>
      <c r="B85" t="s">
        <v>7</v>
      </c>
      <c r="C85" t="s">
        <v>9</v>
      </c>
      <c r="D85" s="8">
        <v>5.95</v>
      </c>
      <c r="E85">
        <v>6</v>
      </c>
      <c r="F85" t="str">
        <f t="shared" si="4"/>
        <v>Standard</v>
      </c>
      <c r="G85" s="3" cm="1">
        <f t="array" ref="G85">_xlfn.XLOOKUP(C85 &amp; F85,
         [1]unilever_price_limits!A:A &amp; [1]unilever_price_limits!B:B,
         [1]unilever_price_limits!C:C)</f>
        <v>30</v>
      </c>
      <c r="H85" s="8">
        <f t="shared" si="5"/>
        <v>7.7350000000000003</v>
      </c>
      <c r="I85" s="6">
        <f t="shared" si="6"/>
        <v>30.000000000000004</v>
      </c>
      <c r="J85" t="str">
        <f t="shared" si="7"/>
        <v>OK</v>
      </c>
    </row>
    <row r="86" spans="1:10" x14ac:dyDescent="0.2">
      <c r="A86">
        <v>10085</v>
      </c>
      <c r="B86" t="s">
        <v>5</v>
      </c>
      <c r="C86" t="s">
        <v>6</v>
      </c>
      <c r="D86" s="8">
        <v>1.94</v>
      </c>
      <c r="E86">
        <v>4</v>
      </c>
      <c r="F86" t="str">
        <f t="shared" si="4"/>
        <v>Standard</v>
      </c>
      <c r="G86" s="3" cm="1">
        <f t="array" ref="G86">_xlfn.XLOOKUP(C86 &amp; F86,
         [1]unilever_price_limits!A:A &amp; [1]unilever_price_limits!B:B,
         [1]unilever_price_limits!C:C)</f>
        <v>28</v>
      </c>
      <c r="H86" s="8">
        <f t="shared" si="5"/>
        <v>2.4832000000000001</v>
      </c>
      <c r="I86" s="6">
        <f t="shared" si="6"/>
        <v>28.000000000000004</v>
      </c>
      <c r="J86" t="str">
        <f t="shared" si="7"/>
        <v>OK</v>
      </c>
    </row>
    <row r="87" spans="1:10" x14ac:dyDescent="0.2">
      <c r="A87">
        <v>10086</v>
      </c>
      <c r="B87" t="s">
        <v>5</v>
      </c>
      <c r="C87" t="s">
        <v>6</v>
      </c>
      <c r="D87" s="8">
        <v>9.5299999999999994</v>
      </c>
      <c r="E87">
        <v>8</v>
      </c>
      <c r="F87" t="str">
        <f t="shared" si="4"/>
        <v>Premium</v>
      </c>
      <c r="G87" s="3" cm="1">
        <f t="array" ref="G87">_xlfn.XLOOKUP(C87 &amp; F87,
         [1]unilever_price_limits!A:A &amp; [1]unilever_price_limits!B:B,
         [1]unilever_price_limits!C:C)</f>
        <v>55</v>
      </c>
      <c r="H87" s="8">
        <f t="shared" si="5"/>
        <v>14.7715</v>
      </c>
      <c r="I87" s="6">
        <f t="shared" si="6"/>
        <v>55.000000000000007</v>
      </c>
      <c r="J87" t="str">
        <f t="shared" si="7"/>
        <v>OK</v>
      </c>
    </row>
    <row r="88" spans="1:10" x14ac:dyDescent="0.2">
      <c r="A88">
        <v>10087</v>
      </c>
      <c r="B88" t="s">
        <v>10</v>
      </c>
      <c r="C88" t="s">
        <v>11</v>
      </c>
      <c r="D88" s="8">
        <v>6.98</v>
      </c>
      <c r="E88">
        <v>3</v>
      </c>
      <c r="F88" t="str">
        <f t="shared" si="4"/>
        <v>Value</v>
      </c>
      <c r="G88" s="3" cm="1">
        <f t="array" ref="G88">_xlfn.XLOOKUP(C88 &amp; F88,
         [1]unilever_price_limits!A:A &amp; [1]unilever_price_limits!B:B,
         [1]unilever_price_limits!C:C)</f>
        <v>10</v>
      </c>
      <c r="H88" s="8">
        <f t="shared" si="5"/>
        <v>7.6780000000000008</v>
      </c>
      <c r="I88" s="6">
        <f t="shared" si="6"/>
        <v>10.000000000000009</v>
      </c>
      <c r="J88" t="str">
        <f t="shared" si="7"/>
        <v>OK</v>
      </c>
    </row>
    <row r="89" spans="1:10" x14ac:dyDescent="0.2">
      <c r="A89">
        <v>10088</v>
      </c>
      <c r="B89" t="s">
        <v>8</v>
      </c>
      <c r="C89" t="s">
        <v>11</v>
      </c>
      <c r="D89" s="8">
        <v>11.78</v>
      </c>
      <c r="E89">
        <v>3</v>
      </c>
      <c r="F89" t="str">
        <f t="shared" si="4"/>
        <v>Value</v>
      </c>
      <c r="G89" s="3" cm="1">
        <f t="array" ref="G89">_xlfn.XLOOKUP(C89 &amp; F89,
         [1]unilever_price_limits!A:A &amp; [1]unilever_price_limits!B:B,
         [1]unilever_price_limits!C:C)</f>
        <v>10</v>
      </c>
      <c r="H89" s="8">
        <f t="shared" si="5"/>
        <v>12.958</v>
      </c>
      <c r="I89" s="6">
        <f t="shared" si="6"/>
        <v>10.000000000000009</v>
      </c>
      <c r="J89" t="str">
        <f t="shared" si="7"/>
        <v>OK</v>
      </c>
    </row>
    <row r="90" spans="1:10" x14ac:dyDescent="0.2">
      <c r="A90">
        <v>10089</v>
      </c>
      <c r="B90" t="s">
        <v>7</v>
      </c>
      <c r="C90" t="s">
        <v>9</v>
      </c>
      <c r="D90" s="8">
        <v>3.7</v>
      </c>
      <c r="E90">
        <v>3</v>
      </c>
      <c r="F90" t="str">
        <f t="shared" si="4"/>
        <v>Value</v>
      </c>
      <c r="G90" s="3" cm="1">
        <f t="array" ref="G90">_xlfn.XLOOKUP(C90 &amp; F90,
         [1]unilever_price_limits!A:A &amp; [1]unilever_price_limits!B:B,
         [1]unilever_price_limits!C:C)</f>
        <v>15</v>
      </c>
      <c r="H90" s="8">
        <f t="shared" si="5"/>
        <v>4.2549999999999999</v>
      </c>
      <c r="I90" s="6">
        <f t="shared" si="6"/>
        <v>14.999999999999991</v>
      </c>
      <c r="J90" t="str">
        <f t="shared" si="7"/>
        <v>OK</v>
      </c>
    </row>
    <row r="91" spans="1:10" x14ac:dyDescent="0.2">
      <c r="A91">
        <v>10090</v>
      </c>
      <c r="B91" t="s">
        <v>10</v>
      </c>
      <c r="C91" t="s">
        <v>6</v>
      </c>
      <c r="D91" s="8">
        <v>2.89</v>
      </c>
      <c r="E91">
        <v>8</v>
      </c>
      <c r="F91" t="str">
        <f t="shared" si="4"/>
        <v>Premium</v>
      </c>
      <c r="G91" s="3" cm="1">
        <f t="array" ref="G91">_xlfn.XLOOKUP(C91 &amp; F91,
         [1]unilever_price_limits!A:A &amp; [1]unilever_price_limits!B:B,
         [1]unilever_price_limits!C:C)</f>
        <v>55</v>
      </c>
      <c r="H91" s="8">
        <f t="shared" si="5"/>
        <v>4.4795000000000007</v>
      </c>
      <c r="I91" s="6">
        <f t="shared" si="6"/>
        <v>55.000000000000028</v>
      </c>
      <c r="J91" t="str">
        <f t="shared" si="7"/>
        <v>OK</v>
      </c>
    </row>
    <row r="92" spans="1:10" x14ac:dyDescent="0.2">
      <c r="A92">
        <v>10091</v>
      </c>
      <c r="B92" t="s">
        <v>7</v>
      </c>
      <c r="C92" t="s">
        <v>11</v>
      </c>
      <c r="D92" s="8">
        <v>6.39</v>
      </c>
      <c r="E92">
        <v>4</v>
      </c>
      <c r="F92" t="str">
        <f t="shared" si="4"/>
        <v>Standard</v>
      </c>
      <c r="G92" s="3" cm="1">
        <f t="array" ref="G92">_xlfn.XLOOKUP(C92 &amp; F92,
         [1]unilever_price_limits!A:A &amp; [1]unilever_price_limits!B:B,
         [1]unilever_price_limits!C:C)</f>
        <v>25</v>
      </c>
      <c r="H92" s="8">
        <f t="shared" si="5"/>
        <v>7.9874999999999998</v>
      </c>
      <c r="I92" s="6">
        <f t="shared" si="6"/>
        <v>25</v>
      </c>
      <c r="J92" t="str">
        <f t="shared" si="7"/>
        <v>OK</v>
      </c>
    </row>
    <row r="93" spans="1:10" x14ac:dyDescent="0.2">
      <c r="A93">
        <v>10092</v>
      </c>
      <c r="B93" t="s">
        <v>7</v>
      </c>
      <c r="C93" t="s">
        <v>11</v>
      </c>
      <c r="D93" s="8">
        <v>13.94</v>
      </c>
      <c r="E93">
        <v>1</v>
      </c>
      <c r="F93" t="str">
        <f t="shared" si="4"/>
        <v>Value</v>
      </c>
      <c r="G93" s="3" cm="1">
        <f t="array" ref="G93">_xlfn.XLOOKUP(C93 &amp; F93,
         [1]unilever_price_limits!A:A &amp; [1]unilever_price_limits!B:B,
         [1]unilever_price_limits!C:C)</f>
        <v>10</v>
      </c>
      <c r="H93" s="8">
        <f t="shared" si="5"/>
        <v>15.334000000000001</v>
      </c>
      <c r="I93" s="6">
        <f t="shared" si="6"/>
        <v>10.000000000000009</v>
      </c>
      <c r="J93" t="str">
        <f t="shared" si="7"/>
        <v>OK</v>
      </c>
    </row>
    <row r="94" spans="1:10" x14ac:dyDescent="0.2">
      <c r="A94">
        <v>10093</v>
      </c>
      <c r="B94" t="s">
        <v>10</v>
      </c>
      <c r="C94" t="s">
        <v>11</v>
      </c>
      <c r="D94" s="8">
        <v>10.8</v>
      </c>
      <c r="E94">
        <v>2</v>
      </c>
      <c r="F94" t="str">
        <f t="shared" si="4"/>
        <v>Value</v>
      </c>
      <c r="G94" s="3" cm="1">
        <f t="array" ref="G94">_xlfn.XLOOKUP(C94 &amp; F94,
         [1]unilever_price_limits!A:A &amp; [1]unilever_price_limits!B:B,
         [1]unilever_price_limits!C:C)</f>
        <v>10</v>
      </c>
      <c r="H94" s="8">
        <f t="shared" si="5"/>
        <v>11.880000000000003</v>
      </c>
      <c r="I94" s="6">
        <f t="shared" si="6"/>
        <v>10.000000000000009</v>
      </c>
      <c r="J94" t="str">
        <f t="shared" si="7"/>
        <v>OK</v>
      </c>
    </row>
    <row r="95" spans="1:10" x14ac:dyDescent="0.2">
      <c r="A95">
        <v>10094</v>
      </c>
      <c r="B95" t="s">
        <v>10</v>
      </c>
      <c r="C95" t="s">
        <v>11</v>
      </c>
      <c r="D95" s="8">
        <v>6.57</v>
      </c>
      <c r="E95">
        <v>10</v>
      </c>
      <c r="F95" t="str">
        <f t="shared" si="4"/>
        <v>Premium</v>
      </c>
      <c r="G95" s="3" cm="1">
        <f t="array" ref="G95">_xlfn.XLOOKUP(C95 &amp; F95,
         [1]unilever_price_limits!A:A &amp; [1]unilever_price_limits!B:B,
         [1]unilever_price_limits!C:C)</f>
        <v>50</v>
      </c>
      <c r="H95" s="8">
        <f t="shared" si="5"/>
        <v>9.8550000000000004</v>
      </c>
      <c r="I95" s="6">
        <f t="shared" si="6"/>
        <v>50</v>
      </c>
      <c r="J95" t="str">
        <f t="shared" si="7"/>
        <v>OK</v>
      </c>
    </row>
    <row r="96" spans="1:10" x14ac:dyDescent="0.2">
      <c r="A96">
        <v>10095</v>
      </c>
      <c r="B96" t="s">
        <v>10</v>
      </c>
      <c r="C96" t="s">
        <v>11</v>
      </c>
      <c r="D96" s="8">
        <v>8</v>
      </c>
      <c r="E96">
        <v>2</v>
      </c>
      <c r="F96" t="str">
        <f t="shared" si="4"/>
        <v>Value</v>
      </c>
      <c r="G96" s="3" cm="1">
        <f t="array" ref="G96">_xlfn.XLOOKUP(C96 &amp; F96,
         [1]unilever_price_limits!A:A &amp; [1]unilever_price_limits!B:B,
         [1]unilever_price_limits!C:C)</f>
        <v>10</v>
      </c>
      <c r="H96" s="8">
        <f t="shared" si="5"/>
        <v>8.8000000000000007</v>
      </c>
      <c r="I96" s="6">
        <f t="shared" si="6"/>
        <v>10.000000000000009</v>
      </c>
      <c r="J96" t="str">
        <f t="shared" si="7"/>
        <v>OK</v>
      </c>
    </row>
    <row r="97" spans="1:10" x14ac:dyDescent="0.2">
      <c r="A97">
        <v>10096</v>
      </c>
      <c r="B97" t="s">
        <v>10</v>
      </c>
      <c r="C97" t="s">
        <v>11</v>
      </c>
      <c r="D97" s="8">
        <v>1.72</v>
      </c>
      <c r="E97">
        <v>3</v>
      </c>
      <c r="F97" t="str">
        <f t="shared" si="4"/>
        <v>Value</v>
      </c>
      <c r="G97" s="3" cm="1">
        <f t="array" ref="G97">_xlfn.XLOOKUP(C97 &amp; F97,
         [1]unilever_price_limits!A:A &amp; [1]unilever_price_limits!B:B,
         [1]unilever_price_limits!C:C)</f>
        <v>10</v>
      </c>
      <c r="H97" s="8">
        <f t="shared" si="5"/>
        <v>1.8920000000000001</v>
      </c>
      <c r="I97" s="6">
        <f t="shared" si="6"/>
        <v>10.000000000000009</v>
      </c>
      <c r="J97" t="str">
        <f t="shared" si="7"/>
        <v>OK</v>
      </c>
    </row>
    <row r="98" spans="1:10" x14ac:dyDescent="0.2">
      <c r="A98">
        <v>10097</v>
      </c>
      <c r="B98" t="s">
        <v>10</v>
      </c>
      <c r="C98" t="s">
        <v>9</v>
      </c>
      <c r="D98" s="8">
        <v>14.78</v>
      </c>
      <c r="E98">
        <v>6</v>
      </c>
      <c r="F98" t="str">
        <f t="shared" si="4"/>
        <v>Standard</v>
      </c>
      <c r="G98" s="3" cm="1">
        <f t="array" ref="G98">_xlfn.XLOOKUP(C98 &amp; F98,
         [1]unilever_price_limits!A:A &amp; [1]unilever_price_limits!B:B,
         [1]unilever_price_limits!C:C)</f>
        <v>30</v>
      </c>
      <c r="H98" s="8">
        <f t="shared" si="5"/>
        <v>19.213999999999999</v>
      </c>
      <c r="I98" s="6">
        <f t="shared" si="6"/>
        <v>30.000000000000004</v>
      </c>
      <c r="J98" t="str">
        <f t="shared" si="7"/>
        <v>OK</v>
      </c>
    </row>
    <row r="99" spans="1:10" x14ac:dyDescent="0.2">
      <c r="A99">
        <v>10098</v>
      </c>
      <c r="B99" t="s">
        <v>7</v>
      </c>
      <c r="C99" t="s">
        <v>6</v>
      </c>
      <c r="D99" s="8">
        <v>10.16</v>
      </c>
      <c r="E99">
        <v>8</v>
      </c>
      <c r="F99" t="str">
        <f t="shared" si="4"/>
        <v>Premium</v>
      </c>
      <c r="G99" s="3" cm="1">
        <f t="array" ref="G99">_xlfn.XLOOKUP(C99 &amp; F99,
         [1]unilever_price_limits!A:A &amp; [1]unilever_price_limits!B:B,
         [1]unilever_price_limits!C:C)</f>
        <v>55</v>
      </c>
      <c r="H99" s="8">
        <f t="shared" si="5"/>
        <v>15.748000000000001</v>
      </c>
      <c r="I99" s="6">
        <f t="shared" si="6"/>
        <v>55.000000000000007</v>
      </c>
      <c r="J99" t="str">
        <f t="shared" si="7"/>
        <v>OK</v>
      </c>
    </row>
    <row r="100" spans="1:10" x14ac:dyDescent="0.2">
      <c r="A100">
        <v>10099</v>
      </c>
      <c r="B100" t="s">
        <v>10</v>
      </c>
      <c r="C100" t="s">
        <v>6</v>
      </c>
      <c r="D100" s="8">
        <v>4.6399999999999997</v>
      </c>
      <c r="E100">
        <v>1</v>
      </c>
      <c r="F100" t="str">
        <f t="shared" si="4"/>
        <v>Value</v>
      </c>
      <c r="G100" s="3" cm="1">
        <f t="array" ref="G100">_xlfn.XLOOKUP(C100 &amp; F100,
         [1]unilever_price_limits!A:A &amp; [1]unilever_price_limits!B:B,
         [1]unilever_price_limits!C:C)</f>
        <v>12</v>
      </c>
      <c r="H100" s="8">
        <f t="shared" si="5"/>
        <v>5.1968000000000005</v>
      </c>
      <c r="I100" s="6">
        <f t="shared" si="6"/>
        <v>12.000000000000011</v>
      </c>
      <c r="J100" t="str">
        <f t="shared" si="7"/>
        <v>OK</v>
      </c>
    </row>
    <row r="101" spans="1:10" x14ac:dyDescent="0.2">
      <c r="A101">
        <v>10100</v>
      </c>
      <c r="B101" t="s">
        <v>8</v>
      </c>
      <c r="C101" t="s">
        <v>11</v>
      </c>
      <c r="D101" s="8">
        <v>8.99</v>
      </c>
      <c r="E101">
        <v>9</v>
      </c>
      <c r="F101" t="str">
        <f t="shared" si="4"/>
        <v>Premium</v>
      </c>
      <c r="G101" s="3" cm="1">
        <f t="array" ref="G101">_xlfn.XLOOKUP(C101 &amp; F101,
         [1]unilever_price_limits!A:A &amp; [1]unilever_price_limits!B:B,
         [1]unilever_price_limits!C:C)</f>
        <v>50</v>
      </c>
      <c r="H101" s="8">
        <f t="shared" si="5"/>
        <v>13.484999999999999</v>
      </c>
      <c r="I101" s="6">
        <f t="shared" si="6"/>
        <v>50</v>
      </c>
      <c r="J101" t="str">
        <f t="shared" si="7"/>
        <v>OK</v>
      </c>
    </row>
    <row r="102" spans="1:10" x14ac:dyDescent="0.2">
      <c r="A102">
        <v>10101</v>
      </c>
      <c r="B102" t="s">
        <v>5</v>
      </c>
      <c r="C102" t="s">
        <v>6</v>
      </c>
      <c r="D102" s="8">
        <v>2.09</v>
      </c>
      <c r="E102">
        <v>1</v>
      </c>
      <c r="F102" t="str">
        <f t="shared" si="4"/>
        <v>Value</v>
      </c>
      <c r="G102" s="3" cm="1">
        <f t="array" ref="G102">_xlfn.XLOOKUP(C102 &amp; F102,
         [1]unilever_price_limits!A:A &amp; [1]unilever_price_limits!B:B,
         [1]unilever_price_limits!C:C)</f>
        <v>12</v>
      </c>
      <c r="H102" s="8">
        <f t="shared" si="5"/>
        <v>2.3408000000000002</v>
      </c>
      <c r="I102" s="6">
        <f t="shared" si="6"/>
        <v>12.000000000000011</v>
      </c>
      <c r="J102" t="str">
        <f t="shared" si="7"/>
        <v>OK</v>
      </c>
    </row>
    <row r="103" spans="1:10" x14ac:dyDescent="0.2">
      <c r="A103">
        <v>10102</v>
      </c>
      <c r="B103" t="s">
        <v>10</v>
      </c>
      <c r="C103" t="s">
        <v>6</v>
      </c>
      <c r="D103" s="8">
        <v>14.5</v>
      </c>
      <c r="E103">
        <v>10</v>
      </c>
      <c r="F103" t="str">
        <f t="shared" si="4"/>
        <v>Premium</v>
      </c>
      <c r="G103" s="3" cm="1">
        <f t="array" ref="G103">_xlfn.XLOOKUP(C103 &amp; F103,
         [1]unilever_price_limits!A:A &amp; [1]unilever_price_limits!B:B,
         [1]unilever_price_limits!C:C)</f>
        <v>55</v>
      </c>
      <c r="H103" s="8">
        <f t="shared" si="5"/>
        <v>22.475000000000001</v>
      </c>
      <c r="I103" s="6">
        <f t="shared" si="6"/>
        <v>55.000000000000007</v>
      </c>
      <c r="J103" t="str">
        <f t="shared" si="7"/>
        <v>OK</v>
      </c>
    </row>
    <row r="104" spans="1:10" x14ac:dyDescent="0.2">
      <c r="A104">
        <v>10103</v>
      </c>
      <c r="B104" t="s">
        <v>10</v>
      </c>
      <c r="C104" t="s">
        <v>6</v>
      </c>
      <c r="D104" s="8">
        <v>3.03</v>
      </c>
      <c r="E104">
        <v>2</v>
      </c>
      <c r="F104" t="str">
        <f t="shared" si="4"/>
        <v>Value</v>
      </c>
      <c r="G104" s="3" cm="1">
        <f t="array" ref="G104">_xlfn.XLOOKUP(C104 &amp; F104,
         [1]unilever_price_limits!A:A &amp; [1]unilever_price_limits!B:B,
         [1]unilever_price_limits!C:C)</f>
        <v>12</v>
      </c>
      <c r="H104" s="8">
        <f t="shared" si="5"/>
        <v>3.3936000000000002</v>
      </c>
      <c r="I104" s="6">
        <f t="shared" si="6"/>
        <v>12.000000000000011</v>
      </c>
      <c r="J104" t="str">
        <f t="shared" si="7"/>
        <v>OK</v>
      </c>
    </row>
    <row r="105" spans="1:10" x14ac:dyDescent="0.2">
      <c r="A105">
        <v>10104</v>
      </c>
      <c r="B105" t="s">
        <v>7</v>
      </c>
      <c r="C105" t="s">
        <v>11</v>
      </c>
      <c r="D105" s="8">
        <v>9.9</v>
      </c>
      <c r="E105">
        <v>3</v>
      </c>
      <c r="F105" t="str">
        <f t="shared" si="4"/>
        <v>Value</v>
      </c>
      <c r="G105" s="3" cm="1">
        <f t="array" ref="G105">_xlfn.XLOOKUP(C105 &amp; F105,
         [1]unilever_price_limits!A:A &amp; [1]unilever_price_limits!B:B,
         [1]unilever_price_limits!C:C)</f>
        <v>10</v>
      </c>
      <c r="H105" s="8">
        <f t="shared" si="5"/>
        <v>10.89</v>
      </c>
      <c r="I105" s="6">
        <f t="shared" si="6"/>
        <v>10.000000000000009</v>
      </c>
      <c r="J105" t="str">
        <f t="shared" si="7"/>
        <v>OK</v>
      </c>
    </row>
    <row r="106" spans="1:10" x14ac:dyDescent="0.2">
      <c r="A106">
        <v>10105</v>
      </c>
      <c r="B106" t="s">
        <v>10</v>
      </c>
      <c r="C106" t="s">
        <v>11</v>
      </c>
      <c r="D106" s="8">
        <v>4.0599999999999996</v>
      </c>
      <c r="E106">
        <v>7</v>
      </c>
      <c r="F106" t="str">
        <f t="shared" si="4"/>
        <v>Standard</v>
      </c>
      <c r="G106" s="3" cm="1">
        <f t="array" ref="G106">_xlfn.XLOOKUP(C106 &amp; F106,
         [1]unilever_price_limits!A:A &amp; [1]unilever_price_limits!B:B,
         [1]unilever_price_limits!C:C)</f>
        <v>25</v>
      </c>
      <c r="H106" s="8">
        <f t="shared" si="5"/>
        <v>5.0749999999999993</v>
      </c>
      <c r="I106" s="6">
        <f t="shared" si="6"/>
        <v>25</v>
      </c>
      <c r="J106" t="str">
        <f t="shared" si="7"/>
        <v>OK</v>
      </c>
    </row>
    <row r="107" spans="1:10" x14ac:dyDescent="0.2">
      <c r="A107">
        <v>10106</v>
      </c>
      <c r="B107" t="s">
        <v>10</v>
      </c>
      <c r="C107" t="s">
        <v>6</v>
      </c>
      <c r="D107" s="8">
        <v>10.9</v>
      </c>
      <c r="E107">
        <v>9</v>
      </c>
      <c r="F107" t="str">
        <f t="shared" si="4"/>
        <v>Premium</v>
      </c>
      <c r="G107" s="3" cm="1">
        <f t="array" ref="G107">_xlfn.XLOOKUP(C107 &amp; F107,
         [1]unilever_price_limits!A:A &amp; [1]unilever_price_limits!B:B,
         [1]unilever_price_limits!C:C)</f>
        <v>55</v>
      </c>
      <c r="H107" s="8">
        <f t="shared" si="5"/>
        <v>16.895</v>
      </c>
      <c r="I107" s="6">
        <f t="shared" si="6"/>
        <v>54.999999999999986</v>
      </c>
      <c r="J107" t="str">
        <f t="shared" si="7"/>
        <v>OK</v>
      </c>
    </row>
    <row r="108" spans="1:10" x14ac:dyDescent="0.2">
      <c r="A108">
        <v>10107</v>
      </c>
      <c r="B108" t="s">
        <v>10</v>
      </c>
      <c r="C108" t="s">
        <v>6</v>
      </c>
      <c r="D108" s="8">
        <v>11.76</v>
      </c>
      <c r="E108">
        <v>3</v>
      </c>
      <c r="F108" t="str">
        <f t="shared" si="4"/>
        <v>Value</v>
      </c>
      <c r="G108" s="3" cm="1">
        <f t="array" ref="G108">_xlfn.XLOOKUP(C108 &amp; F108,
         [1]unilever_price_limits!A:A &amp; [1]unilever_price_limits!B:B,
         [1]unilever_price_limits!C:C)</f>
        <v>12</v>
      </c>
      <c r="H108" s="8">
        <f t="shared" si="5"/>
        <v>13.171200000000001</v>
      </c>
      <c r="I108" s="6">
        <f t="shared" si="6"/>
        <v>12.000000000000011</v>
      </c>
      <c r="J108" t="str">
        <f t="shared" si="7"/>
        <v>OK</v>
      </c>
    </row>
    <row r="109" spans="1:10" x14ac:dyDescent="0.2">
      <c r="A109">
        <v>10108</v>
      </c>
      <c r="B109" t="s">
        <v>7</v>
      </c>
      <c r="C109" t="s">
        <v>11</v>
      </c>
      <c r="D109" s="8">
        <v>10.26</v>
      </c>
      <c r="E109">
        <v>8</v>
      </c>
      <c r="F109" t="str">
        <f t="shared" si="4"/>
        <v>Premium</v>
      </c>
      <c r="G109" s="3" cm="1">
        <f t="array" ref="G109">_xlfn.XLOOKUP(C109 &amp; F109,
         [1]unilever_price_limits!A:A &amp; [1]unilever_price_limits!B:B,
         [1]unilever_price_limits!C:C)</f>
        <v>50</v>
      </c>
      <c r="H109" s="8">
        <f t="shared" si="5"/>
        <v>15.39</v>
      </c>
      <c r="I109" s="6">
        <f t="shared" si="6"/>
        <v>50</v>
      </c>
      <c r="J109" t="str">
        <f t="shared" si="7"/>
        <v>OK</v>
      </c>
    </row>
    <row r="110" spans="1:10" x14ac:dyDescent="0.2">
      <c r="A110">
        <v>10109</v>
      </c>
      <c r="B110" t="s">
        <v>10</v>
      </c>
      <c r="C110" t="s">
        <v>9</v>
      </c>
      <c r="D110" s="8">
        <v>9.41</v>
      </c>
      <c r="E110">
        <v>9</v>
      </c>
      <c r="F110" t="str">
        <f t="shared" si="4"/>
        <v>Premium</v>
      </c>
      <c r="G110" s="3" cm="1">
        <f t="array" ref="G110">_xlfn.XLOOKUP(C110 &amp; F110,
         [1]unilever_price_limits!A:A &amp; [1]unilever_price_limits!B:B,
         [1]unilever_price_limits!C:C)</f>
        <v>60</v>
      </c>
      <c r="H110" s="8">
        <f t="shared" si="5"/>
        <v>15.056000000000001</v>
      </c>
      <c r="I110" s="6">
        <f t="shared" si="6"/>
        <v>60.000000000000007</v>
      </c>
      <c r="J110" t="str">
        <f t="shared" si="7"/>
        <v>OK</v>
      </c>
    </row>
    <row r="111" spans="1:10" x14ac:dyDescent="0.2">
      <c r="A111">
        <v>10110</v>
      </c>
      <c r="B111" t="s">
        <v>5</v>
      </c>
      <c r="C111" t="s">
        <v>6</v>
      </c>
      <c r="D111" s="8">
        <v>13.44</v>
      </c>
      <c r="E111">
        <v>10</v>
      </c>
      <c r="F111" t="str">
        <f t="shared" si="4"/>
        <v>Premium</v>
      </c>
      <c r="G111" s="3" cm="1">
        <f t="array" ref="G111">_xlfn.XLOOKUP(C111 &amp; F111,
         [1]unilever_price_limits!A:A &amp; [1]unilever_price_limits!B:B,
         [1]unilever_price_limits!C:C)</f>
        <v>55</v>
      </c>
      <c r="H111" s="8">
        <f t="shared" si="5"/>
        <v>20.832000000000001</v>
      </c>
      <c r="I111" s="6">
        <f t="shared" si="6"/>
        <v>55.000000000000007</v>
      </c>
      <c r="J111" t="str">
        <f t="shared" si="7"/>
        <v>OK</v>
      </c>
    </row>
    <row r="112" spans="1:10" x14ac:dyDescent="0.2">
      <c r="A112">
        <v>10111</v>
      </c>
      <c r="B112" t="s">
        <v>7</v>
      </c>
      <c r="C112" t="s">
        <v>9</v>
      </c>
      <c r="D112" s="8">
        <v>1.64</v>
      </c>
      <c r="E112">
        <v>7</v>
      </c>
      <c r="F112" t="str">
        <f t="shared" si="4"/>
        <v>Standard</v>
      </c>
      <c r="G112" s="3" cm="1">
        <f t="array" ref="G112">_xlfn.XLOOKUP(C112 &amp; F112,
         [1]unilever_price_limits!A:A &amp; [1]unilever_price_limits!B:B,
         [1]unilever_price_limits!C:C)</f>
        <v>30</v>
      </c>
      <c r="H112" s="8">
        <f t="shared" si="5"/>
        <v>2.1320000000000001</v>
      </c>
      <c r="I112" s="6">
        <f t="shared" si="6"/>
        <v>30.000000000000004</v>
      </c>
      <c r="J112" t="str">
        <f t="shared" si="7"/>
        <v>OK</v>
      </c>
    </row>
    <row r="113" spans="1:10" x14ac:dyDescent="0.2">
      <c r="A113">
        <v>10112</v>
      </c>
      <c r="B113" t="s">
        <v>5</v>
      </c>
      <c r="C113" t="s">
        <v>6</v>
      </c>
      <c r="D113" s="8">
        <v>5.3</v>
      </c>
      <c r="E113">
        <v>4</v>
      </c>
      <c r="F113" t="str">
        <f t="shared" si="4"/>
        <v>Standard</v>
      </c>
      <c r="G113" s="3" cm="1">
        <f t="array" ref="G113">_xlfn.XLOOKUP(C113 &amp; F113,
         [1]unilever_price_limits!A:A &amp; [1]unilever_price_limits!B:B,
         [1]unilever_price_limits!C:C)</f>
        <v>28</v>
      </c>
      <c r="H113" s="8">
        <f t="shared" si="5"/>
        <v>6.7839999999999998</v>
      </c>
      <c r="I113" s="6">
        <f t="shared" si="6"/>
        <v>28.000000000000004</v>
      </c>
      <c r="J113" t="str">
        <f t="shared" si="7"/>
        <v>OK</v>
      </c>
    </row>
    <row r="114" spans="1:10" x14ac:dyDescent="0.2">
      <c r="A114">
        <v>10113</v>
      </c>
      <c r="B114" t="s">
        <v>7</v>
      </c>
      <c r="C114" t="s">
        <v>9</v>
      </c>
      <c r="D114" s="8">
        <v>4.0999999999999996</v>
      </c>
      <c r="E114">
        <v>4</v>
      </c>
      <c r="F114" t="str">
        <f t="shared" si="4"/>
        <v>Standard</v>
      </c>
      <c r="G114" s="3" cm="1">
        <f t="array" ref="G114">_xlfn.XLOOKUP(C114 &amp; F114,
         [1]unilever_price_limits!A:A &amp; [1]unilever_price_limits!B:B,
         [1]unilever_price_limits!C:C)</f>
        <v>30</v>
      </c>
      <c r="H114" s="8">
        <f t="shared" si="5"/>
        <v>5.33</v>
      </c>
      <c r="I114" s="6">
        <f t="shared" si="6"/>
        <v>30.000000000000004</v>
      </c>
      <c r="J114" t="str">
        <f t="shared" si="7"/>
        <v>OK</v>
      </c>
    </row>
    <row r="115" spans="1:10" x14ac:dyDescent="0.2">
      <c r="A115">
        <v>10114</v>
      </c>
      <c r="B115" t="s">
        <v>10</v>
      </c>
      <c r="C115" t="s">
        <v>9</v>
      </c>
      <c r="D115" s="8">
        <v>14.83</v>
      </c>
      <c r="E115">
        <v>4</v>
      </c>
      <c r="F115" t="str">
        <f t="shared" si="4"/>
        <v>Standard</v>
      </c>
      <c r="G115" s="3" cm="1">
        <f t="array" ref="G115">_xlfn.XLOOKUP(C115 &amp; F115,
         [1]unilever_price_limits!A:A &amp; [1]unilever_price_limits!B:B,
         [1]unilever_price_limits!C:C)</f>
        <v>30</v>
      </c>
      <c r="H115" s="8">
        <f t="shared" si="5"/>
        <v>19.279</v>
      </c>
      <c r="I115" s="6">
        <f t="shared" si="6"/>
        <v>30.000000000000004</v>
      </c>
      <c r="J115" t="str">
        <f t="shared" si="7"/>
        <v>OK</v>
      </c>
    </row>
    <row r="116" spans="1:10" x14ac:dyDescent="0.2">
      <c r="A116">
        <v>10115</v>
      </c>
      <c r="B116" t="s">
        <v>5</v>
      </c>
      <c r="C116" t="s">
        <v>9</v>
      </c>
      <c r="D116" s="8">
        <v>6.15</v>
      </c>
      <c r="E116">
        <v>6</v>
      </c>
      <c r="F116" t="str">
        <f t="shared" si="4"/>
        <v>Standard</v>
      </c>
      <c r="G116" s="3" cm="1">
        <f t="array" ref="G116">_xlfn.XLOOKUP(C116 &amp; F116,
         [1]unilever_price_limits!A:A &amp; [1]unilever_price_limits!B:B,
         [1]unilever_price_limits!C:C)</f>
        <v>30</v>
      </c>
      <c r="H116" s="8">
        <f t="shared" si="5"/>
        <v>7.995000000000001</v>
      </c>
      <c r="I116" s="6">
        <f t="shared" si="6"/>
        <v>30.000000000000004</v>
      </c>
      <c r="J116" t="str">
        <f t="shared" si="7"/>
        <v>OK</v>
      </c>
    </row>
    <row r="117" spans="1:10" x14ac:dyDescent="0.2">
      <c r="A117">
        <v>10116</v>
      </c>
      <c r="B117" t="s">
        <v>7</v>
      </c>
      <c r="C117" t="s">
        <v>11</v>
      </c>
      <c r="D117" s="8">
        <v>11.12</v>
      </c>
      <c r="E117">
        <v>4</v>
      </c>
      <c r="F117" t="str">
        <f t="shared" si="4"/>
        <v>Standard</v>
      </c>
      <c r="G117" s="3" cm="1">
        <f t="array" ref="G117">_xlfn.XLOOKUP(C117 &amp; F117,
         [1]unilever_price_limits!A:A &amp; [1]unilever_price_limits!B:B,
         [1]unilever_price_limits!C:C)</f>
        <v>25</v>
      </c>
      <c r="H117" s="8">
        <f t="shared" si="5"/>
        <v>13.899999999999999</v>
      </c>
      <c r="I117" s="6">
        <f t="shared" si="6"/>
        <v>25</v>
      </c>
      <c r="J117" t="str">
        <f t="shared" si="7"/>
        <v>OK</v>
      </c>
    </row>
    <row r="118" spans="1:10" x14ac:dyDescent="0.2">
      <c r="A118">
        <v>10117</v>
      </c>
      <c r="B118" t="s">
        <v>8</v>
      </c>
      <c r="C118" t="s">
        <v>9</v>
      </c>
      <c r="D118" s="8">
        <v>10.43</v>
      </c>
      <c r="E118">
        <v>5</v>
      </c>
      <c r="F118" t="str">
        <f t="shared" si="4"/>
        <v>Standard</v>
      </c>
      <c r="G118" s="3" cm="1">
        <f t="array" ref="G118">_xlfn.XLOOKUP(C118 &amp; F118,
         [1]unilever_price_limits!A:A &amp; [1]unilever_price_limits!B:B,
         [1]unilever_price_limits!C:C)</f>
        <v>30</v>
      </c>
      <c r="H118" s="8">
        <f t="shared" si="5"/>
        <v>13.558999999999999</v>
      </c>
      <c r="I118" s="6">
        <f t="shared" si="6"/>
        <v>30.000000000000004</v>
      </c>
      <c r="J118" t="str">
        <f t="shared" si="7"/>
        <v>OK</v>
      </c>
    </row>
    <row r="119" spans="1:10" x14ac:dyDescent="0.2">
      <c r="A119">
        <v>10118</v>
      </c>
      <c r="B119" t="s">
        <v>10</v>
      </c>
      <c r="C119" t="s">
        <v>9</v>
      </c>
      <c r="D119" s="8">
        <v>3.58</v>
      </c>
      <c r="E119">
        <v>9</v>
      </c>
      <c r="F119" t="str">
        <f t="shared" si="4"/>
        <v>Premium</v>
      </c>
      <c r="G119" s="3" cm="1">
        <f t="array" ref="G119">_xlfn.XLOOKUP(C119 &amp; F119,
         [1]unilever_price_limits!A:A &amp; [1]unilever_price_limits!B:B,
         [1]unilever_price_limits!C:C)</f>
        <v>60</v>
      </c>
      <c r="H119" s="8">
        <f t="shared" si="5"/>
        <v>5.7280000000000006</v>
      </c>
      <c r="I119" s="6">
        <f t="shared" si="6"/>
        <v>60.000000000000007</v>
      </c>
      <c r="J119" t="str">
        <f t="shared" si="7"/>
        <v>OK</v>
      </c>
    </row>
    <row r="120" spans="1:10" x14ac:dyDescent="0.2">
      <c r="A120">
        <v>10119</v>
      </c>
      <c r="B120" t="s">
        <v>7</v>
      </c>
      <c r="C120" t="s">
        <v>9</v>
      </c>
      <c r="D120" s="8">
        <v>3.97</v>
      </c>
      <c r="E120">
        <v>7</v>
      </c>
      <c r="F120" t="str">
        <f t="shared" si="4"/>
        <v>Standard</v>
      </c>
      <c r="G120" s="3" cm="1">
        <f t="array" ref="G120">_xlfn.XLOOKUP(C120 &amp; F120,
         [1]unilever_price_limits!A:A &amp; [1]unilever_price_limits!B:B,
         [1]unilever_price_limits!C:C)</f>
        <v>30</v>
      </c>
      <c r="H120" s="8">
        <f t="shared" si="5"/>
        <v>5.1610000000000005</v>
      </c>
      <c r="I120" s="6">
        <f t="shared" si="6"/>
        <v>30.000000000000004</v>
      </c>
      <c r="J120" t="str">
        <f t="shared" si="7"/>
        <v>OK</v>
      </c>
    </row>
    <row r="121" spans="1:10" x14ac:dyDescent="0.2">
      <c r="A121">
        <v>10120</v>
      </c>
      <c r="B121" t="s">
        <v>8</v>
      </c>
      <c r="C121" t="s">
        <v>6</v>
      </c>
      <c r="D121" s="8">
        <v>4.58</v>
      </c>
      <c r="E121">
        <v>8</v>
      </c>
      <c r="F121" t="str">
        <f t="shared" si="4"/>
        <v>Premium</v>
      </c>
      <c r="G121" s="3" cm="1">
        <f t="array" ref="G121">_xlfn.XLOOKUP(C121 &amp; F121,
         [1]unilever_price_limits!A:A &amp; [1]unilever_price_limits!B:B,
         [1]unilever_price_limits!C:C)</f>
        <v>55</v>
      </c>
      <c r="H121" s="8">
        <f t="shared" si="5"/>
        <v>7.0990000000000002</v>
      </c>
      <c r="I121" s="6">
        <f t="shared" si="6"/>
        <v>55.000000000000007</v>
      </c>
      <c r="J121" t="str">
        <f t="shared" si="7"/>
        <v>OK</v>
      </c>
    </row>
    <row r="122" spans="1:10" x14ac:dyDescent="0.2">
      <c r="A122">
        <v>10121</v>
      </c>
      <c r="B122" t="s">
        <v>7</v>
      </c>
      <c r="C122" t="s">
        <v>9</v>
      </c>
      <c r="D122" s="8">
        <v>6.46</v>
      </c>
      <c r="E122">
        <v>5</v>
      </c>
      <c r="F122" t="str">
        <f t="shared" si="4"/>
        <v>Standard</v>
      </c>
      <c r="G122" s="3" cm="1">
        <f t="array" ref="G122">_xlfn.XLOOKUP(C122 &amp; F122,
         [1]unilever_price_limits!A:A &amp; [1]unilever_price_limits!B:B,
         [1]unilever_price_limits!C:C)</f>
        <v>30</v>
      </c>
      <c r="H122" s="8">
        <f t="shared" si="5"/>
        <v>8.3979999999999997</v>
      </c>
      <c r="I122" s="6">
        <f t="shared" si="6"/>
        <v>30.000000000000004</v>
      </c>
      <c r="J122" t="str">
        <f t="shared" si="7"/>
        <v>OK</v>
      </c>
    </row>
    <row r="123" spans="1:10" x14ac:dyDescent="0.2">
      <c r="A123">
        <v>10122</v>
      </c>
      <c r="B123" t="s">
        <v>8</v>
      </c>
      <c r="C123" t="s">
        <v>6</v>
      </c>
      <c r="D123" s="8">
        <v>3.9</v>
      </c>
      <c r="E123">
        <v>5</v>
      </c>
      <c r="F123" t="str">
        <f t="shared" si="4"/>
        <v>Standard</v>
      </c>
      <c r="G123" s="3" cm="1">
        <f t="array" ref="G123">_xlfn.XLOOKUP(C123 &amp; F123,
         [1]unilever_price_limits!A:A &amp; [1]unilever_price_limits!B:B,
         [1]unilever_price_limits!C:C)</f>
        <v>28</v>
      </c>
      <c r="H123" s="8">
        <f t="shared" si="5"/>
        <v>4.992</v>
      </c>
      <c r="I123" s="6">
        <f t="shared" si="6"/>
        <v>28.000000000000004</v>
      </c>
      <c r="J123" t="str">
        <f t="shared" si="7"/>
        <v>OK</v>
      </c>
    </row>
    <row r="124" spans="1:10" x14ac:dyDescent="0.2">
      <c r="A124">
        <v>10123</v>
      </c>
      <c r="B124" t="s">
        <v>10</v>
      </c>
      <c r="C124" t="s">
        <v>9</v>
      </c>
      <c r="D124" s="8">
        <v>0.78</v>
      </c>
      <c r="E124">
        <v>7</v>
      </c>
      <c r="F124" t="str">
        <f t="shared" si="4"/>
        <v>Standard</v>
      </c>
      <c r="G124" s="3" cm="1">
        <f t="array" ref="G124">_xlfn.XLOOKUP(C124 &amp; F124,
         [1]unilever_price_limits!A:A &amp; [1]unilever_price_limits!B:B,
         [1]unilever_price_limits!C:C)</f>
        <v>30</v>
      </c>
      <c r="H124" s="8">
        <f t="shared" si="5"/>
        <v>1.014</v>
      </c>
      <c r="I124" s="6">
        <f t="shared" si="6"/>
        <v>30.000000000000004</v>
      </c>
      <c r="J124" t="str">
        <f t="shared" si="7"/>
        <v>OK</v>
      </c>
    </row>
    <row r="125" spans="1:10" x14ac:dyDescent="0.2">
      <c r="A125">
        <v>10124</v>
      </c>
      <c r="B125" t="s">
        <v>5</v>
      </c>
      <c r="C125" t="s">
        <v>9</v>
      </c>
      <c r="D125" s="8">
        <v>13.25</v>
      </c>
      <c r="E125">
        <v>8</v>
      </c>
      <c r="F125" t="str">
        <f t="shared" si="4"/>
        <v>Premium</v>
      </c>
      <c r="G125" s="3" cm="1">
        <f t="array" ref="G125">_xlfn.XLOOKUP(C125 &amp; F125,
         [1]unilever_price_limits!A:A &amp; [1]unilever_price_limits!B:B,
         [1]unilever_price_limits!C:C)</f>
        <v>60</v>
      </c>
      <c r="H125" s="8">
        <f t="shared" si="5"/>
        <v>21.200000000000003</v>
      </c>
      <c r="I125" s="6">
        <f t="shared" si="6"/>
        <v>60.000000000000028</v>
      </c>
      <c r="J125" t="str">
        <f t="shared" si="7"/>
        <v>OK</v>
      </c>
    </row>
    <row r="126" spans="1:10" x14ac:dyDescent="0.2">
      <c r="A126">
        <v>10125</v>
      </c>
      <c r="B126" t="s">
        <v>8</v>
      </c>
      <c r="C126" t="s">
        <v>11</v>
      </c>
      <c r="D126" s="8">
        <v>14.5</v>
      </c>
      <c r="E126">
        <v>9</v>
      </c>
      <c r="F126" t="str">
        <f t="shared" si="4"/>
        <v>Premium</v>
      </c>
      <c r="G126" s="3" cm="1">
        <f t="array" ref="G126">_xlfn.XLOOKUP(C126 &amp; F126,
         [1]unilever_price_limits!A:A &amp; [1]unilever_price_limits!B:B,
         [1]unilever_price_limits!C:C)</f>
        <v>50</v>
      </c>
      <c r="H126" s="8">
        <f t="shared" si="5"/>
        <v>21.75</v>
      </c>
      <c r="I126" s="6">
        <f t="shared" si="6"/>
        <v>50</v>
      </c>
      <c r="J126" t="str">
        <f t="shared" si="7"/>
        <v>OK</v>
      </c>
    </row>
    <row r="127" spans="1:10" x14ac:dyDescent="0.2">
      <c r="A127">
        <v>10126</v>
      </c>
      <c r="B127" t="s">
        <v>7</v>
      </c>
      <c r="C127" t="s">
        <v>6</v>
      </c>
      <c r="D127" s="8">
        <v>5.45</v>
      </c>
      <c r="E127">
        <v>2</v>
      </c>
      <c r="F127" t="str">
        <f t="shared" si="4"/>
        <v>Value</v>
      </c>
      <c r="G127" s="3" cm="1">
        <f t="array" ref="G127">_xlfn.XLOOKUP(C127 &amp; F127,
         [1]unilever_price_limits!A:A &amp; [1]unilever_price_limits!B:B,
         [1]unilever_price_limits!C:C)</f>
        <v>12</v>
      </c>
      <c r="H127" s="8">
        <f t="shared" si="5"/>
        <v>6.104000000000001</v>
      </c>
      <c r="I127" s="6">
        <f t="shared" si="6"/>
        <v>12.000000000000011</v>
      </c>
      <c r="J127" t="str">
        <f t="shared" si="7"/>
        <v>OK</v>
      </c>
    </row>
    <row r="128" spans="1:10" x14ac:dyDescent="0.2">
      <c r="A128">
        <v>10127</v>
      </c>
      <c r="B128" t="s">
        <v>10</v>
      </c>
      <c r="C128" t="s">
        <v>9</v>
      </c>
      <c r="D128" s="8">
        <v>5.41</v>
      </c>
      <c r="E128">
        <v>3</v>
      </c>
      <c r="F128" t="str">
        <f t="shared" si="4"/>
        <v>Value</v>
      </c>
      <c r="G128" s="3" cm="1">
        <f t="array" ref="G128">_xlfn.XLOOKUP(C128 &amp; F128,
         [1]unilever_price_limits!A:A &amp; [1]unilever_price_limits!B:B,
         [1]unilever_price_limits!C:C)</f>
        <v>15</v>
      </c>
      <c r="H128" s="8">
        <f t="shared" si="5"/>
        <v>6.2214999999999998</v>
      </c>
      <c r="I128" s="6">
        <f t="shared" si="6"/>
        <v>14.999999999999991</v>
      </c>
      <c r="J128" t="str">
        <f t="shared" si="7"/>
        <v>OK</v>
      </c>
    </row>
    <row r="129" spans="1:10" x14ac:dyDescent="0.2">
      <c r="A129">
        <v>10128</v>
      </c>
      <c r="B129" t="s">
        <v>8</v>
      </c>
      <c r="C129" t="s">
        <v>6</v>
      </c>
      <c r="D129" s="8">
        <v>0.6</v>
      </c>
      <c r="E129">
        <v>2</v>
      </c>
      <c r="F129" t="str">
        <f t="shared" si="4"/>
        <v>Value</v>
      </c>
      <c r="G129" s="3" cm="1">
        <f t="array" ref="G129">_xlfn.XLOOKUP(C129 &amp; F129,
         [1]unilever_price_limits!A:A &amp; [1]unilever_price_limits!B:B,
         [1]unilever_price_limits!C:C)</f>
        <v>12</v>
      </c>
      <c r="H129" s="8">
        <f t="shared" si="5"/>
        <v>0.67200000000000004</v>
      </c>
      <c r="I129" s="6">
        <f t="shared" si="6"/>
        <v>12.000000000000011</v>
      </c>
      <c r="J129" t="str">
        <f t="shared" si="7"/>
        <v>OK</v>
      </c>
    </row>
    <row r="130" spans="1:10" x14ac:dyDescent="0.2">
      <c r="A130">
        <v>10129</v>
      </c>
      <c r="B130" t="s">
        <v>7</v>
      </c>
      <c r="C130" t="s">
        <v>6</v>
      </c>
      <c r="D130" s="8">
        <v>10.36</v>
      </c>
      <c r="E130">
        <v>10</v>
      </c>
      <c r="F130" t="str">
        <f t="shared" si="4"/>
        <v>Premium</v>
      </c>
      <c r="G130" s="3" cm="1">
        <f t="array" ref="G130">_xlfn.XLOOKUP(C130 &amp; F130,
         [1]unilever_price_limits!A:A &amp; [1]unilever_price_limits!B:B,
         [1]unilever_price_limits!C:C)</f>
        <v>55</v>
      </c>
      <c r="H130" s="8">
        <f t="shared" si="5"/>
        <v>16.058</v>
      </c>
      <c r="I130" s="6">
        <f t="shared" si="6"/>
        <v>55.000000000000007</v>
      </c>
      <c r="J130" t="str">
        <f t="shared" si="7"/>
        <v>OK</v>
      </c>
    </row>
    <row r="131" spans="1:10" x14ac:dyDescent="0.2">
      <c r="A131">
        <v>10130</v>
      </c>
      <c r="B131" t="s">
        <v>7</v>
      </c>
      <c r="C131" t="s">
        <v>11</v>
      </c>
      <c r="D131" s="8">
        <v>12.47</v>
      </c>
      <c r="E131">
        <v>7</v>
      </c>
      <c r="F131" t="str">
        <f t="shared" ref="F131:F194" si="8">IF(E131&lt;=3,"Value",
 IF(E131&lt;=7,"Standard","Premium"))</f>
        <v>Standard</v>
      </c>
      <c r="G131" s="3" cm="1">
        <f t="array" ref="G131">_xlfn.XLOOKUP(C131 &amp; F131,
         [1]unilever_price_limits!A:A &amp; [1]unilever_price_limits!B:B,
         [1]unilever_price_limits!C:C)</f>
        <v>25</v>
      </c>
      <c r="H131" s="8">
        <f t="shared" ref="H131:H194" si="9">D131 * (1 + G131/100)</f>
        <v>15.5875</v>
      </c>
      <c r="I131" s="6">
        <f t="shared" ref="I131:I194" si="10">(H131 / D131 - 1) * 100</f>
        <v>25</v>
      </c>
      <c r="J131" t="str">
        <f t="shared" ref="J131:J194" si="11">IF(I130&gt; G130, "⚠ Exceeds Limit", "OK")</f>
        <v>OK</v>
      </c>
    </row>
    <row r="132" spans="1:10" x14ac:dyDescent="0.2">
      <c r="A132">
        <v>10131</v>
      </c>
      <c r="B132" t="s">
        <v>7</v>
      </c>
      <c r="C132" t="s">
        <v>11</v>
      </c>
      <c r="D132" s="8">
        <v>2.63</v>
      </c>
      <c r="E132">
        <v>2</v>
      </c>
      <c r="F132" t="str">
        <f t="shared" si="8"/>
        <v>Value</v>
      </c>
      <c r="G132" s="3" cm="1">
        <f t="array" ref="G132">_xlfn.XLOOKUP(C132 &amp; F132,
         [1]unilever_price_limits!A:A &amp; [1]unilever_price_limits!B:B,
         [1]unilever_price_limits!C:C)</f>
        <v>10</v>
      </c>
      <c r="H132" s="8">
        <f t="shared" si="9"/>
        <v>2.8930000000000002</v>
      </c>
      <c r="I132" s="6">
        <f t="shared" si="10"/>
        <v>10.000000000000009</v>
      </c>
      <c r="J132" t="str">
        <f t="shared" si="11"/>
        <v>OK</v>
      </c>
    </row>
    <row r="133" spans="1:10" x14ac:dyDescent="0.2">
      <c r="A133">
        <v>10132</v>
      </c>
      <c r="B133" t="s">
        <v>8</v>
      </c>
      <c r="C133" t="s">
        <v>11</v>
      </c>
      <c r="D133" s="8">
        <v>2.82</v>
      </c>
      <c r="E133">
        <v>2</v>
      </c>
      <c r="F133" t="str">
        <f t="shared" si="8"/>
        <v>Value</v>
      </c>
      <c r="G133" s="3" cm="1">
        <f t="array" ref="G133">_xlfn.XLOOKUP(C133 &amp; F133,
         [1]unilever_price_limits!A:A &amp; [1]unilever_price_limits!B:B,
         [1]unilever_price_limits!C:C)</f>
        <v>10</v>
      </c>
      <c r="H133" s="8">
        <f t="shared" si="9"/>
        <v>3.1019999999999999</v>
      </c>
      <c r="I133" s="6">
        <f t="shared" si="10"/>
        <v>10.000000000000009</v>
      </c>
      <c r="J133" t="str">
        <f t="shared" si="11"/>
        <v>OK</v>
      </c>
    </row>
    <row r="134" spans="1:10" x14ac:dyDescent="0.2">
      <c r="A134">
        <v>10133</v>
      </c>
      <c r="B134" t="s">
        <v>8</v>
      </c>
      <c r="C134" t="s">
        <v>11</v>
      </c>
      <c r="D134" s="8">
        <v>11.96</v>
      </c>
      <c r="E134">
        <v>2</v>
      </c>
      <c r="F134" t="str">
        <f t="shared" si="8"/>
        <v>Value</v>
      </c>
      <c r="G134" s="3" cm="1">
        <f t="array" ref="G134">_xlfn.XLOOKUP(C134 &amp; F134,
         [1]unilever_price_limits!A:A &amp; [1]unilever_price_limits!B:B,
         [1]unilever_price_limits!C:C)</f>
        <v>10</v>
      </c>
      <c r="H134" s="8">
        <f t="shared" si="9"/>
        <v>13.156000000000002</v>
      </c>
      <c r="I134" s="6">
        <f t="shared" si="10"/>
        <v>10.000000000000009</v>
      </c>
      <c r="J134" t="str">
        <f t="shared" si="11"/>
        <v>OK</v>
      </c>
    </row>
    <row r="135" spans="1:10" x14ac:dyDescent="0.2">
      <c r="A135">
        <v>10134</v>
      </c>
      <c r="B135" t="s">
        <v>8</v>
      </c>
      <c r="C135" t="s">
        <v>11</v>
      </c>
      <c r="D135" s="8">
        <v>9.44</v>
      </c>
      <c r="E135">
        <v>4</v>
      </c>
      <c r="F135" t="str">
        <f t="shared" si="8"/>
        <v>Standard</v>
      </c>
      <c r="G135" s="3" cm="1">
        <f t="array" ref="G135">_xlfn.XLOOKUP(C135 &amp; F135,
         [1]unilever_price_limits!A:A &amp; [1]unilever_price_limits!B:B,
         [1]unilever_price_limits!C:C)</f>
        <v>25</v>
      </c>
      <c r="H135" s="8">
        <f t="shared" si="9"/>
        <v>11.799999999999999</v>
      </c>
      <c r="I135" s="6">
        <f t="shared" si="10"/>
        <v>25</v>
      </c>
      <c r="J135" t="str">
        <f t="shared" si="11"/>
        <v>OK</v>
      </c>
    </row>
    <row r="136" spans="1:10" x14ac:dyDescent="0.2">
      <c r="A136">
        <v>10135</v>
      </c>
      <c r="B136" t="s">
        <v>5</v>
      </c>
      <c r="C136" t="s">
        <v>11</v>
      </c>
      <c r="D136" s="8">
        <v>1.1499999999999999</v>
      </c>
      <c r="E136">
        <v>1</v>
      </c>
      <c r="F136" t="str">
        <f t="shared" si="8"/>
        <v>Value</v>
      </c>
      <c r="G136" s="3" cm="1">
        <f t="array" ref="G136">_xlfn.XLOOKUP(C136 &amp; F136,
         [1]unilever_price_limits!A:A &amp; [1]unilever_price_limits!B:B,
         [1]unilever_price_limits!C:C)</f>
        <v>10</v>
      </c>
      <c r="H136" s="8">
        <f t="shared" si="9"/>
        <v>1.2649999999999999</v>
      </c>
      <c r="I136" s="6">
        <f t="shared" si="10"/>
        <v>10.000000000000009</v>
      </c>
      <c r="J136" t="str">
        <f t="shared" si="11"/>
        <v>OK</v>
      </c>
    </row>
    <row r="137" spans="1:10" x14ac:dyDescent="0.2">
      <c r="A137">
        <v>10136</v>
      </c>
      <c r="B137" t="s">
        <v>8</v>
      </c>
      <c r="C137" t="s">
        <v>11</v>
      </c>
      <c r="D137" s="8">
        <v>9.5299999999999994</v>
      </c>
      <c r="E137">
        <v>2</v>
      </c>
      <c r="F137" t="str">
        <f t="shared" si="8"/>
        <v>Value</v>
      </c>
      <c r="G137" s="3" cm="1">
        <f t="array" ref="G137">_xlfn.XLOOKUP(C137 &amp; F137,
         [1]unilever_price_limits!A:A &amp; [1]unilever_price_limits!B:B,
         [1]unilever_price_limits!C:C)</f>
        <v>10</v>
      </c>
      <c r="H137" s="8">
        <f t="shared" si="9"/>
        <v>10.483000000000001</v>
      </c>
      <c r="I137" s="6">
        <f t="shared" si="10"/>
        <v>10.000000000000009</v>
      </c>
      <c r="J137" t="str">
        <f t="shared" si="11"/>
        <v>OK</v>
      </c>
    </row>
    <row r="138" spans="1:10" x14ac:dyDescent="0.2">
      <c r="A138">
        <v>10137</v>
      </c>
      <c r="B138" t="s">
        <v>8</v>
      </c>
      <c r="C138" t="s">
        <v>11</v>
      </c>
      <c r="D138" s="8">
        <v>4.9800000000000004</v>
      </c>
      <c r="E138">
        <v>3</v>
      </c>
      <c r="F138" t="str">
        <f t="shared" si="8"/>
        <v>Value</v>
      </c>
      <c r="G138" s="3" cm="1">
        <f t="array" ref="G138">_xlfn.XLOOKUP(C138 &amp; F138,
         [1]unilever_price_limits!A:A &amp; [1]unilever_price_limits!B:B,
         [1]unilever_price_limits!C:C)</f>
        <v>10</v>
      </c>
      <c r="H138" s="8">
        <f t="shared" si="9"/>
        <v>5.4780000000000006</v>
      </c>
      <c r="I138" s="6">
        <f t="shared" si="10"/>
        <v>10.000000000000009</v>
      </c>
      <c r="J138" t="str">
        <f t="shared" si="11"/>
        <v>OK</v>
      </c>
    </row>
    <row r="139" spans="1:10" x14ac:dyDescent="0.2">
      <c r="A139">
        <v>10138</v>
      </c>
      <c r="B139" t="s">
        <v>8</v>
      </c>
      <c r="C139" t="s">
        <v>9</v>
      </c>
      <c r="D139" s="8">
        <v>5.85</v>
      </c>
      <c r="E139">
        <v>7</v>
      </c>
      <c r="F139" t="str">
        <f t="shared" si="8"/>
        <v>Standard</v>
      </c>
      <c r="G139" s="3" cm="1">
        <f t="array" ref="G139">_xlfn.XLOOKUP(C139 &amp; F139,
         [1]unilever_price_limits!A:A &amp; [1]unilever_price_limits!B:B,
         [1]unilever_price_limits!C:C)</f>
        <v>30</v>
      </c>
      <c r="H139" s="8">
        <f t="shared" si="9"/>
        <v>7.6049999999999995</v>
      </c>
      <c r="I139" s="6">
        <f t="shared" si="10"/>
        <v>30.000000000000004</v>
      </c>
      <c r="J139" t="str">
        <f t="shared" si="11"/>
        <v>OK</v>
      </c>
    </row>
    <row r="140" spans="1:10" x14ac:dyDescent="0.2">
      <c r="A140">
        <v>10139</v>
      </c>
      <c r="B140" t="s">
        <v>5</v>
      </c>
      <c r="C140" t="s">
        <v>6</v>
      </c>
      <c r="D140" s="8">
        <v>11.66</v>
      </c>
      <c r="E140">
        <v>10</v>
      </c>
      <c r="F140" t="str">
        <f t="shared" si="8"/>
        <v>Premium</v>
      </c>
      <c r="G140" s="3" cm="1">
        <f t="array" ref="G140">_xlfn.XLOOKUP(C140 &amp; F140,
         [1]unilever_price_limits!A:A &amp; [1]unilever_price_limits!B:B,
         [1]unilever_price_limits!C:C)</f>
        <v>55</v>
      </c>
      <c r="H140" s="8">
        <f t="shared" si="9"/>
        <v>18.073</v>
      </c>
      <c r="I140" s="6">
        <f t="shared" si="10"/>
        <v>55.000000000000007</v>
      </c>
      <c r="J140" t="str">
        <f t="shared" si="11"/>
        <v>OK</v>
      </c>
    </row>
    <row r="141" spans="1:10" x14ac:dyDescent="0.2">
      <c r="A141">
        <v>10140</v>
      </c>
      <c r="B141" t="s">
        <v>8</v>
      </c>
      <c r="C141" t="s">
        <v>11</v>
      </c>
      <c r="D141" s="8">
        <v>12.26</v>
      </c>
      <c r="E141">
        <v>1</v>
      </c>
      <c r="F141" t="str">
        <f t="shared" si="8"/>
        <v>Value</v>
      </c>
      <c r="G141" s="3" cm="1">
        <f t="array" ref="G141">_xlfn.XLOOKUP(C141 &amp; F141,
         [1]unilever_price_limits!A:A &amp; [1]unilever_price_limits!B:B,
         [1]unilever_price_limits!C:C)</f>
        <v>10</v>
      </c>
      <c r="H141" s="8">
        <f t="shared" si="9"/>
        <v>13.486000000000001</v>
      </c>
      <c r="I141" s="6">
        <f t="shared" si="10"/>
        <v>10.000000000000009</v>
      </c>
      <c r="J141" t="str">
        <f t="shared" si="11"/>
        <v>OK</v>
      </c>
    </row>
    <row r="142" spans="1:10" x14ac:dyDescent="0.2">
      <c r="A142">
        <v>10141</v>
      </c>
      <c r="B142" t="s">
        <v>7</v>
      </c>
      <c r="C142" t="s">
        <v>11</v>
      </c>
      <c r="D142" s="8">
        <v>6.31</v>
      </c>
      <c r="E142">
        <v>6</v>
      </c>
      <c r="F142" t="str">
        <f t="shared" si="8"/>
        <v>Standard</v>
      </c>
      <c r="G142" s="3" cm="1">
        <f t="array" ref="G142">_xlfn.XLOOKUP(C142 &amp; F142,
         [1]unilever_price_limits!A:A &amp; [1]unilever_price_limits!B:B,
         [1]unilever_price_limits!C:C)</f>
        <v>25</v>
      </c>
      <c r="H142" s="8">
        <f t="shared" si="9"/>
        <v>7.8874999999999993</v>
      </c>
      <c r="I142" s="6">
        <f t="shared" si="10"/>
        <v>25</v>
      </c>
      <c r="J142" t="str">
        <f t="shared" si="11"/>
        <v>OK</v>
      </c>
    </row>
    <row r="143" spans="1:10" x14ac:dyDescent="0.2">
      <c r="A143">
        <v>10142</v>
      </c>
      <c r="B143" t="s">
        <v>8</v>
      </c>
      <c r="C143" t="s">
        <v>6</v>
      </c>
      <c r="D143" s="8">
        <v>14.23</v>
      </c>
      <c r="E143">
        <v>3</v>
      </c>
      <c r="F143" t="str">
        <f t="shared" si="8"/>
        <v>Value</v>
      </c>
      <c r="G143" s="3" cm="1">
        <f t="array" ref="G143">_xlfn.XLOOKUP(C143 &amp; F143,
         [1]unilever_price_limits!A:A &amp; [1]unilever_price_limits!B:B,
         [1]unilever_price_limits!C:C)</f>
        <v>12</v>
      </c>
      <c r="H143" s="8">
        <f t="shared" si="9"/>
        <v>15.937600000000002</v>
      </c>
      <c r="I143" s="6">
        <f t="shared" si="10"/>
        <v>12.000000000000011</v>
      </c>
      <c r="J143" t="str">
        <f t="shared" si="11"/>
        <v>OK</v>
      </c>
    </row>
    <row r="144" spans="1:10" x14ac:dyDescent="0.2">
      <c r="A144">
        <v>10143</v>
      </c>
      <c r="B144" t="s">
        <v>7</v>
      </c>
      <c r="C144" t="s">
        <v>9</v>
      </c>
      <c r="D144" s="8">
        <v>6.39</v>
      </c>
      <c r="E144">
        <v>3</v>
      </c>
      <c r="F144" t="str">
        <f t="shared" si="8"/>
        <v>Value</v>
      </c>
      <c r="G144" s="3" cm="1">
        <f t="array" ref="G144">_xlfn.XLOOKUP(C144 &amp; F144,
         [1]unilever_price_limits!A:A &amp; [1]unilever_price_limits!B:B,
         [1]unilever_price_limits!C:C)</f>
        <v>15</v>
      </c>
      <c r="H144" s="8">
        <f t="shared" si="9"/>
        <v>7.3484999999999987</v>
      </c>
      <c r="I144" s="6">
        <f t="shared" si="10"/>
        <v>14.999999999999991</v>
      </c>
      <c r="J144" t="str">
        <f t="shared" si="11"/>
        <v>OK</v>
      </c>
    </row>
    <row r="145" spans="1:10" x14ac:dyDescent="0.2">
      <c r="A145">
        <v>10144</v>
      </c>
      <c r="B145" t="s">
        <v>7</v>
      </c>
      <c r="C145" t="s">
        <v>6</v>
      </c>
      <c r="D145" s="8">
        <v>11.69</v>
      </c>
      <c r="E145">
        <v>4</v>
      </c>
      <c r="F145" t="str">
        <f t="shared" si="8"/>
        <v>Standard</v>
      </c>
      <c r="G145" s="3" cm="1">
        <f t="array" ref="G145">_xlfn.XLOOKUP(C145 &amp; F145,
         [1]unilever_price_limits!A:A &amp; [1]unilever_price_limits!B:B,
         [1]unilever_price_limits!C:C)</f>
        <v>28</v>
      </c>
      <c r="H145" s="8">
        <f t="shared" si="9"/>
        <v>14.963200000000001</v>
      </c>
      <c r="I145" s="6">
        <f t="shared" si="10"/>
        <v>28.000000000000004</v>
      </c>
      <c r="J145" t="str">
        <f t="shared" si="11"/>
        <v>OK</v>
      </c>
    </row>
    <row r="146" spans="1:10" x14ac:dyDescent="0.2">
      <c r="A146">
        <v>10145</v>
      </c>
      <c r="B146" t="s">
        <v>7</v>
      </c>
      <c r="C146" t="s">
        <v>6</v>
      </c>
      <c r="D146" s="8">
        <v>7.52</v>
      </c>
      <c r="E146">
        <v>4</v>
      </c>
      <c r="F146" t="str">
        <f t="shared" si="8"/>
        <v>Standard</v>
      </c>
      <c r="G146" s="3" cm="1">
        <f t="array" ref="G146">_xlfn.XLOOKUP(C146 &amp; F146,
         [1]unilever_price_limits!A:A &amp; [1]unilever_price_limits!B:B,
         [1]unilever_price_limits!C:C)</f>
        <v>28</v>
      </c>
      <c r="H146" s="8">
        <f t="shared" si="9"/>
        <v>9.6256000000000004</v>
      </c>
      <c r="I146" s="6">
        <f t="shared" si="10"/>
        <v>28.000000000000004</v>
      </c>
      <c r="J146" t="str">
        <f t="shared" si="11"/>
        <v>OK</v>
      </c>
    </row>
    <row r="147" spans="1:10" x14ac:dyDescent="0.2">
      <c r="A147">
        <v>10146</v>
      </c>
      <c r="B147" t="s">
        <v>5</v>
      </c>
      <c r="C147" t="s">
        <v>11</v>
      </c>
      <c r="D147" s="8">
        <v>13.51</v>
      </c>
      <c r="E147">
        <v>7</v>
      </c>
      <c r="F147" t="str">
        <f t="shared" si="8"/>
        <v>Standard</v>
      </c>
      <c r="G147" s="3" cm="1">
        <f t="array" ref="G147">_xlfn.XLOOKUP(C147 &amp; F147,
         [1]unilever_price_limits!A:A &amp; [1]unilever_price_limits!B:B,
         [1]unilever_price_limits!C:C)</f>
        <v>25</v>
      </c>
      <c r="H147" s="8">
        <f t="shared" si="9"/>
        <v>16.887499999999999</v>
      </c>
      <c r="I147" s="6">
        <f t="shared" si="10"/>
        <v>25</v>
      </c>
      <c r="J147" t="str">
        <f t="shared" si="11"/>
        <v>OK</v>
      </c>
    </row>
    <row r="148" spans="1:10" x14ac:dyDescent="0.2">
      <c r="A148">
        <v>10147</v>
      </c>
      <c r="B148" t="s">
        <v>5</v>
      </c>
      <c r="C148" t="s">
        <v>6</v>
      </c>
      <c r="D148" s="8">
        <v>13.66</v>
      </c>
      <c r="E148">
        <v>3</v>
      </c>
      <c r="F148" t="str">
        <f t="shared" si="8"/>
        <v>Value</v>
      </c>
      <c r="G148" s="3" cm="1">
        <f t="array" ref="G148">_xlfn.XLOOKUP(C148 &amp; F148,
         [1]unilever_price_limits!A:A &amp; [1]unilever_price_limits!B:B,
         [1]unilever_price_limits!C:C)</f>
        <v>12</v>
      </c>
      <c r="H148" s="8">
        <f t="shared" si="9"/>
        <v>15.299200000000001</v>
      </c>
      <c r="I148" s="6">
        <f t="shared" si="10"/>
        <v>12.000000000000011</v>
      </c>
      <c r="J148" t="str">
        <f t="shared" si="11"/>
        <v>OK</v>
      </c>
    </row>
    <row r="149" spans="1:10" x14ac:dyDescent="0.2">
      <c r="A149">
        <v>10148</v>
      </c>
      <c r="B149" t="s">
        <v>5</v>
      </c>
      <c r="C149" t="s">
        <v>6</v>
      </c>
      <c r="D149" s="8">
        <v>1.77</v>
      </c>
      <c r="E149">
        <v>8</v>
      </c>
      <c r="F149" t="str">
        <f t="shared" si="8"/>
        <v>Premium</v>
      </c>
      <c r="G149" s="3" cm="1">
        <f t="array" ref="G149">_xlfn.XLOOKUP(C149 &amp; F149,
         [1]unilever_price_limits!A:A &amp; [1]unilever_price_limits!B:B,
         [1]unilever_price_limits!C:C)</f>
        <v>55</v>
      </c>
      <c r="H149" s="8">
        <f t="shared" si="9"/>
        <v>2.7435</v>
      </c>
      <c r="I149" s="6">
        <f t="shared" si="10"/>
        <v>55.000000000000007</v>
      </c>
      <c r="J149" t="str">
        <f t="shared" si="11"/>
        <v>OK</v>
      </c>
    </row>
    <row r="150" spans="1:10" x14ac:dyDescent="0.2">
      <c r="A150">
        <v>10149</v>
      </c>
      <c r="B150" t="s">
        <v>8</v>
      </c>
      <c r="C150" t="s">
        <v>11</v>
      </c>
      <c r="D150" s="8">
        <v>14.08</v>
      </c>
      <c r="E150">
        <v>8</v>
      </c>
      <c r="F150" t="str">
        <f t="shared" si="8"/>
        <v>Premium</v>
      </c>
      <c r="G150" s="3" cm="1">
        <f t="array" ref="G150">_xlfn.XLOOKUP(C150 &amp; F150,
         [1]unilever_price_limits!A:A &amp; [1]unilever_price_limits!B:B,
         [1]unilever_price_limits!C:C)</f>
        <v>50</v>
      </c>
      <c r="H150" s="8">
        <f t="shared" si="9"/>
        <v>21.12</v>
      </c>
      <c r="I150" s="6">
        <f t="shared" si="10"/>
        <v>50</v>
      </c>
      <c r="J150" t="str">
        <f t="shared" si="11"/>
        <v>OK</v>
      </c>
    </row>
    <row r="151" spans="1:10" x14ac:dyDescent="0.2">
      <c r="A151">
        <v>10150</v>
      </c>
      <c r="B151" t="s">
        <v>7</v>
      </c>
      <c r="C151" t="s">
        <v>11</v>
      </c>
      <c r="D151" s="8">
        <v>12.47</v>
      </c>
      <c r="E151">
        <v>7</v>
      </c>
      <c r="F151" t="str">
        <f t="shared" si="8"/>
        <v>Standard</v>
      </c>
      <c r="G151" s="3" cm="1">
        <f t="array" ref="G151">_xlfn.XLOOKUP(C151 &amp; F151,
         [1]unilever_price_limits!A:A &amp; [1]unilever_price_limits!B:B,
         [1]unilever_price_limits!C:C)</f>
        <v>25</v>
      </c>
      <c r="H151" s="8">
        <f t="shared" si="9"/>
        <v>15.5875</v>
      </c>
      <c r="I151" s="6">
        <f t="shared" si="10"/>
        <v>25</v>
      </c>
      <c r="J151" t="str">
        <f t="shared" si="11"/>
        <v>OK</v>
      </c>
    </row>
    <row r="152" spans="1:10" x14ac:dyDescent="0.2">
      <c r="A152">
        <v>10151</v>
      </c>
      <c r="B152" t="s">
        <v>5</v>
      </c>
      <c r="C152" t="s">
        <v>11</v>
      </c>
      <c r="D152" s="8">
        <v>11.97</v>
      </c>
      <c r="E152">
        <v>2</v>
      </c>
      <c r="F152" t="str">
        <f t="shared" si="8"/>
        <v>Value</v>
      </c>
      <c r="G152" s="3" cm="1">
        <f t="array" ref="G152">_xlfn.XLOOKUP(C152 &amp; F152,
         [1]unilever_price_limits!A:A &amp; [1]unilever_price_limits!B:B,
         [1]unilever_price_limits!C:C)</f>
        <v>10</v>
      </c>
      <c r="H152" s="8">
        <f t="shared" si="9"/>
        <v>13.167000000000002</v>
      </c>
      <c r="I152" s="6">
        <f t="shared" si="10"/>
        <v>10.000000000000009</v>
      </c>
      <c r="J152" t="str">
        <f t="shared" si="11"/>
        <v>OK</v>
      </c>
    </row>
    <row r="153" spans="1:10" x14ac:dyDescent="0.2">
      <c r="A153">
        <v>10152</v>
      </c>
      <c r="B153" t="s">
        <v>5</v>
      </c>
      <c r="C153" t="s">
        <v>11</v>
      </c>
      <c r="D153" s="8">
        <v>3.41</v>
      </c>
      <c r="E153">
        <v>5</v>
      </c>
      <c r="F153" t="str">
        <f t="shared" si="8"/>
        <v>Standard</v>
      </c>
      <c r="G153" s="3" cm="1">
        <f t="array" ref="G153">_xlfn.XLOOKUP(C153 &amp; F153,
         [1]unilever_price_limits!A:A &amp; [1]unilever_price_limits!B:B,
         [1]unilever_price_limits!C:C)</f>
        <v>25</v>
      </c>
      <c r="H153" s="8">
        <f t="shared" si="9"/>
        <v>4.2625000000000002</v>
      </c>
      <c r="I153" s="6">
        <f t="shared" si="10"/>
        <v>25</v>
      </c>
      <c r="J153" t="str">
        <f t="shared" si="11"/>
        <v>OK</v>
      </c>
    </row>
    <row r="154" spans="1:10" x14ac:dyDescent="0.2">
      <c r="A154">
        <v>10153</v>
      </c>
      <c r="B154" t="s">
        <v>8</v>
      </c>
      <c r="C154" t="s">
        <v>6</v>
      </c>
      <c r="D154" s="8">
        <v>12.17</v>
      </c>
      <c r="E154">
        <v>6</v>
      </c>
      <c r="F154" t="str">
        <f t="shared" si="8"/>
        <v>Standard</v>
      </c>
      <c r="G154" s="3" cm="1">
        <f t="array" ref="G154">_xlfn.XLOOKUP(C154 &amp; F154,
         [1]unilever_price_limits!A:A &amp; [1]unilever_price_limits!B:B,
         [1]unilever_price_limits!C:C)</f>
        <v>28</v>
      </c>
      <c r="H154" s="8">
        <f t="shared" si="9"/>
        <v>15.5776</v>
      </c>
      <c r="I154" s="6">
        <f t="shared" si="10"/>
        <v>28.000000000000004</v>
      </c>
      <c r="J154" t="str">
        <f t="shared" si="11"/>
        <v>OK</v>
      </c>
    </row>
    <row r="155" spans="1:10" x14ac:dyDescent="0.2">
      <c r="A155">
        <v>10154</v>
      </c>
      <c r="B155" t="s">
        <v>5</v>
      </c>
      <c r="C155" t="s">
        <v>6</v>
      </c>
      <c r="D155" s="8">
        <v>12.83</v>
      </c>
      <c r="E155">
        <v>10</v>
      </c>
      <c r="F155" t="str">
        <f t="shared" si="8"/>
        <v>Premium</v>
      </c>
      <c r="G155" s="3" cm="1">
        <f t="array" ref="G155">_xlfn.XLOOKUP(C155 &amp; F155,
         [1]unilever_price_limits!A:A &amp; [1]unilever_price_limits!B:B,
         [1]unilever_price_limits!C:C)</f>
        <v>55</v>
      </c>
      <c r="H155" s="8">
        <f t="shared" si="9"/>
        <v>19.886500000000002</v>
      </c>
      <c r="I155" s="6">
        <f t="shared" si="10"/>
        <v>55.000000000000007</v>
      </c>
      <c r="J155" t="str">
        <f t="shared" si="11"/>
        <v>OK</v>
      </c>
    </row>
    <row r="156" spans="1:10" x14ac:dyDescent="0.2">
      <c r="A156">
        <v>10155</v>
      </c>
      <c r="B156" t="s">
        <v>8</v>
      </c>
      <c r="C156" t="s">
        <v>9</v>
      </c>
      <c r="D156" s="8">
        <v>4.6900000000000004</v>
      </c>
      <c r="E156">
        <v>4</v>
      </c>
      <c r="F156" t="str">
        <f t="shared" si="8"/>
        <v>Standard</v>
      </c>
      <c r="G156" s="3" cm="1">
        <f t="array" ref="G156">_xlfn.XLOOKUP(C156 &amp; F156,
         [1]unilever_price_limits!A:A &amp; [1]unilever_price_limits!B:B,
         [1]unilever_price_limits!C:C)</f>
        <v>30</v>
      </c>
      <c r="H156" s="8">
        <f t="shared" si="9"/>
        <v>6.0970000000000004</v>
      </c>
      <c r="I156" s="6">
        <f t="shared" si="10"/>
        <v>30.000000000000004</v>
      </c>
      <c r="J156" t="str">
        <f t="shared" si="11"/>
        <v>OK</v>
      </c>
    </row>
    <row r="157" spans="1:10" x14ac:dyDescent="0.2">
      <c r="A157">
        <v>10156</v>
      </c>
      <c r="B157" t="s">
        <v>10</v>
      </c>
      <c r="C157" t="s">
        <v>9</v>
      </c>
      <c r="D157" s="8">
        <v>14.31</v>
      </c>
      <c r="E157">
        <v>10</v>
      </c>
      <c r="F157" t="str">
        <f t="shared" si="8"/>
        <v>Premium</v>
      </c>
      <c r="G157" s="3" cm="1">
        <f t="array" ref="G157">_xlfn.XLOOKUP(C157 &amp; F157,
         [1]unilever_price_limits!A:A &amp; [1]unilever_price_limits!B:B,
         [1]unilever_price_limits!C:C)</f>
        <v>60</v>
      </c>
      <c r="H157" s="8">
        <f t="shared" si="9"/>
        <v>22.896000000000001</v>
      </c>
      <c r="I157" s="6">
        <f t="shared" si="10"/>
        <v>60.000000000000007</v>
      </c>
      <c r="J157" t="str">
        <f t="shared" si="11"/>
        <v>OK</v>
      </c>
    </row>
    <row r="158" spans="1:10" x14ac:dyDescent="0.2">
      <c r="A158">
        <v>10157</v>
      </c>
      <c r="B158" t="s">
        <v>5</v>
      </c>
      <c r="C158" t="s">
        <v>6</v>
      </c>
      <c r="D158" s="8">
        <v>1.22</v>
      </c>
      <c r="E158">
        <v>5</v>
      </c>
      <c r="F158" t="str">
        <f t="shared" si="8"/>
        <v>Standard</v>
      </c>
      <c r="G158" s="3" cm="1">
        <f t="array" ref="G158">_xlfn.XLOOKUP(C158 &amp; F158,
         [1]unilever_price_limits!A:A &amp; [1]unilever_price_limits!B:B,
         [1]unilever_price_limits!C:C)</f>
        <v>28</v>
      </c>
      <c r="H158" s="8">
        <f t="shared" si="9"/>
        <v>1.5616000000000001</v>
      </c>
      <c r="I158" s="6">
        <f t="shared" si="10"/>
        <v>28.000000000000004</v>
      </c>
      <c r="J158" t="str">
        <f t="shared" si="11"/>
        <v>OK</v>
      </c>
    </row>
    <row r="159" spans="1:10" x14ac:dyDescent="0.2">
      <c r="A159">
        <v>10158</v>
      </c>
      <c r="B159" t="s">
        <v>10</v>
      </c>
      <c r="C159" t="s">
        <v>9</v>
      </c>
      <c r="D159" s="8">
        <v>2.67</v>
      </c>
      <c r="E159">
        <v>9</v>
      </c>
      <c r="F159" t="str">
        <f t="shared" si="8"/>
        <v>Premium</v>
      </c>
      <c r="G159" s="3" cm="1">
        <f t="array" ref="G159">_xlfn.XLOOKUP(C159 &amp; F159,
         [1]unilever_price_limits!A:A &amp; [1]unilever_price_limits!B:B,
         [1]unilever_price_limits!C:C)</f>
        <v>60</v>
      </c>
      <c r="H159" s="8">
        <f t="shared" si="9"/>
        <v>4.2720000000000002</v>
      </c>
      <c r="I159" s="6">
        <f t="shared" si="10"/>
        <v>60.000000000000007</v>
      </c>
      <c r="J159" t="str">
        <f t="shared" si="11"/>
        <v>OK</v>
      </c>
    </row>
    <row r="160" spans="1:10" x14ac:dyDescent="0.2">
      <c r="A160">
        <v>10159</v>
      </c>
      <c r="B160" t="s">
        <v>8</v>
      </c>
      <c r="C160" t="s">
        <v>6</v>
      </c>
      <c r="D160" s="8">
        <v>8.2899999999999991</v>
      </c>
      <c r="E160">
        <v>7</v>
      </c>
      <c r="F160" t="str">
        <f t="shared" si="8"/>
        <v>Standard</v>
      </c>
      <c r="G160" s="3" cm="1">
        <f t="array" ref="G160">_xlfn.XLOOKUP(C160 &amp; F160,
         [1]unilever_price_limits!A:A &amp; [1]unilever_price_limits!B:B,
         [1]unilever_price_limits!C:C)</f>
        <v>28</v>
      </c>
      <c r="H160" s="8">
        <f t="shared" si="9"/>
        <v>10.611199999999998</v>
      </c>
      <c r="I160" s="6">
        <f t="shared" si="10"/>
        <v>28.000000000000004</v>
      </c>
      <c r="J160" t="str">
        <f t="shared" si="11"/>
        <v>OK</v>
      </c>
    </row>
    <row r="161" spans="1:10" x14ac:dyDescent="0.2">
      <c r="A161">
        <v>10160</v>
      </c>
      <c r="B161" t="s">
        <v>7</v>
      </c>
      <c r="C161" t="s">
        <v>9</v>
      </c>
      <c r="D161" s="8">
        <v>8.85</v>
      </c>
      <c r="E161">
        <v>2</v>
      </c>
      <c r="F161" t="str">
        <f t="shared" si="8"/>
        <v>Value</v>
      </c>
      <c r="G161" s="3" cm="1">
        <f t="array" ref="G161">_xlfn.XLOOKUP(C161 &amp; F161,
         [1]unilever_price_limits!A:A &amp; [1]unilever_price_limits!B:B,
         [1]unilever_price_limits!C:C)</f>
        <v>15</v>
      </c>
      <c r="H161" s="8">
        <f t="shared" si="9"/>
        <v>10.177499999999998</v>
      </c>
      <c r="I161" s="6">
        <f t="shared" si="10"/>
        <v>14.999999999999991</v>
      </c>
      <c r="J161" t="str">
        <f t="shared" si="11"/>
        <v>OK</v>
      </c>
    </row>
    <row r="162" spans="1:10" x14ac:dyDescent="0.2">
      <c r="A162">
        <v>10161</v>
      </c>
      <c r="B162" t="s">
        <v>5</v>
      </c>
      <c r="C162" t="s">
        <v>11</v>
      </c>
      <c r="D162" s="8">
        <v>9.85</v>
      </c>
      <c r="E162">
        <v>1</v>
      </c>
      <c r="F162" t="str">
        <f t="shared" si="8"/>
        <v>Value</v>
      </c>
      <c r="G162" s="3" cm="1">
        <f t="array" ref="G162">_xlfn.XLOOKUP(C162 &amp; F162,
         [1]unilever_price_limits!A:A &amp; [1]unilever_price_limits!B:B,
         [1]unilever_price_limits!C:C)</f>
        <v>10</v>
      </c>
      <c r="H162" s="8">
        <f t="shared" si="9"/>
        <v>10.835000000000001</v>
      </c>
      <c r="I162" s="6">
        <f t="shared" si="10"/>
        <v>10.000000000000009</v>
      </c>
      <c r="J162" t="str">
        <f t="shared" si="11"/>
        <v>OK</v>
      </c>
    </row>
    <row r="163" spans="1:10" x14ac:dyDescent="0.2">
      <c r="A163">
        <v>10162</v>
      </c>
      <c r="B163" t="s">
        <v>8</v>
      </c>
      <c r="C163" t="s">
        <v>9</v>
      </c>
      <c r="D163" s="8">
        <v>0.75</v>
      </c>
      <c r="E163">
        <v>2</v>
      </c>
      <c r="F163" t="str">
        <f t="shared" si="8"/>
        <v>Value</v>
      </c>
      <c r="G163" s="3" cm="1">
        <f t="array" ref="G163">_xlfn.XLOOKUP(C163 &amp; F163,
         [1]unilever_price_limits!A:A &amp; [1]unilever_price_limits!B:B,
         [1]unilever_price_limits!C:C)</f>
        <v>15</v>
      </c>
      <c r="H163" s="8">
        <f t="shared" si="9"/>
        <v>0.86249999999999993</v>
      </c>
      <c r="I163" s="6">
        <f t="shared" si="10"/>
        <v>14.999999999999991</v>
      </c>
      <c r="J163" t="str">
        <f t="shared" si="11"/>
        <v>OK</v>
      </c>
    </row>
    <row r="164" spans="1:10" x14ac:dyDescent="0.2">
      <c r="A164">
        <v>10163</v>
      </c>
      <c r="B164" t="s">
        <v>7</v>
      </c>
      <c r="C164" t="s">
        <v>11</v>
      </c>
      <c r="D164" s="8">
        <v>14.43</v>
      </c>
      <c r="E164">
        <v>3</v>
      </c>
      <c r="F164" t="str">
        <f t="shared" si="8"/>
        <v>Value</v>
      </c>
      <c r="G164" s="3" cm="1">
        <f t="array" ref="G164">_xlfn.XLOOKUP(C164 &amp; F164,
         [1]unilever_price_limits!A:A &amp; [1]unilever_price_limits!B:B,
         [1]unilever_price_limits!C:C)</f>
        <v>10</v>
      </c>
      <c r="H164" s="8">
        <f t="shared" si="9"/>
        <v>15.873000000000001</v>
      </c>
      <c r="I164" s="6">
        <f t="shared" si="10"/>
        <v>10.000000000000009</v>
      </c>
      <c r="J164" t="str">
        <f t="shared" si="11"/>
        <v>OK</v>
      </c>
    </row>
    <row r="165" spans="1:10" x14ac:dyDescent="0.2">
      <c r="A165">
        <v>10164</v>
      </c>
      <c r="B165" t="s">
        <v>7</v>
      </c>
      <c r="C165" t="s">
        <v>11</v>
      </c>
      <c r="D165" s="8">
        <v>1.1499999999999999</v>
      </c>
      <c r="E165">
        <v>2</v>
      </c>
      <c r="F165" t="str">
        <f t="shared" si="8"/>
        <v>Value</v>
      </c>
      <c r="G165" s="3" cm="1">
        <f t="array" ref="G165">_xlfn.XLOOKUP(C165 &amp; F165,
         [1]unilever_price_limits!A:A &amp; [1]unilever_price_limits!B:B,
         [1]unilever_price_limits!C:C)</f>
        <v>10</v>
      </c>
      <c r="H165" s="8">
        <f t="shared" si="9"/>
        <v>1.2649999999999999</v>
      </c>
      <c r="I165" s="6">
        <f t="shared" si="10"/>
        <v>10.000000000000009</v>
      </c>
      <c r="J165" t="str">
        <f t="shared" si="11"/>
        <v>OK</v>
      </c>
    </row>
    <row r="166" spans="1:10" x14ac:dyDescent="0.2">
      <c r="A166">
        <v>10165</v>
      </c>
      <c r="B166" t="s">
        <v>10</v>
      </c>
      <c r="C166" t="s">
        <v>11</v>
      </c>
      <c r="D166" s="8">
        <v>2.57</v>
      </c>
      <c r="E166">
        <v>3</v>
      </c>
      <c r="F166" t="str">
        <f t="shared" si="8"/>
        <v>Value</v>
      </c>
      <c r="G166" s="3" cm="1">
        <f t="array" ref="G166">_xlfn.XLOOKUP(C166 &amp; F166,
         [1]unilever_price_limits!A:A &amp; [1]unilever_price_limits!B:B,
         [1]unilever_price_limits!C:C)</f>
        <v>10</v>
      </c>
      <c r="H166" s="8">
        <f t="shared" si="9"/>
        <v>2.827</v>
      </c>
      <c r="I166" s="6">
        <f t="shared" si="10"/>
        <v>10.000000000000009</v>
      </c>
      <c r="J166" t="str">
        <f t="shared" si="11"/>
        <v>OK</v>
      </c>
    </row>
    <row r="167" spans="1:10" x14ac:dyDescent="0.2">
      <c r="A167">
        <v>10166</v>
      </c>
      <c r="B167" t="s">
        <v>8</v>
      </c>
      <c r="C167" t="s">
        <v>11</v>
      </c>
      <c r="D167" s="8">
        <v>0.7</v>
      </c>
      <c r="E167">
        <v>10</v>
      </c>
      <c r="F167" t="str">
        <f t="shared" si="8"/>
        <v>Premium</v>
      </c>
      <c r="G167" s="3" cm="1">
        <f t="array" ref="G167">_xlfn.XLOOKUP(C167 &amp; F167,
         [1]unilever_price_limits!A:A &amp; [1]unilever_price_limits!B:B,
         [1]unilever_price_limits!C:C)</f>
        <v>50</v>
      </c>
      <c r="H167" s="8">
        <f t="shared" si="9"/>
        <v>1.0499999999999998</v>
      </c>
      <c r="I167" s="6">
        <f t="shared" si="10"/>
        <v>49.999999999999979</v>
      </c>
      <c r="J167" t="str">
        <f t="shared" si="11"/>
        <v>OK</v>
      </c>
    </row>
    <row r="168" spans="1:10" x14ac:dyDescent="0.2">
      <c r="A168">
        <v>10167</v>
      </c>
      <c r="B168" t="s">
        <v>7</v>
      </c>
      <c r="C168" t="s">
        <v>9</v>
      </c>
      <c r="D168" s="8">
        <v>8.7200000000000006</v>
      </c>
      <c r="E168">
        <v>9</v>
      </c>
      <c r="F168" t="str">
        <f t="shared" si="8"/>
        <v>Premium</v>
      </c>
      <c r="G168" s="3" cm="1">
        <f t="array" ref="G168">_xlfn.XLOOKUP(C168 &amp; F168,
         [1]unilever_price_limits!A:A &amp; [1]unilever_price_limits!B:B,
         [1]unilever_price_limits!C:C)</f>
        <v>60</v>
      </c>
      <c r="H168" s="8">
        <f t="shared" si="9"/>
        <v>13.952000000000002</v>
      </c>
      <c r="I168" s="6">
        <f t="shared" si="10"/>
        <v>60.000000000000007</v>
      </c>
      <c r="J168" t="str">
        <f t="shared" si="11"/>
        <v>OK</v>
      </c>
    </row>
    <row r="169" spans="1:10" x14ac:dyDescent="0.2">
      <c r="A169">
        <v>10168</v>
      </c>
      <c r="B169" t="s">
        <v>5</v>
      </c>
      <c r="C169" t="s">
        <v>6</v>
      </c>
      <c r="D169" s="8">
        <v>14.02</v>
      </c>
      <c r="E169">
        <v>4</v>
      </c>
      <c r="F169" t="str">
        <f t="shared" si="8"/>
        <v>Standard</v>
      </c>
      <c r="G169" s="3" cm="1">
        <f t="array" ref="G169">_xlfn.XLOOKUP(C169 &amp; F169,
         [1]unilever_price_limits!A:A &amp; [1]unilever_price_limits!B:B,
         [1]unilever_price_limits!C:C)</f>
        <v>28</v>
      </c>
      <c r="H169" s="8">
        <f t="shared" si="9"/>
        <v>17.945599999999999</v>
      </c>
      <c r="I169" s="6">
        <f t="shared" si="10"/>
        <v>28.000000000000004</v>
      </c>
      <c r="J169" t="str">
        <f t="shared" si="11"/>
        <v>OK</v>
      </c>
    </row>
    <row r="170" spans="1:10" x14ac:dyDescent="0.2">
      <c r="A170">
        <v>10169</v>
      </c>
      <c r="B170" t="s">
        <v>5</v>
      </c>
      <c r="C170" t="s">
        <v>11</v>
      </c>
      <c r="D170" s="8">
        <v>10.16</v>
      </c>
      <c r="E170">
        <v>9</v>
      </c>
      <c r="F170" t="str">
        <f t="shared" si="8"/>
        <v>Premium</v>
      </c>
      <c r="G170" s="3" cm="1">
        <f t="array" ref="G170">_xlfn.XLOOKUP(C170 &amp; F170,
         [1]unilever_price_limits!A:A &amp; [1]unilever_price_limits!B:B,
         [1]unilever_price_limits!C:C)</f>
        <v>50</v>
      </c>
      <c r="H170" s="8">
        <f t="shared" si="9"/>
        <v>15.24</v>
      </c>
      <c r="I170" s="6">
        <f t="shared" si="10"/>
        <v>50</v>
      </c>
      <c r="J170" t="str">
        <f t="shared" si="11"/>
        <v>OK</v>
      </c>
    </row>
    <row r="171" spans="1:10" x14ac:dyDescent="0.2">
      <c r="A171">
        <v>10170</v>
      </c>
      <c r="B171" t="s">
        <v>10</v>
      </c>
      <c r="C171" t="s">
        <v>9</v>
      </c>
      <c r="D171" s="8">
        <v>12.43</v>
      </c>
      <c r="E171">
        <v>3</v>
      </c>
      <c r="F171" t="str">
        <f t="shared" si="8"/>
        <v>Value</v>
      </c>
      <c r="G171" s="3" cm="1">
        <f t="array" ref="G171">_xlfn.XLOOKUP(C171 &amp; F171,
         [1]unilever_price_limits!A:A &amp; [1]unilever_price_limits!B:B,
         [1]unilever_price_limits!C:C)</f>
        <v>15</v>
      </c>
      <c r="H171" s="8">
        <f t="shared" si="9"/>
        <v>14.294499999999999</v>
      </c>
      <c r="I171" s="6">
        <f t="shared" si="10"/>
        <v>14.999999999999991</v>
      </c>
      <c r="J171" t="str">
        <f t="shared" si="11"/>
        <v>OK</v>
      </c>
    </row>
    <row r="172" spans="1:10" x14ac:dyDescent="0.2">
      <c r="A172">
        <v>10171</v>
      </c>
      <c r="B172" t="s">
        <v>7</v>
      </c>
      <c r="C172" t="s">
        <v>11</v>
      </c>
      <c r="D172" s="8">
        <v>0.69</v>
      </c>
      <c r="E172">
        <v>1</v>
      </c>
      <c r="F172" t="str">
        <f t="shared" si="8"/>
        <v>Value</v>
      </c>
      <c r="G172" s="3" cm="1">
        <f t="array" ref="G172">_xlfn.XLOOKUP(C172 &amp; F172,
         [1]unilever_price_limits!A:A &amp; [1]unilever_price_limits!B:B,
         [1]unilever_price_limits!C:C)</f>
        <v>10</v>
      </c>
      <c r="H172" s="8">
        <f t="shared" si="9"/>
        <v>0.75900000000000001</v>
      </c>
      <c r="I172" s="6">
        <f t="shared" si="10"/>
        <v>10.000000000000009</v>
      </c>
      <c r="J172" t="str">
        <f t="shared" si="11"/>
        <v>OK</v>
      </c>
    </row>
    <row r="173" spans="1:10" x14ac:dyDescent="0.2">
      <c r="A173">
        <v>10172</v>
      </c>
      <c r="B173" t="s">
        <v>8</v>
      </c>
      <c r="C173" t="s">
        <v>9</v>
      </c>
      <c r="D173" s="8">
        <v>8.36</v>
      </c>
      <c r="E173">
        <v>5</v>
      </c>
      <c r="F173" t="str">
        <f t="shared" si="8"/>
        <v>Standard</v>
      </c>
      <c r="G173" s="3" cm="1">
        <f t="array" ref="G173">_xlfn.XLOOKUP(C173 &amp; F173,
         [1]unilever_price_limits!A:A &amp; [1]unilever_price_limits!B:B,
         [1]unilever_price_limits!C:C)</f>
        <v>30</v>
      </c>
      <c r="H173" s="8">
        <f t="shared" si="9"/>
        <v>10.868</v>
      </c>
      <c r="I173" s="6">
        <f t="shared" si="10"/>
        <v>30.000000000000004</v>
      </c>
      <c r="J173" t="str">
        <f t="shared" si="11"/>
        <v>OK</v>
      </c>
    </row>
    <row r="174" spans="1:10" x14ac:dyDescent="0.2">
      <c r="A174">
        <v>10173</v>
      </c>
      <c r="B174" t="s">
        <v>5</v>
      </c>
      <c r="C174" t="s">
        <v>9</v>
      </c>
      <c r="D174" s="8">
        <v>7.16</v>
      </c>
      <c r="E174">
        <v>10</v>
      </c>
      <c r="F174" t="str">
        <f t="shared" si="8"/>
        <v>Premium</v>
      </c>
      <c r="G174" s="3" cm="1">
        <f t="array" ref="G174">_xlfn.XLOOKUP(C174 &amp; F174,
         [1]unilever_price_limits!A:A &amp; [1]unilever_price_limits!B:B,
         [1]unilever_price_limits!C:C)</f>
        <v>60</v>
      </c>
      <c r="H174" s="8">
        <f t="shared" si="9"/>
        <v>11.456000000000001</v>
      </c>
      <c r="I174" s="6">
        <f t="shared" si="10"/>
        <v>60.000000000000007</v>
      </c>
      <c r="J174" t="str">
        <f t="shared" si="11"/>
        <v>OK</v>
      </c>
    </row>
    <row r="175" spans="1:10" x14ac:dyDescent="0.2">
      <c r="A175">
        <v>10174</v>
      </c>
      <c r="B175" t="s">
        <v>7</v>
      </c>
      <c r="C175" t="s">
        <v>9</v>
      </c>
      <c r="D175" s="8">
        <v>7.74</v>
      </c>
      <c r="E175">
        <v>10</v>
      </c>
      <c r="F175" t="str">
        <f t="shared" si="8"/>
        <v>Premium</v>
      </c>
      <c r="G175" s="3" cm="1">
        <f t="array" ref="G175">_xlfn.XLOOKUP(C175 &amp; F175,
         [1]unilever_price_limits!A:A &amp; [1]unilever_price_limits!B:B,
         [1]unilever_price_limits!C:C)</f>
        <v>60</v>
      </c>
      <c r="H175" s="8">
        <f t="shared" si="9"/>
        <v>12.384</v>
      </c>
      <c r="I175" s="6">
        <f t="shared" si="10"/>
        <v>60.000000000000007</v>
      </c>
      <c r="J175" t="str">
        <f t="shared" si="11"/>
        <v>OK</v>
      </c>
    </row>
    <row r="176" spans="1:10" x14ac:dyDescent="0.2">
      <c r="A176">
        <v>10175</v>
      </c>
      <c r="B176" t="s">
        <v>7</v>
      </c>
      <c r="C176" t="s">
        <v>6</v>
      </c>
      <c r="D176" s="8">
        <v>1.55</v>
      </c>
      <c r="E176">
        <v>2</v>
      </c>
      <c r="F176" t="str">
        <f t="shared" si="8"/>
        <v>Value</v>
      </c>
      <c r="G176" s="3" cm="1">
        <f t="array" ref="G176">_xlfn.XLOOKUP(C176 &amp; F176,
         [1]unilever_price_limits!A:A &amp; [1]unilever_price_limits!B:B,
         [1]unilever_price_limits!C:C)</f>
        <v>12</v>
      </c>
      <c r="H176" s="8">
        <f t="shared" si="9"/>
        <v>1.7360000000000002</v>
      </c>
      <c r="I176" s="6">
        <f t="shared" si="10"/>
        <v>12.000000000000011</v>
      </c>
      <c r="J176" t="str">
        <f t="shared" si="11"/>
        <v>OK</v>
      </c>
    </row>
    <row r="177" spans="1:10" x14ac:dyDescent="0.2">
      <c r="A177">
        <v>10176</v>
      </c>
      <c r="B177" t="s">
        <v>10</v>
      </c>
      <c r="C177" t="s">
        <v>9</v>
      </c>
      <c r="D177" s="8">
        <v>10.42</v>
      </c>
      <c r="E177">
        <v>4</v>
      </c>
      <c r="F177" t="str">
        <f t="shared" si="8"/>
        <v>Standard</v>
      </c>
      <c r="G177" s="3" cm="1">
        <f t="array" ref="G177">_xlfn.XLOOKUP(C177 &amp; F177,
         [1]unilever_price_limits!A:A &amp; [1]unilever_price_limits!B:B,
         [1]unilever_price_limits!C:C)</f>
        <v>30</v>
      </c>
      <c r="H177" s="8">
        <f t="shared" si="9"/>
        <v>13.546000000000001</v>
      </c>
      <c r="I177" s="6">
        <f t="shared" si="10"/>
        <v>30.000000000000004</v>
      </c>
      <c r="J177" t="str">
        <f t="shared" si="11"/>
        <v>OK</v>
      </c>
    </row>
    <row r="178" spans="1:10" x14ac:dyDescent="0.2">
      <c r="A178">
        <v>10177</v>
      </c>
      <c r="B178" t="s">
        <v>5</v>
      </c>
      <c r="C178" t="s">
        <v>9</v>
      </c>
      <c r="D178" s="8">
        <v>7.8</v>
      </c>
      <c r="E178">
        <v>2</v>
      </c>
      <c r="F178" t="str">
        <f t="shared" si="8"/>
        <v>Value</v>
      </c>
      <c r="G178" s="3" cm="1">
        <f t="array" ref="G178">_xlfn.XLOOKUP(C178 &amp; F178,
         [1]unilever_price_limits!A:A &amp; [1]unilever_price_limits!B:B,
         [1]unilever_price_limits!C:C)</f>
        <v>15</v>
      </c>
      <c r="H178" s="8">
        <f t="shared" si="9"/>
        <v>8.9699999999999989</v>
      </c>
      <c r="I178" s="6">
        <f t="shared" si="10"/>
        <v>14.999999999999991</v>
      </c>
      <c r="J178" t="str">
        <f t="shared" si="11"/>
        <v>OK</v>
      </c>
    </row>
    <row r="179" spans="1:10" x14ac:dyDescent="0.2">
      <c r="A179">
        <v>10178</v>
      </c>
      <c r="B179" t="s">
        <v>5</v>
      </c>
      <c r="C179" t="s">
        <v>6</v>
      </c>
      <c r="D179" s="8">
        <v>11.59</v>
      </c>
      <c r="E179">
        <v>2</v>
      </c>
      <c r="F179" t="str">
        <f t="shared" si="8"/>
        <v>Value</v>
      </c>
      <c r="G179" s="3" cm="1">
        <f t="array" ref="G179">_xlfn.XLOOKUP(C179 &amp; F179,
         [1]unilever_price_limits!A:A &amp; [1]unilever_price_limits!B:B,
         [1]unilever_price_limits!C:C)</f>
        <v>12</v>
      </c>
      <c r="H179" s="8">
        <f t="shared" si="9"/>
        <v>12.9808</v>
      </c>
      <c r="I179" s="6">
        <f t="shared" si="10"/>
        <v>12.000000000000011</v>
      </c>
      <c r="J179" t="str">
        <f t="shared" si="11"/>
        <v>OK</v>
      </c>
    </row>
    <row r="180" spans="1:10" x14ac:dyDescent="0.2">
      <c r="A180">
        <v>10179</v>
      </c>
      <c r="B180" t="s">
        <v>8</v>
      </c>
      <c r="C180" t="s">
        <v>6</v>
      </c>
      <c r="D180" s="8">
        <v>7.54</v>
      </c>
      <c r="E180">
        <v>3</v>
      </c>
      <c r="F180" t="str">
        <f t="shared" si="8"/>
        <v>Value</v>
      </c>
      <c r="G180" s="3" cm="1">
        <f t="array" ref="G180">_xlfn.XLOOKUP(C180 &amp; F180,
         [1]unilever_price_limits!A:A &amp; [1]unilever_price_limits!B:B,
         [1]unilever_price_limits!C:C)</f>
        <v>12</v>
      </c>
      <c r="H180" s="8">
        <f t="shared" si="9"/>
        <v>8.4448000000000008</v>
      </c>
      <c r="I180" s="6">
        <f t="shared" si="10"/>
        <v>12.000000000000011</v>
      </c>
      <c r="J180" t="str">
        <f t="shared" si="11"/>
        <v>OK</v>
      </c>
    </row>
    <row r="181" spans="1:10" x14ac:dyDescent="0.2">
      <c r="A181">
        <v>10180</v>
      </c>
      <c r="B181" t="s">
        <v>5</v>
      </c>
      <c r="C181" t="s">
        <v>9</v>
      </c>
      <c r="D181" s="8">
        <v>2.67</v>
      </c>
      <c r="E181">
        <v>5</v>
      </c>
      <c r="F181" t="str">
        <f t="shared" si="8"/>
        <v>Standard</v>
      </c>
      <c r="G181" s="3" cm="1">
        <f t="array" ref="G181">_xlfn.XLOOKUP(C181 &amp; F181,
         [1]unilever_price_limits!A:A &amp; [1]unilever_price_limits!B:B,
         [1]unilever_price_limits!C:C)</f>
        <v>30</v>
      </c>
      <c r="H181" s="8">
        <f t="shared" si="9"/>
        <v>3.4710000000000001</v>
      </c>
      <c r="I181" s="6">
        <f t="shared" si="10"/>
        <v>30.000000000000004</v>
      </c>
      <c r="J181" t="str">
        <f t="shared" si="11"/>
        <v>OK</v>
      </c>
    </row>
    <row r="182" spans="1:10" x14ac:dyDescent="0.2">
      <c r="A182">
        <v>10181</v>
      </c>
      <c r="B182" t="s">
        <v>8</v>
      </c>
      <c r="C182" t="s">
        <v>6</v>
      </c>
      <c r="D182" s="8">
        <v>9.9</v>
      </c>
      <c r="E182">
        <v>4</v>
      </c>
      <c r="F182" t="str">
        <f t="shared" si="8"/>
        <v>Standard</v>
      </c>
      <c r="G182" s="3" cm="1">
        <f t="array" ref="G182">_xlfn.XLOOKUP(C182 &amp; F182,
         [1]unilever_price_limits!A:A &amp; [1]unilever_price_limits!B:B,
         [1]unilever_price_limits!C:C)</f>
        <v>28</v>
      </c>
      <c r="H182" s="8">
        <f t="shared" si="9"/>
        <v>12.672000000000001</v>
      </c>
      <c r="I182" s="6">
        <f t="shared" si="10"/>
        <v>28.000000000000004</v>
      </c>
      <c r="J182" t="str">
        <f t="shared" si="11"/>
        <v>OK</v>
      </c>
    </row>
    <row r="183" spans="1:10" x14ac:dyDescent="0.2">
      <c r="A183">
        <v>10182</v>
      </c>
      <c r="B183" t="s">
        <v>5</v>
      </c>
      <c r="C183" t="s">
        <v>11</v>
      </c>
      <c r="D183" s="8">
        <v>3</v>
      </c>
      <c r="E183">
        <v>2</v>
      </c>
      <c r="F183" t="str">
        <f t="shared" si="8"/>
        <v>Value</v>
      </c>
      <c r="G183" s="3" cm="1">
        <f t="array" ref="G183">_xlfn.XLOOKUP(C183 &amp; F183,
         [1]unilever_price_limits!A:A &amp; [1]unilever_price_limits!B:B,
         [1]unilever_price_limits!C:C)</f>
        <v>10</v>
      </c>
      <c r="H183" s="8">
        <f t="shared" si="9"/>
        <v>3.3000000000000003</v>
      </c>
      <c r="I183" s="6">
        <f t="shared" si="10"/>
        <v>10.000000000000009</v>
      </c>
      <c r="J183" t="str">
        <f t="shared" si="11"/>
        <v>OK</v>
      </c>
    </row>
    <row r="184" spans="1:10" x14ac:dyDescent="0.2">
      <c r="A184">
        <v>10183</v>
      </c>
      <c r="B184" t="s">
        <v>10</v>
      </c>
      <c r="C184" t="s">
        <v>11</v>
      </c>
      <c r="D184" s="8">
        <v>13.15</v>
      </c>
      <c r="E184">
        <v>10</v>
      </c>
      <c r="F184" t="str">
        <f t="shared" si="8"/>
        <v>Premium</v>
      </c>
      <c r="G184" s="3" cm="1">
        <f t="array" ref="G184">_xlfn.XLOOKUP(C184 &amp; F184,
         [1]unilever_price_limits!A:A &amp; [1]unilever_price_limits!B:B,
         [1]unilever_price_limits!C:C)</f>
        <v>50</v>
      </c>
      <c r="H184" s="8">
        <f t="shared" si="9"/>
        <v>19.725000000000001</v>
      </c>
      <c r="I184" s="6">
        <f t="shared" si="10"/>
        <v>50</v>
      </c>
      <c r="J184" t="str">
        <f t="shared" si="11"/>
        <v>OK</v>
      </c>
    </row>
    <row r="185" spans="1:10" x14ac:dyDescent="0.2">
      <c r="A185">
        <v>10184</v>
      </c>
      <c r="B185" t="s">
        <v>5</v>
      </c>
      <c r="C185" t="s">
        <v>6</v>
      </c>
      <c r="D185" s="8">
        <v>9.39</v>
      </c>
      <c r="E185">
        <v>2</v>
      </c>
      <c r="F185" t="str">
        <f t="shared" si="8"/>
        <v>Value</v>
      </c>
      <c r="G185" s="3" cm="1">
        <f t="array" ref="G185">_xlfn.XLOOKUP(C185 &amp; F185,
         [1]unilever_price_limits!A:A &amp; [1]unilever_price_limits!B:B,
         [1]unilever_price_limits!C:C)</f>
        <v>12</v>
      </c>
      <c r="H185" s="8">
        <f t="shared" si="9"/>
        <v>10.516800000000002</v>
      </c>
      <c r="I185" s="6">
        <f t="shared" si="10"/>
        <v>12.000000000000011</v>
      </c>
      <c r="J185" t="str">
        <f t="shared" si="11"/>
        <v>OK</v>
      </c>
    </row>
    <row r="186" spans="1:10" x14ac:dyDescent="0.2">
      <c r="A186">
        <v>10185</v>
      </c>
      <c r="B186" t="s">
        <v>8</v>
      </c>
      <c r="C186" t="s">
        <v>6</v>
      </c>
      <c r="D186" s="8">
        <v>2.78</v>
      </c>
      <c r="E186">
        <v>6</v>
      </c>
      <c r="F186" t="str">
        <f t="shared" si="8"/>
        <v>Standard</v>
      </c>
      <c r="G186" s="3" cm="1">
        <f t="array" ref="G186">_xlfn.XLOOKUP(C186 &amp; F186,
         [1]unilever_price_limits!A:A &amp; [1]unilever_price_limits!B:B,
         [1]unilever_price_limits!C:C)</f>
        <v>28</v>
      </c>
      <c r="H186" s="8">
        <f t="shared" si="9"/>
        <v>3.5583999999999998</v>
      </c>
      <c r="I186" s="6">
        <f t="shared" si="10"/>
        <v>28.000000000000004</v>
      </c>
      <c r="J186" t="str">
        <f t="shared" si="11"/>
        <v>OK</v>
      </c>
    </row>
    <row r="187" spans="1:10" x14ac:dyDescent="0.2">
      <c r="A187">
        <v>10186</v>
      </c>
      <c r="B187" t="s">
        <v>8</v>
      </c>
      <c r="C187" t="s">
        <v>9</v>
      </c>
      <c r="D187" s="8">
        <v>14.45</v>
      </c>
      <c r="E187">
        <v>7</v>
      </c>
      <c r="F187" t="str">
        <f t="shared" si="8"/>
        <v>Standard</v>
      </c>
      <c r="G187" s="3" cm="1">
        <f t="array" ref="G187">_xlfn.XLOOKUP(C187 &amp; F187,
         [1]unilever_price_limits!A:A &amp; [1]unilever_price_limits!B:B,
         [1]unilever_price_limits!C:C)</f>
        <v>30</v>
      </c>
      <c r="H187" s="8">
        <f t="shared" si="9"/>
        <v>18.785</v>
      </c>
      <c r="I187" s="6">
        <f t="shared" si="10"/>
        <v>30.000000000000004</v>
      </c>
      <c r="J187" t="str">
        <f t="shared" si="11"/>
        <v>OK</v>
      </c>
    </row>
    <row r="188" spans="1:10" x14ac:dyDescent="0.2">
      <c r="A188">
        <v>10187</v>
      </c>
      <c r="B188" t="s">
        <v>10</v>
      </c>
      <c r="C188" t="s">
        <v>6</v>
      </c>
      <c r="D188" s="8">
        <v>8.02</v>
      </c>
      <c r="E188">
        <v>10</v>
      </c>
      <c r="F188" t="str">
        <f t="shared" si="8"/>
        <v>Premium</v>
      </c>
      <c r="G188" s="3" cm="1">
        <f t="array" ref="G188">_xlfn.XLOOKUP(C188 &amp; F188,
         [1]unilever_price_limits!A:A &amp; [1]unilever_price_limits!B:B,
         [1]unilever_price_limits!C:C)</f>
        <v>55</v>
      </c>
      <c r="H188" s="8">
        <f t="shared" si="9"/>
        <v>12.430999999999999</v>
      </c>
      <c r="I188" s="6">
        <f t="shared" si="10"/>
        <v>55.000000000000007</v>
      </c>
      <c r="J188" t="str">
        <f t="shared" si="11"/>
        <v>OK</v>
      </c>
    </row>
    <row r="189" spans="1:10" x14ac:dyDescent="0.2">
      <c r="A189">
        <v>10188</v>
      </c>
      <c r="B189" t="s">
        <v>5</v>
      </c>
      <c r="C189" t="s">
        <v>9</v>
      </c>
      <c r="D189" s="8">
        <v>1.56</v>
      </c>
      <c r="E189">
        <v>6</v>
      </c>
      <c r="F189" t="str">
        <f t="shared" si="8"/>
        <v>Standard</v>
      </c>
      <c r="G189" s="3" cm="1">
        <f t="array" ref="G189">_xlfn.XLOOKUP(C189 &amp; F189,
         [1]unilever_price_limits!A:A &amp; [1]unilever_price_limits!B:B,
         [1]unilever_price_limits!C:C)</f>
        <v>30</v>
      </c>
      <c r="H189" s="8">
        <f t="shared" si="9"/>
        <v>2.028</v>
      </c>
      <c r="I189" s="6">
        <f t="shared" si="10"/>
        <v>30.000000000000004</v>
      </c>
      <c r="J189" t="str">
        <f t="shared" si="11"/>
        <v>OK</v>
      </c>
    </row>
    <row r="190" spans="1:10" x14ac:dyDescent="0.2">
      <c r="A190">
        <v>10189</v>
      </c>
      <c r="B190" t="s">
        <v>5</v>
      </c>
      <c r="C190" t="s">
        <v>11</v>
      </c>
      <c r="D190" s="8">
        <v>9.59</v>
      </c>
      <c r="E190">
        <v>7</v>
      </c>
      <c r="F190" t="str">
        <f t="shared" si="8"/>
        <v>Standard</v>
      </c>
      <c r="G190" s="3" cm="1">
        <f t="array" ref="G190">_xlfn.XLOOKUP(C190 &amp; F190,
         [1]unilever_price_limits!A:A &amp; [1]unilever_price_limits!B:B,
         [1]unilever_price_limits!C:C)</f>
        <v>25</v>
      </c>
      <c r="H190" s="8">
        <f t="shared" si="9"/>
        <v>11.987500000000001</v>
      </c>
      <c r="I190" s="6">
        <f t="shared" si="10"/>
        <v>25</v>
      </c>
      <c r="J190" t="str">
        <f t="shared" si="11"/>
        <v>OK</v>
      </c>
    </row>
    <row r="191" spans="1:10" x14ac:dyDescent="0.2">
      <c r="A191">
        <v>10190</v>
      </c>
      <c r="B191" t="s">
        <v>10</v>
      </c>
      <c r="C191" t="s">
        <v>6</v>
      </c>
      <c r="D191" s="8">
        <v>4.17</v>
      </c>
      <c r="E191">
        <v>1</v>
      </c>
      <c r="F191" t="str">
        <f t="shared" si="8"/>
        <v>Value</v>
      </c>
      <c r="G191" s="3" cm="1">
        <f t="array" ref="G191">_xlfn.XLOOKUP(C191 &amp; F191,
         [1]unilever_price_limits!A:A &amp; [1]unilever_price_limits!B:B,
         [1]unilever_price_limits!C:C)</f>
        <v>12</v>
      </c>
      <c r="H191" s="8">
        <f t="shared" si="9"/>
        <v>4.6704000000000008</v>
      </c>
      <c r="I191" s="6">
        <f t="shared" si="10"/>
        <v>12.000000000000011</v>
      </c>
      <c r="J191" t="str">
        <f t="shared" si="11"/>
        <v>OK</v>
      </c>
    </row>
    <row r="192" spans="1:10" x14ac:dyDescent="0.2">
      <c r="A192">
        <v>10191</v>
      </c>
      <c r="B192" t="s">
        <v>5</v>
      </c>
      <c r="C192" t="s">
        <v>9</v>
      </c>
      <c r="D192" s="8">
        <v>12.15</v>
      </c>
      <c r="E192">
        <v>6</v>
      </c>
      <c r="F192" t="str">
        <f t="shared" si="8"/>
        <v>Standard</v>
      </c>
      <c r="G192" s="3" cm="1">
        <f t="array" ref="G192">_xlfn.XLOOKUP(C192 &amp; F192,
         [1]unilever_price_limits!A:A &amp; [1]unilever_price_limits!B:B,
         [1]unilever_price_limits!C:C)</f>
        <v>30</v>
      </c>
      <c r="H192" s="8">
        <f t="shared" si="9"/>
        <v>15.795000000000002</v>
      </c>
      <c r="I192" s="6">
        <f t="shared" si="10"/>
        <v>30.000000000000004</v>
      </c>
      <c r="J192" t="str">
        <f t="shared" si="11"/>
        <v>OK</v>
      </c>
    </row>
    <row r="193" spans="1:10" x14ac:dyDescent="0.2">
      <c r="A193">
        <v>10192</v>
      </c>
      <c r="B193" t="s">
        <v>5</v>
      </c>
      <c r="C193" t="s">
        <v>9</v>
      </c>
      <c r="D193" s="8">
        <v>12.36</v>
      </c>
      <c r="E193">
        <v>3</v>
      </c>
      <c r="F193" t="str">
        <f t="shared" si="8"/>
        <v>Value</v>
      </c>
      <c r="G193" s="3" cm="1">
        <f t="array" ref="G193">_xlfn.XLOOKUP(C193 &amp; F193,
         [1]unilever_price_limits!A:A &amp; [1]unilever_price_limits!B:B,
         [1]unilever_price_limits!C:C)</f>
        <v>15</v>
      </c>
      <c r="H193" s="8">
        <f t="shared" si="9"/>
        <v>14.213999999999999</v>
      </c>
      <c r="I193" s="6">
        <f t="shared" si="10"/>
        <v>14.999999999999991</v>
      </c>
      <c r="J193" t="str">
        <f t="shared" si="11"/>
        <v>OK</v>
      </c>
    </row>
    <row r="194" spans="1:10" x14ac:dyDescent="0.2">
      <c r="A194">
        <v>10193</v>
      </c>
      <c r="B194" t="s">
        <v>8</v>
      </c>
      <c r="C194" t="s">
        <v>11</v>
      </c>
      <c r="D194" s="8">
        <v>14.69</v>
      </c>
      <c r="E194">
        <v>1</v>
      </c>
      <c r="F194" t="str">
        <f t="shared" si="8"/>
        <v>Value</v>
      </c>
      <c r="G194" s="3" cm="1">
        <f t="array" ref="G194">_xlfn.XLOOKUP(C194 &amp; F194,
         [1]unilever_price_limits!A:A &amp; [1]unilever_price_limits!B:B,
         [1]unilever_price_limits!C:C)</f>
        <v>10</v>
      </c>
      <c r="H194" s="8">
        <f t="shared" si="9"/>
        <v>16.159000000000002</v>
      </c>
      <c r="I194" s="6">
        <f t="shared" si="10"/>
        <v>10.000000000000032</v>
      </c>
      <c r="J194" t="str">
        <f t="shared" si="11"/>
        <v>OK</v>
      </c>
    </row>
    <row r="195" spans="1:10" x14ac:dyDescent="0.2">
      <c r="A195">
        <v>10194</v>
      </c>
      <c r="B195" t="s">
        <v>5</v>
      </c>
      <c r="C195" t="s">
        <v>6</v>
      </c>
      <c r="D195" s="8">
        <v>7.78</v>
      </c>
      <c r="E195">
        <v>8</v>
      </c>
      <c r="F195" t="str">
        <f t="shared" ref="F195:F258" si="12">IF(E195&lt;=3,"Value",
 IF(E195&lt;=7,"Standard","Premium"))</f>
        <v>Premium</v>
      </c>
      <c r="G195" s="3" cm="1">
        <f t="array" ref="G195">_xlfn.XLOOKUP(C195 &amp; F195,
         [1]unilever_price_limits!A:A &amp; [1]unilever_price_limits!B:B,
         [1]unilever_price_limits!C:C)</f>
        <v>55</v>
      </c>
      <c r="H195" s="8">
        <f t="shared" ref="H195:H258" si="13">D195 * (1 + G195/100)</f>
        <v>12.059000000000001</v>
      </c>
      <c r="I195" s="6">
        <f t="shared" ref="I195:I258" si="14">(H195 / D195 - 1) * 100</f>
        <v>55.000000000000007</v>
      </c>
      <c r="J195" t="str">
        <f t="shared" ref="J195:J258" si="15">IF(I194&gt; G194, "⚠ Exceeds Limit", "OK")</f>
        <v>OK</v>
      </c>
    </row>
    <row r="196" spans="1:10" x14ac:dyDescent="0.2">
      <c r="A196">
        <v>10195</v>
      </c>
      <c r="B196" t="s">
        <v>5</v>
      </c>
      <c r="C196" t="s">
        <v>11</v>
      </c>
      <c r="D196" s="8">
        <v>7.1</v>
      </c>
      <c r="E196">
        <v>4</v>
      </c>
      <c r="F196" t="str">
        <f t="shared" si="12"/>
        <v>Standard</v>
      </c>
      <c r="G196" s="3" cm="1">
        <f t="array" ref="G196">_xlfn.XLOOKUP(C196 &amp; F196,
         [1]unilever_price_limits!A:A &amp; [1]unilever_price_limits!B:B,
         [1]unilever_price_limits!C:C)</f>
        <v>25</v>
      </c>
      <c r="H196" s="8">
        <f t="shared" si="13"/>
        <v>8.875</v>
      </c>
      <c r="I196" s="6">
        <f t="shared" si="14"/>
        <v>25</v>
      </c>
      <c r="J196" t="str">
        <f t="shared" si="15"/>
        <v>OK</v>
      </c>
    </row>
    <row r="197" spans="1:10" x14ac:dyDescent="0.2">
      <c r="A197">
        <v>10196</v>
      </c>
      <c r="B197" t="s">
        <v>10</v>
      </c>
      <c r="C197" t="s">
        <v>9</v>
      </c>
      <c r="D197" s="8">
        <v>11.43</v>
      </c>
      <c r="E197">
        <v>10</v>
      </c>
      <c r="F197" t="str">
        <f t="shared" si="12"/>
        <v>Premium</v>
      </c>
      <c r="G197" s="3" cm="1">
        <f t="array" ref="G197">_xlfn.XLOOKUP(C197 &amp; F197,
         [1]unilever_price_limits!A:A &amp; [1]unilever_price_limits!B:B,
         [1]unilever_price_limits!C:C)</f>
        <v>60</v>
      </c>
      <c r="H197" s="8">
        <f t="shared" si="13"/>
        <v>18.288</v>
      </c>
      <c r="I197" s="6">
        <f t="shared" si="14"/>
        <v>60.000000000000007</v>
      </c>
      <c r="J197" t="str">
        <f t="shared" si="15"/>
        <v>OK</v>
      </c>
    </row>
    <row r="198" spans="1:10" x14ac:dyDescent="0.2">
      <c r="A198">
        <v>10197</v>
      </c>
      <c r="B198" t="s">
        <v>10</v>
      </c>
      <c r="C198" t="s">
        <v>9</v>
      </c>
      <c r="D198" s="8">
        <v>2.42</v>
      </c>
      <c r="E198">
        <v>8</v>
      </c>
      <c r="F198" t="str">
        <f t="shared" si="12"/>
        <v>Premium</v>
      </c>
      <c r="G198" s="3" cm="1">
        <f t="array" ref="G198">_xlfn.XLOOKUP(C198 &amp; F198,
         [1]unilever_price_limits!A:A &amp; [1]unilever_price_limits!B:B,
         [1]unilever_price_limits!C:C)</f>
        <v>60</v>
      </c>
      <c r="H198" s="8">
        <f t="shared" si="13"/>
        <v>3.8719999999999999</v>
      </c>
      <c r="I198" s="6">
        <f t="shared" si="14"/>
        <v>60.000000000000007</v>
      </c>
      <c r="J198" t="str">
        <f t="shared" si="15"/>
        <v>OK</v>
      </c>
    </row>
    <row r="199" spans="1:10" x14ac:dyDescent="0.2">
      <c r="A199">
        <v>10198</v>
      </c>
      <c r="B199" t="s">
        <v>7</v>
      </c>
      <c r="C199" t="s">
        <v>6</v>
      </c>
      <c r="D199" s="8">
        <v>8.43</v>
      </c>
      <c r="E199">
        <v>10</v>
      </c>
      <c r="F199" t="str">
        <f t="shared" si="12"/>
        <v>Premium</v>
      </c>
      <c r="G199" s="3" cm="1">
        <f t="array" ref="G199">_xlfn.XLOOKUP(C199 &amp; F199,
         [1]unilever_price_limits!A:A &amp; [1]unilever_price_limits!B:B,
         [1]unilever_price_limits!C:C)</f>
        <v>55</v>
      </c>
      <c r="H199" s="8">
        <f t="shared" si="13"/>
        <v>13.0665</v>
      </c>
      <c r="I199" s="6">
        <f t="shared" si="14"/>
        <v>55.000000000000007</v>
      </c>
      <c r="J199" t="str">
        <f t="shared" si="15"/>
        <v>OK</v>
      </c>
    </row>
    <row r="200" spans="1:10" x14ac:dyDescent="0.2">
      <c r="A200">
        <v>10199</v>
      </c>
      <c r="B200" t="s">
        <v>8</v>
      </c>
      <c r="C200" t="s">
        <v>9</v>
      </c>
      <c r="D200" s="8">
        <v>8.42</v>
      </c>
      <c r="E200">
        <v>4</v>
      </c>
      <c r="F200" t="str">
        <f t="shared" si="12"/>
        <v>Standard</v>
      </c>
      <c r="G200" s="3" cm="1">
        <f t="array" ref="G200">_xlfn.XLOOKUP(C200 &amp; F200,
         [1]unilever_price_limits!A:A &amp; [1]unilever_price_limits!B:B,
         [1]unilever_price_limits!C:C)</f>
        <v>30</v>
      </c>
      <c r="H200" s="8">
        <f t="shared" si="13"/>
        <v>10.946</v>
      </c>
      <c r="I200" s="6">
        <f t="shared" si="14"/>
        <v>30.000000000000004</v>
      </c>
      <c r="J200" t="str">
        <f t="shared" si="15"/>
        <v>OK</v>
      </c>
    </row>
    <row r="201" spans="1:10" x14ac:dyDescent="0.2">
      <c r="A201">
        <v>10200</v>
      </c>
      <c r="B201" t="s">
        <v>5</v>
      </c>
      <c r="C201" t="s">
        <v>6</v>
      </c>
      <c r="D201" s="8">
        <v>1.8</v>
      </c>
      <c r="E201">
        <v>4</v>
      </c>
      <c r="F201" t="str">
        <f t="shared" si="12"/>
        <v>Standard</v>
      </c>
      <c r="G201" s="3" cm="1">
        <f t="array" ref="G201">_xlfn.XLOOKUP(C201 &amp; F201,
         [1]unilever_price_limits!A:A &amp; [1]unilever_price_limits!B:B,
         [1]unilever_price_limits!C:C)</f>
        <v>28</v>
      </c>
      <c r="H201" s="8">
        <f t="shared" si="13"/>
        <v>2.3040000000000003</v>
      </c>
      <c r="I201" s="6">
        <f t="shared" si="14"/>
        <v>28.000000000000004</v>
      </c>
      <c r="J201" t="str">
        <f t="shared" si="15"/>
        <v>OK</v>
      </c>
    </row>
    <row r="202" spans="1:10" x14ac:dyDescent="0.2">
      <c r="A202">
        <v>10201</v>
      </c>
      <c r="B202" t="s">
        <v>5</v>
      </c>
      <c r="C202" t="s">
        <v>11</v>
      </c>
      <c r="D202" s="8">
        <v>6.56</v>
      </c>
      <c r="E202">
        <v>10</v>
      </c>
      <c r="F202" t="str">
        <f t="shared" si="12"/>
        <v>Premium</v>
      </c>
      <c r="G202" s="3" cm="1">
        <f t="array" ref="G202">_xlfn.XLOOKUP(C202 &amp; F202,
         [1]unilever_price_limits!A:A &amp; [1]unilever_price_limits!B:B,
         [1]unilever_price_limits!C:C)</f>
        <v>50</v>
      </c>
      <c r="H202" s="8">
        <f t="shared" si="13"/>
        <v>9.84</v>
      </c>
      <c r="I202" s="6">
        <f t="shared" si="14"/>
        <v>50</v>
      </c>
      <c r="J202" t="str">
        <f t="shared" si="15"/>
        <v>OK</v>
      </c>
    </row>
    <row r="203" spans="1:10" x14ac:dyDescent="0.2">
      <c r="A203">
        <v>10202</v>
      </c>
      <c r="B203" t="s">
        <v>7</v>
      </c>
      <c r="C203" t="s">
        <v>6</v>
      </c>
      <c r="D203" s="8">
        <v>12.87</v>
      </c>
      <c r="E203">
        <v>4</v>
      </c>
      <c r="F203" t="str">
        <f t="shared" si="12"/>
        <v>Standard</v>
      </c>
      <c r="G203" s="3" cm="1">
        <f t="array" ref="G203">_xlfn.XLOOKUP(C203 &amp; F203,
         [1]unilever_price_limits!A:A &amp; [1]unilever_price_limits!B:B,
         [1]unilever_price_limits!C:C)</f>
        <v>28</v>
      </c>
      <c r="H203" s="8">
        <f t="shared" si="13"/>
        <v>16.473599999999998</v>
      </c>
      <c r="I203" s="6">
        <f t="shared" si="14"/>
        <v>27.999999999999979</v>
      </c>
      <c r="J203" t="str">
        <f t="shared" si="15"/>
        <v>OK</v>
      </c>
    </row>
    <row r="204" spans="1:10" x14ac:dyDescent="0.2">
      <c r="A204">
        <v>10203</v>
      </c>
      <c r="B204" t="s">
        <v>5</v>
      </c>
      <c r="C204" t="s">
        <v>6</v>
      </c>
      <c r="D204" s="8">
        <v>12.91</v>
      </c>
      <c r="E204">
        <v>6</v>
      </c>
      <c r="F204" t="str">
        <f t="shared" si="12"/>
        <v>Standard</v>
      </c>
      <c r="G204" s="3" cm="1">
        <f t="array" ref="G204">_xlfn.XLOOKUP(C204 &amp; F204,
         [1]unilever_price_limits!A:A &amp; [1]unilever_price_limits!B:B,
         [1]unilever_price_limits!C:C)</f>
        <v>28</v>
      </c>
      <c r="H204" s="8">
        <f t="shared" si="13"/>
        <v>16.524799999999999</v>
      </c>
      <c r="I204" s="6">
        <f t="shared" si="14"/>
        <v>27.999999999999979</v>
      </c>
      <c r="J204" t="str">
        <f t="shared" si="15"/>
        <v>OK</v>
      </c>
    </row>
    <row r="205" spans="1:10" x14ac:dyDescent="0.2">
      <c r="A205">
        <v>10204</v>
      </c>
      <c r="B205" t="s">
        <v>8</v>
      </c>
      <c r="C205" t="s">
        <v>9</v>
      </c>
      <c r="D205" s="8">
        <v>1.94</v>
      </c>
      <c r="E205">
        <v>9</v>
      </c>
      <c r="F205" t="str">
        <f t="shared" si="12"/>
        <v>Premium</v>
      </c>
      <c r="G205" s="3" cm="1">
        <f t="array" ref="G205">_xlfn.XLOOKUP(C205 &amp; F205,
         [1]unilever_price_limits!A:A &amp; [1]unilever_price_limits!B:B,
         [1]unilever_price_limits!C:C)</f>
        <v>60</v>
      </c>
      <c r="H205" s="8">
        <f t="shared" si="13"/>
        <v>3.1040000000000001</v>
      </c>
      <c r="I205" s="6">
        <f t="shared" si="14"/>
        <v>60.000000000000007</v>
      </c>
      <c r="J205" t="str">
        <f t="shared" si="15"/>
        <v>OK</v>
      </c>
    </row>
    <row r="206" spans="1:10" x14ac:dyDescent="0.2">
      <c r="A206">
        <v>10205</v>
      </c>
      <c r="B206" t="s">
        <v>7</v>
      </c>
      <c r="C206" t="s">
        <v>9</v>
      </c>
      <c r="D206" s="8">
        <v>1.82</v>
      </c>
      <c r="E206">
        <v>5</v>
      </c>
      <c r="F206" t="str">
        <f t="shared" si="12"/>
        <v>Standard</v>
      </c>
      <c r="G206" s="3" cm="1">
        <f t="array" ref="G206">_xlfn.XLOOKUP(C206 &amp; F206,
         [1]unilever_price_limits!A:A &amp; [1]unilever_price_limits!B:B,
         [1]unilever_price_limits!C:C)</f>
        <v>30</v>
      </c>
      <c r="H206" s="8">
        <f t="shared" si="13"/>
        <v>2.3660000000000001</v>
      </c>
      <c r="I206" s="6">
        <f t="shared" si="14"/>
        <v>30.000000000000004</v>
      </c>
      <c r="J206" t="str">
        <f t="shared" si="15"/>
        <v>OK</v>
      </c>
    </row>
    <row r="207" spans="1:10" x14ac:dyDescent="0.2">
      <c r="A207">
        <v>10206</v>
      </c>
      <c r="B207" t="s">
        <v>8</v>
      </c>
      <c r="C207" t="s">
        <v>6</v>
      </c>
      <c r="D207" s="8">
        <v>4.3099999999999996</v>
      </c>
      <c r="E207">
        <v>10</v>
      </c>
      <c r="F207" t="str">
        <f t="shared" si="12"/>
        <v>Premium</v>
      </c>
      <c r="G207" s="3" cm="1">
        <f t="array" ref="G207">_xlfn.XLOOKUP(C207 &amp; F207,
         [1]unilever_price_limits!A:A &amp; [1]unilever_price_limits!B:B,
         [1]unilever_price_limits!C:C)</f>
        <v>55</v>
      </c>
      <c r="H207" s="8">
        <f t="shared" si="13"/>
        <v>6.6804999999999994</v>
      </c>
      <c r="I207" s="6">
        <f t="shared" si="14"/>
        <v>55.000000000000007</v>
      </c>
      <c r="J207" t="str">
        <f t="shared" si="15"/>
        <v>OK</v>
      </c>
    </row>
    <row r="208" spans="1:10" x14ac:dyDescent="0.2">
      <c r="A208">
        <v>10207</v>
      </c>
      <c r="B208" t="s">
        <v>7</v>
      </c>
      <c r="C208" t="s">
        <v>9</v>
      </c>
      <c r="D208" s="8">
        <v>13.18</v>
      </c>
      <c r="E208">
        <v>8</v>
      </c>
      <c r="F208" t="str">
        <f t="shared" si="12"/>
        <v>Premium</v>
      </c>
      <c r="G208" s="3" cm="1">
        <f t="array" ref="G208">_xlfn.XLOOKUP(C208 &amp; F208,
         [1]unilever_price_limits!A:A &amp; [1]unilever_price_limits!B:B,
         [1]unilever_price_limits!C:C)</f>
        <v>60</v>
      </c>
      <c r="H208" s="8">
        <f t="shared" si="13"/>
        <v>21.088000000000001</v>
      </c>
      <c r="I208" s="6">
        <f t="shared" si="14"/>
        <v>60.000000000000007</v>
      </c>
      <c r="J208" t="str">
        <f t="shared" si="15"/>
        <v>OK</v>
      </c>
    </row>
    <row r="209" spans="1:10" x14ac:dyDescent="0.2">
      <c r="A209">
        <v>10208</v>
      </c>
      <c r="B209" t="s">
        <v>7</v>
      </c>
      <c r="C209" t="s">
        <v>9</v>
      </c>
      <c r="D209" s="8">
        <v>2.37</v>
      </c>
      <c r="E209">
        <v>8</v>
      </c>
      <c r="F209" t="str">
        <f t="shared" si="12"/>
        <v>Premium</v>
      </c>
      <c r="G209" s="3" cm="1">
        <f t="array" ref="G209">_xlfn.XLOOKUP(C209 &amp; F209,
         [1]unilever_price_limits!A:A &amp; [1]unilever_price_limits!B:B,
         [1]unilever_price_limits!C:C)</f>
        <v>60</v>
      </c>
      <c r="H209" s="8">
        <f t="shared" si="13"/>
        <v>3.7920000000000003</v>
      </c>
      <c r="I209" s="6">
        <f t="shared" si="14"/>
        <v>60.000000000000007</v>
      </c>
      <c r="J209" t="str">
        <f t="shared" si="15"/>
        <v>OK</v>
      </c>
    </row>
    <row r="210" spans="1:10" x14ac:dyDescent="0.2">
      <c r="A210">
        <v>10209</v>
      </c>
      <c r="B210" t="s">
        <v>10</v>
      </c>
      <c r="C210" t="s">
        <v>9</v>
      </c>
      <c r="D210" s="8">
        <v>10.94</v>
      </c>
      <c r="E210">
        <v>4</v>
      </c>
      <c r="F210" t="str">
        <f t="shared" si="12"/>
        <v>Standard</v>
      </c>
      <c r="G210" s="3" cm="1">
        <f t="array" ref="G210">_xlfn.XLOOKUP(C210 &amp; F210,
         [1]unilever_price_limits!A:A &amp; [1]unilever_price_limits!B:B,
         [1]unilever_price_limits!C:C)</f>
        <v>30</v>
      </c>
      <c r="H210" s="8">
        <f t="shared" si="13"/>
        <v>14.222</v>
      </c>
      <c r="I210" s="6">
        <f t="shared" si="14"/>
        <v>30.000000000000004</v>
      </c>
      <c r="J210" t="str">
        <f t="shared" si="15"/>
        <v>OK</v>
      </c>
    </row>
    <row r="211" spans="1:10" x14ac:dyDescent="0.2">
      <c r="A211">
        <v>10210</v>
      </c>
      <c r="B211" t="s">
        <v>8</v>
      </c>
      <c r="C211" t="s">
        <v>6</v>
      </c>
      <c r="D211" s="8">
        <v>1.97</v>
      </c>
      <c r="E211">
        <v>10</v>
      </c>
      <c r="F211" t="str">
        <f t="shared" si="12"/>
        <v>Premium</v>
      </c>
      <c r="G211" s="3" cm="1">
        <f t="array" ref="G211">_xlfn.XLOOKUP(C211 &amp; F211,
         [1]unilever_price_limits!A:A &amp; [1]unilever_price_limits!B:B,
         [1]unilever_price_limits!C:C)</f>
        <v>55</v>
      </c>
      <c r="H211" s="8">
        <f t="shared" si="13"/>
        <v>3.0535000000000001</v>
      </c>
      <c r="I211" s="6">
        <f t="shared" si="14"/>
        <v>55.000000000000007</v>
      </c>
      <c r="J211" t="str">
        <f t="shared" si="15"/>
        <v>OK</v>
      </c>
    </row>
    <row r="212" spans="1:10" x14ac:dyDescent="0.2">
      <c r="A212">
        <v>10211</v>
      </c>
      <c r="B212" t="s">
        <v>5</v>
      </c>
      <c r="C212" t="s">
        <v>9</v>
      </c>
      <c r="D212" s="8">
        <v>9.5399999999999991</v>
      </c>
      <c r="E212">
        <v>9</v>
      </c>
      <c r="F212" t="str">
        <f t="shared" si="12"/>
        <v>Premium</v>
      </c>
      <c r="G212" s="3" cm="1">
        <f t="array" ref="G212">_xlfn.XLOOKUP(C212 &amp; F212,
         [1]unilever_price_limits!A:A &amp; [1]unilever_price_limits!B:B,
         [1]unilever_price_limits!C:C)</f>
        <v>60</v>
      </c>
      <c r="H212" s="8">
        <f t="shared" si="13"/>
        <v>15.263999999999999</v>
      </c>
      <c r="I212" s="6">
        <f t="shared" si="14"/>
        <v>60.000000000000007</v>
      </c>
      <c r="J212" t="str">
        <f t="shared" si="15"/>
        <v>OK</v>
      </c>
    </row>
    <row r="213" spans="1:10" x14ac:dyDescent="0.2">
      <c r="A213">
        <v>10212</v>
      </c>
      <c r="B213" t="s">
        <v>5</v>
      </c>
      <c r="C213" t="s">
        <v>6</v>
      </c>
      <c r="D213" s="8">
        <v>5.66</v>
      </c>
      <c r="E213">
        <v>9</v>
      </c>
      <c r="F213" t="str">
        <f t="shared" si="12"/>
        <v>Premium</v>
      </c>
      <c r="G213" s="3" cm="1">
        <f t="array" ref="G213">_xlfn.XLOOKUP(C213 &amp; F213,
         [1]unilever_price_limits!A:A &amp; [1]unilever_price_limits!B:B,
         [1]unilever_price_limits!C:C)</f>
        <v>55</v>
      </c>
      <c r="H213" s="8">
        <f t="shared" si="13"/>
        <v>8.7729999999999997</v>
      </c>
      <c r="I213" s="6">
        <f t="shared" si="14"/>
        <v>54.999999999999986</v>
      </c>
      <c r="J213" t="str">
        <f t="shared" si="15"/>
        <v>OK</v>
      </c>
    </row>
    <row r="214" spans="1:10" x14ac:dyDescent="0.2">
      <c r="A214">
        <v>10213</v>
      </c>
      <c r="B214" t="s">
        <v>8</v>
      </c>
      <c r="C214" t="s">
        <v>9</v>
      </c>
      <c r="D214" s="8">
        <v>11.94</v>
      </c>
      <c r="E214">
        <v>5</v>
      </c>
      <c r="F214" t="str">
        <f t="shared" si="12"/>
        <v>Standard</v>
      </c>
      <c r="G214" s="3" cm="1">
        <f t="array" ref="G214">_xlfn.XLOOKUP(C214 &amp; F214,
         [1]unilever_price_limits!A:A &amp; [1]unilever_price_limits!B:B,
         [1]unilever_price_limits!C:C)</f>
        <v>30</v>
      </c>
      <c r="H214" s="8">
        <f t="shared" si="13"/>
        <v>15.522</v>
      </c>
      <c r="I214" s="6">
        <f t="shared" si="14"/>
        <v>30.000000000000004</v>
      </c>
      <c r="J214" t="str">
        <f t="shared" si="15"/>
        <v>OK</v>
      </c>
    </row>
    <row r="215" spans="1:10" x14ac:dyDescent="0.2">
      <c r="A215">
        <v>10214</v>
      </c>
      <c r="B215" t="s">
        <v>5</v>
      </c>
      <c r="C215" t="s">
        <v>11</v>
      </c>
      <c r="D215" s="8">
        <v>3.89</v>
      </c>
      <c r="E215">
        <v>6</v>
      </c>
      <c r="F215" t="str">
        <f t="shared" si="12"/>
        <v>Standard</v>
      </c>
      <c r="G215" s="3" cm="1">
        <f t="array" ref="G215">_xlfn.XLOOKUP(C215 &amp; F215,
         [1]unilever_price_limits!A:A &amp; [1]unilever_price_limits!B:B,
         [1]unilever_price_limits!C:C)</f>
        <v>25</v>
      </c>
      <c r="H215" s="8">
        <f t="shared" si="13"/>
        <v>4.8624999999999998</v>
      </c>
      <c r="I215" s="6">
        <f t="shared" si="14"/>
        <v>25</v>
      </c>
      <c r="J215" t="str">
        <f t="shared" si="15"/>
        <v>OK</v>
      </c>
    </row>
    <row r="216" spans="1:10" x14ac:dyDescent="0.2">
      <c r="A216">
        <v>10215</v>
      </c>
      <c r="B216" t="s">
        <v>5</v>
      </c>
      <c r="C216" t="s">
        <v>9</v>
      </c>
      <c r="D216" s="8">
        <v>9.77</v>
      </c>
      <c r="E216">
        <v>5</v>
      </c>
      <c r="F216" t="str">
        <f t="shared" si="12"/>
        <v>Standard</v>
      </c>
      <c r="G216" s="3" cm="1">
        <f t="array" ref="G216">_xlfn.XLOOKUP(C216 &amp; F216,
         [1]unilever_price_limits!A:A &amp; [1]unilever_price_limits!B:B,
         [1]unilever_price_limits!C:C)</f>
        <v>30</v>
      </c>
      <c r="H216" s="8">
        <f t="shared" si="13"/>
        <v>12.701000000000001</v>
      </c>
      <c r="I216" s="6">
        <f t="shared" si="14"/>
        <v>30.000000000000004</v>
      </c>
      <c r="J216" t="str">
        <f t="shared" si="15"/>
        <v>OK</v>
      </c>
    </row>
    <row r="217" spans="1:10" x14ac:dyDescent="0.2">
      <c r="A217">
        <v>10216</v>
      </c>
      <c r="B217" t="s">
        <v>8</v>
      </c>
      <c r="C217" t="s">
        <v>9</v>
      </c>
      <c r="D217" s="8">
        <v>3.92</v>
      </c>
      <c r="E217">
        <v>3</v>
      </c>
      <c r="F217" t="str">
        <f t="shared" si="12"/>
        <v>Value</v>
      </c>
      <c r="G217" s="3" cm="1">
        <f t="array" ref="G217">_xlfn.XLOOKUP(C217 &amp; F217,
         [1]unilever_price_limits!A:A &amp; [1]unilever_price_limits!B:B,
         [1]unilever_price_limits!C:C)</f>
        <v>15</v>
      </c>
      <c r="H217" s="8">
        <f t="shared" si="13"/>
        <v>4.508</v>
      </c>
      <c r="I217" s="6">
        <f t="shared" si="14"/>
        <v>15.000000000000014</v>
      </c>
      <c r="J217" t="str">
        <f t="shared" si="15"/>
        <v>OK</v>
      </c>
    </row>
    <row r="218" spans="1:10" x14ac:dyDescent="0.2">
      <c r="A218">
        <v>10217</v>
      </c>
      <c r="B218" t="s">
        <v>7</v>
      </c>
      <c r="C218" t="s">
        <v>6</v>
      </c>
      <c r="D218" s="8">
        <v>10.85</v>
      </c>
      <c r="E218">
        <v>8</v>
      </c>
      <c r="F218" t="str">
        <f t="shared" si="12"/>
        <v>Premium</v>
      </c>
      <c r="G218" s="3" cm="1">
        <f t="array" ref="G218">_xlfn.XLOOKUP(C218 &amp; F218,
         [1]unilever_price_limits!A:A &amp; [1]unilever_price_limits!B:B,
         [1]unilever_price_limits!C:C)</f>
        <v>55</v>
      </c>
      <c r="H218" s="8">
        <f t="shared" si="13"/>
        <v>16.817499999999999</v>
      </c>
      <c r="I218" s="6">
        <f t="shared" si="14"/>
        <v>55.000000000000007</v>
      </c>
      <c r="J218" t="str">
        <f t="shared" si="15"/>
        <v>OK</v>
      </c>
    </row>
    <row r="219" spans="1:10" x14ac:dyDescent="0.2">
      <c r="A219">
        <v>10218</v>
      </c>
      <c r="B219" t="s">
        <v>8</v>
      </c>
      <c r="C219" t="s">
        <v>6</v>
      </c>
      <c r="D219" s="8">
        <v>13.17</v>
      </c>
      <c r="E219">
        <v>9</v>
      </c>
      <c r="F219" t="str">
        <f t="shared" si="12"/>
        <v>Premium</v>
      </c>
      <c r="G219" s="3" cm="1">
        <f t="array" ref="G219">_xlfn.XLOOKUP(C219 &amp; F219,
         [1]unilever_price_limits!A:A &amp; [1]unilever_price_limits!B:B,
         [1]unilever_price_limits!C:C)</f>
        <v>55</v>
      </c>
      <c r="H219" s="8">
        <f t="shared" si="13"/>
        <v>20.413499999999999</v>
      </c>
      <c r="I219" s="6">
        <f t="shared" si="14"/>
        <v>55.000000000000007</v>
      </c>
      <c r="J219" t="str">
        <f t="shared" si="15"/>
        <v>OK</v>
      </c>
    </row>
    <row r="220" spans="1:10" x14ac:dyDescent="0.2">
      <c r="A220">
        <v>10219</v>
      </c>
      <c r="B220" t="s">
        <v>7</v>
      </c>
      <c r="C220" t="s">
        <v>9</v>
      </c>
      <c r="D220" s="8">
        <v>2.34</v>
      </c>
      <c r="E220">
        <v>4</v>
      </c>
      <c r="F220" t="str">
        <f t="shared" si="12"/>
        <v>Standard</v>
      </c>
      <c r="G220" s="3" cm="1">
        <f t="array" ref="G220">_xlfn.XLOOKUP(C220 &amp; F220,
         [1]unilever_price_limits!A:A &amp; [1]unilever_price_limits!B:B,
         [1]unilever_price_limits!C:C)</f>
        <v>30</v>
      </c>
      <c r="H220" s="8">
        <f t="shared" si="13"/>
        <v>3.0419999999999998</v>
      </c>
      <c r="I220" s="6">
        <f t="shared" si="14"/>
        <v>30.000000000000004</v>
      </c>
      <c r="J220" t="str">
        <f t="shared" si="15"/>
        <v>OK</v>
      </c>
    </row>
    <row r="221" spans="1:10" x14ac:dyDescent="0.2">
      <c r="A221">
        <v>10220</v>
      </c>
      <c r="B221" t="s">
        <v>5</v>
      </c>
      <c r="C221" t="s">
        <v>11</v>
      </c>
      <c r="D221" s="8">
        <v>13.07</v>
      </c>
      <c r="E221">
        <v>9</v>
      </c>
      <c r="F221" t="str">
        <f t="shared" si="12"/>
        <v>Premium</v>
      </c>
      <c r="G221" s="3" cm="1">
        <f t="array" ref="G221">_xlfn.XLOOKUP(C221 &amp; F221,
         [1]unilever_price_limits!A:A &amp; [1]unilever_price_limits!B:B,
         [1]unilever_price_limits!C:C)</f>
        <v>50</v>
      </c>
      <c r="H221" s="8">
        <f t="shared" si="13"/>
        <v>19.605</v>
      </c>
      <c r="I221" s="6">
        <f t="shared" si="14"/>
        <v>50</v>
      </c>
      <c r="J221" t="str">
        <f t="shared" si="15"/>
        <v>OK</v>
      </c>
    </row>
    <row r="222" spans="1:10" x14ac:dyDescent="0.2">
      <c r="A222">
        <v>10221</v>
      </c>
      <c r="B222" t="s">
        <v>5</v>
      </c>
      <c r="C222" t="s">
        <v>9</v>
      </c>
      <c r="D222" s="8">
        <v>9.11</v>
      </c>
      <c r="E222">
        <v>9</v>
      </c>
      <c r="F222" t="str">
        <f t="shared" si="12"/>
        <v>Premium</v>
      </c>
      <c r="G222" s="3" cm="1">
        <f t="array" ref="G222">_xlfn.XLOOKUP(C222 &amp; F222,
         [1]unilever_price_limits!A:A &amp; [1]unilever_price_limits!B:B,
         [1]unilever_price_limits!C:C)</f>
        <v>60</v>
      </c>
      <c r="H222" s="8">
        <f t="shared" si="13"/>
        <v>14.576000000000001</v>
      </c>
      <c r="I222" s="6">
        <f t="shared" si="14"/>
        <v>60.000000000000007</v>
      </c>
      <c r="J222" t="str">
        <f t="shared" si="15"/>
        <v>OK</v>
      </c>
    </row>
    <row r="223" spans="1:10" x14ac:dyDescent="0.2">
      <c r="A223">
        <v>10222</v>
      </c>
      <c r="B223" t="s">
        <v>5</v>
      </c>
      <c r="C223" t="s">
        <v>9</v>
      </c>
      <c r="D223" s="8">
        <v>2.34</v>
      </c>
      <c r="E223">
        <v>7</v>
      </c>
      <c r="F223" t="str">
        <f t="shared" si="12"/>
        <v>Standard</v>
      </c>
      <c r="G223" s="3" cm="1">
        <f t="array" ref="G223">_xlfn.XLOOKUP(C223 &amp; F223,
         [1]unilever_price_limits!A:A &amp; [1]unilever_price_limits!B:B,
         [1]unilever_price_limits!C:C)</f>
        <v>30</v>
      </c>
      <c r="H223" s="8">
        <f t="shared" si="13"/>
        <v>3.0419999999999998</v>
      </c>
      <c r="I223" s="6">
        <f t="shared" si="14"/>
        <v>30.000000000000004</v>
      </c>
      <c r="J223" t="str">
        <f t="shared" si="15"/>
        <v>OK</v>
      </c>
    </row>
    <row r="224" spans="1:10" x14ac:dyDescent="0.2">
      <c r="A224">
        <v>10223</v>
      </c>
      <c r="B224" t="s">
        <v>10</v>
      </c>
      <c r="C224" t="s">
        <v>11</v>
      </c>
      <c r="D224" s="8">
        <v>6.7</v>
      </c>
      <c r="E224">
        <v>8</v>
      </c>
      <c r="F224" t="str">
        <f t="shared" si="12"/>
        <v>Premium</v>
      </c>
      <c r="G224" s="3" cm="1">
        <f t="array" ref="G224">_xlfn.XLOOKUP(C224 &amp; F224,
         [1]unilever_price_limits!A:A &amp; [1]unilever_price_limits!B:B,
         [1]unilever_price_limits!C:C)</f>
        <v>50</v>
      </c>
      <c r="H224" s="8">
        <f t="shared" si="13"/>
        <v>10.050000000000001</v>
      </c>
      <c r="I224" s="6">
        <f t="shared" si="14"/>
        <v>50</v>
      </c>
      <c r="J224" t="str">
        <f t="shared" si="15"/>
        <v>OK</v>
      </c>
    </row>
    <row r="225" spans="1:10" x14ac:dyDescent="0.2">
      <c r="A225">
        <v>10224</v>
      </c>
      <c r="B225" t="s">
        <v>7</v>
      </c>
      <c r="C225" t="s">
        <v>6</v>
      </c>
      <c r="D225" s="8">
        <v>2.83</v>
      </c>
      <c r="E225">
        <v>3</v>
      </c>
      <c r="F225" t="str">
        <f t="shared" si="12"/>
        <v>Value</v>
      </c>
      <c r="G225" s="3" cm="1">
        <f t="array" ref="G225">_xlfn.XLOOKUP(C225 &amp; F225,
         [1]unilever_price_limits!A:A &amp; [1]unilever_price_limits!B:B,
         [1]unilever_price_limits!C:C)</f>
        <v>12</v>
      </c>
      <c r="H225" s="8">
        <f t="shared" si="13"/>
        <v>3.1696000000000004</v>
      </c>
      <c r="I225" s="6">
        <f t="shared" si="14"/>
        <v>12.000000000000011</v>
      </c>
      <c r="J225" t="str">
        <f t="shared" si="15"/>
        <v>OK</v>
      </c>
    </row>
    <row r="226" spans="1:10" x14ac:dyDescent="0.2">
      <c r="A226">
        <v>10225</v>
      </c>
      <c r="B226" t="s">
        <v>10</v>
      </c>
      <c r="C226" t="s">
        <v>9</v>
      </c>
      <c r="D226" s="8">
        <v>10.66</v>
      </c>
      <c r="E226">
        <v>5</v>
      </c>
      <c r="F226" t="str">
        <f t="shared" si="12"/>
        <v>Standard</v>
      </c>
      <c r="G226" s="3" cm="1">
        <f t="array" ref="G226">_xlfn.XLOOKUP(C226 &amp; F226,
         [1]unilever_price_limits!A:A &amp; [1]unilever_price_limits!B:B,
         [1]unilever_price_limits!C:C)</f>
        <v>30</v>
      </c>
      <c r="H226" s="8">
        <f t="shared" si="13"/>
        <v>13.858000000000001</v>
      </c>
      <c r="I226" s="6">
        <f t="shared" si="14"/>
        <v>30.000000000000004</v>
      </c>
      <c r="J226" t="str">
        <f t="shared" si="15"/>
        <v>OK</v>
      </c>
    </row>
    <row r="227" spans="1:10" x14ac:dyDescent="0.2">
      <c r="A227">
        <v>10226</v>
      </c>
      <c r="B227" t="s">
        <v>10</v>
      </c>
      <c r="C227" t="s">
        <v>6</v>
      </c>
      <c r="D227" s="8">
        <v>11.5</v>
      </c>
      <c r="E227">
        <v>3</v>
      </c>
      <c r="F227" t="str">
        <f t="shared" si="12"/>
        <v>Value</v>
      </c>
      <c r="G227" s="3" cm="1">
        <f t="array" ref="G227">_xlfn.XLOOKUP(C227 &amp; F227,
         [1]unilever_price_limits!A:A &amp; [1]unilever_price_limits!B:B,
         [1]unilever_price_limits!C:C)</f>
        <v>12</v>
      </c>
      <c r="H227" s="8">
        <f t="shared" si="13"/>
        <v>12.88</v>
      </c>
      <c r="I227" s="6">
        <f t="shared" si="14"/>
        <v>12.000000000000011</v>
      </c>
      <c r="J227" t="str">
        <f t="shared" si="15"/>
        <v>OK</v>
      </c>
    </row>
    <row r="228" spans="1:10" x14ac:dyDescent="0.2">
      <c r="A228">
        <v>10227</v>
      </c>
      <c r="B228" t="s">
        <v>8</v>
      </c>
      <c r="C228" t="s">
        <v>6</v>
      </c>
      <c r="D228" s="8">
        <v>2.0299999999999998</v>
      </c>
      <c r="E228">
        <v>7</v>
      </c>
      <c r="F228" t="str">
        <f t="shared" si="12"/>
        <v>Standard</v>
      </c>
      <c r="G228" s="3" cm="1">
        <f t="array" ref="G228">_xlfn.XLOOKUP(C228 &amp; F228,
         [1]unilever_price_limits!A:A &amp; [1]unilever_price_limits!B:B,
         [1]unilever_price_limits!C:C)</f>
        <v>28</v>
      </c>
      <c r="H228" s="8">
        <f t="shared" si="13"/>
        <v>2.5983999999999998</v>
      </c>
      <c r="I228" s="6">
        <f t="shared" si="14"/>
        <v>28.000000000000004</v>
      </c>
      <c r="J228" t="str">
        <f t="shared" si="15"/>
        <v>OK</v>
      </c>
    </row>
    <row r="229" spans="1:10" x14ac:dyDescent="0.2">
      <c r="A229">
        <v>10228</v>
      </c>
      <c r="B229" t="s">
        <v>10</v>
      </c>
      <c r="C229" t="s">
        <v>11</v>
      </c>
      <c r="D229" s="8">
        <v>7.84</v>
      </c>
      <c r="E229">
        <v>6</v>
      </c>
      <c r="F229" t="str">
        <f t="shared" si="12"/>
        <v>Standard</v>
      </c>
      <c r="G229" s="3" cm="1">
        <f t="array" ref="G229">_xlfn.XLOOKUP(C229 &amp; F229,
         [1]unilever_price_limits!A:A &amp; [1]unilever_price_limits!B:B,
         [1]unilever_price_limits!C:C)</f>
        <v>25</v>
      </c>
      <c r="H229" s="8">
        <f t="shared" si="13"/>
        <v>9.8000000000000007</v>
      </c>
      <c r="I229" s="6">
        <f t="shared" si="14"/>
        <v>25.000000000000021</v>
      </c>
      <c r="J229" t="str">
        <f t="shared" si="15"/>
        <v>OK</v>
      </c>
    </row>
    <row r="230" spans="1:10" x14ac:dyDescent="0.2">
      <c r="A230">
        <v>10229</v>
      </c>
      <c r="B230" t="s">
        <v>8</v>
      </c>
      <c r="C230" t="s">
        <v>11</v>
      </c>
      <c r="D230" s="8">
        <v>12.31</v>
      </c>
      <c r="E230">
        <v>3</v>
      </c>
      <c r="F230" t="str">
        <f t="shared" si="12"/>
        <v>Value</v>
      </c>
      <c r="G230" s="3" cm="1">
        <f t="array" ref="G230">_xlfn.XLOOKUP(C230 &amp; F230,
         [1]unilever_price_limits!A:A &amp; [1]unilever_price_limits!B:B,
         [1]unilever_price_limits!C:C)</f>
        <v>10</v>
      </c>
      <c r="H230" s="8">
        <f t="shared" si="13"/>
        <v>13.541000000000002</v>
      </c>
      <c r="I230" s="6">
        <f t="shared" si="14"/>
        <v>10.000000000000009</v>
      </c>
      <c r="J230" t="str">
        <f t="shared" si="15"/>
        <v>OK</v>
      </c>
    </row>
    <row r="231" spans="1:10" x14ac:dyDescent="0.2">
      <c r="A231">
        <v>10230</v>
      </c>
      <c r="B231" t="s">
        <v>8</v>
      </c>
      <c r="C231" t="s">
        <v>6</v>
      </c>
      <c r="D231" s="8">
        <v>14.07</v>
      </c>
      <c r="E231">
        <v>9</v>
      </c>
      <c r="F231" t="str">
        <f t="shared" si="12"/>
        <v>Premium</v>
      </c>
      <c r="G231" s="3" cm="1">
        <f t="array" ref="G231">_xlfn.XLOOKUP(C231 &amp; F231,
         [1]unilever_price_limits!A:A &amp; [1]unilever_price_limits!B:B,
         [1]unilever_price_limits!C:C)</f>
        <v>55</v>
      </c>
      <c r="H231" s="8">
        <f t="shared" si="13"/>
        <v>21.808500000000002</v>
      </c>
      <c r="I231" s="6">
        <f t="shared" si="14"/>
        <v>55.000000000000007</v>
      </c>
      <c r="J231" t="str">
        <f t="shared" si="15"/>
        <v>OK</v>
      </c>
    </row>
    <row r="232" spans="1:10" x14ac:dyDescent="0.2">
      <c r="A232">
        <v>10231</v>
      </c>
      <c r="B232" t="s">
        <v>10</v>
      </c>
      <c r="C232" t="s">
        <v>9</v>
      </c>
      <c r="D232" s="8">
        <v>7.95</v>
      </c>
      <c r="E232">
        <v>1</v>
      </c>
      <c r="F232" t="str">
        <f t="shared" si="12"/>
        <v>Value</v>
      </c>
      <c r="G232" s="3" cm="1">
        <f t="array" ref="G232">_xlfn.XLOOKUP(C232 &amp; F232,
         [1]unilever_price_limits!A:A &amp; [1]unilever_price_limits!B:B,
         [1]unilever_price_limits!C:C)</f>
        <v>15</v>
      </c>
      <c r="H232" s="8">
        <f t="shared" si="13"/>
        <v>9.1425000000000001</v>
      </c>
      <c r="I232" s="6">
        <f t="shared" si="14"/>
        <v>14.999999999999991</v>
      </c>
      <c r="J232" t="str">
        <f t="shared" si="15"/>
        <v>OK</v>
      </c>
    </row>
    <row r="233" spans="1:10" x14ac:dyDescent="0.2">
      <c r="A233">
        <v>10232</v>
      </c>
      <c r="B233" t="s">
        <v>7</v>
      </c>
      <c r="C233" t="s">
        <v>6</v>
      </c>
      <c r="D233" s="8">
        <v>14.28</v>
      </c>
      <c r="E233">
        <v>10</v>
      </c>
      <c r="F233" t="str">
        <f t="shared" si="12"/>
        <v>Premium</v>
      </c>
      <c r="G233" s="3" cm="1">
        <f t="array" ref="G233">_xlfn.XLOOKUP(C233 &amp; F233,
         [1]unilever_price_limits!A:A &amp; [1]unilever_price_limits!B:B,
         [1]unilever_price_limits!C:C)</f>
        <v>55</v>
      </c>
      <c r="H233" s="8">
        <f t="shared" si="13"/>
        <v>22.134</v>
      </c>
      <c r="I233" s="6">
        <f t="shared" si="14"/>
        <v>55.000000000000007</v>
      </c>
      <c r="J233" t="str">
        <f t="shared" si="15"/>
        <v>OK</v>
      </c>
    </row>
    <row r="234" spans="1:10" x14ac:dyDescent="0.2">
      <c r="A234">
        <v>10233</v>
      </c>
      <c r="B234" t="s">
        <v>7</v>
      </c>
      <c r="C234" t="s">
        <v>9</v>
      </c>
      <c r="D234" s="8">
        <v>8.27</v>
      </c>
      <c r="E234">
        <v>3</v>
      </c>
      <c r="F234" t="str">
        <f t="shared" si="12"/>
        <v>Value</v>
      </c>
      <c r="G234" s="3" cm="1">
        <f t="array" ref="G234">_xlfn.XLOOKUP(C234 &amp; F234,
         [1]unilever_price_limits!A:A &amp; [1]unilever_price_limits!B:B,
         [1]unilever_price_limits!C:C)</f>
        <v>15</v>
      </c>
      <c r="H234" s="8">
        <f t="shared" si="13"/>
        <v>9.5104999999999986</v>
      </c>
      <c r="I234" s="6">
        <f t="shared" si="14"/>
        <v>14.999999999999991</v>
      </c>
      <c r="J234" t="str">
        <f t="shared" si="15"/>
        <v>OK</v>
      </c>
    </row>
    <row r="235" spans="1:10" x14ac:dyDescent="0.2">
      <c r="A235">
        <v>10234</v>
      </c>
      <c r="B235" t="s">
        <v>7</v>
      </c>
      <c r="C235" t="s">
        <v>9</v>
      </c>
      <c r="D235" s="8">
        <v>6.22</v>
      </c>
      <c r="E235">
        <v>10</v>
      </c>
      <c r="F235" t="str">
        <f t="shared" si="12"/>
        <v>Premium</v>
      </c>
      <c r="G235" s="3" cm="1">
        <f t="array" ref="G235">_xlfn.XLOOKUP(C235 &amp; F235,
         [1]unilever_price_limits!A:A &amp; [1]unilever_price_limits!B:B,
         [1]unilever_price_limits!C:C)</f>
        <v>60</v>
      </c>
      <c r="H235" s="8">
        <f t="shared" si="13"/>
        <v>9.952</v>
      </c>
      <c r="I235" s="6">
        <f t="shared" si="14"/>
        <v>60.000000000000007</v>
      </c>
      <c r="J235" t="str">
        <f t="shared" si="15"/>
        <v>OK</v>
      </c>
    </row>
    <row r="236" spans="1:10" x14ac:dyDescent="0.2">
      <c r="A236">
        <v>10235</v>
      </c>
      <c r="B236" t="s">
        <v>7</v>
      </c>
      <c r="C236" t="s">
        <v>11</v>
      </c>
      <c r="D236" s="8">
        <v>12.8</v>
      </c>
      <c r="E236">
        <v>7</v>
      </c>
      <c r="F236" t="str">
        <f t="shared" si="12"/>
        <v>Standard</v>
      </c>
      <c r="G236" s="3" cm="1">
        <f t="array" ref="G236">_xlfn.XLOOKUP(C236 &amp; F236,
         [1]unilever_price_limits!A:A &amp; [1]unilever_price_limits!B:B,
         [1]unilever_price_limits!C:C)</f>
        <v>25</v>
      </c>
      <c r="H236" s="8">
        <f t="shared" si="13"/>
        <v>16</v>
      </c>
      <c r="I236" s="6">
        <f t="shared" si="14"/>
        <v>25</v>
      </c>
      <c r="J236" t="str">
        <f t="shared" si="15"/>
        <v>OK</v>
      </c>
    </row>
    <row r="237" spans="1:10" x14ac:dyDescent="0.2">
      <c r="A237">
        <v>10236</v>
      </c>
      <c r="B237" t="s">
        <v>7</v>
      </c>
      <c r="C237" t="s">
        <v>9</v>
      </c>
      <c r="D237" s="8">
        <v>7.65</v>
      </c>
      <c r="E237">
        <v>3</v>
      </c>
      <c r="F237" t="str">
        <f t="shared" si="12"/>
        <v>Value</v>
      </c>
      <c r="G237" s="3" cm="1">
        <f t="array" ref="G237">_xlfn.XLOOKUP(C237 &amp; F237,
         [1]unilever_price_limits!A:A &amp; [1]unilever_price_limits!B:B,
         [1]unilever_price_limits!C:C)</f>
        <v>15</v>
      </c>
      <c r="H237" s="8">
        <f t="shared" si="13"/>
        <v>8.7974999999999994</v>
      </c>
      <c r="I237" s="6">
        <f t="shared" si="14"/>
        <v>14.999999999999991</v>
      </c>
      <c r="J237" t="str">
        <f t="shared" si="15"/>
        <v>OK</v>
      </c>
    </row>
    <row r="238" spans="1:10" x14ac:dyDescent="0.2">
      <c r="A238">
        <v>10237</v>
      </c>
      <c r="B238" t="s">
        <v>10</v>
      </c>
      <c r="C238" t="s">
        <v>9</v>
      </c>
      <c r="D238" s="8">
        <v>7.34</v>
      </c>
      <c r="E238">
        <v>3</v>
      </c>
      <c r="F238" t="str">
        <f t="shared" si="12"/>
        <v>Value</v>
      </c>
      <c r="G238" s="3" cm="1">
        <f t="array" ref="G238">_xlfn.XLOOKUP(C238 &amp; F238,
         [1]unilever_price_limits!A:A &amp; [1]unilever_price_limits!B:B,
         [1]unilever_price_limits!C:C)</f>
        <v>15</v>
      </c>
      <c r="H238" s="8">
        <f t="shared" si="13"/>
        <v>8.4409999999999989</v>
      </c>
      <c r="I238" s="6">
        <f t="shared" si="14"/>
        <v>14.999999999999991</v>
      </c>
      <c r="J238" t="str">
        <f t="shared" si="15"/>
        <v>OK</v>
      </c>
    </row>
    <row r="239" spans="1:10" x14ac:dyDescent="0.2">
      <c r="A239">
        <v>10238</v>
      </c>
      <c r="B239" t="s">
        <v>10</v>
      </c>
      <c r="C239" t="s">
        <v>6</v>
      </c>
      <c r="D239" s="8">
        <v>7.61</v>
      </c>
      <c r="E239">
        <v>2</v>
      </c>
      <c r="F239" t="str">
        <f t="shared" si="12"/>
        <v>Value</v>
      </c>
      <c r="G239" s="3" cm="1">
        <f t="array" ref="G239">_xlfn.XLOOKUP(C239 &amp; F239,
         [1]unilever_price_limits!A:A &amp; [1]unilever_price_limits!B:B,
         [1]unilever_price_limits!C:C)</f>
        <v>12</v>
      </c>
      <c r="H239" s="8">
        <f t="shared" si="13"/>
        <v>8.523200000000001</v>
      </c>
      <c r="I239" s="6">
        <f t="shared" si="14"/>
        <v>12.000000000000011</v>
      </c>
      <c r="J239" t="str">
        <f t="shared" si="15"/>
        <v>OK</v>
      </c>
    </row>
    <row r="240" spans="1:10" x14ac:dyDescent="0.2">
      <c r="A240">
        <v>10239</v>
      </c>
      <c r="B240" t="s">
        <v>5</v>
      </c>
      <c r="C240" t="s">
        <v>11</v>
      </c>
      <c r="D240" s="8">
        <v>12.78</v>
      </c>
      <c r="E240">
        <v>9</v>
      </c>
      <c r="F240" t="str">
        <f t="shared" si="12"/>
        <v>Premium</v>
      </c>
      <c r="G240" s="3" cm="1">
        <f t="array" ref="G240">_xlfn.XLOOKUP(C240 &amp; F240,
         [1]unilever_price_limits!A:A &amp; [1]unilever_price_limits!B:B,
         [1]unilever_price_limits!C:C)</f>
        <v>50</v>
      </c>
      <c r="H240" s="8">
        <f t="shared" si="13"/>
        <v>19.169999999999998</v>
      </c>
      <c r="I240" s="6">
        <f t="shared" si="14"/>
        <v>50</v>
      </c>
      <c r="J240" t="str">
        <f t="shared" si="15"/>
        <v>OK</v>
      </c>
    </row>
    <row r="241" spans="1:10" x14ac:dyDescent="0.2">
      <c r="A241">
        <v>10240</v>
      </c>
      <c r="B241" t="s">
        <v>7</v>
      </c>
      <c r="C241" t="s">
        <v>9</v>
      </c>
      <c r="D241" s="8">
        <v>12.56</v>
      </c>
      <c r="E241">
        <v>4</v>
      </c>
      <c r="F241" t="str">
        <f t="shared" si="12"/>
        <v>Standard</v>
      </c>
      <c r="G241" s="3" cm="1">
        <f t="array" ref="G241">_xlfn.XLOOKUP(C241 &amp; F241,
         [1]unilever_price_limits!A:A &amp; [1]unilever_price_limits!B:B,
         [1]unilever_price_limits!C:C)</f>
        <v>30</v>
      </c>
      <c r="H241" s="8">
        <f t="shared" si="13"/>
        <v>16.328000000000003</v>
      </c>
      <c r="I241" s="6">
        <f t="shared" si="14"/>
        <v>30.000000000000028</v>
      </c>
      <c r="J241" t="str">
        <f t="shared" si="15"/>
        <v>OK</v>
      </c>
    </row>
    <row r="242" spans="1:10" x14ac:dyDescent="0.2">
      <c r="A242">
        <v>10241</v>
      </c>
      <c r="B242" t="s">
        <v>10</v>
      </c>
      <c r="C242" t="s">
        <v>9</v>
      </c>
      <c r="D242" s="8">
        <v>6.35</v>
      </c>
      <c r="E242">
        <v>10</v>
      </c>
      <c r="F242" t="str">
        <f t="shared" si="12"/>
        <v>Premium</v>
      </c>
      <c r="G242" s="3" cm="1">
        <f t="array" ref="G242">_xlfn.XLOOKUP(C242 &amp; F242,
         [1]unilever_price_limits!A:A &amp; [1]unilever_price_limits!B:B,
         [1]unilever_price_limits!C:C)</f>
        <v>60</v>
      </c>
      <c r="H242" s="8">
        <f t="shared" si="13"/>
        <v>10.16</v>
      </c>
      <c r="I242" s="6">
        <f t="shared" si="14"/>
        <v>60.000000000000007</v>
      </c>
      <c r="J242" t="str">
        <f t="shared" si="15"/>
        <v>OK</v>
      </c>
    </row>
    <row r="243" spans="1:10" x14ac:dyDescent="0.2">
      <c r="A243">
        <v>10242</v>
      </c>
      <c r="B243" t="s">
        <v>5</v>
      </c>
      <c r="C243" t="s">
        <v>11</v>
      </c>
      <c r="D243" s="8">
        <v>5.33</v>
      </c>
      <c r="E243">
        <v>6</v>
      </c>
      <c r="F243" t="str">
        <f t="shared" si="12"/>
        <v>Standard</v>
      </c>
      <c r="G243" s="3" cm="1">
        <f t="array" ref="G243">_xlfn.XLOOKUP(C243 &amp; F243,
         [1]unilever_price_limits!A:A &amp; [1]unilever_price_limits!B:B,
         [1]unilever_price_limits!C:C)</f>
        <v>25</v>
      </c>
      <c r="H243" s="8">
        <f t="shared" si="13"/>
        <v>6.6624999999999996</v>
      </c>
      <c r="I243" s="6">
        <f t="shared" si="14"/>
        <v>25</v>
      </c>
      <c r="J243" t="str">
        <f t="shared" si="15"/>
        <v>OK</v>
      </c>
    </row>
    <row r="244" spans="1:10" x14ac:dyDescent="0.2">
      <c r="A244">
        <v>10243</v>
      </c>
      <c r="B244" t="s">
        <v>7</v>
      </c>
      <c r="C244" t="s">
        <v>6</v>
      </c>
      <c r="D244" s="8">
        <v>7.63</v>
      </c>
      <c r="E244">
        <v>2</v>
      </c>
      <c r="F244" t="str">
        <f t="shared" si="12"/>
        <v>Value</v>
      </c>
      <c r="G244" s="3" cm="1">
        <f t="array" ref="G244">_xlfn.XLOOKUP(C244 &amp; F244,
         [1]unilever_price_limits!A:A &amp; [1]unilever_price_limits!B:B,
         [1]unilever_price_limits!C:C)</f>
        <v>12</v>
      </c>
      <c r="H244" s="8">
        <f t="shared" si="13"/>
        <v>8.5456000000000003</v>
      </c>
      <c r="I244" s="6">
        <f t="shared" si="14"/>
        <v>12.000000000000011</v>
      </c>
      <c r="J244" t="str">
        <f t="shared" si="15"/>
        <v>OK</v>
      </c>
    </row>
    <row r="245" spans="1:10" x14ac:dyDescent="0.2">
      <c r="A245">
        <v>10244</v>
      </c>
      <c r="B245" t="s">
        <v>8</v>
      </c>
      <c r="C245" t="s">
        <v>11</v>
      </c>
      <c r="D245" s="8">
        <v>8.81</v>
      </c>
      <c r="E245">
        <v>9</v>
      </c>
      <c r="F245" t="str">
        <f t="shared" si="12"/>
        <v>Premium</v>
      </c>
      <c r="G245" s="3" cm="1">
        <f t="array" ref="G245">_xlfn.XLOOKUP(C245 &amp; F245,
         [1]unilever_price_limits!A:A &amp; [1]unilever_price_limits!B:B,
         [1]unilever_price_limits!C:C)</f>
        <v>50</v>
      </c>
      <c r="H245" s="8">
        <f t="shared" si="13"/>
        <v>13.215</v>
      </c>
      <c r="I245" s="6">
        <f t="shared" si="14"/>
        <v>50</v>
      </c>
      <c r="J245" t="str">
        <f t="shared" si="15"/>
        <v>OK</v>
      </c>
    </row>
    <row r="246" spans="1:10" x14ac:dyDescent="0.2">
      <c r="A246">
        <v>10245</v>
      </c>
      <c r="B246" t="s">
        <v>5</v>
      </c>
      <c r="C246" t="s">
        <v>11</v>
      </c>
      <c r="D246" s="8">
        <v>3.96</v>
      </c>
      <c r="E246">
        <v>7</v>
      </c>
      <c r="F246" t="str">
        <f t="shared" si="12"/>
        <v>Standard</v>
      </c>
      <c r="G246" s="3" cm="1">
        <f t="array" ref="G246">_xlfn.XLOOKUP(C246 &amp; F246,
         [1]unilever_price_limits!A:A &amp; [1]unilever_price_limits!B:B,
         [1]unilever_price_limits!C:C)</f>
        <v>25</v>
      </c>
      <c r="H246" s="8">
        <f t="shared" si="13"/>
        <v>4.95</v>
      </c>
      <c r="I246" s="6">
        <f t="shared" si="14"/>
        <v>25</v>
      </c>
      <c r="J246" t="str">
        <f t="shared" si="15"/>
        <v>OK</v>
      </c>
    </row>
    <row r="247" spans="1:10" x14ac:dyDescent="0.2">
      <c r="A247">
        <v>10246</v>
      </c>
      <c r="B247" t="s">
        <v>10</v>
      </c>
      <c r="C247" t="s">
        <v>9</v>
      </c>
      <c r="D247" s="8">
        <v>12.01</v>
      </c>
      <c r="E247">
        <v>10</v>
      </c>
      <c r="F247" t="str">
        <f t="shared" si="12"/>
        <v>Premium</v>
      </c>
      <c r="G247" s="3" cm="1">
        <f t="array" ref="G247">_xlfn.XLOOKUP(C247 &amp; F247,
         [1]unilever_price_limits!A:A &amp; [1]unilever_price_limits!B:B,
         [1]unilever_price_limits!C:C)</f>
        <v>60</v>
      </c>
      <c r="H247" s="8">
        <f t="shared" si="13"/>
        <v>19.216000000000001</v>
      </c>
      <c r="I247" s="6">
        <f t="shared" si="14"/>
        <v>60.000000000000007</v>
      </c>
      <c r="J247" t="str">
        <f t="shared" si="15"/>
        <v>OK</v>
      </c>
    </row>
    <row r="248" spans="1:10" x14ac:dyDescent="0.2">
      <c r="A248">
        <v>10247</v>
      </c>
      <c r="B248" t="s">
        <v>8</v>
      </c>
      <c r="C248" t="s">
        <v>9</v>
      </c>
      <c r="D248" s="8">
        <v>7.55</v>
      </c>
      <c r="E248">
        <v>5</v>
      </c>
      <c r="F248" t="str">
        <f t="shared" si="12"/>
        <v>Standard</v>
      </c>
      <c r="G248" s="3" cm="1">
        <f t="array" ref="G248">_xlfn.XLOOKUP(C248 &amp; F248,
         [1]unilever_price_limits!A:A &amp; [1]unilever_price_limits!B:B,
         [1]unilever_price_limits!C:C)</f>
        <v>30</v>
      </c>
      <c r="H248" s="8">
        <f t="shared" si="13"/>
        <v>9.8149999999999995</v>
      </c>
      <c r="I248" s="6">
        <f t="shared" si="14"/>
        <v>30.000000000000004</v>
      </c>
      <c r="J248" t="str">
        <f t="shared" si="15"/>
        <v>OK</v>
      </c>
    </row>
    <row r="249" spans="1:10" x14ac:dyDescent="0.2">
      <c r="A249">
        <v>10248</v>
      </c>
      <c r="B249" t="s">
        <v>8</v>
      </c>
      <c r="C249" t="s">
        <v>6</v>
      </c>
      <c r="D249" s="8">
        <v>5.34</v>
      </c>
      <c r="E249">
        <v>7</v>
      </c>
      <c r="F249" t="str">
        <f t="shared" si="12"/>
        <v>Standard</v>
      </c>
      <c r="G249" s="3" cm="1">
        <f t="array" ref="G249">_xlfn.XLOOKUP(C249 &amp; F249,
         [1]unilever_price_limits!A:A &amp; [1]unilever_price_limits!B:B,
         [1]unilever_price_limits!C:C)</f>
        <v>28</v>
      </c>
      <c r="H249" s="8">
        <f t="shared" si="13"/>
        <v>6.8352000000000004</v>
      </c>
      <c r="I249" s="6">
        <f t="shared" si="14"/>
        <v>28.000000000000004</v>
      </c>
      <c r="J249" t="str">
        <f t="shared" si="15"/>
        <v>OK</v>
      </c>
    </row>
    <row r="250" spans="1:10" x14ac:dyDescent="0.2">
      <c r="A250">
        <v>10249</v>
      </c>
      <c r="B250" t="s">
        <v>8</v>
      </c>
      <c r="C250" t="s">
        <v>9</v>
      </c>
      <c r="D250" s="8">
        <v>2.0499999999999998</v>
      </c>
      <c r="E250">
        <v>4</v>
      </c>
      <c r="F250" t="str">
        <f t="shared" si="12"/>
        <v>Standard</v>
      </c>
      <c r="G250" s="3" cm="1">
        <f t="array" ref="G250">_xlfn.XLOOKUP(C250 &amp; F250,
         [1]unilever_price_limits!A:A &amp; [1]unilever_price_limits!B:B,
         [1]unilever_price_limits!C:C)</f>
        <v>30</v>
      </c>
      <c r="H250" s="8">
        <f t="shared" si="13"/>
        <v>2.665</v>
      </c>
      <c r="I250" s="6">
        <f t="shared" si="14"/>
        <v>30.000000000000004</v>
      </c>
      <c r="J250" t="str">
        <f t="shared" si="15"/>
        <v>OK</v>
      </c>
    </row>
    <row r="251" spans="1:10" x14ac:dyDescent="0.2">
      <c r="A251">
        <v>10250</v>
      </c>
      <c r="B251" t="s">
        <v>5</v>
      </c>
      <c r="C251" t="s">
        <v>9</v>
      </c>
      <c r="D251" s="8">
        <v>3.96</v>
      </c>
      <c r="E251">
        <v>10</v>
      </c>
      <c r="F251" t="str">
        <f t="shared" si="12"/>
        <v>Premium</v>
      </c>
      <c r="G251" s="3" cm="1">
        <f t="array" ref="G251">_xlfn.XLOOKUP(C251 &amp; F251,
         [1]unilever_price_limits!A:A &amp; [1]unilever_price_limits!B:B,
         [1]unilever_price_limits!C:C)</f>
        <v>60</v>
      </c>
      <c r="H251" s="8">
        <f t="shared" si="13"/>
        <v>6.3360000000000003</v>
      </c>
      <c r="I251" s="6">
        <f t="shared" si="14"/>
        <v>60.000000000000007</v>
      </c>
      <c r="J251" t="str">
        <f t="shared" si="15"/>
        <v>OK</v>
      </c>
    </row>
    <row r="252" spans="1:10" x14ac:dyDescent="0.2">
      <c r="A252">
        <v>10251</v>
      </c>
      <c r="B252" t="s">
        <v>10</v>
      </c>
      <c r="C252" t="s">
        <v>11</v>
      </c>
      <c r="D252" s="8">
        <v>14.26</v>
      </c>
      <c r="E252">
        <v>7</v>
      </c>
      <c r="F252" t="str">
        <f t="shared" si="12"/>
        <v>Standard</v>
      </c>
      <c r="G252" s="3" cm="1">
        <f t="array" ref="G252">_xlfn.XLOOKUP(C252 &amp; F252,
         [1]unilever_price_limits!A:A &amp; [1]unilever_price_limits!B:B,
         [1]unilever_price_limits!C:C)</f>
        <v>25</v>
      </c>
      <c r="H252" s="8">
        <f t="shared" si="13"/>
        <v>17.824999999999999</v>
      </c>
      <c r="I252" s="6">
        <f t="shared" si="14"/>
        <v>25</v>
      </c>
      <c r="J252" t="str">
        <f t="shared" si="15"/>
        <v>OK</v>
      </c>
    </row>
    <row r="253" spans="1:10" x14ac:dyDescent="0.2">
      <c r="A253">
        <v>10252</v>
      </c>
      <c r="B253" t="s">
        <v>8</v>
      </c>
      <c r="C253" t="s">
        <v>9</v>
      </c>
      <c r="D253" s="8">
        <v>4.92</v>
      </c>
      <c r="E253">
        <v>2</v>
      </c>
      <c r="F253" t="str">
        <f t="shared" si="12"/>
        <v>Value</v>
      </c>
      <c r="G253" s="3" cm="1">
        <f t="array" ref="G253">_xlfn.XLOOKUP(C253 &amp; F253,
         [1]unilever_price_limits!A:A &amp; [1]unilever_price_limits!B:B,
         [1]unilever_price_limits!C:C)</f>
        <v>15</v>
      </c>
      <c r="H253" s="8">
        <f t="shared" si="13"/>
        <v>5.6579999999999995</v>
      </c>
      <c r="I253" s="6">
        <f t="shared" si="14"/>
        <v>14.999999999999991</v>
      </c>
      <c r="J253" t="str">
        <f t="shared" si="15"/>
        <v>OK</v>
      </c>
    </row>
    <row r="254" spans="1:10" x14ac:dyDescent="0.2">
      <c r="A254">
        <v>10253</v>
      </c>
      <c r="B254" t="s">
        <v>7</v>
      </c>
      <c r="C254" t="s">
        <v>6</v>
      </c>
      <c r="D254" s="8">
        <v>2.95</v>
      </c>
      <c r="E254">
        <v>7</v>
      </c>
      <c r="F254" t="str">
        <f t="shared" si="12"/>
        <v>Standard</v>
      </c>
      <c r="G254" s="3" cm="1">
        <f t="array" ref="G254">_xlfn.XLOOKUP(C254 &amp; F254,
         [1]unilever_price_limits!A:A &amp; [1]unilever_price_limits!B:B,
         [1]unilever_price_limits!C:C)</f>
        <v>28</v>
      </c>
      <c r="H254" s="8">
        <f t="shared" si="13"/>
        <v>3.7760000000000002</v>
      </c>
      <c r="I254" s="6">
        <f t="shared" si="14"/>
        <v>28.000000000000004</v>
      </c>
      <c r="J254" t="str">
        <f t="shared" si="15"/>
        <v>OK</v>
      </c>
    </row>
    <row r="255" spans="1:10" x14ac:dyDescent="0.2">
      <c r="A255">
        <v>10254</v>
      </c>
      <c r="B255" t="s">
        <v>8</v>
      </c>
      <c r="C255" t="s">
        <v>11</v>
      </c>
      <c r="D255" s="8">
        <v>7.18</v>
      </c>
      <c r="E255">
        <v>4</v>
      </c>
      <c r="F255" t="str">
        <f t="shared" si="12"/>
        <v>Standard</v>
      </c>
      <c r="G255" s="3" cm="1">
        <f t="array" ref="G255">_xlfn.XLOOKUP(C255 &amp; F255,
         [1]unilever_price_limits!A:A &amp; [1]unilever_price_limits!B:B,
         [1]unilever_price_limits!C:C)</f>
        <v>25</v>
      </c>
      <c r="H255" s="8">
        <f t="shared" si="13"/>
        <v>8.9749999999999996</v>
      </c>
      <c r="I255" s="6">
        <f t="shared" si="14"/>
        <v>25</v>
      </c>
      <c r="J255" t="str">
        <f t="shared" si="15"/>
        <v>OK</v>
      </c>
    </row>
    <row r="256" spans="1:10" x14ac:dyDescent="0.2">
      <c r="A256">
        <v>10255</v>
      </c>
      <c r="B256" t="s">
        <v>8</v>
      </c>
      <c r="C256" t="s">
        <v>6</v>
      </c>
      <c r="D256" s="8">
        <v>4.95</v>
      </c>
      <c r="E256">
        <v>4</v>
      </c>
      <c r="F256" t="str">
        <f t="shared" si="12"/>
        <v>Standard</v>
      </c>
      <c r="G256" s="3" cm="1">
        <f t="array" ref="G256">_xlfn.XLOOKUP(C256 &amp; F256,
         [1]unilever_price_limits!A:A &amp; [1]unilever_price_limits!B:B,
         [1]unilever_price_limits!C:C)</f>
        <v>28</v>
      </c>
      <c r="H256" s="8">
        <f t="shared" si="13"/>
        <v>6.3360000000000003</v>
      </c>
      <c r="I256" s="6">
        <f t="shared" si="14"/>
        <v>28.000000000000004</v>
      </c>
      <c r="J256" t="str">
        <f t="shared" si="15"/>
        <v>OK</v>
      </c>
    </row>
    <row r="257" spans="1:10" x14ac:dyDescent="0.2">
      <c r="A257">
        <v>10256</v>
      </c>
      <c r="B257" t="s">
        <v>5</v>
      </c>
      <c r="C257" t="s">
        <v>11</v>
      </c>
      <c r="D257" s="8">
        <v>1.01</v>
      </c>
      <c r="E257">
        <v>1</v>
      </c>
      <c r="F257" t="str">
        <f t="shared" si="12"/>
        <v>Value</v>
      </c>
      <c r="G257" s="3" cm="1">
        <f t="array" ref="G257">_xlfn.XLOOKUP(C257 &amp; F257,
         [1]unilever_price_limits!A:A &amp; [1]unilever_price_limits!B:B,
         [1]unilever_price_limits!C:C)</f>
        <v>10</v>
      </c>
      <c r="H257" s="8">
        <f t="shared" si="13"/>
        <v>1.1110000000000002</v>
      </c>
      <c r="I257" s="6">
        <f t="shared" si="14"/>
        <v>10.000000000000009</v>
      </c>
      <c r="J257" t="str">
        <f t="shared" si="15"/>
        <v>OK</v>
      </c>
    </row>
    <row r="258" spans="1:10" x14ac:dyDescent="0.2">
      <c r="A258">
        <v>10257</v>
      </c>
      <c r="B258" t="s">
        <v>5</v>
      </c>
      <c r="C258" t="s">
        <v>9</v>
      </c>
      <c r="D258" s="8">
        <v>5.19</v>
      </c>
      <c r="E258">
        <v>3</v>
      </c>
      <c r="F258" t="str">
        <f t="shared" si="12"/>
        <v>Value</v>
      </c>
      <c r="G258" s="3" cm="1">
        <f t="array" ref="G258">_xlfn.XLOOKUP(C258 &amp; F258,
         [1]unilever_price_limits!A:A &amp; [1]unilever_price_limits!B:B,
         [1]unilever_price_limits!C:C)</f>
        <v>15</v>
      </c>
      <c r="H258" s="8">
        <f t="shared" si="13"/>
        <v>5.9684999999999997</v>
      </c>
      <c r="I258" s="6">
        <f t="shared" si="14"/>
        <v>14.999999999999991</v>
      </c>
      <c r="J258" t="str">
        <f t="shared" si="15"/>
        <v>OK</v>
      </c>
    </row>
    <row r="259" spans="1:10" x14ac:dyDescent="0.2">
      <c r="A259">
        <v>10258</v>
      </c>
      <c r="B259" t="s">
        <v>10</v>
      </c>
      <c r="C259" t="s">
        <v>11</v>
      </c>
      <c r="D259" s="8">
        <v>8.39</v>
      </c>
      <c r="E259">
        <v>5</v>
      </c>
      <c r="F259" t="str">
        <f t="shared" ref="F259:F322" si="16">IF(E259&lt;=3,"Value",
 IF(E259&lt;=7,"Standard","Premium"))</f>
        <v>Standard</v>
      </c>
      <c r="G259" s="3" cm="1">
        <f t="array" ref="G259">_xlfn.XLOOKUP(C259 &amp; F259,
         [1]unilever_price_limits!A:A &amp; [1]unilever_price_limits!B:B,
         [1]unilever_price_limits!C:C)</f>
        <v>25</v>
      </c>
      <c r="H259" s="8">
        <f t="shared" ref="H259:H322" si="17">D259 * (1 + G259/100)</f>
        <v>10.487500000000001</v>
      </c>
      <c r="I259" s="6">
        <f t="shared" ref="I259:I322" si="18">(H259 / D259 - 1) * 100</f>
        <v>25</v>
      </c>
      <c r="J259" t="str">
        <f t="shared" ref="J259:J322" si="19">IF(I258&gt; G258, "⚠ Exceeds Limit", "OK")</f>
        <v>OK</v>
      </c>
    </row>
    <row r="260" spans="1:10" x14ac:dyDescent="0.2">
      <c r="A260">
        <v>10259</v>
      </c>
      <c r="B260" t="s">
        <v>7</v>
      </c>
      <c r="C260" t="s">
        <v>11</v>
      </c>
      <c r="D260" s="8">
        <v>8.5</v>
      </c>
      <c r="E260">
        <v>5</v>
      </c>
      <c r="F260" t="str">
        <f t="shared" si="16"/>
        <v>Standard</v>
      </c>
      <c r="G260" s="3" cm="1">
        <f t="array" ref="G260">_xlfn.XLOOKUP(C260 &amp; F260,
         [1]unilever_price_limits!A:A &amp; [1]unilever_price_limits!B:B,
         [1]unilever_price_limits!C:C)</f>
        <v>25</v>
      </c>
      <c r="H260" s="8">
        <f t="shared" si="17"/>
        <v>10.625</v>
      </c>
      <c r="I260" s="6">
        <f t="shared" si="18"/>
        <v>25</v>
      </c>
      <c r="J260" t="str">
        <f t="shared" si="19"/>
        <v>OK</v>
      </c>
    </row>
    <row r="261" spans="1:10" x14ac:dyDescent="0.2">
      <c r="A261">
        <v>10260</v>
      </c>
      <c r="B261" t="s">
        <v>5</v>
      </c>
      <c r="C261" t="s">
        <v>9</v>
      </c>
      <c r="D261" s="8">
        <v>5.67</v>
      </c>
      <c r="E261">
        <v>2</v>
      </c>
      <c r="F261" t="str">
        <f t="shared" si="16"/>
        <v>Value</v>
      </c>
      <c r="G261" s="3" cm="1">
        <f t="array" ref="G261">_xlfn.XLOOKUP(C261 &amp; F261,
         [1]unilever_price_limits!A:A &amp; [1]unilever_price_limits!B:B,
         [1]unilever_price_limits!C:C)</f>
        <v>15</v>
      </c>
      <c r="H261" s="8">
        <f t="shared" si="17"/>
        <v>6.5204999999999993</v>
      </c>
      <c r="I261" s="6">
        <f t="shared" si="18"/>
        <v>14.999999999999991</v>
      </c>
      <c r="J261" t="str">
        <f t="shared" si="19"/>
        <v>OK</v>
      </c>
    </row>
    <row r="262" spans="1:10" x14ac:dyDescent="0.2">
      <c r="A262">
        <v>10261</v>
      </c>
      <c r="B262" t="s">
        <v>8</v>
      </c>
      <c r="C262" t="s">
        <v>9</v>
      </c>
      <c r="D262" s="8">
        <v>6.99</v>
      </c>
      <c r="E262">
        <v>4</v>
      </c>
      <c r="F262" t="str">
        <f t="shared" si="16"/>
        <v>Standard</v>
      </c>
      <c r="G262" s="3" cm="1">
        <f t="array" ref="G262">_xlfn.XLOOKUP(C262 &amp; F262,
         [1]unilever_price_limits!A:A &amp; [1]unilever_price_limits!B:B,
         [1]unilever_price_limits!C:C)</f>
        <v>30</v>
      </c>
      <c r="H262" s="8">
        <f t="shared" si="17"/>
        <v>9.0869999999999997</v>
      </c>
      <c r="I262" s="6">
        <f t="shared" si="18"/>
        <v>29.999999999999982</v>
      </c>
      <c r="J262" t="str">
        <f t="shared" si="19"/>
        <v>OK</v>
      </c>
    </row>
    <row r="263" spans="1:10" x14ac:dyDescent="0.2">
      <c r="A263">
        <v>10262</v>
      </c>
      <c r="B263" t="s">
        <v>10</v>
      </c>
      <c r="C263" t="s">
        <v>6</v>
      </c>
      <c r="D263" s="8">
        <v>14.5</v>
      </c>
      <c r="E263">
        <v>1</v>
      </c>
      <c r="F263" t="str">
        <f t="shared" si="16"/>
        <v>Value</v>
      </c>
      <c r="G263" s="3" cm="1">
        <f t="array" ref="G263">_xlfn.XLOOKUP(C263 &amp; F263,
         [1]unilever_price_limits!A:A &amp; [1]unilever_price_limits!B:B,
         [1]unilever_price_limits!C:C)</f>
        <v>12</v>
      </c>
      <c r="H263" s="8">
        <f t="shared" si="17"/>
        <v>16.240000000000002</v>
      </c>
      <c r="I263" s="6">
        <f t="shared" si="18"/>
        <v>12.000000000000011</v>
      </c>
      <c r="J263" t="str">
        <f t="shared" si="19"/>
        <v>OK</v>
      </c>
    </row>
    <row r="264" spans="1:10" x14ac:dyDescent="0.2">
      <c r="A264">
        <v>10263</v>
      </c>
      <c r="B264" t="s">
        <v>8</v>
      </c>
      <c r="C264" t="s">
        <v>6</v>
      </c>
      <c r="D264" s="8">
        <v>5.97</v>
      </c>
      <c r="E264">
        <v>9</v>
      </c>
      <c r="F264" t="str">
        <f t="shared" si="16"/>
        <v>Premium</v>
      </c>
      <c r="G264" s="3" cm="1">
        <f t="array" ref="G264">_xlfn.XLOOKUP(C264 &amp; F264,
         [1]unilever_price_limits!A:A &amp; [1]unilever_price_limits!B:B,
         [1]unilever_price_limits!C:C)</f>
        <v>55</v>
      </c>
      <c r="H264" s="8">
        <f t="shared" si="17"/>
        <v>9.2535000000000007</v>
      </c>
      <c r="I264" s="6">
        <f t="shared" si="18"/>
        <v>55.000000000000028</v>
      </c>
      <c r="J264" t="str">
        <f t="shared" si="19"/>
        <v>OK</v>
      </c>
    </row>
    <row r="265" spans="1:10" x14ac:dyDescent="0.2">
      <c r="A265">
        <v>10264</v>
      </c>
      <c r="B265" t="s">
        <v>8</v>
      </c>
      <c r="C265" t="s">
        <v>9</v>
      </c>
      <c r="D265" s="8">
        <v>4.24</v>
      </c>
      <c r="E265">
        <v>1</v>
      </c>
      <c r="F265" t="str">
        <f t="shared" si="16"/>
        <v>Value</v>
      </c>
      <c r="G265" s="3" cm="1">
        <f t="array" ref="G265">_xlfn.XLOOKUP(C265 &amp; F265,
         [1]unilever_price_limits!A:A &amp; [1]unilever_price_limits!B:B,
         [1]unilever_price_limits!C:C)</f>
        <v>15</v>
      </c>
      <c r="H265" s="8">
        <f t="shared" si="17"/>
        <v>4.8759999999999994</v>
      </c>
      <c r="I265" s="6">
        <f t="shared" si="18"/>
        <v>14.999999999999991</v>
      </c>
      <c r="J265" t="str">
        <f t="shared" si="19"/>
        <v>OK</v>
      </c>
    </row>
    <row r="266" spans="1:10" x14ac:dyDescent="0.2">
      <c r="A266">
        <v>10265</v>
      </c>
      <c r="B266" t="s">
        <v>5</v>
      </c>
      <c r="C266" t="s">
        <v>9</v>
      </c>
      <c r="D266" s="8">
        <v>4.03</v>
      </c>
      <c r="E266">
        <v>6</v>
      </c>
      <c r="F266" t="str">
        <f t="shared" si="16"/>
        <v>Standard</v>
      </c>
      <c r="G266" s="3" cm="1">
        <f t="array" ref="G266">_xlfn.XLOOKUP(C266 &amp; F266,
         [1]unilever_price_limits!A:A &amp; [1]unilever_price_limits!B:B,
         [1]unilever_price_limits!C:C)</f>
        <v>30</v>
      </c>
      <c r="H266" s="8">
        <f t="shared" si="17"/>
        <v>5.2390000000000008</v>
      </c>
      <c r="I266" s="6">
        <f t="shared" si="18"/>
        <v>30.000000000000004</v>
      </c>
      <c r="J266" t="str">
        <f t="shared" si="19"/>
        <v>OK</v>
      </c>
    </row>
    <row r="267" spans="1:10" x14ac:dyDescent="0.2">
      <c r="A267">
        <v>10266</v>
      </c>
      <c r="B267" t="s">
        <v>10</v>
      </c>
      <c r="C267" t="s">
        <v>9</v>
      </c>
      <c r="D267" s="8">
        <v>7.14</v>
      </c>
      <c r="E267">
        <v>7</v>
      </c>
      <c r="F267" t="str">
        <f t="shared" si="16"/>
        <v>Standard</v>
      </c>
      <c r="G267" s="3" cm="1">
        <f t="array" ref="G267">_xlfn.XLOOKUP(C267 &amp; F267,
         [1]unilever_price_limits!A:A &amp; [1]unilever_price_limits!B:B,
         [1]unilever_price_limits!C:C)</f>
        <v>30</v>
      </c>
      <c r="H267" s="8">
        <f t="shared" si="17"/>
        <v>9.282</v>
      </c>
      <c r="I267" s="6">
        <f t="shared" si="18"/>
        <v>30.000000000000004</v>
      </c>
      <c r="J267" t="str">
        <f t="shared" si="19"/>
        <v>OK</v>
      </c>
    </row>
    <row r="268" spans="1:10" x14ac:dyDescent="0.2">
      <c r="A268">
        <v>10267</v>
      </c>
      <c r="B268" t="s">
        <v>7</v>
      </c>
      <c r="C268" t="s">
        <v>11</v>
      </c>
      <c r="D268" s="8">
        <v>11.51</v>
      </c>
      <c r="E268">
        <v>3</v>
      </c>
      <c r="F268" t="str">
        <f t="shared" si="16"/>
        <v>Value</v>
      </c>
      <c r="G268" s="3" cm="1">
        <f t="array" ref="G268">_xlfn.XLOOKUP(C268 &amp; F268,
         [1]unilever_price_limits!A:A &amp; [1]unilever_price_limits!B:B,
         [1]unilever_price_limits!C:C)</f>
        <v>10</v>
      </c>
      <c r="H268" s="8">
        <f t="shared" si="17"/>
        <v>12.661000000000001</v>
      </c>
      <c r="I268" s="6">
        <f t="shared" si="18"/>
        <v>10.000000000000009</v>
      </c>
      <c r="J268" t="str">
        <f t="shared" si="19"/>
        <v>OK</v>
      </c>
    </row>
    <row r="269" spans="1:10" x14ac:dyDescent="0.2">
      <c r="A269">
        <v>10268</v>
      </c>
      <c r="B269" t="s">
        <v>7</v>
      </c>
      <c r="C269" t="s">
        <v>11</v>
      </c>
      <c r="D269" s="8">
        <v>3.49</v>
      </c>
      <c r="E269">
        <v>1</v>
      </c>
      <c r="F269" t="str">
        <f t="shared" si="16"/>
        <v>Value</v>
      </c>
      <c r="G269" s="3" cm="1">
        <f t="array" ref="G269">_xlfn.XLOOKUP(C269 &amp; F269,
         [1]unilever_price_limits!A:A &amp; [1]unilever_price_limits!B:B,
         [1]unilever_price_limits!C:C)</f>
        <v>10</v>
      </c>
      <c r="H269" s="8">
        <f t="shared" si="17"/>
        <v>3.8390000000000004</v>
      </c>
      <c r="I269" s="6">
        <f t="shared" si="18"/>
        <v>10.000000000000009</v>
      </c>
      <c r="J269" t="str">
        <f t="shared" si="19"/>
        <v>OK</v>
      </c>
    </row>
    <row r="270" spans="1:10" x14ac:dyDescent="0.2">
      <c r="A270">
        <v>10269</v>
      </c>
      <c r="B270" t="s">
        <v>5</v>
      </c>
      <c r="C270" t="s">
        <v>11</v>
      </c>
      <c r="D270" s="8">
        <v>10.78</v>
      </c>
      <c r="E270">
        <v>7</v>
      </c>
      <c r="F270" t="str">
        <f t="shared" si="16"/>
        <v>Standard</v>
      </c>
      <c r="G270" s="3" cm="1">
        <f t="array" ref="G270">_xlfn.XLOOKUP(C270 &amp; F270,
         [1]unilever_price_limits!A:A &amp; [1]unilever_price_limits!B:B,
         [1]unilever_price_limits!C:C)</f>
        <v>25</v>
      </c>
      <c r="H270" s="8">
        <f t="shared" si="17"/>
        <v>13.475</v>
      </c>
      <c r="I270" s="6">
        <f t="shared" si="18"/>
        <v>25</v>
      </c>
      <c r="J270" t="str">
        <f t="shared" si="19"/>
        <v>OK</v>
      </c>
    </row>
    <row r="271" spans="1:10" x14ac:dyDescent="0.2">
      <c r="A271">
        <v>10270</v>
      </c>
      <c r="B271" t="s">
        <v>5</v>
      </c>
      <c r="C271" t="s">
        <v>9</v>
      </c>
      <c r="D271" s="8">
        <v>0.81</v>
      </c>
      <c r="E271">
        <v>3</v>
      </c>
      <c r="F271" t="str">
        <f t="shared" si="16"/>
        <v>Value</v>
      </c>
      <c r="G271" s="3" cm="1">
        <f t="array" ref="G271">_xlfn.XLOOKUP(C271 &amp; F271,
         [1]unilever_price_limits!A:A &amp; [1]unilever_price_limits!B:B,
         [1]unilever_price_limits!C:C)</f>
        <v>15</v>
      </c>
      <c r="H271" s="8">
        <f t="shared" si="17"/>
        <v>0.93149999999999999</v>
      </c>
      <c r="I271" s="6">
        <f t="shared" si="18"/>
        <v>14.999999999999991</v>
      </c>
      <c r="J271" t="str">
        <f t="shared" si="19"/>
        <v>OK</v>
      </c>
    </row>
    <row r="272" spans="1:10" x14ac:dyDescent="0.2">
      <c r="A272">
        <v>10271</v>
      </c>
      <c r="B272" t="s">
        <v>10</v>
      </c>
      <c r="C272" t="s">
        <v>6</v>
      </c>
      <c r="D272" s="8">
        <v>6.57</v>
      </c>
      <c r="E272">
        <v>10</v>
      </c>
      <c r="F272" t="str">
        <f t="shared" si="16"/>
        <v>Premium</v>
      </c>
      <c r="G272" s="3" cm="1">
        <f t="array" ref="G272">_xlfn.XLOOKUP(C272 &amp; F272,
         [1]unilever_price_limits!A:A &amp; [1]unilever_price_limits!B:B,
         [1]unilever_price_limits!C:C)</f>
        <v>55</v>
      </c>
      <c r="H272" s="8">
        <f t="shared" si="17"/>
        <v>10.1835</v>
      </c>
      <c r="I272" s="6">
        <f t="shared" si="18"/>
        <v>55.000000000000007</v>
      </c>
      <c r="J272" t="str">
        <f t="shared" si="19"/>
        <v>OK</v>
      </c>
    </row>
    <row r="273" spans="1:10" x14ac:dyDescent="0.2">
      <c r="A273">
        <v>10272</v>
      </c>
      <c r="B273" t="s">
        <v>7</v>
      </c>
      <c r="C273" t="s">
        <v>9</v>
      </c>
      <c r="D273" s="8">
        <v>11.75</v>
      </c>
      <c r="E273">
        <v>6</v>
      </c>
      <c r="F273" t="str">
        <f t="shared" si="16"/>
        <v>Standard</v>
      </c>
      <c r="G273" s="3" cm="1">
        <f t="array" ref="G273">_xlfn.XLOOKUP(C273 &amp; F273,
         [1]unilever_price_limits!A:A &amp; [1]unilever_price_limits!B:B,
         [1]unilever_price_limits!C:C)</f>
        <v>30</v>
      </c>
      <c r="H273" s="8">
        <f t="shared" si="17"/>
        <v>15.275</v>
      </c>
      <c r="I273" s="6">
        <f t="shared" si="18"/>
        <v>30.000000000000004</v>
      </c>
      <c r="J273" t="str">
        <f t="shared" si="19"/>
        <v>OK</v>
      </c>
    </row>
    <row r="274" spans="1:10" x14ac:dyDescent="0.2">
      <c r="A274">
        <v>10273</v>
      </c>
      <c r="B274" t="s">
        <v>7</v>
      </c>
      <c r="C274" t="s">
        <v>11</v>
      </c>
      <c r="D274" s="8">
        <v>5.41</v>
      </c>
      <c r="E274">
        <v>6</v>
      </c>
      <c r="F274" t="str">
        <f t="shared" si="16"/>
        <v>Standard</v>
      </c>
      <c r="G274" s="3" cm="1">
        <f t="array" ref="G274">_xlfn.XLOOKUP(C274 &amp; F274,
         [1]unilever_price_limits!A:A &amp; [1]unilever_price_limits!B:B,
         [1]unilever_price_limits!C:C)</f>
        <v>25</v>
      </c>
      <c r="H274" s="8">
        <f t="shared" si="17"/>
        <v>6.7625000000000002</v>
      </c>
      <c r="I274" s="6">
        <f t="shared" si="18"/>
        <v>25</v>
      </c>
      <c r="J274" t="str">
        <f t="shared" si="19"/>
        <v>OK</v>
      </c>
    </row>
    <row r="275" spans="1:10" x14ac:dyDescent="0.2">
      <c r="A275">
        <v>10274</v>
      </c>
      <c r="B275" t="s">
        <v>7</v>
      </c>
      <c r="C275" t="s">
        <v>11</v>
      </c>
      <c r="D275" s="8">
        <v>8.67</v>
      </c>
      <c r="E275">
        <v>4</v>
      </c>
      <c r="F275" t="str">
        <f t="shared" si="16"/>
        <v>Standard</v>
      </c>
      <c r="G275" s="3" cm="1">
        <f t="array" ref="G275">_xlfn.XLOOKUP(C275 &amp; F275,
         [1]unilever_price_limits!A:A &amp; [1]unilever_price_limits!B:B,
         [1]unilever_price_limits!C:C)</f>
        <v>25</v>
      </c>
      <c r="H275" s="8">
        <f t="shared" si="17"/>
        <v>10.8375</v>
      </c>
      <c r="I275" s="6">
        <f t="shared" si="18"/>
        <v>25</v>
      </c>
      <c r="J275" t="str">
        <f t="shared" si="19"/>
        <v>OK</v>
      </c>
    </row>
    <row r="276" spans="1:10" x14ac:dyDescent="0.2">
      <c r="A276">
        <v>10275</v>
      </c>
      <c r="B276" t="s">
        <v>8</v>
      </c>
      <c r="C276" t="s">
        <v>9</v>
      </c>
      <c r="D276" s="8">
        <v>3.47</v>
      </c>
      <c r="E276">
        <v>6</v>
      </c>
      <c r="F276" t="str">
        <f t="shared" si="16"/>
        <v>Standard</v>
      </c>
      <c r="G276" s="3" cm="1">
        <f t="array" ref="G276">_xlfn.XLOOKUP(C276 &amp; F276,
         [1]unilever_price_limits!A:A &amp; [1]unilever_price_limits!B:B,
         [1]unilever_price_limits!C:C)</f>
        <v>30</v>
      </c>
      <c r="H276" s="8">
        <f t="shared" si="17"/>
        <v>4.5110000000000001</v>
      </c>
      <c r="I276" s="6">
        <f t="shared" si="18"/>
        <v>30.000000000000004</v>
      </c>
      <c r="J276" t="str">
        <f t="shared" si="19"/>
        <v>OK</v>
      </c>
    </row>
    <row r="277" spans="1:10" x14ac:dyDescent="0.2">
      <c r="A277">
        <v>10276</v>
      </c>
      <c r="B277" t="s">
        <v>7</v>
      </c>
      <c r="C277" t="s">
        <v>9</v>
      </c>
      <c r="D277" s="8">
        <v>11.26</v>
      </c>
      <c r="E277">
        <v>10</v>
      </c>
      <c r="F277" t="str">
        <f t="shared" si="16"/>
        <v>Premium</v>
      </c>
      <c r="G277" s="3" cm="1">
        <f t="array" ref="G277">_xlfn.XLOOKUP(C277 &amp; F277,
         [1]unilever_price_limits!A:A &amp; [1]unilever_price_limits!B:B,
         [1]unilever_price_limits!C:C)</f>
        <v>60</v>
      </c>
      <c r="H277" s="8">
        <f t="shared" si="17"/>
        <v>18.016000000000002</v>
      </c>
      <c r="I277" s="6">
        <f t="shared" si="18"/>
        <v>60.000000000000007</v>
      </c>
      <c r="J277" t="str">
        <f t="shared" si="19"/>
        <v>OK</v>
      </c>
    </row>
    <row r="278" spans="1:10" x14ac:dyDescent="0.2">
      <c r="A278">
        <v>10277</v>
      </c>
      <c r="B278" t="s">
        <v>8</v>
      </c>
      <c r="C278" t="s">
        <v>11</v>
      </c>
      <c r="D278" s="8">
        <v>1.26</v>
      </c>
      <c r="E278">
        <v>4</v>
      </c>
      <c r="F278" t="str">
        <f t="shared" si="16"/>
        <v>Standard</v>
      </c>
      <c r="G278" s="3" cm="1">
        <f t="array" ref="G278">_xlfn.XLOOKUP(C278 &amp; F278,
         [1]unilever_price_limits!A:A &amp; [1]unilever_price_limits!B:B,
         [1]unilever_price_limits!C:C)</f>
        <v>25</v>
      </c>
      <c r="H278" s="8">
        <f t="shared" si="17"/>
        <v>1.575</v>
      </c>
      <c r="I278" s="6">
        <f t="shared" si="18"/>
        <v>25</v>
      </c>
      <c r="J278" t="str">
        <f t="shared" si="19"/>
        <v>OK</v>
      </c>
    </row>
    <row r="279" spans="1:10" x14ac:dyDescent="0.2">
      <c r="A279">
        <v>10278</v>
      </c>
      <c r="B279" t="s">
        <v>10</v>
      </c>
      <c r="C279" t="s">
        <v>11</v>
      </c>
      <c r="D279" s="8">
        <v>12.86</v>
      </c>
      <c r="E279">
        <v>8</v>
      </c>
      <c r="F279" t="str">
        <f t="shared" si="16"/>
        <v>Premium</v>
      </c>
      <c r="G279" s="3" cm="1">
        <f t="array" ref="G279">_xlfn.XLOOKUP(C279 &amp; F279,
         [1]unilever_price_limits!A:A &amp; [1]unilever_price_limits!B:B,
         [1]unilever_price_limits!C:C)</f>
        <v>50</v>
      </c>
      <c r="H279" s="8">
        <f t="shared" si="17"/>
        <v>19.29</v>
      </c>
      <c r="I279" s="6">
        <f t="shared" si="18"/>
        <v>50</v>
      </c>
      <c r="J279" t="str">
        <f t="shared" si="19"/>
        <v>OK</v>
      </c>
    </row>
    <row r="280" spans="1:10" x14ac:dyDescent="0.2">
      <c r="A280">
        <v>10279</v>
      </c>
      <c r="B280" t="s">
        <v>8</v>
      </c>
      <c r="C280" t="s">
        <v>11</v>
      </c>
      <c r="D280" s="8">
        <v>3.37</v>
      </c>
      <c r="E280">
        <v>9</v>
      </c>
      <c r="F280" t="str">
        <f t="shared" si="16"/>
        <v>Premium</v>
      </c>
      <c r="G280" s="3" cm="1">
        <f t="array" ref="G280">_xlfn.XLOOKUP(C280 &amp; F280,
         [1]unilever_price_limits!A:A &amp; [1]unilever_price_limits!B:B,
         [1]unilever_price_limits!C:C)</f>
        <v>50</v>
      </c>
      <c r="H280" s="8">
        <f t="shared" si="17"/>
        <v>5.0549999999999997</v>
      </c>
      <c r="I280" s="6">
        <f t="shared" si="18"/>
        <v>49.999999999999979</v>
      </c>
      <c r="J280" t="str">
        <f t="shared" si="19"/>
        <v>OK</v>
      </c>
    </row>
    <row r="281" spans="1:10" x14ac:dyDescent="0.2">
      <c r="A281">
        <v>10280</v>
      </c>
      <c r="B281" t="s">
        <v>10</v>
      </c>
      <c r="C281" t="s">
        <v>9</v>
      </c>
      <c r="D281" s="8">
        <v>13.18</v>
      </c>
      <c r="E281">
        <v>2</v>
      </c>
      <c r="F281" t="str">
        <f t="shared" si="16"/>
        <v>Value</v>
      </c>
      <c r="G281" s="3" cm="1">
        <f t="array" ref="G281">_xlfn.XLOOKUP(C281 &amp; F281,
         [1]unilever_price_limits!A:A &amp; [1]unilever_price_limits!B:B,
         [1]unilever_price_limits!C:C)</f>
        <v>15</v>
      </c>
      <c r="H281" s="8">
        <f t="shared" si="17"/>
        <v>15.156999999999998</v>
      </c>
      <c r="I281" s="6">
        <f t="shared" si="18"/>
        <v>14.999999999999991</v>
      </c>
      <c r="J281" t="str">
        <f t="shared" si="19"/>
        <v>OK</v>
      </c>
    </row>
    <row r="282" spans="1:10" x14ac:dyDescent="0.2">
      <c r="A282">
        <v>10281</v>
      </c>
      <c r="B282" t="s">
        <v>7</v>
      </c>
      <c r="C282" t="s">
        <v>11</v>
      </c>
      <c r="D282" s="8">
        <v>5.61</v>
      </c>
      <c r="E282">
        <v>7</v>
      </c>
      <c r="F282" t="str">
        <f t="shared" si="16"/>
        <v>Standard</v>
      </c>
      <c r="G282" s="3" cm="1">
        <f t="array" ref="G282">_xlfn.XLOOKUP(C282 &amp; F282,
         [1]unilever_price_limits!A:A &amp; [1]unilever_price_limits!B:B,
         [1]unilever_price_limits!C:C)</f>
        <v>25</v>
      </c>
      <c r="H282" s="8">
        <f t="shared" si="17"/>
        <v>7.0125000000000002</v>
      </c>
      <c r="I282" s="6">
        <f t="shared" si="18"/>
        <v>25</v>
      </c>
      <c r="J282" t="str">
        <f t="shared" si="19"/>
        <v>OK</v>
      </c>
    </row>
    <row r="283" spans="1:10" x14ac:dyDescent="0.2">
      <c r="A283">
        <v>10282</v>
      </c>
      <c r="B283" t="s">
        <v>7</v>
      </c>
      <c r="C283" t="s">
        <v>11</v>
      </c>
      <c r="D283" s="8">
        <v>10.98</v>
      </c>
      <c r="E283">
        <v>9</v>
      </c>
      <c r="F283" t="str">
        <f t="shared" si="16"/>
        <v>Premium</v>
      </c>
      <c r="G283" s="3" cm="1">
        <f t="array" ref="G283">_xlfn.XLOOKUP(C283 &amp; F283,
         [1]unilever_price_limits!A:A &amp; [1]unilever_price_limits!B:B,
         [1]unilever_price_limits!C:C)</f>
        <v>50</v>
      </c>
      <c r="H283" s="8">
        <f t="shared" si="17"/>
        <v>16.47</v>
      </c>
      <c r="I283" s="6">
        <f t="shared" si="18"/>
        <v>49.999999999999979</v>
      </c>
      <c r="J283" t="str">
        <f t="shared" si="19"/>
        <v>OK</v>
      </c>
    </row>
    <row r="284" spans="1:10" x14ac:dyDescent="0.2">
      <c r="A284">
        <v>10283</v>
      </c>
      <c r="B284" t="s">
        <v>10</v>
      </c>
      <c r="C284" t="s">
        <v>6</v>
      </c>
      <c r="D284" s="8">
        <v>5.13</v>
      </c>
      <c r="E284">
        <v>9</v>
      </c>
      <c r="F284" t="str">
        <f t="shared" si="16"/>
        <v>Premium</v>
      </c>
      <c r="G284" s="3" cm="1">
        <f t="array" ref="G284">_xlfn.XLOOKUP(C284 &amp; F284,
         [1]unilever_price_limits!A:A &amp; [1]unilever_price_limits!B:B,
         [1]unilever_price_limits!C:C)</f>
        <v>55</v>
      </c>
      <c r="H284" s="8">
        <f t="shared" si="17"/>
        <v>7.9515000000000002</v>
      </c>
      <c r="I284" s="6">
        <f t="shared" si="18"/>
        <v>55.000000000000007</v>
      </c>
      <c r="J284" t="str">
        <f t="shared" si="19"/>
        <v>OK</v>
      </c>
    </row>
    <row r="285" spans="1:10" x14ac:dyDescent="0.2">
      <c r="A285">
        <v>10284</v>
      </c>
      <c r="B285" t="s">
        <v>5</v>
      </c>
      <c r="C285" t="s">
        <v>9</v>
      </c>
      <c r="D285" s="8">
        <v>13.64</v>
      </c>
      <c r="E285">
        <v>5</v>
      </c>
      <c r="F285" t="str">
        <f t="shared" si="16"/>
        <v>Standard</v>
      </c>
      <c r="G285" s="3" cm="1">
        <f t="array" ref="G285">_xlfn.XLOOKUP(C285 &amp; F285,
         [1]unilever_price_limits!A:A &amp; [1]unilever_price_limits!B:B,
         [1]unilever_price_limits!C:C)</f>
        <v>30</v>
      </c>
      <c r="H285" s="8">
        <f t="shared" si="17"/>
        <v>17.732000000000003</v>
      </c>
      <c r="I285" s="6">
        <f t="shared" si="18"/>
        <v>30.000000000000028</v>
      </c>
      <c r="J285" t="str">
        <f t="shared" si="19"/>
        <v>OK</v>
      </c>
    </row>
    <row r="286" spans="1:10" x14ac:dyDescent="0.2">
      <c r="A286">
        <v>10285</v>
      </c>
      <c r="B286" t="s">
        <v>10</v>
      </c>
      <c r="C286" t="s">
        <v>6</v>
      </c>
      <c r="D286" s="8">
        <v>2.34</v>
      </c>
      <c r="E286">
        <v>1</v>
      </c>
      <c r="F286" t="str">
        <f t="shared" si="16"/>
        <v>Value</v>
      </c>
      <c r="G286" s="3" cm="1">
        <f t="array" ref="G286">_xlfn.XLOOKUP(C286 &amp; F286,
         [1]unilever_price_limits!A:A &amp; [1]unilever_price_limits!B:B,
         [1]unilever_price_limits!C:C)</f>
        <v>12</v>
      </c>
      <c r="H286" s="8">
        <f t="shared" si="17"/>
        <v>2.6208</v>
      </c>
      <c r="I286" s="6">
        <f t="shared" si="18"/>
        <v>12.000000000000011</v>
      </c>
      <c r="J286" t="str">
        <f t="shared" si="19"/>
        <v>OK</v>
      </c>
    </row>
    <row r="287" spans="1:10" x14ac:dyDescent="0.2">
      <c r="A287">
        <v>10286</v>
      </c>
      <c r="B287" t="s">
        <v>5</v>
      </c>
      <c r="C287" t="s">
        <v>6</v>
      </c>
      <c r="D287" s="8">
        <v>3.09</v>
      </c>
      <c r="E287">
        <v>6</v>
      </c>
      <c r="F287" t="str">
        <f t="shared" si="16"/>
        <v>Standard</v>
      </c>
      <c r="G287" s="3" cm="1">
        <f t="array" ref="G287">_xlfn.XLOOKUP(C287 &amp; F287,
         [1]unilever_price_limits!A:A &amp; [1]unilever_price_limits!B:B,
         [1]unilever_price_limits!C:C)</f>
        <v>28</v>
      </c>
      <c r="H287" s="8">
        <f t="shared" si="17"/>
        <v>3.9552</v>
      </c>
      <c r="I287" s="6">
        <f t="shared" si="18"/>
        <v>28.000000000000004</v>
      </c>
      <c r="J287" t="str">
        <f t="shared" si="19"/>
        <v>OK</v>
      </c>
    </row>
    <row r="288" spans="1:10" x14ac:dyDescent="0.2">
      <c r="A288">
        <v>10287</v>
      </c>
      <c r="B288" t="s">
        <v>8</v>
      </c>
      <c r="C288" t="s">
        <v>11</v>
      </c>
      <c r="D288" s="8">
        <v>7.65</v>
      </c>
      <c r="E288">
        <v>8</v>
      </c>
      <c r="F288" t="str">
        <f t="shared" si="16"/>
        <v>Premium</v>
      </c>
      <c r="G288" s="3" cm="1">
        <f t="array" ref="G288">_xlfn.XLOOKUP(C288 &amp; F288,
         [1]unilever_price_limits!A:A &amp; [1]unilever_price_limits!B:B,
         [1]unilever_price_limits!C:C)</f>
        <v>50</v>
      </c>
      <c r="H288" s="8">
        <f t="shared" si="17"/>
        <v>11.475000000000001</v>
      </c>
      <c r="I288" s="6">
        <f t="shared" si="18"/>
        <v>50.000000000000021</v>
      </c>
      <c r="J288" t="str">
        <f t="shared" si="19"/>
        <v>OK</v>
      </c>
    </row>
    <row r="289" spans="1:10" x14ac:dyDescent="0.2">
      <c r="A289">
        <v>10288</v>
      </c>
      <c r="B289" t="s">
        <v>8</v>
      </c>
      <c r="C289" t="s">
        <v>9</v>
      </c>
      <c r="D289" s="8">
        <v>1.69</v>
      </c>
      <c r="E289">
        <v>1</v>
      </c>
      <c r="F289" t="str">
        <f t="shared" si="16"/>
        <v>Value</v>
      </c>
      <c r="G289" s="3" cm="1">
        <f t="array" ref="G289">_xlfn.XLOOKUP(C289 &amp; F289,
         [1]unilever_price_limits!A:A &amp; [1]unilever_price_limits!B:B,
         [1]unilever_price_limits!C:C)</f>
        <v>15</v>
      </c>
      <c r="H289" s="8">
        <f t="shared" si="17"/>
        <v>1.9434999999999998</v>
      </c>
      <c r="I289" s="6">
        <f t="shared" si="18"/>
        <v>14.999999999999991</v>
      </c>
      <c r="J289" t="str">
        <f t="shared" si="19"/>
        <v>OK</v>
      </c>
    </row>
    <row r="290" spans="1:10" x14ac:dyDescent="0.2">
      <c r="A290">
        <v>10289</v>
      </c>
      <c r="B290" t="s">
        <v>8</v>
      </c>
      <c r="C290" t="s">
        <v>11</v>
      </c>
      <c r="D290" s="8">
        <v>3.34</v>
      </c>
      <c r="E290">
        <v>2</v>
      </c>
      <c r="F290" t="str">
        <f t="shared" si="16"/>
        <v>Value</v>
      </c>
      <c r="G290" s="3" cm="1">
        <f t="array" ref="G290">_xlfn.XLOOKUP(C290 &amp; F290,
         [1]unilever_price_limits!A:A &amp; [1]unilever_price_limits!B:B,
         [1]unilever_price_limits!C:C)</f>
        <v>10</v>
      </c>
      <c r="H290" s="8">
        <f t="shared" si="17"/>
        <v>3.6739999999999999</v>
      </c>
      <c r="I290" s="6">
        <f t="shared" si="18"/>
        <v>10.000000000000009</v>
      </c>
      <c r="J290" t="str">
        <f t="shared" si="19"/>
        <v>OK</v>
      </c>
    </row>
    <row r="291" spans="1:10" x14ac:dyDescent="0.2">
      <c r="A291">
        <v>10290</v>
      </c>
      <c r="B291" t="s">
        <v>7</v>
      </c>
      <c r="C291" t="s">
        <v>9</v>
      </c>
      <c r="D291" s="8">
        <v>14.18</v>
      </c>
      <c r="E291">
        <v>1</v>
      </c>
      <c r="F291" t="str">
        <f t="shared" si="16"/>
        <v>Value</v>
      </c>
      <c r="G291" s="3" cm="1">
        <f t="array" ref="G291">_xlfn.XLOOKUP(C291 &amp; F291,
         [1]unilever_price_limits!A:A &amp; [1]unilever_price_limits!B:B,
         [1]unilever_price_limits!C:C)</f>
        <v>15</v>
      </c>
      <c r="H291" s="8">
        <f t="shared" si="17"/>
        <v>16.306999999999999</v>
      </c>
      <c r="I291" s="6">
        <f t="shared" si="18"/>
        <v>14.999999999999991</v>
      </c>
      <c r="J291" t="str">
        <f t="shared" si="19"/>
        <v>OK</v>
      </c>
    </row>
    <row r="292" spans="1:10" x14ac:dyDescent="0.2">
      <c r="A292">
        <v>10291</v>
      </c>
      <c r="B292" t="s">
        <v>8</v>
      </c>
      <c r="C292" t="s">
        <v>6</v>
      </c>
      <c r="D292" s="8">
        <v>14.66</v>
      </c>
      <c r="E292">
        <v>5</v>
      </c>
      <c r="F292" t="str">
        <f t="shared" si="16"/>
        <v>Standard</v>
      </c>
      <c r="G292" s="3" cm="1">
        <f t="array" ref="G292">_xlfn.XLOOKUP(C292 &amp; F292,
         [1]unilever_price_limits!A:A &amp; [1]unilever_price_limits!B:B,
         [1]unilever_price_limits!C:C)</f>
        <v>28</v>
      </c>
      <c r="H292" s="8">
        <f t="shared" si="17"/>
        <v>18.764800000000001</v>
      </c>
      <c r="I292" s="6">
        <f t="shared" si="18"/>
        <v>28.000000000000004</v>
      </c>
      <c r="J292" t="str">
        <f t="shared" si="19"/>
        <v>OK</v>
      </c>
    </row>
    <row r="293" spans="1:10" x14ac:dyDescent="0.2">
      <c r="A293">
        <v>10292</v>
      </c>
      <c r="B293" t="s">
        <v>5</v>
      </c>
      <c r="C293" t="s">
        <v>9</v>
      </c>
      <c r="D293" s="8">
        <v>5.96</v>
      </c>
      <c r="E293">
        <v>2</v>
      </c>
      <c r="F293" t="str">
        <f t="shared" si="16"/>
        <v>Value</v>
      </c>
      <c r="G293" s="3" cm="1">
        <f t="array" ref="G293">_xlfn.XLOOKUP(C293 &amp; F293,
         [1]unilever_price_limits!A:A &amp; [1]unilever_price_limits!B:B,
         [1]unilever_price_limits!C:C)</f>
        <v>15</v>
      </c>
      <c r="H293" s="8">
        <f t="shared" si="17"/>
        <v>6.8539999999999992</v>
      </c>
      <c r="I293" s="6">
        <f t="shared" si="18"/>
        <v>14.999999999999991</v>
      </c>
      <c r="J293" t="str">
        <f t="shared" si="19"/>
        <v>OK</v>
      </c>
    </row>
    <row r="294" spans="1:10" x14ac:dyDescent="0.2">
      <c r="A294">
        <v>10293</v>
      </c>
      <c r="B294" t="s">
        <v>8</v>
      </c>
      <c r="C294" t="s">
        <v>11</v>
      </c>
      <c r="D294" s="8">
        <v>13.89</v>
      </c>
      <c r="E294">
        <v>10</v>
      </c>
      <c r="F294" t="str">
        <f t="shared" si="16"/>
        <v>Premium</v>
      </c>
      <c r="G294" s="3" cm="1">
        <f t="array" ref="G294">_xlfn.XLOOKUP(C294 &amp; F294,
         [1]unilever_price_limits!A:A &amp; [1]unilever_price_limits!B:B,
         [1]unilever_price_limits!C:C)</f>
        <v>50</v>
      </c>
      <c r="H294" s="8">
        <f t="shared" si="17"/>
        <v>20.835000000000001</v>
      </c>
      <c r="I294" s="6">
        <f t="shared" si="18"/>
        <v>50</v>
      </c>
      <c r="J294" t="str">
        <f t="shared" si="19"/>
        <v>OK</v>
      </c>
    </row>
    <row r="295" spans="1:10" x14ac:dyDescent="0.2">
      <c r="A295">
        <v>10294</v>
      </c>
      <c r="B295" t="s">
        <v>10</v>
      </c>
      <c r="C295" t="s">
        <v>11</v>
      </c>
      <c r="D295" s="8">
        <v>8.4</v>
      </c>
      <c r="E295">
        <v>10</v>
      </c>
      <c r="F295" t="str">
        <f t="shared" si="16"/>
        <v>Premium</v>
      </c>
      <c r="G295" s="3" cm="1">
        <f t="array" ref="G295">_xlfn.XLOOKUP(C295 &amp; F295,
         [1]unilever_price_limits!A:A &amp; [1]unilever_price_limits!B:B,
         [1]unilever_price_limits!C:C)</f>
        <v>50</v>
      </c>
      <c r="H295" s="8">
        <f t="shared" si="17"/>
        <v>12.600000000000001</v>
      </c>
      <c r="I295" s="6">
        <f t="shared" si="18"/>
        <v>50</v>
      </c>
      <c r="J295" t="str">
        <f t="shared" si="19"/>
        <v>OK</v>
      </c>
    </row>
    <row r="296" spans="1:10" x14ac:dyDescent="0.2">
      <c r="A296">
        <v>10295</v>
      </c>
      <c r="B296" t="s">
        <v>10</v>
      </c>
      <c r="C296" t="s">
        <v>11</v>
      </c>
      <c r="D296" s="8">
        <v>4.41</v>
      </c>
      <c r="E296">
        <v>4</v>
      </c>
      <c r="F296" t="str">
        <f t="shared" si="16"/>
        <v>Standard</v>
      </c>
      <c r="G296" s="3" cm="1">
        <f t="array" ref="G296">_xlfn.XLOOKUP(C296 &amp; F296,
         [1]unilever_price_limits!A:A &amp; [1]unilever_price_limits!B:B,
         [1]unilever_price_limits!C:C)</f>
        <v>25</v>
      </c>
      <c r="H296" s="8">
        <f t="shared" si="17"/>
        <v>5.5125000000000002</v>
      </c>
      <c r="I296" s="6">
        <f t="shared" si="18"/>
        <v>25</v>
      </c>
      <c r="J296" t="str">
        <f t="shared" si="19"/>
        <v>OK</v>
      </c>
    </row>
    <row r="297" spans="1:10" x14ac:dyDescent="0.2">
      <c r="A297">
        <v>10296</v>
      </c>
      <c r="B297" t="s">
        <v>7</v>
      </c>
      <c r="C297" t="s">
        <v>9</v>
      </c>
      <c r="D297" s="8">
        <v>10.68</v>
      </c>
      <c r="E297">
        <v>1</v>
      </c>
      <c r="F297" t="str">
        <f t="shared" si="16"/>
        <v>Value</v>
      </c>
      <c r="G297" s="3" cm="1">
        <f t="array" ref="G297">_xlfn.XLOOKUP(C297 &amp; F297,
         [1]unilever_price_limits!A:A &amp; [1]unilever_price_limits!B:B,
         [1]unilever_price_limits!C:C)</f>
        <v>15</v>
      </c>
      <c r="H297" s="8">
        <f t="shared" si="17"/>
        <v>12.281999999999998</v>
      </c>
      <c r="I297" s="6">
        <f t="shared" si="18"/>
        <v>14.999999999999991</v>
      </c>
      <c r="J297" t="str">
        <f t="shared" si="19"/>
        <v>OK</v>
      </c>
    </row>
    <row r="298" spans="1:10" x14ac:dyDescent="0.2">
      <c r="A298">
        <v>10297</v>
      </c>
      <c r="B298" t="s">
        <v>10</v>
      </c>
      <c r="C298" t="s">
        <v>6</v>
      </c>
      <c r="D298" s="8">
        <v>10.050000000000001</v>
      </c>
      <c r="E298">
        <v>7</v>
      </c>
      <c r="F298" t="str">
        <f t="shared" si="16"/>
        <v>Standard</v>
      </c>
      <c r="G298" s="3" cm="1">
        <f t="array" ref="G298">_xlfn.XLOOKUP(C298 &amp; F298,
         [1]unilever_price_limits!A:A &amp; [1]unilever_price_limits!B:B,
         [1]unilever_price_limits!C:C)</f>
        <v>28</v>
      </c>
      <c r="H298" s="8">
        <f t="shared" si="17"/>
        <v>12.864000000000001</v>
      </c>
      <c r="I298" s="6">
        <f t="shared" si="18"/>
        <v>28.000000000000004</v>
      </c>
      <c r="J298" t="str">
        <f t="shared" si="19"/>
        <v>OK</v>
      </c>
    </row>
    <row r="299" spans="1:10" x14ac:dyDescent="0.2">
      <c r="A299">
        <v>10298</v>
      </c>
      <c r="B299" t="s">
        <v>5</v>
      </c>
      <c r="C299" t="s">
        <v>6</v>
      </c>
      <c r="D299" s="8">
        <v>14.84</v>
      </c>
      <c r="E299">
        <v>8</v>
      </c>
      <c r="F299" t="str">
        <f t="shared" si="16"/>
        <v>Premium</v>
      </c>
      <c r="G299" s="3" cm="1">
        <f t="array" ref="G299">_xlfn.XLOOKUP(C299 &amp; F299,
         [1]unilever_price_limits!A:A &amp; [1]unilever_price_limits!B:B,
         [1]unilever_price_limits!C:C)</f>
        <v>55</v>
      </c>
      <c r="H299" s="8">
        <f t="shared" si="17"/>
        <v>23.001999999999999</v>
      </c>
      <c r="I299" s="6">
        <f t="shared" si="18"/>
        <v>55.000000000000007</v>
      </c>
      <c r="J299" t="str">
        <f t="shared" si="19"/>
        <v>OK</v>
      </c>
    </row>
    <row r="300" spans="1:10" x14ac:dyDescent="0.2">
      <c r="A300">
        <v>10299</v>
      </c>
      <c r="B300" t="s">
        <v>8</v>
      </c>
      <c r="C300" t="s">
        <v>9</v>
      </c>
      <c r="D300" s="8">
        <v>4.34</v>
      </c>
      <c r="E300">
        <v>5</v>
      </c>
      <c r="F300" t="str">
        <f t="shared" si="16"/>
        <v>Standard</v>
      </c>
      <c r="G300" s="3" cm="1">
        <f t="array" ref="G300">_xlfn.XLOOKUP(C300 &amp; F300,
         [1]unilever_price_limits!A:A &amp; [1]unilever_price_limits!B:B,
         [1]unilever_price_limits!C:C)</f>
        <v>30</v>
      </c>
      <c r="H300" s="8">
        <f t="shared" si="17"/>
        <v>5.6420000000000003</v>
      </c>
      <c r="I300" s="6">
        <f t="shared" si="18"/>
        <v>30.000000000000004</v>
      </c>
      <c r="J300" t="str">
        <f t="shared" si="19"/>
        <v>OK</v>
      </c>
    </row>
    <row r="301" spans="1:10" x14ac:dyDescent="0.2">
      <c r="A301">
        <v>10300</v>
      </c>
      <c r="B301" t="s">
        <v>7</v>
      </c>
      <c r="C301" t="s">
        <v>11</v>
      </c>
      <c r="D301" s="8">
        <v>10.24</v>
      </c>
      <c r="E301">
        <v>2</v>
      </c>
      <c r="F301" t="str">
        <f t="shared" si="16"/>
        <v>Value</v>
      </c>
      <c r="G301" s="3" cm="1">
        <f t="array" ref="G301">_xlfn.XLOOKUP(C301 &amp; F301,
         [1]unilever_price_limits!A:A &amp; [1]unilever_price_limits!B:B,
         [1]unilever_price_limits!C:C)</f>
        <v>10</v>
      </c>
      <c r="H301" s="8">
        <f t="shared" si="17"/>
        <v>11.264000000000001</v>
      </c>
      <c r="I301" s="6">
        <f t="shared" si="18"/>
        <v>10.000000000000009</v>
      </c>
      <c r="J301" t="str">
        <f t="shared" si="19"/>
        <v>OK</v>
      </c>
    </row>
    <row r="302" spans="1:10" x14ac:dyDescent="0.2">
      <c r="A302">
        <v>10301</v>
      </c>
      <c r="B302" t="s">
        <v>8</v>
      </c>
      <c r="C302" t="s">
        <v>6</v>
      </c>
      <c r="D302" s="8">
        <v>1.25</v>
      </c>
      <c r="E302">
        <v>8</v>
      </c>
      <c r="F302" t="str">
        <f t="shared" si="16"/>
        <v>Premium</v>
      </c>
      <c r="G302" s="3" cm="1">
        <f t="array" ref="G302">_xlfn.XLOOKUP(C302 &amp; F302,
         [1]unilever_price_limits!A:A &amp; [1]unilever_price_limits!B:B,
         [1]unilever_price_limits!C:C)</f>
        <v>55</v>
      </c>
      <c r="H302" s="8">
        <f t="shared" si="17"/>
        <v>1.9375</v>
      </c>
      <c r="I302" s="6">
        <f t="shared" si="18"/>
        <v>55.000000000000007</v>
      </c>
      <c r="J302" t="str">
        <f t="shared" si="19"/>
        <v>OK</v>
      </c>
    </row>
    <row r="303" spans="1:10" x14ac:dyDescent="0.2">
      <c r="A303">
        <v>10302</v>
      </c>
      <c r="B303" t="s">
        <v>8</v>
      </c>
      <c r="C303" t="s">
        <v>11</v>
      </c>
      <c r="D303" s="8">
        <v>2.15</v>
      </c>
      <c r="E303">
        <v>1</v>
      </c>
      <c r="F303" t="str">
        <f t="shared" si="16"/>
        <v>Value</v>
      </c>
      <c r="G303" s="3" cm="1">
        <f t="array" ref="G303">_xlfn.XLOOKUP(C303 &amp; F303,
         [1]unilever_price_limits!A:A &amp; [1]unilever_price_limits!B:B,
         [1]unilever_price_limits!C:C)</f>
        <v>10</v>
      </c>
      <c r="H303" s="8">
        <f t="shared" si="17"/>
        <v>2.3650000000000002</v>
      </c>
      <c r="I303" s="6">
        <f t="shared" si="18"/>
        <v>10.000000000000009</v>
      </c>
      <c r="J303" t="str">
        <f t="shared" si="19"/>
        <v>OK</v>
      </c>
    </row>
    <row r="304" spans="1:10" x14ac:dyDescent="0.2">
      <c r="A304">
        <v>10303</v>
      </c>
      <c r="B304" t="s">
        <v>5</v>
      </c>
      <c r="C304" t="s">
        <v>9</v>
      </c>
      <c r="D304" s="8">
        <v>0.56000000000000005</v>
      </c>
      <c r="E304">
        <v>7</v>
      </c>
      <c r="F304" t="str">
        <f t="shared" si="16"/>
        <v>Standard</v>
      </c>
      <c r="G304" s="3" cm="1">
        <f t="array" ref="G304">_xlfn.XLOOKUP(C304 &amp; F304,
         [1]unilever_price_limits!A:A &amp; [1]unilever_price_limits!B:B,
         [1]unilever_price_limits!C:C)</f>
        <v>30</v>
      </c>
      <c r="H304" s="8">
        <f t="shared" si="17"/>
        <v>0.72800000000000009</v>
      </c>
      <c r="I304" s="6">
        <f t="shared" si="18"/>
        <v>30.000000000000004</v>
      </c>
      <c r="J304" t="str">
        <f t="shared" si="19"/>
        <v>OK</v>
      </c>
    </row>
    <row r="305" spans="1:10" x14ac:dyDescent="0.2">
      <c r="A305">
        <v>10304</v>
      </c>
      <c r="B305" t="s">
        <v>10</v>
      </c>
      <c r="C305" t="s">
        <v>11</v>
      </c>
      <c r="D305" s="8">
        <v>14.99</v>
      </c>
      <c r="E305">
        <v>1</v>
      </c>
      <c r="F305" t="str">
        <f t="shared" si="16"/>
        <v>Value</v>
      </c>
      <c r="G305" s="3" cm="1">
        <f t="array" ref="G305">_xlfn.XLOOKUP(C305 &amp; F305,
         [1]unilever_price_limits!A:A &amp; [1]unilever_price_limits!B:B,
         [1]unilever_price_limits!C:C)</f>
        <v>10</v>
      </c>
      <c r="H305" s="8">
        <f t="shared" si="17"/>
        <v>16.489000000000001</v>
      </c>
      <c r="I305" s="6">
        <f t="shared" si="18"/>
        <v>10.000000000000009</v>
      </c>
      <c r="J305" t="str">
        <f t="shared" si="19"/>
        <v>OK</v>
      </c>
    </row>
    <row r="306" spans="1:10" x14ac:dyDescent="0.2">
      <c r="A306">
        <v>10305</v>
      </c>
      <c r="B306" t="s">
        <v>10</v>
      </c>
      <c r="C306" t="s">
        <v>6</v>
      </c>
      <c r="D306" s="8">
        <v>12.13</v>
      </c>
      <c r="E306">
        <v>6</v>
      </c>
      <c r="F306" t="str">
        <f t="shared" si="16"/>
        <v>Standard</v>
      </c>
      <c r="G306" s="3" cm="1">
        <f t="array" ref="G306">_xlfn.XLOOKUP(C306 &amp; F306,
         [1]unilever_price_limits!A:A &amp; [1]unilever_price_limits!B:B,
         [1]unilever_price_limits!C:C)</f>
        <v>28</v>
      </c>
      <c r="H306" s="8">
        <f t="shared" si="17"/>
        <v>15.526400000000001</v>
      </c>
      <c r="I306" s="6">
        <f t="shared" si="18"/>
        <v>28.000000000000004</v>
      </c>
      <c r="J306" t="str">
        <f t="shared" si="19"/>
        <v>OK</v>
      </c>
    </row>
    <row r="307" spans="1:10" x14ac:dyDescent="0.2">
      <c r="A307">
        <v>10306</v>
      </c>
      <c r="B307" t="s">
        <v>8</v>
      </c>
      <c r="C307" t="s">
        <v>6</v>
      </c>
      <c r="D307" s="8">
        <v>11.91</v>
      </c>
      <c r="E307">
        <v>6</v>
      </c>
      <c r="F307" t="str">
        <f t="shared" si="16"/>
        <v>Standard</v>
      </c>
      <c r="G307" s="3" cm="1">
        <f t="array" ref="G307">_xlfn.XLOOKUP(C307 &amp; F307,
         [1]unilever_price_limits!A:A &amp; [1]unilever_price_limits!B:B,
         [1]unilever_price_limits!C:C)</f>
        <v>28</v>
      </c>
      <c r="H307" s="8">
        <f t="shared" si="17"/>
        <v>15.2448</v>
      </c>
      <c r="I307" s="6">
        <f t="shared" si="18"/>
        <v>28.000000000000004</v>
      </c>
      <c r="J307" t="str">
        <f t="shared" si="19"/>
        <v>OK</v>
      </c>
    </row>
    <row r="308" spans="1:10" x14ac:dyDescent="0.2">
      <c r="A308">
        <v>10307</v>
      </c>
      <c r="B308" t="s">
        <v>7</v>
      </c>
      <c r="C308" t="s">
        <v>11</v>
      </c>
      <c r="D308" s="8">
        <v>7.89</v>
      </c>
      <c r="E308">
        <v>5</v>
      </c>
      <c r="F308" t="str">
        <f t="shared" si="16"/>
        <v>Standard</v>
      </c>
      <c r="G308" s="3" cm="1">
        <f t="array" ref="G308">_xlfn.XLOOKUP(C308 &amp; F308,
         [1]unilever_price_limits!A:A &amp; [1]unilever_price_limits!B:B,
         [1]unilever_price_limits!C:C)</f>
        <v>25</v>
      </c>
      <c r="H308" s="8">
        <f t="shared" si="17"/>
        <v>9.8624999999999989</v>
      </c>
      <c r="I308" s="6">
        <f t="shared" si="18"/>
        <v>25</v>
      </c>
      <c r="J308" t="str">
        <f t="shared" si="19"/>
        <v>OK</v>
      </c>
    </row>
    <row r="309" spans="1:10" x14ac:dyDescent="0.2">
      <c r="A309">
        <v>10308</v>
      </c>
      <c r="B309" t="s">
        <v>10</v>
      </c>
      <c r="C309" t="s">
        <v>9</v>
      </c>
      <c r="D309" s="8">
        <v>4.8499999999999996</v>
      </c>
      <c r="E309">
        <v>2</v>
      </c>
      <c r="F309" t="str">
        <f t="shared" si="16"/>
        <v>Value</v>
      </c>
      <c r="G309" s="3" cm="1">
        <f t="array" ref="G309">_xlfn.XLOOKUP(C309 &amp; F309,
         [1]unilever_price_limits!A:A &amp; [1]unilever_price_limits!B:B,
         [1]unilever_price_limits!C:C)</f>
        <v>15</v>
      </c>
      <c r="H309" s="8">
        <f t="shared" si="17"/>
        <v>5.5774999999999988</v>
      </c>
      <c r="I309" s="6">
        <f t="shared" si="18"/>
        <v>14.999999999999991</v>
      </c>
      <c r="J309" t="str">
        <f t="shared" si="19"/>
        <v>OK</v>
      </c>
    </row>
    <row r="310" spans="1:10" x14ac:dyDescent="0.2">
      <c r="A310">
        <v>10309</v>
      </c>
      <c r="B310" t="s">
        <v>7</v>
      </c>
      <c r="C310" t="s">
        <v>11</v>
      </c>
      <c r="D310" s="8">
        <v>2.69</v>
      </c>
      <c r="E310">
        <v>2</v>
      </c>
      <c r="F310" t="str">
        <f t="shared" si="16"/>
        <v>Value</v>
      </c>
      <c r="G310" s="3" cm="1">
        <f t="array" ref="G310">_xlfn.XLOOKUP(C310 &amp; F310,
         [1]unilever_price_limits!A:A &amp; [1]unilever_price_limits!B:B,
         [1]unilever_price_limits!C:C)</f>
        <v>10</v>
      </c>
      <c r="H310" s="8">
        <f t="shared" si="17"/>
        <v>2.9590000000000001</v>
      </c>
      <c r="I310" s="6">
        <f t="shared" si="18"/>
        <v>10.000000000000009</v>
      </c>
      <c r="J310" t="str">
        <f t="shared" si="19"/>
        <v>OK</v>
      </c>
    </row>
    <row r="311" spans="1:10" x14ac:dyDescent="0.2">
      <c r="A311">
        <v>10310</v>
      </c>
      <c r="B311" t="s">
        <v>10</v>
      </c>
      <c r="C311" t="s">
        <v>9</v>
      </c>
      <c r="D311" s="8">
        <v>4.63</v>
      </c>
      <c r="E311">
        <v>9</v>
      </c>
      <c r="F311" t="str">
        <f t="shared" si="16"/>
        <v>Premium</v>
      </c>
      <c r="G311" s="3" cm="1">
        <f t="array" ref="G311">_xlfn.XLOOKUP(C311 &amp; F311,
         [1]unilever_price_limits!A:A &amp; [1]unilever_price_limits!B:B,
         [1]unilever_price_limits!C:C)</f>
        <v>60</v>
      </c>
      <c r="H311" s="8">
        <f t="shared" si="17"/>
        <v>7.4080000000000004</v>
      </c>
      <c r="I311" s="6">
        <f t="shared" si="18"/>
        <v>60.000000000000007</v>
      </c>
      <c r="J311" t="str">
        <f t="shared" si="19"/>
        <v>OK</v>
      </c>
    </row>
    <row r="312" spans="1:10" x14ac:dyDescent="0.2">
      <c r="A312">
        <v>10311</v>
      </c>
      <c r="B312" t="s">
        <v>7</v>
      </c>
      <c r="C312" t="s">
        <v>11</v>
      </c>
      <c r="D312" s="8">
        <v>5.95</v>
      </c>
      <c r="E312">
        <v>5</v>
      </c>
      <c r="F312" t="str">
        <f t="shared" si="16"/>
        <v>Standard</v>
      </c>
      <c r="G312" s="3" cm="1">
        <f t="array" ref="G312">_xlfn.XLOOKUP(C312 &amp; F312,
         [1]unilever_price_limits!A:A &amp; [1]unilever_price_limits!B:B,
         [1]unilever_price_limits!C:C)</f>
        <v>25</v>
      </c>
      <c r="H312" s="8">
        <f t="shared" si="17"/>
        <v>7.4375</v>
      </c>
      <c r="I312" s="6">
        <f t="shared" si="18"/>
        <v>25</v>
      </c>
      <c r="J312" t="str">
        <f t="shared" si="19"/>
        <v>OK</v>
      </c>
    </row>
    <row r="313" spans="1:10" x14ac:dyDescent="0.2">
      <c r="A313">
        <v>10312</v>
      </c>
      <c r="B313" t="s">
        <v>5</v>
      </c>
      <c r="C313" t="s">
        <v>6</v>
      </c>
      <c r="D313" s="8">
        <v>11.47</v>
      </c>
      <c r="E313">
        <v>5</v>
      </c>
      <c r="F313" t="str">
        <f t="shared" si="16"/>
        <v>Standard</v>
      </c>
      <c r="G313" s="3" cm="1">
        <f t="array" ref="G313">_xlfn.XLOOKUP(C313 &amp; F313,
         [1]unilever_price_limits!A:A &amp; [1]unilever_price_limits!B:B,
         [1]unilever_price_limits!C:C)</f>
        <v>28</v>
      </c>
      <c r="H313" s="8">
        <f t="shared" si="17"/>
        <v>14.681600000000001</v>
      </c>
      <c r="I313" s="6">
        <f t="shared" si="18"/>
        <v>28.000000000000004</v>
      </c>
      <c r="J313" t="str">
        <f t="shared" si="19"/>
        <v>OK</v>
      </c>
    </row>
    <row r="314" spans="1:10" x14ac:dyDescent="0.2">
      <c r="A314">
        <v>10313</v>
      </c>
      <c r="B314" t="s">
        <v>7</v>
      </c>
      <c r="C314" t="s">
        <v>9</v>
      </c>
      <c r="D314" s="8">
        <v>8.33</v>
      </c>
      <c r="E314">
        <v>7</v>
      </c>
      <c r="F314" t="str">
        <f t="shared" si="16"/>
        <v>Standard</v>
      </c>
      <c r="G314" s="3" cm="1">
        <f t="array" ref="G314">_xlfn.XLOOKUP(C314 &amp; F314,
         [1]unilever_price_limits!A:A &amp; [1]unilever_price_limits!B:B,
         [1]unilever_price_limits!C:C)</f>
        <v>30</v>
      </c>
      <c r="H314" s="8">
        <f t="shared" si="17"/>
        <v>10.829000000000001</v>
      </c>
      <c r="I314" s="6">
        <f t="shared" si="18"/>
        <v>30.000000000000004</v>
      </c>
      <c r="J314" t="str">
        <f t="shared" si="19"/>
        <v>OK</v>
      </c>
    </row>
    <row r="315" spans="1:10" x14ac:dyDescent="0.2">
      <c r="A315">
        <v>10314</v>
      </c>
      <c r="B315" t="s">
        <v>5</v>
      </c>
      <c r="C315" t="s">
        <v>9</v>
      </c>
      <c r="D315" s="8">
        <v>1.62</v>
      </c>
      <c r="E315">
        <v>6</v>
      </c>
      <c r="F315" t="str">
        <f t="shared" si="16"/>
        <v>Standard</v>
      </c>
      <c r="G315" s="3" cm="1">
        <f t="array" ref="G315">_xlfn.XLOOKUP(C315 &amp; F315,
         [1]unilever_price_limits!A:A &amp; [1]unilever_price_limits!B:B,
         [1]unilever_price_limits!C:C)</f>
        <v>30</v>
      </c>
      <c r="H315" s="8">
        <f t="shared" si="17"/>
        <v>2.1060000000000003</v>
      </c>
      <c r="I315" s="6">
        <f t="shared" si="18"/>
        <v>30.000000000000004</v>
      </c>
      <c r="J315" t="str">
        <f t="shared" si="19"/>
        <v>OK</v>
      </c>
    </row>
    <row r="316" spans="1:10" x14ac:dyDescent="0.2">
      <c r="A316">
        <v>10315</v>
      </c>
      <c r="B316" t="s">
        <v>5</v>
      </c>
      <c r="C316" t="s">
        <v>9</v>
      </c>
      <c r="D316" s="8">
        <v>0.76</v>
      </c>
      <c r="E316">
        <v>2</v>
      </c>
      <c r="F316" t="str">
        <f t="shared" si="16"/>
        <v>Value</v>
      </c>
      <c r="G316" s="3" cm="1">
        <f t="array" ref="G316">_xlfn.XLOOKUP(C316 &amp; F316,
         [1]unilever_price_limits!A:A &amp; [1]unilever_price_limits!B:B,
         [1]unilever_price_limits!C:C)</f>
        <v>15</v>
      </c>
      <c r="H316" s="8">
        <f t="shared" si="17"/>
        <v>0.87399999999999989</v>
      </c>
      <c r="I316" s="6">
        <f t="shared" si="18"/>
        <v>14.999999999999991</v>
      </c>
      <c r="J316" t="str">
        <f t="shared" si="19"/>
        <v>OK</v>
      </c>
    </row>
    <row r="317" spans="1:10" x14ac:dyDescent="0.2">
      <c r="A317">
        <v>10316</v>
      </c>
      <c r="B317" t="s">
        <v>7</v>
      </c>
      <c r="C317" t="s">
        <v>6</v>
      </c>
      <c r="D317" s="8">
        <v>1.98</v>
      </c>
      <c r="E317">
        <v>1</v>
      </c>
      <c r="F317" t="str">
        <f t="shared" si="16"/>
        <v>Value</v>
      </c>
      <c r="G317" s="3" cm="1">
        <f t="array" ref="G317">_xlfn.XLOOKUP(C317 &amp; F317,
         [1]unilever_price_limits!A:A &amp; [1]unilever_price_limits!B:B,
         [1]unilever_price_limits!C:C)</f>
        <v>12</v>
      </c>
      <c r="H317" s="8">
        <f t="shared" si="17"/>
        <v>2.2176</v>
      </c>
      <c r="I317" s="6">
        <f t="shared" si="18"/>
        <v>12.000000000000011</v>
      </c>
      <c r="J317" t="str">
        <f t="shared" si="19"/>
        <v>OK</v>
      </c>
    </row>
    <row r="318" spans="1:10" x14ac:dyDescent="0.2">
      <c r="A318">
        <v>10317</v>
      </c>
      <c r="B318" t="s">
        <v>5</v>
      </c>
      <c r="C318" t="s">
        <v>11</v>
      </c>
      <c r="D318" s="8">
        <v>6.45</v>
      </c>
      <c r="E318">
        <v>5</v>
      </c>
      <c r="F318" t="str">
        <f t="shared" si="16"/>
        <v>Standard</v>
      </c>
      <c r="G318" s="3" cm="1">
        <f t="array" ref="G318">_xlfn.XLOOKUP(C318 &amp; F318,
         [1]unilever_price_limits!A:A &amp; [1]unilever_price_limits!B:B,
         [1]unilever_price_limits!C:C)</f>
        <v>25</v>
      </c>
      <c r="H318" s="8">
        <f t="shared" si="17"/>
        <v>8.0625</v>
      </c>
      <c r="I318" s="6">
        <f t="shared" si="18"/>
        <v>25</v>
      </c>
      <c r="J318" t="str">
        <f t="shared" si="19"/>
        <v>OK</v>
      </c>
    </row>
    <row r="319" spans="1:10" x14ac:dyDescent="0.2">
      <c r="A319">
        <v>10318</v>
      </c>
      <c r="B319" t="s">
        <v>8</v>
      </c>
      <c r="C319" t="s">
        <v>6</v>
      </c>
      <c r="D319" s="8">
        <v>14.03</v>
      </c>
      <c r="E319">
        <v>4</v>
      </c>
      <c r="F319" t="str">
        <f t="shared" si="16"/>
        <v>Standard</v>
      </c>
      <c r="G319" s="3" cm="1">
        <f t="array" ref="G319">_xlfn.XLOOKUP(C319 &amp; F319,
         [1]unilever_price_limits!A:A &amp; [1]unilever_price_limits!B:B,
         [1]unilever_price_limits!C:C)</f>
        <v>28</v>
      </c>
      <c r="H319" s="8">
        <f t="shared" si="17"/>
        <v>17.958400000000001</v>
      </c>
      <c r="I319" s="6">
        <f t="shared" si="18"/>
        <v>28.000000000000004</v>
      </c>
      <c r="J319" t="str">
        <f t="shared" si="19"/>
        <v>OK</v>
      </c>
    </row>
    <row r="320" spans="1:10" x14ac:dyDescent="0.2">
      <c r="A320">
        <v>10319</v>
      </c>
      <c r="B320" t="s">
        <v>5</v>
      </c>
      <c r="C320" t="s">
        <v>9</v>
      </c>
      <c r="D320" s="8">
        <v>9.74</v>
      </c>
      <c r="E320">
        <v>3</v>
      </c>
      <c r="F320" t="str">
        <f t="shared" si="16"/>
        <v>Value</v>
      </c>
      <c r="G320" s="3" cm="1">
        <f t="array" ref="G320">_xlfn.XLOOKUP(C320 &amp; F320,
         [1]unilever_price_limits!A:A &amp; [1]unilever_price_limits!B:B,
         [1]unilever_price_limits!C:C)</f>
        <v>15</v>
      </c>
      <c r="H320" s="8">
        <f t="shared" si="17"/>
        <v>11.200999999999999</v>
      </c>
      <c r="I320" s="6">
        <f t="shared" si="18"/>
        <v>14.999999999999991</v>
      </c>
      <c r="J320" t="str">
        <f t="shared" si="19"/>
        <v>OK</v>
      </c>
    </row>
    <row r="321" spans="1:10" x14ac:dyDescent="0.2">
      <c r="A321">
        <v>10320</v>
      </c>
      <c r="B321" t="s">
        <v>10</v>
      </c>
      <c r="C321" t="s">
        <v>11</v>
      </c>
      <c r="D321" s="8">
        <v>12.13</v>
      </c>
      <c r="E321">
        <v>2</v>
      </c>
      <c r="F321" t="str">
        <f t="shared" si="16"/>
        <v>Value</v>
      </c>
      <c r="G321" s="3" cm="1">
        <f t="array" ref="G321">_xlfn.XLOOKUP(C321 &amp; F321,
         [1]unilever_price_limits!A:A &amp; [1]unilever_price_limits!B:B,
         [1]unilever_price_limits!C:C)</f>
        <v>10</v>
      </c>
      <c r="H321" s="8">
        <f t="shared" si="17"/>
        <v>13.343000000000002</v>
      </c>
      <c r="I321" s="6">
        <f t="shared" si="18"/>
        <v>10.000000000000009</v>
      </c>
      <c r="J321" t="str">
        <f t="shared" si="19"/>
        <v>OK</v>
      </c>
    </row>
    <row r="322" spans="1:10" x14ac:dyDescent="0.2">
      <c r="A322">
        <v>10321</v>
      </c>
      <c r="B322" t="s">
        <v>7</v>
      </c>
      <c r="C322" t="s">
        <v>6</v>
      </c>
      <c r="D322" s="8">
        <v>7.26</v>
      </c>
      <c r="E322">
        <v>10</v>
      </c>
      <c r="F322" t="str">
        <f t="shared" si="16"/>
        <v>Premium</v>
      </c>
      <c r="G322" s="3" cm="1">
        <f t="array" ref="G322">_xlfn.XLOOKUP(C322 &amp; F322,
         [1]unilever_price_limits!A:A &amp; [1]unilever_price_limits!B:B,
         [1]unilever_price_limits!C:C)</f>
        <v>55</v>
      </c>
      <c r="H322" s="8">
        <f t="shared" si="17"/>
        <v>11.253</v>
      </c>
      <c r="I322" s="6">
        <f t="shared" si="18"/>
        <v>55.000000000000007</v>
      </c>
      <c r="J322" t="str">
        <f t="shared" si="19"/>
        <v>OK</v>
      </c>
    </row>
    <row r="323" spans="1:10" x14ac:dyDescent="0.2">
      <c r="A323">
        <v>10322</v>
      </c>
      <c r="B323" t="s">
        <v>8</v>
      </c>
      <c r="C323" t="s">
        <v>9</v>
      </c>
      <c r="D323" s="8">
        <v>5.74</v>
      </c>
      <c r="E323">
        <v>2</v>
      </c>
      <c r="F323" t="str">
        <f t="shared" ref="F323:F386" si="20">IF(E323&lt;=3,"Value",
 IF(E323&lt;=7,"Standard","Premium"))</f>
        <v>Value</v>
      </c>
      <c r="G323" s="3" cm="1">
        <f t="array" ref="G323">_xlfn.XLOOKUP(C323 &amp; F323,
         [1]unilever_price_limits!A:A &amp; [1]unilever_price_limits!B:B,
         [1]unilever_price_limits!C:C)</f>
        <v>15</v>
      </c>
      <c r="H323" s="8">
        <f t="shared" ref="H323:H386" si="21">D323 * (1 + G323/100)</f>
        <v>6.601</v>
      </c>
      <c r="I323" s="6">
        <f t="shared" ref="I323:I386" si="22">(H323 / D323 - 1) * 100</f>
        <v>14.999999999999991</v>
      </c>
      <c r="J323" t="str">
        <f t="shared" ref="J323:J386" si="23">IF(I322&gt; G322, "⚠ Exceeds Limit", "OK")</f>
        <v>OK</v>
      </c>
    </row>
    <row r="324" spans="1:10" x14ac:dyDescent="0.2">
      <c r="A324">
        <v>10323</v>
      </c>
      <c r="B324" t="s">
        <v>7</v>
      </c>
      <c r="C324" t="s">
        <v>9</v>
      </c>
      <c r="D324" s="8">
        <v>2.0699999999999998</v>
      </c>
      <c r="E324">
        <v>4</v>
      </c>
      <c r="F324" t="str">
        <f t="shared" si="20"/>
        <v>Standard</v>
      </c>
      <c r="G324" s="3" cm="1">
        <f t="array" ref="G324">_xlfn.XLOOKUP(C324 &amp; F324,
         [1]unilever_price_limits!A:A &amp; [1]unilever_price_limits!B:B,
         [1]unilever_price_limits!C:C)</f>
        <v>30</v>
      </c>
      <c r="H324" s="8">
        <f t="shared" si="21"/>
        <v>2.6909999999999998</v>
      </c>
      <c r="I324" s="6">
        <f t="shared" si="22"/>
        <v>30.000000000000004</v>
      </c>
      <c r="J324" t="str">
        <f t="shared" si="23"/>
        <v>OK</v>
      </c>
    </row>
    <row r="325" spans="1:10" x14ac:dyDescent="0.2">
      <c r="A325">
        <v>10324</v>
      </c>
      <c r="B325" t="s">
        <v>10</v>
      </c>
      <c r="C325" t="s">
        <v>6</v>
      </c>
      <c r="D325" s="8">
        <v>13.2</v>
      </c>
      <c r="E325">
        <v>2</v>
      </c>
      <c r="F325" t="str">
        <f t="shared" si="20"/>
        <v>Value</v>
      </c>
      <c r="G325" s="3" cm="1">
        <f t="array" ref="G325">_xlfn.XLOOKUP(C325 &amp; F325,
         [1]unilever_price_limits!A:A &amp; [1]unilever_price_limits!B:B,
         [1]unilever_price_limits!C:C)</f>
        <v>12</v>
      </c>
      <c r="H325" s="8">
        <f t="shared" si="21"/>
        <v>14.784000000000001</v>
      </c>
      <c r="I325" s="6">
        <f t="shared" si="22"/>
        <v>12.000000000000011</v>
      </c>
      <c r="J325" t="str">
        <f t="shared" si="23"/>
        <v>OK</v>
      </c>
    </row>
    <row r="326" spans="1:10" x14ac:dyDescent="0.2">
      <c r="A326">
        <v>10325</v>
      </c>
      <c r="B326" t="s">
        <v>10</v>
      </c>
      <c r="C326" t="s">
        <v>6</v>
      </c>
      <c r="D326" s="8">
        <v>11.86</v>
      </c>
      <c r="E326">
        <v>4</v>
      </c>
      <c r="F326" t="str">
        <f t="shared" si="20"/>
        <v>Standard</v>
      </c>
      <c r="G326" s="3" cm="1">
        <f t="array" ref="G326">_xlfn.XLOOKUP(C326 &amp; F326,
         [1]unilever_price_limits!A:A &amp; [1]unilever_price_limits!B:B,
         [1]unilever_price_limits!C:C)</f>
        <v>28</v>
      </c>
      <c r="H326" s="8">
        <f t="shared" si="21"/>
        <v>15.1808</v>
      </c>
      <c r="I326" s="6">
        <f t="shared" si="22"/>
        <v>28.000000000000004</v>
      </c>
      <c r="J326" t="str">
        <f t="shared" si="23"/>
        <v>OK</v>
      </c>
    </row>
    <row r="327" spans="1:10" x14ac:dyDescent="0.2">
      <c r="A327">
        <v>10326</v>
      </c>
      <c r="B327" t="s">
        <v>10</v>
      </c>
      <c r="C327" t="s">
        <v>6</v>
      </c>
      <c r="D327" s="8">
        <v>2.94</v>
      </c>
      <c r="E327">
        <v>3</v>
      </c>
      <c r="F327" t="str">
        <f t="shared" si="20"/>
        <v>Value</v>
      </c>
      <c r="G327" s="3" cm="1">
        <f t="array" ref="G327">_xlfn.XLOOKUP(C327 &amp; F327,
         [1]unilever_price_limits!A:A &amp; [1]unilever_price_limits!B:B,
         [1]unilever_price_limits!C:C)</f>
        <v>12</v>
      </c>
      <c r="H327" s="8">
        <f t="shared" si="21"/>
        <v>3.2928000000000002</v>
      </c>
      <c r="I327" s="6">
        <f t="shared" si="22"/>
        <v>12.000000000000011</v>
      </c>
      <c r="J327" t="str">
        <f t="shared" si="23"/>
        <v>OK</v>
      </c>
    </row>
    <row r="328" spans="1:10" x14ac:dyDescent="0.2">
      <c r="A328">
        <v>10327</v>
      </c>
      <c r="B328" t="s">
        <v>5</v>
      </c>
      <c r="C328" t="s">
        <v>9</v>
      </c>
      <c r="D328" s="8">
        <v>7.93</v>
      </c>
      <c r="E328">
        <v>9</v>
      </c>
      <c r="F328" t="str">
        <f t="shared" si="20"/>
        <v>Premium</v>
      </c>
      <c r="G328" s="3" cm="1">
        <f t="array" ref="G328">_xlfn.XLOOKUP(C328 &amp; F328,
         [1]unilever_price_limits!A:A &amp; [1]unilever_price_limits!B:B,
         [1]unilever_price_limits!C:C)</f>
        <v>60</v>
      </c>
      <c r="H328" s="8">
        <f t="shared" si="21"/>
        <v>12.688000000000001</v>
      </c>
      <c r="I328" s="6">
        <f t="shared" si="22"/>
        <v>60.000000000000007</v>
      </c>
      <c r="J328" t="str">
        <f t="shared" si="23"/>
        <v>OK</v>
      </c>
    </row>
    <row r="329" spans="1:10" x14ac:dyDescent="0.2">
      <c r="A329">
        <v>10328</v>
      </c>
      <c r="B329" t="s">
        <v>5</v>
      </c>
      <c r="C329" t="s">
        <v>6</v>
      </c>
      <c r="D329" s="8">
        <v>7.57</v>
      </c>
      <c r="E329">
        <v>7</v>
      </c>
      <c r="F329" t="str">
        <f t="shared" si="20"/>
        <v>Standard</v>
      </c>
      <c r="G329" s="3" cm="1">
        <f t="array" ref="G329">_xlfn.XLOOKUP(C329 &amp; F329,
         [1]unilever_price_limits!A:A &amp; [1]unilever_price_limits!B:B,
         [1]unilever_price_limits!C:C)</f>
        <v>28</v>
      </c>
      <c r="H329" s="8">
        <f t="shared" si="21"/>
        <v>9.6896000000000004</v>
      </c>
      <c r="I329" s="6">
        <f t="shared" si="22"/>
        <v>28.000000000000004</v>
      </c>
      <c r="J329" t="str">
        <f t="shared" si="23"/>
        <v>OK</v>
      </c>
    </row>
    <row r="330" spans="1:10" x14ac:dyDescent="0.2">
      <c r="A330">
        <v>10329</v>
      </c>
      <c r="B330" t="s">
        <v>7</v>
      </c>
      <c r="C330" t="s">
        <v>9</v>
      </c>
      <c r="D330" s="8">
        <v>9.56</v>
      </c>
      <c r="E330">
        <v>3</v>
      </c>
      <c r="F330" t="str">
        <f t="shared" si="20"/>
        <v>Value</v>
      </c>
      <c r="G330" s="3" cm="1">
        <f t="array" ref="G330">_xlfn.XLOOKUP(C330 &amp; F330,
         [1]unilever_price_limits!A:A &amp; [1]unilever_price_limits!B:B,
         [1]unilever_price_limits!C:C)</f>
        <v>15</v>
      </c>
      <c r="H330" s="8">
        <f t="shared" si="21"/>
        <v>10.994</v>
      </c>
      <c r="I330" s="6">
        <f t="shared" si="22"/>
        <v>14.999999999999991</v>
      </c>
      <c r="J330" t="str">
        <f t="shared" si="23"/>
        <v>OK</v>
      </c>
    </row>
    <row r="331" spans="1:10" x14ac:dyDescent="0.2">
      <c r="A331">
        <v>10330</v>
      </c>
      <c r="B331" t="s">
        <v>7</v>
      </c>
      <c r="C331" t="s">
        <v>6</v>
      </c>
      <c r="D331" s="8">
        <v>14.22</v>
      </c>
      <c r="E331">
        <v>8</v>
      </c>
      <c r="F331" t="str">
        <f t="shared" si="20"/>
        <v>Premium</v>
      </c>
      <c r="G331" s="3" cm="1">
        <f t="array" ref="G331">_xlfn.XLOOKUP(C331 &amp; F331,
         [1]unilever_price_limits!A:A &amp; [1]unilever_price_limits!B:B,
         [1]unilever_price_limits!C:C)</f>
        <v>55</v>
      </c>
      <c r="H331" s="8">
        <f t="shared" si="21"/>
        <v>22.041</v>
      </c>
      <c r="I331" s="6">
        <f t="shared" si="22"/>
        <v>55.000000000000007</v>
      </c>
      <c r="J331" t="str">
        <f t="shared" si="23"/>
        <v>OK</v>
      </c>
    </row>
    <row r="332" spans="1:10" x14ac:dyDescent="0.2">
      <c r="A332">
        <v>10331</v>
      </c>
      <c r="B332" t="s">
        <v>8</v>
      </c>
      <c r="C332" t="s">
        <v>9</v>
      </c>
      <c r="D332" s="8">
        <v>8.91</v>
      </c>
      <c r="E332">
        <v>9</v>
      </c>
      <c r="F332" t="str">
        <f t="shared" si="20"/>
        <v>Premium</v>
      </c>
      <c r="G332" s="3" cm="1">
        <f t="array" ref="G332">_xlfn.XLOOKUP(C332 &amp; F332,
         [1]unilever_price_limits!A:A &amp; [1]unilever_price_limits!B:B,
         [1]unilever_price_limits!C:C)</f>
        <v>60</v>
      </c>
      <c r="H332" s="8">
        <f t="shared" si="21"/>
        <v>14.256</v>
      </c>
      <c r="I332" s="6">
        <f t="shared" si="22"/>
        <v>60.000000000000007</v>
      </c>
      <c r="J332" t="str">
        <f t="shared" si="23"/>
        <v>OK</v>
      </c>
    </row>
    <row r="333" spans="1:10" x14ac:dyDescent="0.2">
      <c r="A333">
        <v>10332</v>
      </c>
      <c r="B333" t="s">
        <v>8</v>
      </c>
      <c r="C333" t="s">
        <v>9</v>
      </c>
      <c r="D333" s="8">
        <v>8.33</v>
      </c>
      <c r="E333">
        <v>7</v>
      </c>
      <c r="F333" t="str">
        <f t="shared" si="20"/>
        <v>Standard</v>
      </c>
      <c r="G333" s="3" cm="1">
        <f t="array" ref="G333">_xlfn.XLOOKUP(C333 &amp; F333,
         [1]unilever_price_limits!A:A &amp; [1]unilever_price_limits!B:B,
         [1]unilever_price_limits!C:C)</f>
        <v>30</v>
      </c>
      <c r="H333" s="8">
        <f t="shared" si="21"/>
        <v>10.829000000000001</v>
      </c>
      <c r="I333" s="6">
        <f t="shared" si="22"/>
        <v>30.000000000000004</v>
      </c>
      <c r="J333" t="str">
        <f t="shared" si="23"/>
        <v>OK</v>
      </c>
    </row>
    <row r="334" spans="1:10" x14ac:dyDescent="0.2">
      <c r="A334">
        <v>10333</v>
      </c>
      <c r="B334" t="s">
        <v>7</v>
      </c>
      <c r="C334" t="s">
        <v>11</v>
      </c>
      <c r="D334" s="8">
        <v>1.23</v>
      </c>
      <c r="E334">
        <v>6</v>
      </c>
      <c r="F334" t="str">
        <f t="shared" si="20"/>
        <v>Standard</v>
      </c>
      <c r="G334" s="3" cm="1">
        <f t="array" ref="G334">_xlfn.XLOOKUP(C334 &amp; F334,
         [1]unilever_price_limits!A:A &amp; [1]unilever_price_limits!B:B,
         [1]unilever_price_limits!C:C)</f>
        <v>25</v>
      </c>
      <c r="H334" s="8">
        <f t="shared" si="21"/>
        <v>1.5375000000000001</v>
      </c>
      <c r="I334" s="6">
        <f t="shared" si="22"/>
        <v>25</v>
      </c>
      <c r="J334" t="str">
        <f t="shared" si="23"/>
        <v>OK</v>
      </c>
    </row>
    <row r="335" spans="1:10" x14ac:dyDescent="0.2">
      <c r="A335">
        <v>10334</v>
      </c>
      <c r="B335" t="s">
        <v>5</v>
      </c>
      <c r="C335" t="s">
        <v>6</v>
      </c>
      <c r="D335" s="8">
        <v>1.41</v>
      </c>
      <c r="E335">
        <v>4</v>
      </c>
      <c r="F335" t="str">
        <f t="shared" si="20"/>
        <v>Standard</v>
      </c>
      <c r="G335" s="3" cm="1">
        <f t="array" ref="G335">_xlfn.XLOOKUP(C335 &amp; F335,
         [1]unilever_price_limits!A:A &amp; [1]unilever_price_limits!B:B,
         [1]unilever_price_limits!C:C)</f>
        <v>28</v>
      </c>
      <c r="H335" s="8">
        <f t="shared" si="21"/>
        <v>1.8048</v>
      </c>
      <c r="I335" s="6">
        <f t="shared" si="22"/>
        <v>28.000000000000004</v>
      </c>
      <c r="J335" t="str">
        <f t="shared" si="23"/>
        <v>OK</v>
      </c>
    </row>
    <row r="336" spans="1:10" x14ac:dyDescent="0.2">
      <c r="A336">
        <v>10335</v>
      </c>
      <c r="B336" t="s">
        <v>10</v>
      </c>
      <c r="C336" t="s">
        <v>6</v>
      </c>
      <c r="D336" s="8">
        <v>3.22</v>
      </c>
      <c r="E336">
        <v>5</v>
      </c>
      <c r="F336" t="str">
        <f t="shared" si="20"/>
        <v>Standard</v>
      </c>
      <c r="G336" s="3" cm="1">
        <f t="array" ref="G336">_xlfn.XLOOKUP(C336 &amp; F336,
         [1]unilever_price_limits!A:A &amp; [1]unilever_price_limits!B:B,
         [1]unilever_price_limits!C:C)</f>
        <v>28</v>
      </c>
      <c r="H336" s="8">
        <f t="shared" si="21"/>
        <v>4.1215999999999999</v>
      </c>
      <c r="I336" s="6">
        <f t="shared" si="22"/>
        <v>27.999999999999979</v>
      </c>
      <c r="J336" t="str">
        <f t="shared" si="23"/>
        <v>OK</v>
      </c>
    </row>
    <row r="337" spans="1:10" x14ac:dyDescent="0.2">
      <c r="A337">
        <v>10336</v>
      </c>
      <c r="B337" t="s">
        <v>7</v>
      </c>
      <c r="C337" t="s">
        <v>9</v>
      </c>
      <c r="D337" s="8">
        <v>0.97</v>
      </c>
      <c r="E337">
        <v>8</v>
      </c>
      <c r="F337" t="str">
        <f t="shared" si="20"/>
        <v>Premium</v>
      </c>
      <c r="G337" s="3" cm="1">
        <f t="array" ref="G337">_xlfn.XLOOKUP(C337 &amp; F337,
         [1]unilever_price_limits!A:A &amp; [1]unilever_price_limits!B:B,
         [1]unilever_price_limits!C:C)</f>
        <v>60</v>
      </c>
      <c r="H337" s="8">
        <f t="shared" si="21"/>
        <v>1.552</v>
      </c>
      <c r="I337" s="6">
        <f t="shared" si="22"/>
        <v>60.000000000000007</v>
      </c>
      <c r="J337" t="str">
        <f t="shared" si="23"/>
        <v>OK</v>
      </c>
    </row>
    <row r="338" spans="1:10" x14ac:dyDescent="0.2">
      <c r="A338">
        <v>10337</v>
      </c>
      <c r="B338" t="s">
        <v>8</v>
      </c>
      <c r="C338" t="s">
        <v>9</v>
      </c>
      <c r="D338" s="8">
        <v>11.28</v>
      </c>
      <c r="E338">
        <v>3</v>
      </c>
      <c r="F338" t="str">
        <f t="shared" si="20"/>
        <v>Value</v>
      </c>
      <c r="G338" s="3" cm="1">
        <f t="array" ref="G338">_xlfn.XLOOKUP(C338 &amp; F338,
         [1]unilever_price_limits!A:A &amp; [1]unilever_price_limits!B:B,
         [1]unilever_price_limits!C:C)</f>
        <v>15</v>
      </c>
      <c r="H338" s="8">
        <f t="shared" si="21"/>
        <v>12.971999999999998</v>
      </c>
      <c r="I338" s="6">
        <f t="shared" si="22"/>
        <v>14.999999999999991</v>
      </c>
      <c r="J338" t="str">
        <f t="shared" si="23"/>
        <v>OK</v>
      </c>
    </row>
    <row r="339" spans="1:10" x14ac:dyDescent="0.2">
      <c r="A339">
        <v>10338</v>
      </c>
      <c r="B339" t="s">
        <v>5</v>
      </c>
      <c r="C339" t="s">
        <v>9</v>
      </c>
      <c r="D339" s="8">
        <v>10.99</v>
      </c>
      <c r="E339">
        <v>2</v>
      </c>
      <c r="F339" t="str">
        <f t="shared" si="20"/>
        <v>Value</v>
      </c>
      <c r="G339" s="3" cm="1">
        <f t="array" ref="G339">_xlfn.XLOOKUP(C339 &amp; F339,
         [1]unilever_price_limits!A:A &amp; [1]unilever_price_limits!B:B,
         [1]unilever_price_limits!C:C)</f>
        <v>15</v>
      </c>
      <c r="H339" s="8">
        <f t="shared" si="21"/>
        <v>12.638499999999999</v>
      </c>
      <c r="I339" s="6">
        <f t="shared" si="22"/>
        <v>14.999999999999991</v>
      </c>
      <c r="J339" t="str">
        <f t="shared" si="23"/>
        <v>OK</v>
      </c>
    </row>
    <row r="340" spans="1:10" x14ac:dyDescent="0.2">
      <c r="A340">
        <v>10339</v>
      </c>
      <c r="B340" t="s">
        <v>7</v>
      </c>
      <c r="C340" t="s">
        <v>11</v>
      </c>
      <c r="D340" s="8">
        <v>2.4700000000000002</v>
      </c>
      <c r="E340">
        <v>3</v>
      </c>
      <c r="F340" t="str">
        <f t="shared" si="20"/>
        <v>Value</v>
      </c>
      <c r="G340" s="3" cm="1">
        <f t="array" ref="G340">_xlfn.XLOOKUP(C340 &amp; F340,
         [1]unilever_price_limits!A:A &amp; [1]unilever_price_limits!B:B,
         [1]unilever_price_limits!C:C)</f>
        <v>10</v>
      </c>
      <c r="H340" s="8">
        <f t="shared" si="21"/>
        <v>2.7170000000000005</v>
      </c>
      <c r="I340" s="6">
        <f t="shared" si="22"/>
        <v>10.000000000000009</v>
      </c>
      <c r="J340" t="str">
        <f t="shared" si="23"/>
        <v>OK</v>
      </c>
    </row>
    <row r="341" spans="1:10" x14ac:dyDescent="0.2">
      <c r="A341">
        <v>10340</v>
      </c>
      <c r="B341" t="s">
        <v>7</v>
      </c>
      <c r="C341" t="s">
        <v>11</v>
      </c>
      <c r="D341" s="8">
        <v>12.62</v>
      </c>
      <c r="E341">
        <v>7</v>
      </c>
      <c r="F341" t="str">
        <f t="shared" si="20"/>
        <v>Standard</v>
      </c>
      <c r="G341" s="3" cm="1">
        <f t="array" ref="G341">_xlfn.XLOOKUP(C341 &amp; F341,
         [1]unilever_price_limits!A:A &amp; [1]unilever_price_limits!B:B,
         [1]unilever_price_limits!C:C)</f>
        <v>25</v>
      </c>
      <c r="H341" s="8">
        <f t="shared" si="21"/>
        <v>15.774999999999999</v>
      </c>
      <c r="I341" s="6">
        <f t="shared" si="22"/>
        <v>25</v>
      </c>
      <c r="J341" t="str">
        <f t="shared" si="23"/>
        <v>OK</v>
      </c>
    </row>
    <row r="342" spans="1:10" x14ac:dyDescent="0.2">
      <c r="A342">
        <v>10341</v>
      </c>
      <c r="B342" t="s">
        <v>5</v>
      </c>
      <c r="C342" t="s">
        <v>9</v>
      </c>
      <c r="D342" s="8">
        <v>2.74</v>
      </c>
      <c r="E342">
        <v>8</v>
      </c>
      <c r="F342" t="str">
        <f t="shared" si="20"/>
        <v>Premium</v>
      </c>
      <c r="G342" s="3" cm="1">
        <f t="array" ref="G342">_xlfn.XLOOKUP(C342 &amp; F342,
         [1]unilever_price_limits!A:A &amp; [1]unilever_price_limits!B:B,
         [1]unilever_price_limits!C:C)</f>
        <v>60</v>
      </c>
      <c r="H342" s="8">
        <f t="shared" si="21"/>
        <v>4.3840000000000003</v>
      </c>
      <c r="I342" s="6">
        <f t="shared" si="22"/>
        <v>60.000000000000007</v>
      </c>
      <c r="J342" t="str">
        <f t="shared" si="23"/>
        <v>OK</v>
      </c>
    </row>
    <row r="343" spans="1:10" x14ac:dyDescent="0.2">
      <c r="A343">
        <v>10342</v>
      </c>
      <c r="B343" t="s">
        <v>7</v>
      </c>
      <c r="C343" t="s">
        <v>6</v>
      </c>
      <c r="D343" s="8">
        <v>4.87</v>
      </c>
      <c r="E343">
        <v>1</v>
      </c>
      <c r="F343" t="str">
        <f t="shared" si="20"/>
        <v>Value</v>
      </c>
      <c r="G343" s="3" cm="1">
        <f t="array" ref="G343">_xlfn.XLOOKUP(C343 &amp; F343,
         [1]unilever_price_limits!A:A &amp; [1]unilever_price_limits!B:B,
         [1]unilever_price_limits!C:C)</f>
        <v>12</v>
      </c>
      <c r="H343" s="8">
        <f t="shared" si="21"/>
        <v>5.4544000000000006</v>
      </c>
      <c r="I343" s="6">
        <f t="shared" si="22"/>
        <v>12.000000000000011</v>
      </c>
      <c r="J343" t="str">
        <f t="shared" si="23"/>
        <v>OK</v>
      </c>
    </row>
    <row r="344" spans="1:10" x14ac:dyDescent="0.2">
      <c r="A344">
        <v>10343</v>
      </c>
      <c r="B344" t="s">
        <v>5</v>
      </c>
      <c r="C344" t="s">
        <v>6</v>
      </c>
      <c r="D344" s="8">
        <v>4.1100000000000003</v>
      </c>
      <c r="E344">
        <v>7</v>
      </c>
      <c r="F344" t="str">
        <f t="shared" si="20"/>
        <v>Standard</v>
      </c>
      <c r="G344" s="3" cm="1">
        <f t="array" ref="G344">_xlfn.XLOOKUP(C344 &amp; F344,
         [1]unilever_price_limits!A:A &amp; [1]unilever_price_limits!B:B,
         [1]unilever_price_limits!C:C)</f>
        <v>28</v>
      </c>
      <c r="H344" s="8">
        <f t="shared" si="21"/>
        <v>5.2608000000000006</v>
      </c>
      <c r="I344" s="6">
        <f t="shared" si="22"/>
        <v>28.000000000000004</v>
      </c>
      <c r="J344" t="str">
        <f t="shared" si="23"/>
        <v>OK</v>
      </c>
    </row>
    <row r="345" spans="1:10" x14ac:dyDescent="0.2">
      <c r="A345">
        <v>10344</v>
      </c>
      <c r="B345" t="s">
        <v>10</v>
      </c>
      <c r="C345" t="s">
        <v>11</v>
      </c>
      <c r="D345" s="8">
        <v>5.9</v>
      </c>
      <c r="E345">
        <v>9</v>
      </c>
      <c r="F345" t="str">
        <f t="shared" si="20"/>
        <v>Premium</v>
      </c>
      <c r="G345" s="3" cm="1">
        <f t="array" ref="G345">_xlfn.XLOOKUP(C345 &amp; F345,
         [1]unilever_price_limits!A:A &amp; [1]unilever_price_limits!B:B,
         [1]unilever_price_limits!C:C)</f>
        <v>50</v>
      </c>
      <c r="H345" s="8">
        <f t="shared" si="21"/>
        <v>8.8500000000000014</v>
      </c>
      <c r="I345" s="6">
        <f t="shared" si="22"/>
        <v>50.000000000000021</v>
      </c>
      <c r="J345" t="str">
        <f t="shared" si="23"/>
        <v>OK</v>
      </c>
    </row>
    <row r="346" spans="1:10" x14ac:dyDescent="0.2">
      <c r="A346">
        <v>10345</v>
      </c>
      <c r="B346" t="s">
        <v>5</v>
      </c>
      <c r="C346" t="s">
        <v>11</v>
      </c>
      <c r="D346" s="8">
        <v>4.1900000000000004</v>
      </c>
      <c r="E346">
        <v>3</v>
      </c>
      <c r="F346" t="str">
        <f t="shared" si="20"/>
        <v>Value</v>
      </c>
      <c r="G346" s="3" cm="1">
        <f t="array" ref="G346">_xlfn.XLOOKUP(C346 &amp; F346,
         [1]unilever_price_limits!A:A &amp; [1]unilever_price_limits!B:B,
         [1]unilever_price_limits!C:C)</f>
        <v>10</v>
      </c>
      <c r="H346" s="8">
        <f t="shared" si="21"/>
        <v>4.6090000000000009</v>
      </c>
      <c r="I346" s="6">
        <f t="shared" si="22"/>
        <v>10.000000000000009</v>
      </c>
      <c r="J346" t="str">
        <f t="shared" si="23"/>
        <v>OK</v>
      </c>
    </row>
    <row r="347" spans="1:10" x14ac:dyDescent="0.2">
      <c r="A347">
        <v>10346</v>
      </c>
      <c r="B347" t="s">
        <v>5</v>
      </c>
      <c r="C347" t="s">
        <v>9</v>
      </c>
      <c r="D347" s="8">
        <v>7.59</v>
      </c>
      <c r="E347">
        <v>3</v>
      </c>
      <c r="F347" t="str">
        <f t="shared" si="20"/>
        <v>Value</v>
      </c>
      <c r="G347" s="3" cm="1">
        <f t="array" ref="G347">_xlfn.XLOOKUP(C347 &amp; F347,
         [1]unilever_price_limits!A:A &amp; [1]unilever_price_limits!B:B,
         [1]unilever_price_limits!C:C)</f>
        <v>15</v>
      </c>
      <c r="H347" s="8">
        <f t="shared" si="21"/>
        <v>8.7284999999999986</v>
      </c>
      <c r="I347" s="6">
        <f t="shared" si="22"/>
        <v>14.999999999999991</v>
      </c>
      <c r="J347" t="str">
        <f t="shared" si="23"/>
        <v>OK</v>
      </c>
    </row>
    <row r="348" spans="1:10" x14ac:dyDescent="0.2">
      <c r="A348">
        <v>10347</v>
      </c>
      <c r="B348" t="s">
        <v>5</v>
      </c>
      <c r="C348" t="s">
        <v>6</v>
      </c>
      <c r="D348" s="8">
        <v>6.41</v>
      </c>
      <c r="E348">
        <v>8</v>
      </c>
      <c r="F348" t="str">
        <f t="shared" si="20"/>
        <v>Premium</v>
      </c>
      <c r="G348" s="3" cm="1">
        <f t="array" ref="G348">_xlfn.XLOOKUP(C348 &amp; F348,
         [1]unilever_price_limits!A:A &amp; [1]unilever_price_limits!B:B,
         [1]unilever_price_limits!C:C)</f>
        <v>55</v>
      </c>
      <c r="H348" s="8">
        <f t="shared" si="21"/>
        <v>9.9355000000000011</v>
      </c>
      <c r="I348" s="6">
        <f t="shared" si="22"/>
        <v>55.000000000000007</v>
      </c>
      <c r="J348" t="str">
        <f t="shared" si="23"/>
        <v>OK</v>
      </c>
    </row>
    <row r="349" spans="1:10" x14ac:dyDescent="0.2">
      <c r="A349">
        <v>10348</v>
      </c>
      <c r="B349" t="s">
        <v>7</v>
      </c>
      <c r="C349" t="s">
        <v>9</v>
      </c>
      <c r="D349" s="8">
        <v>14.81</v>
      </c>
      <c r="E349">
        <v>4</v>
      </c>
      <c r="F349" t="str">
        <f t="shared" si="20"/>
        <v>Standard</v>
      </c>
      <c r="G349" s="3" cm="1">
        <f t="array" ref="G349">_xlfn.XLOOKUP(C349 &amp; F349,
         [1]unilever_price_limits!A:A &amp; [1]unilever_price_limits!B:B,
         [1]unilever_price_limits!C:C)</f>
        <v>30</v>
      </c>
      <c r="H349" s="8">
        <f t="shared" si="21"/>
        <v>19.253</v>
      </c>
      <c r="I349" s="6">
        <f t="shared" si="22"/>
        <v>30.000000000000004</v>
      </c>
      <c r="J349" t="str">
        <f t="shared" si="23"/>
        <v>OK</v>
      </c>
    </row>
    <row r="350" spans="1:10" x14ac:dyDescent="0.2">
      <c r="A350">
        <v>10349</v>
      </c>
      <c r="B350" t="s">
        <v>7</v>
      </c>
      <c r="C350" t="s">
        <v>11</v>
      </c>
      <c r="D350" s="8">
        <v>1.31</v>
      </c>
      <c r="E350">
        <v>8</v>
      </c>
      <c r="F350" t="str">
        <f t="shared" si="20"/>
        <v>Premium</v>
      </c>
      <c r="G350" s="3" cm="1">
        <f t="array" ref="G350">_xlfn.XLOOKUP(C350 &amp; F350,
         [1]unilever_price_limits!A:A &amp; [1]unilever_price_limits!B:B,
         [1]unilever_price_limits!C:C)</f>
        <v>50</v>
      </c>
      <c r="H350" s="8">
        <f t="shared" si="21"/>
        <v>1.9650000000000001</v>
      </c>
      <c r="I350" s="6">
        <f t="shared" si="22"/>
        <v>50</v>
      </c>
      <c r="J350" t="str">
        <f t="shared" si="23"/>
        <v>OK</v>
      </c>
    </row>
    <row r="351" spans="1:10" x14ac:dyDescent="0.2">
      <c r="A351">
        <v>10350</v>
      </c>
      <c r="B351" t="s">
        <v>5</v>
      </c>
      <c r="C351" t="s">
        <v>6</v>
      </c>
      <c r="D351" s="8">
        <v>2.56</v>
      </c>
      <c r="E351">
        <v>5</v>
      </c>
      <c r="F351" t="str">
        <f t="shared" si="20"/>
        <v>Standard</v>
      </c>
      <c r="G351" s="3" cm="1">
        <f t="array" ref="G351">_xlfn.XLOOKUP(C351 &amp; F351,
         [1]unilever_price_limits!A:A &amp; [1]unilever_price_limits!B:B,
         [1]unilever_price_limits!C:C)</f>
        <v>28</v>
      </c>
      <c r="H351" s="8">
        <f t="shared" si="21"/>
        <v>3.2768000000000002</v>
      </c>
      <c r="I351" s="6">
        <f t="shared" si="22"/>
        <v>28.000000000000004</v>
      </c>
      <c r="J351" t="str">
        <f t="shared" si="23"/>
        <v>OK</v>
      </c>
    </row>
    <row r="352" spans="1:10" x14ac:dyDescent="0.2">
      <c r="A352">
        <v>10351</v>
      </c>
      <c r="B352" t="s">
        <v>7</v>
      </c>
      <c r="C352" t="s">
        <v>6</v>
      </c>
      <c r="D352" s="8">
        <v>1.27</v>
      </c>
      <c r="E352">
        <v>3</v>
      </c>
      <c r="F352" t="str">
        <f t="shared" si="20"/>
        <v>Value</v>
      </c>
      <c r="G352" s="3" cm="1">
        <f t="array" ref="G352">_xlfn.XLOOKUP(C352 &amp; F352,
         [1]unilever_price_limits!A:A &amp; [1]unilever_price_limits!B:B,
         [1]unilever_price_limits!C:C)</f>
        <v>12</v>
      </c>
      <c r="H352" s="8">
        <f t="shared" si="21"/>
        <v>1.4224000000000001</v>
      </c>
      <c r="I352" s="6">
        <f t="shared" si="22"/>
        <v>12.000000000000011</v>
      </c>
      <c r="J352" t="str">
        <f t="shared" si="23"/>
        <v>OK</v>
      </c>
    </row>
    <row r="353" spans="1:10" x14ac:dyDescent="0.2">
      <c r="A353">
        <v>10352</v>
      </c>
      <c r="B353" t="s">
        <v>8</v>
      </c>
      <c r="C353" t="s">
        <v>11</v>
      </c>
      <c r="D353" s="8">
        <v>9.57</v>
      </c>
      <c r="E353">
        <v>4</v>
      </c>
      <c r="F353" t="str">
        <f t="shared" si="20"/>
        <v>Standard</v>
      </c>
      <c r="G353" s="3" cm="1">
        <f t="array" ref="G353">_xlfn.XLOOKUP(C353 &amp; F353,
         [1]unilever_price_limits!A:A &amp; [1]unilever_price_limits!B:B,
         [1]unilever_price_limits!C:C)</f>
        <v>25</v>
      </c>
      <c r="H353" s="8">
        <f t="shared" si="21"/>
        <v>11.9625</v>
      </c>
      <c r="I353" s="6">
        <f t="shared" si="22"/>
        <v>25</v>
      </c>
      <c r="J353" t="str">
        <f t="shared" si="23"/>
        <v>OK</v>
      </c>
    </row>
    <row r="354" spans="1:10" x14ac:dyDescent="0.2">
      <c r="A354">
        <v>10353</v>
      </c>
      <c r="B354" t="s">
        <v>8</v>
      </c>
      <c r="C354" t="s">
        <v>9</v>
      </c>
      <c r="D354" s="8">
        <v>1.29</v>
      </c>
      <c r="E354">
        <v>4</v>
      </c>
      <c r="F354" t="str">
        <f t="shared" si="20"/>
        <v>Standard</v>
      </c>
      <c r="G354" s="3" cm="1">
        <f t="array" ref="G354">_xlfn.XLOOKUP(C354 &amp; F354,
         [1]unilever_price_limits!A:A &amp; [1]unilever_price_limits!B:B,
         [1]unilever_price_limits!C:C)</f>
        <v>30</v>
      </c>
      <c r="H354" s="8">
        <f t="shared" si="21"/>
        <v>1.677</v>
      </c>
      <c r="I354" s="6">
        <f t="shared" si="22"/>
        <v>30.000000000000004</v>
      </c>
      <c r="J354" t="str">
        <f t="shared" si="23"/>
        <v>OK</v>
      </c>
    </row>
    <row r="355" spans="1:10" x14ac:dyDescent="0.2">
      <c r="A355">
        <v>10354</v>
      </c>
      <c r="B355" t="s">
        <v>7</v>
      </c>
      <c r="C355" t="s">
        <v>9</v>
      </c>
      <c r="D355" s="8">
        <v>12.63</v>
      </c>
      <c r="E355">
        <v>8</v>
      </c>
      <c r="F355" t="str">
        <f t="shared" si="20"/>
        <v>Premium</v>
      </c>
      <c r="G355" s="3" cm="1">
        <f t="array" ref="G355">_xlfn.XLOOKUP(C355 &amp; F355,
         [1]unilever_price_limits!A:A &amp; [1]unilever_price_limits!B:B,
         [1]unilever_price_limits!C:C)</f>
        <v>60</v>
      </c>
      <c r="H355" s="8">
        <f t="shared" si="21"/>
        <v>20.208000000000002</v>
      </c>
      <c r="I355" s="6">
        <f t="shared" si="22"/>
        <v>60.000000000000007</v>
      </c>
      <c r="J355" t="str">
        <f t="shared" si="23"/>
        <v>OK</v>
      </c>
    </row>
    <row r="356" spans="1:10" x14ac:dyDescent="0.2">
      <c r="A356">
        <v>10355</v>
      </c>
      <c r="B356" t="s">
        <v>7</v>
      </c>
      <c r="C356" t="s">
        <v>6</v>
      </c>
      <c r="D356" s="8">
        <v>7.92</v>
      </c>
      <c r="E356">
        <v>6</v>
      </c>
      <c r="F356" t="str">
        <f t="shared" si="20"/>
        <v>Standard</v>
      </c>
      <c r="G356" s="3" cm="1">
        <f t="array" ref="G356">_xlfn.XLOOKUP(C356 &amp; F356,
         [1]unilever_price_limits!A:A &amp; [1]unilever_price_limits!B:B,
         [1]unilever_price_limits!C:C)</f>
        <v>28</v>
      </c>
      <c r="H356" s="8">
        <f t="shared" si="21"/>
        <v>10.137600000000001</v>
      </c>
      <c r="I356" s="6">
        <f t="shared" si="22"/>
        <v>28.000000000000004</v>
      </c>
      <c r="J356" t="str">
        <f t="shared" si="23"/>
        <v>OK</v>
      </c>
    </row>
    <row r="357" spans="1:10" x14ac:dyDescent="0.2">
      <c r="A357">
        <v>10356</v>
      </c>
      <c r="B357" t="s">
        <v>5</v>
      </c>
      <c r="C357" t="s">
        <v>11</v>
      </c>
      <c r="D357" s="8">
        <v>8.14</v>
      </c>
      <c r="E357">
        <v>7</v>
      </c>
      <c r="F357" t="str">
        <f t="shared" si="20"/>
        <v>Standard</v>
      </c>
      <c r="G357" s="3" cm="1">
        <f t="array" ref="G357">_xlfn.XLOOKUP(C357 &amp; F357,
         [1]unilever_price_limits!A:A &amp; [1]unilever_price_limits!B:B,
         [1]unilever_price_limits!C:C)</f>
        <v>25</v>
      </c>
      <c r="H357" s="8">
        <f t="shared" si="21"/>
        <v>10.175000000000001</v>
      </c>
      <c r="I357" s="6">
        <f t="shared" si="22"/>
        <v>25</v>
      </c>
      <c r="J357" t="str">
        <f t="shared" si="23"/>
        <v>OK</v>
      </c>
    </row>
    <row r="358" spans="1:10" x14ac:dyDescent="0.2">
      <c r="A358">
        <v>10357</v>
      </c>
      <c r="B358" t="s">
        <v>10</v>
      </c>
      <c r="C358" t="s">
        <v>6</v>
      </c>
      <c r="D358" s="8">
        <v>8.64</v>
      </c>
      <c r="E358">
        <v>9</v>
      </c>
      <c r="F358" t="str">
        <f t="shared" si="20"/>
        <v>Premium</v>
      </c>
      <c r="G358" s="3" cm="1">
        <f t="array" ref="G358">_xlfn.XLOOKUP(C358 &amp; F358,
         [1]unilever_price_limits!A:A &amp; [1]unilever_price_limits!B:B,
         [1]unilever_price_limits!C:C)</f>
        <v>55</v>
      </c>
      <c r="H358" s="8">
        <f t="shared" si="21"/>
        <v>13.392000000000001</v>
      </c>
      <c r="I358" s="6">
        <f t="shared" si="22"/>
        <v>55.000000000000007</v>
      </c>
      <c r="J358" t="str">
        <f t="shared" si="23"/>
        <v>OK</v>
      </c>
    </row>
    <row r="359" spans="1:10" x14ac:dyDescent="0.2">
      <c r="A359">
        <v>10358</v>
      </c>
      <c r="B359" t="s">
        <v>7</v>
      </c>
      <c r="C359" t="s">
        <v>11</v>
      </c>
      <c r="D359" s="8">
        <v>2.98</v>
      </c>
      <c r="E359">
        <v>6</v>
      </c>
      <c r="F359" t="str">
        <f t="shared" si="20"/>
        <v>Standard</v>
      </c>
      <c r="G359" s="3" cm="1">
        <f t="array" ref="G359">_xlfn.XLOOKUP(C359 &amp; F359,
         [1]unilever_price_limits!A:A &amp; [1]unilever_price_limits!B:B,
         [1]unilever_price_limits!C:C)</f>
        <v>25</v>
      </c>
      <c r="H359" s="8">
        <f t="shared" si="21"/>
        <v>3.7250000000000001</v>
      </c>
      <c r="I359" s="6">
        <f t="shared" si="22"/>
        <v>25</v>
      </c>
      <c r="J359" t="str">
        <f t="shared" si="23"/>
        <v>OK</v>
      </c>
    </row>
    <row r="360" spans="1:10" x14ac:dyDescent="0.2">
      <c r="A360">
        <v>10359</v>
      </c>
      <c r="B360" t="s">
        <v>8</v>
      </c>
      <c r="C360" t="s">
        <v>9</v>
      </c>
      <c r="D360" s="8">
        <v>3.37</v>
      </c>
      <c r="E360">
        <v>3</v>
      </c>
      <c r="F360" t="str">
        <f t="shared" si="20"/>
        <v>Value</v>
      </c>
      <c r="G360" s="3" cm="1">
        <f t="array" ref="G360">_xlfn.XLOOKUP(C360 &amp; F360,
         [1]unilever_price_limits!A:A &amp; [1]unilever_price_limits!B:B,
         [1]unilever_price_limits!C:C)</f>
        <v>15</v>
      </c>
      <c r="H360" s="8">
        <f t="shared" si="21"/>
        <v>3.8754999999999997</v>
      </c>
      <c r="I360" s="6">
        <f t="shared" si="22"/>
        <v>14.999999999999991</v>
      </c>
      <c r="J360" t="str">
        <f t="shared" si="23"/>
        <v>OK</v>
      </c>
    </row>
    <row r="361" spans="1:10" x14ac:dyDescent="0.2">
      <c r="A361">
        <v>10360</v>
      </c>
      <c r="B361" t="s">
        <v>5</v>
      </c>
      <c r="C361" t="s">
        <v>11</v>
      </c>
      <c r="D361" s="8">
        <v>5.12</v>
      </c>
      <c r="E361">
        <v>3</v>
      </c>
      <c r="F361" t="str">
        <f t="shared" si="20"/>
        <v>Value</v>
      </c>
      <c r="G361" s="3" cm="1">
        <f t="array" ref="G361">_xlfn.XLOOKUP(C361 &amp; F361,
         [1]unilever_price_limits!A:A &amp; [1]unilever_price_limits!B:B,
         [1]unilever_price_limits!C:C)</f>
        <v>10</v>
      </c>
      <c r="H361" s="8">
        <f t="shared" si="21"/>
        <v>5.6320000000000006</v>
      </c>
      <c r="I361" s="6">
        <f t="shared" si="22"/>
        <v>10.000000000000009</v>
      </c>
      <c r="J361" t="str">
        <f t="shared" si="23"/>
        <v>OK</v>
      </c>
    </row>
    <row r="362" spans="1:10" x14ac:dyDescent="0.2">
      <c r="A362">
        <v>10361</v>
      </c>
      <c r="B362" t="s">
        <v>7</v>
      </c>
      <c r="C362" t="s">
        <v>9</v>
      </c>
      <c r="D362" s="8">
        <v>9.11</v>
      </c>
      <c r="E362">
        <v>3</v>
      </c>
      <c r="F362" t="str">
        <f t="shared" si="20"/>
        <v>Value</v>
      </c>
      <c r="G362" s="3" cm="1">
        <f t="array" ref="G362">_xlfn.XLOOKUP(C362 &amp; F362,
         [1]unilever_price_limits!A:A &amp; [1]unilever_price_limits!B:B,
         [1]unilever_price_limits!C:C)</f>
        <v>15</v>
      </c>
      <c r="H362" s="8">
        <f t="shared" si="21"/>
        <v>10.476499999999998</v>
      </c>
      <c r="I362" s="6">
        <f t="shared" si="22"/>
        <v>14.999999999999991</v>
      </c>
      <c r="J362" t="str">
        <f t="shared" si="23"/>
        <v>OK</v>
      </c>
    </row>
    <row r="363" spans="1:10" x14ac:dyDescent="0.2">
      <c r="A363">
        <v>10362</v>
      </c>
      <c r="B363" t="s">
        <v>8</v>
      </c>
      <c r="C363" t="s">
        <v>11</v>
      </c>
      <c r="D363" s="8">
        <v>3.55</v>
      </c>
      <c r="E363">
        <v>10</v>
      </c>
      <c r="F363" t="str">
        <f t="shared" si="20"/>
        <v>Premium</v>
      </c>
      <c r="G363" s="3" cm="1">
        <f t="array" ref="G363">_xlfn.XLOOKUP(C363 &amp; F363,
         [1]unilever_price_limits!A:A &amp; [1]unilever_price_limits!B:B,
         [1]unilever_price_limits!C:C)</f>
        <v>50</v>
      </c>
      <c r="H363" s="8">
        <f t="shared" si="21"/>
        <v>5.3249999999999993</v>
      </c>
      <c r="I363" s="6">
        <f t="shared" si="22"/>
        <v>49.999999999999979</v>
      </c>
      <c r="J363" t="str">
        <f t="shared" si="23"/>
        <v>OK</v>
      </c>
    </row>
    <row r="364" spans="1:10" x14ac:dyDescent="0.2">
      <c r="A364">
        <v>10363</v>
      </c>
      <c r="B364" t="s">
        <v>8</v>
      </c>
      <c r="C364" t="s">
        <v>6</v>
      </c>
      <c r="D364" s="8">
        <v>2.19</v>
      </c>
      <c r="E364">
        <v>2</v>
      </c>
      <c r="F364" t="str">
        <f t="shared" si="20"/>
        <v>Value</v>
      </c>
      <c r="G364" s="3" cm="1">
        <f t="array" ref="G364">_xlfn.XLOOKUP(C364 &amp; F364,
         [1]unilever_price_limits!A:A &amp; [1]unilever_price_limits!B:B,
         [1]unilever_price_limits!C:C)</f>
        <v>12</v>
      </c>
      <c r="H364" s="8">
        <f t="shared" si="21"/>
        <v>2.4528000000000003</v>
      </c>
      <c r="I364" s="6">
        <f t="shared" si="22"/>
        <v>12.000000000000011</v>
      </c>
      <c r="J364" t="str">
        <f t="shared" si="23"/>
        <v>OK</v>
      </c>
    </row>
    <row r="365" spans="1:10" x14ac:dyDescent="0.2">
      <c r="A365">
        <v>10364</v>
      </c>
      <c r="B365" t="s">
        <v>10</v>
      </c>
      <c r="C365" t="s">
        <v>9</v>
      </c>
      <c r="D365" s="8">
        <v>14.57</v>
      </c>
      <c r="E365">
        <v>1</v>
      </c>
      <c r="F365" t="str">
        <f t="shared" si="20"/>
        <v>Value</v>
      </c>
      <c r="G365" s="3" cm="1">
        <f t="array" ref="G365">_xlfn.XLOOKUP(C365 &amp; F365,
         [1]unilever_price_limits!A:A &amp; [1]unilever_price_limits!B:B,
         [1]unilever_price_limits!C:C)</f>
        <v>15</v>
      </c>
      <c r="H365" s="8">
        <f t="shared" si="21"/>
        <v>16.755499999999998</v>
      </c>
      <c r="I365" s="6">
        <f t="shared" si="22"/>
        <v>14.999999999999991</v>
      </c>
      <c r="J365" t="str">
        <f t="shared" si="23"/>
        <v>OK</v>
      </c>
    </row>
    <row r="366" spans="1:10" x14ac:dyDescent="0.2">
      <c r="A366">
        <v>10365</v>
      </c>
      <c r="B366" t="s">
        <v>5</v>
      </c>
      <c r="C366" t="s">
        <v>6</v>
      </c>
      <c r="D366" s="8">
        <v>0.82</v>
      </c>
      <c r="E366">
        <v>10</v>
      </c>
      <c r="F366" t="str">
        <f t="shared" si="20"/>
        <v>Premium</v>
      </c>
      <c r="G366" s="3" cm="1">
        <f t="array" ref="G366">_xlfn.XLOOKUP(C366 &amp; F366,
         [1]unilever_price_limits!A:A &amp; [1]unilever_price_limits!B:B,
         [1]unilever_price_limits!C:C)</f>
        <v>55</v>
      </c>
      <c r="H366" s="8">
        <f t="shared" si="21"/>
        <v>1.2709999999999999</v>
      </c>
      <c r="I366" s="6">
        <f t="shared" si="22"/>
        <v>55.000000000000007</v>
      </c>
      <c r="J366" t="str">
        <f t="shared" si="23"/>
        <v>OK</v>
      </c>
    </row>
    <row r="367" spans="1:10" x14ac:dyDescent="0.2">
      <c r="A367">
        <v>10366</v>
      </c>
      <c r="B367" t="s">
        <v>5</v>
      </c>
      <c r="C367" t="s">
        <v>6</v>
      </c>
      <c r="D367" s="8">
        <v>12.14</v>
      </c>
      <c r="E367">
        <v>1</v>
      </c>
      <c r="F367" t="str">
        <f t="shared" si="20"/>
        <v>Value</v>
      </c>
      <c r="G367" s="3" cm="1">
        <f t="array" ref="G367">_xlfn.XLOOKUP(C367 &amp; F367,
         [1]unilever_price_limits!A:A &amp; [1]unilever_price_limits!B:B,
         [1]unilever_price_limits!C:C)</f>
        <v>12</v>
      </c>
      <c r="H367" s="8">
        <f t="shared" si="21"/>
        <v>13.596800000000002</v>
      </c>
      <c r="I367" s="6">
        <f t="shared" si="22"/>
        <v>12.000000000000011</v>
      </c>
      <c r="J367" t="str">
        <f t="shared" si="23"/>
        <v>OK</v>
      </c>
    </row>
    <row r="368" spans="1:10" x14ac:dyDescent="0.2">
      <c r="A368">
        <v>10367</v>
      </c>
      <c r="B368" t="s">
        <v>10</v>
      </c>
      <c r="C368" t="s">
        <v>9</v>
      </c>
      <c r="D368" s="8">
        <v>11.93</v>
      </c>
      <c r="E368">
        <v>4</v>
      </c>
      <c r="F368" t="str">
        <f t="shared" si="20"/>
        <v>Standard</v>
      </c>
      <c r="G368" s="3" cm="1">
        <f t="array" ref="G368">_xlfn.XLOOKUP(C368 &amp; F368,
         [1]unilever_price_limits!A:A &amp; [1]unilever_price_limits!B:B,
         [1]unilever_price_limits!C:C)</f>
        <v>30</v>
      </c>
      <c r="H368" s="8">
        <f t="shared" si="21"/>
        <v>15.509</v>
      </c>
      <c r="I368" s="6">
        <f t="shared" si="22"/>
        <v>30.000000000000004</v>
      </c>
      <c r="J368" t="str">
        <f t="shared" si="23"/>
        <v>OK</v>
      </c>
    </row>
    <row r="369" spans="1:10" x14ac:dyDescent="0.2">
      <c r="A369">
        <v>10368</v>
      </c>
      <c r="B369" t="s">
        <v>10</v>
      </c>
      <c r="C369" t="s">
        <v>9</v>
      </c>
      <c r="D369" s="8">
        <v>4.8099999999999996</v>
      </c>
      <c r="E369">
        <v>3</v>
      </c>
      <c r="F369" t="str">
        <f t="shared" si="20"/>
        <v>Value</v>
      </c>
      <c r="G369" s="3" cm="1">
        <f t="array" ref="G369">_xlfn.XLOOKUP(C369 &amp; F369,
         [1]unilever_price_limits!A:A &amp; [1]unilever_price_limits!B:B,
         [1]unilever_price_limits!C:C)</f>
        <v>15</v>
      </c>
      <c r="H369" s="8">
        <f t="shared" si="21"/>
        <v>5.5314999999999994</v>
      </c>
      <c r="I369" s="6">
        <f t="shared" si="22"/>
        <v>14.999999999999991</v>
      </c>
      <c r="J369" t="str">
        <f t="shared" si="23"/>
        <v>OK</v>
      </c>
    </row>
    <row r="370" spans="1:10" x14ac:dyDescent="0.2">
      <c r="A370">
        <v>10369</v>
      </c>
      <c r="B370" t="s">
        <v>5</v>
      </c>
      <c r="C370" t="s">
        <v>6</v>
      </c>
      <c r="D370" s="8">
        <v>2.4700000000000002</v>
      </c>
      <c r="E370">
        <v>5</v>
      </c>
      <c r="F370" t="str">
        <f t="shared" si="20"/>
        <v>Standard</v>
      </c>
      <c r="G370" s="3" cm="1">
        <f t="array" ref="G370">_xlfn.XLOOKUP(C370 &amp; F370,
         [1]unilever_price_limits!A:A &amp; [1]unilever_price_limits!B:B,
         [1]unilever_price_limits!C:C)</f>
        <v>28</v>
      </c>
      <c r="H370" s="8">
        <f t="shared" si="21"/>
        <v>3.1616000000000004</v>
      </c>
      <c r="I370" s="6">
        <f t="shared" si="22"/>
        <v>28.000000000000004</v>
      </c>
      <c r="J370" t="str">
        <f t="shared" si="23"/>
        <v>OK</v>
      </c>
    </row>
    <row r="371" spans="1:10" x14ac:dyDescent="0.2">
      <c r="A371">
        <v>10370</v>
      </c>
      <c r="B371" t="s">
        <v>5</v>
      </c>
      <c r="C371" t="s">
        <v>6</v>
      </c>
      <c r="D371" s="8">
        <v>2.61</v>
      </c>
      <c r="E371">
        <v>9</v>
      </c>
      <c r="F371" t="str">
        <f t="shared" si="20"/>
        <v>Premium</v>
      </c>
      <c r="G371" s="3" cm="1">
        <f t="array" ref="G371">_xlfn.XLOOKUP(C371 &amp; F371,
         [1]unilever_price_limits!A:A &amp; [1]unilever_price_limits!B:B,
         [1]unilever_price_limits!C:C)</f>
        <v>55</v>
      </c>
      <c r="H371" s="8">
        <f t="shared" si="21"/>
        <v>4.0454999999999997</v>
      </c>
      <c r="I371" s="6">
        <f t="shared" si="22"/>
        <v>55.000000000000007</v>
      </c>
      <c r="J371" t="str">
        <f t="shared" si="23"/>
        <v>OK</v>
      </c>
    </row>
    <row r="372" spans="1:10" x14ac:dyDescent="0.2">
      <c r="A372">
        <v>10371</v>
      </c>
      <c r="B372" t="s">
        <v>7</v>
      </c>
      <c r="C372" t="s">
        <v>6</v>
      </c>
      <c r="D372" s="8">
        <v>10.61</v>
      </c>
      <c r="E372">
        <v>8</v>
      </c>
      <c r="F372" t="str">
        <f t="shared" si="20"/>
        <v>Premium</v>
      </c>
      <c r="G372" s="3" cm="1">
        <f t="array" ref="G372">_xlfn.XLOOKUP(C372 &amp; F372,
         [1]unilever_price_limits!A:A &amp; [1]unilever_price_limits!B:B,
         [1]unilever_price_limits!C:C)</f>
        <v>55</v>
      </c>
      <c r="H372" s="8">
        <f t="shared" si="21"/>
        <v>16.445499999999999</v>
      </c>
      <c r="I372" s="6">
        <f t="shared" si="22"/>
        <v>55.000000000000007</v>
      </c>
      <c r="J372" t="str">
        <f t="shared" si="23"/>
        <v>OK</v>
      </c>
    </row>
    <row r="373" spans="1:10" x14ac:dyDescent="0.2">
      <c r="A373">
        <v>10372</v>
      </c>
      <c r="B373" t="s">
        <v>7</v>
      </c>
      <c r="C373" t="s">
        <v>6</v>
      </c>
      <c r="D373" s="8">
        <v>9.82</v>
      </c>
      <c r="E373">
        <v>9</v>
      </c>
      <c r="F373" t="str">
        <f t="shared" si="20"/>
        <v>Premium</v>
      </c>
      <c r="G373" s="3" cm="1">
        <f t="array" ref="G373">_xlfn.XLOOKUP(C373 &amp; F373,
         [1]unilever_price_limits!A:A &amp; [1]unilever_price_limits!B:B,
         [1]unilever_price_limits!C:C)</f>
        <v>55</v>
      </c>
      <c r="H373" s="8">
        <f t="shared" si="21"/>
        <v>15.221</v>
      </c>
      <c r="I373" s="6">
        <f t="shared" si="22"/>
        <v>55.000000000000007</v>
      </c>
      <c r="J373" t="str">
        <f t="shared" si="23"/>
        <v>OK</v>
      </c>
    </row>
    <row r="374" spans="1:10" x14ac:dyDescent="0.2">
      <c r="A374">
        <v>10373</v>
      </c>
      <c r="B374" t="s">
        <v>10</v>
      </c>
      <c r="C374" t="s">
        <v>9</v>
      </c>
      <c r="D374" s="8">
        <v>11.85</v>
      </c>
      <c r="E374">
        <v>5</v>
      </c>
      <c r="F374" t="str">
        <f t="shared" si="20"/>
        <v>Standard</v>
      </c>
      <c r="G374" s="3" cm="1">
        <f t="array" ref="G374">_xlfn.XLOOKUP(C374 &amp; F374,
         [1]unilever_price_limits!A:A &amp; [1]unilever_price_limits!B:B,
         [1]unilever_price_limits!C:C)</f>
        <v>30</v>
      </c>
      <c r="H374" s="8">
        <f t="shared" si="21"/>
        <v>15.404999999999999</v>
      </c>
      <c r="I374" s="6">
        <f t="shared" si="22"/>
        <v>30.000000000000004</v>
      </c>
      <c r="J374" t="str">
        <f t="shared" si="23"/>
        <v>OK</v>
      </c>
    </row>
    <row r="375" spans="1:10" x14ac:dyDescent="0.2">
      <c r="A375">
        <v>10374</v>
      </c>
      <c r="B375" t="s">
        <v>7</v>
      </c>
      <c r="C375" t="s">
        <v>9</v>
      </c>
      <c r="D375" s="8">
        <v>14.09</v>
      </c>
      <c r="E375">
        <v>8</v>
      </c>
      <c r="F375" t="str">
        <f t="shared" si="20"/>
        <v>Premium</v>
      </c>
      <c r="G375" s="3" cm="1">
        <f t="array" ref="G375">_xlfn.XLOOKUP(C375 &amp; F375,
         [1]unilever_price_limits!A:A &amp; [1]unilever_price_limits!B:B,
         [1]unilever_price_limits!C:C)</f>
        <v>60</v>
      </c>
      <c r="H375" s="8">
        <f t="shared" si="21"/>
        <v>22.544</v>
      </c>
      <c r="I375" s="6">
        <f t="shared" si="22"/>
        <v>60.000000000000007</v>
      </c>
      <c r="J375" t="str">
        <f t="shared" si="23"/>
        <v>OK</v>
      </c>
    </row>
    <row r="376" spans="1:10" x14ac:dyDescent="0.2">
      <c r="A376">
        <v>10375</v>
      </c>
      <c r="B376" t="s">
        <v>8</v>
      </c>
      <c r="C376" t="s">
        <v>6</v>
      </c>
      <c r="D376" s="8">
        <v>10.53</v>
      </c>
      <c r="E376">
        <v>4</v>
      </c>
      <c r="F376" t="str">
        <f t="shared" si="20"/>
        <v>Standard</v>
      </c>
      <c r="G376" s="3" cm="1">
        <f t="array" ref="G376">_xlfn.XLOOKUP(C376 &amp; F376,
         [1]unilever_price_limits!A:A &amp; [1]unilever_price_limits!B:B,
         [1]unilever_price_limits!C:C)</f>
        <v>28</v>
      </c>
      <c r="H376" s="8">
        <f t="shared" si="21"/>
        <v>13.478399999999999</v>
      </c>
      <c r="I376" s="6">
        <f t="shared" si="22"/>
        <v>28.000000000000004</v>
      </c>
      <c r="J376" t="str">
        <f t="shared" si="23"/>
        <v>OK</v>
      </c>
    </row>
    <row r="377" spans="1:10" x14ac:dyDescent="0.2">
      <c r="A377">
        <v>10376</v>
      </c>
      <c r="B377" t="s">
        <v>7</v>
      </c>
      <c r="C377" t="s">
        <v>11</v>
      </c>
      <c r="D377" s="8">
        <v>2.76</v>
      </c>
      <c r="E377">
        <v>5</v>
      </c>
      <c r="F377" t="str">
        <f t="shared" si="20"/>
        <v>Standard</v>
      </c>
      <c r="G377" s="3" cm="1">
        <f t="array" ref="G377">_xlfn.XLOOKUP(C377 &amp; F377,
         [1]unilever_price_limits!A:A &amp; [1]unilever_price_limits!B:B,
         [1]unilever_price_limits!C:C)</f>
        <v>25</v>
      </c>
      <c r="H377" s="8">
        <f t="shared" si="21"/>
        <v>3.4499999999999997</v>
      </c>
      <c r="I377" s="6">
        <f t="shared" si="22"/>
        <v>25</v>
      </c>
      <c r="J377" t="str">
        <f t="shared" si="23"/>
        <v>OK</v>
      </c>
    </row>
    <row r="378" spans="1:10" x14ac:dyDescent="0.2">
      <c r="A378">
        <v>10377</v>
      </c>
      <c r="B378" t="s">
        <v>7</v>
      </c>
      <c r="C378" t="s">
        <v>11</v>
      </c>
      <c r="D378" s="8">
        <v>4.03</v>
      </c>
      <c r="E378">
        <v>3</v>
      </c>
      <c r="F378" t="str">
        <f t="shared" si="20"/>
        <v>Value</v>
      </c>
      <c r="G378" s="3" cm="1">
        <f t="array" ref="G378">_xlfn.XLOOKUP(C378 &amp; F378,
         [1]unilever_price_limits!A:A &amp; [1]unilever_price_limits!B:B,
         [1]unilever_price_limits!C:C)</f>
        <v>10</v>
      </c>
      <c r="H378" s="8">
        <f t="shared" si="21"/>
        <v>4.4330000000000007</v>
      </c>
      <c r="I378" s="6">
        <f t="shared" si="22"/>
        <v>10.000000000000009</v>
      </c>
      <c r="J378" t="str">
        <f t="shared" si="23"/>
        <v>OK</v>
      </c>
    </row>
    <row r="379" spans="1:10" x14ac:dyDescent="0.2">
      <c r="A379">
        <v>10378</v>
      </c>
      <c r="B379" t="s">
        <v>8</v>
      </c>
      <c r="C379" t="s">
        <v>9</v>
      </c>
      <c r="D379" s="8">
        <v>12.71</v>
      </c>
      <c r="E379">
        <v>5</v>
      </c>
      <c r="F379" t="str">
        <f t="shared" si="20"/>
        <v>Standard</v>
      </c>
      <c r="G379" s="3" cm="1">
        <f t="array" ref="G379">_xlfn.XLOOKUP(C379 &amp; F379,
         [1]unilever_price_limits!A:A &amp; [1]unilever_price_limits!B:B,
         [1]unilever_price_limits!C:C)</f>
        <v>30</v>
      </c>
      <c r="H379" s="8">
        <f t="shared" si="21"/>
        <v>16.523000000000003</v>
      </c>
      <c r="I379" s="6">
        <f t="shared" si="22"/>
        <v>30.000000000000028</v>
      </c>
      <c r="J379" t="str">
        <f t="shared" si="23"/>
        <v>OK</v>
      </c>
    </row>
    <row r="380" spans="1:10" x14ac:dyDescent="0.2">
      <c r="A380">
        <v>10379</v>
      </c>
      <c r="B380" t="s">
        <v>10</v>
      </c>
      <c r="C380" t="s">
        <v>6</v>
      </c>
      <c r="D380" s="8">
        <v>3.53</v>
      </c>
      <c r="E380">
        <v>3</v>
      </c>
      <c r="F380" t="str">
        <f t="shared" si="20"/>
        <v>Value</v>
      </c>
      <c r="G380" s="3" cm="1">
        <f t="array" ref="G380">_xlfn.XLOOKUP(C380 &amp; F380,
         [1]unilever_price_limits!A:A &amp; [1]unilever_price_limits!B:B,
         [1]unilever_price_limits!C:C)</f>
        <v>12</v>
      </c>
      <c r="H380" s="8">
        <f t="shared" si="21"/>
        <v>3.9536000000000002</v>
      </c>
      <c r="I380" s="6">
        <f t="shared" si="22"/>
        <v>12.000000000000011</v>
      </c>
      <c r="J380" t="str">
        <f t="shared" si="23"/>
        <v>OK</v>
      </c>
    </row>
    <row r="381" spans="1:10" x14ac:dyDescent="0.2">
      <c r="A381">
        <v>10380</v>
      </c>
      <c r="B381" t="s">
        <v>8</v>
      </c>
      <c r="C381" t="s">
        <v>6</v>
      </c>
      <c r="D381" s="8">
        <v>1.55</v>
      </c>
      <c r="E381">
        <v>5</v>
      </c>
      <c r="F381" t="str">
        <f t="shared" si="20"/>
        <v>Standard</v>
      </c>
      <c r="G381" s="3" cm="1">
        <f t="array" ref="G381">_xlfn.XLOOKUP(C381 &amp; F381,
         [1]unilever_price_limits!A:A &amp; [1]unilever_price_limits!B:B,
         [1]unilever_price_limits!C:C)</f>
        <v>28</v>
      </c>
      <c r="H381" s="8">
        <f t="shared" si="21"/>
        <v>1.9840000000000002</v>
      </c>
      <c r="I381" s="6">
        <f t="shared" si="22"/>
        <v>28.000000000000004</v>
      </c>
      <c r="J381" t="str">
        <f t="shared" si="23"/>
        <v>OK</v>
      </c>
    </row>
    <row r="382" spans="1:10" x14ac:dyDescent="0.2">
      <c r="A382">
        <v>10381</v>
      </c>
      <c r="B382" t="s">
        <v>7</v>
      </c>
      <c r="C382" t="s">
        <v>9</v>
      </c>
      <c r="D382" s="8">
        <v>10.7</v>
      </c>
      <c r="E382">
        <v>5</v>
      </c>
      <c r="F382" t="str">
        <f t="shared" si="20"/>
        <v>Standard</v>
      </c>
      <c r="G382" s="3" cm="1">
        <f t="array" ref="G382">_xlfn.XLOOKUP(C382 &amp; F382,
         [1]unilever_price_limits!A:A &amp; [1]unilever_price_limits!B:B,
         [1]unilever_price_limits!C:C)</f>
        <v>30</v>
      </c>
      <c r="H382" s="8">
        <f t="shared" si="21"/>
        <v>13.91</v>
      </c>
      <c r="I382" s="6">
        <f t="shared" si="22"/>
        <v>30.000000000000004</v>
      </c>
      <c r="J382" t="str">
        <f t="shared" si="23"/>
        <v>OK</v>
      </c>
    </row>
    <row r="383" spans="1:10" x14ac:dyDescent="0.2">
      <c r="A383">
        <v>10382</v>
      </c>
      <c r="B383" t="s">
        <v>10</v>
      </c>
      <c r="C383" t="s">
        <v>11</v>
      </c>
      <c r="D383" s="8">
        <v>6.34</v>
      </c>
      <c r="E383">
        <v>6</v>
      </c>
      <c r="F383" t="str">
        <f t="shared" si="20"/>
        <v>Standard</v>
      </c>
      <c r="G383" s="3" cm="1">
        <f t="array" ref="G383">_xlfn.XLOOKUP(C383 &amp; F383,
         [1]unilever_price_limits!A:A &amp; [1]unilever_price_limits!B:B,
         [1]unilever_price_limits!C:C)</f>
        <v>25</v>
      </c>
      <c r="H383" s="8">
        <f t="shared" si="21"/>
        <v>7.9249999999999998</v>
      </c>
      <c r="I383" s="6">
        <f t="shared" si="22"/>
        <v>25</v>
      </c>
      <c r="J383" t="str">
        <f t="shared" si="23"/>
        <v>OK</v>
      </c>
    </row>
    <row r="384" spans="1:10" x14ac:dyDescent="0.2">
      <c r="A384">
        <v>10383</v>
      </c>
      <c r="B384" t="s">
        <v>7</v>
      </c>
      <c r="C384" t="s">
        <v>11</v>
      </c>
      <c r="D384" s="8">
        <v>13.84</v>
      </c>
      <c r="E384">
        <v>9</v>
      </c>
      <c r="F384" t="str">
        <f t="shared" si="20"/>
        <v>Premium</v>
      </c>
      <c r="G384" s="3" cm="1">
        <f t="array" ref="G384">_xlfn.XLOOKUP(C384 &amp; F384,
         [1]unilever_price_limits!A:A &amp; [1]unilever_price_limits!B:B,
         [1]unilever_price_limits!C:C)</f>
        <v>50</v>
      </c>
      <c r="H384" s="8">
        <f t="shared" si="21"/>
        <v>20.759999999999998</v>
      </c>
      <c r="I384" s="6">
        <f t="shared" si="22"/>
        <v>49.999999999999979</v>
      </c>
      <c r="J384" t="str">
        <f t="shared" si="23"/>
        <v>OK</v>
      </c>
    </row>
    <row r="385" spans="1:10" x14ac:dyDescent="0.2">
      <c r="A385">
        <v>10384</v>
      </c>
      <c r="B385" t="s">
        <v>8</v>
      </c>
      <c r="C385" t="s">
        <v>11</v>
      </c>
      <c r="D385" s="8">
        <v>9.93</v>
      </c>
      <c r="E385">
        <v>1</v>
      </c>
      <c r="F385" t="str">
        <f t="shared" si="20"/>
        <v>Value</v>
      </c>
      <c r="G385" s="3" cm="1">
        <f t="array" ref="G385">_xlfn.XLOOKUP(C385 &amp; F385,
         [1]unilever_price_limits!A:A &amp; [1]unilever_price_limits!B:B,
         [1]unilever_price_limits!C:C)</f>
        <v>10</v>
      </c>
      <c r="H385" s="8">
        <f t="shared" si="21"/>
        <v>10.923</v>
      </c>
      <c r="I385" s="6">
        <f t="shared" si="22"/>
        <v>10.000000000000009</v>
      </c>
      <c r="J385" t="str">
        <f t="shared" si="23"/>
        <v>OK</v>
      </c>
    </row>
    <row r="386" spans="1:10" x14ac:dyDescent="0.2">
      <c r="A386">
        <v>10385</v>
      </c>
      <c r="B386" t="s">
        <v>8</v>
      </c>
      <c r="C386" t="s">
        <v>9</v>
      </c>
      <c r="D386" s="8">
        <v>1.81</v>
      </c>
      <c r="E386">
        <v>10</v>
      </c>
      <c r="F386" t="str">
        <f t="shared" si="20"/>
        <v>Premium</v>
      </c>
      <c r="G386" s="3" cm="1">
        <f t="array" ref="G386">_xlfn.XLOOKUP(C386 &amp; F386,
         [1]unilever_price_limits!A:A &amp; [1]unilever_price_limits!B:B,
         [1]unilever_price_limits!C:C)</f>
        <v>60</v>
      </c>
      <c r="H386" s="8">
        <f t="shared" si="21"/>
        <v>2.8960000000000004</v>
      </c>
      <c r="I386" s="6">
        <f t="shared" si="22"/>
        <v>60.000000000000007</v>
      </c>
      <c r="J386" t="str">
        <f t="shared" si="23"/>
        <v>OK</v>
      </c>
    </row>
    <row r="387" spans="1:10" x14ac:dyDescent="0.2">
      <c r="A387">
        <v>10386</v>
      </c>
      <c r="B387" t="s">
        <v>7</v>
      </c>
      <c r="C387" t="s">
        <v>11</v>
      </c>
      <c r="D387" s="8">
        <v>14.24</v>
      </c>
      <c r="E387">
        <v>6</v>
      </c>
      <c r="F387" t="str">
        <f t="shared" ref="F387:F450" si="24">IF(E387&lt;=3,"Value",
 IF(E387&lt;=7,"Standard","Premium"))</f>
        <v>Standard</v>
      </c>
      <c r="G387" s="3" cm="1">
        <f t="array" ref="G387">_xlfn.XLOOKUP(C387 &amp; F387,
         [1]unilever_price_limits!A:A &amp; [1]unilever_price_limits!B:B,
         [1]unilever_price_limits!C:C)</f>
        <v>25</v>
      </c>
      <c r="H387" s="8">
        <f t="shared" ref="H387:H450" si="25">D387 * (1 + G387/100)</f>
        <v>17.8</v>
      </c>
      <c r="I387" s="6">
        <f t="shared" ref="I387:I450" si="26">(H387 / D387 - 1) * 100</f>
        <v>25</v>
      </c>
      <c r="J387" t="str">
        <f t="shared" ref="J387:J450" si="27">IF(I386&gt; G386, "⚠ Exceeds Limit", "OK")</f>
        <v>OK</v>
      </c>
    </row>
    <row r="388" spans="1:10" x14ac:dyDescent="0.2">
      <c r="A388">
        <v>10387</v>
      </c>
      <c r="B388" t="s">
        <v>5</v>
      </c>
      <c r="C388" t="s">
        <v>9</v>
      </c>
      <c r="D388" s="8">
        <v>4.25</v>
      </c>
      <c r="E388">
        <v>1</v>
      </c>
      <c r="F388" t="str">
        <f t="shared" si="24"/>
        <v>Value</v>
      </c>
      <c r="G388" s="3" cm="1">
        <f t="array" ref="G388">_xlfn.XLOOKUP(C388 &amp; F388,
         [1]unilever_price_limits!A:A &amp; [1]unilever_price_limits!B:B,
         [1]unilever_price_limits!C:C)</f>
        <v>15</v>
      </c>
      <c r="H388" s="8">
        <f t="shared" si="25"/>
        <v>4.8874999999999993</v>
      </c>
      <c r="I388" s="6">
        <f t="shared" si="26"/>
        <v>14.999999999999991</v>
      </c>
      <c r="J388" t="str">
        <f t="shared" si="27"/>
        <v>OK</v>
      </c>
    </row>
    <row r="389" spans="1:10" x14ac:dyDescent="0.2">
      <c r="A389">
        <v>10388</v>
      </c>
      <c r="B389" t="s">
        <v>5</v>
      </c>
      <c r="C389" t="s">
        <v>9</v>
      </c>
      <c r="D389" s="8">
        <v>5.39</v>
      </c>
      <c r="E389">
        <v>6</v>
      </c>
      <c r="F389" t="str">
        <f t="shared" si="24"/>
        <v>Standard</v>
      </c>
      <c r="G389" s="3" cm="1">
        <f t="array" ref="G389">_xlfn.XLOOKUP(C389 &amp; F389,
         [1]unilever_price_limits!A:A &amp; [1]unilever_price_limits!B:B,
         [1]unilever_price_limits!C:C)</f>
        <v>30</v>
      </c>
      <c r="H389" s="8">
        <f t="shared" si="25"/>
        <v>7.0069999999999997</v>
      </c>
      <c r="I389" s="6">
        <f t="shared" si="26"/>
        <v>30.000000000000004</v>
      </c>
      <c r="J389" t="str">
        <f t="shared" si="27"/>
        <v>OK</v>
      </c>
    </row>
    <row r="390" spans="1:10" x14ac:dyDescent="0.2">
      <c r="A390">
        <v>10389</v>
      </c>
      <c r="B390" t="s">
        <v>8</v>
      </c>
      <c r="C390" t="s">
        <v>6</v>
      </c>
      <c r="D390" s="8">
        <v>6.33</v>
      </c>
      <c r="E390">
        <v>2</v>
      </c>
      <c r="F390" t="str">
        <f t="shared" si="24"/>
        <v>Value</v>
      </c>
      <c r="G390" s="3" cm="1">
        <f t="array" ref="G390">_xlfn.XLOOKUP(C390 &amp; F390,
         [1]unilever_price_limits!A:A &amp; [1]unilever_price_limits!B:B,
         [1]unilever_price_limits!C:C)</f>
        <v>12</v>
      </c>
      <c r="H390" s="8">
        <f t="shared" si="25"/>
        <v>7.0896000000000008</v>
      </c>
      <c r="I390" s="6">
        <f t="shared" si="26"/>
        <v>12.000000000000011</v>
      </c>
      <c r="J390" t="str">
        <f t="shared" si="27"/>
        <v>OK</v>
      </c>
    </row>
    <row r="391" spans="1:10" x14ac:dyDescent="0.2">
      <c r="A391">
        <v>10390</v>
      </c>
      <c r="B391" t="s">
        <v>8</v>
      </c>
      <c r="C391" t="s">
        <v>11</v>
      </c>
      <c r="D391" s="8">
        <v>1.24</v>
      </c>
      <c r="E391">
        <v>8</v>
      </c>
      <c r="F391" t="str">
        <f t="shared" si="24"/>
        <v>Premium</v>
      </c>
      <c r="G391" s="3" cm="1">
        <f t="array" ref="G391">_xlfn.XLOOKUP(C391 &amp; F391,
         [1]unilever_price_limits!A:A &amp; [1]unilever_price_limits!B:B,
         [1]unilever_price_limits!C:C)</f>
        <v>50</v>
      </c>
      <c r="H391" s="8">
        <f t="shared" si="25"/>
        <v>1.8599999999999999</v>
      </c>
      <c r="I391" s="6">
        <f t="shared" si="26"/>
        <v>50</v>
      </c>
      <c r="J391" t="str">
        <f t="shared" si="27"/>
        <v>OK</v>
      </c>
    </row>
    <row r="392" spans="1:10" x14ac:dyDescent="0.2">
      <c r="A392">
        <v>10391</v>
      </c>
      <c r="B392" t="s">
        <v>5</v>
      </c>
      <c r="C392" t="s">
        <v>9</v>
      </c>
      <c r="D392" s="8">
        <v>7.7</v>
      </c>
      <c r="E392">
        <v>3</v>
      </c>
      <c r="F392" t="str">
        <f t="shared" si="24"/>
        <v>Value</v>
      </c>
      <c r="G392" s="3" cm="1">
        <f t="array" ref="G392">_xlfn.XLOOKUP(C392 &amp; F392,
         [1]unilever_price_limits!A:A &amp; [1]unilever_price_limits!B:B,
         [1]unilever_price_limits!C:C)</f>
        <v>15</v>
      </c>
      <c r="H392" s="8">
        <f t="shared" si="25"/>
        <v>8.8549999999999986</v>
      </c>
      <c r="I392" s="6">
        <f t="shared" si="26"/>
        <v>14.999999999999968</v>
      </c>
      <c r="J392" t="str">
        <f t="shared" si="27"/>
        <v>OK</v>
      </c>
    </row>
    <row r="393" spans="1:10" x14ac:dyDescent="0.2">
      <c r="A393">
        <v>10392</v>
      </c>
      <c r="B393" t="s">
        <v>5</v>
      </c>
      <c r="C393" t="s">
        <v>11</v>
      </c>
      <c r="D393" s="8">
        <v>2.29</v>
      </c>
      <c r="E393">
        <v>10</v>
      </c>
      <c r="F393" t="str">
        <f t="shared" si="24"/>
        <v>Premium</v>
      </c>
      <c r="G393" s="3" cm="1">
        <f t="array" ref="G393">_xlfn.XLOOKUP(C393 &amp; F393,
         [1]unilever_price_limits!A:A &amp; [1]unilever_price_limits!B:B,
         [1]unilever_price_limits!C:C)</f>
        <v>50</v>
      </c>
      <c r="H393" s="8">
        <f t="shared" si="25"/>
        <v>3.4350000000000001</v>
      </c>
      <c r="I393" s="6">
        <f t="shared" si="26"/>
        <v>50</v>
      </c>
      <c r="J393" t="str">
        <f t="shared" si="27"/>
        <v>OK</v>
      </c>
    </row>
    <row r="394" spans="1:10" x14ac:dyDescent="0.2">
      <c r="A394">
        <v>10393</v>
      </c>
      <c r="B394" t="s">
        <v>7</v>
      </c>
      <c r="C394" t="s">
        <v>11</v>
      </c>
      <c r="D394" s="8">
        <v>6.31</v>
      </c>
      <c r="E394">
        <v>6</v>
      </c>
      <c r="F394" t="str">
        <f t="shared" si="24"/>
        <v>Standard</v>
      </c>
      <c r="G394" s="3" cm="1">
        <f t="array" ref="G394">_xlfn.XLOOKUP(C394 &amp; F394,
         [1]unilever_price_limits!A:A &amp; [1]unilever_price_limits!B:B,
         [1]unilever_price_limits!C:C)</f>
        <v>25</v>
      </c>
      <c r="H394" s="8">
        <f t="shared" si="25"/>
        <v>7.8874999999999993</v>
      </c>
      <c r="I394" s="6">
        <f t="shared" si="26"/>
        <v>25</v>
      </c>
      <c r="J394" t="str">
        <f t="shared" si="27"/>
        <v>OK</v>
      </c>
    </row>
    <row r="395" spans="1:10" x14ac:dyDescent="0.2">
      <c r="A395">
        <v>10394</v>
      </c>
      <c r="B395" t="s">
        <v>7</v>
      </c>
      <c r="C395" t="s">
        <v>6</v>
      </c>
      <c r="D395" s="8">
        <v>5.59</v>
      </c>
      <c r="E395">
        <v>6</v>
      </c>
      <c r="F395" t="str">
        <f t="shared" si="24"/>
        <v>Standard</v>
      </c>
      <c r="G395" s="3" cm="1">
        <f t="array" ref="G395">_xlfn.XLOOKUP(C395 &amp; F395,
         [1]unilever_price_limits!A:A &amp; [1]unilever_price_limits!B:B,
         [1]unilever_price_limits!C:C)</f>
        <v>28</v>
      </c>
      <c r="H395" s="8">
        <f t="shared" si="25"/>
        <v>7.1551999999999998</v>
      </c>
      <c r="I395" s="6">
        <f t="shared" si="26"/>
        <v>28.000000000000004</v>
      </c>
      <c r="J395" t="str">
        <f t="shared" si="27"/>
        <v>OK</v>
      </c>
    </row>
    <row r="396" spans="1:10" x14ac:dyDescent="0.2">
      <c r="A396">
        <v>10395</v>
      </c>
      <c r="B396" t="s">
        <v>5</v>
      </c>
      <c r="C396" t="s">
        <v>11</v>
      </c>
      <c r="D396" s="8">
        <v>11.71</v>
      </c>
      <c r="E396">
        <v>4</v>
      </c>
      <c r="F396" t="str">
        <f t="shared" si="24"/>
        <v>Standard</v>
      </c>
      <c r="G396" s="3" cm="1">
        <f t="array" ref="G396">_xlfn.XLOOKUP(C396 &amp; F396,
         [1]unilever_price_limits!A:A &amp; [1]unilever_price_limits!B:B,
         [1]unilever_price_limits!C:C)</f>
        <v>25</v>
      </c>
      <c r="H396" s="8">
        <f t="shared" si="25"/>
        <v>14.637500000000001</v>
      </c>
      <c r="I396" s="6">
        <f t="shared" si="26"/>
        <v>25</v>
      </c>
      <c r="J396" t="str">
        <f t="shared" si="27"/>
        <v>OK</v>
      </c>
    </row>
    <row r="397" spans="1:10" x14ac:dyDescent="0.2">
      <c r="A397">
        <v>10396</v>
      </c>
      <c r="B397" t="s">
        <v>7</v>
      </c>
      <c r="C397" t="s">
        <v>6</v>
      </c>
      <c r="D397" s="8">
        <v>12.15</v>
      </c>
      <c r="E397">
        <v>5</v>
      </c>
      <c r="F397" t="str">
        <f t="shared" si="24"/>
        <v>Standard</v>
      </c>
      <c r="G397" s="3" cm="1">
        <f t="array" ref="G397">_xlfn.XLOOKUP(C397 &amp; F397,
         [1]unilever_price_limits!A:A &amp; [1]unilever_price_limits!B:B,
         [1]unilever_price_limits!C:C)</f>
        <v>28</v>
      </c>
      <c r="H397" s="8">
        <f t="shared" si="25"/>
        <v>15.552000000000001</v>
      </c>
      <c r="I397" s="6">
        <f t="shared" si="26"/>
        <v>28.000000000000004</v>
      </c>
      <c r="J397" t="str">
        <f t="shared" si="27"/>
        <v>OK</v>
      </c>
    </row>
    <row r="398" spans="1:10" x14ac:dyDescent="0.2">
      <c r="A398">
        <v>10397</v>
      </c>
      <c r="B398" t="s">
        <v>7</v>
      </c>
      <c r="C398" t="s">
        <v>9</v>
      </c>
      <c r="D398" s="8">
        <v>2.72</v>
      </c>
      <c r="E398">
        <v>2</v>
      </c>
      <c r="F398" t="str">
        <f t="shared" si="24"/>
        <v>Value</v>
      </c>
      <c r="G398" s="3" cm="1">
        <f t="array" ref="G398">_xlfn.XLOOKUP(C398 &amp; F398,
         [1]unilever_price_limits!A:A &amp; [1]unilever_price_limits!B:B,
         [1]unilever_price_limits!C:C)</f>
        <v>15</v>
      </c>
      <c r="H398" s="8">
        <f t="shared" si="25"/>
        <v>3.1280000000000001</v>
      </c>
      <c r="I398" s="6">
        <f t="shared" si="26"/>
        <v>14.999999999999991</v>
      </c>
      <c r="J398" t="str">
        <f t="shared" si="27"/>
        <v>OK</v>
      </c>
    </row>
    <row r="399" spans="1:10" x14ac:dyDescent="0.2">
      <c r="A399">
        <v>10398</v>
      </c>
      <c r="B399" t="s">
        <v>10</v>
      </c>
      <c r="C399" t="s">
        <v>11</v>
      </c>
      <c r="D399" s="8">
        <v>5.81</v>
      </c>
      <c r="E399">
        <v>10</v>
      </c>
      <c r="F399" t="str">
        <f t="shared" si="24"/>
        <v>Premium</v>
      </c>
      <c r="G399" s="3" cm="1">
        <f t="array" ref="G399">_xlfn.XLOOKUP(C399 &amp; F399,
         [1]unilever_price_limits!A:A &amp; [1]unilever_price_limits!B:B,
         [1]unilever_price_limits!C:C)</f>
        <v>50</v>
      </c>
      <c r="H399" s="8">
        <f t="shared" si="25"/>
        <v>8.7149999999999999</v>
      </c>
      <c r="I399" s="6">
        <f t="shared" si="26"/>
        <v>50</v>
      </c>
      <c r="J399" t="str">
        <f t="shared" si="27"/>
        <v>OK</v>
      </c>
    </row>
    <row r="400" spans="1:10" x14ac:dyDescent="0.2">
      <c r="A400">
        <v>10399</v>
      </c>
      <c r="B400" t="s">
        <v>7</v>
      </c>
      <c r="C400" t="s">
        <v>9</v>
      </c>
      <c r="D400" s="8">
        <v>5.91</v>
      </c>
      <c r="E400">
        <v>10</v>
      </c>
      <c r="F400" t="str">
        <f t="shared" si="24"/>
        <v>Premium</v>
      </c>
      <c r="G400" s="3" cm="1">
        <f t="array" ref="G400">_xlfn.XLOOKUP(C400 &amp; F400,
         [1]unilever_price_limits!A:A &amp; [1]unilever_price_limits!B:B,
         [1]unilever_price_limits!C:C)</f>
        <v>60</v>
      </c>
      <c r="H400" s="8">
        <f t="shared" si="25"/>
        <v>9.4560000000000013</v>
      </c>
      <c r="I400" s="6">
        <f t="shared" si="26"/>
        <v>60.000000000000007</v>
      </c>
      <c r="J400" t="str">
        <f t="shared" si="27"/>
        <v>OK</v>
      </c>
    </row>
    <row r="401" spans="1:10" x14ac:dyDescent="0.2">
      <c r="A401">
        <v>10400</v>
      </c>
      <c r="B401" t="s">
        <v>8</v>
      </c>
      <c r="C401" t="s">
        <v>11</v>
      </c>
      <c r="D401" s="8">
        <v>2.7</v>
      </c>
      <c r="E401">
        <v>8</v>
      </c>
      <c r="F401" t="str">
        <f t="shared" si="24"/>
        <v>Premium</v>
      </c>
      <c r="G401" s="3" cm="1">
        <f t="array" ref="G401">_xlfn.XLOOKUP(C401 &amp; F401,
         [1]unilever_price_limits!A:A &amp; [1]unilever_price_limits!B:B,
         [1]unilever_price_limits!C:C)</f>
        <v>50</v>
      </c>
      <c r="H401" s="8">
        <f t="shared" si="25"/>
        <v>4.0500000000000007</v>
      </c>
      <c r="I401" s="6">
        <f t="shared" si="26"/>
        <v>50.000000000000021</v>
      </c>
      <c r="J401" t="str">
        <f t="shared" si="27"/>
        <v>OK</v>
      </c>
    </row>
    <row r="402" spans="1:10" x14ac:dyDescent="0.2">
      <c r="A402">
        <v>10401</v>
      </c>
      <c r="B402" t="s">
        <v>7</v>
      </c>
      <c r="C402" t="s">
        <v>9</v>
      </c>
      <c r="D402" s="8">
        <v>12.08</v>
      </c>
      <c r="E402">
        <v>10</v>
      </c>
      <c r="F402" t="str">
        <f t="shared" si="24"/>
        <v>Premium</v>
      </c>
      <c r="G402" s="3" cm="1">
        <f t="array" ref="G402">_xlfn.XLOOKUP(C402 &amp; F402,
         [1]unilever_price_limits!A:A &amp; [1]unilever_price_limits!B:B,
         [1]unilever_price_limits!C:C)</f>
        <v>60</v>
      </c>
      <c r="H402" s="8">
        <f t="shared" si="25"/>
        <v>19.328000000000003</v>
      </c>
      <c r="I402" s="6">
        <f t="shared" si="26"/>
        <v>60.000000000000028</v>
      </c>
      <c r="J402" t="str">
        <f t="shared" si="27"/>
        <v>OK</v>
      </c>
    </row>
    <row r="403" spans="1:10" x14ac:dyDescent="0.2">
      <c r="A403">
        <v>10402</v>
      </c>
      <c r="B403" t="s">
        <v>7</v>
      </c>
      <c r="C403" t="s">
        <v>11</v>
      </c>
      <c r="D403" s="8">
        <v>10.75</v>
      </c>
      <c r="E403">
        <v>7</v>
      </c>
      <c r="F403" t="str">
        <f t="shared" si="24"/>
        <v>Standard</v>
      </c>
      <c r="G403" s="3" cm="1">
        <f t="array" ref="G403">_xlfn.XLOOKUP(C403 &amp; F403,
         [1]unilever_price_limits!A:A &amp; [1]unilever_price_limits!B:B,
         [1]unilever_price_limits!C:C)</f>
        <v>25</v>
      </c>
      <c r="H403" s="8">
        <f t="shared" si="25"/>
        <v>13.4375</v>
      </c>
      <c r="I403" s="6">
        <f t="shared" si="26"/>
        <v>25</v>
      </c>
      <c r="J403" t="str">
        <f t="shared" si="27"/>
        <v>OK</v>
      </c>
    </row>
    <row r="404" spans="1:10" x14ac:dyDescent="0.2">
      <c r="A404">
        <v>10403</v>
      </c>
      <c r="B404" t="s">
        <v>5</v>
      </c>
      <c r="C404" t="s">
        <v>11</v>
      </c>
      <c r="D404" s="8">
        <v>3.26</v>
      </c>
      <c r="E404">
        <v>10</v>
      </c>
      <c r="F404" t="str">
        <f t="shared" si="24"/>
        <v>Premium</v>
      </c>
      <c r="G404" s="3" cm="1">
        <f t="array" ref="G404">_xlfn.XLOOKUP(C404 &amp; F404,
         [1]unilever_price_limits!A:A &amp; [1]unilever_price_limits!B:B,
         [1]unilever_price_limits!C:C)</f>
        <v>50</v>
      </c>
      <c r="H404" s="8">
        <f t="shared" si="25"/>
        <v>4.8899999999999997</v>
      </c>
      <c r="I404" s="6">
        <f t="shared" si="26"/>
        <v>50</v>
      </c>
      <c r="J404" t="str">
        <f t="shared" si="27"/>
        <v>OK</v>
      </c>
    </row>
    <row r="405" spans="1:10" x14ac:dyDescent="0.2">
      <c r="A405">
        <v>10404</v>
      </c>
      <c r="B405" t="s">
        <v>8</v>
      </c>
      <c r="C405" t="s">
        <v>11</v>
      </c>
      <c r="D405" s="8">
        <v>5.82</v>
      </c>
      <c r="E405">
        <v>6</v>
      </c>
      <c r="F405" t="str">
        <f t="shared" si="24"/>
        <v>Standard</v>
      </c>
      <c r="G405" s="3" cm="1">
        <f t="array" ref="G405">_xlfn.XLOOKUP(C405 &amp; F405,
         [1]unilever_price_limits!A:A &amp; [1]unilever_price_limits!B:B,
         [1]unilever_price_limits!C:C)</f>
        <v>25</v>
      </c>
      <c r="H405" s="8">
        <f t="shared" si="25"/>
        <v>7.2750000000000004</v>
      </c>
      <c r="I405" s="6">
        <f t="shared" si="26"/>
        <v>25</v>
      </c>
      <c r="J405" t="str">
        <f t="shared" si="27"/>
        <v>OK</v>
      </c>
    </row>
    <row r="406" spans="1:10" x14ac:dyDescent="0.2">
      <c r="A406">
        <v>10405</v>
      </c>
      <c r="B406" t="s">
        <v>7</v>
      </c>
      <c r="C406" t="s">
        <v>11</v>
      </c>
      <c r="D406" s="8">
        <v>2.0299999999999998</v>
      </c>
      <c r="E406">
        <v>7</v>
      </c>
      <c r="F406" t="str">
        <f t="shared" si="24"/>
        <v>Standard</v>
      </c>
      <c r="G406" s="3" cm="1">
        <f t="array" ref="G406">_xlfn.XLOOKUP(C406 &amp; F406,
         [1]unilever_price_limits!A:A &amp; [1]unilever_price_limits!B:B,
         [1]unilever_price_limits!C:C)</f>
        <v>25</v>
      </c>
      <c r="H406" s="8">
        <f t="shared" si="25"/>
        <v>2.5374999999999996</v>
      </c>
      <c r="I406" s="6">
        <f t="shared" si="26"/>
        <v>25</v>
      </c>
      <c r="J406" t="str">
        <f t="shared" si="27"/>
        <v>OK</v>
      </c>
    </row>
    <row r="407" spans="1:10" x14ac:dyDescent="0.2">
      <c r="A407">
        <v>10406</v>
      </c>
      <c r="B407" t="s">
        <v>7</v>
      </c>
      <c r="C407" t="s">
        <v>11</v>
      </c>
      <c r="D407" s="8">
        <v>9.61</v>
      </c>
      <c r="E407">
        <v>1</v>
      </c>
      <c r="F407" t="str">
        <f t="shared" si="24"/>
        <v>Value</v>
      </c>
      <c r="G407" s="3" cm="1">
        <f t="array" ref="G407">_xlfn.XLOOKUP(C407 &amp; F407,
         [1]unilever_price_limits!A:A &amp; [1]unilever_price_limits!B:B,
         [1]unilever_price_limits!C:C)</f>
        <v>10</v>
      </c>
      <c r="H407" s="8">
        <f t="shared" si="25"/>
        <v>10.571</v>
      </c>
      <c r="I407" s="6">
        <f t="shared" si="26"/>
        <v>10.000000000000009</v>
      </c>
      <c r="J407" t="str">
        <f t="shared" si="27"/>
        <v>OK</v>
      </c>
    </row>
    <row r="408" spans="1:10" x14ac:dyDescent="0.2">
      <c r="A408">
        <v>10407</v>
      </c>
      <c r="B408" t="s">
        <v>10</v>
      </c>
      <c r="C408" t="s">
        <v>11</v>
      </c>
      <c r="D408" s="8">
        <v>2.2599999999999998</v>
      </c>
      <c r="E408">
        <v>5</v>
      </c>
      <c r="F408" t="str">
        <f t="shared" si="24"/>
        <v>Standard</v>
      </c>
      <c r="G408" s="3" cm="1">
        <f t="array" ref="G408">_xlfn.XLOOKUP(C408 &amp; F408,
         [1]unilever_price_limits!A:A &amp; [1]unilever_price_limits!B:B,
         [1]unilever_price_limits!C:C)</f>
        <v>25</v>
      </c>
      <c r="H408" s="8">
        <f t="shared" si="25"/>
        <v>2.8249999999999997</v>
      </c>
      <c r="I408" s="6">
        <f t="shared" si="26"/>
        <v>25</v>
      </c>
      <c r="J408" t="str">
        <f t="shared" si="27"/>
        <v>OK</v>
      </c>
    </row>
    <row r="409" spans="1:10" x14ac:dyDescent="0.2">
      <c r="A409">
        <v>10408</v>
      </c>
      <c r="B409" t="s">
        <v>7</v>
      </c>
      <c r="C409" t="s">
        <v>11</v>
      </c>
      <c r="D409" s="8">
        <v>14.8</v>
      </c>
      <c r="E409">
        <v>7</v>
      </c>
      <c r="F409" t="str">
        <f t="shared" si="24"/>
        <v>Standard</v>
      </c>
      <c r="G409" s="3" cm="1">
        <f t="array" ref="G409">_xlfn.XLOOKUP(C409 &amp; F409,
         [1]unilever_price_limits!A:A &amp; [1]unilever_price_limits!B:B,
         [1]unilever_price_limits!C:C)</f>
        <v>25</v>
      </c>
      <c r="H409" s="8">
        <f t="shared" si="25"/>
        <v>18.5</v>
      </c>
      <c r="I409" s="6">
        <f t="shared" si="26"/>
        <v>25</v>
      </c>
      <c r="J409" t="str">
        <f t="shared" si="27"/>
        <v>OK</v>
      </c>
    </row>
    <row r="410" spans="1:10" x14ac:dyDescent="0.2">
      <c r="A410">
        <v>10409</v>
      </c>
      <c r="B410" t="s">
        <v>7</v>
      </c>
      <c r="C410" t="s">
        <v>11</v>
      </c>
      <c r="D410" s="8">
        <v>11.82</v>
      </c>
      <c r="E410">
        <v>1</v>
      </c>
      <c r="F410" t="str">
        <f t="shared" si="24"/>
        <v>Value</v>
      </c>
      <c r="G410" s="3" cm="1">
        <f t="array" ref="G410">_xlfn.XLOOKUP(C410 &amp; F410,
         [1]unilever_price_limits!A:A &amp; [1]unilever_price_limits!B:B,
         [1]unilever_price_limits!C:C)</f>
        <v>10</v>
      </c>
      <c r="H410" s="8">
        <f t="shared" si="25"/>
        <v>13.002000000000001</v>
      </c>
      <c r="I410" s="6">
        <f t="shared" si="26"/>
        <v>10.000000000000009</v>
      </c>
      <c r="J410" t="str">
        <f t="shared" si="27"/>
        <v>OK</v>
      </c>
    </row>
    <row r="411" spans="1:10" x14ac:dyDescent="0.2">
      <c r="A411">
        <v>10410</v>
      </c>
      <c r="B411" t="s">
        <v>10</v>
      </c>
      <c r="C411" t="s">
        <v>11</v>
      </c>
      <c r="D411" s="8">
        <v>6.16</v>
      </c>
      <c r="E411">
        <v>2</v>
      </c>
      <c r="F411" t="str">
        <f t="shared" si="24"/>
        <v>Value</v>
      </c>
      <c r="G411" s="3" cm="1">
        <f t="array" ref="G411">_xlfn.XLOOKUP(C411 &amp; F411,
         [1]unilever_price_limits!A:A &amp; [1]unilever_price_limits!B:B,
         [1]unilever_price_limits!C:C)</f>
        <v>10</v>
      </c>
      <c r="H411" s="8">
        <f t="shared" si="25"/>
        <v>6.7760000000000007</v>
      </c>
      <c r="I411" s="6">
        <f t="shared" si="26"/>
        <v>10.000000000000009</v>
      </c>
      <c r="J411" t="str">
        <f t="shared" si="27"/>
        <v>OK</v>
      </c>
    </row>
    <row r="412" spans="1:10" x14ac:dyDescent="0.2">
      <c r="A412">
        <v>10411</v>
      </c>
      <c r="B412" t="s">
        <v>5</v>
      </c>
      <c r="C412" t="s">
        <v>9</v>
      </c>
      <c r="D412" s="8">
        <v>8.89</v>
      </c>
      <c r="E412">
        <v>9</v>
      </c>
      <c r="F412" t="str">
        <f t="shared" si="24"/>
        <v>Premium</v>
      </c>
      <c r="G412" s="3" cm="1">
        <f t="array" ref="G412">_xlfn.XLOOKUP(C412 &amp; F412,
         [1]unilever_price_limits!A:A &amp; [1]unilever_price_limits!B:B,
         [1]unilever_price_limits!C:C)</f>
        <v>60</v>
      </c>
      <c r="H412" s="8">
        <f t="shared" si="25"/>
        <v>14.224000000000002</v>
      </c>
      <c r="I412" s="6">
        <f t="shared" si="26"/>
        <v>60.000000000000007</v>
      </c>
      <c r="J412" t="str">
        <f t="shared" si="27"/>
        <v>OK</v>
      </c>
    </row>
    <row r="413" spans="1:10" x14ac:dyDescent="0.2">
      <c r="A413">
        <v>10412</v>
      </c>
      <c r="B413" t="s">
        <v>7</v>
      </c>
      <c r="C413" t="s">
        <v>6</v>
      </c>
      <c r="D413" s="8">
        <v>13.71</v>
      </c>
      <c r="E413">
        <v>3</v>
      </c>
      <c r="F413" t="str">
        <f t="shared" si="24"/>
        <v>Value</v>
      </c>
      <c r="G413" s="3" cm="1">
        <f t="array" ref="G413">_xlfn.XLOOKUP(C413 &amp; F413,
         [1]unilever_price_limits!A:A &amp; [1]unilever_price_limits!B:B,
         [1]unilever_price_limits!C:C)</f>
        <v>12</v>
      </c>
      <c r="H413" s="8">
        <f t="shared" si="25"/>
        <v>15.355200000000002</v>
      </c>
      <c r="I413" s="6">
        <f t="shared" si="26"/>
        <v>12.000000000000011</v>
      </c>
      <c r="J413" t="str">
        <f t="shared" si="27"/>
        <v>OK</v>
      </c>
    </row>
    <row r="414" spans="1:10" x14ac:dyDescent="0.2">
      <c r="A414">
        <v>10413</v>
      </c>
      <c r="B414" t="s">
        <v>10</v>
      </c>
      <c r="C414" t="s">
        <v>11</v>
      </c>
      <c r="D414" s="8">
        <v>8.5299999999999994</v>
      </c>
      <c r="E414">
        <v>6</v>
      </c>
      <c r="F414" t="str">
        <f t="shared" si="24"/>
        <v>Standard</v>
      </c>
      <c r="G414" s="3" cm="1">
        <f t="array" ref="G414">_xlfn.XLOOKUP(C414 &amp; F414,
         [1]unilever_price_limits!A:A &amp; [1]unilever_price_limits!B:B,
         [1]unilever_price_limits!C:C)</f>
        <v>25</v>
      </c>
      <c r="H414" s="8">
        <f t="shared" si="25"/>
        <v>10.6625</v>
      </c>
      <c r="I414" s="6">
        <f t="shared" si="26"/>
        <v>25</v>
      </c>
      <c r="J414" t="str">
        <f t="shared" si="27"/>
        <v>OK</v>
      </c>
    </row>
    <row r="415" spans="1:10" x14ac:dyDescent="0.2">
      <c r="A415">
        <v>10414</v>
      </c>
      <c r="B415" t="s">
        <v>8</v>
      </c>
      <c r="C415" t="s">
        <v>6</v>
      </c>
      <c r="D415" s="8">
        <v>3.03</v>
      </c>
      <c r="E415">
        <v>7</v>
      </c>
      <c r="F415" t="str">
        <f t="shared" si="24"/>
        <v>Standard</v>
      </c>
      <c r="G415" s="3" cm="1">
        <f t="array" ref="G415">_xlfn.XLOOKUP(C415 &amp; F415,
         [1]unilever_price_limits!A:A &amp; [1]unilever_price_limits!B:B,
         [1]unilever_price_limits!C:C)</f>
        <v>28</v>
      </c>
      <c r="H415" s="8">
        <f t="shared" si="25"/>
        <v>3.8783999999999996</v>
      </c>
      <c r="I415" s="6">
        <f t="shared" si="26"/>
        <v>28.000000000000004</v>
      </c>
      <c r="J415" t="str">
        <f t="shared" si="27"/>
        <v>OK</v>
      </c>
    </row>
    <row r="416" spans="1:10" x14ac:dyDescent="0.2">
      <c r="A416">
        <v>10415</v>
      </c>
      <c r="B416" t="s">
        <v>5</v>
      </c>
      <c r="C416" t="s">
        <v>11</v>
      </c>
      <c r="D416" s="8">
        <v>5.99</v>
      </c>
      <c r="E416">
        <v>9</v>
      </c>
      <c r="F416" t="str">
        <f t="shared" si="24"/>
        <v>Premium</v>
      </c>
      <c r="G416" s="3" cm="1">
        <f t="array" ref="G416">_xlfn.XLOOKUP(C416 &amp; F416,
         [1]unilever_price_limits!A:A &amp; [1]unilever_price_limits!B:B,
         [1]unilever_price_limits!C:C)</f>
        <v>50</v>
      </c>
      <c r="H416" s="8">
        <f t="shared" si="25"/>
        <v>8.9849999999999994</v>
      </c>
      <c r="I416" s="6">
        <f t="shared" si="26"/>
        <v>49.999999999999979</v>
      </c>
      <c r="J416" t="str">
        <f t="shared" si="27"/>
        <v>OK</v>
      </c>
    </row>
    <row r="417" spans="1:10" x14ac:dyDescent="0.2">
      <c r="A417">
        <v>10416</v>
      </c>
      <c r="B417" t="s">
        <v>8</v>
      </c>
      <c r="C417" t="s">
        <v>11</v>
      </c>
      <c r="D417" s="8">
        <v>12.73</v>
      </c>
      <c r="E417">
        <v>5</v>
      </c>
      <c r="F417" t="str">
        <f t="shared" si="24"/>
        <v>Standard</v>
      </c>
      <c r="G417" s="3" cm="1">
        <f t="array" ref="G417">_xlfn.XLOOKUP(C417 &amp; F417,
         [1]unilever_price_limits!A:A &amp; [1]unilever_price_limits!B:B,
         [1]unilever_price_limits!C:C)</f>
        <v>25</v>
      </c>
      <c r="H417" s="8">
        <f t="shared" si="25"/>
        <v>15.912500000000001</v>
      </c>
      <c r="I417" s="6">
        <f t="shared" si="26"/>
        <v>25</v>
      </c>
      <c r="J417" t="str">
        <f t="shared" si="27"/>
        <v>OK</v>
      </c>
    </row>
    <row r="418" spans="1:10" x14ac:dyDescent="0.2">
      <c r="A418">
        <v>10417</v>
      </c>
      <c r="B418" t="s">
        <v>8</v>
      </c>
      <c r="C418" t="s">
        <v>9</v>
      </c>
      <c r="D418" s="8">
        <v>9.84</v>
      </c>
      <c r="E418">
        <v>4</v>
      </c>
      <c r="F418" t="str">
        <f t="shared" si="24"/>
        <v>Standard</v>
      </c>
      <c r="G418" s="3" cm="1">
        <f t="array" ref="G418">_xlfn.XLOOKUP(C418 &amp; F418,
         [1]unilever_price_limits!A:A &amp; [1]unilever_price_limits!B:B,
         [1]unilever_price_limits!C:C)</f>
        <v>30</v>
      </c>
      <c r="H418" s="8">
        <f t="shared" si="25"/>
        <v>12.792</v>
      </c>
      <c r="I418" s="6">
        <f t="shared" si="26"/>
        <v>30.000000000000004</v>
      </c>
      <c r="J418" t="str">
        <f t="shared" si="27"/>
        <v>OK</v>
      </c>
    </row>
    <row r="419" spans="1:10" x14ac:dyDescent="0.2">
      <c r="A419">
        <v>10418</v>
      </c>
      <c r="B419" t="s">
        <v>10</v>
      </c>
      <c r="C419" t="s">
        <v>9</v>
      </c>
      <c r="D419" s="8">
        <v>9.94</v>
      </c>
      <c r="E419">
        <v>2</v>
      </c>
      <c r="F419" t="str">
        <f t="shared" si="24"/>
        <v>Value</v>
      </c>
      <c r="G419" s="3" cm="1">
        <f t="array" ref="G419">_xlfn.XLOOKUP(C419 &amp; F419,
         [1]unilever_price_limits!A:A &amp; [1]unilever_price_limits!B:B,
         [1]unilever_price_limits!C:C)</f>
        <v>15</v>
      </c>
      <c r="H419" s="8">
        <f t="shared" si="25"/>
        <v>11.430999999999999</v>
      </c>
      <c r="I419" s="6">
        <f t="shared" si="26"/>
        <v>14.999999999999991</v>
      </c>
      <c r="J419" t="str">
        <f t="shared" si="27"/>
        <v>OK</v>
      </c>
    </row>
    <row r="420" spans="1:10" x14ac:dyDescent="0.2">
      <c r="A420">
        <v>10419</v>
      </c>
      <c r="B420" t="s">
        <v>7</v>
      </c>
      <c r="C420" t="s">
        <v>6</v>
      </c>
      <c r="D420" s="8">
        <v>13.07</v>
      </c>
      <c r="E420">
        <v>3</v>
      </c>
      <c r="F420" t="str">
        <f t="shared" si="24"/>
        <v>Value</v>
      </c>
      <c r="G420" s="3" cm="1">
        <f t="array" ref="G420">_xlfn.XLOOKUP(C420 &amp; F420,
         [1]unilever_price_limits!A:A &amp; [1]unilever_price_limits!B:B,
         [1]unilever_price_limits!C:C)</f>
        <v>12</v>
      </c>
      <c r="H420" s="8">
        <f t="shared" si="25"/>
        <v>14.638400000000003</v>
      </c>
      <c r="I420" s="6">
        <f t="shared" si="26"/>
        <v>12.000000000000011</v>
      </c>
      <c r="J420" t="str">
        <f t="shared" si="27"/>
        <v>OK</v>
      </c>
    </row>
    <row r="421" spans="1:10" x14ac:dyDescent="0.2">
      <c r="A421">
        <v>10420</v>
      </c>
      <c r="B421" t="s">
        <v>10</v>
      </c>
      <c r="C421" t="s">
        <v>9</v>
      </c>
      <c r="D421" s="8">
        <v>13.46</v>
      </c>
      <c r="E421">
        <v>5</v>
      </c>
      <c r="F421" t="str">
        <f t="shared" si="24"/>
        <v>Standard</v>
      </c>
      <c r="G421" s="3" cm="1">
        <f t="array" ref="G421">_xlfn.XLOOKUP(C421 &amp; F421,
         [1]unilever_price_limits!A:A &amp; [1]unilever_price_limits!B:B,
         [1]unilever_price_limits!C:C)</f>
        <v>30</v>
      </c>
      <c r="H421" s="8">
        <f t="shared" si="25"/>
        <v>17.498000000000001</v>
      </c>
      <c r="I421" s="6">
        <f t="shared" si="26"/>
        <v>30.000000000000004</v>
      </c>
      <c r="J421" t="str">
        <f t="shared" si="27"/>
        <v>OK</v>
      </c>
    </row>
    <row r="422" spans="1:10" x14ac:dyDescent="0.2">
      <c r="A422">
        <v>10421</v>
      </c>
      <c r="B422" t="s">
        <v>10</v>
      </c>
      <c r="C422" t="s">
        <v>9</v>
      </c>
      <c r="D422" s="8">
        <v>13.84</v>
      </c>
      <c r="E422">
        <v>2</v>
      </c>
      <c r="F422" t="str">
        <f t="shared" si="24"/>
        <v>Value</v>
      </c>
      <c r="G422" s="3" cm="1">
        <f t="array" ref="G422">_xlfn.XLOOKUP(C422 &amp; F422,
         [1]unilever_price_limits!A:A &amp; [1]unilever_price_limits!B:B,
         [1]unilever_price_limits!C:C)</f>
        <v>15</v>
      </c>
      <c r="H422" s="8">
        <f t="shared" si="25"/>
        <v>15.915999999999999</v>
      </c>
      <c r="I422" s="6">
        <f t="shared" si="26"/>
        <v>14.999999999999991</v>
      </c>
      <c r="J422" t="str">
        <f t="shared" si="27"/>
        <v>OK</v>
      </c>
    </row>
    <row r="423" spans="1:10" x14ac:dyDescent="0.2">
      <c r="A423">
        <v>10422</v>
      </c>
      <c r="B423" t="s">
        <v>10</v>
      </c>
      <c r="C423" t="s">
        <v>6</v>
      </c>
      <c r="D423" s="8">
        <v>1.88</v>
      </c>
      <c r="E423">
        <v>4</v>
      </c>
      <c r="F423" t="str">
        <f t="shared" si="24"/>
        <v>Standard</v>
      </c>
      <c r="G423" s="3" cm="1">
        <f t="array" ref="G423">_xlfn.XLOOKUP(C423 &amp; F423,
         [1]unilever_price_limits!A:A &amp; [1]unilever_price_limits!B:B,
         [1]unilever_price_limits!C:C)</f>
        <v>28</v>
      </c>
      <c r="H423" s="8">
        <f t="shared" si="25"/>
        <v>2.4064000000000001</v>
      </c>
      <c r="I423" s="6">
        <f t="shared" si="26"/>
        <v>28.000000000000004</v>
      </c>
      <c r="J423" t="str">
        <f t="shared" si="27"/>
        <v>OK</v>
      </c>
    </row>
    <row r="424" spans="1:10" x14ac:dyDescent="0.2">
      <c r="A424">
        <v>10423</v>
      </c>
      <c r="B424" t="s">
        <v>10</v>
      </c>
      <c r="C424" t="s">
        <v>9</v>
      </c>
      <c r="D424" s="8">
        <v>8.39</v>
      </c>
      <c r="E424">
        <v>1</v>
      </c>
      <c r="F424" t="str">
        <f t="shared" si="24"/>
        <v>Value</v>
      </c>
      <c r="G424" s="3" cm="1">
        <f t="array" ref="G424">_xlfn.XLOOKUP(C424 &amp; F424,
         [1]unilever_price_limits!A:A &amp; [1]unilever_price_limits!B:B,
         [1]unilever_price_limits!C:C)</f>
        <v>15</v>
      </c>
      <c r="H424" s="8">
        <f t="shared" si="25"/>
        <v>9.6485000000000003</v>
      </c>
      <c r="I424" s="6">
        <f t="shared" si="26"/>
        <v>14.999999999999991</v>
      </c>
      <c r="J424" t="str">
        <f t="shared" si="27"/>
        <v>OK</v>
      </c>
    </row>
    <row r="425" spans="1:10" x14ac:dyDescent="0.2">
      <c r="A425">
        <v>10424</v>
      </c>
      <c r="B425" t="s">
        <v>5</v>
      </c>
      <c r="C425" t="s">
        <v>11</v>
      </c>
      <c r="D425" s="8">
        <v>11.24</v>
      </c>
      <c r="E425">
        <v>4</v>
      </c>
      <c r="F425" t="str">
        <f t="shared" si="24"/>
        <v>Standard</v>
      </c>
      <c r="G425" s="3" cm="1">
        <f t="array" ref="G425">_xlfn.XLOOKUP(C425 &amp; F425,
         [1]unilever_price_limits!A:A &amp; [1]unilever_price_limits!B:B,
         [1]unilever_price_limits!C:C)</f>
        <v>25</v>
      </c>
      <c r="H425" s="8">
        <f t="shared" si="25"/>
        <v>14.05</v>
      </c>
      <c r="I425" s="6">
        <f t="shared" si="26"/>
        <v>25</v>
      </c>
      <c r="J425" t="str">
        <f t="shared" si="27"/>
        <v>OK</v>
      </c>
    </row>
    <row r="426" spans="1:10" x14ac:dyDescent="0.2">
      <c r="A426">
        <v>10425</v>
      </c>
      <c r="B426" t="s">
        <v>7</v>
      </c>
      <c r="C426" t="s">
        <v>6</v>
      </c>
      <c r="D426" s="8">
        <v>11.48</v>
      </c>
      <c r="E426">
        <v>7</v>
      </c>
      <c r="F426" t="str">
        <f t="shared" si="24"/>
        <v>Standard</v>
      </c>
      <c r="G426" s="3" cm="1">
        <f t="array" ref="G426">_xlfn.XLOOKUP(C426 &amp; F426,
         [1]unilever_price_limits!A:A &amp; [1]unilever_price_limits!B:B,
         [1]unilever_price_limits!C:C)</f>
        <v>28</v>
      </c>
      <c r="H426" s="8">
        <f t="shared" si="25"/>
        <v>14.694400000000002</v>
      </c>
      <c r="I426" s="6">
        <f t="shared" si="26"/>
        <v>28.000000000000004</v>
      </c>
      <c r="J426" t="str">
        <f t="shared" si="27"/>
        <v>OK</v>
      </c>
    </row>
    <row r="427" spans="1:10" x14ac:dyDescent="0.2">
      <c r="A427">
        <v>10426</v>
      </c>
      <c r="B427" t="s">
        <v>8</v>
      </c>
      <c r="C427" t="s">
        <v>6</v>
      </c>
      <c r="D427" s="8">
        <v>9.3000000000000007</v>
      </c>
      <c r="E427">
        <v>3</v>
      </c>
      <c r="F427" t="str">
        <f t="shared" si="24"/>
        <v>Value</v>
      </c>
      <c r="G427" s="3" cm="1">
        <f t="array" ref="G427">_xlfn.XLOOKUP(C427 &amp; F427,
         [1]unilever_price_limits!A:A &amp; [1]unilever_price_limits!B:B,
         [1]unilever_price_limits!C:C)</f>
        <v>12</v>
      </c>
      <c r="H427" s="8">
        <f t="shared" si="25"/>
        <v>10.416000000000002</v>
      </c>
      <c r="I427" s="6">
        <f t="shared" si="26"/>
        <v>12.000000000000011</v>
      </c>
      <c r="J427" t="str">
        <f t="shared" si="27"/>
        <v>OK</v>
      </c>
    </row>
    <row r="428" spans="1:10" x14ac:dyDescent="0.2">
      <c r="A428">
        <v>10427</v>
      </c>
      <c r="B428" t="s">
        <v>8</v>
      </c>
      <c r="C428" t="s">
        <v>11</v>
      </c>
      <c r="D428" s="8">
        <v>2.92</v>
      </c>
      <c r="E428">
        <v>10</v>
      </c>
      <c r="F428" t="str">
        <f t="shared" si="24"/>
        <v>Premium</v>
      </c>
      <c r="G428" s="3" cm="1">
        <f t="array" ref="G428">_xlfn.XLOOKUP(C428 &amp; F428,
         [1]unilever_price_limits!A:A &amp; [1]unilever_price_limits!B:B,
         [1]unilever_price_limits!C:C)</f>
        <v>50</v>
      </c>
      <c r="H428" s="8">
        <f t="shared" si="25"/>
        <v>4.38</v>
      </c>
      <c r="I428" s="6">
        <f t="shared" si="26"/>
        <v>50</v>
      </c>
      <c r="J428" t="str">
        <f t="shared" si="27"/>
        <v>OK</v>
      </c>
    </row>
    <row r="429" spans="1:10" x14ac:dyDescent="0.2">
      <c r="A429">
        <v>10428</v>
      </c>
      <c r="B429" t="s">
        <v>7</v>
      </c>
      <c r="C429" t="s">
        <v>9</v>
      </c>
      <c r="D429" s="8">
        <v>12.06</v>
      </c>
      <c r="E429">
        <v>8</v>
      </c>
      <c r="F429" t="str">
        <f t="shared" si="24"/>
        <v>Premium</v>
      </c>
      <c r="G429" s="3" cm="1">
        <f t="array" ref="G429">_xlfn.XLOOKUP(C429 &amp; F429,
         [1]unilever_price_limits!A:A &amp; [1]unilever_price_limits!B:B,
         [1]unilever_price_limits!C:C)</f>
        <v>60</v>
      </c>
      <c r="H429" s="8">
        <f t="shared" si="25"/>
        <v>19.296000000000003</v>
      </c>
      <c r="I429" s="6">
        <f t="shared" si="26"/>
        <v>60.000000000000007</v>
      </c>
      <c r="J429" t="str">
        <f t="shared" si="27"/>
        <v>OK</v>
      </c>
    </row>
    <row r="430" spans="1:10" x14ac:dyDescent="0.2">
      <c r="A430">
        <v>10429</v>
      </c>
      <c r="B430" t="s">
        <v>8</v>
      </c>
      <c r="C430" t="s">
        <v>6</v>
      </c>
      <c r="D430" s="8">
        <v>10.94</v>
      </c>
      <c r="E430">
        <v>6</v>
      </c>
      <c r="F430" t="str">
        <f t="shared" si="24"/>
        <v>Standard</v>
      </c>
      <c r="G430" s="3" cm="1">
        <f t="array" ref="G430">_xlfn.XLOOKUP(C430 &amp; F430,
         [1]unilever_price_limits!A:A &amp; [1]unilever_price_limits!B:B,
         [1]unilever_price_limits!C:C)</f>
        <v>28</v>
      </c>
      <c r="H430" s="8">
        <f t="shared" si="25"/>
        <v>14.0032</v>
      </c>
      <c r="I430" s="6">
        <f t="shared" si="26"/>
        <v>28.000000000000004</v>
      </c>
      <c r="J430" t="str">
        <f t="shared" si="27"/>
        <v>OK</v>
      </c>
    </row>
    <row r="431" spans="1:10" x14ac:dyDescent="0.2">
      <c r="A431">
        <v>10430</v>
      </c>
      <c r="B431" t="s">
        <v>7</v>
      </c>
      <c r="C431" t="s">
        <v>6</v>
      </c>
      <c r="D431" s="8">
        <v>1.75</v>
      </c>
      <c r="E431">
        <v>6</v>
      </c>
      <c r="F431" t="str">
        <f t="shared" si="24"/>
        <v>Standard</v>
      </c>
      <c r="G431" s="3" cm="1">
        <f t="array" ref="G431">_xlfn.XLOOKUP(C431 &amp; F431,
         [1]unilever_price_limits!A:A &amp; [1]unilever_price_limits!B:B,
         [1]unilever_price_limits!C:C)</f>
        <v>28</v>
      </c>
      <c r="H431" s="8">
        <f t="shared" si="25"/>
        <v>2.2400000000000002</v>
      </c>
      <c r="I431" s="6">
        <f t="shared" si="26"/>
        <v>28.000000000000004</v>
      </c>
      <c r="J431" t="str">
        <f t="shared" si="27"/>
        <v>OK</v>
      </c>
    </row>
    <row r="432" spans="1:10" x14ac:dyDescent="0.2">
      <c r="A432">
        <v>10431</v>
      </c>
      <c r="B432" t="s">
        <v>8</v>
      </c>
      <c r="C432" t="s">
        <v>11</v>
      </c>
      <c r="D432" s="8">
        <v>7.23</v>
      </c>
      <c r="E432">
        <v>1</v>
      </c>
      <c r="F432" t="str">
        <f t="shared" si="24"/>
        <v>Value</v>
      </c>
      <c r="G432" s="3" cm="1">
        <f t="array" ref="G432">_xlfn.XLOOKUP(C432 &amp; F432,
         [1]unilever_price_limits!A:A &amp; [1]unilever_price_limits!B:B,
         [1]unilever_price_limits!C:C)</f>
        <v>10</v>
      </c>
      <c r="H432" s="8">
        <f t="shared" si="25"/>
        <v>7.9530000000000012</v>
      </c>
      <c r="I432" s="6">
        <f t="shared" si="26"/>
        <v>10.000000000000009</v>
      </c>
      <c r="J432" t="str">
        <f t="shared" si="27"/>
        <v>OK</v>
      </c>
    </row>
    <row r="433" spans="1:10" x14ac:dyDescent="0.2">
      <c r="A433">
        <v>10432</v>
      </c>
      <c r="B433" t="s">
        <v>10</v>
      </c>
      <c r="C433" t="s">
        <v>11</v>
      </c>
      <c r="D433" s="8">
        <v>3.02</v>
      </c>
      <c r="E433">
        <v>5</v>
      </c>
      <c r="F433" t="str">
        <f t="shared" si="24"/>
        <v>Standard</v>
      </c>
      <c r="G433" s="3" cm="1">
        <f t="array" ref="G433">_xlfn.XLOOKUP(C433 &amp; F433,
         [1]unilever_price_limits!A:A &amp; [1]unilever_price_limits!B:B,
         [1]unilever_price_limits!C:C)</f>
        <v>25</v>
      </c>
      <c r="H433" s="8">
        <f t="shared" si="25"/>
        <v>3.7749999999999999</v>
      </c>
      <c r="I433" s="6">
        <f t="shared" si="26"/>
        <v>25</v>
      </c>
      <c r="J433" t="str">
        <f t="shared" si="27"/>
        <v>OK</v>
      </c>
    </row>
    <row r="434" spans="1:10" x14ac:dyDescent="0.2">
      <c r="A434">
        <v>10433</v>
      </c>
      <c r="B434" t="s">
        <v>8</v>
      </c>
      <c r="C434" t="s">
        <v>9</v>
      </c>
      <c r="D434" s="8">
        <v>5.39</v>
      </c>
      <c r="E434">
        <v>3</v>
      </c>
      <c r="F434" t="str">
        <f t="shared" si="24"/>
        <v>Value</v>
      </c>
      <c r="G434" s="3" cm="1">
        <f t="array" ref="G434">_xlfn.XLOOKUP(C434 &amp; F434,
         [1]unilever_price_limits!A:A &amp; [1]unilever_price_limits!B:B,
         [1]unilever_price_limits!C:C)</f>
        <v>15</v>
      </c>
      <c r="H434" s="8">
        <f t="shared" si="25"/>
        <v>6.1984999999999992</v>
      </c>
      <c r="I434" s="6">
        <f t="shared" si="26"/>
        <v>14.999999999999991</v>
      </c>
      <c r="J434" t="str">
        <f t="shared" si="27"/>
        <v>OK</v>
      </c>
    </row>
    <row r="435" spans="1:10" x14ac:dyDescent="0.2">
      <c r="A435">
        <v>10434</v>
      </c>
      <c r="B435" t="s">
        <v>7</v>
      </c>
      <c r="C435" t="s">
        <v>6</v>
      </c>
      <c r="D435" s="8">
        <v>0.76</v>
      </c>
      <c r="E435">
        <v>10</v>
      </c>
      <c r="F435" t="str">
        <f t="shared" si="24"/>
        <v>Premium</v>
      </c>
      <c r="G435" s="3" cm="1">
        <f t="array" ref="G435">_xlfn.XLOOKUP(C435 &amp; F435,
         [1]unilever_price_limits!A:A &amp; [1]unilever_price_limits!B:B,
         [1]unilever_price_limits!C:C)</f>
        <v>55</v>
      </c>
      <c r="H435" s="8">
        <f t="shared" si="25"/>
        <v>1.1780000000000002</v>
      </c>
      <c r="I435" s="6">
        <f t="shared" si="26"/>
        <v>55.000000000000028</v>
      </c>
      <c r="J435" t="str">
        <f t="shared" si="27"/>
        <v>OK</v>
      </c>
    </row>
    <row r="436" spans="1:10" x14ac:dyDescent="0.2">
      <c r="A436">
        <v>10435</v>
      </c>
      <c r="B436" t="s">
        <v>7</v>
      </c>
      <c r="C436" t="s">
        <v>9</v>
      </c>
      <c r="D436" s="8">
        <v>6.3</v>
      </c>
      <c r="E436">
        <v>1</v>
      </c>
      <c r="F436" t="str">
        <f t="shared" si="24"/>
        <v>Value</v>
      </c>
      <c r="G436" s="3" cm="1">
        <f t="array" ref="G436">_xlfn.XLOOKUP(C436 &amp; F436,
         [1]unilever_price_limits!A:A &amp; [1]unilever_price_limits!B:B,
         [1]unilever_price_limits!C:C)</f>
        <v>15</v>
      </c>
      <c r="H436" s="8">
        <f t="shared" si="25"/>
        <v>7.2449999999999992</v>
      </c>
      <c r="I436" s="6">
        <f t="shared" si="26"/>
        <v>14.999999999999991</v>
      </c>
      <c r="J436" t="str">
        <f t="shared" si="27"/>
        <v>OK</v>
      </c>
    </row>
    <row r="437" spans="1:10" x14ac:dyDescent="0.2">
      <c r="A437">
        <v>10436</v>
      </c>
      <c r="B437" t="s">
        <v>7</v>
      </c>
      <c r="C437" t="s">
        <v>9</v>
      </c>
      <c r="D437" s="8">
        <v>8.4700000000000006</v>
      </c>
      <c r="E437">
        <v>8</v>
      </c>
      <c r="F437" t="str">
        <f t="shared" si="24"/>
        <v>Premium</v>
      </c>
      <c r="G437" s="3" cm="1">
        <f t="array" ref="G437">_xlfn.XLOOKUP(C437 &amp; F437,
         [1]unilever_price_limits!A:A &amp; [1]unilever_price_limits!B:B,
         [1]unilever_price_limits!C:C)</f>
        <v>60</v>
      </c>
      <c r="H437" s="8">
        <f t="shared" si="25"/>
        <v>13.552000000000001</v>
      </c>
      <c r="I437" s="6">
        <f t="shared" si="26"/>
        <v>60.000000000000007</v>
      </c>
      <c r="J437" t="str">
        <f t="shared" si="27"/>
        <v>OK</v>
      </c>
    </row>
    <row r="438" spans="1:10" x14ac:dyDescent="0.2">
      <c r="A438">
        <v>10437</v>
      </c>
      <c r="B438" t="s">
        <v>7</v>
      </c>
      <c r="C438" t="s">
        <v>11</v>
      </c>
      <c r="D438" s="8">
        <v>9.48</v>
      </c>
      <c r="E438">
        <v>7</v>
      </c>
      <c r="F438" t="str">
        <f t="shared" si="24"/>
        <v>Standard</v>
      </c>
      <c r="G438" s="3" cm="1">
        <f t="array" ref="G438">_xlfn.XLOOKUP(C438 &amp; F438,
         [1]unilever_price_limits!A:A &amp; [1]unilever_price_limits!B:B,
         [1]unilever_price_limits!C:C)</f>
        <v>25</v>
      </c>
      <c r="H438" s="8">
        <f t="shared" si="25"/>
        <v>11.850000000000001</v>
      </c>
      <c r="I438" s="6">
        <f t="shared" si="26"/>
        <v>25</v>
      </c>
      <c r="J438" t="str">
        <f t="shared" si="27"/>
        <v>OK</v>
      </c>
    </row>
    <row r="439" spans="1:10" x14ac:dyDescent="0.2">
      <c r="A439">
        <v>10438</v>
      </c>
      <c r="B439" t="s">
        <v>7</v>
      </c>
      <c r="C439" t="s">
        <v>6</v>
      </c>
      <c r="D439" s="8">
        <v>10.119999999999999</v>
      </c>
      <c r="E439">
        <v>7</v>
      </c>
      <c r="F439" t="str">
        <f t="shared" si="24"/>
        <v>Standard</v>
      </c>
      <c r="G439" s="3" cm="1">
        <f t="array" ref="G439">_xlfn.XLOOKUP(C439 &amp; F439,
         [1]unilever_price_limits!A:A &amp; [1]unilever_price_limits!B:B,
         [1]unilever_price_limits!C:C)</f>
        <v>28</v>
      </c>
      <c r="H439" s="8">
        <f t="shared" si="25"/>
        <v>12.9536</v>
      </c>
      <c r="I439" s="6">
        <f t="shared" si="26"/>
        <v>28.000000000000004</v>
      </c>
      <c r="J439" t="str">
        <f t="shared" si="27"/>
        <v>OK</v>
      </c>
    </row>
    <row r="440" spans="1:10" x14ac:dyDescent="0.2">
      <c r="A440">
        <v>10439</v>
      </c>
      <c r="B440" t="s">
        <v>5</v>
      </c>
      <c r="C440" t="s">
        <v>6</v>
      </c>
      <c r="D440" s="8">
        <v>12.63</v>
      </c>
      <c r="E440">
        <v>10</v>
      </c>
      <c r="F440" t="str">
        <f t="shared" si="24"/>
        <v>Premium</v>
      </c>
      <c r="G440" s="3" cm="1">
        <f t="array" ref="G440">_xlfn.XLOOKUP(C440 &amp; F440,
         [1]unilever_price_limits!A:A &amp; [1]unilever_price_limits!B:B,
         [1]unilever_price_limits!C:C)</f>
        <v>55</v>
      </c>
      <c r="H440" s="8">
        <f t="shared" si="25"/>
        <v>19.576500000000003</v>
      </c>
      <c r="I440" s="6">
        <f t="shared" si="26"/>
        <v>55.000000000000007</v>
      </c>
      <c r="J440" t="str">
        <f t="shared" si="27"/>
        <v>OK</v>
      </c>
    </row>
    <row r="441" spans="1:10" x14ac:dyDescent="0.2">
      <c r="A441">
        <v>10440</v>
      </c>
      <c r="B441" t="s">
        <v>5</v>
      </c>
      <c r="C441" t="s">
        <v>6</v>
      </c>
      <c r="D441" s="8">
        <v>3.62</v>
      </c>
      <c r="E441">
        <v>10</v>
      </c>
      <c r="F441" t="str">
        <f t="shared" si="24"/>
        <v>Premium</v>
      </c>
      <c r="G441" s="3" cm="1">
        <f t="array" ref="G441">_xlfn.XLOOKUP(C441 &amp; F441,
         [1]unilever_price_limits!A:A &amp; [1]unilever_price_limits!B:B,
         [1]unilever_price_limits!C:C)</f>
        <v>55</v>
      </c>
      <c r="H441" s="8">
        <f t="shared" si="25"/>
        <v>5.6110000000000007</v>
      </c>
      <c r="I441" s="6">
        <f t="shared" si="26"/>
        <v>55.000000000000007</v>
      </c>
      <c r="J441" t="str">
        <f t="shared" si="27"/>
        <v>OK</v>
      </c>
    </row>
    <row r="442" spans="1:10" x14ac:dyDescent="0.2">
      <c r="A442">
        <v>10441</v>
      </c>
      <c r="B442" t="s">
        <v>8</v>
      </c>
      <c r="C442" t="s">
        <v>11</v>
      </c>
      <c r="D442" s="8">
        <v>2.25</v>
      </c>
      <c r="E442">
        <v>10</v>
      </c>
      <c r="F442" t="str">
        <f t="shared" si="24"/>
        <v>Premium</v>
      </c>
      <c r="G442" s="3" cm="1">
        <f t="array" ref="G442">_xlfn.XLOOKUP(C442 &amp; F442,
         [1]unilever_price_limits!A:A &amp; [1]unilever_price_limits!B:B,
         [1]unilever_price_limits!C:C)</f>
        <v>50</v>
      </c>
      <c r="H442" s="8">
        <f t="shared" si="25"/>
        <v>3.375</v>
      </c>
      <c r="I442" s="6">
        <f t="shared" si="26"/>
        <v>50</v>
      </c>
      <c r="J442" t="str">
        <f t="shared" si="27"/>
        <v>OK</v>
      </c>
    </row>
    <row r="443" spans="1:10" x14ac:dyDescent="0.2">
      <c r="A443">
        <v>10442</v>
      </c>
      <c r="B443" t="s">
        <v>7</v>
      </c>
      <c r="C443" t="s">
        <v>11</v>
      </c>
      <c r="D443" s="8">
        <v>12.85</v>
      </c>
      <c r="E443">
        <v>4</v>
      </c>
      <c r="F443" t="str">
        <f t="shared" si="24"/>
        <v>Standard</v>
      </c>
      <c r="G443" s="3" cm="1">
        <f t="array" ref="G443">_xlfn.XLOOKUP(C443 &amp; F443,
         [1]unilever_price_limits!A:A &amp; [1]unilever_price_limits!B:B,
         [1]unilever_price_limits!C:C)</f>
        <v>25</v>
      </c>
      <c r="H443" s="8">
        <f t="shared" si="25"/>
        <v>16.0625</v>
      </c>
      <c r="I443" s="6">
        <f t="shared" si="26"/>
        <v>25</v>
      </c>
      <c r="J443" t="str">
        <f t="shared" si="27"/>
        <v>OK</v>
      </c>
    </row>
    <row r="444" spans="1:10" x14ac:dyDescent="0.2">
      <c r="A444">
        <v>10443</v>
      </c>
      <c r="B444" t="s">
        <v>8</v>
      </c>
      <c r="C444" t="s">
        <v>11</v>
      </c>
      <c r="D444" s="8">
        <v>2.77</v>
      </c>
      <c r="E444">
        <v>6</v>
      </c>
      <c r="F444" t="str">
        <f t="shared" si="24"/>
        <v>Standard</v>
      </c>
      <c r="G444" s="3" cm="1">
        <f t="array" ref="G444">_xlfn.XLOOKUP(C444 &amp; F444,
         [1]unilever_price_limits!A:A &amp; [1]unilever_price_limits!B:B,
         [1]unilever_price_limits!C:C)</f>
        <v>25</v>
      </c>
      <c r="H444" s="8">
        <f t="shared" si="25"/>
        <v>3.4624999999999999</v>
      </c>
      <c r="I444" s="6">
        <f t="shared" si="26"/>
        <v>25</v>
      </c>
      <c r="J444" t="str">
        <f t="shared" si="27"/>
        <v>OK</v>
      </c>
    </row>
    <row r="445" spans="1:10" x14ac:dyDescent="0.2">
      <c r="A445">
        <v>10444</v>
      </c>
      <c r="B445" t="s">
        <v>7</v>
      </c>
      <c r="C445" t="s">
        <v>11</v>
      </c>
      <c r="D445" s="8">
        <v>14.63</v>
      </c>
      <c r="E445">
        <v>9</v>
      </c>
      <c r="F445" t="str">
        <f t="shared" si="24"/>
        <v>Premium</v>
      </c>
      <c r="G445" s="3" cm="1">
        <f t="array" ref="G445">_xlfn.XLOOKUP(C445 &amp; F445,
         [1]unilever_price_limits!A:A &amp; [1]unilever_price_limits!B:B,
         [1]unilever_price_limits!C:C)</f>
        <v>50</v>
      </c>
      <c r="H445" s="8">
        <f t="shared" si="25"/>
        <v>21.945</v>
      </c>
      <c r="I445" s="6">
        <f t="shared" si="26"/>
        <v>50</v>
      </c>
      <c r="J445" t="str">
        <f t="shared" si="27"/>
        <v>OK</v>
      </c>
    </row>
    <row r="446" spans="1:10" x14ac:dyDescent="0.2">
      <c r="A446">
        <v>10445</v>
      </c>
      <c r="B446" t="s">
        <v>7</v>
      </c>
      <c r="C446" t="s">
        <v>11</v>
      </c>
      <c r="D446" s="8">
        <v>12.72</v>
      </c>
      <c r="E446">
        <v>3</v>
      </c>
      <c r="F446" t="str">
        <f t="shared" si="24"/>
        <v>Value</v>
      </c>
      <c r="G446" s="3" cm="1">
        <f t="array" ref="G446">_xlfn.XLOOKUP(C446 &amp; F446,
         [1]unilever_price_limits!A:A &amp; [1]unilever_price_limits!B:B,
         [1]unilever_price_limits!C:C)</f>
        <v>10</v>
      </c>
      <c r="H446" s="8">
        <f t="shared" si="25"/>
        <v>13.992000000000003</v>
      </c>
      <c r="I446" s="6">
        <f t="shared" si="26"/>
        <v>10.000000000000009</v>
      </c>
      <c r="J446" t="str">
        <f t="shared" si="27"/>
        <v>OK</v>
      </c>
    </row>
    <row r="447" spans="1:10" x14ac:dyDescent="0.2">
      <c r="A447">
        <v>10446</v>
      </c>
      <c r="B447" t="s">
        <v>5</v>
      </c>
      <c r="C447" t="s">
        <v>6</v>
      </c>
      <c r="D447" s="8">
        <v>7.76</v>
      </c>
      <c r="E447">
        <v>9</v>
      </c>
      <c r="F447" t="str">
        <f t="shared" si="24"/>
        <v>Premium</v>
      </c>
      <c r="G447" s="3" cm="1">
        <f t="array" ref="G447">_xlfn.XLOOKUP(C447 &amp; F447,
         [1]unilever_price_limits!A:A &amp; [1]unilever_price_limits!B:B,
         [1]unilever_price_limits!C:C)</f>
        <v>55</v>
      </c>
      <c r="H447" s="8">
        <f t="shared" si="25"/>
        <v>12.028</v>
      </c>
      <c r="I447" s="6">
        <f t="shared" si="26"/>
        <v>55.000000000000007</v>
      </c>
      <c r="J447" t="str">
        <f t="shared" si="27"/>
        <v>OK</v>
      </c>
    </row>
    <row r="448" spans="1:10" x14ac:dyDescent="0.2">
      <c r="A448">
        <v>10447</v>
      </c>
      <c r="B448" t="s">
        <v>5</v>
      </c>
      <c r="C448" t="s">
        <v>9</v>
      </c>
      <c r="D448" s="8">
        <v>14.73</v>
      </c>
      <c r="E448">
        <v>4</v>
      </c>
      <c r="F448" t="str">
        <f t="shared" si="24"/>
        <v>Standard</v>
      </c>
      <c r="G448" s="3" cm="1">
        <f t="array" ref="G448">_xlfn.XLOOKUP(C448 &amp; F448,
         [1]unilever_price_limits!A:A &amp; [1]unilever_price_limits!B:B,
         [1]unilever_price_limits!C:C)</f>
        <v>30</v>
      </c>
      <c r="H448" s="8">
        <f t="shared" si="25"/>
        <v>19.149000000000001</v>
      </c>
      <c r="I448" s="6">
        <f t="shared" si="26"/>
        <v>30.000000000000004</v>
      </c>
      <c r="J448" t="str">
        <f t="shared" si="27"/>
        <v>OK</v>
      </c>
    </row>
    <row r="449" spans="1:10" x14ac:dyDescent="0.2">
      <c r="A449">
        <v>10448</v>
      </c>
      <c r="B449" t="s">
        <v>10</v>
      </c>
      <c r="C449" t="s">
        <v>6</v>
      </c>
      <c r="D449" s="8">
        <v>1.91</v>
      </c>
      <c r="E449">
        <v>5</v>
      </c>
      <c r="F449" t="str">
        <f t="shared" si="24"/>
        <v>Standard</v>
      </c>
      <c r="G449" s="3" cm="1">
        <f t="array" ref="G449">_xlfn.XLOOKUP(C449 &amp; F449,
         [1]unilever_price_limits!A:A &amp; [1]unilever_price_limits!B:B,
         [1]unilever_price_limits!C:C)</f>
        <v>28</v>
      </c>
      <c r="H449" s="8">
        <f t="shared" si="25"/>
        <v>2.4447999999999999</v>
      </c>
      <c r="I449" s="6">
        <f t="shared" si="26"/>
        <v>28.000000000000004</v>
      </c>
      <c r="J449" t="str">
        <f t="shared" si="27"/>
        <v>OK</v>
      </c>
    </row>
    <row r="450" spans="1:10" x14ac:dyDescent="0.2">
      <c r="A450">
        <v>10449</v>
      </c>
      <c r="B450" t="s">
        <v>5</v>
      </c>
      <c r="C450" t="s">
        <v>9</v>
      </c>
      <c r="D450" s="8">
        <v>4.8899999999999997</v>
      </c>
      <c r="E450">
        <v>7</v>
      </c>
      <c r="F450" t="str">
        <f t="shared" si="24"/>
        <v>Standard</v>
      </c>
      <c r="G450" s="3" cm="1">
        <f t="array" ref="G450">_xlfn.XLOOKUP(C450 &amp; F450,
         [1]unilever_price_limits!A:A &amp; [1]unilever_price_limits!B:B,
         [1]unilever_price_limits!C:C)</f>
        <v>30</v>
      </c>
      <c r="H450" s="8">
        <f t="shared" si="25"/>
        <v>6.3570000000000002</v>
      </c>
      <c r="I450" s="6">
        <f t="shared" si="26"/>
        <v>30.000000000000004</v>
      </c>
      <c r="J450" t="str">
        <f t="shared" si="27"/>
        <v>OK</v>
      </c>
    </row>
    <row r="451" spans="1:10" x14ac:dyDescent="0.2">
      <c r="A451">
        <v>10450</v>
      </c>
      <c r="B451" t="s">
        <v>10</v>
      </c>
      <c r="C451" t="s">
        <v>11</v>
      </c>
      <c r="D451" s="8">
        <v>9.75</v>
      </c>
      <c r="E451">
        <v>6</v>
      </c>
      <c r="F451" t="str">
        <f t="shared" ref="F451:F514" si="28">IF(E451&lt;=3,"Value",
 IF(E451&lt;=7,"Standard","Premium"))</f>
        <v>Standard</v>
      </c>
      <c r="G451" s="3" cm="1">
        <f t="array" ref="G451">_xlfn.XLOOKUP(C451 &amp; F451,
         [1]unilever_price_limits!A:A &amp; [1]unilever_price_limits!B:B,
         [1]unilever_price_limits!C:C)</f>
        <v>25</v>
      </c>
      <c r="H451" s="8">
        <f t="shared" ref="H451:H514" si="29">D451 * (1 + G451/100)</f>
        <v>12.1875</v>
      </c>
      <c r="I451" s="6">
        <f t="shared" ref="I451:I514" si="30">(H451 / D451 - 1) * 100</f>
        <v>25</v>
      </c>
      <c r="J451" t="str">
        <f t="shared" ref="J451:J514" si="31">IF(I450&gt; G450, "⚠ Exceeds Limit", "OK")</f>
        <v>OK</v>
      </c>
    </row>
    <row r="452" spans="1:10" x14ac:dyDescent="0.2">
      <c r="A452">
        <v>10451</v>
      </c>
      <c r="B452" t="s">
        <v>10</v>
      </c>
      <c r="C452" t="s">
        <v>9</v>
      </c>
      <c r="D452" s="8">
        <v>5.58</v>
      </c>
      <c r="E452">
        <v>10</v>
      </c>
      <c r="F452" t="str">
        <f t="shared" si="28"/>
        <v>Premium</v>
      </c>
      <c r="G452" s="3" cm="1">
        <f t="array" ref="G452">_xlfn.XLOOKUP(C452 &amp; F452,
         [1]unilever_price_limits!A:A &amp; [1]unilever_price_limits!B:B,
         [1]unilever_price_limits!C:C)</f>
        <v>60</v>
      </c>
      <c r="H452" s="8">
        <f t="shared" si="29"/>
        <v>8.9280000000000008</v>
      </c>
      <c r="I452" s="6">
        <f t="shared" si="30"/>
        <v>60.000000000000007</v>
      </c>
      <c r="J452" t="str">
        <f t="shared" si="31"/>
        <v>OK</v>
      </c>
    </row>
    <row r="453" spans="1:10" x14ac:dyDescent="0.2">
      <c r="A453">
        <v>10452</v>
      </c>
      <c r="B453" t="s">
        <v>10</v>
      </c>
      <c r="C453" t="s">
        <v>6</v>
      </c>
      <c r="D453" s="8">
        <v>13.96</v>
      </c>
      <c r="E453">
        <v>8</v>
      </c>
      <c r="F453" t="str">
        <f t="shared" si="28"/>
        <v>Premium</v>
      </c>
      <c r="G453" s="3" cm="1">
        <f t="array" ref="G453">_xlfn.XLOOKUP(C453 &amp; F453,
         [1]unilever_price_limits!A:A &amp; [1]unilever_price_limits!B:B,
         [1]unilever_price_limits!C:C)</f>
        <v>55</v>
      </c>
      <c r="H453" s="8">
        <f t="shared" si="29"/>
        <v>21.638000000000002</v>
      </c>
      <c r="I453" s="6">
        <f t="shared" si="30"/>
        <v>55.000000000000007</v>
      </c>
      <c r="J453" t="str">
        <f t="shared" si="31"/>
        <v>OK</v>
      </c>
    </row>
    <row r="454" spans="1:10" x14ac:dyDescent="0.2">
      <c r="A454">
        <v>10453</v>
      </c>
      <c r="B454" t="s">
        <v>10</v>
      </c>
      <c r="C454" t="s">
        <v>6</v>
      </c>
      <c r="D454" s="8">
        <v>1.45</v>
      </c>
      <c r="E454">
        <v>8</v>
      </c>
      <c r="F454" t="str">
        <f t="shared" si="28"/>
        <v>Premium</v>
      </c>
      <c r="G454" s="3" cm="1">
        <f t="array" ref="G454">_xlfn.XLOOKUP(C454 &amp; F454,
         [1]unilever_price_limits!A:A &amp; [1]unilever_price_limits!B:B,
         [1]unilever_price_limits!C:C)</f>
        <v>55</v>
      </c>
      <c r="H454" s="8">
        <f t="shared" si="29"/>
        <v>2.2475000000000001</v>
      </c>
      <c r="I454" s="6">
        <f t="shared" si="30"/>
        <v>55.000000000000007</v>
      </c>
      <c r="J454" t="str">
        <f t="shared" si="31"/>
        <v>OK</v>
      </c>
    </row>
    <row r="455" spans="1:10" x14ac:dyDescent="0.2">
      <c r="A455">
        <v>10454</v>
      </c>
      <c r="B455" t="s">
        <v>10</v>
      </c>
      <c r="C455" t="s">
        <v>9</v>
      </c>
      <c r="D455" s="8">
        <v>8.4700000000000006</v>
      </c>
      <c r="E455">
        <v>8</v>
      </c>
      <c r="F455" t="str">
        <f t="shared" si="28"/>
        <v>Premium</v>
      </c>
      <c r="G455" s="3" cm="1">
        <f t="array" ref="G455">_xlfn.XLOOKUP(C455 &amp; F455,
         [1]unilever_price_limits!A:A &amp; [1]unilever_price_limits!B:B,
         [1]unilever_price_limits!C:C)</f>
        <v>60</v>
      </c>
      <c r="H455" s="8">
        <f t="shared" si="29"/>
        <v>13.552000000000001</v>
      </c>
      <c r="I455" s="6">
        <f t="shared" si="30"/>
        <v>60.000000000000007</v>
      </c>
      <c r="J455" t="str">
        <f t="shared" si="31"/>
        <v>OK</v>
      </c>
    </row>
    <row r="456" spans="1:10" x14ac:dyDescent="0.2">
      <c r="A456">
        <v>10455</v>
      </c>
      <c r="B456" t="s">
        <v>8</v>
      </c>
      <c r="C456" t="s">
        <v>11</v>
      </c>
      <c r="D456" s="8">
        <v>9.07</v>
      </c>
      <c r="E456">
        <v>3</v>
      </c>
      <c r="F456" t="str">
        <f t="shared" si="28"/>
        <v>Value</v>
      </c>
      <c r="G456" s="3" cm="1">
        <f t="array" ref="G456">_xlfn.XLOOKUP(C456 &amp; F456,
         [1]unilever_price_limits!A:A &amp; [1]unilever_price_limits!B:B,
         [1]unilever_price_limits!C:C)</f>
        <v>10</v>
      </c>
      <c r="H456" s="8">
        <f t="shared" si="29"/>
        <v>9.9770000000000003</v>
      </c>
      <c r="I456" s="6">
        <f t="shared" si="30"/>
        <v>10.000000000000009</v>
      </c>
      <c r="J456" t="str">
        <f t="shared" si="31"/>
        <v>OK</v>
      </c>
    </row>
    <row r="457" spans="1:10" x14ac:dyDescent="0.2">
      <c r="A457">
        <v>10456</v>
      </c>
      <c r="B457" t="s">
        <v>5</v>
      </c>
      <c r="C457" t="s">
        <v>11</v>
      </c>
      <c r="D457" s="8">
        <v>9.9600000000000009</v>
      </c>
      <c r="E457">
        <v>10</v>
      </c>
      <c r="F457" t="str">
        <f t="shared" si="28"/>
        <v>Premium</v>
      </c>
      <c r="G457" s="3" cm="1">
        <f t="array" ref="G457">_xlfn.XLOOKUP(C457 &amp; F457,
         [1]unilever_price_limits!A:A &amp; [1]unilever_price_limits!B:B,
         [1]unilever_price_limits!C:C)</f>
        <v>50</v>
      </c>
      <c r="H457" s="8">
        <f t="shared" si="29"/>
        <v>14.940000000000001</v>
      </c>
      <c r="I457" s="6">
        <f t="shared" si="30"/>
        <v>50</v>
      </c>
      <c r="J457" t="str">
        <f t="shared" si="31"/>
        <v>OK</v>
      </c>
    </row>
    <row r="458" spans="1:10" x14ac:dyDescent="0.2">
      <c r="A458">
        <v>10457</v>
      </c>
      <c r="B458" t="s">
        <v>10</v>
      </c>
      <c r="C458" t="s">
        <v>6</v>
      </c>
      <c r="D458" s="8">
        <v>4.21</v>
      </c>
      <c r="E458">
        <v>6</v>
      </c>
      <c r="F458" t="str">
        <f t="shared" si="28"/>
        <v>Standard</v>
      </c>
      <c r="G458" s="3" cm="1">
        <f t="array" ref="G458">_xlfn.XLOOKUP(C458 &amp; F458,
         [1]unilever_price_limits!A:A &amp; [1]unilever_price_limits!B:B,
         [1]unilever_price_limits!C:C)</f>
        <v>28</v>
      </c>
      <c r="H458" s="8">
        <f t="shared" si="29"/>
        <v>5.3887999999999998</v>
      </c>
      <c r="I458" s="6">
        <f t="shared" si="30"/>
        <v>28.000000000000004</v>
      </c>
      <c r="J458" t="str">
        <f t="shared" si="31"/>
        <v>OK</v>
      </c>
    </row>
    <row r="459" spans="1:10" x14ac:dyDescent="0.2">
      <c r="A459">
        <v>10458</v>
      </c>
      <c r="B459" t="s">
        <v>7</v>
      </c>
      <c r="C459" t="s">
        <v>9</v>
      </c>
      <c r="D459" s="8">
        <v>5.79</v>
      </c>
      <c r="E459">
        <v>7</v>
      </c>
      <c r="F459" t="str">
        <f t="shared" si="28"/>
        <v>Standard</v>
      </c>
      <c r="G459" s="3" cm="1">
        <f t="array" ref="G459">_xlfn.XLOOKUP(C459 &amp; F459,
         [1]unilever_price_limits!A:A &amp; [1]unilever_price_limits!B:B,
         [1]unilever_price_limits!C:C)</f>
        <v>30</v>
      </c>
      <c r="H459" s="8">
        <f t="shared" si="29"/>
        <v>7.5270000000000001</v>
      </c>
      <c r="I459" s="6">
        <f t="shared" si="30"/>
        <v>30.000000000000004</v>
      </c>
      <c r="J459" t="str">
        <f t="shared" si="31"/>
        <v>OK</v>
      </c>
    </row>
    <row r="460" spans="1:10" x14ac:dyDescent="0.2">
      <c r="A460">
        <v>10459</v>
      </c>
      <c r="B460" t="s">
        <v>5</v>
      </c>
      <c r="C460" t="s">
        <v>11</v>
      </c>
      <c r="D460" s="8">
        <v>12.73</v>
      </c>
      <c r="E460">
        <v>9</v>
      </c>
      <c r="F460" t="str">
        <f t="shared" si="28"/>
        <v>Premium</v>
      </c>
      <c r="G460" s="3" cm="1">
        <f t="array" ref="G460">_xlfn.XLOOKUP(C460 &amp; F460,
         [1]unilever_price_limits!A:A &amp; [1]unilever_price_limits!B:B,
         [1]unilever_price_limits!C:C)</f>
        <v>50</v>
      </c>
      <c r="H460" s="8">
        <f t="shared" si="29"/>
        <v>19.094999999999999</v>
      </c>
      <c r="I460" s="6">
        <f t="shared" si="30"/>
        <v>49.999999999999979</v>
      </c>
      <c r="J460" t="str">
        <f t="shared" si="31"/>
        <v>OK</v>
      </c>
    </row>
    <row r="461" spans="1:10" x14ac:dyDescent="0.2">
      <c r="A461">
        <v>10460</v>
      </c>
      <c r="B461" t="s">
        <v>5</v>
      </c>
      <c r="C461" t="s">
        <v>11</v>
      </c>
      <c r="D461" s="8">
        <v>3.33</v>
      </c>
      <c r="E461">
        <v>10</v>
      </c>
      <c r="F461" t="str">
        <f t="shared" si="28"/>
        <v>Premium</v>
      </c>
      <c r="G461" s="3" cm="1">
        <f t="array" ref="G461">_xlfn.XLOOKUP(C461 &amp; F461,
         [1]unilever_price_limits!A:A &amp; [1]unilever_price_limits!B:B,
         [1]unilever_price_limits!C:C)</f>
        <v>50</v>
      </c>
      <c r="H461" s="8">
        <f t="shared" si="29"/>
        <v>4.9950000000000001</v>
      </c>
      <c r="I461" s="6">
        <f t="shared" si="30"/>
        <v>50</v>
      </c>
      <c r="J461" t="str">
        <f t="shared" si="31"/>
        <v>OK</v>
      </c>
    </row>
    <row r="462" spans="1:10" x14ac:dyDescent="0.2">
      <c r="A462">
        <v>10461</v>
      </c>
      <c r="B462" t="s">
        <v>10</v>
      </c>
      <c r="C462" t="s">
        <v>6</v>
      </c>
      <c r="D462" s="8">
        <v>12.49</v>
      </c>
      <c r="E462">
        <v>10</v>
      </c>
      <c r="F462" t="str">
        <f t="shared" si="28"/>
        <v>Premium</v>
      </c>
      <c r="G462" s="3" cm="1">
        <f t="array" ref="G462">_xlfn.XLOOKUP(C462 &amp; F462,
         [1]unilever_price_limits!A:A &amp; [1]unilever_price_limits!B:B,
         [1]unilever_price_limits!C:C)</f>
        <v>55</v>
      </c>
      <c r="H462" s="8">
        <f t="shared" si="29"/>
        <v>19.359500000000001</v>
      </c>
      <c r="I462" s="6">
        <f t="shared" si="30"/>
        <v>55.000000000000007</v>
      </c>
      <c r="J462" t="str">
        <f t="shared" si="31"/>
        <v>OK</v>
      </c>
    </row>
    <row r="463" spans="1:10" x14ac:dyDescent="0.2">
      <c r="A463">
        <v>10462</v>
      </c>
      <c r="B463" t="s">
        <v>8</v>
      </c>
      <c r="C463" t="s">
        <v>11</v>
      </c>
      <c r="D463" s="8">
        <v>8.66</v>
      </c>
      <c r="E463">
        <v>4</v>
      </c>
      <c r="F463" t="str">
        <f t="shared" si="28"/>
        <v>Standard</v>
      </c>
      <c r="G463" s="3" cm="1">
        <f t="array" ref="G463">_xlfn.XLOOKUP(C463 &amp; F463,
         [1]unilever_price_limits!A:A &amp; [1]unilever_price_limits!B:B,
         [1]unilever_price_limits!C:C)</f>
        <v>25</v>
      </c>
      <c r="H463" s="8">
        <f t="shared" si="29"/>
        <v>10.824999999999999</v>
      </c>
      <c r="I463" s="6">
        <f t="shared" si="30"/>
        <v>25</v>
      </c>
      <c r="J463" t="str">
        <f t="shared" si="31"/>
        <v>OK</v>
      </c>
    </row>
    <row r="464" spans="1:10" x14ac:dyDescent="0.2">
      <c r="A464">
        <v>10463</v>
      </c>
      <c r="B464" t="s">
        <v>10</v>
      </c>
      <c r="C464" t="s">
        <v>9</v>
      </c>
      <c r="D464" s="8">
        <v>11.55</v>
      </c>
      <c r="E464">
        <v>5</v>
      </c>
      <c r="F464" t="str">
        <f t="shared" si="28"/>
        <v>Standard</v>
      </c>
      <c r="G464" s="3" cm="1">
        <f t="array" ref="G464">_xlfn.XLOOKUP(C464 &amp; F464,
         [1]unilever_price_limits!A:A &amp; [1]unilever_price_limits!B:B,
         [1]unilever_price_limits!C:C)</f>
        <v>30</v>
      </c>
      <c r="H464" s="8">
        <f t="shared" si="29"/>
        <v>15.015000000000001</v>
      </c>
      <c r="I464" s="6">
        <f t="shared" si="30"/>
        <v>30.000000000000004</v>
      </c>
      <c r="J464" t="str">
        <f t="shared" si="31"/>
        <v>OK</v>
      </c>
    </row>
    <row r="465" spans="1:10" x14ac:dyDescent="0.2">
      <c r="A465">
        <v>10464</v>
      </c>
      <c r="B465" t="s">
        <v>8</v>
      </c>
      <c r="C465" t="s">
        <v>6</v>
      </c>
      <c r="D465" s="8">
        <v>10.85</v>
      </c>
      <c r="E465">
        <v>8</v>
      </c>
      <c r="F465" t="str">
        <f t="shared" si="28"/>
        <v>Premium</v>
      </c>
      <c r="G465" s="3" cm="1">
        <f t="array" ref="G465">_xlfn.XLOOKUP(C465 &amp; F465,
         [1]unilever_price_limits!A:A &amp; [1]unilever_price_limits!B:B,
         [1]unilever_price_limits!C:C)</f>
        <v>55</v>
      </c>
      <c r="H465" s="8">
        <f t="shared" si="29"/>
        <v>16.817499999999999</v>
      </c>
      <c r="I465" s="6">
        <f t="shared" si="30"/>
        <v>55.000000000000007</v>
      </c>
      <c r="J465" t="str">
        <f t="shared" si="31"/>
        <v>OK</v>
      </c>
    </row>
    <row r="466" spans="1:10" x14ac:dyDescent="0.2">
      <c r="A466">
        <v>10465</v>
      </c>
      <c r="B466" t="s">
        <v>7</v>
      </c>
      <c r="C466" t="s">
        <v>6</v>
      </c>
      <c r="D466" s="8">
        <v>3.51</v>
      </c>
      <c r="E466">
        <v>1</v>
      </c>
      <c r="F466" t="str">
        <f t="shared" si="28"/>
        <v>Value</v>
      </c>
      <c r="G466" s="3" cm="1">
        <f t="array" ref="G466">_xlfn.XLOOKUP(C466 &amp; F466,
         [1]unilever_price_limits!A:A &amp; [1]unilever_price_limits!B:B,
         [1]unilever_price_limits!C:C)</f>
        <v>12</v>
      </c>
      <c r="H466" s="8">
        <f t="shared" si="29"/>
        <v>3.9312</v>
      </c>
      <c r="I466" s="6">
        <f t="shared" si="30"/>
        <v>12.000000000000011</v>
      </c>
      <c r="J466" t="str">
        <f t="shared" si="31"/>
        <v>OK</v>
      </c>
    </row>
    <row r="467" spans="1:10" x14ac:dyDescent="0.2">
      <c r="A467">
        <v>10466</v>
      </c>
      <c r="B467" t="s">
        <v>5</v>
      </c>
      <c r="C467" t="s">
        <v>9</v>
      </c>
      <c r="D467" s="8">
        <v>8.75</v>
      </c>
      <c r="E467">
        <v>6</v>
      </c>
      <c r="F467" t="str">
        <f t="shared" si="28"/>
        <v>Standard</v>
      </c>
      <c r="G467" s="3" cm="1">
        <f t="array" ref="G467">_xlfn.XLOOKUP(C467 &amp; F467,
         [1]unilever_price_limits!A:A &amp; [1]unilever_price_limits!B:B,
         [1]unilever_price_limits!C:C)</f>
        <v>30</v>
      </c>
      <c r="H467" s="8">
        <f t="shared" si="29"/>
        <v>11.375</v>
      </c>
      <c r="I467" s="6">
        <f t="shared" si="30"/>
        <v>30.000000000000004</v>
      </c>
      <c r="J467" t="str">
        <f t="shared" si="31"/>
        <v>OK</v>
      </c>
    </row>
    <row r="468" spans="1:10" x14ac:dyDescent="0.2">
      <c r="A468">
        <v>10467</v>
      </c>
      <c r="B468" t="s">
        <v>7</v>
      </c>
      <c r="C468" t="s">
        <v>6</v>
      </c>
      <c r="D468" s="8">
        <v>13.08</v>
      </c>
      <c r="E468">
        <v>4</v>
      </c>
      <c r="F468" t="str">
        <f t="shared" si="28"/>
        <v>Standard</v>
      </c>
      <c r="G468" s="3" cm="1">
        <f t="array" ref="G468">_xlfn.XLOOKUP(C468 &amp; F468,
         [1]unilever_price_limits!A:A &amp; [1]unilever_price_limits!B:B,
         [1]unilever_price_limits!C:C)</f>
        <v>28</v>
      </c>
      <c r="H468" s="8">
        <f t="shared" si="29"/>
        <v>16.7424</v>
      </c>
      <c r="I468" s="6">
        <f t="shared" si="30"/>
        <v>28.000000000000004</v>
      </c>
      <c r="J468" t="str">
        <f t="shared" si="31"/>
        <v>OK</v>
      </c>
    </row>
    <row r="469" spans="1:10" x14ac:dyDescent="0.2">
      <c r="A469">
        <v>10468</v>
      </c>
      <c r="B469" t="s">
        <v>8</v>
      </c>
      <c r="C469" t="s">
        <v>11</v>
      </c>
      <c r="D469" s="8">
        <v>6.77</v>
      </c>
      <c r="E469">
        <v>5</v>
      </c>
      <c r="F469" t="str">
        <f t="shared" si="28"/>
        <v>Standard</v>
      </c>
      <c r="G469" s="3" cm="1">
        <f t="array" ref="G469">_xlfn.XLOOKUP(C469 &amp; F469,
         [1]unilever_price_limits!A:A &amp; [1]unilever_price_limits!B:B,
         [1]unilever_price_limits!C:C)</f>
        <v>25</v>
      </c>
      <c r="H469" s="8">
        <f t="shared" si="29"/>
        <v>8.4624999999999986</v>
      </c>
      <c r="I469" s="6">
        <f t="shared" si="30"/>
        <v>24.999999999999979</v>
      </c>
      <c r="J469" t="str">
        <f t="shared" si="31"/>
        <v>OK</v>
      </c>
    </row>
    <row r="470" spans="1:10" x14ac:dyDescent="0.2">
      <c r="A470">
        <v>10469</v>
      </c>
      <c r="B470" t="s">
        <v>8</v>
      </c>
      <c r="C470" t="s">
        <v>11</v>
      </c>
      <c r="D470" s="8">
        <v>14.52</v>
      </c>
      <c r="E470">
        <v>5</v>
      </c>
      <c r="F470" t="str">
        <f t="shared" si="28"/>
        <v>Standard</v>
      </c>
      <c r="G470" s="3" cm="1">
        <f t="array" ref="G470">_xlfn.XLOOKUP(C470 &amp; F470,
         [1]unilever_price_limits!A:A &amp; [1]unilever_price_limits!B:B,
         [1]unilever_price_limits!C:C)</f>
        <v>25</v>
      </c>
      <c r="H470" s="8">
        <f t="shared" si="29"/>
        <v>18.149999999999999</v>
      </c>
      <c r="I470" s="6">
        <f t="shared" si="30"/>
        <v>25</v>
      </c>
      <c r="J470" t="str">
        <f t="shared" si="31"/>
        <v>OK</v>
      </c>
    </row>
    <row r="471" spans="1:10" x14ac:dyDescent="0.2">
      <c r="A471">
        <v>10470</v>
      </c>
      <c r="B471" t="s">
        <v>7</v>
      </c>
      <c r="C471" t="s">
        <v>9</v>
      </c>
      <c r="D471" s="8">
        <v>7.06</v>
      </c>
      <c r="E471">
        <v>2</v>
      </c>
      <c r="F471" t="str">
        <f t="shared" si="28"/>
        <v>Value</v>
      </c>
      <c r="G471" s="3" cm="1">
        <f t="array" ref="G471">_xlfn.XLOOKUP(C471 &amp; F471,
         [1]unilever_price_limits!A:A &amp; [1]unilever_price_limits!B:B,
         [1]unilever_price_limits!C:C)</f>
        <v>15</v>
      </c>
      <c r="H471" s="8">
        <f t="shared" si="29"/>
        <v>8.1189999999999998</v>
      </c>
      <c r="I471" s="6">
        <f t="shared" si="30"/>
        <v>15.000000000000014</v>
      </c>
      <c r="J471" t="str">
        <f t="shared" si="31"/>
        <v>OK</v>
      </c>
    </row>
    <row r="472" spans="1:10" x14ac:dyDescent="0.2">
      <c r="A472">
        <v>10471</v>
      </c>
      <c r="B472" t="s">
        <v>8</v>
      </c>
      <c r="C472" t="s">
        <v>11</v>
      </c>
      <c r="D472" s="8">
        <v>2.57</v>
      </c>
      <c r="E472">
        <v>8</v>
      </c>
      <c r="F472" t="str">
        <f t="shared" si="28"/>
        <v>Premium</v>
      </c>
      <c r="G472" s="3" cm="1">
        <f t="array" ref="G472">_xlfn.XLOOKUP(C472 &amp; F472,
         [1]unilever_price_limits!A:A &amp; [1]unilever_price_limits!B:B,
         [1]unilever_price_limits!C:C)</f>
        <v>50</v>
      </c>
      <c r="H472" s="8">
        <f t="shared" si="29"/>
        <v>3.8549999999999995</v>
      </c>
      <c r="I472" s="6">
        <f t="shared" si="30"/>
        <v>50</v>
      </c>
      <c r="J472" t="str">
        <f t="shared" si="31"/>
        <v>OK</v>
      </c>
    </row>
    <row r="473" spans="1:10" x14ac:dyDescent="0.2">
      <c r="A473">
        <v>10472</v>
      </c>
      <c r="B473" t="s">
        <v>7</v>
      </c>
      <c r="C473" t="s">
        <v>9</v>
      </c>
      <c r="D473" s="8">
        <v>6.15</v>
      </c>
      <c r="E473">
        <v>2</v>
      </c>
      <c r="F473" t="str">
        <f t="shared" si="28"/>
        <v>Value</v>
      </c>
      <c r="G473" s="3" cm="1">
        <f t="array" ref="G473">_xlfn.XLOOKUP(C473 &amp; F473,
         [1]unilever_price_limits!A:A &amp; [1]unilever_price_limits!B:B,
         [1]unilever_price_limits!C:C)</f>
        <v>15</v>
      </c>
      <c r="H473" s="8">
        <f t="shared" si="29"/>
        <v>7.0724999999999998</v>
      </c>
      <c r="I473" s="6">
        <f t="shared" si="30"/>
        <v>14.999999999999991</v>
      </c>
      <c r="J473" t="str">
        <f t="shared" si="31"/>
        <v>OK</v>
      </c>
    </row>
    <row r="474" spans="1:10" x14ac:dyDescent="0.2">
      <c r="A474">
        <v>10473</v>
      </c>
      <c r="B474" t="s">
        <v>5</v>
      </c>
      <c r="C474" t="s">
        <v>9</v>
      </c>
      <c r="D474" s="8">
        <v>14.3</v>
      </c>
      <c r="E474">
        <v>4</v>
      </c>
      <c r="F474" t="str">
        <f t="shared" si="28"/>
        <v>Standard</v>
      </c>
      <c r="G474" s="3" cm="1">
        <f t="array" ref="G474">_xlfn.XLOOKUP(C474 &amp; F474,
         [1]unilever_price_limits!A:A &amp; [1]unilever_price_limits!B:B,
         [1]unilever_price_limits!C:C)</f>
        <v>30</v>
      </c>
      <c r="H474" s="8">
        <f t="shared" si="29"/>
        <v>18.59</v>
      </c>
      <c r="I474" s="6">
        <f t="shared" si="30"/>
        <v>29.999999999999982</v>
      </c>
      <c r="J474" t="str">
        <f t="shared" si="31"/>
        <v>OK</v>
      </c>
    </row>
    <row r="475" spans="1:10" x14ac:dyDescent="0.2">
      <c r="A475">
        <v>10474</v>
      </c>
      <c r="B475" t="s">
        <v>7</v>
      </c>
      <c r="C475" t="s">
        <v>11</v>
      </c>
      <c r="D475" s="8">
        <v>5.14</v>
      </c>
      <c r="E475">
        <v>5</v>
      </c>
      <c r="F475" t="str">
        <f t="shared" si="28"/>
        <v>Standard</v>
      </c>
      <c r="G475" s="3" cm="1">
        <f t="array" ref="G475">_xlfn.XLOOKUP(C475 &amp; F475,
         [1]unilever_price_limits!A:A &amp; [1]unilever_price_limits!B:B,
         [1]unilever_price_limits!C:C)</f>
        <v>25</v>
      </c>
      <c r="H475" s="8">
        <f t="shared" si="29"/>
        <v>6.4249999999999998</v>
      </c>
      <c r="I475" s="6">
        <f t="shared" si="30"/>
        <v>25</v>
      </c>
      <c r="J475" t="str">
        <f t="shared" si="31"/>
        <v>OK</v>
      </c>
    </row>
    <row r="476" spans="1:10" x14ac:dyDescent="0.2">
      <c r="A476">
        <v>10475</v>
      </c>
      <c r="B476" t="s">
        <v>5</v>
      </c>
      <c r="C476" t="s">
        <v>9</v>
      </c>
      <c r="D476" s="8">
        <v>13.09</v>
      </c>
      <c r="E476">
        <v>1</v>
      </c>
      <c r="F476" t="str">
        <f t="shared" si="28"/>
        <v>Value</v>
      </c>
      <c r="G476" s="3" cm="1">
        <f t="array" ref="G476">_xlfn.XLOOKUP(C476 &amp; F476,
         [1]unilever_price_limits!A:A &amp; [1]unilever_price_limits!B:B,
         [1]unilever_price_limits!C:C)</f>
        <v>15</v>
      </c>
      <c r="H476" s="8">
        <f t="shared" si="29"/>
        <v>15.053499999999998</v>
      </c>
      <c r="I476" s="6">
        <f t="shared" si="30"/>
        <v>14.999999999999991</v>
      </c>
      <c r="J476" t="str">
        <f t="shared" si="31"/>
        <v>OK</v>
      </c>
    </row>
    <row r="477" spans="1:10" x14ac:dyDescent="0.2">
      <c r="A477">
        <v>10476</v>
      </c>
      <c r="B477" t="s">
        <v>7</v>
      </c>
      <c r="C477" t="s">
        <v>11</v>
      </c>
      <c r="D477" s="8">
        <v>13.28</v>
      </c>
      <c r="E477">
        <v>6</v>
      </c>
      <c r="F477" t="str">
        <f t="shared" si="28"/>
        <v>Standard</v>
      </c>
      <c r="G477" s="3" cm="1">
        <f t="array" ref="G477">_xlfn.XLOOKUP(C477 &amp; F477,
         [1]unilever_price_limits!A:A &amp; [1]unilever_price_limits!B:B,
         [1]unilever_price_limits!C:C)</f>
        <v>25</v>
      </c>
      <c r="H477" s="8">
        <f t="shared" si="29"/>
        <v>16.599999999999998</v>
      </c>
      <c r="I477" s="6">
        <f t="shared" si="30"/>
        <v>25</v>
      </c>
      <c r="J477" t="str">
        <f t="shared" si="31"/>
        <v>OK</v>
      </c>
    </row>
    <row r="478" spans="1:10" x14ac:dyDescent="0.2">
      <c r="A478">
        <v>10477</v>
      </c>
      <c r="B478" t="s">
        <v>8</v>
      </c>
      <c r="C478" t="s">
        <v>6</v>
      </c>
      <c r="D478" s="8">
        <v>5.58</v>
      </c>
      <c r="E478">
        <v>2</v>
      </c>
      <c r="F478" t="str">
        <f t="shared" si="28"/>
        <v>Value</v>
      </c>
      <c r="G478" s="3" cm="1">
        <f t="array" ref="G478">_xlfn.XLOOKUP(C478 &amp; F478,
         [1]unilever_price_limits!A:A &amp; [1]unilever_price_limits!B:B,
         [1]unilever_price_limits!C:C)</f>
        <v>12</v>
      </c>
      <c r="H478" s="8">
        <f t="shared" si="29"/>
        <v>6.2496000000000009</v>
      </c>
      <c r="I478" s="6">
        <f t="shared" si="30"/>
        <v>12.000000000000011</v>
      </c>
      <c r="J478" t="str">
        <f t="shared" si="31"/>
        <v>OK</v>
      </c>
    </row>
    <row r="479" spans="1:10" x14ac:dyDescent="0.2">
      <c r="A479">
        <v>10478</v>
      </c>
      <c r="B479" t="s">
        <v>7</v>
      </c>
      <c r="C479" t="s">
        <v>6</v>
      </c>
      <c r="D479" s="8">
        <v>1.71</v>
      </c>
      <c r="E479">
        <v>5</v>
      </c>
      <c r="F479" t="str">
        <f t="shared" si="28"/>
        <v>Standard</v>
      </c>
      <c r="G479" s="3" cm="1">
        <f t="array" ref="G479">_xlfn.XLOOKUP(C479 &amp; F479,
         [1]unilever_price_limits!A:A &amp; [1]unilever_price_limits!B:B,
         [1]unilever_price_limits!C:C)</f>
        <v>28</v>
      </c>
      <c r="H479" s="8">
        <f t="shared" si="29"/>
        <v>2.1888000000000001</v>
      </c>
      <c r="I479" s="6">
        <f t="shared" si="30"/>
        <v>28.000000000000004</v>
      </c>
      <c r="J479" t="str">
        <f t="shared" si="31"/>
        <v>OK</v>
      </c>
    </row>
    <row r="480" spans="1:10" x14ac:dyDescent="0.2">
      <c r="A480">
        <v>10479</v>
      </c>
      <c r="B480" t="s">
        <v>8</v>
      </c>
      <c r="C480" t="s">
        <v>9</v>
      </c>
      <c r="D480" s="8">
        <v>11.01</v>
      </c>
      <c r="E480">
        <v>6</v>
      </c>
      <c r="F480" t="str">
        <f t="shared" si="28"/>
        <v>Standard</v>
      </c>
      <c r="G480" s="3" cm="1">
        <f t="array" ref="G480">_xlfn.XLOOKUP(C480 &amp; F480,
         [1]unilever_price_limits!A:A &amp; [1]unilever_price_limits!B:B,
         [1]unilever_price_limits!C:C)</f>
        <v>30</v>
      </c>
      <c r="H480" s="8">
        <f t="shared" si="29"/>
        <v>14.313000000000001</v>
      </c>
      <c r="I480" s="6">
        <f t="shared" si="30"/>
        <v>30.000000000000004</v>
      </c>
      <c r="J480" t="str">
        <f t="shared" si="31"/>
        <v>OK</v>
      </c>
    </row>
    <row r="481" spans="1:10" x14ac:dyDescent="0.2">
      <c r="A481">
        <v>10480</v>
      </c>
      <c r="B481" t="s">
        <v>7</v>
      </c>
      <c r="C481" t="s">
        <v>11</v>
      </c>
      <c r="D481" s="8">
        <v>5.0199999999999996</v>
      </c>
      <c r="E481">
        <v>8</v>
      </c>
      <c r="F481" t="str">
        <f t="shared" si="28"/>
        <v>Premium</v>
      </c>
      <c r="G481" s="3" cm="1">
        <f t="array" ref="G481">_xlfn.XLOOKUP(C481 &amp; F481,
         [1]unilever_price_limits!A:A &amp; [1]unilever_price_limits!B:B,
         [1]unilever_price_limits!C:C)</f>
        <v>50</v>
      </c>
      <c r="H481" s="8">
        <f t="shared" si="29"/>
        <v>7.5299999999999994</v>
      </c>
      <c r="I481" s="6">
        <f t="shared" si="30"/>
        <v>50</v>
      </c>
      <c r="J481" t="str">
        <f t="shared" si="31"/>
        <v>OK</v>
      </c>
    </row>
    <row r="482" spans="1:10" x14ac:dyDescent="0.2">
      <c r="A482">
        <v>10481</v>
      </c>
      <c r="B482" t="s">
        <v>7</v>
      </c>
      <c r="C482" t="s">
        <v>11</v>
      </c>
      <c r="D482" s="8">
        <v>11.85</v>
      </c>
      <c r="E482">
        <v>9</v>
      </c>
      <c r="F482" t="str">
        <f t="shared" si="28"/>
        <v>Premium</v>
      </c>
      <c r="G482" s="3" cm="1">
        <f t="array" ref="G482">_xlfn.XLOOKUP(C482 &amp; F482,
         [1]unilever_price_limits!A:A &amp; [1]unilever_price_limits!B:B,
         [1]unilever_price_limits!C:C)</f>
        <v>50</v>
      </c>
      <c r="H482" s="8">
        <f t="shared" si="29"/>
        <v>17.774999999999999</v>
      </c>
      <c r="I482" s="6">
        <f t="shared" si="30"/>
        <v>50</v>
      </c>
      <c r="J482" t="str">
        <f t="shared" si="31"/>
        <v>OK</v>
      </c>
    </row>
    <row r="483" spans="1:10" x14ac:dyDescent="0.2">
      <c r="A483">
        <v>10482</v>
      </c>
      <c r="B483" t="s">
        <v>10</v>
      </c>
      <c r="C483" t="s">
        <v>6</v>
      </c>
      <c r="D483" s="8">
        <v>6.92</v>
      </c>
      <c r="E483">
        <v>6</v>
      </c>
      <c r="F483" t="str">
        <f t="shared" si="28"/>
        <v>Standard</v>
      </c>
      <c r="G483" s="3" cm="1">
        <f t="array" ref="G483">_xlfn.XLOOKUP(C483 &amp; F483,
         [1]unilever_price_limits!A:A &amp; [1]unilever_price_limits!B:B,
         [1]unilever_price_limits!C:C)</f>
        <v>28</v>
      </c>
      <c r="H483" s="8">
        <f t="shared" si="29"/>
        <v>8.8575999999999997</v>
      </c>
      <c r="I483" s="6">
        <f t="shared" si="30"/>
        <v>28.000000000000004</v>
      </c>
      <c r="J483" t="str">
        <f t="shared" si="31"/>
        <v>OK</v>
      </c>
    </row>
    <row r="484" spans="1:10" x14ac:dyDescent="0.2">
      <c r="A484">
        <v>10483</v>
      </c>
      <c r="B484" t="s">
        <v>8</v>
      </c>
      <c r="C484" t="s">
        <v>6</v>
      </c>
      <c r="D484" s="8">
        <v>7.54</v>
      </c>
      <c r="E484">
        <v>5</v>
      </c>
      <c r="F484" t="str">
        <f t="shared" si="28"/>
        <v>Standard</v>
      </c>
      <c r="G484" s="3" cm="1">
        <f t="array" ref="G484">_xlfn.XLOOKUP(C484 &amp; F484,
         [1]unilever_price_limits!A:A &amp; [1]unilever_price_limits!B:B,
         [1]unilever_price_limits!C:C)</f>
        <v>28</v>
      </c>
      <c r="H484" s="8">
        <f t="shared" si="29"/>
        <v>9.6512000000000011</v>
      </c>
      <c r="I484" s="6">
        <f t="shared" si="30"/>
        <v>28.000000000000025</v>
      </c>
      <c r="J484" t="str">
        <f t="shared" si="31"/>
        <v>OK</v>
      </c>
    </row>
    <row r="485" spans="1:10" x14ac:dyDescent="0.2">
      <c r="A485">
        <v>10484</v>
      </c>
      <c r="B485" t="s">
        <v>10</v>
      </c>
      <c r="C485" t="s">
        <v>11</v>
      </c>
      <c r="D485" s="8">
        <v>11.78</v>
      </c>
      <c r="E485">
        <v>4</v>
      </c>
      <c r="F485" t="str">
        <f t="shared" si="28"/>
        <v>Standard</v>
      </c>
      <c r="G485" s="3" cm="1">
        <f t="array" ref="G485">_xlfn.XLOOKUP(C485 &amp; F485,
         [1]unilever_price_limits!A:A &amp; [1]unilever_price_limits!B:B,
         [1]unilever_price_limits!C:C)</f>
        <v>25</v>
      </c>
      <c r="H485" s="8">
        <f t="shared" si="29"/>
        <v>14.725</v>
      </c>
      <c r="I485" s="6">
        <f t="shared" si="30"/>
        <v>25</v>
      </c>
      <c r="J485" t="str">
        <f t="shared" si="31"/>
        <v>OK</v>
      </c>
    </row>
    <row r="486" spans="1:10" x14ac:dyDescent="0.2">
      <c r="A486">
        <v>10485</v>
      </c>
      <c r="B486" t="s">
        <v>8</v>
      </c>
      <c r="C486" t="s">
        <v>9</v>
      </c>
      <c r="D486" s="8">
        <v>6.04</v>
      </c>
      <c r="E486">
        <v>2</v>
      </c>
      <c r="F486" t="str">
        <f t="shared" si="28"/>
        <v>Value</v>
      </c>
      <c r="G486" s="3" cm="1">
        <f t="array" ref="G486">_xlfn.XLOOKUP(C486 &amp; F486,
         [1]unilever_price_limits!A:A &amp; [1]unilever_price_limits!B:B,
         [1]unilever_price_limits!C:C)</f>
        <v>15</v>
      </c>
      <c r="H486" s="8">
        <f t="shared" si="29"/>
        <v>6.9459999999999997</v>
      </c>
      <c r="I486" s="6">
        <f t="shared" si="30"/>
        <v>14.999999999999991</v>
      </c>
      <c r="J486" t="str">
        <f t="shared" si="31"/>
        <v>OK</v>
      </c>
    </row>
    <row r="487" spans="1:10" x14ac:dyDescent="0.2">
      <c r="A487">
        <v>10486</v>
      </c>
      <c r="B487" t="s">
        <v>10</v>
      </c>
      <c r="C487" t="s">
        <v>6</v>
      </c>
      <c r="D487" s="8">
        <v>6.93</v>
      </c>
      <c r="E487">
        <v>2</v>
      </c>
      <c r="F487" t="str">
        <f t="shared" si="28"/>
        <v>Value</v>
      </c>
      <c r="G487" s="3" cm="1">
        <f t="array" ref="G487">_xlfn.XLOOKUP(C487 &amp; F487,
         [1]unilever_price_limits!A:A &amp; [1]unilever_price_limits!B:B,
         [1]unilever_price_limits!C:C)</f>
        <v>12</v>
      </c>
      <c r="H487" s="8">
        <f t="shared" si="29"/>
        <v>7.7616000000000005</v>
      </c>
      <c r="I487" s="6">
        <f t="shared" si="30"/>
        <v>12.000000000000011</v>
      </c>
      <c r="J487" t="str">
        <f t="shared" si="31"/>
        <v>OK</v>
      </c>
    </row>
    <row r="488" spans="1:10" x14ac:dyDescent="0.2">
      <c r="A488">
        <v>10487</v>
      </c>
      <c r="B488" t="s">
        <v>5</v>
      </c>
      <c r="C488" t="s">
        <v>9</v>
      </c>
      <c r="D488" s="8">
        <v>5.95</v>
      </c>
      <c r="E488">
        <v>7</v>
      </c>
      <c r="F488" t="str">
        <f t="shared" si="28"/>
        <v>Standard</v>
      </c>
      <c r="G488" s="3" cm="1">
        <f t="array" ref="G488">_xlfn.XLOOKUP(C488 &amp; F488,
         [1]unilever_price_limits!A:A &amp; [1]unilever_price_limits!B:B,
         [1]unilever_price_limits!C:C)</f>
        <v>30</v>
      </c>
      <c r="H488" s="8">
        <f t="shared" si="29"/>
        <v>7.7350000000000003</v>
      </c>
      <c r="I488" s="6">
        <f t="shared" si="30"/>
        <v>30.000000000000004</v>
      </c>
      <c r="J488" t="str">
        <f t="shared" si="31"/>
        <v>OK</v>
      </c>
    </row>
    <row r="489" spans="1:10" x14ac:dyDescent="0.2">
      <c r="A489">
        <v>10488</v>
      </c>
      <c r="B489" t="s">
        <v>7</v>
      </c>
      <c r="C489" t="s">
        <v>9</v>
      </c>
      <c r="D489" s="8">
        <v>5.83</v>
      </c>
      <c r="E489">
        <v>5</v>
      </c>
      <c r="F489" t="str">
        <f t="shared" si="28"/>
        <v>Standard</v>
      </c>
      <c r="G489" s="3" cm="1">
        <f t="array" ref="G489">_xlfn.XLOOKUP(C489 &amp; F489,
         [1]unilever_price_limits!A:A &amp; [1]unilever_price_limits!B:B,
         [1]unilever_price_limits!C:C)</f>
        <v>30</v>
      </c>
      <c r="H489" s="8">
        <f t="shared" si="29"/>
        <v>7.5790000000000006</v>
      </c>
      <c r="I489" s="6">
        <f t="shared" si="30"/>
        <v>30.000000000000004</v>
      </c>
      <c r="J489" t="str">
        <f t="shared" si="31"/>
        <v>OK</v>
      </c>
    </row>
    <row r="490" spans="1:10" x14ac:dyDescent="0.2">
      <c r="A490">
        <v>10489</v>
      </c>
      <c r="B490" t="s">
        <v>8</v>
      </c>
      <c r="C490" t="s">
        <v>6</v>
      </c>
      <c r="D490" s="8">
        <v>8.1300000000000008</v>
      </c>
      <c r="E490">
        <v>7</v>
      </c>
      <c r="F490" t="str">
        <f t="shared" si="28"/>
        <v>Standard</v>
      </c>
      <c r="G490" s="3" cm="1">
        <f t="array" ref="G490">_xlfn.XLOOKUP(C490 &amp; F490,
         [1]unilever_price_limits!A:A &amp; [1]unilever_price_limits!B:B,
         [1]unilever_price_limits!C:C)</f>
        <v>28</v>
      </c>
      <c r="H490" s="8">
        <f t="shared" si="29"/>
        <v>10.406400000000001</v>
      </c>
      <c r="I490" s="6">
        <f t="shared" si="30"/>
        <v>28.000000000000004</v>
      </c>
      <c r="J490" t="str">
        <f t="shared" si="31"/>
        <v>OK</v>
      </c>
    </row>
    <row r="491" spans="1:10" x14ac:dyDescent="0.2">
      <c r="A491">
        <v>10490</v>
      </c>
      <c r="B491" t="s">
        <v>8</v>
      </c>
      <c r="C491" t="s">
        <v>9</v>
      </c>
      <c r="D491" s="8">
        <v>12.23</v>
      </c>
      <c r="E491">
        <v>1</v>
      </c>
      <c r="F491" t="str">
        <f t="shared" si="28"/>
        <v>Value</v>
      </c>
      <c r="G491" s="3" cm="1">
        <f t="array" ref="G491">_xlfn.XLOOKUP(C491 &amp; F491,
         [1]unilever_price_limits!A:A &amp; [1]unilever_price_limits!B:B,
         [1]unilever_price_limits!C:C)</f>
        <v>15</v>
      </c>
      <c r="H491" s="8">
        <f t="shared" si="29"/>
        <v>14.064499999999999</v>
      </c>
      <c r="I491" s="6">
        <f t="shared" si="30"/>
        <v>14.999999999999991</v>
      </c>
      <c r="J491" t="str">
        <f t="shared" si="31"/>
        <v>OK</v>
      </c>
    </row>
    <row r="492" spans="1:10" x14ac:dyDescent="0.2">
      <c r="A492">
        <v>10491</v>
      </c>
      <c r="B492" t="s">
        <v>7</v>
      </c>
      <c r="C492" t="s">
        <v>9</v>
      </c>
      <c r="D492" s="8">
        <v>5.75</v>
      </c>
      <c r="E492">
        <v>1</v>
      </c>
      <c r="F492" t="str">
        <f t="shared" si="28"/>
        <v>Value</v>
      </c>
      <c r="G492" s="3" cm="1">
        <f t="array" ref="G492">_xlfn.XLOOKUP(C492 &amp; F492,
         [1]unilever_price_limits!A:A &amp; [1]unilever_price_limits!B:B,
         [1]unilever_price_limits!C:C)</f>
        <v>15</v>
      </c>
      <c r="H492" s="8">
        <f t="shared" si="29"/>
        <v>6.6124999999999998</v>
      </c>
      <c r="I492" s="6">
        <f t="shared" si="30"/>
        <v>14.999999999999991</v>
      </c>
      <c r="J492" t="str">
        <f t="shared" si="31"/>
        <v>OK</v>
      </c>
    </row>
    <row r="493" spans="1:10" x14ac:dyDescent="0.2">
      <c r="A493">
        <v>10492</v>
      </c>
      <c r="B493" t="s">
        <v>8</v>
      </c>
      <c r="C493" t="s">
        <v>11</v>
      </c>
      <c r="D493" s="8">
        <v>8.1</v>
      </c>
      <c r="E493">
        <v>5</v>
      </c>
      <c r="F493" t="str">
        <f t="shared" si="28"/>
        <v>Standard</v>
      </c>
      <c r="G493" s="3" cm="1">
        <f t="array" ref="G493">_xlfn.XLOOKUP(C493 &amp; F493,
         [1]unilever_price_limits!A:A &amp; [1]unilever_price_limits!B:B,
         [1]unilever_price_limits!C:C)</f>
        <v>25</v>
      </c>
      <c r="H493" s="8">
        <f t="shared" si="29"/>
        <v>10.125</v>
      </c>
      <c r="I493" s="6">
        <f t="shared" si="30"/>
        <v>25</v>
      </c>
      <c r="J493" t="str">
        <f t="shared" si="31"/>
        <v>OK</v>
      </c>
    </row>
    <row r="494" spans="1:10" x14ac:dyDescent="0.2">
      <c r="A494">
        <v>10493</v>
      </c>
      <c r="B494" t="s">
        <v>8</v>
      </c>
      <c r="C494" t="s">
        <v>9</v>
      </c>
      <c r="D494" s="8">
        <v>10.23</v>
      </c>
      <c r="E494">
        <v>2</v>
      </c>
      <c r="F494" t="str">
        <f t="shared" si="28"/>
        <v>Value</v>
      </c>
      <c r="G494" s="3" cm="1">
        <f t="array" ref="G494">_xlfn.XLOOKUP(C494 &amp; F494,
         [1]unilever_price_limits!A:A &amp; [1]unilever_price_limits!B:B,
         [1]unilever_price_limits!C:C)</f>
        <v>15</v>
      </c>
      <c r="H494" s="8">
        <f t="shared" si="29"/>
        <v>11.7645</v>
      </c>
      <c r="I494" s="6">
        <f t="shared" si="30"/>
        <v>14.999999999999991</v>
      </c>
      <c r="J494" t="str">
        <f t="shared" si="31"/>
        <v>OK</v>
      </c>
    </row>
    <row r="495" spans="1:10" x14ac:dyDescent="0.2">
      <c r="A495">
        <v>10494</v>
      </c>
      <c r="B495" t="s">
        <v>10</v>
      </c>
      <c r="C495" t="s">
        <v>11</v>
      </c>
      <c r="D495" s="8">
        <v>4.41</v>
      </c>
      <c r="E495">
        <v>8</v>
      </c>
      <c r="F495" t="str">
        <f t="shared" si="28"/>
        <v>Premium</v>
      </c>
      <c r="G495" s="3" cm="1">
        <f t="array" ref="G495">_xlfn.XLOOKUP(C495 &amp; F495,
         [1]unilever_price_limits!A:A &amp; [1]unilever_price_limits!B:B,
         [1]unilever_price_limits!C:C)</f>
        <v>50</v>
      </c>
      <c r="H495" s="8">
        <f t="shared" si="29"/>
        <v>6.6150000000000002</v>
      </c>
      <c r="I495" s="6">
        <f t="shared" si="30"/>
        <v>50</v>
      </c>
      <c r="J495" t="str">
        <f t="shared" si="31"/>
        <v>OK</v>
      </c>
    </row>
    <row r="496" spans="1:10" x14ac:dyDescent="0.2">
      <c r="A496">
        <v>10495</v>
      </c>
      <c r="B496" t="s">
        <v>8</v>
      </c>
      <c r="C496" t="s">
        <v>6</v>
      </c>
      <c r="D496" s="8">
        <v>4.5199999999999996</v>
      </c>
      <c r="E496">
        <v>3</v>
      </c>
      <c r="F496" t="str">
        <f t="shared" si="28"/>
        <v>Value</v>
      </c>
      <c r="G496" s="3" cm="1">
        <f t="array" ref="G496">_xlfn.XLOOKUP(C496 &amp; F496,
         [1]unilever_price_limits!A:A &amp; [1]unilever_price_limits!B:B,
         [1]unilever_price_limits!C:C)</f>
        <v>12</v>
      </c>
      <c r="H496" s="8">
        <f t="shared" si="29"/>
        <v>5.0624000000000002</v>
      </c>
      <c r="I496" s="6">
        <f t="shared" si="30"/>
        <v>12.000000000000011</v>
      </c>
      <c r="J496" t="str">
        <f t="shared" si="31"/>
        <v>OK</v>
      </c>
    </row>
    <row r="497" spans="1:10" x14ac:dyDescent="0.2">
      <c r="A497">
        <v>10496</v>
      </c>
      <c r="B497" t="s">
        <v>5</v>
      </c>
      <c r="C497" t="s">
        <v>6</v>
      </c>
      <c r="D497" s="8">
        <v>14.03</v>
      </c>
      <c r="E497">
        <v>1</v>
      </c>
      <c r="F497" t="str">
        <f t="shared" si="28"/>
        <v>Value</v>
      </c>
      <c r="G497" s="3" cm="1">
        <f t="array" ref="G497">_xlfn.XLOOKUP(C497 &amp; F497,
         [1]unilever_price_limits!A:A &amp; [1]unilever_price_limits!B:B,
         [1]unilever_price_limits!C:C)</f>
        <v>12</v>
      </c>
      <c r="H497" s="8">
        <f t="shared" si="29"/>
        <v>15.713600000000001</v>
      </c>
      <c r="I497" s="6">
        <f t="shared" si="30"/>
        <v>12.000000000000011</v>
      </c>
      <c r="J497" t="str">
        <f t="shared" si="31"/>
        <v>OK</v>
      </c>
    </row>
    <row r="498" spans="1:10" x14ac:dyDescent="0.2">
      <c r="A498">
        <v>10497</v>
      </c>
      <c r="B498" t="s">
        <v>5</v>
      </c>
      <c r="C498" t="s">
        <v>11</v>
      </c>
      <c r="D498" s="8">
        <v>10.99</v>
      </c>
      <c r="E498">
        <v>2</v>
      </c>
      <c r="F498" t="str">
        <f t="shared" si="28"/>
        <v>Value</v>
      </c>
      <c r="G498" s="3" cm="1">
        <f t="array" ref="G498">_xlfn.XLOOKUP(C498 &amp; F498,
         [1]unilever_price_limits!A:A &amp; [1]unilever_price_limits!B:B,
         [1]unilever_price_limits!C:C)</f>
        <v>10</v>
      </c>
      <c r="H498" s="8">
        <f t="shared" si="29"/>
        <v>12.089</v>
      </c>
      <c r="I498" s="6">
        <f t="shared" si="30"/>
        <v>10.000000000000009</v>
      </c>
      <c r="J498" t="str">
        <f t="shared" si="31"/>
        <v>OK</v>
      </c>
    </row>
    <row r="499" spans="1:10" x14ac:dyDescent="0.2">
      <c r="A499">
        <v>10498</v>
      </c>
      <c r="B499" t="s">
        <v>7</v>
      </c>
      <c r="C499" t="s">
        <v>6</v>
      </c>
      <c r="D499" s="8">
        <v>8.8699999999999992</v>
      </c>
      <c r="E499">
        <v>10</v>
      </c>
      <c r="F499" t="str">
        <f t="shared" si="28"/>
        <v>Premium</v>
      </c>
      <c r="G499" s="3" cm="1">
        <f t="array" ref="G499">_xlfn.XLOOKUP(C499 &amp; F499,
         [1]unilever_price_limits!A:A &amp; [1]unilever_price_limits!B:B,
         [1]unilever_price_limits!C:C)</f>
        <v>55</v>
      </c>
      <c r="H499" s="8">
        <f t="shared" si="29"/>
        <v>13.7485</v>
      </c>
      <c r="I499" s="6">
        <f t="shared" si="30"/>
        <v>55.000000000000007</v>
      </c>
      <c r="J499" t="str">
        <f t="shared" si="31"/>
        <v>OK</v>
      </c>
    </row>
    <row r="500" spans="1:10" x14ac:dyDescent="0.2">
      <c r="A500">
        <v>10499</v>
      </c>
      <c r="B500" t="s">
        <v>8</v>
      </c>
      <c r="C500" t="s">
        <v>9</v>
      </c>
      <c r="D500" s="8">
        <v>9.89</v>
      </c>
      <c r="E500">
        <v>10</v>
      </c>
      <c r="F500" t="str">
        <f t="shared" si="28"/>
        <v>Premium</v>
      </c>
      <c r="G500" s="3" cm="1">
        <f t="array" ref="G500">_xlfn.XLOOKUP(C500 &amp; F500,
         [1]unilever_price_limits!A:A &amp; [1]unilever_price_limits!B:B,
         [1]unilever_price_limits!C:C)</f>
        <v>60</v>
      </c>
      <c r="H500" s="8">
        <f t="shared" si="29"/>
        <v>15.824000000000002</v>
      </c>
      <c r="I500" s="6">
        <f t="shared" si="30"/>
        <v>60.000000000000007</v>
      </c>
      <c r="J500" t="str">
        <f t="shared" si="31"/>
        <v>OK</v>
      </c>
    </row>
    <row r="501" spans="1:10" x14ac:dyDescent="0.2">
      <c r="A501">
        <v>10500</v>
      </c>
      <c r="B501" t="s">
        <v>7</v>
      </c>
      <c r="C501" t="s">
        <v>9</v>
      </c>
      <c r="D501" s="8">
        <v>0.92</v>
      </c>
      <c r="E501">
        <v>7</v>
      </c>
      <c r="F501" t="str">
        <f t="shared" si="28"/>
        <v>Standard</v>
      </c>
      <c r="G501" s="3" cm="1">
        <f t="array" ref="G501">_xlfn.XLOOKUP(C501 &amp; F501,
         [1]unilever_price_limits!A:A &amp; [1]unilever_price_limits!B:B,
         [1]unilever_price_limits!C:C)</f>
        <v>30</v>
      </c>
      <c r="H501" s="8">
        <f t="shared" si="29"/>
        <v>1.1960000000000002</v>
      </c>
      <c r="I501" s="6">
        <f t="shared" si="30"/>
        <v>30.000000000000004</v>
      </c>
      <c r="J501" t="str">
        <f t="shared" si="31"/>
        <v>OK</v>
      </c>
    </row>
    <row r="502" spans="1:10" x14ac:dyDescent="0.2">
      <c r="A502">
        <v>10501</v>
      </c>
      <c r="B502" t="s">
        <v>5</v>
      </c>
      <c r="C502" t="s">
        <v>9</v>
      </c>
      <c r="D502" s="8">
        <v>9.4600000000000009</v>
      </c>
      <c r="E502">
        <v>6</v>
      </c>
      <c r="F502" t="str">
        <f t="shared" si="28"/>
        <v>Standard</v>
      </c>
      <c r="G502" s="3" cm="1">
        <f t="array" ref="G502">_xlfn.XLOOKUP(C502 &amp; F502,
         [1]unilever_price_limits!A:A &amp; [1]unilever_price_limits!B:B,
         [1]unilever_price_limits!C:C)</f>
        <v>30</v>
      </c>
      <c r="H502" s="8">
        <f t="shared" si="29"/>
        <v>12.298000000000002</v>
      </c>
      <c r="I502" s="6">
        <f t="shared" si="30"/>
        <v>30.000000000000004</v>
      </c>
      <c r="J502" t="str">
        <f t="shared" si="31"/>
        <v>OK</v>
      </c>
    </row>
    <row r="503" spans="1:10" x14ac:dyDescent="0.2">
      <c r="A503">
        <v>10502</v>
      </c>
      <c r="B503" t="s">
        <v>8</v>
      </c>
      <c r="C503" t="s">
        <v>6</v>
      </c>
      <c r="D503" s="8">
        <v>7.89</v>
      </c>
      <c r="E503">
        <v>8</v>
      </c>
      <c r="F503" t="str">
        <f t="shared" si="28"/>
        <v>Premium</v>
      </c>
      <c r="G503" s="3" cm="1">
        <f t="array" ref="G503">_xlfn.XLOOKUP(C503 &amp; F503,
         [1]unilever_price_limits!A:A &amp; [1]unilever_price_limits!B:B,
         [1]unilever_price_limits!C:C)</f>
        <v>55</v>
      </c>
      <c r="H503" s="8">
        <f t="shared" si="29"/>
        <v>12.2295</v>
      </c>
      <c r="I503" s="6">
        <f t="shared" si="30"/>
        <v>55.000000000000007</v>
      </c>
      <c r="J503" t="str">
        <f t="shared" si="31"/>
        <v>OK</v>
      </c>
    </row>
    <row r="504" spans="1:10" x14ac:dyDescent="0.2">
      <c r="A504">
        <v>10503</v>
      </c>
      <c r="B504" t="s">
        <v>8</v>
      </c>
      <c r="C504" t="s">
        <v>9</v>
      </c>
      <c r="D504" s="8">
        <v>8.41</v>
      </c>
      <c r="E504">
        <v>7</v>
      </c>
      <c r="F504" t="str">
        <f t="shared" si="28"/>
        <v>Standard</v>
      </c>
      <c r="G504" s="3" cm="1">
        <f t="array" ref="G504">_xlfn.XLOOKUP(C504 &amp; F504,
         [1]unilever_price_limits!A:A &amp; [1]unilever_price_limits!B:B,
         [1]unilever_price_limits!C:C)</f>
        <v>30</v>
      </c>
      <c r="H504" s="8">
        <f t="shared" si="29"/>
        <v>10.933</v>
      </c>
      <c r="I504" s="6">
        <f t="shared" si="30"/>
        <v>30.000000000000004</v>
      </c>
      <c r="J504" t="str">
        <f t="shared" si="31"/>
        <v>OK</v>
      </c>
    </row>
    <row r="505" spans="1:10" x14ac:dyDescent="0.2">
      <c r="A505">
        <v>10504</v>
      </c>
      <c r="B505" t="s">
        <v>7</v>
      </c>
      <c r="C505" t="s">
        <v>6</v>
      </c>
      <c r="D505" s="8">
        <v>5.71</v>
      </c>
      <c r="E505">
        <v>10</v>
      </c>
      <c r="F505" t="str">
        <f t="shared" si="28"/>
        <v>Premium</v>
      </c>
      <c r="G505" s="3" cm="1">
        <f t="array" ref="G505">_xlfn.XLOOKUP(C505 &amp; F505,
         [1]unilever_price_limits!A:A &amp; [1]unilever_price_limits!B:B,
         [1]unilever_price_limits!C:C)</f>
        <v>55</v>
      </c>
      <c r="H505" s="8">
        <f t="shared" si="29"/>
        <v>8.8505000000000003</v>
      </c>
      <c r="I505" s="6">
        <f t="shared" si="30"/>
        <v>55.000000000000007</v>
      </c>
      <c r="J505" t="str">
        <f t="shared" si="31"/>
        <v>OK</v>
      </c>
    </row>
    <row r="506" spans="1:10" x14ac:dyDescent="0.2">
      <c r="A506">
        <v>10505</v>
      </c>
      <c r="B506" t="s">
        <v>5</v>
      </c>
      <c r="C506" t="s">
        <v>9</v>
      </c>
      <c r="D506" s="8">
        <v>1.68</v>
      </c>
      <c r="E506">
        <v>8</v>
      </c>
      <c r="F506" t="str">
        <f t="shared" si="28"/>
        <v>Premium</v>
      </c>
      <c r="G506" s="3" cm="1">
        <f t="array" ref="G506">_xlfn.XLOOKUP(C506 &amp; F506,
         [1]unilever_price_limits!A:A &amp; [1]unilever_price_limits!B:B,
         [1]unilever_price_limits!C:C)</f>
        <v>60</v>
      </c>
      <c r="H506" s="8">
        <f t="shared" si="29"/>
        <v>2.6880000000000002</v>
      </c>
      <c r="I506" s="6">
        <f t="shared" si="30"/>
        <v>60.000000000000007</v>
      </c>
      <c r="J506" t="str">
        <f t="shared" si="31"/>
        <v>OK</v>
      </c>
    </row>
    <row r="507" spans="1:10" x14ac:dyDescent="0.2">
      <c r="A507">
        <v>10506</v>
      </c>
      <c r="B507" t="s">
        <v>8</v>
      </c>
      <c r="C507" t="s">
        <v>11</v>
      </c>
      <c r="D507" s="8">
        <v>3.3</v>
      </c>
      <c r="E507">
        <v>3</v>
      </c>
      <c r="F507" t="str">
        <f t="shared" si="28"/>
        <v>Value</v>
      </c>
      <c r="G507" s="3" cm="1">
        <f t="array" ref="G507">_xlfn.XLOOKUP(C507 &amp; F507,
         [1]unilever_price_limits!A:A &amp; [1]unilever_price_limits!B:B,
         [1]unilever_price_limits!C:C)</f>
        <v>10</v>
      </c>
      <c r="H507" s="8">
        <f t="shared" si="29"/>
        <v>3.63</v>
      </c>
      <c r="I507" s="6">
        <f t="shared" si="30"/>
        <v>10.000000000000009</v>
      </c>
      <c r="J507" t="str">
        <f t="shared" si="31"/>
        <v>OK</v>
      </c>
    </row>
    <row r="508" spans="1:10" x14ac:dyDescent="0.2">
      <c r="A508">
        <v>10507</v>
      </c>
      <c r="B508" t="s">
        <v>7</v>
      </c>
      <c r="C508" t="s">
        <v>6</v>
      </c>
      <c r="D508" s="8">
        <v>14.29</v>
      </c>
      <c r="E508">
        <v>6</v>
      </c>
      <c r="F508" t="str">
        <f t="shared" si="28"/>
        <v>Standard</v>
      </c>
      <c r="G508" s="3" cm="1">
        <f t="array" ref="G508">_xlfn.XLOOKUP(C508 &amp; F508,
         [1]unilever_price_limits!A:A &amp; [1]unilever_price_limits!B:B,
         [1]unilever_price_limits!C:C)</f>
        <v>28</v>
      </c>
      <c r="H508" s="8">
        <f t="shared" si="29"/>
        <v>18.2912</v>
      </c>
      <c r="I508" s="6">
        <f t="shared" si="30"/>
        <v>28.000000000000004</v>
      </c>
      <c r="J508" t="str">
        <f t="shared" si="31"/>
        <v>OK</v>
      </c>
    </row>
    <row r="509" spans="1:10" x14ac:dyDescent="0.2">
      <c r="A509">
        <v>10508</v>
      </c>
      <c r="B509" t="s">
        <v>5</v>
      </c>
      <c r="C509" t="s">
        <v>6</v>
      </c>
      <c r="D509" s="8">
        <v>6.43</v>
      </c>
      <c r="E509">
        <v>7</v>
      </c>
      <c r="F509" t="str">
        <f t="shared" si="28"/>
        <v>Standard</v>
      </c>
      <c r="G509" s="3" cm="1">
        <f t="array" ref="G509">_xlfn.XLOOKUP(C509 &amp; F509,
         [1]unilever_price_limits!A:A &amp; [1]unilever_price_limits!B:B,
         [1]unilever_price_limits!C:C)</f>
        <v>28</v>
      </c>
      <c r="H509" s="8">
        <f t="shared" si="29"/>
        <v>8.2303999999999995</v>
      </c>
      <c r="I509" s="6">
        <f t="shared" si="30"/>
        <v>28.000000000000004</v>
      </c>
      <c r="J509" t="str">
        <f t="shared" si="31"/>
        <v>OK</v>
      </c>
    </row>
    <row r="510" spans="1:10" x14ac:dyDescent="0.2">
      <c r="A510">
        <v>10509</v>
      </c>
      <c r="B510" t="s">
        <v>7</v>
      </c>
      <c r="C510" t="s">
        <v>9</v>
      </c>
      <c r="D510" s="8">
        <v>7.27</v>
      </c>
      <c r="E510">
        <v>10</v>
      </c>
      <c r="F510" t="str">
        <f t="shared" si="28"/>
        <v>Premium</v>
      </c>
      <c r="G510" s="3" cm="1">
        <f t="array" ref="G510">_xlfn.XLOOKUP(C510 &amp; F510,
         [1]unilever_price_limits!A:A &amp; [1]unilever_price_limits!B:B,
         [1]unilever_price_limits!C:C)</f>
        <v>60</v>
      </c>
      <c r="H510" s="8">
        <f t="shared" si="29"/>
        <v>11.632</v>
      </c>
      <c r="I510" s="6">
        <f t="shared" si="30"/>
        <v>60.000000000000007</v>
      </c>
      <c r="J510" t="str">
        <f t="shared" si="31"/>
        <v>OK</v>
      </c>
    </row>
    <row r="511" spans="1:10" x14ac:dyDescent="0.2">
      <c r="A511">
        <v>10510</v>
      </c>
      <c r="B511" t="s">
        <v>10</v>
      </c>
      <c r="C511" t="s">
        <v>6</v>
      </c>
      <c r="D511" s="8">
        <v>1.26</v>
      </c>
      <c r="E511">
        <v>1</v>
      </c>
      <c r="F511" t="str">
        <f t="shared" si="28"/>
        <v>Value</v>
      </c>
      <c r="G511" s="3" cm="1">
        <f t="array" ref="G511">_xlfn.XLOOKUP(C511 &amp; F511,
         [1]unilever_price_limits!A:A &amp; [1]unilever_price_limits!B:B,
         [1]unilever_price_limits!C:C)</f>
        <v>12</v>
      </c>
      <c r="H511" s="8">
        <f t="shared" si="29"/>
        <v>1.4112000000000002</v>
      </c>
      <c r="I511" s="6">
        <f t="shared" si="30"/>
        <v>12.000000000000011</v>
      </c>
      <c r="J511" t="str">
        <f t="shared" si="31"/>
        <v>OK</v>
      </c>
    </row>
    <row r="512" spans="1:10" x14ac:dyDescent="0.2">
      <c r="A512">
        <v>10511</v>
      </c>
      <c r="B512" t="s">
        <v>8</v>
      </c>
      <c r="C512" t="s">
        <v>6</v>
      </c>
      <c r="D512" s="8">
        <v>1.04</v>
      </c>
      <c r="E512">
        <v>1</v>
      </c>
      <c r="F512" t="str">
        <f t="shared" si="28"/>
        <v>Value</v>
      </c>
      <c r="G512" s="3" cm="1">
        <f t="array" ref="G512">_xlfn.XLOOKUP(C512 &amp; F512,
         [1]unilever_price_limits!A:A &amp; [1]unilever_price_limits!B:B,
         [1]unilever_price_limits!C:C)</f>
        <v>12</v>
      </c>
      <c r="H512" s="8">
        <f t="shared" si="29"/>
        <v>1.1648000000000001</v>
      </c>
      <c r="I512" s="6">
        <f t="shared" si="30"/>
        <v>12.000000000000011</v>
      </c>
      <c r="J512" t="str">
        <f t="shared" si="31"/>
        <v>OK</v>
      </c>
    </row>
    <row r="513" spans="1:10" x14ac:dyDescent="0.2">
      <c r="A513">
        <v>10512</v>
      </c>
      <c r="B513" t="s">
        <v>10</v>
      </c>
      <c r="C513" t="s">
        <v>11</v>
      </c>
      <c r="D513" s="8">
        <v>10.9</v>
      </c>
      <c r="E513">
        <v>7</v>
      </c>
      <c r="F513" t="str">
        <f t="shared" si="28"/>
        <v>Standard</v>
      </c>
      <c r="G513" s="3" cm="1">
        <f t="array" ref="G513">_xlfn.XLOOKUP(C513 &amp; F513,
         [1]unilever_price_limits!A:A &amp; [1]unilever_price_limits!B:B,
         [1]unilever_price_limits!C:C)</f>
        <v>25</v>
      </c>
      <c r="H513" s="8">
        <f t="shared" si="29"/>
        <v>13.625</v>
      </c>
      <c r="I513" s="6">
        <f t="shared" si="30"/>
        <v>25</v>
      </c>
      <c r="J513" t="str">
        <f t="shared" si="31"/>
        <v>OK</v>
      </c>
    </row>
    <row r="514" spans="1:10" x14ac:dyDescent="0.2">
      <c r="A514">
        <v>10513</v>
      </c>
      <c r="B514" t="s">
        <v>5</v>
      </c>
      <c r="C514" t="s">
        <v>11</v>
      </c>
      <c r="D514" s="8">
        <v>8.3000000000000007</v>
      </c>
      <c r="E514">
        <v>3</v>
      </c>
      <c r="F514" t="str">
        <f t="shared" si="28"/>
        <v>Value</v>
      </c>
      <c r="G514" s="3" cm="1">
        <f t="array" ref="G514">_xlfn.XLOOKUP(C514 &amp; F514,
         [1]unilever_price_limits!A:A &amp; [1]unilever_price_limits!B:B,
         [1]unilever_price_limits!C:C)</f>
        <v>10</v>
      </c>
      <c r="H514" s="8">
        <f t="shared" si="29"/>
        <v>9.1300000000000008</v>
      </c>
      <c r="I514" s="6">
        <f t="shared" si="30"/>
        <v>10.000000000000009</v>
      </c>
      <c r="J514" t="str">
        <f t="shared" si="31"/>
        <v>OK</v>
      </c>
    </row>
    <row r="515" spans="1:10" x14ac:dyDescent="0.2">
      <c r="A515">
        <v>10514</v>
      </c>
      <c r="B515" t="s">
        <v>10</v>
      </c>
      <c r="C515" t="s">
        <v>9</v>
      </c>
      <c r="D515" s="8">
        <v>7.88</v>
      </c>
      <c r="E515">
        <v>3</v>
      </c>
      <c r="F515" t="str">
        <f t="shared" ref="F515:F578" si="32">IF(E515&lt;=3,"Value",
 IF(E515&lt;=7,"Standard","Premium"))</f>
        <v>Value</v>
      </c>
      <c r="G515" s="3" cm="1">
        <f t="array" ref="G515">_xlfn.XLOOKUP(C515 &amp; F515,
         [1]unilever_price_limits!A:A &amp; [1]unilever_price_limits!B:B,
         [1]unilever_price_limits!C:C)</f>
        <v>15</v>
      </c>
      <c r="H515" s="8">
        <f t="shared" ref="H515:H578" si="33">D515 * (1 + G515/100)</f>
        <v>9.0619999999999994</v>
      </c>
      <c r="I515" s="6">
        <f t="shared" ref="I515:I578" si="34">(H515 / D515 - 1) * 100</f>
        <v>14.999999999999991</v>
      </c>
      <c r="J515" t="str">
        <f t="shared" ref="J515:J578" si="35">IF(I514&gt; G514, "⚠ Exceeds Limit", "OK")</f>
        <v>OK</v>
      </c>
    </row>
    <row r="516" spans="1:10" x14ac:dyDescent="0.2">
      <c r="A516">
        <v>10515</v>
      </c>
      <c r="B516" t="s">
        <v>10</v>
      </c>
      <c r="C516" t="s">
        <v>11</v>
      </c>
      <c r="D516" s="8">
        <v>4.03</v>
      </c>
      <c r="E516">
        <v>5</v>
      </c>
      <c r="F516" t="str">
        <f t="shared" si="32"/>
        <v>Standard</v>
      </c>
      <c r="G516" s="3" cm="1">
        <f t="array" ref="G516">_xlfn.XLOOKUP(C516 &amp; F516,
         [1]unilever_price_limits!A:A &amp; [1]unilever_price_limits!B:B,
         [1]unilever_price_limits!C:C)</f>
        <v>25</v>
      </c>
      <c r="H516" s="8">
        <f t="shared" si="33"/>
        <v>5.0375000000000005</v>
      </c>
      <c r="I516" s="6">
        <f t="shared" si="34"/>
        <v>25</v>
      </c>
      <c r="J516" t="str">
        <f t="shared" si="35"/>
        <v>OK</v>
      </c>
    </row>
    <row r="517" spans="1:10" x14ac:dyDescent="0.2">
      <c r="A517">
        <v>10516</v>
      </c>
      <c r="B517" t="s">
        <v>5</v>
      </c>
      <c r="C517" t="s">
        <v>9</v>
      </c>
      <c r="D517" s="8">
        <v>11.3</v>
      </c>
      <c r="E517">
        <v>6</v>
      </c>
      <c r="F517" t="str">
        <f t="shared" si="32"/>
        <v>Standard</v>
      </c>
      <c r="G517" s="3" cm="1">
        <f t="array" ref="G517">_xlfn.XLOOKUP(C517 &amp; F517,
         [1]unilever_price_limits!A:A &amp; [1]unilever_price_limits!B:B,
         [1]unilever_price_limits!C:C)</f>
        <v>30</v>
      </c>
      <c r="H517" s="8">
        <f t="shared" si="33"/>
        <v>14.690000000000001</v>
      </c>
      <c r="I517" s="6">
        <f t="shared" si="34"/>
        <v>30.000000000000004</v>
      </c>
      <c r="J517" t="str">
        <f t="shared" si="35"/>
        <v>OK</v>
      </c>
    </row>
    <row r="518" spans="1:10" x14ac:dyDescent="0.2">
      <c r="A518">
        <v>10517</v>
      </c>
      <c r="B518" t="s">
        <v>7</v>
      </c>
      <c r="C518" t="s">
        <v>9</v>
      </c>
      <c r="D518" s="8">
        <v>2.94</v>
      </c>
      <c r="E518">
        <v>2</v>
      </c>
      <c r="F518" t="str">
        <f t="shared" si="32"/>
        <v>Value</v>
      </c>
      <c r="G518" s="3" cm="1">
        <f t="array" ref="G518">_xlfn.XLOOKUP(C518 &amp; F518,
         [1]unilever_price_limits!A:A &amp; [1]unilever_price_limits!B:B,
         [1]unilever_price_limits!C:C)</f>
        <v>15</v>
      </c>
      <c r="H518" s="8">
        <f t="shared" si="33"/>
        <v>3.3809999999999998</v>
      </c>
      <c r="I518" s="6">
        <f t="shared" si="34"/>
        <v>14.999999999999991</v>
      </c>
      <c r="J518" t="str">
        <f t="shared" si="35"/>
        <v>OK</v>
      </c>
    </row>
    <row r="519" spans="1:10" x14ac:dyDescent="0.2">
      <c r="A519">
        <v>10518</v>
      </c>
      <c r="B519" t="s">
        <v>10</v>
      </c>
      <c r="C519" t="s">
        <v>9</v>
      </c>
      <c r="D519" s="8">
        <v>3.25</v>
      </c>
      <c r="E519">
        <v>3</v>
      </c>
      <c r="F519" t="str">
        <f t="shared" si="32"/>
        <v>Value</v>
      </c>
      <c r="G519" s="3" cm="1">
        <f t="array" ref="G519">_xlfn.XLOOKUP(C519 &amp; F519,
         [1]unilever_price_limits!A:A &amp; [1]unilever_price_limits!B:B,
         [1]unilever_price_limits!C:C)</f>
        <v>15</v>
      </c>
      <c r="H519" s="8">
        <f t="shared" si="33"/>
        <v>3.7374999999999998</v>
      </c>
      <c r="I519" s="6">
        <f t="shared" si="34"/>
        <v>14.999999999999991</v>
      </c>
      <c r="J519" t="str">
        <f t="shared" si="35"/>
        <v>OK</v>
      </c>
    </row>
    <row r="520" spans="1:10" x14ac:dyDescent="0.2">
      <c r="A520">
        <v>10519</v>
      </c>
      <c r="B520" t="s">
        <v>7</v>
      </c>
      <c r="C520" t="s">
        <v>6</v>
      </c>
      <c r="D520" s="8">
        <v>7.18</v>
      </c>
      <c r="E520">
        <v>6</v>
      </c>
      <c r="F520" t="str">
        <f t="shared" si="32"/>
        <v>Standard</v>
      </c>
      <c r="G520" s="3" cm="1">
        <f t="array" ref="G520">_xlfn.XLOOKUP(C520 &amp; F520,
         [1]unilever_price_limits!A:A &amp; [1]unilever_price_limits!B:B,
         [1]unilever_price_limits!C:C)</f>
        <v>28</v>
      </c>
      <c r="H520" s="8">
        <f t="shared" si="33"/>
        <v>9.1904000000000003</v>
      </c>
      <c r="I520" s="6">
        <f t="shared" si="34"/>
        <v>28.000000000000004</v>
      </c>
      <c r="J520" t="str">
        <f t="shared" si="35"/>
        <v>OK</v>
      </c>
    </row>
    <row r="521" spans="1:10" x14ac:dyDescent="0.2">
      <c r="A521">
        <v>10520</v>
      </c>
      <c r="B521" t="s">
        <v>10</v>
      </c>
      <c r="C521" t="s">
        <v>11</v>
      </c>
      <c r="D521" s="8">
        <v>4.6500000000000004</v>
      </c>
      <c r="E521">
        <v>3</v>
      </c>
      <c r="F521" t="str">
        <f t="shared" si="32"/>
        <v>Value</v>
      </c>
      <c r="G521" s="3" cm="1">
        <f t="array" ref="G521">_xlfn.XLOOKUP(C521 &amp; F521,
         [1]unilever_price_limits!A:A &amp; [1]unilever_price_limits!B:B,
         [1]unilever_price_limits!C:C)</f>
        <v>10</v>
      </c>
      <c r="H521" s="8">
        <f t="shared" si="33"/>
        <v>5.1150000000000011</v>
      </c>
      <c r="I521" s="6">
        <f t="shared" si="34"/>
        <v>10.000000000000009</v>
      </c>
      <c r="J521" t="str">
        <f t="shared" si="35"/>
        <v>OK</v>
      </c>
    </row>
    <row r="522" spans="1:10" x14ac:dyDescent="0.2">
      <c r="A522">
        <v>10521</v>
      </c>
      <c r="B522" t="s">
        <v>7</v>
      </c>
      <c r="C522" t="s">
        <v>9</v>
      </c>
      <c r="D522" s="8">
        <v>4.09</v>
      </c>
      <c r="E522">
        <v>5</v>
      </c>
      <c r="F522" t="str">
        <f t="shared" si="32"/>
        <v>Standard</v>
      </c>
      <c r="G522" s="3" cm="1">
        <f t="array" ref="G522">_xlfn.XLOOKUP(C522 &amp; F522,
         [1]unilever_price_limits!A:A &amp; [1]unilever_price_limits!B:B,
         [1]unilever_price_limits!C:C)</f>
        <v>30</v>
      </c>
      <c r="H522" s="8">
        <f t="shared" si="33"/>
        <v>5.3170000000000002</v>
      </c>
      <c r="I522" s="6">
        <f t="shared" si="34"/>
        <v>30.000000000000004</v>
      </c>
      <c r="J522" t="str">
        <f t="shared" si="35"/>
        <v>OK</v>
      </c>
    </row>
    <row r="523" spans="1:10" x14ac:dyDescent="0.2">
      <c r="A523">
        <v>10522</v>
      </c>
      <c r="B523" t="s">
        <v>5</v>
      </c>
      <c r="C523" t="s">
        <v>11</v>
      </c>
      <c r="D523" s="8">
        <v>9.86</v>
      </c>
      <c r="E523">
        <v>9</v>
      </c>
      <c r="F523" t="str">
        <f t="shared" si="32"/>
        <v>Premium</v>
      </c>
      <c r="G523" s="3" cm="1">
        <f t="array" ref="G523">_xlfn.XLOOKUP(C523 &amp; F523,
         [1]unilever_price_limits!A:A &amp; [1]unilever_price_limits!B:B,
         [1]unilever_price_limits!C:C)</f>
        <v>50</v>
      </c>
      <c r="H523" s="8">
        <f t="shared" si="33"/>
        <v>14.79</v>
      </c>
      <c r="I523" s="6">
        <f t="shared" si="34"/>
        <v>50</v>
      </c>
      <c r="J523" t="str">
        <f t="shared" si="35"/>
        <v>OK</v>
      </c>
    </row>
    <row r="524" spans="1:10" x14ac:dyDescent="0.2">
      <c r="A524">
        <v>10523</v>
      </c>
      <c r="B524" t="s">
        <v>10</v>
      </c>
      <c r="C524" t="s">
        <v>9</v>
      </c>
      <c r="D524" s="8">
        <v>9.94</v>
      </c>
      <c r="E524">
        <v>3</v>
      </c>
      <c r="F524" t="str">
        <f t="shared" si="32"/>
        <v>Value</v>
      </c>
      <c r="G524" s="3" cm="1">
        <f t="array" ref="G524">_xlfn.XLOOKUP(C524 &amp; F524,
         [1]unilever_price_limits!A:A &amp; [1]unilever_price_limits!B:B,
         [1]unilever_price_limits!C:C)</f>
        <v>15</v>
      </c>
      <c r="H524" s="8">
        <f t="shared" si="33"/>
        <v>11.430999999999999</v>
      </c>
      <c r="I524" s="6">
        <f t="shared" si="34"/>
        <v>14.999999999999991</v>
      </c>
      <c r="J524" t="str">
        <f t="shared" si="35"/>
        <v>OK</v>
      </c>
    </row>
    <row r="525" spans="1:10" x14ac:dyDescent="0.2">
      <c r="A525">
        <v>10524</v>
      </c>
      <c r="B525" t="s">
        <v>5</v>
      </c>
      <c r="C525" t="s">
        <v>11</v>
      </c>
      <c r="D525" s="8">
        <v>12.46</v>
      </c>
      <c r="E525">
        <v>6</v>
      </c>
      <c r="F525" t="str">
        <f t="shared" si="32"/>
        <v>Standard</v>
      </c>
      <c r="G525" s="3" cm="1">
        <f t="array" ref="G525">_xlfn.XLOOKUP(C525 &amp; F525,
         [1]unilever_price_limits!A:A &amp; [1]unilever_price_limits!B:B,
         [1]unilever_price_limits!C:C)</f>
        <v>25</v>
      </c>
      <c r="H525" s="8">
        <f t="shared" si="33"/>
        <v>15.575000000000001</v>
      </c>
      <c r="I525" s="6">
        <f t="shared" si="34"/>
        <v>25</v>
      </c>
      <c r="J525" t="str">
        <f t="shared" si="35"/>
        <v>OK</v>
      </c>
    </row>
    <row r="526" spans="1:10" x14ac:dyDescent="0.2">
      <c r="A526">
        <v>10525</v>
      </c>
      <c r="B526" t="s">
        <v>10</v>
      </c>
      <c r="C526" t="s">
        <v>11</v>
      </c>
      <c r="D526" s="8">
        <v>6.56</v>
      </c>
      <c r="E526">
        <v>5</v>
      </c>
      <c r="F526" t="str">
        <f t="shared" si="32"/>
        <v>Standard</v>
      </c>
      <c r="G526" s="3" cm="1">
        <f t="array" ref="G526">_xlfn.XLOOKUP(C526 &amp; F526,
         [1]unilever_price_limits!A:A &amp; [1]unilever_price_limits!B:B,
         [1]unilever_price_limits!C:C)</f>
        <v>25</v>
      </c>
      <c r="H526" s="8">
        <f t="shared" si="33"/>
        <v>8.1999999999999993</v>
      </c>
      <c r="I526" s="6">
        <f t="shared" si="34"/>
        <v>25</v>
      </c>
      <c r="J526" t="str">
        <f t="shared" si="35"/>
        <v>OK</v>
      </c>
    </row>
    <row r="527" spans="1:10" x14ac:dyDescent="0.2">
      <c r="A527">
        <v>10526</v>
      </c>
      <c r="B527" t="s">
        <v>5</v>
      </c>
      <c r="C527" t="s">
        <v>9</v>
      </c>
      <c r="D527" s="8">
        <v>1.56</v>
      </c>
      <c r="E527">
        <v>5</v>
      </c>
      <c r="F527" t="str">
        <f t="shared" si="32"/>
        <v>Standard</v>
      </c>
      <c r="G527" s="3" cm="1">
        <f t="array" ref="G527">_xlfn.XLOOKUP(C527 &amp; F527,
         [1]unilever_price_limits!A:A &amp; [1]unilever_price_limits!B:B,
         [1]unilever_price_limits!C:C)</f>
        <v>30</v>
      </c>
      <c r="H527" s="8">
        <f t="shared" si="33"/>
        <v>2.028</v>
      </c>
      <c r="I527" s="6">
        <f t="shared" si="34"/>
        <v>30.000000000000004</v>
      </c>
      <c r="J527" t="str">
        <f t="shared" si="35"/>
        <v>OK</v>
      </c>
    </row>
    <row r="528" spans="1:10" x14ac:dyDescent="0.2">
      <c r="A528">
        <v>10527</v>
      </c>
      <c r="B528" t="s">
        <v>5</v>
      </c>
      <c r="C528" t="s">
        <v>6</v>
      </c>
      <c r="D528" s="8">
        <v>4.47</v>
      </c>
      <c r="E528">
        <v>6</v>
      </c>
      <c r="F528" t="str">
        <f t="shared" si="32"/>
        <v>Standard</v>
      </c>
      <c r="G528" s="3" cm="1">
        <f t="array" ref="G528">_xlfn.XLOOKUP(C528 &amp; F528,
         [1]unilever_price_limits!A:A &amp; [1]unilever_price_limits!B:B,
         [1]unilever_price_limits!C:C)</f>
        <v>28</v>
      </c>
      <c r="H528" s="8">
        <f t="shared" si="33"/>
        <v>5.7215999999999996</v>
      </c>
      <c r="I528" s="6">
        <f t="shared" si="34"/>
        <v>28.000000000000004</v>
      </c>
      <c r="J528" t="str">
        <f t="shared" si="35"/>
        <v>OK</v>
      </c>
    </row>
    <row r="529" spans="1:10" x14ac:dyDescent="0.2">
      <c r="A529">
        <v>10528</v>
      </c>
      <c r="B529" t="s">
        <v>10</v>
      </c>
      <c r="C529" t="s">
        <v>11</v>
      </c>
      <c r="D529" s="8">
        <v>14.71</v>
      </c>
      <c r="E529">
        <v>6</v>
      </c>
      <c r="F529" t="str">
        <f t="shared" si="32"/>
        <v>Standard</v>
      </c>
      <c r="G529" s="3" cm="1">
        <f t="array" ref="G529">_xlfn.XLOOKUP(C529 &amp; F529,
         [1]unilever_price_limits!A:A &amp; [1]unilever_price_limits!B:B,
         [1]unilever_price_limits!C:C)</f>
        <v>25</v>
      </c>
      <c r="H529" s="8">
        <f t="shared" si="33"/>
        <v>18.387500000000003</v>
      </c>
      <c r="I529" s="6">
        <f t="shared" si="34"/>
        <v>25.000000000000021</v>
      </c>
      <c r="J529" t="str">
        <f t="shared" si="35"/>
        <v>OK</v>
      </c>
    </row>
    <row r="530" spans="1:10" x14ac:dyDescent="0.2">
      <c r="A530">
        <v>10529</v>
      </c>
      <c r="B530" t="s">
        <v>10</v>
      </c>
      <c r="C530" t="s">
        <v>6</v>
      </c>
      <c r="D530" s="8">
        <v>9.15</v>
      </c>
      <c r="E530">
        <v>1</v>
      </c>
      <c r="F530" t="str">
        <f t="shared" si="32"/>
        <v>Value</v>
      </c>
      <c r="G530" s="3" cm="1">
        <f t="array" ref="G530">_xlfn.XLOOKUP(C530 &amp; F530,
         [1]unilever_price_limits!A:A &amp; [1]unilever_price_limits!B:B,
         [1]unilever_price_limits!C:C)</f>
        <v>12</v>
      </c>
      <c r="H530" s="8">
        <f t="shared" si="33"/>
        <v>10.248000000000001</v>
      </c>
      <c r="I530" s="6">
        <f t="shared" si="34"/>
        <v>12.000000000000011</v>
      </c>
      <c r="J530" t="str">
        <f t="shared" si="35"/>
        <v>OK</v>
      </c>
    </row>
    <row r="531" spans="1:10" x14ac:dyDescent="0.2">
      <c r="A531">
        <v>10530</v>
      </c>
      <c r="B531" t="s">
        <v>10</v>
      </c>
      <c r="C531" t="s">
        <v>6</v>
      </c>
      <c r="D531" s="8">
        <v>10.79</v>
      </c>
      <c r="E531">
        <v>9</v>
      </c>
      <c r="F531" t="str">
        <f t="shared" si="32"/>
        <v>Premium</v>
      </c>
      <c r="G531" s="3" cm="1">
        <f t="array" ref="G531">_xlfn.XLOOKUP(C531 &amp; F531,
         [1]unilever_price_limits!A:A &amp; [1]unilever_price_limits!B:B,
         [1]unilever_price_limits!C:C)</f>
        <v>55</v>
      </c>
      <c r="H531" s="8">
        <f t="shared" si="33"/>
        <v>16.724499999999999</v>
      </c>
      <c r="I531" s="6">
        <f t="shared" si="34"/>
        <v>55.000000000000007</v>
      </c>
      <c r="J531" t="str">
        <f t="shared" si="35"/>
        <v>OK</v>
      </c>
    </row>
    <row r="532" spans="1:10" x14ac:dyDescent="0.2">
      <c r="A532">
        <v>10531</v>
      </c>
      <c r="B532" t="s">
        <v>8</v>
      </c>
      <c r="C532" t="s">
        <v>9</v>
      </c>
      <c r="D532" s="8">
        <v>0.61</v>
      </c>
      <c r="E532">
        <v>5</v>
      </c>
      <c r="F532" t="str">
        <f t="shared" si="32"/>
        <v>Standard</v>
      </c>
      <c r="G532" s="3" cm="1">
        <f t="array" ref="G532">_xlfn.XLOOKUP(C532 &amp; F532,
         [1]unilever_price_limits!A:A &amp; [1]unilever_price_limits!B:B,
         [1]unilever_price_limits!C:C)</f>
        <v>30</v>
      </c>
      <c r="H532" s="8">
        <f t="shared" si="33"/>
        <v>0.79300000000000004</v>
      </c>
      <c r="I532" s="6">
        <f t="shared" si="34"/>
        <v>30.000000000000004</v>
      </c>
      <c r="J532" t="str">
        <f t="shared" si="35"/>
        <v>OK</v>
      </c>
    </row>
    <row r="533" spans="1:10" x14ac:dyDescent="0.2">
      <c r="A533">
        <v>10532</v>
      </c>
      <c r="B533" t="s">
        <v>7</v>
      </c>
      <c r="C533" t="s">
        <v>9</v>
      </c>
      <c r="D533" s="8">
        <v>8.01</v>
      </c>
      <c r="E533">
        <v>1</v>
      </c>
      <c r="F533" t="str">
        <f t="shared" si="32"/>
        <v>Value</v>
      </c>
      <c r="G533" s="3" cm="1">
        <f t="array" ref="G533">_xlfn.XLOOKUP(C533 &amp; F533,
         [1]unilever_price_limits!A:A &amp; [1]unilever_price_limits!B:B,
         [1]unilever_price_limits!C:C)</f>
        <v>15</v>
      </c>
      <c r="H533" s="8">
        <f t="shared" si="33"/>
        <v>9.2114999999999991</v>
      </c>
      <c r="I533" s="6">
        <f t="shared" si="34"/>
        <v>14.999999999999991</v>
      </c>
      <c r="J533" t="str">
        <f t="shared" si="35"/>
        <v>OK</v>
      </c>
    </row>
    <row r="534" spans="1:10" x14ac:dyDescent="0.2">
      <c r="A534">
        <v>10533</v>
      </c>
      <c r="B534" t="s">
        <v>8</v>
      </c>
      <c r="C534" t="s">
        <v>9</v>
      </c>
      <c r="D534" s="8">
        <v>1.04</v>
      </c>
      <c r="E534">
        <v>8</v>
      </c>
      <c r="F534" t="str">
        <f t="shared" si="32"/>
        <v>Premium</v>
      </c>
      <c r="G534" s="3" cm="1">
        <f t="array" ref="G534">_xlfn.XLOOKUP(C534 &amp; F534,
         [1]unilever_price_limits!A:A &amp; [1]unilever_price_limits!B:B,
         [1]unilever_price_limits!C:C)</f>
        <v>60</v>
      </c>
      <c r="H534" s="8">
        <f t="shared" si="33"/>
        <v>1.6640000000000001</v>
      </c>
      <c r="I534" s="6">
        <f t="shared" si="34"/>
        <v>60.000000000000007</v>
      </c>
      <c r="J534" t="str">
        <f t="shared" si="35"/>
        <v>OK</v>
      </c>
    </row>
    <row r="535" spans="1:10" x14ac:dyDescent="0.2">
      <c r="A535">
        <v>10534</v>
      </c>
      <c r="B535" t="s">
        <v>8</v>
      </c>
      <c r="C535" t="s">
        <v>11</v>
      </c>
      <c r="D535" s="8">
        <v>8.75</v>
      </c>
      <c r="E535">
        <v>7</v>
      </c>
      <c r="F535" t="str">
        <f t="shared" si="32"/>
        <v>Standard</v>
      </c>
      <c r="G535" s="3" cm="1">
        <f t="array" ref="G535">_xlfn.XLOOKUP(C535 &amp; F535,
         [1]unilever_price_limits!A:A &amp; [1]unilever_price_limits!B:B,
         [1]unilever_price_limits!C:C)</f>
        <v>25</v>
      </c>
      <c r="H535" s="8">
        <f t="shared" si="33"/>
        <v>10.9375</v>
      </c>
      <c r="I535" s="6">
        <f t="shared" si="34"/>
        <v>25</v>
      </c>
      <c r="J535" t="str">
        <f t="shared" si="35"/>
        <v>OK</v>
      </c>
    </row>
    <row r="536" spans="1:10" x14ac:dyDescent="0.2">
      <c r="A536">
        <v>10535</v>
      </c>
      <c r="B536" t="s">
        <v>5</v>
      </c>
      <c r="C536" t="s">
        <v>9</v>
      </c>
      <c r="D536" s="8">
        <v>13.85</v>
      </c>
      <c r="E536">
        <v>7</v>
      </c>
      <c r="F536" t="str">
        <f t="shared" si="32"/>
        <v>Standard</v>
      </c>
      <c r="G536" s="3" cm="1">
        <f t="array" ref="G536">_xlfn.XLOOKUP(C536 &amp; F536,
         [1]unilever_price_limits!A:A &amp; [1]unilever_price_limits!B:B,
         [1]unilever_price_limits!C:C)</f>
        <v>30</v>
      </c>
      <c r="H536" s="8">
        <f t="shared" si="33"/>
        <v>18.004999999999999</v>
      </c>
      <c r="I536" s="6">
        <f t="shared" si="34"/>
        <v>30.000000000000004</v>
      </c>
      <c r="J536" t="str">
        <f t="shared" si="35"/>
        <v>OK</v>
      </c>
    </row>
    <row r="537" spans="1:10" x14ac:dyDescent="0.2">
      <c r="A537">
        <v>10536</v>
      </c>
      <c r="B537" t="s">
        <v>10</v>
      </c>
      <c r="C537" t="s">
        <v>9</v>
      </c>
      <c r="D537" s="8">
        <v>14.54</v>
      </c>
      <c r="E537">
        <v>5</v>
      </c>
      <c r="F537" t="str">
        <f t="shared" si="32"/>
        <v>Standard</v>
      </c>
      <c r="G537" s="3" cm="1">
        <f t="array" ref="G537">_xlfn.XLOOKUP(C537 &amp; F537,
         [1]unilever_price_limits!A:A &amp; [1]unilever_price_limits!B:B,
         [1]unilever_price_limits!C:C)</f>
        <v>30</v>
      </c>
      <c r="H537" s="8">
        <f t="shared" si="33"/>
        <v>18.902000000000001</v>
      </c>
      <c r="I537" s="6">
        <f t="shared" si="34"/>
        <v>30.000000000000004</v>
      </c>
      <c r="J537" t="str">
        <f t="shared" si="35"/>
        <v>OK</v>
      </c>
    </row>
    <row r="538" spans="1:10" x14ac:dyDescent="0.2">
      <c r="A538">
        <v>10537</v>
      </c>
      <c r="B538" t="s">
        <v>7</v>
      </c>
      <c r="C538" t="s">
        <v>11</v>
      </c>
      <c r="D538" s="8">
        <v>8.34</v>
      </c>
      <c r="E538">
        <v>1</v>
      </c>
      <c r="F538" t="str">
        <f t="shared" si="32"/>
        <v>Value</v>
      </c>
      <c r="G538" s="3" cm="1">
        <f t="array" ref="G538">_xlfn.XLOOKUP(C538 &amp; F538,
         [1]unilever_price_limits!A:A &amp; [1]unilever_price_limits!B:B,
         [1]unilever_price_limits!C:C)</f>
        <v>10</v>
      </c>
      <c r="H538" s="8">
        <f t="shared" si="33"/>
        <v>9.1740000000000013</v>
      </c>
      <c r="I538" s="6">
        <f t="shared" si="34"/>
        <v>10.000000000000009</v>
      </c>
      <c r="J538" t="str">
        <f t="shared" si="35"/>
        <v>OK</v>
      </c>
    </row>
    <row r="539" spans="1:10" x14ac:dyDescent="0.2">
      <c r="A539">
        <v>10538</v>
      </c>
      <c r="B539" t="s">
        <v>5</v>
      </c>
      <c r="C539" t="s">
        <v>11</v>
      </c>
      <c r="D539" s="8">
        <v>7.14</v>
      </c>
      <c r="E539">
        <v>9</v>
      </c>
      <c r="F539" t="str">
        <f t="shared" si="32"/>
        <v>Premium</v>
      </c>
      <c r="G539" s="3" cm="1">
        <f t="array" ref="G539">_xlfn.XLOOKUP(C539 &amp; F539,
         [1]unilever_price_limits!A:A &amp; [1]unilever_price_limits!B:B,
         [1]unilever_price_limits!C:C)</f>
        <v>50</v>
      </c>
      <c r="H539" s="8">
        <f t="shared" si="33"/>
        <v>10.709999999999999</v>
      </c>
      <c r="I539" s="6">
        <f t="shared" si="34"/>
        <v>50</v>
      </c>
      <c r="J539" t="str">
        <f t="shared" si="35"/>
        <v>OK</v>
      </c>
    </row>
    <row r="540" spans="1:10" x14ac:dyDescent="0.2">
      <c r="A540">
        <v>10539</v>
      </c>
      <c r="B540" t="s">
        <v>8</v>
      </c>
      <c r="C540" t="s">
        <v>9</v>
      </c>
      <c r="D540" s="8">
        <v>14.2</v>
      </c>
      <c r="E540">
        <v>9</v>
      </c>
      <c r="F540" t="str">
        <f t="shared" si="32"/>
        <v>Premium</v>
      </c>
      <c r="G540" s="3" cm="1">
        <f t="array" ref="G540">_xlfn.XLOOKUP(C540 &amp; F540,
         [1]unilever_price_limits!A:A &amp; [1]unilever_price_limits!B:B,
         [1]unilever_price_limits!C:C)</f>
        <v>60</v>
      </c>
      <c r="H540" s="8">
        <f t="shared" si="33"/>
        <v>22.72</v>
      </c>
      <c r="I540" s="6">
        <f t="shared" si="34"/>
        <v>60.000000000000007</v>
      </c>
      <c r="J540" t="str">
        <f t="shared" si="35"/>
        <v>OK</v>
      </c>
    </row>
    <row r="541" spans="1:10" x14ac:dyDescent="0.2">
      <c r="A541">
        <v>10540</v>
      </c>
      <c r="B541" t="s">
        <v>10</v>
      </c>
      <c r="C541" t="s">
        <v>9</v>
      </c>
      <c r="D541" s="8">
        <v>10.27</v>
      </c>
      <c r="E541">
        <v>8</v>
      </c>
      <c r="F541" t="str">
        <f t="shared" si="32"/>
        <v>Premium</v>
      </c>
      <c r="G541" s="3" cm="1">
        <f t="array" ref="G541">_xlfn.XLOOKUP(C541 &amp; F541,
         [1]unilever_price_limits!A:A &amp; [1]unilever_price_limits!B:B,
         [1]unilever_price_limits!C:C)</f>
        <v>60</v>
      </c>
      <c r="H541" s="8">
        <f t="shared" si="33"/>
        <v>16.431999999999999</v>
      </c>
      <c r="I541" s="6">
        <f t="shared" si="34"/>
        <v>59.999999999999986</v>
      </c>
      <c r="J541" t="str">
        <f t="shared" si="35"/>
        <v>OK</v>
      </c>
    </row>
    <row r="542" spans="1:10" x14ac:dyDescent="0.2">
      <c r="A542">
        <v>10541</v>
      </c>
      <c r="B542" t="s">
        <v>5</v>
      </c>
      <c r="C542" t="s">
        <v>9</v>
      </c>
      <c r="D542" s="8">
        <v>1.44</v>
      </c>
      <c r="E542">
        <v>5</v>
      </c>
      <c r="F542" t="str">
        <f t="shared" si="32"/>
        <v>Standard</v>
      </c>
      <c r="G542" s="3" cm="1">
        <f t="array" ref="G542">_xlfn.XLOOKUP(C542 &amp; F542,
         [1]unilever_price_limits!A:A &amp; [1]unilever_price_limits!B:B,
         [1]unilever_price_limits!C:C)</f>
        <v>30</v>
      </c>
      <c r="H542" s="8">
        <f t="shared" si="33"/>
        <v>1.8719999999999999</v>
      </c>
      <c r="I542" s="6">
        <f t="shared" si="34"/>
        <v>30.000000000000004</v>
      </c>
      <c r="J542" t="str">
        <f t="shared" si="35"/>
        <v>OK</v>
      </c>
    </row>
    <row r="543" spans="1:10" x14ac:dyDescent="0.2">
      <c r="A543">
        <v>10542</v>
      </c>
      <c r="B543" t="s">
        <v>10</v>
      </c>
      <c r="C543" t="s">
        <v>9</v>
      </c>
      <c r="D543" s="8">
        <v>7.25</v>
      </c>
      <c r="E543">
        <v>3</v>
      </c>
      <c r="F543" t="str">
        <f t="shared" si="32"/>
        <v>Value</v>
      </c>
      <c r="G543" s="3" cm="1">
        <f t="array" ref="G543">_xlfn.XLOOKUP(C543 &amp; F543,
         [1]unilever_price_limits!A:A &amp; [1]unilever_price_limits!B:B,
         [1]unilever_price_limits!C:C)</f>
        <v>15</v>
      </c>
      <c r="H543" s="8">
        <f t="shared" si="33"/>
        <v>8.3374999999999986</v>
      </c>
      <c r="I543" s="6">
        <f t="shared" si="34"/>
        <v>14.999999999999991</v>
      </c>
      <c r="J543" t="str">
        <f t="shared" si="35"/>
        <v>OK</v>
      </c>
    </row>
    <row r="544" spans="1:10" x14ac:dyDescent="0.2">
      <c r="A544">
        <v>10543</v>
      </c>
      <c r="B544" t="s">
        <v>5</v>
      </c>
      <c r="C544" t="s">
        <v>6</v>
      </c>
      <c r="D544" s="8">
        <v>3.98</v>
      </c>
      <c r="E544">
        <v>8</v>
      </c>
      <c r="F544" t="str">
        <f t="shared" si="32"/>
        <v>Premium</v>
      </c>
      <c r="G544" s="3" cm="1">
        <f t="array" ref="G544">_xlfn.XLOOKUP(C544 &amp; F544,
         [1]unilever_price_limits!A:A &amp; [1]unilever_price_limits!B:B,
         [1]unilever_price_limits!C:C)</f>
        <v>55</v>
      </c>
      <c r="H544" s="8">
        <f t="shared" si="33"/>
        <v>6.1690000000000005</v>
      </c>
      <c r="I544" s="6">
        <f t="shared" si="34"/>
        <v>55.000000000000007</v>
      </c>
      <c r="J544" t="str">
        <f t="shared" si="35"/>
        <v>OK</v>
      </c>
    </row>
    <row r="545" spans="1:10" x14ac:dyDescent="0.2">
      <c r="A545">
        <v>10544</v>
      </c>
      <c r="B545" t="s">
        <v>10</v>
      </c>
      <c r="C545" t="s">
        <v>6</v>
      </c>
      <c r="D545" s="8">
        <v>7.31</v>
      </c>
      <c r="E545">
        <v>1</v>
      </c>
      <c r="F545" t="str">
        <f t="shared" si="32"/>
        <v>Value</v>
      </c>
      <c r="G545" s="3" cm="1">
        <f t="array" ref="G545">_xlfn.XLOOKUP(C545 &amp; F545,
         [1]unilever_price_limits!A:A &amp; [1]unilever_price_limits!B:B,
         [1]unilever_price_limits!C:C)</f>
        <v>12</v>
      </c>
      <c r="H545" s="8">
        <f t="shared" si="33"/>
        <v>8.1872000000000007</v>
      </c>
      <c r="I545" s="6">
        <f t="shared" si="34"/>
        <v>12.000000000000011</v>
      </c>
      <c r="J545" t="str">
        <f t="shared" si="35"/>
        <v>OK</v>
      </c>
    </row>
    <row r="546" spans="1:10" x14ac:dyDescent="0.2">
      <c r="A546">
        <v>10545</v>
      </c>
      <c r="B546" t="s">
        <v>8</v>
      </c>
      <c r="C546" t="s">
        <v>9</v>
      </c>
      <c r="D546" s="8">
        <v>7.1</v>
      </c>
      <c r="E546">
        <v>3</v>
      </c>
      <c r="F546" t="str">
        <f t="shared" si="32"/>
        <v>Value</v>
      </c>
      <c r="G546" s="3" cm="1">
        <f t="array" ref="G546">_xlfn.XLOOKUP(C546 &amp; F546,
         [1]unilever_price_limits!A:A &amp; [1]unilever_price_limits!B:B,
         [1]unilever_price_limits!C:C)</f>
        <v>15</v>
      </c>
      <c r="H546" s="8">
        <f t="shared" si="33"/>
        <v>8.1649999999999991</v>
      </c>
      <c r="I546" s="6">
        <f t="shared" si="34"/>
        <v>14.999999999999991</v>
      </c>
      <c r="J546" t="str">
        <f t="shared" si="35"/>
        <v>OK</v>
      </c>
    </row>
    <row r="547" spans="1:10" x14ac:dyDescent="0.2">
      <c r="A547">
        <v>10546</v>
      </c>
      <c r="B547" t="s">
        <v>7</v>
      </c>
      <c r="C547" t="s">
        <v>6</v>
      </c>
      <c r="D547" s="8">
        <v>8.94</v>
      </c>
      <c r="E547">
        <v>7</v>
      </c>
      <c r="F547" t="str">
        <f t="shared" si="32"/>
        <v>Standard</v>
      </c>
      <c r="G547" s="3" cm="1">
        <f t="array" ref="G547">_xlfn.XLOOKUP(C547 &amp; F547,
         [1]unilever_price_limits!A:A &amp; [1]unilever_price_limits!B:B,
         [1]unilever_price_limits!C:C)</f>
        <v>28</v>
      </c>
      <c r="H547" s="8">
        <f t="shared" si="33"/>
        <v>11.443199999999999</v>
      </c>
      <c r="I547" s="6">
        <f t="shared" si="34"/>
        <v>28.000000000000004</v>
      </c>
      <c r="J547" t="str">
        <f t="shared" si="35"/>
        <v>OK</v>
      </c>
    </row>
    <row r="548" spans="1:10" x14ac:dyDescent="0.2">
      <c r="A548">
        <v>10547</v>
      </c>
      <c r="B548" t="s">
        <v>8</v>
      </c>
      <c r="C548" t="s">
        <v>11</v>
      </c>
      <c r="D548" s="8">
        <v>5.67</v>
      </c>
      <c r="E548">
        <v>4</v>
      </c>
      <c r="F548" t="str">
        <f t="shared" si="32"/>
        <v>Standard</v>
      </c>
      <c r="G548" s="3" cm="1">
        <f t="array" ref="G548">_xlfn.XLOOKUP(C548 &amp; F548,
         [1]unilever_price_limits!A:A &amp; [1]unilever_price_limits!B:B,
         [1]unilever_price_limits!C:C)</f>
        <v>25</v>
      </c>
      <c r="H548" s="8">
        <f t="shared" si="33"/>
        <v>7.0875000000000004</v>
      </c>
      <c r="I548" s="6">
        <f t="shared" si="34"/>
        <v>25</v>
      </c>
      <c r="J548" t="str">
        <f t="shared" si="35"/>
        <v>OK</v>
      </c>
    </row>
    <row r="549" spans="1:10" x14ac:dyDescent="0.2">
      <c r="A549">
        <v>10548</v>
      </c>
      <c r="B549" t="s">
        <v>7</v>
      </c>
      <c r="C549" t="s">
        <v>6</v>
      </c>
      <c r="D549" s="8">
        <v>2.88</v>
      </c>
      <c r="E549">
        <v>7</v>
      </c>
      <c r="F549" t="str">
        <f t="shared" si="32"/>
        <v>Standard</v>
      </c>
      <c r="G549" s="3" cm="1">
        <f t="array" ref="G549">_xlfn.XLOOKUP(C549 &amp; F549,
         [1]unilever_price_limits!A:A &amp; [1]unilever_price_limits!B:B,
         [1]unilever_price_limits!C:C)</f>
        <v>28</v>
      </c>
      <c r="H549" s="8">
        <f t="shared" si="33"/>
        <v>3.6863999999999999</v>
      </c>
      <c r="I549" s="6">
        <f t="shared" si="34"/>
        <v>28.000000000000004</v>
      </c>
      <c r="J549" t="str">
        <f t="shared" si="35"/>
        <v>OK</v>
      </c>
    </row>
    <row r="550" spans="1:10" x14ac:dyDescent="0.2">
      <c r="A550">
        <v>10549</v>
      </c>
      <c r="B550" t="s">
        <v>10</v>
      </c>
      <c r="C550" t="s">
        <v>6</v>
      </c>
      <c r="D550" s="8">
        <v>7.8</v>
      </c>
      <c r="E550">
        <v>5</v>
      </c>
      <c r="F550" t="str">
        <f t="shared" si="32"/>
        <v>Standard</v>
      </c>
      <c r="G550" s="3" cm="1">
        <f t="array" ref="G550">_xlfn.XLOOKUP(C550 &amp; F550,
         [1]unilever_price_limits!A:A &amp; [1]unilever_price_limits!B:B,
         [1]unilever_price_limits!C:C)</f>
        <v>28</v>
      </c>
      <c r="H550" s="8">
        <f t="shared" si="33"/>
        <v>9.984</v>
      </c>
      <c r="I550" s="6">
        <f t="shared" si="34"/>
        <v>28.000000000000004</v>
      </c>
      <c r="J550" t="str">
        <f t="shared" si="35"/>
        <v>OK</v>
      </c>
    </row>
    <row r="551" spans="1:10" x14ac:dyDescent="0.2">
      <c r="A551">
        <v>10550</v>
      </c>
      <c r="B551" t="s">
        <v>5</v>
      </c>
      <c r="C551" t="s">
        <v>9</v>
      </c>
      <c r="D551" s="8">
        <v>12.54</v>
      </c>
      <c r="E551">
        <v>6</v>
      </c>
      <c r="F551" t="str">
        <f t="shared" si="32"/>
        <v>Standard</v>
      </c>
      <c r="G551" s="3" cm="1">
        <f t="array" ref="G551">_xlfn.XLOOKUP(C551 &amp; F551,
         [1]unilever_price_limits!A:A &amp; [1]unilever_price_limits!B:B,
         [1]unilever_price_limits!C:C)</f>
        <v>30</v>
      </c>
      <c r="H551" s="8">
        <f t="shared" si="33"/>
        <v>16.302</v>
      </c>
      <c r="I551" s="6">
        <f t="shared" si="34"/>
        <v>30.000000000000004</v>
      </c>
      <c r="J551" t="str">
        <f t="shared" si="35"/>
        <v>OK</v>
      </c>
    </row>
    <row r="552" spans="1:10" x14ac:dyDescent="0.2">
      <c r="A552">
        <v>10551</v>
      </c>
      <c r="B552" t="s">
        <v>8</v>
      </c>
      <c r="C552" t="s">
        <v>6</v>
      </c>
      <c r="D552" s="8">
        <v>10.130000000000001</v>
      </c>
      <c r="E552">
        <v>7</v>
      </c>
      <c r="F552" t="str">
        <f t="shared" si="32"/>
        <v>Standard</v>
      </c>
      <c r="G552" s="3" cm="1">
        <f t="array" ref="G552">_xlfn.XLOOKUP(C552 &amp; F552,
         [1]unilever_price_limits!A:A &amp; [1]unilever_price_limits!B:B,
         [1]unilever_price_limits!C:C)</f>
        <v>28</v>
      </c>
      <c r="H552" s="8">
        <f t="shared" si="33"/>
        <v>12.966400000000002</v>
      </c>
      <c r="I552" s="6">
        <f t="shared" si="34"/>
        <v>28.000000000000004</v>
      </c>
      <c r="J552" t="str">
        <f t="shared" si="35"/>
        <v>OK</v>
      </c>
    </row>
    <row r="553" spans="1:10" x14ac:dyDescent="0.2">
      <c r="A553">
        <v>10552</v>
      </c>
      <c r="B553" t="s">
        <v>7</v>
      </c>
      <c r="C553" t="s">
        <v>6</v>
      </c>
      <c r="D553" s="8">
        <v>5.41</v>
      </c>
      <c r="E553">
        <v>10</v>
      </c>
      <c r="F553" t="str">
        <f t="shared" si="32"/>
        <v>Premium</v>
      </c>
      <c r="G553" s="3" cm="1">
        <f t="array" ref="G553">_xlfn.XLOOKUP(C553 &amp; F553,
         [1]unilever_price_limits!A:A &amp; [1]unilever_price_limits!B:B,
         [1]unilever_price_limits!C:C)</f>
        <v>55</v>
      </c>
      <c r="H553" s="8">
        <f t="shared" si="33"/>
        <v>8.3855000000000004</v>
      </c>
      <c r="I553" s="6">
        <f t="shared" si="34"/>
        <v>55.000000000000007</v>
      </c>
      <c r="J553" t="str">
        <f t="shared" si="35"/>
        <v>OK</v>
      </c>
    </row>
    <row r="554" spans="1:10" x14ac:dyDescent="0.2">
      <c r="A554">
        <v>10553</v>
      </c>
      <c r="B554" t="s">
        <v>8</v>
      </c>
      <c r="C554" t="s">
        <v>6</v>
      </c>
      <c r="D554" s="8">
        <v>14.07</v>
      </c>
      <c r="E554">
        <v>7</v>
      </c>
      <c r="F554" t="str">
        <f t="shared" si="32"/>
        <v>Standard</v>
      </c>
      <c r="G554" s="3" cm="1">
        <f t="array" ref="G554">_xlfn.XLOOKUP(C554 &amp; F554,
         [1]unilever_price_limits!A:A &amp; [1]unilever_price_limits!B:B,
         [1]unilever_price_limits!C:C)</f>
        <v>28</v>
      </c>
      <c r="H554" s="8">
        <f t="shared" si="33"/>
        <v>18.009600000000002</v>
      </c>
      <c r="I554" s="6">
        <f t="shared" si="34"/>
        <v>28.000000000000025</v>
      </c>
      <c r="J554" t="str">
        <f t="shared" si="35"/>
        <v>OK</v>
      </c>
    </row>
    <row r="555" spans="1:10" x14ac:dyDescent="0.2">
      <c r="A555">
        <v>10554</v>
      </c>
      <c r="B555" t="s">
        <v>7</v>
      </c>
      <c r="C555" t="s">
        <v>6</v>
      </c>
      <c r="D555" s="8">
        <v>13.73</v>
      </c>
      <c r="E555">
        <v>7</v>
      </c>
      <c r="F555" t="str">
        <f t="shared" si="32"/>
        <v>Standard</v>
      </c>
      <c r="G555" s="3" cm="1">
        <f t="array" ref="G555">_xlfn.XLOOKUP(C555 &amp; F555,
         [1]unilever_price_limits!A:A &amp; [1]unilever_price_limits!B:B,
         [1]unilever_price_limits!C:C)</f>
        <v>28</v>
      </c>
      <c r="H555" s="8">
        <f t="shared" si="33"/>
        <v>17.574400000000001</v>
      </c>
      <c r="I555" s="6">
        <f t="shared" si="34"/>
        <v>28.000000000000004</v>
      </c>
      <c r="J555" t="str">
        <f t="shared" si="35"/>
        <v>OK</v>
      </c>
    </row>
    <row r="556" spans="1:10" x14ac:dyDescent="0.2">
      <c r="A556">
        <v>10555</v>
      </c>
      <c r="B556" t="s">
        <v>8</v>
      </c>
      <c r="C556" t="s">
        <v>11</v>
      </c>
      <c r="D556" s="8">
        <v>3.54</v>
      </c>
      <c r="E556">
        <v>7</v>
      </c>
      <c r="F556" t="str">
        <f t="shared" si="32"/>
        <v>Standard</v>
      </c>
      <c r="G556" s="3" cm="1">
        <f t="array" ref="G556">_xlfn.XLOOKUP(C556 &amp; F556,
         [1]unilever_price_limits!A:A &amp; [1]unilever_price_limits!B:B,
         [1]unilever_price_limits!C:C)</f>
        <v>25</v>
      </c>
      <c r="H556" s="8">
        <f t="shared" si="33"/>
        <v>4.4249999999999998</v>
      </c>
      <c r="I556" s="6">
        <f t="shared" si="34"/>
        <v>25</v>
      </c>
      <c r="J556" t="str">
        <f t="shared" si="35"/>
        <v>OK</v>
      </c>
    </row>
    <row r="557" spans="1:10" x14ac:dyDescent="0.2">
      <c r="A557">
        <v>10556</v>
      </c>
      <c r="B557" t="s">
        <v>7</v>
      </c>
      <c r="C557" t="s">
        <v>9</v>
      </c>
      <c r="D557" s="8">
        <v>1.07</v>
      </c>
      <c r="E557">
        <v>7</v>
      </c>
      <c r="F557" t="str">
        <f t="shared" si="32"/>
        <v>Standard</v>
      </c>
      <c r="G557" s="3" cm="1">
        <f t="array" ref="G557">_xlfn.XLOOKUP(C557 &amp; F557,
         [1]unilever_price_limits!A:A &amp; [1]unilever_price_limits!B:B,
         [1]unilever_price_limits!C:C)</f>
        <v>30</v>
      </c>
      <c r="H557" s="8">
        <f t="shared" si="33"/>
        <v>1.3910000000000002</v>
      </c>
      <c r="I557" s="6">
        <f t="shared" si="34"/>
        <v>30.000000000000004</v>
      </c>
      <c r="J557" t="str">
        <f t="shared" si="35"/>
        <v>OK</v>
      </c>
    </row>
    <row r="558" spans="1:10" x14ac:dyDescent="0.2">
      <c r="A558">
        <v>10557</v>
      </c>
      <c r="B558" t="s">
        <v>7</v>
      </c>
      <c r="C558" t="s">
        <v>9</v>
      </c>
      <c r="D558" s="8">
        <v>11.25</v>
      </c>
      <c r="E558">
        <v>3</v>
      </c>
      <c r="F558" t="str">
        <f t="shared" si="32"/>
        <v>Value</v>
      </c>
      <c r="G558" s="3" cm="1">
        <f t="array" ref="G558">_xlfn.XLOOKUP(C558 &amp; F558,
         [1]unilever_price_limits!A:A &amp; [1]unilever_price_limits!B:B,
         [1]unilever_price_limits!C:C)</f>
        <v>15</v>
      </c>
      <c r="H558" s="8">
        <f t="shared" si="33"/>
        <v>12.937499999999998</v>
      </c>
      <c r="I558" s="6">
        <f t="shared" si="34"/>
        <v>14.999999999999991</v>
      </c>
      <c r="J558" t="str">
        <f t="shared" si="35"/>
        <v>OK</v>
      </c>
    </row>
    <row r="559" spans="1:10" x14ac:dyDescent="0.2">
      <c r="A559">
        <v>10558</v>
      </c>
      <c r="B559" t="s">
        <v>10</v>
      </c>
      <c r="C559" t="s">
        <v>11</v>
      </c>
      <c r="D559" s="8">
        <v>12.5</v>
      </c>
      <c r="E559">
        <v>3</v>
      </c>
      <c r="F559" t="str">
        <f t="shared" si="32"/>
        <v>Value</v>
      </c>
      <c r="G559" s="3" cm="1">
        <f t="array" ref="G559">_xlfn.XLOOKUP(C559 &amp; F559,
         [1]unilever_price_limits!A:A &amp; [1]unilever_price_limits!B:B,
         [1]unilever_price_limits!C:C)</f>
        <v>10</v>
      </c>
      <c r="H559" s="8">
        <f t="shared" si="33"/>
        <v>13.750000000000002</v>
      </c>
      <c r="I559" s="6">
        <f t="shared" si="34"/>
        <v>10.000000000000009</v>
      </c>
      <c r="J559" t="str">
        <f t="shared" si="35"/>
        <v>OK</v>
      </c>
    </row>
    <row r="560" spans="1:10" x14ac:dyDescent="0.2">
      <c r="A560">
        <v>10559</v>
      </c>
      <c r="B560" t="s">
        <v>7</v>
      </c>
      <c r="C560" t="s">
        <v>6</v>
      </c>
      <c r="D560" s="8">
        <v>14.53</v>
      </c>
      <c r="E560">
        <v>7</v>
      </c>
      <c r="F560" t="str">
        <f t="shared" si="32"/>
        <v>Standard</v>
      </c>
      <c r="G560" s="3" cm="1">
        <f t="array" ref="G560">_xlfn.XLOOKUP(C560 &amp; F560,
         [1]unilever_price_limits!A:A &amp; [1]unilever_price_limits!B:B,
         [1]unilever_price_limits!C:C)</f>
        <v>28</v>
      </c>
      <c r="H560" s="8">
        <f t="shared" si="33"/>
        <v>18.598399999999998</v>
      </c>
      <c r="I560" s="6">
        <f t="shared" si="34"/>
        <v>28.000000000000004</v>
      </c>
      <c r="J560" t="str">
        <f t="shared" si="35"/>
        <v>OK</v>
      </c>
    </row>
    <row r="561" spans="1:10" x14ac:dyDescent="0.2">
      <c r="A561">
        <v>10560</v>
      </c>
      <c r="B561" t="s">
        <v>10</v>
      </c>
      <c r="C561" t="s">
        <v>11</v>
      </c>
      <c r="D561" s="8">
        <v>13.4</v>
      </c>
      <c r="E561">
        <v>2</v>
      </c>
      <c r="F561" t="str">
        <f t="shared" si="32"/>
        <v>Value</v>
      </c>
      <c r="G561" s="3" cm="1">
        <f t="array" ref="G561">_xlfn.XLOOKUP(C561 &amp; F561,
         [1]unilever_price_limits!A:A &amp; [1]unilever_price_limits!B:B,
         [1]unilever_price_limits!C:C)</f>
        <v>10</v>
      </c>
      <c r="H561" s="8">
        <f t="shared" si="33"/>
        <v>14.740000000000002</v>
      </c>
      <c r="I561" s="6">
        <f t="shared" si="34"/>
        <v>10.000000000000009</v>
      </c>
      <c r="J561" t="str">
        <f t="shared" si="35"/>
        <v>OK</v>
      </c>
    </row>
    <row r="562" spans="1:10" x14ac:dyDescent="0.2">
      <c r="A562">
        <v>10561</v>
      </c>
      <c r="B562" t="s">
        <v>7</v>
      </c>
      <c r="C562" t="s">
        <v>6</v>
      </c>
      <c r="D562" s="8">
        <v>9.2100000000000009</v>
      </c>
      <c r="E562">
        <v>2</v>
      </c>
      <c r="F562" t="str">
        <f t="shared" si="32"/>
        <v>Value</v>
      </c>
      <c r="G562" s="3" cm="1">
        <f t="array" ref="G562">_xlfn.XLOOKUP(C562 &amp; F562,
         [1]unilever_price_limits!A:A &amp; [1]unilever_price_limits!B:B,
         [1]unilever_price_limits!C:C)</f>
        <v>12</v>
      </c>
      <c r="H562" s="8">
        <f t="shared" si="33"/>
        <v>10.315200000000003</v>
      </c>
      <c r="I562" s="6">
        <f t="shared" si="34"/>
        <v>12.000000000000011</v>
      </c>
      <c r="J562" t="str">
        <f t="shared" si="35"/>
        <v>OK</v>
      </c>
    </row>
    <row r="563" spans="1:10" x14ac:dyDescent="0.2">
      <c r="A563">
        <v>10562</v>
      </c>
      <c r="B563" t="s">
        <v>5</v>
      </c>
      <c r="C563" t="s">
        <v>11</v>
      </c>
      <c r="D563" s="8">
        <v>8.19</v>
      </c>
      <c r="E563">
        <v>3</v>
      </c>
      <c r="F563" t="str">
        <f t="shared" si="32"/>
        <v>Value</v>
      </c>
      <c r="G563" s="3" cm="1">
        <f t="array" ref="G563">_xlfn.XLOOKUP(C563 &amp; F563,
         [1]unilever_price_limits!A:A &amp; [1]unilever_price_limits!B:B,
         [1]unilever_price_limits!C:C)</f>
        <v>10</v>
      </c>
      <c r="H563" s="8">
        <f t="shared" si="33"/>
        <v>9.0090000000000003</v>
      </c>
      <c r="I563" s="6">
        <f t="shared" si="34"/>
        <v>10.000000000000009</v>
      </c>
      <c r="J563" t="str">
        <f t="shared" si="35"/>
        <v>OK</v>
      </c>
    </row>
    <row r="564" spans="1:10" x14ac:dyDescent="0.2">
      <c r="A564">
        <v>10563</v>
      </c>
      <c r="B564" t="s">
        <v>5</v>
      </c>
      <c r="C564" t="s">
        <v>9</v>
      </c>
      <c r="D564" s="8">
        <v>0.9</v>
      </c>
      <c r="E564">
        <v>4</v>
      </c>
      <c r="F564" t="str">
        <f t="shared" si="32"/>
        <v>Standard</v>
      </c>
      <c r="G564" s="3" cm="1">
        <f t="array" ref="G564">_xlfn.XLOOKUP(C564 &amp; F564,
         [1]unilever_price_limits!A:A &amp; [1]unilever_price_limits!B:B,
         [1]unilever_price_limits!C:C)</f>
        <v>30</v>
      </c>
      <c r="H564" s="8">
        <f t="shared" si="33"/>
        <v>1.1700000000000002</v>
      </c>
      <c r="I564" s="6">
        <f t="shared" si="34"/>
        <v>30.000000000000004</v>
      </c>
      <c r="J564" t="str">
        <f t="shared" si="35"/>
        <v>OK</v>
      </c>
    </row>
    <row r="565" spans="1:10" x14ac:dyDescent="0.2">
      <c r="A565">
        <v>10564</v>
      </c>
      <c r="B565" t="s">
        <v>5</v>
      </c>
      <c r="C565" t="s">
        <v>9</v>
      </c>
      <c r="D565" s="8">
        <v>4.08</v>
      </c>
      <c r="E565">
        <v>6</v>
      </c>
      <c r="F565" t="str">
        <f t="shared" si="32"/>
        <v>Standard</v>
      </c>
      <c r="G565" s="3" cm="1">
        <f t="array" ref="G565">_xlfn.XLOOKUP(C565 &amp; F565,
         [1]unilever_price_limits!A:A &amp; [1]unilever_price_limits!B:B,
         [1]unilever_price_limits!C:C)</f>
        <v>30</v>
      </c>
      <c r="H565" s="8">
        <f t="shared" si="33"/>
        <v>5.3040000000000003</v>
      </c>
      <c r="I565" s="6">
        <f t="shared" si="34"/>
        <v>30.000000000000004</v>
      </c>
      <c r="J565" t="str">
        <f t="shared" si="35"/>
        <v>OK</v>
      </c>
    </row>
    <row r="566" spans="1:10" x14ac:dyDescent="0.2">
      <c r="A566">
        <v>10565</v>
      </c>
      <c r="B566" t="s">
        <v>7</v>
      </c>
      <c r="C566" t="s">
        <v>9</v>
      </c>
      <c r="D566" s="8">
        <v>7.16</v>
      </c>
      <c r="E566">
        <v>8</v>
      </c>
      <c r="F566" t="str">
        <f t="shared" si="32"/>
        <v>Premium</v>
      </c>
      <c r="G566" s="3" cm="1">
        <f t="array" ref="G566">_xlfn.XLOOKUP(C566 &amp; F566,
         [1]unilever_price_limits!A:A &amp; [1]unilever_price_limits!B:B,
         [1]unilever_price_limits!C:C)</f>
        <v>60</v>
      </c>
      <c r="H566" s="8">
        <f t="shared" si="33"/>
        <v>11.456000000000001</v>
      </c>
      <c r="I566" s="6">
        <f t="shared" si="34"/>
        <v>60.000000000000007</v>
      </c>
      <c r="J566" t="str">
        <f t="shared" si="35"/>
        <v>OK</v>
      </c>
    </row>
    <row r="567" spans="1:10" x14ac:dyDescent="0.2">
      <c r="A567">
        <v>10566</v>
      </c>
      <c r="B567" t="s">
        <v>10</v>
      </c>
      <c r="C567" t="s">
        <v>6</v>
      </c>
      <c r="D567" s="8">
        <v>9.61</v>
      </c>
      <c r="E567">
        <v>10</v>
      </c>
      <c r="F567" t="str">
        <f t="shared" si="32"/>
        <v>Premium</v>
      </c>
      <c r="G567" s="3" cm="1">
        <f t="array" ref="G567">_xlfn.XLOOKUP(C567 &amp; F567,
         [1]unilever_price_limits!A:A &amp; [1]unilever_price_limits!B:B,
         [1]unilever_price_limits!C:C)</f>
        <v>55</v>
      </c>
      <c r="H567" s="8">
        <f t="shared" si="33"/>
        <v>14.8955</v>
      </c>
      <c r="I567" s="6">
        <f t="shared" si="34"/>
        <v>55.000000000000007</v>
      </c>
      <c r="J567" t="str">
        <f t="shared" si="35"/>
        <v>OK</v>
      </c>
    </row>
    <row r="568" spans="1:10" x14ac:dyDescent="0.2">
      <c r="A568">
        <v>10567</v>
      </c>
      <c r="B568" t="s">
        <v>10</v>
      </c>
      <c r="C568" t="s">
        <v>6</v>
      </c>
      <c r="D568" s="8">
        <v>8.58</v>
      </c>
      <c r="E568">
        <v>10</v>
      </c>
      <c r="F568" t="str">
        <f t="shared" si="32"/>
        <v>Premium</v>
      </c>
      <c r="G568" s="3" cm="1">
        <f t="array" ref="G568">_xlfn.XLOOKUP(C568 &amp; F568,
         [1]unilever_price_limits!A:A &amp; [1]unilever_price_limits!B:B,
         [1]unilever_price_limits!C:C)</f>
        <v>55</v>
      </c>
      <c r="H568" s="8">
        <f t="shared" si="33"/>
        <v>13.299000000000001</v>
      </c>
      <c r="I568" s="6">
        <f t="shared" si="34"/>
        <v>55.000000000000007</v>
      </c>
      <c r="J568" t="str">
        <f t="shared" si="35"/>
        <v>OK</v>
      </c>
    </row>
    <row r="569" spans="1:10" x14ac:dyDescent="0.2">
      <c r="A569">
        <v>10568</v>
      </c>
      <c r="B569" t="s">
        <v>7</v>
      </c>
      <c r="C569" t="s">
        <v>11</v>
      </c>
      <c r="D569" s="8">
        <v>11.27</v>
      </c>
      <c r="E569">
        <v>7</v>
      </c>
      <c r="F569" t="str">
        <f t="shared" si="32"/>
        <v>Standard</v>
      </c>
      <c r="G569" s="3" cm="1">
        <f t="array" ref="G569">_xlfn.XLOOKUP(C569 &amp; F569,
         [1]unilever_price_limits!A:A &amp; [1]unilever_price_limits!B:B,
         [1]unilever_price_limits!C:C)</f>
        <v>25</v>
      </c>
      <c r="H569" s="8">
        <f t="shared" si="33"/>
        <v>14.087499999999999</v>
      </c>
      <c r="I569" s="6">
        <f t="shared" si="34"/>
        <v>25</v>
      </c>
      <c r="J569" t="str">
        <f t="shared" si="35"/>
        <v>OK</v>
      </c>
    </row>
    <row r="570" spans="1:10" x14ac:dyDescent="0.2">
      <c r="A570">
        <v>10569</v>
      </c>
      <c r="B570" t="s">
        <v>5</v>
      </c>
      <c r="C570" t="s">
        <v>11</v>
      </c>
      <c r="D570" s="8">
        <v>4.5599999999999996</v>
      </c>
      <c r="E570">
        <v>4</v>
      </c>
      <c r="F570" t="str">
        <f t="shared" si="32"/>
        <v>Standard</v>
      </c>
      <c r="G570" s="3" cm="1">
        <f t="array" ref="G570">_xlfn.XLOOKUP(C570 &amp; F570,
         [1]unilever_price_limits!A:A &amp; [1]unilever_price_limits!B:B,
         [1]unilever_price_limits!C:C)</f>
        <v>25</v>
      </c>
      <c r="H570" s="8">
        <f t="shared" si="33"/>
        <v>5.6999999999999993</v>
      </c>
      <c r="I570" s="6">
        <f t="shared" si="34"/>
        <v>25</v>
      </c>
      <c r="J570" t="str">
        <f t="shared" si="35"/>
        <v>OK</v>
      </c>
    </row>
    <row r="571" spans="1:10" x14ac:dyDescent="0.2">
      <c r="A571">
        <v>10570</v>
      </c>
      <c r="B571" t="s">
        <v>5</v>
      </c>
      <c r="C571" t="s">
        <v>9</v>
      </c>
      <c r="D571" s="8">
        <v>8.69</v>
      </c>
      <c r="E571">
        <v>2</v>
      </c>
      <c r="F571" t="str">
        <f t="shared" si="32"/>
        <v>Value</v>
      </c>
      <c r="G571" s="3" cm="1">
        <f t="array" ref="G571">_xlfn.XLOOKUP(C571 &amp; F571,
         [1]unilever_price_limits!A:A &amp; [1]unilever_price_limits!B:B,
         [1]unilever_price_limits!C:C)</f>
        <v>15</v>
      </c>
      <c r="H571" s="8">
        <f t="shared" si="33"/>
        <v>9.9934999999999992</v>
      </c>
      <c r="I571" s="6">
        <f t="shared" si="34"/>
        <v>14.999999999999991</v>
      </c>
      <c r="J571" t="str">
        <f t="shared" si="35"/>
        <v>OK</v>
      </c>
    </row>
    <row r="572" spans="1:10" x14ac:dyDescent="0.2">
      <c r="A572">
        <v>10571</v>
      </c>
      <c r="B572" t="s">
        <v>10</v>
      </c>
      <c r="C572" t="s">
        <v>6</v>
      </c>
      <c r="D572" s="8">
        <v>1.78</v>
      </c>
      <c r="E572">
        <v>2</v>
      </c>
      <c r="F572" t="str">
        <f t="shared" si="32"/>
        <v>Value</v>
      </c>
      <c r="G572" s="3" cm="1">
        <f t="array" ref="G572">_xlfn.XLOOKUP(C572 &amp; F572,
         [1]unilever_price_limits!A:A &amp; [1]unilever_price_limits!B:B,
         [1]unilever_price_limits!C:C)</f>
        <v>12</v>
      </c>
      <c r="H572" s="8">
        <f t="shared" si="33"/>
        <v>1.9936000000000003</v>
      </c>
      <c r="I572" s="6">
        <f t="shared" si="34"/>
        <v>12.000000000000011</v>
      </c>
      <c r="J572" t="str">
        <f t="shared" si="35"/>
        <v>OK</v>
      </c>
    </row>
    <row r="573" spans="1:10" x14ac:dyDescent="0.2">
      <c r="A573">
        <v>10572</v>
      </c>
      <c r="B573" t="s">
        <v>5</v>
      </c>
      <c r="C573" t="s">
        <v>11</v>
      </c>
      <c r="D573" s="8">
        <v>6.5</v>
      </c>
      <c r="E573">
        <v>4</v>
      </c>
      <c r="F573" t="str">
        <f t="shared" si="32"/>
        <v>Standard</v>
      </c>
      <c r="G573" s="3" cm="1">
        <f t="array" ref="G573">_xlfn.XLOOKUP(C573 &amp; F573,
         [1]unilever_price_limits!A:A &amp; [1]unilever_price_limits!B:B,
         [1]unilever_price_limits!C:C)</f>
        <v>25</v>
      </c>
      <c r="H573" s="8">
        <f t="shared" si="33"/>
        <v>8.125</v>
      </c>
      <c r="I573" s="6">
        <f t="shared" si="34"/>
        <v>25</v>
      </c>
      <c r="J573" t="str">
        <f t="shared" si="35"/>
        <v>OK</v>
      </c>
    </row>
    <row r="574" spans="1:10" x14ac:dyDescent="0.2">
      <c r="A574">
        <v>10573</v>
      </c>
      <c r="B574" t="s">
        <v>8</v>
      </c>
      <c r="C574" t="s">
        <v>6</v>
      </c>
      <c r="D574" s="8">
        <v>11.38</v>
      </c>
      <c r="E574">
        <v>6</v>
      </c>
      <c r="F574" t="str">
        <f t="shared" si="32"/>
        <v>Standard</v>
      </c>
      <c r="G574" s="3" cm="1">
        <f t="array" ref="G574">_xlfn.XLOOKUP(C574 &amp; F574,
         [1]unilever_price_limits!A:A &amp; [1]unilever_price_limits!B:B,
         [1]unilever_price_limits!C:C)</f>
        <v>28</v>
      </c>
      <c r="H574" s="8">
        <f t="shared" si="33"/>
        <v>14.566400000000002</v>
      </c>
      <c r="I574" s="6">
        <f t="shared" si="34"/>
        <v>28.000000000000004</v>
      </c>
      <c r="J574" t="str">
        <f t="shared" si="35"/>
        <v>OK</v>
      </c>
    </row>
    <row r="575" spans="1:10" x14ac:dyDescent="0.2">
      <c r="A575">
        <v>10574</v>
      </c>
      <c r="B575" t="s">
        <v>10</v>
      </c>
      <c r="C575" t="s">
        <v>6</v>
      </c>
      <c r="D575" s="8">
        <v>10.55</v>
      </c>
      <c r="E575">
        <v>3</v>
      </c>
      <c r="F575" t="str">
        <f t="shared" si="32"/>
        <v>Value</v>
      </c>
      <c r="G575" s="3" cm="1">
        <f t="array" ref="G575">_xlfn.XLOOKUP(C575 &amp; F575,
         [1]unilever_price_limits!A:A &amp; [1]unilever_price_limits!B:B,
         [1]unilever_price_limits!C:C)</f>
        <v>12</v>
      </c>
      <c r="H575" s="8">
        <f t="shared" si="33"/>
        <v>11.816000000000003</v>
      </c>
      <c r="I575" s="6">
        <f t="shared" si="34"/>
        <v>12.000000000000011</v>
      </c>
      <c r="J575" t="str">
        <f t="shared" si="35"/>
        <v>OK</v>
      </c>
    </row>
    <row r="576" spans="1:10" x14ac:dyDescent="0.2">
      <c r="A576">
        <v>10575</v>
      </c>
      <c r="B576" t="s">
        <v>5</v>
      </c>
      <c r="C576" t="s">
        <v>9</v>
      </c>
      <c r="D576" s="8">
        <v>14.86</v>
      </c>
      <c r="E576">
        <v>6</v>
      </c>
      <c r="F576" t="str">
        <f t="shared" si="32"/>
        <v>Standard</v>
      </c>
      <c r="G576" s="3" cm="1">
        <f t="array" ref="G576">_xlfn.XLOOKUP(C576 &amp; F576,
         [1]unilever_price_limits!A:A &amp; [1]unilever_price_limits!B:B,
         [1]unilever_price_limits!C:C)</f>
        <v>30</v>
      </c>
      <c r="H576" s="8">
        <f t="shared" si="33"/>
        <v>19.318000000000001</v>
      </c>
      <c r="I576" s="6">
        <f t="shared" si="34"/>
        <v>30.000000000000004</v>
      </c>
      <c r="J576" t="str">
        <f t="shared" si="35"/>
        <v>OK</v>
      </c>
    </row>
    <row r="577" spans="1:10" x14ac:dyDescent="0.2">
      <c r="A577">
        <v>10576</v>
      </c>
      <c r="B577" t="s">
        <v>10</v>
      </c>
      <c r="C577" t="s">
        <v>9</v>
      </c>
      <c r="D577" s="8">
        <v>4.53</v>
      </c>
      <c r="E577">
        <v>5</v>
      </c>
      <c r="F577" t="str">
        <f t="shared" si="32"/>
        <v>Standard</v>
      </c>
      <c r="G577" s="3" cm="1">
        <f t="array" ref="G577">_xlfn.XLOOKUP(C577 &amp; F577,
         [1]unilever_price_limits!A:A &amp; [1]unilever_price_limits!B:B,
         [1]unilever_price_limits!C:C)</f>
        <v>30</v>
      </c>
      <c r="H577" s="8">
        <f t="shared" si="33"/>
        <v>5.8890000000000002</v>
      </c>
      <c r="I577" s="6">
        <f t="shared" si="34"/>
        <v>30.000000000000004</v>
      </c>
      <c r="J577" t="str">
        <f t="shared" si="35"/>
        <v>OK</v>
      </c>
    </row>
    <row r="578" spans="1:10" x14ac:dyDescent="0.2">
      <c r="A578">
        <v>10577</v>
      </c>
      <c r="B578" t="s">
        <v>8</v>
      </c>
      <c r="C578" t="s">
        <v>6</v>
      </c>
      <c r="D578" s="8">
        <v>7.72</v>
      </c>
      <c r="E578">
        <v>5</v>
      </c>
      <c r="F578" t="str">
        <f t="shared" si="32"/>
        <v>Standard</v>
      </c>
      <c r="G578" s="3" cm="1">
        <f t="array" ref="G578">_xlfn.XLOOKUP(C578 &amp; F578,
         [1]unilever_price_limits!A:A &amp; [1]unilever_price_limits!B:B,
         [1]unilever_price_limits!C:C)</f>
        <v>28</v>
      </c>
      <c r="H578" s="8">
        <f t="shared" si="33"/>
        <v>9.8816000000000006</v>
      </c>
      <c r="I578" s="6">
        <f t="shared" si="34"/>
        <v>28.000000000000004</v>
      </c>
      <c r="J578" t="str">
        <f t="shared" si="35"/>
        <v>OK</v>
      </c>
    </row>
    <row r="579" spans="1:10" x14ac:dyDescent="0.2">
      <c r="A579">
        <v>10578</v>
      </c>
      <c r="B579" t="s">
        <v>10</v>
      </c>
      <c r="C579" t="s">
        <v>6</v>
      </c>
      <c r="D579" s="8">
        <v>5.28</v>
      </c>
      <c r="E579">
        <v>2</v>
      </c>
      <c r="F579" t="str">
        <f t="shared" ref="F579:F642" si="36">IF(E579&lt;=3,"Value",
 IF(E579&lt;=7,"Standard","Premium"))</f>
        <v>Value</v>
      </c>
      <c r="G579" s="3" cm="1">
        <f t="array" ref="G579">_xlfn.XLOOKUP(C579 &amp; F579,
         [1]unilever_price_limits!A:A &amp; [1]unilever_price_limits!B:B,
         [1]unilever_price_limits!C:C)</f>
        <v>12</v>
      </c>
      <c r="H579" s="8">
        <f t="shared" ref="H579:H642" si="37">D579 * (1 + G579/100)</f>
        <v>5.9136000000000006</v>
      </c>
      <c r="I579" s="6">
        <f t="shared" ref="I579:I642" si="38">(H579 / D579 - 1) * 100</f>
        <v>12.000000000000011</v>
      </c>
      <c r="J579" t="str">
        <f t="shared" ref="J579:J642" si="39">IF(I578&gt; G578, "⚠ Exceeds Limit", "OK")</f>
        <v>OK</v>
      </c>
    </row>
    <row r="580" spans="1:10" x14ac:dyDescent="0.2">
      <c r="A580">
        <v>10579</v>
      </c>
      <c r="B580" t="s">
        <v>10</v>
      </c>
      <c r="C580" t="s">
        <v>6</v>
      </c>
      <c r="D580" s="8">
        <v>6.89</v>
      </c>
      <c r="E580">
        <v>8</v>
      </c>
      <c r="F580" t="str">
        <f t="shared" si="36"/>
        <v>Premium</v>
      </c>
      <c r="G580" s="3" cm="1">
        <f t="array" ref="G580">_xlfn.XLOOKUP(C580 &amp; F580,
         [1]unilever_price_limits!A:A &amp; [1]unilever_price_limits!B:B,
         [1]unilever_price_limits!C:C)</f>
        <v>55</v>
      </c>
      <c r="H580" s="8">
        <f t="shared" si="37"/>
        <v>10.679499999999999</v>
      </c>
      <c r="I580" s="6">
        <f t="shared" si="38"/>
        <v>55.000000000000007</v>
      </c>
      <c r="J580" t="str">
        <f t="shared" si="39"/>
        <v>OK</v>
      </c>
    </row>
    <row r="581" spans="1:10" x14ac:dyDescent="0.2">
      <c r="A581">
        <v>10580</v>
      </c>
      <c r="B581" t="s">
        <v>10</v>
      </c>
      <c r="C581" t="s">
        <v>6</v>
      </c>
      <c r="D581" s="8">
        <v>12.93</v>
      </c>
      <c r="E581">
        <v>5</v>
      </c>
      <c r="F581" t="str">
        <f t="shared" si="36"/>
        <v>Standard</v>
      </c>
      <c r="G581" s="3" cm="1">
        <f t="array" ref="G581">_xlfn.XLOOKUP(C581 &amp; F581,
         [1]unilever_price_limits!A:A &amp; [1]unilever_price_limits!B:B,
         [1]unilever_price_limits!C:C)</f>
        <v>28</v>
      </c>
      <c r="H581" s="8">
        <f t="shared" si="37"/>
        <v>16.5504</v>
      </c>
      <c r="I581" s="6">
        <f t="shared" si="38"/>
        <v>28.000000000000004</v>
      </c>
      <c r="J581" t="str">
        <f t="shared" si="39"/>
        <v>OK</v>
      </c>
    </row>
    <row r="582" spans="1:10" x14ac:dyDescent="0.2">
      <c r="A582">
        <v>10581</v>
      </c>
      <c r="B582" t="s">
        <v>10</v>
      </c>
      <c r="C582" t="s">
        <v>9</v>
      </c>
      <c r="D582" s="8">
        <v>10.42</v>
      </c>
      <c r="E582">
        <v>2</v>
      </c>
      <c r="F582" t="str">
        <f t="shared" si="36"/>
        <v>Value</v>
      </c>
      <c r="G582" s="3" cm="1">
        <f t="array" ref="G582">_xlfn.XLOOKUP(C582 &amp; F582,
         [1]unilever_price_limits!A:A &amp; [1]unilever_price_limits!B:B,
         [1]unilever_price_limits!C:C)</f>
        <v>15</v>
      </c>
      <c r="H582" s="8">
        <f t="shared" si="37"/>
        <v>11.982999999999999</v>
      </c>
      <c r="I582" s="6">
        <f t="shared" si="38"/>
        <v>14.999999999999991</v>
      </c>
      <c r="J582" t="str">
        <f t="shared" si="39"/>
        <v>OK</v>
      </c>
    </row>
    <row r="583" spans="1:10" x14ac:dyDescent="0.2">
      <c r="A583">
        <v>10582</v>
      </c>
      <c r="B583" t="s">
        <v>8</v>
      </c>
      <c r="C583" t="s">
        <v>11</v>
      </c>
      <c r="D583" s="8">
        <v>13.3</v>
      </c>
      <c r="E583">
        <v>7</v>
      </c>
      <c r="F583" t="str">
        <f t="shared" si="36"/>
        <v>Standard</v>
      </c>
      <c r="G583" s="3" cm="1">
        <f t="array" ref="G583">_xlfn.XLOOKUP(C583 &amp; F583,
         [1]unilever_price_limits!A:A &amp; [1]unilever_price_limits!B:B,
         [1]unilever_price_limits!C:C)</f>
        <v>25</v>
      </c>
      <c r="H583" s="8">
        <f t="shared" si="37"/>
        <v>16.625</v>
      </c>
      <c r="I583" s="6">
        <f t="shared" si="38"/>
        <v>25</v>
      </c>
      <c r="J583" t="str">
        <f t="shared" si="39"/>
        <v>OK</v>
      </c>
    </row>
    <row r="584" spans="1:10" x14ac:dyDescent="0.2">
      <c r="A584">
        <v>10583</v>
      </c>
      <c r="B584" t="s">
        <v>7</v>
      </c>
      <c r="C584" t="s">
        <v>9</v>
      </c>
      <c r="D584" s="8">
        <v>3.45</v>
      </c>
      <c r="E584">
        <v>9</v>
      </c>
      <c r="F584" t="str">
        <f t="shared" si="36"/>
        <v>Premium</v>
      </c>
      <c r="G584" s="3" cm="1">
        <f t="array" ref="G584">_xlfn.XLOOKUP(C584 &amp; F584,
         [1]unilever_price_limits!A:A &amp; [1]unilever_price_limits!B:B,
         [1]unilever_price_limits!C:C)</f>
        <v>60</v>
      </c>
      <c r="H584" s="8">
        <f t="shared" si="37"/>
        <v>5.5200000000000005</v>
      </c>
      <c r="I584" s="6">
        <f t="shared" si="38"/>
        <v>60.000000000000007</v>
      </c>
      <c r="J584" t="str">
        <f t="shared" si="39"/>
        <v>OK</v>
      </c>
    </row>
    <row r="585" spans="1:10" x14ac:dyDescent="0.2">
      <c r="A585">
        <v>10584</v>
      </c>
      <c r="B585" t="s">
        <v>10</v>
      </c>
      <c r="C585" t="s">
        <v>11</v>
      </c>
      <c r="D585" s="8">
        <v>13.16</v>
      </c>
      <c r="E585">
        <v>9</v>
      </c>
      <c r="F585" t="str">
        <f t="shared" si="36"/>
        <v>Premium</v>
      </c>
      <c r="G585" s="3" cm="1">
        <f t="array" ref="G585">_xlfn.XLOOKUP(C585 &amp; F585,
         [1]unilever_price_limits!A:A &amp; [1]unilever_price_limits!B:B,
         [1]unilever_price_limits!C:C)</f>
        <v>50</v>
      </c>
      <c r="H585" s="8">
        <f t="shared" si="37"/>
        <v>19.740000000000002</v>
      </c>
      <c r="I585" s="6">
        <f t="shared" si="38"/>
        <v>50.000000000000021</v>
      </c>
      <c r="J585" t="str">
        <f t="shared" si="39"/>
        <v>OK</v>
      </c>
    </row>
    <row r="586" spans="1:10" x14ac:dyDescent="0.2">
      <c r="A586">
        <v>10585</v>
      </c>
      <c r="B586" t="s">
        <v>10</v>
      </c>
      <c r="C586" t="s">
        <v>6</v>
      </c>
      <c r="D586" s="8">
        <v>1.37</v>
      </c>
      <c r="E586">
        <v>1</v>
      </c>
      <c r="F586" t="str">
        <f t="shared" si="36"/>
        <v>Value</v>
      </c>
      <c r="G586" s="3" cm="1">
        <f t="array" ref="G586">_xlfn.XLOOKUP(C586 &amp; F586,
         [1]unilever_price_limits!A:A &amp; [1]unilever_price_limits!B:B,
         [1]unilever_price_limits!C:C)</f>
        <v>12</v>
      </c>
      <c r="H586" s="8">
        <f t="shared" si="37"/>
        <v>1.5344000000000002</v>
      </c>
      <c r="I586" s="6">
        <f t="shared" si="38"/>
        <v>12.000000000000011</v>
      </c>
      <c r="J586" t="str">
        <f t="shared" si="39"/>
        <v>OK</v>
      </c>
    </row>
    <row r="587" spans="1:10" x14ac:dyDescent="0.2">
      <c r="A587">
        <v>10586</v>
      </c>
      <c r="B587" t="s">
        <v>5</v>
      </c>
      <c r="C587" t="s">
        <v>11</v>
      </c>
      <c r="D587" s="8">
        <v>13.38</v>
      </c>
      <c r="E587">
        <v>7</v>
      </c>
      <c r="F587" t="str">
        <f t="shared" si="36"/>
        <v>Standard</v>
      </c>
      <c r="G587" s="3" cm="1">
        <f t="array" ref="G587">_xlfn.XLOOKUP(C587 &amp; F587,
         [1]unilever_price_limits!A:A &amp; [1]unilever_price_limits!B:B,
         [1]unilever_price_limits!C:C)</f>
        <v>25</v>
      </c>
      <c r="H587" s="8">
        <f t="shared" si="37"/>
        <v>16.725000000000001</v>
      </c>
      <c r="I587" s="6">
        <f t="shared" si="38"/>
        <v>25</v>
      </c>
      <c r="J587" t="str">
        <f t="shared" si="39"/>
        <v>OK</v>
      </c>
    </row>
    <row r="588" spans="1:10" x14ac:dyDescent="0.2">
      <c r="A588">
        <v>10587</v>
      </c>
      <c r="B588" t="s">
        <v>10</v>
      </c>
      <c r="C588" t="s">
        <v>9</v>
      </c>
      <c r="D588" s="8">
        <v>5.27</v>
      </c>
      <c r="E588">
        <v>9</v>
      </c>
      <c r="F588" t="str">
        <f t="shared" si="36"/>
        <v>Premium</v>
      </c>
      <c r="G588" s="3" cm="1">
        <f t="array" ref="G588">_xlfn.XLOOKUP(C588 &amp; F588,
         [1]unilever_price_limits!A:A &amp; [1]unilever_price_limits!B:B,
         [1]unilever_price_limits!C:C)</f>
        <v>60</v>
      </c>
      <c r="H588" s="8">
        <f t="shared" si="37"/>
        <v>8.4320000000000004</v>
      </c>
      <c r="I588" s="6">
        <f t="shared" si="38"/>
        <v>60.000000000000028</v>
      </c>
      <c r="J588" t="str">
        <f t="shared" si="39"/>
        <v>OK</v>
      </c>
    </row>
    <row r="589" spans="1:10" x14ac:dyDescent="0.2">
      <c r="A589">
        <v>10588</v>
      </c>
      <c r="B589" t="s">
        <v>5</v>
      </c>
      <c r="C589" t="s">
        <v>9</v>
      </c>
      <c r="D589" s="8">
        <v>5.0599999999999996</v>
      </c>
      <c r="E589">
        <v>6</v>
      </c>
      <c r="F589" t="str">
        <f t="shared" si="36"/>
        <v>Standard</v>
      </c>
      <c r="G589" s="3" cm="1">
        <f t="array" ref="G589">_xlfn.XLOOKUP(C589 &amp; F589,
         [1]unilever_price_limits!A:A &amp; [1]unilever_price_limits!B:B,
         [1]unilever_price_limits!C:C)</f>
        <v>30</v>
      </c>
      <c r="H589" s="8">
        <f t="shared" si="37"/>
        <v>6.5779999999999994</v>
      </c>
      <c r="I589" s="6">
        <f t="shared" si="38"/>
        <v>30.000000000000004</v>
      </c>
      <c r="J589" t="str">
        <f t="shared" si="39"/>
        <v>OK</v>
      </c>
    </row>
    <row r="590" spans="1:10" x14ac:dyDescent="0.2">
      <c r="A590">
        <v>10589</v>
      </c>
      <c r="B590" t="s">
        <v>7</v>
      </c>
      <c r="C590" t="s">
        <v>6</v>
      </c>
      <c r="D590" s="8">
        <v>7.93</v>
      </c>
      <c r="E590">
        <v>1</v>
      </c>
      <c r="F590" t="str">
        <f t="shared" si="36"/>
        <v>Value</v>
      </c>
      <c r="G590" s="3" cm="1">
        <f t="array" ref="G590">_xlfn.XLOOKUP(C590 &amp; F590,
         [1]unilever_price_limits!A:A &amp; [1]unilever_price_limits!B:B,
         [1]unilever_price_limits!C:C)</f>
        <v>12</v>
      </c>
      <c r="H590" s="8">
        <f t="shared" si="37"/>
        <v>8.8816000000000006</v>
      </c>
      <c r="I590" s="6">
        <f t="shared" si="38"/>
        <v>12.000000000000011</v>
      </c>
      <c r="J590" t="str">
        <f t="shared" si="39"/>
        <v>OK</v>
      </c>
    </row>
    <row r="591" spans="1:10" x14ac:dyDescent="0.2">
      <c r="A591">
        <v>10590</v>
      </c>
      <c r="B591" t="s">
        <v>8</v>
      </c>
      <c r="C591" t="s">
        <v>9</v>
      </c>
      <c r="D591" s="8">
        <v>14.14</v>
      </c>
      <c r="E591">
        <v>2</v>
      </c>
      <c r="F591" t="str">
        <f t="shared" si="36"/>
        <v>Value</v>
      </c>
      <c r="G591" s="3" cm="1">
        <f t="array" ref="G591">_xlfn.XLOOKUP(C591 &amp; F591,
         [1]unilever_price_limits!A:A &amp; [1]unilever_price_limits!B:B,
         [1]unilever_price_limits!C:C)</f>
        <v>15</v>
      </c>
      <c r="H591" s="8">
        <f t="shared" si="37"/>
        <v>16.260999999999999</v>
      </c>
      <c r="I591" s="6">
        <f t="shared" si="38"/>
        <v>14.999999999999991</v>
      </c>
      <c r="J591" t="str">
        <f t="shared" si="39"/>
        <v>OK</v>
      </c>
    </row>
    <row r="592" spans="1:10" x14ac:dyDescent="0.2">
      <c r="A592">
        <v>10591</v>
      </c>
      <c r="B592" t="s">
        <v>8</v>
      </c>
      <c r="C592" t="s">
        <v>6</v>
      </c>
      <c r="D592" s="8">
        <v>1.19</v>
      </c>
      <c r="E592">
        <v>4</v>
      </c>
      <c r="F592" t="str">
        <f t="shared" si="36"/>
        <v>Standard</v>
      </c>
      <c r="G592" s="3" cm="1">
        <f t="array" ref="G592">_xlfn.XLOOKUP(C592 &amp; F592,
         [1]unilever_price_limits!A:A &amp; [1]unilever_price_limits!B:B,
         [1]unilever_price_limits!C:C)</f>
        <v>28</v>
      </c>
      <c r="H592" s="8">
        <f t="shared" si="37"/>
        <v>1.5231999999999999</v>
      </c>
      <c r="I592" s="6">
        <f t="shared" si="38"/>
        <v>28.000000000000004</v>
      </c>
      <c r="J592" t="str">
        <f t="shared" si="39"/>
        <v>OK</v>
      </c>
    </row>
    <row r="593" spans="1:10" x14ac:dyDescent="0.2">
      <c r="A593">
        <v>10592</v>
      </c>
      <c r="B593" t="s">
        <v>7</v>
      </c>
      <c r="C593" t="s">
        <v>9</v>
      </c>
      <c r="D593" s="8">
        <v>5.61</v>
      </c>
      <c r="E593">
        <v>4</v>
      </c>
      <c r="F593" t="str">
        <f t="shared" si="36"/>
        <v>Standard</v>
      </c>
      <c r="G593" s="3" cm="1">
        <f t="array" ref="G593">_xlfn.XLOOKUP(C593 &amp; F593,
         [1]unilever_price_limits!A:A &amp; [1]unilever_price_limits!B:B,
         [1]unilever_price_limits!C:C)</f>
        <v>30</v>
      </c>
      <c r="H593" s="8">
        <f t="shared" si="37"/>
        <v>7.293000000000001</v>
      </c>
      <c r="I593" s="6">
        <f t="shared" si="38"/>
        <v>30.000000000000004</v>
      </c>
      <c r="J593" t="str">
        <f t="shared" si="39"/>
        <v>OK</v>
      </c>
    </row>
    <row r="594" spans="1:10" x14ac:dyDescent="0.2">
      <c r="A594">
        <v>10593</v>
      </c>
      <c r="B594" t="s">
        <v>8</v>
      </c>
      <c r="C594" t="s">
        <v>9</v>
      </c>
      <c r="D594" s="8">
        <v>12.92</v>
      </c>
      <c r="E594">
        <v>2</v>
      </c>
      <c r="F594" t="str">
        <f t="shared" si="36"/>
        <v>Value</v>
      </c>
      <c r="G594" s="3" cm="1">
        <f t="array" ref="G594">_xlfn.XLOOKUP(C594 &amp; F594,
         [1]unilever_price_limits!A:A &amp; [1]unilever_price_limits!B:B,
         [1]unilever_price_limits!C:C)</f>
        <v>15</v>
      </c>
      <c r="H594" s="8">
        <f t="shared" si="37"/>
        <v>14.857999999999999</v>
      </c>
      <c r="I594" s="6">
        <f t="shared" si="38"/>
        <v>14.999999999999991</v>
      </c>
      <c r="J594" t="str">
        <f t="shared" si="39"/>
        <v>OK</v>
      </c>
    </row>
    <row r="595" spans="1:10" x14ac:dyDescent="0.2">
      <c r="A595">
        <v>10594</v>
      </c>
      <c r="B595" t="s">
        <v>7</v>
      </c>
      <c r="C595" t="s">
        <v>6</v>
      </c>
      <c r="D595" s="8">
        <v>6.24</v>
      </c>
      <c r="E595">
        <v>8</v>
      </c>
      <c r="F595" t="str">
        <f t="shared" si="36"/>
        <v>Premium</v>
      </c>
      <c r="G595" s="3" cm="1">
        <f t="array" ref="G595">_xlfn.XLOOKUP(C595 &amp; F595,
         [1]unilever_price_limits!A:A &amp; [1]unilever_price_limits!B:B,
         [1]unilever_price_limits!C:C)</f>
        <v>55</v>
      </c>
      <c r="H595" s="8">
        <f t="shared" si="37"/>
        <v>9.6720000000000006</v>
      </c>
      <c r="I595" s="6">
        <f t="shared" si="38"/>
        <v>55.000000000000007</v>
      </c>
      <c r="J595" t="str">
        <f t="shared" si="39"/>
        <v>OK</v>
      </c>
    </row>
    <row r="596" spans="1:10" x14ac:dyDescent="0.2">
      <c r="A596">
        <v>10595</v>
      </c>
      <c r="B596" t="s">
        <v>7</v>
      </c>
      <c r="C596" t="s">
        <v>11</v>
      </c>
      <c r="D596" s="8">
        <v>3.39</v>
      </c>
      <c r="E596">
        <v>2</v>
      </c>
      <c r="F596" t="str">
        <f t="shared" si="36"/>
        <v>Value</v>
      </c>
      <c r="G596" s="3" cm="1">
        <f t="array" ref="G596">_xlfn.XLOOKUP(C596 &amp; F596,
         [1]unilever_price_limits!A:A &amp; [1]unilever_price_limits!B:B,
         [1]unilever_price_limits!C:C)</f>
        <v>10</v>
      </c>
      <c r="H596" s="8">
        <f t="shared" si="37"/>
        <v>3.7290000000000005</v>
      </c>
      <c r="I596" s="6">
        <f t="shared" si="38"/>
        <v>10.000000000000009</v>
      </c>
      <c r="J596" t="str">
        <f t="shared" si="39"/>
        <v>OK</v>
      </c>
    </row>
    <row r="597" spans="1:10" x14ac:dyDescent="0.2">
      <c r="A597">
        <v>10596</v>
      </c>
      <c r="B597" t="s">
        <v>7</v>
      </c>
      <c r="C597" t="s">
        <v>9</v>
      </c>
      <c r="D597" s="8">
        <v>6.66</v>
      </c>
      <c r="E597">
        <v>3</v>
      </c>
      <c r="F597" t="str">
        <f t="shared" si="36"/>
        <v>Value</v>
      </c>
      <c r="G597" s="3" cm="1">
        <f t="array" ref="G597">_xlfn.XLOOKUP(C597 &amp; F597,
         [1]unilever_price_limits!A:A &amp; [1]unilever_price_limits!B:B,
         [1]unilever_price_limits!C:C)</f>
        <v>15</v>
      </c>
      <c r="H597" s="8">
        <f t="shared" si="37"/>
        <v>7.6589999999999998</v>
      </c>
      <c r="I597" s="6">
        <f t="shared" si="38"/>
        <v>14.999999999999991</v>
      </c>
      <c r="J597" t="str">
        <f t="shared" si="39"/>
        <v>OK</v>
      </c>
    </row>
    <row r="598" spans="1:10" x14ac:dyDescent="0.2">
      <c r="A598">
        <v>10597</v>
      </c>
      <c r="B598" t="s">
        <v>8</v>
      </c>
      <c r="C598" t="s">
        <v>11</v>
      </c>
      <c r="D598" s="8">
        <v>6.09</v>
      </c>
      <c r="E598">
        <v>4</v>
      </c>
      <c r="F598" t="str">
        <f t="shared" si="36"/>
        <v>Standard</v>
      </c>
      <c r="G598" s="3" cm="1">
        <f t="array" ref="G598">_xlfn.XLOOKUP(C598 &amp; F598,
         [1]unilever_price_limits!A:A &amp; [1]unilever_price_limits!B:B,
         [1]unilever_price_limits!C:C)</f>
        <v>25</v>
      </c>
      <c r="H598" s="8">
        <f t="shared" si="37"/>
        <v>7.6124999999999998</v>
      </c>
      <c r="I598" s="6">
        <f t="shared" si="38"/>
        <v>25</v>
      </c>
      <c r="J598" t="str">
        <f t="shared" si="39"/>
        <v>OK</v>
      </c>
    </row>
    <row r="599" spans="1:10" x14ac:dyDescent="0.2">
      <c r="A599">
        <v>10598</v>
      </c>
      <c r="B599" t="s">
        <v>5</v>
      </c>
      <c r="C599" t="s">
        <v>9</v>
      </c>
      <c r="D599" s="8">
        <v>13.77</v>
      </c>
      <c r="E599">
        <v>9</v>
      </c>
      <c r="F599" t="str">
        <f t="shared" si="36"/>
        <v>Premium</v>
      </c>
      <c r="G599" s="3" cm="1">
        <f t="array" ref="G599">_xlfn.XLOOKUP(C599 &amp; F599,
         [1]unilever_price_limits!A:A &amp; [1]unilever_price_limits!B:B,
         [1]unilever_price_limits!C:C)</f>
        <v>60</v>
      </c>
      <c r="H599" s="8">
        <f t="shared" si="37"/>
        <v>22.032</v>
      </c>
      <c r="I599" s="6">
        <f t="shared" si="38"/>
        <v>60.000000000000007</v>
      </c>
      <c r="J599" t="str">
        <f t="shared" si="39"/>
        <v>OK</v>
      </c>
    </row>
    <row r="600" spans="1:10" x14ac:dyDescent="0.2">
      <c r="A600">
        <v>10599</v>
      </c>
      <c r="B600" t="s">
        <v>7</v>
      </c>
      <c r="C600" t="s">
        <v>9</v>
      </c>
      <c r="D600" s="8">
        <v>11.55</v>
      </c>
      <c r="E600">
        <v>10</v>
      </c>
      <c r="F600" t="str">
        <f t="shared" si="36"/>
        <v>Premium</v>
      </c>
      <c r="G600" s="3" cm="1">
        <f t="array" ref="G600">_xlfn.XLOOKUP(C600 &amp; F600,
         [1]unilever_price_limits!A:A &amp; [1]unilever_price_limits!B:B,
         [1]unilever_price_limits!C:C)</f>
        <v>60</v>
      </c>
      <c r="H600" s="8">
        <f t="shared" si="37"/>
        <v>18.48</v>
      </c>
      <c r="I600" s="6">
        <f t="shared" si="38"/>
        <v>59.999999999999986</v>
      </c>
      <c r="J600" t="str">
        <f t="shared" si="39"/>
        <v>OK</v>
      </c>
    </row>
    <row r="601" spans="1:10" x14ac:dyDescent="0.2">
      <c r="A601">
        <v>10600</v>
      </c>
      <c r="B601" t="s">
        <v>10</v>
      </c>
      <c r="C601" t="s">
        <v>9</v>
      </c>
      <c r="D601" s="8">
        <v>7.82</v>
      </c>
      <c r="E601">
        <v>1</v>
      </c>
      <c r="F601" t="str">
        <f t="shared" si="36"/>
        <v>Value</v>
      </c>
      <c r="G601" s="3" cm="1">
        <f t="array" ref="G601">_xlfn.XLOOKUP(C601 &amp; F601,
         [1]unilever_price_limits!A:A &amp; [1]unilever_price_limits!B:B,
         [1]unilever_price_limits!C:C)</f>
        <v>15</v>
      </c>
      <c r="H601" s="8">
        <f t="shared" si="37"/>
        <v>8.9930000000000003</v>
      </c>
      <c r="I601" s="6">
        <f t="shared" si="38"/>
        <v>14.999999999999991</v>
      </c>
      <c r="J601" t="str">
        <f t="shared" si="39"/>
        <v>OK</v>
      </c>
    </row>
    <row r="602" spans="1:10" x14ac:dyDescent="0.2">
      <c r="A602">
        <v>10601</v>
      </c>
      <c r="B602" t="s">
        <v>8</v>
      </c>
      <c r="C602" t="s">
        <v>9</v>
      </c>
      <c r="D602" s="8">
        <v>14.83</v>
      </c>
      <c r="E602">
        <v>8</v>
      </c>
      <c r="F602" t="str">
        <f t="shared" si="36"/>
        <v>Premium</v>
      </c>
      <c r="G602" s="3" cm="1">
        <f t="array" ref="G602">_xlfn.XLOOKUP(C602 &amp; F602,
         [1]unilever_price_limits!A:A &amp; [1]unilever_price_limits!B:B,
         [1]unilever_price_limits!C:C)</f>
        <v>60</v>
      </c>
      <c r="H602" s="8">
        <f t="shared" si="37"/>
        <v>23.728000000000002</v>
      </c>
      <c r="I602" s="6">
        <f t="shared" si="38"/>
        <v>60.000000000000007</v>
      </c>
      <c r="J602" t="str">
        <f t="shared" si="39"/>
        <v>OK</v>
      </c>
    </row>
    <row r="603" spans="1:10" x14ac:dyDescent="0.2">
      <c r="A603">
        <v>10602</v>
      </c>
      <c r="B603" t="s">
        <v>7</v>
      </c>
      <c r="C603" t="s">
        <v>11</v>
      </c>
      <c r="D603" s="8">
        <v>7.25</v>
      </c>
      <c r="E603">
        <v>5</v>
      </c>
      <c r="F603" t="str">
        <f t="shared" si="36"/>
        <v>Standard</v>
      </c>
      <c r="G603" s="3" cm="1">
        <f t="array" ref="G603">_xlfn.XLOOKUP(C603 &amp; F603,
         [1]unilever_price_limits!A:A &amp; [1]unilever_price_limits!B:B,
         [1]unilever_price_limits!C:C)</f>
        <v>25</v>
      </c>
      <c r="H603" s="8">
        <f t="shared" si="37"/>
        <v>9.0625</v>
      </c>
      <c r="I603" s="6">
        <f t="shared" si="38"/>
        <v>25</v>
      </c>
      <c r="J603" t="str">
        <f t="shared" si="39"/>
        <v>OK</v>
      </c>
    </row>
    <row r="604" spans="1:10" x14ac:dyDescent="0.2">
      <c r="A604">
        <v>10603</v>
      </c>
      <c r="B604" t="s">
        <v>7</v>
      </c>
      <c r="C604" t="s">
        <v>11</v>
      </c>
      <c r="D604" s="8">
        <v>1.34</v>
      </c>
      <c r="E604">
        <v>7</v>
      </c>
      <c r="F604" t="str">
        <f t="shared" si="36"/>
        <v>Standard</v>
      </c>
      <c r="G604" s="3" cm="1">
        <f t="array" ref="G604">_xlfn.XLOOKUP(C604 &amp; F604,
         [1]unilever_price_limits!A:A &amp; [1]unilever_price_limits!B:B,
         [1]unilever_price_limits!C:C)</f>
        <v>25</v>
      </c>
      <c r="H604" s="8">
        <f t="shared" si="37"/>
        <v>1.675</v>
      </c>
      <c r="I604" s="6">
        <f t="shared" si="38"/>
        <v>25</v>
      </c>
      <c r="J604" t="str">
        <f t="shared" si="39"/>
        <v>OK</v>
      </c>
    </row>
    <row r="605" spans="1:10" x14ac:dyDescent="0.2">
      <c r="A605">
        <v>10604</v>
      </c>
      <c r="B605" t="s">
        <v>10</v>
      </c>
      <c r="C605" t="s">
        <v>9</v>
      </c>
      <c r="D605" s="8">
        <v>4.3</v>
      </c>
      <c r="E605">
        <v>8</v>
      </c>
      <c r="F605" t="str">
        <f t="shared" si="36"/>
        <v>Premium</v>
      </c>
      <c r="G605" s="3" cm="1">
        <f t="array" ref="G605">_xlfn.XLOOKUP(C605 &amp; F605,
         [1]unilever_price_limits!A:A &amp; [1]unilever_price_limits!B:B,
         [1]unilever_price_limits!C:C)</f>
        <v>60</v>
      </c>
      <c r="H605" s="8">
        <f t="shared" si="37"/>
        <v>6.88</v>
      </c>
      <c r="I605" s="6">
        <f t="shared" si="38"/>
        <v>60.000000000000007</v>
      </c>
      <c r="J605" t="str">
        <f t="shared" si="39"/>
        <v>OK</v>
      </c>
    </row>
    <row r="606" spans="1:10" x14ac:dyDescent="0.2">
      <c r="A606">
        <v>10605</v>
      </c>
      <c r="B606" t="s">
        <v>5</v>
      </c>
      <c r="C606" t="s">
        <v>9</v>
      </c>
      <c r="D606" s="8">
        <v>6.82</v>
      </c>
      <c r="E606">
        <v>5</v>
      </c>
      <c r="F606" t="str">
        <f t="shared" si="36"/>
        <v>Standard</v>
      </c>
      <c r="G606" s="3" cm="1">
        <f t="array" ref="G606">_xlfn.XLOOKUP(C606 &amp; F606,
         [1]unilever_price_limits!A:A &amp; [1]unilever_price_limits!B:B,
         [1]unilever_price_limits!C:C)</f>
        <v>30</v>
      </c>
      <c r="H606" s="8">
        <f t="shared" si="37"/>
        <v>8.8660000000000014</v>
      </c>
      <c r="I606" s="6">
        <f t="shared" si="38"/>
        <v>30.000000000000028</v>
      </c>
      <c r="J606" t="str">
        <f t="shared" si="39"/>
        <v>OK</v>
      </c>
    </row>
    <row r="607" spans="1:10" x14ac:dyDescent="0.2">
      <c r="A607">
        <v>10606</v>
      </c>
      <c r="B607" t="s">
        <v>5</v>
      </c>
      <c r="C607" t="s">
        <v>11</v>
      </c>
      <c r="D607" s="8">
        <v>2.78</v>
      </c>
      <c r="E607">
        <v>8</v>
      </c>
      <c r="F607" t="str">
        <f t="shared" si="36"/>
        <v>Premium</v>
      </c>
      <c r="G607" s="3" cm="1">
        <f t="array" ref="G607">_xlfn.XLOOKUP(C607 &amp; F607,
         [1]unilever_price_limits!A:A &amp; [1]unilever_price_limits!B:B,
         [1]unilever_price_limits!C:C)</f>
        <v>50</v>
      </c>
      <c r="H607" s="8">
        <f t="shared" si="37"/>
        <v>4.17</v>
      </c>
      <c r="I607" s="6">
        <f t="shared" si="38"/>
        <v>50</v>
      </c>
      <c r="J607" t="str">
        <f t="shared" si="39"/>
        <v>OK</v>
      </c>
    </row>
    <row r="608" spans="1:10" x14ac:dyDescent="0.2">
      <c r="A608">
        <v>10607</v>
      </c>
      <c r="B608" t="s">
        <v>5</v>
      </c>
      <c r="C608" t="s">
        <v>6</v>
      </c>
      <c r="D608" s="8">
        <v>14.24</v>
      </c>
      <c r="E608">
        <v>10</v>
      </c>
      <c r="F608" t="str">
        <f t="shared" si="36"/>
        <v>Premium</v>
      </c>
      <c r="G608" s="3" cm="1">
        <f t="array" ref="G608">_xlfn.XLOOKUP(C608 &amp; F608,
         [1]unilever_price_limits!A:A &amp; [1]unilever_price_limits!B:B,
         [1]unilever_price_limits!C:C)</f>
        <v>55</v>
      </c>
      <c r="H608" s="8">
        <f t="shared" si="37"/>
        <v>22.072000000000003</v>
      </c>
      <c r="I608" s="6">
        <f t="shared" si="38"/>
        <v>55.000000000000028</v>
      </c>
      <c r="J608" t="str">
        <f t="shared" si="39"/>
        <v>OK</v>
      </c>
    </row>
    <row r="609" spans="1:10" x14ac:dyDescent="0.2">
      <c r="A609">
        <v>10608</v>
      </c>
      <c r="B609" t="s">
        <v>7</v>
      </c>
      <c r="C609" t="s">
        <v>6</v>
      </c>
      <c r="D609" s="8">
        <v>11.62</v>
      </c>
      <c r="E609">
        <v>8</v>
      </c>
      <c r="F609" t="str">
        <f t="shared" si="36"/>
        <v>Premium</v>
      </c>
      <c r="G609" s="3" cm="1">
        <f t="array" ref="G609">_xlfn.XLOOKUP(C609 &amp; F609,
         [1]unilever_price_limits!A:A &amp; [1]unilever_price_limits!B:B,
         [1]unilever_price_limits!C:C)</f>
        <v>55</v>
      </c>
      <c r="H609" s="8">
        <f t="shared" si="37"/>
        <v>18.010999999999999</v>
      </c>
      <c r="I609" s="6">
        <f t="shared" si="38"/>
        <v>55.000000000000007</v>
      </c>
      <c r="J609" t="str">
        <f t="shared" si="39"/>
        <v>OK</v>
      </c>
    </row>
    <row r="610" spans="1:10" x14ac:dyDescent="0.2">
      <c r="A610">
        <v>10609</v>
      </c>
      <c r="B610" t="s">
        <v>7</v>
      </c>
      <c r="C610" t="s">
        <v>11</v>
      </c>
      <c r="D610" s="8">
        <v>4.3899999999999997</v>
      </c>
      <c r="E610">
        <v>9</v>
      </c>
      <c r="F610" t="str">
        <f t="shared" si="36"/>
        <v>Premium</v>
      </c>
      <c r="G610" s="3" cm="1">
        <f t="array" ref="G610">_xlfn.XLOOKUP(C610 &amp; F610,
         [1]unilever_price_limits!A:A &amp; [1]unilever_price_limits!B:B,
         [1]unilever_price_limits!C:C)</f>
        <v>50</v>
      </c>
      <c r="H610" s="8">
        <f t="shared" si="37"/>
        <v>6.5849999999999991</v>
      </c>
      <c r="I610" s="6">
        <f t="shared" si="38"/>
        <v>50</v>
      </c>
      <c r="J610" t="str">
        <f t="shared" si="39"/>
        <v>OK</v>
      </c>
    </row>
    <row r="611" spans="1:10" x14ac:dyDescent="0.2">
      <c r="A611">
        <v>10610</v>
      </c>
      <c r="B611" t="s">
        <v>7</v>
      </c>
      <c r="C611" t="s">
        <v>9</v>
      </c>
      <c r="D611" s="8">
        <v>9.07</v>
      </c>
      <c r="E611">
        <v>2</v>
      </c>
      <c r="F611" t="str">
        <f t="shared" si="36"/>
        <v>Value</v>
      </c>
      <c r="G611" s="3" cm="1">
        <f t="array" ref="G611">_xlfn.XLOOKUP(C611 &amp; F611,
         [1]unilever_price_limits!A:A &amp; [1]unilever_price_limits!B:B,
         [1]unilever_price_limits!C:C)</f>
        <v>15</v>
      </c>
      <c r="H611" s="8">
        <f t="shared" si="37"/>
        <v>10.4305</v>
      </c>
      <c r="I611" s="6">
        <f t="shared" si="38"/>
        <v>14.999999999999991</v>
      </c>
      <c r="J611" t="str">
        <f t="shared" si="39"/>
        <v>OK</v>
      </c>
    </row>
    <row r="612" spans="1:10" x14ac:dyDescent="0.2">
      <c r="A612">
        <v>10611</v>
      </c>
      <c r="B612" t="s">
        <v>8</v>
      </c>
      <c r="C612" t="s">
        <v>9</v>
      </c>
      <c r="D612" s="8">
        <v>10.96</v>
      </c>
      <c r="E612">
        <v>3</v>
      </c>
      <c r="F612" t="str">
        <f t="shared" si="36"/>
        <v>Value</v>
      </c>
      <c r="G612" s="3" cm="1">
        <f t="array" ref="G612">_xlfn.XLOOKUP(C612 &amp; F612,
         [1]unilever_price_limits!A:A &amp; [1]unilever_price_limits!B:B,
         [1]unilever_price_limits!C:C)</f>
        <v>15</v>
      </c>
      <c r="H612" s="8">
        <f t="shared" si="37"/>
        <v>12.603999999999999</v>
      </c>
      <c r="I612" s="6">
        <f t="shared" si="38"/>
        <v>14.999999999999991</v>
      </c>
      <c r="J612" t="str">
        <f t="shared" si="39"/>
        <v>OK</v>
      </c>
    </row>
    <row r="613" spans="1:10" x14ac:dyDescent="0.2">
      <c r="A613">
        <v>10612</v>
      </c>
      <c r="B613" t="s">
        <v>10</v>
      </c>
      <c r="C613" t="s">
        <v>6</v>
      </c>
      <c r="D613" s="8">
        <v>14.15</v>
      </c>
      <c r="E613">
        <v>1</v>
      </c>
      <c r="F613" t="str">
        <f t="shared" si="36"/>
        <v>Value</v>
      </c>
      <c r="G613" s="3" cm="1">
        <f t="array" ref="G613">_xlfn.XLOOKUP(C613 &amp; F613,
         [1]unilever_price_limits!A:A &amp; [1]unilever_price_limits!B:B,
         [1]unilever_price_limits!C:C)</f>
        <v>12</v>
      </c>
      <c r="H613" s="8">
        <f t="shared" si="37"/>
        <v>15.848000000000003</v>
      </c>
      <c r="I613" s="6">
        <f t="shared" si="38"/>
        <v>12.000000000000011</v>
      </c>
      <c r="J613" t="str">
        <f t="shared" si="39"/>
        <v>OK</v>
      </c>
    </row>
    <row r="614" spans="1:10" x14ac:dyDescent="0.2">
      <c r="A614">
        <v>10613</v>
      </c>
      <c r="B614" t="s">
        <v>7</v>
      </c>
      <c r="C614" t="s">
        <v>6</v>
      </c>
      <c r="D614" s="8">
        <v>13.28</v>
      </c>
      <c r="E614">
        <v>4</v>
      </c>
      <c r="F614" t="str">
        <f t="shared" si="36"/>
        <v>Standard</v>
      </c>
      <c r="G614" s="3" cm="1">
        <f t="array" ref="G614">_xlfn.XLOOKUP(C614 &amp; F614,
         [1]unilever_price_limits!A:A &amp; [1]unilever_price_limits!B:B,
         [1]unilever_price_limits!C:C)</f>
        <v>28</v>
      </c>
      <c r="H614" s="8">
        <f t="shared" si="37"/>
        <v>16.9984</v>
      </c>
      <c r="I614" s="6">
        <f t="shared" si="38"/>
        <v>28.000000000000004</v>
      </c>
      <c r="J614" t="str">
        <f t="shared" si="39"/>
        <v>OK</v>
      </c>
    </row>
    <row r="615" spans="1:10" x14ac:dyDescent="0.2">
      <c r="A615">
        <v>10614</v>
      </c>
      <c r="B615" t="s">
        <v>10</v>
      </c>
      <c r="C615" t="s">
        <v>11</v>
      </c>
      <c r="D615" s="8">
        <v>7.97</v>
      </c>
      <c r="E615">
        <v>5</v>
      </c>
      <c r="F615" t="str">
        <f t="shared" si="36"/>
        <v>Standard</v>
      </c>
      <c r="G615" s="3" cm="1">
        <f t="array" ref="G615">_xlfn.XLOOKUP(C615 &amp; F615,
         [1]unilever_price_limits!A:A &amp; [1]unilever_price_limits!B:B,
         [1]unilever_price_limits!C:C)</f>
        <v>25</v>
      </c>
      <c r="H615" s="8">
        <f t="shared" si="37"/>
        <v>9.9625000000000004</v>
      </c>
      <c r="I615" s="6">
        <f t="shared" si="38"/>
        <v>25</v>
      </c>
      <c r="J615" t="str">
        <f t="shared" si="39"/>
        <v>OK</v>
      </c>
    </row>
    <row r="616" spans="1:10" x14ac:dyDescent="0.2">
      <c r="A616">
        <v>10615</v>
      </c>
      <c r="B616" t="s">
        <v>10</v>
      </c>
      <c r="C616" t="s">
        <v>6</v>
      </c>
      <c r="D616" s="8">
        <v>11.73</v>
      </c>
      <c r="E616">
        <v>1</v>
      </c>
      <c r="F616" t="str">
        <f t="shared" si="36"/>
        <v>Value</v>
      </c>
      <c r="G616" s="3" cm="1">
        <f t="array" ref="G616">_xlfn.XLOOKUP(C616 &amp; F616,
         [1]unilever_price_limits!A:A &amp; [1]unilever_price_limits!B:B,
         [1]unilever_price_limits!C:C)</f>
        <v>12</v>
      </c>
      <c r="H616" s="8">
        <f t="shared" si="37"/>
        <v>13.137600000000003</v>
      </c>
      <c r="I616" s="6">
        <f t="shared" si="38"/>
        <v>12.000000000000011</v>
      </c>
      <c r="J616" t="str">
        <f t="shared" si="39"/>
        <v>OK</v>
      </c>
    </row>
    <row r="617" spans="1:10" x14ac:dyDescent="0.2">
      <c r="A617">
        <v>10616</v>
      </c>
      <c r="B617" t="s">
        <v>5</v>
      </c>
      <c r="C617" t="s">
        <v>11</v>
      </c>
      <c r="D617" s="8">
        <v>8.65</v>
      </c>
      <c r="E617">
        <v>8</v>
      </c>
      <c r="F617" t="str">
        <f t="shared" si="36"/>
        <v>Premium</v>
      </c>
      <c r="G617" s="3" cm="1">
        <f t="array" ref="G617">_xlfn.XLOOKUP(C617 &amp; F617,
         [1]unilever_price_limits!A:A &amp; [1]unilever_price_limits!B:B,
         [1]unilever_price_limits!C:C)</f>
        <v>50</v>
      </c>
      <c r="H617" s="8">
        <f t="shared" si="37"/>
        <v>12.975000000000001</v>
      </c>
      <c r="I617" s="6">
        <f t="shared" si="38"/>
        <v>50</v>
      </c>
      <c r="J617" t="str">
        <f t="shared" si="39"/>
        <v>OK</v>
      </c>
    </row>
    <row r="618" spans="1:10" x14ac:dyDescent="0.2">
      <c r="A618">
        <v>10617</v>
      </c>
      <c r="B618" t="s">
        <v>8</v>
      </c>
      <c r="C618" t="s">
        <v>6</v>
      </c>
      <c r="D618" s="8">
        <v>8.51</v>
      </c>
      <c r="E618">
        <v>2</v>
      </c>
      <c r="F618" t="str">
        <f t="shared" si="36"/>
        <v>Value</v>
      </c>
      <c r="G618" s="3" cm="1">
        <f t="array" ref="G618">_xlfn.XLOOKUP(C618 &amp; F618,
         [1]unilever_price_limits!A:A &amp; [1]unilever_price_limits!B:B,
         [1]unilever_price_limits!C:C)</f>
        <v>12</v>
      </c>
      <c r="H618" s="8">
        <f t="shared" si="37"/>
        <v>9.5312000000000001</v>
      </c>
      <c r="I618" s="6">
        <f t="shared" si="38"/>
        <v>12.000000000000011</v>
      </c>
      <c r="J618" t="str">
        <f t="shared" si="39"/>
        <v>OK</v>
      </c>
    </row>
    <row r="619" spans="1:10" x14ac:dyDescent="0.2">
      <c r="A619">
        <v>10618</v>
      </c>
      <c r="B619" t="s">
        <v>7</v>
      </c>
      <c r="C619" t="s">
        <v>6</v>
      </c>
      <c r="D619" s="8">
        <v>2.16</v>
      </c>
      <c r="E619">
        <v>1</v>
      </c>
      <c r="F619" t="str">
        <f t="shared" si="36"/>
        <v>Value</v>
      </c>
      <c r="G619" s="3" cm="1">
        <f t="array" ref="G619">_xlfn.XLOOKUP(C619 &amp; F619,
         [1]unilever_price_limits!A:A &amp; [1]unilever_price_limits!B:B,
         [1]unilever_price_limits!C:C)</f>
        <v>12</v>
      </c>
      <c r="H619" s="8">
        <f t="shared" si="37"/>
        <v>2.4192000000000005</v>
      </c>
      <c r="I619" s="6">
        <f t="shared" si="38"/>
        <v>12.000000000000011</v>
      </c>
      <c r="J619" t="str">
        <f t="shared" si="39"/>
        <v>OK</v>
      </c>
    </row>
    <row r="620" spans="1:10" x14ac:dyDescent="0.2">
      <c r="A620">
        <v>10619</v>
      </c>
      <c r="B620" t="s">
        <v>5</v>
      </c>
      <c r="C620" t="s">
        <v>6</v>
      </c>
      <c r="D620" s="8">
        <v>2.33</v>
      </c>
      <c r="E620">
        <v>2</v>
      </c>
      <c r="F620" t="str">
        <f t="shared" si="36"/>
        <v>Value</v>
      </c>
      <c r="G620" s="3" cm="1">
        <f t="array" ref="G620">_xlfn.XLOOKUP(C620 &amp; F620,
         [1]unilever_price_limits!A:A &amp; [1]unilever_price_limits!B:B,
         [1]unilever_price_limits!C:C)</f>
        <v>12</v>
      </c>
      <c r="H620" s="8">
        <f t="shared" si="37"/>
        <v>2.6096000000000004</v>
      </c>
      <c r="I620" s="6">
        <f t="shared" si="38"/>
        <v>12.000000000000011</v>
      </c>
      <c r="J620" t="str">
        <f t="shared" si="39"/>
        <v>OK</v>
      </c>
    </row>
    <row r="621" spans="1:10" x14ac:dyDescent="0.2">
      <c r="A621">
        <v>10620</v>
      </c>
      <c r="B621" t="s">
        <v>5</v>
      </c>
      <c r="C621" t="s">
        <v>9</v>
      </c>
      <c r="D621" s="8">
        <v>8.18</v>
      </c>
      <c r="E621">
        <v>5</v>
      </c>
      <c r="F621" t="str">
        <f t="shared" si="36"/>
        <v>Standard</v>
      </c>
      <c r="G621" s="3" cm="1">
        <f t="array" ref="G621">_xlfn.XLOOKUP(C621 &amp; F621,
         [1]unilever_price_limits!A:A &amp; [1]unilever_price_limits!B:B,
         [1]unilever_price_limits!C:C)</f>
        <v>30</v>
      </c>
      <c r="H621" s="8">
        <f t="shared" si="37"/>
        <v>10.634</v>
      </c>
      <c r="I621" s="6">
        <f t="shared" si="38"/>
        <v>30.000000000000004</v>
      </c>
      <c r="J621" t="str">
        <f t="shared" si="39"/>
        <v>OK</v>
      </c>
    </row>
    <row r="622" spans="1:10" x14ac:dyDescent="0.2">
      <c r="A622">
        <v>10621</v>
      </c>
      <c r="B622" t="s">
        <v>7</v>
      </c>
      <c r="C622" t="s">
        <v>9</v>
      </c>
      <c r="D622" s="8">
        <v>4.4000000000000004</v>
      </c>
      <c r="E622">
        <v>9</v>
      </c>
      <c r="F622" t="str">
        <f t="shared" si="36"/>
        <v>Premium</v>
      </c>
      <c r="G622" s="3" cm="1">
        <f t="array" ref="G622">_xlfn.XLOOKUP(C622 &amp; F622,
         [1]unilever_price_limits!A:A &amp; [1]unilever_price_limits!B:B,
         [1]unilever_price_limits!C:C)</f>
        <v>60</v>
      </c>
      <c r="H622" s="8">
        <f t="shared" si="37"/>
        <v>7.0400000000000009</v>
      </c>
      <c r="I622" s="6">
        <f t="shared" si="38"/>
        <v>60.000000000000007</v>
      </c>
      <c r="J622" t="str">
        <f t="shared" si="39"/>
        <v>OK</v>
      </c>
    </row>
    <row r="623" spans="1:10" x14ac:dyDescent="0.2">
      <c r="A623">
        <v>10622</v>
      </c>
      <c r="B623" t="s">
        <v>10</v>
      </c>
      <c r="C623" t="s">
        <v>9</v>
      </c>
      <c r="D623" s="8">
        <v>0.81</v>
      </c>
      <c r="E623">
        <v>9</v>
      </c>
      <c r="F623" t="str">
        <f t="shared" si="36"/>
        <v>Premium</v>
      </c>
      <c r="G623" s="3" cm="1">
        <f t="array" ref="G623">_xlfn.XLOOKUP(C623 &amp; F623,
         [1]unilever_price_limits!A:A &amp; [1]unilever_price_limits!B:B,
         [1]unilever_price_limits!C:C)</f>
        <v>60</v>
      </c>
      <c r="H623" s="8">
        <f t="shared" si="37"/>
        <v>1.2960000000000003</v>
      </c>
      <c r="I623" s="6">
        <f t="shared" si="38"/>
        <v>60.000000000000028</v>
      </c>
      <c r="J623" t="str">
        <f t="shared" si="39"/>
        <v>OK</v>
      </c>
    </row>
    <row r="624" spans="1:10" x14ac:dyDescent="0.2">
      <c r="A624">
        <v>10623</v>
      </c>
      <c r="B624" t="s">
        <v>5</v>
      </c>
      <c r="C624" t="s">
        <v>6</v>
      </c>
      <c r="D624" s="8">
        <v>10.98</v>
      </c>
      <c r="E624">
        <v>2</v>
      </c>
      <c r="F624" t="str">
        <f t="shared" si="36"/>
        <v>Value</v>
      </c>
      <c r="G624" s="3" cm="1">
        <f t="array" ref="G624">_xlfn.XLOOKUP(C624 &amp; F624,
         [1]unilever_price_limits!A:A &amp; [1]unilever_price_limits!B:B,
         [1]unilever_price_limits!C:C)</f>
        <v>12</v>
      </c>
      <c r="H624" s="8">
        <f t="shared" si="37"/>
        <v>12.297600000000001</v>
      </c>
      <c r="I624" s="6">
        <f t="shared" si="38"/>
        <v>12.000000000000011</v>
      </c>
      <c r="J624" t="str">
        <f t="shared" si="39"/>
        <v>OK</v>
      </c>
    </row>
    <row r="625" spans="1:10" x14ac:dyDescent="0.2">
      <c r="A625">
        <v>10624</v>
      </c>
      <c r="B625" t="s">
        <v>10</v>
      </c>
      <c r="C625" t="s">
        <v>11</v>
      </c>
      <c r="D625" s="8">
        <v>0.97</v>
      </c>
      <c r="E625">
        <v>2</v>
      </c>
      <c r="F625" t="str">
        <f t="shared" si="36"/>
        <v>Value</v>
      </c>
      <c r="G625" s="3" cm="1">
        <f t="array" ref="G625">_xlfn.XLOOKUP(C625 &amp; F625,
         [1]unilever_price_limits!A:A &amp; [1]unilever_price_limits!B:B,
         [1]unilever_price_limits!C:C)</f>
        <v>10</v>
      </c>
      <c r="H625" s="8">
        <f t="shared" si="37"/>
        <v>1.0669999999999999</v>
      </c>
      <c r="I625" s="6">
        <f t="shared" si="38"/>
        <v>9.9999999999999858</v>
      </c>
      <c r="J625" t="str">
        <f t="shared" si="39"/>
        <v>OK</v>
      </c>
    </row>
    <row r="626" spans="1:10" x14ac:dyDescent="0.2">
      <c r="A626">
        <v>10625</v>
      </c>
      <c r="B626" t="s">
        <v>8</v>
      </c>
      <c r="C626" t="s">
        <v>11</v>
      </c>
      <c r="D626" s="8">
        <v>9.1300000000000008</v>
      </c>
      <c r="E626">
        <v>3</v>
      </c>
      <c r="F626" t="str">
        <f t="shared" si="36"/>
        <v>Value</v>
      </c>
      <c r="G626" s="3" cm="1">
        <f t="array" ref="G626">_xlfn.XLOOKUP(C626 &amp; F626,
         [1]unilever_price_limits!A:A &amp; [1]unilever_price_limits!B:B,
         [1]unilever_price_limits!C:C)</f>
        <v>10</v>
      </c>
      <c r="H626" s="8">
        <f t="shared" si="37"/>
        <v>10.043000000000001</v>
      </c>
      <c r="I626" s="6">
        <f t="shared" si="38"/>
        <v>10.000000000000009</v>
      </c>
      <c r="J626" t="str">
        <f t="shared" si="39"/>
        <v>OK</v>
      </c>
    </row>
    <row r="627" spans="1:10" x14ac:dyDescent="0.2">
      <c r="A627">
        <v>10626</v>
      </c>
      <c r="B627" t="s">
        <v>10</v>
      </c>
      <c r="C627" t="s">
        <v>11</v>
      </c>
      <c r="D627" s="8">
        <v>8.32</v>
      </c>
      <c r="E627">
        <v>7</v>
      </c>
      <c r="F627" t="str">
        <f t="shared" si="36"/>
        <v>Standard</v>
      </c>
      <c r="G627" s="3" cm="1">
        <f t="array" ref="G627">_xlfn.XLOOKUP(C627 &amp; F627,
         [1]unilever_price_limits!A:A &amp; [1]unilever_price_limits!B:B,
         [1]unilever_price_limits!C:C)</f>
        <v>25</v>
      </c>
      <c r="H627" s="8">
        <f t="shared" si="37"/>
        <v>10.4</v>
      </c>
      <c r="I627" s="6">
        <f t="shared" si="38"/>
        <v>25</v>
      </c>
      <c r="J627" t="str">
        <f t="shared" si="39"/>
        <v>OK</v>
      </c>
    </row>
    <row r="628" spans="1:10" x14ac:dyDescent="0.2">
      <c r="A628">
        <v>10627</v>
      </c>
      <c r="B628" t="s">
        <v>8</v>
      </c>
      <c r="C628" t="s">
        <v>11</v>
      </c>
      <c r="D628" s="8">
        <v>14.55</v>
      </c>
      <c r="E628">
        <v>3</v>
      </c>
      <c r="F628" t="str">
        <f t="shared" si="36"/>
        <v>Value</v>
      </c>
      <c r="G628" s="3" cm="1">
        <f t="array" ref="G628">_xlfn.XLOOKUP(C628 &amp; F628,
         [1]unilever_price_limits!A:A &amp; [1]unilever_price_limits!B:B,
         [1]unilever_price_limits!C:C)</f>
        <v>10</v>
      </c>
      <c r="H628" s="8">
        <f t="shared" si="37"/>
        <v>16.005000000000003</v>
      </c>
      <c r="I628" s="6">
        <f t="shared" si="38"/>
        <v>10.000000000000009</v>
      </c>
      <c r="J628" t="str">
        <f t="shared" si="39"/>
        <v>OK</v>
      </c>
    </row>
    <row r="629" spans="1:10" x14ac:dyDescent="0.2">
      <c r="A629">
        <v>10628</v>
      </c>
      <c r="B629" t="s">
        <v>10</v>
      </c>
      <c r="C629" t="s">
        <v>9</v>
      </c>
      <c r="D629" s="8">
        <v>7.52</v>
      </c>
      <c r="E629">
        <v>1</v>
      </c>
      <c r="F629" t="str">
        <f t="shared" si="36"/>
        <v>Value</v>
      </c>
      <c r="G629" s="3" cm="1">
        <f t="array" ref="G629">_xlfn.XLOOKUP(C629 &amp; F629,
         [1]unilever_price_limits!A:A &amp; [1]unilever_price_limits!B:B,
         [1]unilever_price_limits!C:C)</f>
        <v>15</v>
      </c>
      <c r="H629" s="8">
        <f t="shared" si="37"/>
        <v>8.6479999999999997</v>
      </c>
      <c r="I629" s="6">
        <f t="shared" si="38"/>
        <v>15.000000000000014</v>
      </c>
      <c r="J629" t="str">
        <f t="shared" si="39"/>
        <v>OK</v>
      </c>
    </row>
    <row r="630" spans="1:10" x14ac:dyDescent="0.2">
      <c r="A630">
        <v>10629</v>
      </c>
      <c r="B630" t="s">
        <v>5</v>
      </c>
      <c r="C630" t="s">
        <v>9</v>
      </c>
      <c r="D630" s="8">
        <v>1.42</v>
      </c>
      <c r="E630">
        <v>6</v>
      </c>
      <c r="F630" t="str">
        <f t="shared" si="36"/>
        <v>Standard</v>
      </c>
      <c r="G630" s="3" cm="1">
        <f t="array" ref="G630">_xlfn.XLOOKUP(C630 &amp; F630,
         [1]unilever_price_limits!A:A &amp; [1]unilever_price_limits!B:B,
         [1]unilever_price_limits!C:C)</f>
        <v>30</v>
      </c>
      <c r="H630" s="8">
        <f t="shared" si="37"/>
        <v>1.8459999999999999</v>
      </c>
      <c r="I630" s="6">
        <f t="shared" si="38"/>
        <v>30.000000000000004</v>
      </c>
      <c r="J630" t="str">
        <f t="shared" si="39"/>
        <v>OK</v>
      </c>
    </row>
    <row r="631" spans="1:10" x14ac:dyDescent="0.2">
      <c r="A631">
        <v>10630</v>
      </c>
      <c r="B631" t="s">
        <v>5</v>
      </c>
      <c r="C631" t="s">
        <v>6</v>
      </c>
      <c r="D631" s="8">
        <v>8.5</v>
      </c>
      <c r="E631">
        <v>3</v>
      </c>
      <c r="F631" t="str">
        <f t="shared" si="36"/>
        <v>Value</v>
      </c>
      <c r="G631" s="3" cm="1">
        <f t="array" ref="G631">_xlfn.XLOOKUP(C631 &amp; F631,
         [1]unilever_price_limits!A:A &amp; [1]unilever_price_limits!B:B,
         [1]unilever_price_limits!C:C)</f>
        <v>12</v>
      </c>
      <c r="H631" s="8">
        <f t="shared" si="37"/>
        <v>9.5200000000000014</v>
      </c>
      <c r="I631" s="6">
        <f t="shared" si="38"/>
        <v>12.000000000000011</v>
      </c>
      <c r="J631" t="str">
        <f t="shared" si="39"/>
        <v>OK</v>
      </c>
    </row>
    <row r="632" spans="1:10" x14ac:dyDescent="0.2">
      <c r="A632">
        <v>10631</v>
      </c>
      <c r="B632" t="s">
        <v>8</v>
      </c>
      <c r="C632" t="s">
        <v>6</v>
      </c>
      <c r="D632" s="8">
        <v>12.7</v>
      </c>
      <c r="E632">
        <v>1</v>
      </c>
      <c r="F632" t="str">
        <f t="shared" si="36"/>
        <v>Value</v>
      </c>
      <c r="G632" s="3" cm="1">
        <f t="array" ref="G632">_xlfn.XLOOKUP(C632 &amp; F632,
         [1]unilever_price_limits!A:A &amp; [1]unilever_price_limits!B:B,
         [1]unilever_price_limits!C:C)</f>
        <v>12</v>
      </c>
      <c r="H632" s="8">
        <f t="shared" si="37"/>
        <v>14.224</v>
      </c>
      <c r="I632" s="6">
        <f t="shared" si="38"/>
        <v>12.000000000000011</v>
      </c>
      <c r="J632" t="str">
        <f t="shared" si="39"/>
        <v>OK</v>
      </c>
    </row>
    <row r="633" spans="1:10" x14ac:dyDescent="0.2">
      <c r="A633">
        <v>10632</v>
      </c>
      <c r="B633" t="s">
        <v>7</v>
      </c>
      <c r="C633" t="s">
        <v>11</v>
      </c>
      <c r="D633" s="8">
        <v>14.95</v>
      </c>
      <c r="E633">
        <v>4</v>
      </c>
      <c r="F633" t="str">
        <f t="shared" si="36"/>
        <v>Standard</v>
      </c>
      <c r="G633" s="3" cm="1">
        <f t="array" ref="G633">_xlfn.XLOOKUP(C633 &amp; F633,
         [1]unilever_price_limits!A:A &amp; [1]unilever_price_limits!B:B,
         [1]unilever_price_limits!C:C)</f>
        <v>25</v>
      </c>
      <c r="H633" s="8">
        <f t="shared" si="37"/>
        <v>18.6875</v>
      </c>
      <c r="I633" s="6">
        <f t="shared" si="38"/>
        <v>25</v>
      </c>
      <c r="J633" t="str">
        <f t="shared" si="39"/>
        <v>OK</v>
      </c>
    </row>
    <row r="634" spans="1:10" x14ac:dyDescent="0.2">
      <c r="A634">
        <v>10633</v>
      </c>
      <c r="B634" t="s">
        <v>8</v>
      </c>
      <c r="C634" t="s">
        <v>9</v>
      </c>
      <c r="D634" s="8">
        <v>6.74</v>
      </c>
      <c r="E634">
        <v>1</v>
      </c>
      <c r="F634" t="str">
        <f t="shared" si="36"/>
        <v>Value</v>
      </c>
      <c r="G634" s="3" cm="1">
        <f t="array" ref="G634">_xlfn.XLOOKUP(C634 &amp; F634,
         [1]unilever_price_limits!A:A &amp; [1]unilever_price_limits!B:B,
         [1]unilever_price_limits!C:C)</f>
        <v>15</v>
      </c>
      <c r="H634" s="8">
        <f t="shared" si="37"/>
        <v>7.7509999999999994</v>
      </c>
      <c r="I634" s="6">
        <f t="shared" si="38"/>
        <v>14.999999999999991</v>
      </c>
      <c r="J634" t="str">
        <f t="shared" si="39"/>
        <v>OK</v>
      </c>
    </row>
    <row r="635" spans="1:10" x14ac:dyDescent="0.2">
      <c r="A635">
        <v>10634</v>
      </c>
      <c r="B635" t="s">
        <v>8</v>
      </c>
      <c r="C635" t="s">
        <v>11</v>
      </c>
      <c r="D635" s="8">
        <v>5.14</v>
      </c>
      <c r="E635">
        <v>1</v>
      </c>
      <c r="F635" t="str">
        <f t="shared" si="36"/>
        <v>Value</v>
      </c>
      <c r="G635" s="3" cm="1">
        <f t="array" ref="G635">_xlfn.XLOOKUP(C635 &amp; F635,
         [1]unilever_price_limits!A:A &amp; [1]unilever_price_limits!B:B,
         [1]unilever_price_limits!C:C)</f>
        <v>10</v>
      </c>
      <c r="H635" s="8">
        <f t="shared" si="37"/>
        <v>5.6539999999999999</v>
      </c>
      <c r="I635" s="6">
        <f t="shared" si="38"/>
        <v>10.000000000000009</v>
      </c>
      <c r="J635" t="str">
        <f t="shared" si="39"/>
        <v>OK</v>
      </c>
    </row>
    <row r="636" spans="1:10" x14ac:dyDescent="0.2">
      <c r="A636">
        <v>10635</v>
      </c>
      <c r="B636" t="s">
        <v>10</v>
      </c>
      <c r="C636" t="s">
        <v>6</v>
      </c>
      <c r="D636" s="8">
        <v>13.65</v>
      </c>
      <c r="E636">
        <v>2</v>
      </c>
      <c r="F636" t="str">
        <f t="shared" si="36"/>
        <v>Value</v>
      </c>
      <c r="G636" s="3" cm="1">
        <f t="array" ref="G636">_xlfn.XLOOKUP(C636 &amp; F636,
         [1]unilever_price_limits!A:A &amp; [1]unilever_price_limits!B:B,
         [1]unilever_price_limits!C:C)</f>
        <v>12</v>
      </c>
      <c r="H636" s="8">
        <f t="shared" si="37"/>
        <v>15.288000000000002</v>
      </c>
      <c r="I636" s="6">
        <f t="shared" si="38"/>
        <v>12.000000000000011</v>
      </c>
      <c r="J636" t="str">
        <f t="shared" si="39"/>
        <v>OK</v>
      </c>
    </row>
    <row r="637" spans="1:10" x14ac:dyDescent="0.2">
      <c r="A637">
        <v>10636</v>
      </c>
      <c r="B637" t="s">
        <v>10</v>
      </c>
      <c r="C637" t="s">
        <v>6</v>
      </c>
      <c r="D637" s="8">
        <v>3.27</v>
      </c>
      <c r="E637">
        <v>10</v>
      </c>
      <c r="F637" t="str">
        <f t="shared" si="36"/>
        <v>Premium</v>
      </c>
      <c r="G637" s="3" cm="1">
        <f t="array" ref="G637">_xlfn.XLOOKUP(C637 &amp; F637,
         [1]unilever_price_limits!A:A &amp; [1]unilever_price_limits!B:B,
         [1]unilever_price_limits!C:C)</f>
        <v>55</v>
      </c>
      <c r="H637" s="8">
        <f t="shared" si="37"/>
        <v>5.0685000000000002</v>
      </c>
      <c r="I637" s="6">
        <f t="shared" si="38"/>
        <v>55.000000000000007</v>
      </c>
      <c r="J637" t="str">
        <f t="shared" si="39"/>
        <v>OK</v>
      </c>
    </row>
    <row r="638" spans="1:10" x14ac:dyDescent="0.2">
      <c r="A638">
        <v>10637</v>
      </c>
      <c r="B638" t="s">
        <v>8</v>
      </c>
      <c r="C638" t="s">
        <v>11</v>
      </c>
      <c r="D638" s="8">
        <v>9.42</v>
      </c>
      <c r="E638">
        <v>8</v>
      </c>
      <c r="F638" t="str">
        <f t="shared" si="36"/>
        <v>Premium</v>
      </c>
      <c r="G638" s="3" cm="1">
        <f t="array" ref="G638">_xlfn.XLOOKUP(C638 &amp; F638,
         [1]unilever_price_limits!A:A &amp; [1]unilever_price_limits!B:B,
         [1]unilever_price_limits!C:C)</f>
        <v>50</v>
      </c>
      <c r="H638" s="8">
        <f t="shared" si="37"/>
        <v>14.129999999999999</v>
      </c>
      <c r="I638" s="6">
        <f t="shared" si="38"/>
        <v>50</v>
      </c>
      <c r="J638" t="str">
        <f t="shared" si="39"/>
        <v>OK</v>
      </c>
    </row>
    <row r="639" spans="1:10" x14ac:dyDescent="0.2">
      <c r="A639">
        <v>10638</v>
      </c>
      <c r="B639" t="s">
        <v>5</v>
      </c>
      <c r="C639" t="s">
        <v>6</v>
      </c>
      <c r="D639" s="8">
        <v>6.38</v>
      </c>
      <c r="E639">
        <v>2</v>
      </c>
      <c r="F639" t="str">
        <f t="shared" si="36"/>
        <v>Value</v>
      </c>
      <c r="G639" s="3" cm="1">
        <f t="array" ref="G639">_xlfn.XLOOKUP(C639 &amp; F639,
         [1]unilever_price_limits!A:A &amp; [1]unilever_price_limits!B:B,
         [1]unilever_price_limits!C:C)</f>
        <v>12</v>
      </c>
      <c r="H639" s="8">
        <f t="shared" si="37"/>
        <v>7.1456000000000008</v>
      </c>
      <c r="I639" s="6">
        <f t="shared" si="38"/>
        <v>12.000000000000011</v>
      </c>
      <c r="J639" t="str">
        <f t="shared" si="39"/>
        <v>OK</v>
      </c>
    </row>
    <row r="640" spans="1:10" x14ac:dyDescent="0.2">
      <c r="A640">
        <v>10639</v>
      </c>
      <c r="B640" t="s">
        <v>10</v>
      </c>
      <c r="C640" t="s">
        <v>11</v>
      </c>
      <c r="D640" s="8">
        <v>1.1000000000000001</v>
      </c>
      <c r="E640">
        <v>2</v>
      </c>
      <c r="F640" t="str">
        <f t="shared" si="36"/>
        <v>Value</v>
      </c>
      <c r="G640" s="3" cm="1">
        <f t="array" ref="G640">_xlfn.XLOOKUP(C640 &amp; F640,
         [1]unilever_price_limits!A:A &amp; [1]unilever_price_limits!B:B,
         [1]unilever_price_limits!C:C)</f>
        <v>10</v>
      </c>
      <c r="H640" s="8">
        <f t="shared" si="37"/>
        <v>1.2100000000000002</v>
      </c>
      <c r="I640" s="6">
        <f t="shared" si="38"/>
        <v>10.000000000000009</v>
      </c>
      <c r="J640" t="str">
        <f t="shared" si="39"/>
        <v>OK</v>
      </c>
    </row>
    <row r="641" spans="1:10" x14ac:dyDescent="0.2">
      <c r="A641">
        <v>10640</v>
      </c>
      <c r="B641" t="s">
        <v>7</v>
      </c>
      <c r="C641" t="s">
        <v>9</v>
      </c>
      <c r="D641" s="8">
        <v>5.54</v>
      </c>
      <c r="E641">
        <v>10</v>
      </c>
      <c r="F641" t="str">
        <f t="shared" si="36"/>
        <v>Premium</v>
      </c>
      <c r="G641" s="3" cm="1">
        <f t="array" ref="G641">_xlfn.XLOOKUP(C641 &amp; F641,
         [1]unilever_price_limits!A:A &amp; [1]unilever_price_limits!B:B,
         [1]unilever_price_limits!C:C)</f>
        <v>60</v>
      </c>
      <c r="H641" s="8">
        <f t="shared" si="37"/>
        <v>8.8640000000000008</v>
      </c>
      <c r="I641" s="6">
        <f t="shared" si="38"/>
        <v>60.000000000000007</v>
      </c>
      <c r="J641" t="str">
        <f t="shared" si="39"/>
        <v>OK</v>
      </c>
    </row>
    <row r="642" spans="1:10" x14ac:dyDescent="0.2">
      <c r="A642">
        <v>10641</v>
      </c>
      <c r="B642" t="s">
        <v>10</v>
      </c>
      <c r="C642" t="s">
        <v>11</v>
      </c>
      <c r="D642" s="8">
        <v>4.3499999999999996</v>
      </c>
      <c r="E642">
        <v>10</v>
      </c>
      <c r="F642" t="str">
        <f t="shared" si="36"/>
        <v>Premium</v>
      </c>
      <c r="G642" s="3" cm="1">
        <f t="array" ref="G642">_xlfn.XLOOKUP(C642 &amp; F642,
         [1]unilever_price_limits!A:A &amp; [1]unilever_price_limits!B:B,
         [1]unilever_price_limits!C:C)</f>
        <v>50</v>
      </c>
      <c r="H642" s="8">
        <f t="shared" si="37"/>
        <v>6.5249999999999995</v>
      </c>
      <c r="I642" s="6">
        <f t="shared" si="38"/>
        <v>50</v>
      </c>
      <c r="J642" t="str">
        <f t="shared" si="39"/>
        <v>OK</v>
      </c>
    </row>
    <row r="643" spans="1:10" x14ac:dyDescent="0.2">
      <c r="A643">
        <v>10642</v>
      </c>
      <c r="B643" t="s">
        <v>10</v>
      </c>
      <c r="C643" t="s">
        <v>9</v>
      </c>
      <c r="D643" s="8">
        <v>10.45</v>
      </c>
      <c r="E643">
        <v>8</v>
      </c>
      <c r="F643" t="str">
        <f t="shared" ref="F643:F706" si="40">IF(E643&lt;=3,"Value",
 IF(E643&lt;=7,"Standard","Premium"))</f>
        <v>Premium</v>
      </c>
      <c r="G643" s="3" cm="1">
        <f t="array" ref="G643">_xlfn.XLOOKUP(C643 &amp; F643,
         [1]unilever_price_limits!A:A &amp; [1]unilever_price_limits!B:B,
         [1]unilever_price_limits!C:C)</f>
        <v>60</v>
      </c>
      <c r="H643" s="8">
        <f t="shared" ref="H643:H706" si="41">D643 * (1 + G643/100)</f>
        <v>16.72</v>
      </c>
      <c r="I643" s="6">
        <f t="shared" ref="I643:I706" si="42">(H643 / D643 - 1) * 100</f>
        <v>60.000000000000007</v>
      </c>
      <c r="J643" t="str">
        <f t="shared" ref="J643:J706" si="43">IF(I642&gt; G642, "⚠ Exceeds Limit", "OK")</f>
        <v>OK</v>
      </c>
    </row>
    <row r="644" spans="1:10" x14ac:dyDescent="0.2">
      <c r="A644">
        <v>10643</v>
      </c>
      <c r="B644" t="s">
        <v>7</v>
      </c>
      <c r="C644" t="s">
        <v>9</v>
      </c>
      <c r="D644" s="8">
        <v>14.26</v>
      </c>
      <c r="E644">
        <v>6</v>
      </c>
      <c r="F644" t="str">
        <f t="shared" si="40"/>
        <v>Standard</v>
      </c>
      <c r="G644" s="3" cm="1">
        <f t="array" ref="G644">_xlfn.XLOOKUP(C644 &amp; F644,
         [1]unilever_price_limits!A:A &amp; [1]unilever_price_limits!B:B,
         [1]unilever_price_limits!C:C)</f>
        <v>30</v>
      </c>
      <c r="H644" s="8">
        <f t="shared" si="41"/>
        <v>18.538</v>
      </c>
      <c r="I644" s="6">
        <f t="shared" si="42"/>
        <v>30.000000000000004</v>
      </c>
      <c r="J644" t="str">
        <f t="shared" si="43"/>
        <v>OK</v>
      </c>
    </row>
    <row r="645" spans="1:10" x14ac:dyDescent="0.2">
      <c r="A645">
        <v>10644</v>
      </c>
      <c r="B645" t="s">
        <v>8</v>
      </c>
      <c r="C645" t="s">
        <v>6</v>
      </c>
      <c r="D645" s="8">
        <v>4.3899999999999997</v>
      </c>
      <c r="E645">
        <v>4</v>
      </c>
      <c r="F645" t="str">
        <f t="shared" si="40"/>
        <v>Standard</v>
      </c>
      <c r="G645" s="3" cm="1">
        <f t="array" ref="G645">_xlfn.XLOOKUP(C645 &amp; F645,
         [1]unilever_price_limits!A:A &amp; [1]unilever_price_limits!B:B,
         [1]unilever_price_limits!C:C)</f>
        <v>28</v>
      </c>
      <c r="H645" s="8">
        <f t="shared" si="41"/>
        <v>5.6191999999999993</v>
      </c>
      <c r="I645" s="6">
        <f t="shared" si="42"/>
        <v>28.000000000000004</v>
      </c>
      <c r="J645" t="str">
        <f t="shared" si="43"/>
        <v>OK</v>
      </c>
    </row>
    <row r="646" spans="1:10" x14ac:dyDescent="0.2">
      <c r="A646">
        <v>10645</v>
      </c>
      <c r="B646" t="s">
        <v>7</v>
      </c>
      <c r="C646" t="s">
        <v>6</v>
      </c>
      <c r="D646" s="8">
        <v>12.27</v>
      </c>
      <c r="E646">
        <v>3</v>
      </c>
      <c r="F646" t="str">
        <f t="shared" si="40"/>
        <v>Value</v>
      </c>
      <c r="G646" s="3" cm="1">
        <f t="array" ref="G646">_xlfn.XLOOKUP(C646 &amp; F646,
         [1]unilever_price_limits!A:A &amp; [1]unilever_price_limits!B:B,
         [1]unilever_price_limits!C:C)</f>
        <v>12</v>
      </c>
      <c r="H646" s="8">
        <f t="shared" si="41"/>
        <v>13.7424</v>
      </c>
      <c r="I646" s="6">
        <f t="shared" si="42"/>
        <v>12.000000000000011</v>
      </c>
      <c r="J646" t="str">
        <f t="shared" si="43"/>
        <v>OK</v>
      </c>
    </row>
    <row r="647" spans="1:10" x14ac:dyDescent="0.2">
      <c r="A647">
        <v>10646</v>
      </c>
      <c r="B647" t="s">
        <v>8</v>
      </c>
      <c r="C647" t="s">
        <v>6</v>
      </c>
      <c r="D647" s="8">
        <v>1.3</v>
      </c>
      <c r="E647">
        <v>1</v>
      </c>
      <c r="F647" t="str">
        <f t="shared" si="40"/>
        <v>Value</v>
      </c>
      <c r="G647" s="3" cm="1">
        <f t="array" ref="G647">_xlfn.XLOOKUP(C647 &amp; F647,
         [1]unilever_price_limits!A:A &amp; [1]unilever_price_limits!B:B,
         [1]unilever_price_limits!C:C)</f>
        <v>12</v>
      </c>
      <c r="H647" s="8">
        <f t="shared" si="41"/>
        <v>1.4560000000000002</v>
      </c>
      <c r="I647" s="6">
        <f t="shared" si="42"/>
        <v>12.000000000000011</v>
      </c>
      <c r="J647" t="str">
        <f t="shared" si="43"/>
        <v>OK</v>
      </c>
    </row>
    <row r="648" spans="1:10" x14ac:dyDescent="0.2">
      <c r="A648">
        <v>10647</v>
      </c>
      <c r="B648" t="s">
        <v>8</v>
      </c>
      <c r="C648" t="s">
        <v>11</v>
      </c>
      <c r="D648" s="8">
        <v>8.3000000000000007</v>
      </c>
      <c r="E648">
        <v>3</v>
      </c>
      <c r="F648" t="str">
        <f t="shared" si="40"/>
        <v>Value</v>
      </c>
      <c r="G648" s="3" cm="1">
        <f t="array" ref="G648">_xlfn.XLOOKUP(C648 &amp; F648,
         [1]unilever_price_limits!A:A &amp; [1]unilever_price_limits!B:B,
         [1]unilever_price_limits!C:C)</f>
        <v>10</v>
      </c>
      <c r="H648" s="8">
        <f t="shared" si="41"/>
        <v>9.1300000000000008</v>
      </c>
      <c r="I648" s="6">
        <f t="shared" si="42"/>
        <v>10.000000000000009</v>
      </c>
      <c r="J648" t="str">
        <f t="shared" si="43"/>
        <v>OK</v>
      </c>
    </row>
    <row r="649" spans="1:10" x14ac:dyDescent="0.2">
      <c r="A649">
        <v>10648</v>
      </c>
      <c r="B649" t="s">
        <v>8</v>
      </c>
      <c r="C649" t="s">
        <v>11</v>
      </c>
      <c r="D649" s="8">
        <v>1.52</v>
      </c>
      <c r="E649">
        <v>9</v>
      </c>
      <c r="F649" t="str">
        <f t="shared" si="40"/>
        <v>Premium</v>
      </c>
      <c r="G649" s="3" cm="1">
        <f t="array" ref="G649">_xlfn.XLOOKUP(C649 &amp; F649,
         [1]unilever_price_limits!A:A &amp; [1]unilever_price_limits!B:B,
         [1]unilever_price_limits!C:C)</f>
        <v>50</v>
      </c>
      <c r="H649" s="8">
        <f t="shared" si="41"/>
        <v>2.2800000000000002</v>
      </c>
      <c r="I649" s="6">
        <f t="shared" si="42"/>
        <v>50.000000000000021</v>
      </c>
      <c r="J649" t="str">
        <f t="shared" si="43"/>
        <v>OK</v>
      </c>
    </row>
    <row r="650" spans="1:10" x14ac:dyDescent="0.2">
      <c r="A650">
        <v>10649</v>
      </c>
      <c r="B650" t="s">
        <v>7</v>
      </c>
      <c r="C650" t="s">
        <v>6</v>
      </c>
      <c r="D650" s="8">
        <v>14.04</v>
      </c>
      <c r="E650">
        <v>5</v>
      </c>
      <c r="F650" t="str">
        <f t="shared" si="40"/>
        <v>Standard</v>
      </c>
      <c r="G650" s="3" cm="1">
        <f t="array" ref="G650">_xlfn.XLOOKUP(C650 &amp; F650,
         [1]unilever_price_limits!A:A &amp; [1]unilever_price_limits!B:B,
         [1]unilever_price_limits!C:C)</f>
        <v>28</v>
      </c>
      <c r="H650" s="8">
        <f t="shared" si="41"/>
        <v>17.9712</v>
      </c>
      <c r="I650" s="6">
        <f t="shared" si="42"/>
        <v>28.000000000000004</v>
      </c>
      <c r="J650" t="str">
        <f t="shared" si="43"/>
        <v>OK</v>
      </c>
    </row>
    <row r="651" spans="1:10" x14ac:dyDescent="0.2">
      <c r="A651">
        <v>10650</v>
      </c>
      <c r="B651" t="s">
        <v>8</v>
      </c>
      <c r="C651" t="s">
        <v>11</v>
      </c>
      <c r="D651" s="8">
        <v>11.61</v>
      </c>
      <c r="E651">
        <v>6</v>
      </c>
      <c r="F651" t="str">
        <f t="shared" si="40"/>
        <v>Standard</v>
      </c>
      <c r="G651" s="3" cm="1">
        <f t="array" ref="G651">_xlfn.XLOOKUP(C651 &amp; F651,
         [1]unilever_price_limits!A:A &amp; [1]unilever_price_limits!B:B,
         [1]unilever_price_limits!C:C)</f>
        <v>25</v>
      </c>
      <c r="H651" s="8">
        <f t="shared" si="41"/>
        <v>14.512499999999999</v>
      </c>
      <c r="I651" s="6">
        <f t="shared" si="42"/>
        <v>25</v>
      </c>
      <c r="J651" t="str">
        <f t="shared" si="43"/>
        <v>OK</v>
      </c>
    </row>
    <row r="652" spans="1:10" x14ac:dyDescent="0.2">
      <c r="A652">
        <v>10651</v>
      </c>
      <c r="B652" t="s">
        <v>5</v>
      </c>
      <c r="C652" t="s">
        <v>6</v>
      </c>
      <c r="D652" s="8">
        <v>10.039999999999999</v>
      </c>
      <c r="E652">
        <v>5</v>
      </c>
      <c r="F652" t="str">
        <f t="shared" si="40"/>
        <v>Standard</v>
      </c>
      <c r="G652" s="3" cm="1">
        <f t="array" ref="G652">_xlfn.XLOOKUP(C652 &amp; F652,
         [1]unilever_price_limits!A:A &amp; [1]unilever_price_limits!B:B,
         [1]unilever_price_limits!C:C)</f>
        <v>28</v>
      </c>
      <c r="H652" s="8">
        <f t="shared" si="41"/>
        <v>12.851199999999999</v>
      </c>
      <c r="I652" s="6">
        <f t="shared" si="42"/>
        <v>28.000000000000004</v>
      </c>
      <c r="J652" t="str">
        <f t="shared" si="43"/>
        <v>OK</v>
      </c>
    </row>
    <row r="653" spans="1:10" x14ac:dyDescent="0.2">
      <c r="A653">
        <v>10652</v>
      </c>
      <c r="B653" t="s">
        <v>7</v>
      </c>
      <c r="C653" t="s">
        <v>11</v>
      </c>
      <c r="D653" s="8">
        <v>12.45</v>
      </c>
      <c r="E653">
        <v>1</v>
      </c>
      <c r="F653" t="str">
        <f t="shared" si="40"/>
        <v>Value</v>
      </c>
      <c r="G653" s="3" cm="1">
        <f t="array" ref="G653">_xlfn.XLOOKUP(C653 &amp; F653,
         [1]unilever_price_limits!A:A &amp; [1]unilever_price_limits!B:B,
         [1]unilever_price_limits!C:C)</f>
        <v>10</v>
      </c>
      <c r="H653" s="8">
        <f t="shared" si="41"/>
        <v>13.695</v>
      </c>
      <c r="I653" s="6">
        <f t="shared" si="42"/>
        <v>10.000000000000009</v>
      </c>
      <c r="J653" t="str">
        <f t="shared" si="43"/>
        <v>OK</v>
      </c>
    </row>
    <row r="654" spans="1:10" x14ac:dyDescent="0.2">
      <c r="A654">
        <v>10653</v>
      </c>
      <c r="B654" t="s">
        <v>5</v>
      </c>
      <c r="C654" t="s">
        <v>9</v>
      </c>
      <c r="D654" s="8">
        <v>9.89</v>
      </c>
      <c r="E654">
        <v>10</v>
      </c>
      <c r="F654" t="str">
        <f t="shared" si="40"/>
        <v>Premium</v>
      </c>
      <c r="G654" s="3" cm="1">
        <f t="array" ref="G654">_xlfn.XLOOKUP(C654 &amp; F654,
         [1]unilever_price_limits!A:A &amp; [1]unilever_price_limits!B:B,
         [1]unilever_price_limits!C:C)</f>
        <v>60</v>
      </c>
      <c r="H654" s="8">
        <f t="shared" si="41"/>
        <v>15.824000000000002</v>
      </c>
      <c r="I654" s="6">
        <f t="shared" si="42"/>
        <v>60.000000000000007</v>
      </c>
      <c r="J654" t="str">
        <f t="shared" si="43"/>
        <v>OK</v>
      </c>
    </row>
    <row r="655" spans="1:10" x14ac:dyDescent="0.2">
      <c r="A655">
        <v>10654</v>
      </c>
      <c r="B655" t="s">
        <v>8</v>
      </c>
      <c r="C655" t="s">
        <v>9</v>
      </c>
      <c r="D655" s="8">
        <v>14.55</v>
      </c>
      <c r="E655">
        <v>1</v>
      </c>
      <c r="F655" t="str">
        <f t="shared" si="40"/>
        <v>Value</v>
      </c>
      <c r="G655" s="3" cm="1">
        <f t="array" ref="G655">_xlfn.XLOOKUP(C655 &amp; F655,
         [1]unilever_price_limits!A:A &amp; [1]unilever_price_limits!B:B,
         [1]unilever_price_limits!C:C)</f>
        <v>15</v>
      </c>
      <c r="H655" s="8">
        <f t="shared" si="41"/>
        <v>16.732499999999998</v>
      </c>
      <c r="I655" s="6">
        <f t="shared" si="42"/>
        <v>14.999999999999991</v>
      </c>
      <c r="J655" t="str">
        <f t="shared" si="43"/>
        <v>OK</v>
      </c>
    </row>
    <row r="656" spans="1:10" x14ac:dyDescent="0.2">
      <c r="A656">
        <v>10655</v>
      </c>
      <c r="B656" t="s">
        <v>10</v>
      </c>
      <c r="C656" t="s">
        <v>6</v>
      </c>
      <c r="D656" s="8">
        <v>10.85</v>
      </c>
      <c r="E656">
        <v>4</v>
      </c>
      <c r="F656" t="str">
        <f t="shared" si="40"/>
        <v>Standard</v>
      </c>
      <c r="G656" s="3" cm="1">
        <f t="array" ref="G656">_xlfn.XLOOKUP(C656 &amp; F656,
         [1]unilever_price_limits!A:A &amp; [1]unilever_price_limits!B:B,
         [1]unilever_price_limits!C:C)</f>
        <v>28</v>
      </c>
      <c r="H656" s="8">
        <f t="shared" si="41"/>
        <v>13.888</v>
      </c>
      <c r="I656" s="6">
        <f t="shared" si="42"/>
        <v>28.000000000000004</v>
      </c>
      <c r="J656" t="str">
        <f t="shared" si="43"/>
        <v>OK</v>
      </c>
    </row>
    <row r="657" spans="1:10" x14ac:dyDescent="0.2">
      <c r="A657">
        <v>10656</v>
      </c>
      <c r="B657" t="s">
        <v>8</v>
      </c>
      <c r="C657" t="s">
        <v>11</v>
      </c>
      <c r="D657" s="8">
        <v>13.91</v>
      </c>
      <c r="E657">
        <v>3</v>
      </c>
      <c r="F657" t="str">
        <f t="shared" si="40"/>
        <v>Value</v>
      </c>
      <c r="G657" s="3" cm="1">
        <f t="array" ref="G657">_xlfn.XLOOKUP(C657 &amp; F657,
         [1]unilever_price_limits!A:A &amp; [1]unilever_price_limits!B:B,
         [1]unilever_price_limits!C:C)</f>
        <v>10</v>
      </c>
      <c r="H657" s="8">
        <f t="shared" si="41"/>
        <v>15.301000000000002</v>
      </c>
      <c r="I657" s="6">
        <f t="shared" si="42"/>
        <v>10.000000000000009</v>
      </c>
      <c r="J657" t="str">
        <f t="shared" si="43"/>
        <v>OK</v>
      </c>
    </row>
    <row r="658" spans="1:10" x14ac:dyDescent="0.2">
      <c r="A658">
        <v>10657</v>
      </c>
      <c r="B658" t="s">
        <v>5</v>
      </c>
      <c r="C658" t="s">
        <v>11</v>
      </c>
      <c r="D658" s="8">
        <v>8</v>
      </c>
      <c r="E658">
        <v>8</v>
      </c>
      <c r="F658" t="str">
        <f t="shared" si="40"/>
        <v>Premium</v>
      </c>
      <c r="G658" s="3" cm="1">
        <f t="array" ref="G658">_xlfn.XLOOKUP(C658 &amp; F658,
         [1]unilever_price_limits!A:A &amp; [1]unilever_price_limits!B:B,
         [1]unilever_price_limits!C:C)</f>
        <v>50</v>
      </c>
      <c r="H658" s="8">
        <f t="shared" si="41"/>
        <v>12</v>
      </c>
      <c r="I658" s="6">
        <f t="shared" si="42"/>
        <v>50</v>
      </c>
      <c r="J658" t="str">
        <f t="shared" si="43"/>
        <v>OK</v>
      </c>
    </row>
    <row r="659" spans="1:10" x14ac:dyDescent="0.2">
      <c r="A659">
        <v>10658</v>
      </c>
      <c r="B659" t="s">
        <v>5</v>
      </c>
      <c r="C659" t="s">
        <v>9</v>
      </c>
      <c r="D659" s="8">
        <v>2.2000000000000002</v>
      </c>
      <c r="E659">
        <v>7</v>
      </c>
      <c r="F659" t="str">
        <f t="shared" si="40"/>
        <v>Standard</v>
      </c>
      <c r="G659" s="3" cm="1">
        <f t="array" ref="G659">_xlfn.XLOOKUP(C659 &amp; F659,
         [1]unilever_price_limits!A:A &amp; [1]unilever_price_limits!B:B,
         [1]unilever_price_limits!C:C)</f>
        <v>30</v>
      </c>
      <c r="H659" s="8">
        <f t="shared" si="41"/>
        <v>2.8600000000000003</v>
      </c>
      <c r="I659" s="6">
        <f t="shared" si="42"/>
        <v>30.000000000000004</v>
      </c>
      <c r="J659" t="str">
        <f t="shared" si="43"/>
        <v>OK</v>
      </c>
    </row>
    <row r="660" spans="1:10" x14ac:dyDescent="0.2">
      <c r="A660">
        <v>10659</v>
      </c>
      <c r="B660" t="s">
        <v>7</v>
      </c>
      <c r="C660" t="s">
        <v>9</v>
      </c>
      <c r="D660" s="8">
        <v>8.16</v>
      </c>
      <c r="E660">
        <v>7</v>
      </c>
      <c r="F660" t="str">
        <f t="shared" si="40"/>
        <v>Standard</v>
      </c>
      <c r="G660" s="3" cm="1">
        <f t="array" ref="G660">_xlfn.XLOOKUP(C660 &amp; F660,
         [1]unilever_price_limits!A:A &amp; [1]unilever_price_limits!B:B,
         [1]unilever_price_limits!C:C)</f>
        <v>30</v>
      </c>
      <c r="H660" s="8">
        <f t="shared" si="41"/>
        <v>10.608000000000001</v>
      </c>
      <c r="I660" s="6">
        <f t="shared" si="42"/>
        <v>30.000000000000004</v>
      </c>
      <c r="J660" t="str">
        <f t="shared" si="43"/>
        <v>OK</v>
      </c>
    </row>
    <row r="661" spans="1:10" x14ac:dyDescent="0.2">
      <c r="A661">
        <v>10660</v>
      </c>
      <c r="B661" t="s">
        <v>10</v>
      </c>
      <c r="C661" t="s">
        <v>6</v>
      </c>
      <c r="D661" s="8">
        <v>2.34</v>
      </c>
      <c r="E661">
        <v>8</v>
      </c>
      <c r="F661" t="str">
        <f t="shared" si="40"/>
        <v>Premium</v>
      </c>
      <c r="G661" s="3" cm="1">
        <f t="array" ref="G661">_xlfn.XLOOKUP(C661 &amp; F661,
         [1]unilever_price_limits!A:A &amp; [1]unilever_price_limits!B:B,
         [1]unilever_price_limits!C:C)</f>
        <v>55</v>
      </c>
      <c r="H661" s="8">
        <f t="shared" si="41"/>
        <v>3.6269999999999998</v>
      </c>
      <c r="I661" s="6">
        <f t="shared" si="42"/>
        <v>55.000000000000007</v>
      </c>
      <c r="J661" t="str">
        <f t="shared" si="43"/>
        <v>OK</v>
      </c>
    </row>
    <row r="662" spans="1:10" x14ac:dyDescent="0.2">
      <c r="A662">
        <v>10661</v>
      </c>
      <c r="B662" t="s">
        <v>7</v>
      </c>
      <c r="C662" t="s">
        <v>9</v>
      </c>
      <c r="D662" s="8">
        <v>9.09</v>
      </c>
      <c r="E662">
        <v>10</v>
      </c>
      <c r="F662" t="str">
        <f t="shared" si="40"/>
        <v>Premium</v>
      </c>
      <c r="G662" s="3" cm="1">
        <f t="array" ref="G662">_xlfn.XLOOKUP(C662 &amp; F662,
         [1]unilever_price_limits!A:A &amp; [1]unilever_price_limits!B:B,
         [1]unilever_price_limits!C:C)</f>
        <v>60</v>
      </c>
      <c r="H662" s="8">
        <f t="shared" si="41"/>
        <v>14.544</v>
      </c>
      <c r="I662" s="6">
        <f t="shared" si="42"/>
        <v>60.000000000000007</v>
      </c>
      <c r="J662" t="str">
        <f t="shared" si="43"/>
        <v>OK</v>
      </c>
    </row>
    <row r="663" spans="1:10" x14ac:dyDescent="0.2">
      <c r="A663">
        <v>10662</v>
      </c>
      <c r="B663" t="s">
        <v>5</v>
      </c>
      <c r="C663" t="s">
        <v>6</v>
      </c>
      <c r="D663" s="8">
        <v>7.5</v>
      </c>
      <c r="E663">
        <v>7</v>
      </c>
      <c r="F663" t="str">
        <f t="shared" si="40"/>
        <v>Standard</v>
      </c>
      <c r="G663" s="3" cm="1">
        <f t="array" ref="G663">_xlfn.XLOOKUP(C663 &amp; F663,
         [1]unilever_price_limits!A:A &amp; [1]unilever_price_limits!B:B,
         [1]unilever_price_limits!C:C)</f>
        <v>28</v>
      </c>
      <c r="H663" s="8">
        <f t="shared" si="41"/>
        <v>9.6</v>
      </c>
      <c r="I663" s="6">
        <f t="shared" si="42"/>
        <v>28.000000000000004</v>
      </c>
      <c r="J663" t="str">
        <f t="shared" si="43"/>
        <v>OK</v>
      </c>
    </row>
    <row r="664" spans="1:10" x14ac:dyDescent="0.2">
      <c r="A664">
        <v>10663</v>
      </c>
      <c r="B664" t="s">
        <v>8</v>
      </c>
      <c r="C664" t="s">
        <v>9</v>
      </c>
      <c r="D664" s="8">
        <v>9.5299999999999994</v>
      </c>
      <c r="E664">
        <v>10</v>
      </c>
      <c r="F664" t="str">
        <f t="shared" si="40"/>
        <v>Premium</v>
      </c>
      <c r="G664" s="3" cm="1">
        <f t="array" ref="G664">_xlfn.XLOOKUP(C664 &amp; F664,
         [1]unilever_price_limits!A:A &amp; [1]unilever_price_limits!B:B,
         [1]unilever_price_limits!C:C)</f>
        <v>60</v>
      </c>
      <c r="H664" s="8">
        <f t="shared" si="41"/>
        <v>15.247999999999999</v>
      </c>
      <c r="I664" s="6">
        <f t="shared" si="42"/>
        <v>60.000000000000007</v>
      </c>
      <c r="J664" t="str">
        <f t="shared" si="43"/>
        <v>OK</v>
      </c>
    </row>
    <row r="665" spans="1:10" x14ac:dyDescent="0.2">
      <c r="A665">
        <v>10664</v>
      </c>
      <c r="B665" t="s">
        <v>10</v>
      </c>
      <c r="C665" t="s">
        <v>9</v>
      </c>
      <c r="D665" s="8">
        <v>0.65</v>
      </c>
      <c r="E665">
        <v>2</v>
      </c>
      <c r="F665" t="str">
        <f t="shared" si="40"/>
        <v>Value</v>
      </c>
      <c r="G665" s="3" cm="1">
        <f t="array" ref="G665">_xlfn.XLOOKUP(C665 &amp; F665,
         [1]unilever_price_limits!A:A &amp; [1]unilever_price_limits!B:B,
         [1]unilever_price_limits!C:C)</f>
        <v>15</v>
      </c>
      <c r="H665" s="8">
        <f t="shared" si="41"/>
        <v>0.74749999999999994</v>
      </c>
      <c r="I665" s="6">
        <f t="shared" si="42"/>
        <v>14.999999999999991</v>
      </c>
      <c r="J665" t="str">
        <f t="shared" si="43"/>
        <v>OK</v>
      </c>
    </row>
    <row r="666" spans="1:10" x14ac:dyDescent="0.2">
      <c r="A666">
        <v>10665</v>
      </c>
      <c r="B666" t="s">
        <v>8</v>
      </c>
      <c r="C666" t="s">
        <v>11</v>
      </c>
      <c r="D666" s="8">
        <v>3.33</v>
      </c>
      <c r="E666">
        <v>4</v>
      </c>
      <c r="F666" t="str">
        <f t="shared" si="40"/>
        <v>Standard</v>
      </c>
      <c r="G666" s="3" cm="1">
        <f t="array" ref="G666">_xlfn.XLOOKUP(C666 &amp; F666,
         [1]unilever_price_limits!A:A &amp; [1]unilever_price_limits!B:B,
         [1]unilever_price_limits!C:C)</f>
        <v>25</v>
      </c>
      <c r="H666" s="8">
        <f t="shared" si="41"/>
        <v>4.1624999999999996</v>
      </c>
      <c r="I666" s="6">
        <f t="shared" si="42"/>
        <v>24.999999999999979</v>
      </c>
      <c r="J666" t="str">
        <f t="shared" si="43"/>
        <v>OK</v>
      </c>
    </row>
    <row r="667" spans="1:10" x14ac:dyDescent="0.2">
      <c r="A667">
        <v>10666</v>
      </c>
      <c r="B667" t="s">
        <v>8</v>
      </c>
      <c r="C667" t="s">
        <v>9</v>
      </c>
      <c r="D667" s="8">
        <v>7.62</v>
      </c>
      <c r="E667">
        <v>6</v>
      </c>
      <c r="F667" t="str">
        <f t="shared" si="40"/>
        <v>Standard</v>
      </c>
      <c r="G667" s="3" cm="1">
        <f t="array" ref="G667">_xlfn.XLOOKUP(C667 &amp; F667,
         [1]unilever_price_limits!A:A &amp; [1]unilever_price_limits!B:B,
         [1]unilever_price_limits!C:C)</f>
        <v>30</v>
      </c>
      <c r="H667" s="8">
        <f t="shared" si="41"/>
        <v>9.9060000000000006</v>
      </c>
      <c r="I667" s="6">
        <f t="shared" si="42"/>
        <v>30.000000000000004</v>
      </c>
      <c r="J667" t="str">
        <f t="shared" si="43"/>
        <v>OK</v>
      </c>
    </row>
    <row r="668" spans="1:10" x14ac:dyDescent="0.2">
      <c r="A668">
        <v>10667</v>
      </c>
      <c r="B668" t="s">
        <v>10</v>
      </c>
      <c r="C668" t="s">
        <v>9</v>
      </c>
      <c r="D668" s="8">
        <v>14.28</v>
      </c>
      <c r="E668">
        <v>3</v>
      </c>
      <c r="F668" t="str">
        <f t="shared" si="40"/>
        <v>Value</v>
      </c>
      <c r="G668" s="3" cm="1">
        <f t="array" ref="G668">_xlfn.XLOOKUP(C668 &amp; F668,
         [1]unilever_price_limits!A:A &amp; [1]unilever_price_limits!B:B,
         [1]unilever_price_limits!C:C)</f>
        <v>15</v>
      </c>
      <c r="H668" s="8">
        <f t="shared" si="41"/>
        <v>16.421999999999997</v>
      </c>
      <c r="I668" s="6">
        <f t="shared" si="42"/>
        <v>14.999999999999991</v>
      </c>
      <c r="J668" t="str">
        <f t="shared" si="43"/>
        <v>OK</v>
      </c>
    </row>
    <row r="669" spans="1:10" x14ac:dyDescent="0.2">
      <c r="A669">
        <v>10668</v>
      </c>
      <c r="B669" t="s">
        <v>7</v>
      </c>
      <c r="C669" t="s">
        <v>6</v>
      </c>
      <c r="D669" s="8">
        <v>6.06</v>
      </c>
      <c r="E669">
        <v>3</v>
      </c>
      <c r="F669" t="str">
        <f t="shared" si="40"/>
        <v>Value</v>
      </c>
      <c r="G669" s="3" cm="1">
        <f t="array" ref="G669">_xlfn.XLOOKUP(C669 &amp; F669,
         [1]unilever_price_limits!A:A &amp; [1]unilever_price_limits!B:B,
         [1]unilever_price_limits!C:C)</f>
        <v>12</v>
      </c>
      <c r="H669" s="8">
        <f t="shared" si="41"/>
        <v>6.7872000000000003</v>
      </c>
      <c r="I669" s="6">
        <f t="shared" si="42"/>
        <v>12.000000000000011</v>
      </c>
      <c r="J669" t="str">
        <f t="shared" si="43"/>
        <v>OK</v>
      </c>
    </row>
    <row r="670" spans="1:10" x14ac:dyDescent="0.2">
      <c r="A670">
        <v>10669</v>
      </c>
      <c r="B670" t="s">
        <v>8</v>
      </c>
      <c r="C670" t="s">
        <v>9</v>
      </c>
      <c r="D670" s="8">
        <v>6.65</v>
      </c>
      <c r="E670">
        <v>6</v>
      </c>
      <c r="F670" t="str">
        <f t="shared" si="40"/>
        <v>Standard</v>
      </c>
      <c r="G670" s="3" cm="1">
        <f t="array" ref="G670">_xlfn.XLOOKUP(C670 &amp; F670,
         [1]unilever_price_limits!A:A &amp; [1]unilever_price_limits!B:B,
         [1]unilever_price_limits!C:C)</f>
        <v>30</v>
      </c>
      <c r="H670" s="8">
        <f t="shared" si="41"/>
        <v>8.6450000000000014</v>
      </c>
      <c r="I670" s="6">
        <f t="shared" si="42"/>
        <v>30.000000000000004</v>
      </c>
      <c r="J670" t="str">
        <f t="shared" si="43"/>
        <v>OK</v>
      </c>
    </row>
    <row r="671" spans="1:10" x14ac:dyDescent="0.2">
      <c r="A671">
        <v>10670</v>
      </c>
      <c r="B671" t="s">
        <v>5</v>
      </c>
      <c r="C671" t="s">
        <v>6</v>
      </c>
      <c r="D671" s="8">
        <v>10.86</v>
      </c>
      <c r="E671">
        <v>1</v>
      </c>
      <c r="F671" t="str">
        <f t="shared" si="40"/>
        <v>Value</v>
      </c>
      <c r="G671" s="3" cm="1">
        <f t="array" ref="G671">_xlfn.XLOOKUP(C671 &amp; F671,
         [1]unilever_price_limits!A:A &amp; [1]unilever_price_limits!B:B,
         [1]unilever_price_limits!C:C)</f>
        <v>12</v>
      </c>
      <c r="H671" s="8">
        <f t="shared" si="41"/>
        <v>12.1632</v>
      </c>
      <c r="I671" s="6">
        <f t="shared" si="42"/>
        <v>12.000000000000011</v>
      </c>
      <c r="J671" t="str">
        <f t="shared" si="43"/>
        <v>OK</v>
      </c>
    </row>
    <row r="672" spans="1:10" x14ac:dyDescent="0.2">
      <c r="A672">
        <v>10671</v>
      </c>
      <c r="B672" t="s">
        <v>8</v>
      </c>
      <c r="C672" t="s">
        <v>9</v>
      </c>
      <c r="D672" s="8">
        <v>9.25</v>
      </c>
      <c r="E672">
        <v>1</v>
      </c>
      <c r="F672" t="str">
        <f t="shared" si="40"/>
        <v>Value</v>
      </c>
      <c r="G672" s="3" cm="1">
        <f t="array" ref="G672">_xlfn.XLOOKUP(C672 &amp; F672,
         [1]unilever_price_limits!A:A &amp; [1]unilever_price_limits!B:B,
         [1]unilever_price_limits!C:C)</f>
        <v>15</v>
      </c>
      <c r="H672" s="8">
        <f t="shared" si="41"/>
        <v>10.637499999999999</v>
      </c>
      <c r="I672" s="6">
        <f t="shared" si="42"/>
        <v>14.999999999999991</v>
      </c>
      <c r="J672" t="str">
        <f t="shared" si="43"/>
        <v>OK</v>
      </c>
    </row>
    <row r="673" spans="1:10" x14ac:dyDescent="0.2">
      <c r="A673">
        <v>10672</v>
      </c>
      <c r="B673" t="s">
        <v>10</v>
      </c>
      <c r="C673" t="s">
        <v>9</v>
      </c>
      <c r="D673" s="8">
        <v>4.83</v>
      </c>
      <c r="E673">
        <v>5</v>
      </c>
      <c r="F673" t="str">
        <f t="shared" si="40"/>
        <v>Standard</v>
      </c>
      <c r="G673" s="3" cm="1">
        <f t="array" ref="G673">_xlfn.XLOOKUP(C673 &amp; F673,
         [1]unilever_price_limits!A:A &amp; [1]unilever_price_limits!B:B,
         [1]unilever_price_limits!C:C)</f>
        <v>30</v>
      </c>
      <c r="H673" s="8">
        <f t="shared" si="41"/>
        <v>6.2789999999999999</v>
      </c>
      <c r="I673" s="6">
        <f t="shared" si="42"/>
        <v>30.000000000000004</v>
      </c>
      <c r="J673" t="str">
        <f t="shared" si="43"/>
        <v>OK</v>
      </c>
    </row>
    <row r="674" spans="1:10" x14ac:dyDescent="0.2">
      <c r="A674">
        <v>10673</v>
      </c>
      <c r="B674" t="s">
        <v>10</v>
      </c>
      <c r="C674" t="s">
        <v>6</v>
      </c>
      <c r="D674" s="8">
        <v>6.46</v>
      </c>
      <c r="E674">
        <v>1</v>
      </c>
      <c r="F674" t="str">
        <f t="shared" si="40"/>
        <v>Value</v>
      </c>
      <c r="G674" s="3" cm="1">
        <f t="array" ref="G674">_xlfn.XLOOKUP(C674 &amp; F674,
         [1]unilever_price_limits!A:A &amp; [1]unilever_price_limits!B:B,
         [1]unilever_price_limits!C:C)</f>
        <v>12</v>
      </c>
      <c r="H674" s="8">
        <f t="shared" si="41"/>
        <v>7.2352000000000007</v>
      </c>
      <c r="I674" s="6">
        <f t="shared" si="42"/>
        <v>12.000000000000011</v>
      </c>
      <c r="J674" t="str">
        <f t="shared" si="43"/>
        <v>OK</v>
      </c>
    </row>
    <row r="675" spans="1:10" x14ac:dyDescent="0.2">
      <c r="A675">
        <v>10674</v>
      </c>
      <c r="B675" t="s">
        <v>10</v>
      </c>
      <c r="C675" t="s">
        <v>11</v>
      </c>
      <c r="D675" s="8">
        <v>3.66</v>
      </c>
      <c r="E675">
        <v>10</v>
      </c>
      <c r="F675" t="str">
        <f t="shared" si="40"/>
        <v>Premium</v>
      </c>
      <c r="G675" s="3" cm="1">
        <f t="array" ref="G675">_xlfn.XLOOKUP(C675 &amp; F675,
         [1]unilever_price_limits!A:A &amp; [1]unilever_price_limits!B:B,
         [1]unilever_price_limits!C:C)</f>
        <v>50</v>
      </c>
      <c r="H675" s="8">
        <f t="shared" si="41"/>
        <v>5.49</v>
      </c>
      <c r="I675" s="6">
        <f t="shared" si="42"/>
        <v>50</v>
      </c>
      <c r="J675" t="str">
        <f t="shared" si="43"/>
        <v>OK</v>
      </c>
    </row>
    <row r="676" spans="1:10" x14ac:dyDescent="0.2">
      <c r="A676">
        <v>10675</v>
      </c>
      <c r="B676" t="s">
        <v>7</v>
      </c>
      <c r="C676" t="s">
        <v>6</v>
      </c>
      <c r="D676" s="8">
        <v>14.51</v>
      </c>
      <c r="E676">
        <v>8</v>
      </c>
      <c r="F676" t="str">
        <f t="shared" si="40"/>
        <v>Premium</v>
      </c>
      <c r="G676" s="3" cm="1">
        <f t="array" ref="G676">_xlfn.XLOOKUP(C676 &amp; F676,
         [1]unilever_price_limits!A:A &amp; [1]unilever_price_limits!B:B,
         [1]unilever_price_limits!C:C)</f>
        <v>55</v>
      </c>
      <c r="H676" s="8">
        <f t="shared" si="41"/>
        <v>22.490500000000001</v>
      </c>
      <c r="I676" s="6">
        <f t="shared" si="42"/>
        <v>55.000000000000007</v>
      </c>
      <c r="J676" t="str">
        <f t="shared" si="43"/>
        <v>OK</v>
      </c>
    </row>
    <row r="677" spans="1:10" x14ac:dyDescent="0.2">
      <c r="A677">
        <v>10676</v>
      </c>
      <c r="B677" t="s">
        <v>8</v>
      </c>
      <c r="C677" t="s">
        <v>6</v>
      </c>
      <c r="D677" s="8">
        <v>2.39</v>
      </c>
      <c r="E677">
        <v>2</v>
      </c>
      <c r="F677" t="str">
        <f t="shared" si="40"/>
        <v>Value</v>
      </c>
      <c r="G677" s="3" cm="1">
        <f t="array" ref="G677">_xlfn.XLOOKUP(C677 &amp; F677,
         [1]unilever_price_limits!A:A &amp; [1]unilever_price_limits!B:B,
         [1]unilever_price_limits!C:C)</f>
        <v>12</v>
      </c>
      <c r="H677" s="8">
        <f t="shared" si="41"/>
        <v>2.6768000000000005</v>
      </c>
      <c r="I677" s="6">
        <f t="shared" si="42"/>
        <v>12.000000000000011</v>
      </c>
      <c r="J677" t="str">
        <f t="shared" si="43"/>
        <v>OK</v>
      </c>
    </row>
    <row r="678" spans="1:10" x14ac:dyDescent="0.2">
      <c r="A678">
        <v>10677</v>
      </c>
      <c r="B678" t="s">
        <v>7</v>
      </c>
      <c r="C678" t="s">
        <v>6</v>
      </c>
      <c r="D678" s="8">
        <v>5.89</v>
      </c>
      <c r="E678">
        <v>6</v>
      </c>
      <c r="F678" t="str">
        <f t="shared" si="40"/>
        <v>Standard</v>
      </c>
      <c r="G678" s="3" cm="1">
        <f t="array" ref="G678">_xlfn.XLOOKUP(C678 &amp; F678,
         [1]unilever_price_limits!A:A &amp; [1]unilever_price_limits!B:B,
         [1]unilever_price_limits!C:C)</f>
        <v>28</v>
      </c>
      <c r="H678" s="8">
        <f t="shared" si="41"/>
        <v>7.5392000000000001</v>
      </c>
      <c r="I678" s="6">
        <f t="shared" si="42"/>
        <v>28.000000000000004</v>
      </c>
      <c r="J678" t="str">
        <f t="shared" si="43"/>
        <v>OK</v>
      </c>
    </row>
    <row r="679" spans="1:10" x14ac:dyDescent="0.2">
      <c r="A679">
        <v>10678</v>
      </c>
      <c r="B679" t="s">
        <v>7</v>
      </c>
      <c r="C679" t="s">
        <v>11</v>
      </c>
      <c r="D679" s="8">
        <v>0.87</v>
      </c>
      <c r="E679">
        <v>10</v>
      </c>
      <c r="F679" t="str">
        <f t="shared" si="40"/>
        <v>Premium</v>
      </c>
      <c r="G679" s="3" cm="1">
        <f t="array" ref="G679">_xlfn.XLOOKUP(C679 &amp; F679,
         [1]unilever_price_limits!A:A &amp; [1]unilever_price_limits!B:B,
         [1]unilever_price_limits!C:C)</f>
        <v>50</v>
      </c>
      <c r="H679" s="8">
        <f t="shared" si="41"/>
        <v>1.3049999999999999</v>
      </c>
      <c r="I679" s="6">
        <f t="shared" si="42"/>
        <v>50</v>
      </c>
      <c r="J679" t="str">
        <f t="shared" si="43"/>
        <v>OK</v>
      </c>
    </row>
    <row r="680" spans="1:10" x14ac:dyDescent="0.2">
      <c r="A680">
        <v>10679</v>
      </c>
      <c r="B680" t="s">
        <v>10</v>
      </c>
      <c r="C680" t="s">
        <v>9</v>
      </c>
      <c r="D680" s="8">
        <v>3.72</v>
      </c>
      <c r="E680">
        <v>10</v>
      </c>
      <c r="F680" t="str">
        <f t="shared" si="40"/>
        <v>Premium</v>
      </c>
      <c r="G680" s="3" cm="1">
        <f t="array" ref="G680">_xlfn.XLOOKUP(C680 &amp; F680,
         [1]unilever_price_limits!A:A &amp; [1]unilever_price_limits!B:B,
         [1]unilever_price_limits!C:C)</f>
        <v>60</v>
      </c>
      <c r="H680" s="8">
        <f t="shared" si="41"/>
        <v>5.9520000000000008</v>
      </c>
      <c r="I680" s="6">
        <f t="shared" si="42"/>
        <v>60.000000000000007</v>
      </c>
      <c r="J680" t="str">
        <f t="shared" si="43"/>
        <v>OK</v>
      </c>
    </row>
    <row r="681" spans="1:10" x14ac:dyDescent="0.2">
      <c r="A681">
        <v>10680</v>
      </c>
      <c r="B681" t="s">
        <v>10</v>
      </c>
      <c r="C681" t="s">
        <v>6</v>
      </c>
      <c r="D681" s="8">
        <v>11.82</v>
      </c>
      <c r="E681">
        <v>5</v>
      </c>
      <c r="F681" t="str">
        <f t="shared" si="40"/>
        <v>Standard</v>
      </c>
      <c r="G681" s="3" cm="1">
        <f t="array" ref="G681">_xlfn.XLOOKUP(C681 &amp; F681,
         [1]unilever_price_limits!A:A &amp; [1]unilever_price_limits!B:B,
         [1]unilever_price_limits!C:C)</f>
        <v>28</v>
      </c>
      <c r="H681" s="8">
        <f t="shared" si="41"/>
        <v>15.1296</v>
      </c>
      <c r="I681" s="6">
        <f t="shared" si="42"/>
        <v>28.000000000000004</v>
      </c>
      <c r="J681" t="str">
        <f t="shared" si="43"/>
        <v>OK</v>
      </c>
    </row>
    <row r="682" spans="1:10" x14ac:dyDescent="0.2">
      <c r="A682">
        <v>10681</v>
      </c>
      <c r="B682" t="s">
        <v>7</v>
      </c>
      <c r="C682" t="s">
        <v>6</v>
      </c>
      <c r="D682" s="8">
        <v>3.42</v>
      </c>
      <c r="E682">
        <v>10</v>
      </c>
      <c r="F682" t="str">
        <f t="shared" si="40"/>
        <v>Premium</v>
      </c>
      <c r="G682" s="3" cm="1">
        <f t="array" ref="G682">_xlfn.XLOOKUP(C682 &amp; F682,
         [1]unilever_price_limits!A:A &amp; [1]unilever_price_limits!B:B,
         [1]unilever_price_limits!C:C)</f>
        <v>55</v>
      </c>
      <c r="H682" s="8">
        <f t="shared" si="41"/>
        <v>5.3010000000000002</v>
      </c>
      <c r="I682" s="6">
        <f t="shared" si="42"/>
        <v>55.000000000000007</v>
      </c>
      <c r="J682" t="str">
        <f t="shared" si="43"/>
        <v>OK</v>
      </c>
    </row>
    <row r="683" spans="1:10" x14ac:dyDescent="0.2">
      <c r="A683">
        <v>10682</v>
      </c>
      <c r="B683" t="s">
        <v>8</v>
      </c>
      <c r="C683" t="s">
        <v>11</v>
      </c>
      <c r="D683" s="8">
        <v>1.66</v>
      </c>
      <c r="E683">
        <v>4</v>
      </c>
      <c r="F683" t="str">
        <f t="shared" si="40"/>
        <v>Standard</v>
      </c>
      <c r="G683" s="3" cm="1">
        <f t="array" ref="G683">_xlfn.XLOOKUP(C683 &amp; F683,
         [1]unilever_price_limits!A:A &amp; [1]unilever_price_limits!B:B,
         [1]unilever_price_limits!C:C)</f>
        <v>25</v>
      </c>
      <c r="H683" s="8">
        <f t="shared" si="41"/>
        <v>2.0749999999999997</v>
      </c>
      <c r="I683" s="6">
        <f t="shared" si="42"/>
        <v>25</v>
      </c>
      <c r="J683" t="str">
        <f t="shared" si="43"/>
        <v>OK</v>
      </c>
    </row>
    <row r="684" spans="1:10" x14ac:dyDescent="0.2">
      <c r="A684">
        <v>10683</v>
      </c>
      <c r="B684" t="s">
        <v>5</v>
      </c>
      <c r="C684" t="s">
        <v>6</v>
      </c>
      <c r="D684" s="8">
        <v>7.38</v>
      </c>
      <c r="E684">
        <v>1</v>
      </c>
      <c r="F684" t="str">
        <f t="shared" si="40"/>
        <v>Value</v>
      </c>
      <c r="G684" s="3" cm="1">
        <f t="array" ref="G684">_xlfn.XLOOKUP(C684 &amp; F684,
         [1]unilever_price_limits!A:A &amp; [1]unilever_price_limits!B:B,
         [1]unilever_price_limits!C:C)</f>
        <v>12</v>
      </c>
      <c r="H684" s="8">
        <f t="shared" si="41"/>
        <v>8.2656000000000009</v>
      </c>
      <c r="I684" s="6">
        <f t="shared" si="42"/>
        <v>12.000000000000011</v>
      </c>
      <c r="J684" t="str">
        <f t="shared" si="43"/>
        <v>OK</v>
      </c>
    </row>
    <row r="685" spans="1:10" x14ac:dyDescent="0.2">
      <c r="A685">
        <v>10684</v>
      </c>
      <c r="B685" t="s">
        <v>7</v>
      </c>
      <c r="C685" t="s">
        <v>9</v>
      </c>
      <c r="D685" s="8">
        <v>0.64</v>
      </c>
      <c r="E685">
        <v>3</v>
      </c>
      <c r="F685" t="str">
        <f t="shared" si="40"/>
        <v>Value</v>
      </c>
      <c r="G685" s="3" cm="1">
        <f t="array" ref="G685">_xlfn.XLOOKUP(C685 &amp; F685,
         [1]unilever_price_limits!A:A &amp; [1]unilever_price_limits!B:B,
         [1]unilever_price_limits!C:C)</f>
        <v>15</v>
      </c>
      <c r="H685" s="8">
        <f t="shared" si="41"/>
        <v>0.73599999999999999</v>
      </c>
      <c r="I685" s="6">
        <f t="shared" si="42"/>
        <v>14.999999999999991</v>
      </c>
      <c r="J685" t="str">
        <f t="shared" si="43"/>
        <v>OK</v>
      </c>
    </row>
    <row r="686" spans="1:10" x14ac:dyDescent="0.2">
      <c r="A686">
        <v>10685</v>
      </c>
      <c r="B686" t="s">
        <v>8</v>
      </c>
      <c r="C686" t="s">
        <v>11</v>
      </c>
      <c r="D686" s="8">
        <v>1.73</v>
      </c>
      <c r="E686">
        <v>4</v>
      </c>
      <c r="F686" t="str">
        <f t="shared" si="40"/>
        <v>Standard</v>
      </c>
      <c r="G686" s="3" cm="1">
        <f t="array" ref="G686">_xlfn.XLOOKUP(C686 &amp; F686,
         [1]unilever_price_limits!A:A &amp; [1]unilever_price_limits!B:B,
         [1]unilever_price_limits!C:C)</f>
        <v>25</v>
      </c>
      <c r="H686" s="8">
        <f t="shared" si="41"/>
        <v>2.1625000000000001</v>
      </c>
      <c r="I686" s="6">
        <f t="shared" si="42"/>
        <v>25</v>
      </c>
      <c r="J686" t="str">
        <f t="shared" si="43"/>
        <v>OK</v>
      </c>
    </row>
    <row r="687" spans="1:10" x14ac:dyDescent="0.2">
      <c r="A687">
        <v>10686</v>
      </c>
      <c r="B687" t="s">
        <v>10</v>
      </c>
      <c r="C687" t="s">
        <v>9</v>
      </c>
      <c r="D687" s="8">
        <v>12.21</v>
      </c>
      <c r="E687">
        <v>2</v>
      </c>
      <c r="F687" t="str">
        <f t="shared" si="40"/>
        <v>Value</v>
      </c>
      <c r="G687" s="3" cm="1">
        <f t="array" ref="G687">_xlfn.XLOOKUP(C687 &amp; F687,
         [1]unilever_price_limits!A:A &amp; [1]unilever_price_limits!B:B,
         [1]unilever_price_limits!C:C)</f>
        <v>15</v>
      </c>
      <c r="H687" s="8">
        <f t="shared" si="41"/>
        <v>14.041499999999999</v>
      </c>
      <c r="I687" s="6">
        <f t="shared" si="42"/>
        <v>14.999999999999991</v>
      </c>
      <c r="J687" t="str">
        <f t="shared" si="43"/>
        <v>OK</v>
      </c>
    </row>
    <row r="688" spans="1:10" x14ac:dyDescent="0.2">
      <c r="A688">
        <v>10687</v>
      </c>
      <c r="B688" t="s">
        <v>10</v>
      </c>
      <c r="C688" t="s">
        <v>9</v>
      </c>
      <c r="D688" s="8">
        <v>11.69</v>
      </c>
      <c r="E688">
        <v>2</v>
      </c>
      <c r="F688" t="str">
        <f t="shared" si="40"/>
        <v>Value</v>
      </c>
      <c r="G688" s="3" cm="1">
        <f t="array" ref="G688">_xlfn.XLOOKUP(C688 &amp; F688,
         [1]unilever_price_limits!A:A &amp; [1]unilever_price_limits!B:B,
         [1]unilever_price_limits!C:C)</f>
        <v>15</v>
      </c>
      <c r="H688" s="8">
        <f t="shared" si="41"/>
        <v>13.443499999999998</v>
      </c>
      <c r="I688" s="6">
        <f t="shared" si="42"/>
        <v>14.999999999999991</v>
      </c>
      <c r="J688" t="str">
        <f t="shared" si="43"/>
        <v>OK</v>
      </c>
    </row>
    <row r="689" spans="1:10" x14ac:dyDescent="0.2">
      <c r="A689">
        <v>10688</v>
      </c>
      <c r="B689" t="s">
        <v>8</v>
      </c>
      <c r="C689" t="s">
        <v>11</v>
      </c>
      <c r="D689" s="8">
        <v>13.77</v>
      </c>
      <c r="E689">
        <v>2</v>
      </c>
      <c r="F689" t="str">
        <f t="shared" si="40"/>
        <v>Value</v>
      </c>
      <c r="G689" s="3" cm="1">
        <f t="array" ref="G689">_xlfn.XLOOKUP(C689 &amp; F689,
         [1]unilever_price_limits!A:A &amp; [1]unilever_price_limits!B:B,
         [1]unilever_price_limits!C:C)</f>
        <v>10</v>
      </c>
      <c r="H689" s="8">
        <f t="shared" si="41"/>
        <v>15.147</v>
      </c>
      <c r="I689" s="6">
        <f t="shared" si="42"/>
        <v>10.000000000000009</v>
      </c>
      <c r="J689" t="str">
        <f t="shared" si="43"/>
        <v>OK</v>
      </c>
    </row>
    <row r="690" spans="1:10" x14ac:dyDescent="0.2">
      <c r="A690">
        <v>10689</v>
      </c>
      <c r="B690" t="s">
        <v>5</v>
      </c>
      <c r="C690" t="s">
        <v>6</v>
      </c>
      <c r="D690" s="8">
        <v>12.89</v>
      </c>
      <c r="E690">
        <v>1</v>
      </c>
      <c r="F690" t="str">
        <f t="shared" si="40"/>
        <v>Value</v>
      </c>
      <c r="G690" s="3" cm="1">
        <f t="array" ref="G690">_xlfn.XLOOKUP(C690 &amp; F690,
         [1]unilever_price_limits!A:A &amp; [1]unilever_price_limits!B:B,
         [1]unilever_price_limits!C:C)</f>
        <v>12</v>
      </c>
      <c r="H690" s="8">
        <f t="shared" si="41"/>
        <v>14.436800000000002</v>
      </c>
      <c r="I690" s="6">
        <f t="shared" si="42"/>
        <v>12.000000000000011</v>
      </c>
      <c r="J690" t="str">
        <f t="shared" si="43"/>
        <v>OK</v>
      </c>
    </row>
    <row r="691" spans="1:10" x14ac:dyDescent="0.2">
      <c r="A691">
        <v>10690</v>
      </c>
      <c r="B691" t="s">
        <v>10</v>
      </c>
      <c r="C691" t="s">
        <v>9</v>
      </c>
      <c r="D691" s="8">
        <v>10.41</v>
      </c>
      <c r="E691">
        <v>10</v>
      </c>
      <c r="F691" t="str">
        <f t="shared" si="40"/>
        <v>Premium</v>
      </c>
      <c r="G691" s="3" cm="1">
        <f t="array" ref="G691">_xlfn.XLOOKUP(C691 &amp; F691,
         [1]unilever_price_limits!A:A &amp; [1]unilever_price_limits!B:B,
         [1]unilever_price_limits!C:C)</f>
        <v>60</v>
      </c>
      <c r="H691" s="8">
        <f t="shared" si="41"/>
        <v>16.656000000000002</v>
      </c>
      <c r="I691" s="6">
        <f t="shared" si="42"/>
        <v>60.000000000000028</v>
      </c>
      <c r="J691" t="str">
        <f t="shared" si="43"/>
        <v>OK</v>
      </c>
    </row>
    <row r="692" spans="1:10" x14ac:dyDescent="0.2">
      <c r="A692">
        <v>10691</v>
      </c>
      <c r="B692" t="s">
        <v>10</v>
      </c>
      <c r="C692" t="s">
        <v>9</v>
      </c>
      <c r="D692" s="8">
        <v>1.26</v>
      </c>
      <c r="E692">
        <v>2</v>
      </c>
      <c r="F692" t="str">
        <f t="shared" si="40"/>
        <v>Value</v>
      </c>
      <c r="G692" s="3" cm="1">
        <f t="array" ref="G692">_xlfn.XLOOKUP(C692 &amp; F692,
         [1]unilever_price_limits!A:A &amp; [1]unilever_price_limits!B:B,
         [1]unilever_price_limits!C:C)</f>
        <v>15</v>
      </c>
      <c r="H692" s="8">
        <f t="shared" si="41"/>
        <v>1.4489999999999998</v>
      </c>
      <c r="I692" s="6">
        <f t="shared" si="42"/>
        <v>14.999999999999991</v>
      </c>
      <c r="J692" t="str">
        <f t="shared" si="43"/>
        <v>OK</v>
      </c>
    </row>
    <row r="693" spans="1:10" x14ac:dyDescent="0.2">
      <c r="A693">
        <v>10692</v>
      </c>
      <c r="B693" t="s">
        <v>10</v>
      </c>
      <c r="C693" t="s">
        <v>9</v>
      </c>
      <c r="D693" s="8">
        <v>11.85</v>
      </c>
      <c r="E693">
        <v>6</v>
      </c>
      <c r="F693" t="str">
        <f t="shared" si="40"/>
        <v>Standard</v>
      </c>
      <c r="G693" s="3" cm="1">
        <f t="array" ref="G693">_xlfn.XLOOKUP(C693 &amp; F693,
         [1]unilever_price_limits!A:A &amp; [1]unilever_price_limits!B:B,
         [1]unilever_price_limits!C:C)</f>
        <v>30</v>
      </c>
      <c r="H693" s="8">
        <f t="shared" si="41"/>
        <v>15.404999999999999</v>
      </c>
      <c r="I693" s="6">
        <f t="shared" si="42"/>
        <v>30.000000000000004</v>
      </c>
      <c r="J693" t="str">
        <f t="shared" si="43"/>
        <v>OK</v>
      </c>
    </row>
    <row r="694" spans="1:10" x14ac:dyDescent="0.2">
      <c r="A694">
        <v>10693</v>
      </c>
      <c r="B694" t="s">
        <v>8</v>
      </c>
      <c r="C694" t="s">
        <v>9</v>
      </c>
      <c r="D694" s="8">
        <v>12.76</v>
      </c>
      <c r="E694">
        <v>3</v>
      </c>
      <c r="F694" t="str">
        <f t="shared" si="40"/>
        <v>Value</v>
      </c>
      <c r="G694" s="3" cm="1">
        <f t="array" ref="G694">_xlfn.XLOOKUP(C694 &amp; F694,
         [1]unilever_price_limits!A:A &amp; [1]unilever_price_limits!B:B,
         [1]unilever_price_limits!C:C)</f>
        <v>15</v>
      </c>
      <c r="H694" s="8">
        <f t="shared" si="41"/>
        <v>14.673999999999999</v>
      </c>
      <c r="I694" s="6">
        <f t="shared" si="42"/>
        <v>14.999999999999991</v>
      </c>
      <c r="J694" t="str">
        <f t="shared" si="43"/>
        <v>OK</v>
      </c>
    </row>
    <row r="695" spans="1:10" x14ac:dyDescent="0.2">
      <c r="A695">
        <v>10694</v>
      </c>
      <c r="B695" t="s">
        <v>7</v>
      </c>
      <c r="C695" t="s">
        <v>11</v>
      </c>
      <c r="D695" s="8">
        <v>12.09</v>
      </c>
      <c r="E695">
        <v>10</v>
      </c>
      <c r="F695" t="str">
        <f t="shared" si="40"/>
        <v>Premium</v>
      </c>
      <c r="G695" s="3" cm="1">
        <f t="array" ref="G695">_xlfn.XLOOKUP(C695 &amp; F695,
         [1]unilever_price_limits!A:A &amp; [1]unilever_price_limits!B:B,
         [1]unilever_price_limits!C:C)</f>
        <v>50</v>
      </c>
      <c r="H695" s="8">
        <f t="shared" si="41"/>
        <v>18.134999999999998</v>
      </c>
      <c r="I695" s="6">
        <f t="shared" si="42"/>
        <v>49.999999999999979</v>
      </c>
      <c r="J695" t="str">
        <f t="shared" si="43"/>
        <v>OK</v>
      </c>
    </row>
    <row r="696" spans="1:10" x14ac:dyDescent="0.2">
      <c r="A696">
        <v>10695</v>
      </c>
      <c r="B696" t="s">
        <v>10</v>
      </c>
      <c r="C696" t="s">
        <v>11</v>
      </c>
      <c r="D696" s="8">
        <v>7.87</v>
      </c>
      <c r="E696">
        <v>5</v>
      </c>
      <c r="F696" t="str">
        <f t="shared" si="40"/>
        <v>Standard</v>
      </c>
      <c r="G696" s="3" cm="1">
        <f t="array" ref="G696">_xlfn.XLOOKUP(C696 &amp; F696,
         [1]unilever_price_limits!A:A &amp; [1]unilever_price_limits!B:B,
         [1]unilever_price_limits!C:C)</f>
        <v>25</v>
      </c>
      <c r="H696" s="8">
        <f t="shared" si="41"/>
        <v>9.8375000000000004</v>
      </c>
      <c r="I696" s="6">
        <f t="shared" si="42"/>
        <v>25</v>
      </c>
      <c r="J696" t="str">
        <f t="shared" si="43"/>
        <v>OK</v>
      </c>
    </row>
    <row r="697" spans="1:10" x14ac:dyDescent="0.2">
      <c r="A697">
        <v>10696</v>
      </c>
      <c r="B697" t="s">
        <v>7</v>
      </c>
      <c r="C697" t="s">
        <v>9</v>
      </c>
      <c r="D697" s="8">
        <v>3.88</v>
      </c>
      <c r="E697">
        <v>1</v>
      </c>
      <c r="F697" t="str">
        <f t="shared" si="40"/>
        <v>Value</v>
      </c>
      <c r="G697" s="3" cm="1">
        <f t="array" ref="G697">_xlfn.XLOOKUP(C697 &amp; F697,
         [1]unilever_price_limits!A:A &amp; [1]unilever_price_limits!B:B,
         [1]unilever_price_limits!C:C)</f>
        <v>15</v>
      </c>
      <c r="H697" s="8">
        <f t="shared" si="41"/>
        <v>4.4619999999999997</v>
      </c>
      <c r="I697" s="6">
        <f t="shared" si="42"/>
        <v>14.999999999999991</v>
      </c>
      <c r="J697" t="str">
        <f t="shared" si="43"/>
        <v>OK</v>
      </c>
    </row>
    <row r="698" spans="1:10" x14ac:dyDescent="0.2">
      <c r="A698">
        <v>10697</v>
      </c>
      <c r="B698" t="s">
        <v>5</v>
      </c>
      <c r="C698" t="s">
        <v>6</v>
      </c>
      <c r="D698" s="8">
        <v>12.76</v>
      </c>
      <c r="E698">
        <v>8</v>
      </c>
      <c r="F698" t="str">
        <f t="shared" si="40"/>
        <v>Premium</v>
      </c>
      <c r="G698" s="3" cm="1">
        <f t="array" ref="G698">_xlfn.XLOOKUP(C698 &amp; F698,
         [1]unilever_price_limits!A:A &amp; [1]unilever_price_limits!B:B,
         [1]unilever_price_limits!C:C)</f>
        <v>55</v>
      </c>
      <c r="H698" s="8">
        <f t="shared" si="41"/>
        <v>19.777999999999999</v>
      </c>
      <c r="I698" s="6">
        <f t="shared" si="42"/>
        <v>54.999999999999986</v>
      </c>
      <c r="J698" t="str">
        <f t="shared" si="43"/>
        <v>OK</v>
      </c>
    </row>
    <row r="699" spans="1:10" x14ac:dyDescent="0.2">
      <c r="A699">
        <v>10698</v>
      </c>
      <c r="B699" t="s">
        <v>10</v>
      </c>
      <c r="C699" t="s">
        <v>9</v>
      </c>
      <c r="D699" s="8">
        <v>11.04</v>
      </c>
      <c r="E699">
        <v>4</v>
      </c>
      <c r="F699" t="str">
        <f t="shared" si="40"/>
        <v>Standard</v>
      </c>
      <c r="G699" s="3" cm="1">
        <f t="array" ref="G699">_xlfn.XLOOKUP(C699 &amp; F699,
         [1]unilever_price_limits!A:A &amp; [1]unilever_price_limits!B:B,
         [1]unilever_price_limits!C:C)</f>
        <v>30</v>
      </c>
      <c r="H699" s="8">
        <f t="shared" si="41"/>
        <v>14.351999999999999</v>
      </c>
      <c r="I699" s="6">
        <f t="shared" si="42"/>
        <v>30.000000000000004</v>
      </c>
      <c r="J699" t="str">
        <f t="shared" si="43"/>
        <v>OK</v>
      </c>
    </row>
    <row r="700" spans="1:10" x14ac:dyDescent="0.2">
      <c r="A700">
        <v>10699</v>
      </c>
      <c r="B700" t="s">
        <v>10</v>
      </c>
      <c r="C700" t="s">
        <v>6</v>
      </c>
      <c r="D700" s="8">
        <v>14.72</v>
      </c>
      <c r="E700">
        <v>9</v>
      </c>
      <c r="F700" t="str">
        <f t="shared" si="40"/>
        <v>Premium</v>
      </c>
      <c r="G700" s="3" cm="1">
        <f t="array" ref="G700">_xlfn.XLOOKUP(C700 &amp; F700,
         [1]unilever_price_limits!A:A &amp; [1]unilever_price_limits!B:B,
         [1]unilever_price_limits!C:C)</f>
        <v>55</v>
      </c>
      <c r="H700" s="8">
        <f t="shared" si="41"/>
        <v>22.816000000000003</v>
      </c>
      <c r="I700" s="6">
        <f t="shared" si="42"/>
        <v>55.000000000000007</v>
      </c>
      <c r="J700" t="str">
        <f t="shared" si="43"/>
        <v>OK</v>
      </c>
    </row>
    <row r="701" spans="1:10" x14ac:dyDescent="0.2">
      <c r="A701">
        <v>10700</v>
      </c>
      <c r="B701" t="s">
        <v>5</v>
      </c>
      <c r="C701" t="s">
        <v>9</v>
      </c>
      <c r="D701" s="8">
        <v>2.76</v>
      </c>
      <c r="E701">
        <v>4</v>
      </c>
      <c r="F701" t="str">
        <f t="shared" si="40"/>
        <v>Standard</v>
      </c>
      <c r="G701" s="3" cm="1">
        <f t="array" ref="G701">_xlfn.XLOOKUP(C701 &amp; F701,
         [1]unilever_price_limits!A:A &amp; [1]unilever_price_limits!B:B,
         [1]unilever_price_limits!C:C)</f>
        <v>30</v>
      </c>
      <c r="H701" s="8">
        <f t="shared" si="41"/>
        <v>3.5879999999999996</v>
      </c>
      <c r="I701" s="6">
        <f t="shared" si="42"/>
        <v>30.000000000000004</v>
      </c>
      <c r="J701" t="str">
        <f t="shared" si="43"/>
        <v>OK</v>
      </c>
    </row>
    <row r="702" spans="1:10" x14ac:dyDescent="0.2">
      <c r="A702">
        <v>10701</v>
      </c>
      <c r="B702" t="s">
        <v>10</v>
      </c>
      <c r="C702" t="s">
        <v>6</v>
      </c>
      <c r="D702" s="8">
        <v>3.77</v>
      </c>
      <c r="E702">
        <v>2</v>
      </c>
      <c r="F702" t="str">
        <f t="shared" si="40"/>
        <v>Value</v>
      </c>
      <c r="G702" s="3" cm="1">
        <f t="array" ref="G702">_xlfn.XLOOKUP(C702 &amp; F702,
         [1]unilever_price_limits!A:A &amp; [1]unilever_price_limits!B:B,
         [1]unilever_price_limits!C:C)</f>
        <v>12</v>
      </c>
      <c r="H702" s="8">
        <f t="shared" si="41"/>
        <v>4.2224000000000004</v>
      </c>
      <c r="I702" s="6">
        <f t="shared" si="42"/>
        <v>12.000000000000011</v>
      </c>
      <c r="J702" t="str">
        <f t="shared" si="43"/>
        <v>OK</v>
      </c>
    </row>
    <row r="703" spans="1:10" x14ac:dyDescent="0.2">
      <c r="A703">
        <v>10702</v>
      </c>
      <c r="B703" t="s">
        <v>7</v>
      </c>
      <c r="C703" t="s">
        <v>9</v>
      </c>
      <c r="D703" s="8">
        <v>3.57</v>
      </c>
      <c r="E703">
        <v>3</v>
      </c>
      <c r="F703" t="str">
        <f t="shared" si="40"/>
        <v>Value</v>
      </c>
      <c r="G703" s="3" cm="1">
        <f t="array" ref="G703">_xlfn.XLOOKUP(C703 &amp; F703,
         [1]unilever_price_limits!A:A &amp; [1]unilever_price_limits!B:B,
         [1]unilever_price_limits!C:C)</f>
        <v>15</v>
      </c>
      <c r="H703" s="8">
        <f t="shared" si="41"/>
        <v>4.1054999999999993</v>
      </c>
      <c r="I703" s="6">
        <f t="shared" si="42"/>
        <v>14.999999999999991</v>
      </c>
      <c r="J703" t="str">
        <f t="shared" si="43"/>
        <v>OK</v>
      </c>
    </row>
    <row r="704" spans="1:10" x14ac:dyDescent="0.2">
      <c r="A704">
        <v>10703</v>
      </c>
      <c r="B704" t="s">
        <v>8</v>
      </c>
      <c r="C704" t="s">
        <v>6</v>
      </c>
      <c r="D704" s="8">
        <v>11.99</v>
      </c>
      <c r="E704">
        <v>5</v>
      </c>
      <c r="F704" t="str">
        <f t="shared" si="40"/>
        <v>Standard</v>
      </c>
      <c r="G704" s="3" cm="1">
        <f t="array" ref="G704">_xlfn.XLOOKUP(C704 &amp; F704,
         [1]unilever_price_limits!A:A &amp; [1]unilever_price_limits!B:B,
         [1]unilever_price_limits!C:C)</f>
        <v>28</v>
      </c>
      <c r="H704" s="8">
        <f t="shared" si="41"/>
        <v>15.347200000000001</v>
      </c>
      <c r="I704" s="6">
        <f t="shared" si="42"/>
        <v>28.000000000000004</v>
      </c>
      <c r="J704" t="str">
        <f t="shared" si="43"/>
        <v>OK</v>
      </c>
    </row>
    <row r="705" spans="1:10" x14ac:dyDescent="0.2">
      <c r="A705">
        <v>10704</v>
      </c>
      <c r="B705" t="s">
        <v>7</v>
      </c>
      <c r="C705" t="s">
        <v>9</v>
      </c>
      <c r="D705" s="8">
        <v>3.21</v>
      </c>
      <c r="E705">
        <v>10</v>
      </c>
      <c r="F705" t="str">
        <f t="shared" si="40"/>
        <v>Premium</v>
      </c>
      <c r="G705" s="3" cm="1">
        <f t="array" ref="G705">_xlfn.XLOOKUP(C705 &amp; F705,
         [1]unilever_price_limits!A:A &amp; [1]unilever_price_limits!B:B,
         [1]unilever_price_limits!C:C)</f>
        <v>60</v>
      </c>
      <c r="H705" s="8">
        <f t="shared" si="41"/>
        <v>5.1360000000000001</v>
      </c>
      <c r="I705" s="6">
        <f t="shared" si="42"/>
        <v>60.000000000000007</v>
      </c>
      <c r="J705" t="str">
        <f t="shared" si="43"/>
        <v>OK</v>
      </c>
    </row>
    <row r="706" spans="1:10" x14ac:dyDescent="0.2">
      <c r="A706">
        <v>10705</v>
      </c>
      <c r="B706" t="s">
        <v>8</v>
      </c>
      <c r="C706" t="s">
        <v>9</v>
      </c>
      <c r="D706" s="8">
        <v>1.47</v>
      </c>
      <c r="E706">
        <v>6</v>
      </c>
      <c r="F706" t="str">
        <f t="shared" si="40"/>
        <v>Standard</v>
      </c>
      <c r="G706" s="3" cm="1">
        <f t="array" ref="G706">_xlfn.XLOOKUP(C706 &amp; F706,
         [1]unilever_price_limits!A:A &amp; [1]unilever_price_limits!B:B,
         [1]unilever_price_limits!C:C)</f>
        <v>30</v>
      </c>
      <c r="H706" s="8">
        <f t="shared" si="41"/>
        <v>1.911</v>
      </c>
      <c r="I706" s="6">
        <f t="shared" si="42"/>
        <v>30.000000000000004</v>
      </c>
      <c r="J706" t="str">
        <f t="shared" si="43"/>
        <v>OK</v>
      </c>
    </row>
    <row r="707" spans="1:10" x14ac:dyDescent="0.2">
      <c r="A707">
        <v>10706</v>
      </c>
      <c r="B707" t="s">
        <v>8</v>
      </c>
      <c r="C707" t="s">
        <v>6</v>
      </c>
      <c r="D707" s="8">
        <v>14.98</v>
      </c>
      <c r="E707">
        <v>7</v>
      </c>
      <c r="F707" t="str">
        <f t="shared" ref="F707:F770" si="44">IF(E707&lt;=3,"Value",
 IF(E707&lt;=7,"Standard","Premium"))</f>
        <v>Standard</v>
      </c>
      <c r="G707" s="3" cm="1">
        <f t="array" ref="G707">_xlfn.XLOOKUP(C707 &amp; F707,
         [1]unilever_price_limits!A:A &amp; [1]unilever_price_limits!B:B,
         [1]unilever_price_limits!C:C)</f>
        <v>28</v>
      </c>
      <c r="H707" s="8">
        <f t="shared" ref="H707:H770" si="45">D707 * (1 + G707/100)</f>
        <v>19.174400000000002</v>
      </c>
      <c r="I707" s="6">
        <f t="shared" ref="I707:I770" si="46">(H707 / D707 - 1) * 100</f>
        <v>28.000000000000004</v>
      </c>
      <c r="J707" t="str">
        <f t="shared" ref="J707:J770" si="47">IF(I706&gt; G706, "⚠ Exceeds Limit", "OK")</f>
        <v>OK</v>
      </c>
    </row>
    <row r="708" spans="1:10" x14ac:dyDescent="0.2">
      <c r="A708">
        <v>10707</v>
      </c>
      <c r="B708" t="s">
        <v>7</v>
      </c>
      <c r="C708" t="s">
        <v>11</v>
      </c>
      <c r="D708" s="8">
        <v>0.86</v>
      </c>
      <c r="E708">
        <v>4</v>
      </c>
      <c r="F708" t="str">
        <f t="shared" si="44"/>
        <v>Standard</v>
      </c>
      <c r="G708" s="3" cm="1">
        <f t="array" ref="G708">_xlfn.XLOOKUP(C708 &amp; F708,
         [1]unilever_price_limits!A:A &amp; [1]unilever_price_limits!B:B,
         [1]unilever_price_limits!C:C)</f>
        <v>25</v>
      </c>
      <c r="H708" s="8">
        <f t="shared" si="45"/>
        <v>1.075</v>
      </c>
      <c r="I708" s="6">
        <f t="shared" si="46"/>
        <v>25</v>
      </c>
      <c r="J708" t="str">
        <f t="shared" si="47"/>
        <v>OK</v>
      </c>
    </row>
    <row r="709" spans="1:10" x14ac:dyDescent="0.2">
      <c r="A709">
        <v>10708</v>
      </c>
      <c r="B709" t="s">
        <v>7</v>
      </c>
      <c r="C709" t="s">
        <v>6</v>
      </c>
      <c r="D709" s="8">
        <v>12.61</v>
      </c>
      <c r="E709">
        <v>7</v>
      </c>
      <c r="F709" t="str">
        <f t="shared" si="44"/>
        <v>Standard</v>
      </c>
      <c r="G709" s="3" cm="1">
        <f t="array" ref="G709">_xlfn.XLOOKUP(C709 &amp; F709,
         [1]unilever_price_limits!A:A &amp; [1]unilever_price_limits!B:B,
         [1]unilever_price_limits!C:C)</f>
        <v>28</v>
      </c>
      <c r="H709" s="8">
        <f t="shared" si="45"/>
        <v>16.140799999999999</v>
      </c>
      <c r="I709" s="6">
        <f t="shared" si="46"/>
        <v>28.000000000000004</v>
      </c>
      <c r="J709" t="str">
        <f t="shared" si="47"/>
        <v>OK</v>
      </c>
    </row>
    <row r="710" spans="1:10" x14ac:dyDescent="0.2">
      <c r="A710">
        <v>10709</v>
      </c>
      <c r="B710" t="s">
        <v>7</v>
      </c>
      <c r="C710" t="s">
        <v>11</v>
      </c>
      <c r="D710" s="8">
        <v>5.8</v>
      </c>
      <c r="E710">
        <v>10</v>
      </c>
      <c r="F710" t="str">
        <f t="shared" si="44"/>
        <v>Premium</v>
      </c>
      <c r="G710" s="3" cm="1">
        <f t="array" ref="G710">_xlfn.XLOOKUP(C710 &amp; F710,
         [1]unilever_price_limits!A:A &amp; [1]unilever_price_limits!B:B,
         [1]unilever_price_limits!C:C)</f>
        <v>50</v>
      </c>
      <c r="H710" s="8">
        <f t="shared" si="45"/>
        <v>8.6999999999999993</v>
      </c>
      <c r="I710" s="6">
        <f t="shared" si="46"/>
        <v>50</v>
      </c>
      <c r="J710" t="str">
        <f t="shared" si="47"/>
        <v>OK</v>
      </c>
    </row>
    <row r="711" spans="1:10" x14ac:dyDescent="0.2">
      <c r="A711">
        <v>10710</v>
      </c>
      <c r="B711" t="s">
        <v>7</v>
      </c>
      <c r="C711" t="s">
        <v>9</v>
      </c>
      <c r="D711" s="8">
        <v>12.7</v>
      </c>
      <c r="E711">
        <v>3</v>
      </c>
      <c r="F711" t="str">
        <f t="shared" si="44"/>
        <v>Value</v>
      </c>
      <c r="G711" s="3" cm="1">
        <f t="array" ref="G711">_xlfn.XLOOKUP(C711 &amp; F711,
         [1]unilever_price_limits!A:A &amp; [1]unilever_price_limits!B:B,
         [1]unilever_price_limits!C:C)</f>
        <v>15</v>
      </c>
      <c r="H711" s="8">
        <f t="shared" si="45"/>
        <v>14.604999999999999</v>
      </c>
      <c r="I711" s="6">
        <f t="shared" si="46"/>
        <v>14.999999999999991</v>
      </c>
      <c r="J711" t="str">
        <f t="shared" si="47"/>
        <v>OK</v>
      </c>
    </row>
    <row r="712" spans="1:10" x14ac:dyDescent="0.2">
      <c r="A712">
        <v>10711</v>
      </c>
      <c r="B712" t="s">
        <v>5</v>
      </c>
      <c r="C712" t="s">
        <v>6</v>
      </c>
      <c r="D712" s="8">
        <v>8.5399999999999991</v>
      </c>
      <c r="E712">
        <v>7</v>
      </c>
      <c r="F712" t="str">
        <f t="shared" si="44"/>
        <v>Standard</v>
      </c>
      <c r="G712" s="3" cm="1">
        <f t="array" ref="G712">_xlfn.XLOOKUP(C712 &amp; F712,
         [1]unilever_price_limits!A:A &amp; [1]unilever_price_limits!B:B,
         [1]unilever_price_limits!C:C)</f>
        <v>28</v>
      </c>
      <c r="H712" s="8">
        <f t="shared" si="45"/>
        <v>10.931199999999999</v>
      </c>
      <c r="I712" s="6">
        <f t="shared" si="46"/>
        <v>28.000000000000004</v>
      </c>
      <c r="J712" t="str">
        <f t="shared" si="47"/>
        <v>OK</v>
      </c>
    </row>
    <row r="713" spans="1:10" x14ac:dyDescent="0.2">
      <c r="A713">
        <v>10712</v>
      </c>
      <c r="B713" t="s">
        <v>10</v>
      </c>
      <c r="C713" t="s">
        <v>6</v>
      </c>
      <c r="D713" s="8">
        <v>13.57</v>
      </c>
      <c r="E713">
        <v>4</v>
      </c>
      <c r="F713" t="str">
        <f t="shared" si="44"/>
        <v>Standard</v>
      </c>
      <c r="G713" s="3" cm="1">
        <f t="array" ref="G713">_xlfn.XLOOKUP(C713 &amp; F713,
         [1]unilever_price_limits!A:A &amp; [1]unilever_price_limits!B:B,
         [1]unilever_price_limits!C:C)</f>
        <v>28</v>
      </c>
      <c r="H713" s="8">
        <f t="shared" si="45"/>
        <v>17.369600000000002</v>
      </c>
      <c r="I713" s="6">
        <f t="shared" si="46"/>
        <v>28.000000000000004</v>
      </c>
      <c r="J713" t="str">
        <f t="shared" si="47"/>
        <v>OK</v>
      </c>
    </row>
    <row r="714" spans="1:10" x14ac:dyDescent="0.2">
      <c r="A714">
        <v>10713</v>
      </c>
      <c r="B714" t="s">
        <v>8</v>
      </c>
      <c r="C714" t="s">
        <v>6</v>
      </c>
      <c r="D714" s="8">
        <v>13.93</v>
      </c>
      <c r="E714">
        <v>8</v>
      </c>
      <c r="F714" t="str">
        <f t="shared" si="44"/>
        <v>Premium</v>
      </c>
      <c r="G714" s="3" cm="1">
        <f t="array" ref="G714">_xlfn.XLOOKUP(C714 &amp; F714,
         [1]unilever_price_limits!A:A &amp; [1]unilever_price_limits!B:B,
         [1]unilever_price_limits!C:C)</f>
        <v>55</v>
      </c>
      <c r="H714" s="8">
        <f t="shared" si="45"/>
        <v>21.5915</v>
      </c>
      <c r="I714" s="6">
        <f t="shared" si="46"/>
        <v>55.000000000000007</v>
      </c>
      <c r="J714" t="str">
        <f t="shared" si="47"/>
        <v>OK</v>
      </c>
    </row>
    <row r="715" spans="1:10" x14ac:dyDescent="0.2">
      <c r="A715">
        <v>10714</v>
      </c>
      <c r="B715" t="s">
        <v>7</v>
      </c>
      <c r="C715" t="s">
        <v>11</v>
      </c>
      <c r="D715" s="8">
        <v>0.63</v>
      </c>
      <c r="E715">
        <v>9</v>
      </c>
      <c r="F715" t="str">
        <f t="shared" si="44"/>
        <v>Premium</v>
      </c>
      <c r="G715" s="3" cm="1">
        <f t="array" ref="G715">_xlfn.XLOOKUP(C715 &amp; F715,
         [1]unilever_price_limits!A:A &amp; [1]unilever_price_limits!B:B,
         [1]unilever_price_limits!C:C)</f>
        <v>50</v>
      </c>
      <c r="H715" s="8">
        <f t="shared" si="45"/>
        <v>0.94500000000000006</v>
      </c>
      <c r="I715" s="6">
        <f t="shared" si="46"/>
        <v>50</v>
      </c>
      <c r="J715" t="str">
        <f t="shared" si="47"/>
        <v>OK</v>
      </c>
    </row>
    <row r="716" spans="1:10" x14ac:dyDescent="0.2">
      <c r="A716">
        <v>10715</v>
      </c>
      <c r="B716" t="s">
        <v>7</v>
      </c>
      <c r="C716" t="s">
        <v>11</v>
      </c>
      <c r="D716" s="8">
        <v>1.59</v>
      </c>
      <c r="E716">
        <v>7</v>
      </c>
      <c r="F716" t="str">
        <f t="shared" si="44"/>
        <v>Standard</v>
      </c>
      <c r="G716" s="3" cm="1">
        <f t="array" ref="G716">_xlfn.XLOOKUP(C716 &amp; F716,
         [1]unilever_price_limits!A:A &amp; [1]unilever_price_limits!B:B,
         [1]unilever_price_limits!C:C)</f>
        <v>25</v>
      </c>
      <c r="H716" s="8">
        <f t="shared" si="45"/>
        <v>1.9875</v>
      </c>
      <c r="I716" s="6">
        <f t="shared" si="46"/>
        <v>25</v>
      </c>
      <c r="J716" t="str">
        <f t="shared" si="47"/>
        <v>OK</v>
      </c>
    </row>
    <row r="717" spans="1:10" x14ac:dyDescent="0.2">
      <c r="A717">
        <v>10716</v>
      </c>
      <c r="B717" t="s">
        <v>7</v>
      </c>
      <c r="C717" t="s">
        <v>9</v>
      </c>
      <c r="D717" s="8">
        <v>4.13</v>
      </c>
      <c r="E717">
        <v>8</v>
      </c>
      <c r="F717" t="str">
        <f t="shared" si="44"/>
        <v>Premium</v>
      </c>
      <c r="G717" s="3" cm="1">
        <f t="array" ref="G717">_xlfn.XLOOKUP(C717 &amp; F717,
         [1]unilever_price_limits!A:A &amp; [1]unilever_price_limits!B:B,
         [1]unilever_price_limits!C:C)</f>
        <v>60</v>
      </c>
      <c r="H717" s="8">
        <f t="shared" si="45"/>
        <v>6.6080000000000005</v>
      </c>
      <c r="I717" s="6">
        <f t="shared" si="46"/>
        <v>60.000000000000007</v>
      </c>
      <c r="J717" t="str">
        <f t="shared" si="47"/>
        <v>OK</v>
      </c>
    </row>
    <row r="718" spans="1:10" x14ac:dyDescent="0.2">
      <c r="A718">
        <v>10717</v>
      </c>
      <c r="B718" t="s">
        <v>5</v>
      </c>
      <c r="C718" t="s">
        <v>11</v>
      </c>
      <c r="D718" s="8">
        <v>10.210000000000001</v>
      </c>
      <c r="E718">
        <v>8</v>
      </c>
      <c r="F718" t="str">
        <f t="shared" si="44"/>
        <v>Premium</v>
      </c>
      <c r="G718" s="3" cm="1">
        <f t="array" ref="G718">_xlfn.XLOOKUP(C718 &amp; F718,
         [1]unilever_price_limits!A:A &amp; [1]unilever_price_limits!B:B,
         [1]unilever_price_limits!C:C)</f>
        <v>50</v>
      </c>
      <c r="H718" s="8">
        <f t="shared" si="45"/>
        <v>15.315000000000001</v>
      </c>
      <c r="I718" s="6">
        <f t="shared" si="46"/>
        <v>50</v>
      </c>
      <c r="J718" t="str">
        <f t="shared" si="47"/>
        <v>OK</v>
      </c>
    </row>
    <row r="719" spans="1:10" x14ac:dyDescent="0.2">
      <c r="A719">
        <v>10718</v>
      </c>
      <c r="B719" t="s">
        <v>7</v>
      </c>
      <c r="C719" t="s">
        <v>11</v>
      </c>
      <c r="D719" s="8">
        <v>13.38</v>
      </c>
      <c r="E719">
        <v>2</v>
      </c>
      <c r="F719" t="str">
        <f t="shared" si="44"/>
        <v>Value</v>
      </c>
      <c r="G719" s="3" cm="1">
        <f t="array" ref="G719">_xlfn.XLOOKUP(C719 &amp; F719,
         [1]unilever_price_limits!A:A &amp; [1]unilever_price_limits!B:B,
         [1]unilever_price_limits!C:C)</f>
        <v>10</v>
      </c>
      <c r="H719" s="8">
        <f t="shared" si="45"/>
        <v>14.718000000000002</v>
      </c>
      <c r="I719" s="6">
        <f t="shared" si="46"/>
        <v>10.000000000000009</v>
      </c>
      <c r="J719" t="str">
        <f t="shared" si="47"/>
        <v>OK</v>
      </c>
    </row>
    <row r="720" spans="1:10" x14ac:dyDescent="0.2">
      <c r="A720">
        <v>10719</v>
      </c>
      <c r="B720" t="s">
        <v>7</v>
      </c>
      <c r="C720" t="s">
        <v>9</v>
      </c>
      <c r="D720" s="8">
        <v>7.17</v>
      </c>
      <c r="E720">
        <v>9</v>
      </c>
      <c r="F720" t="str">
        <f t="shared" si="44"/>
        <v>Premium</v>
      </c>
      <c r="G720" s="3" cm="1">
        <f t="array" ref="G720">_xlfn.XLOOKUP(C720 &amp; F720,
         [1]unilever_price_limits!A:A &amp; [1]unilever_price_limits!B:B,
         [1]unilever_price_limits!C:C)</f>
        <v>60</v>
      </c>
      <c r="H720" s="8">
        <f t="shared" si="45"/>
        <v>11.472000000000001</v>
      </c>
      <c r="I720" s="6">
        <f t="shared" si="46"/>
        <v>60.000000000000007</v>
      </c>
      <c r="J720" t="str">
        <f t="shared" si="47"/>
        <v>OK</v>
      </c>
    </row>
    <row r="721" spans="1:10" x14ac:dyDescent="0.2">
      <c r="A721">
        <v>10720</v>
      </c>
      <c r="B721" t="s">
        <v>7</v>
      </c>
      <c r="C721" t="s">
        <v>6</v>
      </c>
      <c r="D721" s="8">
        <v>9.3000000000000007</v>
      </c>
      <c r="E721">
        <v>6</v>
      </c>
      <c r="F721" t="str">
        <f t="shared" si="44"/>
        <v>Standard</v>
      </c>
      <c r="G721" s="3" cm="1">
        <f t="array" ref="G721">_xlfn.XLOOKUP(C721 &amp; F721,
         [1]unilever_price_limits!A:A &amp; [1]unilever_price_limits!B:B,
         [1]unilever_price_limits!C:C)</f>
        <v>28</v>
      </c>
      <c r="H721" s="8">
        <f t="shared" si="45"/>
        <v>11.904000000000002</v>
      </c>
      <c r="I721" s="6">
        <f t="shared" si="46"/>
        <v>28.000000000000004</v>
      </c>
      <c r="J721" t="str">
        <f t="shared" si="47"/>
        <v>OK</v>
      </c>
    </row>
    <row r="722" spans="1:10" x14ac:dyDescent="0.2">
      <c r="A722">
        <v>10721</v>
      </c>
      <c r="B722" t="s">
        <v>10</v>
      </c>
      <c r="C722" t="s">
        <v>6</v>
      </c>
      <c r="D722" s="8">
        <v>3.23</v>
      </c>
      <c r="E722">
        <v>4</v>
      </c>
      <c r="F722" t="str">
        <f t="shared" si="44"/>
        <v>Standard</v>
      </c>
      <c r="G722" s="3" cm="1">
        <f t="array" ref="G722">_xlfn.XLOOKUP(C722 &amp; F722,
         [1]unilever_price_limits!A:A &amp; [1]unilever_price_limits!B:B,
         [1]unilever_price_limits!C:C)</f>
        <v>28</v>
      </c>
      <c r="H722" s="8">
        <f t="shared" si="45"/>
        <v>4.1344000000000003</v>
      </c>
      <c r="I722" s="6">
        <f t="shared" si="46"/>
        <v>28.000000000000004</v>
      </c>
      <c r="J722" t="str">
        <f t="shared" si="47"/>
        <v>OK</v>
      </c>
    </row>
    <row r="723" spans="1:10" x14ac:dyDescent="0.2">
      <c r="A723">
        <v>10722</v>
      </c>
      <c r="B723" t="s">
        <v>5</v>
      </c>
      <c r="C723" t="s">
        <v>9</v>
      </c>
      <c r="D723" s="8">
        <v>12.17</v>
      </c>
      <c r="E723">
        <v>5</v>
      </c>
      <c r="F723" t="str">
        <f t="shared" si="44"/>
        <v>Standard</v>
      </c>
      <c r="G723" s="3" cm="1">
        <f t="array" ref="G723">_xlfn.XLOOKUP(C723 &amp; F723,
         [1]unilever_price_limits!A:A &amp; [1]unilever_price_limits!B:B,
         [1]unilever_price_limits!C:C)</f>
        <v>30</v>
      </c>
      <c r="H723" s="8">
        <f t="shared" si="45"/>
        <v>15.821</v>
      </c>
      <c r="I723" s="6">
        <f t="shared" si="46"/>
        <v>30.000000000000004</v>
      </c>
      <c r="J723" t="str">
        <f t="shared" si="47"/>
        <v>OK</v>
      </c>
    </row>
    <row r="724" spans="1:10" x14ac:dyDescent="0.2">
      <c r="A724">
        <v>10723</v>
      </c>
      <c r="B724" t="s">
        <v>7</v>
      </c>
      <c r="C724" t="s">
        <v>6</v>
      </c>
      <c r="D724" s="8">
        <v>14.53</v>
      </c>
      <c r="E724">
        <v>10</v>
      </c>
      <c r="F724" t="str">
        <f t="shared" si="44"/>
        <v>Premium</v>
      </c>
      <c r="G724" s="3" cm="1">
        <f t="array" ref="G724">_xlfn.XLOOKUP(C724 &amp; F724,
         [1]unilever_price_limits!A:A &amp; [1]unilever_price_limits!B:B,
         [1]unilever_price_limits!C:C)</f>
        <v>55</v>
      </c>
      <c r="H724" s="8">
        <f t="shared" si="45"/>
        <v>22.5215</v>
      </c>
      <c r="I724" s="6">
        <f t="shared" si="46"/>
        <v>55.000000000000007</v>
      </c>
      <c r="J724" t="str">
        <f t="shared" si="47"/>
        <v>OK</v>
      </c>
    </row>
    <row r="725" spans="1:10" x14ac:dyDescent="0.2">
      <c r="A725">
        <v>10724</v>
      </c>
      <c r="B725" t="s">
        <v>8</v>
      </c>
      <c r="C725" t="s">
        <v>11</v>
      </c>
      <c r="D725" s="8">
        <v>4.3899999999999997</v>
      </c>
      <c r="E725">
        <v>5</v>
      </c>
      <c r="F725" t="str">
        <f t="shared" si="44"/>
        <v>Standard</v>
      </c>
      <c r="G725" s="3" cm="1">
        <f t="array" ref="G725">_xlfn.XLOOKUP(C725 &amp; F725,
         [1]unilever_price_limits!A:A &amp; [1]unilever_price_limits!B:B,
         [1]unilever_price_limits!C:C)</f>
        <v>25</v>
      </c>
      <c r="H725" s="8">
        <f t="shared" si="45"/>
        <v>5.4874999999999998</v>
      </c>
      <c r="I725" s="6">
        <f t="shared" si="46"/>
        <v>25</v>
      </c>
      <c r="J725" t="str">
        <f t="shared" si="47"/>
        <v>OK</v>
      </c>
    </row>
    <row r="726" spans="1:10" x14ac:dyDescent="0.2">
      <c r="A726">
        <v>10725</v>
      </c>
      <c r="B726" t="s">
        <v>8</v>
      </c>
      <c r="C726" t="s">
        <v>9</v>
      </c>
      <c r="D726" s="8">
        <v>7.67</v>
      </c>
      <c r="E726">
        <v>7</v>
      </c>
      <c r="F726" t="str">
        <f t="shared" si="44"/>
        <v>Standard</v>
      </c>
      <c r="G726" s="3" cm="1">
        <f t="array" ref="G726">_xlfn.XLOOKUP(C726 &amp; F726,
         [1]unilever_price_limits!A:A &amp; [1]unilever_price_limits!B:B,
         [1]unilever_price_limits!C:C)</f>
        <v>30</v>
      </c>
      <c r="H726" s="8">
        <f t="shared" si="45"/>
        <v>9.9710000000000001</v>
      </c>
      <c r="I726" s="6">
        <f t="shared" si="46"/>
        <v>30.000000000000004</v>
      </c>
      <c r="J726" t="str">
        <f t="shared" si="47"/>
        <v>OK</v>
      </c>
    </row>
    <row r="727" spans="1:10" x14ac:dyDescent="0.2">
      <c r="A727">
        <v>10726</v>
      </c>
      <c r="B727" t="s">
        <v>8</v>
      </c>
      <c r="C727" t="s">
        <v>9</v>
      </c>
      <c r="D727" s="8">
        <v>1.75</v>
      </c>
      <c r="E727">
        <v>9</v>
      </c>
      <c r="F727" t="str">
        <f t="shared" si="44"/>
        <v>Premium</v>
      </c>
      <c r="G727" s="3" cm="1">
        <f t="array" ref="G727">_xlfn.XLOOKUP(C727 &amp; F727,
         [1]unilever_price_limits!A:A &amp; [1]unilever_price_limits!B:B,
         [1]unilever_price_limits!C:C)</f>
        <v>60</v>
      </c>
      <c r="H727" s="8">
        <f t="shared" si="45"/>
        <v>2.8000000000000003</v>
      </c>
      <c r="I727" s="6">
        <f t="shared" si="46"/>
        <v>60.000000000000007</v>
      </c>
      <c r="J727" t="str">
        <f t="shared" si="47"/>
        <v>OK</v>
      </c>
    </row>
    <row r="728" spans="1:10" x14ac:dyDescent="0.2">
      <c r="A728">
        <v>10727</v>
      </c>
      <c r="B728" t="s">
        <v>5</v>
      </c>
      <c r="C728" t="s">
        <v>9</v>
      </c>
      <c r="D728" s="8">
        <v>8.61</v>
      </c>
      <c r="E728">
        <v>7</v>
      </c>
      <c r="F728" t="str">
        <f t="shared" si="44"/>
        <v>Standard</v>
      </c>
      <c r="G728" s="3" cm="1">
        <f t="array" ref="G728">_xlfn.XLOOKUP(C728 &amp; F728,
         [1]unilever_price_limits!A:A &amp; [1]unilever_price_limits!B:B,
         [1]unilever_price_limits!C:C)</f>
        <v>30</v>
      </c>
      <c r="H728" s="8">
        <f t="shared" si="45"/>
        <v>11.193</v>
      </c>
      <c r="I728" s="6">
        <f t="shared" si="46"/>
        <v>30.000000000000004</v>
      </c>
      <c r="J728" t="str">
        <f t="shared" si="47"/>
        <v>OK</v>
      </c>
    </row>
    <row r="729" spans="1:10" x14ac:dyDescent="0.2">
      <c r="A729">
        <v>10728</v>
      </c>
      <c r="B729" t="s">
        <v>5</v>
      </c>
      <c r="C729" t="s">
        <v>6</v>
      </c>
      <c r="D729" s="8">
        <v>7.79</v>
      </c>
      <c r="E729">
        <v>9</v>
      </c>
      <c r="F729" t="str">
        <f t="shared" si="44"/>
        <v>Premium</v>
      </c>
      <c r="G729" s="3" cm="1">
        <f t="array" ref="G729">_xlfn.XLOOKUP(C729 &amp; F729,
         [1]unilever_price_limits!A:A &amp; [1]unilever_price_limits!B:B,
         [1]unilever_price_limits!C:C)</f>
        <v>55</v>
      </c>
      <c r="H729" s="8">
        <f t="shared" si="45"/>
        <v>12.0745</v>
      </c>
      <c r="I729" s="6">
        <f t="shared" si="46"/>
        <v>55.000000000000007</v>
      </c>
      <c r="J729" t="str">
        <f t="shared" si="47"/>
        <v>OK</v>
      </c>
    </row>
    <row r="730" spans="1:10" x14ac:dyDescent="0.2">
      <c r="A730">
        <v>10729</v>
      </c>
      <c r="B730" t="s">
        <v>8</v>
      </c>
      <c r="C730" t="s">
        <v>9</v>
      </c>
      <c r="D730" s="8">
        <v>2.59</v>
      </c>
      <c r="E730">
        <v>4</v>
      </c>
      <c r="F730" t="str">
        <f t="shared" si="44"/>
        <v>Standard</v>
      </c>
      <c r="G730" s="3" cm="1">
        <f t="array" ref="G730">_xlfn.XLOOKUP(C730 &amp; F730,
         [1]unilever_price_limits!A:A &amp; [1]unilever_price_limits!B:B,
         [1]unilever_price_limits!C:C)</f>
        <v>30</v>
      </c>
      <c r="H730" s="8">
        <f t="shared" si="45"/>
        <v>3.367</v>
      </c>
      <c r="I730" s="6">
        <f t="shared" si="46"/>
        <v>30.000000000000004</v>
      </c>
      <c r="J730" t="str">
        <f t="shared" si="47"/>
        <v>OK</v>
      </c>
    </row>
    <row r="731" spans="1:10" x14ac:dyDescent="0.2">
      <c r="A731">
        <v>10730</v>
      </c>
      <c r="B731" t="s">
        <v>7</v>
      </c>
      <c r="C731" t="s">
        <v>9</v>
      </c>
      <c r="D731" s="8">
        <v>6.91</v>
      </c>
      <c r="E731">
        <v>10</v>
      </c>
      <c r="F731" t="str">
        <f t="shared" si="44"/>
        <v>Premium</v>
      </c>
      <c r="G731" s="3" cm="1">
        <f t="array" ref="G731">_xlfn.XLOOKUP(C731 &amp; F731,
         [1]unilever_price_limits!A:A &amp; [1]unilever_price_limits!B:B,
         [1]unilever_price_limits!C:C)</f>
        <v>60</v>
      </c>
      <c r="H731" s="8">
        <f t="shared" si="45"/>
        <v>11.056000000000001</v>
      </c>
      <c r="I731" s="6">
        <f t="shared" si="46"/>
        <v>60.000000000000007</v>
      </c>
      <c r="J731" t="str">
        <f t="shared" si="47"/>
        <v>OK</v>
      </c>
    </row>
    <row r="732" spans="1:10" x14ac:dyDescent="0.2">
      <c r="A732">
        <v>10731</v>
      </c>
      <c r="B732" t="s">
        <v>5</v>
      </c>
      <c r="C732" t="s">
        <v>9</v>
      </c>
      <c r="D732" s="8">
        <v>5.34</v>
      </c>
      <c r="E732">
        <v>10</v>
      </c>
      <c r="F732" t="str">
        <f t="shared" si="44"/>
        <v>Premium</v>
      </c>
      <c r="G732" s="3" cm="1">
        <f t="array" ref="G732">_xlfn.XLOOKUP(C732 &amp; F732,
         [1]unilever_price_limits!A:A &amp; [1]unilever_price_limits!B:B,
         [1]unilever_price_limits!C:C)</f>
        <v>60</v>
      </c>
      <c r="H732" s="8">
        <f t="shared" si="45"/>
        <v>8.5440000000000005</v>
      </c>
      <c r="I732" s="6">
        <f t="shared" si="46"/>
        <v>60.000000000000007</v>
      </c>
      <c r="J732" t="str">
        <f t="shared" si="47"/>
        <v>OK</v>
      </c>
    </row>
    <row r="733" spans="1:10" x14ac:dyDescent="0.2">
      <c r="A733">
        <v>10732</v>
      </c>
      <c r="B733" t="s">
        <v>8</v>
      </c>
      <c r="C733" t="s">
        <v>6</v>
      </c>
      <c r="D733" s="8">
        <v>8.07</v>
      </c>
      <c r="E733">
        <v>4</v>
      </c>
      <c r="F733" t="str">
        <f t="shared" si="44"/>
        <v>Standard</v>
      </c>
      <c r="G733" s="3" cm="1">
        <f t="array" ref="G733">_xlfn.XLOOKUP(C733 &amp; F733,
         [1]unilever_price_limits!A:A &amp; [1]unilever_price_limits!B:B,
         [1]unilever_price_limits!C:C)</f>
        <v>28</v>
      </c>
      <c r="H733" s="8">
        <f t="shared" si="45"/>
        <v>10.329600000000001</v>
      </c>
      <c r="I733" s="6">
        <f t="shared" si="46"/>
        <v>28.000000000000004</v>
      </c>
      <c r="J733" t="str">
        <f t="shared" si="47"/>
        <v>OK</v>
      </c>
    </row>
    <row r="734" spans="1:10" x14ac:dyDescent="0.2">
      <c r="A734">
        <v>10733</v>
      </c>
      <c r="B734" t="s">
        <v>8</v>
      </c>
      <c r="C734" t="s">
        <v>11</v>
      </c>
      <c r="D734" s="8">
        <v>8.99</v>
      </c>
      <c r="E734">
        <v>6</v>
      </c>
      <c r="F734" t="str">
        <f t="shared" si="44"/>
        <v>Standard</v>
      </c>
      <c r="G734" s="3" cm="1">
        <f t="array" ref="G734">_xlfn.XLOOKUP(C734 &amp; F734,
         [1]unilever_price_limits!A:A &amp; [1]unilever_price_limits!B:B,
         [1]unilever_price_limits!C:C)</f>
        <v>25</v>
      </c>
      <c r="H734" s="8">
        <f t="shared" si="45"/>
        <v>11.237500000000001</v>
      </c>
      <c r="I734" s="6">
        <f t="shared" si="46"/>
        <v>25</v>
      </c>
      <c r="J734" t="str">
        <f t="shared" si="47"/>
        <v>OK</v>
      </c>
    </row>
    <row r="735" spans="1:10" x14ac:dyDescent="0.2">
      <c r="A735">
        <v>10734</v>
      </c>
      <c r="B735" t="s">
        <v>7</v>
      </c>
      <c r="C735" t="s">
        <v>9</v>
      </c>
      <c r="D735" s="8">
        <v>0.62</v>
      </c>
      <c r="E735">
        <v>8</v>
      </c>
      <c r="F735" t="str">
        <f t="shared" si="44"/>
        <v>Premium</v>
      </c>
      <c r="G735" s="3" cm="1">
        <f t="array" ref="G735">_xlfn.XLOOKUP(C735 &amp; F735,
         [1]unilever_price_limits!A:A &amp; [1]unilever_price_limits!B:B,
         [1]unilever_price_limits!C:C)</f>
        <v>60</v>
      </c>
      <c r="H735" s="8">
        <f t="shared" si="45"/>
        <v>0.99199999999999999</v>
      </c>
      <c r="I735" s="6">
        <f t="shared" si="46"/>
        <v>60.000000000000007</v>
      </c>
      <c r="J735" t="str">
        <f t="shared" si="47"/>
        <v>OK</v>
      </c>
    </row>
    <row r="736" spans="1:10" x14ac:dyDescent="0.2">
      <c r="A736">
        <v>10735</v>
      </c>
      <c r="B736" t="s">
        <v>10</v>
      </c>
      <c r="C736" t="s">
        <v>11</v>
      </c>
      <c r="D736" s="8">
        <v>11.53</v>
      </c>
      <c r="E736">
        <v>9</v>
      </c>
      <c r="F736" t="str">
        <f t="shared" si="44"/>
        <v>Premium</v>
      </c>
      <c r="G736" s="3" cm="1">
        <f t="array" ref="G736">_xlfn.XLOOKUP(C736 &amp; F736,
         [1]unilever_price_limits!A:A &amp; [1]unilever_price_limits!B:B,
         [1]unilever_price_limits!C:C)</f>
        <v>50</v>
      </c>
      <c r="H736" s="8">
        <f t="shared" si="45"/>
        <v>17.294999999999998</v>
      </c>
      <c r="I736" s="6">
        <f t="shared" si="46"/>
        <v>50</v>
      </c>
      <c r="J736" t="str">
        <f t="shared" si="47"/>
        <v>OK</v>
      </c>
    </row>
    <row r="737" spans="1:10" x14ac:dyDescent="0.2">
      <c r="A737">
        <v>10736</v>
      </c>
      <c r="B737" t="s">
        <v>5</v>
      </c>
      <c r="C737" t="s">
        <v>6</v>
      </c>
      <c r="D737" s="8">
        <v>10.84</v>
      </c>
      <c r="E737">
        <v>1</v>
      </c>
      <c r="F737" t="str">
        <f t="shared" si="44"/>
        <v>Value</v>
      </c>
      <c r="G737" s="3" cm="1">
        <f t="array" ref="G737">_xlfn.XLOOKUP(C737 &amp; F737,
         [1]unilever_price_limits!A:A &amp; [1]unilever_price_limits!B:B,
         [1]unilever_price_limits!C:C)</f>
        <v>12</v>
      </c>
      <c r="H737" s="8">
        <f t="shared" si="45"/>
        <v>12.1408</v>
      </c>
      <c r="I737" s="6">
        <f t="shared" si="46"/>
        <v>12.000000000000011</v>
      </c>
      <c r="J737" t="str">
        <f t="shared" si="47"/>
        <v>OK</v>
      </c>
    </row>
    <row r="738" spans="1:10" x14ac:dyDescent="0.2">
      <c r="A738">
        <v>10737</v>
      </c>
      <c r="B738" t="s">
        <v>7</v>
      </c>
      <c r="C738" t="s">
        <v>6</v>
      </c>
      <c r="D738" s="8">
        <v>5.81</v>
      </c>
      <c r="E738">
        <v>1</v>
      </c>
      <c r="F738" t="str">
        <f t="shared" si="44"/>
        <v>Value</v>
      </c>
      <c r="G738" s="3" cm="1">
        <f t="array" ref="G738">_xlfn.XLOOKUP(C738 &amp; F738,
         [1]unilever_price_limits!A:A &amp; [1]unilever_price_limits!B:B,
         [1]unilever_price_limits!C:C)</f>
        <v>12</v>
      </c>
      <c r="H738" s="8">
        <f t="shared" si="45"/>
        <v>6.5072000000000001</v>
      </c>
      <c r="I738" s="6">
        <f t="shared" si="46"/>
        <v>12.000000000000011</v>
      </c>
      <c r="J738" t="str">
        <f t="shared" si="47"/>
        <v>OK</v>
      </c>
    </row>
    <row r="739" spans="1:10" x14ac:dyDescent="0.2">
      <c r="A739">
        <v>10738</v>
      </c>
      <c r="B739" t="s">
        <v>8</v>
      </c>
      <c r="C739" t="s">
        <v>6</v>
      </c>
      <c r="D739" s="8">
        <v>1.27</v>
      </c>
      <c r="E739">
        <v>8</v>
      </c>
      <c r="F739" t="str">
        <f t="shared" si="44"/>
        <v>Premium</v>
      </c>
      <c r="G739" s="3" cm="1">
        <f t="array" ref="G739">_xlfn.XLOOKUP(C739 &amp; F739,
         [1]unilever_price_limits!A:A &amp; [1]unilever_price_limits!B:B,
         [1]unilever_price_limits!C:C)</f>
        <v>55</v>
      </c>
      <c r="H739" s="8">
        <f t="shared" si="45"/>
        <v>1.9685000000000001</v>
      </c>
      <c r="I739" s="6">
        <f t="shared" si="46"/>
        <v>55.000000000000007</v>
      </c>
      <c r="J739" t="str">
        <f t="shared" si="47"/>
        <v>OK</v>
      </c>
    </row>
    <row r="740" spans="1:10" x14ac:dyDescent="0.2">
      <c r="A740">
        <v>10739</v>
      </c>
      <c r="B740" t="s">
        <v>8</v>
      </c>
      <c r="C740" t="s">
        <v>6</v>
      </c>
      <c r="D740" s="8">
        <v>11.45</v>
      </c>
      <c r="E740">
        <v>7</v>
      </c>
      <c r="F740" t="str">
        <f t="shared" si="44"/>
        <v>Standard</v>
      </c>
      <c r="G740" s="3" cm="1">
        <f t="array" ref="G740">_xlfn.XLOOKUP(C740 &amp; F740,
         [1]unilever_price_limits!A:A &amp; [1]unilever_price_limits!B:B,
         [1]unilever_price_limits!C:C)</f>
        <v>28</v>
      </c>
      <c r="H740" s="8">
        <f t="shared" si="45"/>
        <v>14.655999999999999</v>
      </c>
      <c r="I740" s="6">
        <f t="shared" si="46"/>
        <v>28.000000000000004</v>
      </c>
      <c r="J740" t="str">
        <f t="shared" si="47"/>
        <v>OK</v>
      </c>
    </row>
    <row r="741" spans="1:10" x14ac:dyDescent="0.2">
      <c r="A741">
        <v>10740</v>
      </c>
      <c r="B741" t="s">
        <v>7</v>
      </c>
      <c r="C741" t="s">
        <v>11</v>
      </c>
      <c r="D741" s="8">
        <v>14.35</v>
      </c>
      <c r="E741">
        <v>9</v>
      </c>
      <c r="F741" t="str">
        <f t="shared" si="44"/>
        <v>Premium</v>
      </c>
      <c r="G741" s="3" cm="1">
        <f t="array" ref="G741">_xlfn.XLOOKUP(C741 &amp; F741,
         [1]unilever_price_limits!A:A &amp; [1]unilever_price_limits!B:B,
         [1]unilever_price_limits!C:C)</f>
        <v>50</v>
      </c>
      <c r="H741" s="8">
        <f t="shared" si="45"/>
        <v>21.524999999999999</v>
      </c>
      <c r="I741" s="6">
        <f t="shared" si="46"/>
        <v>50</v>
      </c>
      <c r="J741" t="str">
        <f t="shared" si="47"/>
        <v>OK</v>
      </c>
    </row>
    <row r="742" spans="1:10" x14ac:dyDescent="0.2">
      <c r="A742">
        <v>10741</v>
      </c>
      <c r="B742" t="s">
        <v>5</v>
      </c>
      <c r="C742" t="s">
        <v>9</v>
      </c>
      <c r="D742" s="8">
        <v>3.98</v>
      </c>
      <c r="E742">
        <v>3</v>
      </c>
      <c r="F742" t="str">
        <f t="shared" si="44"/>
        <v>Value</v>
      </c>
      <c r="G742" s="3" cm="1">
        <f t="array" ref="G742">_xlfn.XLOOKUP(C742 &amp; F742,
         [1]unilever_price_limits!A:A &amp; [1]unilever_price_limits!B:B,
         [1]unilever_price_limits!C:C)</f>
        <v>15</v>
      </c>
      <c r="H742" s="8">
        <f t="shared" si="45"/>
        <v>4.577</v>
      </c>
      <c r="I742" s="6">
        <f t="shared" si="46"/>
        <v>14.999999999999991</v>
      </c>
      <c r="J742" t="str">
        <f t="shared" si="47"/>
        <v>OK</v>
      </c>
    </row>
    <row r="743" spans="1:10" x14ac:dyDescent="0.2">
      <c r="A743">
        <v>10742</v>
      </c>
      <c r="B743" t="s">
        <v>10</v>
      </c>
      <c r="C743" t="s">
        <v>6</v>
      </c>
      <c r="D743" s="8">
        <v>5.19</v>
      </c>
      <c r="E743">
        <v>10</v>
      </c>
      <c r="F743" t="str">
        <f t="shared" si="44"/>
        <v>Premium</v>
      </c>
      <c r="G743" s="3" cm="1">
        <f t="array" ref="G743">_xlfn.XLOOKUP(C743 &amp; F743,
         [1]unilever_price_limits!A:A &amp; [1]unilever_price_limits!B:B,
         [1]unilever_price_limits!C:C)</f>
        <v>55</v>
      </c>
      <c r="H743" s="8">
        <f t="shared" si="45"/>
        <v>8.0445000000000011</v>
      </c>
      <c r="I743" s="6">
        <f t="shared" si="46"/>
        <v>55.000000000000007</v>
      </c>
      <c r="J743" t="str">
        <f t="shared" si="47"/>
        <v>OK</v>
      </c>
    </row>
    <row r="744" spans="1:10" x14ac:dyDescent="0.2">
      <c r="A744">
        <v>10743</v>
      </c>
      <c r="B744" t="s">
        <v>10</v>
      </c>
      <c r="C744" t="s">
        <v>6</v>
      </c>
      <c r="D744" s="8">
        <v>3.17</v>
      </c>
      <c r="E744">
        <v>5</v>
      </c>
      <c r="F744" t="str">
        <f t="shared" si="44"/>
        <v>Standard</v>
      </c>
      <c r="G744" s="3" cm="1">
        <f t="array" ref="G744">_xlfn.XLOOKUP(C744 &amp; F744,
         [1]unilever_price_limits!A:A &amp; [1]unilever_price_limits!B:B,
         [1]unilever_price_limits!C:C)</f>
        <v>28</v>
      </c>
      <c r="H744" s="8">
        <f t="shared" si="45"/>
        <v>4.0575999999999999</v>
      </c>
      <c r="I744" s="6">
        <f t="shared" si="46"/>
        <v>28.000000000000004</v>
      </c>
      <c r="J744" t="str">
        <f t="shared" si="47"/>
        <v>OK</v>
      </c>
    </row>
    <row r="745" spans="1:10" x14ac:dyDescent="0.2">
      <c r="A745">
        <v>10744</v>
      </c>
      <c r="B745" t="s">
        <v>8</v>
      </c>
      <c r="C745" t="s">
        <v>11</v>
      </c>
      <c r="D745" s="8">
        <v>8.8699999999999992</v>
      </c>
      <c r="E745">
        <v>3</v>
      </c>
      <c r="F745" t="str">
        <f t="shared" si="44"/>
        <v>Value</v>
      </c>
      <c r="G745" s="3" cm="1">
        <f t="array" ref="G745">_xlfn.XLOOKUP(C745 &amp; F745,
         [1]unilever_price_limits!A:A &amp; [1]unilever_price_limits!B:B,
         [1]unilever_price_limits!C:C)</f>
        <v>10</v>
      </c>
      <c r="H745" s="8">
        <f t="shared" si="45"/>
        <v>9.7569999999999997</v>
      </c>
      <c r="I745" s="6">
        <f t="shared" si="46"/>
        <v>10.000000000000009</v>
      </c>
      <c r="J745" t="str">
        <f t="shared" si="47"/>
        <v>OK</v>
      </c>
    </row>
    <row r="746" spans="1:10" x14ac:dyDescent="0.2">
      <c r="A746">
        <v>10745</v>
      </c>
      <c r="B746" t="s">
        <v>5</v>
      </c>
      <c r="C746" t="s">
        <v>11</v>
      </c>
      <c r="D746" s="8">
        <v>2.75</v>
      </c>
      <c r="E746">
        <v>5</v>
      </c>
      <c r="F746" t="str">
        <f t="shared" si="44"/>
        <v>Standard</v>
      </c>
      <c r="G746" s="3" cm="1">
        <f t="array" ref="G746">_xlfn.XLOOKUP(C746 &amp; F746,
         [1]unilever_price_limits!A:A &amp; [1]unilever_price_limits!B:B,
         [1]unilever_price_limits!C:C)</f>
        <v>25</v>
      </c>
      <c r="H746" s="8">
        <f t="shared" si="45"/>
        <v>3.4375</v>
      </c>
      <c r="I746" s="6">
        <f t="shared" si="46"/>
        <v>25</v>
      </c>
      <c r="J746" t="str">
        <f t="shared" si="47"/>
        <v>OK</v>
      </c>
    </row>
    <row r="747" spans="1:10" x14ac:dyDescent="0.2">
      <c r="A747">
        <v>10746</v>
      </c>
      <c r="B747" t="s">
        <v>10</v>
      </c>
      <c r="C747" t="s">
        <v>6</v>
      </c>
      <c r="D747" s="8">
        <v>5.66</v>
      </c>
      <c r="E747">
        <v>10</v>
      </c>
      <c r="F747" t="str">
        <f t="shared" si="44"/>
        <v>Premium</v>
      </c>
      <c r="G747" s="3" cm="1">
        <f t="array" ref="G747">_xlfn.XLOOKUP(C747 &amp; F747,
         [1]unilever_price_limits!A:A &amp; [1]unilever_price_limits!B:B,
         [1]unilever_price_limits!C:C)</f>
        <v>55</v>
      </c>
      <c r="H747" s="8">
        <f t="shared" si="45"/>
        <v>8.7729999999999997</v>
      </c>
      <c r="I747" s="6">
        <f t="shared" si="46"/>
        <v>54.999999999999986</v>
      </c>
      <c r="J747" t="str">
        <f t="shared" si="47"/>
        <v>OK</v>
      </c>
    </row>
    <row r="748" spans="1:10" x14ac:dyDescent="0.2">
      <c r="A748">
        <v>10747</v>
      </c>
      <c r="B748" t="s">
        <v>5</v>
      </c>
      <c r="C748" t="s">
        <v>9</v>
      </c>
      <c r="D748" s="8">
        <v>10.61</v>
      </c>
      <c r="E748">
        <v>1</v>
      </c>
      <c r="F748" t="str">
        <f t="shared" si="44"/>
        <v>Value</v>
      </c>
      <c r="G748" s="3" cm="1">
        <f t="array" ref="G748">_xlfn.XLOOKUP(C748 &amp; F748,
         [1]unilever_price_limits!A:A &amp; [1]unilever_price_limits!B:B,
         [1]unilever_price_limits!C:C)</f>
        <v>15</v>
      </c>
      <c r="H748" s="8">
        <f t="shared" si="45"/>
        <v>12.201499999999998</v>
      </c>
      <c r="I748" s="6">
        <f t="shared" si="46"/>
        <v>14.999999999999991</v>
      </c>
      <c r="J748" t="str">
        <f t="shared" si="47"/>
        <v>OK</v>
      </c>
    </row>
    <row r="749" spans="1:10" x14ac:dyDescent="0.2">
      <c r="A749">
        <v>10748</v>
      </c>
      <c r="B749" t="s">
        <v>5</v>
      </c>
      <c r="C749" t="s">
        <v>9</v>
      </c>
      <c r="D749" s="8">
        <v>8.6199999999999992</v>
      </c>
      <c r="E749">
        <v>4</v>
      </c>
      <c r="F749" t="str">
        <f t="shared" si="44"/>
        <v>Standard</v>
      </c>
      <c r="G749" s="3" cm="1">
        <f t="array" ref="G749">_xlfn.XLOOKUP(C749 &amp; F749,
         [1]unilever_price_limits!A:A &amp; [1]unilever_price_limits!B:B,
         [1]unilever_price_limits!C:C)</f>
        <v>30</v>
      </c>
      <c r="H749" s="8">
        <f t="shared" si="45"/>
        <v>11.206</v>
      </c>
      <c r="I749" s="6">
        <f t="shared" si="46"/>
        <v>30.000000000000004</v>
      </c>
      <c r="J749" t="str">
        <f t="shared" si="47"/>
        <v>OK</v>
      </c>
    </row>
    <row r="750" spans="1:10" x14ac:dyDescent="0.2">
      <c r="A750">
        <v>10749</v>
      </c>
      <c r="B750" t="s">
        <v>8</v>
      </c>
      <c r="C750" t="s">
        <v>6</v>
      </c>
      <c r="D750" s="8">
        <v>6.1</v>
      </c>
      <c r="E750">
        <v>6</v>
      </c>
      <c r="F750" t="str">
        <f t="shared" si="44"/>
        <v>Standard</v>
      </c>
      <c r="G750" s="3" cm="1">
        <f t="array" ref="G750">_xlfn.XLOOKUP(C750 &amp; F750,
         [1]unilever_price_limits!A:A &amp; [1]unilever_price_limits!B:B,
         [1]unilever_price_limits!C:C)</f>
        <v>28</v>
      </c>
      <c r="H750" s="8">
        <f t="shared" si="45"/>
        <v>7.8079999999999998</v>
      </c>
      <c r="I750" s="6">
        <f t="shared" si="46"/>
        <v>28.000000000000004</v>
      </c>
      <c r="J750" t="str">
        <f t="shared" si="47"/>
        <v>OK</v>
      </c>
    </row>
    <row r="751" spans="1:10" x14ac:dyDescent="0.2">
      <c r="A751">
        <v>10750</v>
      </c>
      <c r="B751" t="s">
        <v>10</v>
      </c>
      <c r="C751" t="s">
        <v>11</v>
      </c>
      <c r="D751" s="8">
        <v>6.59</v>
      </c>
      <c r="E751">
        <v>2</v>
      </c>
      <c r="F751" t="str">
        <f t="shared" si="44"/>
        <v>Value</v>
      </c>
      <c r="G751" s="3" cm="1">
        <f t="array" ref="G751">_xlfn.XLOOKUP(C751 &amp; F751,
         [1]unilever_price_limits!A:A &amp; [1]unilever_price_limits!B:B,
         [1]unilever_price_limits!C:C)</f>
        <v>10</v>
      </c>
      <c r="H751" s="8">
        <f t="shared" si="45"/>
        <v>7.2490000000000006</v>
      </c>
      <c r="I751" s="6">
        <f t="shared" si="46"/>
        <v>10.000000000000009</v>
      </c>
      <c r="J751" t="str">
        <f t="shared" si="47"/>
        <v>OK</v>
      </c>
    </row>
    <row r="752" spans="1:10" x14ac:dyDescent="0.2">
      <c r="A752">
        <v>10751</v>
      </c>
      <c r="B752" t="s">
        <v>7</v>
      </c>
      <c r="C752" t="s">
        <v>6</v>
      </c>
      <c r="D752" s="8">
        <v>8.65</v>
      </c>
      <c r="E752">
        <v>7</v>
      </c>
      <c r="F752" t="str">
        <f t="shared" si="44"/>
        <v>Standard</v>
      </c>
      <c r="G752" s="3" cm="1">
        <f t="array" ref="G752">_xlfn.XLOOKUP(C752 &amp; F752,
         [1]unilever_price_limits!A:A &amp; [1]unilever_price_limits!B:B,
         [1]unilever_price_limits!C:C)</f>
        <v>28</v>
      </c>
      <c r="H752" s="8">
        <f t="shared" si="45"/>
        <v>11.072000000000001</v>
      </c>
      <c r="I752" s="6">
        <f t="shared" si="46"/>
        <v>28.000000000000004</v>
      </c>
      <c r="J752" t="str">
        <f t="shared" si="47"/>
        <v>OK</v>
      </c>
    </row>
    <row r="753" spans="1:10" x14ac:dyDescent="0.2">
      <c r="A753">
        <v>10752</v>
      </c>
      <c r="B753" t="s">
        <v>8</v>
      </c>
      <c r="C753" t="s">
        <v>6</v>
      </c>
      <c r="D753" s="8">
        <v>0.59</v>
      </c>
      <c r="E753">
        <v>8</v>
      </c>
      <c r="F753" t="str">
        <f t="shared" si="44"/>
        <v>Premium</v>
      </c>
      <c r="G753" s="3" cm="1">
        <f t="array" ref="G753">_xlfn.XLOOKUP(C753 &amp; F753,
         [1]unilever_price_limits!A:A &amp; [1]unilever_price_limits!B:B,
         [1]unilever_price_limits!C:C)</f>
        <v>55</v>
      </c>
      <c r="H753" s="8">
        <f t="shared" si="45"/>
        <v>0.91449999999999998</v>
      </c>
      <c r="I753" s="6">
        <f t="shared" si="46"/>
        <v>55.000000000000007</v>
      </c>
      <c r="J753" t="str">
        <f t="shared" si="47"/>
        <v>OK</v>
      </c>
    </row>
    <row r="754" spans="1:10" x14ac:dyDescent="0.2">
      <c r="A754">
        <v>10753</v>
      </c>
      <c r="B754" t="s">
        <v>10</v>
      </c>
      <c r="C754" t="s">
        <v>11</v>
      </c>
      <c r="D754" s="8">
        <v>1.64</v>
      </c>
      <c r="E754">
        <v>1</v>
      </c>
      <c r="F754" t="str">
        <f t="shared" si="44"/>
        <v>Value</v>
      </c>
      <c r="G754" s="3" cm="1">
        <f t="array" ref="G754">_xlfn.XLOOKUP(C754 &amp; F754,
         [1]unilever_price_limits!A:A &amp; [1]unilever_price_limits!B:B,
         [1]unilever_price_limits!C:C)</f>
        <v>10</v>
      </c>
      <c r="H754" s="8">
        <f t="shared" si="45"/>
        <v>1.804</v>
      </c>
      <c r="I754" s="6">
        <f t="shared" si="46"/>
        <v>10.000000000000009</v>
      </c>
      <c r="J754" t="str">
        <f t="shared" si="47"/>
        <v>OK</v>
      </c>
    </row>
    <row r="755" spans="1:10" x14ac:dyDescent="0.2">
      <c r="A755">
        <v>10754</v>
      </c>
      <c r="B755" t="s">
        <v>10</v>
      </c>
      <c r="C755" t="s">
        <v>6</v>
      </c>
      <c r="D755" s="8">
        <v>13.28</v>
      </c>
      <c r="E755">
        <v>4</v>
      </c>
      <c r="F755" t="str">
        <f t="shared" si="44"/>
        <v>Standard</v>
      </c>
      <c r="G755" s="3" cm="1">
        <f t="array" ref="G755">_xlfn.XLOOKUP(C755 &amp; F755,
         [1]unilever_price_limits!A:A &amp; [1]unilever_price_limits!B:B,
         [1]unilever_price_limits!C:C)</f>
        <v>28</v>
      </c>
      <c r="H755" s="8">
        <f t="shared" si="45"/>
        <v>16.9984</v>
      </c>
      <c r="I755" s="6">
        <f t="shared" si="46"/>
        <v>28.000000000000004</v>
      </c>
      <c r="J755" t="str">
        <f t="shared" si="47"/>
        <v>OK</v>
      </c>
    </row>
    <row r="756" spans="1:10" x14ac:dyDescent="0.2">
      <c r="A756">
        <v>10755</v>
      </c>
      <c r="B756" t="s">
        <v>10</v>
      </c>
      <c r="C756" t="s">
        <v>6</v>
      </c>
      <c r="D756" s="8">
        <v>1.63</v>
      </c>
      <c r="E756">
        <v>4</v>
      </c>
      <c r="F756" t="str">
        <f t="shared" si="44"/>
        <v>Standard</v>
      </c>
      <c r="G756" s="3" cm="1">
        <f t="array" ref="G756">_xlfn.XLOOKUP(C756 &amp; F756,
         [1]unilever_price_limits!A:A &amp; [1]unilever_price_limits!B:B,
         [1]unilever_price_limits!C:C)</f>
        <v>28</v>
      </c>
      <c r="H756" s="8">
        <f t="shared" si="45"/>
        <v>2.0863999999999998</v>
      </c>
      <c r="I756" s="6">
        <f t="shared" si="46"/>
        <v>28.000000000000004</v>
      </c>
      <c r="J756" t="str">
        <f t="shared" si="47"/>
        <v>OK</v>
      </c>
    </row>
    <row r="757" spans="1:10" x14ac:dyDescent="0.2">
      <c r="A757">
        <v>10756</v>
      </c>
      <c r="B757" t="s">
        <v>10</v>
      </c>
      <c r="C757" t="s">
        <v>6</v>
      </c>
      <c r="D757" s="8">
        <v>10.75</v>
      </c>
      <c r="E757">
        <v>5</v>
      </c>
      <c r="F757" t="str">
        <f t="shared" si="44"/>
        <v>Standard</v>
      </c>
      <c r="G757" s="3" cm="1">
        <f t="array" ref="G757">_xlfn.XLOOKUP(C757 &amp; F757,
         [1]unilever_price_limits!A:A &amp; [1]unilever_price_limits!B:B,
         [1]unilever_price_limits!C:C)</f>
        <v>28</v>
      </c>
      <c r="H757" s="8">
        <f t="shared" si="45"/>
        <v>13.76</v>
      </c>
      <c r="I757" s="6">
        <f t="shared" si="46"/>
        <v>28.000000000000004</v>
      </c>
      <c r="J757" t="str">
        <f t="shared" si="47"/>
        <v>OK</v>
      </c>
    </row>
    <row r="758" spans="1:10" x14ac:dyDescent="0.2">
      <c r="A758">
        <v>10757</v>
      </c>
      <c r="B758" t="s">
        <v>10</v>
      </c>
      <c r="C758" t="s">
        <v>11</v>
      </c>
      <c r="D758" s="8">
        <v>13.84</v>
      </c>
      <c r="E758">
        <v>4</v>
      </c>
      <c r="F758" t="str">
        <f t="shared" si="44"/>
        <v>Standard</v>
      </c>
      <c r="G758" s="3" cm="1">
        <f t="array" ref="G758">_xlfn.XLOOKUP(C758 &amp; F758,
         [1]unilever_price_limits!A:A &amp; [1]unilever_price_limits!B:B,
         [1]unilever_price_limits!C:C)</f>
        <v>25</v>
      </c>
      <c r="H758" s="8">
        <f t="shared" si="45"/>
        <v>17.3</v>
      </c>
      <c r="I758" s="6">
        <f t="shared" si="46"/>
        <v>25</v>
      </c>
      <c r="J758" t="str">
        <f t="shared" si="47"/>
        <v>OK</v>
      </c>
    </row>
    <row r="759" spans="1:10" x14ac:dyDescent="0.2">
      <c r="A759">
        <v>10758</v>
      </c>
      <c r="B759" t="s">
        <v>5</v>
      </c>
      <c r="C759" t="s">
        <v>9</v>
      </c>
      <c r="D759" s="8">
        <v>4.42</v>
      </c>
      <c r="E759">
        <v>9</v>
      </c>
      <c r="F759" t="str">
        <f t="shared" si="44"/>
        <v>Premium</v>
      </c>
      <c r="G759" s="3" cm="1">
        <f t="array" ref="G759">_xlfn.XLOOKUP(C759 &amp; F759,
         [1]unilever_price_limits!A:A &amp; [1]unilever_price_limits!B:B,
         [1]unilever_price_limits!C:C)</f>
        <v>60</v>
      </c>
      <c r="H759" s="8">
        <f t="shared" si="45"/>
        <v>7.0720000000000001</v>
      </c>
      <c r="I759" s="6">
        <f t="shared" si="46"/>
        <v>60.000000000000007</v>
      </c>
      <c r="J759" t="str">
        <f t="shared" si="47"/>
        <v>OK</v>
      </c>
    </row>
    <row r="760" spans="1:10" x14ac:dyDescent="0.2">
      <c r="A760">
        <v>10759</v>
      </c>
      <c r="B760" t="s">
        <v>8</v>
      </c>
      <c r="C760" t="s">
        <v>9</v>
      </c>
      <c r="D760" s="8">
        <v>5.87</v>
      </c>
      <c r="E760">
        <v>7</v>
      </c>
      <c r="F760" t="str">
        <f t="shared" si="44"/>
        <v>Standard</v>
      </c>
      <c r="G760" s="3" cm="1">
        <f t="array" ref="G760">_xlfn.XLOOKUP(C760 &amp; F760,
         [1]unilever_price_limits!A:A &amp; [1]unilever_price_limits!B:B,
         [1]unilever_price_limits!C:C)</f>
        <v>30</v>
      </c>
      <c r="H760" s="8">
        <f t="shared" si="45"/>
        <v>7.6310000000000002</v>
      </c>
      <c r="I760" s="6">
        <f t="shared" si="46"/>
        <v>30.000000000000004</v>
      </c>
      <c r="J760" t="str">
        <f t="shared" si="47"/>
        <v>OK</v>
      </c>
    </row>
    <row r="761" spans="1:10" x14ac:dyDescent="0.2">
      <c r="A761">
        <v>10760</v>
      </c>
      <c r="B761" t="s">
        <v>5</v>
      </c>
      <c r="C761" t="s">
        <v>11</v>
      </c>
      <c r="D761" s="8">
        <v>8.75</v>
      </c>
      <c r="E761">
        <v>2</v>
      </c>
      <c r="F761" t="str">
        <f t="shared" si="44"/>
        <v>Value</v>
      </c>
      <c r="G761" s="3" cm="1">
        <f t="array" ref="G761">_xlfn.XLOOKUP(C761 &amp; F761,
         [1]unilever_price_limits!A:A &amp; [1]unilever_price_limits!B:B,
         [1]unilever_price_limits!C:C)</f>
        <v>10</v>
      </c>
      <c r="H761" s="8">
        <f t="shared" si="45"/>
        <v>9.625</v>
      </c>
      <c r="I761" s="6">
        <f t="shared" si="46"/>
        <v>10.000000000000009</v>
      </c>
      <c r="J761" t="str">
        <f t="shared" si="47"/>
        <v>OK</v>
      </c>
    </row>
    <row r="762" spans="1:10" x14ac:dyDescent="0.2">
      <c r="A762">
        <v>10761</v>
      </c>
      <c r="B762" t="s">
        <v>7</v>
      </c>
      <c r="C762" t="s">
        <v>9</v>
      </c>
      <c r="D762" s="8">
        <v>13.28</v>
      </c>
      <c r="E762">
        <v>1</v>
      </c>
      <c r="F762" t="str">
        <f t="shared" si="44"/>
        <v>Value</v>
      </c>
      <c r="G762" s="3" cm="1">
        <f t="array" ref="G762">_xlfn.XLOOKUP(C762 &amp; F762,
         [1]unilever_price_limits!A:A &amp; [1]unilever_price_limits!B:B,
         [1]unilever_price_limits!C:C)</f>
        <v>15</v>
      </c>
      <c r="H762" s="8">
        <f t="shared" si="45"/>
        <v>15.271999999999998</v>
      </c>
      <c r="I762" s="6">
        <f t="shared" si="46"/>
        <v>14.999999999999991</v>
      </c>
      <c r="J762" t="str">
        <f t="shared" si="47"/>
        <v>OK</v>
      </c>
    </row>
    <row r="763" spans="1:10" x14ac:dyDescent="0.2">
      <c r="A763">
        <v>10762</v>
      </c>
      <c r="B763" t="s">
        <v>10</v>
      </c>
      <c r="C763" t="s">
        <v>6</v>
      </c>
      <c r="D763" s="8">
        <v>14.16</v>
      </c>
      <c r="E763">
        <v>9</v>
      </c>
      <c r="F763" t="str">
        <f t="shared" si="44"/>
        <v>Premium</v>
      </c>
      <c r="G763" s="3" cm="1">
        <f t="array" ref="G763">_xlfn.XLOOKUP(C763 &amp; F763,
         [1]unilever_price_limits!A:A &amp; [1]unilever_price_limits!B:B,
         [1]unilever_price_limits!C:C)</f>
        <v>55</v>
      </c>
      <c r="H763" s="8">
        <f t="shared" si="45"/>
        <v>21.948</v>
      </c>
      <c r="I763" s="6">
        <f t="shared" si="46"/>
        <v>55.000000000000007</v>
      </c>
      <c r="J763" t="str">
        <f t="shared" si="47"/>
        <v>OK</v>
      </c>
    </row>
    <row r="764" spans="1:10" x14ac:dyDescent="0.2">
      <c r="A764">
        <v>10763</v>
      </c>
      <c r="B764" t="s">
        <v>8</v>
      </c>
      <c r="C764" t="s">
        <v>9</v>
      </c>
      <c r="D764" s="8">
        <v>11.22</v>
      </c>
      <c r="E764">
        <v>1</v>
      </c>
      <c r="F764" t="str">
        <f t="shared" si="44"/>
        <v>Value</v>
      </c>
      <c r="G764" s="3" cm="1">
        <f t="array" ref="G764">_xlfn.XLOOKUP(C764 &amp; F764,
         [1]unilever_price_limits!A:A &amp; [1]unilever_price_limits!B:B,
         [1]unilever_price_limits!C:C)</f>
        <v>15</v>
      </c>
      <c r="H764" s="8">
        <f t="shared" si="45"/>
        <v>12.903</v>
      </c>
      <c r="I764" s="6">
        <f t="shared" si="46"/>
        <v>14.999999999999991</v>
      </c>
      <c r="J764" t="str">
        <f t="shared" si="47"/>
        <v>OK</v>
      </c>
    </row>
    <row r="765" spans="1:10" x14ac:dyDescent="0.2">
      <c r="A765">
        <v>10764</v>
      </c>
      <c r="B765" t="s">
        <v>10</v>
      </c>
      <c r="C765" t="s">
        <v>6</v>
      </c>
      <c r="D765" s="8">
        <v>1.76</v>
      </c>
      <c r="E765">
        <v>6</v>
      </c>
      <c r="F765" t="str">
        <f t="shared" si="44"/>
        <v>Standard</v>
      </c>
      <c r="G765" s="3" cm="1">
        <f t="array" ref="G765">_xlfn.XLOOKUP(C765 &amp; F765,
         [1]unilever_price_limits!A:A &amp; [1]unilever_price_limits!B:B,
         [1]unilever_price_limits!C:C)</f>
        <v>28</v>
      </c>
      <c r="H765" s="8">
        <f t="shared" si="45"/>
        <v>2.2528000000000001</v>
      </c>
      <c r="I765" s="6">
        <f t="shared" si="46"/>
        <v>28.000000000000004</v>
      </c>
      <c r="J765" t="str">
        <f t="shared" si="47"/>
        <v>OK</v>
      </c>
    </row>
    <row r="766" spans="1:10" x14ac:dyDescent="0.2">
      <c r="A766">
        <v>10765</v>
      </c>
      <c r="B766" t="s">
        <v>8</v>
      </c>
      <c r="C766" t="s">
        <v>9</v>
      </c>
      <c r="D766" s="8">
        <v>10.199999999999999</v>
      </c>
      <c r="E766">
        <v>2</v>
      </c>
      <c r="F766" t="str">
        <f t="shared" si="44"/>
        <v>Value</v>
      </c>
      <c r="G766" s="3" cm="1">
        <f t="array" ref="G766">_xlfn.XLOOKUP(C766 &amp; F766,
         [1]unilever_price_limits!A:A &amp; [1]unilever_price_limits!B:B,
         [1]unilever_price_limits!C:C)</f>
        <v>15</v>
      </c>
      <c r="H766" s="8">
        <f t="shared" si="45"/>
        <v>11.729999999999999</v>
      </c>
      <c r="I766" s="6">
        <f t="shared" si="46"/>
        <v>14.999999999999991</v>
      </c>
      <c r="J766" t="str">
        <f t="shared" si="47"/>
        <v>OK</v>
      </c>
    </row>
    <row r="767" spans="1:10" x14ac:dyDescent="0.2">
      <c r="A767">
        <v>10766</v>
      </c>
      <c r="B767" t="s">
        <v>5</v>
      </c>
      <c r="C767" t="s">
        <v>11</v>
      </c>
      <c r="D767" s="8">
        <v>6.45</v>
      </c>
      <c r="E767">
        <v>4</v>
      </c>
      <c r="F767" t="str">
        <f t="shared" si="44"/>
        <v>Standard</v>
      </c>
      <c r="G767" s="3" cm="1">
        <f t="array" ref="G767">_xlfn.XLOOKUP(C767 &amp; F767,
         [1]unilever_price_limits!A:A &amp; [1]unilever_price_limits!B:B,
         [1]unilever_price_limits!C:C)</f>
        <v>25</v>
      </c>
      <c r="H767" s="8">
        <f t="shared" si="45"/>
        <v>8.0625</v>
      </c>
      <c r="I767" s="6">
        <f t="shared" si="46"/>
        <v>25</v>
      </c>
      <c r="J767" t="str">
        <f t="shared" si="47"/>
        <v>OK</v>
      </c>
    </row>
    <row r="768" spans="1:10" x14ac:dyDescent="0.2">
      <c r="A768">
        <v>10767</v>
      </c>
      <c r="B768" t="s">
        <v>8</v>
      </c>
      <c r="C768" t="s">
        <v>9</v>
      </c>
      <c r="D768" s="8">
        <v>7.33</v>
      </c>
      <c r="E768">
        <v>6</v>
      </c>
      <c r="F768" t="str">
        <f t="shared" si="44"/>
        <v>Standard</v>
      </c>
      <c r="G768" s="3" cm="1">
        <f t="array" ref="G768">_xlfn.XLOOKUP(C768 &amp; F768,
         [1]unilever_price_limits!A:A &amp; [1]unilever_price_limits!B:B,
         [1]unilever_price_limits!C:C)</f>
        <v>30</v>
      </c>
      <c r="H768" s="8">
        <f t="shared" si="45"/>
        <v>9.5289999999999999</v>
      </c>
      <c r="I768" s="6">
        <f t="shared" si="46"/>
        <v>30.000000000000004</v>
      </c>
      <c r="J768" t="str">
        <f t="shared" si="47"/>
        <v>OK</v>
      </c>
    </row>
    <row r="769" spans="1:10" x14ac:dyDescent="0.2">
      <c r="A769">
        <v>10768</v>
      </c>
      <c r="B769" t="s">
        <v>7</v>
      </c>
      <c r="C769" t="s">
        <v>9</v>
      </c>
      <c r="D769" s="8">
        <v>1.21</v>
      </c>
      <c r="E769">
        <v>5</v>
      </c>
      <c r="F769" t="str">
        <f t="shared" si="44"/>
        <v>Standard</v>
      </c>
      <c r="G769" s="3" cm="1">
        <f t="array" ref="G769">_xlfn.XLOOKUP(C769 &amp; F769,
         [1]unilever_price_limits!A:A &amp; [1]unilever_price_limits!B:B,
         [1]unilever_price_limits!C:C)</f>
        <v>30</v>
      </c>
      <c r="H769" s="8">
        <f t="shared" si="45"/>
        <v>1.573</v>
      </c>
      <c r="I769" s="6">
        <f t="shared" si="46"/>
        <v>30.000000000000004</v>
      </c>
      <c r="J769" t="str">
        <f t="shared" si="47"/>
        <v>OK</v>
      </c>
    </row>
    <row r="770" spans="1:10" x14ac:dyDescent="0.2">
      <c r="A770">
        <v>10769</v>
      </c>
      <c r="B770" t="s">
        <v>7</v>
      </c>
      <c r="C770" t="s">
        <v>9</v>
      </c>
      <c r="D770" s="8">
        <v>3.27</v>
      </c>
      <c r="E770">
        <v>6</v>
      </c>
      <c r="F770" t="str">
        <f t="shared" si="44"/>
        <v>Standard</v>
      </c>
      <c r="G770" s="3" cm="1">
        <f t="array" ref="G770">_xlfn.XLOOKUP(C770 &amp; F770,
         [1]unilever_price_limits!A:A &amp; [1]unilever_price_limits!B:B,
         [1]unilever_price_limits!C:C)</f>
        <v>30</v>
      </c>
      <c r="H770" s="8">
        <f t="shared" si="45"/>
        <v>4.2510000000000003</v>
      </c>
      <c r="I770" s="6">
        <f t="shared" si="46"/>
        <v>30.000000000000004</v>
      </c>
      <c r="J770" t="str">
        <f t="shared" si="47"/>
        <v>OK</v>
      </c>
    </row>
    <row r="771" spans="1:10" x14ac:dyDescent="0.2">
      <c r="A771">
        <v>10770</v>
      </c>
      <c r="B771" t="s">
        <v>8</v>
      </c>
      <c r="C771" t="s">
        <v>11</v>
      </c>
      <c r="D771" s="8">
        <v>11.96</v>
      </c>
      <c r="E771">
        <v>3</v>
      </c>
      <c r="F771" t="str">
        <f t="shared" ref="F771:F834" si="48">IF(E771&lt;=3,"Value",
 IF(E771&lt;=7,"Standard","Premium"))</f>
        <v>Value</v>
      </c>
      <c r="G771" s="3" cm="1">
        <f t="array" ref="G771">_xlfn.XLOOKUP(C771 &amp; F771,
         [1]unilever_price_limits!A:A &amp; [1]unilever_price_limits!B:B,
         [1]unilever_price_limits!C:C)</f>
        <v>10</v>
      </c>
      <c r="H771" s="8">
        <f t="shared" ref="H771:H834" si="49">D771 * (1 + G771/100)</f>
        <v>13.156000000000002</v>
      </c>
      <c r="I771" s="6">
        <f t="shared" ref="I771:I834" si="50">(H771 / D771 - 1) * 100</f>
        <v>10.000000000000009</v>
      </c>
      <c r="J771" t="str">
        <f t="shared" ref="J771:J834" si="51">IF(I770&gt; G770, "⚠ Exceeds Limit", "OK")</f>
        <v>OK</v>
      </c>
    </row>
    <row r="772" spans="1:10" x14ac:dyDescent="0.2">
      <c r="A772">
        <v>10771</v>
      </c>
      <c r="B772" t="s">
        <v>8</v>
      </c>
      <c r="C772" t="s">
        <v>9</v>
      </c>
      <c r="D772" s="8">
        <v>7.08</v>
      </c>
      <c r="E772">
        <v>5</v>
      </c>
      <c r="F772" t="str">
        <f t="shared" si="48"/>
        <v>Standard</v>
      </c>
      <c r="G772" s="3" cm="1">
        <f t="array" ref="G772">_xlfn.XLOOKUP(C772 &amp; F772,
         [1]unilever_price_limits!A:A &amp; [1]unilever_price_limits!B:B,
         [1]unilever_price_limits!C:C)</f>
        <v>30</v>
      </c>
      <c r="H772" s="8">
        <f t="shared" si="49"/>
        <v>9.2040000000000006</v>
      </c>
      <c r="I772" s="6">
        <f t="shared" si="50"/>
        <v>30.000000000000004</v>
      </c>
      <c r="J772" t="str">
        <f t="shared" si="51"/>
        <v>OK</v>
      </c>
    </row>
    <row r="773" spans="1:10" x14ac:dyDescent="0.2">
      <c r="A773">
        <v>10772</v>
      </c>
      <c r="B773" t="s">
        <v>8</v>
      </c>
      <c r="C773" t="s">
        <v>11</v>
      </c>
      <c r="D773" s="8">
        <v>4.87</v>
      </c>
      <c r="E773">
        <v>2</v>
      </c>
      <c r="F773" t="str">
        <f t="shared" si="48"/>
        <v>Value</v>
      </c>
      <c r="G773" s="3" cm="1">
        <f t="array" ref="G773">_xlfn.XLOOKUP(C773 &amp; F773,
         [1]unilever_price_limits!A:A &amp; [1]unilever_price_limits!B:B,
         [1]unilever_price_limits!C:C)</f>
        <v>10</v>
      </c>
      <c r="H773" s="8">
        <f t="shared" si="49"/>
        <v>5.3570000000000002</v>
      </c>
      <c r="I773" s="6">
        <f t="shared" si="50"/>
        <v>10.000000000000009</v>
      </c>
      <c r="J773" t="str">
        <f t="shared" si="51"/>
        <v>OK</v>
      </c>
    </row>
    <row r="774" spans="1:10" x14ac:dyDescent="0.2">
      <c r="A774">
        <v>10773</v>
      </c>
      <c r="B774" t="s">
        <v>8</v>
      </c>
      <c r="C774" t="s">
        <v>6</v>
      </c>
      <c r="D774" s="8">
        <v>6.07</v>
      </c>
      <c r="E774">
        <v>7</v>
      </c>
      <c r="F774" t="str">
        <f t="shared" si="48"/>
        <v>Standard</v>
      </c>
      <c r="G774" s="3" cm="1">
        <f t="array" ref="G774">_xlfn.XLOOKUP(C774 &amp; F774,
         [1]unilever_price_limits!A:A &amp; [1]unilever_price_limits!B:B,
         [1]unilever_price_limits!C:C)</f>
        <v>28</v>
      </c>
      <c r="H774" s="8">
        <f t="shared" si="49"/>
        <v>7.7696000000000005</v>
      </c>
      <c r="I774" s="6">
        <f t="shared" si="50"/>
        <v>28.000000000000004</v>
      </c>
      <c r="J774" t="str">
        <f t="shared" si="51"/>
        <v>OK</v>
      </c>
    </row>
    <row r="775" spans="1:10" x14ac:dyDescent="0.2">
      <c r="A775">
        <v>10774</v>
      </c>
      <c r="B775" t="s">
        <v>7</v>
      </c>
      <c r="C775" t="s">
        <v>9</v>
      </c>
      <c r="D775" s="8">
        <v>12.89</v>
      </c>
      <c r="E775">
        <v>3</v>
      </c>
      <c r="F775" t="str">
        <f t="shared" si="48"/>
        <v>Value</v>
      </c>
      <c r="G775" s="3" cm="1">
        <f t="array" ref="G775">_xlfn.XLOOKUP(C775 &amp; F775,
         [1]unilever_price_limits!A:A &amp; [1]unilever_price_limits!B:B,
         [1]unilever_price_limits!C:C)</f>
        <v>15</v>
      </c>
      <c r="H775" s="8">
        <f t="shared" si="49"/>
        <v>14.823499999999999</v>
      </c>
      <c r="I775" s="6">
        <f t="shared" si="50"/>
        <v>14.999999999999991</v>
      </c>
      <c r="J775" t="str">
        <f t="shared" si="51"/>
        <v>OK</v>
      </c>
    </row>
    <row r="776" spans="1:10" x14ac:dyDescent="0.2">
      <c r="A776">
        <v>10775</v>
      </c>
      <c r="B776" t="s">
        <v>10</v>
      </c>
      <c r="C776" t="s">
        <v>11</v>
      </c>
      <c r="D776" s="8">
        <v>11.36</v>
      </c>
      <c r="E776">
        <v>1</v>
      </c>
      <c r="F776" t="str">
        <f t="shared" si="48"/>
        <v>Value</v>
      </c>
      <c r="G776" s="3" cm="1">
        <f t="array" ref="G776">_xlfn.XLOOKUP(C776 &amp; F776,
         [1]unilever_price_limits!A:A &amp; [1]unilever_price_limits!B:B,
         [1]unilever_price_limits!C:C)</f>
        <v>10</v>
      </c>
      <c r="H776" s="8">
        <f t="shared" si="49"/>
        <v>12.496</v>
      </c>
      <c r="I776" s="6">
        <f t="shared" si="50"/>
        <v>10.000000000000009</v>
      </c>
      <c r="J776" t="str">
        <f t="shared" si="51"/>
        <v>OK</v>
      </c>
    </row>
    <row r="777" spans="1:10" x14ac:dyDescent="0.2">
      <c r="A777">
        <v>10776</v>
      </c>
      <c r="B777" t="s">
        <v>8</v>
      </c>
      <c r="C777" t="s">
        <v>11</v>
      </c>
      <c r="D777" s="8">
        <v>4.45</v>
      </c>
      <c r="E777">
        <v>8</v>
      </c>
      <c r="F777" t="str">
        <f t="shared" si="48"/>
        <v>Premium</v>
      </c>
      <c r="G777" s="3" cm="1">
        <f t="array" ref="G777">_xlfn.XLOOKUP(C777 &amp; F777,
         [1]unilever_price_limits!A:A &amp; [1]unilever_price_limits!B:B,
         [1]unilever_price_limits!C:C)</f>
        <v>50</v>
      </c>
      <c r="H777" s="8">
        <f t="shared" si="49"/>
        <v>6.6750000000000007</v>
      </c>
      <c r="I777" s="6">
        <f t="shared" si="50"/>
        <v>50</v>
      </c>
      <c r="J777" t="str">
        <f t="shared" si="51"/>
        <v>OK</v>
      </c>
    </row>
    <row r="778" spans="1:10" x14ac:dyDescent="0.2">
      <c r="A778">
        <v>10777</v>
      </c>
      <c r="B778" t="s">
        <v>8</v>
      </c>
      <c r="C778" t="s">
        <v>9</v>
      </c>
      <c r="D778" s="8">
        <v>2.2000000000000002</v>
      </c>
      <c r="E778">
        <v>8</v>
      </c>
      <c r="F778" t="str">
        <f t="shared" si="48"/>
        <v>Premium</v>
      </c>
      <c r="G778" s="3" cm="1">
        <f t="array" ref="G778">_xlfn.XLOOKUP(C778 &amp; F778,
         [1]unilever_price_limits!A:A &amp; [1]unilever_price_limits!B:B,
         [1]unilever_price_limits!C:C)</f>
        <v>60</v>
      </c>
      <c r="H778" s="8">
        <f t="shared" si="49"/>
        <v>3.5200000000000005</v>
      </c>
      <c r="I778" s="6">
        <f t="shared" si="50"/>
        <v>60.000000000000007</v>
      </c>
      <c r="J778" t="str">
        <f t="shared" si="51"/>
        <v>OK</v>
      </c>
    </row>
    <row r="779" spans="1:10" x14ac:dyDescent="0.2">
      <c r="A779">
        <v>10778</v>
      </c>
      <c r="B779" t="s">
        <v>7</v>
      </c>
      <c r="C779" t="s">
        <v>6</v>
      </c>
      <c r="D779" s="8">
        <v>4.1500000000000004</v>
      </c>
      <c r="E779">
        <v>3</v>
      </c>
      <c r="F779" t="str">
        <f t="shared" si="48"/>
        <v>Value</v>
      </c>
      <c r="G779" s="3" cm="1">
        <f t="array" ref="G779">_xlfn.XLOOKUP(C779 &amp; F779,
         [1]unilever_price_limits!A:A &amp; [1]unilever_price_limits!B:B,
         [1]unilever_price_limits!C:C)</f>
        <v>12</v>
      </c>
      <c r="H779" s="8">
        <f t="shared" si="49"/>
        <v>4.6480000000000006</v>
      </c>
      <c r="I779" s="6">
        <f t="shared" si="50"/>
        <v>12.000000000000011</v>
      </c>
      <c r="J779" t="str">
        <f t="shared" si="51"/>
        <v>OK</v>
      </c>
    </row>
    <row r="780" spans="1:10" x14ac:dyDescent="0.2">
      <c r="A780">
        <v>10779</v>
      </c>
      <c r="B780" t="s">
        <v>7</v>
      </c>
      <c r="C780" t="s">
        <v>11</v>
      </c>
      <c r="D780" s="8">
        <v>13.85</v>
      </c>
      <c r="E780">
        <v>7</v>
      </c>
      <c r="F780" t="str">
        <f t="shared" si="48"/>
        <v>Standard</v>
      </c>
      <c r="G780" s="3" cm="1">
        <f t="array" ref="G780">_xlfn.XLOOKUP(C780 &amp; F780,
         [1]unilever_price_limits!A:A &amp; [1]unilever_price_limits!B:B,
         [1]unilever_price_limits!C:C)</f>
        <v>25</v>
      </c>
      <c r="H780" s="8">
        <f t="shared" si="49"/>
        <v>17.3125</v>
      </c>
      <c r="I780" s="6">
        <f t="shared" si="50"/>
        <v>25</v>
      </c>
      <c r="J780" t="str">
        <f t="shared" si="51"/>
        <v>OK</v>
      </c>
    </row>
    <row r="781" spans="1:10" x14ac:dyDescent="0.2">
      <c r="A781">
        <v>10780</v>
      </c>
      <c r="B781" t="s">
        <v>5</v>
      </c>
      <c r="C781" t="s">
        <v>9</v>
      </c>
      <c r="D781" s="8">
        <v>8.93</v>
      </c>
      <c r="E781">
        <v>9</v>
      </c>
      <c r="F781" t="str">
        <f t="shared" si="48"/>
        <v>Premium</v>
      </c>
      <c r="G781" s="3" cm="1">
        <f t="array" ref="G781">_xlfn.XLOOKUP(C781 &amp; F781,
         [1]unilever_price_limits!A:A &amp; [1]unilever_price_limits!B:B,
         [1]unilever_price_limits!C:C)</f>
        <v>60</v>
      </c>
      <c r="H781" s="8">
        <f t="shared" si="49"/>
        <v>14.288</v>
      </c>
      <c r="I781" s="6">
        <f t="shared" si="50"/>
        <v>60.000000000000007</v>
      </c>
      <c r="J781" t="str">
        <f t="shared" si="51"/>
        <v>OK</v>
      </c>
    </row>
    <row r="782" spans="1:10" x14ac:dyDescent="0.2">
      <c r="A782">
        <v>10781</v>
      </c>
      <c r="B782" t="s">
        <v>8</v>
      </c>
      <c r="C782" t="s">
        <v>6</v>
      </c>
      <c r="D782" s="8">
        <v>8.24</v>
      </c>
      <c r="E782">
        <v>8</v>
      </c>
      <c r="F782" t="str">
        <f t="shared" si="48"/>
        <v>Premium</v>
      </c>
      <c r="G782" s="3" cm="1">
        <f t="array" ref="G782">_xlfn.XLOOKUP(C782 &amp; F782,
         [1]unilever_price_limits!A:A &amp; [1]unilever_price_limits!B:B,
         [1]unilever_price_limits!C:C)</f>
        <v>55</v>
      </c>
      <c r="H782" s="8">
        <f t="shared" si="49"/>
        <v>12.772</v>
      </c>
      <c r="I782" s="6">
        <f t="shared" si="50"/>
        <v>55.000000000000007</v>
      </c>
      <c r="J782" t="str">
        <f t="shared" si="51"/>
        <v>OK</v>
      </c>
    </row>
    <row r="783" spans="1:10" x14ac:dyDescent="0.2">
      <c r="A783">
        <v>10782</v>
      </c>
      <c r="B783" t="s">
        <v>5</v>
      </c>
      <c r="C783" t="s">
        <v>11</v>
      </c>
      <c r="D783" s="8">
        <v>9.15</v>
      </c>
      <c r="E783">
        <v>3</v>
      </c>
      <c r="F783" t="str">
        <f t="shared" si="48"/>
        <v>Value</v>
      </c>
      <c r="G783" s="3" cm="1">
        <f t="array" ref="G783">_xlfn.XLOOKUP(C783 &amp; F783,
         [1]unilever_price_limits!A:A &amp; [1]unilever_price_limits!B:B,
         [1]unilever_price_limits!C:C)</f>
        <v>10</v>
      </c>
      <c r="H783" s="8">
        <f t="shared" si="49"/>
        <v>10.065000000000001</v>
      </c>
      <c r="I783" s="6">
        <f t="shared" si="50"/>
        <v>10.000000000000009</v>
      </c>
      <c r="J783" t="str">
        <f t="shared" si="51"/>
        <v>OK</v>
      </c>
    </row>
    <row r="784" spans="1:10" x14ac:dyDescent="0.2">
      <c r="A784">
        <v>10783</v>
      </c>
      <c r="B784" t="s">
        <v>7</v>
      </c>
      <c r="C784" t="s">
        <v>11</v>
      </c>
      <c r="D784" s="8">
        <v>5.81</v>
      </c>
      <c r="E784">
        <v>2</v>
      </c>
      <c r="F784" t="str">
        <f t="shared" si="48"/>
        <v>Value</v>
      </c>
      <c r="G784" s="3" cm="1">
        <f t="array" ref="G784">_xlfn.XLOOKUP(C784 &amp; F784,
         [1]unilever_price_limits!A:A &amp; [1]unilever_price_limits!B:B,
         [1]unilever_price_limits!C:C)</f>
        <v>10</v>
      </c>
      <c r="H784" s="8">
        <f t="shared" si="49"/>
        <v>6.391</v>
      </c>
      <c r="I784" s="6">
        <f t="shared" si="50"/>
        <v>10.000000000000009</v>
      </c>
      <c r="J784" t="str">
        <f t="shared" si="51"/>
        <v>OK</v>
      </c>
    </row>
    <row r="785" spans="1:10" x14ac:dyDescent="0.2">
      <c r="A785">
        <v>10784</v>
      </c>
      <c r="B785" t="s">
        <v>7</v>
      </c>
      <c r="C785" t="s">
        <v>6</v>
      </c>
      <c r="D785" s="8">
        <v>12.2</v>
      </c>
      <c r="E785">
        <v>10</v>
      </c>
      <c r="F785" t="str">
        <f t="shared" si="48"/>
        <v>Premium</v>
      </c>
      <c r="G785" s="3" cm="1">
        <f t="array" ref="G785">_xlfn.XLOOKUP(C785 &amp; F785,
         [1]unilever_price_limits!A:A &amp; [1]unilever_price_limits!B:B,
         [1]unilever_price_limits!C:C)</f>
        <v>55</v>
      </c>
      <c r="H785" s="8">
        <f t="shared" si="49"/>
        <v>18.91</v>
      </c>
      <c r="I785" s="6">
        <f t="shared" si="50"/>
        <v>55.000000000000007</v>
      </c>
      <c r="J785" t="str">
        <f t="shared" si="51"/>
        <v>OK</v>
      </c>
    </row>
    <row r="786" spans="1:10" x14ac:dyDescent="0.2">
      <c r="A786">
        <v>10785</v>
      </c>
      <c r="B786" t="s">
        <v>10</v>
      </c>
      <c r="C786" t="s">
        <v>6</v>
      </c>
      <c r="D786" s="8">
        <v>8.09</v>
      </c>
      <c r="E786">
        <v>7</v>
      </c>
      <c r="F786" t="str">
        <f t="shared" si="48"/>
        <v>Standard</v>
      </c>
      <c r="G786" s="3" cm="1">
        <f t="array" ref="G786">_xlfn.XLOOKUP(C786 &amp; F786,
         [1]unilever_price_limits!A:A &amp; [1]unilever_price_limits!B:B,
         [1]unilever_price_limits!C:C)</f>
        <v>28</v>
      </c>
      <c r="H786" s="8">
        <f t="shared" si="49"/>
        <v>10.3552</v>
      </c>
      <c r="I786" s="6">
        <f t="shared" si="50"/>
        <v>28.000000000000004</v>
      </c>
      <c r="J786" t="str">
        <f t="shared" si="51"/>
        <v>OK</v>
      </c>
    </row>
    <row r="787" spans="1:10" x14ac:dyDescent="0.2">
      <c r="A787">
        <v>10786</v>
      </c>
      <c r="B787" t="s">
        <v>8</v>
      </c>
      <c r="C787" t="s">
        <v>9</v>
      </c>
      <c r="D787" s="8">
        <v>2.19</v>
      </c>
      <c r="E787">
        <v>7</v>
      </c>
      <c r="F787" t="str">
        <f t="shared" si="48"/>
        <v>Standard</v>
      </c>
      <c r="G787" s="3" cm="1">
        <f t="array" ref="G787">_xlfn.XLOOKUP(C787 &amp; F787,
         [1]unilever_price_limits!A:A &amp; [1]unilever_price_limits!B:B,
         [1]unilever_price_limits!C:C)</f>
        <v>30</v>
      </c>
      <c r="H787" s="8">
        <f t="shared" si="49"/>
        <v>2.847</v>
      </c>
      <c r="I787" s="6">
        <f t="shared" si="50"/>
        <v>30.000000000000004</v>
      </c>
      <c r="J787" t="str">
        <f t="shared" si="51"/>
        <v>OK</v>
      </c>
    </row>
    <row r="788" spans="1:10" x14ac:dyDescent="0.2">
      <c r="A788">
        <v>10787</v>
      </c>
      <c r="B788" t="s">
        <v>5</v>
      </c>
      <c r="C788" t="s">
        <v>9</v>
      </c>
      <c r="D788" s="8">
        <v>2.37</v>
      </c>
      <c r="E788">
        <v>9</v>
      </c>
      <c r="F788" t="str">
        <f t="shared" si="48"/>
        <v>Premium</v>
      </c>
      <c r="G788" s="3" cm="1">
        <f t="array" ref="G788">_xlfn.XLOOKUP(C788 &amp; F788,
         [1]unilever_price_limits!A:A &amp; [1]unilever_price_limits!B:B,
         [1]unilever_price_limits!C:C)</f>
        <v>60</v>
      </c>
      <c r="H788" s="8">
        <f t="shared" si="49"/>
        <v>3.7920000000000003</v>
      </c>
      <c r="I788" s="6">
        <f t="shared" si="50"/>
        <v>60.000000000000007</v>
      </c>
      <c r="J788" t="str">
        <f t="shared" si="51"/>
        <v>OK</v>
      </c>
    </row>
    <row r="789" spans="1:10" x14ac:dyDescent="0.2">
      <c r="A789">
        <v>10788</v>
      </c>
      <c r="B789" t="s">
        <v>7</v>
      </c>
      <c r="C789" t="s">
        <v>11</v>
      </c>
      <c r="D789" s="8">
        <v>8.2799999999999994</v>
      </c>
      <c r="E789">
        <v>5</v>
      </c>
      <c r="F789" t="str">
        <f t="shared" si="48"/>
        <v>Standard</v>
      </c>
      <c r="G789" s="3" cm="1">
        <f t="array" ref="G789">_xlfn.XLOOKUP(C789 &amp; F789,
         [1]unilever_price_limits!A:A &amp; [1]unilever_price_limits!B:B,
         [1]unilever_price_limits!C:C)</f>
        <v>25</v>
      </c>
      <c r="H789" s="8">
        <f t="shared" si="49"/>
        <v>10.35</v>
      </c>
      <c r="I789" s="6">
        <f t="shared" si="50"/>
        <v>25</v>
      </c>
      <c r="J789" t="str">
        <f t="shared" si="51"/>
        <v>OK</v>
      </c>
    </row>
    <row r="790" spans="1:10" x14ac:dyDescent="0.2">
      <c r="A790">
        <v>10789</v>
      </c>
      <c r="B790" t="s">
        <v>7</v>
      </c>
      <c r="C790" t="s">
        <v>6</v>
      </c>
      <c r="D790" s="8">
        <v>14.08</v>
      </c>
      <c r="E790">
        <v>4</v>
      </c>
      <c r="F790" t="str">
        <f t="shared" si="48"/>
        <v>Standard</v>
      </c>
      <c r="G790" s="3" cm="1">
        <f t="array" ref="G790">_xlfn.XLOOKUP(C790 &amp; F790,
         [1]unilever_price_limits!A:A &amp; [1]unilever_price_limits!B:B,
         [1]unilever_price_limits!C:C)</f>
        <v>28</v>
      </c>
      <c r="H790" s="8">
        <f t="shared" si="49"/>
        <v>18.022400000000001</v>
      </c>
      <c r="I790" s="6">
        <f t="shared" si="50"/>
        <v>28.000000000000004</v>
      </c>
      <c r="J790" t="str">
        <f t="shared" si="51"/>
        <v>OK</v>
      </c>
    </row>
    <row r="791" spans="1:10" x14ac:dyDescent="0.2">
      <c r="A791">
        <v>10790</v>
      </c>
      <c r="B791" t="s">
        <v>5</v>
      </c>
      <c r="C791" t="s">
        <v>6</v>
      </c>
      <c r="D791" s="8">
        <v>4.97</v>
      </c>
      <c r="E791">
        <v>8</v>
      </c>
      <c r="F791" t="str">
        <f t="shared" si="48"/>
        <v>Premium</v>
      </c>
      <c r="G791" s="3" cm="1">
        <f t="array" ref="G791">_xlfn.XLOOKUP(C791 &amp; F791,
         [1]unilever_price_limits!A:A &amp; [1]unilever_price_limits!B:B,
         [1]unilever_price_limits!C:C)</f>
        <v>55</v>
      </c>
      <c r="H791" s="8">
        <f t="shared" si="49"/>
        <v>7.7035</v>
      </c>
      <c r="I791" s="6">
        <f t="shared" si="50"/>
        <v>55.000000000000007</v>
      </c>
      <c r="J791" t="str">
        <f t="shared" si="51"/>
        <v>OK</v>
      </c>
    </row>
    <row r="792" spans="1:10" x14ac:dyDescent="0.2">
      <c r="A792">
        <v>10791</v>
      </c>
      <c r="B792" t="s">
        <v>10</v>
      </c>
      <c r="C792" t="s">
        <v>6</v>
      </c>
      <c r="D792" s="8">
        <v>13.11</v>
      </c>
      <c r="E792">
        <v>4</v>
      </c>
      <c r="F792" t="str">
        <f t="shared" si="48"/>
        <v>Standard</v>
      </c>
      <c r="G792" s="3" cm="1">
        <f t="array" ref="G792">_xlfn.XLOOKUP(C792 &amp; F792,
         [1]unilever_price_limits!A:A &amp; [1]unilever_price_limits!B:B,
         [1]unilever_price_limits!C:C)</f>
        <v>28</v>
      </c>
      <c r="H792" s="8">
        <f t="shared" si="49"/>
        <v>16.780799999999999</v>
      </c>
      <c r="I792" s="6">
        <f t="shared" si="50"/>
        <v>28.000000000000004</v>
      </c>
      <c r="J792" t="str">
        <f t="shared" si="51"/>
        <v>OK</v>
      </c>
    </row>
    <row r="793" spans="1:10" x14ac:dyDescent="0.2">
      <c r="A793">
        <v>10792</v>
      </c>
      <c r="B793" t="s">
        <v>7</v>
      </c>
      <c r="C793" t="s">
        <v>11</v>
      </c>
      <c r="D793" s="8">
        <v>11.58</v>
      </c>
      <c r="E793">
        <v>4</v>
      </c>
      <c r="F793" t="str">
        <f t="shared" si="48"/>
        <v>Standard</v>
      </c>
      <c r="G793" s="3" cm="1">
        <f t="array" ref="G793">_xlfn.XLOOKUP(C793 &amp; F793,
         [1]unilever_price_limits!A:A &amp; [1]unilever_price_limits!B:B,
         [1]unilever_price_limits!C:C)</f>
        <v>25</v>
      </c>
      <c r="H793" s="8">
        <f t="shared" si="49"/>
        <v>14.475</v>
      </c>
      <c r="I793" s="6">
        <f t="shared" si="50"/>
        <v>25</v>
      </c>
      <c r="J793" t="str">
        <f t="shared" si="51"/>
        <v>OK</v>
      </c>
    </row>
    <row r="794" spans="1:10" x14ac:dyDescent="0.2">
      <c r="A794">
        <v>10793</v>
      </c>
      <c r="B794" t="s">
        <v>8</v>
      </c>
      <c r="C794" t="s">
        <v>6</v>
      </c>
      <c r="D794" s="8">
        <v>4.09</v>
      </c>
      <c r="E794">
        <v>2</v>
      </c>
      <c r="F794" t="str">
        <f t="shared" si="48"/>
        <v>Value</v>
      </c>
      <c r="G794" s="3" cm="1">
        <f t="array" ref="G794">_xlfn.XLOOKUP(C794 &amp; F794,
         [1]unilever_price_limits!A:A &amp; [1]unilever_price_limits!B:B,
         [1]unilever_price_limits!C:C)</f>
        <v>12</v>
      </c>
      <c r="H794" s="8">
        <f t="shared" si="49"/>
        <v>4.5808</v>
      </c>
      <c r="I794" s="6">
        <f t="shared" si="50"/>
        <v>12.000000000000011</v>
      </c>
      <c r="J794" t="str">
        <f t="shared" si="51"/>
        <v>OK</v>
      </c>
    </row>
    <row r="795" spans="1:10" x14ac:dyDescent="0.2">
      <c r="A795">
        <v>10794</v>
      </c>
      <c r="B795" t="s">
        <v>7</v>
      </c>
      <c r="C795" t="s">
        <v>6</v>
      </c>
      <c r="D795" s="8">
        <v>1.03</v>
      </c>
      <c r="E795">
        <v>1</v>
      </c>
      <c r="F795" t="str">
        <f t="shared" si="48"/>
        <v>Value</v>
      </c>
      <c r="G795" s="3" cm="1">
        <f t="array" ref="G795">_xlfn.XLOOKUP(C795 &amp; F795,
         [1]unilever_price_limits!A:A &amp; [1]unilever_price_limits!B:B,
         [1]unilever_price_limits!C:C)</f>
        <v>12</v>
      </c>
      <c r="H795" s="8">
        <f t="shared" si="49"/>
        <v>1.1536000000000002</v>
      </c>
      <c r="I795" s="6">
        <f t="shared" si="50"/>
        <v>12.000000000000011</v>
      </c>
      <c r="J795" t="str">
        <f t="shared" si="51"/>
        <v>OK</v>
      </c>
    </row>
    <row r="796" spans="1:10" x14ac:dyDescent="0.2">
      <c r="A796">
        <v>10795</v>
      </c>
      <c r="B796" t="s">
        <v>8</v>
      </c>
      <c r="C796" t="s">
        <v>11</v>
      </c>
      <c r="D796" s="8">
        <v>1.98</v>
      </c>
      <c r="E796">
        <v>4</v>
      </c>
      <c r="F796" t="str">
        <f t="shared" si="48"/>
        <v>Standard</v>
      </c>
      <c r="G796" s="3" cm="1">
        <f t="array" ref="G796">_xlfn.XLOOKUP(C796 &amp; F796,
         [1]unilever_price_limits!A:A &amp; [1]unilever_price_limits!B:B,
         [1]unilever_price_limits!C:C)</f>
        <v>25</v>
      </c>
      <c r="H796" s="8">
        <f t="shared" si="49"/>
        <v>2.4750000000000001</v>
      </c>
      <c r="I796" s="6">
        <f t="shared" si="50"/>
        <v>25</v>
      </c>
      <c r="J796" t="str">
        <f t="shared" si="51"/>
        <v>OK</v>
      </c>
    </row>
    <row r="797" spans="1:10" x14ac:dyDescent="0.2">
      <c r="A797">
        <v>10796</v>
      </c>
      <c r="B797" t="s">
        <v>5</v>
      </c>
      <c r="C797" t="s">
        <v>9</v>
      </c>
      <c r="D797" s="8">
        <v>11.06</v>
      </c>
      <c r="E797">
        <v>7</v>
      </c>
      <c r="F797" t="str">
        <f t="shared" si="48"/>
        <v>Standard</v>
      </c>
      <c r="G797" s="3" cm="1">
        <f t="array" ref="G797">_xlfn.XLOOKUP(C797 &amp; F797,
         [1]unilever_price_limits!A:A &amp; [1]unilever_price_limits!B:B,
         [1]unilever_price_limits!C:C)</f>
        <v>30</v>
      </c>
      <c r="H797" s="8">
        <f t="shared" si="49"/>
        <v>14.378000000000002</v>
      </c>
      <c r="I797" s="6">
        <f t="shared" si="50"/>
        <v>30.000000000000004</v>
      </c>
      <c r="J797" t="str">
        <f t="shared" si="51"/>
        <v>OK</v>
      </c>
    </row>
    <row r="798" spans="1:10" x14ac:dyDescent="0.2">
      <c r="A798">
        <v>10797</v>
      </c>
      <c r="B798" t="s">
        <v>8</v>
      </c>
      <c r="C798" t="s">
        <v>9</v>
      </c>
      <c r="D798" s="8">
        <v>3.4</v>
      </c>
      <c r="E798">
        <v>9</v>
      </c>
      <c r="F798" t="str">
        <f t="shared" si="48"/>
        <v>Premium</v>
      </c>
      <c r="G798" s="3" cm="1">
        <f t="array" ref="G798">_xlfn.XLOOKUP(C798 &amp; F798,
         [1]unilever_price_limits!A:A &amp; [1]unilever_price_limits!B:B,
         [1]unilever_price_limits!C:C)</f>
        <v>60</v>
      </c>
      <c r="H798" s="8">
        <f t="shared" si="49"/>
        <v>5.44</v>
      </c>
      <c r="I798" s="6">
        <f t="shared" si="50"/>
        <v>60.000000000000007</v>
      </c>
      <c r="J798" t="str">
        <f t="shared" si="51"/>
        <v>OK</v>
      </c>
    </row>
    <row r="799" spans="1:10" x14ac:dyDescent="0.2">
      <c r="A799">
        <v>10798</v>
      </c>
      <c r="B799" t="s">
        <v>5</v>
      </c>
      <c r="C799" t="s">
        <v>11</v>
      </c>
      <c r="D799" s="8">
        <v>5.88</v>
      </c>
      <c r="E799">
        <v>9</v>
      </c>
      <c r="F799" t="str">
        <f t="shared" si="48"/>
        <v>Premium</v>
      </c>
      <c r="G799" s="3" cm="1">
        <f t="array" ref="G799">_xlfn.XLOOKUP(C799 &amp; F799,
         [1]unilever_price_limits!A:A &amp; [1]unilever_price_limits!B:B,
         [1]unilever_price_limits!C:C)</f>
        <v>50</v>
      </c>
      <c r="H799" s="8">
        <f t="shared" si="49"/>
        <v>8.82</v>
      </c>
      <c r="I799" s="6">
        <f t="shared" si="50"/>
        <v>50</v>
      </c>
      <c r="J799" t="str">
        <f t="shared" si="51"/>
        <v>OK</v>
      </c>
    </row>
    <row r="800" spans="1:10" x14ac:dyDescent="0.2">
      <c r="A800">
        <v>10799</v>
      </c>
      <c r="B800" t="s">
        <v>8</v>
      </c>
      <c r="C800" t="s">
        <v>6</v>
      </c>
      <c r="D800" s="8">
        <v>7.77</v>
      </c>
      <c r="E800">
        <v>10</v>
      </c>
      <c r="F800" t="str">
        <f t="shared" si="48"/>
        <v>Premium</v>
      </c>
      <c r="G800" s="3" cm="1">
        <f t="array" ref="G800">_xlfn.XLOOKUP(C800 &amp; F800,
         [1]unilever_price_limits!A:A &amp; [1]unilever_price_limits!B:B,
         [1]unilever_price_limits!C:C)</f>
        <v>55</v>
      </c>
      <c r="H800" s="8">
        <f t="shared" si="49"/>
        <v>12.0435</v>
      </c>
      <c r="I800" s="6">
        <f t="shared" si="50"/>
        <v>55.000000000000007</v>
      </c>
      <c r="J800" t="str">
        <f t="shared" si="51"/>
        <v>OK</v>
      </c>
    </row>
    <row r="801" spans="1:10" x14ac:dyDescent="0.2">
      <c r="A801">
        <v>10800</v>
      </c>
      <c r="B801" t="s">
        <v>5</v>
      </c>
      <c r="C801" t="s">
        <v>11</v>
      </c>
      <c r="D801" s="8">
        <v>11.02</v>
      </c>
      <c r="E801">
        <v>1</v>
      </c>
      <c r="F801" t="str">
        <f t="shared" si="48"/>
        <v>Value</v>
      </c>
      <c r="G801" s="3" cm="1">
        <f t="array" ref="G801">_xlfn.XLOOKUP(C801 &amp; F801,
         [1]unilever_price_limits!A:A &amp; [1]unilever_price_limits!B:B,
         [1]unilever_price_limits!C:C)</f>
        <v>10</v>
      </c>
      <c r="H801" s="8">
        <f t="shared" si="49"/>
        <v>12.122</v>
      </c>
      <c r="I801" s="6">
        <f t="shared" si="50"/>
        <v>10.000000000000009</v>
      </c>
      <c r="J801" t="str">
        <f t="shared" si="51"/>
        <v>OK</v>
      </c>
    </row>
    <row r="802" spans="1:10" x14ac:dyDescent="0.2">
      <c r="A802">
        <v>10801</v>
      </c>
      <c r="B802" t="s">
        <v>8</v>
      </c>
      <c r="C802" t="s">
        <v>9</v>
      </c>
      <c r="D802" s="8">
        <v>2.14</v>
      </c>
      <c r="E802">
        <v>5</v>
      </c>
      <c r="F802" t="str">
        <f t="shared" si="48"/>
        <v>Standard</v>
      </c>
      <c r="G802" s="3" cm="1">
        <f t="array" ref="G802">_xlfn.XLOOKUP(C802 &amp; F802,
         [1]unilever_price_limits!A:A &amp; [1]unilever_price_limits!B:B,
         [1]unilever_price_limits!C:C)</f>
        <v>30</v>
      </c>
      <c r="H802" s="8">
        <f t="shared" si="49"/>
        <v>2.7820000000000005</v>
      </c>
      <c r="I802" s="6">
        <f t="shared" si="50"/>
        <v>30.000000000000004</v>
      </c>
      <c r="J802" t="str">
        <f t="shared" si="51"/>
        <v>OK</v>
      </c>
    </row>
    <row r="803" spans="1:10" x14ac:dyDescent="0.2">
      <c r="A803">
        <v>10802</v>
      </c>
      <c r="B803" t="s">
        <v>10</v>
      </c>
      <c r="C803" t="s">
        <v>9</v>
      </c>
      <c r="D803" s="8">
        <v>6.39</v>
      </c>
      <c r="E803">
        <v>7</v>
      </c>
      <c r="F803" t="str">
        <f t="shared" si="48"/>
        <v>Standard</v>
      </c>
      <c r="G803" s="3" cm="1">
        <f t="array" ref="G803">_xlfn.XLOOKUP(C803 &amp; F803,
         [1]unilever_price_limits!A:A &amp; [1]unilever_price_limits!B:B,
         [1]unilever_price_limits!C:C)</f>
        <v>30</v>
      </c>
      <c r="H803" s="8">
        <f t="shared" si="49"/>
        <v>8.3070000000000004</v>
      </c>
      <c r="I803" s="6">
        <f t="shared" si="50"/>
        <v>30.000000000000004</v>
      </c>
      <c r="J803" t="str">
        <f t="shared" si="51"/>
        <v>OK</v>
      </c>
    </row>
    <row r="804" spans="1:10" x14ac:dyDescent="0.2">
      <c r="A804">
        <v>10803</v>
      </c>
      <c r="B804" t="s">
        <v>8</v>
      </c>
      <c r="C804" t="s">
        <v>11</v>
      </c>
      <c r="D804" s="8">
        <v>7.53</v>
      </c>
      <c r="E804">
        <v>7</v>
      </c>
      <c r="F804" t="str">
        <f t="shared" si="48"/>
        <v>Standard</v>
      </c>
      <c r="G804" s="3" cm="1">
        <f t="array" ref="G804">_xlfn.XLOOKUP(C804 &amp; F804,
         [1]unilever_price_limits!A:A &amp; [1]unilever_price_limits!B:B,
         [1]unilever_price_limits!C:C)</f>
        <v>25</v>
      </c>
      <c r="H804" s="8">
        <f t="shared" si="49"/>
        <v>9.4124999999999996</v>
      </c>
      <c r="I804" s="6">
        <f t="shared" si="50"/>
        <v>25</v>
      </c>
      <c r="J804" t="str">
        <f t="shared" si="51"/>
        <v>OK</v>
      </c>
    </row>
    <row r="805" spans="1:10" x14ac:dyDescent="0.2">
      <c r="A805">
        <v>10804</v>
      </c>
      <c r="B805" t="s">
        <v>8</v>
      </c>
      <c r="C805" t="s">
        <v>11</v>
      </c>
      <c r="D805" s="8">
        <v>8.34</v>
      </c>
      <c r="E805">
        <v>10</v>
      </c>
      <c r="F805" t="str">
        <f t="shared" si="48"/>
        <v>Premium</v>
      </c>
      <c r="G805" s="3" cm="1">
        <f t="array" ref="G805">_xlfn.XLOOKUP(C805 &amp; F805,
         [1]unilever_price_limits!A:A &amp; [1]unilever_price_limits!B:B,
         [1]unilever_price_limits!C:C)</f>
        <v>50</v>
      </c>
      <c r="H805" s="8">
        <f t="shared" si="49"/>
        <v>12.51</v>
      </c>
      <c r="I805" s="6">
        <f t="shared" si="50"/>
        <v>50</v>
      </c>
      <c r="J805" t="str">
        <f t="shared" si="51"/>
        <v>OK</v>
      </c>
    </row>
    <row r="806" spans="1:10" x14ac:dyDescent="0.2">
      <c r="A806">
        <v>10805</v>
      </c>
      <c r="B806" t="s">
        <v>10</v>
      </c>
      <c r="C806" t="s">
        <v>9</v>
      </c>
      <c r="D806" s="8">
        <v>12.37</v>
      </c>
      <c r="E806">
        <v>6</v>
      </c>
      <c r="F806" t="str">
        <f t="shared" si="48"/>
        <v>Standard</v>
      </c>
      <c r="G806" s="3" cm="1">
        <f t="array" ref="G806">_xlfn.XLOOKUP(C806 &amp; F806,
         [1]unilever_price_limits!A:A &amp; [1]unilever_price_limits!B:B,
         [1]unilever_price_limits!C:C)</f>
        <v>30</v>
      </c>
      <c r="H806" s="8">
        <f t="shared" si="49"/>
        <v>16.081</v>
      </c>
      <c r="I806" s="6">
        <f t="shared" si="50"/>
        <v>30.000000000000004</v>
      </c>
      <c r="J806" t="str">
        <f t="shared" si="51"/>
        <v>OK</v>
      </c>
    </row>
    <row r="807" spans="1:10" x14ac:dyDescent="0.2">
      <c r="A807">
        <v>10806</v>
      </c>
      <c r="B807" t="s">
        <v>7</v>
      </c>
      <c r="C807" t="s">
        <v>11</v>
      </c>
      <c r="D807" s="8">
        <v>2.99</v>
      </c>
      <c r="E807">
        <v>10</v>
      </c>
      <c r="F807" t="str">
        <f t="shared" si="48"/>
        <v>Premium</v>
      </c>
      <c r="G807" s="3" cm="1">
        <f t="array" ref="G807">_xlfn.XLOOKUP(C807 &amp; F807,
         [1]unilever_price_limits!A:A &amp; [1]unilever_price_limits!B:B,
         [1]unilever_price_limits!C:C)</f>
        <v>50</v>
      </c>
      <c r="H807" s="8">
        <f t="shared" si="49"/>
        <v>4.4850000000000003</v>
      </c>
      <c r="I807" s="6">
        <f t="shared" si="50"/>
        <v>50</v>
      </c>
      <c r="J807" t="str">
        <f t="shared" si="51"/>
        <v>OK</v>
      </c>
    </row>
    <row r="808" spans="1:10" x14ac:dyDescent="0.2">
      <c r="A808">
        <v>10807</v>
      </c>
      <c r="B808" t="s">
        <v>7</v>
      </c>
      <c r="C808" t="s">
        <v>9</v>
      </c>
      <c r="D808" s="8">
        <v>12.21</v>
      </c>
      <c r="E808">
        <v>4</v>
      </c>
      <c r="F808" t="str">
        <f t="shared" si="48"/>
        <v>Standard</v>
      </c>
      <c r="G808" s="3" cm="1">
        <f t="array" ref="G808">_xlfn.XLOOKUP(C808 &amp; F808,
         [1]unilever_price_limits!A:A &amp; [1]unilever_price_limits!B:B,
         [1]unilever_price_limits!C:C)</f>
        <v>30</v>
      </c>
      <c r="H808" s="8">
        <f t="shared" si="49"/>
        <v>15.873000000000001</v>
      </c>
      <c r="I808" s="6">
        <f t="shared" si="50"/>
        <v>30.000000000000004</v>
      </c>
      <c r="J808" t="str">
        <f t="shared" si="51"/>
        <v>OK</v>
      </c>
    </row>
    <row r="809" spans="1:10" x14ac:dyDescent="0.2">
      <c r="A809">
        <v>10808</v>
      </c>
      <c r="B809" t="s">
        <v>8</v>
      </c>
      <c r="C809" t="s">
        <v>11</v>
      </c>
      <c r="D809" s="8">
        <v>10.55</v>
      </c>
      <c r="E809">
        <v>3</v>
      </c>
      <c r="F809" t="str">
        <f t="shared" si="48"/>
        <v>Value</v>
      </c>
      <c r="G809" s="3" cm="1">
        <f t="array" ref="G809">_xlfn.XLOOKUP(C809 &amp; F809,
         [1]unilever_price_limits!A:A &amp; [1]unilever_price_limits!B:B,
         [1]unilever_price_limits!C:C)</f>
        <v>10</v>
      </c>
      <c r="H809" s="8">
        <f t="shared" si="49"/>
        <v>11.605000000000002</v>
      </c>
      <c r="I809" s="6">
        <f t="shared" si="50"/>
        <v>10.000000000000009</v>
      </c>
      <c r="J809" t="str">
        <f t="shared" si="51"/>
        <v>OK</v>
      </c>
    </row>
    <row r="810" spans="1:10" x14ac:dyDescent="0.2">
      <c r="A810">
        <v>10809</v>
      </c>
      <c r="B810" t="s">
        <v>10</v>
      </c>
      <c r="C810" t="s">
        <v>11</v>
      </c>
      <c r="D810" s="8">
        <v>8.56</v>
      </c>
      <c r="E810">
        <v>9</v>
      </c>
      <c r="F810" t="str">
        <f t="shared" si="48"/>
        <v>Premium</v>
      </c>
      <c r="G810" s="3" cm="1">
        <f t="array" ref="G810">_xlfn.XLOOKUP(C810 &amp; F810,
         [1]unilever_price_limits!A:A &amp; [1]unilever_price_limits!B:B,
         [1]unilever_price_limits!C:C)</f>
        <v>50</v>
      </c>
      <c r="H810" s="8">
        <f t="shared" si="49"/>
        <v>12.84</v>
      </c>
      <c r="I810" s="6">
        <f t="shared" si="50"/>
        <v>50</v>
      </c>
      <c r="J810" t="str">
        <f t="shared" si="51"/>
        <v>OK</v>
      </c>
    </row>
    <row r="811" spans="1:10" x14ac:dyDescent="0.2">
      <c r="A811">
        <v>10810</v>
      </c>
      <c r="B811" t="s">
        <v>8</v>
      </c>
      <c r="C811" t="s">
        <v>11</v>
      </c>
      <c r="D811" s="8">
        <v>10.64</v>
      </c>
      <c r="E811">
        <v>10</v>
      </c>
      <c r="F811" t="str">
        <f t="shared" si="48"/>
        <v>Premium</v>
      </c>
      <c r="G811" s="3" cm="1">
        <f t="array" ref="G811">_xlfn.XLOOKUP(C811 &amp; F811,
         [1]unilever_price_limits!A:A &amp; [1]unilever_price_limits!B:B,
         [1]unilever_price_limits!C:C)</f>
        <v>50</v>
      </c>
      <c r="H811" s="8">
        <f t="shared" si="49"/>
        <v>15.96</v>
      </c>
      <c r="I811" s="6">
        <f t="shared" si="50"/>
        <v>50</v>
      </c>
      <c r="J811" t="str">
        <f t="shared" si="51"/>
        <v>OK</v>
      </c>
    </row>
    <row r="812" spans="1:10" x14ac:dyDescent="0.2">
      <c r="A812">
        <v>10811</v>
      </c>
      <c r="B812" t="s">
        <v>5</v>
      </c>
      <c r="C812" t="s">
        <v>9</v>
      </c>
      <c r="D812" s="8">
        <v>6.47</v>
      </c>
      <c r="E812">
        <v>4</v>
      </c>
      <c r="F812" t="str">
        <f t="shared" si="48"/>
        <v>Standard</v>
      </c>
      <c r="G812" s="3" cm="1">
        <f t="array" ref="G812">_xlfn.XLOOKUP(C812 &amp; F812,
         [1]unilever_price_limits!A:A &amp; [1]unilever_price_limits!B:B,
         [1]unilever_price_limits!C:C)</f>
        <v>30</v>
      </c>
      <c r="H812" s="8">
        <f t="shared" si="49"/>
        <v>8.4109999999999996</v>
      </c>
      <c r="I812" s="6">
        <f t="shared" si="50"/>
        <v>30.000000000000004</v>
      </c>
      <c r="J812" t="str">
        <f t="shared" si="51"/>
        <v>OK</v>
      </c>
    </row>
    <row r="813" spans="1:10" x14ac:dyDescent="0.2">
      <c r="A813">
        <v>10812</v>
      </c>
      <c r="B813" t="s">
        <v>5</v>
      </c>
      <c r="C813" t="s">
        <v>11</v>
      </c>
      <c r="D813" s="8">
        <v>2.5099999999999998</v>
      </c>
      <c r="E813">
        <v>8</v>
      </c>
      <c r="F813" t="str">
        <f t="shared" si="48"/>
        <v>Premium</v>
      </c>
      <c r="G813" s="3" cm="1">
        <f t="array" ref="G813">_xlfn.XLOOKUP(C813 &amp; F813,
         [1]unilever_price_limits!A:A &amp; [1]unilever_price_limits!B:B,
         [1]unilever_price_limits!C:C)</f>
        <v>50</v>
      </c>
      <c r="H813" s="8">
        <f t="shared" si="49"/>
        <v>3.7649999999999997</v>
      </c>
      <c r="I813" s="6">
        <f t="shared" si="50"/>
        <v>50</v>
      </c>
      <c r="J813" t="str">
        <f t="shared" si="51"/>
        <v>OK</v>
      </c>
    </row>
    <row r="814" spans="1:10" x14ac:dyDescent="0.2">
      <c r="A814">
        <v>10813</v>
      </c>
      <c r="B814" t="s">
        <v>8</v>
      </c>
      <c r="C814" t="s">
        <v>9</v>
      </c>
      <c r="D814" s="8">
        <v>10.15</v>
      </c>
      <c r="E814">
        <v>1</v>
      </c>
      <c r="F814" t="str">
        <f t="shared" si="48"/>
        <v>Value</v>
      </c>
      <c r="G814" s="3" cm="1">
        <f t="array" ref="G814">_xlfn.XLOOKUP(C814 &amp; F814,
         [1]unilever_price_limits!A:A &amp; [1]unilever_price_limits!B:B,
         [1]unilever_price_limits!C:C)</f>
        <v>15</v>
      </c>
      <c r="H814" s="8">
        <f t="shared" si="49"/>
        <v>11.672499999999999</v>
      </c>
      <c r="I814" s="6">
        <f t="shared" si="50"/>
        <v>14.999999999999991</v>
      </c>
      <c r="J814" t="str">
        <f t="shared" si="51"/>
        <v>OK</v>
      </c>
    </row>
    <row r="815" spans="1:10" x14ac:dyDescent="0.2">
      <c r="A815">
        <v>10814</v>
      </c>
      <c r="B815" t="s">
        <v>7</v>
      </c>
      <c r="C815" t="s">
        <v>9</v>
      </c>
      <c r="D815" s="8">
        <v>8.11</v>
      </c>
      <c r="E815">
        <v>7</v>
      </c>
      <c r="F815" t="str">
        <f t="shared" si="48"/>
        <v>Standard</v>
      </c>
      <c r="G815" s="3" cm="1">
        <f t="array" ref="G815">_xlfn.XLOOKUP(C815 &amp; F815,
         [1]unilever_price_limits!A:A &amp; [1]unilever_price_limits!B:B,
         [1]unilever_price_limits!C:C)</f>
        <v>30</v>
      </c>
      <c r="H815" s="8">
        <f t="shared" si="49"/>
        <v>10.542999999999999</v>
      </c>
      <c r="I815" s="6">
        <f t="shared" si="50"/>
        <v>30.000000000000004</v>
      </c>
      <c r="J815" t="str">
        <f t="shared" si="51"/>
        <v>OK</v>
      </c>
    </row>
    <row r="816" spans="1:10" x14ac:dyDescent="0.2">
      <c r="A816">
        <v>10815</v>
      </c>
      <c r="B816" t="s">
        <v>7</v>
      </c>
      <c r="C816" t="s">
        <v>11</v>
      </c>
      <c r="D816" s="8">
        <v>9.77</v>
      </c>
      <c r="E816">
        <v>6</v>
      </c>
      <c r="F816" t="str">
        <f t="shared" si="48"/>
        <v>Standard</v>
      </c>
      <c r="G816" s="3" cm="1">
        <f t="array" ref="G816">_xlfn.XLOOKUP(C816 &amp; F816,
         [1]unilever_price_limits!A:A &amp; [1]unilever_price_limits!B:B,
         [1]unilever_price_limits!C:C)</f>
        <v>25</v>
      </c>
      <c r="H816" s="8">
        <f t="shared" si="49"/>
        <v>12.212499999999999</v>
      </c>
      <c r="I816" s="6">
        <f t="shared" si="50"/>
        <v>25</v>
      </c>
      <c r="J816" t="str">
        <f t="shared" si="51"/>
        <v>OK</v>
      </c>
    </row>
    <row r="817" spans="1:10" x14ac:dyDescent="0.2">
      <c r="A817">
        <v>10816</v>
      </c>
      <c r="B817" t="s">
        <v>8</v>
      </c>
      <c r="C817" t="s">
        <v>11</v>
      </c>
      <c r="D817" s="8">
        <v>5.4</v>
      </c>
      <c r="E817">
        <v>1</v>
      </c>
      <c r="F817" t="str">
        <f t="shared" si="48"/>
        <v>Value</v>
      </c>
      <c r="G817" s="3" cm="1">
        <f t="array" ref="G817">_xlfn.XLOOKUP(C817 &amp; F817,
         [1]unilever_price_limits!A:A &amp; [1]unilever_price_limits!B:B,
         [1]unilever_price_limits!C:C)</f>
        <v>10</v>
      </c>
      <c r="H817" s="8">
        <f t="shared" si="49"/>
        <v>5.9400000000000013</v>
      </c>
      <c r="I817" s="6">
        <f t="shared" si="50"/>
        <v>10.000000000000009</v>
      </c>
      <c r="J817" t="str">
        <f t="shared" si="51"/>
        <v>OK</v>
      </c>
    </row>
    <row r="818" spans="1:10" x14ac:dyDescent="0.2">
      <c r="A818">
        <v>10817</v>
      </c>
      <c r="B818" t="s">
        <v>8</v>
      </c>
      <c r="C818" t="s">
        <v>9</v>
      </c>
      <c r="D818" s="8">
        <v>13.65</v>
      </c>
      <c r="E818">
        <v>4</v>
      </c>
      <c r="F818" t="str">
        <f t="shared" si="48"/>
        <v>Standard</v>
      </c>
      <c r="G818" s="3" cm="1">
        <f t="array" ref="G818">_xlfn.XLOOKUP(C818 &amp; F818,
         [1]unilever_price_limits!A:A &amp; [1]unilever_price_limits!B:B,
         [1]unilever_price_limits!C:C)</f>
        <v>30</v>
      </c>
      <c r="H818" s="8">
        <f t="shared" si="49"/>
        <v>17.745000000000001</v>
      </c>
      <c r="I818" s="6">
        <f t="shared" si="50"/>
        <v>30.000000000000004</v>
      </c>
      <c r="J818" t="str">
        <f t="shared" si="51"/>
        <v>OK</v>
      </c>
    </row>
    <row r="819" spans="1:10" x14ac:dyDescent="0.2">
      <c r="A819">
        <v>10818</v>
      </c>
      <c r="B819" t="s">
        <v>5</v>
      </c>
      <c r="C819" t="s">
        <v>9</v>
      </c>
      <c r="D819" s="8">
        <v>9.02</v>
      </c>
      <c r="E819">
        <v>5</v>
      </c>
      <c r="F819" t="str">
        <f t="shared" si="48"/>
        <v>Standard</v>
      </c>
      <c r="G819" s="3" cm="1">
        <f t="array" ref="G819">_xlfn.XLOOKUP(C819 &amp; F819,
         [1]unilever_price_limits!A:A &amp; [1]unilever_price_limits!B:B,
         [1]unilever_price_limits!C:C)</f>
        <v>30</v>
      </c>
      <c r="H819" s="8">
        <f t="shared" si="49"/>
        <v>11.725999999999999</v>
      </c>
      <c r="I819" s="6">
        <f t="shared" si="50"/>
        <v>30.000000000000004</v>
      </c>
      <c r="J819" t="str">
        <f t="shared" si="51"/>
        <v>OK</v>
      </c>
    </row>
    <row r="820" spans="1:10" x14ac:dyDescent="0.2">
      <c r="A820">
        <v>10819</v>
      </c>
      <c r="B820" t="s">
        <v>7</v>
      </c>
      <c r="C820" t="s">
        <v>6</v>
      </c>
      <c r="D820" s="8">
        <v>1.74</v>
      </c>
      <c r="E820">
        <v>8</v>
      </c>
      <c r="F820" t="str">
        <f t="shared" si="48"/>
        <v>Premium</v>
      </c>
      <c r="G820" s="3" cm="1">
        <f t="array" ref="G820">_xlfn.XLOOKUP(C820 &amp; F820,
         [1]unilever_price_limits!A:A &amp; [1]unilever_price_limits!B:B,
         [1]unilever_price_limits!C:C)</f>
        <v>55</v>
      </c>
      <c r="H820" s="8">
        <f t="shared" si="49"/>
        <v>2.6970000000000001</v>
      </c>
      <c r="I820" s="6">
        <f t="shared" si="50"/>
        <v>55.000000000000007</v>
      </c>
      <c r="J820" t="str">
        <f t="shared" si="51"/>
        <v>OK</v>
      </c>
    </row>
    <row r="821" spans="1:10" x14ac:dyDescent="0.2">
      <c r="A821">
        <v>10820</v>
      </c>
      <c r="B821" t="s">
        <v>8</v>
      </c>
      <c r="C821" t="s">
        <v>9</v>
      </c>
      <c r="D821" s="8">
        <v>7.02</v>
      </c>
      <c r="E821">
        <v>4</v>
      </c>
      <c r="F821" t="str">
        <f t="shared" si="48"/>
        <v>Standard</v>
      </c>
      <c r="G821" s="3" cm="1">
        <f t="array" ref="G821">_xlfn.XLOOKUP(C821 &amp; F821,
         [1]unilever_price_limits!A:A &amp; [1]unilever_price_limits!B:B,
         [1]unilever_price_limits!C:C)</f>
        <v>30</v>
      </c>
      <c r="H821" s="8">
        <f t="shared" si="49"/>
        <v>9.1259999999999994</v>
      </c>
      <c r="I821" s="6">
        <f t="shared" si="50"/>
        <v>30.000000000000004</v>
      </c>
      <c r="J821" t="str">
        <f t="shared" si="51"/>
        <v>OK</v>
      </c>
    </row>
    <row r="822" spans="1:10" x14ac:dyDescent="0.2">
      <c r="A822">
        <v>10821</v>
      </c>
      <c r="B822" t="s">
        <v>5</v>
      </c>
      <c r="C822" t="s">
        <v>6</v>
      </c>
      <c r="D822" s="8">
        <v>11.47</v>
      </c>
      <c r="E822">
        <v>3</v>
      </c>
      <c r="F822" t="str">
        <f t="shared" si="48"/>
        <v>Value</v>
      </c>
      <c r="G822" s="3" cm="1">
        <f t="array" ref="G822">_xlfn.XLOOKUP(C822 &amp; F822,
         [1]unilever_price_limits!A:A &amp; [1]unilever_price_limits!B:B,
         [1]unilever_price_limits!C:C)</f>
        <v>12</v>
      </c>
      <c r="H822" s="8">
        <f t="shared" si="49"/>
        <v>12.846400000000003</v>
      </c>
      <c r="I822" s="6">
        <f t="shared" si="50"/>
        <v>12.000000000000011</v>
      </c>
      <c r="J822" t="str">
        <f t="shared" si="51"/>
        <v>OK</v>
      </c>
    </row>
    <row r="823" spans="1:10" x14ac:dyDescent="0.2">
      <c r="A823">
        <v>10822</v>
      </c>
      <c r="B823" t="s">
        <v>7</v>
      </c>
      <c r="C823" t="s">
        <v>6</v>
      </c>
      <c r="D823" s="8">
        <v>12.01</v>
      </c>
      <c r="E823">
        <v>2</v>
      </c>
      <c r="F823" t="str">
        <f t="shared" si="48"/>
        <v>Value</v>
      </c>
      <c r="G823" s="3" cm="1">
        <f t="array" ref="G823">_xlfn.XLOOKUP(C823 &amp; F823,
         [1]unilever_price_limits!A:A &amp; [1]unilever_price_limits!B:B,
         [1]unilever_price_limits!C:C)</f>
        <v>12</v>
      </c>
      <c r="H823" s="8">
        <f t="shared" si="49"/>
        <v>13.451200000000002</v>
      </c>
      <c r="I823" s="6">
        <f t="shared" si="50"/>
        <v>12.000000000000011</v>
      </c>
      <c r="J823" t="str">
        <f t="shared" si="51"/>
        <v>OK</v>
      </c>
    </row>
    <row r="824" spans="1:10" x14ac:dyDescent="0.2">
      <c r="A824">
        <v>10823</v>
      </c>
      <c r="B824" t="s">
        <v>10</v>
      </c>
      <c r="C824" t="s">
        <v>6</v>
      </c>
      <c r="D824" s="8">
        <v>7.67</v>
      </c>
      <c r="E824">
        <v>4</v>
      </c>
      <c r="F824" t="str">
        <f t="shared" si="48"/>
        <v>Standard</v>
      </c>
      <c r="G824" s="3" cm="1">
        <f t="array" ref="G824">_xlfn.XLOOKUP(C824 &amp; F824,
         [1]unilever_price_limits!A:A &amp; [1]unilever_price_limits!B:B,
         [1]unilever_price_limits!C:C)</f>
        <v>28</v>
      </c>
      <c r="H824" s="8">
        <f t="shared" si="49"/>
        <v>9.8176000000000005</v>
      </c>
      <c r="I824" s="6">
        <f t="shared" si="50"/>
        <v>28.000000000000004</v>
      </c>
      <c r="J824" t="str">
        <f t="shared" si="51"/>
        <v>OK</v>
      </c>
    </row>
    <row r="825" spans="1:10" x14ac:dyDescent="0.2">
      <c r="A825">
        <v>10824</v>
      </c>
      <c r="B825" t="s">
        <v>5</v>
      </c>
      <c r="C825" t="s">
        <v>11</v>
      </c>
      <c r="D825" s="8">
        <v>13.47</v>
      </c>
      <c r="E825">
        <v>10</v>
      </c>
      <c r="F825" t="str">
        <f t="shared" si="48"/>
        <v>Premium</v>
      </c>
      <c r="G825" s="3" cm="1">
        <f t="array" ref="G825">_xlfn.XLOOKUP(C825 &amp; F825,
         [1]unilever_price_limits!A:A &amp; [1]unilever_price_limits!B:B,
         [1]unilever_price_limits!C:C)</f>
        <v>50</v>
      </c>
      <c r="H825" s="8">
        <f t="shared" si="49"/>
        <v>20.205000000000002</v>
      </c>
      <c r="I825" s="6">
        <f t="shared" si="50"/>
        <v>50</v>
      </c>
      <c r="J825" t="str">
        <f t="shared" si="51"/>
        <v>OK</v>
      </c>
    </row>
    <row r="826" spans="1:10" x14ac:dyDescent="0.2">
      <c r="A826">
        <v>10825</v>
      </c>
      <c r="B826" t="s">
        <v>7</v>
      </c>
      <c r="C826" t="s">
        <v>11</v>
      </c>
      <c r="D826" s="8">
        <v>4.38</v>
      </c>
      <c r="E826">
        <v>4</v>
      </c>
      <c r="F826" t="str">
        <f t="shared" si="48"/>
        <v>Standard</v>
      </c>
      <c r="G826" s="3" cm="1">
        <f t="array" ref="G826">_xlfn.XLOOKUP(C826 &amp; F826,
         [1]unilever_price_limits!A:A &amp; [1]unilever_price_limits!B:B,
         [1]unilever_price_limits!C:C)</f>
        <v>25</v>
      </c>
      <c r="H826" s="8">
        <f t="shared" si="49"/>
        <v>5.4749999999999996</v>
      </c>
      <c r="I826" s="6">
        <f t="shared" si="50"/>
        <v>25</v>
      </c>
      <c r="J826" t="str">
        <f t="shared" si="51"/>
        <v>OK</v>
      </c>
    </row>
    <row r="827" spans="1:10" x14ac:dyDescent="0.2">
      <c r="A827">
        <v>10826</v>
      </c>
      <c r="B827" t="s">
        <v>7</v>
      </c>
      <c r="C827" t="s">
        <v>9</v>
      </c>
      <c r="D827" s="8">
        <v>6.45</v>
      </c>
      <c r="E827">
        <v>10</v>
      </c>
      <c r="F827" t="str">
        <f t="shared" si="48"/>
        <v>Premium</v>
      </c>
      <c r="G827" s="3" cm="1">
        <f t="array" ref="G827">_xlfn.XLOOKUP(C827 &amp; F827,
         [1]unilever_price_limits!A:A &amp; [1]unilever_price_limits!B:B,
         [1]unilever_price_limits!C:C)</f>
        <v>60</v>
      </c>
      <c r="H827" s="8">
        <f t="shared" si="49"/>
        <v>10.32</v>
      </c>
      <c r="I827" s="6">
        <f t="shared" si="50"/>
        <v>60.000000000000007</v>
      </c>
      <c r="J827" t="str">
        <f t="shared" si="51"/>
        <v>OK</v>
      </c>
    </row>
    <row r="828" spans="1:10" x14ac:dyDescent="0.2">
      <c r="A828">
        <v>10827</v>
      </c>
      <c r="B828" t="s">
        <v>5</v>
      </c>
      <c r="C828" t="s">
        <v>6</v>
      </c>
      <c r="D828" s="8">
        <v>13.53</v>
      </c>
      <c r="E828">
        <v>5</v>
      </c>
      <c r="F828" t="str">
        <f t="shared" si="48"/>
        <v>Standard</v>
      </c>
      <c r="G828" s="3" cm="1">
        <f t="array" ref="G828">_xlfn.XLOOKUP(C828 &amp; F828,
         [1]unilever_price_limits!A:A &amp; [1]unilever_price_limits!B:B,
         [1]unilever_price_limits!C:C)</f>
        <v>28</v>
      </c>
      <c r="H828" s="8">
        <f t="shared" si="49"/>
        <v>17.3184</v>
      </c>
      <c r="I828" s="6">
        <f t="shared" si="50"/>
        <v>28.000000000000004</v>
      </c>
      <c r="J828" t="str">
        <f t="shared" si="51"/>
        <v>OK</v>
      </c>
    </row>
    <row r="829" spans="1:10" x14ac:dyDescent="0.2">
      <c r="A829">
        <v>10828</v>
      </c>
      <c r="B829" t="s">
        <v>10</v>
      </c>
      <c r="C829" t="s">
        <v>11</v>
      </c>
      <c r="D829" s="8">
        <v>13.5</v>
      </c>
      <c r="E829">
        <v>7</v>
      </c>
      <c r="F829" t="str">
        <f t="shared" si="48"/>
        <v>Standard</v>
      </c>
      <c r="G829" s="3" cm="1">
        <f t="array" ref="G829">_xlfn.XLOOKUP(C829 &amp; F829,
         [1]unilever_price_limits!A:A &amp; [1]unilever_price_limits!B:B,
         [1]unilever_price_limits!C:C)</f>
        <v>25</v>
      </c>
      <c r="H829" s="8">
        <f t="shared" si="49"/>
        <v>16.875</v>
      </c>
      <c r="I829" s="6">
        <f t="shared" si="50"/>
        <v>25</v>
      </c>
      <c r="J829" t="str">
        <f t="shared" si="51"/>
        <v>OK</v>
      </c>
    </row>
    <row r="830" spans="1:10" x14ac:dyDescent="0.2">
      <c r="A830">
        <v>10829</v>
      </c>
      <c r="B830" t="s">
        <v>5</v>
      </c>
      <c r="C830" t="s">
        <v>11</v>
      </c>
      <c r="D830" s="8">
        <v>10.44</v>
      </c>
      <c r="E830">
        <v>9</v>
      </c>
      <c r="F830" t="str">
        <f t="shared" si="48"/>
        <v>Premium</v>
      </c>
      <c r="G830" s="3" cm="1">
        <f t="array" ref="G830">_xlfn.XLOOKUP(C830 &amp; F830,
         [1]unilever_price_limits!A:A &amp; [1]unilever_price_limits!B:B,
         [1]unilever_price_limits!C:C)</f>
        <v>50</v>
      </c>
      <c r="H830" s="8">
        <f t="shared" si="49"/>
        <v>15.66</v>
      </c>
      <c r="I830" s="6">
        <f t="shared" si="50"/>
        <v>50</v>
      </c>
      <c r="J830" t="str">
        <f t="shared" si="51"/>
        <v>OK</v>
      </c>
    </row>
    <row r="831" spans="1:10" x14ac:dyDescent="0.2">
      <c r="A831">
        <v>10830</v>
      </c>
      <c r="B831" t="s">
        <v>7</v>
      </c>
      <c r="C831" t="s">
        <v>11</v>
      </c>
      <c r="D831" s="8">
        <v>12.96</v>
      </c>
      <c r="E831">
        <v>2</v>
      </c>
      <c r="F831" t="str">
        <f t="shared" si="48"/>
        <v>Value</v>
      </c>
      <c r="G831" s="3" cm="1">
        <f t="array" ref="G831">_xlfn.XLOOKUP(C831 &amp; F831,
         [1]unilever_price_limits!A:A &amp; [1]unilever_price_limits!B:B,
         [1]unilever_price_limits!C:C)</f>
        <v>10</v>
      </c>
      <c r="H831" s="8">
        <f t="shared" si="49"/>
        <v>14.256000000000002</v>
      </c>
      <c r="I831" s="6">
        <f t="shared" si="50"/>
        <v>10.000000000000009</v>
      </c>
      <c r="J831" t="str">
        <f t="shared" si="51"/>
        <v>OK</v>
      </c>
    </row>
    <row r="832" spans="1:10" x14ac:dyDescent="0.2">
      <c r="A832">
        <v>10831</v>
      </c>
      <c r="B832" t="s">
        <v>8</v>
      </c>
      <c r="C832" t="s">
        <v>11</v>
      </c>
      <c r="D832" s="8">
        <v>1.79</v>
      </c>
      <c r="E832">
        <v>5</v>
      </c>
      <c r="F832" t="str">
        <f t="shared" si="48"/>
        <v>Standard</v>
      </c>
      <c r="G832" s="3" cm="1">
        <f t="array" ref="G832">_xlfn.XLOOKUP(C832 &amp; F832,
         [1]unilever_price_limits!A:A &amp; [1]unilever_price_limits!B:B,
         [1]unilever_price_limits!C:C)</f>
        <v>25</v>
      </c>
      <c r="H832" s="8">
        <f t="shared" si="49"/>
        <v>2.2374999999999998</v>
      </c>
      <c r="I832" s="6">
        <f t="shared" si="50"/>
        <v>24.999999999999979</v>
      </c>
      <c r="J832" t="str">
        <f t="shared" si="51"/>
        <v>OK</v>
      </c>
    </row>
    <row r="833" spans="1:10" x14ac:dyDescent="0.2">
      <c r="A833">
        <v>10832</v>
      </c>
      <c r="B833" t="s">
        <v>8</v>
      </c>
      <c r="C833" t="s">
        <v>11</v>
      </c>
      <c r="D833" s="8">
        <v>13.04</v>
      </c>
      <c r="E833">
        <v>10</v>
      </c>
      <c r="F833" t="str">
        <f t="shared" si="48"/>
        <v>Premium</v>
      </c>
      <c r="G833" s="3" cm="1">
        <f t="array" ref="G833">_xlfn.XLOOKUP(C833 &amp; F833,
         [1]unilever_price_limits!A:A &amp; [1]unilever_price_limits!B:B,
         [1]unilever_price_limits!C:C)</f>
        <v>50</v>
      </c>
      <c r="H833" s="8">
        <f t="shared" si="49"/>
        <v>19.559999999999999</v>
      </c>
      <c r="I833" s="6">
        <f t="shared" si="50"/>
        <v>50</v>
      </c>
      <c r="J833" t="str">
        <f t="shared" si="51"/>
        <v>OK</v>
      </c>
    </row>
    <row r="834" spans="1:10" x14ac:dyDescent="0.2">
      <c r="A834">
        <v>10833</v>
      </c>
      <c r="B834" t="s">
        <v>5</v>
      </c>
      <c r="C834" t="s">
        <v>6</v>
      </c>
      <c r="D834" s="8">
        <v>5.15</v>
      </c>
      <c r="E834">
        <v>9</v>
      </c>
      <c r="F834" t="str">
        <f t="shared" si="48"/>
        <v>Premium</v>
      </c>
      <c r="G834" s="3" cm="1">
        <f t="array" ref="G834">_xlfn.XLOOKUP(C834 &amp; F834,
         [1]unilever_price_limits!A:A &amp; [1]unilever_price_limits!B:B,
         [1]unilever_price_limits!C:C)</f>
        <v>55</v>
      </c>
      <c r="H834" s="8">
        <f t="shared" si="49"/>
        <v>7.9825000000000008</v>
      </c>
      <c r="I834" s="6">
        <f t="shared" si="50"/>
        <v>55.000000000000007</v>
      </c>
      <c r="J834" t="str">
        <f t="shared" si="51"/>
        <v>OK</v>
      </c>
    </row>
    <row r="835" spans="1:10" x14ac:dyDescent="0.2">
      <c r="A835">
        <v>10834</v>
      </c>
      <c r="B835" t="s">
        <v>7</v>
      </c>
      <c r="C835" t="s">
        <v>6</v>
      </c>
      <c r="D835" s="8">
        <v>3.09</v>
      </c>
      <c r="E835">
        <v>3</v>
      </c>
      <c r="F835" t="str">
        <f t="shared" ref="F835:F898" si="52">IF(E835&lt;=3,"Value",
 IF(E835&lt;=7,"Standard","Premium"))</f>
        <v>Value</v>
      </c>
      <c r="G835" s="3" cm="1">
        <f t="array" ref="G835">_xlfn.XLOOKUP(C835 &amp; F835,
         [1]unilever_price_limits!A:A &amp; [1]unilever_price_limits!B:B,
         [1]unilever_price_limits!C:C)</f>
        <v>12</v>
      </c>
      <c r="H835" s="8">
        <f t="shared" ref="H835:H898" si="53">D835 * (1 + G835/100)</f>
        <v>3.4608000000000003</v>
      </c>
      <c r="I835" s="6">
        <f t="shared" ref="I835:I898" si="54">(H835 / D835 - 1) * 100</f>
        <v>12.000000000000011</v>
      </c>
      <c r="J835" t="str">
        <f t="shared" ref="J835:J898" si="55">IF(I834&gt; G834, "⚠ Exceeds Limit", "OK")</f>
        <v>OK</v>
      </c>
    </row>
    <row r="836" spans="1:10" x14ac:dyDescent="0.2">
      <c r="A836">
        <v>10835</v>
      </c>
      <c r="B836" t="s">
        <v>8</v>
      </c>
      <c r="C836" t="s">
        <v>6</v>
      </c>
      <c r="D836" s="8">
        <v>3.97</v>
      </c>
      <c r="E836">
        <v>1</v>
      </c>
      <c r="F836" t="str">
        <f t="shared" si="52"/>
        <v>Value</v>
      </c>
      <c r="G836" s="3" cm="1">
        <f t="array" ref="G836">_xlfn.XLOOKUP(C836 &amp; F836,
         [1]unilever_price_limits!A:A &amp; [1]unilever_price_limits!B:B,
         [1]unilever_price_limits!C:C)</f>
        <v>12</v>
      </c>
      <c r="H836" s="8">
        <f t="shared" si="53"/>
        <v>4.4464000000000006</v>
      </c>
      <c r="I836" s="6">
        <f t="shared" si="54"/>
        <v>12.000000000000011</v>
      </c>
      <c r="J836" t="str">
        <f t="shared" si="55"/>
        <v>OK</v>
      </c>
    </row>
    <row r="837" spans="1:10" x14ac:dyDescent="0.2">
      <c r="A837">
        <v>10836</v>
      </c>
      <c r="B837" t="s">
        <v>7</v>
      </c>
      <c r="C837" t="s">
        <v>6</v>
      </c>
      <c r="D837" s="8">
        <v>6.56</v>
      </c>
      <c r="E837">
        <v>2</v>
      </c>
      <c r="F837" t="str">
        <f t="shared" si="52"/>
        <v>Value</v>
      </c>
      <c r="G837" s="3" cm="1">
        <f t="array" ref="G837">_xlfn.XLOOKUP(C837 &amp; F837,
         [1]unilever_price_limits!A:A &amp; [1]unilever_price_limits!B:B,
         [1]unilever_price_limits!C:C)</f>
        <v>12</v>
      </c>
      <c r="H837" s="8">
        <f t="shared" si="53"/>
        <v>7.3472</v>
      </c>
      <c r="I837" s="6">
        <f t="shared" si="54"/>
        <v>12.000000000000011</v>
      </c>
      <c r="J837" t="str">
        <f t="shared" si="55"/>
        <v>OK</v>
      </c>
    </row>
    <row r="838" spans="1:10" x14ac:dyDescent="0.2">
      <c r="A838">
        <v>10837</v>
      </c>
      <c r="B838" t="s">
        <v>5</v>
      </c>
      <c r="C838" t="s">
        <v>9</v>
      </c>
      <c r="D838" s="8">
        <v>4.1399999999999997</v>
      </c>
      <c r="E838">
        <v>6</v>
      </c>
      <c r="F838" t="str">
        <f t="shared" si="52"/>
        <v>Standard</v>
      </c>
      <c r="G838" s="3" cm="1">
        <f t="array" ref="G838">_xlfn.XLOOKUP(C838 &amp; F838,
         [1]unilever_price_limits!A:A &amp; [1]unilever_price_limits!B:B,
         [1]unilever_price_limits!C:C)</f>
        <v>30</v>
      </c>
      <c r="H838" s="8">
        <f t="shared" si="53"/>
        <v>5.3819999999999997</v>
      </c>
      <c r="I838" s="6">
        <f t="shared" si="54"/>
        <v>30.000000000000004</v>
      </c>
      <c r="J838" t="str">
        <f t="shared" si="55"/>
        <v>OK</v>
      </c>
    </row>
    <row r="839" spans="1:10" x14ac:dyDescent="0.2">
      <c r="A839">
        <v>10838</v>
      </c>
      <c r="B839" t="s">
        <v>8</v>
      </c>
      <c r="C839" t="s">
        <v>6</v>
      </c>
      <c r="D839" s="8">
        <v>5.15</v>
      </c>
      <c r="E839">
        <v>5</v>
      </c>
      <c r="F839" t="str">
        <f t="shared" si="52"/>
        <v>Standard</v>
      </c>
      <c r="G839" s="3" cm="1">
        <f t="array" ref="G839">_xlfn.XLOOKUP(C839 &amp; F839,
         [1]unilever_price_limits!A:A &amp; [1]unilever_price_limits!B:B,
         [1]unilever_price_limits!C:C)</f>
        <v>28</v>
      </c>
      <c r="H839" s="8">
        <f t="shared" si="53"/>
        <v>6.5920000000000005</v>
      </c>
      <c r="I839" s="6">
        <f t="shared" si="54"/>
        <v>28.000000000000004</v>
      </c>
      <c r="J839" t="str">
        <f t="shared" si="55"/>
        <v>OK</v>
      </c>
    </row>
    <row r="840" spans="1:10" x14ac:dyDescent="0.2">
      <c r="A840">
        <v>10839</v>
      </c>
      <c r="B840" t="s">
        <v>7</v>
      </c>
      <c r="C840" t="s">
        <v>11</v>
      </c>
      <c r="D840" s="8">
        <v>2.46</v>
      </c>
      <c r="E840">
        <v>1</v>
      </c>
      <c r="F840" t="str">
        <f t="shared" si="52"/>
        <v>Value</v>
      </c>
      <c r="G840" s="3" cm="1">
        <f t="array" ref="G840">_xlfn.XLOOKUP(C840 &amp; F840,
         [1]unilever_price_limits!A:A &amp; [1]unilever_price_limits!B:B,
         [1]unilever_price_limits!C:C)</f>
        <v>10</v>
      </c>
      <c r="H840" s="8">
        <f t="shared" si="53"/>
        <v>2.706</v>
      </c>
      <c r="I840" s="6">
        <f t="shared" si="54"/>
        <v>10.000000000000009</v>
      </c>
      <c r="J840" t="str">
        <f t="shared" si="55"/>
        <v>OK</v>
      </c>
    </row>
    <row r="841" spans="1:10" x14ac:dyDescent="0.2">
      <c r="A841">
        <v>10840</v>
      </c>
      <c r="B841" t="s">
        <v>8</v>
      </c>
      <c r="C841" t="s">
        <v>6</v>
      </c>
      <c r="D841" s="8">
        <v>4.79</v>
      </c>
      <c r="E841">
        <v>1</v>
      </c>
      <c r="F841" t="str">
        <f t="shared" si="52"/>
        <v>Value</v>
      </c>
      <c r="G841" s="3" cm="1">
        <f t="array" ref="G841">_xlfn.XLOOKUP(C841 &amp; F841,
         [1]unilever_price_limits!A:A &amp; [1]unilever_price_limits!B:B,
         [1]unilever_price_limits!C:C)</f>
        <v>12</v>
      </c>
      <c r="H841" s="8">
        <f t="shared" si="53"/>
        <v>5.3648000000000007</v>
      </c>
      <c r="I841" s="6">
        <f t="shared" si="54"/>
        <v>12.000000000000011</v>
      </c>
      <c r="J841" t="str">
        <f t="shared" si="55"/>
        <v>OK</v>
      </c>
    </row>
    <row r="842" spans="1:10" x14ac:dyDescent="0.2">
      <c r="A842">
        <v>10841</v>
      </c>
      <c r="B842" t="s">
        <v>5</v>
      </c>
      <c r="C842" t="s">
        <v>9</v>
      </c>
      <c r="D842" s="8">
        <v>8.8000000000000007</v>
      </c>
      <c r="E842">
        <v>4</v>
      </c>
      <c r="F842" t="str">
        <f t="shared" si="52"/>
        <v>Standard</v>
      </c>
      <c r="G842" s="3" cm="1">
        <f t="array" ref="G842">_xlfn.XLOOKUP(C842 &amp; F842,
         [1]unilever_price_limits!A:A &amp; [1]unilever_price_limits!B:B,
         [1]unilever_price_limits!C:C)</f>
        <v>30</v>
      </c>
      <c r="H842" s="8">
        <f t="shared" si="53"/>
        <v>11.440000000000001</v>
      </c>
      <c r="I842" s="6">
        <f t="shared" si="54"/>
        <v>30.000000000000004</v>
      </c>
      <c r="J842" t="str">
        <f t="shared" si="55"/>
        <v>OK</v>
      </c>
    </row>
    <row r="843" spans="1:10" x14ac:dyDescent="0.2">
      <c r="A843">
        <v>10842</v>
      </c>
      <c r="B843" t="s">
        <v>7</v>
      </c>
      <c r="C843" t="s">
        <v>11</v>
      </c>
      <c r="D843" s="8">
        <v>6.91</v>
      </c>
      <c r="E843">
        <v>4</v>
      </c>
      <c r="F843" t="str">
        <f t="shared" si="52"/>
        <v>Standard</v>
      </c>
      <c r="G843" s="3" cm="1">
        <f t="array" ref="G843">_xlfn.XLOOKUP(C843 &amp; F843,
         [1]unilever_price_limits!A:A &amp; [1]unilever_price_limits!B:B,
         [1]unilever_price_limits!C:C)</f>
        <v>25</v>
      </c>
      <c r="H843" s="8">
        <f t="shared" si="53"/>
        <v>8.6374999999999993</v>
      </c>
      <c r="I843" s="6">
        <f t="shared" si="54"/>
        <v>24.999999999999979</v>
      </c>
      <c r="J843" t="str">
        <f t="shared" si="55"/>
        <v>OK</v>
      </c>
    </row>
    <row r="844" spans="1:10" x14ac:dyDescent="0.2">
      <c r="A844">
        <v>10843</v>
      </c>
      <c r="B844" t="s">
        <v>8</v>
      </c>
      <c r="C844" t="s">
        <v>6</v>
      </c>
      <c r="D844" s="8">
        <v>5.53</v>
      </c>
      <c r="E844">
        <v>6</v>
      </c>
      <c r="F844" t="str">
        <f t="shared" si="52"/>
        <v>Standard</v>
      </c>
      <c r="G844" s="3" cm="1">
        <f t="array" ref="G844">_xlfn.XLOOKUP(C844 &amp; F844,
         [1]unilever_price_limits!A:A &amp; [1]unilever_price_limits!B:B,
         [1]unilever_price_limits!C:C)</f>
        <v>28</v>
      </c>
      <c r="H844" s="8">
        <f t="shared" si="53"/>
        <v>7.0784000000000002</v>
      </c>
      <c r="I844" s="6">
        <f t="shared" si="54"/>
        <v>28.000000000000004</v>
      </c>
      <c r="J844" t="str">
        <f t="shared" si="55"/>
        <v>OK</v>
      </c>
    </row>
    <row r="845" spans="1:10" x14ac:dyDescent="0.2">
      <c r="A845">
        <v>10844</v>
      </c>
      <c r="B845" t="s">
        <v>5</v>
      </c>
      <c r="C845" t="s">
        <v>6</v>
      </c>
      <c r="D845" s="8">
        <v>11.32</v>
      </c>
      <c r="E845">
        <v>6</v>
      </c>
      <c r="F845" t="str">
        <f t="shared" si="52"/>
        <v>Standard</v>
      </c>
      <c r="G845" s="3" cm="1">
        <f t="array" ref="G845">_xlfn.XLOOKUP(C845 &amp; F845,
         [1]unilever_price_limits!A:A &amp; [1]unilever_price_limits!B:B,
         [1]unilever_price_limits!C:C)</f>
        <v>28</v>
      </c>
      <c r="H845" s="8">
        <f t="shared" si="53"/>
        <v>14.489600000000001</v>
      </c>
      <c r="I845" s="6">
        <f t="shared" si="54"/>
        <v>28.000000000000004</v>
      </c>
      <c r="J845" t="str">
        <f t="shared" si="55"/>
        <v>OK</v>
      </c>
    </row>
    <row r="846" spans="1:10" x14ac:dyDescent="0.2">
      <c r="A846">
        <v>10845</v>
      </c>
      <c r="B846" t="s">
        <v>8</v>
      </c>
      <c r="C846" t="s">
        <v>6</v>
      </c>
      <c r="D846" s="8">
        <v>13.46</v>
      </c>
      <c r="E846">
        <v>10</v>
      </c>
      <c r="F846" t="str">
        <f t="shared" si="52"/>
        <v>Premium</v>
      </c>
      <c r="G846" s="3" cm="1">
        <f t="array" ref="G846">_xlfn.XLOOKUP(C846 &amp; F846,
         [1]unilever_price_limits!A:A &amp; [1]unilever_price_limits!B:B,
         [1]unilever_price_limits!C:C)</f>
        <v>55</v>
      </c>
      <c r="H846" s="8">
        <f t="shared" si="53"/>
        <v>20.863000000000003</v>
      </c>
      <c r="I846" s="6">
        <f t="shared" si="54"/>
        <v>55.000000000000007</v>
      </c>
      <c r="J846" t="str">
        <f t="shared" si="55"/>
        <v>OK</v>
      </c>
    </row>
    <row r="847" spans="1:10" x14ac:dyDescent="0.2">
      <c r="A847">
        <v>10846</v>
      </c>
      <c r="B847" t="s">
        <v>8</v>
      </c>
      <c r="C847" t="s">
        <v>11</v>
      </c>
      <c r="D847" s="8">
        <v>11.47</v>
      </c>
      <c r="E847">
        <v>6</v>
      </c>
      <c r="F847" t="str">
        <f t="shared" si="52"/>
        <v>Standard</v>
      </c>
      <c r="G847" s="3" cm="1">
        <f t="array" ref="G847">_xlfn.XLOOKUP(C847 &amp; F847,
         [1]unilever_price_limits!A:A &amp; [1]unilever_price_limits!B:B,
         [1]unilever_price_limits!C:C)</f>
        <v>25</v>
      </c>
      <c r="H847" s="8">
        <f t="shared" si="53"/>
        <v>14.3375</v>
      </c>
      <c r="I847" s="6">
        <f t="shared" si="54"/>
        <v>25</v>
      </c>
      <c r="J847" t="str">
        <f t="shared" si="55"/>
        <v>OK</v>
      </c>
    </row>
    <row r="848" spans="1:10" x14ac:dyDescent="0.2">
      <c r="A848">
        <v>10847</v>
      </c>
      <c r="B848" t="s">
        <v>10</v>
      </c>
      <c r="C848" t="s">
        <v>11</v>
      </c>
      <c r="D848" s="8">
        <v>5.31</v>
      </c>
      <c r="E848">
        <v>1</v>
      </c>
      <c r="F848" t="str">
        <f t="shared" si="52"/>
        <v>Value</v>
      </c>
      <c r="G848" s="3" cm="1">
        <f t="array" ref="G848">_xlfn.XLOOKUP(C848 &amp; F848,
         [1]unilever_price_limits!A:A &amp; [1]unilever_price_limits!B:B,
         [1]unilever_price_limits!C:C)</f>
        <v>10</v>
      </c>
      <c r="H848" s="8">
        <f t="shared" si="53"/>
        <v>5.8410000000000002</v>
      </c>
      <c r="I848" s="6">
        <f t="shared" si="54"/>
        <v>10.000000000000009</v>
      </c>
      <c r="J848" t="str">
        <f t="shared" si="55"/>
        <v>OK</v>
      </c>
    </row>
    <row r="849" spans="1:10" x14ac:dyDescent="0.2">
      <c r="A849">
        <v>10848</v>
      </c>
      <c r="B849" t="s">
        <v>10</v>
      </c>
      <c r="C849" t="s">
        <v>9</v>
      </c>
      <c r="D849" s="8">
        <v>11.29</v>
      </c>
      <c r="E849">
        <v>10</v>
      </c>
      <c r="F849" t="str">
        <f t="shared" si="52"/>
        <v>Premium</v>
      </c>
      <c r="G849" s="3" cm="1">
        <f t="array" ref="G849">_xlfn.XLOOKUP(C849 &amp; F849,
         [1]unilever_price_limits!A:A &amp; [1]unilever_price_limits!B:B,
         [1]unilever_price_limits!C:C)</f>
        <v>60</v>
      </c>
      <c r="H849" s="8">
        <f t="shared" si="53"/>
        <v>18.064</v>
      </c>
      <c r="I849" s="6">
        <f t="shared" si="54"/>
        <v>60.000000000000007</v>
      </c>
      <c r="J849" t="str">
        <f t="shared" si="55"/>
        <v>OK</v>
      </c>
    </row>
    <row r="850" spans="1:10" x14ac:dyDescent="0.2">
      <c r="A850">
        <v>10849</v>
      </c>
      <c r="B850" t="s">
        <v>5</v>
      </c>
      <c r="C850" t="s">
        <v>11</v>
      </c>
      <c r="D850" s="8">
        <v>2.7</v>
      </c>
      <c r="E850">
        <v>9</v>
      </c>
      <c r="F850" t="str">
        <f t="shared" si="52"/>
        <v>Premium</v>
      </c>
      <c r="G850" s="3" cm="1">
        <f t="array" ref="G850">_xlfn.XLOOKUP(C850 &amp; F850,
         [1]unilever_price_limits!A:A &amp; [1]unilever_price_limits!B:B,
         [1]unilever_price_limits!C:C)</f>
        <v>50</v>
      </c>
      <c r="H850" s="8">
        <f t="shared" si="53"/>
        <v>4.0500000000000007</v>
      </c>
      <c r="I850" s="6">
        <f t="shared" si="54"/>
        <v>50.000000000000021</v>
      </c>
      <c r="J850" t="str">
        <f t="shared" si="55"/>
        <v>OK</v>
      </c>
    </row>
    <row r="851" spans="1:10" x14ac:dyDescent="0.2">
      <c r="A851">
        <v>10850</v>
      </c>
      <c r="B851" t="s">
        <v>10</v>
      </c>
      <c r="C851" t="s">
        <v>11</v>
      </c>
      <c r="D851" s="8">
        <v>2.39</v>
      </c>
      <c r="E851">
        <v>7</v>
      </c>
      <c r="F851" t="str">
        <f t="shared" si="52"/>
        <v>Standard</v>
      </c>
      <c r="G851" s="3" cm="1">
        <f t="array" ref="G851">_xlfn.XLOOKUP(C851 &amp; F851,
         [1]unilever_price_limits!A:A &amp; [1]unilever_price_limits!B:B,
         [1]unilever_price_limits!C:C)</f>
        <v>25</v>
      </c>
      <c r="H851" s="8">
        <f t="shared" si="53"/>
        <v>2.9875000000000003</v>
      </c>
      <c r="I851" s="6">
        <f t="shared" si="54"/>
        <v>25</v>
      </c>
      <c r="J851" t="str">
        <f t="shared" si="55"/>
        <v>OK</v>
      </c>
    </row>
    <row r="852" spans="1:10" x14ac:dyDescent="0.2">
      <c r="A852">
        <v>10851</v>
      </c>
      <c r="B852" t="s">
        <v>5</v>
      </c>
      <c r="C852" t="s">
        <v>6</v>
      </c>
      <c r="D852" s="8">
        <v>5.51</v>
      </c>
      <c r="E852">
        <v>7</v>
      </c>
      <c r="F852" t="str">
        <f t="shared" si="52"/>
        <v>Standard</v>
      </c>
      <c r="G852" s="3" cm="1">
        <f t="array" ref="G852">_xlfn.XLOOKUP(C852 &amp; F852,
         [1]unilever_price_limits!A:A &amp; [1]unilever_price_limits!B:B,
         [1]unilever_price_limits!C:C)</f>
        <v>28</v>
      </c>
      <c r="H852" s="8">
        <f t="shared" si="53"/>
        <v>7.0527999999999995</v>
      </c>
      <c r="I852" s="6">
        <f t="shared" si="54"/>
        <v>28.000000000000004</v>
      </c>
      <c r="J852" t="str">
        <f t="shared" si="55"/>
        <v>OK</v>
      </c>
    </row>
    <row r="853" spans="1:10" x14ac:dyDescent="0.2">
      <c r="A853">
        <v>10852</v>
      </c>
      <c r="B853" t="s">
        <v>10</v>
      </c>
      <c r="C853" t="s">
        <v>11</v>
      </c>
      <c r="D853" s="8">
        <v>12.21</v>
      </c>
      <c r="E853">
        <v>7</v>
      </c>
      <c r="F853" t="str">
        <f t="shared" si="52"/>
        <v>Standard</v>
      </c>
      <c r="G853" s="3" cm="1">
        <f t="array" ref="G853">_xlfn.XLOOKUP(C853 &amp; F853,
         [1]unilever_price_limits!A:A &amp; [1]unilever_price_limits!B:B,
         [1]unilever_price_limits!C:C)</f>
        <v>25</v>
      </c>
      <c r="H853" s="8">
        <f t="shared" si="53"/>
        <v>15.262500000000001</v>
      </c>
      <c r="I853" s="6">
        <f t="shared" si="54"/>
        <v>25</v>
      </c>
      <c r="J853" t="str">
        <f t="shared" si="55"/>
        <v>OK</v>
      </c>
    </row>
    <row r="854" spans="1:10" x14ac:dyDescent="0.2">
      <c r="A854">
        <v>10853</v>
      </c>
      <c r="B854" t="s">
        <v>8</v>
      </c>
      <c r="C854" t="s">
        <v>6</v>
      </c>
      <c r="D854" s="8">
        <v>4.07</v>
      </c>
      <c r="E854">
        <v>2</v>
      </c>
      <c r="F854" t="str">
        <f t="shared" si="52"/>
        <v>Value</v>
      </c>
      <c r="G854" s="3" cm="1">
        <f t="array" ref="G854">_xlfn.XLOOKUP(C854 &amp; F854,
         [1]unilever_price_limits!A:A &amp; [1]unilever_price_limits!B:B,
         [1]unilever_price_limits!C:C)</f>
        <v>12</v>
      </c>
      <c r="H854" s="8">
        <f t="shared" si="53"/>
        <v>4.5584000000000007</v>
      </c>
      <c r="I854" s="6">
        <f t="shared" si="54"/>
        <v>12.000000000000011</v>
      </c>
      <c r="J854" t="str">
        <f t="shared" si="55"/>
        <v>OK</v>
      </c>
    </row>
    <row r="855" spans="1:10" x14ac:dyDescent="0.2">
      <c r="A855">
        <v>10854</v>
      </c>
      <c r="B855" t="s">
        <v>5</v>
      </c>
      <c r="C855" t="s">
        <v>6</v>
      </c>
      <c r="D855" s="8">
        <v>1.42</v>
      </c>
      <c r="E855">
        <v>2</v>
      </c>
      <c r="F855" t="str">
        <f t="shared" si="52"/>
        <v>Value</v>
      </c>
      <c r="G855" s="3" cm="1">
        <f t="array" ref="G855">_xlfn.XLOOKUP(C855 &amp; F855,
         [1]unilever_price_limits!A:A &amp; [1]unilever_price_limits!B:B,
         [1]unilever_price_limits!C:C)</f>
        <v>12</v>
      </c>
      <c r="H855" s="8">
        <f t="shared" si="53"/>
        <v>1.5904</v>
      </c>
      <c r="I855" s="6">
        <f t="shared" si="54"/>
        <v>12.000000000000011</v>
      </c>
      <c r="J855" t="str">
        <f t="shared" si="55"/>
        <v>OK</v>
      </c>
    </row>
    <row r="856" spans="1:10" x14ac:dyDescent="0.2">
      <c r="A856">
        <v>10855</v>
      </c>
      <c r="B856" t="s">
        <v>5</v>
      </c>
      <c r="C856" t="s">
        <v>11</v>
      </c>
      <c r="D856" s="8">
        <v>2.41</v>
      </c>
      <c r="E856">
        <v>6</v>
      </c>
      <c r="F856" t="str">
        <f t="shared" si="52"/>
        <v>Standard</v>
      </c>
      <c r="G856" s="3" cm="1">
        <f t="array" ref="G856">_xlfn.XLOOKUP(C856 &amp; F856,
         [1]unilever_price_limits!A:A &amp; [1]unilever_price_limits!B:B,
         [1]unilever_price_limits!C:C)</f>
        <v>25</v>
      </c>
      <c r="H856" s="8">
        <f t="shared" si="53"/>
        <v>3.0125000000000002</v>
      </c>
      <c r="I856" s="6">
        <f t="shared" si="54"/>
        <v>25</v>
      </c>
      <c r="J856" t="str">
        <f t="shared" si="55"/>
        <v>OK</v>
      </c>
    </row>
    <row r="857" spans="1:10" x14ac:dyDescent="0.2">
      <c r="A857">
        <v>10856</v>
      </c>
      <c r="B857" t="s">
        <v>8</v>
      </c>
      <c r="C857" t="s">
        <v>9</v>
      </c>
      <c r="D857" s="8">
        <v>12.95</v>
      </c>
      <c r="E857">
        <v>7</v>
      </c>
      <c r="F857" t="str">
        <f t="shared" si="52"/>
        <v>Standard</v>
      </c>
      <c r="G857" s="3" cm="1">
        <f t="array" ref="G857">_xlfn.XLOOKUP(C857 &amp; F857,
         [1]unilever_price_limits!A:A &amp; [1]unilever_price_limits!B:B,
         [1]unilever_price_limits!C:C)</f>
        <v>30</v>
      </c>
      <c r="H857" s="8">
        <f t="shared" si="53"/>
        <v>16.835000000000001</v>
      </c>
      <c r="I857" s="6">
        <f t="shared" si="54"/>
        <v>30.000000000000004</v>
      </c>
      <c r="J857" t="str">
        <f t="shared" si="55"/>
        <v>OK</v>
      </c>
    </row>
    <row r="858" spans="1:10" x14ac:dyDescent="0.2">
      <c r="A858">
        <v>10857</v>
      </c>
      <c r="B858" t="s">
        <v>5</v>
      </c>
      <c r="C858" t="s">
        <v>9</v>
      </c>
      <c r="D858" s="8">
        <v>9.69</v>
      </c>
      <c r="E858">
        <v>3</v>
      </c>
      <c r="F858" t="str">
        <f t="shared" si="52"/>
        <v>Value</v>
      </c>
      <c r="G858" s="3" cm="1">
        <f t="array" ref="G858">_xlfn.XLOOKUP(C858 &amp; F858,
         [1]unilever_price_limits!A:A &amp; [1]unilever_price_limits!B:B,
         [1]unilever_price_limits!C:C)</f>
        <v>15</v>
      </c>
      <c r="H858" s="8">
        <f t="shared" si="53"/>
        <v>11.143499999999998</v>
      </c>
      <c r="I858" s="6">
        <f t="shared" si="54"/>
        <v>14.999999999999991</v>
      </c>
      <c r="J858" t="str">
        <f t="shared" si="55"/>
        <v>OK</v>
      </c>
    </row>
    <row r="859" spans="1:10" x14ac:dyDescent="0.2">
      <c r="A859">
        <v>10858</v>
      </c>
      <c r="B859" t="s">
        <v>5</v>
      </c>
      <c r="C859" t="s">
        <v>11</v>
      </c>
      <c r="D859" s="8">
        <v>4.17</v>
      </c>
      <c r="E859">
        <v>4</v>
      </c>
      <c r="F859" t="str">
        <f t="shared" si="52"/>
        <v>Standard</v>
      </c>
      <c r="G859" s="3" cm="1">
        <f t="array" ref="G859">_xlfn.XLOOKUP(C859 &amp; F859,
         [1]unilever_price_limits!A:A &amp; [1]unilever_price_limits!B:B,
         [1]unilever_price_limits!C:C)</f>
        <v>25</v>
      </c>
      <c r="H859" s="8">
        <f t="shared" si="53"/>
        <v>5.2125000000000004</v>
      </c>
      <c r="I859" s="6">
        <f t="shared" si="54"/>
        <v>25</v>
      </c>
      <c r="J859" t="str">
        <f t="shared" si="55"/>
        <v>OK</v>
      </c>
    </row>
    <row r="860" spans="1:10" x14ac:dyDescent="0.2">
      <c r="A860">
        <v>10859</v>
      </c>
      <c r="B860" t="s">
        <v>10</v>
      </c>
      <c r="C860" t="s">
        <v>9</v>
      </c>
      <c r="D860" s="8">
        <v>8.5500000000000007</v>
      </c>
      <c r="E860">
        <v>3</v>
      </c>
      <c r="F860" t="str">
        <f t="shared" si="52"/>
        <v>Value</v>
      </c>
      <c r="G860" s="3" cm="1">
        <f t="array" ref="G860">_xlfn.XLOOKUP(C860 &amp; F860,
         [1]unilever_price_limits!A:A &amp; [1]unilever_price_limits!B:B,
         [1]unilever_price_limits!C:C)</f>
        <v>15</v>
      </c>
      <c r="H860" s="8">
        <f t="shared" si="53"/>
        <v>9.8324999999999996</v>
      </c>
      <c r="I860" s="6">
        <f t="shared" si="54"/>
        <v>14.999999999999991</v>
      </c>
      <c r="J860" t="str">
        <f t="shared" si="55"/>
        <v>OK</v>
      </c>
    </row>
    <row r="861" spans="1:10" x14ac:dyDescent="0.2">
      <c r="A861">
        <v>10860</v>
      </c>
      <c r="B861" t="s">
        <v>5</v>
      </c>
      <c r="C861" t="s">
        <v>6</v>
      </c>
      <c r="D861" s="8">
        <v>8.15</v>
      </c>
      <c r="E861">
        <v>7</v>
      </c>
      <c r="F861" t="str">
        <f t="shared" si="52"/>
        <v>Standard</v>
      </c>
      <c r="G861" s="3" cm="1">
        <f t="array" ref="G861">_xlfn.XLOOKUP(C861 &amp; F861,
         [1]unilever_price_limits!A:A &amp; [1]unilever_price_limits!B:B,
         [1]unilever_price_limits!C:C)</f>
        <v>28</v>
      </c>
      <c r="H861" s="8">
        <f t="shared" si="53"/>
        <v>10.432</v>
      </c>
      <c r="I861" s="6">
        <f t="shared" si="54"/>
        <v>28.000000000000004</v>
      </c>
      <c r="J861" t="str">
        <f t="shared" si="55"/>
        <v>OK</v>
      </c>
    </row>
    <row r="862" spans="1:10" x14ac:dyDescent="0.2">
      <c r="A862">
        <v>10861</v>
      </c>
      <c r="B862" t="s">
        <v>7</v>
      </c>
      <c r="C862" t="s">
        <v>6</v>
      </c>
      <c r="D862" s="8">
        <v>10</v>
      </c>
      <c r="E862">
        <v>7</v>
      </c>
      <c r="F862" t="str">
        <f t="shared" si="52"/>
        <v>Standard</v>
      </c>
      <c r="G862" s="3" cm="1">
        <f t="array" ref="G862">_xlfn.XLOOKUP(C862 &amp; F862,
         [1]unilever_price_limits!A:A &amp; [1]unilever_price_limits!B:B,
         [1]unilever_price_limits!C:C)</f>
        <v>28</v>
      </c>
      <c r="H862" s="8">
        <f t="shared" si="53"/>
        <v>12.8</v>
      </c>
      <c r="I862" s="6">
        <f t="shared" si="54"/>
        <v>28.000000000000004</v>
      </c>
      <c r="J862" t="str">
        <f t="shared" si="55"/>
        <v>OK</v>
      </c>
    </row>
    <row r="863" spans="1:10" x14ac:dyDescent="0.2">
      <c r="A863">
        <v>10862</v>
      </c>
      <c r="B863" t="s">
        <v>8</v>
      </c>
      <c r="C863" t="s">
        <v>11</v>
      </c>
      <c r="D863" s="8">
        <v>3.88</v>
      </c>
      <c r="E863">
        <v>4</v>
      </c>
      <c r="F863" t="str">
        <f t="shared" si="52"/>
        <v>Standard</v>
      </c>
      <c r="G863" s="3" cm="1">
        <f t="array" ref="G863">_xlfn.XLOOKUP(C863 &amp; F863,
         [1]unilever_price_limits!A:A &amp; [1]unilever_price_limits!B:B,
         [1]unilever_price_limits!C:C)</f>
        <v>25</v>
      </c>
      <c r="H863" s="8">
        <f t="shared" si="53"/>
        <v>4.8499999999999996</v>
      </c>
      <c r="I863" s="6">
        <f t="shared" si="54"/>
        <v>25</v>
      </c>
      <c r="J863" t="str">
        <f t="shared" si="55"/>
        <v>OK</v>
      </c>
    </row>
    <row r="864" spans="1:10" x14ac:dyDescent="0.2">
      <c r="A864">
        <v>10863</v>
      </c>
      <c r="B864" t="s">
        <v>10</v>
      </c>
      <c r="C864" t="s">
        <v>9</v>
      </c>
      <c r="D864" s="8">
        <v>13.03</v>
      </c>
      <c r="E864">
        <v>7</v>
      </c>
      <c r="F864" t="str">
        <f t="shared" si="52"/>
        <v>Standard</v>
      </c>
      <c r="G864" s="3" cm="1">
        <f t="array" ref="G864">_xlfn.XLOOKUP(C864 &amp; F864,
         [1]unilever_price_limits!A:A &amp; [1]unilever_price_limits!B:B,
         [1]unilever_price_limits!C:C)</f>
        <v>30</v>
      </c>
      <c r="H864" s="8">
        <f t="shared" si="53"/>
        <v>16.939</v>
      </c>
      <c r="I864" s="6">
        <f t="shared" si="54"/>
        <v>30.000000000000004</v>
      </c>
      <c r="J864" t="str">
        <f t="shared" si="55"/>
        <v>OK</v>
      </c>
    </row>
    <row r="865" spans="1:10" x14ac:dyDescent="0.2">
      <c r="A865">
        <v>10864</v>
      </c>
      <c r="B865" t="s">
        <v>10</v>
      </c>
      <c r="C865" t="s">
        <v>9</v>
      </c>
      <c r="D865" s="8">
        <v>4.99</v>
      </c>
      <c r="E865">
        <v>5</v>
      </c>
      <c r="F865" t="str">
        <f t="shared" si="52"/>
        <v>Standard</v>
      </c>
      <c r="G865" s="3" cm="1">
        <f t="array" ref="G865">_xlfn.XLOOKUP(C865 &amp; F865,
         [1]unilever_price_limits!A:A &amp; [1]unilever_price_limits!B:B,
         [1]unilever_price_limits!C:C)</f>
        <v>30</v>
      </c>
      <c r="H865" s="8">
        <f t="shared" si="53"/>
        <v>6.4870000000000001</v>
      </c>
      <c r="I865" s="6">
        <f t="shared" si="54"/>
        <v>30.000000000000004</v>
      </c>
      <c r="J865" t="str">
        <f t="shared" si="55"/>
        <v>OK</v>
      </c>
    </row>
    <row r="866" spans="1:10" x14ac:dyDescent="0.2">
      <c r="A866">
        <v>10865</v>
      </c>
      <c r="B866" t="s">
        <v>7</v>
      </c>
      <c r="C866" t="s">
        <v>6</v>
      </c>
      <c r="D866" s="8">
        <v>10.56</v>
      </c>
      <c r="E866">
        <v>1</v>
      </c>
      <c r="F866" t="str">
        <f t="shared" si="52"/>
        <v>Value</v>
      </c>
      <c r="G866" s="3" cm="1">
        <f t="array" ref="G866">_xlfn.XLOOKUP(C866 &amp; F866,
         [1]unilever_price_limits!A:A &amp; [1]unilever_price_limits!B:B,
         [1]unilever_price_limits!C:C)</f>
        <v>12</v>
      </c>
      <c r="H866" s="8">
        <f t="shared" si="53"/>
        <v>11.827200000000001</v>
      </c>
      <c r="I866" s="6">
        <f t="shared" si="54"/>
        <v>12.000000000000011</v>
      </c>
      <c r="J866" t="str">
        <f t="shared" si="55"/>
        <v>OK</v>
      </c>
    </row>
    <row r="867" spans="1:10" x14ac:dyDescent="0.2">
      <c r="A867">
        <v>10866</v>
      </c>
      <c r="B867" t="s">
        <v>8</v>
      </c>
      <c r="C867" t="s">
        <v>11</v>
      </c>
      <c r="D867" s="8">
        <v>0.73</v>
      </c>
      <c r="E867">
        <v>10</v>
      </c>
      <c r="F867" t="str">
        <f t="shared" si="52"/>
        <v>Premium</v>
      </c>
      <c r="G867" s="3" cm="1">
        <f t="array" ref="G867">_xlfn.XLOOKUP(C867 &amp; F867,
         [1]unilever_price_limits!A:A &amp; [1]unilever_price_limits!B:B,
         [1]unilever_price_limits!C:C)</f>
        <v>50</v>
      </c>
      <c r="H867" s="8">
        <f t="shared" si="53"/>
        <v>1.095</v>
      </c>
      <c r="I867" s="6">
        <f t="shared" si="54"/>
        <v>50</v>
      </c>
      <c r="J867" t="str">
        <f t="shared" si="55"/>
        <v>OK</v>
      </c>
    </row>
    <row r="868" spans="1:10" x14ac:dyDescent="0.2">
      <c r="A868">
        <v>10867</v>
      </c>
      <c r="B868" t="s">
        <v>8</v>
      </c>
      <c r="C868" t="s">
        <v>9</v>
      </c>
      <c r="D868" s="8">
        <v>5.9</v>
      </c>
      <c r="E868">
        <v>4</v>
      </c>
      <c r="F868" t="str">
        <f t="shared" si="52"/>
        <v>Standard</v>
      </c>
      <c r="G868" s="3" cm="1">
        <f t="array" ref="G868">_xlfn.XLOOKUP(C868 &amp; F868,
         [1]unilever_price_limits!A:A &amp; [1]unilever_price_limits!B:B,
         [1]unilever_price_limits!C:C)</f>
        <v>30</v>
      </c>
      <c r="H868" s="8">
        <f t="shared" si="53"/>
        <v>7.6700000000000008</v>
      </c>
      <c r="I868" s="6">
        <f t="shared" si="54"/>
        <v>30.000000000000004</v>
      </c>
      <c r="J868" t="str">
        <f t="shared" si="55"/>
        <v>OK</v>
      </c>
    </row>
    <row r="869" spans="1:10" x14ac:dyDescent="0.2">
      <c r="A869">
        <v>10868</v>
      </c>
      <c r="B869" t="s">
        <v>10</v>
      </c>
      <c r="C869" t="s">
        <v>11</v>
      </c>
      <c r="D869" s="8">
        <v>5.6</v>
      </c>
      <c r="E869">
        <v>7</v>
      </c>
      <c r="F869" t="str">
        <f t="shared" si="52"/>
        <v>Standard</v>
      </c>
      <c r="G869" s="3" cm="1">
        <f t="array" ref="G869">_xlfn.XLOOKUP(C869 &amp; F869,
         [1]unilever_price_limits!A:A &amp; [1]unilever_price_limits!B:B,
         [1]unilever_price_limits!C:C)</f>
        <v>25</v>
      </c>
      <c r="H869" s="8">
        <f t="shared" si="53"/>
        <v>7</v>
      </c>
      <c r="I869" s="6">
        <f t="shared" si="54"/>
        <v>25</v>
      </c>
      <c r="J869" t="str">
        <f t="shared" si="55"/>
        <v>OK</v>
      </c>
    </row>
    <row r="870" spans="1:10" x14ac:dyDescent="0.2">
      <c r="A870">
        <v>10869</v>
      </c>
      <c r="B870" t="s">
        <v>5</v>
      </c>
      <c r="C870" t="s">
        <v>9</v>
      </c>
      <c r="D870" s="8">
        <v>8.3800000000000008</v>
      </c>
      <c r="E870">
        <v>2</v>
      </c>
      <c r="F870" t="str">
        <f t="shared" si="52"/>
        <v>Value</v>
      </c>
      <c r="G870" s="3" cm="1">
        <f t="array" ref="G870">_xlfn.XLOOKUP(C870 &amp; F870,
         [1]unilever_price_limits!A:A &amp; [1]unilever_price_limits!B:B,
         [1]unilever_price_limits!C:C)</f>
        <v>15</v>
      </c>
      <c r="H870" s="8">
        <f t="shared" si="53"/>
        <v>9.6370000000000005</v>
      </c>
      <c r="I870" s="6">
        <f t="shared" si="54"/>
        <v>14.999999999999991</v>
      </c>
      <c r="J870" t="str">
        <f t="shared" si="55"/>
        <v>OK</v>
      </c>
    </row>
    <row r="871" spans="1:10" x14ac:dyDescent="0.2">
      <c r="A871">
        <v>10870</v>
      </c>
      <c r="B871" t="s">
        <v>10</v>
      </c>
      <c r="C871" t="s">
        <v>6</v>
      </c>
      <c r="D871" s="8">
        <v>1.55</v>
      </c>
      <c r="E871">
        <v>2</v>
      </c>
      <c r="F871" t="str">
        <f t="shared" si="52"/>
        <v>Value</v>
      </c>
      <c r="G871" s="3" cm="1">
        <f t="array" ref="G871">_xlfn.XLOOKUP(C871 &amp; F871,
         [1]unilever_price_limits!A:A &amp; [1]unilever_price_limits!B:B,
         [1]unilever_price_limits!C:C)</f>
        <v>12</v>
      </c>
      <c r="H871" s="8">
        <f t="shared" si="53"/>
        <v>1.7360000000000002</v>
      </c>
      <c r="I871" s="6">
        <f t="shared" si="54"/>
        <v>12.000000000000011</v>
      </c>
      <c r="J871" t="str">
        <f t="shared" si="55"/>
        <v>OK</v>
      </c>
    </row>
    <row r="872" spans="1:10" x14ac:dyDescent="0.2">
      <c r="A872">
        <v>10871</v>
      </c>
      <c r="B872" t="s">
        <v>8</v>
      </c>
      <c r="C872" t="s">
        <v>6</v>
      </c>
      <c r="D872" s="8">
        <v>11.96</v>
      </c>
      <c r="E872">
        <v>1</v>
      </c>
      <c r="F872" t="str">
        <f t="shared" si="52"/>
        <v>Value</v>
      </c>
      <c r="G872" s="3" cm="1">
        <f t="array" ref="G872">_xlfn.XLOOKUP(C872 &amp; F872,
         [1]unilever_price_limits!A:A &amp; [1]unilever_price_limits!B:B,
         [1]unilever_price_limits!C:C)</f>
        <v>12</v>
      </c>
      <c r="H872" s="8">
        <f t="shared" si="53"/>
        <v>13.395200000000003</v>
      </c>
      <c r="I872" s="6">
        <f t="shared" si="54"/>
        <v>12.000000000000011</v>
      </c>
      <c r="J872" t="str">
        <f t="shared" si="55"/>
        <v>OK</v>
      </c>
    </row>
    <row r="873" spans="1:10" x14ac:dyDescent="0.2">
      <c r="A873">
        <v>10872</v>
      </c>
      <c r="B873" t="s">
        <v>7</v>
      </c>
      <c r="C873" t="s">
        <v>11</v>
      </c>
      <c r="D873" s="8">
        <v>3.66</v>
      </c>
      <c r="E873">
        <v>2</v>
      </c>
      <c r="F873" t="str">
        <f t="shared" si="52"/>
        <v>Value</v>
      </c>
      <c r="G873" s="3" cm="1">
        <f t="array" ref="G873">_xlfn.XLOOKUP(C873 &amp; F873,
         [1]unilever_price_limits!A:A &amp; [1]unilever_price_limits!B:B,
         [1]unilever_price_limits!C:C)</f>
        <v>10</v>
      </c>
      <c r="H873" s="8">
        <f t="shared" si="53"/>
        <v>4.0260000000000007</v>
      </c>
      <c r="I873" s="6">
        <f t="shared" si="54"/>
        <v>10.000000000000009</v>
      </c>
      <c r="J873" t="str">
        <f t="shared" si="55"/>
        <v>OK</v>
      </c>
    </row>
    <row r="874" spans="1:10" x14ac:dyDescent="0.2">
      <c r="A874">
        <v>10873</v>
      </c>
      <c r="B874" t="s">
        <v>10</v>
      </c>
      <c r="C874" t="s">
        <v>6</v>
      </c>
      <c r="D874" s="8">
        <v>10.32</v>
      </c>
      <c r="E874">
        <v>10</v>
      </c>
      <c r="F874" t="str">
        <f t="shared" si="52"/>
        <v>Premium</v>
      </c>
      <c r="G874" s="3" cm="1">
        <f t="array" ref="G874">_xlfn.XLOOKUP(C874 &amp; F874,
         [1]unilever_price_limits!A:A &amp; [1]unilever_price_limits!B:B,
         [1]unilever_price_limits!C:C)</f>
        <v>55</v>
      </c>
      <c r="H874" s="8">
        <f t="shared" si="53"/>
        <v>15.996</v>
      </c>
      <c r="I874" s="6">
        <f t="shared" si="54"/>
        <v>55.000000000000007</v>
      </c>
      <c r="J874" t="str">
        <f t="shared" si="55"/>
        <v>OK</v>
      </c>
    </row>
    <row r="875" spans="1:10" x14ac:dyDescent="0.2">
      <c r="A875">
        <v>10874</v>
      </c>
      <c r="B875" t="s">
        <v>8</v>
      </c>
      <c r="C875" t="s">
        <v>9</v>
      </c>
      <c r="D875" s="8">
        <v>12.15</v>
      </c>
      <c r="E875">
        <v>8</v>
      </c>
      <c r="F875" t="str">
        <f t="shared" si="52"/>
        <v>Premium</v>
      </c>
      <c r="G875" s="3" cm="1">
        <f t="array" ref="G875">_xlfn.XLOOKUP(C875 &amp; F875,
         [1]unilever_price_limits!A:A &amp; [1]unilever_price_limits!B:B,
         [1]unilever_price_limits!C:C)</f>
        <v>60</v>
      </c>
      <c r="H875" s="8">
        <f t="shared" si="53"/>
        <v>19.440000000000001</v>
      </c>
      <c r="I875" s="6">
        <f t="shared" si="54"/>
        <v>60.000000000000007</v>
      </c>
      <c r="J875" t="str">
        <f t="shared" si="55"/>
        <v>OK</v>
      </c>
    </row>
    <row r="876" spans="1:10" x14ac:dyDescent="0.2">
      <c r="A876">
        <v>10875</v>
      </c>
      <c r="B876" t="s">
        <v>10</v>
      </c>
      <c r="C876" t="s">
        <v>6</v>
      </c>
      <c r="D876" s="8">
        <v>8.65</v>
      </c>
      <c r="E876">
        <v>8</v>
      </c>
      <c r="F876" t="str">
        <f t="shared" si="52"/>
        <v>Premium</v>
      </c>
      <c r="G876" s="3" cm="1">
        <f t="array" ref="G876">_xlfn.XLOOKUP(C876 &amp; F876,
         [1]unilever_price_limits!A:A &amp; [1]unilever_price_limits!B:B,
         [1]unilever_price_limits!C:C)</f>
        <v>55</v>
      </c>
      <c r="H876" s="8">
        <f t="shared" si="53"/>
        <v>13.407500000000001</v>
      </c>
      <c r="I876" s="6">
        <f t="shared" si="54"/>
        <v>55.000000000000007</v>
      </c>
      <c r="J876" t="str">
        <f t="shared" si="55"/>
        <v>OK</v>
      </c>
    </row>
    <row r="877" spans="1:10" x14ac:dyDescent="0.2">
      <c r="A877">
        <v>10876</v>
      </c>
      <c r="B877" t="s">
        <v>5</v>
      </c>
      <c r="C877" t="s">
        <v>11</v>
      </c>
      <c r="D877" s="8">
        <v>11.24</v>
      </c>
      <c r="E877">
        <v>8</v>
      </c>
      <c r="F877" t="str">
        <f t="shared" si="52"/>
        <v>Premium</v>
      </c>
      <c r="G877" s="3" cm="1">
        <f t="array" ref="G877">_xlfn.XLOOKUP(C877 &amp; F877,
         [1]unilever_price_limits!A:A &amp; [1]unilever_price_limits!B:B,
         [1]unilever_price_limits!C:C)</f>
        <v>50</v>
      </c>
      <c r="H877" s="8">
        <f t="shared" si="53"/>
        <v>16.86</v>
      </c>
      <c r="I877" s="6">
        <f t="shared" si="54"/>
        <v>50</v>
      </c>
      <c r="J877" t="str">
        <f t="shared" si="55"/>
        <v>OK</v>
      </c>
    </row>
    <row r="878" spans="1:10" x14ac:dyDescent="0.2">
      <c r="A878">
        <v>10877</v>
      </c>
      <c r="B878" t="s">
        <v>10</v>
      </c>
      <c r="C878" t="s">
        <v>11</v>
      </c>
      <c r="D878" s="8">
        <v>10.1</v>
      </c>
      <c r="E878">
        <v>1</v>
      </c>
      <c r="F878" t="str">
        <f t="shared" si="52"/>
        <v>Value</v>
      </c>
      <c r="G878" s="3" cm="1">
        <f t="array" ref="G878">_xlfn.XLOOKUP(C878 &amp; F878,
         [1]unilever_price_limits!A:A &amp; [1]unilever_price_limits!B:B,
         [1]unilever_price_limits!C:C)</f>
        <v>10</v>
      </c>
      <c r="H878" s="8">
        <f t="shared" si="53"/>
        <v>11.110000000000001</v>
      </c>
      <c r="I878" s="6">
        <f t="shared" si="54"/>
        <v>10.000000000000009</v>
      </c>
      <c r="J878" t="str">
        <f t="shared" si="55"/>
        <v>OK</v>
      </c>
    </row>
    <row r="879" spans="1:10" x14ac:dyDescent="0.2">
      <c r="A879">
        <v>10878</v>
      </c>
      <c r="B879" t="s">
        <v>10</v>
      </c>
      <c r="C879" t="s">
        <v>11</v>
      </c>
      <c r="D879" s="8">
        <v>5.66</v>
      </c>
      <c r="E879">
        <v>1</v>
      </c>
      <c r="F879" t="str">
        <f t="shared" si="52"/>
        <v>Value</v>
      </c>
      <c r="G879" s="3" cm="1">
        <f t="array" ref="G879">_xlfn.XLOOKUP(C879 &amp; F879,
         [1]unilever_price_limits!A:A &amp; [1]unilever_price_limits!B:B,
         [1]unilever_price_limits!C:C)</f>
        <v>10</v>
      </c>
      <c r="H879" s="8">
        <f t="shared" si="53"/>
        <v>6.2260000000000009</v>
      </c>
      <c r="I879" s="6">
        <f t="shared" si="54"/>
        <v>10.000000000000009</v>
      </c>
      <c r="J879" t="str">
        <f t="shared" si="55"/>
        <v>OK</v>
      </c>
    </row>
    <row r="880" spans="1:10" x14ac:dyDescent="0.2">
      <c r="A880">
        <v>10879</v>
      </c>
      <c r="B880" t="s">
        <v>8</v>
      </c>
      <c r="C880" t="s">
        <v>9</v>
      </c>
      <c r="D880" s="8">
        <v>12.23</v>
      </c>
      <c r="E880">
        <v>10</v>
      </c>
      <c r="F880" t="str">
        <f t="shared" si="52"/>
        <v>Premium</v>
      </c>
      <c r="G880" s="3" cm="1">
        <f t="array" ref="G880">_xlfn.XLOOKUP(C880 &amp; F880,
         [1]unilever_price_limits!A:A &amp; [1]unilever_price_limits!B:B,
         [1]unilever_price_limits!C:C)</f>
        <v>60</v>
      </c>
      <c r="H880" s="8">
        <f t="shared" si="53"/>
        <v>19.568000000000001</v>
      </c>
      <c r="I880" s="6">
        <f t="shared" si="54"/>
        <v>60.000000000000007</v>
      </c>
      <c r="J880" t="str">
        <f t="shared" si="55"/>
        <v>OK</v>
      </c>
    </row>
    <row r="881" spans="1:10" x14ac:dyDescent="0.2">
      <c r="A881">
        <v>10880</v>
      </c>
      <c r="B881" t="s">
        <v>8</v>
      </c>
      <c r="C881" t="s">
        <v>9</v>
      </c>
      <c r="D881" s="8">
        <v>4.7699999999999996</v>
      </c>
      <c r="E881">
        <v>4</v>
      </c>
      <c r="F881" t="str">
        <f t="shared" si="52"/>
        <v>Standard</v>
      </c>
      <c r="G881" s="3" cm="1">
        <f t="array" ref="G881">_xlfn.XLOOKUP(C881 &amp; F881,
         [1]unilever_price_limits!A:A &amp; [1]unilever_price_limits!B:B,
         [1]unilever_price_limits!C:C)</f>
        <v>30</v>
      </c>
      <c r="H881" s="8">
        <f t="shared" si="53"/>
        <v>6.2009999999999996</v>
      </c>
      <c r="I881" s="6">
        <f t="shared" si="54"/>
        <v>30.000000000000004</v>
      </c>
      <c r="J881" t="str">
        <f t="shared" si="55"/>
        <v>OK</v>
      </c>
    </row>
    <row r="882" spans="1:10" x14ac:dyDescent="0.2">
      <c r="A882">
        <v>10881</v>
      </c>
      <c r="B882" t="s">
        <v>8</v>
      </c>
      <c r="C882" t="s">
        <v>9</v>
      </c>
      <c r="D882" s="8">
        <v>8.7799999999999994</v>
      </c>
      <c r="E882">
        <v>6</v>
      </c>
      <c r="F882" t="str">
        <f t="shared" si="52"/>
        <v>Standard</v>
      </c>
      <c r="G882" s="3" cm="1">
        <f t="array" ref="G882">_xlfn.XLOOKUP(C882 &amp; F882,
         [1]unilever_price_limits!A:A &amp; [1]unilever_price_limits!B:B,
         [1]unilever_price_limits!C:C)</f>
        <v>30</v>
      </c>
      <c r="H882" s="8">
        <f t="shared" si="53"/>
        <v>11.414</v>
      </c>
      <c r="I882" s="6">
        <f t="shared" si="54"/>
        <v>30.000000000000004</v>
      </c>
      <c r="J882" t="str">
        <f t="shared" si="55"/>
        <v>OK</v>
      </c>
    </row>
    <row r="883" spans="1:10" x14ac:dyDescent="0.2">
      <c r="A883">
        <v>10882</v>
      </c>
      <c r="B883" t="s">
        <v>10</v>
      </c>
      <c r="C883" t="s">
        <v>9</v>
      </c>
      <c r="D883" s="8">
        <v>11.31</v>
      </c>
      <c r="E883">
        <v>8</v>
      </c>
      <c r="F883" t="str">
        <f t="shared" si="52"/>
        <v>Premium</v>
      </c>
      <c r="G883" s="3" cm="1">
        <f t="array" ref="G883">_xlfn.XLOOKUP(C883 &amp; F883,
         [1]unilever_price_limits!A:A &amp; [1]unilever_price_limits!B:B,
         [1]unilever_price_limits!C:C)</f>
        <v>60</v>
      </c>
      <c r="H883" s="8">
        <f t="shared" si="53"/>
        <v>18.096</v>
      </c>
      <c r="I883" s="6">
        <f t="shared" si="54"/>
        <v>59.999999999999986</v>
      </c>
      <c r="J883" t="str">
        <f t="shared" si="55"/>
        <v>OK</v>
      </c>
    </row>
    <row r="884" spans="1:10" x14ac:dyDescent="0.2">
      <c r="A884">
        <v>10883</v>
      </c>
      <c r="B884" t="s">
        <v>5</v>
      </c>
      <c r="C884" t="s">
        <v>9</v>
      </c>
      <c r="D884" s="8">
        <v>5.99</v>
      </c>
      <c r="E884">
        <v>2</v>
      </c>
      <c r="F884" t="str">
        <f t="shared" si="52"/>
        <v>Value</v>
      </c>
      <c r="G884" s="3" cm="1">
        <f t="array" ref="G884">_xlfn.XLOOKUP(C884 &amp; F884,
         [1]unilever_price_limits!A:A &amp; [1]unilever_price_limits!B:B,
         [1]unilever_price_limits!C:C)</f>
        <v>15</v>
      </c>
      <c r="H884" s="8">
        <f t="shared" si="53"/>
        <v>6.8884999999999996</v>
      </c>
      <c r="I884" s="6">
        <f t="shared" si="54"/>
        <v>14.999999999999991</v>
      </c>
      <c r="J884" t="str">
        <f t="shared" si="55"/>
        <v>OK</v>
      </c>
    </row>
    <row r="885" spans="1:10" x14ac:dyDescent="0.2">
      <c r="A885">
        <v>10884</v>
      </c>
      <c r="B885" t="s">
        <v>7</v>
      </c>
      <c r="C885" t="s">
        <v>6</v>
      </c>
      <c r="D885" s="8">
        <v>4.8899999999999997</v>
      </c>
      <c r="E885">
        <v>3</v>
      </c>
      <c r="F885" t="str">
        <f t="shared" si="52"/>
        <v>Value</v>
      </c>
      <c r="G885" s="3" cm="1">
        <f t="array" ref="G885">_xlfn.XLOOKUP(C885 &amp; F885,
         [1]unilever_price_limits!A:A &amp; [1]unilever_price_limits!B:B,
         [1]unilever_price_limits!C:C)</f>
        <v>12</v>
      </c>
      <c r="H885" s="8">
        <f t="shared" si="53"/>
        <v>5.4767999999999999</v>
      </c>
      <c r="I885" s="6">
        <f t="shared" si="54"/>
        <v>12.000000000000011</v>
      </c>
      <c r="J885" t="str">
        <f t="shared" si="55"/>
        <v>OK</v>
      </c>
    </row>
    <row r="886" spans="1:10" x14ac:dyDescent="0.2">
      <c r="A886">
        <v>10885</v>
      </c>
      <c r="B886" t="s">
        <v>7</v>
      </c>
      <c r="C886" t="s">
        <v>9</v>
      </c>
      <c r="D886" s="8">
        <v>7.16</v>
      </c>
      <c r="E886">
        <v>6</v>
      </c>
      <c r="F886" t="str">
        <f t="shared" si="52"/>
        <v>Standard</v>
      </c>
      <c r="G886" s="3" cm="1">
        <f t="array" ref="G886">_xlfn.XLOOKUP(C886 &amp; F886,
         [1]unilever_price_limits!A:A &amp; [1]unilever_price_limits!B:B,
         [1]unilever_price_limits!C:C)</f>
        <v>30</v>
      </c>
      <c r="H886" s="8">
        <f t="shared" si="53"/>
        <v>9.3079999999999998</v>
      </c>
      <c r="I886" s="6">
        <f t="shared" si="54"/>
        <v>30.000000000000004</v>
      </c>
      <c r="J886" t="str">
        <f t="shared" si="55"/>
        <v>OK</v>
      </c>
    </row>
    <row r="887" spans="1:10" x14ac:dyDescent="0.2">
      <c r="A887">
        <v>10886</v>
      </c>
      <c r="B887" t="s">
        <v>8</v>
      </c>
      <c r="C887" t="s">
        <v>9</v>
      </c>
      <c r="D887" s="8">
        <v>12.36</v>
      </c>
      <c r="E887">
        <v>10</v>
      </c>
      <c r="F887" t="str">
        <f t="shared" si="52"/>
        <v>Premium</v>
      </c>
      <c r="G887" s="3" cm="1">
        <f t="array" ref="G887">_xlfn.XLOOKUP(C887 &amp; F887,
         [1]unilever_price_limits!A:A &amp; [1]unilever_price_limits!B:B,
         [1]unilever_price_limits!C:C)</f>
        <v>60</v>
      </c>
      <c r="H887" s="8">
        <f t="shared" si="53"/>
        <v>19.776</v>
      </c>
      <c r="I887" s="6">
        <f t="shared" si="54"/>
        <v>60.000000000000007</v>
      </c>
      <c r="J887" t="str">
        <f t="shared" si="55"/>
        <v>OK</v>
      </c>
    </row>
    <row r="888" spans="1:10" x14ac:dyDescent="0.2">
      <c r="A888">
        <v>10887</v>
      </c>
      <c r="B888" t="s">
        <v>8</v>
      </c>
      <c r="C888" t="s">
        <v>6</v>
      </c>
      <c r="D888" s="8">
        <v>13.98</v>
      </c>
      <c r="E888">
        <v>4</v>
      </c>
      <c r="F888" t="str">
        <f t="shared" si="52"/>
        <v>Standard</v>
      </c>
      <c r="G888" s="3" cm="1">
        <f t="array" ref="G888">_xlfn.XLOOKUP(C888 &amp; F888,
         [1]unilever_price_limits!A:A &amp; [1]unilever_price_limits!B:B,
         [1]unilever_price_limits!C:C)</f>
        <v>28</v>
      </c>
      <c r="H888" s="8">
        <f t="shared" si="53"/>
        <v>17.894400000000001</v>
      </c>
      <c r="I888" s="6">
        <f t="shared" si="54"/>
        <v>28.000000000000004</v>
      </c>
      <c r="J888" t="str">
        <f t="shared" si="55"/>
        <v>OK</v>
      </c>
    </row>
    <row r="889" spans="1:10" x14ac:dyDescent="0.2">
      <c r="A889">
        <v>10888</v>
      </c>
      <c r="B889" t="s">
        <v>10</v>
      </c>
      <c r="C889" t="s">
        <v>9</v>
      </c>
      <c r="D889" s="8">
        <v>8.4</v>
      </c>
      <c r="E889">
        <v>2</v>
      </c>
      <c r="F889" t="str">
        <f t="shared" si="52"/>
        <v>Value</v>
      </c>
      <c r="G889" s="3" cm="1">
        <f t="array" ref="G889">_xlfn.XLOOKUP(C889 &amp; F889,
         [1]unilever_price_limits!A:A &amp; [1]unilever_price_limits!B:B,
         [1]unilever_price_limits!C:C)</f>
        <v>15</v>
      </c>
      <c r="H889" s="8">
        <f t="shared" si="53"/>
        <v>9.66</v>
      </c>
      <c r="I889" s="6">
        <f t="shared" si="54"/>
        <v>14.999999999999991</v>
      </c>
      <c r="J889" t="str">
        <f t="shared" si="55"/>
        <v>OK</v>
      </c>
    </row>
    <row r="890" spans="1:10" x14ac:dyDescent="0.2">
      <c r="A890">
        <v>10889</v>
      </c>
      <c r="B890" t="s">
        <v>7</v>
      </c>
      <c r="C890" t="s">
        <v>11</v>
      </c>
      <c r="D890" s="8">
        <v>10.09</v>
      </c>
      <c r="E890">
        <v>7</v>
      </c>
      <c r="F890" t="str">
        <f t="shared" si="52"/>
        <v>Standard</v>
      </c>
      <c r="G890" s="3" cm="1">
        <f t="array" ref="G890">_xlfn.XLOOKUP(C890 &amp; F890,
         [1]unilever_price_limits!A:A &amp; [1]unilever_price_limits!B:B,
         [1]unilever_price_limits!C:C)</f>
        <v>25</v>
      </c>
      <c r="H890" s="8">
        <f t="shared" si="53"/>
        <v>12.612500000000001</v>
      </c>
      <c r="I890" s="6">
        <f t="shared" si="54"/>
        <v>25</v>
      </c>
      <c r="J890" t="str">
        <f t="shared" si="55"/>
        <v>OK</v>
      </c>
    </row>
    <row r="891" spans="1:10" x14ac:dyDescent="0.2">
      <c r="A891">
        <v>10890</v>
      </c>
      <c r="B891" t="s">
        <v>8</v>
      </c>
      <c r="C891" t="s">
        <v>9</v>
      </c>
      <c r="D891" s="8">
        <v>13.6</v>
      </c>
      <c r="E891">
        <v>4</v>
      </c>
      <c r="F891" t="str">
        <f t="shared" si="52"/>
        <v>Standard</v>
      </c>
      <c r="G891" s="3" cm="1">
        <f t="array" ref="G891">_xlfn.XLOOKUP(C891 &amp; F891,
         [1]unilever_price_limits!A:A &amp; [1]unilever_price_limits!B:B,
         [1]unilever_price_limits!C:C)</f>
        <v>30</v>
      </c>
      <c r="H891" s="8">
        <f t="shared" si="53"/>
        <v>17.68</v>
      </c>
      <c r="I891" s="6">
        <f t="shared" si="54"/>
        <v>30.000000000000004</v>
      </c>
      <c r="J891" t="str">
        <f t="shared" si="55"/>
        <v>OK</v>
      </c>
    </row>
    <row r="892" spans="1:10" x14ac:dyDescent="0.2">
      <c r="A892">
        <v>10891</v>
      </c>
      <c r="B892" t="s">
        <v>5</v>
      </c>
      <c r="C892" t="s">
        <v>9</v>
      </c>
      <c r="D892" s="8">
        <v>1.93</v>
      </c>
      <c r="E892">
        <v>8</v>
      </c>
      <c r="F892" t="str">
        <f t="shared" si="52"/>
        <v>Premium</v>
      </c>
      <c r="G892" s="3" cm="1">
        <f t="array" ref="G892">_xlfn.XLOOKUP(C892 &amp; F892,
         [1]unilever_price_limits!A:A &amp; [1]unilever_price_limits!B:B,
         [1]unilever_price_limits!C:C)</f>
        <v>60</v>
      </c>
      <c r="H892" s="8">
        <f t="shared" si="53"/>
        <v>3.0880000000000001</v>
      </c>
      <c r="I892" s="6">
        <f t="shared" si="54"/>
        <v>60.000000000000007</v>
      </c>
      <c r="J892" t="str">
        <f t="shared" si="55"/>
        <v>OK</v>
      </c>
    </row>
    <row r="893" spans="1:10" x14ac:dyDescent="0.2">
      <c r="A893">
        <v>10892</v>
      </c>
      <c r="B893" t="s">
        <v>5</v>
      </c>
      <c r="C893" t="s">
        <v>11</v>
      </c>
      <c r="D893" s="8">
        <v>3.87</v>
      </c>
      <c r="E893">
        <v>8</v>
      </c>
      <c r="F893" t="str">
        <f t="shared" si="52"/>
        <v>Premium</v>
      </c>
      <c r="G893" s="3" cm="1">
        <f t="array" ref="G893">_xlfn.XLOOKUP(C893 &amp; F893,
         [1]unilever_price_limits!A:A &amp; [1]unilever_price_limits!B:B,
         [1]unilever_price_limits!C:C)</f>
        <v>50</v>
      </c>
      <c r="H893" s="8">
        <f t="shared" si="53"/>
        <v>5.8049999999999997</v>
      </c>
      <c r="I893" s="6">
        <f t="shared" si="54"/>
        <v>49.999999999999979</v>
      </c>
      <c r="J893" t="str">
        <f t="shared" si="55"/>
        <v>OK</v>
      </c>
    </row>
    <row r="894" spans="1:10" x14ac:dyDescent="0.2">
      <c r="A894">
        <v>10893</v>
      </c>
      <c r="B894" t="s">
        <v>8</v>
      </c>
      <c r="C894" t="s">
        <v>11</v>
      </c>
      <c r="D894" s="8">
        <v>10.78</v>
      </c>
      <c r="E894">
        <v>7</v>
      </c>
      <c r="F894" t="str">
        <f t="shared" si="52"/>
        <v>Standard</v>
      </c>
      <c r="G894" s="3" cm="1">
        <f t="array" ref="G894">_xlfn.XLOOKUP(C894 &amp; F894,
         [1]unilever_price_limits!A:A &amp; [1]unilever_price_limits!B:B,
         [1]unilever_price_limits!C:C)</f>
        <v>25</v>
      </c>
      <c r="H894" s="8">
        <f t="shared" si="53"/>
        <v>13.475</v>
      </c>
      <c r="I894" s="6">
        <f t="shared" si="54"/>
        <v>25</v>
      </c>
      <c r="J894" t="str">
        <f t="shared" si="55"/>
        <v>OK</v>
      </c>
    </row>
    <row r="895" spans="1:10" x14ac:dyDescent="0.2">
      <c r="A895">
        <v>10894</v>
      </c>
      <c r="B895" t="s">
        <v>8</v>
      </c>
      <c r="C895" t="s">
        <v>11</v>
      </c>
      <c r="D895" s="8">
        <v>12.44</v>
      </c>
      <c r="E895">
        <v>10</v>
      </c>
      <c r="F895" t="str">
        <f t="shared" si="52"/>
        <v>Premium</v>
      </c>
      <c r="G895" s="3" cm="1">
        <f t="array" ref="G895">_xlfn.XLOOKUP(C895 &amp; F895,
         [1]unilever_price_limits!A:A &amp; [1]unilever_price_limits!B:B,
         [1]unilever_price_limits!C:C)</f>
        <v>50</v>
      </c>
      <c r="H895" s="8">
        <f t="shared" si="53"/>
        <v>18.66</v>
      </c>
      <c r="I895" s="6">
        <f t="shared" si="54"/>
        <v>50</v>
      </c>
      <c r="J895" t="str">
        <f t="shared" si="55"/>
        <v>OK</v>
      </c>
    </row>
    <row r="896" spans="1:10" x14ac:dyDescent="0.2">
      <c r="A896">
        <v>10895</v>
      </c>
      <c r="B896" t="s">
        <v>7</v>
      </c>
      <c r="C896" t="s">
        <v>11</v>
      </c>
      <c r="D896" s="8">
        <v>12.93</v>
      </c>
      <c r="E896">
        <v>9</v>
      </c>
      <c r="F896" t="str">
        <f t="shared" si="52"/>
        <v>Premium</v>
      </c>
      <c r="G896" s="3" cm="1">
        <f t="array" ref="G896">_xlfn.XLOOKUP(C896 &amp; F896,
         [1]unilever_price_limits!A:A &amp; [1]unilever_price_limits!B:B,
         [1]unilever_price_limits!C:C)</f>
        <v>50</v>
      </c>
      <c r="H896" s="8">
        <f t="shared" si="53"/>
        <v>19.395</v>
      </c>
      <c r="I896" s="6">
        <f t="shared" si="54"/>
        <v>50</v>
      </c>
      <c r="J896" t="str">
        <f t="shared" si="55"/>
        <v>OK</v>
      </c>
    </row>
    <row r="897" spans="1:10" x14ac:dyDescent="0.2">
      <c r="A897">
        <v>10896</v>
      </c>
      <c r="B897" t="s">
        <v>7</v>
      </c>
      <c r="C897" t="s">
        <v>9</v>
      </c>
      <c r="D897" s="8">
        <v>6.52</v>
      </c>
      <c r="E897">
        <v>4</v>
      </c>
      <c r="F897" t="str">
        <f t="shared" si="52"/>
        <v>Standard</v>
      </c>
      <c r="G897" s="3" cm="1">
        <f t="array" ref="G897">_xlfn.XLOOKUP(C897 &amp; F897,
         [1]unilever_price_limits!A:A &amp; [1]unilever_price_limits!B:B,
         [1]unilever_price_limits!C:C)</f>
        <v>30</v>
      </c>
      <c r="H897" s="8">
        <f t="shared" si="53"/>
        <v>8.4759999999999991</v>
      </c>
      <c r="I897" s="6">
        <f t="shared" si="54"/>
        <v>30.000000000000004</v>
      </c>
      <c r="J897" t="str">
        <f t="shared" si="55"/>
        <v>OK</v>
      </c>
    </row>
    <row r="898" spans="1:10" x14ac:dyDescent="0.2">
      <c r="A898">
        <v>10897</v>
      </c>
      <c r="B898" t="s">
        <v>10</v>
      </c>
      <c r="C898" t="s">
        <v>11</v>
      </c>
      <c r="D898" s="8">
        <v>1.8</v>
      </c>
      <c r="E898">
        <v>7</v>
      </c>
      <c r="F898" t="str">
        <f t="shared" si="52"/>
        <v>Standard</v>
      </c>
      <c r="G898" s="3" cm="1">
        <f t="array" ref="G898">_xlfn.XLOOKUP(C898 &amp; F898,
         [1]unilever_price_limits!A:A &amp; [1]unilever_price_limits!B:B,
         [1]unilever_price_limits!C:C)</f>
        <v>25</v>
      </c>
      <c r="H898" s="8">
        <f t="shared" si="53"/>
        <v>2.25</v>
      </c>
      <c r="I898" s="6">
        <f t="shared" si="54"/>
        <v>25</v>
      </c>
      <c r="J898" t="str">
        <f t="shared" si="55"/>
        <v>OK</v>
      </c>
    </row>
    <row r="899" spans="1:10" x14ac:dyDescent="0.2">
      <c r="A899">
        <v>10898</v>
      </c>
      <c r="B899" t="s">
        <v>7</v>
      </c>
      <c r="C899" t="s">
        <v>11</v>
      </c>
      <c r="D899" s="8">
        <v>6.85</v>
      </c>
      <c r="E899">
        <v>10</v>
      </c>
      <c r="F899" t="str">
        <f t="shared" ref="F899:F962" si="56">IF(E899&lt;=3,"Value",
 IF(E899&lt;=7,"Standard","Premium"))</f>
        <v>Premium</v>
      </c>
      <c r="G899" s="3" cm="1">
        <f t="array" ref="G899">_xlfn.XLOOKUP(C899 &amp; F899,
         [1]unilever_price_limits!A:A &amp; [1]unilever_price_limits!B:B,
         [1]unilever_price_limits!C:C)</f>
        <v>50</v>
      </c>
      <c r="H899" s="8">
        <f t="shared" ref="H899:H962" si="57">D899 * (1 + G899/100)</f>
        <v>10.274999999999999</v>
      </c>
      <c r="I899" s="6">
        <f t="shared" ref="I899:I962" si="58">(H899 / D899 - 1) * 100</f>
        <v>49.999999999999979</v>
      </c>
      <c r="J899" t="str">
        <f t="shared" ref="J899:J962" si="59">IF(I898&gt; G898, "⚠ Exceeds Limit", "OK")</f>
        <v>OK</v>
      </c>
    </row>
    <row r="900" spans="1:10" x14ac:dyDescent="0.2">
      <c r="A900">
        <v>10899</v>
      </c>
      <c r="B900" t="s">
        <v>5</v>
      </c>
      <c r="C900" t="s">
        <v>6</v>
      </c>
      <c r="D900" s="8">
        <v>3.85</v>
      </c>
      <c r="E900">
        <v>10</v>
      </c>
      <c r="F900" t="str">
        <f t="shared" si="56"/>
        <v>Premium</v>
      </c>
      <c r="G900" s="3" cm="1">
        <f t="array" ref="G900">_xlfn.XLOOKUP(C900 &amp; F900,
         [1]unilever_price_limits!A:A &amp; [1]unilever_price_limits!B:B,
         [1]unilever_price_limits!C:C)</f>
        <v>55</v>
      </c>
      <c r="H900" s="8">
        <f t="shared" si="57"/>
        <v>5.9675000000000002</v>
      </c>
      <c r="I900" s="6">
        <f t="shared" si="58"/>
        <v>55.000000000000007</v>
      </c>
      <c r="J900" t="str">
        <f t="shared" si="59"/>
        <v>OK</v>
      </c>
    </row>
    <row r="901" spans="1:10" x14ac:dyDescent="0.2">
      <c r="A901">
        <v>10900</v>
      </c>
      <c r="B901" t="s">
        <v>5</v>
      </c>
      <c r="C901" t="s">
        <v>11</v>
      </c>
      <c r="D901" s="8">
        <v>4.72</v>
      </c>
      <c r="E901">
        <v>1</v>
      </c>
      <c r="F901" t="str">
        <f t="shared" si="56"/>
        <v>Value</v>
      </c>
      <c r="G901" s="3" cm="1">
        <f t="array" ref="G901">_xlfn.XLOOKUP(C901 &amp; F901,
         [1]unilever_price_limits!A:A &amp; [1]unilever_price_limits!B:B,
         [1]unilever_price_limits!C:C)</f>
        <v>10</v>
      </c>
      <c r="H901" s="8">
        <f t="shared" si="57"/>
        <v>5.1920000000000002</v>
      </c>
      <c r="I901" s="6">
        <f t="shared" si="58"/>
        <v>10.000000000000009</v>
      </c>
      <c r="J901" t="str">
        <f t="shared" si="59"/>
        <v>OK</v>
      </c>
    </row>
    <row r="902" spans="1:10" x14ac:dyDescent="0.2">
      <c r="A902">
        <v>10901</v>
      </c>
      <c r="B902" t="s">
        <v>8</v>
      </c>
      <c r="C902" t="s">
        <v>11</v>
      </c>
      <c r="D902" s="8">
        <v>11.7</v>
      </c>
      <c r="E902">
        <v>4</v>
      </c>
      <c r="F902" t="str">
        <f t="shared" si="56"/>
        <v>Standard</v>
      </c>
      <c r="G902" s="3" cm="1">
        <f t="array" ref="G902">_xlfn.XLOOKUP(C902 &amp; F902,
         [1]unilever_price_limits!A:A &amp; [1]unilever_price_limits!B:B,
         [1]unilever_price_limits!C:C)</f>
        <v>25</v>
      </c>
      <c r="H902" s="8">
        <f t="shared" si="57"/>
        <v>14.625</v>
      </c>
      <c r="I902" s="6">
        <f t="shared" si="58"/>
        <v>25</v>
      </c>
      <c r="J902" t="str">
        <f t="shared" si="59"/>
        <v>OK</v>
      </c>
    </row>
    <row r="903" spans="1:10" x14ac:dyDescent="0.2">
      <c r="A903">
        <v>10902</v>
      </c>
      <c r="B903" t="s">
        <v>7</v>
      </c>
      <c r="C903" t="s">
        <v>6</v>
      </c>
      <c r="D903" s="8">
        <v>1.6</v>
      </c>
      <c r="E903">
        <v>2</v>
      </c>
      <c r="F903" t="str">
        <f t="shared" si="56"/>
        <v>Value</v>
      </c>
      <c r="G903" s="3" cm="1">
        <f t="array" ref="G903">_xlfn.XLOOKUP(C903 &amp; F903,
         [1]unilever_price_limits!A:A &amp; [1]unilever_price_limits!B:B,
         [1]unilever_price_limits!C:C)</f>
        <v>12</v>
      </c>
      <c r="H903" s="8">
        <f t="shared" si="57"/>
        <v>1.7920000000000003</v>
      </c>
      <c r="I903" s="6">
        <f t="shared" si="58"/>
        <v>12.000000000000011</v>
      </c>
      <c r="J903" t="str">
        <f t="shared" si="59"/>
        <v>OK</v>
      </c>
    </row>
    <row r="904" spans="1:10" x14ac:dyDescent="0.2">
      <c r="A904">
        <v>10903</v>
      </c>
      <c r="B904" t="s">
        <v>10</v>
      </c>
      <c r="C904" t="s">
        <v>6</v>
      </c>
      <c r="D904" s="8">
        <v>12.5</v>
      </c>
      <c r="E904">
        <v>9</v>
      </c>
      <c r="F904" t="str">
        <f t="shared" si="56"/>
        <v>Premium</v>
      </c>
      <c r="G904" s="3" cm="1">
        <f t="array" ref="G904">_xlfn.XLOOKUP(C904 &amp; F904,
         [1]unilever_price_limits!A:A &amp; [1]unilever_price_limits!B:B,
         [1]unilever_price_limits!C:C)</f>
        <v>55</v>
      </c>
      <c r="H904" s="8">
        <f t="shared" si="57"/>
        <v>19.375</v>
      </c>
      <c r="I904" s="6">
        <f t="shared" si="58"/>
        <v>55.000000000000007</v>
      </c>
      <c r="J904" t="str">
        <f t="shared" si="59"/>
        <v>OK</v>
      </c>
    </row>
    <row r="905" spans="1:10" x14ac:dyDescent="0.2">
      <c r="A905">
        <v>10904</v>
      </c>
      <c r="B905" t="s">
        <v>5</v>
      </c>
      <c r="C905" t="s">
        <v>9</v>
      </c>
      <c r="D905" s="8">
        <v>6.7</v>
      </c>
      <c r="E905">
        <v>5</v>
      </c>
      <c r="F905" t="str">
        <f t="shared" si="56"/>
        <v>Standard</v>
      </c>
      <c r="G905" s="3" cm="1">
        <f t="array" ref="G905">_xlfn.XLOOKUP(C905 &amp; F905,
         [1]unilever_price_limits!A:A &amp; [1]unilever_price_limits!B:B,
         [1]unilever_price_limits!C:C)</f>
        <v>30</v>
      </c>
      <c r="H905" s="8">
        <f t="shared" si="57"/>
        <v>8.7100000000000009</v>
      </c>
      <c r="I905" s="6">
        <f t="shared" si="58"/>
        <v>30.000000000000004</v>
      </c>
      <c r="J905" t="str">
        <f t="shared" si="59"/>
        <v>OK</v>
      </c>
    </row>
    <row r="906" spans="1:10" x14ac:dyDescent="0.2">
      <c r="A906">
        <v>10905</v>
      </c>
      <c r="B906" t="s">
        <v>5</v>
      </c>
      <c r="C906" t="s">
        <v>6</v>
      </c>
      <c r="D906" s="8">
        <v>9.14</v>
      </c>
      <c r="E906">
        <v>3</v>
      </c>
      <c r="F906" t="str">
        <f t="shared" si="56"/>
        <v>Value</v>
      </c>
      <c r="G906" s="3" cm="1">
        <f t="array" ref="G906">_xlfn.XLOOKUP(C906 &amp; F906,
         [1]unilever_price_limits!A:A &amp; [1]unilever_price_limits!B:B,
         [1]unilever_price_limits!C:C)</f>
        <v>12</v>
      </c>
      <c r="H906" s="8">
        <f t="shared" si="57"/>
        <v>10.236800000000002</v>
      </c>
      <c r="I906" s="6">
        <f t="shared" si="58"/>
        <v>12.000000000000011</v>
      </c>
      <c r="J906" t="str">
        <f t="shared" si="59"/>
        <v>OK</v>
      </c>
    </row>
    <row r="907" spans="1:10" x14ac:dyDescent="0.2">
      <c r="A907">
        <v>10906</v>
      </c>
      <c r="B907" t="s">
        <v>10</v>
      </c>
      <c r="C907" t="s">
        <v>9</v>
      </c>
      <c r="D907" s="8">
        <v>1.8</v>
      </c>
      <c r="E907">
        <v>4</v>
      </c>
      <c r="F907" t="str">
        <f t="shared" si="56"/>
        <v>Standard</v>
      </c>
      <c r="G907" s="3" cm="1">
        <f t="array" ref="G907">_xlfn.XLOOKUP(C907 &amp; F907,
         [1]unilever_price_limits!A:A &amp; [1]unilever_price_limits!B:B,
         [1]unilever_price_limits!C:C)</f>
        <v>30</v>
      </c>
      <c r="H907" s="8">
        <f t="shared" si="57"/>
        <v>2.3400000000000003</v>
      </c>
      <c r="I907" s="6">
        <f t="shared" si="58"/>
        <v>30.000000000000004</v>
      </c>
      <c r="J907" t="str">
        <f t="shared" si="59"/>
        <v>OK</v>
      </c>
    </row>
    <row r="908" spans="1:10" x14ac:dyDescent="0.2">
      <c r="A908">
        <v>10907</v>
      </c>
      <c r="B908" t="s">
        <v>10</v>
      </c>
      <c r="C908" t="s">
        <v>6</v>
      </c>
      <c r="D908" s="8">
        <v>5.39</v>
      </c>
      <c r="E908">
        <v>6</v>
      </c>
      <c r="F908" t="str">
        <f t="shared" si="56"/>
        <v>Standard</v>
      </c>
      <c r="G908" s="3" cm="1">
        <f t="array" ref="G908">_xlfn.XLOOKUP(C908 &amp; F908,
         [1]unilever_price_limits!A:A &amp; [1]unilever_price_limits!B:B,
         [1]unilever_price_limits!C:C)</f>
        <v>28</v>
      </c>
      <c r="H908" s="8">
        <f t="shared" si="57"/>
        <v>6.8991999999999996</v>
      </c>
      <c r="I908" s="6">
        <f t="shared" si="58"/>
        <v>28.000000000000004</v>
      </c>
      <c r="J908" t="str">
        <f t="shared" si="59"/>
        <v>OK</v>
      </c>
    </row>
    <row r="909" spans="1:10" x14ac:dyDescent="0.2">
      <c r="A909">
        <v>10908</v>
      </c>
      <c r="B909" t="s">
        <v>5</v>
      </c>
      <c r="C909" t="s">
        <v>6</v>
      </c>
      <c r="D909" s="8">
        <v>1.8</v>
      </c>
      <c r="E909">
        <v>10</v>
      </c>
      <c r="F909" t="str">
        <f t="shared" si="56"/>
        <v>Premium</v>
      </c>
      <c r="G909" s="3" cm="1">
        <f t="array" ref="G909">_xlfn.XLOOKUP(C909 &amp; F909,
         [1]unilever_price_limits!A:A &amp; [1]unilever_price_limits!B:B,
         [1]unilever_price_limits!C:C)</f>
        <v>55</v>
      </c>
      <c r="H909" s="8">
        <f t="shared" si="57"/>
        <v>2.79</v>
      </c>
      <c r="I909" s="6">
        <f t="shared" si="58"/>
        <v>55.000000000000007</v>
      </c>
      <c r="J909" t="str">
        <f t="shared" si="59"/>
        <v>OK</v>
      </c>
    </row>
    <row r="910" spans="1:10" x14ac:dyDescent="0.2">
      <c r="A910">
        <v>10909</v>
      </c>
      <c r="B910" t="s">
        <v>5</v>
      </c>
      <c r="C910" t="s">
        <v>9</v>
      </c>
      <c r="D910" s="8">
        <v>14.44</v>
      </c>
      <c r="E910">
        <v>1</v>
      </c>
      <c r="F910" t="str">
        <f t="shared" si="56"/>
        <v>Value</v>
      </c>
      <c r="G910" s="3" cm="1">
        <f t="array" ref="G910">_xlfn.XLOOKUP(C910 &amp; F910,
         [1]unilever_price_limits!A:A &amp; [1]unilever_price_limits!B:B,
         [1]unilever_price_limits!C:C)</f>
        <v>15</v>
      </c>
      <c r="H910" s="8">
        <f t="shared" si="57"/>
        <v>16.605999999999998</v>
      </c>
      <c r="I910" s="6">
        <f t="shared" si="58"/>
        <v>14.999999999999991</v>
      </c>
      <c r="J910" t="str">
        <f t="shared" si="59"/>
        <v>OK</v>
      </c>
    </row>
    <row r="911" spans="1:10" x14ac:dyDescent="0.2">
      <c r="A911">
        <v>10910</v>
      </c>
      <c r="B911" t="s">
        <v>10</v>
      </c>
      <c r="C911" t="s">
        <v>6</v>
      </c>
      <c r="D911" s="8">
        <v>12.21</v>
      </c>
      <c r="E911">
        <v>7</v>
      </c>
      <c r="F911" t="str">
        <f t="shared" si="56"/>
        <v>Standard</v>
      </c>
      <c r="G911" s="3" cm="1">
        <f t="array" ref="G911">_xlfn.XLOOKUP(C911 &amp; F911,
         [1]unilever_price_limits!A:A &amp; [1]unilever_price_limits!B:B,
         [1]unilever_price_limits!C:C)</f>
        <v>28</v>
      </c>
      <c r="H911" s="8">
        <f t="shared" si="57"/>
        <v>15.628800000000002</v>
      </c>
      <c r="I911" s="6">
        <f t="shared" si="58"/>
        <v>28.000000000000004</v>
      </c>
      <c r="J911" t="str">
        <f t="shared" si="59"/>
        <v>OK</v>
      </c>
    </row>
    <row r="912" spans="1:10" x14ac:dyDescent="0.2">
      <c r="A912">
        <v>10911</v>
      </c>
      <c r="B912" t="s">
        <v>5</v>
      </c>
      <c r="C912" t="s">
        <v>9</v>
      </c>
      <c r="D912" s="8">
        <v>7.16</v>
      </c>
      <c r="E912">
        <v>8</v>
      </c>
      <c r="F912" t="str">
        <f t="shared" si="56"/>
        <v>Premium</v>
      </c>
      <c r="G912" s="3" cm="1">
        <f t="array" ref="G912">_xlfn.XLOOKUP(C912 &amp; F912,
         [1]unilever_price_limits!A:A &amp; [1]unilever_price_limits!B:B,
         [1]unilever_price_limits!C:C)</f>
        <v>60</v>
      </c>
      <c r="H912" s="8">
        <f t="shared" si="57"/>
        <v>11.456000000000001</v>
      </c>
      <c r="I912" s="6">
        <f t="shared" si="58"/>
        <v>60.000000000000007</v>
      </c>
      <c r="J912" t="str">
        <f t="shared" si="59"/>
        <v>OK</v>
      </c>
    </row>
    <row r="913" spans="1:10" x14ac:dyDescent="0.2">
      <c r="A913">
        <v>10912</v>
      </c>
      <c r="B913" t="s">
        <v>8</v>
      </c>
      <c r="C913" t="s">
        <v>6</v>
      </c>
      <c r="D913" s="8">
        <v>3.74</v>
      </c>
      <c r="E913">
        <v>7</v>
      </c>
      <c r="F913" t="str">
        <f t="shared" si="56"/>
        <v>Standard</v>
      </c>
      <c r="G913" s="3" cm="1">
        <f t="array" ref="G913">_xlfn.XLOOKUP(C913 &amp; F913,
         [1]unilever_price_limits!A:A &amp; [1]unilever_price_limits!B:B,
         [1]unilever_price_limits!C:C)</f>
        <v>28</v>
      </c>
      <c r="H913" s="8">
        <f t="shared" si="57"/>
        <v>4.7872000000000003</v>
      </c>
      <c r="I913" s="6">
        <f t="shared" si="58"/>
        <v>28.000000000000004</v>
      </c>
      <c r="J913" t="str">
        <f t="shared" si="59"/>
        <v>OK</v>
      </c>
    </row>
    <row r="914" spans="1:10" x14ac:dyDescent="0.2">
      <c r="A914">
        <v>10913</v>
      </c>
      <c r="B914" t="s">
        <v>8</v>
      </c>
      <c r="C914" t="s">
        <v>11</v>
      </c>
      <c r="D914" s="8">
        <v>14.04</v>
      </c>
      <c r="E914">
        <v>7</v>
      </c>
      <c r="F914" t="str">
        <f t="shared" si="56"/>
        <v>Standard</v>
      </c>
      <c r="G914" s="3" cm="1">
        <f t="array" ref="G914">_xlfn.XLOOKUP(C914 &amp; F914,
         [1]unilever_price_limits!A:A &amp; [1]unilever_price_limits!B:B,
         [1]unilever_price_limits!C:C)</f>
        <v>25</v>
      </c>
      <c r="H914" s="8">
        <f t="shared" si="57"/>
        <v>17.549999999999997</v>
      </c>
      <c r="I914" s="6">
        <f t="shared" si="58"/>
        <v>24.999999999999979</v>
      </c>
      <c r="J914" t="str">
        <f t="shared" si="59"/>
        <v>OK</v>
      </c>
    </row>
    <row r="915" spans="1:10" x14ac:dyDescent="0.2">
      <c r="A915">
        <v>10914</v>
      </c>
      <c r="B915" t="s">
        <v>10</v>
      </c>
      <c r="C915" t="s">
        <v>6</v>
      </c>
      <c r="D915" s="8">
        <v>5.5</v>
      </c>
      <c r="E915">
        <v>9</v>
      </c>
      <c r="F915" t="str">
        <f t="shared" si="56"/>
        <v>Premium</v>
      </c>
      <c r="G915" s="3" cm="1">
        <f t="array" ref="G915">_xlfn.XLOOKUP(C915 &amp; F915,
         [1]unilever_price_limits!A:A &amp; [1]unilever_price_limits!B:B,
         [1]unilever_price_limits!C:C)</f>
        <v>55</v>
      </c>
      <c r="H915" s="8">
        <f t="shared" si="57"/>
        <v>8.5250000000000004</v>
      </c>
      <c r="I915" s="6">
        <f t="shared" si="58"/>
        <v>55.000000000000007</v>
      </c>
      <c r="J915" t="str">
        <f t="shared" si="59"/>
        <v>OK</v>
      </c>
    </row>
    <row r="916" spans="1:10" x14ac:dyDescent="0.2">
      <c r="A916">
        <v>10915</v>
      </c>
      <c r="B916" t="s">
        <v>7</v>
      </c>
      <c r="C916" t="s">
        <v>9</v>
      </c>
      <c r="D916" s="8">
        <v>2.83</v>
      </c>
      <c r="E916">
        <v>4</v>
      </c>
      <c r="F916" t="str">
        <f t="shared" si="56"/>
        <v>Standard</v>
      </c>
      <c r="G916" s="3" cm="1">
        <f t="array" ref="G916">_xlfn.XLOOKUP(C916 &amp; F916,
         [1]unilever_price_limits!A:A &amp; [1]unilever_price_limits!B:B,
         [1]unilever_price_limits!C:C)</f>
        <v>30</v>
      </c>
      <c r="H916" s="8">
        <f t="shared" si="57"/>
        <v>3.6790000000000003</v>
      </c>
      <c r="I916" s="6">
        <f t="shared" si="58"/>
        <v>30.000000000000004</v>
      </c>
      <c r="J916" t="str">
        <f t="shared" si="59"/>
        <v>OK</v>
      </c>
    </row>
    <row r="917" spans="1:10" x14ac:dyDescent="0.2">
      <c r="A917">
        <v>10916</v>
      </c>
      <c r="B917" t="s">
        <v>10</v>
      </c>
      <c r="C917" t="s">
        <v>6</v>
      </c>
      <c r="D917" s="8">
        <v>8.67</v>
      </c>
      <c r="E917">
        <v>7</v>
      </c>
      <c r="F917" t="str">
        <f t="shared" si="56"/>
        <v>Standard</v>
      </c>
      <c r="G917" s="3" cm="1">
        <f t="array" ref="G917">_xlfn.XLOOKUP(C917 &amp; F917,
         [1]unilever_price_limits!A:A &amp; [1]unilever_price_limits!B:B,
         [1]unilever_price_limits!C:C)</f>
        <v>28</v>
      </c>
      <c r="H917" s="8">
        <f t="shared" si="57"/>
        <v>11.0976</v>
      </c>
      <c r="I917" s="6">
        <f t="shared" si="58"/>
        <v>28.000000000000004</v>
      </c>
      <c r="J917" t="str">
        <f t="shared" si="59"/>
        <v>OK</v>
      </c>
    </row>
    <row r="918" spans="1:10" x14ac:dyDescent="0.2">
      <c r="A918">
        <v>10917</v>
      </c>
      <c r="B918" t="s">
        <v>10</v>
      </c>
      <c r="C918" t="s">
        <v>9</v>
      </c>
      <c r="D918" s="8">
        <v>14.18</v>
      </c>
      <c r="E918">
        <v>9</v>
      </c>
      <c r="F918" t="str">
        <f t="shared" si="56"/>
        <v>Premium</v>
      </c>
      <c r="G918" s="3" cm="1">
        <f t="array" ref="G918">_xlfn.XLOOKUP(C918 &amp; F918,
         [1]unilever_price_limits!A:A &amp; [1]unilever_price_limits!B:B,
         [1]unilever_price_limits!C:C)</f>
        <v>60</v>
      </c>
      <c r="H918" s="8">
        <f t="shared" si="57"/>
        <v>22.688000000000002</v>
      </c>
      <c r="I918" s="6">
        <f t="shared" si="58"/>
        <v>60.000000000000028</v>
      </c>
      <c r="J918" t="str">
        <f t="shared" si="59"/>
        <v>OK</v>
      </c>
    </row>
    <row r="919" spans="1:10" x14ac:dyDescent="0.2">
      <c r="A919">
        <v>10918</v>
      </c>
      <c r="B919" t="s">
        <v>7</v>
      </c>
      <c r="C919" t="s">
        <v>9</v>
      </c>
      <c r="D919" s="8">
        <v>0.56000000000000005</v>
      </c>
      <c r="E919">
        <v>5</v>
      </c>
      <c r="F919" t="str">
        <f t="shared" si="56"/>
        <v>Standard</v>
      </c>
      <c r="G919" s="3" cm="1">
        <f t="array" ref="G919">_xlfn.XLOOKUP(C919 &amp; F919,
         [1]unilever_price_limits!A:A &amp; [1]unilever_price_limits!B:B,
         [1]unilever_price_limits!C:C)</f>
        <v>30</v>
      </c>
      <c r="H919" s="8">
        <f t="shared" si="57"/>
        <v>0.72800000000000009</v>
      </c>
      <c r="I919" s="6">
        <f t="shared" si="58"/>
        <v>30.000000000000004</v>
      </c>
      <c r="J919" t="str">
        <f t="shared" si="59"/>
        <v>OK</v>
      </c>
    </row>
    <row r="920" spans="1:10" x14ac:dyDescent="0.2">
      <c r="A920">
        <v>10919</v>
      </c>
      <c r="B920" t="s">
        <v>7</v>
      </c>
      <c r="C920" t="s">
        <v>11</v>
      </c>
      <c r="D920" s="8">
        <v>3.95</v>
      </c>
      <c r="E920">
        <v>2</v>
      </c>
      <c r="F920" t="str">
        <f t="shared" si="56"/>
        <v>Value</v>
      </c>
      <c r="G920" s="3" cm="1">
        <f t="array" ref="G920">_xlfn.XLOOKUP(C920 &amp; F920,
         [1]unilever_price_limits!A:A &amp; [1]unilever_price_limits!B:B,
         [1]unilever_price_limits!C:C)</f>
        <v>10</v>
      </c>
      <c r="H920" s="8">
        <f t="shared" si="57"/>
        <v>4.3450000000000006</v>
      </c>
      <c r="I920" s="6">
        <f t="shared" si="58"/>
        <v>10.000000000000009</v>
      </c>
      <c r="J920" t="str">
        <f t="shared" si="59"/>
        <v>OK</v>
      </c>
    </row>
    <row r="921" spans="1:10" x14ac:dyDescent="0.2">
      <c r="A921">
        <v>10920</v>
      </c>
      <c r="B921" t="s">
        <v>7</v>
      </c>
      <c r="C921" t="s">
        <v>11</v>
      </c>
      <c r="D921" s="8">
        <v>14.11</v>
      </c>
      <c r="E921">
        <v>5</v>
      </c>
      <c r="F921" t="str">
        <f t="shared" si="56"/>
        <v>Standard</v>
      </c>
      <c r="G921" s="3" cm="1">
        <f t="array" ref="G921">_xlfn.XLOOKUP(C921 &amp; F921,
         [1]unilever_price_limits!A:A &amp; [1]unilever_price_limits!B:B,
         [1]unilever_price_limits!C:C)</f>
        <v>25</v>
      </c>
      <c r="H921" s="8">
        <f t="shared" si="57"/>
        <v>17.637499999999999</v>
      </c>
      <c r="I921" s="6">
        <f t="shared" si="58"/>
        <v>25</v>
      </c>
      <c r="J921" t="str">
        <f t="shared" si="59"/>
        <v>OK</v>
      </c>
    </row>
    <row r="922" spans="1:10" x14ac:dyDescent="0.2">
      <c r="A922">
        <v>10921</v>
      </c>
      <c r="B922" t="s">
        <v>8</v>
      </c>
      <c r="C922" t="s">
        <v>9</v>
      </c>
      <c r="D922" s="8">
        <v>2.98</v>
      </c>
      <c r="E922">
        <v>4</v>
      </c>
      <c r="F922" t="str">
        <f t="shared" si="56"/>
        <v>Standard</v>
      </c>
      <c r="G922" s="3" cm="1">
        <f t="array" ref="G922">_xlfn.XLOOKUP(C922 &amp; F922,
         [1]unilever_price_limits!A:A &amp; [1]unilever_price_limits!B:B,
         [1]unilever_price_limits!C:C)</f>
        <v>30</v>
      </c>
      <c r="H922" s="8">
        <f t="shared" si="57"/>
        <v>3.8740000000000001</v>
      </c>
      <c r="I922" s="6">
        <f t="shared" si="58"/>
        <v>30.000000000000004</v>
      </c>
      <c r="J922" t="str">
        <f t="shared" si="59"/>
        <v>OK</v>
      </c>
    </row>
    <row r="923" spans="1:10" x14ac:dyDescent="0.2">
      <c r="A923">
        <v>10922</v>
      </c>
      <c r="B923" t="s">
        <v>5</v>
      </c>
      <c r="C923" t="s">
        <v>6</v>
      </c>
      <c r="D923" s="8">
        <v>2.14</v>
      </c>
      <c r="E923">
        <v>8</v>
      </c>
      <c r="F923" t="str">
        <f t="shared" si="56"/>
        <v>Premium</v>
      </c>
      <c r="G923" s="3" cm="1">
        <f t="array" ref="G923">_xlfn.XLOOKUP(C923 &amp; F923,
         [1]unilever_price_limits!A:A &amp; [1]unilever_price_limits!B:B,
         [1]unilever_price_limits!C:C)</f>
        <v>55</v>
      </c>
      <c r="H923" s="8">
        <f t="shared" si="57"/>
        <v>3.3170000000000002</v>
      </c>
      <c r="I923" s="6">
        <f t="shared" si="58"/>
        <v>55.000000000000007</v>
      </c>
      <c r="J923" t="str">
        <f t="shared" si="59"/>
        <v>OK</v>
      </c>
    </row>
    <row r="924" spans="1:10" x14ac:dyDescent="0.2">
      <c r="A924">
        <v>10923</v>
      </c>
      <c r="B924" t="s">
        <v>8</v>
      </c>
      <c r="C924" t="s">
        <v>9</v>
      </c>
      <c r="D924" s="8">
        <v>8.77</v>
      </c>
      <c r="E924">
        <v>5</v>
      </c>
      <c r="F924" t="str">
        <f t="shared" si="56"/>
        <v>Standard</v>
      </c>
      <c r="G924" s="3" cm="1">
        <f t="array" ref="G924">_xlfn.XLOOKUP(C924 &amp; F924,
         [1]unilever_price_limits!A:A &amp; [1]unilever_price_limits!B:B,
         [1]unilever_price_limits!C:C)</f>
        <v>30</v>
      </c>
      <c r="H924" s="8">
        <f t="shared" si="57"/>
        <v>11.401</v>
      </c>
      <c r="I924" s="6">
        <f t="shared" si="58"/>
        <v>30.000000000000004</v>
      </c>
      <c r="J924" t="str">
        <f t="shared" si="59"/>
        <v>OK</v>
      </c>
    </row>
    <row r="925" spans="1:10" x14ac:dyDescent="0.2">
      <c r="A925">
        <v>10924</v>
      </c>
      <c r="B925" t="s">
        <v>5</v>
      </c>
      <c r="C925" t="s">
        <v>9</v>
      </c>
      <c r="D925" s="8">
        <v>13</v>
      </c>
      <c r="E925">
        <v>9</v>
      </c>
      <c r="F925" t="str">
        <f t="shared" si="56"/>
        <v>Premium</v>
      </c>
      <c r="G925" s="3" cm="1">
        <f t="array" ref="G925">_xlfn.XLOOKUP(C925 &amp; F925,
         [1]unilever_price_limits!A:A &amp; [1]unilever_price_limits!B:B,
         [1]unilever_price_limits!C:C)</f>
        <v>60</v>
      </c>
      <c r="H925" s="8">
        <f t="shared" si="57"/>
        <v>20.8</v>
      </c>
      <c r="I925" s="6">
        <f t="shared" si="58"/>
        <v>60.000000000000007</v>
      </c>
      <c r="J925" t="str">
        <f t="shared" si="59"/>
        <v>OK</v>
      </c>
    </row>
    <row r="926" spans="1:10" x14ac:dyDescent="0.2">
      <c r="A926">
        <v>10925</v>
      </c>
      <c r="B926" t="s">
        <v>8</v>
      </c>
      <c r="C926" t="s">
        <v>6</v>
      </c>
      <c r="D926" s="8">
        <v>7.42</v>
      </c>
      <c r="E926">
        <v>9</v>
      </c>
      <c r="F926" t="str">
        <f t="shared" si="56"/>
        <v>Premium</v>
      </c>
      <c r="G926" s="3" cm="1">
        <f t="array" ref="G926">_xlfn.XLOOKUP(C926 &amp; F926,
         [1]unilever_price_limits!A:A &amp; [1]unilever_price_limits!B:B,
         [1]unilever_price_limits!C:C)</f>
        <v>55</v>
      </c>
      <c r="H926" s="8">
        <f t="shared" si="57"/>
        <v>11.500999999999999</v>
      </c>
      <c r="I926" s="6">
        <f t="shared" si="58"/>
        <v>55.000000000000007</v>
      </c>
      <c r="J926" t="str">
        <f t="shared" si="59"/>
        <v>OK</v>
      </c>
    </row>
    <row r="927" spans="1:10" x14ac:dyDescent="0.2">
      <c r="A927">
        <v>10926</v>
      </c>
      <c r="B927" t="s">
        <v>5</v>
      </c>
      <c r="C927" t="s">
        <v>6</v>
      </c>
      <c r="D927" s="8">
        <v>14.92</v>
      </c>
      <c r="E927">
        <v>3</v>
      </c>
      <c r="F927" t="str">
        <f t="shared" si="56"/>
        <v>Value</v>
      </c>
      <c r="G927" s="3" cm="1">
        <f t="array" ref="G927">_xlfn.XLOOKUP(C927 &amp; F927,
         [1]unilever_price_limits!A:A &amp; [1]unilever_price_limits!B:B,
         [1]unilever_price_limits!C:C)</f>
        <v>12</v>
      </c>
      <c r="H927" s="8">
        <f t="shared" si="57"/>
        <v>16.7104</v>
      </c>
      <c r="I927" s="6">
        <f t="shared" si="58"/>
        <v>12.000000000000011</v>
      </c>
      <c r="J927" t="str">
        <f t="shared" si="59"/>
        <v>OK</v>
      </c>
    </row>
    <row r="928" spans="1:10" x14ac:dyDescent="0.2">
      <c r="A928">
        <v>10927</v>
      </c>
      <c r="B928" t="s">
        <v>8</v>
      </c>
      <c r="C928" t="s">
        <v>6</v>
      </c>
      <c r="D928" s="8">
        <v>10.35</v>
      </c>
      <c r="E928">
        <v>10</v>
      </c>
      <c r="F928" t="str">
        <f t="shared" si="56"/>
        <v>Premium</v>
      </c>
      <c r="G928" s="3" cm="1">
        <f t="array" ref="G928">_xlfn.XLOOKUP(C928 &amp; F928,
         [1]unilever_price_limits!A:A &amp; [1]unilever_price_limits!B:B,
         [1]unilever_price_limits!C:C)</f>
        <v>55</v>
      </c>
      <c r="H928" s="8">
        <f t="shared" si="57"/>
        <v>16.0425</v>
      </c>
      <c r="I928" s="6">
        <f t="shared" si="58"/>
        <v>55.000000000000007</v>
      </c>
      <c r="J928" t="str">
        <f t="shared" si="59"/>
        <v>OK</v>
      </c>
    </row>
    <row r="929" spans="1:10" x14ac:dyDescent="0.2">
      <c r="A929">
        <v>10928</v>
      </c>
      <c r="B929" t="s">
        <v>7</v>
      </c>
      <c r="C929" t="s">
        <v>6</v>
      </c>
      <c r="D929" s="8">
        <v>1.57</v>
      </c>
      <c r="E929">
        <v>6</v>
      </c>
      <c r="F929" t="str">
        <f t="shared" si="56"/>
        <v>Standard</v>
      </c>
      <c r="G929" s="3" cm="1">
        <f t="array" ref="G929">_xlfn.XLOOKUP(C929 &amp; F929,
         [1]unilever_price_limits!A:A &amp; [1]unilever_price_limits!B:B,
         [1]unilever_price_limits!C:C)</f>
        <v>28</v>
      </c>
      <c r="H929" s="8">
        <f t="shared" si="57"/>
        <v>2.0096000000000003</v>
      </c>
      <c r="I929" s="6">
        <f t="shared" si="58"/>
        <v>28.000000000000004</v>
      </c>
      <c r="J929" t="str">
        <f t="shared" si="59"/>
        <v>OK</v>
      </c>
    </row>
    <row r="930" spans="1:10" x14ac:dyDescent="0.2">
      <c r="A930">
        <v>10929</v>
      </c>
      <c r="B930" t="s">
        <v>10</v>
      </c>
      <c r="C930" t="s">
        <v>9</v>
      </c>
      <c r="D930" s="8">
        <v>14.9</v>
      </c>
      <c r="E930">
        <v>6</v>
      </c>
      <c r="F930" t="str">
        <f t="shared" si="56"/>
        <v>Standard</v>
      </c>
      <c r="G930" s="3" cm="1">
        <f t="array" ref="G930">_xlfn.XLOOKUP(C930 &amp; F930,
         [1]unilever_price_limits!A:A &amp; [1]unilever_price_limits!B:B,
         [1]unilever_price_limits!C:C)</f>
        <v>30</v>
      </c>
      <c r="H930" s="8">
        <f t="shared" si="57"/>
        <v>19.37</v>
      </c>
      <c r="I930" s="6">
        <f t="shared" si="58"/>
        <v>30.000000000000004</v>
      </c>
      <c r="J930" t="str">
        <f t="shared" si="59"/>
        <v>OK</v>
      </c>
    </row>
    <row r="931" spans="1:10" x14ac:dyDescent="0.2">
      <c r="A931">
        <v>10930</v>
      </c>
      <c r="B931" t="s">
        <v>8</v>
      </c>
      <c r="C931" t="s">
        <v>9</v>
      </c>
      <c r="D931" s="8">
        <v>6.41</v>
      </c>
      <c r="E931">
        <v>4</v>
      </c>
      <c r="F931" t="str">
        <f t="shared" si="56"/>
        <v>Standard</v>
      </c>
      <c r="G931" s="3" cm="1">
        <f t="array" ref="G931">_xlfn.XLOOKUP(C931 &amp; F931,
         [1]unilever_price_limits!A:A &amp; [1]unilever_price_limits!B:B,
         [1]unilever_price_limits!C:C)</f>
        <v>30</v>
      </c>
      <c r="H931" s="8">
        <f t="shared" si="57"/>
        <v>8.3330000000000002</v>
      </c>
      <c r="I931" s="6">
        <f t="shared" si="58"/>
        <v>30.000000000000004</v>
      </c>
      <c r="J931" t="str">
        <f t="shared" si="59"/>
        <v>OK</v>
      </c>
    </row>
    <row r="932" spans="1:10" x14ac:dyDescent="0.2">
      <c r="A932">
        <v>10931</v>
      </c>
      <c r="B932" t="s">
        <v>5</v>
      </c>
      <c r="C932" t="s">
        <v>11</v>
      </c>
      <c r="D932" s="8">
        <v>4.67</v>
      </c>
      <c r="E932">
        <v>10</v>
      </c>
      <c r="F932" t="str">
        <f t="shared" si="56"/>
        <v>Premium</v>
      </c>
      <c r="G932" s="3" cm="1">
        <f t="array" ref="G932">_xlfn.XLOOKUP(C932 &amp; F932,
         [1]unilever_price_limits!A:A &amp; [1]unilever_price_limits!B:B,
         [1]unilever_price_limits!C:C)</f>
        <v>50</v>
      </c>
      <c r="H932" s="8">
        <f t="shared" si="57"/>
        <v>7.0049999999999999</v>
      </c>
      <c r="I932" s="6">
        <f t="shared" si="58"/>
        <v>50</v>
      </c>
      <c r="J932" t="str">
        <f t="shared" si="59"/>
        <v>OK</v>
      </c>
    </row>
    <row r="933" spans="1:10" x14ac:dyDescent="0.2">
      <c r="A933">
        <v>10932</v>
      </c>
      <c r="B933" t="s">
        <v>7</v>
      </c>
      <c r="C933" t="s">
        <v>9</v>
      </c>
      <c r="D933" s="8">
        <v>8.59</v>
      </c>
      <c r="E933">
        <v>3</v>
      </c>
      <c r="F933" t="str">
        <f t="shared" si="56"/>
        <v>Value</v>
      </c>
      <c r="G933" s="3" cm="1">
        <f t="array" ref="G933">_xlfn.XLOOKUP(C933 &amp; F933,
         [1]unilever_price_limits!A:A &amp; [1]unilever_price_limits!B:B,
         [1]unilever_price_limits!C:C)</f>
        <v>15</v>
      </c>
      <c r="H933" s="8">
        <f t="shared" si="57"/>
        <v>9.8784999999999989</v>
      </c>
      <c r="I933" s="6">
        <f t="shared" si="58"/>
        <v>14.999999999999991</v>
      </c>
      <c r="J933" t="str">
        <f t="shared" si="59"/>
        <v>OK</v>
      </c>
    </row>
    <row r="934" spans="1:10" x14ac:dyDescent="0.2">
      <c r="A934">
        <v>10933</v>
      </c>
      <c r="B934" t="s">
        <v>8</v>
      </c>
      <c r="C934" t="s">
        <v>6</v>
      </c>
      <c r="D934" s="8">
        <v>4.91</v>
      </c>
      <c r="E934">
        <v>1</v>
      </c>
      <c r="F934" t="str">
        <f t="shared" si="56"/>
        <v>Value</v>
      </c>
      <c r="G934" s="3" cm="1">
        <f t="array" ref="G934">_xlfn.XLOOKUP(C934 &amp; F934,
         [1]unilever_price_limits!A:A &amp; [1]unilever_price_limits!B:B,
         [1]unilever_price_limits!C:C)</f>
        <v>12</v>
      </c>
      <c r="H934" s="8">
        <f t="shared" si="57"/>
        <v>5.499200000000001</v>
      </c>
      <c r="I934" s="6">
        <f t="shared" si="58"/>
        <v>12.000000000000011</v>
      </c>
      <c r="J934" t="str">
        <f t="shared" si="59"/>
        <v>OK</v>
      </c>
    </row>
    <row r="935" spans="1:10" x14ac:dyDescent="0.2">
      <c r="A935">
        <v>10934</v>
      </c>
      <c r="B935" t="s">
        <v>8</v>
      </c>
      <c r="C935" t="s">
        <v>11</v>
      </c>
      <c r="D935" s="8">
        <v>1.75</v>
      </c>
      <c r="E935">
        <v>7</v>
      </c>
      <c r="F935" t="str">
        <f t="shared" si="56"/>
        <v>Standard</v>
      </c>
      <c r="G935" s="3" cm="1">
        <f t="array" ref="G935">_xlfn.XLOOKUP(C935 &amp; F935,
         [1]unilever_price_limits!A:A &amp; [1]unilever_price_limits!B:B,
         [1]unilever_price_limits!C:C)</f>
        <v>25</v>
      </c>
      <c r="H935" s="8">
        <f t="shared" si="57"/>
        <v>2.1875</v>
      </c>
      <c r="I935" s="6">
        <f t="shared" si="58"/>
        <v>25</v>
      </c>
      <c r="J935" t="str">
        <f t="shared" si="59"/>
        <v>OK</v>
      </c>
    </row>
    <row r="936" spans="1:10" x14ac:dyDescent="0.2">
      <c r="A936">
        <v>10935</v>
      </c>
      <c r="B936" t="s">
        <v>7</v>
      </c>
      <c r="C936" t="s">
        <v>6</v>
      </c>
      <c r="D936" s="8">
        <v>0.52</v>
      </c>
      <c r="E936">
        <v>5</v>
      </c>
      <c r="F936" t="str">
        <f t="shared" si="56"/>
        <v>Standard</v>
      </c>
      <c r="G936" s="3" cm="1">
        <f t="array" ref="G936">_xlfn.XLOOKUP(C936 &amp; F936,
         [1]unilever_price_limits!A:A &amp; [1]unilever_price_limits!B:B,
         [1]unilever_price_limits!C:C)</f>
        <v>28</v>
      </c>
      <c r="H936" s="8">
        <f t="shared" si="57"/>
        <v>0.66560000000000008</v>
      </c>
      <c r="I936" s="6">
        <f t="shared" si="58"/>
        <v>28.000000000000004</v>
      </c>
      <c r="J936" t="str">
        <f t="shared" si="59"/>
        <v>OK</v>
      </c>
    </row>
    <row r="937" spans="1:10" x14ac:dyDescent="0.2">
      <c r="A937">
        <v>10936</v>
      </c>
      <c r="B937" t="s">
        <v>8</v>
      </c>
      <c r="C937" t="s">
        <v>9</v>
      </c>
      <c r="D937" s="8">
        <v>7.02</v>
      </c>
      <c r="E937">
        <v>10</v>
      </c>
      <c r="F937" t="str">
        <f t="shared" si="56"/>
        <v>Premium</v>
      </c>
      <c r="G937" s="3" cm="1">
        <f t="array" ref="G937">_xlfn.XLOOKUP(C937 &amp; F937,
         [1]unilever_price_limits!A:A &amp; [1]unilever_price_limits!B:B,
         [1]unilever_price_limits!C:C)</f>
        <v>60</v>
      </c>
      <c r="H937" s="8">
        <f t="shared" si="57"/>
        <v>11.231999999999999</v>
      </c>
      <c r="I937" s="6">
        <f t="shared" si="58"/>
        <v>60.000000000000007</v>
      </c>
      <c r="J937" t="str">
        <f t="shared" si="59"/>
        <v>OK</v>
      </c>
    </row>
    <row r="938" spans="1:10" x14ac:dyDescent="0.2">
      <c r="A938">
        <v>10937</v>
      </c>
      <c r="B938" t="s">
        <v>10</v>
      </c>
      <c r="C938" t="s">
        <v>11</v>
      </c>
      <c r="D938" s="8">
        <v>12.63</v>
      </c>
      <c r="E938">
        <v>7</v>
      </c>
      <c r="F938" t="str">
        <f t="shared" si="56"/>
        <v>Standard</v>
      </c>
      <c r="G938" s="3" cm="1">
        <f t="array" ref="G938">_xlfn.XLOOKUP(C938 &amp; F938,
         [1]unilever_price_limits!A:A &amp; [1]unilever_price_limits!B:B,
         [1]unilever_price_limits!C:C)</f>
        <v>25</v>
      </c>
      <c r="H938" s="8">
        <f t="shared" si="57"/>
        <v>15.787500000000001</v>
      </c>
      <c r="I938" s="6">
        <f t="shared" si="58"/>
        <v>25</v>
      </c>
      <c r="J938" t="str">
        <f t="shared" si="59"/>
        <v>OK</v>
      </c>
    </row>
    <row r="939" spans="1:10" x14ac:dyDescent="0.2">
      <c r="A939">
        <v>10938</v>
      </c>
      <c r="B939" t="s">
        <v>8</v>
      </c>
      <c r="C939" t="s">
        <v>6</v>
      </c>
      <c r="D939" s="8">
        <v>8.8000000000000007</v>
      </c>
      <c r="E939">
        <v>1</v>
      </c>
      <c r="F939" t="str">
        <f t="shared" si="56"/>
        <v>Value</v>
      </c>
      <c r="G939" s="3" cm="1">
        <f t="array" ref="G939">_xlfn.XLOOKUP(C939 &amp; F939,
         [1]unilever_price_limits!A:A &amp; [1]unilever_price_limits!B:B,
         [1]unilever_price_limits!C:C)</f>
        <v>12</v>
      </c>
      <c r="H939" s="8">
        <f t="shared" si="57"/>
        <v>9.8560000000000016</v>
      </c>
      <c r="I939" s="6">
        <f t="shared" si="58"/>
        <v>12.000000000000011</v>
      </c>
      <c r="J939" t="str">
        <f t="shared" si="59"/>
        <v>OK</v>
      </c>
    </row>
    <row r="940" spans="1:10" x14ac:dyDescent="0.2">
      <c r="A940">
        <v>10939</v>
      </c>
      <c r="B940" t="s">
        <v>10</v>
      </c>
      <c r="C940" t="s">
        <v>11</v>
      </c>
      <c r="D940" s="8">
        <v>14.99</v>
      </c>
      <c r="E940">
        <v>8</v>
      </c>
      <c r="F940" t="str">
        <f t="shared" si="56"/>
        <v>Premium</v>
      </c>
      <c r="G940" s="3" cm="1">
        <f t="array" ref="G940">_xlfn.XLOOKUP(C940 &amp; F940,
         [1]unilever_price_limits!A:A &amp; [1]unilever_price_limits!B:B,
         [1]unilever_price_limits!C:C)</f>
        <v>50</v>
      </c>
      <c r="H940" s="8">
        <f t="shared" si="57"/>
        <v>22.484999999999999</v>
      </c>
      <c r="I940" s="6">
        <f t="shared" si="58"/>
        <v>50</v>
      </c>
      <c r="J940" t="str">
        <f t="shared" si="59"/>
        <v>OK</v>
      </c>
    </row>
    <row r="941" spans="1:10" x14ac:dyDescent="0.2">
      <c r="A941">
        <v>10940</v>
      </c>
      <c r="B941" t="s">
        <v>10</v>
      </c>
      <c r="C941" t="s">
        <v>11</v>
      </c>
      <c r="D941" s="8">
        <v>4.66</v>
      </c>
      <c r="E941">
        <v>3</v>
      </c>
      <c r="F941" t="str">
        <f t="shared" si="56"/>
        <v>Value</v>
      </c>
      <c r="G941" s="3" cm="1">
        <f t="array" ref="G941">_xlfn.XLOOKUP(C941 &amp; F941,
         [1]unilever_price_limits!A:A &amp; [1]unilever_price_limits!B:B,
         [1]unilever_price_limits!C:C)</f>
        <v>10</v>
      </c>
      <c r="H941" s="8">
        <f t="shared" si="57"/>
        <v>5.1260000000000003</v>
      </c>
      <c r="I941" s="6">
        <f t="shared" si="58"/>
        <v>10.000000000000009</v>
      </c>
      <c r="J941" t="str">
        <f t="shared" si="59"/>
        <v>OK</v>
      </c>
    </row>
    <row r="942" spans="1:10" x14ac:dyDescent="0.2">
      <c r="A942">
        <v>10941</v>
      </c>
      <c r="B942" t="s">
        <v>7</v>
      </c>
      <c r="C942" t="s">
        <v>9</v>
      </c>
      <c r="D942" s="8">
        <v>4.57</v>
      </c>
      <c r="E942">
        <v>7</v>
      </c>
      <c r="F942" t="str">
        <f t="shared" si="56"/>
        <v>Standard</v>
      </c>
      <c r="G942" s="3" cm="1">
        <f t="array" ref="G942">_xlfn.XLOOKUP(C942 &amp; F942,
         [1]unilever_price_limits!A:A &amp; [1]unilever_price_limits!B:B,
         [1]unilever_price_limits!C:C)</f>
        <v>30</v>
      </c>
      <c r="H942" s="8">
        <f t="shared" si="57"/>
        <v>5.9410000000000007</v>
      </c>
      <c r="I942" s="6">
        <f t="shared" si="58"/>
        <v>30.000000000000004</v>
      </c>
      <c r="J942" t="str">
        <f t="shared" si="59"/>
        <v>OK</v>
      </c>
    </row>
    <row r="943" spans="1:10" x14ac:dyDescent="0.2">
      <c r="A943">
        <v>10942</v>
      </c>
      <c r="B943" t="s">
        <v>8</v>
      </c>
      <c r="C943" t="s">
        <v>6</v>
      </c>
      <c r="D943" s="8">
        <v>2.82</v>
      </c>
      <c r="E943">
        <v>3</v>
      </c>
      <c r="F943" t="str">
        <f t="shared" si="56"/>
        <v>Value</v>
      </c>
      <c r="G943" s="3" cm="1">
        <f t="array" ref="G943">_xlfn.XLOOKUP(C943 &amp; F943,
         [1]unilever_price_limits!A:A &amp; [1]unilever_price_limits!B:B,
         [1]unilever_price_limits!C:C)</f>
        <v>12</v>
      </c>
      <c r="H943" s="8">
        <f t="shared" si="57"/>
        <v>3.1584000000000003</v>
      </c>
      <c r="I943" s="6">
        <f t="shared" si="58"/>
        <v>12.000000000000011</v>
      </c>
      <c r="J943" t="str">
        <f t="shared" si="59"/>
        <v>OK</v>
      </c>
    </row>
    <row r="944" spans="1:10" x14ac:dyDescent="0.2">
      <c r="A944">
        <v>10943</v>
      </c>
      <c r="B944" t="s">
        <v>7</v>
      </c>
      <c r="C944" t="s">
        <v>11</v>
      </c>
      <c r="D944" s="8">
        <v>2.88</v>
      </c>
      <c r="E944">
        <v>3</v>
      </c>
      <c r="F944" t="str">
        <f t="shared" si="56"/>
        <v>Value</v>
      </c>
      <c r="G944" s="3" cm="1">
        <f t="array" ref="G944">_xlfn.XLOOKUP(C944 &amp; F944,
         [1]unilever_price_limits!A:A &amp; [1]unilever_price_limits!B:B,
         [1]unilever_price_limits!C:C)</f>
        <v>10</v>
      </c>
      <c r="H944" s="8">
        <f t="shared" si="57"/>
        <v>3.1680000000000001</v>
      </c>
      <c r="I944" s="6">
        <f t="shared" si="58"/>
        <v>10.000000000000009</v>
      </c>
      <c r="J944" t="str">
        <f t="shared" si="59"/>
        <v>OK</v>
      </c>
    </row>
    <row r="945" spans="1:10" x14ac:dyDescent="0.2">
      <c r="A945">
        <v>10944</v>
      </c>
      <c r="B945" t="s">
        <v>8</v>
      </c>
      <c r="C945" t="s">
        <v>11</v>
      </c>
      <c r="D945" s="8">
        <v>4.6399999999999997</v>
      </c>
      <c r="E945">
        <v>10</v>
      </c>
      <c r="F945" t="str">
        <f t="shared" si="56"/>
        <v>Premium</v>
      </c>
      <c r="G945" s="3" cm="1">
        <f t="array" ref="G945">_xlfn.XLOOKUP(C945 &amp; F945,
         [1]unilever_price_limits!A:A &amp; [1]unilever_price_limits!B:B,
         [1]unilever_price_limits!C:C)</f>
        <v>50</v>
      </c>
      <c r="H945" s="8">
        <f t="shared" si="57"/>
        <v>6.9599999999999991</v>
      </c>
      <c r="I945" s="6">
        <f t="shared" si="58"/>
        <v>50</v>
      </c>
      <c r="J945" t="str">
        <f t="shared" si="59"/>
        <v>OK</v>
      </c>
    </row>
    <row r="946" spans="1:10" x14ac:dyDescent="0.2">
      <c r="A946">
        <v>10945</v>
      </c>
      <c r="B946" t="s">
        <v>8</v>
      </c>
      <c r="C946" t="s">
        <v>6</v>
      </c>
      <c r="D946" s="8">
        <v>12</v>
      </c>
      <c r="E946">
        <v>9</v>
      </c>
      <c r="F946" t="str">
        <f t="shared" si="56"/>
        <v>Premium</v>
      </c>
      <c r="G946" s="3" cm="1">
        <f t="array" ref="G946">_xlfn.XLOOKUP(C946 &amp; F946,
         [1]unilever_price_limits!A:A &amp; [1]unilever_price_limits!B:B,
         [1]unilever_price_limits!C:C)</f>
        <v>55</v>
      </c>
      <c r="H946" s="8">
        <f t="shared" si="57"/>
        <v>18.600000000000001</v>
      </c>
      <c r="I946" s="6">
        <f t="shared" si="58"/>
        <v>55.000000000000007</v>
      </c>
      <c r="J946" t="str">
        <f t="shared" si="59"/>
        <v>OK</v>
      </c>
    </row>
    <row r="947" spans="1:10" x14ac:dyDescent="0.2">
      <c r="A947">
        <v>10946</v>
      </c>
      <c r="B947" t="s">
        <v>5</v>
      </c>
      <c r="C947" t="s">
        <v>11</v>
      </c>
      <c r="D947" s="8">
        <v>13.63</v>
      </c>
      <c r="E947">
        <v>2</v>
      </c>
      <c r="F947" t="str">
        <f t="shared" si="56"/>
        <v>Value</v>
      </c>
      <c r="G947" s="3" cm="1">
        <f t="array" ref="G947">_xlfn.XLOOKUP(C947 &amp; F947,
         [1]unilever_price_limits!A:A &amp; [1]unilever_price_limits!B:B,
         [1]unilever_price_limits!C:C)</f>
        <v>10</v>
      </c>
      <c r="H947" s="8">
        <f t="shared" si="57"/>
        <v>14.993000000000002</v>
      </c>
      <c r="I947" s="6">
        <f t="shared" si="58"/>
        <v>10.000000000000009</v>
      </c>
      <c r="J947" t="str">
        <f t="shared" si="59"/>
        <v>OK</v>
      </c>
    </row>
    <row r="948" spans="1:10" x14ac:dyDescent="0.2">
      <c r="A948">
        <v>10947</v>
      </c>
      <c r="B948" t="s">
        <v>8</v>
      </c>
      <c r="C948" t="s">
        <v>11</v>
      </c>
      <c r="D948" s="8">
        <v>14.64</v>
      </c>
      <c r="E948">
        <v>4</v>
      </c>
      <c r="F948" t="str">
        <f t="shared" si="56"/>
        <v>Standard</v>
      </c>
      <c r="G948" s="3" cm="1">
        <f t="array" ref="G948">_xlfn.XLOOKUP(C948 &amp; F948,
         [1]unilever_price_limits!A:A &amp; [1]unilever_price_limits!B:B,
         [1]unilever_price_limits!C:C)</f>
        <v>25</v>
      </c>
      <c r="H948" s="8">
        <f t="shared" si="57"/>
        <v>18.3</v>
      </c>
      <c r="I948" s="6">
        <f t="shared" si="58"/>
        <v>25</v>
      </c>
      <c r="J948" t="str">
        <f t="shared" si="59"/>
        <v>OK</v>
      </c>
    </row>
    <row r="949" spans="1:10" x14ac:dyDescent="0.2">
      <c r="A949">
        <v>10948</v>
      </c>
      <c r="B949" t="s">
        <v>7</v>
      </c>
      <c r="C949" t="s">
        <v>11</v>
      </c>
      <c r="D949" s="8">
        <v>3.87</v>
      </c>
      <c r="E949">
        <v>6</v>
      </c>
      <c r="F949" t="str">
        <f t="shared" si="56"/>
        <v>Standard</v>
      </c>
      <c r="G949" s="3" cm="1">
        <f t="array" ref="G949">_xlfn.XLOOKUP(C949 &amp; F949,
         [1]unilever_price_limits!A:A &amp; [1]unilever_price_limits!B:B,
         [1]unilever_price_limits!C:C)</f>
        <v>25</v>
      </c>
      <c r="H949" s="8">
        <f t="shared" si="57"/>
        <v>4.8375000000000004</v>
      </c>
      <c r="I949" s="6">
        <f t="shared" si="58"/>
        <v>25</v>
      </c>
      <c r="J949" t="str">
        <f t="shared" si="59"/>
        <v>OK</v>
      </c>
    </row>
    <row r="950" spans="1:10" x14ac:dyDescent="0.2">
      <c r="A950">
        <v>10949</v>
      </c>
      <c r="B950" t="s">
        <v>10</v>
      </c>
      <c r="C950" t="s">
        <v>6</v>
      </c>
      <c r="D950" s="8">
        <v>13.28</v>
      </c>
      <c r="E950">
        <v>3</v>
      </c>
      <c r="F950" t="str">
        <f t="shared" si="56"/>
        <v>Value</v>
      </c>
      <c r="G950" s="3" cm="1">
        <f t="array" ref="G950">_xlfn.XLOOKUP(C950 &amp; F950,
         [1]unilever_price_limits!A:A &amp; [1]unilever_price_limits!B:B,
         [1]unilever_price_limits!C:C)</f>
        <v>12</v>
      </c>
      <c r="H950" s="8">
        <f t="shared" si="57"/>
        <v>14.873600000000001</v>
      </c>
      <c r="I950" s="6">
        <f t="shared" si="58"/>
        <v>12.000000000000011</v>
      </c>
      <c r="J950" t="str">
        <f t="shared" si="59"/>
        <v>OK</v>
      </c>
    </row>
    <row r="951" spans="1:10" x14ac:dyDescent="0.2">
      <c r="A951">
        <v>10950</v>
      </c>
      <c r="B951" t="s">
        <v>8</v>
      </c>
      <c r="C951" t="s">
        <v>6</v>
      </c>
      <c r="D951" s="8">
        <v>5.26</v>
      </c>
      <c r="E951">
        <v>10</v>
      </c>
      <c r="F951" t="str">
        <f t="shared" si="56"/>
        <v>Premium</v>
      </c>
      <c r="G951" s="3" cm="1">
        <f t="array" ref="G951">_xlfn.XLOOKUP(C951 &amp; F951,
         [1]unilever_price_limits!A:A &amp; [1]unilever_price_limits!B:B,
         [1]unilever_price_limits!C:C)</f>
        <v>55</v>
      </c>
      <c r="H951" s="8">
        <f t="shared" si="57"/>
        <v>8.1530000000000005</v>
      </c>
      <c r="I951" s="6">
        <f t="shared" si="58"/>
        <v>55.000000000000007</v>
      </c>
      <c r="J951" t="str">
        <f t="shared" si="59"/>
        <v>OK</v>
      </c>
    </row>
    <row r="952" spans="1:10" x14ac:dyDescent="0.2">
      <c r="A952">
        <v>10951</v>
      </c>
      <c r="B952" t="s">
        <v>5</v>
      </c>
      <c r="C952" t="s">
        <v>6</v>
      </c>
      <c r="D952" s="8">
        <v>2.14</v>
      </c>
      <c r="E952">
        <v>10</v>
      </c>
      <c r="F952" t="str">
        <f t="shared" si="56"/>
        <v>Premium</v>
      </c>
      <c r="G952" s="3" cm="1">
        <f t="array" ref="G952">_xlfn.XLOOKUP(C952 &amp; F952,
         [1]unilever_price_limits!A:A &amp; [1]unilever_price_limits!B:B,
         [1]unilever_price_limits!C:C)</f>
        <v>55</v>
      </c>
      <c r="H952" s="8">
        <f t="shared" si="57"/>
        <v>3.3170000000000002</v>
      </c>
      <c r="I952" s="6">
        <f t="shared" si="58"/>
        <v>55.000000000000007</v>
      </c>
      <c r="J952" t="str">
        <f t="shared" si="59"/>
        <v>OK</v>
      </c>
    </row>
    <row r="953" spans="1:10" x14ac:dyDescent="0.2">
      <c r="A953">
        <v>10952</v>
      </c>
      <c r="B953" t="s">
        <v>7</v>
      </c>
      <c r="C953" t="s">
        <v>6</v>
      </c>
      <c r="D953" s="8">
        <v>13.12</v>
      </c>
      <c r="E953">
        <v>7</v>
      </c>
      <c r="F953" t="str">
        <f t="shared" si="56"/>
        <v>Standard</v>
      </c>
      <c r="G953" s="3" cm="1">
        <f t="array" ref="G953">_xlfn.XLOOKUP(C953 &amp; F953,
         [1]unilever_price_limits!A:A &amp; [1]unilever_price_limits!B:B,
         [1]unilever_price_limits!C:C)</f>
        <v>28</v>
      </c>
      <c r="H953" s="8">
        <f t="shared" si="57"/>
        <v>16.793599999999998</v>
      </c>
      <c r="I953" s="6">
        <f t="shared" si="58"/>
        <v>27.999999999999979</v>
      </c>
      <c r="J953" t="str">
        <f t="shared" si="59"/>
        <v>OK</v>
      </c>
    </row>
    <row r="954" spans="1:10" x14ac:dyDescent="0.2">
      <c r="A954">
        <v>10953</v>
      </c>
      <c r="B954" t="s">
        <v>8</v>
      </c>
      <c r="C954" t="s">
        <v>9</v>
      </c>
      <c r="D954" s="8">
        <v>9.7200000000000006</v>
      </c>
      <c r="E954">
        <v>7</v>
      </c>
      <c r="F954" t="str">
        <f t="shared" si="56"/>
        <v>Standard</v>
      </c>
      <c r="G954" s="3" cm="1">
        <f t="array" ref="G954">_xlfn.XLOOKUP(C954 &amp; F954,
         [1]unilever_price_limits!A:A &amp; [1]unilever_price_limits!B:B,
         [1]unilever_price_limits!C:C)</f>
        <v>30</v>
      </c>
      <c r="H954" s="8">
        <f t="shared" si="57"/>
        <v>12.636000000000001</v>
      </c>
      <c r="I954" s="6">
        <f t="shared" si="58"/>
        <v>30.000000000000004</v>
      </c>
      <c r="J954" t="str">
        <f t="shared" si="59"/>
        <v>OK</v>
      </c>
    </row>
    <row r="955" spans="1:10" x14ac:dyDescent="0.2">
      <c r="A955">
        <v>10954</v>
      </c>
      <c r="B955" t="s">
        <v>7</v>
      </c>
      <c r="C955" t="s">
        <v>11</v>
      </c>
      <c r="D955" s="8">
        <v>2.89</v>
      </c>
      <c r="E955">
        <v>5</v>
      </c>
      <c r="F955" t="str">
        <f t="shared" si="56"/>
        <v>Standard</v>
      </c>
      <c r="G955" s="3" cm="1">
        <f t="array" ref="G955">_xlfn.XLOOKUP(C955 &amp; F955,
         [1]unilever_price_limits!A:A &amp; [1]unilever_price_limits!B:B,
         [1]unilever_price_limits!C:C)</f>
        <v>25</v>
      </c>
      <c r="H955" s="8">
        <f t="shared" si="57"/>
        <v>3.6125000000000003</v>
      </c>
      <c r="I955" s="6">
        <f t="shared" si="58"/>
        <v>25</v>
      </c>
      <c r="J955" t="str">
        <f t="shared" si="59"/>
        <v>OK</v>
      </c>
    </row>
    <row r="956" spans="1:10" x14ac:dyDescent="0.2">
      <c r="A956">
        <v>10955</v>
      </c>
      <c r="B956" t="s">
        <v>5</v>
      </c>
      <c r="C956" t="s">
        <v>6</v>
      </c>
      <c r="D956" s="8">
        <v>6.73</v>
      </c>
      <c r="E956">
        <v>3</v>
      </c>
      <c r="F956" t="str">
        <f t="shared" si="56"/>
        <v>Value</v>
      </c>
      <c r="G956" s="3" cm="1">
        <f t="array" ref="G956">_xlfn.XLOOKUP(C956 &amp; F956,
         [1]unilever_price_limits!A:A &amp; [1]unilever_price_limits!B:B,
         [1]unilever_price_limits!C:C)</f>
        <v>12</v>
      </c>
      <c r="H956" s="8">
        <f t="shared" si="57"/>
        <v>7.5376000000000012</v>
      </c>
      <c r="I956" s="6">
        <f t="shared" si="58"/>
        <v>12.000000000000011</v>
      </c>
      <c r="J956" t="str">
        <f t="shared" si="59"/>
        <v>OK</v>
      </c>
    </row>
    <row r="957" spans="1:10" x14ac:dyDescent="0.2">
      <c r="A957">
        <v>10956</v>
      </c>
      <c r="B957" t="s">
        <v>5</v>
      </c>
      <c r="C957" t="s">
        <v>11</v>
      </c>
      <c r="D957" s="8">
        <v>4.67</v>
      </c>
      <c r="E957">
        <v>2</v>
      </c>
      <c r="F957" t="str">
        <f t="shared" si="56"/>
        <v>Value</v>
      </c>
      <c r="G957" s="3" cm="1">
        <f t="array" ref="G957">_xlfn.XLOOKUP(C957 &amp; F957,
         [1]unilever_price_limits!A:A &amp; [1]unilever_price_limits!B:B,
         [1]unilever_price_limits!C:C)</f>
        <v>10</v>
      </c>
      <c r="H957" s="8">
        <f t="shared" si="57"/>
        <v>5.1370000000000005</v>
      </c>
      <c r="I957" s="6">
        <f t="shared" si="58"/>
        <v>10.000000000000009</v>
      </c>
      <c r="J957" t="str">
        <f t="shared" si="59"/>
        <v>OK</v>
      </c>
    </row>
    <row r="958" spans="1:10" x14ac:dyDescent="0.2">
      <c r="A958">
        <v>10957</v>
      </c>
      <c r="B958" t="s">
        <v>7</v>
      </c>
      <c r="C958" t="s">
        <v>11</v>
      </c>
      <c r="D958" s="8">
        <v>11.18</v>
      </c>
      <c r="E958">
        <v>4</v>
      </c>
      <c r="F958" t="str">
        <f t="shared" si="56"/>
        <v>Standard</v>
      </c>
      <c r="G958" s="3" cm="1">
        <f t="array" ref="G958">_xlfn.XLOOKUP(C958 &amp; F958,
         [1]unilever_price_limits!A:A &amp; [1]unilever_price_limits!B:B,
         [1]unilever_price_limits!C:C)</f>
        <v>25</v>
      </c>
      <c r="H958" s="8">
        <f t="shared" si="57"/>
        <v>13.975</v>
      </c>
      <c r="I958" s="6">
        <f t="shared" si="58"/>
        <v>25</v>
      </c>
      <c r="J958" t="str">
        <f t="shared" si="59"/>
        <v>OK</v>
      </c>
    </row>
    <row r="959" spans="1:10" x14ac:dyDescent="0.2">
      <c r="A959">
        <v>10958</v>
      </c>
      <c r="B959" t="s">
        <v>8</v>
      </c>
      <c r="C959" t="s">
        <v>9</v>
      </c>
      <c r="D959" s="8">
        <v>7.07</v>
      </c>
      <c r="E959">
        <v>4</v>
      </c>
      <c r="F959" t="str">
        <f t="shared" si="56"/>
        <v>Standard</v>
      </c>
      <c r="G959" s="3" cm="1">
        <f t="array" ref="G959">_xlfn.XLOOKUP(C959 &amp; F959,
         [1]unilever_price_limits!A:A &amp; [1]unilever_price_limits!B:B,
         [1]unilever_price_limits!C:C)</f>
        <v>30</v>
      </c>
      <c r="H959" s="8">
        <f t="shared" si="57"/>
        <v>9.1910000000000007</v>
      </c>
      <c r="I959" s="6">
        <f t="shared" si="58"/>
        <v>30.000000000000004</v>
      </c>
      <c r="J959" t="str">
        <f t="shared" si="59"/>
        <v>OK</v>
      </c>
    </row>
    <row r="960" spans="1:10" x14ac:dyDescent="0.2">
      <c r="A960">
        <v>10959</v>
      </c>
      <c r="B960" t="s">
        <v>10</v>
      </c>
      <c r="C960" t="s">
        <v>6</v>
      </c>
      <c r="D960" s="8">
        <v>14.84</v>
      </c>
      <c r="E960">
        <v>8</v>
      </c>
      <c r="F960" t="str">
        <f t="shared" si="56"/>
        <v>Premium</v>
      </c>
      <c r="G960" s="3" cm="1">
        <f t="array" ref="G960">_xlfn.XLOOKUP(C960 &amp; F960,
         [1]unilever_price_limits!A:A &amp; [1]unilever_price_limits!B:B,
         [1]unilever_price_limits!C:C)</f>
        <v>55</v>
      </c>
      <c r="H960" s="8">
        <f t="shared" si="57"/>
        <v>23.001999999999999</v>
      </c>
      <c r="I960" s="6">
        <f t="shared" si="58"/>
        <v>55.000000000000007</v>
      </c>
      <c r="J960" t="str">
        <f t="shared" si="59"/>
        <v>OK</v>
      </c>
    </row>
    <row r="961" spans="1:10" x14ac:dyDescent="0.2">
      <c r="A961">
        <v>10960</v>
      </c>
      <c r="B961" t="s">
        <v>5</v>
      </c>
      <c r="C961" t="s">
        <v>6</v>
      </c>
      <c r="D961" s="8">
        <v>1.29</v>
      </c>
      <c r="E961">
        <v>8</v>
      </c>
      <c r="F961" t="str">
        <f t="shared" si="56"/>
        <v>Premium</v>
      </c>
      <c r="G961" s="3" cm="1">
        <f t="array" ref="G961">_xlfn.XLOOKUP(C961 &amp; F961,
         [1]unilever_price_limits!A:A &amp; [1]unilever_price_limits!B:B,
         [1]unilever_price_limits!C:C)</f>
        <v>55</v>
      </c>
      <c r="H961" s="8">
        <f t="shared" si="57"/>
        <v>1.9995000000000001</v>
      </c>
      <c r="I961" s="6">
        <f t="shared" si="58"/>
        <v>55.000000000000007</v>
      </c>
      <c r="J961" t="str">
        <f t="shared" si="59"/>
        <v>OK</v>
      </c>
    </row>
    <row r="962" spans="1:10" x14ac:dyDescent="0.2">
      <c r="A962">
        <v>10961</v>
      </c>
      <c r="B962" t="s">
        <v>8</v>
      </c>
      <c r="C962" t="s">
        <v>11</v>
      </c>
      <c r="D962" s="8">
        <v>5.65</v>
      </c>
      <c r="E962">
        <v>5</v>
      </c>
      <c r="F962" t="str">
        <f t="shared" si="56"/>
        <v>Standard</v>
      </c>
      <c r="G962" s="3" cm="1">
        <f t="array" ref="G962">_xlfn.XLOOKUP(C962 &amp; F962,
         [1]unilever_price_limits!A:A &amp; [1]unilever_price_limits!B:B,
         [1]unilever_price_limits!C:C)</f>
        <v>25</v>
      </c>
      <c r="H962" s="8">
        <f t="shared" si="57"/>
        <v>7.0625</v>
      </c>
      <c r="I962" s="6">
        <f t="shared" si="58"/>
        <v>25</v>
      </c>
      <c r="J962" t="str">
        <f t="shared" si="59"/>
        <v>OK</v>
      </c>
    </row>
    <row r="963" spans="1:10" x14ac:dyDescent="0.2">
      <c r="A963">
        <v>10962</v>
      </c>
      <c r="B963" t="s">
        <v>8</v>
      </c>
      <c r="C963" t="s">
        <v>6</v>
      </c>
      <c r="D963" s="8">
        <v>7.49</v>
      </c>
      <c r="E963">
        <v>6</v>
      </c>
      <c r="F963" t="str">
        <f t="shared" ref="F963:F1026" si="60">IF(E963&lt;=3,"Value",
 IF(E963&lt;=7,"Standard","Premium"))</f>
        <v>Standard</v>
      </c>
      <c r="G963" s="3" cm="1">
        <f t="array" ref="G963">_xlfn.XLOOKUP(C963 &amp; F963,
         [1]unilever_price_limits!A:A &amp; [1]unilever_price_limits!B:B,
         [1]unilever_price_limits!C:C)</f>
        <v>28</v>
      </c>
      <c r="H963" s="8">
        <f t="shared" ref="H963:H1026" si="61">D963 * (1 + G963/100)</f>
        <v>9.5872000000000011</v>
      </c>
      <c r="I963" s="6">
        <f t="shared" ref="I963:I1026" si="62">(H963 / D963 - 1) * 100</f>
        <v>28.000000000000004</v>
      </c>
      <c r="J963" t="str">
        <f t="shared" ref="J963:J1026" si="63">IF(I962&gt; G962, "⚠ Exceeds Limit", "OK")</f>
        <v>OK</v>
      </c>
    </row>
    <row r="964" spans="1:10" x14ac:dyDescent="0.2">
      <c r="A964">
        <v>10963</v>
      </c>
      <c r="B964" t="s">
        <v>10</v>
      </c>
      <c r="C964" t="s">
        <v>11</v>
      </c>
      <c r="D964" s="8">
        <v>7.8</v>
      </c>
      <c r="E964">
        <v>8</v>
      </c>
      <c r="F964" t="str">
        <f t="shared" si="60"/>
        <v>Premium</v>
      </c>
      <c r="G964" s="3" cm="1">
        <f t="array" ref="G964">_xlfn.XLOOKUP(C964 &amp; F964,
         [1]unilever_price_limits!A:A &amp; [1]unilever_price_limits!B:B,
         [1]unilever_price_limits!C:C)</f>
        <v>50</v>
      </c>
      <c r="H964" s="8">
        <f t="shared" si="61"/>
        <v>11.7</v>
      </c>
      <c r="I964" s="6">
        <f t="shared" si="62"/>
        <v>50</v>
      </c>
      <c r="J964" t="str">
        <f t="shared" si="63"/>
        <v>OK</v>
      </c>
    </row>
    <row r="965" spans="1:10" x14ac:dyDescent="0.2">
      <c r="A965">
        <v>10964</v>
      </c>
      <c r="B965" t="s">
        <v>5</v>
      </c>
      <c r="C965" t="s">
        <v>11</v>
      </c>
      <c r="D965" s="8">
        <v>5.08</v>
      </c>
      <c r="E965">
        <v>1</v>
      </c>
      <c r="F965" t="str">
        <f t="shared" si="60"/>
        <v>Value</v>
      </c>
      <c r="G965" s="3" cm="1">
        <f t="array" ref="G965">_xlfn.XLOOKUP(C965 &amp; F965,
         [1]unilever_price_limits!A:A &amp; [1]unilever_price_limits!B:B,
         [1]unilever_price_limits!C:C)</f>
        <v>10</v>
      </c>
      <c r="H965" s="8">
        <f t="shared" si="61"/>
        <v>5.588000000000001</v>
      </c>
      <c r="I965" s="6">
        <f t="shared" si="62"/>
        <v>10.000000000000009</v>
      </c>
      <c r="J965" t="str">
        <f t="shared" si="63"/>
        <v>OK</v>
      </c>
    </row>
    <row r="966" spans="1:10" x14ac:dyDescent="0.2">
      <c r="A966">
        <v>10965</v>
      </c>
      <c r="B966" t="s">
        <v>5</v>
      </c>
      <c r="C966" t="s">
        <v>9</v>
      </c>
      <c r="D966" s="8">
        <v>11.07</v>
      </c>
      <c r="E966">
        <v>5</v>
      </c>
      <c r="F966" t="str">
        <f t="shared" si="60"/>
        <v>Standard</v>
      </c>
      <c r="G966" s="3" cm="1">
        <f t="array" ref="G966">_xlfn.XLOOKUP(C966 &amp; F966,
         [1]unilever_price_limits!A:A &amp; [1]unilever_price_limits!B:B,
         [1]unilever_price_limits!C:C)</f>
        <v>30</v>
      </c>
      <c r="H966" s="8">
        <f t="shared" si="61"/>
        <v>14.391</v>
      </c>
      <c r="I966" s="6">
        <f t="shared" si="62"/>
        <v>30.000000000000004</v>
      </c>
      <c r="J966" t="str">
        <f t="shared" si="63"/>
        <v>OK</v>
      </c>
    </row>
    <row r="967" spans="1:10" x14ac:dyDescent="0.2">
      <c r="A967">
        <v>10966</v>
      </c>
      <c r="B967" t="s">
        <v>8</v>
      </c>
      <c r="C967" t="s">
        <v>9</v>
      </c>
      <c r="D967" s="8">
        <v>13.18</v>
      </c>
      <c r="E967">
        <v>4</v>
      </c>
      <c r="F967" t="str">
        <f t="shared" si="60"/>
        <v>Standard</v>
      </c>
      <c r="G967" s="3" cm="1">
        <f t="array" ref="G967">_xlfn.XLOOKUP(C967 &amp; F967,
         [1]unilever_price_limits!A:A &amp; [1]unilever_price_limits!B:B,
         [1]unilever_price_limits!C:C)</f>
        <v>30</v>
      </c>
      <c r="H967" s="8">
        <f t="shared" si="61"/>
        <v>17.134</v>
      </c>
      <c r="I967" s="6">
        <f t="shared" si="62"/>
        <v>30.000000000000004</v>
      </c>
      <c r="J967" t="str">
        <f t="shared" si="63"/>
        <v>OK</v>
      </c>
    </row>
    <row r="968" spans="1:10" x14ac:dyDescent="0.2">
      <c r="A968">
        <v>10967</v>
      </c>
      <c r="B968" t="s">
        <v>8</v>
      </c>
      <c r="C968" t="s">
        <v>9</v>
      </c>
      <c r="D968" s="8">
        <v>14.11</v>
      </c>
      <c r="E968">
        <v>4</v>
      </c>
      <c r="F968" t="str">
        <f t="shared" si="60"/>
        <v>Standard</v>
      </c>
      <c r="G968" s="3" cm="1">
        <f t="array" ref="G968">_xlfn.XLOOKUP(C968 &amp; F968,
         [1]unilever_price_limits!A:A &amp; [1]unilever_price_limits!B:B,
         [1]unilever_price_limits!C:C)</f>
        <v>30</v>
      </c>
      <c r="H968" s="8">
        <f t="shared" si="61"/>
        <v>18.343</v>
      </c>
      <c r="I968" s="6">
        <f t="shared" si="62"/>
        <v>30.000000000000004</v>
      </c>
      <c r="J968" t="str">
        <f t="shared" si="63"/>
        <v>OK</v>
      </c>
    </row>
    <row r="969" spans="1:10" x14ac:dyDescent="0.2">
      <c r="A969">
        <v>10968</v>
      </c>
      <c r="B969" t="s">
        <v>10</v>
      </c>
      <c r="C969" t="s">
        <v>11</v>
      </c>
      <c r="D969" s="8">
        <v>12.17</v>
      </c>
      <c r="E969">
        <v>2</v>
      </c>
      <c r="F969" t="str">
        <f t="shared" si="60"/>
        <v>Value</v>
      </c>
      <c r="G969" s="3" cm="1">
        <f t="array" ref="G969">_xlfn.XLOOKUP(C969 &amp; F969,
         [1]unilever_price_limits!A:A &amp; [1]unilever_price_limits!B:B,
         [1]unilever_price_limits!C:C)</f>
        <v>10</v>
      </c>
      <c r="H969" s="8">
        <f t="shared" si="61"/>
        <v>13.387</v>
      </c>
      <c r="I969" s="6">
        <f t="shared" si="62"/>
        <v>10.000000000000009</v>
      </c>
      <c r="J969" t="str">
        <f t="shared" si="63"/>
        <v>OK</v>
      </c>
    </row>
    <row r="970" spans="1:10" x14ac:dyDescent="0.2">
      <c r="A970">
        <v>10969</v>
      </c>
      <c r="B970" t="s">
        <v>10</v>
      </c>
      <c r="C970" t="s">
        <v>6</v>
      </c>
      <c r="D970" s="8">
        <v>12.83</v>
      </c>
      <c r="E970">
        <v>10</v>
      </c>
      <c r="F970" t="str">
        <f t="shared" si="60"/>
        <v>Premium</v>
      </c>
      <c r="G970" s="3" cm="1">
        <f t="array" ref="G970">_xlfn.XLOOKUP(C970 &amp; F970,
         [1]unilever_price_limits!A:A &amp; [1]unilever_price_limits!B:B,
         [1]unilever_price_limits!C:C)</f>
        <v>55</v>
      </c>
      <c r="H970" s="8">
        <f t="shared" si="61"/>
        <v>19.886500000000002</v>
      </c>
      <c r="I970" s="6">
        <f t="shared" si="62"/>
        <v>55.000000000000007</v>
      </c>
      <c r="J970" t="str">
        <f t="shared" si="63"/>
        <v>OK</v>
      </c>
    </row>
    <row r="971" spans="1:10" x14ac:dyDescent="0.2">
      <c r="A971">
        <v>10970</v>
      </c>
      <c r="B971" t="s">
        <v>5</v>
      </c>
      <c r="C971" t="s">
        <v>9</v>
      </c>
      <c r="D971" s="8">
        <v>8.48</v>
      </c>
      <c r="E971">
        <v>1</v>
      </c>
      <c r="F971" t="str">
        <f t="shared" si="60"/>
        <v>Value</v>
      </c>
      <c r="G971" s="3" cm="1">
        <f t="array" ref="G971">_xlfn.XLOOKUP(C971 &amp; F971,
         [1]unilever_price_limits!A:A &amp; [1]unilever_price_limits!B:B,
         [1]unilever_price_limits!C:C)</f>
        <v>15</v>
      </c>
      <c r="H971" s="8">
        <f t="shared" si="61"/>
        <v>9.7519999999999989</v>
      </c>
      <c r="I971" s="6">
        <f t="shared" si="62"/>
        <v>14.999999999999991</v>
      </c>
      <c r="J971" t="str">
        <f t="shared" si="63"/>
        <v>OK</v>
      </c>
    </row>
    <row r="972" spans="1:10" x14ac:dyDescent="0.2">
      <c r="A972">
        <v>10971</v>
      </c>
      <c r="B972" t="s">
        <v>7</v>
      </c>
      <c r="C972" t="s">
        <v>6</v>
      </c>
      <c r="D972" s="8">
        <v>12.48</v>
      </c>
      <c r="E972">
        <v>6</v>
      </c>
      <c r="F972" t="str">
        <f t="shared" si="60"/>
        <v>Standard</v>
      </c>
      <c r="G972" s="3" cm="1">
        <f t="array" ref="G972">_xlfn.XLOOKUP(C972 &amp; F972,
         [1]unilever_price_limits!A:A &amp; [1]unilever_price_limits!B:B,
         [1]unilever_price_limits!C:C)</f>
        <v>28</v>
      </c>
      <c r="H972" s="8">
        <f t="shared" si="61"/>
        <v>15.974400000000001</v>
      </c>
      <c r="I972" s="6">
        <f t="shared" si="62"/>
        <v>28.000000000000004</v>
      </c>
      <c r="J972" t="str">
        <f t="shared" si="63"/>
        <v>OK</v>
      </c>
    </row>
    <row r="973" spans="1:10" x14ac:dyDescent="0.2">
      <c r="A973">
        <v>10972</v>
      </c>
      <c r="B973" t="s">
        <v>5</v>
      </c>
      <c r="C973" t="s">
        <v>9</v>
      </c>
      <c r="D973" s="8">
        <v>4.9000000000000004</v>
      </c>
      <c r="E973">
        <v>7</v>
      </c>
      <c r="F973" t="str">
        <f t="shared" si="60"/>
        <v>Standard</v>
      </c>
      <c r="G973" s="3" cm="1">
        <f t="array" ref="G973">_xlfn.XLOOKUP(C973 &amp; F973,
         [1]unilever_price_limits!A:A &amp; [1]unilever_price_limits!B:B,
         [1]unilever_price_limits!C:C)</f>
        <v>30</v>
      </c>
      <c r="H973" s="8">
        <f t="shared" si="61"/>
        <v>6.370000000000001</v>
      </c>
      <c r="I973" s="6">
        <f t="shared" si="62"/>
        <v>30.000000000000004</v>
      </c>
      <c r="J973" t="str">
        <f t="shared" si="63"/>
        <v>OK</v>
      </c>
    </row>
    <row r="974" spans="1:10" x14ac:dyDescent="0.2">
      <c r="A974">
        <v>10973</v>
      </c>
      <c r="B974" t="s">
        <v>8</v>
      </c>
      <c r="C974" t="s">
        <v>9</v>
      </c>
      <c r="D974" s="8">
        <v>6.28</v>
      </c>
      <c r="E974">
        <v>5</v>
      </c>
      <c r="F974" t="str">
        <f t="shared" si="60"/>
        <v>Standard</v>
      </c>
      <c r="G974" s="3" cm="1">
        <f t="array" ref="G974">_xlfn.XLOOKUP(C974 &amp; F974,
         [1]unilever_price_limits!A:A &amp; [1]unilever_price_limits!B:B,
         [1]unilever_price_limits!C:C)</f>
        <v>30</v>
      </c>
      <c r="H974" s="8">
        <f t="shared" si="61"/>
        <v>8.1640000000000015</v>
      </c>
      <c r="I974" s="6">
        <f t="shared" si="62"/>
        <v>30.000000000000028</v>
      </c>
      <c r="J974" t="str">
        <f t="shared" si="63"/>
        <v>OK</v>
      </c>
    </row>
    <row r="975" spans="1:10" x14ac:dyDescent="0.2">
      <c r="A975">
        <v>10974</v>
      </c>
      <c r="B975" t="s">
        <v>5</v>
      </c>
      <c r="C975" t="s">
        <v>11</v>
      </c>
      <c r="D975" s="8">
        <v>5.0999999999999996</v>
      </c>
      <c r="E975">
        <v>8</v>
      </c>
      <c r="F975" t="str">
        <f t="shared" si="60"/>
        <v>Premium</v>
      </c>
      <c r="G975" s="3" cm="1">
        <f t="array" ref="G975">_xlfn.XLOOKUP(C975 &amp; F975,
         [1]unilever_price_limits!A:A &amp; [1]unilever_price_limits!B:B,
         [1]unilever_price_limits!C:C)</f>
        <v>50</v>
      </c>
      <c r="H975" s="8">
        <f t="shared" si="61"/>
        <v>7.6499999999999995</v>
      </c>
      <c r="I975" s="6">
        <f t="shared" si="62"/>
        <v>50</v>
      </c>
      <c r="J975" t="str">
        <f t="shared" si="63"/>
        <v>OK</v>
      </c>
    </row>
    <row r="976" spans="1:10" x14ac:dyDescent="0.2">
      <c r="A976">
        <v>10975</v>
      </c>
      <c r="B976" t="s">
        <v>7</v>
      </c>
      <c r="C976" t="s">
        <v>9</v>
      </c>
      <c r="D976" s="8">
        <v>7.28</v>
      </c>
      <c r="E976">
        <v>9</v>
      </c>
      <c r="F976" t="str">
        <f t="shared" si="60"/>
        <v>Premium</v>
      </c>
      <c r="G976" s="3" cm="1">
        <f t="array" ref="G976">_xlfn.XLOOKUP(C976 &amp; F976,
         [1]unilever_price_limits!A:A &amp; [1]unilever_price_limits!B:B,
         [1]unilever_price_limits!C:C)</f>
        <v>60</v>
      </c>
      <c r="H976" s="8">
        <f t="shared" si="61"/>
        <v>11.648000000000001</v>
      </c>
      <c r="I976" s="6">
        <f t="shared" si="62"/>
        <v>60.000000000000007</v>
      </c>
      <c r="J976" t="str">
        <f t="shared" si="63"/>
        <v>OK</v>
      </c>
    </row>
    <row r="977" spans="1:10" x14ac:dyDescent="0.2">
      <c r="A977">
        <v>10976</v>
      </c>
      <c r="B977" t="s">
        <v>10</v>
      </c>
      <c r="C977" t="s">
        <v>9</v>
      </c>
      <c r="D977" s="8">
        <v>4.6399999999999997</v>
      </c>
      <c r="E977">
        <v>2</v>
      </c>
      <c r="F977" t="str">
        <f t="shared" si="60"/>
        <v>Value</v>
      </c>
      <c r="G977" s="3" cm="1">
        <f t="array" ref="G977">_xlfn.XLOOKUP(C977 &amp; F977,
         [1]unilever_price_limits!A:A &amp; [1]unilever_price_limits!B:B,
         [1]unilever_price_limits!C:C)</f>
        <v>15</v>
      </c>
      <c r="H977" s="8">
        <f t="shared" si="61"/>
        <v>5.3359999999999994</v>
      </c>
      <c r="I977" s="6">
        <f t="shared" si="62"/>
        <v>14.999999999999991</v>
      </c>
      <c r="J977" t="str">
        <f t="shared" si="63"/>
        <v>OK</v>
      </c>
    </row>
    <row r="978" spans="1:10" x14ac:dyDescent="0.2">
      <c r="A978">
        <v>10977</v>
      </c>
      <c r="B978" t="s">
        <v>7</v>
      </c>
      <c r="C978" t="s">
        <v>11</v>
      </c>
      <c r="D978" s="8">
        <v>14.44</v>
      </c>
      <c r="E978">
        <v>4</v>
      </c>
      <c r="F978" t="str">
        <f t="shared" si="60"/>
        <v>Standard</v>
      </c>
      <c r="G978" s="3" cm="1">
        <f t="array" ref="G978">_xlfn.XLOOKUP(C978 &amp; F978,
         [1]unilever_price_limits!A:A &amp; [1]unilever_price_limits!B:B,
         [1]unilever_price_limits!C:C)</f>
        <v>25</v>
      </c>
      <c r="H978" s="8">
        <f t="shared" si="61"/>
        <v>18.05</v>
      </c>
      <c r="I978" s="6">
        <f t="shared" si="62"/>
        <v>25</v>
      </c>
      <c r="J978" t="str">
        <f t="shared" si="63"/>
        <v>OK</v>
      </c>
    </row>
    <row r="979" spans="1:10" x14ac:dyDescent="0.2">
      <c r="A979">
        <v>10978</v>
      </c>
      <c r="B979" t="s">
        <v>7</v>
      </c>
      <c r="C979" t="s">
        <v>6</v>
      </c>
      <c r="D979" s="8">
        <v>5.04</v>
      </c>
      <c r="E979">
        <v>9</v>
      </c>
      <c r="F979" t="str">
        <f t="shared" si="60"/>
        <v>Premium</v>
      </c>
      <c r="G979" s="3" cm="1">
        <f t="array" ref="G979">_xlfn.XLOOKUP(C979 &amp; F979,
         [1]unilever_price_limits!A:A &amp; [1]unilever_price_limits!B:B,
         [1]unilever_price_limits!C:C)</f>
        <v>55</v>
      </c>
      <c r="H979" s="8">
        <f t="shared" si="61"/>
        <v>7.8120000000000003</v>
      </c>
      <c r="I979" s="6">
        <f t="shared" si="62"/>
        <v>55.000000000000007</v>
      </c>
      <c r="J979" t="str">
        <f t="shared" si="63"/>
        <v>OK</v>
      </c>
    </row>
    <row r="980" spans="1:10" x14ac:dyDescent="0.2">
      <c r="A980">
        <v>10979</v>
      </c>
      <c r="B980" t="s">
        <v>7</v>
      </c>
      <c r="C980" t="s">
        <v>9</v>
      </c>
      <c r="D980" s="8">
        <v>1.92</v>
      </c>
      <c r="E980">
        <v>5</v>
      </c>
      <c r="F980" t="str">
        <f t="shared" si="60"/>
        <v>Standard</v>
      </c>
      <c r="G980" s="3" cm="1">
        <f t="array" ref="G980">_xlfn.XLOOKUP(C980 &amp; F980,
         [1]unilever_price_limits!A:A &amp; [1]unilever_price_limits!B:B,
         [1]unilever_price_limits!C:C)</f>
        <v>30</v>
      </c>
      <c r="H980" s="8">
        <f t="shared" si="61"/>
        <v>2.496</v>
      </c>
      <c r="I980" s="6">
        <f t="shared" si="62"/>
        <v>30.000000000000004</v>
      </c>
      <c r="J980" t="str">
        <f t="shared" si="63"/>
        <v>OK</v>
      </c>
    </row>
    <row r="981" spans="1:10" x14ac:dyDescent="0.2">
      <c r="A981">
        <v>10980</v>
      </c>
      <c r="B981" t="s">
        <v>10</v>
      </c>
      <c r="C981" t="s">
        <v>11</v>
      </c>
      <c r="D981" s="8">
        <v>8.14</v>
      </c>
      <c r="E981">
        <v>3</v>
      </c>
      <c r="F981" t="str">
        <f t="shared" si="60"/>
        <v>Value</v>
      </c>
      <c r="G981" s="3" cm="1">
        <f t="array" ref="G981">_xlfn.XLOOKUP(C981 &amp; F981,
         [1]unilever_price_limits!A:A &amp; [1]unilever_price_limits!B:B,
         [1]unilever_price_limits!C:C)</f>
        <v>10</v>
      </c>
      <c r="H981" s="8">
        <f t="shared" si="61"/>
        <v>8.9540000000000006</v>
      </c>
      <c r="I981" s="6">
        <f t="shared" si="62"/>
        <v>10.000000000000009</v>
      </c>
      <c r="J981" t="str">
        <f t="shared" si="63"/>
        <v>OK</v>
      </c>
    </row>
    <row r="982" spans="1:10" x14ac:dyDescent="0.2">
      <c r="A982">
        <v>10981</v>
      </c>
      <c r="B982" t="s">
        <v>7</v>
      </c>
      <c r="C982" t="s">
        <v>9</v>
      </c>
      <c r="D982" s="8">
        <v>1.33</v>
      </c>
      <c r="E982">
        <v>6</v>
      </c>
      <c r="F982" t="str">
        <f t="shared" si="60"/>
        <v>Standard</v>
      </c>
      <c r="G982" s="3" cm="1">
        <f t="array" ref="G982">_xlfn.XLOOKUP(C982 &amp; F982,
         [1]unilever_price_limits!A:A &amp; [1]unilever_price_limits!B:B,
         [1]unilever_price_limits!C:C)</f>
        <v>30</v>
      </c>
      <c r="H982" s="8">
        <f t="shared" si="61"/>
        <v>1.7290000000000001</v>
      </c>
      <c r="I982" s="6">
        <f t="shared" si="62"/>
        <v>30.000000000000004</v>
      </c>
      <c r="J982" t="str">
        <f t="shared" si="63"/>
        <v>OK</v>
      </c>
    </row>
    <row r="983" spans="1:10" x14ac:dyDescent="0.2">
      <c r="A983">
        <v>10982</v>
      </c>
      <c r="B983" t="s">
        <v>7</v>
      </c>
      <c r="C983" t="s">
        <v>11</v>
      </c>
      <c r="D983" s="8">
        <v>2.1</v>
      </c>
      <c r="E983">
        <v>3</v>
      </c>
      <c r="F983" t="str">
        <f t="shared" si="60"/>
        <v>Value</v>
      </c>
      <c r="G983" s="3" cm="1">
        <f t="array" ref="G983">_xlfn.XLOOKUP(C983 &amp; F983,
         [1]unilever_price_limits!A:A &amp; [1]unilever_price_limits!B:B,
         [1]unilever_price_limits!C:C)</f>
        <v>10</v>
      </c>
      <c r="H983" s="8">
        <f t="shared" si="61"/>
        <v>2.3100000000000005</v>
      </c>
      <c r="I983" s="6">
        <f t="shared" si="62"/>
        <v>10.000000000000009</v>
      </c>
      <c r="J983" t="str">
        <f t="shared" si="63"/>
        <v>OK</v>
      </c>
    </row>
    <row r="984" spans="1:10" x14ac:dyDescent="0.2">
      <c r="A984">
        <v>10983</v>
      </c>
      <c r="B984" t="s">
        <v>7</v>
      </c>
      <c r="C984" t="s">
        <v>6</v>
      </c>
      <c r="D984" s="8">
        <v>3.68</v>
      </c>
      <c r="E984">
        <v>5</v>
      </c>
      <c r="F984" t="str">
        <f t="shared" si="60"/>
        <v>Standard</v>
      </c>
      <c r="G984" s="3" cm="1">
        <f t="array" ref="G984">_xlfn.XLOOKUP(C984 &amp; F984,
         [1]unilever_price_limits!A:A &amp; [1]unilever_price_limits!B:B,
         [1]unilever_price_limits!C:C)</f>
        <v>28</v>
      </c>
      <c r="H984" s="8">
        <f t="shared" si="61"/>
        <v>4.7103999999999999</v>
      </c>
      <c r="I984" s="6">
        <f t="shared" si="62"/>
        <v>28.000000000000004</v>
      </c>
      <c r="J984" t="str">
        <f t="shared" si="63"/>
        <v>OK</v>
      </c>
    </row>
    <row r="985" spans="1:10" x14ac:dyDescent="0.2">
      <c r="A985">
        <v>10984</v>
      </c>
      <c r="B985" t="s">
        <v>8</v>
      </c>
      <c r="C985" t="s">
        <v>6</v>
      </c>
      <c r="D985" s="8">
        <v>7.23</v>
      </c>
      <c r="E985">
        <v>3</v>
      </c>
      <c r="F985" t="str">
        <f t="shared" si="60"/>
        <v>Value</v>
      </c>
      <c r="G985" s="3" cm="1">
        <f t="array" ref="G985">_xlfn.XLOOKUP(C985 &amp; F985,
         [1]unilever_price_limits!A:A &amp; [1]unilever_price_limits!B:B,
         [1]unilever_price_limits!C:C)</f>
        <v>12</v>
      </c>
      <c r="H985" s="8">
        <f t="shared" si="61"/>
        <v>8.0976000000000017</v>
      </c>
      <c r="I985" s="6">
        <f t="shared" si="62"/>
        <v>12.000000000000011</v>
      </c>
      <c r="J985" t="str">
        <f t="shared" si="63"/>
        <v>OK</v>
      </c>
    </row>
    <row r="986" spans="1:10" x14ac:dyDescent="0.2">
      <c r="A986">
        <v>10985</v>
      </c>
      <c r="B986" t="s">
        <v>7</v>
      </c>
      <c r="C986" t="s">
        <v>11</v>
      </c>
      <c r="D986" s="8">
        <v>6.78</v>
      </c>
      <c r="E986">
        <v>6</v>
      </c>
      <c r="F986" t="str">
        <f t="shared" si="60"/>
        <v>Standard</v>
      </c>
      <c r="G986" s="3" cm="1">
        <f t="array" ref="G986">_xlfn.XLOOKUP(C986 &amp; F986,
         [1]unilever_price_limits!A:A &amp; [1]unilever_price_limits!B:B,
         [1]unilever_price_limits!C:C)</f>
        <v>25</v>
      </c>
      <c r="H986" s="8">
        <f t="shared" si="61"/>
        <v>8.4749999999999996</v>
      </c>
      <c r="I986" s="6">
        <f t="shared" si="62"/>
        <v>25</v>
      </c>
      <c r="J986" t="str">
        <f t="shared" si="63"/>
        <v>OK</v>
      </c>
    </row>
    <row r="987" spans="1:10" x14ac:dyDescent="0.2">
      <c r="A987">
        <v>10986</v>
      </c>
      <c r="B987" t="s">
        <v>10</v>
      </c>
      <c r="C987" t="s">
        <v>11</v>
      </c>
      <c r="D987" s="8">
        <v>12.1</v>
      </c>
      <c r="E987">
        <v>10</v>
      </c>
      <c r="F987" t="str">
        <f t="shared" si="60"/>
        <v>Premium</v>
      </c>
      <c r="G987" s="3" cm="1">
        <f t="array" ref="G987">_xlfn.XLOOKUP(C987 &amp; F987,
         [1]unilever_price_limits!A:A &amp; [1]unilever_price_limits!B:B,
         [1]unilever_price_limits!C:C)</f>
        <v>50</v>
      </c>
      <c r="H987" s="8">
        <f t="shared" si="61"/>
        <v>18.149999999999999</v>
      </c>
      <c r="I987" s="6">
        <f t="shared" si="62"/>
        <v>50</v>
      </c>
      <c r="J987" t="str">
        <f t="shared" si="63"/>
        <v>OK</v>
      </c>
    </row>
    <row r="988" spans="1:10" x14ac:dyDescent="0.2">
      <c r="A988">
        <v>10987</v>
      </c>
      <c r="B988" t="s">
        <v>7</v>
      </c>
      <c r="C988" t="s">
        <v>11</v>
      </c>
      <c r="D988" s="8">
        <v>11.22</v>
      </c>
      <c r="E988">
        <v>5</v>
      </c>
      <c r="F988" t="str">
        <f t="shared" si="60"/>
        <v>Standard</v>
      </c>
      <c r="G988" s="3" cm="1">
        <f t="array" ref="G988">_xlfn.XLOOKUP(C988 &amp; F988,
         [1]unilever_price_limits!A:A &amp; [1]unilever_price_limits!B:B,
         [1]unilever_price_limits!C:C)</f>
        <v>25</v>
      </c>
      <c r="H988" s="8">
        <f t="shared" si="61"/>
        <v>14.025</v>
      </c>
      <c r="I988" s="6">
        <f t="shared" si="62"/>
        <v>25</v>
      </c>
      <c r="J988" t="str">
        <f t="shared" si="63"/>
        <v>OK</v>
      </c>
    </row>
    <row r="989" spans="1:10" x14ac:dyDescent="0.2">
      <c r="A989">
        <v>10988</v>
      </c>
      <c r="B989" t="s">
        <v>7</v>
      </c>
      <c r="C989" t="s">
        <v>6</v>
      </c>
      <c r="D989" s="8">
        <v>6.68</v>
      </c>
      <c r="E989">
        <v>9</v>
      </c>
      <c r="F989" t="str">
        <f t="shared" si="60"/>
        <v>Premium</v>
      </c>
      <c r="G989" s="3" cm="1">
        <f t="array" ref="G989">_xlfn.XLOOKUP(C989 &amp; F989,
         [1]unilever_price_limits!A:A &amp; [1]unilever_price_limits!B:B,
         [1]unilever_price_limits!C:C)</f>
        <v>55</v>
      </c>
      <c r="H989" s="8">
        <f t="shared" si="61"/>
        <v>10.353999999999999</v>
      </c>
      <c r="I989" s="6">
        <f t="shared" si="62"/>
        <v>55.000000000000007</v>
      </c>
      <c r="J989" t="str">
        <f t="shared" si="63"/>
        <v>OK</v>
      </c>
    </row>
    <row r="990" spans="1:10" x14ac:dyDescent="0.2">
      <c r="A990">
        <v>10989</v>
      </c>
      <c r="B990" t="s">
        <v>10</v>
      </c>
      <c r="C990" t="s">
        <v>9</v>
      </c>
      <c r="D990" s="8">
        <v>5.34</v>
      </c>
      <c r="E990">
        <v>3</v>
      </c>
      <c r="F990" t="str">
        <f t="shared" si="60"/>
        <v>Value</v>
      </c>
      <c r="G990" s="3" cm="1">
        <f t="array" ref="G990">_xlfn.XLOOKUP(C990 &amp; F990,
         [1]unilever_price_limits!A:A &amp; [1]unilever_price_limits!B:B,
         [1]unilever_price_limits!C:C)</f>
        <v>15</v>
      </c>
      <c r="H990" s="8">
        <f t="shared" si="61"/>
        <v>6.1409999999999991</v>
      </c>
      <c r="I990" s="6">
        <f t="shared" si="62"/>
        <v>14.999999999999991</v>
      </c>
      <c r="J990" t="str">
        <f t="shared" si="63"/>
        <v>OK</v>
      </c>
    </row>
    <row r="991" spans="1:10" x14ac:dyDescent="0.2">
      <c r="A991">
        <v>10990</v>
      </c>
      <c r="B991" t="s">
        <v>7</v>
      </c>
      <c r="C991" t="s">
        <v>6</v>
      </c>
      <c r="D991" s="8">
        <v>5.09</v>
      </c>
      <c r="E991">
        <v>6</v>
      </c>
      <c r="F991" t="str">
        <f t="shared" si="60"/>
        <v>Standard</v>
      </c>
      <c r="G991" s="3" cm="1">
        <f t="array" ref="G991">_xlfn.XLOOKUP(C991 &amp; F991,
         [1]unilever_price_limits!A:A &amp; [1]unilever_price_limits!B:B,
         [1]unilever_price_limits!C:C)</f>
        <v>28</v>
      </c>
      <c r="H991" s="8">
        <f t="shared" si="61"/>
        <v>6.5152000000000001</v>
      </c>
      <c r="I991" s="6">
        <f t="shared" si="62"/>
        <v>28.000000000000004</v>
      </c>
      <c r="J991" t="str">
        <f t="shared" si="63"/>
        <v>OK</v>
      </c>
    </row>
    <row r="992" spans="1:10" x14ac:dyDescent="0.2">
      <c r="A992">
        <v>10991</v>
      </c>
      <c r="B992" t="s">
        <v>10</v>
      </c>
      <c r="C992" t="s">
        <v>11</v>
      </c>
      <c r="D992" s="8">
        <v>11.72</v>
      </c>
      <c r="E992">
        <v>8</v>
      </c>
      <c r="F992" t="str">
        <f t="shared" si="60"/>
        <v>Premium</v>
      </c>
      <c r="G992" s="3" cm="1">
        <f t="array" ref="G992">_xlfn.XLOOKUP(C992 &amp; F992,
         [1]unilever_price_limits!A:A &amp; [1]unilever_price_limits!B:B,
         [1]unilever_price_limits!C:C)</f>
        <v>50</v>
      </c>
      <c r="H992" s="8">
        <f t="shared" si="61"/>
        <v>17.580000000000002</v>
      </c>
      <c r="I992" s="6">
        <f t="shared" si="62"/>
        <v>50</v>
      </c>
      <c r="J992" t="str">
        <f t="shared" si="63"/>
        <v>OK</v>
      </c>
    </row>
    <row r="993" spans="1:10" x14ac:dyDescent="0.2">
      <c r="A993">
        <v>10992</v>
      </c>
      <c r="B993" t="s">
        <v>7</v>
      </c>
      <c r="C993" t="s">
        <v>11</v>
      </c>
      <c r="D993" s="8">
        <v>1.26</v>
      </c>
      <c r="E993">
        <v>7</v>
      </c>
      <c r="F993" t="str">
        <f t="shared" si="60"/>
        <v>Standard</v>
      </c>
      <c r="G993" s="3" cm="1">
        <f t="array" ref="G993">_xlfn.XLOOKUP(C993 &amp; F993,
         [1]unilever_price_limits!A:A &amp; [1]unilever_price_limits!B:B,
         [1]unilever_price_limits!C:C)</f>
        <v>25</v>
      </c>
      <c r="H993" s="8">
        <f t="shared" si="61"/>
        <v>1.575</v>
      </c>
      <c r="I993" s="6">
        <f t="shared" si="62"/>
        <v>25</v>
      </c>
      <c r="J993" t="str">
        <f t="shared" si="63"/>
        <v>OK</v>
      </c>
    </row>
    <row r="994" spans="1:10" x14ac:dyDescent="0.2">
      <c r="A994">
        <v>10993</v>
      </c>
      <c r="B994" t="s">
        <v>10</v>
      </c>
      <c r="C994" t="s">
        <v>6</v>
      </c>
      <c r="D994" s="8">
        <v>0.69</v>
      </c>
      <c r="E994">
        <v>6</v>
      </c>
      <c r="F994" t="str">
        <f t="shared" si="60"/>
        <v>Standard</v>
      </c>
      <c r="G994" s="3" cm="1">
        <f t="array" ref="G994">_xlfn.XLOOKUP(C994 &amp; F994,
         [1]unilever_price_limits!A:A &amp; [1]unilever_price_limits!B:B,
         [1]unilever_price_limits!C:C)</f>
        <v>28</v>
      </c>
      <c r="H994" s="8">
        <f t="shared" si="61"/>
        <v>0.88319999999999999</v>
      </c>
      <c r="I994" s="6">
        <f t="shared" si="62"/>
        <v>28.000000000000004</v>
      </c>
      <c r="J994" t="str">
        <f t="shared" si="63"/>
        <v>OK</v>
      </c>
    </row>
    <row r="995" spans="1:10" x14ac:dyDescent="0.2">
      <c r="A995">
        <v>10994</v>
      </c>
      <c r="B995" t="s">
        <v>7</v>
      </c>
      <c r="C995" t="s">
        <v>11</v>
      </c>
      <c r="D995" s="8">
        <v>12.04</v>
      </c>
      <c r="E995">
        <v>2</v>
      </c>
      <c r="F995" t="str">
        <f t="shared" si="60"/>
        <v>Value</v>
      </c>
      <c r="G995" s="3" cm="1">
        <f t="array" ref="G995">_xlfn.XLOOKUP(C995 &amp; F995,
         [1]unilever_price_limits!A:A &amp; [1]unilever_price_limits!B:B,
         [1]unilever_price_limits!C:C)</f>
        <v>10</v>
      </c>
      <c r="H995" s="8">
        <f t="shared" si="61"/>
        <v>13.244</v>
      </c>
      <c r="I995" s="6">
        <f t="shared" si="62"/>
        <v>10.000000000000009</v>
      </c>
      <c r="J995" t="str">
        <f t="shared" si="63"/>
        <v>OK</v>
      </c>
    </row>
    <row r="996" spans="1:10" x14ac:dyDescent="0.2">
      <c r="A996">
        <v>10995</v>
      </c>
      <c r="B996" t="s">
        <v>7</v>
      </c>
      <c r="C996" t="s">
        <v>6</v>
      </c>
      <c r="D996" s="8">
        <v>7.42</v>
      </c>
      <c r="E996">
        <v>7</v>
      </c>
      <c r="F996" t="str">
        <f t="shared" si="60"/>
        <v>Standard</v>
      </c>
      <c r="G996" s="3" cm="1">
        <f t="array" ref="G996">_xlfn.XLOOKUP(C996 &amp; F996,
         [1]unilever_price_limits!A:A &amp; [1]unilever_price_limits!B:B,
         [1]unilever_price_limits!C:C)</f>
        <v>28</v>
      </c>
      <c r="H996" s="8">
        <f t="shared" si="61"/>
        <v>9.4976000000000003</v>
      </c>
      <c r="I996" s="6">
        <f t="shared" si="62"/>
        <v>28.000000000000004</v>
      </c>
      <c r="J996" t="str">
        <f t="shared" si="63"/>
        <v>OK</v>
      </c>
    </row>
    <row r="997" spans="1:10" x14ac:dyDescent="0.2">
      <c r="A997">
        <v>10996</v>
      </c>
      <c r="B997" t="s">
        <v>8</v>
      </c>
      <c r="C997" t="s">
        <v>11</v>
      </c>
      <c r="D997" s="8">
        <v>2.4</v>
      </c>
      <c r="E997">
        <v>8</v>
      </c>
      <c r="F997" t="str">
        <f t="shared" si="60"/>
        <v>Premium</v>
      </c>
      <c r="G997" s="3" cm="1">
        <f t="array" ref="G997">_xlfn.XLOOKUP(C997 &amp; F997,
         [1]unilever_price_limits!A:A &amp; [1]unilever_price_limits!B:B,
         [1]unilever_price_limits!C:C)</f>
        <v>50</v>
      </c>
      <c r="H997" s="8">
        <f t="shared" si="61"/>
        <v>3.5999999999999996</v>
      </c>
      <c r="I997" s="6">
        <f t="shared" si="62"/>
        <v>50</v>
      </c>
      <c r="J997" t="str">
        <f t="shared" si="63"/>
        <v>OK</v>
      </c>
    </row>
    <row r="998" spans="1:10" x14ac:dyDescent="0.2">
      <c r="A998">
        <v>10997</v>
      </c>
      <c r="B998" t="s">
        <v>8</v>
      </c>
      <c r="C998" t="s">
        <v>9</v>
      </c>
      <c r="D998" s="8">
        <v>3.92</v>
      </c>
      <c r="E998">
        <v>1</v>
      </c>
      <c r="F998" t="str">
        <f t="shared" si="60"/>
        <v>Value</v>
      </c>
      <c r="G998" s="3" cm="1">
        <f t="array" ref="G998">_xlfn.XLOOKUP(C998 &amp; F998,
         [1]unilever_price_limits!A:A &amp; [1]unilever_price_limits!B:B,
         [1]unilever_price_limits!C:C)</f>
        <v>15</v>
      </c>
      <c r="H998" s="8">
        <f t="shared" si="61"/>
        <v>4.508</v>
      </c>
      <c r="I998" s="6">
        <f t="shared" si="62"/>
        <v>15.000000000000014</v>
      </c>
      <c r="J998" t="str">
        <f t="shared" si="63"/>
        <v>OK</v>
      </c>
    </row>
    <row r="999" spans="1:10" x14ac:dyDescent="0.2">
      <c r="A999">
        <v>10998</v>
      </c>
      <c r="B999" t="s">
        <v>7</v>
      </c>
      <c r="C999" t="s">
        <v>9</v>
      </c>
      <c r="D999" s="8">
        <v>14.02</v>
      </c>
      <c r="E999">
        <v>9</v>
      </c>
      <c r="F999" t="str">
        <f t="shared" si="60"/>
        <v>Premium</v>
      </c>
      <c r="G999" s="3" cm="1">
        <f t="array" ref="G999">_xlfn.XLOOKUP(C999 &amp; F999,
         [1]unilever_price_limits!A:A &amp; [1]unilever_price_limits!B:B,
         [1]unilever_price_limits!C:C)</f>
        <v>60</v>
      </c>
      <c r="H999" s="8">
        <f t="shared" si="61"/>
        <v>22.432000000000002</v>
      </c>
      <c r="I999" s="6">
        <f t="shared" si="62"/>
        <v>60.000000000000028</v>
      </c>
      <c r="J999" t="str">
        <f t="shared" si="63"/>
        <v>OK</v>
      </c>
    </row>
    <row r="1000" spans="1:10" x14ac:dyDescent="0.2">
      <c r="A1000">
        <v>10999</v>
      </c>
      <c r="B1000" t="s">
        <v>7</v>
      </c>
      <c r="C1000" t="s">
        <v>11</v>
      </c>
      <c r="D1000" s="8">
        <v>12.96</v>
      </c>
      <c r="E1000">
        <v>4</v>
      </c>
      <c r="F1000" t="str">
        <f t="shared" si="60"/>
        <v>Standard</v>
      </c>
      <c r="G1000" s="3" cm="1">
        <f t="array" ref="G1000">_xlfn.XLOOKUP(C1000 &amp; F1000,
         [1]unilever_price_limits!A:A &amp; [1]unilever_price_limits!B:B,
         [1]unilever_price_limits!C:C)</f>
        <v>25</v>
      </c>
      <c r="H1000" s="8">
        <f t="shared" si="61"/>
        <v>16.200000000000003</v>
      </c>
      <c r="I1000" s="6">
        <f t="shared" si="62"/>
        <v>25.000000000000021</v>
      </c>
      <c r="J1000" t="str">
        <f t="shared" si="63"/>
        <v>OK</v>
      </c>
    </row>
    <row r="1001" spans="1:10" x14ac:dyDescent="0.2">
      <c r="A1001">
        <v>11000</v>
      </c>
      <c r="B1001" t="s">
        <v>5</v>
      </c>
      <c r="C1001" t="s">
        <v>6</v>
      </c>
      <c r="D1001" s="8">
        <v>10.79</v>
      </c>
      <c r="E1001">
        <v>8</v>
      </c>
      <c r="F1001" t="str">
        <f t="shared" si="60"/>
        <v>Premium</v>
      </c>
      <c r="G1001" s="3" cm="1">
        <f t="array" ref="G1001">_xlfn.XLOOKUP(C1001 &amp; F1001,
         [1]unilever_price_limits!A:A &amp; [1]unilever_price_limits!B:B,
         [1]unilever_price_limits!C:C)</f>
        <v>55</v>
      </c>
      <c r="H1001" s="8">
        <f t="shared" si="61"/>
        <v>16.724499999999999</v>
      </c>
      <c r="I1001" s="6">
        <f t="shared" si="62"/>
        <v>55.000000000000007</v>
      </c>
      <c r="J1001" t="str">
        <f t="shared" si="63"/>
        <v>OK</v>
      </c>
    </row>
    <row r="1002" spans="1:10" x14ac:dyDescent="0.2">
      <c r="A1002">
        <v>11001</v>
      </c>
      <c r="B1002" t="s">
        <v>10</v>
      </c>
      <c r="C1002" t="s">
        <v>9</v>
      </c>
      <c r="D1002" s="8">
        <v>7.49</v>
      </c>
      <c r="E1002">
        <v>10</v>
      </c>
      <c r="F1002" t="str">
        <f t="shared" si="60"/>
        <v>Premium</v>
      </c>
      <c r="G1002" s="3" cm="1">
        <f t="array" ref="G1002">_xlfn.XLOOKUP(C1002 &amp; F1002,
         [1]unilever_price_limits!A:A &amp; [1]unilever_price_limits!B:B,
         [1]unilever_price_limits!C:C)</f>
        <v>60</v>
      </c>
      <c r="H1002" s="8">
        <f t="shared" si="61"/>
        <v>11.984000000000002</v>
      </c>
      <c r="I1002" s="6">
        <f t="shared" si="62"/>
        <v>60.000000000000007</v>
      </c>
      <c r="J1002" t="str">
        <f t="shared" si="63"/>
        <v>OK</v>
      </c>
    </row>
    <row r="1003" spans="1:10" x14ac:dyDescent="0.2">
      <c r="A1003">
        <v>11002</v>
      </c>
      <c r="B1003" t="s">
        <v>5</v>
      </c>
      <c r="C1003" t="s">
        <v>6</v>
      </c>
      <c r="D1003" s="8">
        <v>8.0399999999999991</v>
      </c>
      <c r="E1003">
        <v>7</v>
      </c>
      <c r="F1003" t="str">
        <f t="shared" si="60"/>
        <v>Standard</v>
      </c>
      <c r="G1003" s="3" cm="1">
        <f t="array" ref="G1003">_xlfn.XLOOKUP(C1003 &amp; F1003,
         [1]unilever_price_limits!A:A &amp; [1]unilever_price_limits!B:B,
         [1]unilever_price_limits!C:C)</f>
        <v>28</v>
      </c>
      <c r="H1003" s="8">
        <f t="shared" si="61"/>
        <v>10.2912</v>
      </c>
      <c r="I1003" s="6">
        <f t="shared" si="62"/>
        <v>28.000000000000004</v>
      </c>
      <c r="J1003" t="str">
        <f t="shared" si="63"/>
        <v>OK</v>
      </c>
    </row>
    <row r="1004" spans="1:10" x14ac:dyDescent="0.2">
      <c r="A1004">
        <v>11003</v>
      </c>
      <c r="B1004" t="s">
        <v>8</v>
      </c>
      <c r="C1004" t="s">
        <v>11</v>
      </c>
      <c r="D1004" s="8">
        <v>14.64</v>
      </c>
      <c r="E1004">
        <v>10</v>
      </c>
      <c r="F1004" t="str">
        <f t="shared" si="60"/>
        <v>Premium</v>
      </c>
      <c r="G1004" s="3" cm="1">
        <f t="array" ref="G1004">_xlfn.XLOOKUP(C1004 &amp; F1004,
         [1]unilever_price_limits!A:A &amp; [1]unilever_price_limits!B:B,
         [1]unilever_price_limits!C:C)</f>
        <v>50</v>
      </c>
      <c r="H1004" s="8">
        <f t="shared" si="61"/>
        <v>21.96</v>
      </c>
      <c r="I1004" s="6">
        <f t="shared" si="62"/>
        <v>50</v>
      </c>
      <c r="J1004" t="str">
        <f t="shared" si="63"/>
        <v>OK</v>
      </c>
    </row>
    <row r="1005" spans="1:10" x14ac:dyDescent="0.2">
      <c r="A1005">
        <v>11004</v>
      </c>
      <c r="B1005" t="s">
        <v>8</v>
      </c>
      <c r="C1005" t="s">
        <v>6</v>
      </c>
      <c r="D1005" s="8">
        <v>14.5</v>
      </c>
      <c r="E1005">
        <v>7</v>
      </c>
      <c r="F1005" t="str">
        <f t="shared" si="60"/>
        <v>Standard</v>
      </c>
      <c r="G1005" s="3" cm="1">
        <f t="array" ref="G1005">_xlfn.XLOOKUP(C1005 &amp; F1005,
         [1]unilever_price_limits!A:A &amp; [1]unilever_price_limits!B:B,
         [1]unilever_price_limits!C:C)</f>
        <v>28</v>
      </c>
      <c r="H1005" s="8">
        <f t="shared" si="61"/>
        <v>18.559999999999999</v>
      </c>
      <c r="I1005" s="6">
        <f t="shared" si="62"/>
        <v>27.999999999999979</v>
      </c>
      <c r="J1005" t="str">
        <f t="shared" si="63"/>
        <v>OK</v>
      </c>
    </row>
    <row r="1006" spans="1:10" x14ac:dyDescent="0.2">
      <c r="A1006">
        <v>11005</v>
      </c>
      <c r="B1006" t="s">
        <v>8</v>
      </c>
      <c r="C1006" t="s">
        <v>9</v>
      </c>
      <c r="D1006" s="8">
        <v>3.62</v>
      </c>
      <c r="E1006">
        <v>2</v>
      </c>
      <c r="F1006" t="str">
        <f t="shared" si="60"/>
        <v>Value</v>
      </c>
      <c r="G1006" s="3" cm="1">
        <f t="array" ref="G1006">_xlfn.XLOOKUP(C1006 &amp; F1006,
         [1]unilever_price_limits!A:A &amp; [1]unilever_price_limits!B:B,
         [1]unilever_price_limits!C:C)</f>
        <v>15</v>
      </c>
      <c r="H1006" s="8">
        <f t="shared" si="61"/>
        <v>4.1629999999999994</v>
      </c>
      <c r="I1006" s="6">
        <f t="shared" si="62"/>
        <v>14.999999999999968</v>
      </c>
      <c r="J1006" t="str">
        <f t="shared" si="63"/>
        <v>OK</v>
      </c>
    </row>
    <row r="1007" spans="1:10" x14ac:dyDescent="0.2">
      <c r="A1007">
        <v>11006</v>
      </c>
      <c r="B1007" t="s">
        <v>8</v>
      </c>
      <c r="C1007" t="s">
        <v>6</v>
      </c>
      <c r="D1007" s="8">
        <v>12.26</v>
      </c>
      <c r="E1007">
        <v>1</v>
      </c>
      <c r="F1007" t="str">
        <f t="shared" si="60"/>
        <v>Value</v>
      </c>
      <c r="G1007" s="3" cm="1">
        <f t="array" ref="G1007">_xlfn.XLOOKUP(C1007 &amp; F1007,
         [1]unilever_price_limits!A:A &amp; [1]unilever_price_limits!B:B,
         [1]unilever_price_limits!C:C)</f>
        <v>12</v>
      </c>
      <c r="H1007" s="8">
        <f t="shared" si="61"/>
        <v>13.731200000000001</v>
      </c>
      <c r="I1007" s="6">
        <f t="shared" si="62"/>
        <v>12.000000000000011</v>
      </c>
      <c r="J1007" t="str">
        <f t="shared" si="63"/>
        <v>OK</v>
      </c>
    </row>
    <row r="1008" spans="1:10" x14ac:dyDescent="0.2">
      <c r="A1008">
        <v>11007</v>
      </c>
      <c r="B1008" t="s">
        <v>7</v>
      </c>
      <c r="C1008" t="s">
        <v>6</v>
      </c>
      <c r="D1008" s="8">
        <v>3.36</v>
      </c>
      <c r="E1008">
        <v>4</v>
      </c>
      <c r="F1008" t="str">
        <f t="shared" si="60"/>
        <v>Standard</v>
      </c>
      <c r="G1008" s="3" cm="1">
        <f t="array" ref="G1008">_xlfn.XLOOKUP(C1008 &amp; F1008,
         [1]unilever_price_limits!A:A &amp; [1]unilever_price_limits!B:B,
         [1]unilever_price_limits!C:C)</f>
        <v>28</v>
      </c>
      <c r="H1008" s="8">
        <f t="shared" si="61"/>
        <v>4.3007999999999997</v>
      </c>
      <c r="I1008" s="6">
        <f t="shared" si="62"/>
        <v>28.000000000000004</v>
      </c>
      <c r="J1008" t="str">
        <f t="shared" si="63"/>
        <v>OK</v>
      </c>
    </row>
    <row r="1009" spans="1:10" x14ac:dyDescent="0.2">
      <c r="A1009">
        <v>11008</v>
      </c>
      <c r="B1009" t="s">
        <v>8</v>
      </c>
      <c r="C1009" t="s">
        <v>11</v>
      </c>
      <c r="D1009" s="8">
        <v>3.6</v>
      </c>
      <c r="E1009">
        <v>2</v>
      </c>
      <c r="F1009" t="str">
        <f t="shared" si="60"/>
        <v>Value</v>
      </c>
      <c r="G1009" s="3" cm="1">
        <f t="array" ref="G1009">_xlfn.XLOOKUP(C1009 &amp; F1009,
         [1]unilever_price_limits!A:A &amp; [1]unilever_price_limits!B:B,
         [1]unilever_price_limits!C:C)</f>
        <v>10</v>
      </c>
      <c r="H1009" s="8">
        <f t="shared" si="61"/>
        <v>3.9600000000000004</v>
      </c>
      <c r="I1009" s="6">
        <f t="shared" si="62"/>
        <v>10.000000000000009</v>
      </c>
      <c r="J1009" t="str">
        <f t="shared" si="63"/>
        <v>OK</v>
      </c>
    </row>
    <row r="1010" spans="1:10" x14ac:dyDescent="0.2">
      <c r="A1010">
        <v>11009</v>
      </c>
      <c r="B1010" t="s">
        <v>7</v>
      </c>
      <c r="C1010" t="s">
        <v>11</v>
      </c>
      <c r="D1010" s="8">
        <v>10.3</v>
      </c>
      <c r="E1010">
        <v>8</v>
      </c>
      <c r="F1010" t="str">
        <f t="shared" si="60"/>
        <v>Premium</v>
      </c>
      <c r="G1010" s="3" cm="1">
        <f t="array" ref="G1010">_xlfn.XLOOKUP(C1010 &amp; F1010,
         [1]unilever_price_limits!A:A &amp; [1]unilever_price_limits!B:B,
         [1]unilever_price_limits!C:C)</f>
        <v>50</v>
      </c>
      <c r="H1010" s="8">
        <f t="shared" si="61"/>
        <v>15.450000000000001</v>
      </c>
      <c r="I1010" s="6">
        <f t="shared" si="62"/>
        <v>50</v>
      </c>
      <c r="J1010" t="str">
        <f t="shared" si="63"/>
        <v>OK</v>
      </c>
    </row>
    <row r="1011" spans="1:10" x14ac:dyDescent="0.2">
      <c r="A1011">
        <v>11010</v>
      </c>
      <c r="B1011" t="s">
        <v>7</v>
      </c>
      <c r="C1011" t="s">
        <v>11</v>
      </c>
      <c r="D1011" s="8">
        <v>6.37</v>
      </c>
      <c r="E1011">
        <v>10</v>
      </c>
      <c r="F1011" t="str">
        <f t="shared" si="60"/>
        <v>Premium</v>
      </c>
      <c r="G1011" s="3" cm="1">
        <f t="array" ref="G1011">_xlfn.XLOOKUP(C1011 &amp; F1011,
         [1]unilever_price_limits!A:A &amp; [1]unilever_price_limits!B:B,
         [1]unilever_price_limits!C:C)</f>
        <v>50</v>
      </c>
      <c r="H1011" s="8">
        <f t="shared" si="61"/>
        <v>9.5549999999999997</v>
      </c>
      <c r="I1011" s="6">
        <f t="shared" si="62"/>
        <v>50</v>
      </c>
      <c r="J1011" t="str">
        <f t="shared" si="63"/>
        <v>OK</v>
      </c>
    </row>
    <row r="1012" spans="1:10" x14ac:dyDescent="0.2">
      <c r="A1012">
        <v>11011</v>
      </c>
      <c r="B1012" t="s">
        <v>8</v>
      </c>
      <c r="C1012" t="s">
        <v>9</v>
      </c>
      <c r="D1012" s="8">
        <v>14.01</v>
      </c>
      <c r="E1012">
        <v>7</v>
      </c>
      <c r="F1012" t="str">
        <f t="shared" si="60"/>
        <v>Standard</v>
      </c>
      <c r="G1012" s="3" cm="1">
        <f t="array" ref="G1012">_xlfn.XLOOKUP(C1012 &amp; F1012,
         [1]unilever_price_limits!A:A &amp; [1]unilever_price_limits!B:B,
         [1]unilever_price_limits!C:C)</f>
        <v>30</v>
      </c>
      <c r="H1012" s="8">
        <f t="shared" si="61"/>
        <v>18.213000000000001</v>
      </c>
      <c r="I1012" s="6">
        <f t="shared" si="62"/>
        <v>30.000000000000004</v>
      </c>
      <c r="J1012" t="str">
        <f t="shared" si="63"/>
        <v>OK</v>
      </c>
    </row>
    <row r="1013" spans="1:10" x14ac:dyDescent="0.2">
      <c r="A1013">
        <v>11012</v>
      </c>
      <c r="B1013" t="s">
        <v>8</v>
      </c>
      <c r="C1013" t="s">
        <v>9</v>
      </c>
      <c r="D1013" s="8">
        <v>1.79</v>
      </c>
      <c r="E1013">
        <v>8</v>
      </c>
      <c r="F1013" t="str">
        <f t="shared" si="60"/>
        <v>Premium</v>
      </c>
      <c r="G1013" s="3" cm="1">
        <f t="array" ref="G1013">_xlfn.XLOOKUP(C1013 &amp; F1013,
         [1]unilever_price_limits!A:A &amp; [1]unilever_price_limits!B:B,
         [1]unilever_price_limits!C:C)</f>
        <v>60</v>
      </c>
      <c r="H1013" s="8">
        <f t="shared" si="61"/>
        <v>2.8640000000000003</v>
      </c>
      <c r="I1013" s="6">
        <f t="shared" si="62"/>
        <v>60.000000000000007</v>
      </c>
      <c r="J1013" t="str">
        <f t="shared" si="63"/>
        <v>OK</v>
      </c>
    </row>
    <row r="1014" spans="1:10" x14ac:dyDescent="0.2">
      <c r="A1014">
        <v>11013</v>
      </c>
      <c r="B1014" t="s">
        <v>10</v>
      </c>
      <c r="C1014" t="s">
        <v>11</v>
      </c>
      <c r="D1014" s="8">
        <v>7.92</v>
      </c>
      <c r="E1014">
        <v>6</v>
      </c>
      <c r="F1014" t="str">
        <f t="shared" si="60"/>
        <v>Standard</v>
      </c>
      <c r="G1014" s="3" cm="1">
        <f t="array" ref="G1014">_xlfn.XLOOKUP(C1014 &amp; F1014,
         [1]unilever_price_limits!A:A &amp; [1]unilever_price_limits!B:B,
         [1]unilever_price_limits!C:C)</f>
        <v>25</v>
      </c>
      <c r="H1014" s="8">
        <f t="shared" si="61"/>
        <v>9.9</v>
      </c>
      <c r="I1014" s="6">
        <f t="shared" si="62"/>
        <v>25</v>
      </c>
      <c r="J1014" t="str">
        <f t="shared" si="63"/>
        <v>OK</v>
      </c>
    </row>
    <row r="1015" spans="1:10" x14ac:dyDescent="0.2">
      <c r="A1015">
        <v>11014</v>
      </c>
      <c r="B1015" t="s">
        <v>5</v>
      </c>
      <c r="C1015" t="s">
        <v>11</v>
      </c>
      <c r="D1015" s="8">
        <v>13.82</v>
      </c>
      <c r="E1015">
        <v>1</v>
      </c>
      <c r="F1015" t="str">
        <f t="shared" si="60"/>
        <v>Value</v>
      </c>
      <c r="G1015" s="3" cm="1">
        <f t="array" ref="G1015">_xlfn.XLOOKUP(C1015 &amp; F1015,
         [1]unilever_price_limits!A:A &amp; [1]unilever_price_limits!B:B,
         [1]unilever_price_limits!C:C)</f>
        <v>10</v>
      </c>
      <c r="H1015" s="8">
        <f t="shared" si="61"/>
        <v>15.202000000000002</v>
      </c>
      <c r="I1015" s="6">
        <f t="shared" si="62"/>
        <v>10.000000000000009</v>
      </c>
      <c r="J1015" t="str">
        <f t="shared" si="63"/>
        <v>OK</v>
      </c>
    </row>
    <row r="1016" spans="1:10" x14ac:dyDescent="0.2">
      <c r="A1016">
        <v>11015</v>
      </c>
      <c r="B1016" t="s">
        <v>8</v>
      </c>
      <c r="C1016" t="s">
        <v>9</v>
      </c>
      <c r="D1016" s="8">
        <v>13.61</v>
      </c>
      <c r="E1016">
        <v>9</v>
      </c>
      <c r="F1016" t="str">
        <f t="shared" si="60"/>
        <v>Premium</v>
      </c>
      <c r="G1016" s="3" cm="1">
        <f t="array" ref="G1016">_xlfn.XLOOKUP(C1016 &amp; F1016,
         [1]unilever_price_limits!A:A &amp; [1]unilever_price_limits!B:B,
         [1]unilever_price_limits!C:C)</f>
        <v>60</v>
      </c>
      <c r="H1016" s="8">
        <f t="shared" si="61"/>
        <v>21.776</v>
      </c>
      <c r="I1016" s="6">
        <f t="shared" si="62"/>
        <v>60.000000000000007</v>
      </c>
      <c r="J1016" t="str">
        <f t="shared" si="63"/>
        <v>OK</v>
      </c>
    </row>
    <row r="1017" spans="1:10" x14ac:dyDescent="0.2">
      <c r="A1017">
        <v>11016</v>
      </c>
      <c r="B1017" t="s">
        <v>10</v>
      </c>
      <c r="C1017" t="s">
        <v>9</v>
      </c>
      <c r="D1017" s="8">
        <v>2.77</v>
      </c>
      <c r="E1017">
        <v>6</v>
      </c>
      <c r="F1017" t="str">
        <f t="shared" si="60"/>
        <v>Standard</v>
      </c>
      <c r="G1017" s="3" cm="1">
        <f t="array" ref="G1017">_xlfn.XLOOKUP(C1017 &amp; F1017,
         [1]unilever_price_limits!A:A &amp; [1]unilever_price_limits!B:B,
         [1]unilever_price_limits!C:C)</f>
        <v>30</v>
      </c>
      <c r="H1017" s="8">
        <f t="shared" si="61"/>
        <v>3.601</v>
      </c>
      <c r="I1017" s="6">
        <f t="shared" si="62"/>
        <v>30.000000000000004</v>
      </c>
      <c r="J1017" t="str">
        <f t="shared" si="63"/>
        <v>OK</v>
      </c>
    </row>
    <row r="1018" spans="1:10" x14ac:dyDescent="0.2">
      <c r="A1018">
        <v>11017</v>
      </c>
      <c r="B1018" t="s">
        <v>10</v>
      </c>
      <c r="C1018" t="s">
        <v>9</v>
      </c>
      <c r="D1018" s="8">
        <v>5.82</v>
      </c>
      <c r="E1018">
        <v>10</v>
      </c>
      <c r="F1018" t="str">
        <f t="shared" si="60"/>
        <v>Premium</v>
      </c>
      <c r="G1018" s="3" cm="1">
        <f t="array" ref="G1018">_xlfn.XLOOKUP(C1018 &amp; F1018,
         [1]unilever_price_limits!A:A &amp; [1]unilever_price_limits!B:B,
         [1]unilever_price_limits!C:C)</f>
        <v>60</v>
      </c>
      <c r="H1018" s="8">
        <f t="shared" si="61"/>
        <v>9.3120000000000012</v>
      </c>
      <c r="I1018" s="6">
        <f t="shared" si="62"/>
        <v>60.000000000000007</v>
      </c>
      <c r="J1018" t="str">
        <f t="shared" si="63"/>
        <v>OK</v>
      </c>
    </row>
    <row r="1019" spans="1:10" x14ac:dyDescent="0.2">
      <c r="A1019">
        <v>11018</v>
      </c>
      <c r="B1019" t="s">
        <v>5</v>
      </c>
      <c r="C1019" t="s">
        <v>9</v>
      </c>
      <c r="D1019" s="8">
        <v>9.48</v>
      </c>
      <c r="E1019">
        <v>1</v>
      </c>
      <c r="F1019" t="str">
        <f t="shared" si="60"/>
        <v>Value</v>
      </c>
      <c r="G1019" s="3" cm="1">
        <f t="array" ref="G1019">_xlfn.XLOOKUP(C1019 &amp; F1019,
         [1]unilever_price_limits!A:A &amp; [1]unilever_price_limits!B:B,
         [1]unilever_price_limits!C:C)</f>
        <v>15</v>
      </c>
      <c r="H1019" s="8">
        <f t="shared" si="61"/>
        <v>10.901999999999999</v>
      </c>
      <c r="I1019" s="6">
        <f t="shared" si="62"/>
        <v>14.999999999999991</v>
      </c>
      <c r="J1019" t="str">
        <f t="shared" si="63"/>
        <v>OK</v>
      </c>
    </row>
    <row r="1020" spans="1:10" x14ac:dyDescent="0.2">
      <c r="A1020">
        <v>11019</v>
      </c>
      <c r="B1020" t="s">
        <v>7</v>
      </c>
      <c r="C1020" t="s">
        <v>11</v>
      </c>
      <c r="D1020" s="8">
        <v>2.81</v>
      </c>
      <c r="E1020">
        <v>1</v>
      </c>
      <c r="F1020" t="str">
        <f t="shared" si="60"/>
        <v>Value</v>
      </c>
      <c r="G1020" s="3" cm="1">
        <f t="array" ref="G1020">_xlfn.XLOOKUP(C1020 &amp; F1020,
         [1]unilever_price_limits!A:A &amp; [1]unilever_price_limits!B:B,
         [1]unilever_price_limits!C:C)</f>
        <v>10</v>
      </c>
      <c r="H1020" s="8">
        <f t="shared" si="61"/>
        <v>3.0910000000000002</v>
      </c>
      <c r="I1020" s="6">
        <f t="shared" si="62"/>
        <v>10.000000000000009</v>
      </c>
      <c r="J1020" t="str">
        <f t="shared" si="63"/>
        <v>OK</v>
      </c>
    </row>
    <row r="1021" spans="1:10" x14ac:dyDescent="0.2">
      <c r="A1021">
        <v>11020</v>
      </c>
      <c r="B1021" t="s">
        <v>8</v>
      </c>
      <c r="C1021" t="s">
        <v>9</v>
      </c>
      <c r="D1021" s="8">
        <v>14.54</v>
      </c>
      <c r="E1021">
        <v>8</v>
      </c>
      <c r="F1021" t="str">
        <f t="shared" si="60"/>
        <v>Premium</v>
      </c>
      <c r="G1021" s="3" cm="1">
        <f t="array" ref="G1021">_xlfn.XLOOKUP(C1021 &amp; F1021,
         [1]unilever_price_limits!A:A &amp; [1]unilever_price_limits!B:B,
         [1]unilever_price_limits!C:C)</f>
        <v>60</v>
      </c>
      <c r="H1021" s="8">
        <f t="shared" si="61"/>
        <v>23.263999999999999</v>
      </c>
      <c r="I1021" s="6">
        <f t="shared" si="62"/>
        <v>60.000000000000007</v>
      </c>
      <c r="J1021" t="str">
        <f t="shared" si="63"/>
        <v>OK</v>
      </c>
    </row>
    <row r="1022" spans="1:10" x14ac:dyDescent="0.2">
      <c r="A1022">
        <v>11021</v>
      </c>
      <c r="B1022" t="s">
        <v>5</v>
      </c>
      <c r="C1022" t="s">
        <v>11</v>
      </c>
      <c r="D1022" s="8">
        <v>13.76</v>
      </c>
      <c r="E1022">
        <v>6</v>
      </c>
      <c r="F1022" t="str">
        <f t="shared" si="60"/>
        <v>Standard</v>
      </c>
      <c r="G1022" s="3" cm="1">
        <f t="array" ref="G1022">_xlfn.XLOOKUP(C1022 &amp; F1022,
         [1]unilever_price_limits!A:A &amp; [1]unilever_price_limits!B:B,
         [1]unilever_price_limits!C:C)</f>
        <v>25</v>
      </c>
      <c r="H1022" s="8">
        <f t="shared" si="61"/>
        <v>17.2</v>
      </c>
      <c r="I1022" s="6">
        <f t="shared" si="62"/>
        <v>25</v>
      </c>
      <c r="J1022" t="str">
        <f t="shared" si="63"/>
        <v>OK</v>
      </c>
    </row>
    <row r="1023" spans="1:10" x14ac:dyDescent="0.2">
      <c r="A1023">
        <v>11022</v>
      </c>
      <c r="B1023" t="s">
        <v>8</v>
      </c>
      <c r="C1023" t="s">
        <v>6</v>
      </c>
      <c r="D1023" s="8">
        <v>2.92</v>
      </c>
      <c r="E1023">
        <v>8</v>
      </c>
      <c r="F1023" t="str">
        <f t="shared" si="60"/>
        <v>Premium</v>
      </c>
      <c r="G1023" s="3" cm="1">
        <f t="array" ref="G1023">_xlfn.XLOOKUP(C1023 &amp; F1023,
         [1]unilever_price_limits!A:A &amp; [1]unilever_price_limits!B:B,
         [1]unilever_price_limits!C:C)</f>
        <v>55</v>
      </c>
      <c r="H1023" s="8">
        <f t="shared" si="61"/>
        <v>4.5259999999999998</v>
      </c>
      <c r="I1023" s="6">
        <f t="shared" si="62"/>
        <v>55.000000000000007</v>
      </c>
      <c r="J1023" t="str">
        <f t="shared" si="63"/>
        <v>OK</v>
      </c>
    </row>
    <row r="1024" spans="1:10" x14ac:dyDescent="0.2">
      <c r="A1024">
        <v>11023</v>
      </c>
      <c r="B1024" t="s">
        <v>10</v>
      </c>
      <c r="C1024" t="s">
        <v>6</v>
      </c>
      <c r="D1024" s="8">
        <v>2.2599999999999998</v>
      </c>
      <c r="E1024">
        <v>8</v>
      </c>
      <c r="F1024" t="str">
        <f t="shared" si="60"/>
        <v>Premium</v>
      </c>
      <c r="G1024" s="3" cm="1">
        <f t="array" ref="G1024">_xlfn.XLOOKUP(C1024 &amp; F1024,
         [1]unilever_price_limits!A:A &amp; [1]unilever_price_limits!B:B,
         [1]unilever_price_limits!C:C)</f>
        <v>55</v>
      </c>
      <c r="H1024" s="8">
        <f t="shared" si="61"/>
        <v>3.5029999999999997</v>
      </c>
      <c r="I1024" s="6">
        <f t="shared" si="62"/>
        <v>55.000000000000007</v>
      </c>
      <c r="J1024" t="str">
        <f t="shared" si="63"/>
        <v>OK</v>
      </c>
    </row>
    <row r="1025" spans="1:10" x14ac:dyDescent="0.2">
      <c r="A1025">
        <v>11024</v>
      </c>
      <c r="B1025" t="s">
        <v>10</v>
      </c>
      <c r="C1025" t="s">
        <v>9</v>
      </c>
      <c r="D1025" s="8">
        <v>1.74</v>
      </c>
      <c r="E1025">
        <v>8</v>
      </c>
      <c r="F1025" t="str">
        <f t="shared" si="60"/>
        <v>Premium</v>
      </c>
      <c r="G1025" s="3" cm="1">
        <f t="array" ref="G1025">_xlfn.XLOOKUP(C1025 &amp; F1025,
         [1]unilever_price_limits!A:A &amp; [1]unilever_price_limits!B:B,
         [1]unilever_price_limits!C:C)</f>
        <v>60</v>
      </c>
      <c r="H1025" s="8">
        <f t="shared" si="61"/>
        <v>2.7840000000000003</v>
      </c>
      <c r="I1025" s="6">
        <f t="shared" si="62"/>
        <v>60.000000000000007</v>
      </c>
      <c r="J1025" t="str">
        <f t="shared" si="63"/>
        <v>OK</v>
      </c>
    </row>
    <row r="1026" spans="1:10" x14ac:dyDescent="0.2">
      <c r="A1026">
        <v>11025</v>
      </c>
      <c r="B1026" t="s">
        <v>7</v>
      </c>
      <c r="C1026" t="s">
        <v>6</v>
      </c>
      <c r="D1026" s="8">
        <v>13.69</v>
      </c>
      <c r="E1026">
        <v>10</v>
      </c>
      <c r="F1026" t="str">
        <f t="shared" si="60"/>
        <v>Premium</v>
      </c>
      <c r="G1026" s="3" cm="1">
        <f t="array" ref="G1026">_xlfn.XLOOKUP(C1026 &amp; F1026,
         [1]unilever_price_limits!A:A &amp; [1]unilever_price_limits!B:B,
         [1]unilever_price_limits!C:C)</f>
        <v>55</v>
      </c>
      <c r="H1026" s="8">
        <f t="shared" si="61"/>
        <v>21.2195</v>
      </c>
      <c r="I1026" s="6">
        <f t="shared" si="62"/>
        <v>55.000000000000007</v>
      </c>
      <c r="J1026" t="str">
        <f t="shared" si="63"/>
        <v>OK</v>
      </c>
    </row>
    <row r="1027" spans="1:10" x14ac:dyDescent="0.2">
      <c r="A1027">
        <v>11026</v>
      </c>
      <c r="B1027" t="s">
        <v>10</v>
      </c>
      <c r="C1027" t="s">
        <v>6</v>
      </c>
      <c r="D1027" s="8">
        <v>3.31</v>
      </c>
      <c r="E1027">
        <v>7</v>
      </c>
      <c r="F1027" t="str">
        <f t="shared" ref="F1027:F1090" si="64">IF(E1027&lt;=3,"Value",
 IF(E1027&lt;=7,"Standard","Premium"))</f>
        <v>Standard</v>
      </c>
      <c r="G1027" s="3" cm="1">
        <f t="array" ref="G1027">_xlfn.XLOOKUP(C1027 &amp; F1027,
         [1]unilever_price_limits!A:A &amp; [1]unilever_price_limits!B:B,
         [1]unilever_price_limits!C:C)</f>
        <v>28</v>
      </c>
      <c r="H1027" s="8">
        <f t="shared" ref="H1027:H1090" si="65">D1027 * (1 + G1027/100)</f>
        <v>4.2368000000000006</v>
      </c>
      <c r="I1027" s="6">
        <f t="shared" ref="I1027:I1090" si="66">(H1027 / D1027 - 1) * 100</f>
        <v>28.000000000000025</v>
      </c>
      <c r="J1027" t="str">
        <f t="shared" ref="J1027:J1090" si="67">IF(I1026&gt; G1026, "⚠ Exceeds Limit", "OK")</f>
        <v>OK</v>
      </c>
    </row>
    <row r="1028" spans="1:10" x14ac:dyDescent="0.2">
      <c r="A1028">
        <v>11027</v>
      </c>
      <c r="B1028" t="s">
        <v>10</v>
      </c>
      <c r="C1028" t="s">
        <v>6</v>
      </c>
      <c r="D1028" s="8">
        <v>6.54</v>
      </c>
      <c r="E1028">
        <v>7</v>
      </c>
      <c r="F1028" t="str">
        <f t="shared" si="64"/>
        <v>Standard</v>
      </c>
      <c r="G1028" s="3" cm="1">
        <f t="array" ref="G1028">_xlfn.XLOOKUP(C1028 &amp; F1028,
         [1]unilever_price_limits!A:A &amp; [1]unilever_price_limits!B:B,
         [1]unilever_price_limits!C:C)</f>
        <v>28</v>
      </c>
      <c r="H1028" s="8">
        <f t="shared" si="65"/>
        <v>8.3712</v>
      </c>
      <c r="I1028" s="6">
        <f t="shared" si="66"/>
        <v>28.000000000000004</v>
      </c>
      <c r="J1028" t="str">
        <f t="shared" si="67"/>
        <v>OK</v>
      </c>
    </row>
    <row r="1029" spans="1:10" x14ac:dyDescent="0.2">
      <c r="A1029">
        <v>11028</v>
      </c>
      <c r="B1029" t="s">
        <v>5</v>
      </c>
      <c r="C1029" t="s">
        <v>9</v>
      </c>
      <c r="D1029" s="8">
        <v>7.01</v>
      </c>
      <c r="E1029">
        <v>10</v>
      </c>
      <c r="F1029" t="str">
        <f t="shared" si="64"/>
        <v>Premium</v>
      </c>
      <c r="G1029" s="3" cm="1">
        <f t="array" ref="G1029">_xlfn.XLOOKUP(C1029 &amp; F1029,
         [1]unilever_price_limits!A:A &amp; [1]unilever_price_limits!B:B,
         [1]unilever_price_limits!C:C)</f>
        <v>60</v>
      </c>
      <c r="H1029" s="8">
        <f t="shared" si="65"/>
        <v>11.216000000000001</v>
      </c>
      <c r="I1029" s="6">
        <f t="shared" si="66"/>
        <v>60.000000000000028</v>
      </c>
      <c r="J1029" t="str">
        <f t="shared" si="67"/>
        <v>OK</v>
      </c>
    </row>
    <row r="1030" spans="1:10" x14ac:dyDescent="0.2">
      <c r="A1030">
        <v>11029</v>
      </c>
      <c r="B1030" t="s">
        <v>8</v>
      </c>
      <c r="C1030" t="s">
        <v>9</v>
      </c>
      <c r="D1030" s="8">
        <v>9.19</v>
      </c>
      <c r="E1030">
        <v>4</v>
      </c>
      <c r="F1030" t="str">
        <f t="shared" si="64"/>
        <v>Standard</v>
      </c>
      <c r="G1030" s="3" cm="1">
        <f t="array" ref="G1030">_xlfn.XLOOKUP(C1030 &amp; F1030,
         [1]unilever_price_limits!A:A &amp; [1]unilever_price_limits!B:B,
         [1]unilever_price_limits!C:C)</f>
        <v>30</v>
      </c>
      <c r="H1030" s="8">
        <f t="shared" si="65"/>
        <v>11.946999999999999</v>
      </c>
      <c r="I1030" s="6">
        <f t="shared" si="66"/>
        <v>30.000000000000004</v>
      </c>
      <c r="J1030" t="str">
        <f t="shared" si="67"/>
        <v>OK</v>
      </c>
    </row>
    <row r="1031" spans="1:10" x14ac:dyDescent="0.2">
      <c r="A1031">
        <v>11030</v>
      </c>
      <c r="B1031" t="s">
        <v>8</v>
      </c>
      <c r="C1031" t="s">
        <v>6</v>
      </c>
      <c r="D1031" s="8">
        <v>1.54</v>
      </c>
      <c r="E1031">
        <v>9</v>
      </c>
      <c r="F1031" t="str">
        <f t="shared" si="64"/>
        <v>Premium</v>
      </c>
      <c r="G1031" s="3" cm="1">
        <f t="array" ref="G1031">_xlfn.XLOOKUP(C1031 &amp; F1031,
         [1]unilever_price_limits!A:A &amp; [1]unilever_price_limits!B:B,
         [1]unilever_price_limits!C:C)</f>
        <v>55</v>
      </c>
      <c r="H1031" s="8">
        <f t="shared" si="65"/>
        <v>2.387</v>
      </c>
      <c r="I1031" s="6">
        <f t="shared" si="66"/>
        <v>55.000000000000007</v>
      </c>
      <c r="J1031" t="str">
        <f t="shared" si="67"/>
        <v>OK</v>
      </c>
    </row>
    <row r="1032" spans="1:10" x14ac:dyDescent="0.2">
      <c r="A1032">
        <v>11031</v>
      </c>
      <c r="B1032" t="s">
        <v>5</v>
      </c>
      <c r="C1032" t="s">
        <v>11</v>
      </c>
      <c r="D1032" s="8">
        <v>3.79</v>
      </c>
      <c r="E1032">
        <v>2</v>
      </c>
      <c r="F1032" t="str">
        <f t="shared" si="64"/>
        <v>Value</v>
      </c>
      <c r="G1032" s="3" cm="1">
        <f t="array" ref="G1032">_xlfn.XLOOKUP(C1032 &amp; F1032,
         [1]unilever_price_limits!A:A &amp; [1]unilever_price_limits!B:B,
         [1]unilever_price_limits!C:C)</f>
        <v>10</v>
      </c>
      <c r="H1032" s="8">
        <f t="shared" si="65"/>
        <v>4.1690000000000005</v>
      </c>
      <c r="I1032" s="6">
        <f t="shared" si="66"/>
        <v>10.000000000000009</v>
      </c>
      <c r="J1032" t="str">
        <f t="shared" si="67"/>
        <v>OK</v>
      </c>
    </row>
    <row r="1033" spans="1:10" x14ac:dyDescent="0.2">
      <c r="A1033">
        <v>11032</v>
      </c>
      <c r="B1033" t="s">
        <v>7</v>
      </c>
      <c r="C1033" t="s">
        <v>6</v>
      </c>
      <c r="D1033" s="8">
        <v>14.01</v>
      </c>
      <c r="E1033">
        <v>9</v>
      </c>
      <c r="F1033" t="str">
        <f t="shared" si="64"/>
        <v>Premium</v>
      </c>
      <c r="G1033" s="3" cm="1">
        <f t="array" ref="G1033">_xlfn.XLOOKUP(C1033 &amp; F1033,
         [1]unilever_price_limits!A:A &amp; [1]unilever_price_limits!B:B,
         [1]unilever_price_limits!C:C)</f>
        <v>55</v>
      </c>
      <c r="H1033" s="8">
        <f t="shared" si="65"/>
        <v>21.715499999999999</v>
      </c>
      <c r="I1033" s="6">
        <f t="shared" si="66"/>
        <v>54.999999999999986</v>
      </c>
      <c r="J1033" t="str">
        <f t="shared" si="67"/>
        <v>OK</v>
      </c>
    </row>
    <row r="1034" spans="1:10" x14ac:dyDescent="0.2">
      <c r="A1034">
        <v>11033</v>
      </c>
      <c r="B1034" t="s">
        <v>8</v>
      </c>
      <c r="C1034" t="s">
        <v>9</v>
      </c>
      <c r="D1034" s="8">
        <v>13.67</v>
      </c>
      <c r="E1034">
        <v>10</v>
      </c>
      <c r="F1034" t="str">
        <f t="shared" si="64"/>
        <v>Premium</v>
      </c>
      <c r="G1034" s="3" cm="1">
        <f t="array" ref="G1034">_xlfn.XLOOKUP(C1034 &amp; F1034,
         [1]unilever_price_limits!A:A &amp; [1]unilever_price_limits!B:B,
         [1]unilever_price_limits!C:C)</f>
        <v>60</v>
      </c>
      <c r="H1034" s="8">
        <f t="shared" si="65"/>
        <v>21.872</v>
      </c>
      <c r="I1034" s="6">
        <f t="shared" si="66"/>
        <v>60.000000000000007</v>
      </c>
      <c r="J1034" t="str">
        <f t="shared" si="67"/>
        <v>OK</v>
      </c>
    </row>
    <row r="1035" spans="1:10" x14ac:dyDescent="0.2">
      <c r="A1035">
        <v>11034</v>
      </c>
      <c r="B1035" t="s">
        <v>10</v>
      </c>
      <c r="C1035" t="s">
        <v>9</v>
      </c>
      <c r="D1035" s="8">
        <v>11.83</v>
      </c>
      <c r="E1035">
        <v>3</v>
      </c>
      <c r="F1035" t="str">
        <f t="shared" si="64"/>
        <v>Value</v>
      </c>
      <c r="G1035" s="3" cm="1">
        <f t="array" ref="G1035">_xlfn.XLOOKUP(C1035 &amp; F1035,
         [1]unilever_price_limits!A:A &amp; [1]unilever_price_limits!B:B,
         [1]unilever_price_limits!C:C)</f>
        <v>15</v>
      </c>
      <c r="H1035" s="8">
        <f t="shared" si="65"/>
        <v>13.6045</v>
      </c>
      <c r="I1035" s="6">
        <f t="shared" si="66"/>
        <v>14.999999999999991</v>
      </c>
      <c r="J1035" t="str">
        <f t="shared" si="67"/>
        <v>OK</v>
      </c>
    </row>
    <row r="1036" spans="1:10" x14ac:dyDescent="0.2">
      <c r="A1036">
        <v>11035</v>
      </c>
      <c r="B1036" t="s">
        <v>8</v>
      </c>
      <c r="C1036" t="s">
        <v>9</v>
      </c>
      <c r="D1036" s="8">
        <v>0.78</v>
      </c>
      <c r="E1036">
        <v>2</v>
      </c>
      <c r="F1036" t="str">
        <f t="shared" si="64"/>
        <v>Value</v>
      </c>
      <c r="G1036" s="3" cm="1">
        <f t="array" ref="G1036">_xlfn.XLOOKUP(C1036 &amp; F1036,
         [1]unilever_price_limits!A:A &amp; [1]unilever_price_limits!B:B,
         [1]unilever_price_limits!C:C)</f>
        <v>15</v>
      </c>
      <c r="H1036" s="8">
        <f t="shared" si="65"/>
        <v>0.89699999999999991</v>
      </c>
      <c r="I1036" s="6">
        <f t="shared" si="66"/>
        <v>14.999999999999991</v>
      </c>
      <c r="J1036" t="str">
        <f t="shared" si="67"/>
        <v>OK</v>
      </c>
    </row>
    <row r="1037" spans="1:10" x14ac:dyDescent="0.2">
      <c r="A1037">
        <v>11036</v>
      </c>
      <c r="B1037" t="s">
        <v>10</v>
      </c>
      <c r="C1037" t="s">
        <v>6</v>
      </c>
      <c r="D1037" s="8">
        <v>5.24</v>
      </c>
      <c r="E1037">
        <v>4</v>
      </c>
      <c r="F1037" t="str">
        <f t="shared" si="64"/>
        <v>Standard</v>
      </c>
      <c r="G1037" s="3" cm="1">
        <f t="array" ref="G1037">_xlfn.XLOOKUP(C1037 &amp; F1037,
         [1]unilever_price_limits!A:A &amp; [1]unilever_price_limits!B:B,
         [1]unilever_price_limits!C:C)</f>
        <v>28</v>
      </c>
      <c r="H1037" s="8">
        <f t="shared" si="65"/>
        <v>6.7072000000000003</v>
      </c>
      <c r="I1037" s="6">
        <f t="shared" si="66"/>
        <v>28.000000000000004</v>
      </c>
      <c r="J1037" t="str">
        <f t="shared" si="67"/>
        <v>OK</v>
      </c>
    </row>
    <row r="1038" spans="1:10" x14ac:dyDescent="0.2">
      <c r="A1038">
        <v>11037</v>
      </c>
      <c r="B1038" t="s">
        <v>7</v>
      </c>
      <c r="C1038" t="s">
        <v>11</v>
      </c>
      <c r="D1038" s="8">
        <v>9.61</v>
      </c>
      <c r="E1038">
        <v>5</v>
      </c>
      <c r="F1038" t="str">
        <f t="shared" si="64"/>
        <v>Standard</v>
      </c>
      <c r="G1038" s="3" cm="1">
        <f t="array" ref="G1038">_xlfn.XLOOKUP(C1038 &amp; F1038,
         [1]unilever_price_limits!A:A &amp; [1]unilever_price_limits!B:B,
         [1]unilever_price_limits!C:C)</f>
        <v>25</v>
      </c>
      <c r="H1038" s="8">
        <f t="shared" si="65"/>
        <v>12.012499999999999</v>
      </c>
      <c r="I1038" s="6">
        <f t="shared" si="66"/>
        <v>25</v>
      </c>
      <c r="J1038" t="str">
        <f t="shared" si="67"/>
        <v>OK</v>
      </c>
    </row>
    <row r="1039" spans="1:10" x14ac:dyDescent="0.2">
      <c r="A1039">
        <v>11038</v>
      </c>
      <c r="B1039" t="s">
        <v>5</v>
      </c>
      <c r="C1039" t="s">
        <v>9</v>
      </c>
      <c r="D1039" s="8">
        <v>4.49</v>
      </c>
      <c r="E1039">
        <v>2</v>
      </c>
      <c r="F1039" t="str">
        <f t="shared" si="64"/>
        <v>Value</v>
      </c>
      <c r="G1039" s="3" cm="1">
        <f t="array" ref="G1039">_xlfn.XLOOKUP(C1039 &amp; F1039,
         [1]unilever_price_limits!A:A &amp; [1]unilever_price_limits!B:B,
         [1]unilever_price_limits!C:C)</f>
        <v>15</v>
      </c>
      <c r="H1039" s="8">
        <f t="shared" si="65"/>
        <v>5.1635</v>
      </c>
      <c r="I1039" s="6">
        <f t="shared" si="66"/>
        <v>14.999999999999991</v>
      </c>
      <c r="J1039" t="str">
        <f t="shared" si="67"/>
        <v>OK</v>
      </c>
    </row>
    <row r="1040" spans="1:10" x14ac:dyDescent="0.2">
      <c r="A1040">
        <v>11039</v>
      </c>
      <c r="B1040" t="s">
        <v>8</v>
      </c>
      <c r="C1040" t="s">
        <v>9</v>
      </c>
      <c r="D1040" s="8">
        <v>13.69</v>
      </c>
      <c r="E1040">
        <v>1</v>
      </c>
      <c r="F1040" t="str">
        <f t="shared" si="64"/>
        <v>Value</v>
      </c>
      <c r="G1040" s="3" cm="1">
        <f t="array" ref="G1040">_xlfn.XLOOKUP(C1040 &amp; F1040,
         [1]unilever_price_limits!A:A &amp; [1]unilever_price_limits!B:B,
         [1]unilever_price_limits!C:C)</f>
        <v>15</v>
      </c>
      <c r="H1040" s="8">
        <f t="shared" si="65"/>
        <v>15.743499999999997</v>
      </c>
      <c r="I1040" s="6">
        <f t="shared" si="66"/>
        <v>14.999999999999991</v>
      </c>
      <c r="J1040" t="str">
        <f t="shared" si="67"/>
        <v>OK</v>
      </c>
    </row>
    <row r="1041" spans="1:10" x14ac:dyDescent="0.2">
      <c r="A1041">
        <v>11040</v>
      </c>
      <c r="B1041" t="s">
        <v>5</v>
      </c>
      <c r="C1041" t="s">
        <v>6</v>
      </c>
      <c r="D1041" s="8">
        <v>9.69</v>
      </c>
      <c r="E1041">
        <v>10</v>
      </c>
      <c r="F1041" t="str">
        <f t="shared" si="64"/>
        <v>Premium</v>
      </c>
      <c r="G1041" s="3" cm="1">
        <f t="array" ref="G1041">_xlfn.XLOOKUP(C1041 &amp; F1041,
         [1]unilever_price_limits!A:A &amp; [1]unilever_price_limits!B:B,
         [1]unilever_price_limits!C:C)</f>
        <v>55</v>
      </c>
      <c r="H1041" s="8">
        <f t="shared" si="65"/>
        <v>15.019499999999999</v>
      </c>
      <c r="I1041" s="6">
        <f t="shared" si="66"/>
        <v>55.000000000000007</v>
      </c>
      <c r="J1041" t="str">
        <f t="shared" si="67"/>
        <v>OK</v>
      </c>
    </row>
    <row r="1042" spans="1:10" x14ac:dyDescent="0.2">
      <c r="A1042">
        <v>11041</v>
      </c>
      <c r="B1042" t="s">
        <v>8</v>
      </c>
      <c r="C1042" t="s">
        <v>11</v>
      </c>
      <c r="D1042" s="8">
        <v>1.54</v>
      </c>
      <c r="E1042">
        <v>5</v>
      </c>
      <c r="F1042" t="str">
        <f t="shared" si="64"/>
        <v>Standard</v>
      </c>
      <c r="G1042" s="3" cm="1">
        <f t="array" ref="G1042">_xlfn.XLOOKUP(C1042 &amp; F1042,
         [1]unilever_price_limits!A:A &amp; [1]unilever_price_limits!B:B,
         [1]unilever_price_limits!C:C)</f>
        <v>25</v>
      </c>
      <c r="H1042" s="8">
        <f t="shared" si="65"/>
        <v>1.925</v>
      </c>
      <c r="I1042" s="6">
        <f t="shared" si="66"/>
        <v>25</v>
      </c>
      <c r="J1042" t="str">
        <f t="shared" si="67"/>
        <v>OK</v>
      </c>
    </row>
    <row r="1043" spans="1:10" x14ac:dyDescent="0.2">
      <c r="A1043">
        <v>11042</v>
      </c>
      <c r="B1043" t="s">
        <v>10</v>
      </c>
      <c r="C1043" t="s">
        <v>6</v>
      </c>
      <c r="D1043" s="8">
        <v>13.68</v>
      </c>
      <c r="E1043">
        <v>9</v>
      </c>
      <c r="F1043" t="str">
        <f t="shared" si="64"/>
        <v>Premium</v>
      </c>
      <c r="G1043" s="3" cm="1">
        <f t="array" ref="G1043">_xlfn.XLOOKUP(C1043 &amp; F1043,
         [1]unilever_price_limits!A:A &amp; [1]unilever_price_limits!B:B,
         [1]unilever_price_limits!C:C)</f>
        <v>55</v>
      </c>
      <c r="H1043" s="8">
        <f t="shared" si="65"/>
        <v>21.204000000000001</v>
      </c>
      <c r="I1043" s="6">
        <f t="shared" si="66"/>
        <v>55.000000000000007</v>
      </c>
      <c r="J1043" t="str">
        <f t="shared" si="67"/>
        <v>OK</v>
      </c>
    </row>
    <row r="1044" spans="1:10" x14ac:dyDescent="0.2">
      <c r="A1044">
        <v>11043</v>
      </c>
      <c r="B1044" t="s">
        <v>5</v>
      </c>
      <c r="C1044" t="s">
        <v>9</v>
      </c>
      <c r="D1044" s="8">
        <v>14.39</v>
      </c>
      <c r="E1044">
        <v>5</v>
      </c>
      <c r="F1044" t="str">
        <f t="shared" si="64"/>
        <v>Standard</v>
      </c>
      <c r="G1044" s="3" cm="1">
        <f t="array" ref="G1044">_xlfn.XLOOKUP(C1044 &amp; F1044,
         [1]unilever_price_limits!A:A &amp; [1]unilever_price_limits!B:B,
         [1]unilever_price_limits!C:C)</f>
        <v>30</v>
      </c>
      <c r="H1044" s="8">
        <f t="shared" si="65"/>
        <v>18.707000000000001</v>
      </c>
      <c r="I1044" s="6">
        <f t="shared" si="66"/>
        <v>30.000000000000004</v>
      </c>
      <c r="J1044" t="str">
        <f t="shared" si="67"/>
        <v>OK</v>
      </c>
    </row>
    <row r="1045" spans="1:10" x14ac:dyDescent="0.2">
      <c r="A1045">
        <v>11044</v>
      </c>
      <c r="B1045" t="s">
        <v>8</v>
      </c>
      <c r="C1045" t="s">
        <v>11</v>
      </c>
      <c r="D1045" s="8">
        <v>1.63</v>
      </c>
      <c r="E1045">
        <v>10</v>
      </c>
      <c r="F1045" t="str">
        <f t="shared" si="64"/>
        <v>Premium</v>
      </c>
      <c r="G1045" s="3" cm="1">
        <f t="array" ref="G1045">_xlfn.XLOOKUP(C1045 &amp; F1045,
         [1]unilever_price_limits!A:A &amp; [1]unilever_price_limits!B:B,
         [1]unilever_price_limits!C:C)</f>
        <v>50</v>
      </c>
      <c r="H1045" s="8">
        <f t="shared" si="65"/>
        <v>2.4449999999999998</v>
      </c>
      <c r="I1045" s="6">
        <f t="shared" si="66"/>
        <v>50</v>
      </c>
      <c r="J1045" t="str">
        <f t="shared" si="67"/>
        <v>OK</v>
      </c>
    </row>
    <row r="1046" spans="1:10" x14ac:dyDescent="0.2">
      <c r="A1046">
        <v>11045</v>
      </c>
      <c r="B1046" t="s">
        <v>10</v>
      </c>
      <c r="C1046" t="s">
        <v>11</v>
      </c>
      <c r="D1046" s="8">
        <v>8.2200000000000006</v>
      </c>
      <c r="E1046">
        <v>9</v>
      </c>
      <c r="F1046" t="str">
        <f t="shared" si="64"/>
        <v>Premium</v>
      </c>
      <c r="G1046" s="3" cm="1">
        <f t="array" ref="G1046">_xlfn.XLOOKUP(C1046 &amp; F1046,
         [1]unilever_price_limits!A:A &amp; [1]unilever_price_limits!B:B,
         [1]unilever_price_limits!C:C)</f>
        <v>50</v>
      </c>
      <c r="H1046" s="8">
        <f t="shared" si="65"/>
        <v>12.330000000000002</v>
      </c>
      <c r="I1046" s="6">
        <f t="shared" si="66"/>
        <v>50</v>
      </c>
      <c r="J1046" t="str">
        <f t="shared" si="67"/>
        <v>OK</v>
      </c>
    </row>
    <row r="1047" spans="1:10" x14ac:dyDescent="0.2">
      <c r="A1047">
        <v>11046</v>
      </c>
      <c r="B1047" t="s">
        <v>5</v>
      </c>
      <c r="C1047" t="s">
        <v>9</v>
      </c>
      <c r="D1047" s="8">
        <v>4.9000000000000004</v>
      </c>
      <c r="E1047">
        <v>10</v>
      </c>
      <c r="F1047" t="str">
        <f t="shared" si="64"/>
        <v>Premium</v>
      </c>
      <c r="G1047" s="3" cm="1">
        <f t="array" ref="G1047">_xlfn.XLOOKUP(C1047 &amp; F1047,
         [1]unilever_price_limits!A:A &amp; [1]unilever_price_limits!B:B,
         [1]unilever_price_limits!C:C)</f>
        <v>60</v>
      </c>
      <c r="H1047" s="8">
        <f t="shared" si="65"/>
        <v>7.8400000000000007</v>
      </c>
      <c r="I1047" s="6">
        <f t="shared" si="66"/>
        <v>60.000000000000007</v>
      </c>
      <c r="J1047" t="str">
        <f t="shared" si="67"/>
        <v>OK</v>
      </c>
    </row>
    <row r="1048" spans="1:10" x14ac:dyDescent="0.2">
      <c r="A1048">
        <v>11047</v>
      </c>
      <c r="B1048" t="s">
        <v>5</v>
      </c>
      <c r="C1048" t="s">
        <v>11</v>
      </c>
      <c r="D1048" s="8">
        <v>6.2</v>
      </c>
      <c r="E1048">
        <v>6</v>
      </c>
      <c r="F1048" t="str">
        <f t="shared" si="64"/>
        <v>Standard</v>
      </c>
      <c r="G1048" s="3" cm="1">
        <f t="array" ref="G1048">_xlfn.XLOOKUP(C1048 &amp; F1048,
         [1]unilever_price_limits!A:A &amp; [1]unilever_price_limits!B:B,
         [1]unilever_price_limits!C:C)</f>
        <v>25</v>
      </c>
      <c r="H1048" s="8">
        <f t="shared" si="65"/>
        <v>7.75</v>
      </c>
      <c r="I1048" s="6">
        <f t="shared" si="66"/>
        <v>25</v>
      </c>
      <c r="J1048" t="str">
        <f t="shared" si="67"/>
        <v>OK</v>
      </c>
    </row>
    <row r="1049" spans="1:10" x14ac:dyDescent="0.2">
      <c r="A1049">
        <v>11048</v>
      </c>
      <c r="B1049" t="s">
        <v>8</v>
      </c>
      <c r="C1049" t="s">
        <v>11</v>
      </c>
      <c r="D1049" s="8">
        <v>3.1</v>
      </c>
      <c r="E1049">
        <v>3</v>
      </c>
      <c r="F1049" t="str">
        <f t="shared" si="64"/>
        <v>Value</v>
      </c>
      <c r="G1049" s="3" cm="1">
        <f t="array" ref="G1049">_xlfn.XLOOKUP(C1049 &amp; F1049,
         [1]unilever_price_limits!A:A &amp; [1]unilever_price_limits!B:B,
         [1]unilever_price_limits!C:C)</f>
        <v>10</v>
      </c>
      <c r="H1049" s="8">
        <f t="shared" si="65"/>
        <v>3.4100000000000006</v>
      </c>
      <c r="I1049" s="6">
        <f t="shared" si="66"/>
        <v>10.000000000000009</v>
      </c>
      <c r="J1049" t="str">
        <f t="shared" si="67"/>
        <v>OK</v>
      </c>
    </row>
    <row r="1050" spans="1:10" x14ac:dyDescent="0.2">
      <c r="A1050">
        <v>11049</v>
      </c>
      <c r="B1050" t="s">
        <v>8</v>
      </c>
      <c r="C1050" t="s">
        <v>6</v>
      </c>
      <c r="D1050" s="8">
        <v>8.8800000000000008</v>
      </c>
      <c r="E1050">
        <v>4</v>
      </c>
      <c r="F1050" t="str">
        <f t="shared" si="64"/>
        <v>Standard</v>
      </c>
      <c r="G1050" s="3" cm="1">
        <f t="array" ref="G1050">_xlfn.XLOOKUP(C1050 &amp; F1050,
         [1]unilever_price_limits!A:A &amp; [1]unilever_price_limits!B:B,
         [1]unilever_price_limits!C:C)</f>
        <v>28</v>
      </c>
      <c r="H1050" s="8">
        <f t="shared" si="65"/>
        <v>11.366400000000001</v>
      </c>
      <c r="I1050" s="6">
        <f t="shared" si="66"/>
        <v>28.000000000000004</v>
      </c>
      <c r="J1050" t="str">
        <f t="shared" si="67"/>
        <v>OK</v>
      </c>
    </row>
    <row r="1051" spans="1:10" x14ac:dyDescent="0.2">
      <c r="A1051">
        <v>11050</v>
      </c>
      <c r="B1051" t="s">
        <v>8</v>
      </c>
      <c r="C1051" t="s">
        <v>9</v>
      </c>
      <c r="D1051" s="8">
        <v>14.39</v>
      </c>
      <c r="E1051">
        <v>4</v>
      </c>
      <c r="F1051" t="str">
        <f t="shared" si="64"/>
        <v>Standard</v>
      </c>
      <c r="G1051" s="3" cm="1">
        <f t="array" ref="G1051">_xlfn.XLOOKUP(C1051 &amp; F1051,
         [1]unilever_price_limits!A:A &amp; [1]unilever_price_limits!B:B,
         [1]unilever_price_limits!C:C)</f>
        <v>30</v>
      </c>
      <c r="H1051" s="8">
        <f t="shared" si="65"/>
        <v>18.707000000000001</v>
      </c>
      <c r="I1051" s="6">
        <f t="shared" si="66"/>
        <v>30.000000000000004</v>
      </c>
      <c r="J1051" t="str">
        <f t="shared" si="67"/>
        <v>OK</v>
      </c>
    </row>
    <row r="1052" spans="1:10" x14ac:dyDescent="0.2">
      <c r="A1052">
        <v>11051</v>
      </c>
      <c r="B1052" t="s">
        <v>10</v>
      </c>
      <c r="C1052" t="s">
        <v>9</v>
      </c>
      <c r="D1052" s="8">
        <v>7.79</v>
      </c>
      <c r="E1052">
        <v>1</v>
      </c>
      <c r="F1052" t="str">
        <f t="shared" si="64"/>
        <v>Value</v>
      </c>
      <c r="G1052" s="3" cm="1">
        <f t="array" ref="G1052">_xlfn.XLOOKUP(C1052 &amp; F1052,
         [1]unilever_price_limits!A:A &amp; [1]unilever_price_limits!B:B,
         [1]unilever_price_limits!C:C)</f>
        <v>15</v>
      </c>
      <c r="H1052" s="8">
        <f t="shared" si="65"/>
        <v>8.958499999999999</v>
      </c>
      <c r="I1052" s="6">
        <f t="shared" si="66"/>
        <v>14.999999999999991</v>
      </c>
      <c r="J1052" t="str">
        <f t="shared" si="67"/>
        <v>OK</v>
      </c>
    </row>
    <row r="1053" spans="1:10" x14ac:dyDescent="0.2">
      <c r="A1053">
        <v>11052</v>
      </c>
      <c r="B1053" t="s">
        <v>8</v>
      </c>
      <c r="C1053" t="s">
        <v>9</v>
      </c>
      <c r="D1053" s="8">
        <v>1.7</v>
      </c>
      <c r="E1053">
        <v>3</v>
      </c>
      <c r="F1053" t="str">
        <f t="shared" si="64"/>
        <v>Value</v>
      </c>
      <c r="G1053" s="3" cm="1">
        <f t="array" ref="G1053">_xlfn.XLOOKUP(C1053 &amp; F1053,
         [1]unilever_price_limits!A:A &amp; [1]unilever_price_limits!B:B,
         [1]unilever_price_limits!C:C)</f>
        <v>15</v>
      </c>
      <c r="H1053" s="8">
        <f t="shared" si="65"/>
        <v>1.9549999999999998</v>
      </c>
      <c r="I1053" s="6">
        <f t="shared" si="66"/>
        <v>14.999999999999991</v>
      </c>
      <c r="J1053" t="str">
        <f t="shared" si="67"/>
        <v>OK</v>
      </c>
    </row>
    <row r="1054" spans="1:10" x14ac:dyDescent="0.2">
      <c r="A1054">
        <v>11053</v>
      </c>
      <c r="B1054" t="s">
        <v>5</v>
      </c>
      <c r="C1054" t="s">
        <v>9</v>
      </c>
      <c r="D1054" s="8">
        <v>9.49</v>
      </c>
      <c r="E1054">
        <v>3</v>
      </c>
      <c r="F1054" t="str">
        <f t="shared" si="64"/>
        <v>Value</v>
      </c>
      <c r="G1054" s="3" cm="1">
        <f t="array" ref="G1054">_xlfn.XLOOKUP(C1054 &amp; F1054,
         [1]unilever_price_limits!A:A &amp; [1]unilever_price_limits!B:B,
         [1]unilever_price_limits!C:C)</f>
        <v>15</v>
      </c>
      <c r="H1054" s="8">
        <f t="shared" si="65"/>
        <v>10.913499999999999</v>
      </c>
      <c r="I1054" s="6">
        <f t="shared" si="66"/>
        <v>14.999999999999991</v>
      </c>
      <c r="J1054" t="str">
        <f t="shared" si="67"/>
        <v>OK</v>
      </c>
    </row>
    <row r="1055" spans="1:10" x14ac:dyDescent="0.2">
      <c r="A1055">
        <v>11054</v>
      </c>
      <c r="B1055" t="s">
        <v>5</v>
      </c>
      <c r="C1055" t="s">
        <v>9</v>
      </c>
      <c r="D1055" s="8">
        <v>5.43</v>
      </c>
      <c r="E1055">
        <v>1</v>
      </c>
      <c r="F1055" t="str">
        <f t="shared" si="64"/>
        <v>Value</v>
      </c>
      <c r="G1055" s="3" cm="1">
        <f t="array" ref="G1055">_xlfn.XLOOKUP(C1055 &amp; F1055,
         [1]unilever_price_limits!A:A &amp; [1]unilever_price_limits!B:B,
         [1]unilever_price_limits!C:C)</f>
        <v>15</v>
      </c>
      <c r="H1055" s="8">
        <f t="shared" si="65"/>
        <v>6.2444999999999995</v>
      </c>
      <c r="I1055" s="6">
        <f t="shared" si="66"/>
        <v>14.999999999999991</v>
      </c>
      <c r="J1055" t="str">
        <f t="shared" si="67"/>
        <v>OK</v>
      </c>
    </row>
    <row r="1056" spans="1:10" x14ac:dyDescent="0.2">
      <c r="A1056">
        <v>11055</v>
      </c>
      <c r="B1056" t="s">
        <v>8</v>
      </c>
      <c r="C1056" t="s">
        <v>11</v>
      </c>
      <c r="D1056" s="8">
        <v>12.91</v>
      </c>
      <c r="E1056">
        <v>9</v>
      </c>
      <c r="F1056" t="str">
        <f t="shared" si="64"/>
        <v>Premium</v>
      </c>
      <c r="G1056" s="3" cm="1">
        <f t="array" ref="G1056">_xlfn.XLOOKUP(C1056 &amp; F1056,
         [1]unilever_price_limits!A:A &amp; [1]unilever_price_limits!B:B,
         [1]unilever_price_limits!C:C)</f>
        <v>50</v>
      </c>
      <c r="H1056" s="8">
        <f t="shared" si="65"/>
        <v>19.365000000000002</v>
      </c>
      <c r="I1056" s="6">
        <f t="shared" si="66"/>
        <v>50.000000000000021</v>
      </c>
      <c r="J1056" t="str">
        <f t="shared" si="67"/>
        <v>OK</v>
      </c>
    </row>
    <row r="1057" spans="1:10" x14ac:dyDescent="0.2">
      <c r="A1057">
        <v>11056</v>
      </c>
      <c r="B1057" t="s">
        <v>8</v>
      </c>
      <c r="C1057" t="s">
        <v>6</v>
      </c>
      <c r="D1057" s="8">
        <v>6.8</v>
      </c>
      <c r="E1057">
        <v>1</v>
      </c>
      <c r="F1057" t="str">
        <f t="shared" si="64"/>
        <v>Value</v>
      </c>
      <c r="G1057" s="3" cm="1">
        <f t="array" ref="G1057">_xlfn.XLOOKUP(C1057 &amp; F1057,
         [1]unilever_price_limits!A:A &amp; [1]unilever_price_limits!B:B,
         [1]unilever_price_limits!C:C)</f>
        <v>12</v>
      </c>
      <c r="H1057" s="8">
        <f t="shared" si="65"/>
        <v>7.6160000000000005</v>
      </c>
      <c r="I1057" s="6">
        <f t="shared" si="66"/>
        <v>12.000000000000011</v>
      </c>
      <c r="J1057" t="str">
        <f t="shared" si="67"/>
        <v>OK</v>
      </c>
    </row>
    <row r="1058" spans="1:10" x14ac:dyDescent="0.2">
      <c r="A1058">
        <v>11057</v>
      </c>
      <c r="B1058" t="s">
        <v>7</v>
      </c>
      <c r="C1058" t="s">
        <v>9</v>
      </c>
      <c r="D1058" s="8">
        <v>3.3</v>
      </c>
      <c r="E1058">
        <v>9</v>
      </c>
      <c r="F1058" t="str">
        <f t="shared" si="64"/>
        <v>Premium</v>
      </c>
      <c r="G1058" s="3" cm="1">
        <f t="array" ref="G1058">_xlfn.XLOOKUP(C1058 &amp; F1058,
         [1]unilever_price_limits!A:A &amp; [1]unilever_price_limits!B:B,
         [1]unilever_price_limits!C:C)</f>
        <v>60</v>
      </c>
      <c r="H1058" s="8">
        <f t="shared" si="65"/>
        <v>5.28</v>
      </c>
      <c r="I1058" s="6">
        <f t="shared" si="66"/>
        <v>60.000000000000007</v>
      </c>
      <c r="J1058" t="str">
        <f t="shared" si="67"/>
        <v>OK</v>
      </c>
    </row>
    <row r="1059" spans="1:10" x14ac:dyDescent="0.2">
      <c r="A1059">
        <v>11058</v>
      </c>
      <c r="B1059" t="s">
        <v>5</v>
      </c>
      <c r="C1059" t="s">
        <v>6</v>
      </c>
      <c r="D1059" s="8">
        <v>3.27</v>
      </c>
      <c r="E1059">
        <v>1</v>
      </c>
      <c r="F1059" t="str">
        <f t="shared" si="64"/>
        <v>Value</v>
      </c>
      <c r="G1059" s="3" cm="1">
        <f t="array" ref="G1059">_xlfn.XLOOKUP(C1059 &amp; F1059,
         [1]unilever_price_limits!A:A &amp; [1]unilever_price_limits!B:B,
         [1]unilever_price_limits!C:C)</f>
        <v>12</v>
      </c>
      <c r="H1059" s="8">
        <f t="shared" si="65"/>
        <v>3.6624000000000003</v>
      </c>
      <c r="I1059" s="6">
        <f t="shared" si="66"/>
        <v>12.000000000000011</v>
      </c>
      <c r="J1059" t="str">
        <f t="shared" si="67"/>
        <v>OK</v>
      </c>
    </row>
    <row r="1060" spans="1:10" x14ac:dyDescent="0.2">
      <c r="A1060">
        <v>11059</v>
      </c>
      <c r="B1060" t="s">
        <v>10</v>
      </c>
      <c r="C1060" t="s">
        <v>6</v>
      </c>
      <c r="D1060" s="8">
        <v>11.65</v>
      </c>
      <c r="E1060">
        <v>2</v>
      </c>
      <c r="F1060" t="str">
        <f t="shared" si="64"/>
        <v>Value</v>
      </c>
      <c r="G1060" s="3" cm="1">
        <f t="array" ref="G1060">_xlfn.XLOOKUP(C1060 &amp; F1060,
         [1]unilever_price_limits!A:A &amp; [1]unilever_price_limits!B:B,
         [1]unilever_price_limits!C:C)</f>
        <v>12</v>
      </c>
      <c r="H1060" s="8">
        <f t="shared" si="65"/>
        <v>13.048000000000002</v>
      </c>
      <c r="I1060" s="6">
        <f t="shared" si="66"/>
        <v>12.000000000000011</v>
      </c>
      <c r="J1060" t="str">
        <f t="shared" si="67"/>
        <v>OK</v>
      </c>
    </row>
    <row r="1061" spans="1:10" x14ac:dyDescent="0.2">
      <c r="A1061">
        <v>11060</v>
      </c>
      <c r="B1061" t="s">
        <v>7</v>
      </c>
      <c r="C1061" t="s">
        <v>11</v>
      </c>
      <c r="D1061" s="8">
        <v>4.3499999999999996</v>
      </c>
      <c r="E1061">
        <v>2</v>
      </c>
      <c r="F1061" t="str">
        <f t="shared" si="64"/>
        <v>Value</v>
      </c>
      <c r="G1061" s="3" cm="1">
        <f t="array" ref="G1061">_xlfn.XLOOKUP(C1061 &amp; F1061,
         [1]unilever_price_limits!A:A &amp; [1]unilever_price_limits!B:B,
         [1]unilever_price_limits!C:C)</f>
        <v>10</v>
      </c>
      <c r="H1061" s="8">
        <f t="shared" si="65"/>
        <v>4.7850000000000001</v>
      </c>
      <c r="I1061" s="6">
        <f t="shared" si="66"/>
        <v>10.000000000000009</v>
      </c>
      <c r="J1061" t="str">
        <f t="shared" si="67"/>
        <v>OK</v>
      </c>
    </row>
    <row r="1062" spans="1:10" x14ac:dyDescent="0.2">
      <c r="A1062">
        <v>11061</v>
      </c>
      <c r="B1062" t="s">
        <v>8</v>
      </c>
      <c r="C1062" t="s">
        <v>9</v>
      </c>
      <c r="D1062" s="8">
        <v>11.62</v>
      </c>
      <c r="E1062">
        <v>6</v>
      </c>
      <c r="F1062" t="str">
        <f t="shared" si="64"/>
        <v>Standard</v>
      </c>
      <c r="G1062" s="3" cm="1">
        <f t="array" ref="G1062">_xlfn.XLOOKUP(C1062 &amp; F1062,
         [1]unilever_price_limits!A:A &amp; [1]unilever_price_limits!B:B,
         [1]unilever_price_limits!C:C)</f>
        <v>30</v>
      </c>
      <c r="H1062" s="8">
        <f t="shared" si="65"/>
        <v>15.106</v>
      </c>
      <c r="I1062" s="6">
        <f t="shared" si="66"/>
        <v>30.000000000000004</v>
      </c>
      <c r="J1062" t="str">
        <f t="shared" si="67"/>
        <v>OK</v>
      </c>
    </row>
    <row r="1063" spans="1:10" x14ac:dyDescent="0.2">
      <c r="A1063">
        <v>11062</v>
      </c>
      <c r="B1063" t="s">
        <v>8</v>
      </c>
      <c r="C1063" t="s">
        <v>11</v>
      </c>
      <c r="D1063" s="8">
        <v>3.49</v>
      </c>
      <c r="E1063">
        <v>7</v>
      </c>
      <c r="F1063" t="str">
        <f t="shared" si="64"/>
        <v>Standard</v>
      </c>
      <c r="G1063" s="3" cm="1">
        <f t="array" ref="G1063">_xlfn.XLOOKUP(C1063 &amp; F1063,
         [1]unilever_price_limits!A:A &amp; [1]unilever_price_limits!B:B,
         [1]unilever_price_limits!C:C)</f>
        <v>25</v>
      </c>
      <c r="H1063" s="8">
        <f t="shared" si="65"/>
        <v>4.3625000000000007</v>
      </c>
      <c r="I1063" s="6">
        <f t="shared" si="66"/>
        <v>25.000000000000021</v>
      </c>
      <c r="J1063" t="str">
        <f t="shared" si="67"/>
        <v>OK</v>
      </c>
    </row>
    <row r="1064" spans="1:10" x14ac:dyDescent="0.2">
      <c r="A1064">
        <v>11063</v>
      </c>
      <c r="B1064" t="s">
        <v>5</v>
      </c>
      <c r="C1064" t="s">
        <v>9</v>
      </c>
      <c r="D1064" s="8">
        <v>5.16</v>
      </c>
      <c r="E1064">
        <v>1</v>
      </c>
      <c r="F1064" t="str">
        <f t="shared" si="64"/>
        <v>Value</v>
      </c>
      <c r="G1064" s="3" cm="1">
        <f t="array" ref="G1064">_xlfn.XLOOKUP(C1064 &amp; F1064,
         [1]unilever_price_limits!A:A &amp; [1]unilever_price_limits!B:B,
         [1]unilever_price_limits!C:C)</f>
        <v>15</v>
      </c>
      <c r="H1064" s="8">
        <f t="shared" si="65"/>
        <v>5.9339999999999993</v>
      </c>
      <c r="I1064" s="6">
        <f t="shared" si="66"/>
        <v>14.999999999999991</v>
      </c>
      <c r="J1064" t="str">
        <f t="shared" si="67"/>
        <v>OK</v>
      </c>
    </row>
    <row r="1065" spans="1:10" x14ac:dyDescent="0.2">
      <c r="A1065">
        <v>11064</v>
      </c>
      <c r="B1065" t="s">
        <v>8</v>
      </c>
      <c r="C1065" t="s">
        <v>11</v>
      </c>
      <c r="D1065" s="8">
        <v>7.25</v>
      </c>
      <c r="E1065">
        <v>3</v>
      </c>
      <c r="F1065" t="str">
        <f t="shared" si="64"/>
        <v>Value</v>
      </c>
      <c r="G1065" s="3" cm="1">
        <f t="array" ref="G1065">_xlfn.XLOOKUP(C1065 &amp; F1065,
         [1]unilever_price_limits!A:A &amp; [1]unilever_price_limits!B:B,
         [1]unilever_price_limits!C:C)</f>
        <v>10</v>
      </c>
      <c r="H1065" s="8">
        <f t="shared" si="65"/>
        <v>7.9750000000000005</v>
      </c>
      <c r="I1065" s="6">
        <f t="shared" si="66"/>
        <v>10.000000000000009</v>
      </c>
      <c r="J1065" t="str">
        <f t="shared" si="67"/>
        <v>OK</v>
      </c>
    </row>
    <row r="1066" spans="1:10" x14ac:dyDescent="0.2">
      <c r="A1066">
        <v>11065</v>
      </c>
      <c r="B1066" t="s">
        <v>10</v>
      </c>
      <c r="C1066" t="s">
        <v>6</v>
      </c>
      <c r="D1066" s="8">
        <v>14.18</v>
      </c>
      <c r="E1066">
        <v>2</v>
      </c>
      <c r="F1066" t="str">
        <f t="shared" si="64"/>
        <v>Value</v>
      </c>
      <c r="G1066" s="3" cm="1">
        <f t="array" ref="G1066">_xlfn.XLOOKUP(C1066 &amp; F1066,
         [1]unilever_price_limits!A:A &amp; [1]unilever_price_limits!B:B,
         [1]unilever_price_limits!C:C)</f>
        <v>12</v>
      </c>
      <c r="H1066" s="8">
        <f t="shared" si="65"/>
        <v>15.881600000000001</v>
      </c>
      <c r="I1066" s="6">
        <f t="shared" si="66"/>
        <v>12.000000000000011</v>
      </c>
      <c r="J1066" t="str">
        <f t="shared" si="67"/>
        <v>OK</v>
      </c>
    </row>
    <row r="1067" spans="1:10" x14ac:dyDescent="0.2">
      <c r="A1067">
        <v>11066</v>
      </c>
      <c r="B1067" t="s">
        <v>5</v>
      </c>
      <c r="C1067" t="s">
        <v>9</v>
      </c>
      <c r="D1067" s="8">
        <v>14.01</v>
      </c>
      <c r="E1067">
        <v>8</v>
      </c>
      <c r="F1067" t="str">
        <f t="shared" si="64"/>
        <v>Premium</v>
      </c>
      <c r="G1067" s="3" cm="1">
        <f t="array" ref="G1067">_xlfn.XLOOKUP(C1067 &amp; F1067,
         [1]unilever_price_limits!A:A &amp; [1]unilever_price_limits!B:B,
         [1]unilever_price_limits!C:C)</f>
        <v>60</v>
      </c>
      <c r="H1067" s="8">
        <f t="shared" si="65"/>
        <v>22.416</v>
      </c>
      <c r="I1067" s="6">
        <f t="shared" si="66"/>
        <v>60.000000000000007</v>
      </c>
      <c r="J1067" t="str">
        <f t="shared" si="67"/>
        <v>OK</v>
      </c>
    </row>
    <row r="1068" spans="1:10" x14ac:dyDescent="0.2">
      <c r="A1068">
        <v>11067</v>
      </c>
      <c r="B1068" t="s">
        <v>8</v>
      </c>
      <c r="C1068" t="s">
        <v>6</v>
      </c>
      <c r="D1068" s="8">
        <v>3.5</v>
      </c>
      <c r="E1068">
        <v>9</v>
      </c>
      <c r="F1068" t="str">
        <f t="shared" si="64"/>
        <v>Premium</v>
      </c>
      <c r="G1068" s="3" cm="1">
        <f t="array" ref="G1068">_xlfn.XLOOKUP(C1068 &amp; F1068,
         [1]unilever_price_limits!A:A &amp; [1]unilever_price_limits!B:B,
         [1]unilever_price_limits!C:C)</f>
        <v>55</v>
      </c>
      <c r="H1068" s="8">
        <f t="shared" si="65"/>
        <v>5.4249999999999998</v>
      </c>
      <c r="I1068" s="6">
        <f t="shared" si="66"/>
        <v>55.000000000000007</v>
      </c>
      <c r="J1068" t="str">
        <f t="shared" si="67"/>
        <v>OK</v>
      </c>
    </row>
    <row r="1069" spans="1:10" x14ac:dyDescent="0.2">
      <c r="A1069">
        <v>11068</v>
      </c>
      <c r="B1069" t="s">
        <v>5</v>
      </c>
      <c r="C1069" t="s">
        <v>6</v>
      </c>
      <c r="D1069" s="8">
        <v>5.69</v>
      </c>
      <c r="E1069">
        <v>2</v>
      </c>
      <c r="F1069" t="str">
        <f t="shared" si="64"/>
        <v>Value</v>
      </c>
      <c r="G1069" s="3" cm="1">
        <f t="array" ref="G1069">_xlfn.XLOOKUP(C1069 &amp; F1069,
         [1]unilever_price_limits!A:A &amp; [1]unilever_price_limits!B:B,
         [1]unilever_price_limits!C:C)</f>
        <v>12</v>
      </c>
      <c r="H1069" s="8">
        <f t="shared" si="65"/>
        <v>6.3728000000000007</v>
      </c>
      <c r="I1069" s="6">
        <f t="shared" si="66"/>
        <v>12.000000000000011</v>
      </c>
      <c r="J1069" t="str">
        <f t="shared" si="67"/>
        <v>OK</v>
      </c>
    </row>
    <row r="1070" spans="1:10" x14ac:dyDescent="0.2">
      <c r="A1070">
        <v>11069</v>
      </c>
      <c r="B1070" t="s">
        <v>8</v>
      </c>
      <c r="C1070" t="s">
        <v>11</v>
      </c>
      <c r="D1070" s="8">
        <v>2.67</v>
      </c>
      <c r="E1070">
        <v>2</v>
      </c>
      <c r="F1070" t="str">
        <f t="shared" si="64"/>
        <v>Value</v>
      </c>
      <c r="G1070" s="3" cm="1">
        <f t="array" ref="G1070">_xlfn.XLOOKUP(C1070 &amp; F1070,
         [1]unilever_price_limits!A:A &amp; [1]unilever_price_limits!B:B,
         [1]unilever_price_limits!C:C)</f>
        <v>10</v>
      </c>
      <c r="H1070" s="8">
        <f t="shared" si="65"/>
        <v>2.9370000000000003</v>
      </c>
      <c r="I1070" s="6">
        <f t="shared" si="66"/>
        <v>10.000000000000009</v>
      </c>
      <c r="J1070" t="str">
        <f t="shared" si="67"/>
        <v>OK</v>
      </c>
    </row>
    <row r="1071" spans="1:10" x14ac:dyDescent="0.2">
      <c r="A1071">
        <v>11070</v>
      </c>
      <c r="B1071" t="s">
        <v>8</v>
      </c>
      <c r="C1071" t="s">
        <v>9</v>
      </c>
      <c r="D1071" s="8">
        <v>7.89</v>
      </c>
      <c r="E1071">
        <v>10</v>
      </c>
      <c r="F1071" t="str">
        <f t="shared" si="64"/>
        <v>Premium</v>
      </c>
      <c r="G1071" s="3" cm="1">
        <f t="array" ref="G1071">_xlfn.XLOOKUP(C1071 &amp; F1071,
         [1]unilever_price_limits!A:A &amp; [1]unilever_price_limits!B:B,
         [1]unilever_price_limits!C:C)</f>
        <v>60</v>
      </c>
      <c r="H1071" s="8">
        <f t="shared" si="65"/>
        <v>12.624000000000001</v>
      </c>
      <c r="I1071" s="6">
        <f t="shared" si="66"/>
        <v>60.000000000000007</v>
      </c>
      <c r="J1071" t="str">
        <f t="shared" si="67"/>
        <v>OK</v>
      </c>
    </row>
    <row r="1072" spans="1:10" x14ac:dyDescent="0.2">
      <c r="A1072">
        <v>11071</v>
      </c>
      <c r="B1072" t="s">
        <v>8</v>
      </c>
      <c r="C1072" t="s">
        <v>6</v>
      </c>
      <c r="D1072" s="8">
        <v>7.18</v>
      </c>
      <c r="E1072">
        <v>9</v>
      </c>
      <c r="F1072" t="str">
        <f t="shared" si="64"/>
        <v>Premium</v>
      </c>
      <c r="G1072" s="3" cm="1">
        <f t="array" ref="G1072">_xlfn.XLOOKUP(C1072 &amp; F1072,
         [1]unilever_price_limits!A:A &amp; [1]unilever_price_limits!B:B,
         [1]unilever_price_limits!C:C)</f>
        <v>55</v>
      </c>
      <c r="H1072" s="8">
        <f t="shared" si="65"/>
        <v>11.129</v>
      </c>
      <c r="I1072" s="6">
        <f t="shared" si="66"/>
        <v>55.000000000000007</v>
      </c>
      <c r="J1072" t="str">
        <f t="shared" si="67"/>
        <v>OK</v>
      </c>
    </row>
    <row r="1073" spans="1:10" x14ac:dyDescent="0.2">
      <c r="A1073">
        <v>11072</v>
      </c>
      <c r="B1073" t="s">
        <v>10</v>
      </c>
      <c r="C1073" t="s">
        <v>11</v>
      </c>
      <c r="D1073" s="8">
        <v>13.56</v>
      </c>
      <c r="E1073">
        <v>4</v>
      </c>
      <c r="F1073" t="str">
        <f t="shared" si="64"/>
        <v>Standard</v>
      </c>
      <c r="G1073" s="3" cm="1">
        <f t="array" ref="G1073">_xlfn.XLOOKUP(C1073 &amp; F1073,
         [1]unilever_price_limits!A:A &amp; [1]unilever_price_limits!B:B,
         [1]unilever_price_limits!C:C)</f>
        <v>25</v>
      </c>
      <c r="H1073" s="8">
        <f t="shared" si="65"/>
        <v>16.95</v>
      </c>
      <c r="I1073" s="6">
        <f t="shared" si="66"/>
        <v>25</v>
      </c>
      <c r="J1073" t="str">
        <f t="shared" si="67"/>
        <v>OK</v>
      </c>
    </row>
    <row r="1074" spans="1:10" x14ac:dyDescent="0.2">
      <c r="A1074">
        <v>11073</v>
      </c>
      <c r="B1074" t="s">
        <v>10</v>
      </c>
      <c r="C1074" t="s">
        <v>9</v>
      </c>
      <c r="D1074" s="8">
        <v>13.99</v>
      </c>
      <c r="E1074">
        <v>5</v>
      </c>
      <c r="F1074" t="str">
        <f t="shared" si="64"/>
        <v>Standard</v>
      </c>
      <c r="G1074" s="3" cm="1">
        <f t="array" ref="G1074">_xlfn.XLOOKUP(C1074 &amp; F1074,
         [1]unilever_price_limits!A:A &amp; [1]unilever_price_limits!B:B,
         [1]unilever_price_limits!C:C)</f>
        <v>30</v>
      </c>
      <c r="H1074" s="8">
        <f t="shared" si="65"/>
        <v>18.187000000000001</v>
      </c>
      <c r="I1074" s="6">
        <f t="shared" si="66"/>
        <v>30.000000000000004</v>
      </c>
      <c r="J1074" t="str">
        <f t="shared" si="67"/>
        <v>OK</v>
      </c>
    </row>
    <row r="1075" spans="1:10" x14ac:dyDescent="0.2">
      <c r="A1075">
        <v>11074</v>
      </c>
      <c r="B1075" t="s">
        <v>5</v>
      </c>
      <c r="C1075" t="s">
        <v>9</v>
      </c>
      <c r="D1075" s="8">
        <v>6.06</v>
      </c>
      <c r="E1075">
        <v>9</v>
      </c>
      <c r="F1075" t="str">
        <f t="shared" si="64"/>
        <v>Premium</v>
      </c>
      <c r="G1075" s="3" cm="1">
        <f t="array" ref="G1075">_xlfn.XLOOKUP(C1075 &amp; F1075,
         [1]unilever_price_limits!A:A &amp; [1]unilever_price_limits!B:B,
         [1]unilever_price_limits!C:C)</f>
        <v>60</v>
      </c>
      <c r="H1075" s="8">
        <f t="shared" si="65"/>
        <v>9.6959999999999997</v>
      </c>
      <c r="I1075" s="6">
        <f t="shared" si="66"/>
        <v>60.000000000000007</v>
      </c>
      <c r="J1075" t="str">
        <f t="shared" si="67"/>
        <v>OK</v>
      </c>
    </row>
    <row r="1076" spans="1:10" x14ac:dyDescent="0.2">
      <c r="A1076">
        <v>11075</v>
      </c>
      <c r="B1076" t="s">
        <v>8</v>
      </c>
      <c r="C1076" t="s">
        <v>6</v>
      </c>
      <c r="D1076" s="8">
        <v>7.63</v>
      </c>
      <c r="E1076">
        <v>6</v>
      </c>
      <c r="F1076" t="str">
        <f t="shared" si="64"/>
        <v>Standard</v>
      </c>
      <c r="G1076" s="3" cm="1">
        <f t="array" ref="G1076">_xlfn.XLOOKUP(C1076 &amp; F1076,
         [1]unilever_price_limits!A:A &amp; [1]unilever_price_limits!B:B,
         [1]unilever_price_limits!C:C)</f>
        <v>28</v>
      </c>
      <c r="H1076" s="8">
        <f t="shared" si="65"/>
        <v>9.7664000000000009</v>
      </c>
      <c r="I1076" s="6">
        <f t="shared" si="66"/>
        <v>28.000000000000004</v>
      </c>
      <c r="J1076" t="str">
        <f t="shared" si="67"/>
        <v>OK</v>
      </c>
    </row>
    <row r="1077" spans="1:10" x14ac:dyDescent="0.2">
      <c r="A1077">
        <v>11076</v>
      </c>
      <c r="B1077" t="s">
        <v>8</v>
      </c>
      <c r="C1077" t="s">
        <v>9</v>
      </c>
      <c r="D1077" s="8">
        <v>13.5</v>
      </c>
      <c r="E1077">
        <v>10</v>
      </c>
      <c r="F1077" t="str">
        <f t="shared" si="64"/>
        <v>Premium</v>
      </c>
      <c r="G1077" s="3" cm="1">
        <f t="array" ref="G1077">_xlfn.XLOOKUP(C1077 &amp; F1077,
         [1]unilever_price_limits!A:A &amp; [1]unilever_price_limits!B:B,
         [1]unilever_price_limits!C:C)</f>
        <v>60</v>
      </c>
      <c r="H1077" s="8">
        <f t="shared" si="65"/>
        <v>21.6</v>
      </c>
      <c r="I1077" s="6">
        <f t="shared" si="66"/>
        <v>60.000000000000007</v>
      </c>
      <c r="J1077" t="str">
        <f t="shared" si="67"/>
        <v>OK</v>
      </c>
    </row>
    <row r="1078" spans="1:10" x14ac:dyDescent="0.2">
      <c r="A1078">
        <v>11077</v>
      </c>
      <c r="B1078" t="s">
        <v>10</v>
      </c>
      <c r="C1078" t="s">
        <v>6</v>
      </c>
      <c r="D1078" s="8">
        <v>12.2</v>
      </c>
      <c r="E1078">
        <v>9</v>
      </c>
      <c r="F1078" t="str">
        <f t="shared" si="64"/>
        <v>Premium</v>
      </c>
      <c r="G1078" s="3" cm="1">
        <f t="array" ref="G1078">_xlfn.XLOOKUP(C1078 &amp; F1078,
         [1]unilever_price_limits!A:A &amp; [1]unilever_price_limits!B:B,
         [1]unilever_price_limits!C:C)</f>
        <v>55</v>
      </c>
      <c r="H1078" s="8">
        <f t="shared" si="65"/>
        <v>18.91</v>
      </c>
      <c r="I1078" s="6">
        <f t="shared" si="66"/>
        <v>55.000000000000007</v>
      </c>
      <c r="J1078" t="str">
        <f t="shared" si="67"/>
        <v>OK</v>
      </c>
    </row>
    <row r="1079" spans="1:10" x14ac:dyDescent="0.2">
      <c r="A1079">
        <v>11078</v>
      </c>
      <c r="B1079" t="s">
        <v>8</v>
      </c>
      <c r="C1079" t="s">
        <v>9</v>
      </c>
      <c r="D1079" s="8">
        <v>0.55000000000000004</v>
      </c>
      <c r="E1079">
        <v>9</v>
      </c>
      <c r="F1079" t="str">
        <f t="shared" si="64"/>
        <v>Premium</v>
      </c>
      <c r="G1079" s="3" cm="1">
        <f t="array" ref="G1079">_xlfn.XLOOKUP(C1079 &amp; F1079,
         [1]unilever_price_limits!A:A &amp; [1]unilever_price_limits!B:B,
         [1]unilever_price_limits!C:C)</f>
        <v>60</v>
      </c>
      <c r="H1079" s="8">
        <f t="shared" si="65"/>
        <v>0.88000000000000012</v>
      </c>
      <c r="I1079" s="6">
        <f t="shared" si="66"/>
        <v>60.000000000000007</v>
      </c>
      <c r="J1079" t="str">
        <f t="shared" si="67"/>
        <v>OK</v>
      </c>
    </row>
    <row r="1080" spans="1:10" x14ac:dyDescent="0.2">
      <c r="A1080">
        <v>11079</v>
      </c>
      <c r="B1080" t="s">
        <v>10</v>
      </c>
      <c r="C1080" t="s">
        <v>11</v>
      </c>
      <c r="D1080" s="8">
        <v>5.14</v>
      </c>
      <c r="E1080">
        <v>7</v>
      </c>
      <c r="F1080" t="str">
        <f t="shared" si="64"/>
        <v>Standard</v>
      </c>
      <c r="G1080" s="3" cm="1">
        <f t="array" ref="G1080">_xlfn.XLOOKUP(C1080 &amp; F1080,
         [1]unilever_price_limits!A:A &amp; [1]unilever_price_limits!B:B,
         [1]unilever_price_limits!C:C)</f>
        <v>25</v>
      </c>
      <c r="H1080" s="8">
        <f t="shared" si="65"/>
        <v>6.4249999999999998</v>
      </c>
      <c r="I1080" s="6">
        <f t="shared" si="66"/>
        <v>25</v>
      </c>
      <c r="J1080" t="str">
        <f t="shared" si="67"/>
        <v>OK</v>
      </c>
    </row>
    <row r="1081" spans="1:10" x14ac:dyDescent="0.2">
      <c r="A1081">
        <v>11080</v>
      </c>
      <c r="B1081" t="s">
        <v>8</v>
      </c>
      <c r="C1081" t="s">
        <v>6</v>
      </c>
      <c r="D1081" s="8">
        <v>6.62</v>
      </c>
      <c r="E1081">
        <v>10</v>
      </c>
      <c r="F1081" t="str">
        <f t="shared" si="64"/>
        <v>Premium</v>
      </c>
      <c r="G1081" s="3" cm="1">
        <f t="array" ref="G1081">_xlfn.XLOOKUP(C1081 &amp; F1081,
         [1]unilever_price_limits!A:A &amp; [1]unilever_price_limits!B:B,
         [1]unilever_price_limits!C:C)</f>
        <v>55</v>
      </c>
      <c r="H1081" s="8">
        <f t="shared" si="65"/>
        <v>10.261000000000001</v>
      </c>
      <c r="I1081" s="6">
        <f t="shared" si="66"/>
        <v>55.000000000000007</v>
      </c>
      <c r="J1081" t="str">
        <f t="shared" si="67"/>
        <v>OK</v>
      </c>
    </row>
    <row r="1082" spans="1:10" x14ac:dyDescent="0.2">
      <c r="A1082">
        <v>11081</v>
      </c>
      <c r="B1082" t="s">
        <v>5</v>
      </c>
      <c r="C1082" t="s">
        <v>6</v>
      </c>
      <c r="D1082" s="8">
        <v>3.83</v>
      </c>
      <c r="E1082">
        <v>9</v>
      </c>
      <c r="F1082" t="str">
        <f t="shared" si="64"/>
        <v>Premium</v>
      </c>
      <c r="G1082" s="3" cm="1">
        <f t="array" ref="G1082">_xlfn.XLOOKUP(C1082 &amp; F1082,
         [1]unilever_price_limits!A:A &amp; [1]unilever_price_limits!B:B,
         [1]unilever_price_limits!C:C)</f>
        <v>55</v>
      </c>
      <c r="H1082" s="8">
        <f t="shared" si="65"/>
        <v>5.9365000000000006</v>
      </c>
      <c r="I1082" s="6">
        <f t="shared" si="66"/>
        <v>55.000000000000007</v>
      </c>
      <c r="J1082" t="str">
        <f t="shared" si="67"/>
        <v>OK</v>
      </c>
    </row>
    <row r="1083" spans="1:10" x14ac:dyDescent="0.2">
      <c r="A1083">
        <v>11082</v>
      </c>
      <c r="B1083" t="s">
        <v>8</v>
      </c>
      <c r="C1083" t="s">
        <v>9</v>
      </c>
      <c r="D1083" s="8">
        <v>3.39</v>
      </c>
      <c r="E1083">
        <v>5</v>
      </c>
      <c r="F1083" t="str">
        <f t="shared" si="64"/>
        <v>Standard</v>
      </c>
      <c r="G1083" s="3" cm="1">
        <f t="array" ref="G1083">_xlfn.XLOOKUP(C1083 &amp; F1083,
         [1]unilever_price_limits!A:A &amp; [1]unilever_price_limits!B:B,
         [1]unilever_price_limits!C:C)</f>
        <v>30</v>
      </c>
      <c r="H1083" s="8">
        <f t="shared" si="65"/>
        <v>4.407</v>
      </c>
      <c r="I1083" s="6">
        <f t="shared" si="66"/>
        <v>30.000000000000004</v>
      </c>
      <c r="J1083" t="str">
        <f t="shared" si="67"/>
        <v>OK</v>
      </c>
    </row>
    <row r="1084" spans="1:10" x14ac:dyDescent="0.2">
      <c r="A1084">
        <v>11083</v>
      </c>
      <c r="B1084" t="s">
        <v>8</v>
      </c>
      <c r="C1084" t="s">
        <v>9</v>
      </c>
      <c r="D1084" s="8">
        <v>1.05</v>
      </c>
      <c r="E1084">
        <v>5</v>
      </c>
      <c r="F1084" t="str">
        <f t="shared" si="64"/>
        <v>Standard</v>
      </c>
      <c r="G1084" s="3" cm="1">
        <f t="array" ref="G1084">_xlfn.XLOOKUP(C1084 &amp; F1084,
         [1]unilever_price_limits!A:A &amp; [1]unilever_price_limits!B:B,
         [1]unilever_price_limits!C:C)</f>
        <v>30</v>
      </c>
      <c r="H1084" s="8">
        <f t="shared" si="65"/>
        <v>1.3650000000000002</v>
      </c>
      <c r="I1084" s="6">
        <f t="shared" si="66"/>
        <v>30.000000000000004</v>
      </c>
      <c r="J1084" t="str">
        <f t="shared" si="67"/>
        <v>OK</v>
      </c>
    </row>
    <row r="1085" spans="1:10" x14ac:dyDescent="0.2">
      <c r="A1085">
        <v>11084</v>
      </c>
      <c r="B1085" t="s">
        <v>7</v>
      </c>
      <c r="C1085" t="s">
        <v>6</v>
      </c>
      <c r="D1085" s="8">
        <v>9.83</v>
      </c>
      <c r="E1085">
        <v>8</v>
      </c>
      <c r="F1085" t="str">
        <f t="shared" si="64"/>
        <v>Premium</v>
      </c>
      <c r="G1085" s="3" cm="1">
        <f t="array" ref="G1085">_xlfn.XLOOKUP(C1085 &amp; F1085,
         [1]unilever_price_limits!A:A &amp; [1]unilever_price_limits!B:B,
         [1]unilever_price_limits!C:C)</f>
        <v>55</v>
      </c>
      <c r="H1085" s="8">
        <f t="shared" si="65"/>
        <v>15.236500000000001</v>
      </c>
      <c r="I1085" s="6">
        <f t="shared" si="66"/>
        <v>55.000000000000007</v>
      </c>
      <c r="J1085" t="str">
        <f t="shared" si="67"/>
        <v>OK</v>
      </c>
    </row>
    <row r="1086" spans="1:10" x14ac:dyDescent="0.2">
      <c r="A1086">
        <v>11085</v>
      </c>
      <c r="B1086" t="s">
        <v>10</v>
      </c>
      <c r="C1086" t="s">
        <v>9</v>
      </c>
      <c r="D1086" s="8">
        <v>4.3099999999999996</v>
      </c>
      <c r="E1086">
        <v>10</v>
      </c>
      <c r="F1086" t="str">
        <f t="shared" si="64"/>
        <v>Premium</v>
      </c>
      <c r="G1086" s="3" cm="1">
        <f t="array" ref="G1086">_xlfn.XLOOKUP(C1086 &amp; F1086,
         [1]unilever_price_limits!A:A &amp; [1]unilever_price_limits!B:B,
         [1]unilever_price_limits!C:C)</f>
        <v>60</v>
      </c>
      <c r="H1086" s="8">
        <f t="shared" si="65"/>
        <v>6.8959999999999999</v>
      </c>
      <c r="I1086" s="6">
        <f t="shared" si="66"/>
        <v>60.000000000000007</v>
      </c>
      <c r="J1086" t="str">
        <f t="shared" si="67"/>
        <v>OK</v>
      </c>
    </row>
    <row r="1087" spans="1:10" x14ac:dyDescent="0.2">
      <c r="A1087">
        <v>11086</v>
      </c>
      <c r="B1087" t="s">
        <v>8</v>
      </c>
      <c r="C1087" t="s">
        <v>11</v>
      </c>
      <c r="D1087" s="8">
        <v>1.26</v>
      </c>
      <c r="E1087">
        <v>4</v>
      </c>
      <c r="F1087" t="str">
        <f t="shared" si="64"/>
        <v>Standard</v>
      </c>
      <c r="G1087" s="3" cm="1">
        <f t="array" ref="G1087">_xlfn.XLOOKUP(C1087 &amp; F1087,
         [1]unilever_price_limits!A:A &amp; [1]unilever_price_limits!B:B,
         [1]unilever_price_limits!C:C)</f>
        <v>25</v>
      </c>
      <c r="H1087" s="8">
        <f t="shared" si="65"/>
        <v>1.575</v>
      </c>
      <c r="I1087" s="6">
        <f t="shared" si="66"/>
        <v>25</v>
      </c>
      <c r="J1087" t="str">
        <f t="shared" si="67"/>
        <v>OK</v>
      </c>
    </row>
    <row r="1088" spans="1:10" x14ac:dyDescent="0.2">
      <c r="A1088">
        <v>11087</v>
      </c>
      <c r="B1088" t="s">
        <v>8</v>
      </c>
      <c r="C1088" t="s">
        <v>9</v>
      </c>
      <c r="D1088" s="8">
        <v>3.85</v>
      </c>
      <c r="E1088">
        <v>9</v>
      </c>
      <c r="F1088" t="str">
        <f t="shared" si="64"/>
        <v>Premium</v>
      </c>
      <c r="G1088" s="3" cm="1">
        <f t="array" ref="G1088">_xlfn.XLOOKUP(C1088 &amp; F1088,
         [1]unilever_price_limits!A:A &amp; [1]unilever_price_limits!B:B,
         [1]unilever_price_limits!C:C)</f>
        <v>60</v>
      </c>
      <c r="H1088" s="8">
        <f t="shared" si="65"/>
        <v>6.16</v>
      </c>
      <c r="I1088" s="6">
        <f t="shared" si="66"/>
        <v>60.000000000000007</v>
      </c>
      <c r="J1088" t="str">
        <f t="shared" si="67"/>
        <v>OK</v>
      </c>
    </row>
    <row r="1089" spans="1:10" x14ac:dyDescent="0.2">
      <c r="A1089">
        <v>11088</v>
      </c>
      <c r="B1089" t="s">
        <v>7</v>
      </c>
      <c r="C1089" t="s">
        <v>11</v>
      </c>
      <c r="D1089" s="8">
        <v>12.13</v>
      </c>
      <c r="E1089">
        <v>7</v>
      </c>
      <c r="F1089" t="str">
        <f t="shared" si="64"/>
        <v>Standard</v>
      </c>
      <c r="G1089" s="3" cm="1">
        <f t="array" ref="G1089">_xlfn.XLOOKUP(C1089 &amp; F1089,
         [1]unilever_price_limits!A:A &amp; [1]unilever_price_limits!B:B,
         [1]unilever_price_limits!C:C)</f>
        <v>25</v>
      </c>
      <c r="H1089" s="8">
        <f t="shared" si="65"/>
        <v>15.162500000000001</v>
      </c>
      <c r="I1089" s="6">
        <f t="shared" si="66"/>
        <v>25</v>
      </c>
      <c r="J1089" t="str">
        <f t="shared" si="67"/>
        <v>OK</v>
      </c>
    </row>
    <row r="1090" spans="1:10" x14ac:dyDescent="0.2">
      <c r="A1090">
        <v>11089</v>
      </c>
      <c r="B1090" t="s">
        <v>7</v>
      </c>
      <c r="C1090" t="s">
        <v>11</v>
      </c>
      <c r="D1090" s="8">
        <v>12.85</v>
      </c>
      <c r="E1090">
        <v>7</v>
      </c>
      <c r="F1090" t="str">
        <f t="shared" si="64"/>
        <v>Standard</v>
      </c>
      <c r="G1090" s="3" cm="1">
        <f t="array" ref="G1090">_xlfn.XLOOKUP(C1090 &amp; F1090,
         [1]unilever_price_limits!A:A &amp; [1]unilever_price_limits!B:B,
         [1]unilever_price_limits!C:C)</f>
        <v>25</v>
      </c>
      <c r="H1090" s="8">
        <f t="shared" si="65"/>
        <v>16.0625</v>
      </c>
      <c r="I1090" s="6">
        <f t="shared" si="66"/>
        <v>25</v>
      </c>
      <c r="J1090" t="str">
        <f t="shared" si="67"/>
        <v>OK</v>
      </c>
    </row>
    <row r="1091" spans="1:10" x14ac:dyDescent="0.2">
      <c r="A1091">
        <v>11090</v>
      </c>
      <c r="B1091" t="s">
        <v>10</v>
      </c>
      <c r="C1091" t="s">
        <v>11</v>
      </c>
      <c r="D1091" s="8">
        <v>7.5</v>
      </c>
      <c r="E1091">
        <v>3</v>
      </c>
      <c r="F1091" t="str">
        <f t="shared" ref="F1091:F1154" si="68">IF(E1091&lt;=3,"Value",
 IF(E1091&lt;=7,"Standard","Premium"))</f>
        <v>Value</v>
      </c>
      <c r="G1091" s="3" cm="1">
        <f t="array" ref="G1091">_xlfn.XLOOKUP(C1091 &amp; F1091,
         [1]unilever_price_limits!A:A &amp; [1]unilever_price_limits!B:B,
         [1]unilever_price_limits!C:C)</f>
        <v>10</v>
      </c>
      <c r="H1091" s="8">
        <f t="shared" ref="H1091:H1154" si="69">D1091 * (1 + G1091/100)</f>
        <v>8.25</v>
      </c>
      <c r="I1091" s="6">
        <f t="shared" ref="I1091:I1154" si="70">(H1091 / D1091 - 1) * 100</f>
        <v>10.000000000000009</v>
      </c>
      <c r="J1091" t="str">
        <f t="shared" ref="J1091:J1154" si="71">IF(I1090&gt; G1090, "⚠ Exceeds Limit", "OK")</f>
        <v>OK</v>
      </c>
    </row>
    <row r="1092" spans="1:10" x14ac:dyDescent="0.2">
      <c r="A1092">
        <v>11091</v>
      </c>
      <c r="B1092" t="s">
        <v>7</v>
      </c>
      <c r="C1092" t="s">
        <v>11</v>
      </c>
      <c r="D1092" s="8">
        <v>6.53</v>
      </c>
      <c r="E1092">
        <v>4</v>
      </c>
      <c r="F1092" t="str">
        <f t="shared" si="68"/>
        <v>Standard</v>
      </c>
      <c r="G1092" s="3" cm="1">
        <f t="array" ref="G1092">_xlfn.XLOOKUP(C1092 &amp; F1092,
         [1]unilever_price_limits!A:A &amp; [1]unilever_price_limits!B:B,
         [1]unilever_price_limits!C:C)</f>
        <v>25</v>
      </c>
      <c r="H1092" s="8">
        <f t="shared" si="69"/>
        <v>8.1624999999999996</v>
      </c>
      <c r="I1092" s="6">
        <f t="shared" si="70"/>
        <v>25</v>
      </c>
      <c r="J1092" t="str">
        <f t="shared" si="71"/>
        <v>OK</v>
      </c>
    </row>
    <row r="1093" spans="1:10" x14ac:dyDescent="0.2">
      <c r="A1093">
        <v>11092</v>
      </c>
      <c r="B1093" t="s">
        <v>5</v>
      </c>
      <c r="C1093" t="s">
        <v>11</v>
      </c>
      <c r="D1093" s="8">
        <v>14.68</v>
      </c>
      <c r="E1093">
        <v>7</v>
      </c>
      <c r="F1093" t="str">
        <f t="shared" si="68"/>
        <v>Standard</v>
      </c>
      <c r="G1093" s="3" cm="1">
        <f t="array" ref="G1093">_xlfn.XLOOKUP(C1093 &amp; F1093,
         [1]unilever_price_limits!A:A &amp; [1]unilever_price_limits!B:B,
         [1]unilever_price_limits!C:C)</f>
        <v>25</v>
      </c>
      <c r="H1093" s="8">
        <f t="shared" si="69"/>
        <v>18.350000000000001</v>
      </c>
      <c r="I1093" s="6">
        <f t="shared" si="70"/>
        <v>25.000000000000021</v>
      </c>
      <c r="J1093" t="str">
        <f t="shared" si="71"/>
        <v>OK</v>
      </c>
    </row>
    <row r="1094" spans="1:10" x14ac:dyDescent="0.2">
      <c r="A1094">
        <v>11093</v>
      </c>
      <c r="B1094" t="s">
        <v>7</v>
      </c>
      <c r="C1094" t="s">
        <v>9</v>
      </c>
      <c r="D1094" s="8">
        <v>3.41</v>
      </c>
      <c r="E1094">
        <v>5</v>
      </c>
      <c r="F1094" t="str">
        <f t="shared" si="68"/>
        <v>Standard</v>
      </c>
      <c r="G1094" s="3" cm="1">
        <f t="array" ref="G1094">_xlfn.XLOOKUP(C1094 &amp; F1094,
         [1]unilever_price_limits!A:A &amp; [1]unilever_price_limits!B:B,
         [1]unilever_price_limits!C:C)</f>
        <v>30</v>
      </c>
      <c r="H1094" s="8">
        <f t="shared" si="69"/>
        <v>4.4330000000000007</v>
      </c>
      <c r="I1094" s="6">
        <f t="shared" si="70"/>
        <v>30.000000000000028</v>
      </c>
      <c r="J1094" t="str">
        <f t="shared" si="71"/>
        <v>OK</v>
      </c>
    </row>
    <row r="1095" spans="1:10" x14ac:dyDescent="0.2">
      <c r="A1095">
        <v>11094</v>
      </c>
      <c r="B1095" t="s">
        <v>5</v>
      </c>
      <c r="C1095" t="s">
        <v>11</v>
      </c>
      <c r="D1095" s="8">
        <v>3.62</v>
      </c>
      <c r="E1095">
        <v>3</v>
      </c>
      <c r="F1095" t="str">
        <f t="shared" si="68"/>
        <v>Value</v>
      </c>
      <c r="G1095" s="3" cm="1">
        <f t="array" ref="G1095">_xlfn.XLOOKUP(C1095 &amp; F1095,
         [1]unilever_price_limits!A:A &amp; [1]unilever_price_limits!B:B,
         [1]unilever_price_limits!C:C)</f>
        <v>10</v>
      </c>
      <c r="H1095" s="8">
        <f t="shared" si="69"/>
        <v>3.9820000000000007</v>
      </c>
      <c r="I1095" s="6">
        <f t="shared" si="70"/>
        <v>10.000000000000009</v>
      </c>
      <c r="J1095" t="str">
        <f t="shared" si="71"/>
        <v>OK</v>
      </c>
    </row>
    <row r="1096" spans="1:10" x14ac:dyDescent="0.2">
      <c r="A1096">
        <v>11095</v>
      </c>
      <c r="B1096" t="s">
        <v>10</v>
      </c>
      <c r="C1096" t="s">
        <v>9</v>
      </c>
      <c r="D1096" s="8">
        <v>4.7300000000000004</v>
      </c>
      <c r="E1096">
        <v>1</v>
      </c>
      <c r="F1096" t="str">
        <f t="shared" si="68"/>
        <v>Value</v>
      </c>
      <c r="G1096" s="3" cm="1">
        <f t="array" ref="G1096">_xlfn.XLOOKUP(C1096 &amp; F1096,
         [1]unilever_price_limits!A:A &amp; [1]unilever_price_limits!B:B,
         [1]unilever_price_limits!C:C)</f>
        <v>15</v>
      </c>
      <c r="H1096" s="8">
        <f t="shared" si="69"/>
        <v>5.4394999999999998</v>
      </c>
      <c r="I1096" s="6">
        <f t="shared" si="70"/>
        <v>14.999999999999991</v>
      </c>
      <c r="J1096" t="str">
        <f t="shared" si="71"/>
        <v>OK</v>
      </c>
    </row>
    <row r="1097" spans="1:10" x14ac:dyDescent="0.2">
      <c r="A1097">
        <v>11096</v>
      </c>
      <c r="B1097" t="s">
        <v>10</v>
      </c>
      <c r="C1097" t="s">
        <v>11</v>
      </c>
      <c r="D1097" s="8">
        <v>3</v>
      </c>
      <c r="E1097">
        <v>7</v>
      </c>
      <c r="F1097" t="str">
        <f t="shared" si="68"/>
        <v>Standard</v>
      </c>
      <c r="G1097" s="3" cm="1">
        <f t="array" ref="G1097">_xlfn.XLOOKUP(C1097 &amp; F1097,
         [1]unilever_price_limits!A:A &amp; [1]unilever_price_limits!B:B,
         [1]unilever_price_limits!C:C)</f>
        <v>25</v>
      </c>
      <c r="H1097" s="8">
        <f t="shared" si="69"/>
        <v>3.75</v>
      </c>
      <c r="I1097" s="6">
        <f t="shared" si="70"/>
        <v>25</v>
      </c>
      <c r="J1097" t="str">
        <f t="shared" si="71"/>
        <v>OK</v>
      </c>
    </row>
    <row r="1098" spans="1:10" x14ac:dyDescent="0.2">
      <c r="A1098">
        <v>11097</v>
      </c>
      <c r="B1098" t="s">
        <v>10</v>
      </c>
      <c r="C1098" t="s">
        <v>6</v>
      </c>
      <c r="D1098" s="8">
        <v>6</v>
      </c>
      <c r="E1098">
        <v>6</v>
      </c>
      <c r="F1098" t="str">
        <f t="shared" si="68"/>
        <v>Standard</v>
      </c>
      <c r="G1098" s="3" cm="1">
        <f t="array" ref="G1098">_xlfn.XLOOKUP(C1098 &amp; F1098,
         [1]unilever_price_limits!A:A &amp; [1]unilever_price_limits!B:B,
         [1]unilever_price_limits!C:C)</f>
        <v>28</v>
      </c>
      <c r="H1098" s="8">
        <f t="shared" si="69"/>
        <v>7.68</v>
      </c>
      <c r="I1098" s="6">
        <f t="shared" si="70"/>
        <v>28.000000000000004</v>
      </c>
      <c r="J1098" t="str">
        <f t="shared" si="71"/>
        <v>OK</v>
      </c>
    </row>
    <row r="1099" spans="1:10" x14ac:dyDescent="0.2">
      <c r="A1099">
        <v>11098</v>
      </c>
      <c r="B1099" t="s">
        <v>10</v>
      </c>
      <c r="C1099" t="s">
        <v>11</v>
      </c>
      <c r="D1099" s="8">
        <v>13.71</v>
      </c>
      <c r="E1099">
        <v>10</v>
      </c>
      <c r="F1099" t="str">
        <f t="shared" si="68"/>
        <v>Premium</v>
      </c>
      <c r="G1099" s="3" cm="1">
        <f t="array" ref="G1099">_xlfn.XLOOKUP(C1099 &amp; F1099,
         [1]unilever_price_limits!A:A &amp; [1]unilever_price_limits!B:B,
         [1]unilever_price_limits!C:C)</f>
        <v>50</v>
      </c>
      <c r="H1099" s="8">
        <f t="shared" si="69"/>
        <v>20.565000000000001</v>
      </c>
      <c r="I1099" s="6">
        <f t="shared" si="70"/>
        <v>50</v>
      </c>
      <c r="J1099" t="str">
        <f t="shared" si="71"/>
        <v>OK</v>
      </c>
    </row>
    <row r="1100" spans="1:10" x14ac:dyDescent="0.2">
      <c r="A1100">
        <v>11099</v>
      </c>
      <c r="B1100" t="s">
        <v>10</v>
      </c>
      <c r="C1100" t="s">
        <v>6</v>
      </c>
      <c r="D1100" s="8">
        <v>9.42</v>
      </c>
      <c r="E1100">
        <v>7</v>
      </c>
      <c r="F1100" t="str">
        <f t="shared" si="68"/>
        <v>Standard</v>
      </c>
      <c r="G1100" s="3" cm="1">
        <f t="array" ref="G1100">_xlfn.XLOOKUP(C1100 &amp; F1100,
         [1]unilever_price_limits!A:A &amp; [1]unilever_price_limits!B:B,
         [1]unilever_price_limits!C:C)</f>
        <v>28</v>
      </c>
      <c r="H1100" s="8">
        <f t="shared" si="69"/>
        <v>12.057600000000001</v>
      </c>
      <c r="I1100" s="6">
        <f t="shared" si="70"/>
        <v>28.000000000000004</v>
      </c>
      <c r="J1100" t="str">
        <f t="shared" si="71"/>
        <v>OK</v>
      </c>
    </row>
    <row r="1101" spans="1:10" x14ac:dyDescent="0.2">
      <c r="A1101">
        <v>11100</v>
      </c>
      <c r="B1101" t="s">
        <v>5</v>
      </c>
      <c r="C1101" t="s">
        <v>11</v>
      </c>
      <c r="D1101" s="8">
        <v>6.47</v>
      </c>
      <c r="E1101">
        <v>2</v>
      </c>
      <c r="F1101" t="str">
        <f t="shared" si="68"/>
        <v>Value</v>
      </c>
      <c r="G1101" s="3" cm="1">
        <f t="array" ref="G1101">_xlfn.XLOOKUP(C1101 &amp; F1101,
         [1]unilever_price_limits!A:A &amp; [1]unilever_price_limits!B:B,
         [1]unilever_price_limits!C:C)</f>
        <v>10</v>
      </c>
      <c r="H1101" s="8">
        <f t="shared" si="69"/>
        <v>7.117</v>
      </c>
      <c r="I1101" s="6">
        <f t="shared" si="70"/>
        <v>10.000000000000009</v>
      </c>
      <c r="J1101" t="str">
        <f t="shared" si="71"/>
        <v>OK</v>
      </c>
    </row>
    <row r="1102" spans="1:10" x14ac:dyDescent="0.2">
      <c r="A1102">
        <v>11101</v>
      </c>
      <c r="B1102" t="s">
        <v>5</v>
      </c>
      <c r="C1102" t="s">
        <v>11</v>
      </c>
      <c r="D1102" s="8">
        <v>14.05</v>
      </c>
      <c r="E1102">
        <v>4</v>
      </c>
      <c r="F1102" t="str">
        <f t="shared" si="68"/>
        <v>Standard</v>
      </c>
      <c r="G1102" s="3" cm="1">
        <f t="array" ref="G1102">_xlfn.XLOOKUP(C1102 &amp; F1102,
         [1]unilever_price_limits!A:A &amp; [1]unilever_price_limits!B:B,
         [1]unilever_price_limits!C:C)</f>
        <v>25</v>
      </c>
      <c r="H1102" s="8">
        <f t="shared" si="69"/>
        <v>17.5625</v>
      </c>
      <c r="I1102" s="6">
        <f t="shared" si="70"/>
        <v>25</v>
      </c>
      <c r="J1102" t="str">
        <f t="shared" si="71"/>
        <v>OK</v>
      </c>
    </row>
    <row r="1103" spans="1:10" x14ac:dyDescent="0.2">
      <c r="A1103">
        <v>11102</v>
      </c>
      <c r="B1103" t="s">
        <v>10</v>
      </c>
      <c r="C1103" t="s">
        <v>11</v>
      </c>
      <c r="D1103" s="8">
        <v>1.2</v>
      </c>
      <c r="E1103">
        <v>2</v>
      </c>
      <c r="F1103" t="str">
        <f t="shared" si="68"/>
        <v>Value</v>
      </c>
      <c r="G1103" s="3" cm="1">
        <f t="array" ref="G1103">_xlfn.XLOOKUP(C1103 &amp; F1103,
         [1]unilever_price_limits!A:A &amp; [1]unilever_price_limits!B:B,
         [1]unilever_price_limits!C:C)</f>
        <v>10</v>
      </c>
      <c r="H1103" s="8">
        <f t="shared" si="69"/>
        <v>1.32</v>
      </c>
      <c r="I1103" s="6">
        <f t="shared" si="70"/>
        <v>10.000000000000009</v>
      </c>
      <c r="J1103" t="str">
        <f t="shared" si="71"/>
        <v>OK</v>
      </c>
    </row>
    <row r="1104" spans="1:10" x14ac:dyDescent="0.2">
      <c r="A1104">
        <v>11103</v>
      </c>
      <c r="B1104" t="s">
        <v>7</v>
      </c>
      <c r="C1104" t="s">
        <v>6</v>
      </c>
      <c r="D1104" s="8">
        <v>3.55</v>
      </c>
      <c r="E1104">
        <v>8</v>
      </c>
      <c r="F1104" t="str">
        <f t="shared" si="68"/>
        <v>Premium</v>
      </c>
      <c r="G1104" s="3" cm="1">
        <f t="array" ref="G1104">_xlfn.XLOOKUP(C1104 &amp; F1104,
         [1]unilever_price_limits!A:A &amp; [1]unilever_price_limits!B:B,
         [1]unilever_price_limits!C:C)</f>
        <v>55</v>
      </c>
      <c r="H1104" s="8">
        <f t="shared" si="69"/>
        <v>5.5024999999999995</v>
      </c>
      <c r="I1104" s="6">
        <f t="shared" si="70"/>
        <v>55.000000000000007</v>
      </c>
      <c r="J1104" t="str">
        <f t="shared" si="71"/>
        <v>OK</v>
      </c>
    </row>
    <row r="1105" spans="1:10" x14ac:dyDescent="0.2">
      <c r="A1105">
        <v>11104</v>
      </c>
      <c r="B1105" t="s">
        <v>8</v>
      </c>
      <c r="C1105" t="s">
        <v>6</v>
      </c>
      <c r="D1105" s="8">
        <v>8.7100000000000009</v>
      </c>
      <c r="E1105">
        <v>7</v>
      </c>
      <c r="F1105" t="str">
        <f t="shared" si="68"/>
        <v>Standard</v>
      </c>
      <c r="G1105" s="3" cm="1">
        <f t="array" ref="G1105">_xlfn.XLOOKUP(C1105 &amp; F1105,
         [1]unilever_price_limits!A:A &amp; [1]unilever_price_limits!B:B,
         [1]unilever_price_limits!C:C)</f>
        <v>28</v>
      </c>
      <c r="H1105" s="8">
        <f t="shared" si="69"/>
        <v>11.148800000000001</v>
      </c>
      <c r="I1105" s="6">
        <f t="shared" si="70"/>
        <v>28.000000000000004</v>
      </c>
      <c r="J1105" t="str">
        <f t="shared" si="71"/>
        <v>OK</v>
      </c>
    </row>
    <row r="1106" spans="1:10" x14ac:dyDescent="0.2">
      <c r="A1106">
        <v>11105</v>
      </c>
      <c r="B1106" t="s">
        <v>10</v>
      </c>
      <c r="C1106" t="s">
        <v>11</v>
      </c>
      <c r="D1106" s="8">
        <v>9.43</v>
      </c>
      <c r="E1106">
        <v>1</v>
      </c>
      <c r="F1106" t="str">
        <f t="shared" si="68"/>
        <v>Value</v>
      </c>
      <c r="G1106" s="3" cm="1">
        <f t="array" ref="G1106">_xlfn.XLOOKUP(C1106 &amp; F1106,
         [1]unilever_price_limits!A:A &amp; [1]unilever_price_limits!B:B,
         [1]unilever_price_limits!C:C)</f>
        <v>10</v>
      </c>
      <c r="H1106" s="8">
        <f t="shared" si="69"/>
        <v>10.373000000000001</v>
      </c>
      <c r="I1106" s="6">
        <f t="shared" si="70"/>
        <v>10.000000000000009</v>
      </c>
      <c r="J1106" t="str">
        <f t="shared" si="71"/>
        <v>OK</v>
      </c>
    </row>
    <row r="1107" spans="1:10" x14ac:dyDescent="0.2">
      <c r="A1107">
        <v>11106</v>
      </c>
      <c r="B1107" t="s">
        <v>7</v>
      </c>
      <c r="C1107" t="s">
        <v>9</v>
      </c>
      <c r="D1107" s="8">
        <v>1.07</v>
      </c>
      <c r="E1107">
        <v>2</v>
      </c>
      <c r="F1107" t="str">
        <f t="shared" si="68"/>
        <v>Value</v>
      </c>
      <c r="G1107" s="3" cm="1">
        <f t="array" ref="G1107">_xlfn.XLOOKUP(C1107 &amp; F1107,
         [1]unilever_price_limits!A:A &amp; [1]unilever_price_limits!B:B,
         [1]unilever_price_limits!C:C)</f>
        <v>15</v>
      </c>
      <c r="H1107" s="8">
        <f t="shared" si="69"/>
        <v>1.2304999999999999</v>
      </c>
      <c r="I1107" s="6">
        <f t="shared" si="70"/>
        <v>14.999999999999991</v>
      </c>
      <c r="J1107" t="str">
        <f t="shared" si="71"/>
        <v>OK</v>
      </c>
    </row>
    <row r="1108" spans="1:10" x14ac:dyDescent="0.2">
      <c r="A1108">
        <v>11107</v>
      </c>
      <c r="B1108" t="s">
        <v>8</v>
      </c>
      <c r="C1108" t="s">
        <v>11</v>
      </c>
      <c r="D1108" s="8">
        <v>6.34</v>
      </c>
      <c r="E1108">
        <v>2</v>
      </c>
      <c r="F1108" t="str">
        <f t="shared" si="68"/>
        <v>Value</v>
      </c>
      <c r="G1108" s="3" cm="1">
        <f t="array" ref="G1108">_xlfn.XLOOKUP(C1108 &amp; F1108,
         [1]unilever_price_limits!A:A &amp; [1]unilever_price_limits!B:B,
         [1]unilever_price_limits!C:C)</f>
        <v>10</v>
      </c>
      <c r="H1108" s="8">
        <f t="shared" si="69"/>
        <v>6.9740000000000002</v>
      </c>
      <c r="I1108" s="6">
        <f t="shared" si="70"/>
        <v>10.000000000000009</v>
      </c>
      <c r="J1108" t="str">
        <f t="shared" si="71"/>
        <v>OK</v>
      </c>
    </row>
    <row r="1109" spans="1:10" x14ac:dyDescent="0.2">
      <c r="A1109">
        <v>11108</v>
      </c>
      <c r="B1109" t="s">
        <v>10</v>
      </c>
      <c r="C1109" t="s">
        <v>6</v>
      </c>
      <c r="D1109" s="8">
        <v>9.91</v>
      </c>
      <c r="E1109">
        <v>4</v>
      </c>
      <c r="F1109" t="str">
        <f t="shared" si="68"/>
        <v>Standard</v>
      </c>
      <c r="G1109" s="3" cm="1">
        <f t="array" ref="G1109">_xlfn.XLOOKUP(C1109 &amp; F1109,
         [1]unilever_price_limits!A:A &amp; [1]unilever_price_limits!B:B,
         [1]unilever_price_limits!C:C)</f>
        <v>28</v>
      </c>
      <c r="H1109" s="8">
        <f t="shared" si="69"/>
        <v>12.684800000000001</v>
      </c>
      <c r="I1109" s="6">
        <f t="shared" si="70"/>
        <v>28.000000000000004</v>
      </c>
      <c r="J1109" t="str">
        <f t="shared" si="71"/>
        <v>OK</v>
      </c>
    </row>
    <row r="1110" spans="1:10" x14ac:dyDescent="0.2">
      <c r="A1110">
        <v>11109</v>
      </c>
      <c r="B1110" t="s">
        <v>10</v>
      </c>
      <c r="C1110" t="s">
        <v>11</v>
      </c>
      <c r="D1110" s="8">
        <v>10.62</v>
      </c>
      <c r="E1110">
        <v>3</v>
      </c>
      <c r="F1110" t="str">
        <f t="shared" si="68"/>
        <v>Value</v>
      </c>
      <c r="G1110" s="3" cm="1">
        <f t="array" ref="G1110">_xlfn.XLOOKUP(C1110 &amp; F1110,
         [1]unilever_price_limits!A:A &amp; [1]unilever_price_limits!B:B,
         [1]unilever_price_limits!C:C)</f>
        <v>10</v>
      </c>
      <c r="H1110" s="8">
        <f t="shared" si="69"/>
        <v>11.682</v>
      </c>
      <c r="I1110" s="6">
        <f t="shared" si="70"/>
        <v>10.000000000000009</v>
      </c>
      <c r="J1110" t="str">
        <f t="shared" si="71"/>
        <v>OK</v>
      </c>
    </row>
    <row r="1111" spans="1:10" x14ac:dyDescent="0.2">
      <c r="A1111">
        <v>11110</v>
      </c>
      <c r="B1111" t="s">
        <v>5</v>
      </c>
      <c r="C1111" t="s">
        <v>6</v>
      </c>
      <c r="D1111" s="8">
        <v>9.75</v>
      </c>
      <c r="E1111">
        <v>1</v>
      </c>
      <c r="F1111" t="str">
        <f t="shared" si="68"/>
        <v>Value</v>
      </c>
      <c r="G1111" s="3" cm="1">
        <f t="array" ref="G1111">_xlfn.XLOOKUP(C1111 &amp; F1111,
         [1]unilever_price_limits!A:A &amp; [1]unilever_price_limits!B:B,
         [1]unilever_price_limits!C:C)</f>
        <v>12</v>
      </c>
      <c r="H1111" s="8">
        <f t="shared" si="69"/>
        <v>10.920000000000002</v>
      </c>
      <c r="I1111" s="6">
        <f t="shared" si="70"/>
        <v>12.000000000000011</v>
      </c>
      <c r="J1111" t="str">
        <f t="shared" si="71"/>
        <v>OK</v>
      </c>
    </row>
    <row r="1112" spans="1:10" x14ac:dyDescent="0.2">
      <c r="A1112">
        <v>11111</v>
      </c>
      <c r="B1112" t="s">
        <v>8</v>
      </c>
      <c r="C1112" t="s">
        <v>6</v>
      </c>
      <c r="D1112" s="8">
        <v>5.15</v>
      </c>
      <c r="E1112">
        <v>2</v>
      </c>
      <c r="F1112" t="str">
        <f t="shared" si="68"/>
        <v>Value</v>
      </c>
      <c r="G1112" s="3" cm="1">
        <f t="array" ref="G1112">_xlfn.XLOOKUP(C1112 &amp; F1112,
         [1]unilever_price_limits!A:A &amp; [1]unilever_price_limits!B:B,
         [1]unilever_price_limits!C:C)</f>
        <v>12</v>
      </c>
      <c r="H1112" s="8">
        <f t="shared" si="69"/>
        <v>5.7680000000000007</v>
      </c>
      <c r="I1112" s="6">
        <f t="shared" si="70"/>
        <v>12.000000000000011</v>
      </c>
      <c r="J1112" t="str">
        <f t="shared" si="71"/>
        <v>OK</v>
      </c>
    </row>
    <row r="1113" spans="1:10" x14ac:dyDescent="0.2">
      <c r="A1113">
        <v>11112</v>
      </c>
      <c r="B1113" t="s">
        <v>8</v>
      </c>
      <c r="C1113" t="s">
        <v>6</v>
      </c>
      <c r="D1113" s="8">
        <v>1.86</v>
      </c>
      <c r="E1113">
        <v>9</v>
      </c>
      <c r="F1113" t="str">
        <f t="shared" si="68"/>
        <v>Premium</v>
      </c>
      <c r="G1113" s="3" cm="1">
        <f t="array" ref="G1113">_xlfn.XLOOKUP(C1113 &amp; F1113,
         [1]unilever_price_limits!A:A &amp; [1]unilever_price_limits!B:B,
         [1]unilever_price_limits!C:C)</f>
        <v>55</v>
      </c>
      <c r="H1113" s="8">
        <f t="shared" si="69"/>
        <v>2.8830000000000005</v>
      </c>
      <c r="I1113" s="6">
        <f t="shared" si="70"/>
        <v>55.000000000000028</v>
      </c>
      <c r="J1113" t="str">
        <f t="shared" si="71"/>
        <v>OK</v>
      </c>
    </row>
    <row r="1114" spans="1:10" x14ac:dyDescent="0.2">
      <c r="A1114">
        <v>11113</v>
      </c>
      <c r="B1114" t="s">
        <v>7</v>
      </c>
      <c r="C1114" t="s">
        <v>11</v>
      </c>
      <c r="D1114" s="8">
        <v>6.69</v>
      </c>
      <c r="E1114">
        <v>1</v>
      </c>
      <c r="F1114" t="str">
        <f t="shared" si="68"/>
        <v>Value</v>
      </c>
      <c r="G1114" s="3" cm="1">
        <f t="array" ref="G1114">_xlfn.XLOOKUP(C1114 &amp; F1114,
         [1]unilever_price_limits!A:A &amp; [1]unilever_price_limits!B:B,
         [1]unilever_price_limits!C:C)</f>
        <v>10</v>
      </c>
      <c r="H1114" s="8">
        <f t="shared" si="69"/>
        <v>7.3590000000000009</v>
      </c>
      <c r="I1114" s="6">
        <f t="shared" si="70"/>
        <v>10.000000000000009</v>
      </c>
      <c r="J1114" t="str">
        <f t="shared" si="71"/>
        <v>OK</v>
      </c>
    </row>
    <row r="1115" spans="1:10" x14ac:dyDescent="0.2">
      <c r="A1115">
        <v>11114</v>
      </c>
      <c r="B1115" t="s">
        <v>5</v>
      </c>
      <c r="C1115" t="s">
        <v>6</v>
      </c>
      <c r="D1115" s="8">
        <v>2.37</v>
      </c>
      <c r="E1115">
        <v>9</v>
      </c>
      <c r="F1115" t="str">
        <f t="shared" si="68"/>
        <v>Premium</v>
      </c>
      <c r="G1115" s="3" cm="1">
        <f t="array" ref="G1115">_xlfn.XLOOKUP(C1115 &amp; F1115,
         [1]unilever_price_limits!A:A &amp; [1]unilever_price_limits!B:B,
         [1]unilever_price_limits!C:C)</f>
        <v>55</v>
      </c>
      <c r="H1115" s="8">
        <f t="shared" si="69"/>
        <v>3.6735000000000002</v>
      </c>
      <c r="I1115" s="6">
        <f t="shared" si="70"/>
        <v>55.000000000000007</v>
      </c>
      <c r="J1115" t="str">
        <f t="shared" si="71"/>
        <v>OK</v>
      </c>
    </row>
    <row r="1116" spans="1:10" x14ac:dyDescent="0.2">
      <c r="A1116">
        <v>11115</v>
      </c>
      <c r="B1116" t="s">
        <v>5</v>
      </c>
      <c r="C1116" t="s">
        <v>6</v>
      </c>
      <c r="D1116" s="8">
        <v>14.24</v>
      </c>
      <c r="E1116">
        <v>7</v>
      </c>
      <c r="F1116" t="str">
        <f t="shared" si="68"/>
        <v>Standard</v>
      </c>
      <c r="G1116" s="3" cm="1">
        <f t="array" ref="G1116">_xlfn.XLOOKUP(C1116 &amp; F1116,
         [1]unilever_price_limits!A:A &amp; [1]unilever_price_limits!B:B,
         [1]unilever_price_limits!C:C)</f>
        <v>28</v>
      </c>
      <c r="H1116" s="8">
        <f t="shared" si="69"/>
        <v>18.2272</v>
      </c>
      <c r="I1116" s="6">
        <f t="shared" si="70"/>
        <v>28.000000000000004</v>
      </c>
      <c r="J1116" t="str">
        <f t="shared" si="71"/>
        <v>OK</v>
      </c>
    </row>
    <row r="1117" spans="1:10" x14ac:dyDescent="0.2">
      <c r="A1117">
        <v>11116</v>
      </c>
      <c r="B1117" t="s">
        <v>5</v>
      </c>
      <c r="C1117" t="s">
        <v>11</v>
      </c>
      <c r="D1117" s="8">
        <v>7.39</v>
      </c>
      <c r="E1117">
        <v>2</v>
      </c>
      <c r="F1117" t="str">
        <f t="shared" si="68"/>
        <v>Value</v>
      </c>
      <c r="G1117" s="3" cm="1">
        <f t="array" ref="G1117">_xlfn.XLOOKUP(C1117 &amp; F1117,
         [1]unilever_price_limits!A:A &amp; [1]unilever_price_limits!B:B,
         [1]unilever_price_limits!C:C)</f>
        <v>10</v>
      </c>
      <c r="H1117" s="8">
        <f t="shared" si="69"/>
        <v>8.1289999999999996</v>
      </c>
      <c r="I1117" s="6">
        <f t="shared" si="70"/>
        <v>10.000000000000009</v>
      </c>
      <c r="J1117" t="str">
        <f t="shared" si="71"/>
        <v>OK</v>
      </c>
    </row>
    <row r="1118" spans="1:10" x14ac:dyDescent="0.2">
      <c r="A1118">
        <v>11117</v>
      </c>
      <c r="B1118" t="s">
        <v>5</v>
      </c>
      <c r="C1118" t="s">
        <v>6</v>
      </c>
      <c r="D1118" s="8">
        <v>5.0999999999999996</v>
      </c>
      <c r="E1118">
        <v>2</v>
      </c>
      <c r="F1118" t="str">
        <f t="shared" si="68"/>
        <v>Value</v>
      </c>
      <c r="G1118" s="3" cm="1">
        <f t="array" ref="G1118">_xlfn.XLOOKUP(C1118 &amp; F1118,
         [1]unilever_price_limits!A:A &amp; [1]unilever_price_limits!B:B,
         [1]unilever_price_limits!C:C)</f>
        <v>12</v>
      </c>
      <c r="H1118" s="8">
        <f t="shared" si="69"/>
        <v>5.7119999999999997</v>
      </c>
      <c r="I1118" s="6">
        <f t="shared" si="70"/>
        <v>12.000000000000011</v>
      </c>
      <c r="J1118" t="str">
        <f t="shared" si="71"/>
        <v>OK</v>
      </c>
    </row>
    <row r="1119" spans="1:10" x14ac:dyDescent="0.2">
      <c r="A1119">
        <v>11118</v>
      </c>
      <c r="B1119" t="s">
        <v>8</v>
      </c>
      <c r="C1119" t="s">
        <v>11</v>
      </c>
      <c r="D1119" s="8">
        <v>11.61</v>
      </c>
      <c r="E1119">
        <v>5</v>
      </c>
      <c r="F1119" t="str">
        <f t="shared" si="68"/>
        <v>Standard</v>
      </c>
      <c r="G1119" s="3" cm="1">
        <f t="array" ref="G1119">_xlfn.XLOOKUP(C1119 &amp; F1119,
         [1]unilever_price_limits!A:A &amp; [1]unilever_price_limits!B:B,
         [1]unilever_price_limits!C:C)</f>
        <v>25</v>
      </c>
      <c r="H1119" s="8">
        <f t="shared" si="69"/>
        <v>14.512499999999999</v>
      </c>
      <c r="I1119" s="6">
        <f t="shared" si="70"/>
        <v>25</v>
      </c>
      <c r="J1119" t="str">
        <f t="shared" si="71"/>
        <v>OK</v>
      </c>
    </row>
    <row r="1120" spans="1:10" x14ac:dyDescent="0.2">
      <c r="A1120">
        <v>11119</v>
      </c>
      <c r="B1120" t="s">
        <v>8</v>
      </c>
      <c r="C1120" t="s">
        <v>6</v>
      </c>
      <c r="D1120" s="8">
        <v>7.72</v>
      </c>
      <c r="E1120">
        <v>5</v>
      </c>
      <c r="F1120" t="str">
        <f t="shared" si="68"/>
        <v>Standard</v>
      </c>
      <c r="G1120" s="3" cm="1">
        <f t="array" ref="G1120">_xlfn.XLOOKUP(C1120 &amp; F1120,
         [1]unilever_price_limits!A:A &amp; [1]unilever_price_limits!B:B,
         [1]unilever_price_limits!C:C)</f>
        <v>28</v>
      </c>
      <c r="H1120" s="8">
        <f t="shared" si="69"/>
        <v>9.8816000000000006</v>
      </c>
      <c r="I1120" s="6">
        <f t="shared" si="70"/>
        <v>28.000000000000004</v>
      </c>
      <c r="J1120" t="str">
        <f t="shared" si="71"/>
        <v>OK</v>
      </c>
    </row>
    <row r="1121" spans="1:10" x14ac:dyDescent="0.2">
      <c r="A1121">
        <v>11120</v>
      </c>
      <c r="B1121" t="s">
        <v>10</v>
      </c>
      <c r="C1121" t="s">
        <v>9</v>
      </c>
      <c r="D1121" s="8">
        <v>5</v>
      </c>
      <c r="E1121">
        <v>4</v>
      </c>
      <c r="F1121" t="str">
        <f t="shared" si="68"/>
        <v>Standard</v>
      </c>
      <c r="G1121" s="3" cm="1">
        <f t="array" ref="G1121">_xlfn.XLOOKUP(C1121 &amp; F1121,
         [1]unilever_price_limits!A:A &amp; [1]unilever_price_limits!B:B,
         [1]unilever_price_limits!C:C)</f>
        <v>30</v>
      </c>
      <c r="H1121" s="8">
        <f t="shared" si="69"/>
        <v>6.5</v>
      </c>
      <c r="I1121" s="6">
        <f t="shared" si="70"/>
        <v>30.000000000000004</v>
      </c>
      <c r="J1121" t="str">
        <f t="shared" si="71"/>
        <v>OK</v>
      </c>
    </row>
    <row r="1122" spans="1:10" x14ac:dyDescent="0.2">
      <c r="A1122">
        <v>11121</v>
      </c>
      <c r="B1122" t="s">
        <v>10</v>
      </c>
      <c r="C1122" t="s">
        <v>9</v>
      </c>
      <c r="D1122" s="8">
        <v>12.27</v>
      </c>
      <c r="E1122">
        <v>10</v>
      </c>
      <c r="F1122" t="str">
        <f t="shared" si="68"/>
        <v>Premium</v>
      </c>
      <c r="G1122" s="3" cm="1">
        <f t="array" ref="G1122">_xlfn.XLOOKUP(C1122 &amp; F1122,
         [1]unilever_price_limits!A:A &amp; [1]unilever_price_limits!B:B,
         [1]unilever_price_limits!C:C)</f>
        <v>60</v>
      </c>
      <c r="H1122" s="8">
        <f t="shared" si="69"/>
        <v>19.632000000000001</v>
      </c>
      <c r="I1122" s="6">
        <f t="shared" si="70"/>
        <v>60.000000000000007</v>
      </c>
      <c r="J1122" t="str">
        <f t="shared" si="71"/>
        <v>OK</v>
      </c>
    </row>
    <row r="1123" spans="1:10" x14ac:dyDescent="0.2">
      <c r="A1123">
        <v>11122</v>
      </c>
      <c r="B1123" t="s">
        <v>5</v>
      </c>
      <c r="C1123" t="s">
        <v>6</v>
      </c>
      <c r="D1123" s="8">
        <v>13.07</v>
      </c>
      <c r="E1123">
        <v>10</v>
      </c>
      <c r="F1123" t="str">
        <f t="shared" si="68"/>
        <v>Premium</v>
      </c>
      <c r="G1123" s="3" cm="1">
        <f t="array" ref="G1123">_xlfn.XLOOKUP(C1123 &amp; F1123,
         [1]unilever_price_limits!A:A &amp; [1]unilever_price_limits!B:B,
         [1]unilever_price_limits!C:C)</f>
        <v>55</v>
      </c>
      <c r="H1123" s="8">
        <f t="shared" si="69"/>
        <v>20.258500000000002</v>
      </c>
      <c r="I1123" s="6">
        <f t="shared" si="70"/>
        <v>55.000000000000007</v>
      </c>
      <c r="J1123" t="str">
        <f t="shared" si="71"/>
        <v>OK</v>
      </c>
    </row>
    <row r="1124" spans="1:10" x14ac:dyDescent="0.2">
      <c r="A1124">
        <v>11123</v>
      </c>
      <c r="B1124" t="s">
        <v>5</v>
      </c>
      <c r="C1124" t="s">
        <v>9</v>
      </c>
      <c r="D1124" s="8">
        <v>10.26</v>
      </c>
      <c r="E1124">
        <v>3</v>
      </c>
      <c r="F1124" t="str">
        <f t="shared" si="68"/>
        <v>Value</v>
      </c>
      <c r="G1124" s="3" cm="1">
        <f t="array" ref="G1124">_xlfn.XLOOKUP(C1124 &amp; F1124,
         [1]unilever_price_limits!A:A &amp; [1]unilever_price_limits!B:B,
         [1]unilever_price_limits!C:C)</f>
        <v>15</v>
      </c>
      <c r="H1124" s="8">
        <f t="shared" si="69"/>
        <v>11.798999999999999</v>
      </c>
      <c r="I1124" s="6">
        <f t="shared" si="70"/>
        <v>14.999999999999991</v>
      </c>
      <c r="J1124" t="str">
        <f t="shared" si="71"/>
        <v>OK</v>
      </c>
    </row>
    <row r="1125" spans="1:10" x14ac:dyDescent="0.2">
      <c r="A1125">
        <v>11124</v>
      </c>
      <c r="B1125" t="s">
        <v>5</v>
      </c>
      <c r="C1125" t="s">
        <v>11</v>
      </c>
      <c r="D1125" s="8">
        <v>1.18</v>
      </c>
      <c r="E1125">
        <v>4</v>
      </c>
      <c r="F1125" t="str">
        <f t="shared" si="68"/>
        <v>Standard</v>
      </c>
      <c r="G1125" s="3" cm="1">
        <f t="array" ref="G1125">_xlfn.XLOOKUP(C1125 &amp; F1125,
         [1]unilever_price_limits!A:A &amp; [1]unilever_price_limits!B:B,
         [1]unilever_price_limits!C:C)</f>
        <v>25</v>
      </c>
      <c r="H1125" s="8">
        <f t="shared" si="69"/>
        <v>1.4749999999999999</v>
      </c>
      <c r="I1125" s="6">
        <f t="shared" si="70"/>
        <v>25</v>
      </c>
      <c r="J1125" t="str">
        <f t="shared" si="71"/>
        <v>OK</v>
      </c>
    </row>
    <row r="1126" spans="1:10" x14ac:dyDescent="0.2">
      <c r="A1126">
        <v>11125</v>
      </c>
      <c r="B1126" t="s">
        <v>10</v>
      </c>
      <c r="C1126" t="s">
        <v>9</v>
      </c>
      <c r="D1126" s="8">
        <v>8.7100000000000009</v>
      </c>
      <c r="E1126">
        <v>10</v>
      </c>
      <c r="F1126" t="str">
        <f t="shared" si="68"/>
        <v>Premium</v>
      </c>
      <c r="G1126" s="3" cm="1">
        <f t="array" ref="G1126">_xlfn.XLOOKUP(C1126 &amp; F1126,
         [1]unilever_price_limits!A:A &amp; [1]unilever_price_limits!B:B,
         [1]unilever_price_limits!C:C)</f>
        <v>60</v>
      </c>
      <c r="H1126" s="8">
        <f t="shared" si="69"/>
        <v>13.936000000000002</v>
      </c>
      <c r="I1126" s="6">
        <f t="shared" si="70"/>
        <v>60.000000000000007</v>
      </c>
      <c r="J1126" t="str">
        <f t="shared" si="71"/>
        <v>OK</v>
      </c>
    </row>
    <row r="1127" spans="1:10" x14ac:dyDescent="0.2">
      <c r="A1127">
        <v>11126</v>
      </c>
      <c r="B1127" t="s">
        <v>7</v>
      </c>
      <c r="C1127" t="s">
        <v>6</v>
      </c>
      <c r="D1127" s="8">
        <v>11.57</v>
      </c>
      <c r="E1127">
        <v>4</v>
      </c>
      <c r="F1127" t="str">
        <f t="shared" si="68"/>
        <v>Standard</v>
      </c>
      <c r="G1127" s="3" cm="1">
        <f t="array" ref="G1127">_xlfn.XLOOKUP(C1127 &amp; F1127,
         [1]unilever_price_limits!A:A &amp; [1]unilever_price_limits!B:B,
         [1]unilever_price_limits!C:C)</f>
        <v>28</v>
      </c>
      <c r="H1127" s="8">
        <f t="shared" si="69"/>
        <v>14.809600000000001</v>
      </c>
      <c r="I1127" s="6">
        <f t="shared" si="70"/>
        <v>28.000000000000004</v>
      </c>
      <c r="J1127" t="str">
        <f t="shared" si="71"/>
        <v>OK</v>
      </c>
    </row>
    <row r="1128" spans="1:10" x14ac:dyDescent="0.2">
      <c r="A1128">
        <v>11127</v>
      </c>
      <c r="B1128" t="s">
        <v>7</v>
      </c>
      <c r="C1128" t="s">
        <v>6</v>
      </c>
      <c r="D1128" s="8">
        <v>2.48</v>
      </c>
      <c r="E1128">
        <v>2</v>
      </c>
      <c r="F1128" t="str">
        <f t="shared" si="68"/>
        <v>Value</v>
      </c>
      <c r="G1128" s="3" cm="1">
        <f t="array" ref="G1128">_xlfn.XLOOKUP(C1128 &amp; F1128,
         [1]unilever_price_limits!A:A &amp; [1]unilever_price_limits!B:B,
         [1]unilever_price_limits!C:C)</f>
        <v>12</v>
      </c>
      <c r="H1128" s="8">
        <f t="shared" si="69"/>
        <v>2.7776000000000001</v>
      </c>
      <c r="I1128" s="6">
        <f t="shared" si="70"/>
        <v>12.000000000000011</v>
      </c>
      <c r="J1128" t="str">
        <f t="shared" si="71"/>
        <v>OK</v>
      </c>
    </row>
    <row r="1129" spans="1:10" x14ac:dyDescent="0.2">
      <c r="A1129">
        <v>11128</v>
      </c>
      <c r="B1129" t="s">
        <v>10</v>
      </c>
      <c r="C1129" t="s">
        <v>11</v>
      </c>
      <c r="D1129" s="8">
        <v>3.82</v>
      </c>
      <c r="E1129">
        <v>5</v>
      </c>
      <c r="F1129" t="str">
        <f t="shared" si="68"/>
        <v>Standard</v>
      </c>
      <c r="G1129" s="3" cm="1">
        <f t="array" ref="G1129">_xlfn.XLOOKUP(C1129 &amp; F1129,
         [1]unilever_price_limits!A:A &amp; [1]unilever_price_limits!B:B,
         [1]unilever_price_limits!C:C)</f>
        <v>25</v>
      </c>
      <c r="H1129" s="8">
        <f t="shared" si="69"/>
        <v>4.7749999999999995</v>
      </c>
      <c r="I1129" s="6">
        <f t="shared" si="70"/>
        <v>25</v>
      </c>
      <c r="J1129" t="str">
        <f t="shared" si="71"/>
        <v>OK</v>
      </c>
    </row>
    <row r="1130" spans="1:10" x14ac:dyDescent="0.2">
      <c r="A1130">
        <v>11129</v>
      </c>
      <c r="B1130" t="s">
        <v>10</v>
      </c>
      <c r="C1130" t="s">
        <v>6</v>
      </c>
      <c r="D1130" s="8">
        <v>13.3</v>
      </c>
      <c r="E1130">
        <v>5</v>
      </c>
      <c r="F1130" t="str">
        <f t="shared" si="68"/>
        <v>Standard</v>
      </c>
      <c r="G1130" s="3" cm="1">
        <f t="array" ref="G1130">_xlfn.XLOOKUP(C1130 &amp; F1130,
         [1]unilever_price_limits!A:A &amp; [1]unilever_price_limits!B:B,
         [1]unilever_price_limits!C:C)</f>
        <v>28</v>
      </c>
      <c r="H1130" s="8">
        <f t="shared" si="69"/>
        <v>17.024000000000001</v>
      </c>
      <c r="I1130" s="6">
        <f t="shared" si="70"/>
        <v>28.000000000000004</v>
      </c>
      <c r="J1130" t="str">
        <f t="shared" si="71"/>
        <v>OK</v>
      </c>
    </row>
    <row r="1131" spans="1:10" x14ac:dyDescent="0.2">
      <c r="A1131">
        <v>11130</v>
      </c>
      <c r="B1131" t="s">
        <v>10</v>
      </c>
      <c r="C1131" t="s">
        <v>11</v>
      </c>
      <c r="D1131" s="8">
        <v>0.79</v>
      </c>
      <c r="E1131">
        <v>5</v>
      </c>
      <c r="F1131" t="str">
        <f t="shared" si="68"/>
        <v>Standard</v>
      </c>
      <c r="G1131" s="3" cm="1">
        <f t="array" ref="G1131">_xlfn.XLOOKUP(C1131 &amp; F1131,
         [1]unilever_price_limits!A:A &amp; [1]unilever_price_limits!B:B,
         [1]unilever_price_limits!C:C)</f>
        <v>25</v>
      </c>
      <c r="H1131" s="8">
        <f t="shared" si="69"/>
        <v>0.98750000000000004</v>
      </c>
      <c r="I1131" s="6">
        <f t="shared" si="70"/>
        <v>25</v>
      </c>
      <c r="J1131" t="str">
        <f t="shared" si="71"/>
        <v>OK</v>
      </c>
    </row>
    <row r="1132" spans="1:10" x14ac:dyDescent="0.2">
      <c r="A1132">
        <v>11131</v>
      </c>
      <c r="B1132" t="s">
        <v>10</v>
      </c>
      <c r="C1132" t="s">
        <v>9</v>
      </c>
      <c r="D1132" s="8">
        <v>11.41</v>
      </c>
      <c r="E1132">
        <v>10</v>
      </c>
      <c r="F1132" t="str">
        <f t="shared" si="68"/>
        <v>Premium</v>
      </c>
      <c r="G1132" s="3" cm="1">
        <f t="array" ref="G1132">_xlfn.XLOOKUP(C1132 &amp; F1132,
         [1]unilever_price_limits!A:A &amp; [1]unilever_price_limits!B:B,
         [1]unilever_price_limits!C:C)</f>
        <v>60</v>
      </c>
      <c r="H1132" s="8">
        <f t="shared" si="69"/>
        <v>18.256</v>
      </c>
      <c r="I1132" s="6">
        <f t="shared" si="70"/>
        <v>60.000000000000007</v>
      </c>
      <c r="J1132" t="str">
        <f t="shared" si="71"/>
        <v>OK</v>
      </c>
    </row>
    <row r="1133" spans="1:10" x14ac:dyDescent="0.2">
      <c r="A1133">
        <v>11132</v>
      </c>
      <c r="B1133" t="s">
        <v>10</v>
      </c>
      <c r="C1133" t="s">
        <v>9</v>
      </c>
      <c r="D1133" s="8">
        <v>7.37</v>
      </c>
      <c r="E1133">
        <v>1</v>
      </c>
      <c r="F1133" t="str">
        <f t="shared" si="68"/>
        <v>Value</v>
      </c>
      <c r="G1133" s="3" cm="1">
        <f t="array" ref="G1133">_xlfn.XLOOKUP(C1133 &amp; F1133,
         [1]unilever_price_limits!A:A &amp; [1]unilever_price_limits!B:B,
         [1]unilever_price_limits!C:C)</f>
        <v>15</v>
      </c>
      <c r="H1133" s="8">
        <f t="shared" si="69"/>
        <v>8.4755000000000003</v>
      </c>
      <c r="I1133" s="6">
        <f t="shared" si="70"/>
        <v>14.999999999999991</v>
      </c>
      <c r="J1133" t="str">
        <f t="shared" si="71"/>
        <v>OK</v>
      </c>
    </row>
    <row r="1134" spans="1:10" x14ac:dyDescent="0.2">
      <c r="A1134">
        <v>11133</v>
      </c>
      <c r="B1134" t="s">
        <v>10</v>
      </c>
      <c r="C1134" t="s">
        <v>11</v>
      </c>
      <c r="D1134" s="8">
        <v>6.98</v>
      </c>
      <c r="E1134">
        <v>6</v>
      </c>
      <c r="F1134" t="str">
        <f t="shared" si="68"/>
        <v>Standard</v>
      </c>
      <c r="G1134" s="3" cm="1">
        <f t="array" ref="G1134">_xlfn.XLOOKUP(C1134 &amp; F1134,
         [1]unilever_price_limits!A:A &amp; [1]unilever_price_limits!B:B,
         [1]unilever_price_limits!C:C)</f>
        <v>25</v>
      </c>
      <c r="H1134" s="8">
        <f t="shared" si="69"/>
        <v>8.7250000000000014</v>
      </c>
      <c r="I1134" s="6">
        <f t="shared" si="70"/>
        <v>25.000000000000021</v>
      </c>
      <c r="J1134" t="str">
        <f t="shared" si="71"/>
        <v>OK</v>
      </c>
    </row>
    <row r="1135" spans="1:10" x14ac:dyDescent="0.2">
      <c r="A1135">
        <v>11134</v>
      </c>
      <c r="B1135" t="s">
        <v>5</v>
      </c>
      <c r="C1135" t="s">
        <v>11</v>
      </c>
      <c r="D1135" s="8">
        <v>0.6</v>
      </c>
      <c r="E1135">
        <v>2</v>
      </c>
      <c r="F1135" t="str">
        <f t="shared" si="68"/>
        <v>Value</v>
      </c>
      <c r="G1135" s="3" cm="1">
        <f t="array" ref="G1135">_xlfn.XLOOKUP(C1135 &amp; F1135,
         [1]unilever_price_limits!A:A &amp; [1]unilever_price_limits!B:B,
         [1]unilever_price_limits!C:C)</f>
        <v>10</v>
      </c>
      <c r="H1135" s="8">
        <f t="shared" si="69"/>
        <v>0.66</v>
      </c>
      <c r="I1135" s="6">
        <f t="shared" si="70"/>
        <v>10.000000000000009</v>
      </c>
      <c r="J1135" t="str">
        <f t="shared" si="71"/>
        <v>OK</v>
      </c>
    </row>
    <row r="1136" spans="1:10" x14ac:dyDescent="0.2">
      <c r="A1136">
        <v>11135</v>
      </c>
      <c r="B1136" t="s">
        <v>5</v>
      </c>
      <c r="C1136" t="s">
        <v>6</v>
      </c>
      <c r="D1136" s="8">
        <v>12.38</v>
      </c>
      <c r="E1136">
        <v>7</v>
      </c>
      <c r="F1136" t="str">
        <f t="shared" si="68"/>
        <v>Standard</v>
      </c>
      <c r="G1136" s="3" cm="1">
        <f t="array" ref="G1136">_xlfn.XLOOKUP(C1136 &amp; F1136,
         [1]unilever_price_limits!A:A &amp; [1]unilever_price_limits!B:B,
         [1]unilever_price_limits!C:C)</f>
        <v>28</v>
      </c>
      <c r="H1136" s="8">
        <f t="shared" si="69"/>
        <v>15.846400000000001</v>
      </c>
      <c r="I1136" s="6">
        <f t="shared" si="70"/>
        <v>28.000000000000004</v>
      </c>
      <c r="J1136" t="str">
        <f t="shared" si="71"/>
        <v>OK</v>
      </c>
    </row>
    <row r="1137" spans="1:10" x14ac:dyDescent="0.2">
      <c r="A1137">
        <v>11136</v>
      </c>
      <c r="B1137" t="s">
        <v>5</v>
      </c>
      <c r="C1137" t="s">
        <v>9</v>
      </c>
      <c r="D1137" s="8">
        <v>5.72</v>
      </c>
      <c r="E1137">
        <v>4</v>
      </c>
      <c r="F1137" t="str">
        <f t="shared" si="68"/>
        <v>Standard</v>
      </c>
      <c r="G1137" s="3" cm="1">
        <f t="array" ref="G1137">_xlfn.XLOOKUP(C1137 &amp; F1137,
         [1]unilever_price_limits!A:A &amp; [1]unilever_price_limits!B:B,
         [1]unilever_price_limits!C:C)</f>
        <v>30</v>
      </c>
      <c r="H1137" s="8">
        <f t="shared" si="69"/>
        <v>7.4359999999999999</v>
      </c>
      <c r="I1137" s="6">
        <f t="shared" si="70"/>
        <v>30.000000000000004</v>
      </c>
      <c r="J1137" t="str">
        <f t="shared" si="71"/>
        <v>OK</v>
      </c>
    </row>
    <row r="1138" spans="1:10" x14ac:dyDescent="0.2">
      <c r="A1138">
        <v>11137</v>
      </c>
      <c r="B1138" t="s">
        <v>5</v>
      </c>
      <c r="C1138" t="s">
        <v>11</v>
      </c>
      <c r="D1138" s="8">
        <v>8.34</v>
      </c>
      <c r="E1138">
        <v>5</v>
      </c>
      <c r="F1138" t="str">
        <f t="shared" si="68"/>
        <v>Standard</v>
      </c>
      <c r="G1138" s="3" cm="1">
        <f t="array" ref="G1138">_xlfn.XLOOKUP(C1138 &amp; F1138,
         [1]unilever_price_limits!A:A &amp; [1]unilever_price_limits!B:B,
         [1]unilever_price_limits!C:C)</f>
        <v>25</v>
      </c>
      <c r="H1138" s="8">
        <f t="shared" si="69"/>
        <v>10.425000000000001</v>
      </c>
      <c r="I1138" s="6">
        <f t="shared" si="70"/>
        <v>25</v>
      </c>
      <c r="J1138" t="str">
        <f t="shared" si="71"/>
        <v>OK</v>
      </c>
    </row>
    <row r="1139" spans="1:10" x14ac:dyDescent="0.2">
      <c r="A1139">
        <v>11138</v>
      </c>
      <c r="B1139" t="s">
        <v>10</v>
      </c>
      <c r="C1139" t="s">
        <v>9</v>
      </c>
      <c r="D1139" s="8">
        <v>10.32</v>
      </c>
      <c r="E1139">
        <v>5</v>
      </c>
      <c r="F1139" t="str">
        <f t="shared" si="68"/>
        <v>Standard</v>
      </c>
      <c r="G1139" s="3" cm="1">
        <f t="array" ref="G1139">_xlfn.XLOOKUP(C1139 &amp; F1139,
         [1]unilever_price_limits!A:A &amp; [1]unilever_price_limits!B:B,
         [1]unilever_price_limits!C:C)</f>
        <v>30</v>
      </c>
      <c r="H1139" s="8">
        <f t="shared" si="69"/>
        <v>13.416</v>
      </c>
      <c r="I1139" s="6">
        <f t="shared" si="70"/>
        <v>30.000000000000004</v>
      </c>
      <c r="J1139" t="str">
        <f t="shared" si="71"/>
        <v>OK</v>
      </c>
    </row>
    <row r="1140" spans="1:10" x14ac:dyDescent="0.2">
      <c r="A1140">
        <v>11139</v>
      </c>
      <c r="B1140" t="s">
        <v>7</v>
      </c>
      <c r="C1140" t="s">
        <v>11</v>
      </c>
      <c r="D1140" s="8">
        <v>10.69</v>
      </c>
      <c r="E1140">
        <v>5</v>
      </c>
      <c r="F1140" t="str">
        <f t="shared" si="68"/>
        <v>Standard</v>
      </c>
      <c r="G1140" s="3" cm="1">
        <f t="array" ref="G1140">_xlfn.XLOOKUP(C1140 &amp; F1140,
         [1]unilever_price_limits!A:A &amp; [1]unilever_price_limits!B:B,
         [1]unilever_price_limits!C:C)</f>
        <v>25</v>
      </c>
      <c r="H1140" s="8">
        <f t="shared" si="69"/>
        <v>13.362499999999999</v>
      </c>
      <c r="I1140" s="6">
        <f t="shared" si="70"/>
        <v>25</v>
      </c>
      <c r="J1140" t="str">
        <f t="shared" si="71"/>
        <v>OK</v>
      </c>
    </row>
    <row r="1141" spans="1:10" x14ac:dyDescent="0.2">
      <c r="A1141">
        <v>11140</v>
      </c>
      <c r="B1141" t="s">
        <v>8</v>
      </c>
      <c r="C1141" t="s">
        <v>9</v>
      </c>
      <c r="D1141" s="8">
        <v>14.36</v>
      </c>
      <c r="E1141">
        <v>2</v>
      </c>
      <c r="F1141" t="str">
        <f t="shared" si="68"/>
        <v>Value</v>
      </c>
      <c r="G1141" s="3" cm="1">
        <f t="array" ref="G1141">_xlfn.XLOOKUP(C1141 &amp; F1141,
         [1]unilever_price_limits!A:A &amp; [1]unilever_price_limits!B:B,
         [1]unilever_price_limits!C:C)</f>
        <v>15</v>
      </c>
      <c r="H1141" s="8">
        <f t="shared" si="69"/>
        <v>16.513999999999999</v>
      </c>
      <c r="I1141" s="6">
        <f t="shared" si="70"/>
        <v>14.999999999999991</v>
      </c>
      <c r="J1141" t="str">
        <f t="shared" si="71"/>
        <v>OK</v>
      </c>
    </row>
    <row r="1142" spans="1:10" x14ac:dyDescent="0.2">
      <c r="A1142">
        <v>11141</v>
      </c>
      <c r="B1142" t="s">
        <v>10</v>
      </c>
      <c r="C1142" t="s">
        <v>6</v>
      </c>
      <c r="D1142" s="8">
        <v>8.1999999999999993</v>
      </c>
      <c r="E1142">
        <v>5</v>
      </c>
      <c r="F1142" t="str">
        <f t="shared" si="68"/>
        <v>Standard</v>
      </c>
      <c r="G1142" s="3" cm="1">
        <f t="array" ref="G1142">_xlfn.XLOOKUP(C1142 &amp; F1142,
         [1]unilever_price_limits!A:A &amp; [1]unilever_price_limits!B:B,
         [1]unilever_price_limits!C:C)</f>
        <v>28</v>
      </c>
      <c r="H1142" s="8">
        <f t="shared" si="69"/>
        <v>10.495999999999999</v>
      </c>
      <c r="I1142" s="6">
        <f t="shared" si="70"/>
        <v>28.000000000000004</v>
      </c>
      <c r="J1142" t="str">
        <f t="shared" si="71"/>
        <v>OK</v>
      </c>
    </row>
    <row r="1143" spans="1:10" x14ac:dyDescent="0.2">
      <c r="A1143">
        <v>11142</v>
      </c>
      <c r="B1143" t="s">
        <v>8</v>
      </c>
      <c r="C1143" t="s">
        <v>9</v>
      </c>
      <c r="D1143" s="8">
        <v>6.3</v>
      </c>
      <c r="E1143">
        <v>3</v>
      </c>
      <c r="F1143" t="str">
        <f t="shared" si="68"/>
        <v>Value</v>
      </c>
      <c r="G1143" s="3" cm="1">
        <f t="array" ref="G1143">_xlfn.XLOOKUP(C1143 &amp; F1143,
         [1]unilever_price_limits!A:A &amp; [1]unilever_price_limits!B:B,
         [1]unilever_price_limits!C:C)</f>
        <v>15</v>
      </c>
      <c r="H1143" s="8">
        <f t="shared" si="69"/>
        <v>7.2449999999999992</v>
      </c>
      <c r="I1143" s="6">
        <f t="shared" si="70"/>
        <v>14.999999999999991</v>
      </c>
      <c r="J1143" t="str">
        <f t="shared" si="71"/>
        <v>OK</v>
      </c>
    </row>
    <row r="1144" spans="1:10" x14ac:dyDescent="0.2">
      <c r="A1144">
        <v>11143</v>
      </c>
      <c r="B1144" t="s">
        <v>7</v>
      </c>
      <c r="C1144" t="s">
        <v>9</v>
      </c>
      <c r="D1144" s="8">
        <v>14.33</v>
      </c>
      <c r="E1144">
        <v>4</v>
      </c>
      <c r="F1144" t="str">
        <f t="shared" si="68"/>
        <v>Standard</v>
      </c>
      <c r="G1144" s="3" cm="1">
        <f t="array" ref="G1144">_xlfn.XLOOKUP(C1144 &amp; F1144,
         [1]unilever_price_limits!A:A &amp; [1]unilever_price_limits!B:B,
         [1]unilever_price_limits!C:C)</f>
        <v>30</v>
      </c>
      <c r="H1144" s="8">
        <f t="shared" si="69"/>
        <v>18.629000000000001</v>
      </c>
      <c r="I1144" s="6">
        <f t="shared" si="70"/>
        <v>30.000000000000004</v>
      </c>
      <c r="J1144" t="str">
        <f t="shared" si="71"/>
        <v>OK</v>
      </c>
    </row>
    <row r="1145" spans="1:10" x14ac:dyDescent="0.2">
      <c r="A1145">
        <v>11144</v>
      </c>
      <c r="B1145" t="s">
        <v>5</v>
      </c>
      <c r="C1145" t="s">
        <v>9</v>
      </c>
      <c r="D1145" s="8">
        <v>9.81</v>
      </c>
      <c r="E1145">
        <v>2</v>
      </c>
      <c r="F1145" t="str">
        <f t="shared" si="68"/>
        <v>Value</v>
      </c>
      <c r="G1145" s="3" cm="1">
        <f t="array" ref="G1145">_xlfn.XLOOKUP(C1145 &amp; F1145,
         [1]unilever_price_limits!A:A &amp; [1]unilever_price_limits!B:B,
         [1]unilever_price_limits!C:C)</f>
        <v>15</v>
      </c>
      <c r="H1145" s="8">
        <f t="shared" si="69"/>
        <v>11.281499999999999</v>
      </c>
      <c r="I1145" s="6">
        <f t="shared" si="70"/>
        <v>14.999999999999991</v>
      </c>
      <c r="J1145" t="str">
        <f t="shared" si="71"/>
        <v>OK</v>
      </c>
    </row>
    <row r="1146" spans="1:10" x14ac:dyDescent="0.2">
      <c r="A1146">
        <v>11145</v>
      </c>
      <c r="B1146" t="s">
        <v>7</v>
      </c>
      <c r="C1146" t="s">
        <v>9</v>
      </c>
      <c r="D1146" s="8">
        <v>4.82</v>
      </c>
      <c r="E1146">
        <v>4</v>
      </c>
      <c r="F1146" t="str">
        <f t="shared" si="68"/>
        <v>Standard</v>
      </c>
      <c r="G1146" s="3" cm="1">
        <f t="array" ref="G1146">_xlfn.XLOOKUP(C1146 &amp; F1146,
         [1]unilever_price_limits!A:A &amp; [1]unilever_price_limits!B:B,
         [1]unilever_price_limits!C:C)</f>
        <v>30</v>
      </c>
      <c r="H1146" s="8">
        <f t="shared" si="69"/>
        <v>6.2660000000000009</v>
      </c>
      <c r="I1146" s="6">
        <f t="shared" si="70"/>
        <v>30.000000000000004</v>
      </c>
      <c r="J1146" t="str">
        <f t="shared" si="71"/>
        <v>OK</v>
      </c>
    </row>
    <row r="1147" spans="1:10" x14ac:dyDescent="0.2">
      <c r="A1147">
        <v>11146</v>
      </c>
      <c r="B1147" t="s">
        <v>10</v>
      </c>
      <c r="C1147" t="s">
        <v>9</v>
      </c>
      <c r="D1147" s="8">
        <v>2.33</v>
      </c>
      <c r="E1147">
        <v>9</v>
      </c>
      <c r="F1147" t="str">
        <f t="shared" si="68"/>
        <v>Premium</v>
      </c>
      <c r="G1147" s="3" cm="1">
        <f t="array" ref="G1147">_xlfn.XLOOKUP(C1147 &amp; F1147,
         [1]unilever_price_limits!A:A &amp; [1]unilever_price_limits!B:B,
         [1]unilever_price_limits!C:C)</f>
        <v>60</v>
      </c>
      <c r="H1147" s="8">
        <f t="shared" si="69"/>
        <v>3.7280000000000002</v>
      </c>
      <c r="I1147" s="6">
        <f t="shared" si="70"/>
        <v>60.000000000000007</v>
      </c>
      <c r="J1147" t="str">
        <f t="shared" si="71"/>
        <v>OK</v>
      </c>
    </row>
    <row r="1148" spans="1:10" x14ac:dyDescent="0.2">
      <c r="A1148">
        <v>11147</v>
      </c>
      <c r="B1148" t="s">
        <v>5</v>
      </c>
      <c r="C1148" t="s">
        <v>6</v>
      </c>
      <c r="D1148" s="8">
        <v>12.72</v>
      </c>
      <c r="E1148">
        <v>8</v>
      </c>
      <c r="F1148" t="str">
        <f t="shared" si="68"/>
        <v>Premium</v>
      </c>
      <c r="G1148" s="3" cm="1">
        <f t="array" ref="G1148">_xlfn.XLOOKUP(C1148 &amp; F1148,
         [1]unilever_price_limits!A:A &amp; [1]unilever_price_limits!B:B,
         [1]unilever_price_limits!C:C)</f>
        <v>55</v>
      </c>
      <c r="H1148" s="8">
        <f t="shared" si="69"/>
        <v>19.716000000000001</v>
      </c>
      <c r="I1148" s="6">
        <f t="shared" si="70"/>
        <v>55.000000000000007</v>
      </c>
      <c r="J1148" t="str">
        <f t="shared" si="71"/>
        <v>OK</v>
      </c>
    </row>
    <row r="1149" spans="1:10" x14ac:dyDescent="0.2">
      <c r="A1149">
        <v>11148</v>
      </c>
      <c r="B1149" t="s">
        <v>10</v>
      </c>
      <c r="C1149" t="s">
        <v>11</v>
      </c>
      <c r="D1149" s="8">
        <v>5.75</v>
      </c>
      <c r="E1149">
        <v>3</v>
      </c>
      <c r="F1149" t="str">
        <f t="shared" si="68"/>
        <v>Value</v>
      </c>
      <c r="G1149" s="3" cm="1">
        <f t="array" ref="G1149">_xlfn.XLOOKUP(C1149 &amp; F1149,
         [1]unilever_price_limits!A:A &amp; [1]unilever_price_limits!B:B,
         [1]unilever_price_limits!C:C)</f>
        <v>10</v>
      </c>
      <c r="H1149" s="8">
        <f t="shared" si="69"/>
        <v>6.3250000000000002</v>
      </c>
      <c r="I1149" s="6">
        <f t="shared" si="70"/>
        <v>10.000000000000009</v>
      </c>
      <c r="J1149" t="str">
        <f t="shared" si="71"/>
        <v>OK</v>
      </c>
    </row>
    <row r="1150" spans="1:10" x14ac:dyDescent="0.2">
      <c r="A1150">
        <v>11149</v>
      </c>
      <c r="B1150" t="s">
        <v>5</v>
      </c>
      <c r="C1150" t="s">
        <v>9</v>
      </c>
      <c r="D1150" s="8">
        <v>10.08</v>
      </c>
      <c r="E1150">
        <v>1</v>
      </c>
      <c r="F1150" t="str">
        <f t="shared" si="68"/>
        <v>Value</v>
      </c>
      <c r="G1150" s="3" cm="1">
        <f t="array" ref="G1150">_xlfn.XLOOKUP(C1150 &amp; F1150,
         [1]unilever_price_limits!A:A &amp; [1]unilever_price_limits!B:B,
         [1]unilever_price_limits!C:C)</f>
        <v>15</v>
      </c>
      <c r="H1150" s="8">
        <f t="shared" si="69"/>
        <v>11.591999999999999</v>
      </c>
      <c r="I1150" s="6">
        <f t="shared" si="70"/>
        <v>14.999999999999991</v>
      </c>
      <c r="J1150" t="str">
        <f t="shared" si="71"/>
        <v>OK</v>
      </c>
    </row>
    <row r="1151" spans="1:10" x14ac:dyDescent="0.2">
      <c r="A1151">
        <v>11150</v>
      </c>
      <c r="B1151" t="s">
        <v>8</v>
      </c>
      <c r="C1151" t="s">
        <v>6</v>
      </c>
      <c r="D1151" s="8">
        <v>7.33</v>
      </c>
      <c r="E1151">
        <v>1</v>
      </c>
      <c r="F1151" t="str">
        <f t="shared" si="68"/>
        <v>Value</v>
      </c>
      <c r="G1151" s="3" cm="1">
        <f t="array" ref="G1151">_xlfn.XLOOKUP(C1151 &amp; F1151,
         [1]unilever_price_limits!A:A &amp; [1]unilever_price_limits!B:B,
         [1]unilever_price_limits!C:C)</f>
        <v>12</v>
      </c>
      <c r="H1151" s="8">
        <f t="shared" si="69"/>
        <v>8.2096</v>
      </c>
      <c r="I1151" s="6">
        <f t="shared" si="70"/>
        <v>11.999999999999989</v>
      </c>
      <c r="J1151" t="str">
        <f t="shared" si="71"/>
        <v>OK</v>
      </c>
    </row>
    <row r="1152" spans="1:10" x14ac:dyDescent="0.2">
      <c r="A1152">
        <v>11151</v>
      </c>
      <c r="B1152" t="s">
        <v>8</v>
      </c>
      <c r="C1152" t="s">
        <v>9</v>
      </c>
      <c r="D1152" s="8">
        <v>3.38</v>
      </c>
      <c r="E1152">
        <v>6</v>
      </c>
      <c r="F1152" t="str">
        <f t="shared" si="68"/>
        <v>Standard</v>
      </c>
      <c r="G1152" s="3" cm="1">
        <f t="array" ref="G1152">_xlfn.XLOOKUP(C1152 &amp; F1152,
         [1]unilever_price_limits!A:A &amp; [1]unilever_price_limits!B:B,
         [1]unilever_price_limits!C:C)</f>
        <v>30</v>
      </c>
      <c r="H1152" s="8">
        <f t="shared" si="69"/>
        <v>4.3940000000000001</v>
      </c>
      <c r="I1152" s="6">
        <f t="shared" si="70"/>
        <v>30.000000000000004</v>
      </c>
      <c r="J1152" t="str">
        <f t="shared" si="71"/>
        <v>OK</v>
      </c>
    </row>
    <row r="1153" spans="1:10" x14ac:dyDescent="0.2">
      <c r="A1153">
        <v>11152</v>
      </c>
      <c r="B1153" t="s">
        <v>8</v>
      </c>
      <c r="C1153" t="s">
        <v>9</v>
      </c>
      <c r="D1153" s="8">
        <v>9.2200000000000006</v>
      </c>
      <c r="E1153">
        <v>3</v>
      </c>
      <c r="F1153" t="str">
        <f t="shared" si="68"/>
        <v>Value</v>
      </c>
      <c r="G1153" s="3" cm="1">
        <f t="array" ref="G1153">_xlfn.XLOOKUP(C1153 &amp; F1153,
         [1]unilever_price_limits!A:A &amp; [1]unilever_price_limits!B:B,
         [1]unilever_price_limits!C:C)</f>
        <v>15</v>
      </c>
      <c r="H1153" s="8">
        <f t="shared" si="69"/>
        <v>10.603</v>
      </c>
      <c r="I1153" s="6">
        <f t="shared" si="70"/>
        <v>14.999999999999991</v>
      </c>
      <c r="J1153" t="str">
        <f t="shared" si="71"/>
        <v>OK</v>
      </c>
    </row>
    <row r="1154" spans="1:10" x14ac:dyDescent="0.2">
      <c r="A1154">
        <v>11153</v>
      </c>
      <c r="B1154" t="s">
        <v>7</v>
      </c>
      <c r="C1154" t="s">
        <v>11</v>
      </c>
      <c r="D1154" s="8">
        <v>1.38</v>
      </c>
      <c r="E1154">
        <v>4</v>
      </c>
      <c r="F1154" t="str">
        <f t="shared" si="68"/>
        <v>Standard</v>
      </c>
      <c r="G1154" s="3" cm="1">
        <f t="array" ref="G1154">_xlfn.XLOOKUP(C1154 &amp; F1154,
         [1]unilever_price_limits!A:A &amp; [1]unilever_price_limits!B:B,
         [1]unilever_price_limits!C:C)</f>
        <v>25</v>
      </c>
      <c r="H1154" s="8">
        <f t="shared" si="69"/>
        <v>1.7249999999999999</v>
      </c>
      <c r="I1154" s="6">
        <f t="shared" si="70"/>
        <v>25</v>
      </c>
      <c r="J1154" t="str">
        <f t="shared" si="71"/>
        <v>OK</v>
      </c>
    </row>
    <row r="1155" spans="1:10" x14ac:dyDescent="0.2">
      <c r="A1155">
        <v>11154</v>
      </c>
      <c r="B1155" t="s">
        <v>10</v>
      </c>
      <c r="C1155" t="s">
        <v>9</v>
      </c>
      <c r="D1155" s="8">
        <v>6.49</v>
      </c>
      <c r="E1155">
        <v>1</v>
      </c>
      <c r="F1155" t="str">
        <f t="shared" ref="F1155:F1218" si="72">IF(E1155&lt;=3,"Value",
 IF(E1155&lt;=7,"Standard","Premium"))</f>
        <v>Value</v>
      </c>
      <c r="G1155" s="3" cm="1">
        <f t="array" ref="G1155">_xlfn.XLOOKUP(C1155 &amp; F1155,
         [1]unilever_price_limits!A:A &amp; [1]unilever_price_limits!B:B,
         [1]unilever_price_limits!C:C)</f>
        <v>15</v>
      </c>
      <c r="H1155" s="8">
        <f t="shared" ref="H1155:H1218" si="73">D1155 * (1 + G1155/100)</f>
        <v>7.4634999999999998</v>
      </c>
      <c r="I1155" s="6">
        <f t="shared" ref="I1155:I1218" si="74">(H1155 / D1155 - 1) * 100</f>
        <v>14.999999999999991</v>
      </c>
      <c r="J1155" t="str">
        <f t="shared" ref="J1155:J1218" si="75">IF(I1154&gt; G1154, "⚠ Exceeds Limit", "OK")</f>
        <v>OK</v>
      </c>
    </row>
    <row r="1156" spans="1:10" x14ac:dyDescent="0.2">
      <c r="A1156">
        <v>11155</v>
      </c>
      <c r="B1156" t="s">
        <v>7</v>
      </c>
      <c r="C1156" t="s">
        <v>6</v>
      </c>
      <c r="D1156" s="8">
        <v>8.43</v>
      </c>
      <c r="E1156">
        <v>8</v>
      </c>
      <c r="F1156" t="str">
        <f t="shared" si="72"/>
        <v>Premium</v>
      </c>
      <c r="G1156" s="3" cm="1">
        <f t="array" ref="G1156">_xlfn.XLOOKUP(C1156 &amp; F1156,
         [1]unilever_price_limits!A:A &amp; [1]unilever_price_limits!B:B,
         [1]unilever_price_limits!C:C)</f>
        <v>55</v>
      </c>
      <c r="H1156" s="8">
        <f t="shared" si="73"/>
        <v>13.0665</v>
      </c>
      <c r="I1156" s="6">
        <f t="shared" si="74"/>
        <v>55.000000000000007</v>
      </c>
      <c r="J1156" t="str">
        <f t="shared" si="75"/>
        <v>OK</v>
      </c>
    </row>
    <row r="1157" spans="1:10" x14ac:dyDescent="0.2">
      <c r="A1157">
        <v>11156</v>
      </c>
      <c r="B1157" t="s">
        <v>8</v>
      </c>
      <c r="C1157" t="s">
        <v>6</v>
      </c>
      <c r="D1157" s="8">
        <v>6.82</v>
      </c>
      <c r="E1157">
        <v>1</v>
      </c>
      <c r="F1157" t="str">
        <f t="shared" si="72"/>
        <v>Value</v>
      </c>
      <c r="G1157" s="3" cm="1">
        <f t="array" ref="G1157">_xlfn.XLOOKUP(C1157 &amp; F1157,
         [1]unilever_price_limits!A:A &amp; [1]unilever_price_limits!B:B,
         [1]unilever_price_limits!C:C)</f>
        <v>12</v>
      </c>
      <c r="H1157" s="8">
        <f t="shared" si="73"/>
        <v>7.6384000000000007</v>
      </c>
      <c r="I1157" s="6">
        <f t="shared" si="74"/>
        <v>12.000000000000011</v>
      </c>
      <c r="J1157" t="str">
        <f t="shared" si="75"/>
        <v>OK</v>
      </c>
    </row>
    <row r="1158" spans="1:10" x14ac:dyDescent="0.2">
      <c r="A1158">
        <v>11157</v>
      </c>
      <c r="B1158" t="s">
        <v>10</v>
      </c>
      <c r="C1158" t="s">
        <v>11</v>
      </c>
      <c r="D1158" s="8">
        <v>11.36</v>
      </c>
      <c r="E1158">
        <v>5</v>
      </c>
      <c r="F1158" t="str">
        <f t="shared" si="72"/>
        <v>Standard</v>
      </c>
      <c r="G1158" s="3" cm="1">
        <f t="array" ref="G1158">_xlfn.XLOOKUP(C1158 &amp; F1158,
         [1]unilever_price_limits!A:A &amp; [1]unilever_price_limits!B:B,
         [1]unilever_price_limits!C:C)</f>
        <v>25</v>
      </c>
      <c r="H1158" s="8">
        <f t="shared" si="73"/>
        <v>14.2</v>
      </c>
      <c r="I1158" s="6">
        <f t="shared" si="74"/>
        <v>25</v>
      </c>
      <c r="J1158" t="str">
        <f t="shared" si="75"/>
        <v>OK</v>
      </c>
    </row>
    <row r="1159" spans="1:10" x14ac:dyDescent="0.2">
      <c r="A1159">
        <v>11158</v>
      </c>
      <c r="B1159" t="s">
        <v>8</v>
      </c>
      <c r="C1159" t="s">
        <v>9</v>
      </c>
      <c r="D1159" s="8">
        <v>12.5</v>
      </c>
      <c r="E1159">
        <v>6</v>
      </c>
      <c r="F1159" t="str">
        <f t="shared" si="72"/>
        <v>Standard</v>
      </c>
      <c r="G1159" s="3" cm="1">
        <f t="array" ref="G1159">_xlfn.XLOOKUP(C1159 &amp; F1159,
         [1]unilever_price_limits!A:A &amp; [1]unilever_price_limits!B:B,
         [1]unilever_price_limits!C:C)</f>
        <v>30</v>
      </c>
      <c r="H1159" s="8">
        <f t="shared" si="73"/>
        <v>16.25</v>
      </c>
      <c r="I1159" s="6">
        <f t="shared" si="74"/>
        <v>30.000000000000004</v>
      </c>
      <c r="J1159" t="str">
        <f t="shared" si="75"/>
        <v>OK</v>
      </c>
    </row>
    <row r="1160" spans="1:10" x14ac:dyDescent="0.2">
      <c r="A1160">
        <v>11159</v>
      </c>
      <c r="B1160" t="s">
        <v>7</v>
      </c>
      <c r="C1160" t="s">
        <v>6</v>
      </c>
      <c r="D1160" s="8">
        <v>11.68</v>
      </c>
      <c r="E1160">
        <v>2</v>
      </c>
      <c r="F1160" t="str">
        <f t="shared" si="72"/>
        <v>Value</v>
      </c>
      <c r="G1160" s="3" cm="1">
        <f t="array" ref="G1160">_xlfn.XLOOKUP(C1160 &amp; F1160,
         [1]unilever_price_limits!A:A &amp; [1]unilever_price_limits!B:B,
         [1]unilever_price_limits!C:C)</f>
        <v>12</v>
      </c>
      <c r="H1160" s="8">
        <f t="shared" si="73"/>
        <v>13.081600000000002</v>
      </c>
      <c r="I1160" s="6">
        <f t="shared" si="74"/>
        <v>12.000000000000011</v>
      </c>
      <c r="J1160" t="str">
        <f t="shared" si="75"/>
        <v>OK</v>
      </c>
    </row>
    <row r="1161" spans="1:10" x14ac:dyDescent="0.2">
      <c r="A1161">
        <v>11160</v>
      </c>
      <c r="B1161" t="s">
        <v>7</v>
      </c>
      <c r="C1161" t="s">
        <v>9</v>
      </c>
      <c r="D1161" s="8">
        <v>1.06</v>
      </c>
      <c r="E1161">
        <v>7</v>
      </c>
      <c r="F1161" t="str">
        <f t="shared" si="72"/>
        <v>Standard</v>
      </c>
      <c r="G1161" s="3" cm="1">
        <f t="array" ref="G1161">_xlfn.XLOOKUP(C1161 &amp; F1161,
         [1]unilever_price_limits!A:A &amp; [1]unilever_price_limits!B:B,
         [1]unilever_price_limits!C:C)</f>
        <v>30</v>
      </c>
      <c r="H1161" s="8">
        <f t="shared" si="73"/>
        <v>1.3780000000000001</v>
      </c>
      <c r="I1161" s="6">
        <f t="shared" si="74"/>
        <v>30.000000000000004</v>
      </c>
      <c r="J1161" t="str">
        <f t="shared" si="75"/>
        <v>OK</v>
      </c>
    </row>
    <row r="1162" spans="1:10" x14ac:dyDescent="0.2">
      <c r="A1162">
        <v>11161</v>
      </c>
      <c r="B1162" t="s">
        <v>7</v>
      </c>
      <c r="C1162" t="s">
        <v>9</v>
      </c>
      <c r="D1162" s="8">
        <v>3.31</v>
      </c>
      <c r="E1162">
        <v>7</v>
      </c>
      <c r="F1162" t="str">
        <f t="shared" si="72"/>
        <v>Standard</v>
      </c>
      <c r="G1162" s="3" cm="1">
        <f t="array" ref="G1162">_xlfn.XLOOKUP(C1162 &amp; F1162,
         [1]unilever_price_limits!A:A &amp; [1]unilever_price_limits!B:B,
         [1]unilever_price_limits!C:C)</f>
        <v>30</v>
      </c>
      <c r="H1162" s="8">
        <f t="shared" si="73"/>
        <v>4.3029999999999999</v>
      </c>
      <c r="I1162" s="6">
        <f t="shared" si="74"/>
        <v>30.000000000000004</v>
      </c>
      <c r="J1162" t="str">
        <f t="shared" si="75"/>
        <v>OK</v>
      </c>
    </row>
    <row r="1163" spans="1:10" x14ac:dyDescent="0.2">
      <c r="A1163">
        <v>11162</v>
      </c>
      <c r="B1163" t="s">
        <v>8</v>
      </c>
      <c r="C1163" t="s">
        <v>9</v>
      </c>
      <c r="D1163" s="8">
        <v>8.2799999999999994</v>
      </c>
      <c r="E1163">
        <v>1</v>
      </c>
      <c r="F1163" t="str">
        <f t="shared" si="72"/>
        <v>Value</v>
      </c>
      <c r="G1163" s="3" cm="1">
        <f t="array" ref="G1163">_xlfn.XLOOKUP(C1163 &amp; F1163,
         [1]unilever_price_limits!A:A &amp; [1]unilever_price_limits!B:B,
         [1]unilever_price_limits!C:C)</f>
        <v>15</v>
      </c>
      <c r="H1163" s="8">
        <f t="shared" si="73"/>
        <v>9.5219999999999985</v>
      </c>
      <c r="I1163" s="6">
        <f t="shared" si="74"/>
        <v>14.999999999999991</v>
      </c>
      <c r="J1163" t="str">
        <f t="shared" si="75"/>
        <v>OK</v>
      </c>
    </row>
    <row r="1164" spans="1:10" x14ac:dyDescent="0.2">
      <c r="A1164">
        <v>11163</v>
      </c>
      <c r="B1164" t="s">
        <v>10</v>
      </c>
      <c r="C1164" t="s">
        <v>11</v>
      </c>
      <c r="D1164" s="8">
        <v>14.05</v>
      </c>
      <c r="E1164">
        <v>4</v>
      </c>
      <c r="F1164" t="str">
        <f t="shared" si="72"/>
        <v>Standard</v>
      </c>
      <c r="G1164" s="3" cm="1">
        <f t="array" ref="G1164">_xlfn.XLOOKUP(C1164 &amp; F1164,
         [1]unilever_price_limits!A:A &amp; [1]unilever_price_limits!B:B,
         [1]unilever_price_limits!C:C)</f>
        <v>25</v>
      </c>
      <c r="H1164" s="8">
        <f t="shared" si="73"/>
        <v>17.5625</v>
      </c>
      <c r="I1164" s="6">
        <f t="shared" si="74"/>
        <v>25</v>
      </c>
      <c r="J1164" t="str">
        <f t="shared" si="75"/>
        <v>OK</v>
      </c>
    </row>
    <row r="1165" spans="1:10" x14ac:dyDescent="0.2">
      <c r="A1165">
        <v>11164</v>
      </c>
      <c r="B1165" t="s">
        <v>10</v>
      </c>
      <c r="C1165" t="s">
        <v>9</v>
      </c>
      <c r="D1165" s="8">
        <v>12.61</v>
      </c>
      <c r="E1165">
        <v>4</v>
      </c>
      <c r="F1165" t="str">
        <f t="shared" si="72"/>
        <v>Standard</v>
      </c>
      <c r="G1165" s="3" cm="1">
        <f t="array" ref="G1165">_xlfn.XLOOKUP(C1165 &amp; F1165,
         [1]unilever_price_limits!A:A &amp; [1]unilever_price_limits!B:B,
         [1]unilever_price_limits!C:C)</f>
        <v>30</v>
      </c>
      <c r="H1165" s="8">
        <f t="shared" si="73"/>
        <v>16.393000000000001</v>
      </c>
      <c r="I1165" s="6">
        <f t="shared" si="74"/>
        <v>30.000000000000004</v>
      </c>
      <c r="J1165" t="str">
        <f t="shared" si="75"/>
        <v>OK</v>
      </c>
    </row>
    <row r="1166" spans="1:10" x14ac:dyDescent="0.2">
      <c r="A1166">
        <v>11165</v>
      </c>
      <c r="B1166" t="s">
        <v>8</v>
      </c>
      <c r="C1166" t="s">
        <v>6</v>
      </c>
      <c r="D1166" s="8">
        <v>12.72</v>
      </c>
      <c r="E1166">
        <v>5</v>
      </c>
      <c r="F1166" t="str">
        <f t="shared" si="72"/>
        <v>Standard</v>
      </c>
      <c r="G1166" s="3" cm="1">
        <f t="array" ref="G1166">_xlfn.XLOOKUP(C1166 &amp; F1166,
         [1]unilever_price_limits!A:A &amp; [1]unilever_price_limits!B:B,
         [1]unilever_price_limits!C:C)</f>
        <v>28</v>
      </c>
      <c r="H1166" s="8">
        <f t="shared" si="73"/>
        <v>16.281600000000001</v>
      </c>
      <c r="I1166" s="6">
        <f t="shared" si="74"/>
        <v>28.000000000000004</v>
      </c>
      <c r="J1166" t="str">
        <f t="shared" si="75"/>
        <v>OK</v>
      </c>
    </row>
    <row r="1167" spans="1:10" x14ac:dyDescent="0.2">
      <c r="A1167">
        <v>11166</v>
      </c>
      <c r="B1167" t="s">
        <v>10</v>
      </c>
      <c r="C1167" t="s">
        <v>9</v>
      </c>
      <c r="D1167" s="8">
        <v>4.9000000000000004</v>
      </c>
      <c r="E1167">
        <v>1</v>
      </c>
      <c r="F1167" t="str">
        <f t="shared" si="72"/>
        <v>Value</v>
      </c>
      <c r="G1167" s="3" cm="1">
        <f t="array" ref="G1167">_xlfn.XLOOKUP(C1167 &amp; F1167,
         [1]unilever_price_limits!A:A &amp; [1]unilever_price_limits!B:B,
         [1]unilever_price_limits!C:C)</f>
        <v>15</v>
      </c>
      <c r="H1167" s="8">
        <f t="shared" si="73"/>
        <v>5.6349999999999998</v>
      </c>
      <c r="I1167" s="6">
        <f t="shared" si="74"/>
        <v>14.999999999999991</v>
      </c>
      <c r="J1167" t="str">
        <f t="shared" si="75"/>
        <v>OK</v>
      </c>
    </row>
    <row r="1168" spans="1:10" x14ac:dyDescent="0.2">
      <c r="A1168">
        <v>11167</v>
      </c>
      <c r="B1168" t="s">
        <v>8</v>
      </c>
      <c r="C1168" t="s">
        <v>6</v>
      </c>
      <c r="D1168" s="8">
        <v>6.73</v>
      </c>
      <c r="E1168">
        <v>1</v>
      </c>
      <c r="F1168" t="str">
        <f t="shared" si="72"/>
        <v>Value</v>
      </c>
      <c r="G1168" s="3" cm="1">
        <f t="array" ref="G1168">_xlfn.XLOOKUP(C1168 &amp; F1168,
         [1]unilever_price_limits!A:A &amp; [1]unilever_price_limits!B:B,
         [1]unilever_price_limits!C:C)</f>
        <v>12</v>
      </c>
      <c r="H1168" s="8">
        <f t="shared" si="73"/>
        <v>7.5376000000000012</v>
      </c>
      <c r="I1168" s="6">
        <f t="shared" si="74"/>
        <v>12.000000000000011</v>
      </c>
      <c r="J1168" t="str">
        <f t="shared" si="75"/>
        <v>OK</v>
      </c>
    </row>
    <row r="1169" spans="1:10" x14ac:dyDescent="0.2">
      <c r="A1169">
        <v>11168</v>
      </c>
      <c r="B1169" t="s">
        <v>10</v>
      </c>
      <c r="C1169" t="s">
        <v>9</v>
      </c>
      <c r="D1169" s="8">
        <v>7.33</v>
      </c>
      <c r="E1169">
        <v>7</v>
      </c>
      <c r="F1169" t="str">
        <f t="shared" si="72"/>
        <v>Standard</v>
      </c>
      <c r="G1169" s="3" cm="1">
        <f t="array" ref="G1169">_xlfn.XLOOKUP(C1169 &amp; F1169,
         [1]unilever_price_limits!A:A &amp; [1]unilever_price_limits!B:B,
         [1]unilever_price_limits!C:C)</f>
        <v>30</v>
      </c>
      <c r="H1169" s="8">
        <f t="shared" si="73"/>
        <v>9.5289999999999999</v>
      </c>
      <c r="I1169" s="6">
        <f t="shared" si="74"/>
        <v>30.000000000000004</v>
      </c>
      <c r="J1169" t="str">
        <f t="shared" si="75"/>
        <v>OK</v>
      </c>
    </row>
    <row r="1170" spans="1:10" x14ac:dyDescent="0.2">
      <c r="A1170">
        <v>11169</v>
      </c>
      <c r="B1170" t="s">
        <v>5</v>
      </c>
      <c r="C1170" t="s">
        <v>6</v>
      </c>
      <c r="D1170" s="8">
        <v>2.78</v>
      </c>
      <c r="E1170">
        <v>9</v>
      </c>
      <c r="F1170" t="str">
        <f t="shared" si="72"/>
        <v>Premium</v>
      </c>
      <c r="G1170" s="3" cm="1">
        <f t="array" ref="G1170">_xlfn.XLOOKUP(C1170 &amp; F1170,
         [1]unilever_price_limits!A:A &amp; [1]unilever_price_limits!B:B,
         [1]unilever_price_limits!C:C)</f>
        <v>55</v>
      </c>
      <c r="H1170" s="8">
        <f t="shared" si="73"/>
        <v>4.3090000000000002</v>
      </c>
      <c r="I1170" s="6">
        <f t="shared" si="74"/>
        <v>55.000000000000028</v>
      </c>
      <c r="J1170" t="str">
        <f t="shared" si="75"/>
        <v>OK</v>
      </c>
    </row>
    <row r="1171" spans="1:10" x14ac:dyDescent="0.2">
      <c r="A1171">
        <v>11170</v>
      </c>
      <c r="B1171" t="s">
        <v>5</v>
      </c>
      <c r="C1171" t="s">
        <v>6</v>
      </c>
      <c r="D1171" s="8">
        <v>0.95</v>
      </c>
      <c r="E1171">
        <v>1</v>
      </c>
      <c r="F1171" t="str">
        <f t="shared" si="72"/>
        <v>Value</v>
      </c>
      <c r="G1171" s="3" cm="1">
        <f t="array" ref="G1171">_xlfn.XLOOKUP(C1171 &amp; F1171,
         [1]unilever_price_limits!A:A &amp; [1]unilever_price_limits!B:B,
         [1]unilever_price_limits!C:C)</f>
        <v>12</v>
      </c>
      <c r="H1171" s="8">
        <f t="shared" si="73"/>
        <v>1.0640000000000001</v>
      </c>
      <c r="I1171" s="6">
        <f t="shared" si="74"/>
        <v>12.000000000000011</v>
      </c>
      <c r="J1171" t="str">
        <f t="shared" si="75"/>
        <v>OK</v>
      </c>
    </row>
    <row r="1172" spans="1:10" x14ac:dyDescent="0.2">
      <c r="A1172">
        <v>11171</v>
      </c>
      <c r="B1172" t="s">
        <v>7</v>
      </c>
      <c r="C1172" t="s">
        <v>9</v>
      </c>
      <c r="D1172" s="8">
        <v>14.23</v>
      </c>
      <c r="E1172">
        <v>2</v>
      </c>
      <c r="F1172" t="str">
        <f t="shared" si="72"/>
        <v>Value</v>
      </c>
      <c r="G1172" s="3" cm="1">
        <f t="array" ref="G1172">_xlfn.XLOOKUP(C1172 &amp; F1172,
         [1]unilever_price_limits!A:A &amp; [1]unilever_price_limits!B:B,
         [1]unilever_price_limits!C:C)</f>
        <v>15</v>
      </c>
      <c r="H1172" s="8">
        <f t="shared" si="73"/>
        <v>16.3645</v>
      </c>
      <c r="I1172" s="6">
        <f t="shared" si="74"/>
        <v>14.999999999999991</v>
      </c>
      <c r="J1172" t="str">
        <f t="shared" si="75"/>
        <v>OK</v>
      </c>
    </row>
    <row r="1173" spans="1:10" x14ac:dyDescent="0.2">
      <c r="A1173">
        <v>11172</v>
      </c>
      <c r="B1173" t="s">
        <v>5</v>
      </c>
      <c r="C1173" t="s">
        <v>9</v>
      </c>
      <c r="D1173" s="8">
        <v>3.99</v>
      </c>
      <c r="E1173">
        <v>6</v>
      </c>
      <c r="F1173" t="str">
        <f t="shared" si="72"/>
        <v>Standard</v>
      </c>
      <c r="G1173" s="3" cm="1">
        <f t="array" ref="G1173">_xlfn.XLOOKUP(C1173 &amp; F1173,
         [1]unilever_price_limits!A:A &amp; [1]unilever_price_limits!B:B,
         [1]unilever_price_limits!C:C)</f>
        <v>30</v>
      </c>
      <c r="H1173" s="8">
        <f t="shared" si="73"/>
        <v>5.1870000000000003</v>
      </c>
      <c r="I1173" s="6">
        <f t="shared" si="74"/>
        <v>30.000000000000004</v>
      </c>
      <c r="J1173" t="str">
        <f t="shared" si="75"/>
        <v>OK</v>
      </c>
    </row>
    <row r="1174" spans="1:10" x14ac:dyDescent="0.2">
      <c r="A1174">
        <v>11173</v>
      </c>
      <c r="B1174" t="s">
        <v>5</v>
      </c>
      <c r="C1174" t="s">
        <v>6</v>
      </c>
      <c r="D1174" s="8">
        <v>3.98</v>
      </c>
      <c r="E1174">
        <v>6</v>
      </c>
      <c r="F1174" t="str">
        <f t="shared" si="72"/>
        <v>Standard</v>
      </c>
      <c r="G1174" s="3" cm="1">
        <f t="array" ref="G1174">_xlfn.XLOOKUP(C1174 &amp; F1174,
         [1]unilever_price_limits!A:A &amp; [1]unilever_price_limits!B:B,
         [1]unilever_price_limits!C:C)</f>
        <v>28</v>
      </c>
      <c r="H1174" s="8">
        <f t="shared" si="73"/>
        <v>5.0944000000000003</v>
      </c>
      <c r="I1174" s="6">
        <f t="shared" si="74"/>
        <v>28.000000000000004</v>
      </c>
      <c r="J1174" t="str">
        <f t="shared" si="75"/>
        <v>OK</v>
      </c>
    </row>
    <row r="1175" spans="1:10" x14ac:dyDescent="0.2">
      <c r="A1175">
        <v>11174</v>
      </c>
      <c r="B1175" t="s">
        <v>5</v>
      </c>
      <c r="C1175" t="s">
        <v>11</v>
      </c>
      <c r="D1175" s="8">
        <v>1.71</v>
      </c>
      <c r="E1175">
        <v>2</v>
      </c>
      <c r="F1175" t="str">
        <f t="shared" si="72"/>
        <v>Value</v>
      </c>
      <c r="G1175" s="3" cm="1">
        <f t="array" ref="G1175">_xlfn.XLOOKUP(C1175 &amp; F1175,
         [1]unilever_price_limits!A:A &amp; [1]unilever_price_limits!B:B,
         [1]unilever_price_limits!C:C)</f>
        <v>10</v>
      </c>
      <c r="H1175" s="8">
        <f t="shared" si="73"/>
        <v>1.881</v>
      </c>
      <c r="I1175" s="6">
        <f t="shared" si="74"/>
        <v>10.000000000000009</v>
      </c>
      <c r="J1175" t="str">
        <f t="shared" si="75"/>
        <v>OK</v>
      </c>
    </row>
    <row r="1176" spans="1:10" x14ac:dyDescent="0.2">
      <c r="A1176">
        <v>11175</v>
      </c>
      <c r="B1176" t="s">
        <v>8</v>
      </c>
      <c r="C1176" t="s">
        <v>9</v>
      </c>
      <c r="D1176" s="8">
        <v>13.96</v>
      </c>
      <c r="E1176">
        <v>9</v>
      </c>
      <c r="F1176" t="str">
        <f t="shared" si="72"/>
        <v>Premium</v>
      </c>
      <c r="G1176" s="3" cm="1">
        <f t="array" ref="G1176">_xlfn.XLOOKUP(C1176 &amp; F1176,
         [1]unilever_price_limits!A:A &amp; [1]unilever_price_limits!B:B,
         [1]unilever_price_limits!C:C)</f>
        <v>60</v>
      </c>
      <c r="H1176" s="8">
        <f t="shared" si="73"/>
        <v>22.336000000000002</v>
      </c>
      <c r="I1176" s="6">
        <f t="shared" si="74"/>
        <v>60.000000000000007</v>
      </c>
      <c r="J1176" t="str">
        <f t="shared" si="75"/>
        <v>OK</v>
      </c>
    </row>
    <row r="1177" spans="1:10" x14ac:dyDescent="0.2">
      <c r="A1177">
        <v>11176</v>
      </c>
      <c r="B1177" t="s">
        <v>5</v>
      </c>
      <c r="C1177" t="s">
        <v>11</v>
      </c>
      <c r="D1177" s="8">
        <v>8.91</v>
      </c>
      <c r="E1177">
        <v>4</v>
      </c>
      <c r="F1177" t="str">
        <f t="shared" si="72"/>
        <v>Standard</v>
      </c>
      <c r="G1177" s="3" cm="1">
        <f t="array" ref="G1177">_xlfn.XLOOKUP(C1177 &amp; F1177,
         [1]unilever_price_limits!A:A &amp; [1]unilever_price_limits!B:B,
         [1]unilever_price_limits!C:C)</f>
        <v>25</v>
      </c>
      <c r="H1177" s="8">
        <f t="shared" si="73"/>
        <v>11.137499999999999</v>
      </c>
      <c r="I1177" s="6">
        <f t="shared" si="74"/>
        <v>25</v>
      </c>
      <c r="J1177" t="str">
        <f t="shared" si="75"/>
        <v>OK</v>
      </c>
    </row>
    <row r="1178" spans="1:10" x14ac:dyDescent="0.2">
      <c r="A1178">
        <v>11177</v>
      </c>
      <c r="B1178" t="s">
        <v>5</v>
      </c>
      <c r="C1178" t="s">
        <v>9</v>
      </c>
      <c r="D1178" s="8">
        <v>10.17</v>
      </c>
      <c r="E1178">
        <v>7</v>
      </c>
      <c r="F1178" t="str">
        <f t="shared" si="72"/>
        <v>Standard</v>
      </c>
      <c r="G1178" s="3" cm="1">
        <f t="array" ref="G1178">_xlfn.XLOOKUP(C1178 &amp; F1178,
         [1]unilever_price_limits!A:A &amp; [1]unilever_price_limits!B:B,
         [1]unilever_price_limits!C:C)</f>
        <v>30</v>
      </c>
      <c r="H1178" s="8">
        <f t="shared" si="73"/>
        <v>13.221</v>
      </c>
      <c r="I1178" s="6">
        <f t="shared" si="74"/>
        <v>30.000000000000004</v>
      </c>
      <c r="J1178" t="str">
        <f t="shared" si="75"/>
        <v>OK</v>
      </c>
    </row>
    <row r="1179" spans="1:10" x14ac:dyDescent="0.2">
      <c r="A1179">
        <v>11178</v>
      </c>
      <c r="B1179" t="s">
        <v>7</v>
      </c>
      <c r="C1179" t="s">
        <v>9</v>
      </c>
      <c r="D1179" s="8">
        <v>13.72</v>
      </c>
      <c r="E1179">
        <v>6</v>
      </c>
      <c r="F1179" t="str">
        <f t="shared" si="72"/>
        <v>Standard</v>
      </c>
      <c r="G1179" s="3" cm="1">
        <f t="array" ref="G1179">_xlfn.XLOOKUP(C1179 &amp; F1179,
         [1]unilever_price_limits!A:A &amp; [1]unilever_price_limits!B:B,
         [1]unilever_price_limits!C:C)</f>
        <v>30</v>
      </c>
      <c r="H1179" s="8">
        <f t="shared" si="73"/>
        <v>17.836000000000002</v>
      </c>
      <c r="I1179" s="6">
        <f t="shared" si="74"/>
        <v>30.000000000000004</v>
      </c>
      <c r="J1179" t="str">
        <f t="shared" si="75"/>
        <v>OK</v>
      </c>
    </row>
    <row r="1180" spans="1:10" x14ac:dyDescent="0.2">
      <c r="A1180">
        <v>11179</v>
      </c>
      <c r="B1180" t="s">
        <v>5</v>
      </c>
      <c r="C1180" t="s">
        <v>9</v>
      </c>
      <c r="D1180" s="8">
        <v>5.51</v>
      </c>
      <c r="E1180">
        <v>3</v>
      </c>
      <c r="F1180" t="str">
        <f t="shared" si="72"/>
        <v>Value</v>
      </c>
      <c r="G1180" s="3" cm="1">
        <f t="array" ref="G1180">_xlfn.XLOOKUP(C1180 &amp; F1180,
         [1]unilever_price_limits!A:A &amp; [1]unilever_price_limits!B:B,
         [1]unilever_price_limits!C:C)</f>
        <v>15</v>
      </c>
      <c r="H1180" s="8">
        <f t="shared" si="73"/>
        <v>6.3364999999999991</v>
      </c>
      <c r="I1180" s="6">
        <f t="shared" si="74"/>
        <v>14.999999999999991</v>
      </c>
      <c r="J1180" t="str">
        <f t="shared" si="75"/>
        <v>OK</v>
      </c>
    </row>
    <row r="1181" spans="1:10" x14ac:dyDescent="0.2">
      <c r="A1181">
        <v>11180</v>
      </c>
      <c r="B1181" t="s">
        <v>5</v>
      </c>
      <c r="C1181" t="s">
        <v>9</v>
      </c>
      <c r="D1181" s="8">
        <v>9.51</v>
      </c>
      <c r="E1181">
        <v>8</v>
      </c>
      <c r="F1181" t="str">
        <f t="shared" si="72"/>
        <v>Premium</v>
      </c>
      <c r="G1181" s="3" cm="1">
        <f t="array" ref="G1181">_xlfn.XLOOKUP(C1181 &amp; F1181,
         [1]unilever_price_limits!A:A &amp; [1]unilever_price_limits!B:B,
         [1]unilever_price_limits!C:C)</f>
        <v>60</v>
      </c>
      <c r="H1181" s="8">
        <f t="shared" si="73"/>
        <v>15.216000000000001</v>
      </c>
      <c r="I1181" s="6">
        <f t="shared" si="74"/>
        <v>60.000000000000007</v>
      </c>
      <c r="J1181" t="str">
        <f t="shared" si="75"/>
        <v>OK</v>
      </c>
    </row>
    <row r="1182" spans="1:10" x14ac:dyDescent="0.2">
      <c r="A1182">
        <v>11181</v>
      </c>
      <c r="B1182" t="s">
        <v>10</v>
      </c>
      <c r="C1182" t="s">
        <v>11</v>
      </c>
      <c r="D1182" s="8">
        <v>1.06</v>
      </c>
      <c r="E1182">
        <v>7</v>
      </c>
      <c r="F1182" t="str">
        <f t="shared" si="72"/>
        <v>Standard</v>
      </c>
      <c r="G1182" s="3" cm="1">
        <f t="array" ref="G1182">_xlfn.XLOOKUP(C1182 &amp; F1182,
         [1]unilever_price_limits!A:A &amp; [1]unilever_price_limits!B:B,
         [1]unilever_price_limits!C:C)</f>
        <v>25</v>
      </c>
      <c r="H1182" s="8">
        <f t="shared" si="73"/>
        <v>1.3250000000000002</v>
      </c>
      <c r="I1182" s="6">
        <f t="shared" si="74"/>
        <v>25</v>
      </c>
      <c r="J1182" t="str">
        <f t="shared" si="75"/>
        <v>OK</v>
      </c>
    </row>
    <row r="1183" spans="1:10" x14ac:dyDescent="0.2">
      <c r="A1183">
        <v>11182</v>
      </c>
      <c r="B1183" t="s">
        <v>7</v>
      </c>
      <c r="C1183" t="s">
        <v>9</v>
      </c>
      <c r="D1183" s="8">
        <v>3.21</v>
      </c>
      <c r="E1183">
        <v>9</v>
      </c>
      <c r="F1183" t="str">
        <f t="shared" si="72"/>
        <v>Premium</v>
      </c>
      <c r="G1183" s="3" cm="1">
        <f t="array" ref="G1183">_xlfn.XLOOKUP(C1183 &amp; F1183,
         [1]unilever_price_limits!A:A &amp; [1]unilever_price_limits!B:B,
         [1]unilever_price_limits!C:C)</f>
        <v>60</v>
      </c>
      <c r="H1183" s="8">
        <f t="shared" si="73"/>
        <v>5.1360000000000001</v>
      </c>
      <c r="I1183" s="6">
        <f t="shared" si="74"/>
        <v>60.000000000000007</v>
      </c>
      <c r="J1183" t="str">
        <f t="shared" si="75"/>
        <v>OK</v>
      </c>
    </row>
    <row r="1184" spans="1:10" x14ac:dyDescent="0.2">
      <c r="A1184">
        <v>11183</v>
      </c>
      <c r="B1184" t="s">
        <v>7</v>
      </c>
      <c r="C1184" t="s">
        <v>6</v>
      </c>
      <c r="D1184" s="8">
        <v>12.55</v>
      </c>
      <c r="E1184">
        <v>3</v>
      </c>
      <c r="F1184" t="str">
        <f t="shared" si="72"/>
        <v>Value</v>
      </c>
      <c r="G1184" s="3" cm="1">
        <f t="array" ref="G1184">_xlfn.XLOOKUP(C1184 &amp; F1184,
         [1]unilever_price_limits!A:A &amp; [1]unilever_price_limits!B:B,
         [1]unilever_price_limits!C:C)</f>
        <v>12</v>
      </c>
      <c r="H1184" s="8">
        <f t="shared" si="73"/>
        <v>14.056000000000003</v>
      </c>
      <c r="I1184" s="6">
        <f t="shared" si="74"/>
        <v>12.000000000000011</v>
      </c>
      <c r="J1184" t="str">
        <f t="shared" si="75"/>
        <v>OK</v>
      </c>
    </row>
    <row r="1185" spans="1:10" x14ac:dyDescent="0.2">
      <c r="A1185">
        <v>11184</v>
      </c>
      <c r="B1185" t="s">
        <v>7</v>
      </c>
      <c r="C1185" t="s">
        <v>6</v>
      </c>
      <c r="D1185" s="8">
        <v>11.62</v>
      </c>
      <c r="E1185">
        <v>1</v>
      </c>
      <c r="F1185" t="str">
        <f t="shared" si="72"/>
        <v>Value</v>
      </c>
      <c r="G1185" s="3" cm="1">
        <f t="array" ref="G1185">_xlfn.XLOOKUP(C1185 &amp; F1185,
         [1]unilever_price_limits!A:A &amp; [1]unilever_price_limits!B:B,
         [1]unilever_price_limits!C:C)</f>
        <v>12</v>
      </c>
      <c r="H1185" s="8">
        <f t="shared" si="73"/>
        <v>13.0144</v>
      </c>
      <c r="I1185" s="6">
        <f t="shared" si="74"/>
        <v>12.000000000000011</v>
      </c>
      <c r="J1185" t="str">
        <f t="shared" si="75"/>
        <v>OK</v>
      </c>
    </row>
    <row r="1186" spans="1:10" x14ac:dyDescent="0.2">
      <c r="A1186">
        <v>11185</v>
      </c>
      <c r="B1186" t="s">
        <v>7</v>
      </c>
      <c r="C1186" t="s">
        <v>11</v>
      </c>
      <c r="D1186" s="8">
        <v>5.58</v>
      </c>
      <c r="E1186">
        <v>2</v>
      </c>
      <c r="F1186" t="str">
        <f t="shared" si="72"/>
        <v>Value</v>
      </c>
      <c r="G1186" s="3" cm="1">
        <f t="array" ref="G1186">_xlfn.XLOOKUP(C1186 &amp; F1186,
         [1]unilever_price_limits!A:A &amp; [1]unilever_price_limits!B:B,
         [1]unilever_price_limits!C:C)</f>
        <v>10</v>
      </c>
      <c r="H1186" s="8">
        <f t="shared" si="73"/>
        <v>6.1380000000000008</v>
      </c>
      <c r="I1186" s="6">
        <f t="shared" si="74"/>
        <v>10.000000000000009</v>
      </c>
      <c r="J1186" t="str">
        <f t="shared" si="75"/>
        <v>OK</v>
      </c>
    </row>
    <row r="1187" spans="1:10" x14ac:dyDescent="0.2">
      <c r="A1187">
        <v>11186</v>
      </c>
      <c r="B1187" t="s">
        <v>7</v>
      </c>
      <c r="C1187" t="s">
        <v>9</v>
      </c>
      <c r="D1187" s="8">
        <v>5.96</v>
      </c>
      <c r="E1187">
        <v>1</v>
      </c>
      <c r="F1187" t="str">
        <f t="shared" si="72"/>
        <v>Value</v>
      </c>
      <c r="G1187" s="3" cm="1">
        <f t="array" ref="G1187">_xlfn.XLOOKUP(C1187 &amp; F1187,
         [1]unilever_price_limits!A:A &amp; [1]unilever_price_limits!B:B,
         [1]unilever_price_limits!C:C)</f>
        <v>15</v>
      </c>
      <c r="H1187" s="8">
        <f t="shared" si="73"/>
        <v>6.8539999999999992</v>
      </c>
      <c r="I1187" s="6">
        <f t="shared" si="74"/>
        <v>14.999999999999991</v>
      </c>
      <c r="J1187" t="str">
        <f t="shared" si="75"/>
        <v>OK</v>
      </c>
    </row>
    <row r="1188" spans="1:10" x14ac:dyDescent="0.2">
      <c r="A1188">
        <v>11187</v>
      </c>
      <c r="B1188" t="s">
        <v>7</v>
      </c>
      <c r="C1188" t="s">
        <v>6</v>
      </c>
      <c r="D1188" s="8">
        <v>8.24</v>
      </c>
      <c r="E1188">
        <v>5</v>
      </c>
      <c r="F1188" t="str">
        <f t="shared" si="72"/>
        <v>Standard</v>
      </c>
      <c r="G1188" s="3" cm="1">
        <f t="array" ref="G1188">_xlfn.XLOOKUP(C1188 &amp; F1188,
         [1]unilever_price_limits!A:A &amp; [1]unilever_price_limits!B:B,
         [1]unilever_price_limits!C:C)</f>
        <v>28</v>
      </c>
      <c r="H1188" s="8">
        <f t="shared" si="73"/>
        <v>10.5472</v>
      </c>
      <c r="I1188" s="6">
        <f t="shared" si="74"/>
        <v>28.000000000000004</v>
      </c>
      <c r="J1188" t="str">
        <f t="shared" si="75"/>
        <v>OK</v>
      </c>
    </row>
    <row r="1189" spans="1:10" x14ac:dyDescent="0.2">
      <c r="A1189">
        <v>11188</v>
      </c>
      <c r="B1189" t="s">
        <v>8</v>
      </c>
      <c r="C1189" t="s">
        <v>11</v>
      </c>
      <c r="D1189" s="8">
        <v>0.5</v>
      </c>
      <c r="E1189">
        <v>10</v>
      </c>
      <c r="F1189" t="str">
        <f t="shared" si="72"/>
        <v>Premium</v>
      </c>
      <c r="G1189" s="3" cm="1">
        <f t="array" ref="G1189">_xlfn.XLOOKUP(C1189 &amp; F1189,
         [1]unilever_price_limits!A:A &amp; [1]unilever_price_limits!B:B,
         [1]unilever_price_limits!C:C)</f>
        <v>50</v>
      </c>
      <c r="H1189" s="8">
        <f t="shared" si="73"/>
        <v>0.75</v>
      </c>
      <c r="I1189" s="6">
        <f t="shared" si="74"/>
        <v>50</v>
      </c>
      <c r="J1189" t="str">
        <f t="shared" si="75"/>
        <v>OK</v>
      </c>
    </row>
    <row r="1190" spans="1:10" x14ac:dyDescent="0.2">
      <c r="A1190">
        <v>11189</v>
      </c>
      <c r="B1190" t="s">
        <v>5</v>
      </c>
      <c r="C1190" t="s">
        <v>9</v>
      </c>
      <c r="D1190" s="8">
        <v>4</v>
      </c>
      <c r="E1190">
        <v>2</v>
      </c>
      <c r="F1190" t="str">
        <f t="shared" si="72"/>
        <v>Value</v>
      </c>
      <c r="G1190" s="3" cm="1">
        <f t="array" ref="G1190">_xlfn.XLOOKUP(C1190 &amp; F1190,
         [1]unilever_price_limits!A:A &amp; [1]unilever_price_limits!B:B,
         [1]unilever_price_limits!C:C)</f>
        <v>15</v>
      </c>
      <c r="H1190" s="8">
        <f t="shared" si="73"/>
        <v>4.5999999999999996</v>
      </c>
      <c r="I1190" s="6">
        <f t="shared" si="74"/>
        <v>14.999999999999991</v>
      </c>
      <c r="J1190" t="str">
        <f t="shared" si="75"/>
        <v>OK</v>
      </c>
    </row>
    <row r="1191" spans="1:10" x14ac:dyDescent="0.2">
      <c r="A1191">
        <v>11190</v>
      </c>
      <c r="B1191" t="s">
        <v>7</v>
      </c>
      <c r="C1191" t="s">
        <v>6</v>
      </c>
      <c r="D1191" s="8">
        <v>3.52</v>
      </c>
      <c r="E1191">
        <v>3</v>
      </c>
      <c r="F1191" t="str">
        <f t="shared" si="72"/>
        <v>Value</v>
      </c>
      <c r="G1191" s="3" cm="1">
        <f t="array" ref="G1191">_xlfn.XLOOKUP(C1191 &amp; F1191,
         [1]unilever_price_limits!A:A &amp; [1]unilever_price_limits!B:B,
         [1]unilever_price_limits!C:C)</f>
        <v>12</v>
      </c>
      <c r="H1191" s="8">
        <f t="shared" si="73"/>
        <v>3.9424000000000006</v>
      </c>
      <c r="I1191" s="6">
        <f t="shared" si="74"/>
        <v>12.000000000000011</v>
      </c>
      <c r="J1191" t="str">
        <f t="shared" si="75"/>
        <v>OK</v>
      </c>
    </row>
    <row r="1192" spans="1:10" x14ac:dyDescent="0.2">
      <c r="A1192">
        <v>11191</v>
      </c>
      <c r="B1192" t="s">
        <v>5</v>
      </c>
      <c r="C1192" t="s">
        <v>6</v>
      </c>
      <c r="D1192" s="8">
        <v>4.13</v>
      </c>
      <c r="E1192">
        <v>8</v>
      </c>
      <c r="F1192" t="str">
        <f t="shared" si="72"/>
        <v>Premium</v>
      </c>
      <c r="G1192" s="3" cm="1">
        <f t="array" ref="G1192">_xlfn.XLOOKUP(C1192 &amp; F1192,
         [1]unilever_price_limits!A:A &amp; [1]unilever_price_limits!B:B,
         [1]unilever_price_limits!C:C)</f>
        <v>55</v>
      </c>
      <c r="H1192" s="8">
        <f t="shared" si="73"/>
        <v>6.4015000000000004</v>
      </c>
      <c r="I1192" s="6">
        <f t="shared" si="74"/>
        <v>55.000000000000007</v>
      </c>
      <c r="J1192" t="str">
        <f t="shared" si="75"/>
        <v>OK</v>
      </c>
    </row>
    <row r="1193" spans="1:10" x14ac:dyDescent="0.2">
      <c r="A1193">
        <v>11192</v>
      </c>
      <c r="B1193" t="s">
        <v>5</v>
      </c>
      <c r="C1193" t="s">
        <v>11</v>
      </c>
      <c r="D1193" s="8">
        <v>12.19</v>
      </c>
      <c r="E1193">
        <v>10</v>
      </c>
      <c r="F1193" t="str">
        <f t="shared" si="72"/>
        <v>Premium</v>
      </c>
      <c r="G1193" s="3" cm="1">
        <f t="array" ref="G1193">_xlfn.XLOOKUP(C1193 &amp; F1193,
         [1]unilever_price_limits!A:A &amp; [1]unilever_price_limits!B:B,
         [1]unilever_price_limits!C:C)</f>
        <v>50</v>
      </c>
      <c r="H1193" s="8">
        <f t="shared" si="73"/>
        <v>18.285</v>
      </c>
      <c r="I1193" s="6">
        <f t="shared" si="74"/>
        <v>50</v>
      </c>
      <c r="J1193" t="str">
        <f t="shared" si="75"/>
        <v>OK</v>
      </c>
    </row>
    <row r="1194" spans="1:10" x14ac:dyDescent="0.2">
      <c r="A1194">
        <v>11193</v>
      </c>
      <c r="B1194" t="s">
        <v>8</v>
      </c>
      <c r="C1194" t="s">
        <v>9</v>
      </c>
      <c r="D1194" s="8">
        <v>4.5599999999999996</v>
      </c>
      <c r="E1194">
        <v>5</v>
      </c>
      <c r="F1194" t="str">
        <f t="shared" si="72"/>
        <v>Standard</v>
      </c>
      <c r="G1194" s="3" cm="1">
        <f t="array" ref="G1194">_xlfn.XLOOKUP(C1194 &amp; F1194,
         [1]unilever_price_limits!A:A &amp; [1]unilever_price_limits!B:B,
         [1]unilever_price_limits!C:C)</f>
        <v>30</v>
      </c>
      <c r="H1194" s="8">
        <f t="shared" si="73"/>
        <v>5.9279999999999999</v>
      </c>
      <c r="I1194" s="6">
        <f t="shared" si="74"/>
        <v>30.000000000000004</v>
      </c>
      <c r="J1194" t="str">
        <f t="shared" si="75"/>
        <v>OK</v>
      </c>
    </row>
    <row r="1195" spans="1:10" x14ac:dyDescent="0.2">
      <c r="A1195">
        <v>11194</v>
      </c>
      <c r="B1195" t="s">
        <v>7</v>
      </c>
      <c r="C1195" t="s">
        <v>9</v>
      </c>
      <c r="D1195" s="8">
        <v>3.28</v>
      </c>
      <c r="E1195">
        <v>4</v>
      </c>
      <c r="F1195" t="str">
        <f t="shared" si="72"/>
        <v>Standard</v>
      </c>
      <c r="G1195" s="3" cm="1">
        <f t="array" ref="G1195">_xlfn.XLOOKUP(C1195 &amp; F1195,
         [1]unilever_price_limits!A:A &amp; [1]unilever_price_limits!B:B,
         [1]unilever_price_limits!C:C)</f>
        <v>30</v>
      </c>
      <c r="H1195" s="8">
        <f t="shared" si="73"/>
        <v>4.2640000000000002</v>
      </c>
      <c r="I1195" s="6">
        <f t="shared" si="74"/>
        <v>30.000000000000004</v>
      </c>
      <c r="J1195" t="str">
        <f t="shared" si="75"/>
        <v>OK</v>
      </c>
    </row>
    <row r="1196" spans="1:10" x14ac:dyDescent="0.2">
      <c r="A1196">
        <v>11195</v>
      </c>
      <c r="B1196" t="s">
        <v>10</v>
      </c>
      <c r="C1196" t="s">
        <v>6</v>
      </c>
      <c r="D1196" s="8">
        <v>7.81</v>
      </c>
      <c r="E1196">
        <v>5</v>
      </c>
      <c r="F1196" t="str">
        <f t="shared" si="72"/>
        <v>Standard</v>
      </c>
      <c r="G1196" s="3" cm="1">
        <f t="array" ref="G1196">_xlfn.XLOOKUP(C1196 &amp; F1196,
         [1]unilever_price_limits!A:A &amp; [1]unilever_price_limits!B:B,
         [1]unilever_price_limits!C:C)</f>
        <v>28</v>
      </c>
      <c r="H1196" s="8">
        <f t="shared" si="73"/>
        <v>9.9968000000000004</v>
      </c>
      <c r="I1196" s="6">
        <f t="shared" si="74"/>
        <v>28.000000000000004</v>
      </c>
      <c r="J1196" t="str">
        <f t="shared" si="75"/>
        <v>OK</v>
      </c>
    </row>
    <row r="1197" spans="1:10" x14ac:dyDescent="0.2">
      <c r="A1197">
        <v>11196</v>
      </c>
      <c r="B1197" t="s">
        <v>8</v>
      </c>
      <c r="C1197" t="s">
        <v>6</v>
      </c>
      <c r="D1197" s="8">
        <v>13.05</v>
      </c>
      <c r="E1197">
        <v>10</v>
      </c>
      <c r="F1197" t="str">
        <f t="shared" si="72"/>
        <v>Premium</v>
      </c>
      <c r="G1197" s="3" cm="1">
        <f t="array" ref="G1197">_xlfn.XLOOKUP(C1197 &amp; F1197,
         [1]unilever_price_limits!A:A &amp; [1]unilever_price_limits!B:B,
         [1]unilever_price_limits!C:C)</f>
        <v>55</v>
      </c>
      <c r="H1197" s="8">
        <f t="shared" si="73"/>
        <v>20.227500000000003</v>
      </c>
      <c r="I1197" s="6">
        <f t="shared" si="74"/>
        <v>55.000000000000007</v>
      </c>
      <c r="J1197" t="str">
        <f t="shared" si="75"/>
        <v>OK</v>
      </c>
    </row>
    <row r="1198" spans="1:10" x14ac:dyDescent="0.2">
      <c r="A1198">
        <v>11197</v>
      </c>
      <c r="B1198" t="s">
        <v>10</v>
      </c>
      <c r="C1198" t="s">
        <v>6</v>
      </c>
      <c r="D1198" s="8">
        <v>4</v>
      </c>
      <c r="E1198">
        <v>6</v>
      </c>
      <c r="F1198" t="str">
        <f t="shared" si="72"/>
        <v>Standard</v>
      </c>
      <c r="G1198" s="3" cm="1">
        <f t="array" ref="G1198">_xlfn.XLOOKUP(C1198 &amp; F1198,
         [1]unilever_price_limits!A:A &amp; [1]unilever_price_limits!B:B,
         [1]unilever_price_limits!C:C)</f>
        <v>28</v>
      </c>
      <c r="H1198" s="8">
        <f t="shared" si="73"/>
        <v>5.12</v>
      </c>
      <c r="I1198" s="6">
        <f t="shared" si="74"/>
        <v>28.000000000000004</v>
      </c>
      <c r="J1198" t="str">
        <f t="shared" si="75"/>
        <v>OK</v>
      </c>
    </row>
    <row r="1199" spans="1:10" x14ac:dyDescent="0.2">
      <c r="A1199">
        <v>11198</v>
      </c>
      <c r="B1199" t="s">
        <v>5</v>
      </c>
      <c r="C1199" t="s">
        <v>9</v>
      </c>
      <c r="D1199" s="8">
        <v>1.64</v>
      </c>
      <c r="E1199">
        <v>7</v>
      </c>
      <c r="F1199" t="str">
        <f t="shared" si="72"/>
        <v>Standard</v>
      </c>
      <c r="G1199" s="3" cm="1">
        <f t="array" ref="G1199">_xlfn.XLOOKUP(C1199 &amp; F1199,
         [1]unilever_price_limits!A:A &amp; [1]unilever_price_limits!B:B,
         [1]unilever_price_limits!C:C)</f>
        <v>30</v>
      </c>
      <c r="H1199" s="8">
        <f t="shared" si="73"/>
        <v>2.1320000000000001</v>
      </c>
      <c r="I1199" s="6">
        <f t="shared" si="74"/>
        <v>30.000000000000004</v>
      </c>
      <c r="J1199" t="str">
        <f t="shared" si="75"/>
        <v>OK</v>
      </c>
    </row>
    <row r="1200" spans="1:10" x14ac:dyDescent="0.2">
      <c r="A1200">
        <v>11199</v>
      </c>
      <c r="B1200" t="s">
        <v>5</v>
      </c>
      <c r="C1200" t="s">
        <v>11</v>
      </c>
      <c r="D1200" s="8">
        <v>5.67</v>
      </c>
      <c r="E1200">
        <v>9</v>
      </c>
      <c r="F1200" t="str">
        <f t="shared" si="72"/>
        <v>Premium</v>
      </c>
      <c r="G1200" s="3" cm="1">
        <f t="array" ref="G1200">_xlfn.XLOOKUP(C1200 &amp; F1200,
         [1]unilever_price_limits!A:A &amp; [1]unilever_price_limits!B:B,
         [1]unilever_price_limits!C:C)</f>
        <v>50</v>
      </c>
      <c r="H1200" s="8">
        <f t="shared" si="73"/>
        <v>8.504999999999999</v>
      </c>
      <c r="I1200" s="6">
        <f t="shared" si="74"/>
        <v>49.999999999999979</v>
      </c>
      <c r="J1200" t="str">
        <f t="shared" si="75"/>
        <v>OK</v>
      </c>
    </row>
    <row r="1201" spans="1:10" x14ac:dyDescent="0.2">
      <c r="A1201">
        <v>11200</v>
      </c>
      <c r="B1201" t="s">
        <v>8</v>
      </c>
      <c r="C1201" t="s">
        <v>11</v>
      </c>
      <c r="D1201" s="8">
        <v>11.34</v>
      </c>
      <c r="E1201">
        <v>1</v>
      </c>
      <c r="F1201" t="str">
        <f t="shared" si="72"/>
        <v>Value</v>
      </c>
      <c r="G1201" s="3" cm="1">
        <f t="array" ref="G1201">_xlfn.XLOOKUP(C1201 &amp; F1201,
         [1]unilever_price_limits!A:A &amp; [1]unilever_price_limits!B:B,
         [1]unilever_price_limits!C:C)</f>
        <v>10</v>
      </c>
      <c r="H1201" s="8">
        <f t="shared" si="73"/>
        <v>12.474</v>
      </c>
      <c r="I1201" s="6">
        <f t="shared" si="74"/>
        <v>10.000000000000009</v>
      </c>
      <c r="J1201" t="str">
        <f t="shared" si="75"/>
        <v>OK</v>
      </c>
    </row>
    <row r="1202" spans="1:10" x14ac:dyDescent="0.2">
      <c r="A1202">
        <v>11201</v>
      </c>
      <c r="B1202" t="s">
        <v>8</v>
      </c>
      <c r="C1202" t="s">
        <v>9</v>
      </c>
      <c r="D1202" s="8">
        <v>8.49</v>
      </c>
      <c r="E1202">
        <v>4</v>
      </c>
      <c r="F1202" t="str">
        <f t="shared" si="72"/>
        <v>Standard</v>
      </c>
      <c r="G1202" s="3" cm="1">
        <f t="array" ref="G1202">_xlfn.XLOOKUP(C1202 &amp; F1202,
         [1]unilever_price_limits!A:A &amp; [1]unilever_price_limits!B:B,
         [1]unilever_price_limits!C:C)</f>
        <v>30</v>
      </c>
      <c r="H1202" s="8">
        <f t="shared" si="73"/>
        <v>11.037000000000001</v>
      </c>
      <c r="I1202" s="6">
        <f t="shared" si="74"/>
        <v>30.000000000000004</v>
      </c>
      <c r="J1202" t="str">
        <f t="shared" si="75"/>
        <v>OK</v>
      </c>
    </row>
    <row r="1203" spans="1:10" x14ac:dyDescent="0.2">
      <c r="A1203">
        <v>11202</v>
      </c>
      <c r="B1203" t="s">
        <v>10</v>
      </c>
      <c r="C1203" t="s">
        <v>11</v>
      </c>
      <c r="D1203" s="8">
        <v>12.34</v>
      </c>
      <c r="E1203">
        <v>9</v>
      </c>
      <c r="F1203" t="str">
        <f t="shared" si="72"/>
        <v>Premium</v>
      </c>
      <c r="G1203" s="3" cm="1">
        <f t="array" ref="G1203">_xlfn.XLOOKUP(C1203 &amp; F1203,
         [1]unilever_price_limits!A:A &amp; [1]unilever_price_limits!B:B,
         [1]unilever_price_limits!C:C)</f>
        <v>50</v>
      </c>
      <c r="H1203" s="8">
        <f t="shared" si="73"/>
        <v>18.509999999999998</v>
      </c>
      <c r="I1203" s="6">
        <f t="shared" si="74"/>
        <v>49.999999999999979</v>
      </c>
      <c r="J1203" t="str">
        <f t="shared" si="75"/>
        <v>OK</v>
      </c>
    </row>
    <row r="1204" spans="1:10" x14ac:dyDescent="0.2">
      <c r="A1204">
        <v>11203</v>
      </c>
      <c r="B1204" t="s">
        <v>7</v>
      </c>
      <c r="C1204" t="s">
        <v>6</v>
      </c>
      <c r="D1204" s="8">
        <v>14.41</v>
      </c>
      <c r="E1204">
        <v>5</v>
      </c>
      <c r="F1204" t="str">
        <f t="shared" si="72"/>
        <v>Standard</v>
      </c>
      <c r="G1204" s="3" cm="1">
        <f t="array" ref="G1204">_xlfn.XLOOKUP(C1204 &amp; F1204,
         [1]unilever_price_limits!A:A &amp; [1]unilever_price_limits!B:B,
         [1]unilever_price_limits!C:C)</f>
        <v>28</v>
      </c>
      <c r="H1204" s="8">
        <f t="shared" si="73"/>
        <v>18.444800000000001</v>
      </c>
      <c r="I1204" s="6">
        <f t="shared" si="74"/>
        <v>28.000000000000004</v>
      </c>
      <c r="J1204" t="str">
        <f t="shared" si="75"/>
        <v>OK</v>
      </c>
    </row>
    <row r="1205" spans="1:10" x14ac:dyDescent="0.2">
      <c r="A1205">
        <v>11204</v>
      </c>
      <c r="B1205" t="s">
        <v>10</v>
      </c>
      <c r="C1205" t="s">
        <v>11</v>
      </c>
      <c r="D1205" s="8">
        <v>11.99</v>
      </c>
      <c r="E1205">
        <v>8</v>
      </c>
      <c r="F1205" t="str">
        <f t="shared" si="72"/>
        <v>Premium</v>
      </c>
      <c r="G1205" s="3" cm="1">
        <f t="array" ref="G1205">_xlfn.XLOOKUP(C1205 &amp; F1205,
         [1]unilever_price_limits!A:A &amp; [1]unilever_price_limits!B:B,
         [1]unilever_price_limits!C:C)</f>
        <v>50</v>
      </c>
      <c r="H1205" s="8">
        <f t="shared" si="73"/>
        <v>17.984999999999999</v>
      </c>
      <c r="I1205" s="6">
        <f t="shared" si="74"/>
        <v>50</v>
      </c>
      <c r="J1205" t="str">
        <f t="shared" si="75"/>
        <v>OK</v>
      </c>
    </row>
    <row r="1206" spans="1:10" x14ac:dyDescent="0.2">
      <c r="A1206">
        <v>11205</v>
      </c>
      <c r="B1206" t="s">
        <v>8</v>
      </c>
      <c r="C1206" t="s">
        <v>11</v>
      </c>
      <c r="D1206" s="8">
        <v>9.26</v>
      </c>
      <c r="E1206">
        <v>1</v>
      </c>
      <c r="F1206" t="str">
        <f t="shared" si="72"/>
        <v>Value</v>
      </c>
      <c r="G1206" s="3" cm="1">
        <f t="array" ref="G1206">_xlfn.XLOOKUP(C1206 &amp; F1206,
         [1]unilever_price_limits!A:A &amp; [1]unilever_price_limits!B:B,
         [1]unilever_price_limits!C:C)</f>
        <v>10</v>
      </c>
      <c r="H1206" s="8">
        <f t="shared" si="73"/>
        <v>10.186</v>
      </c>
      <c r="I1206" s="6">
        <f t="shared" si="74"/>
        <v>10.000000000000009</v>
      </c>
      <c r="J1206" t="str">
        <f t="shared" si="75"/>
        <v>OK</v>
      </c>
    </row>
    <row r="1207" spans="1:10" x14ac:dyDescent="0.2">
      <c r="A1207">
        <v>11206</v>
      </c>
      <c r="B1207" t="s">
        <v>10</v>
      </c>
      <c r="C1207" t="s">
        <v>11</v>
      </c>
      <c r="D1207" s="8">
        <v>7.65</v>
      </c>
      <c r="E1207">
        <v>4</v>
      </c>
      <c r="F1207" t="str">
        <f t="shared" si="72"/>
        <v>Standard</v>
      </c>
      <c r="G1207" s="3" cm="1">
        <f t="array" ref="G1207">_xlfn.XLOOKUP(C1207 &amp; F1207,
         [1]unilever_price_limits!A:A &amp; [1]unilever_price_limits!B:B,
         [1]unilever_price_limits!C:C)</f>
        <v>25</v>
      </c>
      <c r="H1207" s="8">
        <f t="shared" si="73"/>
        <v>9.5625</v>
      </c>
      <c r="I1207" s="6">
        <f t="shared" si="74"/>
        <v>25</v>
      </c>
      <c r="J1207" t="str">
        <f t="shared" si="75"/>
        <v>OK</v>
      </c>
    </row>
    <row r="1208" spans="1:10" x14ac:dyDescent="0.2">
      <c r="A1208">
        <v>11207</v>
      </c>
      <c r="B1208" t="s">
        <v>8</v>
      </c>
      <c r="C1208" t="s">
        <v>6</v>
      </c>
      <c r="D1208" s="8">
        <v>1.08</v>
      </c>
      <c r="E1208">
        <v>9</v>
      </c>
      <c r="F1208" t="str">
        <f t="shared" si="72"/>
        <v>Premium</v>
      </c>
      <c r="G1208" s="3" cm="1">
        <f t="array" ref="G1208">_xlfn.XLOOKUP(C1208 &amp; F1208,
         [1]unilever_price_limits!A:A &amp; [1]unilever_price_limits!B:B,
         [1]unilever_price_limits!C:C)</f>
        <v>55</v>
      </c>
      <c r="H1208" s="8">
        <f t="shared" si="73"/>
        <v>1.6740000000000002</v>
      </c>
      <c r="I1208" s="6">
        <f t="shared" si="74"/>
        <v>55.000000000000007</v>
      </c>
      <c r="J1208" t="str">
        <f t="shared" si="75"/>
        <v>OK</v>
      </c>
    </row>
    <row r="1209" spans="1:10" x14ac:dyDescent="0.2">
      <c r="A1209">
        <v>11208</v>
      </c>
      <c r="B1209" t="s">
        <v>10</v>
      </c>
      <c r="C1209" t="s">
        <v>9</v>
      </c>
      <c r="D1209" s="8">
        <v>14.77</v>
      </c>
      <c r="E1209">
        <v>1</v>
      </c>
      <c r="F1209" t="str">
        <f t="shared" si="72"/>
        <v>Value</v>
      </c>
      <c r="G1209" s="3" cm="1">
        <f t="array" ref="G1209">_xlfn.XLOOKUP(C1209 &amp; F1209,
         [1]unilever_price_limits!A:A &amp; [1]unilever_price_limits!B:B,
         [1]unilever_price_limits!C:C)</f>
        <v>15</v>
      </c>
      <c r="H1209" s="8">
        <f t="shared" si="73"/>
        <v>16.985499999999998</v>
      </c>
      <c r="I1209" s="6">
        <f t="shared" si="74"/>
        <v>14.999999999999991</v>
      </c>
      <c r="J1209" t="str">
        <f t="shared" si="75"/>
        <v>OK</v>
      </c>
    </row>
    <row r="1210" spans="1:10" x14ac:dyDescent="0.2">
      <c r="A1210">
        <v>11209</v>
      </c>
      <c r="B1210" t="s">
        <v>8</v>
      </c>
      <c r="C1210" t="s">
        <v>6</v>
      </c>
      <c r="D1210" s="8">
        <v>6.06</v>
      </c>
      <c r="E1210">
        <v>1</v>
      </c>
      <c r="F1210" t="str">
        <f t="shared" si="72"/>
        <v>Value</v>
      </c>
      <c r="G1210" s="3" cm="1">
        <f t="array" ref="G1210">_xlfn.XLOOKUP(C1210 &amp; F1210,
         [1]unilever_price_limits!A:A &amp; [1]unilever_price_limits!B:B,
         [1]unilever_price_limits!C:C)</f>
        <v>12</v>
      </c>
      <c r="H1210" s="8">
        <f t="shared" si="73"/>
        <v>6.7872000000000003</v>
      </c>
      <c r="I1210" s="6">
        <f t="shared" si="74"/>
        <v>12.000000000000011</v>
      </c>
      <c r="J1210" t="str">
        <f t="shared" si="75"/>
        <v>OK</v>
      </c>
    </row>
    <row r="1211" spans="1:10" x14ac:dyDescent="0.2">
      <c r="A1211">
        <v>11210</v>
      </c>
      <c r="B1211" t="s">
        <v>8</v>
      </c>
      <c r="C1211" t="s">
        <v>9</v>
      </c>
      <c r="D1211" s="8">
        <v>2.71</v>
      </c>
      <c r="E1211">
        <v>4</v>
      </c>
      <c r="F1211" t="str">
        <f t="shared" si="72"/>
        <v>Standard</v>
      </c>
      <c r="G1211" s="3" cm="1">
        <f t="array" ref="G1211">_xlfn.XLOOKUP(C1211 &amp; F1211,
         [1]unilever_price_limits!A:A &amp; [1]unilever_price_limits!B:B,
         [1]unilever_price_limits!C:C)</f>
        <v>30</v>
      </c>
      <c r="H1211" s="8">
        <f t="shared" si="73"/>
        <v>3.5230000000000001</v>
      </c>
      <c r="I1211" s="6">
        <f t="shared" si="74"/>
        <v>30.000000000000004</v>
      </c>
      <c r="J1211" t="str">
        <f t="shared" si="75"/>
        <v>OK</v>
      </c>
    </row>
    <row r="1212" spans="1:10" x14ac:dyDescent="0.2">
      <c r="A1212">
        <v>11211</v>
      </c>
      <c r="B1212" t="s">
        <v>8</v>
      </c>
      <c r="C1212" t="s">
        <v>9</v>
      </c>
      <c r="D1212" s="8">
        <v>10.17</v>
      </c>
      <c r="E1212">
        <v>3</v>
      </c>
      <c r="F1212" t="str">
        <f t="shared" si="72"/>
        <v>Value</v>
      </c>
      <c r="G1212" s="3" cm="1">
        <f t="array" ref="G1212">_xlfn.XLOOKUP(C1212 &amp; F1212,
         [1]unilever_price_limits!A:A &amp; [1]unilever_price_limits!B:B,
         [1]unilever_price_limits!C:C)</f>
        <v>15</v>
      </c>
      <c r="H1212" s="8">
        <f t="shared" si="73"/>
        <v>11.695499999999999</v>
      </c>
      <c r="I1212" s="6">
        <f t="shared" si="74"/>
        <v>14.999999999999991</v>
      </c>
      <c r="J1212" t="str">
        <f t="shared" si="75"/>
        <v>OK</v>
      </c>
    </row>
    <row r="1213" spans="1:10" x14ac:dyDescent="0.2">
      <c r="A1213">
        <v>11212</v>
      </c>
      <c r="B1213" t="s">
        <v>7</v>
      </c>
      <c r="C1213" t="s">
        <v>9</v>
      </c>
      <c r="D1213" s="8">
        <v>4.62</v>
      </c>
      <c r="E1213">
        <v>7</v>
      </c>
      <c r="F1213" t="str">
        <f t="shared" si="72"/>
        <v>Standard</v>
      </c>
      <c r="G1213" s="3" cm="1">
        <f t="array" ref="G1213">_xlfn.XLOOKUP(C1213 &amp; F1213,
         [1]unilever_price_limits!A:A &amp; [1]unilever_price_limits!B:B,
         [1]unilever_price_limits!C:C)</f>
        <v>30</v>
      </c>
      <c r="H1213" s="8">
        <f t="shared" si="73"/>
        <v>6.0060000000000002</v>
      </c>
      <c r="I1213" s="6">
        <f t="shared" si="74"/>
        <v>30.000000000000004</v>
      </c>
      <c r="J1213" t="str">
        <f t="shared" si="75"/>
        <v>OK</v>
      </c>
    </row>
    <row r="1214" spans="1:10" x14ac:dyDescent="0.2">
      <c r="A1214">
        <v>11213</v>
      </c>
      <c r="B1214" t="s">
        <v>10</v>
      </c>
      <c r="C1214" t="s">
        <v>11</v>
      </c>
      <c r="D1214" s="8">
        <v>8.99</v>
      </c>
      <c r="E1214">
        <v>3</v>
      </c>
      <c r="F1214" t="str">
        <f t="shared" si="72"/>
        <v>Value</v>
      </c>
      <c r="G1214" s="3" cm="1">
        <f t="array" ref="G1214">_xlfn.XLOOKUP(C1214 &amp; F1214,
         [1]unilever_price_limits!A:A &amp; [1]unilever_price_limits!B:B,
         [1]unilever_price_limits!C:C)</f>
        <v>10</v>
      </c>
      <c r="H1214" s="8">
        <f t="shared" si="73"/>
        <v>9.8890000000000011</v>
      </c>
      <c r="I1214" s="6">
        <f t="shared" si="74"/>
        <v>10.000000000000009</v>
      </c>
      <c r="J1214" t="str">
        <f t="shared" si="75"/>
        <v>OK</v>
      </c>
    </row>
    <row r="1215" spans="1:10" x14ac:dyDescent="0.2">
      <c r="A1215">
        <v>11214</v>
      </c>
      <c r="B1215" t="s">
        <v>10</v>
      </c>
      <c r="C1215" t="s">
        <v>11</v>
      </c>
      <c r="D1215" s="8">
        <v>9.01</v>
      </c>
      <c r="E1215">
        <v>1</v>
      </c>
      <c r="F1215" t="str">
        <f t="shared" si="72"/>
        <v>Value</v>
      </c>
      <c r="G1215" s="3" cm="1">
        <f t="array" ref="G1215">_xlfn.XLOOKUP(C1215 &amp; F1215,
         [1]unilever_price_limits!A:A &amp; [1]unilever_price_limits!B:B,
         [1]unilever_price_limits!C:C)</f>
        <v>10</v>
      </c>
      <c r="H1215" s="8">
        <f t="shared" si="73"/>
        <v>9.9110000000000014</v>
      </c>
      <c r="I1215" s="6">
        <f t="shared" si="74"/>
        <v>10.000000000000009</v>
      </c>
      <c r="J1215" t="str">
        <f t="shared" si="75"/>
        <v>OK</v>
      </c>
    </row>
    <row r="1216" spans="1:10" x14ac:dyDescent="0.2">
      <c r="A1216">
        <v>11215</v>
      </c>
      <c r="B1216" t="s">
        <v>10</v>
      </c>
      <c r="C1216" t="s">
        <v>9</v>
      </c>
      <c r="D1216" s="8">
        <v>6.96</v>
      </c>
      <c r="E1216">
        <v>10</v>
      </c>
      <c r="F1216" t="str">
        <f t="shared" si="72"/>
        <v>Premium</v>
      </c>
      <c r="G1216" s="3" cm="1">
        <f t="array" ref="G1216">_xlfn.XLOOKUP(C1216 &amp; F1216,
         [1]unilever_price_limits!A:A &amp; [1]unilever_price_limits!B:B,
         [1]unilever_price_limits!C:C)</f>
        <v>60</v>
      </c>
      <c r="H1216" s="8">
        <f t="shared" si="73"/>
        <v>11.136000000000001</v>
      </c>
      <c r="I1216" s="6">
        <f t="shared" si="74"/>
        <v>60.000000000000007</v>
      </c>
      <c r="J1216" t="str">
        <f t="shared" si="75"/>
        <v>OK</v>
      </c>
    </row>
    <row r="1217" spans="1:10" x14ac:dyDescent="0.2">
      <c r="A1217">
        <v>11216</v>
      </c>
      <c r="B1217" t="s">
        <v>8</v>
      </c>
      <c r="C1217" t="s">
        <v>9</v>
      </c>
      <c r="D1217" s="8">
        <v>12.62</v>
      </c>
      <c r="E1217">
        <v>2</v>
      </c>
      <c r="F1217" t="str">
        <f t="shared" si="72"/>
        <v>Value</v>
      </c>
      <c r="G1217" s="3" cm="1">
        <f t="array" ref="G1217">_xlfn.XLOOKUP(C1217 &amp; F1217,
         [1]unilever_price_limits!A:A &amp; [1]unilever_price_limits!B:B,
         [1]unilever_price_limits!C:C)</f>
        <v>15</v>
      </c>
      <c r="H1217" s="8">
        <f t="shared" si="73"/>
        <v>14.512999999999998</v>
      </c>
      <c r="I1217" s="6">
        <f t="shared" si="74"/>
        <v>14.999999999999991</v>
      </c>
      <c r="J1217" t="str">
        <f t="shared" si="75"/>
        <v>OK</v>
      </c>
    </row>
    <row r="1218" spans="1:10" x14ac:dyDescent="0.2">
      <c r="A1218">
        <v>11217</v>
      </c>
      <c r="B1218" t="s">
        <v>10</v>
      </c>
      <c r="C1218" t="s">
        <v>11</v>
      </c>
      <c r="D1218" s="8">
        <v>4.34</v>
      </c>
      <c r="E1218">
        <v>10</v>
      </c>
      <c r="F1218" t="str">
        <f t="shared" si="72"/>
        <v>Premium</v>
      </c>
      <c r="G1218" s="3" cm="1">
        <f t="array" ref="G1218">_xlfn.XLOOKUP(C1218 &amp; F1218,
         [1]unilever_price_limits!A:A &amp; [1]unilever_price_limits!B:B,
         [1]unilever_price_limits!C:C)</f>
        <v>50</v>
      </c>
      <c r="H1218" s="8">
        <f t="shared" si="73"/>
        <v>6.51</v>
      </c>
      <c r="I1218" s="6">
        <f t="shared" si="74"/>
        <v>50</v>
      </c>
      <c r="J1218" t="str">
        <f t="shared" si="75"/>
        <v>OK</v>
      </c>
    </row>
    <row r="1219" spans="1:10" x14ac:dyDescent="0.2">
      <c r="A1219">
        <v>11218</v>
      </c>
      <c r="B1219" t="s">
        <v>10</v>
      </c>
      <c r="C1219" t="s">
        <v>6</v>
      </c>
      <c r="D1219" s="8">
        <v>7.01</v>
      </c>
      <c r="E1219">
        <v>4</v>
      </c>
      <c r="F1219" t="str">
        <f t="shared" ref="F1219:F1282" si="76">IF(E1219&lt;=3,"Value",
 IF(E1219&lt;=7,"Standard","Premium"))</f>
        <v>Standard</v>
      </c>
      <c r="G1219" s="3" cm="1">
        <f t="array" ref="G1219">_xlfn.XLOOKUP(C1219 &amp; F1219,
         [1]unilever_price_limits!A:A &amp; [1]unilever_price_limits!B:B,
         [1]unilever_price_limits!C:C)</f>
        <v>28</v>
      </c>
      <c r="H1219" s="8">
        <f t="shared" ref="H1219:H1282" si="77">D1219 * (1 + G1219/100)</f>
        <v>8.9727999999999994</v>
      </c>
      <c r="I1219" s="6">
        <f t="shared" ref="I1219:I1282" si="78">(H1219 / D1219 - 1) * 100</f>
        <v>28.000000000000004</v>
      </c>
      <c r="J1219" t="str">
        <f t="shared" ref="J1219:J1282" si="79">IF(I1218&gt; G1218, "⚠ Exceeds Limit", "OK")</f>
        <v>OK</v>
      </c>
    </row>
    <row r="1220" spans="1:10" x14ac:dyDescent="0.2">
      <c r="A1220">
        <v>11219</v>
      </c>
      <c r="B1220" t="s">
        <v>8</v>
      </c>
      <c r="C1220" t="s">
        <v>9</v>
      </c>
      <c r="D1220" s="8">
        <v>8.3000000000000007</v>
      </c>
      <c r="E1220">
        <v>1</v>
      </c>
      <c r="F1220" t="str">
        <f t="shared" si="76"/>
        <v>Value</v>
      </c>
      <c r="G1220" s="3" cm="1">
        <f t="array" ref="G1220">_xlfn.XLOOKUP(C1220 &amp; F1220,
         [1]unilever_price_limits!A:A &amp; [1]unilever_price_limits!B:B,
         [1]unilever_price_limits!C:C)</f>
        <v>15</v>
      </c>
      <c r="H1220" s="8">
        <f t="shared" si="77"/>
        <v>9.5449999999999999</v>
      </c>
      <c r="I1220" s="6">
        <f t="shared" si="78"/>
        <v>14.999999999999991</v>
      </c>
      <c r="J1220" t="str">
        <f t="shared" si="79"/>
        <v>OK</v>
      </c>
    </row>
    <row r="1221" spans="1:10" x14ac:dyDescent="0.2">
      <c r="A1221">
        <v>11220</v>
      </c>
      <c r="B1221" t="s">
        <v>5</v>
      </c>
      <c r="C1221" t="s">
        <v>6</v>
      </c>
      <c r="D1221" s="8">
        <v>10.119999999999999</v>
      </c>
      <c r="E1221">
        <v>1</v>
      </c>
      <c r="F1221" t="str">
        <f t="shared" si="76"/>
        <v>Value</v>
      </c>
      <c r="G1221" s="3" cm="1">
        <f t="array" ref="G1221">_xlfn.XLOOKUP(C1221 &amp; F1221,
         [1]unilever_price_limits!A:A &amp; [1]unilever_price_limits!B:B,
         [1]unilever_price_limits!C:C)</f>
        <v>12</v>
      </c>
      <c r="H1221" s="8">
        <f t="shared" si="77"/>
        <v>11.3344</v>
      </c>
      <c r="I1221" s="6">
        <f t="shared" si="78"/>
        <v>12.000000000000011</v>
      </c>
      <c r="J1221" t="str">
        <f t="shared" si="79"/>
        <v>OK</v>
      </c>
    </row>
    <row r="1222" spans="1:10" x14ac:dyDescent="0.2">
      <c r="A1222">
        <v>11221</v>
      </c>
      <c r="B1222" t="s">
        <v>8</v>
      </c>
      <c r="C1222" t="s">
        <v>11</v>
      </c>
      <c r="D1222" s="8">
        <v>11.87</v>
      </c>
      <c r="E1222">
        <v>8</v>
      </c>
      <c r="F1222" t="str">
        <f t="shared" si="76"/>
        <v>Premium</v>
      </c>
      <c r="G1222" s="3" cm="1">
        <f t="array" ref="G1222">_xlfn.XLOOKUP(C1222 &amp; F1222,
         [1]unilever_price_limits!A:A &amp; [1]unilever_price_limits!B:B,
         [1]unilever_price_limits!C:C)</f>
        <v>50</v>
      </c>
      <c r="H1222" s="8">
        <f t="shared" si="77"/>
        <v>17.805</v>
      </c>
      <c r="I1222" s="6">
        <f t="shared" si="78"/>
        <v>50</v>
      </c>
      <c r="J1222" t="str">
        <f t="shared" si="79"/>
        <v>OK</v>
      </c>
    </row>
    <row r="1223" spans="1:10" x14ac:dyDescent="0.2">
      <c r="A1223">
        <v>11222</v>
      </c>
      <c r="B1223" t="s">
        <v>10</v>
      </c>
      <c r="C1223" t="s">
        <v>9</v>
      </c>
      <c r="D1223" s="8">
        <v>6.22</v>
      </c>
      <c r="E1223">
        <v>7</v>
      </c>
      <c r="F1223" t="str">
        <f t="shared" si="76"/>
        <v>Standard</v>
      </c>
      <c r="G1223" s="3" cm="1">
        <f t="array" ref="G1223">_xlfn.XLOOKUP(C1223 &amp; F1223,
         [1]unilever_price_limits!A:A &amp; [1]unilever_price_limits!B:B,
         [1]unilever_price_limits!C:C)</f>
        <v>30</v>
      </c>
      <c r="H1223" s="8">
        <f t="shared" si="77"/>
        <v>8.0860000000000003</v>
      </c>
      <c r="I1223" s="6">
        <f t="shared" si="78"/>
        <v>30.000000000000004</v>
      </c>
      <c r="J1223" t="str">
        <f t="shared" si="79"/>
        <v>OK</v>
      </c>
    </row>
    <row r="1224" spans="1:10" x14ac:dyDescent="0.2">
      <c r="A1224">
        <v>11223</v>
      </c>
      <c r="B1224" t="s">
        <v>8</v>
      </c>
      <c r="C1224" t="s">
        <v>6</v>
      </c>
      <c r="D1224" s="8">
        <v>9.8699999999999992</v>
      </c>
      <c r="E1224">
        <v>8</v>
      </c>
      <c r="F1224" t="str">
        <f t="shared" si="76"/>
        <v>Premium</v>
      </c>
      <c r="G1224" s="3" cm="1">
        <f t="array" ref="G1224">_xlfn.XLOOKUP(C1224 &amp; F1224,
         [1]unilever_price_limits!A:A &amp; [1]unilever_price_limits!B:B,
         [1]unilever_price_limits!C:C)</f>
        <v>55</v>
      </c>
      <c r="H1224" s="8">
        <f t="shared" si="77"/>
        <v>15.298499999999999</v>
      </c>
      <c r="I1224" s="6">
        <f t="shared" si="78"/>
        <v>55.000000000000007</v>
      </c>
      <c r="J1224" t="str">
        <f t="shared" si="79"/>
        <v>OK</v>
      </c>
    </row>
    <row r="1225" spans="1:10" x14ac:dyDescent="0.2">
      <c r="A1225">
        <v>11224</v>
      </c>
      <c r="B1225" t="s">
        <v>5</v>
      </c>
      <c r="C1225" t="s">
        <v>6</v>
      </c>
      <c r="D1225" s="8">
        <v>2.68</v>
      </c>
      <c r="E1225">
        <v>4</v>
      </c>
      <c r="F1225" t="str">
        <f t="shared" si="76"/>
        <v>Standard</v>
      </c>
      <c r="G1225" s="3" cm="1">
        <f t="array" ref="G1225">_xlfn.XLOOKUP(C1225 &amp; F1225,
         [1]unilever_price_limits!A:A &amp; [1]unilever_price_limits!B:B,
         [1]unilever_price_limits!C:C)</f>
        <v>28</v>
      </c>
      <c r="H1225" s="8">
        <f t="shared" si="77"/>
        <v>3.4304000000000001</v>
      </c>
      <c r="I1225" s="6">
        <f t="shared" si="78"/>
        <v>28.000000000000004</v>
      </c>
      <c r="J1225" t="str">
        <f t="shared" si="79"/>
        <v>OK</v>
      </c>
    </row>
    <row r="1226" spans="1:10" x14ac:dyDescent="0.2">
      <c r="A1226">
        <v>11225</v>
      </c>
      <c r="B1226" t="s">
        <v>8</v>
      </c>
      <c r="C1226" t="s">
        <v>6</v>
      </c>
      <c r="D1226" s="8">
        <v>14.02</v>
      </c>
      <c r="E1226">
        <v>6</v>
      </c>
      <c r="F1226" t="str">
        <f t="shared" si="76"/>
        <v>Standard</v>
      </c>
      <c r="G1226" s="3" cm="1">
        <f t="array" ref="G1226">_xlfn.XLOOKUP(C1226 &amp; F1226,
         [1]unilever_price_limits!A:A &amp; [1]unilever_price_limits!B:B,
         [1]unilever_price_limits!C:C)</f>
        <v>28</v>
      </c>
      <c r="H1226" s="8">
        <f t="shared" si="77"/>
        <v>17.945599999999999</v>
      </c>
      <c r="I1226" s="6">
        <f t="shared" si="78"/>
        <v>28.000000000000004</v>
      </c>
      <c r="J1226" t="str">
        <f t="shared" si="79"/>
        <v>OK</v>
      </c>
    </row>
    <row r="1227" spans="1:10" x14ac:dyDescent="0.2">
      <c r="A1227">
        <v>11226</v>
      </c>
      <c r="B1227" t="s">
        <v>10</v>
      </c>
      <c r="C1227" t="s">
        <v>11</v>
      </c>
      <c r="D1227" s="8">
        <v>6.05</v>
      </c>
      <c r="E1227">
        <v>3</v>
      </c>
      <c r="F1227" t="str">
        <f t="shared" si="76"/>
        <v>Value</v>
      </c>
      <c r="G1227" s="3" cm="1">
        <f t="array" ref="G1227">_xlfn.XLOOKUP(C1227 &amp; F1227,
         [1]unilever_price_limits!A:A &amp; [1]unilever_price_limits!B:B,
         [1]unilever_price_limits!C:C)</f>
        <v>10</v>
      </c>
      <c r="H1227" s="8">
        <f t="shared" si="77"/>
        <v>6.6550000000000002</v>
      </c>
      <c r="I1227" s="6">
        <f t="shared" si="78"/>
        <v>10.000000000000009</v>
      </c>
      <c r="J1227" t="str">
        <f t="shared" si="79"/>
        <v>OK</v>
      </c>
    </row>
    <row r="1228" spans="1:10" x14ac:dyDescent="0.2">
      <c r="A1228">
        <v>11227</v>
      </c>
      <c r="B1228" t="s">
        <v>5</v>
      </c>
      <c r="C1228" t="s">
        <v>11</v>
      </c>
      <c r="D1228" s="8">
        <v>11.08</v>
      </c>
      <c r="E1228">
        <v>8</v>
      </c>
      <c r="F1228" t="str">
        <f t="shared" si="76"/>
        <v>Premium</v>
      </c>
      <c r="G1228" s="3" cm="1">
        <f t="array" ref="G1228">_xlfn.XLOOKUP(C1228 &amp; F1228,
         [1]unilever_price_limits!A:A &amp; [1]unilever_price_limits!B:B,
         [1]unilever_price_limits!C:C)</f>
        <v>50</v>
      </c>
      <c r="H1228" s="8">
        <f t="shared" si="77"/>
        <v>16.62</v>
      </c>
      <c r="I1228" s="6">
        <f t="shared" si="78"/>
        <v>50</v>
      </c>
      <c r="J1228" t="str">
        <f t="shared" si="79"/>
        <v>OK</v>
      </c>
    </row>
    <row r="1229" spans="1:10" x14ac:dyDescent="0.2">
      <c r="A1229">
        <v>11228</v>
      </c>
      <c r="B1229" t="s">
        <v>7</v>
      </c>
      <c r="C1229" t="s">
        <v>6</v>
      </c>
      <c r="D1229" s="8">
        <v>0.79</v>
      </c>
      <c r="E1229">
        <v>4</v>
      </c>
      <c r="F1229" t="str">
        <f t="shared" si="76"/>
        <v>Standard</v>
      </c>
      <c r="G1229" s="3" cm="1">
        <f t="array" ref="G1229">_xlfn.XLOOKUP(C1229 &amp; F1229,
         [1]unilever_price_limits!A:A &amp; [1]unilever_price_limits!B:B,
         [1]unilever_price_limits!C:C)</f>
        <v>28</v>
      </c>
      <c r="H1229" s="8">
        <f t="shared" si="77"/>
        <v>1.0112000000000001</v>
      </c>
      <c r="I1229" s="6">
        <f t="shared" si="78"/>
        <v>28.000000000000004</v>
      </c>
      <c r="J1229" t="str">
        <f t="shared" si="79"/>
        <v>OK</v>
      </c>
    </row>
    <row r="1230" spans="1:10" x14ac:dyDescent="0.2">
      <c r="A1230">
        <v>11229</v>
      </c>
      <c r="B1230" t="s">
        <v>10</v>
      </c>
      <c r="C1230" t="s">
        <v>6</v>
      </c>
      <c r="D1230" s="8">
        <v>3.48</v>
      </c>
      <c r="E1230">
        <v>3</v>
      </c>
      <c r="F1230" t="str">
        <f t="shared" si="76"/>
        <v>Value</v>
      </c>
      <c r="G1230" s="3" cm="1">
        <f t="array" ref="G1230">_xlfn.XLOOKUP(C1230 &amp; F1230,
         [1]unilever_price_limits!A:A &amp; [1]unilever_price_limits!B:B,
         [1]unilever_price_limits!C:C)</f>
        <v>12</v>
      </c>
      <c r="H1230" s="8">
        <f t="shared" si="77"/>
        <v>3.8976000000000002</v>
      </c>
      <c r="I1230" s="6">
        <f t="shared" si="78"/>
        <v>12.000000000000011</v>
      </c>
      <c r="J1230" t="str">
        <f t="shared" si="79"/>
        <v>OK</v>
      </c>
    </row>
    <row r="1231" spans="1:10" x14ac:dyDescent="0.2">
      <c r="A1231">
        <v>11230</v>
      </c>
      <c r="B1231" t="s">
        <v>5</v>
      </c>
      <c r="C1231" t="s">
        <v>11</v>
      </c>
      <c r="D1231" s="8">
        <v>7.56</v>
      </c>
      <c r="E1231">
        <v>4</v>
      </c>
      <c r="F1231" t="str">
        <f t="shared" si="76"/>
        <v>Standard</v>
      </c>
      <c r="G1231" s="3" cm="1">
        <f t="array" ref="G1231">_xlfn.XLOOKUP(C1231 &amp; F1231,
         [1]unilever_price_limits!A:A &amp; [1]unilever_price_limits!B:B,
         [1]unilever_price_limits!C:C)</f>
        <v>25</v>
      </c>
      <c r="H1231" s="8">
        <f t="shared" si="77"/>
        <v>9.4499999999999993</v>
      </c>
      <c r="I1231" s="6">
        <f t="shared" si="78"/>
        <v>25</v>
      </c>
      <c r="J1231" t="str">
        <f t="shared" si="79"/>
        <v>OK</v>
      </c>
    </row>
    <row r="1232" spans="1:10" x14ac:dyDescent="0.2">
      <c r="A1232">
        <v>11231</v>
      </c>
      <c r="B1232" t="s">
        <v>5</v>
      </c>
      <c r="C1232" t="s">
        <v>6</v>
      </c>
      <c r="D1232" s="8">
        <v>13.23</v>
      </c>
      <c r="E1232">
        <v>6</v>
      </c>
      <c r="F1232" t="str">
        <f t="shared" si="76"/>
        <v>Standard</v>
      </c>
      <c r="G1232" s="3" cm="1">
        <f t="array" ref="G1232">_xlfn.XLOOKUP(C1232 &amp; F1232,
         [1]unilever_price_limits!A:A &amp; [1]unilever_price_limits!B:B,
         [1]unilever_price_limits!C:C)</f>
        <v>28</v>
      </c>
      <c r="H1232" s="8">
        <f t="shared" si="77"/>
        <v>16.9344</v>
      </c>
      <c r="I1232" s="6">
        <f t="shared" si="78"/>
        <v>28.000000000000004</v>
      </c>
      <c r="J1232" t="str">
        <f t="shared" si="79"/>
        <v>OK</v>
      </c>
    </row>
    <row r="1233" spans="1:10" x14ac:dyDescent="0.2">
      <c r="A1233">
        <v>11232</v>
      </c>
      <c r="B1233" t="s">
        <v>7</v>
      </c>
      <c r="C1233" t="s">
        <v>6</v>
      </c>
      <c r="D1233" s="8">
        <v>8.15</v>
      </c>
      <c r="E1233">
        <v>7</v>
      </c>
      <c r="F1233" t="str">
        <f t="shared" si="76"/>
        <v>Standard</v>
      </c>
      <c r="G1233" s="3" cm="1">
        <f t="array" ref="G1233">_xlfn.XLOOKUP(C1233 &amp; F1233,
         [1]unilever_price_limits!A:A &amp; [1]unilever_price_limits!B:B,
         [1]unilever_price_limits!C:C)</f>
        <v>28</v>
      </c>
      <c r="H1233" s="8">
        <f t="shared" si="77"/>
        <v>10.432</v>
      </c>
      <c r="I1233" s="6">
        <f t="shared" si="78"/>
        <v>28.000000000000004</v>
      </c>
      <c r="J1233" t="str">
        <f t="shared" si="79"/>
        <v>OK</v>
      </c>
    </row>
    <row r="1234" spans="1:10" x14ac:dyDescent="0.2">
      <c r="A1234">
        <v>11233</v>
      </c>
      <c r="B1234" t="s">
        <v>8</v>
      </c>
      <c r="C1234" t="s">
        <v>11</v>
      </c>
      <c r="D1234" s="8">
        <v>13.98</v>
      </c>
      <c r="E1234">
        <v>7</v>
      </c>
      <c r="F1234" t="str">
        <f t="shared" si="76"/>
        <v>Standard</v>
      </c>
      <c r="G1234" s="3" cm="1">
        <f t="array" ref="G1234">_xlfn.XLOOKUP(C1234 &amp; F1234,
         [1]unilever_price_limits!A:A &amp; [1]unilever_price_limits!B:B,
         [1]unilever_price_limits!C:C)</f>
        <v>25</v>
      </c>
      <c r="H1234" s="8">
        <f t="shared" si="77"/>
        <v>17.475000000000001</v>
      </c>
      <c r="I1234" s="6">
        <f t="shared" si="78"/>
        <v>25</v>
      </c>
      <c r="J1234" t="str">
        <f t="shared" si="79"/>
        <v>OK</v>
      </c>
    </row>
    <row r="1235" spans="1:10" x14ac:dyDescent="0.2">
      <c r="A1235">
        <v>11234</v>
      </c>
      <c r="B1235" t="s">
        <v>8</v>
      </c>
      <c r="C1235" t="s">
        <v>6</v>
      </c>
      <c r="D1235" s="8">
        <v>7.52</v>
      </c>
      <c r="E1235">
        <v>4</v>
      </c>
      <c r="F1235" t="str">
        <f t="shared" si="76"/>
        <v>Standard</v>
      </c>
      <c r="G1235" s="3" cm="1">
        <f t="array" ref="G1235">_xlfn.XLOOKUP(C1235 &amp; F1235,
         [1]unilever_price_limits!A:A &amp; [1]unilever_price_limits!B:B,
         [1]unilever_price_limits!C:C)</f>
        <v>28</v>
      </c>
      <c r="H1235" s="8">
        <f t="shared" si="77"/>
        <v>9.6256000000000004</v>
      </c>
      <c r="I1235" s="6">
        <f t="shared" si="78"/>
        <v>28.000000000000004</v>
      </c>
      <c r="J1235" t="str">
        <f t="shared" si="79"/>
        <v>OK</v>
      </c>
    </row>
    <row r="1236" spans="1:10" x14ac:dyDescent="0.2">
      <c r="A1236">
        <v>11235</v>
      </c>
      <c r="B1236" t="s">
        <v>10</v>
      </c>
      <c r="C1236" t="s">
        <v>6</v>
      </c>
      <c r="D1236" s="8">
        <v>7.61</v>
      </c>
      <c r="E1236">
        <v>8</v>
      </c>
      <c r="F1236" t="str">
        <f t="shared" si="76"/>
        <v>Premium</v>
      </c>
      <c r="G1236" s="3" cm="1">
        <f t="array" ref="G1236">_xlfn.XLOOKUP(C1236 &amp; F1236,
         [1]unilever_price_limits!A:A &amp; [1]unilever_price_limits!B:B,
         [1]unilever_price_limits!C:C)</f>
        <v>55</v>
      </c>
      <c r="H1236" s="8">
        <f t="shared" si="77"/>
        <v>11.795500000000001</v>
      </c>
      <c r="I1236" s="6">
        <f t="shared" si="78"/>
        <v>55.000000000000007</v>
      </c>
      <c r="J1236" t="str">
        <f t="shared" si="79"/>
        <v>OK</v>
      </c>
    </row>
    <row r="1237" spans="1:10" x14ac:dyDescent="0.2">
      <c r="A1237">
        <v>11236</v>
      </c>
      <c r="B1237" t="s">
        <v>7</v>
      </c>
      <c r="C1237" t="s">
        <v>6</v>
      </c>
      <c r="D1237" s="8">
        <v>2.2400000000000002</v>
      </c>
      <c r="E1237">
        <v>7</v>
      </c>
      <c r="F1237" t="str">
        <f t="shared" si="76"/>
        <v>Standard</v>
      </c>
      <c r="G1237" s="3" cm="1">
        <f t="array" ref="G1237">_xlfn.XLOOKUP(C1237 &amp; F1237,
         [1]unilever_price_limits!A:A &amp; [1]unilever_price_limits!B:B,
         [1]unilever_price_limits!C:C)</f>
        <v>28</v>
      </c>
      <c r="H1237" s="8">
        <f t="shared" si="77"/>
        <v>2.8672000000000004</v>
      </c>
      <c r="I1237" s="6">
        <f t="shared" si="78"/>
        <v>28.000000000000004</v>
      </c>
      <c r="J1237" t="str">
        <f t="shared" si="79"/>
        <v>OK</v>
      </c>
    </row>
    <row r="1238" spans="1:10" x14ac:dyDescent="0.2">
      <c r="A1238">
        <v>11237</v>
      </c>
      <c r="B1238" t="s">
        <v>8</v>
      </c>
      <c r="C1238" t="s">
        <v>11</v>
      </c>
      <c r="D1238" s="8">
        <v>12.14</v>
      </c>
      <c r="E1238">
        <v>2</v>
      </c>
      <c r="F1238" t="str">
        <f t="shared" si="76"/>
        <v>Value</v>
      </c>
      <c r="G1238" s="3" cm="1">
        <f t="array" ref="G1238">_xlfn.XLOOKUP(C1238 &amp; F1238,
         [1]unilever_price_limits!A:A &amp; [1]unilever_price_limits!B:B,
         [1]unilever_price_limits!C:C)</f>
        <v>10</v>
      </c>
      <c r="H1238" s="8">
        <f t="shared" si="77"/>
        <v>13.354000000000001</v>
      </c>
      <c r="I1238" s="6">
        <f t="shared" si="78"/>
        <v>10.000000000000009</v>
      </c>
      <c r="J1238" t="str">
        <f t="shared" si="79"/>
        <v>OK</v>
      </c>
    </row>
    <row r="1239" spans="1:10" x14ac:dyDescent="0.2">
      <c r="A1239">
        <v>11238</v>
      </c>
      <c r="B1239" t="s">
        <v>7</v>
      </c>
      <c r="C1239" t="s">
        <v>6</v>
      </c>
      <c r="D1239" s="8">
        <v>4.08</v>
      </c>
      <c r="E1239">
        <v>8</v>
      </c>
      <c r="F1239" t="str">
        <f t="shared" si="76"/>
        <v>Premium</v>
      </c>
      <c r="G1239" s="3" cm="1">
        <f t="array" ref="G1239">_xlfn.XLOOKUP(C1239 &amp; F1239,
         [1]unilever_price_limits!A:A &amp; [1]unilever_price_limits!B:B,
         [1]unilever_price_limits!C:C)</f>
        <v>55</v>
      </c>
      <c r="H1239" s="8">
        <f t="shared" si="77"/>
        <v>6.3240000000000007</v>
      </c>
      <c r="I1239" s="6">
        <f t="shared" si="78"/>
        <v>55.000000000000007</v>
      </c>
      <c r="J1239" t="str">
        <f t="shared" si="79"/>
        <v>OK</v>
      </c>
    </row>
    <row r="1240" spans="1:10" x14ac:dyDescent="0.2">
      <c r="A1240">
        <v>11239</v>
      </c>
      <c r="B1240" t="s">
        <v>8</v>
      </c>
      <c r="C1240" t="s">
        <v>11</v>
      </c>
      <c r="D1240" s="8">
        <v>13.54</v>
      </c>
      <c r="E1240">
        <v>9</v>
      </c>
      <c r="F1240" t="str">
        <f t="shared" si="76"/>
        <v>Premium</v>
      </c>
      <c r="G1240" s="3" cm="1">
        <f t="array" ref="G1240">_xlfn.XLOOKUP(C1240 &amp; F1240,
         [1]unilever_price_limits!A:A &amp; [1]unilever_price_limits!B:B,
         [1]unilever_price_limits!C:C)</f>
        <v>50</v>
      </c>
      <c r="H1240" s="8">
        <f t="shared" si="77"/>
        <v>20.309999999999999</v>
      </c>
      <c r="I1240" s="6">
        <f t="shared" si="78"/>
        <v>50</v>
      </c>
      <c r="J1240" t="str">
        <f t="shared" si="79"/>
        <v>OK</v>
      </c>
    </row>
    <row r="1241" spans="1:10" x14ac:dyDescent="0.2">
      <c r="A1241">
        <v>11240</v>
      </c>
      <c r="B1241" t="s">
        <v>5</v>
      </c>
      <c r="C1241" t="s">
        <v>11</v>
      </c>
      <c r="D1241" s="8">
        <v>13.71</v>
      </c>
      <c r="E1241">
        <v>5</v>
      </c>
      <c r="F1241" t="str">
        <f t="shared" si="76"/>
        <v>Standard</v>
      </c>
      <c r="G1241" s="3" cm="1">
        <f t="array" ref="G1241">_xlfn.XLOOKUP(C1241 &amp; F1241,
         [1]unilever_price_limits!A:A &amp; [1]unilever_price_limits!B:B,
         [1]unilever_price_limits!C:C)</f>
        <v>25</v>
      </c>
      <c r="H1241" s="8">
        <f t="shared" si="77"/>
        <v>17.137500000000003</v>
      </c>
      <c r="I1241" s="6">
        <f t="shared" si="78"/>
        <v>25.000000000000021</v>
      </c>
      <c r="J1241" t="str">
        <f t="shared" si="79"/>
        <v>OK</v>
      </c>
    </row>
    <row r="1242" spans="1:10" x14ac:dyDescent="0.2">
      <c r="A1242">
        <v>11241</v>
      </c>
      <c r="B1242" t="s">
        <v>8</v>
      </c>
      <c r="C1242" t="s">
        <v>9</v>
      </c>
      <c r="D1242" s="8">
        <v>14.18</v>
      </c>
      <c r="E1242">
        <v>4</v>
      </c>
      <c r="F1242" t="str">
        <f t="shared" si="76"/>
        <v>Standard</v>
      </c>
      <c r="G1242" s="3" cm="1">
        <f t="array" ref="G1242">_xlfn.XLOOKUP(C1242 &amp; F1242,
         [1]unilever_price_limits!A:A &amp; [1]unilever_price_limits!B:B,
         [1]unilever_price_limits!C:C)</f>
        <v>30</v>
      </c>
      <c r="H1242" s="8">
        <f t="shared" si="77"/>
        <v>18.434000000000001</v>
      </c>
      <c r="I1242" s="6">
        <f t="shared" si="78"/>
        <v>30.000000000000004</v>
      </c>
      <c r="J1242" t="str">
        <f t="shared" si="79"/>
        <v>OK</v>
      </c>
    </row>
    <row r="1243" spans="1:10" x14ac:dyDescent="0.2">
      <c r="A1243">
        <v>11242</v>
      </c>
      <c r="B1243" t="s">
        <v>7</v>
      </c>
      <c r="C1243" t="s">
        <v>9</v>
      </c>
      <c r="D1243" s="8">
        <v>8.0399999999999991</v>
      </c>
      <c r="E1243">
        <v>4</v>
      </c>
      <c r="F1243" t="str">
        <f t="shared" si="76"/>
        <v>Standard</v>
      </c>
      <c r="G1243" s="3" cm="1">
        <f t="array" ref="G1243">_xlfn.XLOOKUP(C1243 &amp; F1243,
         [1]unilever_price_limits!A:A &amp; [1]unilever_price_limits!B:B,
         [1]unilever_price_limits!C:C)</f>
        <v>30</v>
      </c>
      <c r="H1243" s="8">
        <f t="shared" si="77"/>
        <v>10.452</v>
      </c>
      <c r="I1243" s="6">
        <f t="shared" si="78"/>
        <v>30.000000000000004</v>
      </c>
      <c r="J1243" t="str">
        <f t="shared" si="79"/>
        <v>OK</v>
      </c>
    </row>
    <row r="1244" spans="1:10" x14ac:dyDescent="0.2">
      <c r="A1244">
        <v>11243</v>
      </c>
      <c r="B1244" t="s">
        <v>5</v>
      </c>
      <c r="C1244" t="s">
        <v>6</v>
      </c>
      <c r="D1244" s="8">
        <v>10.32</v>
      </c>
      <c r="E1244">
        <v>4</v>
      </c>
      <c r="F1244" t="str">
        <f t="shared" si="76"/>
        <v>Standard</v>
      </c>
      <c r="G1244" s="3" cm="1">
        <f t="array" ref="G1244">_xlfn.XLOOKUP(C1244 &amp; F1244,
         [1]unilever_price_limits!A:A &amp; [1]unilever_price_limits!B:B,
         [1]unilever_price_limits!C:C)</f>
        <v>28</v>
      </c>
      <c r="H1244" s="8">
        <f t="shared" si="77"/>
        <v>13.2096</v>
      </c>
      <c r="I1244" s="6">
        <f t="shared" si="78"/>
        <v>28.000000000000004</v>
      </c>
      <c r="J1244" t="str">
        <f t="shared" si="79"/>
        <v>OK</v>
      </c>
    </row>
    <row r="1245" spans="1:10" x14ac:dyDescent="0.2">
      <c r="A1245">
        <v>11244</v>
      </c>
      <c r="B1245" t="s">
        <v>5</v>
      </c>
      <c r="C1245" t="s">
        <v>11</v>
      </c>
      <c r="D1245" s="8">
        <v>11.79</v>
      </c>
      <c r="E1245">
        <v>6</v>
      </c>
      <c r="F1245" t="str">
        <f t="shared" si="76"/>
        <v>Standard</v>
      </c>
      <c r="G1245" s="3" cm="1">
        <f t="array" ref="G1245">_xlfn.XLOOKUP(C1245 &amp; F1245,
         [1]unilever_price_limits!A:A &amp; [1]unilever_price_limits!B:B,
         [1]unilever_price_limits!C:C)</f>
        <v>25</v>
      </c>
      <c r="H1245" s="8">
        <f t="shared" si="77"/>
        <v>14.737499999999999</v>
      </c>
      <c r="I1245" s="6">
        <f t="shared" si="78"/>
        <v>25</v>
      </c>
      <c r="J1245" t="str">
        <f t="shared" si="79"/>
        <v>OK</v>
      </c>
    </row>
    <row r="1246" spans="1:10" x14ac:dyDescent="0.2">
      <c r="A1246">
        <v>11245</v>
      </c>
      <c r="B1246" t="s">
        <v>5</v>
      </c>
      <c r="C1246" t="s">
        <v>9</v>
      </c>
      <c r="D1246" s="8">
        <v>2.4</v>
      </c>
      <c r="E1246">
        <v>4</v>
      </c>
      <c r="F1246" t="str">
        <f t="shared" si="76"/>
        <v>Standard</v>
      </c>
      <c r="G1246" s="3" cm="1">
        <f t="array" ref="G1246">_xlfn.XLOOKUP(C1246 &amp; F1246,
         [1]unilever_price_limits!A:A &amp; [1]unilever_price_limits!B:B,
         [1]unilever_price_limits!C:C)</f>
        <v>30</v>
      </c>
      <c r="H1246" s="8">
        <f t="shared" si="77"/>
        <v>3.12</v>
      </c>
      <c r="I1246" s="6">
        <f t="shared" si="78"/>
        <v>30.000000000000004</v>
      </c>
      <c r="J1246" t="str">
        <f t="shared" si="79"/>
        <v>OK</v>
      </c>
    </row>
    <row r="1247" spans="1:10" x14ac:dyDescent="0.2">
      <c r="A1247">
        <v>11246</v>
      </c>
      <c r="B1247" t="s">
        <v>7</v>
      </c>
      <c r="C1247" t="s">
        <v>6</v>
      </c>
      <c r="D1247" s="8">
        <v>9.2100000000000009</v>
      </c>
      <c r="E1247">
        <v>7</v>
      </c>
      <c r="F1247" t="str">
        <f t="shared" si="76"/>
        <v>Standard</v>
      </c>
      <c r="G1247" s="3" cm="1">
        <f t="array" ref="G1247">_xlfn.XLOOKUP(C1247 &amp; F1247,
         [1]unilever_price_limits!A:A &amp; [1]unilever_price_limits!B:B,
         [1]unilever_price_limits!C:C)</f>
        <v>28</v>
      </c>
      <c r="H1247" s="8">
        <f t="shared" si="77"/>
        <v>11.788800000000002</v>
      </c>
      <c r="I1247" s="6">
        <f t="shared" si="78"/>
        <v>28.000000000000004</v>
      </c>
      <c r="J1247" t="str">
        <f t="shared" si="79"/>
        <v>OK</v>
      </c>
    </row>
    <row r="1248" spans="1:10" x14ac:dyDescent="0.2">
      <c r="A1248">
        <v>11247</v>
      </c>
      <c r="B1248" t="s">
        <v>10</v>
      </c>
      <c r="C1248" t="s">
        <v>9</v>
      </c>
      <c r="D1248" s="8">
        <v>1</v>
      </c>
      <c r="E1248">
        <v>7</v>
      </c>
      <c r="F1248" t="str">
        <f t="shared" si="76"/>
        <v>Standard</v>
      </c>
      <c r="G1248" s="3" cm="1">
        <f t="array" ref="G1248">_xlfn.XLOOKUP(C1248 &amp; F1248,
         [1]unilever_price_limits!A:A &amp; [1]unilever_price_limits!B:B,
         [1]unilever_price_limits!C:C)</f>
        <v>30</v>
      </c>
      <c r="H1248" s="8">
        <f t="shared" si="77"/>
        <v>1.3</v>
      </c>
      <c r="I1248" s="6">
        <f t="shared" si="78"/>
        <v>30.000000000000004</v>
      </c>
      <c r="J1248" t="str">
        <f t="shared" si="79"/>
        <v>OK</v>
      </c>
    </row>
    <row r="1249" spans="1:10" x14ac:dyDescent="0.2">
      <c r="A1249">
        <v>11248</v>
      </c>
      <c r="B1249" t="s">
        <v>10</v>
      </c>
      <c r="C1249" t="s">
        <v>9</v>
      </c>
      <c r="D1249" s="8">
        <v>7.71</v>
      </c>
      <c r="E1249">
        <v>5</v>
      </c>
      <c r="F1249" t="str">
        <f t="shared" si="76"/>
        <v>Standard</v>
      </c>
      <c r="G1249" s="3" cm="1">
        <f t="array" ref="G1249">_xlfn.XLOOKUP(C1249 &amp; F1249,
         [1]unilever_price_limits!A:A &amp; [1]unilever_price_limits!B:B,
         [1]unilever_price_limits!C:C)</f>
        <v>30</v>
      </c>
      <c r="H1249" s="8">
        <f t="shared" si="77"/>
        <v>10.023</v>
      </c>
      <c r="I1249" s="6">
        <f t="shared" si="78"/>
        <v>30.000000000000004</v>
      </c>
      <c r="J1249" t="str">
        <f t="shared" si="79"/>
        <v>OK</v>
      </c>
    </row>
    <row r="1250" spans="1:10" x14ac:dyDescent="0.2">
      <c r="A1250">
        <v>11249</v>
      </c>
      <c r="B1250" t="s">
        <v>10</v>
      </c>
      <c r="C1250" t="s">
        <v>11</v>
      </c>
      <c r="D1250" s="8">
        <v>2.75</v>
      </c>
      <c r="E1250">
        <v>5</v>
      </c>
      <c r="F1250" t="str">
        <f t="shared" si="76"/>
        <v>Standard</v>
      </c>
      <c r="G1250" s="3" cm="1">
        <f t="array" ref="G1250">_xlfn.XLOOKUP(C1250 &amp; F1250,
         [1]unilever_price_limits!A:A &amp; [1]unilever_price_limits!B:B,
         [1]unilever_price_limits!C:C)</f>
        <v>25</v>
      </c>
      <c r="H1250" s="8">
        <f t="shared" si="77"/>
        <v>3.4375</v>
      </c>
      <c r="I1250" s="6">
        <f t="shared" si="78"/>
        <v>25</v>
      </c>
      <c r="J1250" t="str">
        <f t="shared" si="79"/>
        <v>OK</v>
      </c>
    </row>
    <row r="1251" spans="1:10" x14ac:dyDescent="0.2">
      <c r="A1251">
        <v>11250</v>
      </c>
      <c r="B1251" t="s">
        <v>7</v>
      </c>
      <c r="C1251" t="s">
        <v>11</v>
      </c>
      <c r="D1251" s="8">
        <v>3.15</v>
      </c>
      <c r="E1251">
        <v>10</v>
      </c>
      <c r="F1251" t="str">
        <f t="shared" si="76"/>
        <v>Premium</v>
      </c>
      <c r="G1251" s="3" cm="1">
        <f t="array" ref="G1251">_xlfn.XLOOKUP(C1251 &amp; F1251,
         [1]unilever_price_limits!A:A &amp; [1]unilever_price_limits!B:B,
         [1]unilever_price_limits!C:C)</f>
        <v>50</v>
      </c>
      <c r="H1251" s="8">
        <f t="shared" si="77"/>
        <v>4.7249999999999996</v>
      </c>
      <c r="I1251" s="6">
        <f t="shared" si="78"/>
        <v>50</v>
      </c>
      <c r="J1251" t="str">
        <f t="shared" si="79"/>
        <v>OK</v>
      </c>
    </row>
    <row r="1252" spans="1:10" x14ac:dyDescent="0.2">
      <c r="A1252">
        <v>11251</v>
      </c>
      <c r="B1252" t="s">
        <v>5</v>
      </c>
      <c r="C1252" t="s">
        <v>9</v>
      </c>
      <c r="D1252" s="8">
        <v>5.79</v>
      </c>
      <c r="E1252">
        <v>8</v>
      </c>
      <c r="F1252" t="str">
        <f t="shared" si="76"/>
        <v>Premium</v>
      </c>
      <c r="G1252" s="3" cm="1">
        <f t="array" ref="G1252">_xlfn.XLOOKUP(C1252 &amp; F1252,
         [1]unilever_price_limits!A:A &amp; [1]unilever_price_limits!B:B,
         [1]unilever_price_limits!C:C)</f>
        <v>60</v>
      </c>
      <c r="H1252" s="8">
        <f t="shared" si="77"/>
        <v>9.2640000000000011</v>
      </c>
      <c r="I1252" s="6">
        <f t="shared" si="78"/>
        <v>60.000000000000007</v>
      </c>
      <c r="J1252" t="str">
        <f t="shared" si="79"/>
        <v>OK</v>
      </c>
    </row>
    <row r="1253" spans="1:10" x14ac:dyDescent="0.2">
      <c r="A1253">
        <v>11252</v>
      </c>
      <c r="B1253" t="s">
        <v>10</v>
      </c>
      <c r="C1253" t="s">
        <v>9</v>
      </c>
      <c r="D1253" s="8">
        <v>6.77</v>
      </c>
      <c r="E1253">
        <v>7</v>
      </c>
      <c r="F1253" t="str">
        <f t="shared" si="76"/>
        <v>Standard</v>
      </c>
      <c r="G1253" s="3" cm="1">
        <f t="array" ref="G1253">_xlfn.XLOOKUP(C1253 &amp; F1253,
         [1]unilever_price_limits!A:A &amp; [1]unilever_price_limits!B:B,
         [1]unilever_price_limits!C:C)</f>
        <v>30</v>
      </c>
      <c r="H1253" s="8">
        <f t="shared" si="77"/>
        <v>8.8010000000000002</v>
      </c>
      <c r="I1253" s="6">
        <f t="shared" si="78"/>
        <v>30.000000000000004</v>
      </c>
      <c r="J1253" t="str">
        <f t="shared" si="79"/>
        <v>OK</v>
      </c>
    </row>
    <row r="1254" spans="1:10" x14ac:dyDescent="0.2">
      <c r="A1254">
        <v>11253</v>
      </c>
      <c r="B1254" t="s">
        <v>7</v>
      </c>
      <c r="C1254" t="s">
        <v>11</v>
      </c>
      <c r="D1254" s="8">
        <v>9.5399999999999991</v>
      </c>
      <c r="E1254">
        <v>7</v>
      </c>
      <c r="F1254" t="str">
        <f t="shared" si="76"/>
        <v>Standard</v>
      </c>
      <c r="G1254" s="3" cm="1">
        <f t="array" ref="G1254">_xlfn.XLOOKUP(C1254 &amp; F1254,
         [1]unilever_price_limits!A:A &amp; [1]unilever_price_limits!B:B,
         [1]unilever_price_limits!C:C)</f>
        <v>25</v>
      </c>
      <c r="H1254" s="8">
        <f t="shared" si="77"/>
        <v>11.924999999999999</v>
      </c>
      <c r="I1254" s="6">
        <f t="shared" si="78"/>
        <v>25</v>
      </c>
      <c r="J1254" t="str">
        <f t="shared" si="79"/>
        <v>OK</v>
      </c>
    </row>
    <row r="1255" spans="1:10" x14ac:dyDescent="0.2">
      <c r="A1255">
        <v>11254</v>
      </c>
      <c r="B1255" t="s">
        <v>10</v>
      </c>
      <c r="C1255" t="s">
        <v>6</v>
      </c>
      <c r="D1255" s="8">
        <v>1.58</v>
      </c>
      <c r="E1255">
        <v>6</v>
      </c>
      <c r="F1255" t="str">
        <f t="shared" si="76"/>
        <v>Standard</v>
      </c>
      <c r="G1255" s="3" cm="1">
        <f t="array" ref="G1255">_xlfn.XLOOKUP(C1255 &amp; F1255,
         [1]unilever_price_limits!A:A &amp; [1]unilever_price_limits!B:B,
         [1]unilever_price_limits!C:C)</f>
        <v>28</v>
      </c>
      <c r="H1255" s="8">
        <f t="shared" si="77"/>
        <v>2.0224000000000002</v>
      </c>
      <c r="I1255" s="6">
        <f t="shared" si="78"/>
        <v>28.000000000000004</v>
      </c>
      <c r="J1255" t="str">
        <f t="shared" si="79"/>
        <v>OK</v>
      </c>
    </row>
    <row r="1256" spans="1:10" x14ac:dyDescent="0.2">
      <c r="A1256">
        <v>11255</v>
      </c>
      <c r="B1256" t="s">
        <v>8</v>
      </c>
      <c r="C1256" t="s">
        <v>11</v>
      </c>
      <c r="D1256" s="8">
        <v>7.8</v>
      </c>
      <c r="E1256">
        <v>7</v>
      </c>
      <c r="F1256" t="str">
        <f t="shared" si="76"/>
        <v>Standard</v>
      </c>
      <c r="G1256" s="3" cm="1">
        <f t="array" ref="G1256">_xlfn.XLOOKUP(C1256 &amp; F1256,
         [1]unilever_price_limits!A:A &amp; [1]unilever_price_limits!B:B,
         [1]unilever_price_limits!C:C)</f>
        <v>25</v>
      </c>
      <c r="H1256" s="8">
        <f t="shared" si="77"/>
        <v>9.75</v>
      </c>
      <c r="I1256" s="6">
        <f t="shared" si="78"/>
        <v>25</v>
      </c>
      <c r="J1256" t="str">
        <f t="shared" si="79"/>
        <v>OK</v>
      </c>
    </row>
    <row r="1257" spans="1:10" x14ac:dyDescent="0.2">
      <c r="A1257">
        <v>11256</v>
      </c>
      <c r="B1257" t="s">
        <v>10</v>
      </c>
      <c r="C1257" t="s">
        <v>9</v>
      </c>
      <c r="D1257" s="8">
        <v>3.15</v>
      </c>
      <c r="E1257">
        <v>7</v>
      </c>
      <c r="F1257" t="str">
        <f t="shared" si="76"/>
        <v>Standard</v>
      </c>
      <c r="G1257" s="3" cm="1">
        <f t="array" ref="G1257">_xlfn.XLOOKUP(C1257 &amp; F1257,
         [1]unilever_price_limits!A:A &amp; [1]unilever_price_limits!B:B,
         [1]unilever_price_limits!C:C)</f>
        <v>30</v>
      </c>
      <c r="H1257" s="8">
        <f t="shared" si="77"/>
        <v>4.0949999999999998</v>
      </c>
      <c r="I1257" s="6">
        <f t="shared" si="78"/>
        <v>30.000000000000004</v>
      </c>
      <c r="J1257" t="str">
        <f t="shared" si="79"/>
        <v>OK</v>
      </c>
    </row>
    <row r="1258" spans="1:10" x14ac:dyDescent="0.2">
      <c r="A1258">
        <v>11257</v>
      </c>
      <c r="B1258" t="s">
        <v>10</v>
      </c>
      <c r="C1258" t="s">
        <v>6</v>
      </c>
      <c r="D1258" s="8">
        <v>8.82</v>
      </c>
      <c r="E1258">
        <v>10</v>
      </c>
      <c r="F1258" t="str">
        <f t="shared" si="76"/>
        <v>Premium</v>
      </c>
      <c r="G1258" s="3" cm="1">
        <f t="array" ref="G1258">_xlfn.XLOOKUP(C1258 &amp; F1258,
         [1]unilever_price_limits!A:A &amp; [1]unilever_price_limits!B:B,
         [1]unilever_price_limits!C:C)</f>
        <v>55</v>
      </c>
      <c r="H1258" s="8">
        <f t="shared" si="77"/>
        <v>13.671000000000001</v>
      </c>
      <c r="I1258" s="6">
        <f t="shared" si="78"/>
        <v>55.000000000000007</v>
      </c>
      <c r="J1258" t="str">
        <f t="shared" si="79"/>
        <v>OK</v>
      </c>
    </row>
    <row r="1259" spans="1:10" x14ac:dyDescent="0.2">
      <c r="A1259">
        <v>11258</v>
      </c>
      <c r="B1259" t="s">
        <v>5</v>
      </c>
      <c r="C1259" t="s">
        <v>9</v>
      </c>
      <c r="D1259" s="8">
        <v>9.74</v>
      </c>
      <c r="E1259">
        <v>2</v>
      </c>
      <c r="F1259" t="str">
        <f t="shared" si="76"/>
        <v>Value</v>
      </c>
      <c r="G1259" s="3" cm="1">
        <f t="array" ref="G1259">_xlfn.XLOOKUP(C1259 &amp; F1259,
         [1]unilever_price_limits!A:A &amp; [1]unilever_price_limits!B:B,
         [1]unilever_price_limits!C:C)</f>
        <v>15</v>
      </c>
      <c r="H1259" s="8">
        <f t="shared" si="77"/>
        <v>11.200999999999999</v>
      </c>
      <c r="I1259" s="6">
        <f t="shared" si="78"/>
        <v>14.999999999999991</v>
      </c>
      <c r="J1259" t="str">
        <f t="shared" si="79"/>
        <v>OK</v>
      </c>
    </row>
    <row r="1260" spans="1:10" x14ac:dyDescent="0.2">
      <c r="A1260">
        <v>11259</v>
      </c>
      <c r="B1260" t="s">
        <v>7</v>
      </c>
      <c r="C1260" t="s">
        <v>6</v>
      </c>
      <c r="D1260" s="8">
        <v>8.57</v>
      </c>
      <c r="E1260">
        <v>10</v>
      </c>
      <c r="F1260" t="str">
        <f t="shared" si="76"/>
        <v>Premium</v>
      </c>
      <c r="G1260" s="3" cm="1">
        <f t="array" ref="G1260">_xlfn.XLOOKUP(C1260 &amp; F1260,
         [1]unilever_price_limits!A:A &amp; [1]unilever_price_limits!B:B,
         [1]unilever_price_limits!C:C)</f>
        <v>55</v>
      </c>
      <c r="H1260" s="8">
        <f t="shared" si="77"/>
        <v>13.2835</v>
      </c>
      <c r="I1260" s="6">
        <f t="shared" si="78"/>
        <v>55.000000000000007</v>
      </c>
      <c r="J1260" t="str">
        <f t="shared" si="79"/>
        <v>OK</v>
      </c>
    </row>
    <row r="1261" spans="1:10" x14ac:dyDescent="0.2">
      <c r="A1261">
        <v>11260</v>
      </c>
      <c r="B1261" t="s">
        <v>5</v>
      </c>
      <c r="C1261" t="s">
        <v>9</v>
      </c>
      <c r="D1261" s="8">
        <v>11.21</v>
      </c>
      <c r="E1261">
        <v>2</v>
      </c>
      <c r="F1261" t="str">
        <f t="shared" si="76"/>
        <v>Value</v>
      </c>
      <c r="G1261" s="3" cm="1">
        <f t="array" ref="G1261">_xlfn.XLOOKUP(C1261 &amp; F1261,
         [1]unilever_price_limits!A:A &amp; [1]unilever_price_limits!B:B,
         [1]unilever_price_limits!C:C)</f>
        <v>15</v>
      </c>
      <c r="H1261" s="8">
        <f t="shared" si="77"/>
        <v>12.891500000000001</v>
      </c>
      <c r="I1261" s="6">
        <f t="shared" si="78"/>
        <v>14.999999999999991</v>
      </c>
      <c r="J1261" t="str">
        <f t="shared" si="79"/>
        <v>OK</v>
      </c>
    </row>
    <row r="1262" spans="1:10" x14ac:dyDescent="0.2">
      <c r="A1262">
        <v>11261</v>
      </c>
      <c r="B1262" t="s">
        <v>5</v>
      </c>
      <c r="C1262" t="s">
        <v>6</v>
      </c>
      <c r="D1262" s="8">
        <v>5.37</v>
      </c>
      <c r="E1262">
        <v>10</v>
      </c>
      <c r="F1262" t="str">
        <f t="shared" si="76"/>
        <v>Premium</v>
      </c>
      <c r="G1262" s="3" cm="1">
        <f t="array" ref="G1262">_xlfn.XLOOKUP(C1262 &amp; F1262,
         [1]unilever_price_limits!A:A &amp; [1]unilever_price_limits!B:B,
         [1]unilever_price_limits!C:C)</f>
        <v>55</v>
      </c>
      <c r="H1262" s="8">
        <f t="shared" si="77"/>
        <v>8.323500000000001</v>
      </c>
      <c r="I1262" s="6">
        <f t="shared" si="78"/>
        <v>55.000000000000028</v>
      </c>
      <c r="J1262" t="str">
        <f t="shared" si="79"/>
        <v>OK</v>
      </c>
    </row>
    <row r="1263" spans="1:10" x14ac:dyDescent="0.2">
      <c r="A1263">
        <v>11262</v>
      </c>
      <c r="B1263" t="s">
        <v>5</v>
      </c>
      <c r="C1263" t="s">
        <v>6</v>
      </c>
      <c r="D1263" s="8">
        <v>11.59</v>
      </c>
      <c r="E1263">
        <v>7</v>
      </c>
      <c r="F1263" t="str">
        <f t="shared" si="76"/>
        <v>Standard</v>
      </c>
      <c r="G1263" s="3" cm="1">
        <f t="array" ref="G1263">_xlfn.XLOOKUP(C1263 &amp; F1263,
         [1]unilever_price_limits!A:A &amp; [1]unilever_price_limits!B:B,
         [1]unilever_price_limits!C:C)</f>
        <v>28</v>
      </c>
      <c r="H1263" s="8">
        <f t="shared" si="77"/>
        <v>14.8352</v>
      </c>
      <c r="I1263" s="6">
        <f t="shared" si="78"/>
        <v>28.000000000000004</v>
      </c>
      <c r="J1263" t="str">
        <f t="shared" si="79"/>
        <v>OK</v>
      </c>
    </row>
    <row r="1264" spans="1:10" x14ac:dyDescent="0.2">
      <c r="A1264">
        <v>11263</v>
      </c>
      <c r="B1264" t="s">
        <v>5</v>
      </c>
      <c r="C1264" t="s">
        <v>9</v>
      </c>
      <c r="D1264" s="8">
        <v>6.78</v>
      </c>
      <c r="E1264">
        <v>10</v>
      </c>
      <c r="F1264" t="str">
        <f t="shared" si="76"/>
        <v>Premium</v>
      </c>
      <c r="G1264" s="3" cm="1">
        <f t="array" ref="G1264">_xlfn.XLOOKUP(C1264 &amp; F1264,
         [1]unilever_price_limits!A:A &amp; [1]unilever_price_limits!B:B,
         [1]unilever_price_limits!C:C)</f>
        <v>60</v>
      </c>
      <c r="H1264" s="8">
        <f t="shared" si="77"/>
        <v>10.848000000000001</v>
      </c>
      <c r="I1264" s="6">
        <f t="shared" si="78"/>
        <v>60.000000000000007</v>
      </c>
      <c r="J1264" t="str">
        <f t="shared" si="79"/>
        <v>OK</v>
      </c>
    </row>
    <row r="1265" spans="1:10" x14ac:dyDescent="0.2">
      <c r="A1265">
        <v>11264</v>
      </c>
      <c r="B1265" t="s">
        <v>5</v>
      </c>
      <c r="C1265" t="s">
        <v>6</v>
      </c>
      <c r="D1265" s="8">
        <v>7.52</v>
      </c>
      <c r="E1265">
        <v>7</v>
      </c>
      <c r="F1265" t="str">
        <f t="shared" si="76"/>
        <v>Standard</v>
      </c>
      <c r="G1265" s="3" cm="1">
        <f t="array" ref="G1265">_xlfn.XLOOKUP(C1265 &amp; F1265,
         [1]unilever_price_limits!A:A &amp; [1]unilever_price_limits!B:B,
         [1]unilever_price_limits!C:C)</f>
        <v>28</v>
      </c>
      <c r="H1265" s="8">
        <f t="shared" si="77"/>
        <v>9.6256000000000004</v>
      </c>
      <c r="I1265" s="6">
        <f t="shared" si="78"/>
        <v>28.000000000000004</v>
      </c>
      <c r="J1265" t="str">
        <f t="shared" si="79"/>
        <v>OK</v>
      </c>
    </row>
    <row r="1266" spans="1:10" x14ac:dyDescent="0.2">
      <c r="A1266">
        <v>11265</v>
      </c>
      <c r="B1266" t="s">
        <v>10</v>
      </c>
      <c r="C1266" t="s">
        <v>11</v>
      </c>
      <c r="D1266" s="8">
        <v>9.9</v>
      </c>
      <c r="E1266">
        <v>7</v>
      </c>
      <c r="F1266" t="str">
        <f t="shared" si="76"/>
        <v>Standard</v>
      </c>
      <c r="G1266" s="3" cm="1">
        <f t="array" ref="G1266">_xlfn.XLOOKUP(C1266 &amp; F1266,
         [1]unilever_price_limits!A:A &amp; [1]unilever_price_limits!B:B,
         [1]unilever_price_limits!C:C)</f>
        <v>25</v>
      </c>
      <c r="H1266" s="8">
        <f t="shared" si="77"/>
        <v>12.375</v>
      </c>
      <c r="I1266" s="6">
        <f t="shared" si="78"/>
        <v>25</v>
      </c>
      <c r="J1266" t="str">
        <f t="shared" si="79"/>
        <v>OK</v>
      </c>
    </row>
    <row r="1267" spans="1:10" x14ac:dyDescent="0.2">
      <c r="A1267">
        <v>11266</v>
      </c>
      <c r="B1267" t="s">
        <v>5</v>
      </c>
      <c r="C1267" t="s">
        <v>9</v>
      </c>
      <c r="D1267" s="8">
        <v>0.77</v>
      </c>
      <c r="E1267">
        <v>5</v>
      </c>
      <c r="F1267" t="str">
        <f t="shared" si="76"/>
        <v>Standard</v>
      </c>
      <c r="G1267" s="3" cm="1">
        <f t="array" ref="G1267">_xlfn.XLOOKUP(C1267 &amp; F1267,
         [1]unilever_price_limits!A:A &amp; [1]unilever_price_limits!B:B,
         [1]unilever_price_limits!C:C)</f>
        <v>30</v>
      </c>
      <c r="H1267" s="8">
        <f t="shared" si="77"/>
        <v>1.0010000000000001</v>
      </c>
      <c r="I1267" s="6">
        <f t="shared" si="78"/>
        <v>30.000000000000004</v>
      </c>
      <c r="J1267" t="str">
        <f t="shared" si="79"/>
        <v>OK</v>
      </c>
    </row>
    <row r="1268" spans="1:10" x14ac:dyDescent="0.2">
      <c r="A1268">
        <v>11267</v>
      </c>
      <c r="B1268" t="s">
        <v>5</v>
      </c>
      <c r="C1268" t="s">
        <v>11</v>
      </c>
      <c r="D1268" s="8">
        <v>9.98</v>
      </c>
      <c r="E1268">
        <v>1</v>
      </c>
      <c r="F1268" t="str">
        <f t="shared" si="76"/>
        <v>Value</v>
      </c>
      <c r="G1268" s="3" cm="1">
        <f t="array" ref="G1268">_xlfn.XLOOKUP(C1268 &amp; F1268,
         [1]unilever_price_limits!A:A &amp; [1]unilever_price_limits!B:B,
         [1]unilever_price_limits!C:C)</f>
        <v>10</v>
      </c>
      <c r="H1268" s="8">
        <f t="shared" si="77"/>
        <v>10.978000000000002</v>
      </c>
      <c r="I1268" s="6">
        <f t="shared" si="78"/>
        <v>10.000000000000009</v>
      </c>
      <c r="J1268" t="str">
        <f t="shared" si="79"/>
        <v>OK</v>
      </c>
    </row>
    <row r="1269" spans="1:10" x14ac:dyDescent="0.2">
      <c r="A1269">
        <v>11268</v>
      </c>
      <c r="B1269" t="s">
        <v>7</v>
      </c>
      <c r="C1269" t="s">
        <v>9</v>
      </c>
      <c r="D1269" s="8">
        <v>9.4700000000000006</v>
      </c>
      <c r="E1269">
        <v>2</v>
      </c>
      <c r="F1269" t="str">
        <f t="shared" si="76"/>
        <v>Value</v>
      </c>
      <c r="G1269" s="3" cm="1">
        <f t="array" ref="G1269">_xlfn.XLOOKUP(C1269 &amp; F1269,
         [1]unilever_price_limits!A:A &amp; [1]unilever_price_limits!B:B,
         [1]unilever_price_limits!C:C)</f>
        <v>15</v>
      </c>
      <c r="H1269" s="8">
        <f t="shared" si="77"/>
        <v>10.890499999999999</v>
      </c>
      <c r="I1269" s="6">
        <f t="shared" si="78"/>
        <v>14.999999999999991</v>
      </c>
      <c r="J1269" t="str">
        <f t="shared" si="79"/>
        <v>OK</v>
      </c>
    </row>
    <row r="1270" spans="1:10" x14ac:dyDescent="0.2">
      <c r="A1270">
        <v>11269</v>
      </c>
      <c r="B1270" t="s">
        <v>8</v>
      </c>
      <c r="C1270" t="s">
        <v>6</v>
      </c>
      <c r="D1270" s="8">
        <v>4.99</v>
      </c>
      <c r="E1270">
        <v>9</v>
      </c>
      <c r="F1270" t="str">
        <f t="shared" si="76"/>
        <v>Premium</v>
      </c>
      <c r="G1270" s="3" cm="1">
        <f t="array" ref="G1270">_xlfn.XLOOKUP(C1270 &amp; F1270,
         [1]unilever_price_limits!A:A &amp; [1]unilever_price_limits!B:B,
         [1]unilever_price_limits!C:C)</f>
        <v>55</v>
      </c>
      <c r="H1270" s="8">
        <f t="shared" si="77"/>
        <v>7.7345000000000006</v>
      </c>
      <c r="I1270" s="6">
        <f t="shared" si="78"/>
        <v>55.000000000000007</v>
      </c>
      <c r="J1270" t="str">
        <f t="shared" si="79"/>
        <v>OK</v>
      </c>
    </row>
    <row r="1271" spans="1:10" x14ac:dyDescent="0.2">
      <c r="A1271">
        <v>11270</v>
      </c>
      <c r="B1271" t="s">
        <v>10</v>
      </c>
      <c r="C1271" t="s">
        <v>6</v>
      </c>
      <c r="D1271" s="8">
        <v>1.74</v>
      </c>
      <c r="E1271">
        <v>8</v>
      </c>
      <c r="F1271" t="str">
        <f t="shared" si="76"/>
        <v>Premium</v>
      </c>
      <c r="G1271" s="3" cm="1">
        <f t="array" ref="G1271">_xlfn.XLOOKUP(C1271 &amp; F1271,
         [1]unilever_price_limits!A:A &amp; [1]unilever_price_limits!B:B,
         [1]unilever_price_limits!C:C)</f>
        <v>55</v>
      </c>
      <c r="H1271" s="8">
        <f t="shared" si="77"/>
        <v>2.6970000000000001</v>
      </c>
      <c r="I1271" s="6">
        <f t="shared" si="78"/>
        <v>55.000000000000007</v>
      </c>
      <c r="J1271" t="str">
        <f t="shared" si="79"/>
        <v>OK</v>
      </c>
    </row>
    <row r="1272" spans="1:10" x14ac:dyDescent="0.2">
      <c r="A1272">
        <v>11271</v>
      </c>
      <c r="B1272" t="s">
        <v>10</v>
      </c>
      <c r="C1272" t="s">
        <v>6</v>
      </c>
      <c r="D1272" s="8">
        <v>1.82</v>
      </c>
      <c r="E1272">
        <v>8</v>
      </c>
      <c r="F1272" t="str">
        <f t="shared" si="76"/>
        <v>Premium</v>
      </c>
      <c r="G1272" s="3" cm="1">
        <f t="array" ref="G1272">_xlfn.XLOOKUP(C1272 &amp; F1272,
         [1]unilever_price_limits!A:A &amp; [1]unilever_price_limits!B:B,
         [1]unilever_price_limits!C:C)</f>
        <v>55</v>
      </c>
      <c r="H1272" s="8">
        <f t="shared" si="77"/>
        <v>2.8210000000000002</v>
      </c>
      <c r="I1272" s="6">
        <f t="shared" si="78"/>
        <v>55.000000000000007</v>
      </c>
      <c r="J1272" t="str">
        <f t="shared" si="79"/>
        <v>OK</v>
      </c>
    </row>
    <row r="1273" spans="1:10" x14ac:dyDescent="0.2">
      <c r="A1273">
        <v>11272</v>
      </c>
      <c r="B1273" t="s">
        <v>10</v>
      </c>
      <c r="C1273" t="s">
        <v>9</v>
      </c>
      <c r="D1273" s="8">
        <v>13.89</v>
      </c>
      <c r="E1273">
        <v>10</v>
      </c>
      <c r="F1273" t="str">
        <f t="shared" si="76"/>
        <v>Premium</v>
      </c>
      <c r="G1273" s="3" cm="1">
        <f t="array" ref="G1273">_xlfn.XLOOKUP(C1273 &amp; F1273,
         [1]unilever_price_limits!A:A &amp; [1]unilever_price_limits!B:B,
         [1]unilever_price_limits!C:C)</f>
        <v>60</v>
      </c>
      <c r="H1273" s="8">
        <f t="shared" si="77"/>
        <v>22.224000000000004</v>
      </c>
      <c r="I1273" s="6">
        <f t="shared" si="78"/>
        <v>60.000000000000028</v>
      </c>
      <c r="J1273" t="str">
        <f t="shared" si="79"/>
        <v>OK</v>
      </c>
    </row>
    <row r="1274" spans="1:10" x14ac:dyDescent="0.2">
      <c r="A1274">
        <v>11273</v>
      </c>
      <c r="B1274" t="s">
        <v>5</v>
      </c>
      <c r="C1274" t="s">
        <v>11</v>
      </c>
      <c r="D1274" s="8">
        <v>10.49</v>
      </c>
      <c r="E1274">
        <v>1</v>
      </c>
      <c r="F1274" t="str">
        <f t="shared" si="76"/>
        <v>Value</v>
      </c>
      <c r="G1274" s="3" cm="1">
        <f t="array" ref="G1274">_xlfn.XLOOKUP(C1274 &amp; F1274,
         [1]unilever_price_limits!A:A &amp; [1]unilever_price_limits!B:B,
         [1]unilever_price_limits!C:C)</f>
        <v>10</v>
      </c>
      <c r="H1274" s="8">
        <f t="shared" si="77"/>
        <v>11.539000000000001</v>
      </c>
      <c r="I1274" s="6">
        <f t="shared" si="78"/>
        <v>10.000000000000009</v>
      </c>
      <c r="J1274" t="str">
        <f t="shared" si="79"/>
        <v>OK</v>
      </c>
    </row>
    <row r="1275" spans="1:10" x14ac:dyDescent="0.2">
      <c r="A1275">
        <v>11274</v>
      </c>
      <c r="B1275" t="s">
        <v>5</v>
      </c>
      <c r="C1275" t="s">
        <v>11</v>
      </c>
      <c r="D1275" s="8">
        <v>2.34</v>
      </c>
      <c r="E1275">
        <v>6</v>
      </c>
      <c r="F1275" t="str">
        <f t="shared" si="76"/>
        <v>Standard</v>
      </c>
      <c r="G1275" s="3" cm="1">
        <f t="array" ref="G1275">_xlfn.XLOOKUP(C1275 &amp; F1275,
         [1]unilever_price_limits!A:A &amp; [1]unilever_price_limits!B:B,
         [1]unilever_price_limits!C:C)</f>
        <v>25</v>
      </c>
      <c r="H1275" s="8">
        <f t="shared" si="77"/>
        <v>2.9249999999999998</v>
      </c>
      <c r="I1275" s="6">
        <f t="shared" si="78"/>
        <v>25</v>
      </c>
      <c r="J1275" t="str">
        <f t="shared" si="79"/>
        <v>OK</v>
      </c>
    </row>
    <row r="1276" spans="1:10" x14ac:dyDescent="0.2">
      <c r="A1276">
        <v>11275</v>
      </c>
      <c r="B1276" t="s">
        <v>5</v>
      </c>
      <c r="C1276" t="s">
        <v>9</v>
      </c>
      <c r="D1276" s="8">
        <v>5.67</v>
      </c>
      <c r="E1276">
        <v>9</v>
      </c>
      <c r="F1276" t="str">
        <f t="shared" si="76"/>
        <v>Premium</v>
      </c>
      <c r="G1276" s="3" cm="1">
        <f t="array" ref="G1276">_xlfn.XLOOKUP(C1276 &amp; F1276,
         [1]unilever_price_limits!A:A &amp; [1]unilever_price_limits!B:B,
         [1]unilever_price_limits!C:C)</f>
        <v>60</v>
      </c>
      <c r="H1276" s="8">
        <f t="shared" si="77"/>
        <v>9.072000000000001</v>
      </c>
      <c r="I1276" s="6">
        <f t="shared" si="78"/>
        <v>60.000000000000007</v>
      </c>
      <c r="J1276" t="str">
        <f t="shared" si="79"/>
        <v>OK</v>
      </c>
    </row>
    <row r="1277" spans="1:10" x14ac:dyDescent="0.2">
      <c r="A1277">
        <v>11276</v>
      </c>
      <c r="B1277" t="s">
        <v>7</v>
      </c>
      <c r="C1277" t="s">
        <v>9</v>
      </c>
      <c r="D1277" s="8">
        <v>9.09</v>
      </c>
      <c r="E1277">
        <v>8</v>
      </c>
      <c r="F1277" t="str">
        <f t="shared" si="76"/>
        <v>Premium</v>
      </c>
      <c r="G1277" s="3" cm="1">
        <f t="array" ref="G1277">_xlfn.XLOOKUP(C1277 &amp; F1277,
         [1]unilever_price_limits!A:A &amp; [1]unilever_price_limits!B:B,
         [1]unilever_price_limits!C:C)</f>
        <v>60</v>
      </c>
      <c r="H1277" s="8">
        <f t="shared" si="77"/>
        <v>14.544</v>
      </c>
      <c r="I1277" s="6">
        <f t="shared" si="78"/>
        <v>60.000000000000007</v>
      </c>
      <c r="J1277" t="str">
        <f t="shared" si="79"/>
        <v>OK</v>
      </c>
    </row>
    <row r="1278" spans="1:10" x14ac:dyDescent="0.2">
      <c r="A1278">
        <v>11277</v>
      </c>
      <c r="B1278" t="s">
        <v>8</v>
      </c>
      <c r="C1278" t="s">
        <v>11</v>
      </c>
      <c r="D1278" s="8">
        <v>12.62</v>
      </c>
      <c r="E1278">
        <v>3</v>
      </c>
      <c r="F1278" t="str">
        <f t="shared" si="76"/>
        <v>Value</v>
      </c>
      <c r="G1278" s="3" cm="1">
        <f t="array" ref="G1278">_xlfn.XLOOKUP(C1278 &amp; F1278,
         [1]unilever_price_limits!A:A &amp; [1]unilever_price_limits!B:B,
         [1]unilever_price_limits!C:C)</f>
        <v>10</v>
      </c>
      <c r="H1278" s="8">
        <f t="shared" si="77"/>
        <v>13.882</v>
      </c>
      <c r="I1278" s="6">
        <f t="shared" si="78"/>
        <v>10.000000000000009</v>
      </c>
      <c r="J1278" t="str">
        <f t="shared" si="79"/>
        <v>OK</v>
      </c>
    </row>
    <row r="1279" spans="1:10" x14ac:dyDescent="0.2">
      <c r="A1279">
        <v>11278</v>
      </c>
      <c r="B1279" t="s">
        <v>5</v>
      </c>
      <c r="C1279" t="s">
        <v>11</v>
      </c>
      <c r="D1279" s="8">
        <v>1.1299999999999999</v>
      </c>
      <c r="E1279">
        <v>4</v>
      </c>
      <c r="F1279" t="str">
        <f t="shared" si="76"/>
        <v>Standard</v>
      </c>
      <c r="G1279" s="3" cm="1">
        <f t="array" ref="G1279">_xlfn.XLOOKUP(C1279 &amp; F1279,
         [1]unilever_price_limits!A:A &amp; [1]unilever_price_limits!B:B,
         [1]unilever_price_limits!C:C)</f>
        <v>25</v>
      </c>
      <c r="H1279" s="8">
        <f t="shared" si="77"/>
        <v>1.4124999999999999</v>
      </c>
      <c r="I1279" s="6">
        <f t="shared" si="78"/>
        <v>25</v>
      </c>
      <c r="J1279" t="str">
        <f t="shared" si="79"/>
        <v>OK</v>
      </c>
    </row>
    <row r="1280" spans="1:10" x14ac:dyDescent="0.2">
      <c r="A1280">
        <v>11279</v>
      </c>
      <c r="B1280" t="s">
        <v>8</v>
      </c>
      <c r="C1280" t="s">
        <v>11</v>
      </c>
      <c r="D1280" s="8">
        <v>3.93</v>
      </c>
      <c r="E1280">
        <v>3</v>
      </c>
      <c r="F1280" t="str">
        <f t="shared" si="76"/>
        <v>Value</v>
      </c>
      <c r="G1280" s="3" cm="1">
        <f t="array" ref="G1280">_xlfn.XLOOKUP(C1280 &amp; F1280,
         [1]unilever_price_limits!A:A &amp; [1]unilever_price_limits!B:B,
         [1]unilever_price_limits!C:C)</f>
        <v>10</v>
      </c>
      <c r="H1280" s="8">
        <f t="shared" si="77"/>
        <v>4.3230000000000004</v>
      </c>
      <c r="I1280" s="6">
        <f t="shared" si="78"/>
        <v>10.000000000000009</v>
      </c>
      <c r="J1280" t="str">
        <f t="shared" si="79"/>
        <v>OK</v>
      </c>
    </row>
    <row r="1281" spans="1:10" x14ac:dyDescent="0.2">
      <c r="A1281">
        <v>11280</v>
      </c>
      <c r="B1281" t="s">
        <v>7</v>
      </c>
      <c r="C1281" t="s">
        <v>11</v>
      </c>
      <c r="D1281" s="8">
        <v>13.4</v>
      </c>
      <c r="E1281">
        <v>6</v>
      </c>
      <c r="F1281" t="str">
        <f t="shared" si="76"/>
        <v>Standard</v>
      </c>
      <c r="G1281" s="3" cm="1">
        <f t="array" ref="G1281">_xlfn.XLOOKUP(C1281 &amp; F1281,
         [1]unilever_price_limits!A:A &amp; [1]unilever_price_limits!B:B,
         [1]unilever_price_limits!C:C)</f>
        <v>25</v>
      </c>
      <c r="H1281" s="8">
        <f t="shared" si="77"/>
        <v>16.75</v>
      </c>
      <c r="I1281" s="6">
        <f t="shared" si="78"/>
        <v>25</v>
      </c>
      <c r="J1281" t="str">
        <f t="shared" si="79"/>
        <v>OK</v>
      </c>
    </row>
    <row r="1282" spans="1:10" x14ac:dyDescent="0.2">
      <c r="A1282">
        <v>11281</v>
      </c>
      <c r="B1282" t="s">
        <v>10</v>
      </c>
      <c r="C1282" t="s">
        <v>9</v>
      </c>
      <c r="D1282" s="8">
        <v>0.63</v>
      </c>
      <c r="E1282">
        <v>9</v>
      </c>
      <c r="F1282" t="str">
        <f t="shared" si="76"/>
        <v>Premium</v>
      </c>
      <c r="G1282" s="3" cm="1">
        <f t="array" ref="G1282">_xlfn.XLOOKUP(C1282 &amp; F1282,
         [1]unilever_price_limits!A:A &amp; [1]unilever_price_limits!B:B,
         [1]unilever_price_limits!C:C)</f>
        <v>60</v>
      </c>
      <c r="H1282" s="8">
        <f t="shared" si="77"/>
        <v>1.008</v>
      </c>
      <c r="I1282" s="6">
        <f t="shared" si="78"/>
        <v>60.000000000000007</v>
      </c>
      <c r="J1282" t="str">
        <f t="shared" si="79"/>
        <v>OK</v>
      </c>
    </row>
    <row r="1283" spans="1:10" x14ac:dyDescent="0.2">
      <c r="A1283">
        <v>11282</v>
      </c>
      <c r="B1283" t="s">
        <v>5</v>
      </c>
      <c r="C1283" t="s">
        <v>9</v>
      </c>
      <c r="D1283" s="8">
        <v>3.42</v>
      </c>
      <c r="E1283">
        <v>8</v>
      </c>
      <c r="F1283" t="str">
        <f t="shared" ref="F1283:F1346" si="80">IF(E1283&lt;=3,"Value",
 IF(E1283&lt;=7,"Standard","Premium"))</f>
        <v>Premium</v>
      </c>
      <c r="G1283" s="3" cm="1">
        <f t="array" ref="G1283">_xlfn.XLOOKUP(C1283 &amp; F1283,
         [1]unilever_price_limits!A:A &amp; [1]unilever_price_limits!B:B,
         [1]unilever_price_limits!C:C)</f>
        <v>60</v>
      </c>
      <c r="H1283" s="8">
        <f t="shared" ref="H1283:H1346" si="81">D1283 * (1 + G1283/100)</f>
        <v>5.4720000000000004</v>
      </c>
      <c r="I1283" s="6">
        <f t="shared" ref="I1283:I1346" si="82">(H1283 / D1283 - 1) * 100</f>
        <v>60.000000000000007</v>
      </c>
      <c r="J1283" t="str">
        <f t="shared" ref="J1283:J1346" si="83">IF(I1282&gt; G1282, "⚠ Exceeds Limit", "OK")</f>
        <v>OK</v>
      </c>
    </row>
    <row r="1284" spans="1:10" x14ac:dyDescent="0.2">
      <c r="A1284">
        <v>11283</v>
      </c>
      <c r="B1284" t="s">
        <v>8</v>
      </c>
      <c r="C1284" t="s">
        <v>6</v>
      </c>
      <c r="D1284" s="8">
        <v>14.41</v>
      </c>
      <c r="E1284">
        <v>10</v>
      </c>
      <c r="F1284" t="str">
        <f t="shared" si="80"/>
        <v>Premium</v>
      </c>
      <c r="G1284" s="3" cm="1">
        <f t="array" ref="G1284">_xlfn.XLOOKUP(C1284 &amp; F1284,
         [1]unilever_price_limits!A:A &amp; [1]unilever_price_limits!B:B,
         [1]unilever_price_limits!C:C)</f>
        <v>55</v>
      </c>
      <c r="H1284" s="8">
        <f t="shared" si="81"/>
        <v>22.3355</v>
      </c>
      <c r="I1284" s="6">
        <f t="shared" si="82"/>
        <v>55.000000000000007</v>
      </c>
      <c r="J1284" t="str">
        <f t="shared" si="83"/>
        <v>OK</v>
      </c>
    </row>
    <row r="1285" spans="1:10" x14ac:dyDescent="0.2">
      <c r="A1285">
        <v>11284</v>
      </c>
      <c r="B1285" t="s">
        <v>8</v>
      </c>
      <c r="C1285" t="s">
        <v>11</v>
      </c>
      <c r="D1285" s="8">
        <v>9.39</v>
      </c>
      <c r="E1285">
        <v>4</v>
      </c>
      <c r="F1285" t="str">
        <f t="shared" si="80"/>
        <v>Standard</v>
      </c>
      <c r="G1285" s="3" cm="1">
        <f t="array" ref="G1285">_xlfn.XLOOKUP(C1285 &amp; F1285,
         [1]unilever_price_limits!A:A &amp; [1]unilever_price_limits!B:B,
         [1]unilever_price_limits!C:C)</f>
        <v>25</v>
      </c>
      <c r="H1285" s="8">
        <f t="shared" si="81"/>
        <v>11.737500000000001</v>
      </c>
      <c r="I1285" s="6">
        <f t="shared" si="82"/>
        <v>25</v>
      </c>
      <c r="J1285" t="str">
        <f t="shared" si="83"/>
        <v>OK</v>
      </c>
    </row>
    <row r="1286" spans="1:10" x14ac:dyDescent="0.2">
      <c r="A1286">
        <v>11285</v>
      </c>
      <c r="B1286" t="s">
        <v>5</v>
      </c>
      <c r="C1286" t="s">
        <v>6</v>
      </c>
      <c r="D1286" s="8">
        <v>4.29</v>
      </c>
      <c r="E1286">
        <v>2</v>
      </c>
      <c r="F1286" t="str">
        <f t="shared" si="80"/>
        <v>Value</v>
      </c>
      <c r="G1286" s="3" cm="1">
        <f t="array" ref="G1286">_xlfn.XLOOKUP(C1286 &amp; F1286,
         [1]unilever_price_limits!A:A &amp; [1]unilever_price_limits!B:B,
         [1]unilever_price_limits!C:C)</f>
        <v>12</v>
      </c>
      <c r="H1286" s="8">
        <f t="shared" si="81"/>
        <v>4.8048000000000002</v>
      </c>
      <c r="I1286" s="6">
        <f t="shared" si="82"/>
        <v>12.000000000000011</v>
      </c>
      <c r="J1286" t="str">
        <f t="shared" si="83"/>
        <v>OK</v>
      </c>
    </row>
    <row r="1287" spans="1:10" x14ac:dyDescent="0.2">
      <c r="A1287">
        <v>11286</v>
      </c>
      <c r="B1287" t="s">
        <v>10</v>
      </c>
      <c r="C1287" t="s">
        <v>9</v>
      </c>
      <c r="D1287" s="8">
        <v>1.47</v>
      </c>
      <c r="E1287">
        <v>8</v>
      </c>
      <c r="F1287" t="str">
        <f t="shared" si="80"/>
        <v>Premium</v>
      </c>
      <c r="G1287" s="3" cm="1">
        <f t="array" ref="G1287">_xlfn.XLOOKUP(C1287 &amp; F1287,
         [1]unilever_price_limits!A:A &amp; [1]unilever_price_limits!B:B,
         [1]unilever_price_limits!C:C)</f>
        <v>60</v>
      </c>
      <c r="H1287" s="8">
        <f t="shared" si="81"/>
        <v>2.3519999999999999</v>
      </c>
      <c r="I1287" s="6">
        <f t="shared" si="82"/>
        <v>59.999999999999986</v>
      </c>
      <c r="J1287" t="str">
        <f t="shared" si="83"/>
        <v>OK</v>
      </c>
    </row>
    <row r="1288" spans="1:10" x14ac:dyDescent="0.2">
      <c r="A1288">
        <v>11287</v>
      </c>
      <c r="B1288" t="s">
        <v>10</v>
      </c>
      <c r="C1288" t="s">
        <v>9</v>
      </c>
      <c r="D1288" s="8">
        <v>0.91</v>
      </c>
      <c r="E1288">
        <v>8</v>
      </c>
      <c r="F1288" t="str">
        <f t="shared" si="80"/>
        <v>Premium</v>
      </c>
      <c r="G1288" s="3" cm="1">
        <f t="array" ref="G1288">_xlfn.XLOOKUP(C1288 &amp; F1288,
         [1]unilever_price_limits!A:A &amp; [1]unilever_price_limits!B:B,
         [1]unilever_price_limits!C:C)</f>
        <v>60</v>
      </c>
      <c r="H1288" s="8">
        <f t="shared" si="81"/>
        <v>1.4560000000000002</v>
      </c>
      <c r="I1288" s="6">
        <f t="shared" si="82"/>
        <v>60.000000000000007</v>
      </c>
      <c r="J1288" t="str">
        <f t="shared" si="83"/>
        <v>OK</v>
      </c>
    </row>
    <row r="1289" spans="1:10" x14ac:dyDescent="0.2">
      <c r="A1289">
        <v>11288</v>
      </c>
      <c r="B1289" t="s">
        <v>10</v>
      </c>
      <c r="C1289" t="s">
        <v>6</v>
      </c>
      <c r="D1289" s="8">
        <v>4.05</v>
      </c>
      <c r="E1289">
        <v>6</v>
      </c>
      <c r="F1289" t="str">
        <f t="shared" si="80"/>
        <v>Standard</v>
      </c>
      <c r="G1289" s="3" cm="1">
        <f t="array" ref="G1289">_xlfn.XLOOKUP(C1289 &amp; F1289,
         [1]unilever_price_limits!A:A &amp; [1]unilever_price_limits!B:B,
         [1]unilever_price_limits!C:C)</f>
        <v>28</v>
      </c>
      <c r="H1289" s="8">
        <f t="shared" si="81"/>
        <v>5.1840000000000002</v>
      </c>
      <c r="I1289" s="6">
        <f t="shared" si="82"/>
        <v>28.000000000000004</v>
      </c>
      <c r="J1289" t="str">
        <f t="shared" si="83"/>
        <v>OK</v>
      </c>
    </row>
    <row r="1290" spans="1:10" x14ac:dyDescent="0.2">
      <c r="A1290">
        <v>11289</v>
      </c>
      <c r="B1290" t="s">
        <v>7</v>
      </c>
      <c r="C1290" t="s">
        <v>11</v>
      </c>
      <c r="D1290" s="8">
        <v>13.28</v>
      </c>
      <c r="E1290">
        <v>8</v>
      </c>
      <c r="F1290" t="str">
        <f t="shared" si="80"/>
        <v>Premium</v>
      </c>
      <c r="G1290" s="3" cm="1">
        <f t="array" ref="G1290">_xlfn.XLOOKUP(C1290 &amp; F1290,
         [1]unilever_price_limits!A:A &amp; [1]unilever_price_limits!B:B,
         [1]unilever_price_limits!C:C)</f>
        <v>50</v>
      </c>
      <c r="H1290" s="8">
        <f t="shared" si="81"/>
        <v>19.919999999999998</v>
      </c>
      <c r="I1290" s="6">
        <f t="shared" si="82"/>
        <v>50</v>
      </c>
      <c r="J1290" t="str">
        <f t="shared" si="83"/>
        <v>OK</v>
      </c>
    </row>
    <row r="1291" spans="1:10" x14ac:dyDescent="0.2">
      <c r="A1291">
        <v>11290</v>
      </c>
      <c r="B1291" t="s">
        <v>8</v>
      </c>
      <c r="C1291" t="s">
        <v>11</v>
      </c>
      <c r="D1291" s="8">
        <v>6.53</v>
      </c>
      <c r="E1291">
        <v>9</v>
      </c>
      <c r="F1291" t="str">
        <f t="shared" si="80"/>
        <v>Premium</v>
      </c>
      <c r="G1291" s="3" cm="1">
        <f t="array" ref="G1291">_xlfn.XLOOKUP(C1291 &amp; F1291,
         [1]unilever_price_limits!A:A &amp; [1]unilever_price_limits!B:B,
         [1]unilever_price_limits!C:C)</f>
        <v>50</v>
      </c>
      <c r="H1291" s="8">
        <f t="shared" si="81"/>
        <v>9.7949999999999999</v>
      </c>
      <c r="I1291" s="6">
        <f t="shared" si="82"/>
        <v>50</v>
      </c>
      <c r="J1291" t="str">
        <f t="shared" si="83"/>
        <v>OK</v>
      </c>
    </row>
    <row r="1292" spans="1:10" x14ac:dyDescent="0.2">
      <c r="A1292">
        <v>11291</v>
      </c>
      <c r="B1292" t="s">
        <v>8</v>
      </c>
      <c r="C1292" t="s">
        <v>11</v>
      </c>
      <c r="D1292" s="8">
        <v>10.94</v>
      </c>
      <c r="E1292">
        <v>1</v>
      </c>
      <c r="F1292" t="str">
        <f t="shared" si="80"/>
        <v>Value</v>
      </c>
      <c r="G1292" s="3" cm="1">
        <f t="array" ref="G1292">_xlfn.XLOOKUP(C1292 &amp; F1292,
         [1]unilever_price_limits!A:A &amp; [1]unilever_price_limits!B:B,
         [1]unilever_price_limits!C:C)</f>
        <v>10</v>
      </c>
      <c r="H1292" s="8">
        <f t="shared" si="81"/>
        <v>12.034000000000001</v>
      </c>
      <c r="I1292" s="6">
        <f t="shared" si="82"/>
        <v>10.000000000000009</v>
      </c>
      <c r="J1292" t="str">
        <f t="shared" si="83"/>
        <v>OK</v>
      </c>
    </row>
    <row r="1293" spans="1:10" x14ac:dyDescent="0.2">
      <c r="A1293">
        <v>11292</v>
      </c>
      <c r="B1293" t="s">
        <v>8</v>
      </c>
      <c r="C1293" t="s">
        <v>11</v>
      </c>
      <c r="D1293" s="8">
        <v>13.82</v>
      </c>
      <c r="E1293">
        <v>9</v>
      </c>
      <c r="F1293" t="str">
        <f t="shared" si="80"/>
        <v>Premium</v>
      </c>
      <c r="G1293" s="3" cm="1">
        <f t="array" ref="G1293">_xlfn.XLOOKUP(C1293 &amp; F1293,
         [1]unilever_price_limits!A:A &amp; [1]unilever_price_limits!B:B,
         [1]unilever_price_limits!C:C)</f>
        <v>50</v>
      </c>
      <c r="H1293" s="8">
        <f t="shared" si="81"/>
        <v>20.73</v>
      </c>
      <c r="I1293" s="6">
        <f t="shared" si="82"/>
        <v>50</v>
      </c>
      <c r="J1293" t="str">
        <f t="shared" si="83"/>
        <v>OK</v>
      </c>
    </row>
    <row r="1294" spans="1:10" x14ac:dyDescent="0.2">
      <c r="A1294">
        <v>11293</v>
      </c>
      <c r="B1294" t="s">
        <v>7</v>
      </c>
      <c r="C1294" t="s">
        <v>6</v>
      </c>
      <c r="D1294" s="8">
        <v>6.42</v>
      </c>
      <c r="E1294">
        <v>2</v>
      </c>
      <c r="F1294" t="str">
        <f t="shared" si="80"/>
        <v>Value</v>
      </c>
      <c r="G1294" s="3" cm="1">
        <f t="array" ref="G1294">_xlfn.XLOOKUP(C1294 &amp; F1294,
         [1]unilever_price_limits!A:A &amp; [1]unilever_price_limits!B:B,
         [1]unilever_price_limits!C:C)</f>
        <v>12</v>
      </c>
      <c r="H1294" s="8">
        <f t="shared" si="81"/>
        <v>7.1904000000000003</v>
      </c>
      <c r="I1294" s="6">
        <f t="shared" si="82"/>
        <v>12.000000000000011</v>
      </c>
      <c r="J1294" t="str">
        <f t="shared" si="83"/>
        <v>OK</v>
      </c>
    </row>
    <row r="1295" spans="1:10" x14ac:dyDescent="0.2">
      <c r="A1295">
        <v>11294</v>
      </c>
      <c r="B1295" t="s">
        <v>8</v>
      </c>
      <c r="C1295" t="s">
        <v>6</v>
      </c>
      <c r="D1295" s="8">
        <v>3.27</v>
      </c>
      <c r="E1295">
        <v>1</v>
      </c>
      <c r="F1295" t="str">
        <f t="shared" si="80"/>
        <v>Value</v>
      </c>
      <c r="G1295" s="3" cm="1">
        <f t="array" ref="G1295">_xlfn.XLOOKUP(C1295 &amp; F1295,
         [1]unilever_price_limits!A:A &amp; [1]unilever_price_limits!B:B,
         [1]unilever_price_limits!C:C)</f>
        <v>12</v>
      </c>
      <c r="H1295" s="8">
        <f t="shared" si="81"/>
        <v>3.6624000000000003</v>
      </c>
      <c r="I1295" s="6">
        <f t="shared" si="82"/>
        <v>12.000000000000011</v>
      </c>
      <c r="J1295" t="str">
        <f t="shared" si="83"/>
        <v>OK</v>
      </c>
    </row>
    <row r="1296" spans="1:10" x14ac:dyDescent="0.2">
      <c r="A1296">
        <v>11295</v>
      </c>
      <c r="B1296" t="s">
        <v>7</v>
      </c>
      <c r="C1296" t="s">
        <v>9</v>
      </c>
      <c r="D1296" s="8">
        <v>8</v>
      </c>
      <c r="E1296">
        <v>8</v>
      </c>
      <c r="F1296" t="str">
        <f t="shared" si="80"/>
        <v>Premium</v>
      </c>
      <c r="G1296" s="3" cm="1">
        <f t="array" ref="G1296">_xlfn.XLOOKUP(C1296 &amp; F1296,
         [1]unilever_price_limits!A:A &amp; [1]unilever_price_limits!B:B,
         [1]unilever_price_limits!C:C)</f>
        <v>60</v>
      </c>
      <c r="H1296" s="8">
        <f t="shared" si="81"/>
        <v>12.8</v>
      </c>
      <c r="I1296" s="6">
        <f t="shared" si="82"/>
        <v>60.000000000000007</v>
      </c>
      <c r="J1296" t="str">
        <f t="shared" si="83"/>
        <v>OK</v>
      </c>
    </row>
    <row r="1297" spans="1:10" x14ac:dyDescent="0.2">
      <c r="A1297">
        <v>11296</v>
      </c>
      <c r="B1297" t="s">
        <v>10</v>
      </c>
      <c r="C1297" t="s">
        <v>11</v>
      </c>
      <c r="D1297" s="8">
        <v>13.67</v>
      </c>
      <c r="E1297">
        <v>8</v>
      </c>
      <c r="F1297" t="str">
        <f t="shared" si="80"/>
        <v>Premium</v>
      </c>
      <c r="G1297" s="3" cm="1">
        <f t="array" ref="G1297">_xlfn.XLOOKUP(C1297 &amp; F1297,
         [1]unilever_price_limits!A:A &amp; [1]unilever_price_limits!B:B,
         [1]unilever_price_limits!C:C)</f>
        <v>50</v>
      </c>
      <c r="H1297" s="8">
        <f t="shared" si="81"/>
        <v>20.504999999999999</v>
      </c>
      <c r="I1297" s="6">
        <f t="shared" si="82"/>
        <v>50</v>
      </c>
      <c r="J1297" t="str">
        <f t="shared" si="83"/>
        <v>OK</v>
      </c>
    </row>
    <row r="1298" spans="1:10" x14ac:dyDescent="0.2">
      <c r="A1298">
        <v>11297</v>
      </c>
      <c r="B1298" t="s">
        <v>5</v>
      </c>
      <c r="C1298" t="s">
        <v>11</v>
      </c>
      <c r="D1298" s="8">
        <v>12.16</v>
      </c>
      <c r="E1298">
        <v>4</v>
      </c>
      <c r="F1298" t="str">
        <f t="shared" si="80"/>
        <v>Standard</v>
      </c>
      <c r="G1298" s="3" cm="1">
        <f t="array" ref="G1298">_xlfn.XLOOKUP(C1298 &amp; F1298,
         [1]unilever_price_limits!A:A &amp; [1]unilever_price_limits!B:B,
         [1]unilever_price_limits!C:C)</f>
        <v>25</v>
      </c>
      <c r="H1298" s="8">
        <f t="shared" si="81"/>
        <v>15.2</v>
      </c>
      <c r="I1298" s="6">
        <f t="shared" si="82"/>
        <v>25</v>
      </c>
      <c r="J1298" t="str">
        <f t="shared" si="83"/>
        <v>OK</v>
      </c>
    </row>
    <row r="1299" spans="1:10" x14ac:dyDescent="0.2">
      <c r="A1299">
        <v>11298</v>
      </c>
      <c r="B1299" t="s">
        <v>8</v>
      </c>
      <c r="C1299" t="s">
        <v>11</v>
      </c>
      <c r="D1299" s="8">
        <v>1.45</v>
      </c>
      <c r="E1299">
        <v>8</v>
      </c>
      <c r="F1299" t="str">
        <f t="shared" si="80"/>
        <v>Premium</v>
      </c>
      <c r="G1299" s="3" cm="1">
        <f t="array" ref="G1299">_xlfn.XLOOKUP(C1299 &amp; F1299,
         [1]unilever_price_limits!A:A &amp; [1]unilever_price_limits!B:B,
         [1]unilever_price_limits!C:C)</f>
        <v>50</v>
      </c>
      <c r="H1299" s="8">
        <f t="shared" si="81"/>
        <v>2.1749999999999998</v>
      </c>
      <c r="I1299" s="6">
        <f t="shared" si="82"/>
        <v>50</v>
      </c>
      <c r="J1299" t="str">
        <f t="shared" si="83"/>
        <v>OK</v>
      </c>
    </row>
    <row r="1300" spans="1:10" x14ac:dyDescent="0.2">
      <c r="A1300">
        <v>11299</v>
      </c>
      <c r="B1300" t="s">
        <v>8</v>
      </c>
      <c r="C1300" t="s">
        <v>6</v>
      </c>
      <c r="D1300" s="8">
        <v>10.54</v>
      </c>
      <c r="E1300">
        <v>7</v>
      </c>
      <c r="F1300" t="str">
        <f t="shared" si="80"/>
        <v>Standard</v>
      </c>
      <c r="G1300" s="3" cm="1">
        <f t="array" ref="G1300">_xlfn.XLOOKUP(C1300 &amp; F1300,
         [1]unilever_price_limits!A:A &amp; [1]unilever_price_limits!B:B,
         [1]unilever_price_limits!C:C)</f>
        <v>28</v>
      </c>
      <c r="H1300" s="8">
        <f t="shared" si="81"/>
        <v>13.491199999999999</v>
      </c>
      <c r="I1300" s="6">
        <f t="shared" si="82"/>
        <v>28.000000000000004</v>
      </c>
      <c r="J1300" t="str">
        <f t="shared" si="83"/>
        <v>OK</v>
      </c>
    </row>
    <row r="1301" spans="1:10" x14ac:dyDescent="0.2">
      <c r="A1301">
        <v>11300</v>
      </c>
      <c r="B1301" t="s">
        <v>10</v>
      </c>
      <c r="C1301" t="s">
        <v>11</v>
      </c>
      <c r="D1301" s="8">
        <v>8.7899999999999991</v>
      </c>
      <c r="E1301">
        <v>2</v>
      </c>
      <c r="F1301" t="str">
        <f t="shared" si="80"/>
        <v>Value</v>
      </c>
      <c r="G1301" s="3" cm="1">
        <f t="array" ref="G1301">_xlfn.XLOOKUP(C1301 &amp; F1301,
         [1]unilever_price_limits!A:A &amp; [1]unilever_price_limits!B:B,
         [1]unilever_price_limits!C:C)</f>
        <v>10</v>
      </c>
      <c r="H1301" s="8">
        <f t="shared" si="81"/>
        <v>9.6690000000000005</v>
      </c>
      <c r="I1301" s="6">
        <f t="shared" si="82"/>
        <v>10.000000000000009</v>
      </c>
      <c r="J1301" t="str">
        <f t="shared" si="83"/>
        <v>OK</v>
      </c>
    </row>
    <row r="1302" spans="1:10" x14ac:dyDescent="0.2">
      <c r="A1302">
        <v>11301</v>
      </c>
      <c r="B1302" t="s">
        <v>5</v>
      </c>
      <c r="C1302" t="s">
        <v>6</v>
      </c>
      <c r="D1302" s="8">
        <v>13.66</v>
      </c>
      <c r="E1302">
        <v>5</v>
      </c>
      <c r="F1302" t="str">
        <f t="shared" si="80"/>
        <v>Standard</v>
      </c>
      <c r="G1302" s="3" cm="1">
        <f t="array" ref="G1302">_xlfn.XLOOKUP(C1302 &amp; F1302,
         [1]unilever_price_limits!A:A &amp; [1]unilever_price_limits!B:B,
         [1]unilever_price_limits!C:C)</f>
        <v>28</v>
      </c>
      <c r="H1302" s="8">
        <f t="shared" si="81"/>
        <v>17.4848</v>
      </c>
      <c r="I1302" s="6">
        <f t="shared" si="82"/>
        <v>28.000000000000004</v>
      </c>
      <c r="J1302" t="str">
        <f t="shared" si="83"/>
        <v>OK</v>
      </c>
    </row>
    <row r="1303" spans="1:10" x14ac:dyDescent="0.2">
      <c r="A1303">
        <v>11302</v>
      </c>
      <c r="B1303" t="s">
        <v>7</v>
      </c>
      <c r="C1303" t="s">
        <v>11</v>
      </c>
      <c r="D1303" s="8">
        <v>2.2799999999999998</v>
      </c>
      <c r="E1303">
        <v>10</v>
      </c>
      <c r="F1303" t="str">
        <f t="shared" si="80"/>
        <v>Premium</v>
      </c>
      <c r="G1303" s="3" cm="1">
        <f t="array" ref="G1303">_xlfn.XLOOKUP(C1303 &amp; F1303,
         [1]unilever_price_limits!A:A &amp; [1]unilever_price_limits!B:B,
         [1]unilever_price_limits!C:C)</f>
        <v>50</v>
      </c>
      <c r="H1303" s="8">
        <f t="shared" si="81"/>
        <v>3.42</v>
      </c>
      <c r="I1303" s="6">
        <f t="shared" si="82"/>
        <v>50</v>
      </c>
      <c r="J1303" t="str">
        <f t="shared" si="83"/>
        <v>OK</v>
      </c>
    </row>
    <row r="1304" spans="1:10" x14ac:dyDescent="0.2">
      <c r="A1304">
        <v>11303</v>
      </c>
      <c r="B1304" t="s">
        <v>5</v>
      </c>
      <c r="C1304" t="s">
        <v>11</v>
      </c>
      <c r="D1304" s="8">
        <v>8.24</v>
      </c>
      <c r="E1304">
        <v>4</v>
      </c>
      <c r="F1304" t="str">
        <f t="shared" si="80"/>
        <v>Standard</v>
      </c>
      <c r="G1304" s="3" cm="1">
        <f t="array" ref="G1304">_xlfn.XLOOKUP(C1304 &amp; F1304,
         [1]unilever_price_limits!A:A &amp; [1]unilever_price_limits!B:B,
         [1]unilever_price_limits!C:C)</f>
        <v>25</v>
      </c>
      <c r="H1304" s="8">
        <f t="shared" si="81"/>
        <v>10.3</v>
      </c>
      <c r="I1304" s="6">
        <f t="shared" si="82"/>
        <v>25</v>
      </c>
      <c r="J1304" t="str">
        <f t="shared" si="83"/>
        <v>OK</v>
      </c>
    </row>
    <row r="1305" spans="1:10" x14ac:dyDescent="0.2">
      <c r="A1305">
        <v>11304</v>
      </c>
      <c r="B1305" t="s">
        <v>10</v>
      </c>
      <c r="C1305" t="s">
        <v>9</v>
      </c>
      <c r="D1305" s="8">
        <v>13.25</v>
      </c>
      <c r="E1305">
        <v>3</v>
      </c>
      <c r="F1305" t="str">
        <f t="shared" si="80"/>
        <v>Value</v>
      </c>
      <c r="G1305" s="3" cm="1">
        <f t="array" ref="G1305">_xlfn.XLOOKUP(C1305 &amp; F1305,
         [1]unilever_price_limits!A:A &amp; [1]unilever_price_limits!B:B,
         [1]unilever_price_limits!C:C)</f>
        <v>15</v>
      </c>
      <c r="H1305" s="8">
        <f t="shared" si="81"/>
        <v>15.237499999999999</v>
      </c>
      <c r="I1305" s="6">
        <f t="shared" si="82"/>
        <v>14.999999999999991</v>
      </c>
      <c r="J1305" t="str">
        <f t="shared" si="83"/>
        <v>OK</v>
      </c>
    </row>
    <row r="1306" spans="1:10" x14ac:dyDescent="0.2">
      <c r="A1306">
        <v>11305</v>
      </c>
      <c r="B1306" t="s">
        <v>10</v>
      </c>
      <c r="C1306" t="s">
        <v>11</v>
      </c>
      <c r="D1306" s="8">
        <v>6.45</v>
      </c>
      <c r="E1306">
        <v>1</v>
      </c>
      <c r="F1306" t="str">
        <f t="shared" si="80"/>
        <v>Value</v>
      </c>
      <c r="G1306" s="3" cm="1">
        <f t="array" ref="G1306">_xlfn.XLOOKUP(C1306 &amp; F1306,
         [1]unilever_price_limits!A:A &amp; [1]unilever_price_limits!B:B,
         [1]unilever_price_limits!C:C)</f>
        <v>10</v>
      </c>
      <c r="H1306" s="8">
        <f t="shared" si="81"/>
        <v>7.0950000000000006</v>
      </c>
      <c r="I1306" s="6">
        <f t="shared" si="82"/>
        <v>10.000000000000009</v>
      </c>
      <c r="J1306" t="str">
        <f t="shared" si="83"/>
        <v>OK</v>
      </c>
    </row>
    <row r="1307" spans="1:10" x14ac:dyDescent="0.2">
      <c r="A1307">
        <v>11306</v>
      </c>
      <c r="B1307" t="s">
        <v>5</v>
      </c>
      <c r="C1307" t="s">
        <v>11</v>
      </c>
      <c r="D1307" s="8">
        <v>7.49</v>
      </c>
      <c r="E1307">
        <v>5</v>
      </c>
      <c r="F1307" t="str">
        <f t="shared" si="80"/>
        <v>Standard</v>
      </c>
      <c r="G1307" s="3" cm="1">
        <f t="array" ref="G1307">_xlfn.XLOOKUP(C1307 &amp; F1307,
         [1]unilever_price_limits!A:A &amp; [1]unilever_price_limits!B:B,
         [1]unilever_price_limits!C:C)</f>
        <v>25</v>
      </c>
      <c r="H1307" s="8">
        <f t="shared" si="81"/>
        <v>9.3625000000000007</v>
      </c>
      <c r="I1307" s="6">
        <f t="shared" si="82"/>
        <v>25</v>
      </c>
      <c r="J1307" t="str">
        <f t="shared" si="83"/>
        <v>OK</v>
      </c>
    </row>
    <row r="1308" spans="1:10" x14ac:dyDescent="0.2">
      <c r="A1308">
        <v>11307</v>
      </c>
      <c r="B1308" t="s">
        <v>7</v>
      </c>
      <c r="C1308" t="s">
        <v>9</v>
      </c>
      <c r="D1308" s="8">
        <v>1.52</v>
      </c>
      <c r="E1308">
        <v>10</v>
      </c>
      <c r="F1308" t="str">
        <f t="shared" si="80"/>
        <v>Premium</v>
      </c>
      <c r="G1308" s="3" cm="1">
        <f t="array" ref="G1308">_xlfn.XLOOKUP(C1308 &amp; F1308,
         [1]unilever_price_limits!A:A &amp; [1]unilever_price_limits!B:B,
         [1]unilever_price_limits!C:C)</f>
        <v>60</v>
      </c>
      <c r="H1308" s="8">
        <f t="shared" si="81"/>
        <v>2.4320000000000004</v>
      </c>
      <c r="I1308" s="6">
        <f t="shared" si="82"/>
        <v>60.000000000000028</v>
      </c>
      <c r="J1308" t="str">
        <f t="shared" si="83"/>
        <v>OK</v>
      </c>
    </row>
    <row r="1309" spans="1:10" x14ac:dyDescent="0.2">
      <c r="A1309">
        <v>11308</v>
      </c>
      <c r="B1309" t="s">
        <v>7</v>
      </c>
      <c r="C1309" t="s">
        <v>6</v>
      </c>
      <c r="D1309" s="8">
        <v>4.53</v>
      </c>
      <c r="E1309">
        <v>8</v>
      </c>
      <c r="F1309" t="str">
        <f t="shared" si="80"/>
        <v>Premium</v>
      </c>
      <c r="G1309" s="3" cm="1">
        <f t="array" ref="G1309">_xlfn.XLOOKUP(C1309 &amp; F1309,
         [1]unilever_price_limits!A:A &amp; [1]unilever_price_limits!B:B,
         [1]unilever_price_limits!C:C)</f>
        <v>55</v>
      </c>
      <c r="H1309" s="8">
        <f t="shared" si="81"/>
        <v>7.0215000000000005</v>
      </c>
      <c r="I1309" s="6">
        <f t="shared" si="82"/>
        <v>55.000000000000007</v>
      </c>
      <c r="J1309" t="str">
        <f t="shared" si="83"/>
        <v>OK</v>
      </c>
    </row>
    <row r="1310" spans="1:10" x14ac:dyDescent="0.2">
      <c r="A1310">
        <v>11309</v>
      </c>
      <c r="B1310" t="s">
        <v>8</v>
      </c>
      <c r="C1310" t="s">
        <v>6</v>
      </c>
      <c r="D1310" s="8">
        <v>5.21</v>
      </c>
      <c r="E1310">
        <v>9</v>
      </c>
      <c r="F1310" t="str">
        <f t="shared" si="80"/>
        <v>Premium</v>
      </c>
      <c r="G1310" s="3" cm="1">
        <f t="array" ref="G1310">_xlfn.XLOOKUP(C1310 &amp; F1310,
         [1]unilever_price_limits!A:A &amp; [1]unilever_price_limits!B:B,
         [1]unilever_price_limits!C:C)</f>
        <v>55</v>
      </c>
      <c r="H1310" s="8">
        <f t="shared" si="81"/>
        <v>8.0754999999999999</v>
      </c>
      <c r="I1310" s="6">
        <f t="shared" si="82"/>
        <v>55.000000000000007</v>
      </c>
      <c r="J1310" t="str">
        <f t="shared" si="83"/>
        <v>OK</v>
      </c>
    </row>
    <row r="1311" spans="1:10" x14ac:dyDescent="0.2">
      <c r="A1311">
        <v>11310</v>
      </c>
      <c r="B1311" t="s">
        <v>7</v>
      </c>
      <c r="C1311" t="s">
        <v>11</v>
      </c>
      <c r="D1311" s="8">
        <v>14.2</v>
      </c>
      <c r="E1311">
        <v>7</v>
      </c>
      <c r="F1311" t="str">
        <f t="shared" si="80"/>
        <v>Standard</v>
      </c>
      <c r="G1311" s="3" cm="1">
        <f t="array" ref="G1311">_xlfn.XLOOKUP(C1311 &amp; F1311,
         [1]unilever_price_limits!A:A &amp; [1]unilever_price_limits!B:B,
         [1]unilever_price_limits!C:C)</f>
        <v>25</v>
      </c>
      <c r="H1311" s="8">
        <f t="shared" si="81"/>
        <v>17.75</v>
      </c>
      <c r="I1311" s="6">
        <f t="shared" si="82"/>
        <v>25</v>
      </c>
      <c r="J1311" t="str">
        <f t="shared" si="83"/>
        <v>OK</v>
      </c>
    </row>
    <row r="1312" spans="1:10" x14ac:dyDescent="0.2">
      <c r="A1312">
        <v>11311</v>
      </c>
      <c r="B1312" t="s">
        <v>5</v>
      </c>
      <c r="C1312" t="s">
        <v>6</v>
      </c>
      <c r="D1312" s="8">
        <v>4.5999999999999996</v>
      </c>
      <c r="E1312">
        <v>1</v>
      </c>
      <c r="F1312" t="str">
        <f t="shared" si="80"/>
        <v>Value</v>
      </c>
      <c r="G1312" s="3" cm="1">
        <f t="array" ref="G1312">_xlfn.XLOOKUP(C1312 &amp; F1312,
         [1]unilever_price_limits!A:A &amp; [1]unilever_price_limits!B:B,
         [1]unilever_price_limits!C:C)</f>
        <v>12</v>
      </c>
      <c r="H1312" s="8">
        <f t="shared" si="81"/>
        <v>5.1520000000000001</v>
      </c>
      <c r="I1312" s="6">
        <f t="shared" si="82"/>
        <v>12.000000000000011</v>
      </c>
      <c r="J1312" t="str">
        <f t="shared" si="83"/>
        <v>OK</v>
      </c>
    </row>
    <row r="1313" spans="1:10" x14ac:dyDescent="0.2">
      <c r="A1313">
        <v>11312</v>
      </c>
      <c r="B1313" t="s">
        <v>10</v>
      </c>
      <c r="C1313" t="s">
        <v>11</v>
      </c>
      <c r="D1313" s="8">
        <v>7.18</v>
      </c>
      <c r="E1313">
        <v>1</v>
      </c>
      <c r="F1313" t="str">
        <f t="shared" si="80"/>
        <v>Value</v>
      </c>
      <c r="G1313" s="3" cm="1">
        <f t="array" ref="G1313">_xlfn.XLOOKUP(C1313 &amp; F1313,
         [1]unilever_price_limits!A:A &amp; [1]unilever_price_limits!B:B,
         [1]unilever_price_limits!C:C)</f>
        <v>10</v>
      </c>
      <c r="H1313" s="8">
        <f t="shared" si="81"/>
        <v>7.8980000000000006</v>
      </c>
      <c r="I1313" s="6">
        <f t="shared" si="82"/>
        <v>10.000000000000009</v>
      </c>
      <c r="J1313" t="str">
        <f t="shared" si="83"/>
        <v>OK</v>
      </c>
    </row>
    <row r="1314" spans="1:10" x14ac:dyDescent="0.2">
      <c r="A1314">
        <v>11313</v>
      </c>
      <c r="B1314" t="s">
        <v>8</v>
      </c>
      <c r="C1314" t="s">
        <v>9</v>
      </c>
      <c r="D1314" s="8">
        <v>10.23</v>
      </c>
      <c r="E1314">
        <v>1</v>
      </c>
      <c r="F1314" t="str">
        <f t="shared" si="80"/>
        <v>Value</v>
      </c>
      <c r="G1314" s="3" cm="1">
        <f t="array" ref="G1314">_xlfn.XLOOKUP(C1314 &amp; F1314,
         [1]unilever_price_limits!A:A &amp; [1]unilever_price_limits!B:B,
         [1]unilever_price_limits!C:C)</f>
        <v>15</v>
      </c>
      <c r="H1314" s="8">
        <f t="shared" si="81"/>
        <v>11.7645</v>
      </c>
      <c r="I1314" s="6">
        <f t="shared" si="82"/>
        <v>14.999999999999991</v>
      </c>
      <c r="J1314" t="str">
        <f t="shared" si="83"/>
        <v>OK</v>
      </c>
    </row>
    <row r="1315" spans="1:10" x14ac:dyDescent="0.2">
      <c r="A1315">
        <v>11314</v>
      </c>
      <c r="B1315" t="s">
        <v>8</v>
      </c>
      <c r="C1315" t="s">
        <v>9</v>
      </c>
      <c r="D1315" s="8">
        <v>2.85</v>
      </c>
      <c r="E1315">
        <v>2</v>
      </c>
      <c r="F1315" t="str">
        <f t="shared" si="80"/>
        <v>Value</v>
      </c>
      <c r="G1315" s="3" cm="1">
        <f t="array" ref="G1315">_xlfn.XLOOKUP(C1315 &amp; F1315,
         [1]unilever_price_limits!A:A &amp; [1]unilever_price_limits!B:B,
         [1]unilever_price_limits!C:C)</f>
        <v>15</v>
      </c>
      <c r="H1315" s="8">
        <f t="shared" si="81"/>
        <v>3.2774999999999999</v>
      </c>
      <c r="I1315" s="6">
        <f t="shared" si="82"/>
        <v>14.999999999999991</v>
      </c>
      <c r="J1315" t="str">
        <f t="shared" si="83"/>
        <v>OK</v>
      </c>
    </row>
    <row r="1316" spans="1:10" x14ac:dyDescent="0.2">
      <c r="A1316">
        <v>11315</v>
      </c>
      <c r="B1316" t="s">
        <v>10</v>
      </c>
      <c r="C1316" t="s">
        <v>11</v>
      </c>
      <c r="D1316" s="8">
        <v>7.55</v>
      </c>
      <c r="E1316">
        <v>1</v>
      </c>
      <c r="F1316" t="str">
        <f t="shared" si="80"/>
        <v>Value</v>
      </c>
      <c r="G1316" s="3" cm="1">
        <f t="array" ref="G1316">_xlfn.XLOOKUP(C1316 &amp; F1316,
         [1]unilever_price_limits!A:A &amp; [1]unilever_price_limits!B:B,
         [1]unilever_price_limits!C:C)</f>
        <v>10</v>
      </c>
      <c r="H1316" s="8">
        <f t="shared" si="81"/>
        <v>8.3049999999999997</v>
      </c>
      <c r="I1316" s="6">
        <f t="shared" si="82"/>
        <v>10.000000000000009</v>
      </c>
      <c r="J1316" t="str">
        <f t="shared" si="83"/>
        <v>OK</v>
      </c>
    </row>
    <row r="1317" spans="1:10" x14ac:dyDescent="0.2">
      <c r="A1317">
        <v>11316</v>
      </c>
      <c r="B1317" t="s">
        <v>7</v>
      </c>
      <c r="C1317" t="s">
        <v>9</v>
      </c>
      <c r="D1317" s="8">
        <v>11.21</v>
      </c>
      <c r="E1317">
        <v>4</v>
      </c>
      <c r="F1317" t="str">
        <f t="shared" si="80"/>
        <v>Standard</v>
      </c>
      <c r="G1317" s="3" cm="1">
        <f t="array" ref="G1317">_xlfn.XLOOKUP(C1317 &amp; F1317,
         [1]unilever_price_limits!A:A &amp; [1]unilever_price_limits!B:B,
         [1]unilever_price_limits!C:C)</f>
        <v>30</v>
      </c>
      <c r="H1317" s="8">
        <f t="shared" si="81"/>
        <v>14.573000000000002</v>
      </c>
      <c r="I1317" s="6">
        <f t="shared" si="82"/>
        <v>30.000000000000004</v>
      </c>
      <c r="J1317" t="str">
        <f t="shared" si="83"/>
        <v>OK</v>
      </c>
    </row>
    <row r="1318" spans="1:10" x14ac:dyDescent="0.2">
      <c r="A1318">
        <v>11317</v>
      </c>
      <c r="B1318" t="s">
        <v>10</v>
      </c>
      <c r="C1318" t="s">
        <v>9</v>
      </c>
      <c r="D1318" s="8">
        <v>13.07</v>
      </c>
      <c r="E1318">
        <v>10</v>
      </c>
      <c r="F1318" t="str">
        <f t="shared" si="80"/>
        <v>Premium</v>
      </c>
      <c r="G1318" s="3" cm="1">
        <f t="array" ref="G1318">_xlfn.XLOOKUP(C1318 &amp; F1318,
         [1]unilever_price_limits!A:A &amp; [1]unilever_price_limits!B:B,
         [1]unilever_price_limits!C:C)</f>
        <v>60</v>
      </c>
      <c r="H1318" s="8">
        <f t="shared" si="81"/>
        <v>20.912000000000003</v>
      </c>
      <c r="I1318" s="6">
        <f t="shared" si="82"/>
        <v>60.000000000000007</v>
      </c>
      <c r="J1318" t="str">
        <f t="shared" si="83"/>
        <v>OK</v>
      </c>
    </row>
    <row r="1319" spans="1:10" x14ac:dyDescent="0.2">
      <c r="A1319">
        <v>11318</v>
      </c>
      <c r="B1319" t="s">
        <v>7</v>
      </c>
      <c r="C1319" t="s">
        <v>11</v>
      </c>
      <c r="D1319" s="8">
        <v>9.58</v>
      </c>
      <c r="E1319">
        <v>9</v>
      </c>
      <c r="F1319" t="str">
        <f t="shared" si="80"/>
        <v>Premium</v>
      </c>
      <c r="G1319" s="3" cm="1">
        <f t="array" ref="G1319">_xlfn.XLOOKUP(C1319 &amp; F1319,
         [1]unilever_price_limits!A:A &amp; [1]unilever_price_limits!B:B,
         [1]unilever_price_limits!C:C)</f>
        <v>50</v>
      </c>
      <c r="H1319" s="8">
        <f t="shared" si="81"/>
        <v>14.370000000000001</v>
      </c>
      <c r="I1319" s="6">
        <f t="shared" si="82"/>
        <v>50</v>
      </c>
      <c r="J1319" t="str">
        <f t="shared" si="83"/>
        <v>OK</v>
      </c>
    </row>
    <row r="1320" spans="1:10" x14ac:dyDescent="0.2">
      <c r="A1320">
        <v>11319</v>
      </c>
      <c r="B1320" t="s">
        <v>10</v>
      </c>
      <c r="C1320" t="s">
        <v>11</v>
      </c>
      <c r="D1320" s="8">
        <v>10.199999999999999</v>
      </c>
      <c r="E1320">
        <v>4</v>
      </c>
      <c r="F1320" t="str">
        <f t="shared" si="80"/>
        <v>Standard</v>
      </c>
      <c r="G1320" s="3" cm="1">
        <f t="array" ref="G1320">_xlfn.XLOOKUP(C1320 &amp; F1320,
         [1]unilever_price_limits!A:A &amp; [1]unilever_price_limits!B:B,
         [1]unilever_price_limits!C:C)</f>
        <v>25</v>
      </c>
      <c r="H1320" s="8">
        <f t="shared" si="81"/>
        <v>12.75</v>
      </c>
      <c r="I1320" s="6">
        <f t="shared" si="82"/>
        <v>25</v>
      </c>
      <c r="J1320" t="str">
        <f t="shared" si="83"/>
        <v>OK</v>
      </c>
    </row>
    <row r="1321" spans="1:10" x14ac:dyDescent="0.2">
      <c r="A1321">
        <v>11320</v>
      </c>
      <c r="B1321" t="s">
        <v>5</v>
      </c>
      <c r="C1321" t="s">
        <v>9</v>
      </c>
      <c r="D1321" s="8">
        <v>2.33</v>
      </c>
      <c r="E1321">
        <v>4</v>
      </c>
      <c r="F1321" t="str">
        <f t="shared" si="80"/>
        <v>Standard</v>
      </c>
      <c r="G1321" s="3" cm="1">
        <f t="array" ref="G1321">_xlfn.XLOOKUP(C1321 &amp; F1321,
         [1]unilever_price_limits!A:A &amp; [1]unilever_price_limits!B:B,
         [1]unilever_price_limits!C:C)</f>
        <v>30</v>
      </c>
      <c r="H1321" s="8">
        <f t="shared" si="81"/>
        <v>3.0290000000000004</v>
      </c>
      <c r="I1321" s="6">
        <f t="shared" si="82"/>
        <v>30.000000000000004</v>
      </c>
      <c r="J1321" t="str">
        <f t="shared" si="83"/>
        <v>OK</v>
      </c>
    </row>
    <row r="1322" spans="1:10" x14ac:dyDescent="0.2">
      <c r="A1322">
        <v>11321</v>
      </c>
      <c r="B1322" t="s">
        <v>7</v>
      </c>
      <c r="C1322" t="s">
        <v>6</v>
      </c>
      <c r="D1322" s="8">
        <v>14.21</v>
      </c>
      <c r="E1322">
        <v>7</v>
      </c>
      <c r="F1322" t="str">
        <f t="shared" si="80"/>
        <v>Standard</v>
      </c>
      <c r="G1322" s="3" cm="1">
        <f t="array" ref="G1322">_xlfn.XLOOKUP(C1322 &amp; F1322,
         [1]unilever_price_limits!A:A &amp; [1]unilever_price_limits!B:B,
         [1]unilever_price_limits!C:C)</f>
        <v>28</v>
      </c>
      <c r="H1322" s="8">
        <f t="shared" si="81"/>
        <v>18.188800000000001</v>
      </c>
      <c r="I1322" s="6">
        <f t="shared" si="82"/>
        <v>28.000000000000004</v>
      </c>
      <c r="J1322" t="str">
        <f t="shared" si="83"/>
        <v>OK</v>
      </c>
    </row>
    <row r="1323" spans="1:10" x14ac:dyDescent="0.2">
      <c r="A1323">
        <v>11322</v>
      </c>
      <c r="B1323" t="s">
        <v>5</v>
      </c>
      <c r="C1323" t="s">
        <v>6</v>
      </c>
      <c r="D1323" s="8">
        <v>2.42</v>
      </c>
      <c r="E1323">
        <v>9</v>
      </c>
      <c r="F1323" t="str">
        <f t="shared" si="80"/>
        <v>Premium</v>
      </c>
      <c r="G1323" s="3" cm="1">
        <f t="array" ref="G1323">_xlfn.XLOOKUP(C1323 &amp; F1323,
         [1]unilever_price_limits!A:A &amp; [1]unilever_price_limits!B:B,
         [1]unilever_price_limits!C:C)</f>
        <v>55</v>
      </c>
      <c r="H1323" s="8">
        <f t="shared" si="81"/>
        <v>3.7509999999999999</v>
      </c>
      <c r="I1323" s="6">
        <f t="shared" si="82"/>
        <v>55.000000000000007</v>
      </c>
      <c r="J1323" t="str">
        <f t="shared" si="83"/>
        <v>OK</v>
      </c>
    </row>
    <row r="1324" spans="1:10" x14ac:dyDescent="0.2">
      <c r="A1324">
        <v>11323</v>
      </c>
      <c r="B1324" t="s">
        <v>8</v>
      </c>
      <c r="C1324" t="s">
        <v>11</v>
      </c>
      <c r="D1324" s="8">
        <v>11.73</v>
      </c>
      <c r="E1324">
        <v>7</v>
      </c>
      <c r="F1324" t="str">
        <f t="shared" si="80"/>
        <v>Standard</v>
      </c>
      <c r="G1324" s="3" cm="1">
        <f t="array" ref="G1324">_xlfn.XLOOKUP(C1324 &amp; F1324,
         [1]unilever_price_limits!A:A &amp; [1]unilever_price_limits!B:B,
         [1]unilever_price_limits!C:C)</f>
        <v>25</v>
      </c>
      <c r="H1324" s="8">
        <f t="shared" si="81"/>
        <v>14.662500000000001</v>
      </c>
      <c r="I1324" s="6">
        <f t="shared" si="82"/>
        <v>25</v>
      </c>
      <c r="J1324" t="str">
        <f t="shared" si="83"/>
        <v>OK</v>
      </c>
    </row>
    <row r="1325" spans="1:10" x14ac:dyDescent="0.2">
      <c r="A1325">
        <v>11324</v>
      </c>
      <c r="B1325" t="s">
        <v>10</v>
      </c>
      <c r="C1325" t="s">
        <v>11</v>
      </c>
      <c r="D1325" s="8">
        <v>4.34</v>
      </c>
      <c r="E1325">
        <v>1</v>
      </c>
      <c r="F1325" t="str">
        <f t="shared" si="80"/>
        <v>Value</v>
      </c>
      <c r="G1325" s="3" cm="1">
        <f t="array" ref="G1325">_xlfn.XLOOKUP(C1325 &amp; F1325,
         [1]unilever_price_limits!A:A &amp; [1]unilever_price_limits!B:B,
         [1]unilever_price_limits!C:C)</f>
        <v>10</v>
      </c>
      <c r="H1325" s="8">
        <f t="shared" si="81"/>
        <v>4.774</v>
      </c>
      <c r="I1325" s="6">
        <f t="shared" si="82"/>
        <v>10.000000000000009</v>
      </c>
      <c r="J1325" t="str">
        <f t="shared" si="83"/>
        <v>OK</v>
      </c>
    </row>
    <row r="1326" spans="1:10" x14ac:dyDescent="0.2">
      <c r="A1326">
        <v>11325</v>
      </c>
      <c r="B1326" t="s">
        <v>8</v>
      </c>
      <c r="C1326" t="s">
        <v>6</v>
      </c>
      <c r="D1326" s="8">
        <v>14.04</v>
      </c>
      <c r="E1326">
        <v>1</v>
      </c>
      <c r="F1326" t="str">
        <f t="shared" si="80"/>
        <v>Value</v>
      </c>
      <c r="G1326" s="3" cm="1">
        <f t="array" ref="G1326">_xlfn.XLOOKUP(C1326 &amp; F1326,
         [1]unilever_price_limits!A:A &amp; [1]unilever_price_limits!B:B,
         [1]unilever_price_limits!C:C)</f>
        <v>12</v>
      </c>
      <c r="H1326" s="8">
        <f t="shared" si="81"/>
        <v>15.7248</v>
      </c>
      <c r="I1326" s="6">
        <f t="shared" si="82"/>
        <v>12.000000000000011</v>
      </c>
      <c r="J1326" t="str">
        <f t="shared" si="83"/>
        <v>OK</v>
      </c>
    </row>
    <row r="1327" spans="1:10" x14ac:dyDescent="0.2">
      <c r="A1327">
        <v>11326</v>
      </c>
      <c r="B1327" t="s">
        <v>8</v>
      </c>
      <c r="C1327" t="s">
        <v>9</v>
      </c>
      <c r="D1327" s="8">
        <v>10.94</v>
      </c>
      <c r="E1327">
        <v>4</v>
      </c>
      <c r="F1327" t="str">
        <f t="shared" si="80"/>
        <v>Standard</v>
      </c>
      <c r="G1327" s="3" cm="1">
        <f t="array" ref="G1327">_xlfn.XLOOKUP(C1327 &amp; F1327,
         [1]unilever_price_limits!A:A &amp; [1]unilever_price_limits!B:B,
         [1]unilever_price_limits!C:C)</f>
        <v>30</v>
      </c>
      <c r="H1327" s="8">
        <f t="shared" si="81"/>
        <v>14.222</v>
      </c>
      <c r="I1327" s="6">
        <f t="shared" si="82"/>
        <v>30.000000000000004</v>
      </c>
      <c r="J1327" t="str">
        <f t="shared" si="83"/>
        <v>OK</v>
      </c>
    </row>
    <row r="1328" spans="1:10" x14ac:dyDescent="0.2">
      <c r="A1328">
        <v>11327</v>
      </c>
      <c r="B1328" t="s">
        <v>8</v>
      </c>
      <c r="C1328" t="s">
        <v>6</v>
      </c>
      <c r="D1328" s="8">
        <v>11.43</v>
      </c>
      <c r="E1328">
        <v>4</v>
      </c>
      <c r="F1328" t="str">
        <f t="shared" si="80"/>
        <v>Standard</v>
      </c>
      <c r="G1328" s="3" cm="1">
        <f t="array" ref="G1328">_xlfn.XLOOKUP(C1328 &amp; F1328,
         [1]unilever_price_limits!A:A &amp; [1]unilever_price_limits!B:B,
         [1]unilever_price_limits!C:C)</f>
        <v>28</v>
      </c>
      <c r="H1328" s="8">
        <f t="shared" si="81"/>
        <v>14.6304</v>
      </c>
      <c r="I1328" s="6">
        <f t="shared" si="82"/>
        <v>28.000000000000004</v>
      </c>
      <c r="J1328" t="str">
        <f t="shared" si="83"/>
        <v>OK</v>
      </c>
    </row>
    <row r="1329" spans="1:10" x14ac:dyDescent="0.2">
      <c r="A1329">
        <v>11328</v>
      </c>
      <c r="B1329" t="s">
        <v>8</v>
      </c>
      <c r="C1329" t="s">
        <v>6</v>
      </c>
      <c r="D1329" s="8">
        <v>3.68</v>
      </c>
      <c r="E1329">
        <v>1</v>
      </c>
      <c r="F1329" t="str">
        <f t="shared" si="80"/>
        <v>Value</v>
      </c>
      <c r="G1329" s="3" cm="1">
        <f t="array" ref="G1329">_xlfn.XLOOKUP(C1329 &amp; F1329,
         [1]unilever_price_limits!A:A &amp; [1]unilever_price_limits!B:B,
         [1]unilever_price_limits!C:C)</f>
        <v>12</v>
      </c>
      <c r="H1329" s="8">
        <f t="shared" si="81"/>
        <v>4.1216000000000008</v>
      </c>
      <c r="I1329" s="6">
        <f t="shared" si="82"/>
        <v>12.000000000000011</v>
      </c>
      <c r="J1329" t="str">
        <f t="shared" si="83"/>
        <v>OK</v>
      </c>
    </row>
    <row r="1330" spans="1:10" x14ac:dyDescent="0.2">
      <c r="A1330">
        <v>11329</v>
      </c>
      <c r="B1330" t="s">
        <v>10</v>
      </c>
      <c r="C1330" t="s">
        <v>6</v>
      </c>
      <c r="D1330" s="8">
        <v>6.92</v>
      </c>
      <c r="E1330">
        <v>6</v>
      </c>
      <c r="F1330" t="str">
        <f t="shared" si="80"/>
        <v>Standard</v>
      </c>
      <c r="G1330" s="3" cm="1">
        <f t="array" ref="G1330">_xlfn.XLOOKUP(C1330 &amp; F1330,
         [1]unilever_price_limits!A:A &amp; [1]unilever_price_limits!B:B,
         [1]unilever_price_limits!C:C)</f>
        <v>28</v>
      </c>
      <c r="H1330" s="8">
        <f t="shared" si="81"/>
        <v>8.8575999999999997</v>
      </c>
      <c r="I1330" s="6">
        <f t="shared" si="82"/>
        <v>28.000000000000004</v>
      </c>
      <c r="J1330" t="str">
        <f t="shared" si="83"/>
        <v>OK</v>
      </c>
    </row>
    <row r="1331" spans="1:10" x14ac:dyDescent="0.2">
      <c r="A1331">
        <v>11330</v>
      </c>
      <c r="B1331" t="s">
        <v>8</v>
      </c>
      <c r="C1331" t="s">
        <v>6</v>
      </c>
      <c r="D1331" s="8">
        <v>9.4600000000000009</v>
      </c>
      <c r="E1331">
        <v>10</v>
      </c>
      <c r="F1331" t="str">
        <f t="shared" si="80"/>
        <v>Premium</v>
      </c>
      <c r="G1331" s="3" cm="1">
        <f t="array" ref="G1331">_xlfn.XLOOKUP(C1331 &amp; F1331,
         [1]unilever_price_limits!A:A &amp; [1]unilever_price_limits!B:B,
         [1]unilever_price_limits!C:C)</f>
        <v>55</v>
      </c>
      <c r="H1331" s="8">
        <f t="shared" si="81"/>
        <v>14.663000000000002</v>
      </c>
      <c r="I1331" s="6">
        <f t="shared" si="82"/>
        <v>55.000000000000007</v>
      </c>
      <c r="J1331" t="str">
        <f t="shared" si="83"/>
        <v>OK</v>
      </c>
    </row>
    <row r="1332" spans="1:10" x14ac:dyDescent="0.2">
      <c r="A1332">
        <v>11331</v>
      </c>
      <c r="B1332" t="s">
        <v>10</v>
      </c>
      <c r="C1332" t="s">
        <v>11</v>
      </c>
      <c r="D1332" s="8">
        <v>11.66</v>
      </c>
      <c r="E1332">
        <v>2</v>
      </c>
      <c r="F1332" t="str">
        <f t="shared" si="80"/>
        <v>Value</v>
      </c>
      <c r="G1332" s="3" cm="1">
        <f t="array" ref="G1332">_xlfn.XLOOKUP(C1332 &amp; F1332,
         [1]unilever_price_limits!A:A &amp; [1]unilever_price_limits!B:B,
         [1]unilever_price_limits!C:C)</f>
        <v>10</v>
      </c>
      <c r="H1332" s="8">
        <f t="shared" si="81"/>
        <v>12.826000000000001</v>
      </c>
      <c r="I1332" s="6">
        <f t="shared" si="82"/>
        <v>10.000000000000009</v>
      </c>
      <c r="J1332" t="str">
        <f t="shared" si="83"/>
        <v>OK</v>
      </c>
    </row>
    <row r="1333" spans="1:10" x14ac:dyDescent="0.2">
      <c r="A1333">
        <v>11332</v>
      </c>
      <c r="B1333" t="s">
        <v>10</v>
      </c>
      <c r="C1333" t="s">
        <v>11</v>
      </c>
      <c r="D1333" s="8">
        <v>2.0099999999999998</v>
      </c>
      <c r="E1333">
        <v>5</v>
      </c>
      <c r="F1333" t="str">
        <f t="shared" si="80"/>
        <v>Standard</v>
      </c>
      <c r="G1333" s="3" cm="1">
        <f t="array" ref="G1333">_xlfn.XLOOKUP(C1333 &amp; F1333,
         [1]unilever_price_limits!A:A &amp; [1]unilever_price_limits!B:B,
         [1]unilever_price_limits!C:C)</f>
        <v>25</v>
      </c>
      <c r="H1333" s="8">
        <f t="shared" si="81"/>
        <v>2.5124999999999997</v>
      </c>
      <c r="I1333" s="6">
        <f t="shared" si="82"/>
        <v>25</v>
      </c>
      <c r="J1333" t="str">
        <f t="shared" si="83"/>
        <v>OK</v>
      </c>
    </row>
    <row r="1334" spans="1:10" x14ac:dyDescent="0.2">
      <c r="A1334">
        <v>11333</v>
      </c>
      <c r="B1334" t="s">
        <v>5</v>
      </c>
      <c r="C1334" t="s">
        <v>9</v>
      </c>
      <c r="D1334" s="8">
        <v>14.45</v>
      </c>
      <c r="E1334">
        <v>8</v>
      </c>
      <c r="F1334" t="str">
        <f t="shared" si="80"/>
        <v>Premium</v>
      </c>
      <c r="G1334" s="3" cm="1">
        <f t="array" ref="G1334">_xlfn.XLOOKUP(C1334 &amp; F1334,
         [1]unilever_price_limits!A:A &amp; [1]unilever_price_limits!B:B,
         [1]unilever_price_limits!C:C)</f>
        <v>60</v>
      </c>
      <c r="H1334" s="8">
        <f t="shared" si="81"/>
        <v>23.12</v>
      </c>
      <c r="I1334" s="6">
        <f t="shared" si="82"/>
        <v>60.000000000000007</v>
      </c>
      <c r="J1334" t="str">
        <f t="shared" si="83"/>
        <v>OK</v>
      </c>
    </row>
    <row r="1335" spans="1:10" x14ac:dyDescent="0.2">
      <c r="A1335">
        <v>11334</v>
      </c>
      <c r="B1335" t="s">
        <v>7</v>
      </c>
      <c r="C1335" t="s">
        <v>9</v>
      </c>
      <c r="D1335" s="8">
        <v>13.41</v>
      </c>
      <c r="E1335">
        <v>3</v>
      </c>
      <c r="F1335" t="str">
        <f t="shared" si="80"/>
        <v>Value</v>
      </c>
      <c r="G1335" s="3" cm="1">
        <f t="array" ref="G1335">_xlfn.XLOOKUP(C1335 &amp; F1335,
         [1]unilever_price_limits!A:A &amp; [1]unilever_price_limits!B:B,
         [1]unilever_price_limits!C:C)</f>
        <v>15</v>
      </c>
      <c r="H1335" s="8">
        <f t="shared" si="81"/>
        <v>15.421499999999998</v>
      </c>
      <c r="I1335" s="6">
        <f t="shared" si="82"/>
        <v>14.999999999999991</v>
      </c>
      <c r="J1335" t="str">
        <f t="shared" si="83"/>
        <v>OK</v>
      </c>
    </row>
    <row r="1336" spans="1:10" x14ac:dyDescent="0.2">
      <c r="A1336">
        <v>11335</v>
      </c>
      <c r="B1336" t="s">
        <v>7</v>
      </c>
      <c r="C1336" t="s">
        <v>9</v>
      </c>
      <c r="D1336" s="8">
        <v>4.42</v>
      </c>
      <c r="E1336">
        <v>9</v>
      </c>
      <c r="F1336" t="str">
        <f t="shared" si="80"/>
        <v>Premium</v>
      </c>
      <c r="G1336" s="3" cm="1">
        <f t="array" ref="G1336">_xlfn.XLOOKUP(C1336 &amp; F1336,
         [1]unilever_price_limits!A:A &amp; [1]unilever_price_limits!B:B,
         [1]unilever_price_limits!C:C)</f>
        <v>60</v>
      </c>
      <c r="H1336" s="8">
        <f t="shared" si="81"/>
        <v>7.0720000000000001</v>
      </c>
      <c r="I1336" s="6">
        <f t="shared" si="82"/>
        <v>60.000000000000007</v>
      </c>
      <c r="J1336" t="str">
        <f t="shared" si="83"/>
        <v>OK</v>
      </c>
    </row>
    <row r="1337" spans="1:10" x14ac:dyDescent="0.2">
      <c r="A1337">
        <v>11336</v>
      </c>
      <c r="B1337" t="s">
        <v>10</v>
      </c>
      <c r="C1337" t="s">
        <v>9</v>
      </c>
      <c r="D1337" s="8">
        <v>12.43</v>
      </c>
      <c r="E1337">
        <v>7</v>
      </c>
      <c r="F1337" t="str">
        <f t="shared" si="80"/>
        <v>Standard</v>
      </c>
      <c r="G1337" s="3" cm="1">
        <f t="array" ref="G1337">_xlfn.XLOOKUP(C1337 &amp; F1337,
         [1]unilever_price_limits!A:A &amp; [1]unilever_price_limits!B:B,
         [1]unilever_price_limits!C:C)</f>
        <v>30</v>
      </c>
      <c r="H1337" s="8">
        <f t="shared" si="81"/>
        <v>16.158999999999999</v>
      </c>
      <c r="I1337" s="6">
        <f t="shared" si="82"/>
        <v>30.000000000000004</v>
      </c>
      <c r="J1337" t="str">
        <f t="shared" si="83"/>
        <v>OK</v>
      </c>
    </row>
    <row r="1338" spans="1:10" x14ac:dyDescent="0.2">
      <c r="A1338">
        <v>11337</v>
      </c>
      <c r="B1338" t="s">
        <v>5</v>
      </c>
      <c r="C1338" t="s">
        <v>6</v>
      </c>
      <c r="D1338" s="8">
        <v>8.02</v>
      </c>
      <c r="E1338">
        <v>9</v>
      </c>
      <c r="F1338" t="str">
        <f t="shared" si="80"/>
        <v>Premium</v>
      </c>
      <c r="G1338" s="3" cm="1">
        <f t="array" ref="G1338">_xlfn.XLOOKUP(C1338 &amp; F1338,
         [1]unilever_price_limits!A:A &amp; [1]unilever_price_limits!B:B,
         [1]unilever_price_limits!C:C)</f>
        <v>55</v>
      </c>
      <c r="H1338" s="8">
        <f t="shared" si="81"/>
        <v>12.430999999999999</v>
      </c>
      <c r="I1338" s="6">
        <f t="shared" si="82"/>
        <v>55.000000000000007</v>
      </c>
      <c r="J1338" t="str">
        <f t="shared" si="83"/>
        <v>OK</v>
      </c>
    </row>
    <row r="1339" spans="1:10" x14ac:dyDescent="0.2">
      <c r="A1339">
        <v>11338</v>
      </c>
      <c r="B1339" t="s">
        <v>10</v>
      </c>
      <c r="C1339" t="s">
        <v>11</v>
      </c>
      <c r="D1339" s="8">
        <v>7.2</v>
      </c>
      <c r="E1339">
        <v>1</v>
      </c>
      <c r="F1339" t="str">
        <f t="shared" si="80"/>
        <v>Value</v>
      </c>
      <c r="G1339" s="3" cm="1">
        <f t="array" ref="G1339">_xlfn.XLOOKUP(C1339 &amp; F1339,
         [1]unilever_price_limits!A:A &amp; [1]unilever_price_limits!B:B,
         [1]unilever_price_limits!C:C)</f>
        <v>10</v>
      </c>
      <c r="H1339" s="8">
        <f t="shared" si="81"/>
        <v>7.9200000000000008</v>
      </c>
      <c r="I1339" s="6">
        <f t="shared" si="82"/>
        <v>10.000000000000009</v>
      </c>
      <c r="J1339" t="str">
        <f t="shared" si="83"/>
        <v>OK</v>
      </c>
    </row>
    <row r="1340" spans="1:10" x14ac:dyDescent="0.2">
      <c r="A1340">
        <v>11339</v>
      </c>
      <c r="B1340" t="s">
        <v>10</v>
      </c>
      <c r="C1340" t="s">
        <v>11</v>
      </c>
      <c r="D1340" s="8">
        <v>5.0599999999999996</v>
      </c>
      <c r="E1340">
        <v>5</v>
      </c>
      <c r="F1340" t="str">
        <f t="shared" si="80"/>
        <v>Standard</v>
      </c>
      <c r="G1340" s="3" cm="1">
        <f t="array" ref="G1340">_xlfn.XLOOKUP(C1340 &amp; F1340,
         [1]unilever_price_limits!A:A &amp; [1]unilever_price_limits!B:B,
         [1]unilever_price_limits!C:C)</f>
        <v>25</v>
      </c>
      <c r="H1340" s="8">
        <f t="shared" si="81"/>
        <v>6.3249999999999993</v>
      </c>
      <c r="I1340" s="6">
        <f t="shared" si="82"/>
        <v>25</v>
      </c>
      <c r="J1340" t="str">
        <f t="shared" si="83"/>
        <v>OK</v>
      </c>
    </row>
    <row r="1341" spans="1:10" x14ac:dyDescent="0.2">
      <c r="A1341">
        <v>11340</v>
      </c>
      <c r="B1341" t="s">
        <v>10</v>
      </c>
      <c r="C1341" t="s">
        <v>9</v>
      </c>
      <c r="D1341" s="8">
        <v>8.92</v>
      </c>
      <c r="E1341">
        <v>3</v>
      </c>
      <c r="F1341" t="str">
        <f t="shared" si="80"/>
        <v>Value</v>
      </c>
      <c r="G1341" s="3" cm="1">
        <f t="array" ref="G1341">_xlfn.XLOOKUP(C1341 &amp; F1341,
         [1]unilever_price_limits!A:A &amp; [1]unilever_price_limits!B:B,
         [1]unilever_price_limits!C:C)</f>
        <v>15</v>
      </c>
      <c r="H1341" s="8">
        <f t="shared" si="81"/>
        <v>10.257999999999999</v>
      </c>
      <c r="I1341" s="6">
        <f t="shared" si="82"/>
        <v>14.999999999999991</v>
      </c>
      <c r="J1341" t="str">
        <f t="shared" si="83"/>
        <v>OK</v>
      </c>
    </row>
    <row r="1342" spans="1:10" x14ac:dyDescent="0.2">
      <c r="A1342">
        <v>11341</v>
      </c>
      <c r="B1342" t="s">
        <v>5</v>
      </c>
      <c r="C1342" t="s">
        <v>9</v>
      </c>
      <c r="D1342" s="8">
        <v>11.08</v>
      </c>
      <c r="E1342">
        <v>4</v>
      </c>
      <c r="F1342" t="str">
        <f t="shared" si="80"/>
        <v>Standard</v>
      </c>
      <c r="G1342" s="3" cm="1">
        <f t="array" ref="G1342">_xlfn.XLOOKUP(C1342 &amp; F1342,
         [1]unilever_price_limits!A:A &amp; [1]unilever_price_limits!B:B,
         [1]unilever_price_limits!C:C)</f>
        <v>30</v>
      </c>
      <c r="H1342" s="8">
        <f t="shared" si="81"/>
        <v>14.404</v>
      </c>
      <c r="I1342" s="6">
        <f t="shared" si="82"/>
        <v>30.000000000000004</v>
      </c>
      <c r="J1342" t="str">
        <f t="shared" si="83"/>
        <v>OK</v>
      </c>
    </row>
    <row r="1343" spans="1:10" x14ac:dyDescent="0.2">
      <c r="A1343">
        <v>11342</v>
      </c>
      <c r="B1343" t="s">
        <v>7</v>
      </c>
      <c r="C1343" t="s">
        <v>6</v>
      </c>
      <c r="D1343" s="8">
        <v>6.46</v>
      </c>
      <c r="E1343">
        <v>4</v>
      </c>
      <c r="F1343" t="str">
        <f t="shared" si="80"/>
        <v>Standard</v>
      </c>
      <c r="G1343" s="3" cm="1">
        <f t="array" ref="G1343">_xlfn.XLOOKUP(C1343 &amp; F1343,
         [1]unilever_price_limits!A:A &amp; [1]unilever_price_limits!B:B,
         [1]unilever_price_limits!C:C)</f>
        <v>28</v>
      </c>
      <c r="H1343" s="8">
        <f t="shared" si="81"/>
        <v>8.2688000000000006</v>
      </c>
      <c r="I1343" s="6">
        <f t="shared" si="82"/>
        <v>28.000000000000004</v>
      </c>
      <c r="J1343" t="str">
        <f t="shared" si="83"/>
        <v>OK</v>
      </c>
    </row>
    <row r="1344" spans="1:10" x14ac:dyDescent="0.2">
      <c r="A1344">
        <v>11343</v>
      </c>
      <c r="B1344" t="s">
        <v>5</v>
      </c>
      <c r="C1344" t="s">
        <v>6</v>
      </c>
      <c r="D1344" s="8">
        <v>9.6199999999999992</v>
      </c>
      <c r="E1344">
        <v>7</v>
      </c>
      <c r="F1344" t="str">
        <f t="shared" si="80"/>
        <v>Standard</v>
      </c>
      <c r="G1344" s="3" cm="1">
        <f t="array" ref="G1344">_xlfn.XLOOKUP(C1344 &amp; F1344,
         [1]unilever_price_limits!A:A &amp; [1]unilever_price_limits!B:B,
         [1]unilever_price_limits!C:C)</f>
        <v>28</v>
      </c>
      <c r="H1344" s="8">
        <f t="shared" si="81"/>
        <v>12.313599999999999</v>
      </c>
      <c r="I1344" s="6">
        <f t="shared" si="82"/>
        <v>28.000000000000004</v>
      </c>
      <c r="J1344" t="str">
        <f t="shared" si="83"/>
        <v>OK</v>
      </c>
    </row>
    <row r="1345" spans="1:10" x14ac:dyDescent="0.2">
      <c r="A1345">
        <v>11344</v>
      </c>
      <c r="B1345" t="s">
        <v>8</v>
      </c>
      <c r="C1345" t="s">
        <v>9</v>
      </c>
      <c r="D1345" s="8">
        <v>10.64</v>
      </c>
      <c r="E1345">
        <v>10</v>
      </c>
      <c r="F1345" t="str">
        <f t="shared" si="80"/>
        <v>Premium</v>
      </c>
      <c r="G1345" s="3" cm="1">
        <f t="array" ref="G1345">_xlfn.XLOOKUP(C1345 &amp; F1345,
         [1]unilever_price_limits!A:A &amp; [1]unilever_price_limits!B:B,
         [1]unilever_price_limits!C:C)</f>
        <v>60</v>
      </c>
      <c r="H1345" s="8">
        <f t="shared" si="81"/>
        <v>17.024000000000001</v>
      </c>
      <c r="I1345" s="6">
        <f t="shared" si="82"/>
        <v>60.000000000000007</v>
      </c>
      <c r="J1345" t="str">
        <f t="shared" si="83"/>
        <v>OK</v>
      </c>
    </row>
    <row r="1346" spans="1:10" x14ac:dyDescent="0.2">
      <c r="A1346">
        <v>11345</v>
      </c>
      <c r="B1346" t="s">
        <v>5</v>
      </c>
      <c r="C1346" t="s">
        <v>11</v>
      </c>
      <c r="D1346" s="8">
        <v>10.81</v>
      </c>
      <c r="E1346">
        <v>8</v>
      </c>
      <c r="F1346" t="str">
        <f t="shared" si="80"/>
        <v>Premium</v>
      </c>
      <c r="G1346" s="3" cm="1">
        <f t="array" ref="G1346">_xlfn.XLOOKUP(C1346 &amp; F1346,
         [1]unilever_price_limits!A:A &amp; [1]unilever_price_limits!B:B,
         [1]unilever_price_limits!C:C)</f>
        <v>50</v>
      </c>
      <c r="H1346" s="8">
        <f t="shared" si="81"/>
        <v>16.215</v>
      </c>
      <c r="I1346" s="6">
        <f t="shared" si="82"/>
        <v>50</v>
      </c>
      <c r="J1346" t="str">
        <f t="shared" si="83"/>
        <v>OK</v>
      </c>
    </row>
    <row r="1347" spans="1:10" x14ac:dyDescent="0.2">
      <c r="A1347">
        <v>11346</v>
      </c>
      <c r="B1347" t="s">
        <v>5</v>
      </c>
      <c r="C1347" t="s">
        <v>11</v>
      </c>
      <c r="D1347" s="8">
        <v>1.25</v>
      </c>
      <c r="E1347">
        <v>10</v>
      </c>
      <c r="F1347" t="str">
        <f t="shared" ref="F1347:F1410" si="84">IF(E1347&lt;=3,"Value",
 IF(E1347&lt;=7,"Standard","Premium"))</f>
        <v>Premium</v>
      </c>
      <c r="G1347" s="3" cm="1">
        <f t="array" ref="G1347">_xlfn.XLOOKUP(C1347 &amp; F1347,
         [1]unilever_price_limits!A:A &amp; [1]unilever_price_limits!B:B,
         [1]unilever_price_limits!C:C)</f>
        <v>50</v>
      </c>
      <c r="H1347" s="8">
        <f t="shared" ref="H1347:H1410" si="85">D1347 * (1 + G1347/100)</f>
        <v>1.875</v>
      </c>
      <c r="I1347" s="6">
        <f t="shared" ref="I1347:I1410" si="86">(H1347 / D1347 - 1) * 100</f>
        <v>50</v>
      </c>
      <c r="J1347" t="str">
        <f t="shared" ref="J1347:J1410" si="87">IF(I1346&gt; G1346, "⚠ Exceeds Limit", "OK")</f>
        <v>OK</v>
      </c>
    </row>
    <row r="1348" spans="1:10" x14ac:dyDescent="0.2">
      <c r="A1348">
        <v>11347</v>
      </c>
      <c r="B1348" t="s">
        <v>5</v>
      </c>
      <c r="C1348" t="s">
        <v>11</v>
      </c>
      <c r="D1348" s="8">
        <v>12.97</v>
      </c>
      <c r="E1348">
        <v>5</v>
      </c>
      <c r="F1348" t="str">
        <f t="shared" si="84"/>
        <v>Standard</v>
      </c>
      <c r="G1348" s="3" cm="1">
        <f t="array" ref="G1348">_xlfn.XLOOKUP(C1348 &amp; F1348,
         [1]unilever_price_limits!A:A &amp; [1]unilever_price_limits!B:B,
         [1]unilever_price_limits!C:C)</f>
        <v>25</v>
      </c>
      <c r="H1348" s="8">
        <f t="shared" si="85"/>
        <v>16.212500000000002</v>
      </c>
      <c r="I1348" s="6">
        <f t="shared" si="86"/>
        <v>25</v>
      </c>
      <c r="J1348" t="str">
        <f t="shared" si="87"/>
        <v>OK</v>
      </c>
    </row>
    <row r="1349" spans="1:10" x14ac:dyDescent="0.2">
      <c r="A1349">
        <v>11348</v>
      </c>
      <c r="B1349" t="s">
        <v>5</v>
      </c>
      <c r="C1349" t="s">
        <v>9</v>
      </c>
      <c r="D1349" s="8">
        <v>7.14</v>
      </c>
      <c r="E1349">
        <v>10</v>
      </c>
      <c r="F1349" t="str">
        <f t="shared" si="84"/>
        <v>Premium</v>
      </c>
      <c r="G1349" s="3" cm="1">
        <f t="array" ref="G1349">_xlfn.XLOOKUP(C1349 &amp; F1349,
         [1]unilever_price_limits!A:A &amp; [1]unilever_price_limits!B:B,
         [1]unilever_price_limits!C:C)</f>
        <v>60</v>
      </c>
      <c r="H1349" s="8">
        <f t="shared" si="85"/>
        <v>11.423999999999999</v>
      </c>
      <c r="I1349" s="6">
        <f t="shared" si="86"/>
        <v>60.000000000000007</v>
      </c>
      <c r="J1349" t="str">
        <f t="shared" si="87"/>
        <v>OK</v>
      </c>
    </row>
    <row r="1350" spans="1:10" x14ac:dyDescent="0.2">
      <c r="A1350">
        <v>11349</v>
      </c>
      <c r="B1350" t="s">
        <v>7</v>
      </c>
      <c r="C1350" t="s">
        <v>11</v>
      </c>
      <c r="D1350" s="8">
        <v>4.3099999999999996</v>
      </c>
      <c r="E1350">
        <v>7</v>
      </c>
      <c r="F1350" t="str">
        <f t="shared" si="84"/>
        <v>Standard</v>
      </c>
      <c r="G1350" s="3" cm="1">
        <f t="array" ref="G1350">_xlfn.XLOOKUP(C1350 &amp; F1350,
         [1]unilever_price_limits!A:A &amp; [1]unilever_price_limits!B:B,
         [1]unilever_price_limits!C:C)</f>
        <v>25</v>
      </c>
      <c r="H1350" s="8">
        <f t="shared" si="85"/>
        <v>5.3874999999999993</v>
      </c>
      <c r="I1350" s="6">
        <f t="shared" si="86"/>
        <v>25</v>
      </c>
      <c r="J1350" t="str">
        <f t="shared" si="87"/>
        <v>OK</v>
      </c>
    </row>
    <row r="1351" spans="1:10" x14ac:dyDescent="0.2">
      <c r="A1351">
        <v>11350</v>
      </c>
      <c r="B1351" t="s">
        <v>8</v>
      </c>
      <c r="C1351" t="s">
        <v>6</v>
      </c>
      <c r="D1351" s="8">
        <v>4.01</v>
      </c>
      <c r="E1351">
        <v>3</v>
      </c>
      <c r="F1351" t="str">
        <f t="shared" si="84"/>
        <v>Value</v>
      </c>
      <c r="G1351" s="3" cm="1">
        <f t="array" ref="G1351">_xlfn.XLOOKUP(C1351 &amp; F1351,
         [1]unilever_price_limits!A:A &amp; [1]unilever_price_limits!B:B,
         [1]unilever_price_limits!C:C)</f>
        <v>12</v>
      </c>
      <c r="H1351" s="8">
        <f t="shared" si="85"/>
        <v>4.4912000000000001</v>
      </c>
      <c r="I1351" s="6">
        <f t="shared" si="86"/>
        <v>12.000000000000011</v>
      </c>
      <c r="J1351" t="str">
        <f t="shared" si="87"/>
        <v>OK</v>
      </c>
    </row>
    <row r="1352" spans="1:10" x14ac:dyDescent="0.2">
      <c r="A1352">
        <v>11351</v>
      </c>
      <c r="B1352" t="s">
        <v>7</v>
      </c>
      <c r="C1352" t="s">
        <v>6</v>
      </c>
      <c r="D1352" s="8">
        <v>7.5</v>
      </c>
      <c r="E1352">
        <v>3</v>
      </c>
      <c r="F1352" t="str">
        <f t="shared" si="84"/>
        <v>Value</v>
      </c>
      <c r="G1352" s="3" cm="1">
        <f t="array" ref="G1352">_xlfn.XLOOKUP(C1352 &amp; F1352,
         [1]unilever_price_limits!A:A &amp; [1]unilever_price_limits!B:B,
         [1]unilever_price_limits!C:C)</f>
        <v>12</v>
      </c>
      <c r="H1352" s="8">
        <f t="shared" si="85"/>
        <v>8.4</v>
      </c>
      <c r="I1352" s="6">
        <f t="shared" si="86"/>
        <v>12.000000000000011</v>
      </c>
      <c r="J1352" t="str">
        <f t="shared" si="87"/>
        <v>OK</v>
      </c>
    </row>
    <row r="1353" spans="1:10" x14ac:dyDescent="0.2">
      <c r="A1353">
        <v>11352</v>
      </c>
      <c r="B1353" t="s">
        <v>7</v>
      </c>
      <c r="C1353" t="s">
        <v>9</v>
      </c>
      <c r="D1353" s="8">
        <v>13.36</v>
      </c>
      <c r="E1353">
        <v>3</v>
      </c>
      <c r="F1353" t="str">
        <f t="shared" si="84"/>
        <v>Value</v>
      </c>
      <c r="G1353" s="3" cm="1">
        <f t="array" ref="G1353">_xlfn.XLOOKUP(C1353 &amp; F1353,
         [1]unilever_price_limits!A:A &amp; [1]unilever_price_limits!B:B,
         [1]unilever_price_limits!C:C)</f>
        <v>15</v>
      </c>
      <c r="H1353" s="8">
        <f t="shared" si="85"/>
        <v>15.363999999999999</v>
      </c>
      <c r="I1353" s="6">
        <f t="shared" si="86"/>
        <v>14.999999999999991</v>
      </c>
      <c r="J1353" t="str">
        <f t="shared" si="87"/>
        <v>OK</v>
      </c>
    </row>
    <row r="1354" spans="1:10" x14ac:dyDescent="0.2">
      <c r="A1354">
        <v>11353</v>
      </c>
      <c r="B1354" t="s">
        <v>5</v>
      </c>
      <c r="C1354" t="s">
        <v>6</v>
      </c>
      <c r="D1354" s="8">
        <v>5.99</v>
      </c>
      <c r="E1354">
        <v>4</v>
      </c>
      <c r="F1354" t="str">
        <f t="shared" si="84"/>
        <v>Standard</v>
      </c>
      <c r="G1354" s="3" cm="1">
        <f t="array" ref="G1354">_xlfn.XLOOKUP(C1354 &amp; F1354,
         [1]unilever_price_limits!A:A &amp; [1]unilever_price_limits!B:B,
         [1]unilever_price_limits!C:C)</f>
        <v>28</v>
      </c>
      <c r="H1354" s="8">
        <f t="shared" si="85"/>
        <v>7.6672000000000002</v>
      </c>
      <c r="I1354" s="6">
        <f t="shared" si="86"/>
        <v>28.000000000000004</v>
      </c>
      <c r="J1354" t="str">
        <f t="shared" si="87"/>
        <v>OK</v>
      </c>
    </row>
    <row r="1355" spans="1:10" x14ac:dyDescent="0.2">
      <c r="A1355">
        <v>11354</v>
      </c>
      <c r="B1355" t="s">
        <v>10</v>
      </c>
      <c r="C1355" t="s">
        <v>9</v>
      </c>
      <c r="D1355" s="8">
        <v>11.37</v>
      </c>
      <c r="E1355">
        <v>6</v>
      </c>
      <c r="F1355" t="str">
        <f t="shared" si="84"/>
        <v>Standard</v>
      </c>
      <c r="G1355" s="3" cm="1">
        <f t="array" ref="G1355">_xlfn.XLOOKUP(C1355 &amp; F1355,
         [1]unilever_price_limits!A:A &amp; [1]unilever_price_limits!B:B,
         [1]unilever_price_limits!C:C)</f>
        <v>30</v>
      </c>
      <c r="H1355" s="8">
        <f t="shared" si="85"/>
        <v>14.780999999999999</v>
      </c>
      <c r="I1355" s="6">
        <f t="shared" si="86"/>
        <v>30.000000000000004</v>
      </c>
      <c r="J1355" t="str">
        <f t="shared" si="87"/>
        <v>OK</v>
      </c>
    </row>
    <row r="1356" spans="1:10" x14ac:dyDescent="0.2">
      <c r="A1356">
        <v>11355</v>
      </c>
      <c r="B1356" t="s">
        <v>10</v>
      </c>
      <c r="C1356" t="s">
        <v>11</v>
      </c>
      <c r="D1356" s="8">
        <v>1.9</v>
      </c>
      <c r="E1356">
        <v>5</v>
      </c>
      <c r="F1356" t="str">
        <f t="shared" si="84"/>
        <v>Standard</v>
      </c>
      <c r="G1356" s="3" cm="1">
        <f t="array" ref="G1356">_xlfn.XLOOKUP(C1356 &amp; F1356,
         [1]unilever_price_limits!A:A &amp; [1]unilever_price_limits!B:B,
         [1]unilever_price_limits!C:C)</f>
        <v>25</v>
      </c>
      <c r="H1356" s="8">
        <f t="shared" si="85"/>
        <v>2.375</v>
      </c>
      <c r="I1356" s="6">
        <f t="shared" si="86"/>
        <v>25</v>
      </c>
      <c r="J1356" t="str">
        <f t="shared" si="87"/>
        <v>OK</v>
      </c>
    </row>
    <row r="1357" spans="1:10" x14ac:dyDescent="0.2">
      <c r="A1357">
        <v>11356</v>
      </c>
      <c r="B1357" t="s">
        <v>7</v>
      </c>
      <c r="C1357" t="s">
        <v>11</v>
      </c>
      <c r="D1357" s="8">
        <v>7.4</v>
      </c>
      <c r="E1357">
        <v>8</v>
      </c>
      <c r="F1357" t="str">
        <f t="shared" si="84"/>
        <v>Premium</v>
      </c>
      <c r="G1357" s="3" cm="1">
        <f t="array" ref="G1357">_xlfn.XLOOKUP(C1357 &amp; F1357,
         [1]unilever_price_limits!A:A &amp; [1]unilever_price_limits!B:B,
         [1]unilever_price_limits!C:C)</f>
        <v>50</v>
      </c>
      <c r="H1357" s="8">
        <f t="shared" si="85"/>
        <v>11.100000000000001</v>
      </c>
      <c r="I1357" s="6">
        <f t="shared" si="86"/>
        <v>50.000000000000021</v>
      </c>
      <c r="J1357" t="str">
        <f t="shared" si="87"/>
        <v>OK</v>
      </c>
    </row>
    <row r="1358" spans="1:10" x14ac:dyDescent="0.2">
      <c r="A1358">
        <v>11357</v>
      </c>
      <c r="B1358" t="s">
        <v>7</v>
      </c>
      <c r="C1358" t="s">
        <v>11</v>
      </c>
      <c r="D1358" s="8">
        <v>14.88</v>
      </c>
      <c r="E1358">
        <v>5</v>
      </c>
      <c r="F1358" t="str">
        <f t="shared" si="84"/>
        <v>Standard</v>
      </c>
      <c r="G1358" s="3" cm="1">
        <f t="array" ref="G1358">_xlfn.XLOOKUP(C1358 &amp; F1358,
         [1]unilever_price_limits!A:A &amp; [1]unilever_price_limits!B:B,
         [1]unilever_price_limits!C:C)</f>
        <v>25</v>
      </c>
      <c r="H1358" s="8">
        <f t="shared" si="85"/>
        <v>18.600000000000001</v>
      </c>
      <c r="I1358" s="6">
        <f t="shared" si="86"/>
        <v>25</v>
      </c>
      <c r="J1358" t="str">
        <f t="shared" si="87"/>
        <v>OK</v>
      </c>
    </row>
    <row r="1359" spans="1:10" x14ac:dyDescent="0.2">
      <c r="A1359">
        <v>11358</v>
      </c>
      <c r="B1359" t="s">
        <v>5</v>
      </c>
      <c r="C1359" t="s">
        <v>6</v>
      </c>
      <c r="D1359" s="8">
        <v>11.67</v>
      </c>
      <c r="E1359">
        <v>5</v>
      </c>
      <c r="F1359" t="str">
        <f t="shared" si="84"/>
        <v>Standard</v>
      </c>
      <c r="G1359" s="3" cm="1">
        <f t="array" ref="G1359">_xlfn.XLOOKUP(C1359 &amp; F1359,
         [1]unilever_price_limits!A:A &amp; [1]unilever_price_limits!B:B,
         [1]unilever_price_limits!C:C)</f>
        <v>28</v>
      </c>
      <c r="H1359" s="8">
        <f t="shared" si="85"/>
        <v>14.9376</v>
      </c>
      <c r="I1359" s="6">
        <f t="shared" si="86"/>
        <v>28.000000000000004</v>
      </c>
      <c r="J1359" t="str">
        <f t="shared" si="87"/>
        <v>OK</v>
      </c>
    </row>
    <row r="1360" spans="1:10" x14ac:dyDescent="0.2">
      <c r="A1360">
        <v>11359</v>
      </c>
      <c r="B1360" t="s">
        <v>7</v>
      </c>
      <c r="C1360" t="s">
        <v>9</v>
      </c>
      <c r="D1360" s="8">
        <v>3.55</v>
      </c>
      <c r="E1360">
        <v>10</v>
      </c>
      <c r="F1360" t="str">
        <f t="shared" si="84"/>
        <v>Premium</v>
      </c>
      <c r="G1360" s="3" cm="1">
        <f t="array" ref="G1360">_xlfn.XLOOKUP(C1360 &amp; F1360,
         [1]unilever_price_limits!A:A &amp; [1]unilever_price_limits!B:B,
         [1]unilever_price_limits!C:C)</f>
        <v>60</v>
      </c>
      <c r="H1360" s="8">
        <f t="shared" si="85"/>
        <v>5.68</v>
      </c>
      <c r="I1360" s="6">
        <f t="shared" si="86"/>
        <v>60.000000000000007</v>
      </c>
      <c r="J1360" t="str">
        <f t="shared" si="87"/>
        <v>OK</v>
      </c>
    </row>
    <row r="1361" spans="1:10" x14ac:dyDescent="0.2">
      <c r="A1361">
        <v>11360</v>
      </c>
      <c r="B1361" t="s">
        <v>5</v>
      </c>
      <c r="C1361" t="s">
        <v>11</v>
      </c>
      <c r="D1361" s="8">
        <v>7.77</v>
      </c>
      <c r="E1361">
        <v>2</v>
      </c>
      <c r="F1361" t="str">
        <f t="shared" si="84"/>
        <v>Value</v>
      </c>
      <c r="G1361" s="3" cm="1">
        <f t="array" ref="G1361">_xlfn.XLOOKUP(C1361 &amp; F1361,
         [1]unilever_price_limits!A:A &amp; [1]unilever_price_limits!B:B,
         [1]unilever_price_limits!C:C)</f>
        <v>10</v>
      </c>
      <c r="H1361" s="8">
        <f t="shared" si="85"/>
        <v>8.5470000000000006</v>
      </c>
      <c r="I1361" s="6">
        <f t="shared" si="86"/>
        <v>10.000000000000009</v>
      </c>
      <c r="J1361" t="str">
        <f t="shared" si="87"/>
        <v>OK</v>
      </c>
    </row>
    <row r="1362" spans="1:10" x14ac:dyDescent="0.2">
      <c r="A1362">
        <v>11361</v>
      </c>
      <c r="B1362" t="s">
        <v>10</v>
      </c>
      <c r="C1362" t="s">
        <v>9</v>
      </c>
      <c r="D1362" s="8">
        <v>3.89</v>
      </c>
      <c r="E1362">
        <v>5</v>
      </c>
      <c r="F1362" t="str">
        <f t="shared" si="84"/>
        <v>Standard</v>
      </c>
      <c r="G1362" s="3" cm="1">
        <f t="array" ref="G1362">_xlfn.XLOOKUP(C1362 &amp; F1362,
         [1]unilever_price_limits!A:A &amp; [1]unilever_price_limits!B:B,
         [1]unilever_price_limits!C:C)</f>
        <v>30</v>
      </c>
      <c r="H1362" s="8">
        <f t="shared" si="85"/>
        <v>5.0570000000000004</v>
      </c>
      <c r="I1362" s="6">
        <f t="shared" si="86"/>
        <v>30.000000000000004</v>
      </c>
      <c r="J1362" t="str">
        <f t="shared" si="87"/>
        <v>OK</v>
      </c>
    </row>
    <row r="1363" spans="1:10" x14ac:dyDescent="0.2">
      <c r="A1363">
        <v>11362</v>
      </c>
      <c r="B1363" t="s">
        <v>10</v>
      </c>
      <c r="C1363" t="s">
        <v>11</v>
      </c>
      <c r="D1363" s="8">
        <v>6.44</v>
      </c>
      <c r="E1363">
        <v>7</v>
      </c>
      <c r="F1363" t="str">
        <f t="shared" si="84"/>
        <v>Standard</v>
      </c>
      <c r="G1363" s="3" cm="1">
        <f t="array" ref="G1363">_xlfn.XLOOKUP(C1363 &amp; F1363,
         [1]unilever_price_limits!A:A &amp; [1]unilever_price_limits!B:B,
         [1]unilever_price_limits!C:C)</f>
        <v>25</v>
      </c>
      <c r="H1363" s="8">
        <f t="shared" si="85"/>
        <v>8.0500000000000007</v>
      </c>
      <c r="I1363" s="6">
        <f t="shared" si="86"/>
        <v>25</v>
      </c>
      <c r="J1363" t="str">
        <f t="shared" si="87"/>
        <v>OK</v>
      </c>
    </row>
    <row r="1364" spans="1:10" x14ac:dyDescent="0.2">
      <c r="A1364">
        <v>11363</v>
      </c>
      <c r="B1364" t="s">
        <v>8</v>
      </c>
      <c r="C1364" t="s">
        <v>6</v>
      </c>
      <c r="D1364" s="8">
        <v>11.81</v>
      </c>
      <c r="E1364">
        <v>2</v>
      </c>
      <c r="F1364" t="str">
        <f t="shared" si="84"/>
        <v>Value</v>
      </c>
      <c r="G1364" s="3" cm="1">
        <f t="array" ref="G1364">_xlfn.XLOOKUP(C1364 &amp; F1364,
         [1]unilever_price_limits!A:A &amp; [1]unilever_price_limits!B:B,
         [1]unilever_price_limits!C:C)</f>
        <v>12</v>
      </c>
      <c r="H1364" s="8">
        <f t="shared" si="85"/>
        <v>13.227200000000002</v>
      </c>
      <c r="I1364" s="6">
        <f t="shared" si="86"/>
        <v>12.000000000000011</v>
      </c>
      <c r="J1364" t="str">
        <f t="shared" si="87"/>
        <v>OK</v>
      </c>
    </row>
    <row r="1365" spans="1:10" x14ac:dyDescent="0.2">
      <c r="A1365">
        <v>11364</v>
      </c>
      <c r="B1365" t="s">
        <v>10</v>
      </c>
      <c r="C1365" t="s">
        <v>6</v>
      </c>
      <c r="D1365" s="8">
        <v>11.68</v>
      </c>
      <c r="E1365">
        <v>6</v>
      </c>
      <c r="F1365" t="str">
        <f t="shared" si="84"/>
        <v>Standard</v>
      </c>
      <c r="G1365" s="3" cm="1">
        <f t="array" ref="G1365">_xlfn.XLOOKUP(C1365 &amp; F1365,
         [1]unilever_price_limits!A:A &amp; [1]unilever_price_limits!B:B,
         [1]unilever_price_limits!C:C)</f>
        <v>28</v>
      </c>
      <c r="H1365" s="8">
        <f t="shared" si="85"/>
        <v>14.9504</v>
      </c>
      <c r="I1365" s="6">
        <f t="shared" si="86"/>
        <v>28.000000000000004</v>
      </c>
      <c r="J1365" t="str">
        <f t="shared" si="87"/>
        <v>OK</v>
      </c>
    </row>
    <row r="1366" spans="1:10" x14ac:dyDescent="0.2">
      <c r="A1366">
        <v>11365</v>
      </c>
      <c r="B1366" t="s">
        <v>7</v>
      </c>
      <c r="C1366" t="s">
        <v>9</v>
      </c>
      <c r="D1366" s="8">
        <v>3.81</v>
      </c>
      <c r="E1366">
        <v>7</v>
      </c>
      <c r="F1366" t="str">
        <f t="shared" si="84"/>
        <v>Standard</v>
      </c>
      <c r="G1366" s="3" cm="1">
        <f t="array" ref="G1366">_xlfn.XLOOKUP(C1366 &amp; F1366,
         [1]unilever_price_limits!A:A &amp; [1]unilever_price_limits!B:B,
         [1]unilever_price_limits!C:C)</f>
        <v>30</v>
      </c>
      <c r="H1366" s="8">
        <f t="shared" si="85"/>
        <v>4.9530000000000003</v>
      </c>
      <c r="I1366" s="6">
        <f t="shared" si="86"/>
        <v>30.000000000000004</v>
      </c>
      <c r="J1366" t="str">
        <f t="shared" si="87"/>
        <v>OK</v>
      </c>
    </row>
    <row r="1367" spans="1:10" x14ac:dyDescent="0.2">
      <c r="A1367">
        <v>11366</v>
      </c>
      <c r="B1367" t="s">
        <v>10</v>
      </c>
      <c r="C1367" t="s">
        <v>6</v>
      </c>
      <c r="D1367" s="8">
        <v>13.87</v>
      </c>
      <c r="E1367">
        <v>5</v>
      </c>
      <c r="F1367" t="str">
        <f t="shared" si="84"/>
        <v>Standard</v>
      </c>
      <c r="G1367" s="3" cm="1">
        <f t="array" ref="G1367">_xlfn.XLOOKUP(C1367 &amp; F1367,
         [1]unilever_price_limits!A:A &amp; [1]unilever_price_limits!B:B,
         [1]unilever_price_limits!C:C)</f>
        <v>28</v>
      </c>
      <c r="H1367" s="8">
        <f t="shared" si="85"/>
        <v>17.753599999999999</v>
      </c>
      <c r="I1367" s="6">
        <f t="shared" si="86"/>
        <v>28.000000000000004</v>
      </c>
      <c r="J1367" t="str">
        <f t="shared" si="87"/>
        <v>OK</v>
      </c>
    </row>
    <row r="1368" spans="1:10" x14ac:dyDescent="0.2">
      <c r="A1368">
        <v>11367</v>
      </c>
      <c r="B1368" t="s">
        <v>5</v>
      </c>
      <c r="C1368" t="s">
        <v>6</v>
      </c>
      <c r="D1368" s="8">
        <v>9.09</v>
      </c>
      <c r="E1368">
        <v>9</v>
      </c>
      <c r="F1368" t="str">
        <f t="shared" si="84"/>
        <v>Premium</v>
      </c>
      <c r="G1368" s="3" cm="1">
        <f t="array" ref="G1368">_xlfn.XLOOKUP(C1368 &amp; F1368,
         [1]unilever_price_limits!A:A &amp; [1]unilever_price_limits!B:B,
         [1]unilever_price_limits!C:C)</f>
        <v>55</v>
      </c>
      <c r="H1368" s="8">
        <f t="shared" si="85"/>
        <v>14.089500000000001</v>
      </c>
      <c r="I1368" s="6">
        <f t="shared" si="86"/>
        <v>55.000000000000007</v>
      </c>
      <c r="J1368" t="str">
        <f t="shared" si="87"/>
        <v>OK</v>
      </c>
    </row>
    <row r="1369" spans="1:10" x14ac:dyDescent="0.2">
      <c r="A1369">
        <v>11368</v>
      </c>
      <c r="B1369" t="s">
        <v>10</v>
      </c>
      <c r="C1369" t="s">
        <v>9</v>
      </c>
      <c r="D1369" s="8">
        <v>6.01</v>
      </c>
      <c r="E1369">
        <v>4</v>
      </c>
      <c r="F1369" t="str">
        <f t="shared" si="84"/>
        <v>Standard</v>
      </c>
      <c r="G1369" s="3" cm="1">
        <f t="array" ref="G1369">_xlfn.XLOOKUP(C1369 &amp; F1369,
         [1]unilever_price_limits!A:A &amp; [1]unilever_price_limits!B:B,
         [1]unilever_price_limits!C:C)</f>
        <v>30</v>
      </c>
      <c r="H1369" s="8">
        <f t="shared" si="85"/>
        <v>7.8129999999999997</v>
      </c>
      <c r="I1369" s="6">
        <f t="shared" si="86"/>
        <v>30.000000000000004</v>
      </c>
      <c r="J1369" t="str">
        <f t="shared" si="87"/>
        <v>OK</v>
      </c>
    </row>
    <row r="1370" spans="1:10" x14ac:dyDescent="0.2">
      <c r="A1370">
        <v>11369</v>
      </c>
      <c r="B1370" t="s">
        <v>8</v>
      </c>
      <c r="C1370" t="s">
        <v>11</v>
      </c>
      <c r="D1370" s="8">
        <v>7.78</v>
      </c>
      <c r="E1370">
        <v>10</v>
      </c>
      <c r="F1370" t="str">
        <f t="shared" si="84"/>
        <v>Premium</v>
      </c>
      <c r="G1370" s="3" cm="1">
        <f t="array" ref="G1370">_xlfn.XLOOKUP(C1370 &amp; F1370,
         [1]unilever_price_limits!A:A &amp; [1]unilever_price_limits!B:B,
         [1]unilever_price_limits!C:C)</f>
        <v>50</v>
      </c>
      <c r="H1370" s="8">
        <f t="shared" si="85"/>
        <v>11.67</v>
      </c>
      <c r="I1370" s="6">
        <f t="shared" si="86"/>
        <v>50</v>
      </c>
      <c r="J1370" t="str">
        <f t="shared" si="87"/>
        <v>OK</v>
      </c>
    </row>
    <row r="1371" spans="1:10" x14ac:dyDescent="0.2">
      <c r="A1371">
        <v>11370</v>
      </c>
      <c r="B1371" t="s">
        <v>10</v>
      </c>
      <c r="C1371" t="s">
        <v>6</v>
      </c>
      <c r="D1371" s="8">
        <v>9.27</v>
      </c>
      <c r="E1371">
        <v>1</v>
      </c>
      <c r="F1371" t="str">
        <f t="shared" si="84"/>
        <v>Value</v>
      </c>
      <c r="G1371" s="3" cm="1">
        <f t="array" ref="G1371">_xlfn.XLOOKUP(C1371 &amp; F1371,
         [1]unilever_price_limits!A:A &amp; [1]unilever_price_limits!B:B,
         [1]unilever_price_limits!C:C)</f>
        <v>12</v>
      </c>
      <c r="H1371" s="8">
        <f t="shared" si="85"/>
        <v>10.382400000000001</v>
      </c>
      <c r="I1371" s="6">
        <f t="shared" si="86"/>
        <v>12.000000000000011</v>
      </c>
      <c r="J1371" t="str">
        <f t="shared" si="87"/>
        <v>OK</v>
      </c>
    </row>
    <row r="1372" spans="1:10" x14ac:dyDescent="0.2">
      <c r="A1372">
        <v>11371</v>
      </c>
      <c r="B1372" t="s">
        <v>5</v>
      </c>
      <c r="C1372" t="s">
        <v>9</v>
      </c>
      <c r="D1372" s="8">
        <v>8.6199999999999992</v>
      </c>
      <c r="E1372">
        <v>8</v>
      </c>
      <c r="F1372" t="str">
        <f t="shared" si="84"/>
        <v>Premium</v>
      </c>
      <c r="G1372" s="3" cm="1">
        <f t="array" ref="G1372">_xlfn.XLOOKUP(C1372 &amp; F1372,
         [1]unilever_price_limits!A:A &amp; [1]unilever_price_limits!B:B,
         [1]unilever_price_limits!C:C)</f>
        <v>60</v>
      </c>
      <c r="H1372" s="8">
        <f t="shared" si="85"/>
        <v>13.792</v>
      </c>
      <c r="I1372" s="6">
        <f t="shared" si="86"/>
        <v>60.000000000000007</v>
      </c>
      <c r="J1372" t="str">
        <f t="shared" si="87"/>
        <v>OK</v>
      </c>
    </row>
    <row r="1373" spans="1:10" x14ac:dyDescent="0.2">
      <c r="A1373">
        <v>11372</v>
      </c>
      <c r="B1373" t="s">
        <v>5</v>
      </c>
      <c r="C1373" t="s">
        <v>6</v>
      </c>
      <c r="D1373" s="8">
        <v>7.55</v>
      </c>
      <c r="E1373">
        <v>8</v>
      </c>
      <c r="F1373" t="str">
        <f t="shared" si="84"/>
        <v>Premium</v>
      </c>
      <c r="G1373" s="3" cm="1">
        <f t="array" ref="G1373">_xlfn.XLOOKUP(C1373 &amp; F1373,
         [1]unilever_price_limits!A:A &amp; [1]unilever_price_limits!B:B,
         [1]unilever_price_limits!C:C)</f>
        <v>55</v>
      </c>
      <c r="H1373" s="8">
        <f t="shared" si="85"/>
        <v>11.702500000000001</v>
      </c>
      <c r="I1373" s="6">
        <f t="shared" si="86"/>
        <v>55.000000000000007</v>
      </c>
      <c r="J1373" t="str">
        <f t="shared" si="87"/>
        <v>OK</v>
      </c>
    </row>
    <row r="1374" spans="1:10" x14ac:dyDescent="0.2">
      <c r="A1374">
        <v>11373</v>
      </c>
      <c r="B1374" t="s">
        <v>7</v>
      </c>
      <c r="C1374" t="s">
        <v>6</v>
      </c>
      <c r="D1374" s="8">
        <v>7.82</v>
      </c>
      <c r="E1374">
        <v>7</v>
      </c>
      <c r="F1374" t="str">
        <f t="shared" si="84"/>
        <v>Standard</v>
      </c>
      <c r="G1374" s="3" cm="1">
        <f t="array" ref="G1374">_xlfn.XLOOKUP(C1374 &amp; F1374,
         [1]unilever_price_limits!A:A &amp; [1]unilever_price_limits!B:B,
         [1]unilever_price_limits!C:C)</f>
        <v>28</v>
      </c>
      <c r="H1374" s="8">
        <f t="shared" si="85"/>
        <v>10.009600000000001</v>
      </c>
      <c r="I1374" s="6">
        <f t="shared" si="86"/>
        <v>28.000000000000004</v>
      </c>
      <c r="J1374" t="str">
        <f t="shared" si="87"/>
        <v>OK</v>
      </c>
    </row>
    <row r="1375" spans="1:10" x14ac:dyDescent="0.2">
      <c r="A1375">
        <v>11374</v>
      </c>
      <c r="B1375" t="s">
        <v>10</v>
      </c>
      <c r="C1375" t="s">
        <v>6</v>
      </c>
      <c r="D1375" s="8">
        <v>3.06</v>
      </c>
      <c r="E1375">
        <v>8</v>
      </c>
      <c r="F1375" t="str">
        <f t="shared" si="84"/>
        <v>Premium</v>
      </c>
      <c r="G1375" s="3" cm="1">
        <f t="array" ref="G1375">_xlfn.XLOOKUP(C1375 &amp; F1375,
         [1]unilever_price_limits!A:A &amp; [1]unilever_price_limits!B:B,
         [1]unilever_price_limits!C:C)</f>
        <v>55</v>
      </c>
      <c r="H1375" s="8">
        <f t="shared" si="85"/>
        <v>4.7430000000000003</v>
      </c>
      <c r="I1375" s="6">
        <f t="shared" si="86"/>
        <v>55.000000000000007</v>
      </c>
      <c r="J1375" t="str">
        <f t="shared" si="87"/>
        <v>OK</v>
      </c>
    </row>
    <row r="1376" spans="1:10" x14ac:dyDescent="0.2">
      <c r="A1376">
        <v>11375</v>
      </c>
      <c r="B1376" t="s">
        <v>5</v>
      </c>
      <c r="C1376" t="s">
        <v>6</v>
      </c>
      <c r="D1376" s="8">
        <v>12.28</v>
      </c>
      <c r="E1376">
        <v>2</v>
      </c>
      <c r="F1376" t="str">
        <f t="shared" si="84"/>
        <v>Value</v>
      </c>
      <c r="G1376" s="3" cm="1">
        <f t="array" ref="G1376">_xlfn.XLOOKUP(C1376 &amp; F1376,
         [1]unilever_price_limits!A:A &amp; [1]unilever_price_limits!B:B,
         [1]unilever_price_limits!C:C)</f>
        <v>12</v>
      </c>
      <c r="H1376" s="8">
        <f t="shared" si="85"/>
        <v>13.7536</v>
      </c>
      <c r="I1376" s="6">
        <f t="shared" si="86"/>
        <v>12.000000000000011</v>
      </c>
      <c r="J1376" t="str">
        <f t="shared" si="87"/>
        <v>OK</v>
      </c>
    </row>
    <row r="1377" spans="1:10" x14ac:dyDescent="0.2">
      <c r="A1377">
        <v>11376</v>
      </c>
      <c r="B1377" t="s">
        <v>8</v>
      </c>
      <c r="C1377" t="s">
        <v>9</v>
      </c>
      <c r="D1377" s="8">
        <v>8.36</v>
      </c>
      <c r="E1377">
        <v>3</v>
      </c>
      <c r="F1377" t="str">
        <f t="shared" si="84"/>
        <v>Value</v>
      </c>
      <c r="G1377" s="3" cm="1">
        <f t="array" ref="G1377">_xlfn.XLOOKUP(C1377 &amp; F1377,
         [1]unilever_price_limits!A:A &amp; [1]unilever_price_limits!B:B,
         [1]unilever_price_limits!C:C)</f>
        <v>15</v>
      </c>
      <c r="H1377" s="8">
        <f t="shared" si="85"/>
        <v>9.613999999999999</v>
      </c>
      <c r="I1377" s="6">
        <f t="shared" si="86"/>
        <v>14.999999999999991</v>
      </c>
      <c r="J1377" t="str">
        <f t="shared" si="87"/>
        <v>OK</v>
      </c>
    </row>
    <row r="1378" spans="1:10" x14ac:dyDescent="0.2">
      <c r="A1378">
        <v>11377</v>
      </c>
      <c r="B1378" t="s">
        <v>7</v>
      </c>
      <c r="C1378" t="s">
        <v>9</v>
      </c>
      <c r="D1378" s="8">
        <v>2.4</v>
      </c>
      <c r="E1378">
        <v>9</v>
      </c>
      <c r="F1378" t="str">
        <f t="shared" si="84"/>
        <v>Premium</v>
      </c>
      <c r="G1378" s="3" cm="1">
        <f t="array" ref="G1378">_xlfn.XLOOKUP(C1378 &amp; F1378,
         [1]unilever_price_limits!A:A &amp; [1]unilever_price_limits!B:B,
         [1]unilever_price_limits!C:C)</f>
        <v>60</v>
      </c>
      <c r="H1378" s="8">
        <f t="shared" si="85"/>
        <v>3.84</v>
      </c>
      <c r="I1378" s="6">
        <f t="shared" si="86"/>
        <v>60.000000000000007</v>
      </c>
      <c r="J1378" t="str">
        <f t="shared" si="87"/>
        <v>OK</v>
      </c>
    </row>
    <row r="1379" spans="1:10" x14ac:dyDescent="0.2">
      <c r="A1379">
        <v>11378</v>
      </c>
      <c r="B1379" t="s">
        <v>8</v>
      </c>
      <c r="C1379" t="s">
        <v>9</v>
      </c>
      <c r="D1379" s="8">
        <v>11.61</v>
      </c>
      <c r="E1379">
        <v>1</v>
      </c>
      <c r="F1379" t="str">
        <f t="shared" si="84"/>
        <v>Value</v>
      </c>
      <c r="G1379" s="3" cm="1">
        <f t="array" ref="G1379">_xlfn.XLOOKUP(C1379 &amp; F1379,
         [1]unilever_price_limits!A:A &amp; [1]unilever_price_limits!B:B,
         [1]unilever_price_limits!C:C)</f>
        <v>15</v>
      </c>
      <c r="H1379" s="8">
        <f t="shared" si="85"/>
        <v>13.351499999999998</v>
      </c>
      <c r="I1379" s="6">
        <f t="shared" si="86"/>
        <v>14.999999999999991</v>
      </c>
      <c r="J1379" t="str">
        <f t="shared" si="87"/>
        <v>OK</v>
      </c>
    </row>
    <row r="1380" spans="1:10" x14ac:dyDescent="0.2">
      <c r="A1380">
        <v>11379</v>
      </c>
      <c r="B1380" t="s">
        <v>10</v>
      </c>
      <c r="C1380" t="s">
        <v>6</v>
      </c>
      <c r="D1380" s="8">
        <v>14.02</v>
      </c>
      <c r="E1380">
        <v>8</v>
      </c>
      <c r="F1380" t="str">
        <f t="shared" si="84"/>
        <v>Premium</v>
      </c>
      <c r="G1380" s="3" cm="1">
        <f t="array" ref="G1380">_xlfn.XLOOKUP(C1380 &amp; F1380,
         [1]unilever_price_limits!A:A &amp; [1]unilever_price_limits!B:B,
         [1]unilever_price_limits!C:C)</f>
        <v>55</v>
      </c>
      <c r="H1380" s="8">
        <f t="shared" si="85"/>
        <v>21.731000000000002</v>
      </c>
      <c r="I1380" s="6">
        <f t="shared" si="86"/>
        <v>55.000000000000028</v>
      </c>
      <c r="J1380" t="str">
        <f t="shared" si="87"/>
        <v>OK</v>
      </c>
    </row>
    <row r="1381" spans="1:10" x14ac:dyDescent="0.2">
      <c r="A1381">
        <v>11380</v>
      </c>
      <c r="B1381" t="s">
        <v>10</v>
      </c>
      <c r="C1381" t="s">
        <v>6</v>
      </c>
      <c r="D1381" s="8">
        <v>14.24</v>
      </c>
      <c r="E1381">
        <v>8</v>
      </c>
      <c r="F1381" t="str">
        <f t="shared" si="84"/>
        <v>Premium</v>
      </c>
      <c r="G1381" s="3" cm="1">
        <f t="array" ref="G1381">_xlfn.XLOOKUP(C1381 &amp; F1381,
         [1]unilever_price_limits!A:A &amp; [1]unilever_price_limits!B:B,
         [1]unilever_price_limits!C:C)</f>
        <v>55</v>
      </c>
      <c r="H1381" s="8">
        <f t="shared" si="85"/>
        <v>22.072000000000003</v>
      </c>
      <c r="I1381" s="6">
        <f t="shared" si="86"/>
        <v>55.000000000000028</v>
      </c>
      <c r="J1381" t="str">
        <f t="shared" si="87"/>
        <v>OK</v>
      </c>
    </row>
    <row r="1382" spans="1:10" x14ac:dyDescent="0.2">
      <c r="A1382">
        <v>11381</v>
      </c>
      <c r="B1382" t="s">
        <v>10</v>
      </c>
      <c r="C1382" t="s">
        <v>6</v>
      </c>
      <c r="D1382" s="8">
        <v>5.85</v>
      </c>
      <c r="E1382">
        <v>7</v>
      </c>
      <c r="F1382" t="str">
        <f t="shared" si="84"/>
        <v>Standard</v>
      </c>
      <c r="G1382" s="3" cm="1">
        <f t="array" ref="G1382">_xlfn.XLOOKUP(C1382 &amp; F1382,
         [1]unilever_price_limits!A:A &amp; [1]unilever_price_limits!B:B,
         [1]unilever_price_limits!C:C)</f>
        <v>28</v>
      </c>
      <c r="H1382" s="8">
        <f t="shared" si="85"/>
        <v>7.4879999999999995</v>
      </c>
      <c r="I1382" s="6">
        <f t="shared" si="86"/>
        <v>28.000000000000004</v>
      </c>
      <c r="J1382" t="str">
        <f t="shared" si="87"/>
        <v>OK</v>
      </c>
    </row>
    <row r="1383" spans="1:10" x14ac:dyDescent="0.2">
      <c r="A1383">
        <v>11382</v>
      </c>
      <c r="B1383" t="s">
        <v>7</v>
      </c>
      <c r="C1383" t="s">
        <v>9</v>
      </c>
      <c r="D1383" s="8">
        <v>2.46</v>
      </c>
      <c r="E1383">
        <v>5</v>
      </c>
      <c r="F1383" t="str">
        <f t="shared" si="84"/>
        <v>Standard</v>
      </c>
      <c r="G1383" s="3" cm="1">
        <f t="array" ref="G1383">_xlfn.XLOOKUP(C1383 &amp; F1383,
         [1]unilever_price_limits!A:A &amp; [1]unilever_price_limits!B:B,
         [1]unilever_price_limits!C:C)</f>
        <v>30</v>
      </c>
      <c r="H1383" s="8">
        <f t="shared" si="85"/>
        <v>3.198</v>
      </c>
      <c r="I1383" s="6">
        <f t="shared" si="86"/>
        <v>30.000000000000004</v>
      </c>
      <c r="J1383" t="str">
        <f t="shared" si="87"/>
        <v>OK</v>
      </c>
    </row>
    <row r="1384" spans="1:10" x14ac:dyDescent="0.2">
      <c r="A1384">
        <v>11383</v>
      </c>
      <c r="B1384" t="s">
        <v>5</v>
      </c>
      <c r="C1384" t="s">
        <v>6</v>
      </c>
      <c r="D1384" s="8">
        <v>8.02</v>
      </c>
      <c r="E1384">
        <v>4</v>
      </c>
      <c r="F1384" t="str">
        <f t="shared" si="84"/>
        <v>Standard</v>
      </c>
      <c r="G1384" s="3" cm="1">
        <f t="array" ref="G1384">_xlfn.XLOOKUP(C1384 &amp; F1384,
         [1]unilever_price_limits!A:A &amp; [1]unilever_price_limits!B:B,
         [1]unilever_price_limits!C:C)</f>
        <v>28</v>
      </c>
      <c r="H1384" s="8">
        <f t="shared" si="85"/>
        <v>10.265599999999999</v>
      </c>
      <c r="I1384" s="6">
        <f t="shared" si="86"/>
        <v>28.000000000000004</v>
      </c>
      <c r="J1384" t="str">
        <f t="shared" si="87"/>
        <v>OK</v>
      </c>
    </row>
    <row r="1385" spans="1:10" x14ac:dyDescent="0.2">
      <c r="A1385">
        <v>11384</v>
      </c>
      <c r="B1385" t="s">
        <v>7</v>
      </c>
      <c r="C1385" t="s">
        <v>11</v>
      </c>
      <c r="D1385" s="8">
        <v>2.13</v>
      </c>
      <c r="E1385">
        <v>10</v>
      </c>
      <c r="F1385" t="str">
        <f t="shared" si="84"/>
        <v>Premium</v>
      </c>
      <c r="G1385" s="3" cm="1">
        <f t="array" ref="G1385">_xlfn.XLOOKUP(C1385 &amp; F1385,
         [1]unilever_price_limits!A:A &amp; [1]unilever_price_limits!B:B,
         [1]unilever_price_limits!C:C)</f>
        <v>50</v>
      </c>
      <c r="H1385" s="8">
        <f t="shared" si="85"/>
        <v>3.1949999999999998</v>
      </c>
      <c r="I1385" s="6">
        <f t="shared" si="86"/>
        <v>50</v>
      </c>
      <c r="J1385" t="str">
        <f t="shared" si="87"/>
        <v>OK</v>
      </c>
    </row>
    <row r="1386" spans="1:10" x14ac:dyDescent="0.2">
      <c r="A1386">
        <v>11385</v>
      </c>
      <c r="B1386" t="s">
        <v>8</v>
      </c>
      <c r="C1386" t="s">
        <v>6</v>
      </c>
      <c r="D1386" s="8">
        <v>14.04</v>
      </c>
      <c r="E1386">
        <v>10</v>
      </c>
      <c r="F1386" t="str">
        <f t="shared" si="84"/>
        <v>Premium</v>
      </c>
      <c r="G1386" s="3" cm="1">
        <f t="array" ref="G1386">_xlfn.XLOOKUP(C1386 &amp; F1386,
         [1]unilever_price_limits!A:A &amp; [1]unilever_price_limits!B:B,
         [1]unilever_price_limits!C:C)</f>
        <v>55</v>
      </c>
      <c r="H1386" s="8">
        <f t="shared" si="85"/>
        <v>21.762</v>
      </c>
      <c r="I1386" s="6">
        <f t="shared" si="86"/>
        <v>55.000000000000007</v>
      </c>
      <c r="J1386" t="str">
        <f t="shared" si="87"/>
        <v>OK</v>
      </c>
    </row>
    <row r="1387" spans="1:10" x14ac:dyDescent="0.2">
      <c r="A1387">
        <v>11386</v>
      </c>
      <c r="B1387" t="s">
        <v>7</v>
      </c>
      <c r="C1387" t="s">
        <v>11</v>
      </c>
      <c r="D1387" s="8">
        <v>3.16</v>
      </c>
      <c r="E1387">
        <v>10</v>
      </c>
      <c r="F1387" t="str">
        <f t="shared" si="84"/>
        <v>Premium</v>
      </c>
      <c r="G1387" s="3" cm="1">
        <f t="array" ref="G1387">_xlfn.XLOOKUP(C1387 &amp; F1387,
         [1]unilever_price_limits!A:A &amp; [1]unilever_price_limits!B:B,
         [1]unilever_price_limits!C:C)</f>
        <v>50</v>
      </c>
      <c r="H1387" s="8">
        <f t="shared" si="85"/>
        <v>4.74</v>
      </c>
      <c r="I1387" s="6">
        <f t="shared" si="86"/>
        <v>50</v>
      </c>
      <c r="J1387" t="str">
        <f t="shared" si="87"/>
        <v>OK</v>
      </c>
    </row>
    <row r="1388" spans="1:10" x14ac:dyDescent="0.2">
      <c r="A1388">
        <v>11387</v>
      </c>
      <c r="B1388" t="s">
        <v>8</v>
      </c>
      <c r="C1388" t="s">
        <v>6</v>
      </c>
      <c r="D1388" s="8">
        <v>4.17</v>
      </c>
      <c r="E1388">
        <v>10</v>
      </c>
      <c r="F1388" t="str">
        <f t="shared" si="84"/>
        <v>Premium</v>
      </c>
      <c r="G1388" s="3" cm="1">
        <f t="array" ref="G1388">_xlfn.XLOOKUP(C1388 &amp; F1388,
         [1]unilever_price_limits!A:A &amp; [1]unilever_price_limits!B:B,
         [1]unilever_price_limits!C:C)</f>
        <v>55</v>
      </c>
      <c r="H1388" s="8">
        <f t="shared" si="85"/>
        <v>6.4634999999999998</v>
      </c>
      <c r="I1388" s="6">
        <f t="shared" si="86"/>
        <v>55.000000000000007</v>
      </c>
      <c r="J1388" t="str">
        <f t="shared" si="87"/>
        <v>OK</v>
      </c>
    </row>
    <row r="1389" spans="1:10" x14ac:dyDescent="0.2">
      <c r="A1389">
        <v>11388</v>
      </c>
      <c r="B1389" t="s">
        <v>7</v>
      </c>
      <c r="C1389" t="s">
        <v>9</v>
      </c>
      <c r="D1389" s="8">
        <v>6.4</v>
      </c>
      <c r="E1389">
        <v>6</v>
      </c>
      <c r="F1389" t="str">
        <f t="shared" si="84"/>
        <v>Standard</v>
      </c>
      <c r="G1389" s="3" cm="1">
        <f t="array" ref="G1389">_xlfn.XLOOKUP(C1389 &amp; F1389,
         [1]unilever_price_limits!A:A &amp; [1]unilever_price_limits!B:B,
         [1]unilever_price_limits!C:C)</f>
        <v>30</v>
      </c>
      <c r="H1389" s="8">
        <f t="shared" si="85"/>
        <v>8.32</v>
      </c>
      <c r="I1389" s="6">
        <f t="shared" si="86"/>
        <v>30.000000000000004</v>
      </c>
      <c r="J1389" t="str">
        <f t="shared" si="87"/>
        <v>OK</v>
      </c>
    </row>
    <row r="1390" spans="1:10" x14ac:dyDescent="0.2">
      <c r="A1390">
        <v>11389</v>
      </c>
      <c r="B1390" t="s">
        <v>5</v>
      </c>
      <c r="C1390" t="s">
        <v>6</v>
      </c>
      <c r="D1390" s="8">
        <v>6.06</v>
      </c>
      <c r="E1390">
        <v>1</v>
      </c>
      <c r="F1390" t="str">
        <f t="shared" si="84"/>
        <v>Value</v>
      </c>
      <c r="G1390" s="3" cm="1">
        <f t="array" ref="G1390">_xlfn.XLOOKUP(C1390 &amp; F1390,
         [1]unilever_price_limits!A:A &amp; [1]unilever_price_limits!B:B,
         [1]unilever_price_limits!C:C)</f>
        <v>12</v>
      </c>
      <c r="H1390" s="8">
        <f t="shared" si="85"/>
        <v>6.7872000000000003</v>
      </c>
      <c r="I1390" s="6">
        <f t="shared" si="86"/>
        <v>12.000000000000011</v>
      </c>
      <c r="J1390" t="str">
        <f t="shared" si="87"/>
        <v>OK</v>
      </c>
    </row>
    <row r="1391" spans="1:10" x14ac:dyDescent="0.2">
      <c r="A1391">
        <v>11390</v>
      </c>
      <c r="B1391" t="s">
        <v>8</v>
      </c>
      <c r="C1391" t="s">
        <v>11</v>
      </c>
      <c r="D1391" s="8">
        <v>12.02</v>
      </c>
      <c r="E1391">
        <v>5</v>
      </c>
      <c r="F1391" t="str">
        <f t="shared" si="84"/>
        <v>Standard</v>
      </c>
      <c r="G1391" s="3" cm="1">
        <f t="array" ref="G1391">_xlfn.XLOOKUP(C1391 &amp; F1391,
         [1]unilever_price_limits!A:A &amp; [1]unilever_price_limits!B:B,
         [1]unilever_price_limits!C:C)</f>
        <v>25</v>
      </c>
      <c r="H1391" s="8">
        <f t="shared" si="85"/>
        <v>15.024999999999999</v>
      </c>
      <c r="I1391" s="6">
        <f t="shared" si="86"/>
        <v>25</v>
      </c>
      <c r="J1391" t="str">
        <f t="shared" si="87"/>
        <v>OK</v>
      </c>
    </row>
    <row r="1392" spans="1:10" x14ac:dyDescent="0.2">
      <c r="A1392">
        <v>11391</v>
      </c>
      <c r="B1392" t="s">
        <v>10</v>
      </c>
      <c r="C1392" t="s">
        <v>11</v>
      </c>
      <c r="D1392" s="8">
        <v>7.12</v>
      </c>
      <c r="E1392">
        <v>4</v>
      </c>
      <c r="F1392" t="str">
        <f t="shared" si="84"/>
        <v>Standard</v>
      </c>
      <c r="G1392" s="3" cm="1">
        <f t="array" ref="G1392">_xlfn.XLOOKUP(C1392 &amp; F1392,
         [1]unilever_price_limits!A:A &amp; [1]unilever_price_limits!B:B,
         [1]unilever_price_limits!C:C)</f>
        <v>25</v>
      </c>
      <c r="H1392" s="8">
        <f t="shared" si="85"/>
        <v>8.9</v>
      </c>
      <c r="I1392" s="6">
        <f t="shared" si="86"/>
        <v>25</v>
      </c>
      <c r="J1392" t="str">
        <f t="shared" si="87"/>
        <v>OK</v>
      </c>
    </row>
    <row r="1393" spans="1:10" x14ac:dyDescent="0.2">
      <c r="A1393">
        <v>11392</v>
      </c>
      <c r="B1393" t="s">
        <v>10</v>
      </c>
      <c r="C1393" t="s">
        <v>6</v>
      </c>
      <c r="D1393" s="8">
        <v>2.98</v>
      </c>
      <c r="E1393">
        <v>4</v>
      </c>
      <c r="F1393" t="str">
        <f t="shared" si="84"/>
        <v>Standard</v>
      </c>
      <c r="G1393" s="3" cm="1">
        <f t="array" ref="G1393">_xlfn.XLOOKUP(C1393 &amp; F1393,
         [1]unilever_price_limits!A:A &amp; [1]unilever_price_limits!B:B,
         [1]unilever_price_limits!C:C)</f>
        <v>28</v>
      </c>
      <c r="H1393" s="8">
        <f t="shared" si="85"/>
        <v>3.8144</v>
      </c>
      <c r="I1393" s="6">
        <f t="shared" si="86"/>
        <v>28.000000000000004</v>
      </c>
      <c r="J1393" t="str">
        <f t="shared" si="87"/>
        <v>OK</v>
      </c>
    </row>
    <row r="1394" spans="1:10" x14ac:dyDescent="0.2">
      <c r="A1394">
        <v>11393</v>
      </c>
      <c r="B1394" t="s">
        <v>7</v>
      </c>
      <c r="C1394" t="s">
        <v>11</v>
      </c>
      <c r="D1394" s="8">
        <v>4.37</v>
      </c>
      <c r="E1394">
        <v>7</v>
      </c>
      <c r="F1394" t="str">
        <f t="shared" si="84"/>
        <v>Standard</v>
      </c>
      <c r="G1394" s="3" cm="1">
        <f t="array" ref="G1394">_xlfn.XLOOKUP(C1394 &amp; F1394,
         [1]unilever_price_limits!A:A &amp; [1]unilever_price_limits!B:B,
         [1]unilever_price_limits!C:C)</f>
        <v>25</v>
      </c>
      <c r="H1394" s="8">
        <f t="shared" si="85"/>
        <v>5.4625000000000004</v>
      </c>
      <c r="I1394" s="6">
        <f t="shared" si="86"/>
        <v>25</v>
      </c>
      <c r="J1394" t="str">
        <f t="shared" si="87"/>
        <v>OK</v>
      </c>
    </row>
    <row r="1395" spans="1:10" x14ac:dyDescent="0.2">
      <c r="A1395">
        <v>11394</v>
      </c>
      <c r="B1395" t="s">
        <v>10</v>
      </c>
      <c r="C1395" t="s">
        <v>11</v>
      </c>
      <c r="D1395" s="8">
        <v>7.88</v>
      </c>
      <c r="E1395">
        <v>9</v>
      </c>
      <c r="F1395" t="str">
        <f t="shared" si="84"/>
        <v>Premium</v>
      </c>
      <c r="G1395" s="3" cm="1">
        <f t="array" ref="G1395">_xlfn.XLOOKUP(C1395 &amp; F1395,
         [1]unilever_price_limits!A:A &amp; [1]unilever_price_limits!B:B,
         [1]unilever_price_limits!C:C)</f>
        <v>50</v>
      </c>
      <c r="H1395" s="8">
        <f t="shared" si="85"/>
        <v>11.82</v>
      </c>
      <c r="I1395" s="6">
        <f t="shared" si="86"/>
        <v>50</v>
      </c>
      <c r="J1395" t="str">
        <f t="shared" si="87"/>
        <v>OK</v>
      </c>
    </row>
    <row r="1396" spans="1:10" x14ac:dyDescent="0.2">
      <c r="A1396">
        <v>11395</v>
      </c>
      <c r="B1396" t="s">
        <v>8</v>
      </c>
      <c r="C1396" t="s">
        <v>9</v>
      </c>
      <c r="D1396" s="8">
        <v>2.64</v>
      </c>
      <c r="E1396">
        <v>8</v>
      </c>
      <c r="F1396" t="str">
        <f t="shared" si="84"/>
        <v>Premium</v>
      </c>
      <c r="G1396" s="3" cm="1">
        <f t="array" ref="G1396">_xlfn.XLOOKUP(C1396 &amp; F1396,
         [1]unilever_price_limits!A:A &amp; [1]unilever_price_limits!B:B,
         [1]unilever_price_limits!C:C)</f>
        <v>60</v>
      </c>
      <c r="H1396" s="8">
        <f t="shared" si="85"/>
        <v>4.2240000000000002</v>
      </c>
      <c r="I1396" s="6">
        <f t="shared" si="86"/>
        <v>60.000000000000007</v>
      </c>
      <c r="J1396" t="str">
        <f t="shared" si="87"/>
        <v>OK</v>
      </c>
    </row>
    <row r="1397" spans="1:10" x14ac:dyDescent="0.2">
      <c r="A1397">
        <v>11396</v>
      </c>
      <c r="B1397" t="s">
        <v>10</v>
      </c>
      <c r="C1397" t="s">
        <v>6</v>
      </c>
      <c r="D1397" s="8">
        <v>9.3699999999999992</v>
      </c>
      <c r="E1397">
        <v>8</v>
      </c>
      <c r="F1397" t="str">
        <f t="shared" si="84"/>
        <v>Premium</v>
      </c>
      <c r="G1397" s="3" cm="1">
        <f t="array" ref="G1397">_xlfn.XLOOKUP(C1397 &amp; F1397,
         [1]unilever_price_limits!A:A &amp; [1]unilever_price_limits!B:B,
         [1]unilever_price_limits!C:C)</f>
        <v>55</v>
      </c>
      <c r="H1397" s="8">
        <f t="shared" si="85"/>
        <v>14.523499999999999</v>
      </c>
      <c r="I1397" s="6">
        <f t="shared" si="86"/>
        <v>55.000000000000007</v>
      </c>
      <c r="J1397" t="str">
        <f t="shared" si="87"/>
        <v>OK</v>
      </c>
    </row>
    <row r="1398" spans="1:10" x14ac:dyDescent="0.2">
      <c r="A1398">
        <v>11397</v>
      </c>
      <c r="B1398" t="s">
        <v>5</v>
      </c>
      <c r="C1398" t="s">
        <v>6</v>
      </c>
      <c r="D1398" s="8">
        <v>8.6999999999999993</v>
      </c>
      <c r="E1398">
        <v>5</v>
      </c>
      <c r="F1398" t="str">
        <f t="shared" si="84"/>
        <v>Standard</v>
      </c>
      <c r="G1398" s="3" cm="1">
        <f t="array" ref="G1398">_xlfn.XLOOKUP(C1398 &amp; F1398,
         [1]unilever_price_limits!A:A &amp; [1]unilever_price_limits!B:B,
         [1]unilever_price_limits!C:C)</f>
        <v>28</v>
      </c>
      <c r="H1398" s="8">
        <f t="shared" si="85"/>
        <v>11.135999999999999</v>
      </c>
      <c r="I1398" s="6">
        <f t="shared" si="86"/>
        <v>28.000000000000004</v>
      </c>
      <c r="J1398" t="str">
        <f t="shared" si="87"/>
        <v>OK</v>
      </c>
    </row>
    <row r="1399" spans="1:10" x14ac:dyDescent="0.2">
      <c r="A1399">
        <v>11398</v>
      </c>
      <c r="B1399" t="s">
        <v>5</v>
      </c>
      <c r="C1399" t="s">
        <v>6</v>
      </c>
      <c r="D1399" s="8">
        <v>10.86</v>
      </c>
      <c r="E1399">
        <v>6</v>
      </c>
      <c r="F1399" t="str">
        <f t="shared" si="84"/>
        <v>Standard</v>
      </c>
      <c r="G1399" s="3" cm="1">
        <f t="array" ref="G1399">_xlfn.XLOOKUP(C1399 &amp; F1399,
         [1]unilever_price_limits!A:A &amp; [1]unilever_price_limits!B:B,
         [1]unilever_price_limits!C:C)</f>
        <v>28</v>
      </c>
      <c r="H1399" s="8">
        <f t="shared" si="85"/>
        <v>13.9008</v>
      </c>
      <c r="I1399" s="6">
        <f t="shared" si="86"/>
        <v>28.000000000000004</v>
      </c>
      <c r="J1399" t="str">
        <f t="shared" si="87"/>
        <v>OK</v>
      </c>
    </row>
    <row r="1400" spans="1:10" x14ac:dyDescent="0.2">
      <c r="A1400">
        <v>11399</v>
      </c>
      <c r="B1400" t="s">
        <v>7</v>
      </c>
      <c r="C1400" t="s">
        <v>11</v>
      </c>
      <c r="D1400" s="8">
        <v>14.1</v>
      </c>
      <c r="E1400">
        <v>2</v>
      </c>
      <c r="F1400" t="str">
        <f t="shared" si="84"/>
        <v>Value</v>
      </c>
      <c r="G1400" s="3" cm="1">
        <f t="array" ref="G1400">_xlfn.XLOOKUP(C1400 &amp; F1400,
         [1]unilever_price_limits!A:A &amp; [1]unilever_price_limits!B:B,
         [1]unilever_price_limits!C:C)</f>
        <v>10</v>
      </c>
      <c r="H1400" s="8">
        <f t="shared" si="85"/>
        <v>15.510000000000002</v>
      </c>
      <c r="I1400" s="6">
        <f t="shared" si="86"/>
        <v>10.000000000000009</v>
      </c>
      <c r="J1400" t="str">
        <f t="shared" si="87"/>
        <v>OK</v>
      </c>
    </row>
    <row r="1401" spans="1:10" x14ac:dyDescent="0.2">
      <c r="A1401">
        <v>11400</v>
      </c>
      <c r="B1401" t="s">
        <v>8</v>
      </c>
      <c r="C1401" t="s">
        <v>6</v>
      </c>
      <c r="D1401" s="8">
        <v>13.73</v>
      </c>
      <c r="E1401">
        <v>3</v>
      </c>
      <c r="F1401" t="str">
        <f t="shared" si="84"/>
        <v>Value</v>
      </c>
      <c r="G1401" s="3" cm="1">
        <f t="array" ref="G1401">_xlfn.XLOOKUP(C1401 &amp; F1401,
         [1]unilever_price_limits!A:A &amp; [1]unilever_price_limits!B:B,
         [1]unilever_price_limits!C:C)</f>
        <v>12</v>
      </c>
      <c r="H1401" s="8">
        <f t="shared" si="85"/>
        <v>15.377600000000003</v>
      </c>
      <c r="I1401" s="6">
        <f t="shared" si="86"/>
        <v>12.000000000000011</v>
      </c>
      <c r="J1401" t="str">
        <f t="shared" si="87"/>
        <v>OK</v>
      </c>
    </row>
    <row r="1402" spans="1:10" x14ac:dyDescent="0.2">
      <c r="A1402">
        <v>11401</v>
      </c>
      <c r="B1402" t="s">
        <v>5</v>
      </c>
      <c r="C1402" t="s">
        <v>6</v>
      </c>
      <c r="D1402" s="8">
        <v>14.22</v>
      </c>
      <c r="E1402">
        <v>5</v>
      </c>
      <c r="F1402" t="str">
        <f t="shared" si="84"/>
        <v>Standard</v>
      </c>
      <c r="G1402" s="3" cm="1">
        <f t="array" ref="G1402">_xlfn.XLOOKUP(C1402 &amp; F1402,
         [1]unilever_price_limits!A:A &amp; [1]unilever_price_limits!B:B,
         [1]unilever_price_limits!C:C)</f>
        <v>28</v>
      </c>
      <c r="H1402" s="8">
        <f t="shared" si="85"/>
        <v>18.201600000000003</v>
      </c>
      <c r="I1402" s="6">
        <f t="shared" si="86"/>
        <v>28.000000000000004</v>
      </c>
      <c r="J1402" t="str">
        <f t="shared" si="87"/>
        <v>OK</v>
      </c>
    </row>
    <row r="1403" spans="1:10" x14ac:dyDescent="0.2">
      <c r="A1403">
        <v>11402</v>
      </c>
      <c r="B1403" t="s">
        <v>5</v>
      </c>
      <c r="C1403" t="s">
        <v>9</v>
      </c>
      <c r="D1403" s="8">
        <v>4.05</v>
      </c>
      <c r="E1403">
        <v>2</v>
      </c>
      <c r="F1403" t="str">
        <f t="shared" si="84"/>
        <v>Value</v>
      </c>
      <c r="G1403" s="3" cm="1">
        <f t="array" ref="G1403">_xlfn.XLOOKUP(C1403 &amp; F1403,
         [1]unilever_price_limits!A:A &amp; [1]unilever_price_limits!B:B,
         [1]unilever_price_limits!C:C)</f>
        <v>15</v>
      </c>
      <c r="H1403" s="8">
        <f t="shared" si="85"/>
        <v>4.6574999999999998</v>
      </c>
      <c r="I1403" s="6">
        <f t="shared" si="86"/>
        <v>14.999999999999991</v>
      </c>
      <c r="J1403" t="str">
        <f t="shared" si="87"/>
        <v>OK</v>
      </c>
    </row>
    <row r="1404" spans="1:10" x14ac:dyDescent="0.2">
      <c r="A1404">
        <v>11403</v>
      </c>
      <c r="B1404" t="s">
        <v>8</v>
      </c>
      <c r="C1404" t="s">
        <v>9</v>
      </c>
      <c r="D1404" s="8">
        <v>2.41</v>
      </c>
      <c r="E1404">
        <v>3</v>
      </c>
      <c r="F1404" t="str">
        <f t="shared" si="84"/>
        <v>Value</v>
      </c>
      <c r="G1404" s="3" cm="1">
        <f t="array" ref="G1404">_xlfn.XLOOKUP(C1404 &amp; F1404,
         [1]unilever_price_limits!A:A &amp; [1]unilever_price_limits!B:B,
         [1]unilever_price_limits!C:C)</f>
        <v>15</v>
      </c>
      <c r="H1404" s="8">
        <f t="shared" si="85"/>
        <v>2.7715000000000001</v>
      </c>
      <c r="I1404" s="6">
        <f t="shared" si="86"/>
        <v>14.999999999999991</v>
      </c>
      <c r="J1404" t="str">
        <f t="shared" si="87"/>
        <v>OK</v>
      </c>
    </row>
    <row r="1405" spans="1:10" x14ac:dyDescent="0.2">
      <c r="A1405">
        <v>11404</v>
      </c>
      <c r="B1405" t="s">
        <v>10</v>
      </c>
      <c r="C1405" t="s">
        <v>9</v>
      </c>
      <c r="D1405" s="8">
        <v>4.88</v>
      </c>
      <c r="E1405">
        <v>4</v>
      </c>
      <c r="F1405" t="str">
        <f t="shared" si="84"/>
        <v>Standard</v>
      </c>
      <c r="G1405" s="3" cm="1">
        <f t="array" ref="G1405">_xlfn.XLOOKUP(C1405 &amp; F1405,
         [1]unilever_price_limits!A:A &amp; [1]unilever_price_limits!B:B,
         [1]unilever_price_limits!C:C)</f>
        <v>30</v>
      </c>
      <c r="H1405" s="8">
        <f t="shared" si="85"/>
        <v>6.3440000000000003</v>
      </c>
      <c r="I1405" s="6">
        <f t="shared" si="86"/>
        <v>30.000000000000004</v>
      </c>
      <c r="J1405" t="str">
        <f t="shared" si="87"/>
        <v>OK</v>
      </c>
    </row>
    <row r="1406" spans="1:10" x14ac:dyDescent="0.2">
      <c r="A1406">
        <v>11405</v>
      </c>
      <c r="B1406" t="s">
        <v>10</v>
      </c>
      <c r="C1406" t="s">
        <v>11</v>
      </c>
      <c r="D1406" s="8">
        <v>13.48</v>
      </c>
      <c r="E1406">
        <v>6</v>
      </c>
      <c r="F1406" t="str">
        <f t="shared" si="84"/>
        <v>Standard</v>
      </c>
      <c r="G1406" s="3" cm="1">
        <f t="array" ref="G1406">_xlfn.XLOOKUP(C1406 &amp; F1406,
         [1]unilever_price_limits!A:A &amp; [1]unilever_price_limits!B:B,
         [1]unilever_price_limits!C:C)</f>
        <v>25</v>
      </c>
      <c r="H1406" s="8">
        <f t="shared" si="85"/>
        <v>16.850000000000001</v>
      </c>
      <c r="I1406" s="6">
        <f t="shared" si="86"/>
        <v>25</v>
      </c>
      <c r="J1406" t="str">
        <f t="shared" si="87"/>
        <v>OK</v>
      </c>
    </row>
    <row r="1407" spans="1:10" x14ac:dyDescent="0.2">
      <c r="A1407">
        <v>11406</v>
      </c>
      <c r="B1407" t="s">
        <v>7</v>
      </c>
      <c r="C1407" t="s">
        <v>6</v>
      </c>
      <c r="D1407" s="8">
        <v>14.59</v>
      </c>
      <c r="E1407">
        <v>5</v>
      </c>
      <c r="F1407" t="str">
        <f t="shared" si="84"/>
        <v>Standard</v>
      </c>
      <c r="G1407" s="3" cm="1">
        <f t="array" ref="G1407">_xlfn.XLOOKUP(C1407 &amp; F1407,
         [1]unilever_price_limits!A:A &amp; [1]unilever_price_limits!B:B,
         [1]unilever_price_limits!C:C)</f>
        <v>28</v>
      </c>
      <c r="H1407" s="8">
        <f t="shared" si="85"/>
        <v>18.6752</v>
      </c>
      <c r="I1407" s="6">
        <f t="shared" si="86"/>
        <v>28.000000000000004</v>
      </c>
      <c r="J1407" t="str">
        <f t="shared" si="87"/>
        <v>OK</v>
      </c>
    </row>
    <row r="1408" spans="1:10" x14ac:dyDescent="0.2">
      <c r="A1408">
        <v>11407</v>
      </c>
      <c r="B1408" t="s">
        <v>10</v>
      </c>
      <c r="C1408" t="s">
        <v>9</v>
      </c>
      <c r="D1408" s="8">
        <v>12.96</v>
      </c>
      <c r="E1408">
        <v>10</v>
      </c>
      <c r="F1408" t="str">
        <f t="shared" si="84"/>
        <v>Premium</v>
      </c>
      <c r="G1408" s="3" cm="1">
        <f t="array" ref="G1408">_xlfn.XLOOKUP(C1408 &amp; F1408,
         [1]unilever_price_limits!A:A &amp; [1]unilever_price_limits!B:B,
         [1]unilever_price_limits!C:C)</f>
        <v>60</v>
      </c>
      <c r="H1408" s="8">
        <f t="shared" si="85"/>
        <v>20.736000000000004</v>
      </c>
      <c r="I1408" s="6">
        <f t="shared" si="86"/>
        <v>60.000000000000028</v>
      </c>
      <c r="J1408" t="str">
        <f t="shared" si="87"/>
        <v>OK</v>
      </c>
    </row>
    <row r="1409" spans="1:10" x14ac:dyDescent="0.2">
      <c r="A1409">
        <v>11408</v>
      </c>
      <c r="B1409" t="s">
        <v>8</v>
      </c>
      <c r="C1409" t="s">
        <v>9</v>
      </c>
      <c r="D1409" s="8">
        <v>2.1</v>
      </c>
      <c r="E1409">
        <v>4</v>
      </c>
      <c r="F1409" t="str">
        <f t="shared" si="84"/>
        <v>Standard</v>
      </c>
      <c r="G1409" s="3" cm="1">
        <f t="array" ref="G1409">_xlfn.XLOOKUP(C1409 &amp; F1409,
         [1]unilever_price_limits!A:A &amp; [1]unilever_price_limits!B:B,
         [1]unilever_price_limits!C:C)</f>
        <v>30</v>
      </c>
      <c r="H1409" s="8">
        <f t="shared" si="85"/>
        <v>2.7300000000000004</v>
      </c>
      <c r="I1409" s="6">
        <f t="shared" si="86"/>
        <v>30.000000000000004</v>
      </c>
      <c r="J1409" t="str">
        <f t="shared" si="87"/>
        <v>OK</v>
      </c>
    </row>
    <row r="1410" spans="1:10" x14ac:dyDescent="0.2">
      <c r="A1410">
        <v>11409</v>
      </c>
      <c r="B1410" t="s">
        <v>5</v>
      </c>
      <c r="C1410" t="s">
        <v>9</v>
      </c>
      <c r="D1410" s="8">
        <v>14.24</v>
      </c>
      <c r="E1410">
        <v>2</v>
      </c>
      <c r="F1410" t="str">
        <f t="shared" si="84"/>
        <v>Value</v>
      </c>
      <c r="G1410" s="3" cm="1">
        <f t="array" ref="G1410">_xlfn.XLOOKUP(C1410 &amp; F1410,
         [1]unilever_price_limits!A:A &amp; [1]unilever_price_limits!B:B,
         [1]unilever_price_limits!C:C)</f>
        <v>15</v>
      </c>
      <c r="H1410" s="8">
        <f t="shared" si="85"/>
        <v>16.375999999999998</v>
      </c>
      <c r="I1410" s="6">
        <f t="shared" si="86"/>
        <v>14.999999999999991</v>
      </c>
      <c r="J1410" t="str">
        <f t="shared" si="87"/>
        <v>OK</v>
      </c>
    </row>
    <row r="1411" spans="1:10" x14ac:dyDescent="0.2">
      <c r="A1411">
        <v>11410</v>
      </c>
      <c r="B1411" t="s">
        <v>10</v>
      </c>
      <c r="C1411" t="s">
        <v>6</v>
      </c>
      <c r="D1411" s="8">
        <v>6.64</v>
      </c>
      <c r="E1411">
        <v>5</v>
      </c>
      <c r="F1411" t="str">
        <f t="shared" ref="F1411:F1474" si="88">IF(E1411&lt;=3,"Value",
 IF(E1411&lt;=7,"Standard","Premium"))</f>
        <v>Standard</v>
      </c>
      <c r="G1411" s="3" cm="1">
        <f t="array" ref="G1411">_xlfn.XLOOKUP(C1411 &amp; F1411,
         [1]unilever_price_limits!A:A &amp; [1]unilever_price_limits!B:B,
         [1]unilever_price_limits!C:C)</f>
        <v>28</v>
      </c>
      <c r="H1411" s="8">
        <f t="shared" ref="H1411:H1474" si="89">D1411 * (1 + G1411/100)</f>
        <v>8.4992000000000001</v>
      </c>
      <c r="I1411" s="6">
        <f t="shared" ref="I1411:I1474" si="90">(H1411 / D1411 - 1) * 100</f>
        <v>28.000000000000004</v>
      </c>
      <c r="J1411" t="str">
        <f t="shared" ref="J1411:J1474" si="91">IF(I1410&gt; G1410, "⚠ Exceeds Limit", "OK")</f>
        <v>OK</v>
      </c>
    </row>
    <row r="1412" spans="1:10" x14ac:dyDescent="0.2">
      <c r="A1412">
        <v>11411</v>
      </c>
      <c r="B1412" t="s">
        <v>7</v>
      </c>
      <c r="C1412" t="s">
        <v>6</v>
      </c>
      <c r="D1412" s="8">
        <v>0.63</v>
      </c>
      <c r="E1412">
        <v>5</v>
      </c>
      <c r="F1412" t="str">
        <f t="shared" si="88"/>
        <v>Standard</v>
      </c>
      <c r="G1412" s="3" cm="1">
        <f t="array" ref="G1412">_xlfn.XLOOKUP(C1412 &amp; F1412,
         [1]unilever_price_limits!A:A &amp; [1]unilever_price_limits!B:B,
         [1]unilever_price_limits!C:C)</f>
        <v>28</v>
      </c>
      <c r="H1412" s="8">
        <f t="shared" si="89"/>
        <v>0.80640000000000001</v>
      </c>
      <c r="I1412" s="6">
        <f t="shared" si="90"/>
        <v>28.000000000000004</v>
      </c>
      <c r="J1412" t="str">
        <f t="shared" si="91"/>
        <v>OK</v>
      </c>
    </row>
    <row r="1413" spans="1:10" x14ac:dyDescent="0.2">
      <c r="A1413">
        <v>11412</v>
      </c>
      <c r="B1413" t="s">
        <v>10</v>
      </c>
      <c r="C1413" t="s">
        <v>6</v>
      </c>
      <c r="D1413" s="8">
        <v>6.91</v>
      </c>
      <c r="E1413">
        <v>7</v>
      </c>
      <c r="F1413" t="str">
        <f t="shared" si="88"/>
        <v>Standard</v>
      </c>
      <c r="G1413" s="3" cm="1">
        <f t="array" ref="G1413">_xlfn.XLOOKUP(C1413 &amp; F1413,
         [1]unilever_price_limits!A:A &amp; [1]unilever_price_limits!B:B,
         [1]unilever_price_limits!C:C)</f>
        <v>28</v>
      </c>
      <c r="H1413" s="8">
        <f t="shared" si="89"/>
        <v>8.8448000000000011</v>
      </c>
      <c r="I1413" s="6">
        <f t="shared" si="90"/>
        <v>28.000000000000004</v>
      </c>
      <c r="J1413" t="str">
        <f t="shared" si="91"/>
        <v>OK</v>
      </c>
    </row>
    <row r="1414" spans="1:10" x14ac:dyDescent="0.2">
      <c r="A1414">
        <v>11413</v>
      </c>
      <c r="B1414" t="s">
        <v>8</v>
      </c>
      <c r="C1414" t="s">
        <v>11</v>
      </c>
      <c r="D1414" s="8">
        <v>1.17</v>
      </c>
      <c r="E1414">
        <v>1</v>
      </c>
      <c r="F1414" t="str">
        <f t="shared" si="88"/>
        <v>Value</v>
      </c>
      <c r="G1414" s="3" cm="1">
        <f t="array" ref="G1414">_xlfn.XLOOKUP(C1414 &amp; F1414,
         [1]unilever_price_limits!A:A &amp; [1]unilever_price_limits!B:B,
         [1]unilever_price_limits!C:C)</f>
        <v>10</v>
      </c>
      <c r="H1414" s="8">
        <f t="shared" si="89"/>
        <v>1.2869999999999999</v>
      </c>
      <c r="I1414" s="6">
        <f t="shared" si="90"/>
        <v>10.000000000000009</v>
      </c>
      <c r="J1414" t="str">
        <f t="shared" si="91"/>
        <v>OK</v>
      </c>
    </row>
    <row r="1415" spans="1:10" x14ac:dyDescent="0.2">
      <c r="A1415">
        <v>11414</v>
      </c>
      <c r="B1415" t="s">
        <v>7</v>
      </c>
      <c r="C1415" t="s">
        <v>11</v>
      </c>
      <c r="D1415" s="8">
        <v>8.39</v>
      </c>
      <c r="E1415">
        <v>4</v>
      </c>
      <c r="F1415" t="str">
        <f t="shared" si="88"/>
        <v>Standard</v>
      </c>
      <c r="G1415" s="3" cm="1">
        <f t="array" ref="G1415">_xlfn.XLOOKUP(C1415 &amp; F1415,
         [1]unilever_price_limits!A:A &amp; [1]unilever_price_limits!B:B,
         [1]unilever_price_limits!C:C)</f>
        <v>25</v>
      </c>
      <c r="H1415" s="8">
        <f t="shared" si="89"/>
        <v>10.487500000000001</v>
      </c>
      <c r="I1415" s="6">
        <f t="shared" si="90"/>
        <v>25</v>
      </c>
      <c r="J1415" t="str">
        <f t="shared" si="91"/>
        <v>OK</v>
      </c>
    </row>
    <row r="1416" spans="1:10" x14ac:dyDescent="0.2">
      <c r="A1416">
        <v>11415</v>
      </c>
      <c r="B1416" t="s">
        <v>10</v>
      </c>
      <c r="C1416" t="s">
        <v>9</v>
      </c>
      <c r="D1416" s="8">
        <v>5.41</v>
      </c>
      <c r="E1416">
        <v>5</v>
      </c>
      <c r="F1416" t="str">
        <f t="shared" si="88"/>
        <v>Standard</v>
      </c>
      <c r="G1416" s="3" cm="1">
        <f t="array" ref="G1416">_xlfn.XLOOKUP(C1416 &amp; F1416,
         [1]unilever_price_limits!A:A &amp; [1]unilever_price_limits!B:B,
         [1]unilever_price_limits!C:C)</f>
        <v>30</v>
      </c>
      <c r="H1416" s="8">
        <f t="shared" si="89"/>
        <v>7.0330000000000004</v>
      </c>
      <c r="I1416" s="6">
        <f t="shared" si="90"/>
        <v>30.000000000000004</v>
      </c>
      <c r="J1416" t="str">
        <f t="shared" si="91"/>
        <v>OK</v>
      </c>
    </row>
    <row r="1417" spans="1:10" x14ac:dyDescent="0.2">
      <c r="A1417">
        <v>11416</v>
      </c>
      <c r="B1417" t="s">
        <v>7</v>
      </c>
      <c r="C1417" t="s">
        <v>6</v>
      </c>
      <c r="D1417" s="8">
        <v>7.36</v>
      </c>
      <c r="E1417">
        <v>8</v>
      </c>
      <c r="F1417" t="str">
        <f t="shared" si="88"/>
        <v>Premium</v>
      </c>
      <c r="G1417" s="3" cm="1">
        <f t="array" ref="G1417">_xlfn.XLOOKUP(C1417 &amp; F1417,
         [1]unilever_price_limits!A:A &amp; [1]unilever_price_limits!B:B,
         [1]unilever_price_limits!C:C)</f>
        <v>55</v>
      </c>
      <c r="H1417" s="8">
        <f t="shared" si="89"/>
        <v>11.408000000000001</v>
      </c>
      <c r="I1417" s="6">
        <f t="shared" si="90"/>
        <v>55.000000000000007</v>
      </c>
      <c r="J1417" t="str">
        <f t="shared" si="91"/>
        <v>OK</v>
      </c>
    </row>
    <row r="1418" spans="1:10" x14ac:dyDescent="0.2">
      <c r="A1418">
        <v>11417</v>
      </c>
      <c r="B1418" t="s">
        <v>8</v>
      </c>
      <c r="C1418" t="s">
        <v>9</v>
      </c>
      <c r="D1418" s="8">
        <v>9.39</v>
      </c>
      <c r="E1418">
        <v>8</v>
      </c>
      <c r="F1418" t="str">
        <f t="shared" si="88"/>
        <v>Premium</v>
      </c>
      <c r="G1418" s="3" cm="1">
        <f t="array" ref="G1418">_xlfn.XLOOKUP(C1418 &amp; F1418,
         [1]unilever_price_limits!A:A &amp; [1]unilever_price_limits!B:B,
         [1]unilever_price_limits!C:C)</f>
        <v>60</v>
      </c>
      <c r="H1418" s="8">
        <f t="shared" si="89"/>
        <v>15.024000000000001</v>
      </c>
      <c r="I1418" s="6">
        <f t="shared" si="90"/>
        <v>60.000000000000007</v>
      </c>
      <c r="J1418" t="str">
        <f t="shared" si="91"/>
        <v>OK</v>
      </c>
    </row>
    <row r="1419" spans="1:10" x14ac:dyDescent="0.2">
      <c r="A1419">
        <v>11418</v>
      </c>
      <c r="B1419" t="s">
        <v>5</v>
      </c>
      <c r="C1419" t="s">
        <v>6</v>
      </c>
      <c r="D1419" s="8">
        <v>13.1</v>
      </c>
      <c r="E1419">
        <v>1</v>
      </c>
      <c r="F1419" t="str">
        <f t="shared" si="88"/>
        <v>Value</v>
      </c>
      <c r="G1419" s="3" cm="1">
        <f t="array" ref="G1419">_xlfn.XLOOKUP(C1419 &amp; F1419,
         [1]unilever_price_limits!A:A &amp; [1]unilever_price_limits!B:B,
         [1]unilever_price_limits!C:C)</f>
        <v>12</v>
      </c>
      <c r="H1419" s="8">
        <f t="shared" si="89"/>
        <v>14.672000000000001</v>
      </c>
      <c r="I1419" s="6">
        <f t="shared" si="90"/>
        <v>12.000000000000011</v>
      </c>
      <c r="J1419" t="str">
        <f t="shared" si="91"/>
        <v>OK</v>
      </c>
    </row>
    <row r="1420" spans="1:10" x14ac:dyDescent="0.2">
      <c r="A1420">
        <v>11419</v>
      </c>
      <c r="B1420" t="s">
        <v>8</v>
      </c>
      <c r="C1420" t="s">
        <v>6</v>
      </c>
      <c r="D1420" s="8">
        <v>10.1</v>
      </c>
      <c r="E1420">
        <v>5</v>
      </c>
      <c r="F1420" t="str">
        <f t="shared" si="88"/>
        <v>Standard</v>
      </c>
      <c r="G1420" s="3" cm="1">
        <f t="array" ref="G1420">_xlfn.XLOOKUP(C1420 &amp; F1420,
         [1]unilever_price_limits!A:A &amp; [1]unilever_price_limits!B:B,
         [1]unilever_price_limits!C:C)</f>
        <v>28</v>
      </c>
      <c r="H1420" s="8">
        <f t="shared" si="89"/>
        <v>12.927999999999999</v>
      </c>
      <c r="I1420" s="6">
        <f t="shared" si="90"/>
        <v>28.000000000000004</v>
      </c>
      <c r="J1420" t="str">
        <f t="shared" si="91"/>
        <v>OK</v>
      </c>
    </row>
    <row r="1421" spans="1:10" x14ac:dyDescent="0.2">
      <c r="A1421">
        <v>11420</v>
      </c>
      <c r="B1421" t="s">
        <v>8</v>
      </c>
      <c r="C1421" t="s">
        <v>6</v>
      </c>
      <c r="D1421" s="8">
        <v>6.79</v>
      </c>
      <c r="E1421">
        <v>10</v>
      </c>
      <c r="F1421" t="str">
        <f t="shared" si="88"/>
        <v>Premium</v>
      </c>
      <c r="G1421" s="3" cm="1">
        <f t="array" ref="G1421">_xlfn.XLOOKUP(C1421 &amp; F1421,
         [1]unilever_price_limits!A:A &amp; [1]unilever_price_limits!B:B,
         [1]unilever_price_limits!C:C)</f>
        <v>55</v>
      </c>
      <c r="H1421" s="8">
        <f t="shared" si="89"/>
        <v>10.5245</v>
      </c>
      <c r="I1421" s="6">
        <f t="shared" si="90"/>
        <v>55.000000000000007</v>
      </c>
      <c r="J1421" t="str">
        <f t="shared" si="91"/>
        <v>OK</v>
      </c>
    </row>
    <row r="1422" spans="1:10" x14ac:dyDescent="0.2">
      <c r="A1422">
        <v>11421</v>
      </c>
      <c r="B1422" t="s">
        <v>8</v>
      </c>
      <c r="C1422" t="s">
        <v>11</v>
      </c>
      <c r="D1422" s="8">
        <v>12.38</v>
      </c>
      <c r="E1422">
        <v>1</v>
      </c>
      <c r="F1422" t="str">
        <f t="shared" si="88"/>
        <v>Value</v>
      </c>
      <c r="G1422" s="3" cm="1">
        <f t="array" ref="G1422">_xlfn.XLOOKUP(C1422 &amp; F1422,
         [1]unilever_price_limits!A:A &amp; [1]unilever_price_limits!B:B,
         [1]unilever_price_limits!C:C)</f>
        <v>10</v>
      </c>
      <c r="H1422" s="8">
        <f t="shared" si="89"/>
        <v>13.618000000000002</v>
      </c>
      <c r="I1422" s="6">
        <f t="shared" si="90"/>
        <v>10.000000000000009</v>
      </c>
      <c r="J1422" t="str">
        <f t="shared" si="91"/>
        <v>OK</v>
      </c>
    </row>
    <row r="1423" spans="1:10" x14ac:dyDescent="0.2">
      <c r="A1423">
        <v>11422</v>
      </c>
      <c r="B1423" t="s">
        <v>8</v>
      </c>
      <c r="C1423" t="s">
        <v>11</v>
      </c>
      <c r="D1423" s="8">
        <v>13.63</v>
      </c>
      <c r="E1423">
        <v>1</v>
      </c>
      <c r="F1423" t="str">
        <f t="shared" si="88"/>
        <v>Value</v>
      </c>
      <c r="G1423" s="3" cm="1">
        <f t="array" ref="G1423">_xlfn.XLOOKUP(C1423 &amp; F1423,
         [1]unilever_price_limits!A:A &amp; [1]unilever_price_limits!B:B,
         [1]unilever_price_limits!C:C)</f>
        <v>10</v>
      </c>
      <c r="H1423" s="8">
        <f t="shared" si="89"/>
        <v>14.993000000000002</v>
      </c>
      <c r="I1423" s="6">
        <f t="shared" si="90"/>
        <v>10.000000000000009</v>
      </c>
      <c r="J1423" t="str">
        <f t="shared" si="91"/>
        <v>OK</v>
      </c>
    </row>
    <row r="1424" spans="1:10" x14ac:dyDescent="0.2">
      <c r="A1424">
        <v>11423</v>
      </c>
      <c r="B1424" t="s">
        <v>5</v>
      </c>
      <c r="C1424" t="s">
        <v>6</v>
      </c>
      <c r="D1424" s="8">
        <v>2.2400000000000002</v>
      </c>
      <c r="E1424">
        <v>2</v>
      </c>
      <c r="F1424" t="str">
        <f t="shared" si="88"/>
        <v>Value</v>
      </c>
      <c r="G1424" s="3" cm="1">
        <f t="array" ref="G1424">_xlfn.XLOOKUP(C1424 &amp; F1424,
         [1]unilever_price_limits!A:A &amp; [1]unilever_price_limits!B:B,
         [1]unilever_price_limits!C:C)</f>
        <v>12</v>
      </c>
      <c r="H1424" s="8">
        <f t="shared" si="89"/>
        <v>2.5088000000000004</v>
      </c>
      <c r="I1424" s="6">
        <f t="shared" si="90"/>
        <v>12.000000000000011</v>
      </c>
      <c r="J1424" t="str">
        <f t="shared" si="91"/>
        <v>OK</v>
      </c>
    </row>
    <row r="1425" spans="1:10" x14ac:dyDescent="0.2">
      <c r="A1425">
        <v>11424</v>
      </c>
      <c r="B1425" t="s">
        <v>5</v>
      </c>
      <c r="C1425" t="s">
        <v>9</v>
      </c>
      <c r="D1425" s="8">
        <v>8.2100000000000009</v>
      </c>
      <c r="E1425">
        <v>2</v>
      </c>
      <c r="F1425" t="str">
        <f t="shared" si="88"/>
        <v>Value</v>
      </c>
      <c r="G1425" s="3" cm="1">
        <f t="array" ref="G1425">_xlfn.XLOOKUP(C1425 &amp; F1425,
         [1]unilever_price_limits!A:A &amp; [1]unilever_price_limits!B:B,
         [1]unilever_price_limits!C:C)</f>
        <v>15</v>
      </c>
      <c r="H1425" s="8">
        <f t="shared" si="89"/>
        <v>9.4414999999999996</v>
      </c>
      <c r="I1425" s="6">
        <f t="shared" si="90"/>
        <v>14.999999999999991</v>
      </c>
      <c r="J1425" t="str">
        <f t="shared" si="91"/>
        <v>OK</v>
      </c>
    </row>
    <row r="1426" spans="1:10" x14ac:dyDescent="0.2">
      <c r="A1426">
        <v>11425</v>
      </c>
      <c r="B1426" t="s">
        <v>7</v>
      </c>
      <c r="C1426" t="s">
        <v>6</v>
      </c>
      <c r="D1426" s="8">
        <v>4.63</v>
      </c>
      <c r="E1426">
        <v>9</v>
      </c>
      <c r="F1426" t="str">
        <f t="shared" si="88"/>
        <v>Premium</v>
      </c>
      <c r="G1426" s="3" cm="1">
        <f t="array" ref="G1426">_xlfn.XLOOKUP(C1426 &amp; F1426,
         [1]unilever_price_limits!A:A &amp; [1]unilever_price_limits!B:B,
         [1]unilever_price_limits!C:C)</f>
        <v>55</v>
      </c>
      <c r="H1426" s="8">
        <f t="shared" si="89"/>
        <v>7.1764999999999999</v>
      </c>
      <c r="I1426" s="6">
        <f t="shared" si="90"/>
        <v>55.000000000000007</v>
      </c>
      <c r="J1426" t="str">
        <f t="shared" si="91"/>
        <v>OK</v>
      </c>
    </row>
    <row r="1427" spans="1:10" x14ac:dyDescent="0.2">
      <c r="A1427">
        <v>11426</v>
      </c>
      <c r="B1427" t="s">
        <v>10</v>
      </c>
      <c r="C1427" t="s">
        <v>6</v>
      </c>
      <c r="D1427" s="8">
        <v>1.18</v>
      </c>
      <c r="E1427">
        <v>4</v>
      </c>
      <c r="F1427" t="str">
        <f t="shared" si="88"/>
        <v>Standard</v>
      </c>
      <c r="G1427" s="3" cm="1">
        <f t="array" ref="G1427">_xlfn.XLOOKUP(C1427 &amp; F1427,
         [1]unilever_price_limits!A:A &amp; [1]unilever_price_limits!B:B,
         [1]unilever_price_limits!C:C)</f>
        <v>28</v>
      </c>
      <c r="H1427" s="8">
        <f t="shared" si="89"/>
        <v>1.5104</v>
      </c>
      <c r="I1427" s="6">
        <f t="shared" si="90"/>
        <v>28.000000000000004</v>
      </c>
      <c r="J1427" t="str">
        <f t="shared" si="91"/>
        <v>OK</v>
      </c>
    </row>
    <row r="1428" spans="1:10" x14ac:dyDescent="0.2">
      <c r="A1428">
        <v>11427</v>
      </c>
      <c r="B1428" t="s">
        <v>5</v>
      </c>
      <c r="C1428" t="s">
        <v>9</v>
      </c>
      <c r="D1428" s="8">
        <v>10.19</v>
      </c>
      <c r="E1428">
        <v>3</v>
      </c>
      <c r="F1428" t="str">
        <f t="shared" si="88"/>
        <v>Value</v>
      </c>
      <c r="G1428" s="3" cm="1">
        <f t="array" ref="G1428">_xlfn.XLOOKUP(C1428 &amp; F1428,
         [1]unilever_price_limits!A:A &amp; [1]unilever_price_limits!B:B,
         [1]unilever_price_limits!C:C)</f>
        <v>15</v>
      </c>
      <c r="H1428" s="8">
        <f t="shared" si="89"/>
        <v>11.718499999999999</v>
      </c>
      <c r="I1428" s="6">
        <f t="shared" si="90"/>
        <v>14.999999999999991</v>
      </c>
      <c r="J1428" t="str">
        <f t="shared" si="91"/>
        <v>OK</v>
      </c>
    </row>
    <row r="1429" spans="1:10" x14ac:dyDescent="0.2">
      <c r="A1429">
        <v>11428</v>
      </c>
      <c r="B1429" t="s">
        <v>5</v>
      </c>
      <c r="C1429" t="s">
        <v>6</v>
      </c>
      <c r="D1429" s="8">
        <v>13.01</v>
      </c>
      <c r="E1429">
        <v>1</v>
      </c>
      <c r="F1429" t="str">
        <f t="shared" si="88"/>
        <v>Value</v>
      </c>
      <c r="G1429" s="3" cm="1">
        <f t="array" ref="G1429">_xlfn.XLOOKUP(C1429 &amp; F1429,
         [1]unilever_price_limits!A:A &amp; [1]unilever_price_limits!B:B,
         [1]unilever_price_limits!C:C)</f>
        <v>12</v>
      </c>
      <c r="H1429" s="8">
        <f t="shared" si="89"/>
        <v>14.571200000000001</v>
      </c>
      <c r="I1429" s="6">
        <f t="shared" si="90"/>
        <v>12.000000000000011</v>
      </c>
      <c r="J1429" t="str">
        <f t="shared" si="91"/>
        <v>OK</v>
      </c>
    </row>
    <row r="1430" spans="1:10" x14ac:dyDescent="0.2">
      <c r="A1430">
        <v>11429</v>
      </c>
      <c r="B1430" t="s">
        <v>10</v>
      </c>
      <c r="C1430" t="s">
        <v>9</v>
      </c>
      <c r="D1430" s="8">
        <v>2.86</v>
      </c>
      <c r="E1430">
        <v>2</v>
      </c>
      <c r="F1430" t="str">
        <f t="shared" si="88"/>
        <v>Value</v>
      </c>
      <c r="G1430" s="3" cm="1">
        <f t="array" ref="G1430">_xlfn.XLOOKUP(C1430 &amp; F1430,
         [1]unilever_price_limits!A:A &amp; [1]unilever_price_limits!B:B,
         [1]unilever_price_limits!C:C)</f>
        <v>15</v>
      </c>
      <c r="H1430" s="8">
        <f t="shared" si="89"/>
        <v>3.2889999999999997</v>
      </c>
      <c r="I1430" s="6">
        <f t="shared" si="90"/>
        <v>14.999999999999991</v>
      </c>
      <c r="J1430" t="str">
        <f t="shared" si="91"/>
        <v>OK</v>
      </c>
    </row>
    <row r="1431" spans="1:10" x14ac:dyDescent="0.2">
      <c r="A1431">
        <v>11430</v>
      </c>
      <c r="B1431" t="s">
        <v>5</v>
      </c>
      <c r="C1431" t="s">
        <v>11</v>
      </c>
      <c r="D1431" s="8">
        <v>12.28</v>
      </c>
      <c r="E1431">
        <v>6</v>
      </c>
      <c r="F1431" t="str">
        <f t="shared" si="88"/>
        <v>Standard</v>
      </c>
      <c r="G1431" s="3" cm="1">
        <f t="array" ref="G1431">_xlfn.XLOOKUP(C1431 &amp; F1431,
         [1]unilever_price_limits!A:A &amp; [1]unilever_price_limits!B:B,
         [1]unilever_price_limits!C:C)</f>
        <v>25</v>
      </c>
      <c r="H1431" s="8">
        <f t="shared" si="89"/>
        <v>15.35</v>
      </c>
      <c r="I1431" s="6">
        <f t="shared" si="90"/>
        <v>25</v>
      </c>
      <c r="J1431" t="str">
        <f t="shared" si="91"/>
        <v>OK</v>
      </c>
    </row>
    <row r="1432" spans="1:10" x14ac:dyDescent="0.2">
      <c r="A1432">
        <v>11431</v>
      </c>
      <c r="B1432" t="s">
        <v>8</v>
      </c>
      <c r="C1432" t="s">
        <v>11</v>
      </c>
      <c r="D1432" s="8">
        <v>12.87</v>
      </c>
      <c r="E1432">
        <v>9</v>
      </c>
      <c r="F1432" t="str">
        <f t="shared" si="88"/>
        <v>Premium</v>
      </c>
      <c r="G1432" s="3" cm="1">
        <f t="array" ref="G1432">_xlfn.XLOOKUP(C1432 &amp; F1432,
         [1]unilever_price_limits!A:A &amp; [1]unilever_price_limits!B:B,
         [1]unilever_price_limits!C:C)</f>
        <v>50</v>
      </c>
      <c r="H1432" s="8">
        <f t="shared" si="89"/>
        <v>19.305</v>
      </c>
      <c r="I1432" s="6">
        <f t="shared" si="90"/>
        <v>50</v>
      </c>
      <c r="J1432" t="str">
        <f t="shared" si="91"/>
        <v>OK</v>
      </c>
    </row>
    <row r="1433" spans="1:10" x14ac:dyDescent="0.2">
      <c r="A1433">
        <v>11432</v>
      </c>
      <c r="B1433" t="s">
        <v>8</v>
      </c>
      <c r="C1433" t="s">
        <v>9</v>
      </c>
      <c r="D1433" s="8">
        <v>13.76</v>
      </c>
      <c r="E1433">
        <v>5</v>
      </c>
      <c r="F1433" t="str">
        <f t="shared" si="88"/>
        <v>Standard</v>
      </c>
      <c r="G1433" s="3" cm="1">
        <f t="array" ref="G1433">_xlfn.XLOOKUP(C1433 &amp; F1433,
         [1]unilever_price_limits!A:A &amp; [1]unilever_price_limits!B:B,
         [1]unilever_price_limits!C:C)</f>
        <v>30</v>
      </c>
      <c r="H1433" s="8">
        <f t="shared" si="89"/>
        <v>17.888000000000002</v>
      </c>
      <c r="I1433" s="6">
        <f t="shared" si="90"/>
        <v>30.000000000000004</v>
      </c>
      <c r="J1433" t="str">
        <f t="shared" si="91"/>
        <v>OK</v>
      </c>
    </row>
    <row r="1434" spans="1:10" x14ac:dyDescent="0.2">
      <c r="A1434">
        <v>11433</v>
      </c>
      <c r="B1434" t="s">
        <v>10</v>
      </c>
      <c r="C1434" t="s">
        <v>11</v>
      </c>
      <c r="D1434" s="8">
        <v>4.3499999999999996</v>
      </c>
      <c r="E1434">
        <v>4</v>
      </c>
      <c r="F1434" t="str">
        <f t="shared" si="88"/>
        <v>Standard</v>
      </c>
      <c r="G1434" s="3" cm="1">
        <f t="array" ref="G1434">_xlfn.XLOOKUP(C1434 &amp; F1434,
         [1]unilever_price_limits!A:A &amp; [1]unilever_price_limits!B:B,
         [1]unilever_price_limits!C:C)</f>
        <v>25</v>
      </c>
      <c r="H1434" s="8">
        <f t="shared" si="89"/>
        <v>5.4375</v>
      </c>
      <c r="I1434" s="6">
        <f t="shared" si="90"/>
        <v>25</v>
      </c>
      <c r="J1434" t="str">
        <f t="shared" si="91"/>
        <v>OK</v>
      </c>
    </row>
    <row r="1435" spans="1:10" x14ac:dyDescent="0.2">
      <c r="A1435">
        <v>11434</v>
      </c>
      <c r="B1435" t="s">
        <v>7</v>
      </c>
      <c r="C1435" t="s">
        <v>11</v>
      </c>
      <c r="D1435" s="8">
        <v>13.61</v>
      </c>
      <c r="E1435">
        <v>5</v>
      </c>
      <c r="F1435" t="str">
        <f t="shared" si="88"/>
        <v>Standard</v>
      </c>
      <c r="G1435" s="3" cm="1">
        <f t="array" ref="G1435">_xlfn.XLOOKUP(C1435 &amp; F1435,
         [1]unilever_price_limits!A:A &amp; [1]unilever_price_limits!B:B,
         [1]unilever_price_limits!C:C)</f>
        <v>25</v>
      </c>
      <c r="H1435" s="8">
        <f t="shared" si="89"/>
        <v>17.012499999999999</v>
      </c>
      <c r="I1435" s="6">
        <f t="shared" si="90"/>
        <v>25</v>
      </c>
      <c r="J1435" t="str">
        <f t="shared" si="91"/>
        <v>OK</v>
      </c>
    </row>
    <row r="1436" spans="1:10" x14ac:dyDescent="0.2">
      <c r="A1436">
        <v>11435</v>
      </c>
      <c r="B1436" t="s">
        <v>7</v>
      </c>
      <c r="C1436" t="s">
        <v>9</v>
      </c>
      <c r="D1436" s="8">
        <v>5.15</v>
      </c>
      <c r="E1436">
        <v>9</v>
      </c>
      <c r="F1436" t="str">
        <f t="shared" si="88"/>
        <v>Premium</v>
      </c>
      <c r="G1436" s="3" cm="1">
        <f t="array" ref="G1436">_xlfn.XLOOKUP(C1436 &amp; F1436,
         [1]unilever_price_limits!A:A &amp; [1]unilever_price_limits!B:B,
         [1]unilever_price_limits!C:C)</f>
        <v>60</v>
      </c>
      <c r="H1436" s="8">
        <f t="shared" si="89"/>
        <v>8.24</v>
      </c>
      <c r="I1436" s="6">
        <f t="shared" si="90"/>
        <v>59.999999999999986</v>
      </c>
      <c r="J1436" t="str">
        <f t="shared" si="91"/>
        <v>OK</v>
      </c>
    </row>
    <row r="1437" spans="1:10" x14ac:dyDescent="0.2">
      <c r="A1437">
        <v>11436</v>
      </c>
      <c r="B1437" t="s">
        <v>10</v>
      </c>
      <c r="C1437" t="s">
        <v>11</v>
      </c>
      <c r="D1437" s="8">
        <v>8.51</v>
      </c>
      <c r="E1437">
        <v>7</v>
      </c>
      <c r="F1437" t="str">
        <f t="shared" si="88"/>
        <v>Standard</v>
      </c>
      <c r="G1437" s="3" cm="1">
        <f t="array" ref="G1437">_xlfn.XLOOKUP(C1437 &amp; F1437,
         [1]unilever_price_limits!A:A &amp; [1]unilever_price_limits!B:B,
         [1]unilever_price_limits!C:C)</f>
        <v>25</v>
      </c>
      <c r="H1437" s="8">
        <f t="shared" si="89"/>
        <v>10.637499999999999</v>
      </c>
      <c r="I1437" s="6">
        <f t="shared" si="90"/>
        <v>25</v>
      </c>
      <c r="J1437" t="str">
        <f t="shared" si="91"/>
        <v>OK</v>
      </c>
    </row>
    <row r="1438" spans="1:10" x14ac:dyDescent="0.2">
      <c r="A1438">
        <v>11437</v>
      </c>
      <c r="B1438" t="s">
        <v>10</v>
      </c>
      <c r="C1438" t="s">
        <v>6</v>
      </c>
      <c r="D1438" s="8">
        <v>1.23</v>
      </c>
      <c r="E1438">
        <v>8</v>
      </c>
      <c r="F1438" t="str">
        <f t="shared" si="88"/>
        <v>Premium</v>
      </c>
      <c r="G1438" s="3" cm="1">
        <f t="array" ref="G1438">_xlfn.XLOOKUP(C1438 &amp; F1438,
         [1]unilever_price_limits!A:A &amp; [1]unilever_price_limits!B:B,
         [1]unilever_price_limits!C:C)</f>
        <v>55</v>
      </c>
      <c r="H1438" s="8">
        <f t="shared" si="89"/>
        <v>1.9065000000000001</v>
      </c>
      <c r="I1438" s="6">
        <f t="shared" si="90"/>
        <v>55.000000000000007</v>
      </c>
      <c r="J1438" t="str">
        <f t="shared" si="91"/>
        <v>OK</v>
      </c>
    </row>
    <row r="1439" spans="1:10" x14ac:dyDescent="0.2">
      <c r="A1439">
        <v>11438</v>
      </c>
      <c r="B1439" t="s">
        <v>8</v>
      </c>
      <c r="C1439" t="s">
        <v>6</v>
      </c>
      <c r="D1439" s="8">
        <v>1.1399999999999999</v>
      </c>
      <c r="E1439">
        <v>4</v>
      </c>
      <c r="F1439" t="str">
        <f t="shared" si="88"/>
        <v>Standard</v>
      </c>
      <c r="G1439" s="3" cm="1">
        <f t="array" ref="G1439">_xlfn.XLOOKUP(C1439 &amp; F1439,
         [1]unilever_price_limits!A:A &amp; [1]unilever_price_limits!B:B,
         [1]unilever_price_limits!C:C)</f>
        <v>28</v>
      </c>
      <c r="H1439" s="8">
        <f t="shared" si="89"/>
        <v>1.4591999999999998</v>
      </c>
      <c r="I1439" s="6">
        <f t="shared" si="90"/>
        <v>28.000000000000004</v>
      </c>
      <c r="J1439" t="str">
        <f t="shared" si="91"/>
        <v>OK</v>
      </c>
    </row>
    <row r="1440" spans="1:10" x14ac:dyDescent="0.2">
      <c r="A1440">
        <v>11439</v>
      </c>
      <c r="B1440" t="s">
        <v>7</v>
      </c>
      <c r="C1440" t="s">
        <v>9</v>
      </c>
      <c r="D1440" s="8">
        <v>10.95</v>
      </c>
      <c r="E1440">
        <v>8</v>
      </c>
      <c r="F1440" t="str">
        <f t="shared" si="88"/>
        <v>Premium</v>
      </c>
      <c r="G1440" s="3" cm="1">
        <f t="array" ref="G1440">_xlfn.XLOOKUP(C1440 &amp; F1440,
         [1]unilever_price_limits!A:A &amp; [1]unilever_price_limits!B:B,
         [1]unilever_price_limits!C:C)</f>
        <v>60</v>
      </c>
      <c r="H1440" s="8">
        <f t="shared" si="89"/>
        <v>17.52</v>
      </c>
      <c r="I1440" s="6">
        <f t="shared" si="90"/>
        <v>60.000000000000007</v>
      </c>
      <c r="J1440" t="str">
        <f t="shared" si="91"/>
        <v>OK</v>
      </c>
    </row>
    <row r="1441" spans="1:10" x14ac:dyDescent="0.2">
      <c r="A1441">
        <v>11440</v>
      </c>
      <c r="B1441" t="s">
        <v>5</v>
      </c>
      <c r="C1441" t="s">
        <v>11</v>
      </c>
      <c r="D1441" s="8">
        <v>6.94</v>
      </c>
      <c r="E1441">
        <v>6</v>
      </c>
      <c r="F1441" t="str">
        <f t="shared" si="88"/>
        <v>Standard</v>
      </c>
      <c r="G1441" s="3" cm="1">
        <f t="array" ref="G1441">_xlfn.XLOOKUP(C1441 &amp; F1441,
         [1]unilever_price_limits!A:A &amp; [1]unilever_price_limits!B:B,
         [1]unilever_price_limits!C:C)</f>
        <v>25</v>
      </c>
      <c r="H1441" s="8">
        <f t="shared" si="89"/>
        <v>8.6750000000000007</v>
      </c>
      <c r="I1441" s="6">
        <f t="shared" si="90"/>
        <v>25</v>
      </c>
      <c r="J1441" t="str">
        <f t="shared" si="91"/>
        <v>OK</v>
      </c>
    </row>
    <row r="1442" spans="1:10" x14ac:dyDescent="0.2">
      <c r="A1442">
        <v>11441</v>
      </c>
      <c r="B1442" t="s">
        <v>8</v>
      </c>
      <c r="C1442" t="s">
        <v>6</v>
      </c>
      <c r="D1442" s="8">
        <v>4.22</v>
      </c>
      <c r="E1442">
        <v>5</v>
      </c>
      <c r="F1442" t="str">
        <f t="shared" si="88"/>
        <v>Standard</v>
      </c>
      <c r="G1442" s="3" cm="1">
        <f t="array" ref="G1442">_xlfn.XLOOKUP(C1442 &amp; F1442,
         [1]unilever_price_limits!A:A &amp; [1]unilever_price_limits!B:B,
         [1]unilever_price_limits!C:C)</f>
        <v>28</v>
      </c>
      <c r="H1442" s="8">
        <f t="shared" si="89"/>
        <v>5.4016000000000002</v>
      </c>
      <c r="I1442" s="6">
        <f t="shared" si="90"/>
        <v>28.000000000000004</v>
      </c>
      <c r="J1442" t="str">
        <f t="shared" si="91"/>
        <v>OK</v>
      </c>
    </row>
    <row r="1443" spans="1:10" x14ac:dyDescent="0.2">
      <c r="A1443">
        <v>11442</v>
      </c>
      <c r="B1443" t="s">
        <v>10</v>
      </c>
      <c r="C1443" t="s">
        <v>6</v>
      </c>
      <c r="D1443" s="8">
        <v>3.26</v>
      </c>
      <c r="E1443">
        <v>7</v>
      </c>
      <c r="F1443" t="str">
        <f t="shared" si="88"/>
        <v>Standard</v>
      </c>
      <c r="G1443" s="3" cm="1">
        <f t="array" ref="G1443">_xlfn.XLOOKUP(C1443 &amp; F1443,
         [1]unilever_price_limits!A:A &amp; [1]unilever_price_limits!B:B,
         [1]unilever_price_limits!C:C)</f>
        <v>28</v>
      </c>
      <c r="H1443" s="8">
        <f t="shared" si="89"/>
        <v>4.1727999999999996</v>
      </c>
      <c r="I1443" s="6">
        <f t="shared" si="90"/>
        <v>28.000000000000004</v>
      </c>
      <c r="J1443" t="str">
        <f t="shared" si="91"/>
        <v>OK</v>
      </c>
    </row>
    <row r="1444" spans="1:10" x14ac:dyDescent="0.2">
      <c r="A1444">
        <v>11443</v>
      </c>
      <c r="B1444" t="s">
        <v>7</v>
      </c>
      <c r="C1444" t="s">
        <v>11</v>
      </c>
      <c r="D1444" s="8">
        <v>10.210000000000001</v>
      </c>
      <c r="E1444">
        <v>6</v>
      </c>
      <c r="F1444" t="str">
        <f t="shared" si="88"/>
        <v>Standard</v>
      </c>
      <c r="G1444" s="3" cm="1">
        <f t="array" ref="G1444">_xlfn.XLOOKUP(C1444 &amp; F1444,
         [1]unilever_price_limits!A:A &amp; [1]unilever_price_limits!B:B,
         [1]unilever_price_limits!C:C)</f>
        <v>25</v>
      </c>
      <c r="H1444" s="8">
        <f t="shared" si="89"/>
        <v>12.762500000000001</v>
      </c>
      <c r="I1444" s="6">
        <f t="shared" si="90"/>
        <v>25</v>
      </c>
      <c r="J1444" t="str">
        <f t="shared" si="91"/>
        <v>OK</v>
      </c>
    </row>
    <row r="1445" spans="1:10" x14ac:dyDescent="0.2">
      <c r="A1445">
        <v>11444</v>
      </c>
      <c r="B1445" t="s">
        <v>5</v>
      </c>
      <c r="C1445" t="s">
        <v>11</v>
      </c>
      <c r="D1445" s="8">
        <v>0.51</v>
      </c>
      <c r="E1445">
        <v>3</v>
      </c>
      <c r="F1445" t="str">
        <f t="shared" si="88"/>
        <v>Value</v>
      </c>
      <c r="G1445" s="3" cm="1">
        <f t="array" ref="G1445">_xlfn.XLOOKUP(C1445 &amp; F1445,
         [1]unilever_price_limits!A:A &amp; [1]unilever_price_limits!B:B,
         [1]unilever_price_limits!C:C)</f>
        <v>10</v>
      </c>
      <c r="H1445" s="8">
        <f t="shared" si="89"/>
        <v>0.56100000000000005</v>
      </c>
      <c r="I1445" s="6">
        <f t="shared" si="90"/>
        <v>10.000000000000009</v>
      </c>
      <c r="J1445" t="str">
        <f t="shared" si="91"/>
        <v>OK</v>
      </c>
    </row>
    <row r="1446" spans="1:10" x14ac:dyDescent="0.2">
      <c r="A1446">
        <v>11445</v>
      </c>
      <c r="B1446" t="s">
        <v>5</v>
      </c>
      <c r="C1446" t="s">
        <v>6</v>
      </c>
      <c r="D1446" s="8">
        <v>12.19</v>
      </c>
      <c r="E1446">
        <v>5</v>
      </c>
      <c r="F1446" t="str">
        <f t="shared" si="88"/>
        <v>Standard</v>
      </c>
      <c r="G1446" s="3" cm="1">
        <f t="array" ref="G1446">_xlfn.XLOOKUP(C1446 &amp; F1446,
         [1]unilever_price_limits!A:A &amp; [1]unilever_price_limits!B:B,
         [1]unilever_price_limits!C:C)</f>
        <v>28</v>
      </c>
      <c r="H1446" s="8">
        <f t="shared" si="89"/>
        <v>15.603199999999999</v>
      </c>
      <c r="I1446" s="6">
        <f t="shared" si="90"/>
        <v>28.000000000000004</v>
      </c>
      <c r="J1446" t="str">
        <f t="shared" si="91"/>
        <v>OK</v>
      </c>
    </row>
    <row r="1447" spans="1:10" x14ac:dyDescent="0.2">
      <c r="A1447">
        <v>11446</v>
      </c>
      <c r="B1447" t="s">
        <v>8</v>
      </c>
      <c r="C1447" t="s">
        <v>6</v>
      </c>
      <c r="D1447" s="8">
        <v>1.65</v>
      </c>
      <c r="E1447">
        <v>9</v>
      </c>
      <c r="F1447" t="str">
        <f t="shared" si="88"/>
        <v>Premium</v>
      </c>
      <c r="G1447" s="3" cm="1">
        <f t="array" ref="G1447">_xlfn.XLOOKUP(C1447 &amp; F1447,
         [1]unilever_price_limits!A:A &amp; [1]unilever_price_limits!B:B,
         [1]unilever_price_limits!C:C)</f>
        <v>55</v>
      </c>
      <c r="H1447" s="8">
        <f t="shared" si="89"/>
        <v>2.5575000000000001</v>
      </c>
      <c r="I1447" s="6">
        <f t="shared" si="90"/>
        <v>55.000000000000007</v>
      </c>
      <c r="J1447" t="str">
        <f t="shared" si="91"/>
        <v>OK</v>
      </c>
    </row>
    <row r="1448" spans="1:10" x14ac:dyDescent="0.2">
      <c r="A1448">
        <v>11447</v>
      </c>
      <c r="B1448" t="s">
        <v>7</v>
      </c>
      <c r="C1448" t="s">
        <v>9</v>
      </c>
      <c r="D1448" s="8">
        <v>3.28</v>
      </c>
      <c r="E1448">
        <v>7</v>
      </c>
      <c r="F1448" t="str">
        <f t="shared" si="88"/>
        <v>Standard</v>
      </c>
      <c r="G1448" s="3" cm="1">
        <f t="array" ref="G1448">_xlfn.XLOOKUP(C1448 &amp; F1448,
         [1]unilever_price_limits!A:A &amp; [1]unilever_price_limits!B:B,
         [1]unilever_price_limits!C:C)</f>
        <v>30</v>
      </c>
      <c r="H1448" s="8">
        <f t="shared" si="89"/>
        <v>4.2640000000000002</v>
      </c>
      <c r="I1448" s="6">
        <f t="shared" si="90"/>
        <v>30.000000000000004</v>
      </c>
      <c r="J1448" t="str">
        <f t="shared" si="91"/>
        <v>OK</v>
      </c>
    </row>
    <row r="1449" spans="1:10" x14ac:dyDescent="0.2">
      <c r="A1449">
        <v>11448</v>
      </c>
      <c r="B1449" t="s">
        <v>7</v>
      </c>
      <c r="C1449" t="s">
        <v>9</v>
      </c>
      <c r="D1449" s="8">
        <v>6.1</v>
      </c>
      <c r="E1449">
        <v>4</v>
      </c>
      <c r="F1449" t="str">
        <f t="shared" si="88"/>
        <v>Standard</v>
      </c>
      <c r="G1449" s="3" cm="1">
        <f t="array" ref="G1449">_xlfn.XLOOKUP(C1449 &amp; F1449,
         [1]unilever_price_limits!A:A &amp; [1]unilever_price_limits!B:B,
         [1]unilever_price_limits!C:C)</f>
        <v>30</v>
      </c>
      <c r="H1449" s="8">
        <f t="shared" si="89"/>
        <v>7.93</v>
      </c>
      <c r="I1449" s="6">
        <f t="shared" si="90"/>
        <v>30.000000000000004</v>
      </c>
      <c r="J1449" t="str">
        <f t="shared" si="91"/>
        <v>OK</v>
      </c>
    </row>
    <row r="1450" spans="1:10" x14ac:dyDescent="0.2">
      <c r="A1450">
        <v>11449</v>
      </c>
      <c r="B1450" t="s">
        <v>10</v>
      </c>
      <c r="C1450" t="s">
        <v>6</v>
      </c>
      <c r="D1450" s="8">
        <v>7.53</v>
      </c>
      <c r="E1450">
        <v>7</v>
      </c>
      <c r="F1450" t="str">
        <f t="shared" si="88"/>
        <v>Standard</v>
      </c>
      <c r="G1450" s="3" cm="1">
        <f t="array" ref="G1450">_xlfn.XLOOKUP(C1450 &amp; F1450,
         [1]unilever_price_limits!A:A &amp; [1]unilever_price_limits!B:B,
         [1]unilever_price_limits!C:C)</f>
        <v>28</v>
      </c>
      <c r="H1450" s="8">
        <f t="shared" si="89"/>
        <v>9.6384000000000007</v>
      </c>
      <c r="I1450" s="6">
        <f t="shared" si="90"/>
        <v>28.000000000000004</v>
      </c>
      <c r="J1450" t="str">
        <f t="shared" si="91"/>
        <v>OK</v>
      </c>
    </row>
    <row r="1451" spans="1:10" x14ac:dyDescent="0.2">
      <c r="A1451">
        <v>11450</v>
      </c>
      <c r="B1451" t="s">
        <v>7</v>
      </c>
      <c r="C1451" t="s">
        <v>9</v>
      </c>
      <c r="D1451" s="8">
        <v>5.65</v>
      </c>
      <c r="E1451">
        <v>5</v>
      </c>
      <c r="F1451" t="str">
        <f t="shared" si="88"/>
        <v>Standard</v>
      </c>
      <c r="G1451" s="3" cm="1">
        <f t="array" ref="G1451">_xlfn.XLOOKUP(C1451 &amp; F1451,
         [1]unilever_price_limits!A:A &amp; [1]unilever_price_limits!B:B,
         [1]unilever_price_limits!C:C)</f>
        <v>30</v>
      </c>
      <c r="H1451" s="8">
        <f t="shared" si="89"/>
        <v>7.3450000000000006</v>
      </c>
      <c r="I1451" s="6">
        <f t="shared" si="90"/>
        <v>30.000000000000004</v>
      </c>
      <c r="J1451" t="str">
        <f t="shared" si="91"/>
        <v>OK</v>
      </c>
    </row>
    <row r="1452" spans="1:10" x14ac:dyDescent="0.2">
      <c r="A1452">
        <v>11451</v>
      </c>
      <c r="B1452" t="s">
        <v>7</v>
      </c>
      <c r="C1452" t="s">
        <v>6</v>
      </c>
      <c r="D1452" s="8">
        <v>5.15</v>
      </c>
      <c r="E1452">
        <v>2</v>
      </c>
      <c r="F1452" t="str">
        <f t="shared" si="88"/>
        <v>Value</v>
      </c>
      <c r="G1452" s="3" cm="1">
        <f t="array" ref="G1452">_xlfn.XLOOKUP(C1452 &amp; F1452,
         [1]unilever_price_limits!A:A &amp; [1]unilever_price_limits!B:B,
         [1]unilever_price_limits!C:C)</f>
        <v>12</v>
      </c>
      <c r="H1452" s="8">
        <f t="shared" si="89"/>
        <v>5.7680000000000007</v>
      </c>
      <c r="I1452" s="6">
        <f t="shared" si="90"/>
        <v>12.000000000000011</v>
      </c>
      <c r="J1452" t="str">
        <f t="shared" si="91"/>
        <v>OK</v>
      </c>
    </row>
    <row r="1453" spans="1:10" x14ac:dyDescent="0.2">
      <c r="A1453">
        <v>11452</v>
      </c>
      <c r="B1453" t="s">
        <v>8</v>
      </c>
      <c r="C1453" t="s">
        <v>6</v>
      </c>
      <c r="D1453" s="8">
        <v>14.48</v>
      </c>
      <c r="E1453">
        <v>6</v>
      </c>
      <c r="F1453" t="str">
        <f t="shared" si="88"/>
        <v>Standard</v>
      </c>
      <c r="G1453" s="3" cm="1">
        <f t="array" ref="G1453">_xlfn.XLOOKUP(C1453 &amp; F1453,
         [1]unilever_price_limits!A:A &amp; [1]unilever_price_limits!B:B,
         [1]unilever_price_limits!C:C)</f>
        <v>28</v>
      </c>
      <c r="H1453" s="8">
        <f t="shared" si="89"/>
        <v>18.534400000000002</v>
      </c>
      <c r="I1453" s="6">
        <f t="shared" si="90"/>
        <v>28.000000000000004</v>
      </c>
      <c r="J1453" t="str">
        <f t="shared" si="91"/>
        <v>OK</v>
      </c>
    </row>
    <row r="1454" spans="1:10" x14ac:dyDescent="0.2">
      <c r="A1454">
        <v>11453</v>
      </c>
      <c r="B1454" t="s">
        <v>7</v>
      </c>
      <c r="C1454" t="s">
        <v>9</v>
      </c>
      <c r="D1454" s="8">
        <v>9.8000000000000007</v>
      </c>
      <c r="E1454">
        <v>7</v>
      </c>
      <c r="F1454" t="str">
        <f t="shared" si="88"/>
        <v>Standard</v>
      </c>
      <c r="G1454" s="3" cm="1">
        <f t="array" ref="G1454">_xlfn.XLOOKUP(C1454 &amp; F1454,
         [1]unilever_price_limits!A:A &amp; [1]unilever_price_limits!B:B,
         [1]unilever_price_limits!C:C)</f>
        <v>30</v>
      </c>
      <c r="H1454" s="8">
        <f t="shared" si="89"/>
        <v>12.740000000000002</v>
      </c>
      <c r="I1454" s="6">
        <f t="shared" si="90"/>
        <v>30.000000000000004</v>
      </c>
      <c r="J1454" t="str">
        <f t="shared" si="91"/>
        <v>OK</v>
      </c>
    </row>
    <row r="1455" spans="1:10" x14ac:dyDescent="0.2">
      <c r="A1455">
        <v>11454</v>
      </c>
      <c r="B1455" t="s">
        <v>5</v>
      </c>
      <c r="C1455" t="s">
        <v>9</v>
      </c>
      <c r="D1455" s="8">
        <v>0.84</v>
      </c>
      <c r="E1455">
        <v>8</v>
      </c>
      <c r="F1455" t="str">
        <f t="shared" si="88"/>
        <v>Premium</v>
      </c>
      <c r="G1455" s="3" cm="1">
        <f t="array" ref="G1455">_xlfn.XLOOKUP(C1455 &amp; F1455,
         [1]unilever_price_limits!A:A &amp; [1]unilever_price_limits!B:B,
         [1]unilever_price_limits!C:C)</f>
        <v>60</v>
      </c>
      <c r="H1455" s="8">
        <f t="shared" si="89"/>
        <v>1.3440000000000001</v>
      </c>
      <c r="I1455" s="6">
        <f t="shared" si="90"/>
        <v>60.000000000000007</v>
      </c>
      <c r="J1455" t="str">
        <f t="shared" si="91"/>
        <v>OK</v>
      </c>
    </row>
    <row r="1456" spans="1:10" x14ac:dyDescent="0.2">
      <c r="A1456">
        <v>11455</v>
      </c>
      <c r="B1456" t="s">
        <v>8</v>
      </c>
      <c r="C1456" t="s">
        <v>11</v>
      </c>
      <c r="D1456" s="8">
        <v>6.74</v>
      </c>
      <c r="E1456">
        <v>6</v>
      </c>
      <c r="F1456" t="str">
        <f t="shared" si="88"/>
        <v>Standard</v>
      </c>
      <c r="G1456" s="3" cm="1">
        <f t="array" ref="G1456">_xlfn.XLOOKUP(C1456 &amp; F1456,
         [1]unilever_price_limits!A:A &amp; [1]unilever_price_limits!B:B,
         [1]unilever_price_limits!C:C)</f>
        <v>25</v>
      </c>
      <c r="H1456" s="8">
        <f t="shared" si="89"/>
        <v>8.4250000000000007</v>
      </c>
      <c r="I1456" s="6">
        <f t="shared" si="90"/>
        <v>25</v>
      </c>
      <c r="J1456" t="str">
        <f t="shared" si="91"/>
        <v>OK</v>
      </c>
    </row>
    <row r="1457" spans="1:10" x14ac:dyDescent="0.2">
      <c r="A1457">
        <v>11456</v>
      </c>
      <c r="B1457" t="s">
        <v>8</v>
      </c>
      <c r="C1457" t="s">
        <v>11</v>
      </c>
      <c r="D1457" s="8">
        <v>13.19</v>
      </c>
      <c r="E1457">
        <v>8</v>
      </c>
      <c r="F1457" t="str">
        <f t="shared" si="88"/>
        <v>Premium</v>
      </c>
      <c r="G1457" s="3" cm="1">
        <f t="array" ref="G1457">_xlfn.XLOOKUP(C1457 &amp; F1457,
         [1]unilever_price_limits!A:A &amp; [1]unilever_price_limits!B:B,
         [1]unilever_price_limits!C:C)</f>
        <v>50</v>
      </c>
      <c r="H1457" s="8">
        <f t="shared" si="89"/>
        <v>19.785</v>
      </c>
      <c r="I1457" s="6">
        <f t="shared" si="90"/>
        <v>50</v>
      </c>
      <c r="J1457" t="str">
        <f t="shared" si="91"/>
        <v>OK</v>
      </c>
    </row>
    <row r="1458" spans="1:10" x14ac:dyDescent="0.2">
      <c r="A1458">
        <v>11457</v>
      </c>
      <c r="B1458" t="s">
        <v>10</v>
      </c>
      <c r="C1458" t="s">
        <v>11</v>
      </c>
      <c r="D1458" s="8">
        <v>4.87</v>
      </c>
      <c r="E1458">
        <v>7</v>
      </c>
      <c r="F1458" t="str">
        <f t="shared" si="88"/>
        <v>Standard</v>
      </c>
      <c r="G1458" s="3" cm="1">
        <f t="array" ref="G1458">_xlfn.XLOOKUP(C1458 &amp; F1458,
         [1]unilever_price_limits!A:A &amp; [1]unilever_price_limits!B:B,
         [1]unilever_price_limits!C:C)</f>
        <v>25</v>
      </c>
      <c r="H1458" s="8">
        <f t="shared" si="89"/>
        <v>6.0875000000000004</v>
      </c>
      <c r="I1458" s="6">
        <f t="shared" si="90"/>
        <v>25</v>
      </c>
      <c r="J1458" t="str">
        <f t="shared" si="91"/>
        <v>OK</v>
      </c>
    </row>
    <row r="1459" spans="1:10" x14ac:dyDescent="0.2">
      <c r="A1459">
        <v>11458</v>
      </c>
      <c r="B1459" t="s">
        <v>7</v>
      </c>
      <c r="C1459" t="s">
        <v>6</v>
      </c>
      <c r="D1459" s="8">
        <v>1.87</v>
      </c>
      <c r="E1459">
        <v>2</v>
      </c>
      <c r="F1459" t="str">
        <f t="shared" si="88"/>
        <v>Value</v>
      </c>
      <c r="G1459" s="3" cm="1">
        <f t="array" ref="G1459">_xlfn.XLOOKUP(C1459 &amp; F1459,
         [1]unilever_price_limits!A:A &amp; [1]unilever_price_limits!B:B,
         [1]unilever_price_limits!C:C)</f>
        <v>12</v>
      </c>
      <c r="H1459" s="8">
        <f t="shared" si="89"/>
        <v>2.0944000000000003</v>
      </c>
      <c r="I1459" s="6">
        <f t="shared" si="90"/>
        <v>12.000000000000011</v>
      </c>
      <c r="J1459" t="str">
        <f t="shared" si="91"/>
        <v>OK</v>
      </c>
    </row>
    <row r="1460" spans="1:10" x14ac:dyDescent="0.2">
      <c r="A1460">
        <v>11459</v>
      </c>
      <c r="B1460" t="s">
        <v>10</v>
      </c>
      <c r="C1460" t="s">
        <v>9</v>
      </c>
      <c r="D1460" s="8">
        <v>11.5</v>
      </c>
      <c r="E1460">
        <v>6</v>
      </c>
      <c r="F1460" t="str">
        <f t="shared" si="88"/>
        <v>Standard</v>
      </c>
      <c r="G1460" s="3" cm="1">
        <f t="array" ref="G1460">_xlfn.XLOOKUP(C1460 &amp; F1460,
         [1]unilever_price_limits!A:A &amp; [1]unilever_price_limits!B:B,
         [1]unilever_price_limits!C:C)</f>
        <v>30</v>
      </c>
      <c r="H1460" s="8">
        <f t="shared" si="89"/>
        <v>14.950000000000001</v>
      </c>
      <c r="I1460" s="6">
        <f t="shared" si="90"/>
        <v>30.000000000000004</v>
      </c>
      <c r="J1460" t="str">
        <f t="shared" si="91"/>
        <v>OK</v>
      </c>
    </row>
    <row r="1461" spans="1:10" x14ac:dyDescent="0.2">
      <c r="A1461">
        <v>11460</v>
      </c>
      <c r="B1461" t="s">
        <v>5</v>
      </c>
      <c r="C1461" t="s">
        <v>6</v>
      </c>
      <c r="D1461" s="8">
        <v>9.2899999999999991</v>
      </c>
      <c r="E1461">
        <v>9</v>
      </c>
      <c r="F1461" t="str">
        <f t="shared" si="88"/>
        <v>Premium</v>
      </c>
      <c r="G1461" s="3" cm="1">
        <f t="array" ref="G1461">_xlfn.XLOOKUP(C1461 &amp; F1461,
         [1]unilever_price_limits!A:A &amp; [1]unilever_price_limits!B:B,
         [1]unilever_price_limits!C:C)</f>
        <v>55</v>
      </c>
      <c r="H1461" s="8">
        <f t="shared" si="89"/>
        <v>14.3995</v>
      </c>
      <c r="I1461" s="6">
        <f t="shared" si="90"/>
        <v>55.000000000000007</v>
      </c>
      <c r="J1461" t="str">
        <f t="shared" si="91"/>
        <v>OK</v>
      </c>
    </row>
    <row r="1462" spans="1:10" x14ac:dyDescent="0.2">
      <c r="A1462">
        <v>11461</v>
      </c>
      <c r="B1462" t="s">
        <v>8</v>
      </c>
      <c r="C1462" t="s">
        <v>9</v>
      </c>
      <c r="D1462" s="8">
        <v>8.77</v>
      </c>
      <c r="E1462">
        <v>6</v>
      </c>
      <c r="F1462" t="str">
        <f t="shared" si="88"/>
        <v>Standard</v>
      </c>
      <c r="G1462" s="3" cm="1">
        <f t="array" ref="G1462">_xlfn.XLOOKUP(C1462 &amp; F1462,
         [1]unilever_price_limits!A:A &amp; [1]unilever_price_limits!B:B,
         [1]unilever_price_limits!C:C)</f>
        <v>30</v>
      </c>
      <c r="H1462" s="8">
        <f t="shared" si="89"/>
        <v>11.401</v>
      </c>
      <c r="I1462" s="6">
        <f t="shared" si="90"/>
        <v>30.000000000000004</v>
      </c>
      <c r="J1462" t="str">
        <f t="shared" si="91"/>
        <v>OK</v>
      </c>
    </row>
    <row r="1463" spans="1:10" x14ac:dyDescent="0.2">
      <c r="A1463">
        <v>11462</v>
      </c>
      <c r="B1463" t="s">
        <v>8</v>
      </c>
      <c r="C1463" t="s">
        <v>6</v>
      </c>
      <c r="D1463" s="8">
        <v>1.28</v>
      </c>
      <c r="E1463">
        <v>4</v>
      </c>
      <c r="F1463" t="str">
        <f t="shared" si="88"/>
        <v>Standard</v>
      </c>
      <c r="G1463" s="3" cm="1">
        <f t="array" ref="G1463">_xlfn.XLOOKUP(C1463 &amp; F1463,
         [1]unilever_price_limits!A:A &amp; [1]unilever_price_limits!B:B,
         [1]unilever_price_limits!C:C)</f>
        <v>28</v>
      </c>
      <c r="H1463" s="8">
        <f t="shared" si="89"/>
        <v>1.6384000000000001</v>
      </c>
      <c r="I1463" s="6">
        <f t="shared" si="90"/>
        <v>28.000000000000004</v>
      </c>
      <c r="J1463" t="str">
        <f t="shared" si="91"/>
        <v>OK</v>
      </c>
    </row>
    <row r="1464" spans="1:10" x14ac:dyDescent="0.2">
      <c r="A1464">
        <v>11463</v>
      </c>
      <c r="B1464" t="s">
        <v>8</v>
      </c>
      <c r="C1464" t="s">
        <v>11</v>
      </c>
      <c r="D1464" s="8">
        <v>2.54</v>
      </c>
      <c r="E1464">
        <v>7</v>
      </c>
      <c r="F1464" t="str">
        <f t="shared" si="88"/>
        <v>Standard</v>
      </c>
      <c r="G1464" s="3" cm="1">
        <f t="array" ref="G1464">_xlfn.XLOOKUP(C1464 &amp; F1464,
         [1]unilever_price_limits!A:A &amp; [1]unilever_price_limits!B:B,
         [1]unilever_price_limits!C:C)</f>
        <v>25</v>
      </c>
      <c r="H1464" s="8">
        <f t="shared" si="89"/>
        <v>3.1749999999999998</v>
      </c>
      <c r="I1464" s="6">
        <f t="shared" si="90"/>
        <v>25</v>
      </c>
      <c r="J1464" t="str">
        <f t="shared" si="91"/>
        <v>OK</v>
      </c>
    </row>
    <row r="1465" spans="1:10" x14ac:dyDescent="0.2">
      <c r="A1465">
        <v>11464</v>
      </c>
      <c r="B1465" t="s">
        <v>5</v>
      </c>
      <c r="C1465" t="s">
        <v>11</v>
      </c>
      <c r="D1465" s="8">
        <v>9.5299999999999994</v>
      </c>
      <c r="E1465">
        <v>3</v>
      </c>
      <c r="F1465" t="str">
        <f t="shared" si="88"/>
        <v>Value</v>
      </c>
      <c r="G1465" s="3" cm="1">
        <f t="array" ref="G1465">_xlfn.XLOOKUP(C1465 &amp; F1465,
         [1]unilever_price_limits!A:A &amp; [1]unilever_price_limits!B:B,
         [1]unilever_price_limits!C:C)</f>
        <v>10</v>
      </c>
      <c r="H1465" s="8">
        <f t="shared" si="89"/>
        <v>10.483000000000001</v>
      </c>
      <c r="I1465" s="6">
        <f t="shared" si="90"/>
        <v>10.000000000000009</v>
      </c>
      <c r="J1465" t="str">
        <f t="shared" si="91"/>
        <v>OK</v>
      </c>
    </row>
    <row r="1466" spans="1:10" x14ac:dyDescent="0.2">
      <c r="A1466">
        <v>11465</v>
      </c>
      <c r="B1466" t="s">
        <v>5</v>
      </c>
      <c r="C1466" t="s">
        <v>11</v>
      </c>
      <c r="D1466" s="8">
        <v>3.51</v>
      </c>
      <c r="E1466">
        <v>5</v>
      </c>
      <c r="F1466" t="str">
        <f t="shared" si="88"/>
        <v>Standard</v>
      </c>
      <c r="G1466" s="3" cm="1">
        <f t="array" ref="G1466">_xlfn.XLOOKUP(C1466 &amp; F1466,
         [1]unilever_price_limits!A:A &amp; [1]unilever_price_limits!B:B,
         [1]unilever_price_limits!C:C)</f>
        <v>25</v>
      </c>
      <c r="H1466" s="8">
        <f t="shared" si="89"/>
        <v>4.3874999999999993</v>
      </c>
      <c r="I1466" s="6">
        <f t="shared" si="90"/>
        <v>24.999999999999979</v>
      </c>
      <c r="J1466" t="str">
        <f t="shared" si="91"/>
        <v>OK</v>
      </c>
    </row>
    <row r="1467" spans="1:10" x14ac:dyDescent="0.2">
      <c r="A1467">
        <v>11466</v>
      </c>
      <c r="B1467" t="s">
        <v>10</v>
      </c>
      <c r="C1467" t="s">
        <v>6</v>
      </c>
      <c r="D1467" s="8">
        <v>7.81</v>
      </c>
      <c r="E1467">
        <v>1</v>
      </c>
      <c r="F1467" t="str">
        <f t="shared" si="88"/>
        <v>Value</v>
      </c>
      <c r="G1467" s="3" cm="1">
        <f t="array" ref="G1467">_xlfn.XLOOKUP(C1467 &amp; F1467,
         [1]unilever_price_limits!A:A &amp; [1]unilever_price_limits!B:B,
         [1]unilever_price_limits!C:C)</f>
        <v>12</v>
      </c>
      <c r="H1467" s="8">
        <f t="shared" si="89"/>
        <v>8.7472000000000012</v>
      </c>
      <c r="I1467" s="6">
        <f t="shared" si="90"/>
        <v>12.000000000000011</v>
      </c>
      <c r="J1467" t="str">
        <f t="shared" si="91"/>
        <v>OK</v>
      </c>
    </row>
    <row r="1468" spans="1:10" x14ac:dyDescent="0.2">
      <c r="A1468">
        <v>11467</v>
      </c>
      <c r="B1468" t="s">
        <v>10</v>
      </c>
      <c r="C1468" t="s">
        <v>9</v>
      </c>
      <c r="D1468" s="8">
        <v>8.4</v>
      </c>
      <c r="E1468">
        <v>10</v>
      </c>
      <c r="F1468" t="str">
        <f t="shared" si="88"/>
        <v>Premium</v>
      </c>
      <c r="G1468" s="3" cm="1">
        <f t="array" ref="G1468">_xlfn.XLOOKUP(C1468 &amp; F1468,
         [1]unilever_price_limits!A:A &amp; [1]unilever_price_limits!B:B,
         [1]unilever_price_limits!C:C)</f>
        <v>60</v>
      </c>
      <c r="H1468" s="8">
        <f t="shared" si="89"/>
        <v>13.440000000000001</v>
      </c>
      <c r="I1468" s="6">
        <f t="shared" si="90"/>
        <v>60.000000000000007</v>
      </c>
      <c r="J1468" t="str">
        <f t="shared" si="91"/>
        <v>OK</v>
      </c>
    </row>
    <row r="1469" spans="1:10" x14ac:dyDescent="0.2">
      <c r="A1469">
        <v>11468</v>
      </c>
      <c r="B1469" t="s">
        <v>10</v>
      </c>
      <c r="C1469" t="s">
        <v>9</v>
      </c>
      <c r="D1469" s="8">
        <v>4.6100000000000003</v>
      </c>
      <c r="E1469">
        <v>3</v>
      </c>
      <c r="F1469" t="str">
        <f t="shared" si="88"/>
        <v>Value</v>
      </c>
      <c r="G1469" s="3" cm="1">
        <f t="array" ref="G1469">_xlfn.XLOOKUP(C1469 &amp; F1469,
         [1]unilever_price_limits!A:A &amp; [1]unilever_price_limits!B:B,
         [1]unilever_price_limits!C:C)</f>
        <v>15</v>
      </c>
      <c r="H1469" s="8">
        <f t="shared" si="89"/>
        <v>5.3014999999999999</v>
      </c>
      <c r="I1469" s="6">
        <f t="shared" si="90"/>
        <v>14.999999999999991</v>
      </c>
      <c r="J1469" t="str">
        <f t="shared" si="91"/>
        <v>OK</v>
      </c>
    </row>
    <row r="1470" spans="1:10" x14ac:dyDescent="0.2">
      <c r="A1470">
        <v>11469</v>
      </c>
      <c r="B1470" t="s">
        <v>7</v>
      </c>
      <c r="C1470" t="s">
        <v>11</v>
      </c>
      <c r="D1470" s="8">
        <v>14.25</v>
      </c>
      <c r="E1470">
        <v>8</v>
      </c>
      <c r="F1470" t="str">
        <f t="shared" si="88"/>
        <v>Premium</v>
      </c>
      <c r="G1470" s="3" cm="1">
        <f t="array" ref="G1470">_xlfn.XLOOKUP(C1470 &amp; F1470,
         [1]unilever_price_limits!A:A &amp; [1]unilever_price_limits!B:B,
         [1]unilever_price_limits!C:C)</f>
        <v>50</v>
      </c>
      <c r="H1470" s="8">
        <f t="shared" si="89"/>
        <v>21.375</v>
      </c>
      <c r="I1470" s="6">
        <f t="shared" si="90"/>
        <v>50</v>
      </c>
      <c r="J1470" t="str">
        <f t="shared" si="91"/>
        <v>OK</v>
      </c>
    </row>
    <row r="1471" spans="1:10" x14ac:dyDescent="0.2">
      <c r="A1471">
        <v>11470</v>
      </c>
      <c r="B1471" t="s">
        <v>8</v>
      </c>
      <c r="C1471" t="s">
        <v>11</v>
      </c>
      <c r="D1471" s="8">
        <v>12.72</v>
      </c>
      <c r="E1471">
        <v>9</v>
      </c>
      <c r="F1471" t="str">
        <f t="shared" si="88"/>
        <v>Premium</v>
      </c>
      <c r="G1471" s="3" cm="1">
        <f t="array" ref="G1471">_xlfn.XLOOKUP(C1471 &amp; F1471,
         [1]unilever_price_limits!A:A &amp; [1]unilever_price_limits!B:B,
         [1]unilever_price_limits!C:C)</f>
        <v>50</v>
      </c>
      <c r="H1471" s="8">
        <f t="shared" si="89"/>
        <v>19.080000000000002</v>
      </c>
      <c r="I1471" s="6">
        <f t="shared" si="90"/>
        <v>50</v>
      </c>
      <c r="J1471" t="str">
        <f t="shared" si="91"/>
        <v>OK</v>
      </c>
    </row>
    <row r="1472" spans="1:10" x14ac:dyDescent="0.2">
      <c r="A1472">
        <v>11471</v>
      </c>
      <c r="B1472" t="s">
        <v>8</v>
      </c>
      <c r="C1472" t="s">
        <v>11</v>
      </c>
      <c r="D1472" s="8">
        <v>10.97</v>
      </c>
      <c r="E1472">
        <v>9</v>
      </c>
      <c r="F1472" t="str">
        <f t="shared" si="88"/>
        <v>Premium</v>
      </c>
      <c r="G1472" s="3" cm="1">
        <f t="array" ref="G1472">_xlfn.XLOOKUP(C1472 &amp; F1472,
         [1]unilever_price_limits!A:A &amp; [1]unilever_price_limits!B:B,
         [1]unilever_price_limits!C:C)</f>
        <v>50</v>
      </c>
      <c r="H1472" s="8">
        <f t="shared" si="89"/>
        <v>16.455000000000002</v>
      </c>
      <c r="I1472" s="6">
        <f t="shared" si="90"/>
        <v>50</v>
      </c>
      <c r="J1472" t="str">
        <f t="shared" si="91"/>
        <v>OK</v>
      </c>
    </row>
    <row r="1473" spans="1:10" x14ac:dyDescent="0.2">
      <c r="A1473">
        <v>11472</v>
      </c>
      <c r="B1473" t="s">
        <v>10</v>
      </c>
      <c r="C1473" t="s">
        <v>11</v>
      </c>
      <c r="D1473" s="8">
        <v>1.63</v>
      </c>
      <c r="E1473">
        <v>10</v>
      </c>
      <c r="F1473" t="str">
        <f t="shared" si="88"/>
        <v>Premium</v>
      </c>
      <c r="G1473" s="3" cm="1">
        <f t="array" ref="G1473">_xlfn.XLOOKUP(C1473 &amp; F1473,
         [1]unilever_price_limits!A:A &amp; [1]unilever_price_limits!B:B,
         [1]unilever_price_limits!C:C)</f>
        <v>50</v>
      </c>
      <c r="H1473" s="8">
        <f t="shared" si="89"/>
        <v>2.4449999999999998</v>
      </c>
      <c r="I1473" s="6">
        <f t="shared" si="90"/>
        <v>50</v>
      </c>
      <c r="J1473" t="str">
        <f t="shared" si="91"/>
        <v>OK</v>
      </c>
    </row>
    <row r="1474" spans="1:10" x14ac:dyDescent="0.2">
      <c r="A1474">
        <v>11473</v>
      </c>
      <c r="B1474" t="s">
        <v>8</v>
      </c>
      <c r="C1474" t="s">
        <v>9</v>
      </c>
      <c r="D1474" s="8">
        <v>2.04</v>
      </c>
      <c r="E1474">
        <v>2</v>
      </c>
      <c r="F1474" t="str">
        <f t="shared" si="88"/>
        <v>Value</v>
      </c>
      <c r="G1474" s="3" cm="1">
        <f t="array" ref="G1474">_xlfn.XLOOKUP(C1474 &amp; F1474,
         [1]unilever_price_limits!A:A &amp; [1]unilever_price_limits!B:B,
         [1]unilever_price_limits!C:C)</f>
        <v>15</v>
      </c>
      <c r="H1474" s="8">
        <f t="shared" si="89"/>
        <v>2.3459999999999996</v>
      </c>
      <c r="I1474" s="6">
        <f t="shared" si="90"/>
        <v>14.999999999999991</v>
      </c>
      <c r="J1474" t="str">
        <f t="shared" si="91"/>
        <v>OK</v>
      </c>
    </row>
    <row r="1475" spans="1:10" x14ac:dyDescent="0.2">
      <c r="A1475">
        <v>11474</v>
      </c>
      <c r="B1475" t="s">
        <v>10</v>
      </c>
      <c r="C1475" t="s">
        <v>6</v>
      </c>
      <c r="D1475" s="8">
        <v>7.65</v>
      </c>
      <c r="E1475">
        <v>4</v>
      </c>
      <c r="F1475" t="str">
        <f t="shared" ref="F1475:F1538" si="92">IF(E1475&lt;=3,"Value",
 IF(E1475&lt;=7,"Standard","Premium"))</f>
        <v>Standard</v>
      </c>
      <c r="G1475" s="3" cm="1">
        <f t="array" ref="G1475">_xlfn.XLOOKUP(C1475 &amp; F1475,
         [1]unilever_price_limits!A:A &amp; [1]unilever_price_limits!B:B,
         [1]unilever_price_limits!C:C)</f>
        <v>28</v>
      </c>
      <c r="H1475" s="8">
        <f t="shared" ref="H1475:H1538" si="93">D1475 * (1 + G1475/100)</f>
        <v>9.7919999999999998</v>
      </c>
      <c r="I1475" s="6">
        <f t="shared" ref="I1475:I1538" si="94">(H1475 / D1475 - 1) * 100</f>
        <v>28.000000000000004</v>
      </c>
      <c r="J1475" t="str">
        <f t="shared" ref="J1475:J1538" si="95">IF(I1474&gt; G1474, "⚠ Exceeds Limit", "OK")</f>
        <v>OK</v>
      </c>
    </row>
    <row r="1476" spans="1:10" x14ac:dyDescent="0.2">
      <c r="A1476">
        <v>11475</v>
      </c>
      <c r="B1476" t="s">
        <v>7</v>
      </c>
      <c r="C1476" t="s">
        <v>6</v>
      </c>
      <c r="D1476" s="8">
        <v>2.83</v>
      </c>
      <c r="E1476">
        <v>5</v>
      </c>
      <c r="F1476" t="str">
        <f t="shared" si="92"/>
        <v>Standard</v>
      </c>
      <c r="G1476" s="3" cm="1">
        <f t="array" ref="G1476">_xlfn.XLOOKUP(C1476 &amp; F1476,
         [1]unilever_price_limits!A:A &amp; [1]unilever_price_limits!B:B,
         [1]unilever_price_limits!C:C)</f>
        <v>28</v>
      </c>
      <c r="H1476" s="8">
        <f t="shared" si="93"/>
        <v>3.6224000000000003</v>
      </c>
      <c r="I1476" s="6">
        <f t="shared" si="94"/>
        <v>28.000000000000004</v>
      </c>
      <c r="J1476" t="str">
        <f t="shared" si="95"/>
        <v>OK</v>
      </c>
    </row>
    <row r="1477" spans="1:10" x14ac:dyDescent="0.2">
      <c r="A1477">
        <v>11476</v>
      </c>
      <c r="B1477" t="s">
        <v>7</v>
      </c>
      <c r="C1477" t="s">
        <v>6</v>
      </c>
      <c r="D1477" s="8">
        <v>14.68</v>
      </c>
      <c r="E1477">
        <v>3</v>
      </c>
      <c r="F1477" t="str">
        <f t="shared" si="92"/>
        <v>Value</v>
      </c>
      <c r="G1477" s="3" cm="1">
        <f t="array" ref="G1477">_xlfn.XLOOKUP(C1477 &amp; F1477,
         [1]unilever_price_limits!A:A &amp; [1]unilever_price_limits!B:B,
         [1]unilever_price_limits!C:C)</f>
        <v>12</v>
      </c>
      <c r="H1477" s="8">
        <f t="shared" si="93"/>
        <v>16.441600000000001</v>
      </c>
      <c r="I1477" s="6">
        <f t="shared" si="94"/>
        <v>12.000000000000011</v>
      </c>
      <c r="J1477" t="str">
        <f t="shared" si="95"/>
        <v>OK</v>
      </c>
    </row>
    <row r="1478" spans="1:10" x14ac:dyDescent="0.2">
      <c r="A1478">
        <v>11477</v>
      </c>
      <c r="B1478" t="s">
        <v>5</v>
      </c>
      <c r="C1478" t="s">
        <v>6</v>
      </c>
      <c r="D1478" s="8">
        <v>2.8</v>
      </c>
      <c r="E1478">
        <v>1</v>
      </c>
      <c r="F1478" t="str">
        <f t="shared" si="92"/>
        <v>Value</v>
      </c>
      <c r="G1478" s="3" cm="1">
        <f t="array" ref="G1478">_xlfn.XLOOKUP(C1478 &amp; F1478,
         [1]unilever_price_limits!A:A &amp; [1]unilever_price_limits!B:B,
         [1]unilever_price_limits!C:C)</f>
        <v>12</v>
      </c>
      <c r="H1478" s="8">
        <f t="shared" si="93"/>
        <v>3.1360000000000001</v>
      </c>
      <c r="I1478" s="6">
        <f t="shared" si="94"/>
        <v>12.000000000000011</v>
      </c>
      <c r="J1478" t="str">
        <f t="shared" si="95"/>
        <v>OK</v>
      </c>
    </row>
    <row r="1479" spans="1:10" x14ac:dyDescent="0.2">
      <c r="A1479">
        <v>11478</v>
      </c>
      <c r="B1479" t="s">
        <v>7</v>
      </c>
      <c r="C1479" t="s">
        <v>11</v>
      </c>
      <c r="D1479" s="8">
        <v>7.57</v>
      </c>
      <c r="E1479">
        <v>6</v>
      </c>
      <c r="F1479" t="str">
        <f t="shared" si="92"/>
        <v>Standard</v>
      </c>
      <c r="G1479" s="3" cm="1">
        <f t="array" ref="G1479">_xlfn.XLOOKUP(C1479 &amp; F1479,
         [1]unilever_price_limits!A:A &amp; [1]unilever_price_limits!B:B,
         [1]unilever_price_limits!C:C)</f>
        <v>25</v>
      </c>
      <c r="H1479" s="8">
        <f t="shared" si="93"/>
        <v>9.4625000000000004</v>
      </c>
      <c r="I1479" s="6">
        <f t="shared" si="94"/>
        <v>25</v>
      </c>
      <c r="J1479" t="str">
        <f t="shared" si="95"/>
        <v>OK</v>
      </c>
    </row>
    <row r="1480" spans="1:10" x14ac:dyDescent="0.2">
      <c r="A1480">
        <v>11479</v>
      </c>
      <c r="B1480" t="s">
        <v>10</v>
      </c>
      <c r="C1480" t="s">
        <v>11</v>
      </c>
      <c r="D1480" s="8">
        <v>5.78</v>
      </c>
      <c r="E1480">
        <v>10</v>
      </c>
      <c r="F1480" t="str">
        <f t="shared" si="92"/>
        <v>Premium</v>
      </c>
      <c r="G1480" s="3" cm="1">
        <f t="array" ref="G1480">_xlfn.XLOOKUP(C1480 &amp; F1480,
         [1]unilever_price_limits!A:A &amp; [1]unilever_price_limits!B:B,
         [1]unilever_price_limits!C:C)</f>
        <v>50</v>
      </c>
      <c r="H1480" s="8">
        <f t="shared" si="93"/>
        <v>8.67</v>
      </c>
      <c r="I1480" s="6">
        <f t="shared" si="94"/>
        <v>50</v>
      </c>
      <c r="J1480" t="str">
        <f t="shared" si="95"/>
        <v>OK</v>
      </c>
    </row>
    <row r="1481" spans="1:10" x14ac:dyDescent="0.2">
      <c r="A1481">
        <v>11480</v>
      </c>
      <c r="B1481" t="s">
        <v>7</v>
      </c>
      <c r="C1481" t="s">
        <v>11</v>
      </c>
      <c r="D1481" s="8">
        <v>9.77</v>
      </c>
      <c r="E1481">
        <v>2</v>
      </c>
      <c r="F1481" t="str">
        <f t="shared" si="92"/>
        <v>Value</v>
      </c>
      <c r="G1481" s="3" cm="1">
        <f t="array" ref="G1481">_xlfn.XLOOKUP(C1481 &amp; F1481,
         [1]unilever_price_limits!A:A &amp; [1]unilever_price_limits!B:B,
         [1]unilever_price_limits!C:C)</f>
        <v>10</v>
      </c>
      <c r="H1481" s="8">
        <f t="shared" si="93"/>
        <v>10.747</v>
      </c>
      <c r="I1481" s="6">
        <f t="shared" si="94"/>
        <v>10.000000000000009</v>
      </c>
      <c r="J1481" t="str">
        <f t="shared" si="95"/>
        <v>OK</v>
      </c>
    </row>
    <row r="1482" spans="1:10" x14ac:dyDescent="0.2">
      <c r="A1482">
        <v>11481</v>
      </c>
      <c r="B1482" t="s">
        <v>5</v>
      </c>
      <c r="C1482" t="s">
        <v>6</v>
      </c>
      <c r="D1482" s="8">
        <v>2.37</v>
      </c>
      <c r="E1482">
        <v>9</v>
      </c>
      <c r="F1482" t="str">
        <f t="shared" si="92"/>
        <v>Premium</v>
      </c>
      <c r="G1482" s="3" cm="1">
        <f t="array" ref="G1482">_xlfn.XLOOKUP(C1482 &amp; F1482,
         [1]unilever_price_limits!A:A &amp; [1]unilever_price_limits!B:B,
         [1]unilever_price_limits!C:C)</f>
        <v>55</v>
      </c>
      <c r="H1482" s="8">
        <f t="shared" si="93"/>
        <v>3.6735000000000002</v>
      </c>
      <c r="I1482" s="6">
        <f t="shared" si="94"/>
        <v>55.000000000000007</v>
      </c>
      <c r="J1482" t="str">
        <f t="shared" si="95"/>
        <v>OK</v>
      </c>
    </row>
    <row r="1483" spans="1:10" x14ac:dyDescent="0.2">
      <c r="A1483">
        <v>11482</v>
      </c>
      <c r="B1483" t="s">
        <v>8</v>
      </c>
      <c r="C1483" t="s">
        <v>11</v>
      </c>
      <c r="D1483" s="8">
        <v>6.74</v>
      </c>
      <c r="E1483">
        <v>1</v>
      </c>
      <c r="F1483" t="str">
        <f t="shared" si="92"/>
        <v>Value</v>
      </c>
      <c r="G1483" s="3" cm="1">
        <f t="array" ref="G1483">_xlfn.XLOOKUP(C1483 &amp; F1483,
         [1]unilever_price_limits!A:A &amp; [1]unilever_price_limits!B:B,
         [1]unilever_price_limits!C:C)</f>
        <v>10</v>
      </c>
      <c r="H1483" s="8">
        <f t="shared" si="93"/>
        <v>7.4140000000000006</v>
      </c>
      <c r="I1483" s="6">
        <f t="shared" si="94"/>
        <v>10.000000000000009</v>
      </c>
      <c r="J1483" t="str">
        <f t="shared" si="95"/>
        <v>OK</v>
      </c>
    </row>
    <row r="1484" spans="1:10" x14ac:dyDescent="0.2">
      <c r="A1484">
        <v>11483</v>
      </c>
      <c r="B1484" t="s">
        <v>10</v>
      </c>
      <c r="C1484" t="s">
        <v>11</v>
      </c>
      <c r="D1484" s="8">
        <v>4.4800000000000004</v>
      </c>
      <c r="E1484">
        <v>9</v>
      </c>
      <c r="F1484" t="str">
        <f t="shared" si="92"/>
        <v>Premium</v>
      </c>
      <c r="G1484" s="3" cm="1">
        <f t="array" ref="G1484">_xlfn.XLOOKUP(C1484 &amp; F1484,
         [1]unilever_price_limits!A:A &amp; [1]unilever_price_limits!B:B,
         [1]unilever_price_limits!C:C)</f>
        <v>50</v>
      </c>
      <c r="H1484" s="8">
        <f t="shared" si="93"/>
        <v>6.7200000000000006</v>
      </c>
      <c r="I1484" s="6">
        <f t="shared" si="94"/>
        <v>50</v>
      </c>
      <c r="J1484" t="str">
        <f t="shared" si="95"/>
        <v>OK</v>
      </c>
    </row>
    <row r="1485" spans="1:10" x14ac:dyDescent="0.2">
      <c r="A1485">
        <v>11484</v>
      </c>
      <c r="B1485" t="s">
        <v>8</v>
      </c>
      <c r="C1485" t="s">
        <v>9</v>
      </c>
      <c r="D1485" s="8">
        <v>13.37</v>
      </c>
      <c r="E1485">
        <v>7</v>
      </c>
      <c r="F1485" t="str">
        <f t="shared" si="92"/>
        <v>Standard</v>
      </c>
      <c r="G1485" s="3" cm="1">
        <f t="array" ref="G1485">_xlfn.XLOOKUP(C1485 &amp; F1485,
         [1]unilever_price_limits!A:A &amp; [1]unilever_price_limits!B:B,
         [1]unilever_price_limits!C:C)</f>
        <v>30</v>
      </c>
      <c r="H1485" s="8">
        <f t="shared" si="93"/>
        <v>17.381</v>
      </c>
      <c r="I1485" s="6">
        <f t="shared" si="94"/>
        <v>30.000000000000004</v>
      </c>
      <c r="J1485" t="str">
        <f t="shared" si="95"/>
        <v>OK</v>
      </c>
    </row>
    <row r="1486" spans="1:10" x14ac:dyDescent="0.2">
      <c r="A1486">
        <v>11485</v>
      </c>
      <c r="B1486" t="s">
        <v>5</v>
      </c>
      <c r="C1486" t="s">
        <v>9</v>
      </c>
      <c r="D1486" s="8">
        <v>1.0900000000000001</v>
      </c>
      <c r="E1486">
        <v>10</v>
      </c>
      <c r="F1486" t="str">
        <f t="shared" si="92"/>
        <v>Premium</v>
      </c>
      <c r="G1486" s="3" cm="1">
        <f t="array" ref="G1486">_xlfn.XLOOKUP(C1486 &amp; F1486,
         [1]unilever_price_limits!A:A &amp; [1]unilever_price_limits!B:B,
         [1]unilever_price_limits!C:C)</f>
        <v>60</v>
      </c>
      <c r="H1486" s="8">
        <f t="shared" si="93"/>
        <v>1.7440000000000002</v>
      </c>
      <c r="I1486" s="6">
        <f t="shared" si="94"/>
        <v>60.000000000000007</v>
      </c>
      <c r="J1486" t="str">
        <f t="shared" si="95"/>
        <v>OK</v>
      </c>
    </row>
    <row r="1487" spans="1:10" x14ac:dyDescent="0.2">
      <c r="A1487">
        <v>11486</v>
      </c>
      <c r="B1487" t="s">
        <v>5</v>
      </c>
      <c r="C1487" t="s">
        <v>11</v>
      </c>
      <c r="D1487" s="8">
        <v>13.75</v>
      </c>
      <c r="E1487">
        <v>2</v>
      </c>
      <c r="F1487" t="str">
        <f t="shared" si="92"/>
        <v>Value</v>
      </c>
      <c r="G1487" s="3" cm="1">
        <f t="array" ref="G1487">_xlfn.XLOOKUP(C1487 &amp; F1487,
         [1]unilever_price_limits!A:A &amp; [1]unilever_price_limits!B:B,
         [1]unilever_price_limits!C:C)</f>
        <v>10</v>
      </c>
      <c r="H1487" s="8">
        <f t="shared" si="93"/>
        <v>15.125000000000002</v>
      </c>
      <c r="I1487" s="6">
        <f t="shared" si="94"/>
        <v>10.000000000000009</v>
      </c>
      <c r="J1487" t="str">
        <f t="shared" si="95"/>
        <v>OK</v>
      </c>
    </row>
    <row r="1488" spans="1:10" x14ac:dyDescent="0.2">
      <c r="A1488">
        <v>11487</v>
      </c>
      <c r="B1488" t="s">
        <v>5</v>
      </c>
      <c r="C1488" t="s">
        <v>9</v>
      </c>
      <c r="D1488" s="8">
        <v>12.58</v>
      </c>
      <c r="E1488">
        <v>6</v>
      </c>
      <c r="F1488" t="str">
        <f t="shared" si="92"/>
        <v>Standard</v>
      </c>
      <c r="G1488" s="3" cm="1">
        <f t="array" ref="G1488">_xlfn.XLOOKUP(C1488 &amp; F1488,
         [1]unilever_price_limits!A:A &amp; [1]unilever_price_limits!B:B,
         [1]unilever_price_limits!C:C)</f>
        <v>30</v>
      </c>
      <c r="H1488" s="8">
        <f t="shared" si="93"/>
        <v>16.353999999999999</v>
      </c>
      <c r="I1488" s="6">
        <f t="shared" si="94"/>
        <v>29.999999999999982</v>
      </c>
      <c r="J1488" t="str">
        <f t="shared" si="95"/>
        <v>OK</v>
      </c>
    </row>
    <row r="1489" spans="1:10" x14ac:dyDescent="0.2">
      <c r="A1489">
        <v>11488</v>
      </c>
      <c r="B1489" t="s">
        <v>8</v>
      </c>
      <c r="C1489" t="s">
        <v>9</v>
      </c>
      <c r="D1489" s="8">
        <v>4.8099999999999996</v>
      </c>
      <c r="E1489">
        <v>8</v>
      </c>
      <c r="F1489" t="str">
        <f t="shared" si="92"/>
        <v>Premium</v>
      </c>
      <c r="G1489" s="3" cm="1">
        <f t="array" ref="G1489">_xlfn.XLOOKUP(C1489 &amp; F1489,
         [1]unilever_price_limits!A:A &amp; [1]unilever_price_limits!B:B,
         [1]unilever_price_limits!C:C)</f>
        <v>60</v>
      </c>
      <c r="H1489" s="8">
        <f t="shared" si="93"/>
        <v>7.6959999999999997</v>
      </c>
      <c r="I1489" s="6">
        <f t="shared" si="94"/>
        <v>60.000000000000007</v>
      </c>
      <c r="J1489" t="str">
        <f t="shared" si="95"/>
        <v>OK</v>
      </c>
    </row>
    <row r="1490" spans="1:10" x14ac:dyDescent="0.2">
      <c r="A1490">
        <v>11489</v>
      </c>
      <c r="B1490" t="s">
        <v>8</v>
      </c>
      <c r="C1490" t="s">
        <v>11</v>
      </c>
      <c r="D1490" s="8">
        <v>11.94</v>
      </c>
      <c r="E1490">
        <v>2</v>
      </c>
      <c r="F1490" t="str">
        <f t="shared" si="92"/>
        <v>Value</v>
      </c>
      <c r="G1490" s="3" cm="1">
        <f t="array" ref="G1490">_xlfn.XLOOKUP(C1490 &amp; F1490,
         [1]unilever_price_limits!A:A &amp; [1]unilever_price_limits!B:B,
         [1]unilever_price_limits!C:C)</f>
        <v>10</v>
      </c>
      <c r="H1490" s="8">
        <f t="shared" si="93"/>
        <v>13.134</v>
      </c>
      <c r="I1490" s="6">
        <f t="shared" si="94"/>
        <v>10.000000000000009</v>
      </c>
      <c r="J1490" t="str">
        <f t="shared" si="95"/>
        <v>OK</v>
      </c>
    </row>
    <row r="1491" spans="1:10" x14ac:dyDescent="0.2">
      <c r="A1491">
        <v>11490</v>
      </c>
      <c r="B1491" t="s">
        <v>8</v>
      </c>
      <c r="C1491" t="s">
        <v>11</v>
      </c>
      <c r="D1491" s="8">
        <v>0.95</v>
      </c>
      <c r="E1491">
        <v>5</v>
      </c>
      <c r="F1491" t="str">
        <f t="shared" si="92"/>
        <v>Standard</v>
      </c>
      <c r="G1491" s="3" cm="1">
        <f t="array" ref="G1491">_xlfn.XLOOKUP(C1491 &amp; F1491,
         [1]unilever_price_limits!A:A &amp; [1]unilever_price_limits!B:B,
         [1]unilever_price_limits!C:C)</f>
        <v>25</v>
      </c>
      <c r="H1491" s="8">
        <f t="shared" si="93"/>
        <v>1.1875</v>
      </c>
      <c r="I1491" s="6">
        <f t="shared" si="94"/>
        <v>25</v>
      </c>
      <c r="J1491" t="str">
        <f t="shared" si="95"/>
        <v>OK</v>
      </c>
    </row>
    <row r="1492" spans="1:10" x14ac:dyDescent="0.2">
      <c r="A1492">
        <v>11491</v>
      </c>
      <c r="B1492" t="s">
        <v>8</v>
      </c>
      <c r="C1492" t="s">
        <v>11</v>
      </c>
      <c r="D1492" s="8">
        <v>14.52</v>
      </c>
      <c r="E1492">
        <v>6</v>
      </c>
      <c r="F1492" t="str">
        <f t="shared" si="92"/>
        <v>Standard</v>
      </c>
      <c r="G1492" s="3" cm="1">
        <f t="array" ref="G1492">_xlfn.XLOOKUP(C1492 &amp; F1492,
         [1]unilever_price_limits!A:A &amp; [1]unilever_price_limits!B:B,
         [1]unilever_price_limits!C:C)</f>
        <v>25</v>
      </c>
      <c r="H1492" s="8">
        <f t="shared" si="93"/>
        <v>18.149999999999999</v>
      </c>
      <c r="I1492" s="6">
        <f t="shared" si="94"/>
        <v>25</v>
      </c>
      <c r="J1492" t="str">
        <f t="shared" si="95"/>
        <v>OK</v>
      </c>
    </row>
    <row r="1493" spans="1:10" x14ac:dyDescent="0.2">
      <c r="A1493">
        <v>11492</v>
      </c>
      <c r="B1493" t="s">
        <v>5</v>
      </c>
      <c r="C1493" t="s">
        <v>11</v>
      </c>
      <c r="D1493" s="8">
        <v>8.14</v>
      </c>
      <c r="E1493">
        <v>3</v>
      </c>
      <c r="F1493" t="str">
        <f t="shared" si="92"/>
        <v>Value</v>
      </c>
      <c r="G1493" s="3" cm="1">
        <f t="array" ref="G1493">_xlfn.XLOOKUP(C1493 &amp; F1493,
         [1]unilever_price_limits!A:A &amp; [1]unilever_price_limits!B:B,
         [1]unilever_price_limits!C:C)</f>
        <v>10</v>
      </c>
      <c r="H1493" s="8">
        <f t="shared" si="93"/>
        <v>8.9540000000000006</v>
      </c>
      <c r="I1493" s="6">
        <f t="shared" si="94"/>
        <v>10.000000000000009</v>
      </c>
      <c r="J1493" t="str">
        <f t="shared" si="95"/>
        <v>OK</v>
      </c>
    </row>
    <row r="1494" spans="1:10" x14ac:dyDescent="0.2">
      <c r="A1494">
        <v>11493</v>
      </c>
      <c r="B1494" t="s">
        <v>5</v>
      </c>
      <c r="C1494" t="s">
        <v>6</v>
      </c>
      <c r="D1494" s="8">
        <v>4.9000000000000004</v>
      </c>
      <c r="E1494">
        <v>2</v>
      </c>
      <c r="F1494" t="str">
        <f t="shared" si="92"/>
        <v>Value</v>
      </c>
      <c r="G1494" s="3" cm="1">
        <f t="array" ref="G1494">_xlfn.XLOOKUP(C1494 &amp; F1494,
         [1]unilever_price_limits!A:A &amp; [1]unilever_price_limits!B:B,
         [1]unilever_price_limits!C:C)</f>
        <v>12</v>
      </c>
      <c r="H1494" s="8">
        <f t="shared" si="93"/>
        <v>5.4880000000000013</v>
      </c>
      <c r="I1494" s="6">
        <f t="shared" si="94"/>
        <v>12.000000000000011</v>
      </c>
      <c r="J1494" t="str">
        <f t="shared" si="95"/>
        <v>OK</v>
      </c>
    </row>
    <row r="1495" spans="1:10" x14ac:dyDescent="0.2">
      <c r="A1495">
        <v>11494</v>
      </c>
      <c r="B1495" t="s">
        <v>10</v>
      </c>
      <c r="C1495" t="s">
        <v>6</v>
      </c>
      <c r="D1495" s="8">
        <v>5.76</v>
      </c>
      <c r="E1495">
        <v>6</v>
      </c>
      <c r="F1495" t="str">
        <f t="shared" si="92"/>
        <v>Standard</v>
      </c>
      <c r="G1495" s="3" cm="1">
        <f t="array" ref="G1495">_xlfn.XLOOKUP(C1495 &amp; F1495,
         [1]unilever_price_limits!A:A &amp; [1]unilever_price_limits!B:B,
         [1]unilever_price_limits!C:C)</f>
        <v>28</v>
      </c>
      <c r="H1495" s="8">
        <f t="shared" si="93"/>
        <v>7.3727999999999998</v>
      </c>
      <c r="I1495" s="6">
        <f t="shared" si="94"/>
        <v>28.000000000000004</v>
      </c>
      <c r="J1495" t="str">
        <f t="shared" si="95"/>
        <v>OK</v>
      </c>
    </row>
    <row r="1496" spans="1:10" x14ac:dyDescent="0.2">
      <c r="A1496">
        <v>11495</v>
      </c>
      <c r="B1496" t="s">
        <v>10</v>
      </c>
      <c r="C1496" t="s">
        <v>11</v>
      </c>
      <c r="D1496" s="8">
        <v>1.46</v>
      </c>
      <c r="E1496">
        <v>3</v>
      </c>
      <c r="F1496" t="str">
        <f t="shared" si="92"/>
        <v>Value</v>
      </c>
      <c r="G1496" s="3" cm="1">
        <f t="array" ref="G1496">_xlfn.XLOOKUP(C1496 &amp; F1496,
         [1]unilever_price_limits!A:A &amp; [1]unilever_price_limits!B:B,
         [1]unilever_price_limits!C:C)</f>
        <v>10</v>
      </c>
      <c r="H1496" s="8">
        <f t="shared" si="93"/>
        <v>1.6060000000000001</v>
      </c>
      <c r="I1496" s="6">
        <f t="shared" si="94"/>
        <v>10.000000000000009</v>
      </c>
      <c r="J1496" t="str">
        <f t="shared" si="95"/>
        <v>OK</v>
      </c>
    </row>
    <row r="1497" spans="1:10" x14ac:dyDescent="0.2">
      <c r="A1497">
        <v>11496</v>
      </c>
      <c r="B1497" t="s">
        <v>8</v>
      </c>
      <c r="C1497" t="s">
        <v>9</v>
      </c>
      <c r="D1497" s="8">
        <v>14.85</v>
      </c>
      <c r="E1497">
        <v>2</v>
      </c>
      <c r="F1497" t="str">
        <f t="shared" si="92"/>
        <v>Value</v>
      </c>
      <c r="G1497" s="3" cm="1">
        <f t="array" ref="G1497">_xlfn.XLOOKUP(C1497 &amp; F1497,
         [1]unilever_price_limits!A:A &amp; [1]unilever_price_limits!B:B,
         [1]unilever_price_limits!C:C)</f>
        <v>15</v>
      </c>
      <c r="H1497" s="8">
        <f t="shared" si="93"/>
        <v>17.077499999999997</v>
      </c>
      <c r="I1497" s="6">
        <f t="shared" si="94"/>
        <v>14.999999999999991</v>
      </c>
      <c r="J1497" t="str">
        <f t="shared" si="95"/>
        <v>OK</v>
      </c>
    </row>
    <row r="1498" spans="1:10" x14ac:dyDescent="0.2">
      <c r="A1498">
        <v>11497</v>
      </c>
      <c r="B1498" t="s">
        <v>7</v>
      </c>
      <c r="C1498" t="s">
        <v>11</v>
      </c>
      <c r="D1498" s="8">
        <v>1.07</v>
      </c>
      <c r="E1498">
        <v>1</v>
      </c>
      <c r="F1498" t="str">
        <f t="shared" si="92"/>
        <v>Value</v>
      </c>
      <c r="G1498" s="3" cm="1">
        <f t="array" ref="G1498">_xlfn.XLOOKUP(C1498 &amp; F1498,
         [1]unilever_price_limits!A:A &amp; [1]unilever_price_limits!B:B,
         [1]unilever_price_limits!C:C)</f>
        <v>10</v>
      </c>
      <c r="H1498" s="8">
        <f t="shared" si="93"/>
        <v>1.1770000000000003</v>
      </c>
      <c r="I1498" s="6">
        <f t="shared" si="94"/>
        <v>10.000000000000009</v>
      </c>
      <c r="J1498" t="str">
        <f t="shared" si="95"/>
        <v>OK</v>
      </c>
    </row>
    <row r="1499" spans="1:10" x14ac:dyDescent="0.2">
      <c r="A1499">
        <v>11498</v>
      </c>
      <c r="B1499" t="s">
        <v>7</v>
      </c>
      <c r="C1499" t="s">
        <v>11</v>
      </c>
      <c r="D1499" s="8">
        <v>10</v>
      </c>
      <c r="E1499">
        <v>8</v>
      </c>
      <c r="F1499" t="str">
        <f t="shared" si="92"/>
        <v>Premium</v>
      </c>
      <c r="G1499" s="3" cm="1">
        <f t="array" ref="G1499">_xlfn.XLOOKUP(C1499 &amp; F1499,
         [1]unilever_price_limits!A:A &amp; [1]unilever_price_limits!B:B,
         [1]unilever_price_limits!C:C)</f>
        <v>50</v>
      </c>
      <c r="H1499" s="8">
        <f t="shared" si="93"/>
        <v>15</v>
      </c>
      <c r="I1499" s="6">
        <f t="shared" si="94"/>
        <v>50</v>
      </c>
      <c r="J1499" t="str">
        <f t="shared" si="95"/>
        <v>OK</v>
      </c>
    </row>
    <row r="1500" spans="1:10" x14ac:dyDescent="0.2">
      <c r="A1500">
        <v>11499</v>
      </c>
      <c r="B1500" t="s">
        <v>5</v>
      </c>
      <c r="C1500" t="s">
        <v>9</v>
      </c>
      <c r="D1500" s="8">
        <v>6.92</v>
      </c>
      <c r="E1500">
        <v>1</v>
      </c>
      <c r="F1500" t="str">
        <f t="shared" si="92"/>
        <v>Value</v>
      </c>
      <c r="G1500" s="3" cm="1">
        <f t="array" ref="G1500">_xlfn.XLOOKUP(C1500 &amp; F1500,
         [1]unilever_price_limits!A:A &amp; [1]unilever_price_limits!B:B,
         [1]unilever_price_limits!C:C)</f>
        <v>15</v>
      </c>
      <c r="H1500" s="8">
        <f t="shared" si="93"/>
        <v>7.9579999999999993</v>
      </c>
      <c r="I1500" s="6">
        <f t="shared" si="94"/>
        <v>14.999999999999991</v>
      </c>
      <c r="J1500" t="str">
        <f t="shared" si="95"/>
        <v>OK</v>
      </c>
    </row>
    <row r="1501" spans="1:10" x14ac:dyDescent="0.2">
      <c r="A1501">
        <v>11500</v>
      </c>
      <c r="B1501" t="s">
        <v>5</v>
      </c>
      <c r="C1501" t="s">
        <v>6</v>
      </c>
      <c r="D1501" s="8">
        <v>14.26</v>
      </c>
      <c r="E1501">
        <v>5</v>
      </c>
      <c r="F1501" t="str">
        <f t="shared" si="92"/>
        <v>Standard</v>
      </c>
      <c r="G1501" s="3" cm="1">
        <f t="array" ref="G1501">_xlfn.XLOOKUP(C1501 &amp; F1501,
         [1]unilever_price_limits!A:A &amp; [1]unilever_price_limits!B:B,
         [1]unilever_price_limits!C:C)</f>
        <v>28</v>
      </c>
      <c r="H1501" s="8">
        <f t="shared" si="93"/>
        <v>18.252800000000001</v>
      </c>
      <c r="I1501" s="6">
        <f t="shared" si="94"/>
        <v>28.000000000000004</v>
      </c>
      <c r="J1501" t="str">
        <f t="shared" si="95"/>
        <v>OK</v>
      </c>
    </row>
    <row r="1502" spans="1:10" x14ac:dyDescent="0.2">
      <c r="A1502">
        <v>11501</v>
      </c>
      <c r="B1502" t="s">
        <v>5</v>
      </c>
      <c r="C1502" t="s">
        <v>11</v>
      </c>
      <c r="D1502" s="8">
        <v>4.07</v>
      </c>
      <c r="E1502">
        <v>6</v>
      </c>
      <c r="F1502" t="str">
        <f t="shared" si="92"/>
        <v>Standard</v>
      </c>
      <c r="G1502" s="3" cm="1">
        <f t="array" ref="G1502">_xlfn.XLOOKUP(C1502 &amp; F1502,
         [1]unilever_price_limits!A:A &amp; [1]unilever_price_limits!B:B,
         [1]unilever_price_limits!C:C)</f>
        <v>25</v>
      </c>
      <c r="H1502" s="8">
        <f t="shared" si="93"/>
        <v>5.0875000000000004</v>
      </c>
      <c r="I1502" s="6">
        <f t="shared" si="94"/>
        <v>25</v>
      </c>
      <c r="J1502" t="str">
        <f t="shared" si="95"/>
        <v>OK</v>
      </c>
    </row>
    <row r="1503" spans="1:10" x14ac:dyDescent="0.2">
      <c r="A1503">
        <v>11502</v>
      </c>
      <c r="B1503" t="s">
        <v>10</v>
      </c>
      <c r="C1503" t="s">
        <v>11</v>
      </c>
      <c r="D1503" s="8">
        <v>8.2200000000000006</v>
      </c>
      <c r="E1503">
        <v>3</v>
      </c>
      <c r="F1503" t="str">
        <f t="shared" si="92"/>
        <v>Value</v>
      </c>
      <c r="G1503" s="3" cm="1">
        <f t="array" ref="G1503">_xlfn.XLOOKUP(C1503 &amp; F1503,
         [1]unilever_price_limits!A:A &amp; [1]unilever_price_limits!B:B,
         [1]unilever_price_limits!C:C)</f>
        <v>10</v>
      </c>
      <c r="H1503" s="8">
        <f t="shared" si="93"/>
        <v>9.0420000000000016</v>
      </c>
      <c r="I1503" s="6">
        <f t="shared" si="94"/>
        <v>10.000000000000009</v>
      </c>
      <c r="J1503" t="str">
        <f t="shared" si="95"/>
        <v>OK</v>
      </c>
    </row>
    <row r="1504" spans="1:10" x14ac:dyDescent="0.2">
      <c r="A1504">
        <v>11503</v>
      </c>
      <c r="B1504" t="s">
        <v>10</v>
      </c>
      <c r="C1504" t="s">
        <v>6</v>
      </c>
      <c r="D1504" s="8">
        <v>7.49</v>
      </c>
      <c r="E1504">
        <v>7</v>
      </c>
      <c r="F1504" t="str">
        <f t="shared" si="92"/>
        <v>Standard</v>
      </c>
      <c r="G1504" s="3" cm="1">
        <f t="array" ref="G1504">_xlfn.XLOOKUP(C1504 &amp; F1504,
         [1]unilever_price_limits!A:A &amp; [1]unilever_price_limits!B:B,
         [1]unilever_price_limits!C:C)</f>
        <v>28</v>
      </c>
      <c r="H1504" s="8">
        <f t="shared" si="93"/>
        <v>9.5872000000000011</v>
      </c>
      <c r="I1504" s="6">
        <f t="shared" si="94"/>
        <v>28.000000000000004</v>
      </c>
      <c r="J1504" t="str">
        <f t="shared" si="95"/>
        <v>OK</v>
      </c>
    </row>
    <row r="1505" spans="1:10" x14ac:dyDescent="0.2">
      <c r="A1505">
        <v>11504</v>
      </c>
      <c r="B1505" t="s">
        <v>5</v>
      </c>
      <c r="C1505" t="s">
        <v>6</v>
      </c>
      <c r="D1505" s="8">
        <v>10.69</v>
      </c>
      <c r="E1505">
        <v>2</v>
      </c>
      <c r="F1505" t="str">
        <f t="shared" si="92"/>
        <v>Value</v>
      </c>
      <c r="G1505" s="3" cm="1">
        <f t="array" ref="G1505">_xlfn.XLOOKUP(C1505 &amp; F1505,
         [1]unilever_price_limits!A:A &amp; [1]unilever_price_limits!B:B,
         [1]unilever_price_limits!C:C)</f>
        <v>12</v>
      </c>
      <c r="H1505" s="8">
        <f t="shared" si="93"/>
        <v>11.972800000000001</v>
      </c>
      <c r="I1505" s="6">
        <f t="shared" si="94"/>
        <v>12.000000000000011</v>
      </c>
      <c r="J1505" t="str">
        <f t="shared" si="95"/>
        <v>OK</v>
      </c>
    </row>
    <row r="1506" spans="1:10" x14ac:dyDescent="0.2">
      <c r="A1506">
        <v>11505</v>
      </c>
      <c r="B1506" t="s">
        <v>5</v>
      </c>
      <c r="C1506" t="s">
        <v>9</v>
      </c>
      <c r="D1506" s="8">
        <v>1.49</v>
      </c>
      <c r="E1506">
        <v>7</v>
      </c>
      <c r="F1506" t="str">
        <f t="shared" si="92"/>
        <v>Standard</v>
      </c>
      <c r="G1506" s="3" cm="1">
        <f t="array" ref="G1506">_xlfn.XLOOKUP(C1506 &amp; F1506,
         [1]unilever_price_limits!A:A &amp; [1]unilever_price_limits!B:B,
         [1]unilever_price_limits!C:C)</f>
        <v>30</v>
      </c>
      <c r="H1506" s="8">
        <f t="shared" si="93"/>
        <v>1.9370000000000001</v>
      </c>
      <c r="I1506" s="6">
        <f t="shared" si="94"/>
        <v>30.000000000000004</v>
      </c>
      <c r="J1506" t="str">
        <f t="shared" si="95"/>
        <v>OK</v>
      </c>
    </row>
    <row r="1507" spans="1:10" x14ac:dyDescent="0.2">
      <c r="A1507">
        <v>11506</v>
      </c>
      <c r="B1507" t="s">
        <v>5</v>
      </c>
      <c r="C1507" t="s">
        <v>6</v>
      </c>
      <c r="D1507" s="8">
        <v>3.31</v>
      </c>
      <c r="E1507">
        <v>2</v>
      </c>
      <c r="F1507" t="str">
        <f t="shared" si="92"/>
        <v>Value</v>
      </c>
      <c r="G1507" s="3" cm="1">
        <f t="array" ref="G1507">_xlfn.XLOOKUP(C1507 &amp; F1507,
         [1]unilever_price_limits!A:A &amp; [1]unilever_price_limits!B:B,
         [1]unilever_price_limits!C:C)</f>
        <v>12</v>
      </c>
      <c r="H1507" s="8">
        <f t="shared" si="93"/>
        <v>3.7072000000000003</v>
      </c>
      <c r="I1507" s="6">
        <f t="shared" si="94"/>
        <v>12.000000000000011</v>
      </c>
      <c r="J1507" t="str">
        <f t="shared" si="95"/>
        <v>OK</v>
      </c>
    </row>
    <row r="1508" spans="1:10" x14ac:dyDescent="0.2">
      <c r="A1508">
        <v>11507</v>
      </c>
      <c r="B1508" t="s">
        <v>7</v>
      </c>
      <c r="C1508" t="s">
        <v>6</v>
      </c>
      <c r="D1508" s="8">
        <v>3.61</v>
      </c>
      <c r="E1508">
        <v>5</v>
      </c>
      <c r="F1508" t="str">
        <f t="shared" si="92"/>
        <v>Standard</v>
      </c>
      <c r="G1508" s="3" cm="1">
        <f t="array" ref="G1508">_xlfn.XLOOKUP(C1508 &amp; F1508,
         [1]unilever_price_limits!A:A &amp; [1]unilever_price_limits!B:B,
         [1]unilever_price_limits!C:C)</f>
        <v>28</v>
      </c>
      <c r="H1508" s="8">
        <f t="shared" si="93"/>
        <v>4.6208</v>
      </c>
      <c r="I1508" s="6">
        <f t="shared" si="94"/>
        <v>28.000000000000004</v>
      </c>
      <c r="J1508" t="str">
        <f t="shared" si="95"/>
        <v>OK</v>
      </c>
    </row>
    <row r="1509" spans="1:10" x14ac:dyDescent="0.2">
      <c r="A1509">
        <v>11508</v>
      </c>
      <c r="B1509" t="s">
        <v>10</v>
      </c>
      <c r="C1509" t="s">
        <v>6</v>
      </c>
      <c r="D1509" s="8">
        <v>11.2</v>
      </c>
      <c r="E1509">
        <v>7</v>
      </c>
      <c r="F1509" t="str">
        <f t="shared" si="92"/>
        <v>Standard</v>
      </c>
      <c r="G1509" s="3" cm="1">
        <f t="array" ref="G1509">_xlfn.XLOOKUP(C1509 &amp; F1509,
         [1]unilever_price_limits!A:A &amp; [1]unilever_price_limits!B:B,
         [1]unilever_price_limits!C:C)</f>
        <v>28</v>
      </c>
      <c r="H1509" s="8">
        <f t="shared" si="93"/>
        <v>14.335999999999999</v>
      </c>
      <c r="I1509" s="6">
        <f t="shared" si="94"/>
        <v>28.000000000000004</v>
      </c>
      <c r="J1509" t="str">
        <f t="shared" si="95"/>
        <v>OK</v>
      </c>
    </row>
    <row r="1510" spans="1:10" x14ac:dyDescent="0.2">
      <c r="A1510">
        <v>11509</v>
      </c>
      <c r="B1510" t="s">
        <v>7</v>
      </c>
      <c r="C1510" t="s">
        <v>9</v>
      </c>
      <c r="D1510" s="8">
        <v>3.24</v>
      </c>
      <c r="E1510">
        <v>3</v>
      </c>
      <c r="F1510" t="str">
        <f t="shared" si="92"/>
        <v>Value</v>
      </c>
      <c r="G1510" s="3" cm="1">
        <f t="array" ref="G1510">_xlfn.XLOOKUP(C1510 &amp; F1510,
         [1]unilever_price_limits!A:A &amp; [1]unilever_price_limits!B:B,
         [1]unilever_price_limits!C:C)</f>
        <v>15</v>
      </c>
      <c r="H1510" s="8">
        <f t="shared" si="93"/>
        <v>3.726</v>
      </c>
      <c r="I1510" s="6">
        <f t="shared" si="94"/>
        <v>14.999999999999991</v>
      </c>
      <c r="J1510" t="str">
        <f t="shared" si="95"/>
        <v>OK</v>
      </c>
    </row>
    <row r="1511" spans="1:10" x14ac:dyDescent="0.2">
      <c r="A1511">
        <v>11510</v>
      </c>
      <c r="B1511" t="s">
        <v>7</v>
      </c>
      <c r="C1511" t="s">
        <v>6</v>
      </c>
      <c r="D1511" s="8">
        <v>8.82</v>
      </c>
      <c r="E1511">
        <v>4</v>
      </c>
      <c r="F1511" t="str">
        <f t="shared" si="92"/>
        <v>Standard</v>
      </c>
      <c r="G1511" s="3" cm="1">
        <f t="array" ref="G1511">_xlfn.XLOOKUP(C1511 &amp; F1511,
         [1]unilever_price_limits!A:A &amp; [1]unilever_price_limits!B:B,
         [1]unilever_price_limits!C:C)</f>
        <v>28</v>
      </c>
      <c r="H1511" s="8">
        <f t="shared" si="93"/>
        <v>11.2896</v>
      </c>
      <c r="I1511" s="6">
        <f t="shared" si="94"/>
        <v>28.000000000000004</v>
      </c>
      <c r="J1511" t="str">
        <f t="shared" si="95"/>
        <v>OK</v>
      </c>
    </row>
    <row r="1512" spans="1:10" x14ac:dyDescent="0.2">
      <c r="A1512">
        <v>11511</v>
      </c>
      <c r="B1512" t="s">
        <v>5</v>
      </c>
      <c r="C1512" t="s">
        <v>6</v>
      </c>
      <c r="D1512" s="8">
        <v>3.62</v>
      </c>
      <c r="E1512">
        <v>1</v>
      </c>
      <c r="F1512" t="str">
        <f t="shared" si="92"/>
        <v>Value</v>
      </c>
      <c r="G1512" s="3" cm="1">
        <f t="array" ref="G1512">_xlfn.XLOOKUP(C1512 &amp; F1512,
         [1]unilever_price_limits!A:A &amp; [1]unilever_price_limits!B:B,
         [1]unilever_price_limits!C:C)</f>
        <v>12</v>
      </c>
      <c r="H1512" s="8">
        <f t="shared" si="93"/>
        <v>4.0544000000000002</v>
      </c>
      <c r="I1512" s="6">
        <f t="shared" si="94"/>
        <v>12.000000000000011</v>
      </c>
      <c r="J1512" t="str">
        <f t="shared" si="95"/>
        <v>OK</v>
      </c>
    </row>
    <row r="1513" spans="1:10" x14ac:dyDescent="0.2">
      <c r="A1513">
        <v>11512</v>
      </c>
      <c r="B1513" t="s">
        <v>5</v>
      </c>
      <c r="C1513" t="s">
        <v>9</v>
      </c>
      <c r="D1513" s="8">
        <v>12.99</v>
      </c>
      <c r="E1513">
        <v>3</v>
      </c>
      <c r="F1513" t="str">
        <f t="shared" si="92"/>
        <v>Value</v>
      </c>
      <c r="G1513" s="3" cm="1">
        <f t="array" ref="G1513">_xlfn.XLOOKUP(C1513 &amp; F1513,
         [1]unilever_price_limits!A:A &amp; [1]unilever_price_limits!B:B,
         [1]unilever_price_limits!C:C)</f>
        <v>15</v>
      </c>
      <c r="H1513" s="8">
        <f t="shared" si="93"/>
        <v>14.938499999999999</v>
      </c>
      <c r="I1513" s="6">
        <f t="shared" si="94"/>
        <v>14.999999999999991</v>
      </c>
      <c r="J1513" t="str">
        <f t="shared" si="95"/>
        <v>OK</v>
      </c>
    </row>
    <row r="1514" spans="1:10" x14ac:dyDescent="0.2">
      <c r="A1514">
        <v>11513</v>
      </c>
      <c r="B1514" t="s">
        <v>8</v>
      </c>
      <c r="C1514" t="s">
        <v>6</v>
      </c>
      <c r="D1514" s="8">
        <v>14.16</v>
      </c>
      <c r="E1514">
        <v>9</v>
      </c>
      <c r="F1514" t="str">
        <f t="shared" si="92"/>
        <v>Premium</v>
      </c>
      <c r="G1514" s="3" cm="1">
        <f t="array" ref="G1514">_xlfn.XLOOKUP(C1514 &amp; F1514,
         [1]unilever_price_limits!A:A &amp; [1]unilever_price_limits!B:B,
         [1]unilever_price_limits!C:C)</f>
        <v>55</v>
      </c>
      <c r="H1514" s="8">
        <f t="shared" si="93"/>
        <v>21.948</v>
      </c>
      <c r="I1514" s="6">
        <f t="shared" si="94"/>
        <v>55.000000000000007</v>
      </c>
      <c r="J1514" t="str">
        <f t="shared" si="95"/>
        <v>OK</v>
      </c>
    </row>
    <row r="1515" spans="1:10" x14ac:dyDescent="0.2">
      <c r="A1515">
        <v>11514</v>
      </c>
      <c r="B1515" t="s">
        <v>8</v>
      </c>
      <c r="C1515" t="s">
        <v>6</v>
      </c>
      <c r="D1515" s="8">
        <v>8.02</v>
      </c>
      <c r="E1515">
        <v>10</v>
      </c>
      <c r="F1515" t="str">
        <f t="shared" si="92"/>
        <v>Premium</v>
      </c>
      <c r="G1515" s="3" cm="1">
        <f t="array" ref="G1515">_xlfn.XLOOKUP(C1515 &amp; F1515,
         [1]unilever_price_limits!A:A &amp; [1]unilever_price_limits!B:B,
         [1]unilever_price_limits!C:C)</f>
        <v>55</v>
      </c>
      <c r="H1515" s="8">
        <f t="shared" si="93"/>
        <v>12.430999999999999</v>
      </c>
      <c r="I1515" s="6">
        <f t="shared" si="94"/>
        <v>55.000000000000007</v>
      </c>
      <c r="J1515" t="str">
        <f t="shared" si="95"/>
        <v>OK</v>
      </c>
    </row>
    <row r="1516" spans="1:10" x14ac:dyDescent="0.2">
      <c r="A1516">
        <v>11515</v>
      </c>
      <c r="B1516" t="s">
        <v>7</v>
      </c>
      <c r="C1516" t="s">
        <v>9</v>
      </c>
      <c r="D1516" s="8">
        <v>5.61</v>
      </c>
      <c r="E1516">
        <v>5</v>
      </c>
      <c r="F1516" t="str">
        <f t="shared" si="92"/>
        <v>Standard</v>
      </c>
      <c r="G1516" s="3" cm="1">
        <f t="array" ref="G1516">_xlfn.XLOOKUP(C1516 &amp; F1516,
         [1]unilever_price_limits!A:A &amp; [1]unilever_price_limits!B:B,
         [1]unilever_price_limits!C:C)</f>
        <v>30</v>
      </c>
      <c r="H1516" s="8">
        <f t="shared" si="93"/>
        <v>7.293000000000001</v>
      </c>
      <c r="I1516" s="6">
        <f t="shared" si="94"/>
        <v>30.000000000000004</v>
      </c>
      <c r="J1516" t="str">
        <f t="shared" si="95"/>
        <v>OK</v>
      </c>
    </row>
    <row r="1517" spans="1:10" x14ac:dyDescent="0.2">
      <c r="A1517">
        <v>11516</v>
      </c>
      <c r="B1517" t="s">
        <v>10</v>
      </c>
      <c r="C1517" t="s">
        <v>11</v>
      </c>
      <c r="D1517" s="8">
        <v>3.89</v>
      </c>
      <c r="E1517">
        <v>8</v>
      </c>
      <c r="F1517" t="str">
        <f t="shared" si="92"/>
        <v>Premium</v>
      </c>
      <c r="G1517" s="3" cm="1">
        <f t="array" ref="G1517">_xlfn.XLOOKUP(C1517 &amp; F1517,
         [1]unilever_price_limits!A:A &amp; [1]unilever_price_limits!B:B,
         [1]unilever_price_limits!C:C)</f>
        <v>50</v>
      </c>
      <c r="H1517" s="8">
        <f t="shared" si="93"/>
        <v>5.835</v>
      </c>
      <c r="I1517" s="6">
        <f t="shared" si="94"/>
        <v>50</v>
      </c>
      <c r="J1517" t="str">
        <f t="shared" si="95"/>
        <v>OK</v>
      </c>
    </row>
    <row r="1518" spans="1:10" x14ac:dyDescent="0.2">
      <c r="A1518">
        <v>11517</v>
      </c>
      <c r="B1518" t="s">
        <v>5</v>
      </c>
      <c r="C1518" t="s">
        <v>9</v>
      </c>
      <c r="D1518" s="8">
        <v>1.22</v>
      </c>
      <c r="E1518">
        <v>2</v>
      </c>
      <c r="F1518" t="str">
        <f t="shared" si="92"/>
        <v>Value</v>
      </c>
      <c r="G1518" s="3" cm="1">
        <f t="array" ref="G1518">_xlfn.XLOOKUP(C1518 &amp; F1518,
         [1]unilever_price_limits!A:A &amp; [1]unilever_price_limits!B:B,
         [1]unilever_price_limits!C:C)</f>
        <v>15</v>
      </c>
      <c r="H1518" s="8">
        <f t="shared" si="93"/>
        <v>1.4029999999999998</v>
      </c>
      <c r="I1518" s="6">
        <f t="shared" si="94"/>
        <v>14.999999999999991</v>
      </c>
      <c r="J1518" t="str">
        <f t="shared" si="95"/>
        <v>OK</v>
      </c>
    </row>
    <row r="1519" spans="1:10" x14ac:dyDescent="0.2">
      <c r="A1519">
        <v>11518</v>
      </c>
      <c r="B1519" t="s">
        <v>5</v>
      </c>
      <c r="C1519" t="s">
        <v>6</v>
      </c>
      <c r="D1519" s="8">
        <v>4.3899999999999997</v>
      </c>
      <c r="E1519">
        <v>3</v>
      </c>
      <c r="F1519" t="str">
        <f t="shared" si="92"/>
        <v>Value</v>
      </c>
      <c r="G1519" s="3" cm="1">
        <f t="array" ref="G1519">_xlfn.XLOOKUP(C1519 &amp; F1519,
         [1]unilever_price_limits!A:A &amp; [1]unilever_price_limits!B:B,
         [1]unilever_price_limits!C:C)</f>
        <v>12</v>
      </c>
      <c r="H1519" s="8">
        <f t="shared" si="93"/>
        <v>4.9168000000000003</v>
      </c>
      <c r="I1519" s="6">
        <f t="shared" si="94"/>
        <v>12.000000000000011</v>
      </c>
      <c r="J1519" t="str">
        <f t="shared" si="95"/>
        <v>OK</v>
      </c>
    </row>
    <row r="1520" spans="1:10" x14ac:dyDescent="0.2">
      <c r="A1520">
        <v>11519</v>
      </c>
      <c r="B1520" t="s">
        <v>7</v>
      </c>
      <c r="C1520" t="s">
        <v>6</v>
      </c>
      <c r="D1520" s="8">
        <v>9.99</v>
      </c>
      <c r="E1520">
        <v>7</v>
      </c>
      <c r="F1520" t="str">
        <f t="shared" si="92"/>
        <v>Standard</v>
      </c>
      <c r="G1520" s="3" cm="1">
        <f t="array" ref="G1520">_xlfn.XLOOKUP(C1520 &amp; F1520,
         [1]unilever_price_limits!A:A &amp; [1]unilever_price_limits!B:B,
         [1]unilever_price_limits!C:C)</f>
        <v>28</v>
      </c>
      <c r="H1520" s="8">
        <f t="shared" si="93"/>
        <v>12.7872</v>
      </c>
      <c r="I1520" s="6">
        <f t="shared" si="94"/>
        <v>28.000000000000004</v>
      </c>
      <c r="J1520" t="str">
        <f t="shared" si="95"/>
        <v>OK</v>
      </c>
    </row>
    <row r="1521" spans="1:10" x14ac:dyDescent="0.2">
      <c r="A1521">
        <v>11520</v>
      </c>
      <c r="B1521" t="s">
        <v>8</v>
      </c>
      <c r="C1521" t="s">
        <v>6</v>
      </c>
      <c r="D1521" s="8">
        <v>8.24</v>
      </c>
      <c r="E1521">
        <v>10</v>
      </c>
      <c r="F1521" t="str">
        <f t="shared" si="92"/>
        <v>Premium</v>
      </c>
      <c r="G1521" s="3" cm="1">
        <f t="array" ref="G1521">_xlfn.XLOOKUP(C1521 &amp; F1521,
         [1]unilever_price_limits!A:A &amp; [1]unilever_price_limits!B:B,
         [1]unilever_price_limits!C:C)</f>
        <v>55</v>
      </c>
      <c r="H1521" s="8">
        <f t="shared" si="93"/>
        <v>12.772</v>
      </c>
      <c r="I1521" s="6">
        <f t="shared" si="94"/>
        <v>55.000000000000007</v>
      </c>
      <c r="J1521" t="str">
        <f t="shared" si="95"/>
        <v>OK</v>
      </c>
    </row>
    <row r="1522" spans="1:10" x14ac:dyDescent="0.2">
      <c r="A1522">
        <v>11521</v>
      </c>
      <c r="B1522" t="s">
        <v>10</v>
      </c>
      <c r="C1522" t="s">
        <v>9</v>
      </c>
      <c r="D1522" s="8">
        <v>14.19</v>
      </c>
      <c r="E1522">
        <v>4</v>
      </c>
      <c r="F1522" t="str">
        <f t="shared" si="92"/>
        <v>Standard</v>
      </c>
      <c r="G1522" s="3" cm="1">
        <f t="array" ref="G1522">_xlfn.XLOOKUP(C1522 &amp; F1522,
         [1]unilever_price_limits!A:A &amp; [1]unilever_price_limits!B:B,
         [1]unilever_price_limits!C:C)</f>
        <v>30</v>
      </c>
      <c r="H1522" s="8">
        <f t="shared" si="93"/>
        <v>18.446999999999999</v>
      </c>
      <c r="I1522" s="6">
        <f t="shared" si="94"/>
        <v>30.000000000000004</v>
      </c>
      <c r="J1522" t="str">
        <f t="shared" si="95"/>
        <v>OK</v>
      </c>
    </row>
    <row r="1523" spans="1:10" x14ac:dyDescent="0.2">
      <c r="A1523">
        <v>11522</v>
      </c>
      <c r="B1523" t="s">
        <v>8</v>
      </c>
      <c r="C1523" t="s">
        <v>6</v>
      </c>
      <c r="D1523" s="8">
        <v>6.25</v>
      </c>
      <c r="E1523">
        <v>9</v>
      </c>
      <c r="F1523" t="str">
        <f t="shared" si="92"/>
        <v>Premium</v>
      </c>
      <c r="G1523" s="3" cm="1">
        <f t="array" ref="G1523">_xlfn.XLOOKUP(C1523 &amp; F1523,
         [1]unilever_price_limits!A:A &amp; [1]unilever_price_limits!B:B,
         [1]unilever_price_limits!C:C)</f>
        <v>55</v>
      </c>
      <c r="H1523" s="8">
        <f t="shared" si="93"/>
        <v>9.6875</v>
      </c>
      <c r="I1523" s="6">
        <f t="shared" si="94"/>
        <v>55.000000000000007</v>
      </c>
      <c r="J1523" t="str">
        <f t="shared" si="95"/>
        <v>OK</v>
      </c>
    </row>
    <row r="1524" spans="1:10" x14ac:dyDescent="0.2">
      <c r="A1524">
        <v>11523</v>
      </c>
      <c r="B1524" t="s">
        <v>8</v>
      </c>
      <c r="C1524" t="s">
        <v>6</v>
      </c>
      <c r="D1524" s="8">
        <v>10.56</v>
      </c>
      <c r="E1524">
        <v>7</v>
      </c>
      <c r="F1524" t="str">
        <f t="shared" si="92"/>
        <v>Standard</v>
      </c>
      <c r="G1524" s="3" cm="1">
        <f t="array" ref="G1524">_xlfn.XLOOKUP(C1524 &amp; F1524,
         [1]unilever_price_limits!A:A &amp; [1]unilever_price_limits!B:B,
         [1]unilever_price_limits!C:C)</f>
        <v>28</v>
      </c>
      <c r="H1524" s="8">
        <f t="shared" si="93"/>
        <v>13.516800000000002</v>
      </c>
      <c r="I1524" s="6">
        <f t="shared" si="94"/>
        <v>28.000000000000004</v>
      </c>
      <c r="J1524" t="str">
        <f t="shared" si="95"/>
        <v>OK</v>
      </c>
    </row>
    <row r="1525" spans="1:10" x14ac:dyDescent="0.2">
      <c r="A1525">
        <v>11524</v>
      </c>
      <c r="B1525" t="s">
        <v>8</v>
      </c>
      <c r="C1525" t="s">
        <v>9</v>
      </c>
      <c r="D1525" s="8">
        <v>7.6</v>
      </c>
      <c r="E1525">
        <v>1</v>
      </c>
      <c r="F1525" t="str">
        <f t="shared" si="92"/>
        <v>Value</v>
      </c>
      <c r="G1525" s="3" cm="1">
        <f t="array" ref="G1525">_xlfn.XLOOKUP(C1525 &amp; F1525,
         [1]unilever_price_limits!A:A &amp; [1]unilever_price_limits!B:B,
         [1]unilever_price_limits!C:C)</f>
        <v>15</v>
      </c>
      <c r="H1525" s="8">
        <f t="shared" si="93"/>
        <v>8.7399999999999984</v>
      </c>
      <c r="I1525" s="6">
        <f t="shared" si="94"/>
        <v>14.999999999999991</v>
      </c>
      <c r="J1525" t="str">
        <f t="shared" si="95"/>
        <v>OK</v>
      </c>
    </row>
    <row r="1526" spans="1:10" x14ac:dyDescent="0.2">
      <c r="A1526">
        <v>11525</v>
      </c>
      <c r="B1526" t="s">
        <v>8</v>
      </c>
      <c r="C1526" t="s">
        <v>11</v>
      </c>
      <c r="D1526" s="8">
        <v>7.93</v>
      </c>
      <c r="E1526">
        <v>4</v>
      </c>
      <c r="F1526" t="str">
        <f t="shared" si="92"/>
        <v>Standard</v>
      </c>
      <c r="G1526" s="3" cm="1">
        <f t="array" ref="G1526">_xlfn.XLOOKUP(C1526 &amp; F1526,
         [1]unilever_price_limits!A:A &amp; [1]unilever_price_limits!B:B,
         [1]unilever_price_limits!C:C)</f>
        <v>25</v>
      </c>
      <c r="H1526" s="8">
        <f t="shared" si="93"/>
        <v>9.9124999999999996</v>
      </c>
      <c r="I1526" s="6">
        <f t="shared" si="94"/>
        <v>25</v>
      </c>
      <c r="J1526" t="str">
        <f t="shared" si="95"/>
        <v>OK</v>
      </c>
    </row>
    <row r="1527" spans="1:10" x14ac:dyDescent="0.2">
      <c r="A1527">
        <v>11526</v>
      </c>
      <c r="B1527" t="s">
        <v>5</v>
      </c>
      <c r="C1527" t="s">
        <v>11</v>
      </c>
      <c r="D1527" s="8">
        <v>4.38</v>
      </c>
      <c r="E1527">
        <v>10</v>
      </c>
      <c r="F1527" t="str">
        <f t="shared" si="92"/>
        <v>Premium</v>
      </c>
      <c r="G1527" s="3" cm="1">
        <f t="array" ref="G1527">_xlfn.XLOOKUP(C1527 &amp; F1527,
         [1]unilever_price_limits!A:A &amp; [1]unilever_price_limits!B:B,
         [1]unilever_price_limits!C:C)</f>
        <v>50</v>
      </c>
      <c r="H1527" s="8">
        <f t="shared" si="93"/>
        <v>6.57</v>
      </c>
      <c r="I1527" s="6">
        <f t="shared" si="94"/>
        <v>50</v>
      </c>
      <c r="J1527" t="str">
        <f t="shared" si="95"/>
        <v>OK</v>
      </c>
    </row>
    <row r="1528" spans="1:10" x14ac:dyDescent="0.2">
      <c r="A1528">
        <v>11527</v>
      </c>
      <c r="B1528" t="s">
        <v>5</v>
      </c>
      <c r="C1528" t="s">
        <v>6</v>
      </c>
      <c r="D1528" s="8">
        <v>7.1</v>
      </c>
      <c r="E1528">
        <v>6</v>
      </c>
      <c r="F1528" t="str">
        <f t="shared" si="92"/>
        <v>Standard</v>
      </c>
      <c r="G1528" s="3" cm="1">
        <f t="array" ref="G1528">_xlfn.XLOOKUP(C1528 &amp; F1528,
         [1]unilever_price_limits!A:A &amp; [1]unilever_price_limits!B:B,
         [1]unilever_price_limits!C:C)</f>
        <v>28</v>
      </c>
      <c r="H1528" s="8">
        <f t="shared" si="93"/>
        <v>9.0879999999999992</v>
      </c>
      <c r="I1528" s="6">
        <f t="shared" si="94"/>
        <v>28.000000000000004</v>
      </c>
      <c r="J1528" t="str">
        <f t="shared" si="95"/>
        <v>OK</v>
      </c>
    </row>
    <row r="1529" spans="1:10" x14ac:dyDescent="0.2">
      <c r="A1529">
        <v>11528</v>
      </c>
      <c r="B1529" t="s">
        <v>8</v>
      </c>
      <c r="C1529" t="s">
        <v>9</v>
      </c>
      <c r="D1529" s="8">
        <v>7.33</v>
      </c>
      <c r="E1529">
        <v>6</v>
      </c>
      <c r="F1529" t="str">
        <f t="shared" si="92"/>
        <v>Standard</v>
      </c>
      <c r="G1529" s="3" cm="1">
        <f t="array" ref="G1529">_xlfn.XLOOKUP(C1529 &amp; F1529,
         [1]unilever_price_limits!A:A &amp; [1]unilever_price_limits!B:B,
         [1]unilever_price_limits!C:C)</f>
        <v>30</v>
      </c>
      <c r="H1529" s="8">
        <f t="shared" si="93"/>
        <v>9.5289999999999999</v>
      </c>
      <c r="I1529" s="6">
        <f t="shared" si="94"/>
        <v>30.000000000000004</v>
      </c>
      <c r="J1529" t="str">
        <f t="shared" si="95"/>
        <v>OK</v>
      </c>
    </row>
    <row r="1530" spans="1:10" x14ac:dyDescent="0.2">
      <c r="A1530">
        <v>11529</v>
      </c>
      <c r="B1530" t="s">
        <v>10</v>
      </c>
      <c r="C1530" t="s">
        <v>6</v>
      </c>
      <c r="D1530" s="8">
        <v>10.75</v>
      </c>
      <c r="E1530">
        <v>10</v>
      </c>
      <c r="F1530" t="str">
        <f t="shared" si="92"/>
        <v>Premium</v>
      </c>
      <c r="G1530" s="3" cm="1">
        <f t="array" ref="G1530">_xlfn.XLOOKUP(C1530 &amp; F1530,
         [1]unilever_price_limits!A:A &amp; [1]unilever_price_limits!B:B,
         [1]unilever_price_limits!C:C)</f>
        <v>55</v>
      </c>
      <c r="H1530" s="8">
        <f t="shared" si="93"/>
        <v>16.662500000000001</v>
      </c>
      <c r="I1530" s="6">
        <f t="shared" si="94"/>
        <v>55.000000000000007</v>
      </c>
      <c r="J1530" t="str">
        <f t="shared" si="95"/>
        <v>OK</v>
      </c>
    </row>
    <row r="1531" spans="1:10" x14ac:dyDescent="0.2">
      <c r="A1531">
        <v>11530</v>
      </c>
      <c r="B1531" t="s">
        <v>7</v>
      </c>
      <c r="C1531" t="s">
        <v>9</v>
      </c>
      <c r="D1531" s="8">
        <v>14.14</v>
      </c>
      <c r="E1531">
        <v>6</v>
      </c>
      <c r="F1531" t="str">
        <f t="shared" si="92"/>
        <v>Standard</v>
      </c>
      <c r="G1531" s="3" cm="1">
        <f t="array" ref="G1531">_xlfn.XLOOKUP(C1531 &amp; F1531,
         [1]unilever_price_limits!A:A &amp; [1]unilever_price_limits!B:B,
         [1]unilever_price_limits!C:C)</f>
        <v>30</v>
      </c>
      <c r="H1531" s="8">
        <f t="shared" si="93"/>
        <v>18.382000000000001</v>
      </c>
      <c r="I1531" s="6">
        <f t="shared" si="94"/>
        <v>30.000000000000004</v>
      </c>
      <c r="J1531" t="str">
        <f t="shared" si="95"/>
        <v>OK</v>
      </c>
    </row>
    <row r="1532" spans="1:10" x14ac:dyDescent="0.2">
      <c r="A1532">
        <v>11531</v>
      </c>
      <c r="B1532" t="s">
        <v>10</v>
      </c>
      <c r="C1532" t="s">
        <v>9</v>
      </c>
      <c r="D1532" s="8">
        <v>5.28</v>
      </c>
      <c r="E1532">
        <v>5</v>
      </c>
      <c r="F1532" t="str">
        <f t="shared" si="92"/>
        <v>Standard</v>
      </c>
      <c r="G1532" s="3" cm="1">
        <f t="array" ref="G1532">_xlfn.XLOOKUP(C1532 &amp; F1532,
         [1]unilever_price_limits!A:A &amp; [1]unilever_price_limits!B:B,
         [1]unilever_price_limits!C:C)</f>
        <v>30</v>
      </c>
      <c r="H1532" s="8">
        <f t="shared" si="93"/>
        <v>6.8640000000000008</v>
      </c>
      <c r="I1532" s="6">
        <f t="shared" si="94"/>
        <v>30.000000000000004</v>
      </c>
      <c r="J1532" t="str">
        <f t="shared" si="95"/>
        <v>OK</v>
      </c>
    </row>
    <row r="1533" spans="1:10" x14ac:dyDescent="0.2">
      <c r="A1533">
        <v>11532</v>
      </c>
      <c r="B1533" t="s">
        <v>10</v>
      </c>
      <c r="C1533" t="s">
        <v>11</v>
      </c>
      <c r="D1533" s="8">
        <v>1.1100000000000001</v>
      </c>
      <c r="E1533">
        <v>3</v>
      </c>
      <c r="F1533" t="str">
        <f t="shared" si="92"/>
        <v>Value</v>
      </c>
      <c r="G1533" s="3" cm="1">
        <f t="array" ref="G1533">_xlfn.XLOOKUP(C1533 &amp; F1533,
         [1]unilever_price_limits!A:A &amp; [1]unilever_price_limits!B:B,
         [1]unilever_price_limits!C:C)</f>
        <v>10</v>
      </c>
      <c r="H1533" s="8">
        <f t="shared" si="93"/>
        <v>1.2210000000000003</v>
      </c>
      <c r="I1533" s="6">
        <f t="shared" si="94"/>
        <v>10.000000000000009</v>
      </c>
      <c r="J1533" t="str">
        <f t="shared" si="95"/>
        <v>OK</v>
      </c>
    </row>
    <row r="1534" spans="1:10" x14ac:dyDescent="0.2">
      <c r="A1534">
        <v>11533</v>
      </c>
      <c r="B1534" t="s">
        <v>10</v>
      </c>
      <c r="C1534" t="s">
        <v>11</v>
      </c>
      <c r="D1534" s="8">
        <v>7.7</v>
      </c>
      <c r="E1534">
        <v>2</v>
      </c>
      <c r="F1534" t="str">
        <f t="shared" si="92"/>
        <v>Value</v>
      </c>
      <c r="G1534" s="3" cm="1">
        <f t="array" ref="G1534">_xlfn.XLOOKUP(C1534 &amp; F1534,
         [1]unilever_price_limits!A:A &amp; [1]unilever_price_limits!B:B,
         [1]unilever_price_limits!C:C)</f>
        <v>10</v>
      </c>
      <c r="H1534" s="8">
        <f t="shared" si="93"/>
        <v>8.4700000000000006</v>
      </c>
      <c r="I1534" s="6">
        <f t="shared" si="94"/>
        <v>10.000000000000009</v>
      </c>
      <c r="J1534" t="str">
        <f t="shared" si="95"/>
        <v>OK</v>
      </c>
    </row>
    <row r="1535" spans="1:10" x14ac:dyDescent="0.2">
      <c r="A1535">
        <v>11534</v>
      </c>
      <c r="B1535" t="s">
        <v>8</v>
      </c>
      <c r="C1535" t="s">
        <v>9</v>
      </c>
      <c r="D1535" s="8">
        <v>8.39</v>
      </c>
      <c r="E1535">
        <v>3</v>
      </c>
      <c r="F1535" t="str">
        <f t="shared" si="92"/>
        <v>Value</v>
      </c>
      <c r="G1535" s="3" cm="1">
        <f t="array" ref="G1535">_xlfn.XLOOKUP(C1535 &amp; F1535,
         [1]unilever_price_limits!A:A &amp; [1]unilever_price_limits!B:B,
         [1]unilever_price_limits!C:C)</f>
        <v>15</v>
      </c>
      <c r="H1535" s="8">
        <f t="shared" si="93"/>
        <v>9.6485000000000003</v>
      </c>
      <c r="I1535" s="6">
        <f t="shared" si="94"/>
        <v>14.999999999999991</v>
      </c>
      <c r="J1535" t="str">
        <f t="shared" si="95"/>
        <v>OK</v>
      </c>
    </row>
    <row r="1536" spans="1:10" x14ac:dyDescent="0.2">
      <c r="A1536">
        <v>11535</v>
      </c>
      <c r="B1536" t="s">
        <v>5</v>
      </c>
      <c r="C1536" t="s">
        <v>6</v>
      </c>
      <c r="D1536" s="8">
        <v>2.94</v>
      </c>
      <c r="E1536">
        <v>9</v>
      </c>
      <c r="F1536" t="str">
        <f t="shared" si="92"/>
        <v>Premium</v>
      </c>
      <c r="G1536" s="3" cm="1">
        <f t="array" ref="G1536">_xlfn.XLOOKUP(C1536 &amp; F1536,
         [1]unilever_price_limits!A:A &amp; [1]unilever_price_limits!B:B,
         [1]unilever_price_limits!C:C)</f>
        <v>55</v>
      </c>
      <c r="H1536" s="8">
        <f t="shared" si="93"/>
        <v>4.5570000000000004</v>
      </c>
      <c r="I1536" s="6">
        <f t="shared" si="94"/>
        <v>55.000000000000028</v>
      </c>
      <c r="J1536" t="str">
        <f t="shared" si="95"/>
        <v>OK</v>
      </c>
    </row>
    <row r="1537" spans="1:10" x14ac:dyDescent="0.2">
      <c r="A1537">
        <v>11536</v>
      </c>
      <c r="B1537" t="s">
        <v>10</v>
      </c>
      <c r="C1537" t="s">
        <v>11</v>
      </c>
      <c r="D1537" s="8">
        <v>11.53</v>
      </c>
      <c r="E1537">
        <v>3</v>
      </c>
      <c r="F1537" t="str">
        <f t="shared" si="92"/>
        <v>Value</v>
      </c>
      <c r="G1537" s="3" cm="1">
        <f t="array" ref="G1537">_xlfn.XLOOKUP(C1537 &amp; F1537,
         [1]unilever_price_limits!A:A &amp; [1]unilever_price_limits!B:B,
         [1]unilever_price_limits!C:C)</f>
        <v>10</v>
      </c>
      <c r="H1537" s="8">
        <f t="shared" si="93"/>
        <v>12.683</v>
      </c>
      <c r="I1537" s="6">
        <f t="shared" si="94"/>
        <v>10.000000000000009</v>
      </c>
      <c r="J1537" t="str">
        <f t="shared" si="95"/>
        <v>OK</v>
      </c>
    </row>
    <row r="1538" spans="1:10" x14ac:dyDescent="0.2">
      <c r="A1538">
        <v>11537</v>
      </c>
      <c r="B1538" t="s">
        <v>8</v>
      </c>
      <c r="C1538" t="s">
        <v>6</v>
      </c>
      <c r="D1538" s="8">
        <v>14.78</v>
      </c>
      <c r="E1538">
        <v>3</v>
      </c>
      <c r="F1538" t="str">
        <f t="shared" si="92"/>
        <v>Value</v>
      </c>
      <c r="G1538" s="3" cm="1">
        <f t="array" ref="G1538">_xlfn.XLOOKUP(C1538 &amp; F1538,
         [1]unilever_price_limits!A:A &amp; [1]unilever_price_limits!B:B,
         [1]unilever_price_limits!C:C)</f>
        <v>12</v>
      </c>
      <c r="H1538" s="8">
        <f t="shared" si="93"/>
        <v>16.553599999999999</v>
      </c>
      <c r="I1538" s="6">
        <f t="shared" si="94"/>
        <v>12.000000000000011</v>
      </c>
      <c r="J1538" t="str">
        <f t="shared" si="95"/>
        <v>OK</v>
      </c>
    </row>
    <row r="1539" spans="1:10" x14ac:dyDescent="0.2">
      <c r="A1539">
        <v>11538</v>
      </c>
      <c r="B1539" t="s">
        <v>10</v>
      </c>
      <c r="C1539" t="s">
        <v>11</v>
      </c>
      <c r="D1539" s="8">
        <v>14.21</v>
      </c>
      <c r="E1539">
        <v>1</v>
      </c>
      <c r="F1539" t="str">
        <f t="shared" ref="F1539:F1602" si="96">IF(E1539&lt;=3,"Value",
 IF(E1539&lt;=7,"Standard","Premium"))</f>
        <v>Value</v>
      </c>
      <c r="G1539" s="3" cm="1">
        <f t="array" ref="G1539">_xlfn.XLOOKUP(C1539 &amp; F1539,
         [1]unilever_price_limits!A:A &amp; [1]unilever_price_limits!B:B,
         [1]unilever_price_limits!C:C)</f>
        <v>10</v>
      </c>
      <c r="H1539" s="8">
        <f t="shared" ref="H1539:H1602" si="97">D1539 * (1 + G1539/100)</f>
        <v>15.631000000000002</v>
      </c>
      <c r="I1539" s="6">
        <f t="shared" ref="I1539:I1602" si="98">(H1539 / D1539 - 1) * 100</f>
        <v>10.000000000000009</v>
      </c>
      <c r="J1539" t="str">
        <f t="shared" ref="J1539:J1602" si="99">IF(I1538&gt; G1538, "⚠ Exceeds Limit", "OK")</f>
        <v>OK</v>
      </c>
    </row>
    <row r="1540" spans="1:10" x14ac:dyDescent="0.2">
      <c r="A1540">
        <v>11539</v>
      </c>
      <c r="B1540" t="s">
        <v>10</v>
      </c>
      <c r="C1540" t="s">
        <v>11</v>
      </c>
      <c r="D1540" s="8">
        <v>3.36</v>
      </c>
      <c r="E1540">
        <v>2</v>
      </c>
      <c r="F1540" t="str">
        <f t="shared" si="96"/>
        <v>Value</v>
      </c>
      <c r="G1540" s="3" cm="1">
        <f t="array" ref="G1540">_xlfn.XLOOKUP(C1540 &amp; F1540,
         [1]unilever_price_limits!A:A &amp; [1]unilever_price_limits!B:B,
         [1]unilever_price_limits!C:C)</f>
        <v>10</v>
      </c>
      <c r="H1540" s="8">
        <f t="shared" si="97"/>
        <v>3.6960000000000002</v>
      </c>
      <c r="I1540" s="6">
        <f t="shared" si="98"/>
        <v>10.000000000000009</v>
      </c>
      <c r="J1540" t="str">
        <f t="shared" si="99"/>
        <v>OK</v>
      </c>
    </row>
    <row r="1541" spans="1:10" x14ac:dyDescent="0.2">
      <c r="A1541">
        <v>11540</v>
      </c>
      <c r="B1541" t="s">
        <v>8</v>
      </c>
      <c r="C1541" t="s">
        <v>6</v>
      </c>
      <c r="D1541" s="8">
        <v>13.19</v>
      </c>
      <c r="E1541">
        <v>3</v>
      </c>
      <c r="F1541" t="str">
        <f t="shared" si="96"/>
        <v>Value</v>
      </c>
      <c r="G1541" s="3" cm="1">
        <f t="array" ref="G1541">_xlfn.XLOOKUP(C1541 &amp; F1541,
         [1]unilever_price_limits!A:A &amp; [1]unilever_price_limits!B:B,
         [1]unilever_price_limits!C:C)</f>
        <v>12</v>
      </c>
      <c r="H1541" s="8">
        <f t="shared" si="97"/>
        <v>14.7728</v>
      </c>
      <c r="I1541" s="6">
        <f t="shared" si="98"/>
        <v>12.000000000000011</v>
      </c>
      <c r="J1541" t="str">
        <f t="shared" si="99"/>
        <v>OK</v>
      </c>
    </row>
    <row r="1542" spans="1:10" x14ac:dyDescent="0.2">
      <c r="A1542">
        <v>11541</v>
      </c>
      <c r="B1542" t="s">
        <v>5</v>
      </c>
      <c r="C1542" t="s">
        <v>11</v>
      </c>
      <c r="D1542" s="8">
        <v>10.72</v>
      </c>
      <c r="E1542">
        <v>2</v>
      </c>
      <c r="F1542" t="str">
        <f t="shared" si="96"/>
        <v>Value</v>
      </c>
      <c r="G1542" s="3" cm="1">
        <f t="array" ref="G1542">_xlfn.XLOOKUP(C1542 &amp; F1542,
         [1]unilever_price_limits!A:A &amp; [1]unilever_price_limits!B:B,
         [1]unilever_price_limits!C:C)</f>
        <v>10</v>
      </c>
      <c r="H1542" s="8">
        <f t="shared" si="97"/>
        <v>11.792000000000002</v>
      </c>
      <c r="I1542" s="6">
        <f t="shared" si="98"/>
        <v>10.000000000000009</v>
      </c>
      <c r="J1542" t="str">
        <f t="shared" si="99"/>
        <v>OK</v>
      </c>
    </row>
    <row r="1543" spans="1:10" x14ac:dyDescent="0.2">
      <c r="A1543">
        <v>11542</v>
      </c>
      <c r="B1543" t="s">
        <v>5</v>
      </c>
      <c r="C1543" t="s">
        <v>11</v>
      </c>
      <c r="D1543" s="8">
        <v>7.08</v>
      </c>
      <c r="E1543">
        <v>8</v>
      </c>
      <c r="F1543" t="str">
        <f t="shared" si="96"/>
        <v>Premium</v>
      </c>
      <c r="G1543" s="3" cm="1">
        <f t="array" ref="G1543">_xlfn.XLOOKUP(C1543 &amp; F1543,
         [1]unilever_price_limits!A:A &amp; [1]unilever_price_limits!B:B,
         [1]unilever_price_limits!C:C)</f>
        <v>50</v>
      </c>
      <c r="H1543" s="8">
        <f t="shared" si="97"/>
        <v>10.620000000000001</v>
      </c>
      <c r="I1543" s="6">
        <f t="shared" si="98"/>
        <v>50.000000000000021</v>
      </c>
      <c r="J1543" t="str">
        <f t="shared" si="99"/>
        <v>OK</v>
      </c>
    </row>
    <row r="1544" spans="1:10" x14ac:dyDescent="0.2">
      <c r="A1544">
        <v>11543</v>
      </c>
      <c r="B1544" t="s">
        <v>7</v>
      </c>
      <c r="C1544" t="s">
        <v>6</v>
      </c>
      <c r="D1544" s="8">
        <v>8.34</v>
      </c>
      <c r="E1544">
        <v>6</v>
      </c>
      <c r="F1544" t="str">
        <f t="shared" si="96"/>
        <v>Standard</v>
      </c>
      <c r="G1544" s="3" cm="1">
        <f t="array" ref="G1544">_xlfn.XLOOKUP(C1544 &amp; F1544,
         [1]unilever_price_limits!A:A &amp; [1]unilever_price_limits!B:B,
         [1]unilever_price_limits!C:C)</f>
        <v>28</v>
      </c>
      <c r="H1544" s="8">
        <f t="shared" si="97"/>
        <v>10.6752</v>
      </c>
      <c r="I1544" s="6">
        <f t="shared" si="98"/>
        <v>28.000000000000004</v>
      </c>
      <c r="J1544" t="str">
        <f t="shared" si="99"/>
        <v>OK</v>
      </c>
    </row>
    <row r="1545" spans="1:10" x14ac:dyDescent="0.2">
      <c r="A1545">
        <v>11544</v>
      </c>
      <c r="B1545" t="s">
        <v>8</v>
      </c>
      <c r="C1545" t="s">
        <v>11</v>
      </c>
      <c r="D1545" s="8">
        <v>12.82</v>
      </c>
      <c r="E1545">
        <v>7</v>
      </c>
      <c r="F1545" t="str">
        <f t="shared" si="96"/>
        <v>Standard</v>
      </c>
      <c r="G1545" s="3" cm="1">
        <f t="array" ref="G1545">_xlfn.XLOOKUP(C1545 &amp; F1545,
         [1]unilever_price_limits!A:A &amp; [1]unilever_price_limits!B:B,
         [1]unilever_price_limits!C:C)</f>
        <v>25</v>
      </c>
      <c r="H1545" s="8">
        <f t="shared" si="97"/>
        <v>16.024999999999999</v>
      </c>
      <c r="I1545" s="6">
        <f t="shared" si="98"/>
        <v>24.999999999999979</v>
      </c>
      <c r="J1545" t="str">
        <f t="shared" si="99"/>
        <v>OK</v>
      </c>
    </row>
    <row r="1546" spans="1:10" x14ac:dyDescent="0.2">
      <c r="A1546">
        <v>11545</v>
      </c>
      <c r="B1546" t="s">
        <v>7</v>
      </c>
      <c r="C1546" t="s">
        <v>11</v>
      </c>
      <c r="D1546" s="8">
        <v>7.46</v>
      </c>
      <c r="E1546">
        <v>1</v>
      </c>
      <c r="F1546" t="str">
        <f t="shared" si="96"/>
        <v>Value</v>
      </c>
      <c r="G1546" s="3" cm="1">
        <f t="array" ref="G1546">_xlfn.XLOOKUP(C1546 &amp; F1546,
         [1]unilever_price_limits!A:A &amp; [1]unilever_price_limits!B:B,
         [1]unilever_price_limits!C:C)</f>
        <v>10</v>
      </c>
      <c r="H1546" s="8">
        <f t="shared" si="97"/>
        <v>8.2060000000000013</v>
      </c>
      <c r="I1546" s="6">
        <f t="shared" si="98"/>
        <v>10.000000000000009</v>
      </c>
      <c r="J1546" t="str">
        <f t="shared" si="99"/>
        <v>OK</v>
      </c>
    </row>
    <row r="1547" spans="1:10" x14ac:dyDescent="0.2">
      <c r="A1547">
        <v>11546</v>
      </c>
      <c r="B1547" t="s">
        <v>7</v>
      </c>
      <c r="C1547" t="s">
        <v>11</v>
      </c>
      <c r="D1547" s="8">
        <v>5.91</v>
      </c>
      <c r="E1547">
        <v>6</v>
      </c>
      <c r="F1547" t="str">
        <f t="shared" si="96"/>
        <v>Standard</v>
      </c>
      <c r="G1547" s="3" cm="1">
        <f t="array" ref="G1547">_xlfn.XLOOKUP(C1547 &amp; F1547,
         [1]unilever_price_limits!A:A &amp; [1]unilever_price_limits!B:B,
         [1]unilever_price_limits!C:C)</f>
        <v>25</v>
      </c>
      <c r="H1547" s="8">
        <f t="shared" si="97"/>
        <v>7.3875000000000002</v>
      </c>
      <c r="I1547" s="6">
        <f t="shared" si="98"/>
        <v>25</v>
      </c>
      <c r="J1547" t="str">
        <f t="shared" si="99"/>
        <v>OK</v>
      </c>
    </row>
    <row r="1548" spans="1:10" x14ac:dyDescent="0.2">
      <c r="A1548">
        <v>11547</v>
      </c>
      <c r="B1548" t="s">
        <v>7</v>
      </c>
      <c r="C1548" t="s">
        <v>6</v>
      </c>
      <c r="D1548" s="8">
        <v>7.65</v>
      </c>
      <c r="E1548">
        <v>2</v>
      </c>
      <c r="F1548" t="str">
        <f t="shared" si="96"/>
        <v>Value</v>
      </c>
      <c r="G1548" s="3" cm="1">
        <f t="array" ref="G1548">_xlfn.XLOOKUP(C1548 &amp; F1548,
         [1]unilever_price_limits!A:A &amp; [1]unilever_price_limits!B:B,
         [1]unilever_price_limits!C:C)</f>
        <v>12</v>
      </c>
      <c r="H1548" s="8">
        <f t="shared" si="97"/>
        <v>8.5680000000000014</v>
      </c>
      <c r="I1548" s="6">
        <f t="shared" si="98"/>
        <v>12.000000000000011</v>
      </c>
      <c r="J1548" t="str">
        <f t="shared" si="99"/>
        <v>OK</v>
      </c>
    </row>
    <row r="1549" spans="1:10" x14ac:dyDescent="0.2">
      <c r="A1549">
        <v>11548</v>
      </c>
      <c r="B1549" t="s">
        <v>5</v>
      </c>
      <c r="C1549" t="s">
        <v>9</v>
      </c>
      <c r="D1549" s="8">
        <v>8.9</v>
      </c>
      <c r="E1549">
        <v>6</v>
      </c>
      <c r="F1549" t="str">
        <f t="shared" si="96"/>
        <v>Standard</v>
      </c>
      <c r="G1549" s="3" cm="1">
        <f t="array" ref="G1549">_xlfn.XLOOKUP(C1549 &amp; F1549,
         [1]unilever_price_limits!A:A &amp; [1]unilever_price_limits!B:B,
         [1]unilever_price_limits!C:C)</f>
        <v>30</v>
      </c>
      <c r="H1549" s="8">
        <f t="shared" si="97"/>
        <v>11.57</v>
      </c>
      <c r="I1549" s="6">
        <f t="shared" si="98"/>
        <v>30.000000000000004</v>
      </c>
      <c r="J1549" t="str">
        <f t="shared" si="99"/>
        <v>OK</v>
      </c>
    </row>
    <row r="1550" spans="1:10" x14ac:dyDescent="0.2">
      <c r="A1550">
        <v>11549</v>
      </c>
      <c r="B1550" t="s">
        <v>8</v>
      </c>
      <c r="C1550" t="s">
        <v>6</v>
      </c>
      <c r="D1550" s="8">
        <v>3.24</v>
      </c>
      <c r="E1550">
        <v>3</v>
      </c>
      <c r="F1550" t="str">
        <f t="shared" si="96"/>
        <v>Value</v>
      </c>
      <c r="G1550" s="3" cm="1">
        <f t="array" ref="G1550">_xlfn.XLOOKUP(C1550 &amp; F1550,
         [1]unilever_price_limits!A:A &amp; [1]unilever_price_limits!B:B,
         [1]unilever_price_limits!C:C)</f>
        <v>12</v>
      </c>
      <c r="H1550" s="8">
        <f t="shared" si="97"/>
        <v>3.6288000000000005</v>
      </c>
      <c r="I1550" s="6">
        <f t="shared" si="98"/>
        <v>12.000000000000011</v>
      </c>
      <c r="J1550" t="str">
        <f t="shared" si="99"/>
        <v>OK</v>
      </c>
    </row>
    <row r="1551" spans="1:10" x14ac:dyDescent="0.2">
      <c r="A1551">
        <v>11550</v>
      </c>
      <c r="B1551" t="s">
        <v>7</v>
      </c>
      <c r="C1551" t="s">
        <v>9</v>
      </c>
      <c r="D1551" s="8">
        <v>13.56</v>
      </c>
      <c r="E1551">
        <v>7</v>
      </c>
      <c r="F1551" t="str">
        <f t="shared" si="96"/>
        <v>Standard</v>
      </c>
      <c r="G1551" s="3" cm="1">
        <f t="array" ref="G1551">_xlfn.XLOOKUP(C1551 &amp; F1551,
         [1]unilever_price_limits!A:A &amp; [1]unilever_price_limits!B:B,
         [1]unilever_price_limits!C:C)</f>
        <v>30</v>
      </c>
      <c r="H1551" s="8">
        <f t="shared" si="97"/>
        <v>17.628</v>
      </c>
      <c r="I1551" s="6">
        <f t="shared" si="98"/>
        <v>30.000000000000004</v>
      </c>
      <c r="J1551" t="str">
        <f t="shared" si="99"/>
        <v>OK</v>
      </c>
    </row>
    <row r="1552" spans="1:10" x14ac:dyDescent="0.2">
      <c r="A1552">
        <v>11551</v>
      </c>
      <c r="B1552" t="s">
        <v>8</v>
      </c>
      <c r="C1552" t="s">
        <v>11</v>
      </c>
      <c r="D1552" s="8">
        <v>10.28</v>
      </c>
      <c r="E1552">
        <v>3</v>
      </c>
      <c r="F1552" t="str">
        <f t="shared" si="96"/>
        <v>Value</v>
      </c>
      <c r="G1552" s="3" cm="1">
        <f t="array" ref="G1552">_xlfn.XLOOKUP(C1552 &amp; F1552,
         [1]unilever_price_limits!A:A &amp; [1]unilever_price_limits!B:B,
         [1]unilever_price_limits!C:C)</f>
        <v>10</v>
      </c>
      <c r="H1552" s="8">
        <f t="shared" si="97"/>
        <v>11.308</v>
      </c>
      <c r="I1552" s="6">
        <f t="shared" si="98"/>
        <v>10.000000000000009</v>
      </c>
      <c r="J1552" t="str">
        <f t="shared" si="99"/>
        <v>OK</v>
      </c>
    </row>
    <row r="1553" spans="1:10" x14ac:dyDescent="0.2">
      <c r="A1553">
        <v>11552</v>
      </c>
      <c r="B1553" t="s">
        <v>8</v>
      </c>
      <c r="C1553" t="s">
        <v>9</v>
      </c>
      <c r="D1553" s="8">
        <v>9.68</v>
      </c>
      <c r="E1553">
        <v>9</v>
      </c>
      <c r="F1553" t="str">
        <f t="shared" si="96"/>
        <v>Premium</v>
      </c>
      <c r="G1553" s="3" cm="1">
        <f t="array" ref="G1553">_xlfn.XLOOKUP(C1553 &amp; F1553,
         [1]unilever_price_limits!A:A &amp; [1]unilever_price_limits!B:B,
         [1]unilever_price_limits!C:C)</f>
        <v>60</v>
      </c>
      <c r="H1553" s="8">
        <f t="shared" si="97"/>
        <v>15.488</v>
      </c>
      <c r="I1553" s="6">
        <f t="shared" si="98"/>
        <v>60.000000000000007</v>
      </c>
      <c r="J1553" t="str">
        <f t="shared" si="99"/>
        <v>OK</v>
      </c>
    </row>
    <row r="1554" spans="1:10" x14ac:dyDescent="0.2">
      <c r="A1554">
        <v>11553</v>
      </c>
      <c r="B1554" t="s">
        <v>5</v>
      </c>
      <c r="C1554" t="s">
        <v>6</v>
      </c>
      <c r="D1554" s="8">
        <v>1.94</v>
      </c>
      <c r="E1554">
        <v>3</v>
      </c>
      <c r="F1554" t="str">
        <f t="shared" si="96"/>
        <v>Value</v>
      </c>
      <c r="G1554" s="3" cm="1">
        <f t="array" ref="G1554">_xlfn.XLOOKUP(C1554 &amp; F1554,
         [1]unilever_price_limits!A:A &amp; [1]unilever_price_limits!B:B,
         [1]unilever_price_limits!C:C)</f>
        <v>12</v>
      </c>
      <c r="H1554" s="8">
        <f t="shared" si="97"/>
        <v>2.1728000000000001</v>
      </c>
      <c r="I1554" s="6">
        <f t="shared" si="98"/>
        <v>12.000000000000011</v>
      </c>
      <c r="J1554" t="str">
        <f t="shared" si="99"/>
        <v>OK</v>
      </c>
    </row>
    <row r="1555" spans="1:10" x14ac:dyDescent="0.2">
      <c r="A1555">
        <v>11554</v>
      </c>
      <c r="B1555" t="s">
        <v>7</v>
      </c>
      <c r="C1555" t="s">
        <v>6</v>
      </c>
      <c r="D1555" s="8">
        <v>9.26</v>
      </c>
      <c r="E1555">
        <v>7</v>
      </c>
      <c r="F1555" t="str">
        <f t="shared" si="96"/>
        <v>Standard</v>
      </c>
      <c r="G1555" s="3" cm="1">
        <f t="array" ref="G1555">_xlfn.XLOOKUP(C1555 &amp; F1555,
         [1]unilever_price_limits!A:A &amp; [1]unilever_price_limits!B:B,
         [1]unilever_price_limits!C:C)</f>
        <v>28</v>
      </c>
      <c r="H1555" s="8">
        <f t="shared" si="97"/>
        <v>11.8528</v>
      </c>
      <c r="I1555" s="6">
        <f t="shared" si="98"/>
        <v>28.000000000000004</v>
      </c>
      <c r="J1555" t="str">
        <f t="shared" si="99"/>
        <v>OK</v>
      </c>
    </row>
    <row r="1556" spans="1:10" x14ac:dyDescent="0.2">
      <c r="A1556">
        <v>11555</v>
      </c>
      <c r="B1556" t="s">
        <v>7</v>
      </c>
      <c r="C1556" t="s">
        <v>11</v>
      </c>
      <c r="D1556" s="8">
        <v>2.25</v>
      </c>
      <c r="E1556">
        <v>4</v>
      </c>
      <c r="F1556" t="str">
        <f t="shared" si="96"/>
        <v>Standard</v>
      </c>
      <c r="G1556" s="3" cm="1">
        <f t="array" ref="G1556">_xlfn.XLOOKUP(C1556 &amp; F1556,
         [1]unilever_price_limits!A:A &amp; [1]unilever_price_limits!B:B,
         [1]unilever_price_limits!C:C)</f>
        <v>25</v>
      </c>
      <c r="H1556" s="8">
        <f t="shared" si="97"/>
        <v>2.8125</v>
      </c>
      <c r="I1556" s="6">
        <f t="shared" si="98"/>
        <v>25</v>
      </c>
      <c r="J1556" t="str">
        <f t="shared" si="99"/>
        <v>OK</v>
      </c>
    </row>
    <row r="1557" spans="1:10" x14ac:dyDescent="0.2">
      <c r="A1557">
        <v>11556</v>
      </c>
      <c r="B1557" t="s">
        <v>8</v>
      </c>
      <c r="C1557" t="s">
        <v>9</v>
      </c>
      <c r="D1557" s="8">
        <v>1.64</v>
      </c>
      <c r="E1557">
        <v>8</v>
      </c>
      <c r="F1557" t="str">
        <f t="shared" si="96"/>
        <v>Premium</v>
      </c>
      <c r="G1557" s="3" cm="1">
        <f t="array" ref="G1557">_xlfn.XLOOKUP(C1557 &amp; F1557,
         [1]unilever_price_limits!A:A &amp; [1]unilever_price_limits!B:B,
         [1]unilever_price_limits!C:C)</f>
        <v>60</v>
      </c>
      <c r="H1557" s="8">
        <f t="shared" si="97"/>
        <v>2.6240000000000001</v>
      </c>
      <c r="I1557" s="6">
        <f t="shared" si="98"/>
        <v>60.000000000000007</v>
      </c>
      <c r="J1557" t="str">
        <f t="shared" si="99"/>
        <v>OK</v>
      </c>
    </row>
    <row r="1558" spans="1:10" x14ac:dyDescent="0.2">
      <c r="A1558">
        <v>11557</v>
      </c>
      <c r="B1558" t="s">
        <v>10</v>
      </c>
      <c r="C1558" t="s">
        <v>11</v>
      </c>
      <c r="D1558" s="8">
        <v>8.15</v>
      </c>
      <c r="E1558">
        <v>2</v>
      </c>
      <c r="F1558" t="str">
        <f t="shared" si="96"/>
        <v>Value</v>
      </c>
      <c r="G1558" s="3" cm="1">
        <f t="array" ref="G1558">_xlfn.XLOOKUP(C1558 &amp; F1558,
         [1]unilever_price_limits!A:A &amp; [1]unilever_price_limits!B:B,
         [1]unilever_price_limits!C:C)</f>
        <v>10</v>
      </c>
      <c r="H1558" s="8">
        <f t="shared" si="97"/>
        <v>8.9650000000000016</v>
      </c>
      <c r="I1558" s="6">
        <f t="shared" si="98"/>
        <v>10.000000000000009</v>
      </c>
      <c r="J1558" t="str">
        <f t="shared" si="99"/>
        <v>OK</v>
      </c>
    </row>
    <row r="1559" spans="1:10" x14ac:dyDescent="0.2">
      <c r="A1559">
        <v>11558</v>
      </c>
      <c r="B1559" t="s">
        <v>5</v>
      </c>
      <c r="C1559" t="s">
        <v>11</v>
      </c>
      <c r="D1559" s="8">
        <v>6.34</v>
      </c>
      <c r="E1559">
        <v>8</v>
      </c>
      <c r="F1559" t="str">
        <f t="shared" si="96"/>
        <v>Premium</v>
      </c>
      <c r="G1559" s="3" cm="1">
        <f t="array" ref="G1559">_xlfn.XLOOKUP(C1559 &amp; F1559,
         [1]unilever_price_limits!A:A &amp; [1]unilever_price_limits!B:B,
         [1]unilever_price_limits!C:C)</f>
        <v>50</v>
      </c>
      <c r="H1559" s="8">
        <f t="shared" si="97"/>
        <v>9.51</v>
      </c>
      <c r="I1559" s="6">
        <f t="shared" si="98"/>
        <v>50</v>
      </c>
      <c r="J1559" t="str">
        <f t="shared" si="99"/>
        <v>OK</v>
      </c>
    </row>
    <row r="1560" spans="1:10" x14ac:dyDescent="0.2">
      <c r="A1560">
        <v>11559</v>
      </c>
      <c r="B1560" t="s">
        <v>5</v>
      </c>
      <c r="C1560" t="s">
        <v>6</v>
      </c>
      <c r="D1560" s="8">
        <v>9.0399999999999991</v>
      </c>
      <c r="E1560">
        <v>9</v>
      </c>
      <c r="F1560" t="str">
        <f t="shared" si="96"/>
        <v>Premium</v>
      </c>
      <c r="G1560" s="3" cm="1">
        <f t="array" ref="G1560">_xlfn.XLOOKUP(C1560 &amp; F1560,
         [1]unilever_price_limits!A:A &amp; [1]unilever_price_limits!B:B,
         [1]unilever_price_limits!C:C)</f>
        <v>55</v>
      </c>
      <c r="H1560" s="8">
        <f t="shared" si="97"/>
        <v>14.011999999999999</v>
      </c>
      <c r="I1560" s="6">
        <f t="shared" si="98"/>
        <v>55.000000000000007</v>
      </c>
      <c r="J1560" t="str">
        <f t="shared" si="99"/>
        <v>OK</v>
      </c>
    </row>
    <row r="1561" spans="1:10" x14ac:dyDescent="0.2">
      <c r="A1561">
        <v>11560</v>
      </c>
      <c r="B1561" t="s">
        <v>5</v>
      </c>
      <c r="C1561" t="s">
        <v>9</v>
      </c>
      <c r="D1561" s="8">
        <v>1.79</v>
      </c>
      <c r="E1561">
        <v>8</v>
      </c>
      <c r="F1561" t="str">
        <f t="shared" si="96"/>
        <v>Premium</v>
      </c>
      <c r="G1561" s="3" cm="1">
        <f t="array" ref="G1561">_xlfn.XLOOKUP(C1561 &amp; F1561,
         [1]unilever_price_limits!A:A &amp; [1]unilever_price_limits!B:B,
         [1]unilever_price_limits!C:C)</f>
        <v>60</v>
      </c>
      <c r="H1561" s="8">
        <f t="shared" si="97"/>
        <v>2.8640000000000003</v>
      </c>
      <c r="I1561" s="6">
        <f t="shared" si="98"/>
        <v>60.000000000000007</v>
      </c>
      <c r="J1561" t="str">
        <f t="shared" si="99"/>
        <v>OK</v>
      </c>
    </row>
    <row r="1562" spans="1:10" x14ac:dyDescent="0.2">
      <c r="A1562">
        <v>11561</v>
      </c>
      <c r="B1562" t="s">
        <v>5</v>
      </c>
      <c r="C1562" t="s">
        <v>9</v>
      </c>
      <c r="D1562" s="8">
        <v>6.75</v>
      </c>
      <c r="E1562">
        <v>6</v>
      </c>
      <c r="F1562" t="str">
        <f t="shared" si="96"/>
        <v>Standard</v>
      </c>
      <c r="G1562" s="3" cm="1">
        <f t="array" ref="G1562">_xlfn.XLOOKUP(C1562 &amp; F1562,
         [1]unilever_price_limits!A:A &amp; [1]unilever_price_limits!B:B,
         [1]unilever_price_limits!C:C)</f>
        <v>30</v>
      </c>
      <c r="H1562" s="8">
        <f t="shared" si="97"/>
        <v>8.7750000000000004</v>
      </c>
      <c r="I1562" s="6">
        <f t="shared" si="98"/>
        <v>30.000000000000004</v>
      </c>
      <c r="J1562" t="str">
        <f t="shared" si="99"/>
        <v>OK</v>
      </c>
    </row>
    <row r="1563" spans="1:10" x14ac:dyDescent="0.2">
      <c r="A1563">
        <v>11562</v>
      </c>
      <c r="B1563" t="s">
        <v>7</v>
      </c>
      <c r="C1563" t="s">
        <v>9</v>
      </c>
      <c r="D1563" s="8">
        <v>3.03</v>
      </c>
      <c r="E1563">
        <v>10</v>
      </c>
      <c r="F1563" t="str">
        <f t="shared" si="96"/>
        <v>Premium</v>
      </c>
      <c r="G1563" s="3" cm="1">
        <f t="array" ref="G1563">_xlfn.XLOOKUP(C1563 &amp; F1563,
         [1]unilever_price_limits!A:A &amp; [1]unilever_price_limits!B:B,
         [1]unilever_price_limits!C:C)</f>
        <v>60</v>
      </c>
      <c r="H1563" s="8">
        <f t="shared" si="97"/>
        <v>4.8479999999999999</v>
      </c>
      <c r="I1563" s="6">
        <f t="shared" si="98"/>
        <v>60.000000000000007</v>
      </c>
      <c r="J1563" t="str">
        <f t="shared" si="99"/>
        <v>OK</v>
      </c>
    </row>
    <row r="1564" spans="1:10" x14ac:dyDescent="0.2">
      <c r="A1564">
        <v>11563</v>
      </c>
      <c r="B1564" t="s">
        <v>7</v>
      </c>
      <c r="C1564" t="s">
        <v>9</v>
      </c>
      <c r="D1564" s="8">
        <v>14.81</v>
      </c>
      <c r="E1564">
        <v>1</v>
      </c>
      <c r="F1564" t="str">
        <f t="shared" si="96"/>
        <v>Value</v>
      </c>
      <c r="G1564" s="3" cm="1">
        <f t="array" ref="G1564">_xlfn.XLOOKUP(C1564 &amp; F1564,
         [1]unilever_price_limits!A:A &amp; [1]unilever_price_limits!B:B,
         [1]unilever_price_limits!C:C)</f>
        <v>15</v>
      </c>
      <c r="H1564" s="8">
        <f t="shared" si="97"/>
        <v>17.031499999999998</v>
      </c>
      <c r="I1564" s="6">
        <f t="shared" si="98"/>
        <v>14.999999999999991</v>
      </c>
      <c r="J1564" t="str">
        <f t="shared" si="99"/>
        <v>OK</v>
      </c>
    </row>
    <row r="1565" spans="1:10" x14ac:dyDescent="0.2">
      <c r="A1565">
        <v>11564</v>
      </c>
      <c r="B1565" t="s">
        <v>10</v>
      </c>
      <c r="C1565" t="s">
        <v>11</v>
      </c>
      <c r="D1565" s="8">
        <v>8.64</v>
      </c>
      <c r="E1565">
        <v>7</v>
      </c>
      <c r="F1565" t="str">
        <f t="shared" si="96"/>
        <v>Standard</v>
      </c>
      <c r="G1565" s="3" cm="1">
        <f t="array" ref="G1565">_xlfn.XLOOKUP(C1565 &amp; F1565,
         [1]unilever_price_limits!A:A &amp; [1]unilever_price_limits!B:B,
         [1]unilever_price_limits!C:C)</f>
        <v>25</v>
      </c>
      <c r="H1565" s="8">
        <f t="shared" si="97"/>
        <v>10.8</v>
      </c>
      <c r="I1565" s="6">
        <f t="shared" si="98"/>
        <v>25</v>
      </c>
      <c r="J1565" t="str">
        <f t="shared" si="99"/>
        <v>OK</v>
      </c>
    </row>
    <row r="1566" spans="1:10" x14ac:dyDescent="0.2">
      <c r="A1566">
        <v>11565</v>
      </c>
      <c r="B1566" t="s">
        <v>5</v>
      </c>
      <c r="C1566" t="s">
        <v>11</v>
      </c>
      <c r="D1566" s="8">
        <v>10.47</v>
      </c>
      <c r="E1566">
        <v>1</v>
      </c>
      <c r="F1566" t="str">
        <f t="shared" si="96"/>
        <v>Value</v>
      </c>
      <c r="G1566" s="3" cm="1">
        <f t="array" ref="G1566">_xlfn.XLOOKUP(C1566 &amp; F1566,
         [1]unilever_price_limits!A:A &amp; [1]unilever_price_limits!B:B,
         [1]unilever_price_limits!C:C)</f>
        <v>10</v>
      </c>
      <c r="H1566" s="8">
        <f t="shared" si="97"/>
        <v>11.517000000000001</v>
      </c>
      <c r="I1566" s="6">
        <f t="shared" si="98"/>
        <v>10.000000000000009</v>
      </c>
      <c r="J1566" t="str">
        <f t="shared" si="99"/>
        <v>OK</v>
      </c>
    </row>
    <row r="1567" spans="1:10" x14ac:dyDescent="0.2">
      <c r="A1567">
        <v>11566</v>
      </c>
      <c r="B1567" t="s">
        <v>5</v>
      </c>
      <c r="C1567" t="s">
        <v>6</v>
      </c>
      <c r="D1567" s="8">
        <v>5.22</v>
      </c>
      <c r="E1567">
        <v>7</v>
      </c>
      <c r="F1567" t="str">
        <f t="shared" si="96"/>
        <v>Standard</v>
      </c>
      <c r="G1567" s="3" cm="1">
        <f t="array" ref="G1567">_xlfn.XLOOKUP(C1567 &amp; F1567,
         [1]unilever_price_limits!A:A &amp; [1]unilever_price_limits!B:B,
         [1]unilever_price_limits!C:C)</f>
        <v>28</v>
      </c>
      <c r="H1567" s="8">
        <f t="shared" si="97"/>
        <v>6.6815999999999995</v>
      </c>
      <c r="I1567" s="6">
        <f t="shared" si="98"/>
        <v>28.000000000000004</v>
      </c>
      <c r="J1567" t="str">
        <f t="shared" si="99"/>
        <v>OK</v>
      </c>
    </row>
    <row r="1568" spans="1:10" x14ac:dyDescent="0.2">
      <c r="A1568">
        <v>11567</v>
      </c>
      <c r="B1568" t="s">
        <v>8</v>
      </c>
      <c r="C1568" t="s">
        <v>11</v>
      </c>
      <c r="D1568" s="8">
        <v>1.87</v>
      </c>
      <c r="E1568">
        <v>2</v>
      </c>
      <c r="F1568" t="str">
        <f t="shared" si="96"/>
        <v>Value</v>
      </c>
      <c r="G1568" s="3" cm="1">
        <f t="array" ref="G1568">_xlfn.XLOOKUP(C1568 &amp; F1568,
         [1]unilever_price_limits!A:A &amp; [1]unilever_price_limits!B:B,
         [1]unilever_price_limits!C:C)</f>
        <v>10</v>
      </c>
      <c r="H1568" s="8">
        <f t="shared" si="97"/>
        <v>2.0570000000000004</v>
      </c>
      <c r="I1568" s="6">
        <f t="shared" si="98"/>
        <v>10.000000000000009</v>
      </c>
      <c r="J1568" t="str">
        <f t="shared" si="99"/>
        <v>OK</v>
      </c>
    </row>
    <row r="1569" spans="1:10" x14ac:dyDescent="0.2">
      <c r="A1569">
        <v>11568</v>
      </c>
      <c r="B1569" t="s">
        <v>7</v>
      </c>
      <c r="C1569" t="s">
        <v>11</v>
      </c>
      <c r="D1569" s="8">
        <v>14.65</v>
      </c>
      <c r="E1569">
        <v>8</v>
      </c>
      <c r="F1569" t="str">
        <f t="shared" si="96"/>
        <v>Premium</v>
      </c>
      <c r="G1569" s="3" cm="1">
        <f t="array" ref="G1569">_xlfn.XLOOKUP(C1569 &amp; F1569,
         [1]unilever_price_limits!A:A &amp; [1]unilever_price_limits!B:B,
         [1]unilever_price_limits!C:C)</f>
        <v>50</v>
      </c>
      <c r="H1569" s="8">
        <f t="shared" si="97"/>
        <v>21.975000000000001</v>
      </c>
      <c r="I1569" s="6">
        <f t="shared" si="98"/>
        <v>50</v>
      </c>
      <c r="J1569" t="str">
        <f t="shared" si="99"/>
        <v>OK</v>
      </c>
    </row>
    <row r="1570" spans="1:10" x14ac:dyDescent="0.2">
      <c r="A1570">
        <v>11569</v>
      </c>
      <c r="B1570" t="s">
        <v>5</v>
      </c>
      <c r="C1570" t="s">
        <v>6</v>
      </c>
      <c r="D1570" s="8">
        <v>4.6500000000000004</v>
      </c>
      <c r="E1570">
        <v>2</v>
      </c>
      <c r="F1570" t="str">
        <f t="shared" si="96"/>
        <v>Value</v>
      </c>
      <c r="G1570" s="3" cm="1">
        <f t="array" ref="G1570">_xlfn.XLOOKUP(C1570 &amp; F1570,
         [1]unilever_price_limits!A:A &amp; [1]unilever_price_limits!B:B,
         [1]unilever_price_limits!C:C)</f>
        <v>12</v>
      </c>
      <c r="H1570" s="8">
        <f t="shared" si="97"/>
        <v>5.2080000000000011</v>
      </c>
      <c r="I1570" s="6">
        <f t="shared" si="98"/>
        <v>12.000000000000011</v>
      </c>
      <c r="J1570" t="str">
        <f t="shared" si="99"/>
        <v>OK</v>
      </c>
    </row>
    <row r="1571" spans="1:10" x14ac:dyDescent="0.2">
      <c r="A1571">
        <v>11570</v>
      </c>
      <c r="B1571" t="s">
        <v>10</v>
      </c>
      <c r="C1571" t="s">
        <v>6</v>
      </c>
      <c r="D1571" s="8">
        <v>6.65</v>
      </c>
      <c r="E1571">
        <v>3</v>
      </c>
      <c r="F1571" t="str">
        <f t="shared" si="96"/>
        <v>Value</v>
      </c>
      <c r="G1571" s="3" cm="1">
        <f t="array" ref="G1571">_xlfn.XLOOKUP(C1571 &amp; F1571,
         [1]unilever_price_limits!A:A &amp; [1]unilever_price_limits!B:B,
         [1]unilever_price_limits!C:C)</f>
        <v>12</v>
      </c>
      <c r="H1571" s="8">
        <f t="shared" si="97"/>
        <v>7.4480000000000013</v>
      </c>
      <c r="I1571" s="6">
        <f t="shared" si="98"/>
        <v>12.000000000000011</v>
      </c>
      <c r="J1571" t="str">
        <f t="shared" si="99"/>
        <v>OK</v>
      </c>
    </row>
    <row r="1572" spans="1:10" x14ac:dyDescent="0.2">
      <c r="A1572">
        <v>11571</v>
      </c>
      <c r="B1572" t="s">
        <v>10</v>
      </c>
      <c r="C1572" t="s">
        <v>6</v>
      </c>
      <c r="D1572" s="8">
        <v>9.92</v>
      </c>
      <c r="E1572">
        <v>3</v>
      </c>
      <c r="F1572" t="str">
        <f t="shared" si="96"/>
        <v>Value</v>
      </c>
      <c r="G1572" s="3" cm="1">
        <f t="array" ref="G1572">_xlfn.XLOOKUP(C1572 &amp; F1572,
         [1]unilever_price_limits!A:A &amp; [1]unilever_price_limits!B:B,
         [1]unilever_price_limits!C:C)</f>
        <v>12</v>
      </c>
      <c r="H1572" s="8">
        <f t="shared" si="97"/>
        <v>11.1104</v>
      </c>
      <c r="I1572" s="6">
        <f t="shared" si="98"/>
        <v>12.000000000000011</v>
      </c>
      <c r="J1572" t="str">
        <f t="shared" si="99"/>
        <v>OK</v>
      </c>
    </row>
    <row r="1573" spans="1:10" x14ac:dyDescent="0.2">
      <c r="A1573">
        <v>11572</v>
      </c>
      <c r="B1573" t="s">
        <v>7</v>
      </c>
      <c r="C1573" t="s">
        <v>11</v>
      </c>
      <c r="D1573" s="8">
        <v>0.86</v>
      </c>
      <c r="E1573">
        <v>1</v>
      </c>
      <c r="F1573" t="str">
        <f t="shared" si="96"/>
        <v>Value</v>
      </c>
      <c r="G1573" s="3" cm="1">
        <f t="array" ref="G1573">_xlfn.XLOOKUP(C1573 &amp; F1573,
         [1]unilever_price_limits!A:A &amp; [1]unilever_price_limits!B:B,
         [1]unilever_price_limits!C:C)</f>
        <v>10</v>
      </c>
      <c r="H1573" s="8">
        <f t="shared" si="97"/>
        <v>0.94600000000000006</v>
      </c>
      <c r="I1573" s="6">
        <f t="shared" si="98"/>
        <v>10.000000000000009</v>
      </c>
      <c r="J1573" t="str">
        <f t="shared" si="99"/>
        <v>OK</v>
      </c>
    </row>
    <row r="1574" spans="1:10" x14ac:dyDescent="0.2">
      <c r="A1574">
        <v>11573</v>
      </c>
      <c r="B1574" t="s">
        <v>10</v>
      </c>
      <c r="C1574" t="s">
        <v>11</v>
      </c>
      <c r="D1574" s="8">
        <v>12.25</v>
      </c>
      <c r="E1574">
        <v>5</v>
      </c>
      <c r="F1574" t="str">
        <f t="shared" si="96"/>
        <v>Standard</v>
      </c>
      <c r="G1574" s="3" cm="1">
        <f t="array" ref="G1574">_xlfn.XLOOKUP(C1574 &amp; F1574,
         [1]unilever_price_limits!A:A &amp; [1]unilever_price_limits!B:B,
         [1]unilever_price_limits!C:C)</f>
        <v>25</v>
      </c>
      <c r="H1574" s="8">
        <f t="shared" si="97"/>
        <v>15.3125</v>
      </c>
      <c r="I1574" s="6">
        <f t="shared" si="98"/>
        <v>25</v>
      </c>
      <c r="J1574" t="str">
        <f t="shared" si="99"/>
        <v>OK</v>
      </c>
    </row>
    <row r="1575" spans="1:10" x14ac:dyDescent="0.2">
      <c r="A1575">
        <v>11574</v>
      </c>
      <c r="B1575" t="s">
        <v>10</v>
      </c>
      <c r="C1575" t="s">
        <v>6</v>
      </c>
      <c r="D1575" s="8">
        <v>8.2799999999999994</v>
      </c>
      <c r="E1575">
        <v>5</v>
      </c>
      <c r="F1575" t="str">
        <f t="shared" si="96"/>
        <v>Standard</v>
      </c>
      <c r="G1575" s="3" cm="1">
        <f t="array" ref="G1575">_xlfn.XLOOKUP(C1575 &amp; F1575,
         [1]unilever_price_limits!A:A &amp; [1]unilever_price_limits!B:B,
         [1]unilever_price_limits!C:C)</f>
        <v>28</v>
      </c>
      <c r="H1575" s="8">
        <f t="shared" si="97"/>
        <v>10.5984</v>
      </c>
      <c r="I1575" s="6">
        <f t="shared" si="98"/>
        <v>28.000000000000004</v>
      </c>
      <c r="J1575" t="str">
        <f t="shared" si="99"/>
        <v>OK</v>
      </c>
    </row>
    <row r="1576" spans="1:10" x14ac:dyDescent="0.2">
      <c r="A1576">
        <v>11575</v>
      </c>
      <c r="B1576" t="s">
        <v>7</v>
      </c>
      <c r="C1576" t="s">
        <v>6</v>
      </c>
      <c r="D1576" s="8">
        <v>4.53</v>
      </c>
      <c r="E1576">
        <v>10</v>
      </c>
      <c r="F1576" t="str">
        <f t="shared" si="96"/>
        <v>Premium</v>
      </c>
      <c r="G1576" s="3" cm="1">
        <f t="array" ref="G1576">_xlfn.XLOOKUP(C1576 &amp; F1576,
         [1]unilever_price_limits!A:A &amp; [1]unilever_price_limits!B:B,
         [1]unilever_price_limits!C:C)</f>
        <v>55</v>
      </c>
      <c r="H1576" s="8">
        <f t="shared" si="97"/>
        <v>7.0215000000000005</v>
      </c>
      <c r="I1576" s="6">
        <f t="shared" si="98"/>
        <v>55.000000000000007</v>
      </c>
      <c r="J1576" t="str">
        <f t="shared" si="99"/>
        <v>OK</v>
      </c>
    </row>
    <row r="1577" spans="1:10" x14ac:dyDescent="0.2">
      <c r="A1577">
        <v>11576</v>
      </c>
      <c r="B1577" t="s">
        <v>5</v>
      </c>
      <c r="C1577" t="s">
        <v>6</v>
      </c>
      <c r="D1577" s="8">
        <v>1.39</v>
      </c>
      <c r="E1577">
        <v>5</v>
      </c>
      <c r="F1577" t="str">
        <f t="shared" si="96"/>
        <v>Standard</v>
      </c>
      <c r="G1577" s="3" cm="1">
        <f t="array" ref="G1577">_xlfn.XLOOKUP(C1577 &amp; F1577,
         [1]unilever_price_limits!A:A &amp; [1]unilever_price_limits!B:B,
         [1]unilever_price_limits!C:C)</f>
        <v>28</v>
      </c>
      <c r="H1577" s="8">
        <f t="shared" si="97"/>
        <v>1.7791999999999999</v>
      </c>
      <c r="I1577" s="6">
        <f t="shared" si="98"/>
        <v>28.000000000000004</v>
      </c>
      <c r="J1577" t="str">
        <f t="shared" si="99"/>
        <v>OK</v>
      </c>
    </row>
    <row r="1578" spans="1:10" x14ac:dyDescent="0.2">
      <c r="A1578">
        <v>11577</v>
      </c>
      <c r="B1578" t="s">
        <v>5</v>
      </c>
      <c r="C1578" t="s">
        <v>11</v>
      </c>
      <c r="D1578" s="8">
        <v>2.86</v>
      </c>
      <c r="E1578">
        <v>9</v>
      </c>
      <c r="F1578" t="str">
        <f t="shared" si="96"/>
        <v>Premium</v>
      </c>
      <c r="G1578" s="3" cm="1">
        <f t="array" ref="G1578">_xlfn.XLOOKUP(C1578 &amp; F1578,
         [1]unilever_price_limits!A:A &amp; [1]unilever_price_limits!B:B,
         [1]unilever_price_limits!C:C)</f>
        <v>50</v>
      </c>
      <c r="H1578" s="8">
        <f t="shared" si="97"/>
        <v>4.29</v>
      </c>
      <c r="I1578" s="6">
        <f t="shared" si="98"/>
        <v>50</v>
      </c>
      <c r="J1578" t="str">
        <f t="shared" si="99"/>
        <v>OK</v>
      </c>
    </row>
    <row r="1579" spans="1:10" x14ac:dyDescent="0.2">
      <c r="A1579">
        <v>11578</v>
      </c>
      <c r="B1579" t="s">
        <v>10</v>
      </c>
      <c r="C1579" t="s">
        <v>11</v>
      </c>
      <c r="D1579" s="8">
        <v>13.48</v>
      </c>
      <c r="E1579">
        <v>6</v>
      </c>
      <c r="F1579" t="str">
        <f t="shared" si="96"/>
        <v>Standard</v>
      </c>
      <c r="G1579" s="3" cm="1">
        <f t="array" ref="G1579">_xlfn.XLOOKUP(C1579 &amp; F1579,
         [1]unilever_price_limits!A:A &amp; [1]unilever_price_limits!B:B,
         [1]unilever_price_limits!C:C)</f>
        <v>25</v>
      </c>
      <c r="H1579" s="8">
        <f t="shared" si="97"/>
        <v>16.850000000000001</v>
      </c>
      <c r="I1579" s="6">
        <f t="shared" si="98"/>
        <v>25</v>
      </c>
      <c r="J1579" t="str">
        <f t="shared" si="99"/>
        <v>OK</v>
      </c>
    </row>
    <row r="1580" spans="1:10" x14ac:dyDescent="0.2">
      <c r="A1580">
        <v>11579</v>
      </c>
      <c r="B1580" t="s">
        <v>10</v>
      </c>
      <c r="C1580" t="s">
        <v>9</v>
      </c>
      <c r="D1580" s="8">
        <v>10.45</v>
      </c>
      <c r="E1580">
        <v>6</v>
      </c>
      <c r="F1580" t="str">
        <f t="shared" si="96"/>
        <v>Standard</v>
      </c>
      <c r="G1580" s="3" cm="1">
        <f t="array" ref="G1580">_xlfn.XLOOKUP(C1580 &amp; F1580,
         [1]unilever_price_limits!A:A &amp; [1]unilever_price_limits!B:B,
         [1]unilever_price_limits!C:C)</f>
        <v>30</v>
      </c>
      <c r="H1580" s="8">
        <f t="shared" si="97"/>
        <v>13.584999999999999</v>
      </c>
      <c r="I1580" s="6">
        <f t="shared" si="98"/>
        <v>30.000000000000004</v>
      </c>
      <c r="J1580" t="str">
        <f t="shared" si="99"/>
        <v>OK</v>
      </c>
    </row>
    <row r="1581" spans="1:10" x14ac:dyDescent="0.2">
      <c r="A1581">
        <v>11580</v>
      </c>
      <c r="B1581" t="s">
        <v>5</v>
      </c>
      <c r="C1581" t="s">
        <v>11</v>
      </c>
      <c r="D1581" s="8">
        <v>4.12</v>
      </c>
      <c r="E1581">
        <v>3</v>
      </c>
      <c r="F1581" t="str">
        <f t="shared" si="96"/>
        <v>Value</v>
      </c>
      <c r="G1581" s="3" cm="1">
        <f t="array" ref="G1581">_xlfn.XLOOKUP(C1581 &amp; F1581,
         [1]unilever_price_limits!A:A &amp; [1]unilever_price_limits!B:B,
         [1]unilever_price_limits!C:C)</f>
        <v>10</v>
      </c>
      <c r="H1581" s="8">
        <f t="shared" si="97"/>
        <v>4.5320000000000009</v>
      </c>
      <c r="I1581" s="6">
        <f t="shared" si="98"/>
        <v>10.000000000000009</v>
      </c>
      <c r="J1581" t="str">
        <f t="shared" si="99"/>
        <v>OK</v>
      </c>
    </row>
    <row r="1582" spans="1:10" x14ac:dyDescent="0.2">
      <c r="A1582">
        <v>11581</v>
      </c>
      <c r="B1582" t="s">
        <v>7</v>
      </c>
      <c r="C1582" t="s">
        <v>11</v>
      </c>
      <c r="D1582" s="8">
        <v>1.45</v>
      </c>
      <c r="E1582">
        <v>5</v>
      </c>
      <c r="F1582" t="str">
        <f t="shared" si="96"/>
        <v>Standard</v>
      </c>
      <c r="G1582" s="3" cm="1">
        <f t="array" ref="G1582">_xlfn.XLOOKUP(C1582 &amp; F1582,
         [1]unilever_price_limits!A:A &amp; [1]unilever_price_limits!B:B,
         [1]unilever_price_limits!C:C)</f>
        <v>25</v>
      </c>
      <c r="H1582" s="8">
        <f t="shared" si="97"/>
        <v>1.8125</v>
      </c>
      <c r="I1582" s="6">
        <f t="shared" si="98"/>
        <v>25</v>
      </c>
      <c r="J1582" t="str">
        <f t="shared" si="99"/>
        <v>OK</v>
      </c>
    </row>
    <row r="1583" spans="1:10" x14ac:dyDescent="0.2">
      <c r="A1583">
        <v>11582</v>
      </c>
      <c r="B1583" t="s">
        <v>10</v>
      </c>
      <c r="C1583" t="s">
        <v>11</v>
      </c>
      <c r="D1583" s="8">
        <v>10.51</v>
      </c>
      <c r="E1583">
        <v>10</v>
      </c>
      <c r="F1583" t="str">
        <f t="shared" si="96"/>
        <v>Premium</v>
      </c>
      <c r="G1583" s="3" cm="1">
        <f t="array" ref="G1583">_xlfn.XLOOKUP(C1583 &amp; F1583,
         [1]unilever_price_limits!A:A &amp; [1]unilever_price_limits!B:B,
         [1]unilever_price_limits!C:C)</f>
        <v>50</v>
      </c>
      <c r="H1583" s="8">
        <f t="shared" si="97"/>
        <v>15.765000000000001</v>
      </c>
      <c r="I1583" s="6">
        <f t="shared" si="98"/>
        <v>50</v>
      </c>
      <c r="J1583" t="str">
        <f t="shared" si="99"/>
        <v>OK</v>
      </c>
    </row>
    <row r="1584" spans="1:10" x14ac:dyDescent="0.2">
      <c r="A1584">
        <v>11583</v>
      </c>
      <c r="B1584" t="s">
        <v>8</v>
      </c>
      <c r="C1584" t="s">
        <v>6</v>
      </c>
      <c r="D1584" s="8">
        <v>8.8000000000000007</v>
      </c>
      <c r="E1584">
        <v>7</v>
      </c>
      <c r="F1584" t="str">
        <f t="shared" si="96"/>
        <v>Standard</v>
      </c>
      <c r="G1584" s="3" cm="1">
        <f t="array" ref="G1584">_xlfn.XLOOKUP(C1584 &amp; F1584,
         [1]unilever_price_limits!A:A &amp; [1]unilever_price_limits!B:B,
         [1]unilever_price_limits!C:C)</f>
        <v>28</v>
      </c>
      <c r="H1584" s="8">
        <f t="shared" si="97"/>
        <v>11.264000000000001</v>
      </c>
      <c r="I1584" s="6">
        <f t="shared" si="98"/>
        <v>28.000000000000004</v>
      </c>
      <c r="J1584" t="str">
        <f t="shared" si="99"/>
        <v>OK</v>
      </c>
    </row>
    <row r="1585" spans="1:10" x14ac:dyDescent="0.2">
      <c r="A1585">
        <v>11584</v>
      </c>
      <c r="B1585" t="s">
        <v>7</v>
      </c>
      <c r="C1585" t="s">
        <v>11</v>
      </c>
      <c r="D1585" s="8">
        <v>6.37</v>
      </c>
      <c r="E1585">
        <v>3</v>
      </c>
      <c r="F1585" t="str">
        <f t="shared" si="96"/>
        <v>Value</v>
      </c>
      <c r="G1585" s="3" cm="1">
        <f t="array" ref="G1585">_xlfn.XLOOKUP(C1585 &amp; F1585,
         [1]unilever_price_limits!A:A &amp; [1]unilever_price_limits!B:B,
         [1]unilever_price_limits!C:C)</f>
        <v>10</v>
      </c>
      <c r="H1585" s="8">
        <f t="shared" si="97"/>
        <v>7.0070000000000006</v>
      </c>
      <c r="I1585" s="6">
        <f t="shared" si="98"/>
        <v>10.000000000000009</v>
      </c>
      <c r="J1585" t="str">
        <f t="shared" si="99"/>
        <v>OK</v>
      </c>
    </row>
    <row r="1586" spans="1:10" x14ac:dyDescent="0.2">
      <c r="A1586">
        <v>11585</v>
      </c>
      <c r="B1586" t="s">
        <v>10</v>
      </c>
      <c r="C1586" t="s">
        <v>6</v>
      </c>
      <c r="D1586" s="8">
        <v>5.77</v>
      </c>
      <c r="E1586">
        <v>2</v>
      </c>
      <c r="F1586" t="str">
        <f t="shared" si="96"/>
        <v>Value</v>
      </c>
      <c r="G1586" s="3" cm="1">
        <f t="array" ref="G1586">_xlfn.XLOOKUP(C1586 &amp; F1586,
         [1]unilever_price_limits!A:A &amp; [1]unilever_price_limits!B:B,
         [1]unilever_price_limits!C:C)</f>
        <v>12</v>
      </c>
      <c r="H1586" s="8">
        <f t="shared" si="97"/>
        <v>6.4623999999999997</v>
      </c>
      <c r="I1586" s="6">
        <f t="shared" si="98"/>
        <v>12.000000000000011</v>
      </c>
      <c r="J1586" t="str">
        <f t="shared" si="99"/>
        <v>OK</v>
      </c>
    </row>
    <row r="1587" spans="1:10" x14ac:dyDescent="0.2">
      <c r="A1587">
        <v>11586</v>
      </c>
      <c r="B1587" t="s">
        <v>10</v>
      </c>
      <c r="C1587" t="s">
        <v>9</v>
      </c>
      <c r="D1587" s="8">
        <v>3.64</v>
      </c>
      <c r="E1587">
        <v>5</v>
      </c>
      <c r="F1587" t="str">
        <f t="shared" si="96"/>
        <v>Standard</v>
      </c>
      <c r="G1587" s="3" cm="1">
        <f t="array" ref="G1587">_xlfn.XLOOKUP(C1587 &amp; F1587,
         [1]unilever_price_limits!A:A &amp; [1]unilever_price_limits!B:B,
         [1]unilever_price_limits!C:C)</f>
        <v>30</v>
      </c>
      <c r="H1587" s="8">
        <f t="shared" si="97"/>
        <v>4.7320000000000002</v>
      </c>
      <c r="I1587" s="6">
        <f t="shared" si="98"/>
        <v>30.000000000000004</v>
      </c>
      <c r="J1587" t="str">
        <f t="shared" si="99"/>
        <v>OK</v>
      </c>
    </row>
    <row r="1588" spans="1:10" x14ac:dyDescent="0.2">
      <c r="A1588">
        <v>11587</v>
      </c>
      <c r="B1588" t="s">
        <v>8</v>
      </c>
      <c r="C1588" t="s">
        <v>9</v>
      </c>
      <c r="D1588" s="8">
        <v>10.210000000000001</v>
      </c>
      <c r="E1588">
        <v>3</v>
      </c>
      <c r="F1588" t="str">
        <f t="shared" si="96"/>
        <v>Value</v>
      </c>
      <c r="G1588" s="3" cm="1">
        <f t="array" ref="G1588">_xlfn.XLOOKUP(C1588 &amp; F1588,
         [1]unilever_price_limits!A:A &amp; [1]unilever_price_limits!B:B,
         [1]unilever_price_limits!C:C)</f>
        <v>15</v>
      </c>
      <c r="H1588" s="8">
        <f t="shared" si="97"/>
        <v>11.7415</v>
      </c>
      <c r="I1588" s="6">
        <f t="shared" si="98"/>
        <v>14.999999999999991</v>
      </c>
      <c r="J1588" t="str">
        <f t="shared" si="99"/>
        <v>OK</v>
      </c>
    </row>
    <row r="1589" spans="1:10" x14ac:dyDescent="0.2">
      <c r="A1589">
        <v>11588</v>
      </c>
      <c r="B1589" t="s">
        <v>8</v>
      </c>
      <c r="C1589" t="s">
        <v>6</v>
      </c>
      <c r="D1589" s="8">
        <v>14.57</v>
      </c>
      <c r="E1589">
        <v>5</v>
      </c>
      <c r="F1589" t="str">
        <f t="shared" si="96"/>
        <v>Standard</v>
      </c>
      <c r="G1589" s="3" cm="1">
        <f t="array" ref="G1589">_xlfn.XLOOKUP(C1589 &amp; F1589,
         [1]unilever_price_limits!A:A &amp; [1]unilever_price_limits!B:B,
         [1]unilever_price_limits!C:C)</f>
        <v>28</v>
      </c>
      <c r="H1589" s="8">
        <f t="shared" si="97"/>
        <v>18.6496</v>
      </c>
      <c r="I1589" s="6">
        <f t="shared" si="98"/>
        <v>28.000000000000004</v>
      </c>
      <c r="J1589" t="str">
        <f t="shared" si="99"/>
        <v>OK</v>
      </c>
    </row>
    <row r="1590" spans="1:10" x14ac:dyDescent="0.2">
      <c r="A1590">
        <v>11589</v>
      </c>
      <c r="B1590" t="s">
        <v>5</v>
      </c>
      <c r="C1590" t="s">
        <v>6</v>
      </c>
      <c r="D1590" s="8">
        <v>3.05</v>
      </c>
      <c r="E1590">
        <v>9</v>
      </c>
      <c r="F1590" t="str">
        <f t="shared" si="96"/>
        <v>Premium</v>
      </c>
      <c r="G1590" s="3" cm="1">
        <f t="array" ref="G1590">_xlfn.XLOOKUP(C1590 &amp; F1590,
         [1]unilever_price_limits!A:A &amp; [1]unilever_price_limits!B:B,
         [1]unilever_price_limits!C:C)</f>
        <v>55</v>
      </c>
      <c r="H1590" s="8">
        <f t="shared" si="97"/>
        <v>4.7275</v>
      </c>
      <c r="I1590" s="6">
        <f t="shared" si="98"/>
        <v>55.000000000000007</v>
      </c>
      <c r="J1590" t="str">
        <f t="shared" si="99"/>
        <v>OK</v>
      </c>
    </row>
    <row r="1591" spans="1:10" x14ac:dyDescent="0.2">
      <c r="A1591">
        <v>11590</v>
      </c>
      <c r="B1591" t="s">
        <v>7</v>
      </c>
      <c r="C1591" t="s">
        <v>6</v>
      </c>
      <c r="D1591" s="8">
        <v>9.16</v>
      </c>
      <c r="E1591">
        <v>10</v>
      </c>
      <c r="F1591" t="str">
        <f t="shared" si="96"/>
        <v>Premium</v>
      </c>
      <c r="G1591" s="3" cm="1">
        <f t="array" ref="G1591">_xlfn.XLOOKUP(C1591 &amp; F1591,
         [1]unilever_price_limits!A:A &amp; [1]unilever_price_limits!B:B,
         [1]unilever_price_limits!C:C)</f>
        <v>55</v>
      </c>
      <c r="H1591" s="8">
        <f t="shared" si="97"/>
        <v>14.198</v>
      </c>
      <c r="I1591" s="6">
        <f t="shared" si="98"/>
        <v>55.000000000000007</v>
      </c>
      <c r="J1591" t="str">
        <f t="shared" si="99"/>
        <v>OK</v>
      </c>
    </row>
    <row r="1592" spans="1:10" x14ac:dyDescent="0.2">
      <c r="A1592">
        <v>11591</v>
      </c>
      <c r="B1592" t="s">
        <v>7</v>
      </c>
      <c r="C1592" t="s">
        <v>11</v>
      </c>
      <c r="D1592" s="8">
        <v>6.65</v>
      </c>
      <c r="E1592">
        <v>1</v>
      </c>
      <c r="F1592" t="str">
        <f t="shared" si="96"/>
        <v>Value</v>
      </c>
      <c r="G1592" s="3" cm="1">
        <f t="array" ref="G1592">_xlfn.XLOOKUP(C1592 &amp; F1592,
         [1]unilever_price_limits!A:A &amp; [1]unilever_price_limits!B:B,
         [1]unilever_price_limits!C:C)</f>
        <v>10</v>
      </c>
      <c r="H1592" s="8">
        <f t="shared" si="97"/>
        <v>7.3150000000000013</v>
      </c>
      <c r="I1592" s="6">
        <f t="shared" si="98"/>
        <v>10.000000000000009</v>
      </c>
      <c r="J1592" t="str">
        <f t="shared" si="99"/>
        <v>OK</v>
      </c>
    </row>
    <row r="1593" spans="1:10" x14ac:dyDescent="0.2">
      <c r="A1593">
        <v>11592</v>
      </c>
      <c r="B1593" t="s">
        <v>5</v>
      </c>
      <c r="C1593" t="s">
        <v>9</v>
      </c>
      <c r="D1593" s="8">
        <v>6.98</v>
      </c>
      <c r="E1593">
        <v>4</v>
      </c>
      <c r="F1593" t="str">
        <f t="shared" si="96"/>
        <v>Standard</v>
      </c>
      <c r="G1593" s="3" cm="1">
        <f t="array" ref="G1593">_xlfn.XLOOKUP(C1593 &amp; F1593,
         [1]unilever_price_limits!A:A &amp; [1]unilever_price_limits!B:B,
         [1]unilever_price_limits!C:C)</f>
        <v>30</v>
      </c>
      <c r="H1593" s="8">
        <f t="shared" si="97"/>
        <v>9.0740000000000016</v>
      </c>
      <c r="I1593" s="6">
        <f t="shared" si="98"/>
        <v>30.000000000000004</v>
      </c>
      <c r="J1593" t="str">
        <f t="shared" si="99"/>
        <v>OK</v>
      </c>
    </row>
    <row r="1594" spans="1:10" x14ac:dyDescent="0.2">
      <c r="A1594">
        <v>11593</v>
      </c>
      <c r="B1594" t="s">
        <v>7</v>
      </c>
      <c r="C1594" t="s">
        <v>6</v>
      </c>
      <c r="D1594" s="8">
        <v>4.1900000000000004</v>
      </c>
      <c r="E1594">
        <v>10</v>
      </c>
      <c r="F1594" t="str">
        <f t="shared" si="96"/>
        <v>Premium</v>
      </c>
      <c r="G1594" s="3" cm="1">
        <f t="array" ref="G1594">_xlfn.XLOOKUP(C1594 &amp; F1594,
         [1]unilever_price_limits!A:A &amp; [1]unilever_price_limits!B:B,
         [1]unilever_price_limits!C:C)</f>
        <v>55</v>
      </c>
      <c r="H1594" s="8">
        <f t="shared" si="97"/>
        <v>6.4945000000000004</v>
      </c>
      <c r="I1594" s="6">
        <f t="shared" si="98"/>
        <v>55.000000000000007</v>
      </c>
      <c r="J1594" t="str">
        <f t="shared" si="99"/>
        <v>OK</v>
      </c>
    </row>
    <row r="1595" spans="1:10" x14ac:dyDescent="0.2">
      <c r="A1595">
        <v>11594</v>
      </c>
      <c r="B1595" t="s">
        <v>7</v>
      </c>
      <c r="C1595" t="s">
        <v>11</v>
      </c>
      <c r="D1595" s="8">
        <v>12.46</v>
      </c>
      <c r="E1595">
        <v>5</v>
      </c>
      <c r="F1595" t="str">
        <f t="shared" si="96"/>
        <v>Standard</v>
      </c>
      <c r="G1595" s="3" cm="1">
        <f t="array" ref="G1595">_xlfn.XLOOKUP(C1595 &amp; F1595,
         [1]unilever_price_limits!A:A &amp; [1]unilever_price_limits!B:B,
         [1]unilever_price_limits!C:C)</f>
        <v>25</v>
      </c>
      <c r="H1595" s="8">
        <f t="shared" si="97"/>
        <v>15.575000000000001</v>
      </c>
      <c r="I1595" s="6">
        <f t="shared" si="98"/>
        <v>25</v>
      </c>
      <c r="J1595" t="str">
        <f t="shared" si="99"/>
        <v>OK</v>
      </c>
    </row>
    <row r="1596" spans="1:10" x14ac:dyDescent="0.2">
      <c r="A1596">
        <v>11595</v>
      </c>
      <c r="B1596" t="s">
        <v>7</v>
      </c>
      <c r="C1596" t="s">
        <v>9</v>
      </c>
      <c r="D1596" s="8">
        <v>7.54</v>
      </c>
      <c r="E1596">
        <v>2</v>
      </c>
      <c r="F1596" t="str">
        <f t="shared" si="96"/>
        <v>Value</v>
      </c>
      <c r="G1596" s="3" cm="1">
        <f t="array" ref="G1596">_xlfn.XLOOKUP(C1596 &amp; F1596,
         [1]unilever_price_limits!A:A &amp; [1]unilever_price_limits!B:B,
         [1]unilever_price_limits!C:C)</f>
        <v>15</v>
      </c>
      <c r="H1596" s="8">
        <f t="shared" si="97"/>
        <v>8.6709999999999994</v>
      </c>
      <c r="I1596" s="6">
        <f t="shared" si="98"/>
        <v>14.999999999999991</v>
      </c>
      <c r="J1596" t="str">
        <f t="shared" si="99"/>
        <v>OK</v>
      </c>
    </row>
    <row r="1597" spans="1:10" x14ac:dyDescent="0.2">
      <c r="A1597">
        <v>11596</v>
      </c>
      <c r="B1597" t="s">
        <v>7</v>
      </c>
      <c r="C1597" t="s">
        <v>11</v>
      </c>
      <c r="D1597" s="8">
        <v>8.3800000000000008</v>
      </c>
      <c r="E1597">
        <v>2</v>
      </c>
      <c r="F1597" t="str">
        <f t="shared" si="96"/>
        <v>Value</v>
      </c>
      <c r="G1597" s="3" cm="1">
        <f t="array" ref="G1597">_xlfn.XLOOKUP(C1597 &amp; F1597,
         [1]unilever_price_limits!A:A &amp; [1]unilever_price_limits!B:B,
         [1]unilever_price_limits!C:C)</f>
        <v>10</v>
      </c>
      <c r="H1597" s="8">
        <f t="shared" si="97"/>
        <v>9.2180000000000017</v>
      </c>
      <c r="I1597" s="6">
        <f t="shared" si="98"/>
        <v>10.000000000000009</v>
      </c>
      <c r="J1597" t="str">
        <f t="shared" si="99"/>
        <v>OK</v>
      </c>
    </row>
    <row r="1598" spans="1:10" x14ac:dyDescent="0.2">
      <c r="A1598">
        <v>11597</v>
      </c>
      <c r="B1598" t="s">
        <v>7</v>
      </c>
      <c r="C1598" t="s">
        <v>9</v>
      </c>
      <c r="D1598" s="8">
        <v>4.92</v>
      </c>
      <c r="E1598">
        <v>1</v>
      </c>
      <c r="F1598" t="str">
        <f t="shared" si="96"/>
        <v>Value</v>
      </c>
      <c r="G1598" s="3" cm="1">
        <f t="array" ref="G1598">_xlfn.XLOOKUP(C1598 &amp; F1598,
         [1]unilever_price_limits!A:A &amp; [1]unilever_price_limits!B:B,
         [1]unilever_price_limits!C:C)</f>
        <v>15</v>
      </c>
      <c r="H1598" s="8">
        <f t="shared" si="97"/>
        <v>5.6579999999999995</v>
      </c>
      <c r="I1598" s="6">
        <f t="shared" si="98"/>
        <v>14.999999999999991</v>
      </c>
      <c r="J1598" t="str">
        <f t="shared" si="99"/>
        <v>OK</v>
      </c>
    </row>
    <row r="1599" spans="1:10" x14ac:dyDescent="0.2">
      <c r="A1599">
        <v>11598</v>
      </c>
      <c r="B1599" t="s">
        <v>8</v>
      </c>
      <c r="C1599" t="s">
        <v>11</v>
      </c>
      <c r="D1599" s="8">
        <v>3.14</v>
      </c>
      <c r="E1599">
        <v>8</v>
      </c>
      <c r="F1599" t="str">
        <f t="shared" si="96"/>
        <v>Premium</v>
      </c>
      <c r="G1599" s="3" cm="1">
        <f t="array" ref="G1599">_xlfn.XLOOKUP(C1599 &amp; F1599,
         [1]unilever_price_limits!A:A &amp; [1]unilever_price_limits!B:B,
         [1]unilever_price_limits!C:C)</f>
        <v>50</v>
      </c>
      <c r="H1599" s="8">
        <f t="shared" si="97"/>
        <v>4.71</v>
      </c>
      <c r="I1599" s="6">
        <f t="shared" si="98"/>
        <v>50</v>
      </c>
      <c r="J1599" t="str">
        <f t="shared" si="99"/>
        <v>OK</v>
      </c>
    </row>
    <row r="1600" spans="1:10" x14ac:dyDescent="0.2">
      <c r="A1600">
        <v>11599</v>
      </c>
      <c r="B1600" t="s">
        <v>7</v>
      </c>
      <c r="C1600" t="s">
        <v>9</v>
      </c>
      <c r="D1600" s="8">
        <v>1.75</v>
      </c>
      <c r="E1600">
        <v>2</v>
      </c>
      <c r="F1600" t="str">
        <f t="shared" si="96"/>
        <v>Value</v>
      </c>
      <c r="G1600" s="3" cm="1">
        <f t="array" ref="G1600">_xlfn.XLOOKUP(C1600 &amp; F1600,
         [1]unilever_price_limits!A:A &amp; [1]unilever_price_limits!B:B,
         [1]unilever_price_limits!C:C)</f>
        <v>15</v>
      </c>
      <c r="H1600" s="8">
        <f t="shared" si="97"/>
        <v>2.0124999999999997</v>
      </c>
      <c r="I1600" s="6">
        <f t="shared" si="98"/>
        <v>14.999999999999991</v>
      </c>
      <c r="J1600" t="str">
        <f t="shared" si="99"/>
        <v>OK</v>
      </c>
    </row>
    <row r="1601" spans="1:10" x14ac:dyDescent="0.2">
      <c r="A1601">
        <v>11600</v>
      </c>
      <c r="B1601" t="s">
        <v>8</v>
      </c>
      <c r="C1601" t="s">
        <v>9</v>
      </c>
      <c r="D1601" s="8">
        <v>10.85</v>
      </c>
      <c r="E1601">
        <v>3</v>
      </c>
      <c r="F1601" t="str">
        <f t="shared" si="96"/>
        <v>Value</v>
      </c>
      <c r="G1601" s="3" cm="1">
        <f t="array" ref="G1601">_xlfn.XLOOKUP(C1601 &amp; F1601,
         [1]unilever_price_limits!A:A &amp; [1]unilever_price_limits!B:B,
         [1]unilever_price_limits!C:C)</f>
        <v>15</v>
      </c>
      <c r="H1601" s="8">
        <f t="shared" si="97"/>
        <v>12.477499999999999</v>
      </c>
      <c r="I1601" s="6">
        <f t="shared" si="98"/>
        <v>14.999999999999991</v>
      </c>
      <c r="J1601" t="str">
        <f t="shared" si="99"/>
        <v>OK</v>
      </c>
    </row>
    <row r="1602" spans="1:10" x14ac:dyDescent="0.2">
      <c r="A1602">
        <v>11601</v>
      </c>
      <c r="B1602" t="s">
        <v>7</v>
      </c>
      <c r="C1602" t="s">
        <v>11</v>
      </c>
      <c r="D1602" s="8">
        <v>3.35</v>
      </c>
      <c r="E1602">
        <v>2</v>
      </c>
      <c r="F1602" t="str">
        <f t="shared" si="96"/>
        <v>Value</v>
      </c>
      <c r="G1602" s="3" cm="1">
        <f t="array" ref="G1602">_xlfn.XLOOKUP(C1602 &amp; F1602,
         [1]unilever_price_limits!A:A &amp; [1]unilever_price_limits!B:B,
         [1]unilever_price_limits!C:C)</f>
        <v>10</v>
      </c>
      <c r="H1602" s="8">
        <f t="shared" si="97"/>
        <v>3.6850000000000005</v>
      </c>
      <c r="I1602" s="6">
        <f t="shared" si="98"/>
        <v>10.000000000000009</v>
      </c>
      <c r="J1602" t="str">
        <f t="shared" si="99"/>
        <v>OK</v>
      </c>
    </row>
    <row r="1603" spans="1:10" x14ac:dyDescent="0.2">
      <c r="A1603">
        <v>11602</v>
      </c>
      <c r="B1603" t="s">
        <v>5</v>
      </c>
      <c r="C1603" t="s">
        <v>6</v>
      </c>
      <c r="D1603" s="8">
        <v>10.51</v>
      </c>
      <c r="E1603">
        <v>4</v>
      </c>
      <c r="F1603" t="str">
        <f t="shared" ref="F1603:F1666" si="100">IF(E1603&lt;=3,"Value",
 IF(E1603&lt;=7,"Standard","Premium"))</f>
        <v>Standard</v>
      </c>
      <c r="G1603" s="3" cm="1">
        <f t="array" ref="G1603">_xlfn.XLOOKUP(C1603 &amp; F1603,
         [1]unilever_price_limits!A:A &amp; [1]unilever_price_limits!B:B,
         [1]unilever_price_limits!C:C)</f>
        <v>28</v>
      </c>
      <c r="H1603" s="8">
        <f t="shared" ref="H1603:H1666" si="101">D1603 * (1 + G1603/100)</f>
        <v>13.4528</v>
      </c>
      <c r="I1603" s="6">
        <f t="shared" ref="I1603:I1666" si="102">(H1603 / D1603 - 1) * 100</f>
        <v>28.000000000000004</v>
      </c>
      <c r="J1603" t="str">
        <f t="shared" ref="J1603:J1666" si="103">IF(I1602&gt; G1602, "⚠ Exceeds Limit", "OK")</f>
        <v>OK</v>
      </c>
    </row>
    <row r="1604" spans="1:10" x14ac:dyDescent="0.2">
      <c r="A1604">
        <v>11603</v>
      </c>
      <c r="B1604" t="s">
        <v>10</v>
      </c>
      <c r="C1604" t="s">
        <v>9</v>
      </c>
      <c r="D1604" s="8">
        <v>6.16</v>
      </c>
      <c r="E1604">
        <v>1</v>
      </c>
      <c r="F1604" t="str">
        <f t="shared" si="100"/>
        <v>Value</v>
      </c>
      <c r="G1604" s="3" cm="1">
        <f t="array" ref="G1604">_xlfn.XLOOKUP(C1604 &amp; F1604,
         [1]unilever_price_limits!A:A &amp; [1]unilever_price_limits!B:B,
         [1]unilever_price_limits!C:C)</f>
        <v>15</v>
      </c>
      <c r="H1604" s="8">
        <f t="shared" si="101"/>
        <v>7.0839999999999996</v>
      </c>
      <c r="I1604" s="6">
        <f t="shared" si="102"/>
        <v>14.999999999999991</v>
      </c>
      <c r="J1604" t="str">
        <f t="shared" si="103"/>
        <v>OK</v>
      </c>
    </row>
    <row r="1605" spans="1:10" x14ac:dyDescent="0.2">
      <c r="A1605">
        <v>11604</v>
      </c>
      <c r="B1605" t="s">
        <v>8</v>
      </c>
      <c r="C1605" t="s">
        <v>6</v>
      </c>
      <c r="D1605" s="8">
        <v>6.53</v>
      </c>
      <c r="E1605">
        <v>3</v>
      </c>
      <c r="F1605" t="str">
        <f t="shared" si="100"/>
        <v>Value</v>
      </c>
      <c r="G1605" s="3" cm="1">
        <f t="array" ref="G1605">_xlfn.XLOOKUP(C1605 &amp; F1605,
         [1]unilever_price_limits!A:A &amp; [1]unilever_price_limits!B:B,
         [1]unilever_price_limits!C:C)</f>
        <v>12</v>
      </c>
      <c r="H1605" s="8">
        <f t="shared" si="101"/>
        <v>7.313600000000001</v>
      </c>
      <c r="I1605" s="6">
        <f t="shared" si="102"/>
        <v>12.000000000000011</v>
      </c>
      <c r="J1605" t="str">
        <f t="shared" si="103"/>
        <v>OK</v>
      </c>
    </row>
    <row r="1606" spans="1:10" x14ac:dyDescent="0.2">
      <c r="A1606">
        <v>11605</v>
      </c>
      <c r="B1606" t="s">
        <v>7</v>
      </c>
      <c r="C1606" t="s">
        <v>11</v>
      </c>
      <c r="D1606" s="8">
        <v>7.3</v>
      </c>
      <c r="E1606">
        <v>5</v>
      </c>
      <c r="F1606" t="str">
        <f t="shared" si="100"/>
        <v>Standard</v>
      </c>
      <c r="G1606" s="3" cm="1">
        <f t="array" ref="G1606">_xlfn.XLOOKUP(C1606 &amp; F1606,
         [1]unilever_price_limits!A:A &amp; [1]unilever_price_limits!B:B,
         [1]unilever_price_limits!C:C)</f>
        <v>25</v>
      </c>
      <c r="H1606" s="8">
        <f t="shared" si="101"/>
        <v>9.125</v>
      </c>
      <c r="I1606" s="6">
        <f t="shared" si="102"/>
        <v>25</v>
      </c>
      <c r="J1606" t="str">
        <f t="shared" si="103"/>
        <v>OK</v>
      </c>
    </row>
    <row r="1607" spans="1:10" x14ac:dyDescent="0.2">
      <c r="A1607">
        <v>11606</v>
      </c>
      <c r="B1607" t="s">
        <v>5</v>
      </c>
      <c r="C1607" t="s">
        <v>6</v>
      </c>
      <c r="D1607" s="8">
        <v>5.83</v>
      </c>
      <c r="E1607">
        <v>10</v>
      </c>
      <c r="F1607" t="str">
        <f t="shared" si="100"/>
        <v>Premium</v>
      </c>
      <c r="G1607" s="3" cm="1">
        <f t="array" ref="G1607">_xlfn.XLOOKUP(C1607 &amp; F1607,
         [1]unilever_price_limits!A:A &amp; [1]unilever_price_limits!B:B,
         [1]unilever_price_limits!C:C)</f>
        <v>55</v>
      </c>
      <c r="H1607" s="8">
        <f t="shared" si="101"/>
        <v>9.0365000000000002</v>
      </c>
      <c r="I1607" s="6">
        <f t="shared" si="102"/>
        <v>55.000000000000007</v>
      </c>
      <c r="J1607" t="str">
        <f t="shared" si="103"/>
        <v>OK</v>
      </c>
    </row>
    <row r="1608" spans="1:10" x14ac:dyDescent="0.2">
      <c r="A1608">
        <v>11607</v>
      </c>
      <c r="B1608" t="s">
        <v>10</v>
      </c>
      <c r="C1608" t="s">
        <v>6</v>
      </c>
      <c r="D1608" s="8">
        <v>1.96</v>
      </c>
      <c r="E1608">
        <v>1</v>
      </c>
      <c r="F1608" t="str">
        <f t="shared" si="100"/>
        <v>Value</v>
      </c>
      <c r="G1608" s="3" cm="1">
        <f t="array" ref="G1608">_xlfn.XLOOKUP(C1608 &amp; F1608,
         [1]unilever_price_limits!A:A &amp; [1]unilever_price_limits!B:B,
         [1]unilever_price_limits!C:C)</f>
        <v>12</v>
      </c>
      <c r="H1608" s="8">
        <f t="shared" si="101"/>
        <v>2.1952000000000003</v>
      </c>
      <c r="I1608" s="6">
        <f t="shared" si="102"/>
        <v>12.000000000000011</v>
      </c>
      <c r="J1608" t="str">
        <f t="shared" si="103"/>
        <v>OK</v>
      </c>
    </row>
    <row r="1609" spans="1:10" x14ac:dyDescent="0.2">
      <c r="A1609">
        <v>11608</v>
      </c>
      <c r="B1609" t="s">
        <v>8</v>
      </c>
      <c r="C1609" t="s">
        <v>6</v>
      </c>
      <c r="D1609" s="8">
        <v>4.99</v>
      </c>
      <c r="E1609">
        <v>4</v>
      </c>
      <c r="F1609" t="str">
        <f t="shared" si="100"/>
        <v>Standard</v>
      </c>
      <c r="G1609" s="3" cm="1">
        <f t="array" ref="G1609">_xlfn.XLOOKUP(C1609 &amp; F1609,
         [1]unilever_price_limits!A:A &amp; [1]unilever_price_limits!B:B,
         [1]unilever_price_limits!C:C)</f>
        <v>28</v>
      </c>
      <c r="H1609" s="8">
        <f t="shared" si="101"/>
        <v>6.3872</v>
      </c>
      <c r="I1609" s="6">
        <f t="shared" si="102"/>
        <v>28.000000000000004</v>
      </c>
      <c r="J1609" t="str">
        <f t="shared" si="103"/>
        <v>OK</v>
      </c>
    </row>
    <row r="1610" spans="1:10" x14ac:dyDescent="0.2">
      <c r="A1610">
        <v>11609</v>
      </c>
      <c r="B1610" t="s">
        <v>10</v>
      </c>
      <c r="C1610" t="s">
        <v>6</v>
      </c>
      <c r="D1610" s="8">
        <v>10.119999999999999</v>
      </c>
      <c r="E1610">
        <v>6</v>
      </c>
      <c r="F1610" t="str">
        <f t="shared" si="100"/>
        <v>Standard</v>
      </c>
      <c r="G1610" s="3" cm="1">
        <f t="array" ref="G1610">_xlfn.XLOOKUP(C1610 &amp; F1610,
         [1]unilever_price_limits!A:A &amp; [1]unilever_price_limits!B:B,
         [1]unilever_price_limits!C:C)</f>
        <v>28</v>
      </c>
      <c r="H1610" s="8">
        <f t="shared" si="101"/>
        <v>12.9536</v>
      </c>
      <c r="I1610" s="6">
        <f t="shared" si="102"/>
        <v>28.000000000000004</v>
      </c>
      <c r="J1610" t="str">
        <f t="shared" si="103"/>
        <v>OK</v>
      </c>
    </row>
    <row r="1611" spans="1:10" x14ac:dyDescent="0.2">
      <c r="A1611">
        <v>11610</v>
      </c>
      <c r="B1611" t="s">
        <v>5</v>
      </c>
      <c r="C1611" t="s">
        <v>6</v>
      </c>
      <c r="D1611" s="8">
        <v>10.15</v>
      </c>
      <c r="E1611">
        <v>4</v>
      </c>
      <c r="F1611" t="str">
        <f t="shared" si="100"/>
        <v>Standard</v>
      </c>
      <c r="G1611" s="3" cm="1">
        <f t="array" ref="G1611">_xlfn.XLOOKUP(C1611 &amp; F1611,
         [1]unilever_price_limits!A:A &amp; [1]unilever_price_limits!B:B,
         [1]unilever_price_limits!C:C)</f>
        <v>28</v>
      </c>
      <c r="H1611" s="8">
        <f t="shared" si="101"/>
        <v>12.992000000000001</v>
      </c>
      <c r="I1611" s="6">
        <f t="shared" si="102"/>
        <v>28.000000000000004</v>
      </c>
      <c r="J1611" t="str">
        <f t="shared" si="103"/>
        <v>OK</v>
      </c>
    </row>
    <row r="1612" spans="1:10" x14ac:dyDescent="0.2">
      <c r="A1612">
        <v>11611</v>
      </c>
      <c r="B1612" t="s">
        <v>8</v>
      </c>
      <c r="C1612" t="s">
        <v>9</v>
      </c>
      <c r="D1612" s="8">
        <v>4.6500000000000004</v>
      </c>
      <c r="E1612">
        <v>7</v>
      </c>
      <c r="F1612" t="str">
        <f t="shared" si="100"/>
        <v>Standard</v>
      </c>
      <c r="G1612" s="3" cm="1">
        <f t="array" ref="G1612">_xlfn.XLOOKUP(C1612 &amp; F1612,
         [1]unilever_price_limits!A:A &amp; [1]unilever_price_limits!B:B,
         [1]unilever_price_limits!C:C)</f>
        <v>30</v>
      </c>
      <c r="H1612" s="8">
        <f t="shared" si="101"/>
        <v>6.0450000000000008</v>
      </c>
      <c r="I1612" s="6">
        <f t="shared" si="102"/>
        <v>30.000000000000004</v>
      </c>
      <c r="J1612" t="str">
        <f t="shared" si="103"/>
        <v>OK</v>
      </c>
    </row>
    <row r="1613" spans="1:10" x14ac:dyDescent="0.2">
      <c r="A1613">
        <v>11612</v>
      </c>
      <c r="B1613" t="s">
        <v>10</v>
      </c>
      <c r="C1613" t="s">
        <v>9</v>
      </c>
      <c r="D1613" s="8">
        <v>7.17</v>
      </c>
      <c r="E1613">
        <v>7</v>
      </c>
      <c r="F1613" t="str">
        <f t="shared" si="100"/>
        <v>Standard</v>
      </c>
      <c r="G1613" s="3" cm="1">
        <f t="array" ref="G1613">_xlfn.XLOOKUP(C1613 &amp; F1613,
         [1]unilever_price_limits!A:A &amp; [1]unilever_price_limits!B:B,
         [1]unilever_price_limits!C:C)</f>
        <v>30</v>
      </c>
      <c r="H1613" s="8">
        <f t="shared" si="101"/>
        <v>9.3209999999999997</v>
      </c>
      <c r="I1613" s="6">
        <f t="shared" si="102"/>
        <v>30.000000000000004</v>
      </c>
      <c r="J1613" t="str">
        <f t="shared" si="103"/>
        <v>OK</v>
      </c>
    </row>
    <row r="1614" spans="1:10" x14ac:dyDescent="0.2">
      <c r="A1614">
        <v>11613</v>
      </c>
      <c r="B1614" t="s">
        <v>7</v>
      </c>
      <c r="C1614" t="s">
        <v>9</v>
      </c>
      <c r="D1614" s="8">
        <v>3.3</v>
      </c>
      <c r="E1614">
        <v>6</v>
      </c>
      <c r="F1614" t="str">
        <f t="shared" si="100"/>
        <v>Standard</v>
      </c>
      <c r="G1614" s="3" cm="1">
        <f t="array" ref="G1614">_xlfn.XLOOKUP(C1614 &amp; F1614,
         [1]unilever_price_limits!A:A &amp; [1]unilever_price_limits!B:B,
         [1]unilever_price_limits!C:C)</f>
        <v>30</v>
      </c>
      <c r="H1614" s="8">
        <f t="shared" si="101"/>
        <v>4.29</v>
      </c>
      <c r="I1614" s="6">
        <f t="shared" si="102"/>
        <v>30.000000000000004</v>
      </c>
      <c r="J1614" t="str">
        <f t="shared" si="103"/>
        <v>OK</v>
      </c>
    </row>
    <row r="1615" spans="1:10" x14ac:dyDescent="0.2">
      <c r="A1615">
        <v>11614</v>
      </c>
      <c r="B1615" t="s">
        <v>8</v>
      </c>
      <c r="C1615" t="s">
        <v>11</v>
      </c>
      <c r="D1615" s="8">
        <v>3.55</v>
      </c>
      <c r="E1615">
        <v>9</v>
      </c>
      <c r="F1615" t="str">
        <f t="shared" si="100"/>
        <v>Premium</v>
      </c>
      <c r="G1615" s="3" cm="1">
        <f t="array" ref="G1615">_xlfn.XLOOKUP(C1615 &amp; F1615,
         [1]unilever_price_limits!A:A &amp; [1]unilever_price_limits!B:B,
         [1]unilever_price_limits!C:C)</f>
        <v>50</v>
      </c>
      <c r="H1615" s="8">
        <f t="shared" si="101"/>
        <v>5.3249999999999993</v>
      </c>
      <c r="I1615" s="6">
        <f t="shared" si="102"/>
        <v>49.999999999999979</v>
      </c>
      <c r="J1615" t="str">
        <f t="shared" si="103"/>
        <v>OK</v>
      </c>
    </row>
    <row r="1616" spans="1:10" x14ac:dyDescent="0.2">
      <c r="A1616">
        <v>11615</v>
      </c>
      <c r="B1616" t="s">
        <v>10</v>
      </c>
      <c r="C1616" t="s">
        <v>6</v>
      </c>
      <c r="D1616" s="8">
        <v>0.83</v>
      </c>
      <c r="E1616">
        <v>2</v>
      </c>
      <c r="F1616" t="str">
        <f t="shared" si="100"/>
        <v>Value</v>
      </c>
      <c r="G1616" s="3" cm="1">
        <f t="array" ref="G1616">_xlfn.XLOOKUP(C1616 &amp; F1616,
         [1]unilever_price_limits!A:A &amp; [1]unilever_price_limits!B:B,
         [1]unilever_price_limits!C:C)</f>
        <v>12</v>
      </c>
      <c r="H1616" s="8">
        <f t="shared" si="101"/>
        <v>0.92960000000000009</v>
      </c>
      <c r="I1616" s="6">
        <f t="shared" si="102"/>
        <v>12.000000000000011</v>
      </c>
      <c r="J1616" t="str">
        <f t="shared" si="103"/>
        <v>OK</v>
      </c>
    </row>
    <row r="1617" spans="1:10" x14ac:dyDescent="0.2">
      <c r="A1617">
        <v>11616</v>
      </c>
      <c r="B1617" t="s">
        <v>5</v>
      </c>
      <c r="C1617" t="s">
        <v>9</v>
      </c>
      <c r="D1617" s="8">
        <v>13.5</v>
      </c>
      <c r="E1617">
        <v>10</v>
      </c>
      <c r="F1617" t="str">
        <f t="shared" si="100"/>
        <v>Premium</v>
      </c>
      <c r="G1617" s="3" cm="1">
        <f t="array" ref="G1617">_xlfn.XLOOKUP(C1617 &amp; F1617,
         [1]unilever_price_limits!A:A &amp; [1]unilever_price_limits!B:B,
         [1]unilever_price_limits!C:C)</f>
        <v>60</v>
      </c>
      <c r="H1617" s="8">
        <f t="shared" si="101"/>
        <v>21.6</v>
      </c>
      <c r="I1617" s="6">
        <f t="shared" si="102"/>
        <v>60.000000000000007</v>
      </c>
      <c r="J1617" t="str">
        <f t="shared" si="103"/>
        <v>OK</v>
      </c>
    </row>
    <row r="1618" spans="1:10" x14ac:dyDescent="0.2">
      <c r="A1618">
        <v>11617</v>
      </c>
      <c r="B1618" t="s">
        <v>5</v>
      </c>
      <c r="C1618" t="s">
        <v>11</v>
      </c>
      <c r="D1618" s="8">
        <v>3.56</v>
      </c>
      <c r="E1618">
        <v>8</v>
      </c>
      <c r="F1618" t="str">
        <f t="shared" si="100"/>
        <v>Premium</v>
      </c>
      <c r="G1618" s="3" cm="1">
        <f t="array" ref="G1618">_xlfn.XLOOKUP(C1618 &amp; F1618,
         [1]unilever_price_limits!A:A &amp; [1]unilever_price_limits!B:B,
         [1]unilever_price_limits!C:C)</f>
        <v>50</v>
      </c>
      <c r="H1618" s="8">
        <f t="shared" si="101"/>
        <v>5.34</v>
      </c>
      <c r="I1618" s="6">
        <f t="shared" si="102"/>
        <v>50</v>
      </c>
      <c r="J1618" t="str">
        <f t="shared" si="103"/>
        <v>OK</v>
      </c>
    </row>
    <row r="1619" spans="1:10" x14ac:dyDescent="0.2">
      <c r="A1619">
        <v>11618</v>
      </c>
      <c r="B1619" t="s">
        <v>8</v>
      </c>
      <c r="C1619" t="s">
        <v>9</v>
      </c>
      <c r="D1619" s="8">
        <v>3.8</v>
      </c>
      <c r="E1619">
        <v>8</v>
      </c>
      <c r="F1619" t="str">
        <f t="shared" si="100"/>
        <v>Premium</v>
      </c>
      <c r="G1619" s="3" cm="1">
        <f t="array" ref="G1619">_xlfn.XLOOKUP(C1619 &amp; F1619,
         [1]unilever_price_limits!A:A &amp; [1]unilever_price_limits!B:B,
         [1]unilever_price_limits!C:C)</f>
        <v>60</v>
      </c>
      <c r="H1619" s="8">
        <f t="shared" si="101"/>
        <v>6.08</v>
      </c>
      <c r="I1619" s="6">
        <f t="shared" si="102"/>
        <v>60.000000000000007</v>
      </c>
      <c r="J1619" t="str">
        <f t="shared" si="103"/>
        <v>OK</v>
      </c>
    </row>
    <row r="1620" spans="1:10" x14ac:dyDescent="0.2">
      <c r="A1620">
        <v>11619</v>
      </c>
      <c r="B1620" t="s">
        <v>10</v>
      </c>
      <c r="C1620" t="s">
        <v>9</v>
      </c>
      <c r="D1620" s="8">
        <v>4.55</v>
      </c>
      <c r="E1620">
        <v>10</v>
      </c>
      <c r="F1620" t="str">
        <f t="shared" si="100"/>
        <v>Premium</v>
      </c>
      <c r="G1620" s="3" cm="1">
        <f t="array" ref="G1620">_xlfn.XLOOKUP(C1620 &amp; F1620,
         [1]unilever_price_limits!A:A &amp; [1]unilever_price_limits!B:B,
         [1]unilever_price_limits!C:C)</f>
        <v>60</v>
      </c>
      <c r="H1620" s="8">
        <f t="shared" si="101"/>
        <v>7.28</v>
      </c>
      <c r="I1620" s="6">
        <f t="shared" si="102"/>
        <v>60.000000000000007</v>
      </c>
      <c r="J1620" t="str">
        <f t="shared" si="103"/>
        <v>OK</v>
      </c>
    </row>
    <row r="1621" spans="1:10" x14ac:dyDescent="0.2">
      <c r="A1621">
        <v>11620</v>
      </c>
      <c r="B1621" t="s">
        <v>8</v>
      </c>
      <c r="C1621" t="s">
        <v>6</v>
      </c>
      <c r="D1621" s="8">
        <v>2.35</v>
      </c>
      <c r="E1621">
        <v>4</v>
      </c>
      <c r="F1621" t="str">
        <f t="shared" si="100"/>
        <v>Standard</v>
      </c>
      <c r="G1621" s="3" cm="1">
        <f t="array" ref="G1621">_xlfn.XLOOKUP(C1621 &amp; F1621,
         [1]unilever_price_limits!A:A &amp; [1]unilever_price_limits!B:B,
         [1]unilever_price_limits!C:C)</f>
        <v>28</v>
      </c>
      <c r="H1621" s="8">
        <f t="shared" si="101"/>
        <v>3.008</v>
      </c>
      <c r="I1621" s="6">
        <f t="shared" si="102"/>
        <v>28.000000000000004</v>
      </c>
      <c r="J1621" t="str">
        <f t="shared" si="103"/>
        <v>OK</v>
      </c>
    </row>
    <row r="1622" spans="1:10" x14ac:dyDescent="0.2">
      <c r="A1622">
        <v>11621</v>
      </c>
      <c r="B1622" t="s">
        <v>8</v>
      </c>
      <c r="C1622" t="s">
        <v>11</v>
      </c>
      <c r="D1622" s="8">
        <v>9.77</v>
      </c>
      <c r="E1622">
        <v>6</v>
      </c>
      <c r="F1622" t="str">
        <f t="shared" si="100"/>
        <v>Standard</v>
      </c>
      <c r="G1622" s="3" cm="1">
        <f t="array" ref="G1622">_xlfn.XLOOKUP(C1622 &amp; F1622,
         [1]unilever_price_limits!A:A &amp; [1]unilever_price_limits!B:B,
         [1]unilever_price_limits!C:C)</f>
        <v>25</v>
      </c>
      <c r="H1622" s="8">
        <f t="shared" si="101"/>
        <v>12.212499999999999</v>
      </c>
      <c r="I1622" s="6">
        <f t="shared" si="102"/>
        <v>25</v>
      </c>
      <c r="J1622" t="str">
        <f t="shared" si="103"/>
        <v>OK</v>
      </c>
    </row>
    <row r="1623" spans="1:10" x14ac:dyDescent="0.2">
      <c r="A1623">
        <v>11622</v>
      </c>
      <c r="B1623" t="s">
        <v>10</v>
      </c>
      <c r="C1623" t="s">
        <v>6</v>
      </c>
      <c r="D1623" s="8">
        <v>1.59</v>
      </c>
      <c r="E1623">
        <v>6</v>
      </c>
      <c r="F1623" t="str">
        <f t="shared" si="100"/>
        <v>Standard</v>
      </c>
      <c r="G1623" s="3" cm="1">
        <f t="array" ref="G1623">_xlfn.XLOOKUP(C1623 &amp; F1623,
         [1]unilever_price_limits!A:A &amp; [1]unilever_price_limits!B:B,
         [1]unilever_price_limits!C:C)</f>
        <v>28</v>
      </c>
      <c r="H1623" s="8">
        <f t="shared" si="101"/>
        <v>2.0352000000000001</v>
      </c>
      <c r="I1623" s="6">
        <f t="shared" si="102"/>
        <v>28.000000000000004</v>
      </c>
      <c r="J1623" t="str">
        <f t="shared" si="103"/>
        <v>OK</v>
      </c>
    </row>
    <row r="1624" spans="1:10" x14ac:dyDescent="0.2">
      <c r="A1624">
        <v>11623</v>
      </c>
      <c r="B1624" t="s">
        <v>10</v>
      </c>
      <c r="C1624" t="s">
        <v>6</v>
      </c>
      <c r="D1624" s="8">
        <v>2.4500000000000002</v>
      </c>
      <c r="E1624">
        <v>5</v>
      </c>
      <c r="F1624" t="str">
        <f t="shared" si="100"/>
        <v>Standard</v>
      </c>
      <c r="G1624" s="3" cm="1">
        <f t="array" ref="G1624">_xlfn.XLOOKUP(C1624 &amp; F1624,
         [1]unilever_price_limits!A:A &amp; [1]unilever_price_limits!B:B,
         [1]unilever_price_limits!C:C)</f>
        <v>28</v>
      </c>
      <c r="H1624" s="8">
        <f t="shared" si="101"/>
        <v>3.1360000000000001</v>
      </c>
      <c r="I1624" s="6">
        <f t="shared" si="102"/>
        <v>28.000000000000004</v>
      </c>
      <c r="J1624" t="str">
        <f t="shared" si="103"/>
        <v>OK</v>
      </c>
    </row>
    <row r="1625" spans="1:10" x14ac:dyDescent="0.2">
      <c r="A1625">
        <v>11624</v>
      </c>
      <c r="B1625" t="s">
        <v>7</v>
      </c>
      <c r="C1625" t="s">
        <v>9</v>
      </c>
      <c r="D1625" s="8">
        <v>9.85</v>
      </c>
      <c r="E1625">
        <v>1</v>
      </c>
      <c r="F1625" t="str">
        <f t="shared" si="100"/>
        <v>Value</v>
      </c>
      <c r="G1625" s="3" cm="1">
        <f t="array" ref="G1625">_xlfn.XLOOKUP(C1625 &amp; F1625,
         [1]unilever_price_limits!A:A &amp; [1]unilever_price_limits!B:B,
         [1]unilever_price_limits!C:C)</f>
        <v>15</v>
      </c>
      <c r="H1625" s="8">
        <f t="shared" si="101"/>
        <v>11.327499999999999</v>
      </c>
      <c r="I1625" s="6">
        <f t="shared" si="102"/>
        <v>14.999999999999991</v>
      </c>
      <c r="J1625" t="str">
        <f t="shared" si="103"/>
        <v>OK</v>
      </c>
    </row>
    <row r="1626" spans="1:10" x14ac:dyDescent="0.2">
      <c r="A1626">
        <v>11625</v>
      </c>
      <c r="B1626" t="s">
        <v>10</v>
      </c>
      <c r="C1626" t="s">
        <v>6</v>
      </c>
      <c r="D1626" s="8">
        <v>5.43</v>
      </c>
      <c r="E1626">
        <v>3</v>
      </c>
      <c r="F1626" t="str">
        <f t="shared" si="100"/>
        <v>Value</v>
      </c>
      <c r="G1626" s="3" cm="1">
        <f t="array" ref="G1626">_xlfn.XLOOKUP(C1626 &amp; F1626,
         [1]unilever_price_limits!A:A &amp; [1]unilever_price_limits!B:B,
         [1]unilever_price_limits!C:C)</f>
        <v>12</v>
      </c>
      <c r="H1626" s="8">
        <f t="shared" si="101"/>
        <v>6.0815999999999999</v>
      </c>
      <c r="I1626" s="6">
        <f t="shared" si="102"/>
        <v>12.000000000000011</v>
      </c>
      <c r="J1626" t="str">
        <f t="shared" si="103"/>
        <v>OK</v>
      </c>
    </row>
    <row r="1627" spans="1:10" x14ac:dyDescent="0.2">
      <c r="A1627">
        <v>11626</v>
      </c>
      <c r="B1627" t="s">
        <v>5</v>
      </c>
      <c r="C1627" t="s">
        <v>11</v>
      </c>
      <c r="D1627" s="8">
        <v>10.77</v>
      </c>
      <c r="E1627">
        <v>7</v>
      </c>
      <c r="F1627" t="str">
        <f t="shared" si="100"/>
        <v>Standard</v>
      </c>
      <c r="G1627" s="3" cm="1">
        <f t="array" ref="G1627">_xlfn.XLOOKUP(C1627 &amp; F1627,
         [1]unilever_price_limits!A:A &amp; [1]unilever_price_limits!B:B,
         [1]unilever_price_limits!C:C)</f>
        <v>25</v>
      </c>
      <c r="H1627" s="8">
        <f t="shared" si="101"/>
        <v>13.462499999999999</v>
      </c>
      <c r="I1627" s="6">
        <f t="shared" si="102"/>
        <v>25</v>
      </c>
      <c r="J1627" t="str">
        <f t="shared" si="103"/>
        <v>OK</v>
      </c>
    </row>
    <row r="1628" spans="1:10" x14ac:dyDescent="0.2">
      <c r="A1628">
        <v>11627</v>
      </c>
      <c r="B1628" t="s">
        <v>8</v>
      </c>
      <c r="C1628" t="s">
        <v>6</v>
      </c>
      <c r="D1628" s="8">
        <v>8.58</v>
      </c>
      <c r="E1628">
        <v>8</v>
      </c>
      <c r="F1628" t="str">
        <f t="shared" si="100"/>
        <v>Premium</v>
      </c>
      <c r="G1628" s="3" cm="1">
        <f t="array" ref="G1628">_xlfn.XLOOKUP(C1628 &amp; F1628,
         [1]unilever_price_limits!A:A &amp; [1]unilever_price_limits!B:B,
         [1]unilever_price_limits!C:C)</f>
        <v>55</v>
      </c>
      <c r="H1628" s="8">
        <f t="shared" si="101"/>
        <v>13.299000000000001</v>
      </c>
      <c r="I1628" s="6">
        <f t="shared" si="102"/>
        <v>55.000000000000007</v>
      </c>
      <c r="J1628" t="str">
        <f t="shared" si="103"/>
        <v>OK</v>
      </c>
    </row>
    <row r="1629" spans="1:10" x14ac:dyDescent="0.2">
      <c r="A1629">
        <v>11628</v>
      </c>
      <c r="B1629" t="s">
        <v>8</v>
      </c>
      <c r="C1629" t="s">
        <v>6</v>
      </c>
      <c r="D1629" s="8">
        <v>4.21</v>
      </c>
      <c r="E1629">
        <v>2</v>
      </c>
      <c r="F1629" t="str">
        <f t="shared" si="100"/>
        <v>Value</v>
      </c>
      <c r="G1629" s="3" cm="1">
        <f t="array" ref="G1629">_xlfn.XLOOKUP(C1629 &amp; F1629,
         [1]unilever_price_limits!A:A &amp; [1]unilever_price_limits!B:B,
         [1]unilever_price_limits!C:C)</f>
        <v>12</v>
      </c>
      <c r="H1629" s="8">
        <f t="shared" si="101"/>
        <v>4.7152000000000003</v>
      </c>
      <c r="I1629" s="6">
        <f t="shared" si="102"/>
        <v>12.000000000000011</v>
      </c>
      <c r="J1629" t="str">
        <f t="shared" si="103"/>
        <v>OK</v>
      </c>
    </row>
    <row r="1630" spans="1:10" x14ac:dyDescent="0.2">
      <c r="A1630">
        <v>11629</v>
      </c>
      <c r="B1630" t="s">
        <v>5</v>
      </c>
      <c r="C1630" t="s">
        <v>6</v>
      </c>
      <c r="D1630" s="8">
        <v>9.94</v>
      </c>
      <c r="E1630">
        <v>3</v>
      </c>
      <c r="F1630" t="str">
        <f t="shared" si="100"/>
        <v>Value</v>
      </c>
      <c r="G1630" s="3" cm="1">
        <f t="array" ref="G1630">_xlfn.XLOOKUP(C1630 &amp; F1630,
         [1]unilever_price_limits!A:A &amp; [1]unilever_price_limits!B:B,
         [1]unilever_price_limits!C:C)</f>
        <v>12</v>
      </c>
      <c r="H1630" s="8">
        <f t="shared" si="101"/>
        <v>11.132800000000001</v>
      </c>
      <c r="I1630" s="6">
        <f t="shared" si="102"/>
        <v>12.000000000000011</v>
      </c>
      <c r="J1630" t="str">
        <f t="shared" si="103"/>
        <v>OK</v>
      </c>
    </row>
    <row r="1631" spans="1:10" x14ac:dyDescent="0.2">
      <c r="A1631">
        <v>11630</v>
      </c>
      <c r="B1631" t="s">
        <v>10</v>
      </c>
      <c r="C1631" t="s">
        <v>9</v>
      </c>
      <c r="D1631" s="8">
        <v>2.19</v>
      </c>
      <c r="E1631">
        <v>4</v>
      </c>
      <c r="F1631" t="str">
        <f t="shared" si="100"/>
        <v>Standard</v>
      </c>
      <c r="G1631" s="3" cm="1">
        <f t="array" ref="G1631">_xlfn.XLOOKUP(C1631 &amp; F1631,
         [1]unilever_price_limits!A:A &amp; [1]unilever_price_limits!B:B,
         [1]unilever_price_limits!C:C)</f>
        <v>30</v>
      </c>
      <c r="H1631" s="8">
        <f t="shared" si="101"/>
        <v>2.847</v>
      </c>
      <c r="I1631" s="6">
        <f t="shared" si="102"/>
        <v>30.000000000000004</v>
      </c>
      <c r="J1631" t="str">
        <f t="shared" si="103"/>
        <v>OK</v>
      </c>
    </row>
    <row r="1632" spans="1:10" x14ac:dyDescent="0.2">
      <c r="A1632">
        <v>11631</v>
      </c>
      <c r="B1632" t="s">
        <v>5</v>
      </c>
      <c r="C1632" t="s">
        <v>11</v>
      </c>
      <c r="D1632" s="8">
        <v>8.2799999999999994</v>
      </c>
      <c r="E1632">
        <v>5</v>
      </c>
      <c r="F1632" t="str">
        <f t="shared" si="100"/>
        <v>Standard</v>
      </c>
      <c r="G1632" s="3" cm="1">
        <f t="array" ref="G1632">_xlfn.XLOOKUP(C1632 &amp; F1632,
         [1]unilever_price_limits!A:A &amp; [1]unilever_price_limits!B:B,
         [1]unilever_price_limits!C:C)</f>
        <v>25</v>
      </c>
      <c r="H1632" s="8">
        <f t="shared" si="101"/>
        <v>10.35</v>
      </c>
      <c r="I1632" s="6">
        <f t="shared" si="102"/>
        <v>25</v>
      </c>
      <c r="J1632" t="str">
        <f t="shared" si="103"/>
        <v>OK</v>
      </c>
    </row>
    <row r="1633" spans="1:10" x14ac:dyDescent="0.2">
      <c r="A1633">
        <v>11632</v>
      </c>
      <c r="B1633" t="s">
        <v>5</v>
      </c>
      <c r="C1633" t="s">
        <v>9</v>
      </c>
      <c r="D1633" s="8">
        <v>6.84</v>
      </c>
      <c r="E1633">
        <v>3</v>
      </c>
      <c r="F1633" t="str">
        <f t="shared" si="100"/>
        <v>Value</v>
      </c>
      <c r="G1633" s="3" cm="1">
        <f t="array" ref="G1633">_xlfn.XLOOKUP(C1633 &amp; F1633,
         [1]unilever_price_limits!A:A &amp; [1]unilever_price_limits!B:B,
         [1]unilever_price_limits!C:C)</f>
        <v>15</v>
      </c>
      <c r="H1633" s="8">
        <f t="shared" si="101"/>
        <v>7.8659999999999997</v>
      </c>
      <c r="I1633" s="6">
        <f t="shared" si="102"/>
        <v>14.999999999999991</v>
      </c>
      <c r="J1633" t="str">
        <f t="shared" si="103"/>
        <v>OK</v>
      </c>
    </row>
    <row r="1634" spans="1:10" x14ac:dyDescent="0.2">
      <c r="A1634">
        <v>11633</v>
      </c>
      <c r="B1634" t="s">
        <v>7</v>
      </c>
      <c r="C1634" t="s">
        <v>9</v>
      </c>
      <c r="D1634" s="8">
        <v>4.38</v>
      </c>
      <c r="E1634">
        <v>5</v>
      </c>
      <c r="F1634" t="str">
        <f t="shared" si="100"/>
        <v>Standard</v>
      </c>
      <c r="G1634" s="3" cm="1">
        <f t="array" ref="G1634">_xlfn.XLOOKUP(C1634 &amp; F1634,
         [1]unilever_price_limits!A:A &amp; [1]unilever_price_limits!B:B,
         [1]unilever_price_limits!C:C)</f>
        <v>30</v>
      </c>
      <c r="H1634" s="8">
        <f t="shared" si="101"/>
        <v>5.694</v>
      </c>
      <c r="I1634" s="6">
        <f t="shared" si="102"/>
        <v>30.000000000000004</v>
      </c>
      <c r="J1634" t="str">
        <f t="shared" si="103"/>
        <v>OK</v>
      </c>
    </row>
    <row r="1635" spans="1:10" x14ac:dyDescent="0.2">
      <c r="A1635">
        <v>11634</v>
      </c>
      <c r="B1635" t="s">
        <v>5</v>
      </c>
      <c r="C1635" t="s">
        <v>9</v>
      </c>
      <c r="D1635" s="8">
        <v>9.26</v>
      </c>
      <c r="E1635">
        <v>8</v>
      </c>
      <c r="F1635" t="str">
        <f t="shared" si="100"/>
        <v>Premium</v>
      </c>
      <c r="G1635" s="3" cm="1">
        <f t="array" ref="G1635">_xlfn.XLOOKUP(C1635 &amp; F1635,
         [1]unilever_price_limits!A:A &amp; [1]unilever_price_limits!B:B,
         [1]unilever_price_limits!C:C)</f>
        <v>60</v>
      </c>
      <c r="H1635" s="8">
        <f t="shared" si="101"/>
        <v>14.816000000000001</v>
      </c>
      <c r="I1635" s="6">
        <f t="shared" si="102"/>
        <v>60.000000000000007</v>
      </c>
      <c r="J1635" t="str">
        <f t="shared" si="103"/>
        <v>OK</v>
      </c>
    </row>
    <row r="1636" spans="1:10" x14ac:dyDescent="0.2">
      <c r="A1636">
        <v>11635</v>
      </c>
      <c r="B1636" t="s">
        <v>8</v>
      </c>
      <c r="C1636" t="s">
        <v>9</v>
      </c>
      <c r="D1636" s="8">
        <v>13.13</v>
      </c>
      <c r="E1636">
        <v>8</v>
      </c>
      <c r="F1636" t="str">
        <f t="shared" si="100"/>
        <v>Premium</v>
      </c>
      <c r="G1636" s="3" cm="1">
        <f t="array" ref="G1636">_xlfn.XLOOKUP(C1636 &amp; F1636,
         [1]unilever_price_limits!A:A &amp; [1]unilever_price_limits!B:B,
         [1]unilever_price_limits!C:C)</f>
        <v>60</v>
      </c>
      <c r="H1636" s="8">
        <f t="shared" si="101"/>
        <v>21.008000000000003</v>
      </c>
      <c r="I1636" s="6">
        <f t="shared" si="102"/>
        <v>60.000000000000007</v>
      </c>
      <c r="J1636" t="str">
        <f t="shared" si="103"/>
        <v>OK</v>
      </c>
    </row>
    <row r="1637" spans="1:10" x14ac:dyDescent="0.2">
      <c r="A1637">
        <v>11636</v>
      </c>
      <c r="B1637" t="s">
        <v>5</v>
      </c>
      <c r="C1637" t="s">
        <v>9</v>
      </c>
      <c r="D1637" s="8">
        <v>14.98</v>
      </c>
      <c r="E1637">
        <v>2</v>
      </c>
      <c r="F1637" t="str">
        <f t="shared" si="100"/>
        <v>Value</v>
      </c>
      <c r="G1637" s="3" cm="1">
        <f t="array" ref="G1637">_xlfn.XLOOKUP(C1637 &amp; F1637,
         [1]unilever_price_limits!A:A &amp; [1]unilever_price_limits!B:B,
         [1]unilever_price_limits!C:C)</f>
        <v>15</v>
      </c>
      <c r="H1637" s="8">
        <f t="shared" si="101"/>
        <v>17.227</v>
      </c>
      <c r="I1637" s="6">
        <f t="shared" si="102"/>
        <v>14.999999999999991</v>
      </c>
      <c r="J1637" t="str">
        <f t="shared" si="103"/>
        <v>OK</v>
      </c>
    </row>
    <row r="1638" spans="1:10" x14ac:dyDescent="0.2">
      <c r="A1638">
        <v>11637</v>
      </c>
      <c r="B1638" t="s">
        <v>8</v>
      </c>
      <c r="C1638" t="s">
        <v>11</v>
      </c>
      <c r="D1638" s="8">
        <v>9.31</v>
      </c>
      <c r="E1638">
        <v>6</v>
      </c>
      <c r="F1638" t="str">
        <f t="shared" si="100"/>
        <v>Standard</v>
      </c>
      <c r="G1638" s="3" cm="1">
        <f t="array" ref="G1638">_xlfn.XLOOKUP(C1638 &amp; F1638,
         [1]unilever_price_limits!A:A &amp; [1]unilever_price_limits!B:B,
         [1]unilever_price_limits!C:C)</f>
        <v>25</v>
      </c>
      <c r="H1638" s="8">
        <f t="shared" si="101"/>
        <v>11.637500000000001</v>
      </c>
      <c r="I1638" s="6">
        <f t="shared" si="102"/>
        <v>25</v>
      </c>
      <c r="J1638" t="str">
        <f t="shared" si="103"/>
        <v>OK</v>
      </c>
    </row>
    <row r="1639" spans="1:10" x14ac:dyDescent="0.2">
      <c r="A1639">
        <v>11638</v>
      </c>
      <c r="B1639" t="s">
        <v>8</v>
      </c>
      <c r="C1639" t="s">
        <v>6</v>
      </c>
      <c r="D1639" s="8">
        <v>6.37</v>
      </c>
      <c r="E1639">
        <v>4</v>
      </c>
      <c r="F1639" t="str">
        <f t="shared" si="100"/>
        <v>Standard</v>
      </c>
      <c r="G1639" s="3" cm="1">
        <f t="array" ref="G1639">_xlfn.XLOOKUP(C1639 &amp; F1639,
         [1]unilever_price_limits!A:A &amp; [1]unilever_price_limits!B:B,
         [1]unilever_price_limits!C:C)</f>
        <v>28</v>
      </c>
      <c r="H1639" s="8">
        <f t="shared" si="101"/>
        <v>8.1536000000000008</v>
      </c>
      <c r="I1639" s="6">
        <f t="shared" si="102"/>
        <v>28.000000000000004</v>
      </c>
      <c r="J1639" t="str">
        <f t="shared" si="103"/>
        <v>OK</v>
      </c>
    </row>
    <row r="1640" spans="1:10" x14ac:dyDescent="0.2">
      <c r="A1640">
        <v>11639</v>
      </c>
      <c r="B1640" t="s">
        <v>8</v>
      </c>
      <c r="C1640" t="s">
        <v>9</v>
      </c>
      <c r="D1640" s="8">
        <v>3.77</v>
      </c>
      <c r="E1640">
        <v>9</v>
      </c>
      <c r="F1640" t="str">
        <f t="shared" si="100"/>
        <v>Premium</v>
      </c>
      <c r="G1640" s="3" cm="1">
        <f t="array" ref="G1640">_xlfn.XLOOKUP(C1640 &amp; F1640,
         [1]unilever_price_limits!A:A &amp; [1]unilever_price_limits!B:B,
         [1]unilever_price_limits!C:C)</f>
        <v>60</v>
      </c>
      <c r="H1640" s="8">
        <f t="shared" si="101"/>
        <v>6.032</v>
      </c>
      <c r="I1640" s="6">
        <f t="shared" si="102"/>
        <v>60.000000000000007</v>
      </c>
      <c r="J1640" t="str">
        <f t="shared" si="103"/>
        <v>OK</v>
      </c>
    </row>
    <row r="1641" spans="1:10" x14ac:dyDescent="0.2">
      <c r="A1641">
        <v>11640</v>
      </c>
      <c r="B1641" t="s">
        <v>10</v>
      </c>
      <c r="C1641" t="s">
        <v>9</v>
      </c>
      <c r="D1641" s="8">
        <v>4.2300000000000004</v>
      </c>
      <c r="E1641">
        <v>10</v>
      </c>
      <c r="F1641" t="str">
        <f t="shared" si="100"/>
        <v>Premium</v>
      </c>
      <c r="G1641" s="3" cm="1">
        <f t="array" ref="G1641">_xlfn.XLOOKUP(C1641 &amp; F1641,
         [1]unilever_price_limits!A:A &amp; [1]unilever_price_limits!B:B,
         [1]unilever_price_limits!C:C)</f>
        <v>60</v>
      </c>
      <c r="H1641" s="8">
        <f t="shared" si="101"/>
        <v>6.7680000000000007</v>
      </c>
      <c r="I1641" s="6">
        <f t="shared" si="102"/>
        <v>60.000000000000007</v>
      </c>
      <c r="J1641" t="str">
        <f t="shared" si="103"/>
        <v>OK</v>
      </c>
    </row>
    <row r="1642" spans="1:10" x14ac:dyDescent="0.2">
      <c r="A1642">
        <v>11641</v>
      </c>
      <c r="B1642" t="s">
        <v>7</v>
      </c>
      <c r="C1642" t="s">
        <v>11</v>
      </c>
      <c r="D1642" s="8">
        <v>7.45</v>
      </c>
      <c r="E1642">
        <v>2</v>
      </c>
      <c r="F1642" t="str">
        <f t="shared" si="100"/>
        <v>Value</v>
      </c>
      <c r="G1642" s="3" cm="1">
        <f t="array" ref="G1642">_xlfn.XLOOKUP(C1642 &amp; F1642,
         [1]unilever_price_limits!A:A &amp; [1]unilever_price_limits!B:B,
         [1]unilever_price_limits!C:C)</f>
        <v>10</v>
      </c>
      <c r="H1642" s="8">
        <f t="shared" si="101"/>
        <v>8.1950000000000003</v>
      </c>
      <c r="I1642" s="6">
        <f t="shared" si="102"/>
        <v>10.000000000000009</v>
      </c>
      <c r="J1642" t="str">
        <f t="shared" si="103"/>
        <v>OK</v>
      </c>
    </row>
    <row r="1643" spans="1:10" x14ac:dyDescent="0.2">
      <c r="A1643">
        <v>11642</v>
      </c>
      <c r="B1643" t="s">
        <v>8</v>
      </c>
      <c r="C1643" t="s">
        <v>11</v>
      </c>
      <c r="D1643" s="8">
        <v>5.83</v>
      </c>
      <c r="E1643">
        <v>8</v>
      </c>
      <c r="F1643" t="str">
        <f t="shared" si="100"/>
        <v>Premium</v>
      </c>
      <c r="G1643" s="3" cm="1">
        <f t="array" ref="G1643">_xlfn.XLOOKUP(C1643 &amp; F1643,
         [1]unilever_price_limits!A:A &amp; [1]unilever_price_limits!B:B,
         [1]unilever_price_limits!C:C)</f>
        <v>50</v>
      </c>
      <c r="H1643" s="8">
        <f t="shared" si="101"/>
        <v>8.745000000000001</v>
      </c>
      <c r="I1643" s="6">
        <f t="shared" si="102"/>
        <v>50.000000000000021</v>
      </c>
      <c r="J1643" t="str">
        <f t="shared" si="103"/>
        <v>OK</v>
      </c>
    </row>
    <row r="1644" spans="1:10" x14ac:dyDescent="0.2">
      <c r="A1644">
        <v>11643</v>
      </c>
      <c r="B1644" t="s">
        <v>8</v>
      </c>
      <c r="C1644" t="s">
        <v>6</v>
      </c>
      <c r="D1644" s="8">
        <v>13.75</v>
      </c>
      <c r="E1644">
        <v>1</v>
      </c>
      <c r="F1644" t="str">
        <f t="shared" si="100"/>
        <v>Value</v>
      </c>
      <c r="G1644" s="3" cm="1">
        <f t="array" ref="G1644">_xlfn.XLOOKUP(C1644 &amp; F1644,
         [1]unilever_price_limits!A:A &amp; [1]unilever_price_limits!B:B,
         [1]unilever_price_limits!C:C)</f>
        <v>12</v>
      </c>
      <c r="H1644" s="8">
        <f t="shared" si="101"/>
        <v>15.400000000000002</v>
      </c>
      <c r="I1644" s="6">
        <f t="shared" si="102"/>
        <v>12.000000000000011</v>
      </c>
      <c r="J1644" t="str">
        <f t="shared" si="103"/>
        <v>OK</v>
      </c>
    </row>
    <row r="1645" spans="1:10" x14ac:dyDescent="0.2">
      <c r="A1645">
        <v>11644</v>
      </c>
      <c r="B1645" t="s">
        <v>10</v>
      </c>
      <c r="C1645" t="s">
        <v>11</v>
      </c>
      <c r="D1645" s="8">
        <v>5.84</v>
      </c>
      <c r="E1645">
        <v>6</v>
      </c>
      <c r="F1645" t="str">
        <f t="shared" si="100"/>
        <v>Standard</v>
      </c>
      <c r="G1645" s="3" cm="1">
        <f t="array" ref="G1645">_xlfn.XLOOKUP(C1645 &amp; F1645,
         [1]unilever_price_limits!A:A &amp; [1]unilever_price_limits!B:B,
         [1]unilever_price_limits!C:C)</f>
        <v>25</v>
      </c>
      <c r="H1645" s="8">
        <f t="shared" si="101"/>
        <v>7.3</v>
      </c>
      <c r="I1645" s="6">
        <f t="shared" si="102"/>
        <v>25</v>
      </c>
      <c r="J1645" t="str">
        <f t="shared" si="103"/>
        <v>OK</v>
      </c>
    </row>
    <row r="1646" spans="1:10" x14ac:dyDescent="0.2">
      <c r="A1646">
        <v>11645</v>
      </c>
      <c r="B1646" t="s">
        <v>8</v>
      </c>
      <c r="C1646" t="s">
        <v>6</v>
      </c>
      <c r="D1646" s="8">
        <v>5.91</v>
      </c>
      <c r="E1646">
        <v>10</v>
      </c>
      <c r="F1646" t="str">
        <f t="shared" si="100"/>
        <v>Premium</v>
      </c>
      <c r="G1646" s="3" cm="1">
        <f t="array" ref="G1646">_xlfn.XLOOKUP(C1646 &amp; F1646,
         [1]unilever_price_limits!A:A &amp; [1]unilever_price_limits!B:B,
         [1]unilever_price_limits!C:C)</f>
        <v>55</v>
      </c>
      <c r="H1646" s="8">
        <f t="shared" si="101"/>
        <v>9.1605000000000008</v>
      </c>
      <c r="I1646" s="6">
        <f t="shared" si="102"/>
        <v>55.000000000000007</v>
      </c>
      <c r="J1646" t="str">
        <f t="shared" si="103"/>
        <v>OK</v>
      </c>
    </row>
    <row r="1647" spans="1:10" x14ac:dyDescent="0.2">
      <c r="A1647">
        <v>11646</v>
      </c>
      <c r="B1647" t="s">
        <v>5</v>
      </c>
      <c r="C1647" t="s">
        <v>9</v>
      </c>
      <c r="D1647" s="8">
        <v>6.06</v>
      </c>
      <c r="E1647">
        <v>1</v>
      </c>
      <c r="F1647" t="str">
        <f t="shared" si="100"/>
        <v>Value</v>
      </c>
      <c r="G1647" s="3" cm="1">
        <f t="array" ref="G1647">_xlfn.XLOOKUP(C1647 &amp; F1647,
         [1]unilever_price_limits!A:A &amp; [1]unilever_price_limits!B:B,
         [1]unilever_price_limits!C:C)</f>
        <v>15</v>
      </c>
      <c r="H1647" s="8">
        <f t="shared" si="101"/>
        <v>6.9689999999999994</v>
      </c>
      <c r="I1647" s="6">
        <f t="shared" si="102"/>
        <v>14.999999999999991</v>
      </c>
      <c r="J1647" t="str">
        <f t="shared" si="103"/>
        <v>OK</v>
      </c>
    </row>
    <row r="1648" spans="1:10" x14ac:dyDescent="0.2">
      <c r="A1648">
        <v>11647</v>
      </c>
      <c r="B1648" t="s">
        <v>5</v>
      </c>
      <c r="C1648" t="s">
        <v>9</v>
      </c>
      <c r="D1648" s="8">
        <v>12.63</v>
      </c>
      <c r="E1648">
        <v>2</v>
      </c>
      <c r="F1648" t="str">
        <f t="shared" si="100"/>
        <v>Value</v>
      </c>
      <c r="G1648" s="3" cm="1">
        <f t="array" ref="G1648">_xlfn.XLOOKUP(C1648 &amp; F1648,
         [1]unilever_price_limits!A:A &amp; [1]unilever_price_limits!B:B,
         [1]unilever_price_limits!C:C)</f>
        <v>15</v>
      </c>
      <c r="H1648" s="8">
        <f t="shared" si="101"/>
        <v>14.5245</v>
      </c>
      <c r="I1648" s="6">
        <f t="shared" si="102"/>
        <v>14.999999999999991</v>
      </c>
      <c r="J1648" t="str">
        <f t="shared" si="103"/>
        <v>OK</v>
      </c>
    </row>
    <row r="1649" spans="1:10" x14ac:dyDescent="0.2">
      <c r="A1649">
        <v>11648</v>
      </c>
      <c r="B1649" t="s">
        <v>7</v>
      </c>
      <c r="C1649" t="s">
        <v>6</v>
      </c>
      <c r="D1649" s="8">
        <v>9.94</v>
      </c>
      <c r="E1649">
        <v>3</v>
      </c>
      <c r="F1649" t="str">
        <f t="shared" si="100"/>
        <v>Value</v>
      </c>
      <c r="G1649" s="3" cm="1">
        <f t="array" ref="G1649">_xlfn.XLOOKUP(C1649 &amp; F1649,
         [1]unilever_price_limits!A:A &amp; [1]unilever_price_limits!B:B,
         [1]unilever_price_limits!C:C)</f>
        <v>12</v>
      </c>
      <c r="H1649" s="8">
        <f t="shared" si="101"/>
        <v>11.132800000000001</v>
      </c>
      <c r="I1649" s="6">
        <f t="shared" si="102"/>
        <v>12.000000000000011</v>
      </c>
      <c r="J1649" t="str">
        <f t="shared" si="103"/>
        <v>OK</v>
      </c>
    </row>
    <row r="1650" spans="1:10" x14ac:dyDescent="0.2">
      <c r="A1650">
        <v>11649</v>
      </c>
      <c r="B1650" t="s">
        <v>8</v>
      </c>
      <c r="C1650" t="s">
        <v>11</v>
      </c>
      <c r="D1650" s="8">
        <v>9.41</v>
      </c>
      <c r="E1650">
        <v>9</v>
      </c>
      <c r="F1650" t="str">
        <f t="shared" si="100"/>
        <v>Premium</v>
      </c>
      <c r="G1650" s="3" cm="1">
        <f t="array" ref="G1650">_xlfn.XLOOKUP(C1650 &amp; F1650,
         [1]unilever_price_limits!A:A &amp; [1]unilever_price_limits!B:B,
         [1]unilever_price_limits!C:C)</f>
        <v>50</v>
      </c>
      <c r="H1650" s="8">
        <f t="shared" si="101"/>
        <v>14.115</v>
      </c>
      <c r="I1650" s="6">
        <f t="shared" si="102"/>
        <v>50</v>
      </c>
      <c r="J1650" t="str">
        <f t="shared" si="103"/>
        <v>OK</v>
      </c>
    </row>
    <row r="1651" spans="1:10" x14ac:dyDescent="0.2">
      <c r="A1651">
        <v>11650</v>
      </c>
      <c r="B1651" t="s">
        <v>10</v>
      </c>
      <c r="C1651" t="s">
        <v>6</v>
      </c>
      <c r="D1651" s="8">
        <v>5.35</v>
      </c>
      <c r="E1651">
        <v>5</v>
      </c>
      <c r="F1651" t="str">
        <f t="shared" si="100"/>
        <v>Standard</v>
      </c>
      <c r="G1651" s="3" cm="1">
        <f t="array" ref="G1651">_xlfn.XLOOKUP(C1651 &amp; F1651,
         [1]unilever_price_limits!A:A &amp; [1]unilever_price_limits!B:B,
         [1]unilever_price_limits!C:C)</f>
        <v>28</v>
      </c>
      <c r="H1651" s="8">
        <f t="shared" si="101"/>
        <v>6.8479999999999999</v>
      </c>
      <c r="I1651" s="6">
        <f t="shared" si="102"/>
        <v>28.000000000000004</v>
      </c>
      <c r="J1651" t="str">
        <f t="shared" si="103"/>
        <v>OK</v>
      </c>
    </row>
    <row r="1652" spans="1:10" x14ac:dyDescent="0.2">
      <c r="A1652">
        <v>11651</v>
      </c>
      <c r="B1652" t="s">
        <v>5</v>
      </c>
      <c r="C1652" t="s">
        <v>11</v>
      </c>
      <c r="D1652" s="8">
        <v>12.36</v>
      </c>
      <c r="E1652">
        <v>10</v>
      </c>
      <c r="F1652" t="str">
        <f t="shared" si="100"/>
        <v>Premium</v>
      </c>
      <c r="G1652" s="3" cm="1">
        <f t="array" ref="G1652">_xlfn.XLOOKUP(C1652 &amp; F1652,
         [1]unilever_price_limits!A:A &amp; [1]unilever_price_limits!B:B,
         [1]unilever_price_limits!C:C)</f>
        <v>50</v>
      </c>
      <c r="H1652" s="8">
        <f t="shared" si="101"/>
        <v>18.54</v>
      </c>
      <c r="I1652" s="6">
        <f t="shared" si="102"/>
        <v>50</v>
      </c>
      <c r="J1652" t="str">
        <f t="shared" si="103"/>
        <v>OK</v>
      </c>
    </row>
    <row r="1653" spans="1:10" x14ac:dyDescent="0.2">
      <c r="A1653">
        <v>11652</v>
      </c>
      <c r="B1653" t="s">
        <v>10</v>
      </c>
      <c r="C1653" t="s">
        <v>9</v>
      </c>
      <c r="D1653" s="8">
        <v>1.06</v>
      </c>
      <c r="E1653">
        <v>10</v>
      </c>
      <c r="F1653" t="str">
        <f t="shared" si="100"/>
        <v>Premium</v>
      </c>
      <c r="G1653" s="3" cm="1">
        <f t="array" ref="G1653">_xlfn.XLOOKUP(C1653 &amp; F1653,
         [1]unilever_price_limits!A:A &amp; [1]unilever_price_limits!B:B,
         [1]unilever_price_limits!C:C)</f>
        <v>60</v>
      </c>
      <c r="H1653" s="8">
        <f t="shared" si="101"/>
        <v>1.6960000000000002</v>
      </c>
      <c r="I1653" s="6">
        <f t="shared" si="102"/>
        <v>60.000000000000007</v>
      </c>
      <c r="J1653" t="str">
        <f t="shared" si="103"/>
        <v>OK</v>
      </c>
    </row>
    <row r="1654" spans="1:10" x14ac:dyDescent="0.2">
      <c r="A1654">
        <v>11653</v>
      </c>
      <c r="B1654" t="s">
        <v>10</v>
      </c>
      <c r="C1654" t="s">
        <v>11</v>
      </c>
      <c r="D1654" s="8">
        <v>13.13</v>
      </c>
      <c r="E1654">
        <v>2</v>
      </c>
      <c r="F1654" t="str">
        <f t="shared" si="100"/>
        <v>Value</v>
      </c>
      <c r="G1654" s="3" cm="1">
        <f t="array" ref="G1654">_xlfn.XLOOKUP(C1654 &amp; F1654,
         [1]unilever_price_limits!A:A &amp; [1]unilever_price_limits!B:B,
         [1]unilever_price_limits!C:C)</f>
        <v>10</v>
      </c>
      <c r="H1654" s="8">
        <f t="shared" si="101"/>
        <v>14.443000000000001</v>
      </c>
      <c r="I1654" s="6">
        <f t="shared" si="102"/>
        <v>10.000000000000009</v>
      </c>
      <c r="J1654" t="str">
        <f t="shared" si="103"/>
        <v>OK</v>
      </c>
    </row>
    <row r="1655" spans="1:10" x14ac:dyDescent="0.2">
      <c r="A1655">
        <v>11654</v>
      </c>
      <c r="B1655" t="s">
        <v>5</v>
      </c>
      <c r="C1655" t="s">
        <v>6</v>
      </c>
      <c r="D1655" s="8">
        <v>7.93</v>
      </c>
      <c r="E1655">
        <v>10</v>
      </c>
      <c r="F1655" t="str">
        <f t="shared" si="100"/>
        <v>Premium</v>
      </c>
      <c r="G1655" s="3" cm="1">
        <f t="array" ref="G1655">_xlfn.XLOOKUP(C1655 &amp; F1655,
         [1]unilever_price_limits!A:A &amp; [1]unilever_price_limits!B:B,
         [1]unilever_price_limits!C:C)</f>
        <v>55</v>
      </c>
      <c r="H1655" s="8">
        <f t="shared" si="101"/>
        <v>12.291499999999999</v>
      </c>
      <c r="I1655" s="6">
        <f t="shared" si="102"/>
        <v>55.000000000000007</v>
      </c>
      <c r="J1655" t="str">
        <f t="shared" si="103"/>
        <v>OK</v>
      </c>
    </row>
    <row r="1656" spans="1:10" x14ac:dyDescent="0.2">
      <c r="A1656">
        <v>11655</v>
      </c>
      <c r="B1656" t="s">
        <v>10</v>
      </c>
      <c r="C1656" t="s">
        <v>6</v>
      </c>
      <c r="D1656" s="8">
        <v>6.27</v>
      </c>
      <c r="E1656">
        <v>5</v>
      </c>
      <c r="F1656" t="str">
        <f t="shared" si="100"/>
        <v>Standard</v>
      </c>
      <c r="G1656" s="3" cm="1">
        <f t="array" ref="G1656">_xlfn.XLOOKUP(C1656 &amp; F1656,
         [1]unilever_price_limits!A:A &amp; [1]unilever_price_limits!B:B,
         [1]unilever_price_limits!C:C)</f>
        <v>28</v>
      </c>
      <c r="H1656" s="8">
        <f t="shared" si="101"/>
        <v>8.025599999999999</v>
      </c>
      <c r="I1656" s="6">
        <f t="shared" si="102"/>
        <v>28.000000000000004</v>
      </c>
      <c r="J1656" t="str">
        <f t="shared" si="103"/>
        <v>OK</v>
      </c>
    </row>
    <row r="1657" spans="1:10" x14ac:dyDescent="0.2">
      <c r="A1657">
        <v>11656</v>
      </c>
      <c r="B1657" t="s">
        <v>5</v>
      </c>
      <c r="C1657" t="s">
        <v>9</v>
      </c>
      <c r="D1657" s="8">
        <v>7.71</v>
      </c>
      <c r="E1657">
        <v>5</v>
      </c>
      <c r="F1657" t="str">
        <f t="shared" si="100"/>
        <v>Standard</v>
      </c>
      <c r="G1657" s="3" cm="1">
        <f t="array" ref="G1657">_xlfn.XLOOKUP(C1657 &amp; F1657,
         [1]unilever_price_limits!A:A &amp; [1]unilever_price_limits!B:B,
         [1]unilever_price_limits!C:C)</f>
        <v>30</v>
      </c>
      <c r="H1657" s="8">
        <f t="shared" si="101"/>
        <v>10.023</v>
      </c>
      <c r="I1657" s="6">
        <f t="shared" si="102"/>
        <v>30.000000000000004</v>
      </c>
      <c r="J1657" t="str">
        <f t="shared" si="103"/>
        <v>OK</v>
      </c>
    </row>
    <row r="1658" spans="1:10" x14ac:dyDescent="0.2">
      <c r="A1658">
        <v>11657</v>
      </c>
      <c r="B1658" t="s">
        <v>10</v>
      </c>
      <c r="C1658" t="s">
        <v>11</v>
      </c>
      <c r="D1658" s="8">
        <v>10.18</v>
      </c>
      <c r="E1658">
        <v>1</v>
      </c>
      <c r="F1658" t="str">
        <f t="shared" si="100"/>
        <v>Value</v>
      </c>
      <c r="G1658" s="3" cm="1">
        <f t="array" ref="G1658">_xlfn.XLOOKUP(C1658 &amp; F1658,
         [1]unilever_price_limits!A:A &amp; [1]unilever_price_limits!B:B,
         [1]unilever_price_limits!C:C)</f>
        <v>10</v>
      </c>
      <c r="H1658" s="8">
        <f t="shared" si="101"/>
        <v>11.198</v>
      </c>
      <c r="I1658" s="6">
        <f t="shared" si="102"/>
        <v>10.000000000000009</v>
      </c>
      <c r="J1658" t="str">
        <f t="shared" si="103"/>
        <v>OK</v>
      </c>
    </row>
    <row r="1659" spans="1:10" x14ac:dyDescent="0.2">
      <c r="A1659">
        <v>11658</v>
      </c>
      <c r="B1659" t="s">
        <v>5</v>
      </c>
      <c r="C1659" t="s">
        <v>11</v>
      </c>
      <c r="D1659" s="8">
        <v>0.69</v>
      </c>
      <c r="E1659">
        <v>3</v>
      </c>
      <c r="F1659" t="str">
        <f t="shared" si="100"/>
        <v>Value</v>
      </c>
      <c r="G1659" s="3" cm="1">
        <f t="array" ref="G1659">_xlfn.XLOOKUP(C1659 &amp; F1659,
         [1]unilever_price_limits!A:A &amp; [1]unilever_price_limits!B:B,
         [1]unilever_price_limits!C:C)</f>
        <v>10</v>
      </c>
      <c r="H1659" s="8">
        <f t="shared" si="101"/>
        <v>0.75900000000000001</v>
      </c>
      <c r="I1659" s="6">
        <f t="shared" si="102"/>
        <v>10.000000000000009</v>
      </c>
      <c r="J1659" t="str">
        <f t="shared" si="103"/>
        <v>OK</v>
      </c>
    </row>
    <row r="1660" spans="1:10" x14ac:dyDescent="0.2">
      <c r="A1660">
        <v>11659</v>
      </c>
      <c r="B1660" t="s">
        <v>8</v>
      </c>
      <c r="C1660" t="s">
        <v>11</v>
      </c>
      <c r="D1660" s="8">
        <v>13.14</v>
      </c>
      <c r="E1660">
        <v>5</v>
      </c>
      <c r="F1660" t="str">
        <f t="shared" si="100"/>
        <v>Standard</v>
      </c>
      <c r="G1660" s="3" cm="1">
        <f t="array" ref="G1660">_xlfn.XLOOKUP(C1660 &amp; F1660,
         [1]unilever_price_limits!A:A &amp; [1]unilever_price_limits!B:B,
         [1]unilever_price_limits!C:C)</f>
        <v>25</v>
      </c>
      <c r="H1660" s="8">
        <f t="shared" si="101"/>
        <v>16.425000000000001</v>
      </c>
      <c r="I1660" s="6">
        <f t="shared" si="102"/>
        <v>25</v>
      </c>
      <c r="J1660" t="str">
        <f t="shared" si="103"/>
        <v>OK</v>
      </c>
    </row>
    <row r="1661" spans="1:10" x14ac:dyDescent="0.2">
      <c r="A1661">
        <v>11660</v>
      </c>
      <c r="B1661" t="s">
        <v>7</v>
      </c>
      <c r="C1661" t="s">
        <v>9</v>
      </c>
      <c r="D1661" s="8">
        <v>6.98</v>
      </c>
      <c r="E1661">
        <v>9</v>
      </c>
      <c r="F1661" t="str">
        <f t="shared" si="100"/>
        <v>Premium</v>
      </c>
      <c r="G1661" s="3" cm="1">
        <f t="array" ref="G1661">_xlfn.XLOOKUP(C1661 &amp; F1661,
         [1]unilever_price_limits!A:A &amp; [1]unilever_price_limits!B:B,
         [1]unilever_price_limits!C:C)</f>
        <v>60</v>
      </c>
      <c r="H1661" s="8">
        <f t="shared" si="101"/>
        <v>11.168000000000001</v>
      </c>
      <c r="I1661" s="6">
        <f t="shared" si="102"/>
        <v>60.000000000000007</v>
      </c>
      <c r="J1661" t="str">
        <f t="shared" si="103"/>
        <v>OK</v>
      </c>
    </row>
    <row r="1662" spans="1:10" x14ac:dyDescent="0.2">
      <c r="A1662">
        <v>11661</v>
      </c>
      <c r="B1662" t="s">
        <v>5</v>
      </c>
      <c r="C1662" t="s">
        <v>11</v>
      </c>
      <c r="D1662" s="8">
        <v>5.47</v>
      </c>
      <c r="E1662">
        <v>10</v>
      </c>
      <c r="F1662" t="str">
        <f t="shared" si="100"/>
        <v>Premium</v>
      </c>
      <c r="G1662" s="3" cm="1">
        <f t="array" ref="G1662">_xlfn.XLOOKUP(C1662 &amp; F1662,
         [1]unilever_price_limits!A:A &amp; [1]unilever_price_limits!B:B,
         [1]unilever_price_limits!C:C)</f>
        <v>50</v>
      </c>
      <c r="H1662" s="8">
        <f t="shared" si="101"/>
        <v>8.2050000000000001</v>
      </c>
      <c r="I1662" s="6">
        <f t="shared" si="102"/>
        <v>50</v>
      </c>
      <c r="J1662" t="str">
        <f t="shared" si="103"/>
        <v>OK</v>
      </c>
    </row>
    <row r="1663" spans="1:10" x14ac:dyDescent="0.2">
      <c r="A1663">
        <v>11662</v>
      </c>
      <c r="B1663" t="s">
        <v>5</v>
      </c>
      <c r="C1663" t="s">
        <v>6</v>
      </c>
      <c r="D1663" s="8">
        <v>2.5</v>
      </c>
      <c r="E1663">
        <v>1</v>
      </c>
      <c r="F1663" t="str">
        <f t="shared" si="100"/>
        <v>Value</v>
      </c>
      <c r="G1663" s="3" cm="1">
        <f t="array" ref="G1663">_xlfn.XLOOKUP(C1663 &amp; F1663,
         [1]unilever_price_limits!A:A &amp; [1]unilever_price_limits!B:B,
         [1]unilever_price_limits!C:C)</f>
        <v>12</v>
      </c>
      <c r="H1663" s="8">
        <f t="shared" si="101"/>
        <v>2.8000000000000003</v>
      </c>
      <c r="I1663" s="6">
        <f t="shared" si="102"/>
        <v>12.000000000000011</v>
      </c>
      <c r="J1663" t="str">
        <f t="shared" si="103"/>
        <v>OK</v>
      </c>
    </row>
    <row r="1664" spans="1:10" x14ac:dyDescent="0.2">
      <c r="A1664">
        <v>11663</v>
      </c>
      <c r="B1664" t="s">
        <v>7</v>
      </c>
      <c r="C1664" t="s">
        <v>11</v>
      </c>
      <c r="D1664" s="8">
        <v>6.87</v>
      </c>
      <c r="E1664">
        <v>8</v>
      </c>
      <c r="F1664" t="str">
        <f t="shared" si="100"/>
        <v>Premium</v>
      </c>
      <c r="G1664" s="3" cm="1">
        <f t="array" ref="G1664">_xlfn.XLOOKUP(C1664 &amp; F1664,
         [1]unilever_price_limits!A:A &amp; [1]unilever_price_limits!B:B,
         [1]unilever_price_limits!C:C)</f>
        <v>50</v>
      </c>
      <c r="H1664" s="8">
        <f t="shared" si="101"/>
        <v>10.305</v>
      </c>
      <c r="I1664" s="6">
        <f t="shared" si="102"/>
        <v>50</v>
      </c>
      <c r="J1664" t="str">
        <f t="shared" si="103"/>
        <v>OK</v>
      </c>
    </row>
    <row r="1665" spans="1:10" x14ac:dyDescent="0.2">
      <c r="A1665">
        <v>11664</v>
      </c>
      <c r="B1665" t="s">
        <v>5</v>
      </c>
      <c r="C1665" t="s">
        <v>9</v>
      </c>
      <c r="D1665" s="8">
        <v>7.7</v>
      </c>
      <c r="E1665">
        <v>1</v>
      </c>
      <c r="F1665" t="str">
        <f t="shared" si="100"/>
        <v>Value</v>
      </c>
      <c r="G1665" s="3" cm="1">
        <f t="array" ref="G1665">_xlfn.XLOOKUP(C1665 &amp; F1665,
         [1]unilever_price_limits!A:A &amp; [1]unilever_price_limits!B:B,
         [1]unilever_price_limits!C:C)</f>
        <v>15</v>
      </c>
      <c r="H1665" s="8">
        <f t="shared" si="101"/>
        <v>8.8549999999999986</v>
      </c>
      <c r="I1665" s="6">
        <f t="shared" si="102"/>
        <v>14.999999999999968</v>
      </c>
      <c r="J1665" t="str">
        <f t="shared" si="103"/>
        <v>OK</v>
      </c>
    </row>
    <row r="1666" spans="1:10" x14ac:dyDescent="0.2">
      <c r="A1666">
        <v>11665</v>
      </c>
      <c r="B1666" t="s">
        <v>5</v>
      </c>
      <c r="C1666" t="s">
        <v>11</v>
      </c>
      <c r="D1666" s="8">
        <v>6.35</v>
      </c>
      <c r="E1666">
        <v>9</v>
      </c>
      <c r="F1666" t="str">
        <f t="shared" si="100"/>
        <v>Premium</v>
      </c>
      <c r="G1666" s="3" cm="1">
        <f t="array" ref="G1666">_xlfn.XLOOKUP(C1666 &amp; F1666,
         [1]unilever_price_limits!A:A &amp; [1]unilever_price_limits!B:B,
         [1]unilever_price_limits!C:C)</f>
        <v>50</v>
      </c>
      <c r="H1666" s="8">
        <f t="shared" si="101"/>
        <v>9.5249999999999986</v>
      </c>
      <c r="I1666" s="6">
        <f t="shared" si="102"/>
        <v>49.999999999999979</v>
      </c>
      <c r="J1666" t="str">
        <f t="shared" si="103"/>
        <v>OK</v>
      </c>
    </row>
    <row r="1667" spans="1:10" x14ac:dyDescent="0.2">
      <c r="A1667">
        <v>11666</v>
      </c>
      <c r="B1667" t="s">
        <v>10</v>
      </c>
      <c r="C1667" t="s">
        <v>11</v>
      </c>
      <c r="D1667" s="8">
        <v>10.34</v>
      </c>
      <c r="E1667">
        <v>6</v>
      </c>
      <c r="F1667" t="str">
        <f t="shared" ref="F1667:F1730" si="104">IF(E1667&lt;=3,"Value",
 IF(E1667&lt;=7,"Standard","Premium"))</f>
        <v>Standard</v>
      </c>
      <c r="G1667" s="3" cm="1">
        <f t="array" ref="G1667">_xlfn.XLOOKUP(C1667 &amp; F1667,
         [1]unilever_price_limits!A:A &amp; [1]unilever_price_limits!B:B,
         [1]unilever_price_limits!C:C)</f>
        <v>25</v>
      </c>
      <c r="H1667" s="8">
        <f t="shared" ref="H1667:H1730" si="105">D1667 * (1 + G1667/100)</f>
        <v>12.925000000000001</v>
      </c>
      <c r="I1667" s="6">
        <f t="shared" ref="I1667:I1730" si="106">(H1667 / D1667 - 1) * 100</f>
        <v>25</v>
      </c>
      <c r="J1667" t="str">
        <f t="shared" ref="J1667:J1730" si="107">IF(I1666&gt; G1666, "⚠ Exceeds Limit", "OK")</f>
        <v>OK</v>
      </c>
    </row>
    <row r="1668" spans="1:10" x14ac:dyDescent="0.2">
      <c r="A1668">
        <v>11667</v>
      </c>
      <c r="B1668" t="s">
        <v>7</v>
      </c>
      <c r="C1668" t="s">
        <v>6</v>
      </c>
      <c r="D1668" s="8">
        <v>6.6</v>
      </c>
      <c r="E1668">
        <v>1</v>
      </c>
      <c r="F1668" t="str">
        <f t="shared" si="104"/>
        <v>Value</v>
      </c>
      <c r="G1668" s="3" cm="1">
        <f t="array" ref="G1668">_xlfn.XLOOKUP(C1668 &amp; F1668,
         [1]unilever_price_limits!A:A &amp; [1]unilever_price_limits!B:B,
         [1]unilever_price_limits!C:C)</f>
        <v>12</v>
      </c>
      <c r="H1668" s="8">
        <f t="shared" si="105"/>
        <v>7.3920000000000003</v>
      </c>
      <c r="I1668" s="6">
        <f t="shared" si="106"/>
        <v>12.000000000000011</v>
      </c>
      <c r="J1668" t="str">
        <f t="shared" si="107"/>
        <v>OK</v>
      </c>
    </row>
    <row r="1669" spans="1:10" x14ac:dyDescent="0.2">
      <c r="A1669">
        <v>11668</v>
      </c>
      <c r="B1669" t="s">
        <v>8</v>
      </c>
      <c r="C1669" t="s">
        <v>11</v>
      </c>
      <c r="D1669" s="8">
        <v>14.44</v>
      </c>
      <c r="E1669">
        <v>8</v>
      </c>
      <c r="F1669" t="str">
        <f t="shared" si="104"/>
        <v>Premium</v>
      </c>
      <c r="G1669" s="3" cm="1">
        <f t="array" ref="G1669">_xlfn.XLOOKUP(C1669 &amp; F1669,
         [1]unilever_price_limits!A:A &amp; [1]unilever_price_limits!B:B,
         [1]unilever_price_limits!C:C)</f>
        <v>50</v>
      </c>
      <c r="H1669" s="8">
        <f t="shared" si="105"/>
        <v>21.66</v>
      </c>
      <c r="I1669" s="6">
        <f t="shared" si="106"/>
        <v>50</v>
      </c>
      <c r="J1669" t="str">
        <f t="shared" si="107"/>
        <v>OK</v>
      </c>
    </row>
    <row r="1670" spans="1:10" x14ac:dyDescent="0.2">
      <c r="A1670">
        <v>11669</v>
      </c>
      <c r="B1670" t="s">
        <v>5</v>
      </c>
      <c r="C1670" t="s">
        <v>6</v>
      </c>
      <c r="D1670" s="8">
        <v>9.19</v>
      </c>
      <c r="E1670">
        <v>5</v>
      </c>
      <c r="F1670" t="str">
        <f t="shared" si="104"/>
        <v>Standard</v>
      </c>
      <c r="G1670" s="3" cm="1">
        <f t="array" ref="G1670">_xlfn.XLOOKUP(C1670 &amp; F1670,
         [1]unilever_price_limits!A:A &amp; [1]unilever_price_limits!B:B,
         [1]unilever_price_limits!C:C)</f>
        <v>28</v>
      </c>
      <c r="H1670" s="8">
        <f t="shared" si="105"/>
        <v>11.763199999999999</v>
      </c>
      <c r="I1670" s="6">
        <f t="shared" si="106"/>
        <v>28.000000000000004</v>
      </c>
      <c r="J1670" t="str">
        <f t="shared" si="107"/>
        <v>OK</v>
      </c>
    </row>
    <row r="1671" spans="1:10" x14ac:dyDescent="0.2">
      <c r="A1671">
        <v>11670</v>
      </c>
      <c r="B1671" t="s">
        <v>7</v>
      </c>
      <c r="C1671" t="s">
        <v>6</v>
      </c>
      <c r="D1671" s="8">
        <v>12.21</v>
      </c>
      <c r="E1671">
        <v>7</v>
      </c>
      <c r="F1671" t="str">
        <f t="shared" si="104"/>
        <v>Standard</v>
      </c>
      <c r="G1671" s="3" cm="1">
        <f t="array" ref="G1671">_xlfn.XLOOKUP(C1671 &amp; F1671,
         [1]unilever_price_limits!A:A &amp; [1]unilever_price_limits!B:B,
         [1]unilever_price_limits!C:C)</f>
        <v>28</v>
      </c>
      <c r="H1671" s="8">
        <f t="shared" si="105"/>
        <v>15.628800000000002</v>
      </c>
      <c r="I1671" s="6">
        <f t="shared" si="106"/>
        <v>28.000000000000004</v>
      </c>
      <c r="J1671" t="str">
        <f t="shared" si="107"/>
        <v>OK</v>
      </c>
    </row>
    <row r="1672" spans="1:10" x14ac:dyDescent="0.2">
      <c r="A1672">
        <v>11671</v>
      </c>
      <c r="B1672" t="s">
        <v>10</v>
      </c>
      <c r="C1672" t="s">
        <v>9</v>
      </c>
      <c r="D1672" s="8">
        <v>2.09</v>
      </c>
      <c r="E1672">
        <v>7</v>
      </c>
      <c r="F1672" t="str">
        <f t="shared" si="104"/>
        <v>Standard</v>
      </c>
      <c r="G1672" s="3" cm="1">
        <f t="array" ref="G1672">_xlfn.XLOOKUP(C1672 &amp; F1672,
         [1]unilever_price_limits!A:A &amp; [1]unilever_price_limits!B:B,
         [1]unilever_price_limits!C:C)</f>
        <v>30</v>
      </c>
      <c r="H1672" s="8">
        <f t="shared" si="105"/>
        <v>2.7170000000000001</v>
      </c>
      <c r="I1672" s="6">
        <f t="shared" si="106"/>
        <v>30.000000000000004</v>
      </c>
      <c r="J1672" t="str">
        <f t="shared" si="107"/>
        <v>OK</v>
      </c>
    </row>
    <row r="1673" spans="1:10" x14ac:dyDescent="0.2">
      <c r="A1673">
        <v>11672</v>
      </c>
      <c r="B1673" t="s">
        <v>8</v>
      </c>
      <c r="C1673" t="s">
        <v>6</v>
      </c>
      <c r="D1673" s="8">
        <v>6.26</v>
      </c>
      <c r="E1673">
        <v>7</v>
      </c>
      <c r="F1673" t="str">
        <f t="shared" si="104"/>
        <v>Standard</v>
      </c>
      <c r="G1673" s="3" cm="1">
        <f t="array" ref="G1673">_xlfn.XLOOKUP(C1673 &amp; F1673,
         [1]unilever_price_limits!A:A &amp; [1]unilever_price_limits!B:B,
         [1]unilever_price_limits!C:C)</f>
        <v>28</v>
      </c>
      <c r="H1673" s="8">
        <f t="shared" si="105"/>
        <v>8.0128000000000004</v>
      </c>
      <c r="I1673" s="6">
        <f t="shared" si="106"/>
        <v>28.000000000000004</v>
      </c>
      <c r="J1673" t="str">
        <f t="shared" si="107"/>
        <v>OK</v>
      </c>
    </row>
    <row r="1674" spans="1:10" x14ac:dyDescent="0.2">
      <c r="A1674">
        <v>11673</v>
      </c>
      <c r="B1674" t="s">
        <v>7</v>
      </c>
      <c r="C1674" t="s">
        <v>6</v>
      </c>
      <c r="D1674" s="8">
        <v>5.38</v>
      </c>
      <c r="E1674">
        <v>6</v>
      </c>
      <c r="F1674" t="str">
        <f t="shared" si="104"/>
        <v>Standard</v>
      </c>
      <c r="G1674" s="3" cm="1">
        <f t="array" ref="G1674">_xlfn.XLOOKUP(C1674 &amp; F1674,
         [1]unilever_price_limits!A:A &amp; [1]unilever_price_limits!B:B,
         [1]unilever_price_limits!C:C)</f>
        <v>28</v>
      </c>
      <c r="H1674" s="8">
        <f t="shared" si="105"/>
        <v>6.8864000000000001</v>
      </c>
      <c r="I1674" s="6">
        <f t="shared" si="106"/>
        <v>28.000000000000004</v>
      </c>
      <c r="J1674" t="str">
        <f t="shared" si="107"/>
        <v>OK</v>
      </c>
    </row>
    <row r="1675" spans="1:10" x14ac:dyDescent="0.2">
      <c r="A1675">
        <v>11674</v>
      </c>
      <c r="B1675" t="s">
        <v>8</v>
      </c>
      <c r="C1675" t="s">
        <v>9</v>
      </c>
      <c r="D1675" s="8">
        <v>8.76</v>
      </c>
      <c r="E1675">
        <v>8</v>
      </c>
      <c r="F1675" t="str">
        <f t="shared" si="104"/>
        <v>Premium</v>
      </c>
      <c r="G1675" s="3" cm="1">
        <f t="array" ref="G1675">_xlfn.XLOOKUP(C1675 &amp; F1675,
         [1]unilever_price_limits!A:A &amp; [1]unilever_price_limits!B:B,
         [1]unilever_price_limits!C:C)</f>
        <v>60</v>
      </c>
      <c r="H1675" s="8">
        <f t="shared" si="105"/>
        <v>14.016</v>
      </c>
      <c r="I1675" s="6">
        <f t="shared" si="106"/>
        <v>60.000000000000007</v>
      </c>
      <c r="J1675" t="str">
        <f t="shared" si="107"/>
        <v>OK</v>
      </c>
    </row>
    <row r="1676" spans="1:10" x14ac:dyDescent="0.2">
      <c r="A1676">
        <v>11675</v>
      </c>
      <c r="B1676" t="s">
        <v>8</v>
      </c>
      <c r="C1676" t="s">
        <v>6</v>
      </c>
      <c r="D1676" s="8">
        <v>12.99</v>
      </c>
      <c r="E1676">
        <v>9</v>
      </c>
      <c r="F1676" t="str">
        <f t="shared" si="104"/>
        <v>Premium</v>
      </c>
      <c r="G1676" s="3" cm="1">
        <f t="array" ref="G1676">_xlfn.XLOOKUP(C1676 &amp; F1676,
         [1]unilever_price_limits!A:A &amp; [1]unilever_price_limits!B:B,
         [1]unilever_price_limits!C:C)</f>
        <v>55</v>
      </c>
      <c r="H1676" s="8">
        <f t="shared" si="105"/>
        <v>20.134499999999999</v>
      </c>
      <c r="I1676" s="6">
        <f t="shared" si="106"/>
        <v>54.999999999999986</v>
      </c>
      <c r="J1676" t="str">
        <f t="shared" si="107"/>
        <v>OK</v>
      </c>
    </row>
    <row r="1677" spans="1:10" x14ac:dyDescent="0.2">
      <c r="A1677">
        <v>11676</v>
      </c>
      <c r="B1677" t="s">
        <v>8</v>
      </c>
      <c r="C1677" t="s">
        <v>9</v>
      </c>
      <c r="D1677" s="8">
        <v>1.64</v>
      </c>
      <c r="E1677">
        <v>2</v>
      </c>
      <c r="F1677" t="str">
        <f t="shared" si="104"/>
        <v>Value</v>
      </c>
      <c r="G1677" s="3" cm="1">
        <f t="array" ref="G1677">_xlfn.XLOOKUP(C1677 &amp; F1677,
         [1]unilever_price_limits!A:A &amp; [1]unilever_price_limits!B:B,
         [1]unilever_price_limits!C:C)</f>
        <v>15</v>
      </c>
      <c r="H1677" s="8">
        <f t="shared" si="105"/>
        <v>1.8859999999999997</v>
      </c>
      <c r="I1677" s="6">
        <f t="shared" si="106"/>
        <v>14.999999999999991</v>
      </c>
      <c r="J1677" t="str">
        <f t="shared" si="107"/>
        <v>OK</v>
      </c>
    </row>
    <row r="1678" spans="1:10" x14ac:dyDescent="0.2">
      <c r="A1678">
        <v>11677</v>
      </c>
      <c r="B1678" t="s">
        <v>5</v>
      </c>
      <c r="C1678" t="s">
        <v>11</v>
      </c>
      <c r="D1678" s="8">
        <v>1.55</v>
      </c>
      <c r="E1678">
        <v>7</v>
      </c>
      <c r="F1678" t="str">
        <f t="shared" si="104"/>
        <v>Standard</v>
      </c>
      <c r="G1678" s="3" cm="1">
        <f t="array" ref="G1678">_xlfn.XLOOKUP(C1678 &amp; F1678,
         [1]unilever_price_limits!A:A &amp; [1]unilever_price_limits!B:B,
         [1]unilever_price_limits!C:C)</f>
        <v>25</v>
      </c>
      <c r="H1678" s="8">
        <f t="shared" si="105"/>
        <v>1.9375</v>
      </c>
      <c r="I1678" s="6">
        <f t="shared" si="106"/>
        <v>25</v>
      </c>
      <c r="J1678" t="str">
        <f t="shared" si="107"/>
        <v>OK</v>
      </c>
    </row>
    <row r="1679" spans="1:10" x14ac:dyDescent="0.2">
      <c r="A1679">
        <v>11678</v>
      </c>
      <c r="B1679" t="s">
        <v>5</v>
      </c>
      <c r="C1679" t="s">
        <v>9</v>
      </c>
      <c r="D1679" s="8">
        <v>12.83</v>
      </c>
      <c r="E1679">
        <v>2</v>
      </c>
      <c r="F1679" t="str">
        <f t="shared" si="104"/>
        <v>Value</v>
      </c>
      <c r="G1679" s="3" cm="1">
        <f t="array" ref="G1679">_xlfn.XLOOKUP(C1679 &amp; F1679,
         [1]unilever_price_limits!A:A &amp; [1]unilever_price_limits!B:B,
         [1]unilever_price_limits!C:C)</f>
        <v>15</v>
      </c>
      <c r="H1679" s="8">
        <f t="shared" si="105"/>
        <v>14.754499999999998</v>
      </c>
      <c r="I1679" s="6">
        <f t="shared" si="106"/>
        <v>14.999999999999991</v>
      </c>
      <c r="J1679" t="str">
        <f t="shared" si="107"/>
        <v>OK</v>
      </c>
    </row>
    <row r="1680" spans="1:10" x14ac:dyDescent="0.2">
      <c r="A1680">
        <v>11679</v>
      </c>
      <c r="B1680" t="s">
        <v>10</v>
      </c>
      <c r="C1680" t="s">
        <v>6</v>
      </c>
      <c r="D1680" s="8">
        <v>3.59</v>
      </c>
      <c r="E1680">
        <v>6</v>
      </c>
      <c r="F1680" t="str">
        <f t="shared" si="104"/>
        <v>Standard</v>
      </c>
      <c r="G1680" s="3" cm="1">
        <f t="array" ref="G1680">_xlfn.XLOOKUP(C1680 &amp; F1680,
         [1]unilever_price_limits!A:A &amp; [1]unilever_price_limits!B:B,
         [1]unilever_price_limits!C:C)</f>
        <v>28</v>
      </c>
      <c r="H1680" s="8">
        <f t="shared" si="105"/>
        <v>4.5952000000000002</v>
      </c>
      <c r="I1680" s="6">
        <f t="shared" si="106"/>
        <v>28.000000000000004</v>
      </c>
      <c r="J1680" t="str">
        <f t="shared" si="107"/>
        <v>OK</v>
      </c>
    </row>
    <row r="1681" spans="1:10" x14ac:dyDescent="0.2">
      <c r="A1681">
        <v>11680</v>
      </c>
      <c r="B1681" t="s">
        <v>10</v>
      </c>
      <c r="C1681" t="s">
        <v>9</v>
      </c>
      <c r="D1681" s="8">
        <v>10.199999999999999</v>
      </c>
      <c r="E1681">
        <v>2</v>
      </c>
      <c r="F1681" t="str">
        <f t="shared" si="104"/>
        <v>Value</v>
      </c>
      <c r="G1681" s="3" cm="1">
        <f t="array" ref="G1681">_xlfn.XLOOKUP(C1681 &amp; F1681,
         [1]unilever_price_limits!A:A &amp; [1]unilever_price_limits!B:B,
         [1]unilever_price_limits!C:C)</f>
        <v>15</v>
      </c>
      <c r="H1681" s="8">
        <f t="shared" si="105"/>
        <v>11.729999999999999</v>
      </c>
      <c r="I1681" s="6">
        <f t="shared" si="106"/>
        <v>14.999999999999991</v>
      </c>
      <c r="J1681" t="str">
        <f t="shared" si="107"/>
        <v>OK</v>
      </c>
    </row>
    <row r="1682" spans="1:10" x14ac:dyDescent="0.2">
      <c r="A1682">
        <v>11681</v>
      </c>
      <c r="B1682" t="s">
        <v>7</v>
      </c>
      <c r="C1682" t="s">
        <v>6</v>
      </c>
      <c r="D1682" s="8">
        <v>8.3699999999999992</v>
      </c>
      <c r="E1682">
        <v>10</v>
      </c>
      <c r="F1682" t="str">
        <f t="shared" si="104"/>
        <v>Premium</v>
      </c>
      <c r="G1682" s="3" cm="1">
        <f t="array" ref="G1682">_xlfn.XLOOKUP(C1682 &amp; F1682,
         [1]unilever_price_limits!A:A &amp; [1]unilever_price_limits!B:B,
         [1]unilever_price_limits!C:C)</f>
        <v>55</v>
      </c>
      <c r="H1682" s="8">
        <f t="shared" si="105"/>
        <v>12.9735</v>
      </c>
      <c r="I1682" s="6">
        <f t="shared" si="106"/>
        <v>55.000000000000007</v>
      </c>
      <c r="J1682" t="str">
        <f t="shared" si="107"/>
        <v>OK</v>
      </c>
    </row>
    <row r="1683" spans="1:10" x14ac:dyDescent="0.2">
      <c r="A1683">
        <v>11682</v>
      </c>
      <c r="B1683" t="s">
        <v>10</v>
      </c>
      <c r="C1683" t="s">
        <v>11</v>
      </c>
      <c r="D1683" s="8">
        <v>12.58</v>
      </c>
      <c r="E1683">
        <v>6</v>
      </c>
      <c r="F1683" t="str">
        <f t="shared" si="104"/>
        <v>Standard</v>
      </c>
      <c r="G1683" s="3" cm="1">
        <f t="array" ref="G1683">_xlfn.XLOOKUP(C1683 &amp; F1683,
         [1]unilever_price_limits!A:A &amp; [1]unilever_price_limits!B:B,
         [1]unilever_price_limits!C:C)</f>
        <v>25</v>
      </c>
      <c r="H1683" s="8">
        <f t="shared" si="105"/>
        <v>15.725</v>
      </c>
      <c r="I1683" s="6">
        <f t="shared" si="106"/>
        <v>25</v>
      </c>
      <c r="J1683" t="str">
        <f t="shared" si="107"/>
        <v>OK</v>
      </c>
    </row>
    <row r="1684" spans="1:10" x14ac:dyDescent="0.2">
      <c r="A1684">
        <v>11683</v>
      </c>
      <c r="B1684" t="s">
        <v>8</v>
      </c>
      <c r="C1684" t="s">
        <v>9</v>
      </c>
      <c r="D1684" s="8">
        <v>2.31</v>
      </c>
      <c r="E1684">
        <v>2</v>
      </c>
      <c r="F1684" t="str">
        <f t="shared" si="104"/>
        <v>Value</v>
      </c>
      <c r="G1684" s="3" cm="1">
        <f t="array" ref="G1684">_xlfn.XLOOKUP(C1684 &amp; F1684,
         [1]unilever_price_limits!A:A &amp; [1]unilever_price_limits!B:B,
         [1]unilever_price_limits!C:C)</f>
        <v>15</v>
      </c>
      <c r="H1684" s="8">
        <f t="shared" si="105"/>
        <v>2.6564999999999999</v>
      </c>
      <c r="I1684" s="6">
        <f t="shared" si="106"/>
        <v>14.999999999999991</v>
      </c>
      <c r="J1684" t="str">
        <f t="shared" si="107"/>
        <v>OK</v>
      </c>
    </row>
    <row r="1685" spans="1:10" x14ac:dyDescent="0.2">
      <c r="A1685">
        <v>11684</v>
      </c>
      <c r="B1685" t="s">
        <v>8</v>
      </c>
      <c r="C1685" t="s">
        <v>11</v>
      </c>
      <c r="D1685" s="8">
        <v>2.38</v>
      </c>
      <c r="E1685">
        <v>1</v>
      </c>
      <c r="F1685" t="str">
        <f t="shared" si="104"/>
        <v>Value</v>
      </c>
      <c r="G1685" s="3" cm="1">
        <f t="array" ref="G1685">_xlfn.XLOOKUP(C1685 &amp; F1685,
         [1]unilever_price_limits!A:A &amp; [1]unilever_price_limits!B:B,
         [1]unilever_price_limits!C:C)</f>
        <v>10</v>
      </c>
      <c r="H1685" s="8">
        <f t="shared" si="105"/>
        <v>2.6179999999999999</v>
      </c>
      <c r="I1685" s="6">
        <f t="shared" si="106"/>
        <v>10.000000000000009</v>
      </c>
      <c r="J1685" t="str">
        <f t="shared" si="107"/>
        <v>OK</v>
      </c>
    </row>
    <row r="1686" spans="1:10" x14ac:dyDescent="0.2">
      <c r="A1686">
        <v>11685</v>
      </c>
      <c r="B1686" t="s">
        <v>5</v>
      </c>
      <c r="C1686" t="s">
        <v>6</v>
      </c>
      <c r="D1686" s="8">
        <v>8.57</v>
      </c>
      <c r="E1686">
        <v>7</v>
      </c>
      <c r="F1686" t="str">
        <f t="shared" si="104"/>
        <v>Standard</v>
      </c>
      <c r="G1686" s="3" cm="1">
        <f t="array" ref="G1686">_xlfn.XLOOKUP(C1686 &amp; F1686,
         [1]unilever_price_limits!A:A &amp; [1]unilever_price_limits!B:B,
         [1]unilever_price_limits!C:C)</f>
        <v>28</v>
      </c>
      <c r="H1686" s="8">
        <f t="shared" si="105"/>
        <v>10.9696</v>
      </c>
      <c r="I1686" s="6">
        <f t="shared" si="106"/>
        <v>28.000000000000004</v>
      </c>
      <c r="J1686" t="str">
        <f t="shared" si="107"/>
        <v>OK</v>
      </c>
    </row>
    <row r="1687" spans="1:10" x14ac:dyDescent="0.2">
      <c r="A1687">
        <v>11686</v>
      </c>
      <c r="B1687" t="s">
        <v>8</v>
      </c>
      <c r="C1687" t="s">
        <v>6</v>
      </c>
      <c r="D1687" s="8">
        <v>14.22</v>
      </c>
      <c r="E1687">
        <v>3</v>
      </c>
      <c r="F1687" t="str">
        <f t="shared" si="104"/>
        <v>Value</v>
      </c>
      <c r="G1687" s="3" cm="1">
        <f t="array" ref="G1687">_xlfn.XLOOKUP(C1687 &amp; F1687,
         [1]unilever_price_limits!A:A &amp; [1]unilever_price_limits!B:B,
         [1]unilever_price_limits!C:C)</f>
        <v>12</v>
      </c>
      <c r="H1687" s="8">
        <f t="shared" si="105"/>
        <v>15.926400000000003</v>
      </c>
      <c r="I1687" s="6">
        <f t="shared" si="106"/>
        <v>12.000000000000011</v>
      </c>
      <c r="J1687" t="str">
        <f t="shared" si="107"/>
        <v>OK</v>
      </c>
    </row>
    <row r="1688" spans="1:10" x14ac:dyDescent="0.2">
      <c r="A1688">
        <v>11687</v>
      </c>
      <c r="B1688" t="s">
        <v>7</v>
      </c>
      <c r="C1688" t="s">
        <v>11</v>
      </c>
      <c r="D1688" s="8">
        <v>6.52</v>
      </c>
      <c r="E1688">
        <v>4</v>
      </c>
      <c r="F1688" t="str">
        <f t="shared" si="104"/>
        <v>Standard</v>
      </c>
      <c r="G1688" s="3" cm="1">
        <f t="array" ref="G1688">_xlfn.XLOOKUP(C1688 &amp; F1688,
         [1]unilever_price_limits!A:A &amp; [1]unilever_price_limits!B:B,
         [1]unilever_price_limits!C:C)</f>
        <v>25</v>
      </c>
      <c r="H1688" s="8">
        <f t="shared" si="105"/>
        <v>8.1499999999999986</v>
      </c>
      <c r="I1688" s="6">
        <f t="shared" si="106"/>
        <v>24.999999999999979</v>
      </c>
      <c r="J1688" t="str">
        <f t="shared" si="107"/>
        <v>OK</v>
      </c>
    </row>
    <row r="1689" spans="1:10" x14ac:dyDescent="0.2">
      <c r="A1689">
        <v>11688</v>
      </c>
      <c r="B1689" t="s">
        <v>8</v>
      </c>
      <c r="C1689" t="s">
        <v>9</v>
      </c>
      <c r="D1689" s="8">
        <v>5.24</v>
      </c>
      <c r="E1689">
        <v>6</v>
      </c>
      <c r="F1689" t="str">
        <f t="shared" si="104"/>
        <v>Standard</v>
      </c>
      <c r="G1689" s="3" cm="1">
        <f t="array" ref="G1689">_xlfn.XLOOKUP(C1689 &amp; F1689,
         [1]unilever_price_limits!A:A &amp; [1]unilever_price_limits!B:B,
         [1]unilever_price_limits!C:C)</f>
        <v>30</v>
      </c>
      <c r="H1689" s="8">
        <f t="shared" si="105"/>
        <v>6.8120000000000003</v>
      </c>
      <c r="I1689" s="6">
        <f t="shared" si="106"/>
        <v>30.000000000000004</v>
      </c>
      <c r="J1689" t="str">
        <f t="shared" si="107"/>
        <v>OK</v>
      </c>
    </row>
    <row r="1690" spans="1:10" x14ac:dyDescent="0.2">
      <c r="A1690">
        <v>11689</v>
      </c>
      <c r="B1690" t="s">
        <v>8</v>
      </c>
      <c r="C1690" t="s">
        <v>9</v>
      </c>
      <c r="D1690" s="8">
        <v>9.3000000000000007</v>
      </c>
      <c r="E1690">
        <v>5</v>
      </c>
      <c r="F1690" t="str">
        <f t="shared" si="104"/>
        <v>Standard</v>
      </c>
      <c r="G1690" s="3" cm="1">
        <f t="array" ref="G1690">_xlfn.XLOOKUP(C1690 &amp; F1690,
         [1]unilever_price_limits!A:A &amp; [1]unilever_price_limits!B:B,
         [1]unilever_price_limits!C:C)</f>
        <v>30</v>
      </c>
      <c r="H1690" s="8">
        <f t="shared" si="105"/>
        <v>12.090000000000002</v>
      </c>
      <c r="I1690" s="6">
        <f t="shared" si="106"/>
        <v>30.000000000000004</v>
      </c>
      <c r="J1690" t="str">
        <f t="shared" si="107"/>
        <v>OK</v>
      </c>
    </row>
    <row r="1691" spans="1:10" x14ac:dyDescent="0.2">
      <c r="A1691">
        <v>11690</v>
      </c>
      <c r="B1691" t="s">
        <v>7</v>
      </c>
      <c r="C1691" t="s">
        <v>6</v>
      </c>
      <c r="D1691" s="8">
        <v>13.99</v>
      </c>
      <c r="E1691">
        <v>4</v>
      </c>
      <c r="F1691" t="str">
        <f t="shared" si="104"/>
        <v>Standard</v>
      </c>
      <c r="G1691" s="3" cm="1">
        <f t="array" ref="G1691">_xlfn.XLOOKUP(C1691 &amp; F1691,
         [1]unilever_price_limits!A:A &amp; [1]unilever_price_limits!B:B,
         [1]unilever_price_limits!C:C)</f>
        <v>28</v>
      </c>
      <c r="H1691" s="8">
        <f t="shared" si="105"/>
        <v>17.9072</v>
      </c>
      <c r="I1691" s="6">
        <f t="shared" si="106"/>
        <v>28.000000000000004</v>
      </c>
      <c r="J1691" t="str">
        <f t="shared" si="107"/>
        <v>OK</v>
      </c>
    </row>
    <row r="1692" spans="1:10" x14ac:dyDescent="0.2">
      <c r="A1692">
        <v>11691</v>
      </c>
      <c r="B1692" t="s">
        <v>10</v>
      </c>
      <c r="C1692" t="s">
        <v>11</v>
      </c>
      <c r="D1692" s="8">
        <v>12.64</v>
      </c>
      <c r="E1692">
        <v>9</v>
      </c>
      <c r="F1692" t="str">
        <f t="shared" si="104"/>
        <v>Premium</v>
      </c>
      <c r="G1692" s="3" cm="1">
        <f t="array" ref="G1692">_xlfn.XLOOKUP(C1692 &amp; F1692,
         [1]unilever_price_limits!A:A &amp; [1]unilever_price_limits!B:B,
         [1]unilever_price_limits!C:C)</f>
        <v>50</v>
      </c>
      <c r="H1692" s="8">
        <f t="shared" si="105"/>
        <v>18.96</v>
      </c>
      <c r="I1692" s="6">
        <f t="shared" si="106"/>
        <v>50</v>
      </c>
      <c r="J1692" t="str">
        <f t="shared" si="107"/>
        <v>OK</v>
      </c>
    </row>
    <row r="1693" spans="1:10" x14ac:dyDescent="0.2">
      <c r="A1693">
        <v>11692</v>
      </c>
      <c r="B1693" t="s">
        <v>10</v>
      </c>
      <c r="C1693" t="s">
        <v>11</v>
      </c>
      <c r="D1693" s="8">
        <v>14.93</v>
      </c>
      <c r="E1693">
        <v>6</v>
      </c>
      <c r="F1693" t="str">
        <f t="shared" si="104"/>
        <v>Standard</v>
      </c>
      <c r="G1693" s="3" cm="1">
        <f t="array" ref="G1693">_xlfn.XLOOKUP(C1693 &amp; F1693,
         [1]unilever_price_limits!A:A &amp; [1]unilever_price_limits!B:B,
         [1]unilever_price_limits!C:C)</f>
        <v>25</v>
      </c>
      <c r="H1693" s="8">
        <f t="shared" si="105"/>
        <v>18.662500000000001</v>
      </c>
      <c r="I1693" s="6">
        <f t="shared" si="106"/>
        <v>25.000000000000021</v>
      </c>
      <c r="J1693" t="str">
        <f t="shared" si="107"/>
        <v>OK</v>
      </c>
    </row>
    <row r="1694" spans="1:10" x14ac:dyDescent="0.2">
      <c r="A1694">
        <v>11693</v>
      </c>
      <c r="B1694" t="s">
        <v>7</v>
      </c>
      <c r="C1694" t="s">
        <v>9</v>
      </c>
      <c r="D1694" s="8">
        <v>0.83</v>
      </c>
      <c r="E1694">
        <v>6</v>
      </c>
      <c r="F1694" t="str">
        <f t="shared" si="104"/>
        <v>Standard</v>
      </c>
      <c r="G1694" s="3" cm="1">
        <f t="array" ref="G1694">_xlfn.XLOOKUP(C1694 &amp; F1694,
         [1]unilever_price_limits!A:A &amp; [1]unilever_price_limits!B:B,
         [1]unilever_price_limits!C:C)</f>
        <v>30</v>
      </c>
      <c r="H1694" s="8">
        <f t="shared" si="105"/>
        <v>1.079</v>
      </c>
      <c r="I1694" s="6">
        <f t="shared" si="106"/>
        <v>30.000000000000004</v>
      </c>
      <c r="J1694" t="str">
        <f t="shared" si="107"/>
        <v>OK</v>
      </c>
    </row>
    <row r="1695" spans="1:10" x14ac:dyDescent="0.2">
      <c r="A1695">
        <v>11694</v>
      </c>
      <c r="B1695" t="s">
        <v>5</v>
      </c>
      <c r="C1695" t="s">
        <v>9</v>
      </c>
      <c r="D1695" s="8">
        <v>2.14</v>
      </c>
      <c r="E1695">
        <v>2</v>
      </c>
      <c r="F1695" t="str">
        <f t="shared" si="104"/>
        <v>Value</v>
      </c>
      <c r="G1695" s="3" cm="1">
        <f t="array" ref="G1695">_xlfn.XLOOKUP(C1695 &amp; F1695,
         [1]unilever_price_limits!A:A &amp; [1]unilever_price_limits!B:B,
         [1]unilever_price_limits!C:C)</f>
        <v>15</v>
      </c>
      <c r="H1695" s="8">
        <f t="shared" si="105"/>
        <v>2.4609999999999999</v>
      </c>
      <c r="I1695" s="6">
        <f t="shared" si="106"/>
        <v>14.999999999999991</v>
      </c>
      <c r="J1695" t="str">
        <f t="shared" si="107"/>
        <v>OK</v>
      </c>
    </row>
    <row r="1696" spans="1:10" x14ac:dyDescent="0.2">
      <c r="A1696">
        <v>11695</v>
      </c>
      <c r="B1696" t="s">
        <v>8</v>
      </c>
      <c r="C1696" t="s">
        <v>9</v>
      </c>
      <c r="D1696" s="8">
        <v>9.34</v>
      </c>
      <c r="E1696">
        <v>6</v>
      </c>
      <c r="F1696" t="str">
        <f t="shared" si="104"/>
        <v>Standard</v>
      </c>
      <c r="G1696" s="3" cm="1">
        <f t="array" ref="G1696">_xlfn.XLOOKUP(C1696 &amp; F1696,
         [1]unilever_price_limits!A:A &amp; [1]unilever_price_limits!B:B,
         [1]unilever_price_limits!C:C)</f>
        <v>30</v>
      </c>
      <c r="H1696" s="8">
        <f t="shared" si="105"/>
        <v>12.141999999999999</v>
      </c>
      <c r="I1696" s="6">
        <f t="shared" si="106"/>
        <v>30.000000000000004</v>
      </c>
      <c r="J1696" t="str">
        <f t="shared" si="107"/>
        <v>OK</v>
      </c>
    </row>
    <row r="1697" spans="1:10" x14ac:dyDescent="0.2">
      <c r="A1697">
        <v>11696</v>
      </c>
      <c r="B1697" t="s">
        <v>7</v>
      </c>
      <c r="C1697" t="s">
        <v>11</v>
      </c>
      <c r="D1697" s="8">
        <v>12.4</v>
      </c>
      <c r="E1697">
        <v>7</v>
      </c>
      <c r="F1697" t="str">
        <f t="shared" si="104"/>
        <v>Standard</v>
      </c>
      <c r="G1697" s="3" cm="1">
        <f t="array" ref="G1697">_xlfn.XLOOKUP(C1697 &amp; F1697,
         [1]unilever_price_limits!A:A &amp; [1]unilever_price_limits!B:B,
         [1]unilever_price_limits!C:C)</f>
        <v>25</v>
      </c>
      <c r="H1697" s="8">
        <f t="shared" si="105"/>
        <v>15.5</v>
      </c>
      <c r="I1697" s="6">
        <f t="shared" si="106"/>
        <v>25</v>
      </c>
      <c r="J1697" t="str">
        <f t="shared" si="107"/>
        <v>OK</v>
      </c>
    </row>
    <row r="1698" spans="1:10" x14ac:dyDescent="0.2">
      <c r="A1698">
        <v>11697</v>
      </c>
      <c r="B1698" t="s">
        <v>8</v>
      </c>
      <c r="C1698" t="s">
        <v>9</v>
      </c>
      <c r="D1698" s="8">
        <v>4.6399999999999997</v>
      </c>
      <c r="E1698">
        <v>8</v>
      </c>
      <c r="F1698" t="str">
        <f t="shared" si="104"/>
        <v>Premium</v>
      </c>
      <c r="G1698" s="3" cm="1">
        <f t="array" ref="G1698">_xlfn.XLOOKUP(C1698 &amp; F1698,
         [1]unilever_price_limits!A:A &amp; [1]unilever_price_limits!B:B,
         [1]unilever_price_limits!C:C)</f>
        <v>60</v>
      </c>
      <c r="H1698" s="8">
        <f t="shared" si="105"/>
        <v>7.4239999999999995</v>
      </c>
      <c r="I1698" s="6">
        <f t="shared" si="106"/>
        <v>60.000000000000007</v>
      </c>
      <c r="J1698" t="str">
        <f t="shared" si="107"/>
        <v>OK</v>
      </c>
    </row>
    <row r="1699" spans="1:10" x14ac:dyDescent="0.2">
      <c r="A1699">
        <v>11698</v>
      </c>
      <c r="B1699" t="s">
        <v>5</v>
      </c>
      <c r="C1699" t="s">
        <v>9</v>
      </c>
      <c r="D1699" s="8">
        <v>3.97</v>
      </c>
      <c r="E1699">
        <v>8</v>
      </c>
      <c r="F1699" t="str">
        <f t="shared" si="104"/>
        <v>Premium</v>
      </c>
      <c r="G1699" s="3" cm="1">
        <f t="array" ref="G1699">_xlfn.XLOOKUP(C1699 &amp; F1699,
         [1]unilever_price_limits!A:A &amp; [1]unilever_price_limits!B:B,
         [1]unilever_price_limits!C:C)</f>
        <v>60</v>
      </c>
      <c r="H1699" s="8">
        <f t="shared" si="105"/>
        <v>6.3520000000000003</v>
      </c>
      <c r="I1699" s="6">
        <f t="shared" si="106"/>
        <v>60.000000000000007</v>
      </c>
      <c r="J1699" t="str">
        <f t="shared" si="107"/>
        <v>OK</v>
      </c>
    </row>
    <row r="1700" spans="1:10" x14ac:dyDescent="0.2">
      <c r="A1700">
        <v>11699</v>
      </c>
      <c r="B1700" t="s">
        <v>8</v>
      </c>
      <c r="C1700" t="s">
        <v>6</v>
      </c>
      <c r="D1700" s="8">
        <v>11.91</v>
      </c>
      <c r="E1700">
        <v>9</v>
      </c>
      <c r="F1700" t="str">
        <f t="shared" si="104"/>
        <v>Premium</v>
      </c>
      <c r="G1700" s="3" cm="1">
        <f t="array" ref="G1700">_xlfn.XLOOKUP(C1700 &amp; F1700,
         [1]unilever_price_limits!A:A &amp; [1]unilever_price_limits!B:B,
         [1]unilever_price_limits!C:C)</f>
        <v>55</v>
      </c>
      <c r="H1700" s="8">
        <f t="shared" si="105"/>
        <v>18.4605</v>
      </c>
      <c r="I1700" s="6">
        <f t="shared" si="106"/>
        <v>55.000000000000007</v>
      </c>
      <c r="J1700" t="str">
        <f t="shared" si="107"/>
        <v>OK</v>
      </c>
    </row>
    <row r="1701" spans="1:10" x14ac:dyDescent="0.2">
      <c r="A1701">
        <v>11700</v>
      </c>
      <c r="B1701" t="s">
        <v>7</v>
      </c>
      <c r="C1701" t="s">
        <v>9</v>
      </c>
      <c r="D1701" s="8">
        <v>1.32</v>
      </c>
      <c r="E1701">
        <v>10</v>
      </c>
      <c r="F1701" t="str">
        <f t="shared" si="104"/>
        <v>Premium</v>
      </c>
      <c r="G1701" s="3" cm="1">
        <f t="array" ref="G1701">_xlfn.XLOOKUP(C1701 &amp; F1701,
         [1]unilever_price_limits!A:A &amp; [1]unilever_price_limits!B:B,
         [1]unilever_price_limits!C:C)</f>
        <v>60</v>
      </c>
      <c r="H1701" s="8">
        <f t="shared" si="105"/>
        <v>2.1120000000000001</v>
      </c>
      <c r="I1701" s="6">
        <f t="shared" si="106"/>
        <v>60.000000000000007</v>
      </c>
      <c r="J1701" t="str">
        <f t="shared" si="107"/>
        <v>OK</v>
      </c>
    </row>
    <row r="1702" spans="1:10" x14ac:dyDescent="0.2">
      <c r="A1702">
        <v>11701</v>
      </c>
      <c r="B1702" t="s">
        <v>8</v>
      </c>
      <c r="C1702" t="s">
        <v>9</v>
      </c>
      <c r="D1702" s="8">
        <v>5.86</v>
      </c>
      <c r="E1702">
        <v>3</v>
      </c>
      <c r="F1702" t="str">
        <f t="shared" si="104"/>
        <v>Value</v>
      </c>
      <c r="G1702" s="3" cm="1">
        <f t="array" ref="G1702">_xlfn.XLOOKUP(C1702 &amp; F1702,
         [1]unilever_price_limits!A:A &amp; [1]unilever_price_limits!B:B,
         [1]unilever_price_limits!C:C)</f>
        <v>15</v>
      </c>
      <c r="H1702" s="8">
        <f t="shared" si="105"/>
        <v>6.7389999999999999</v>
      </c>
      <c r="I1702" s="6">
        <f t="shared" si="106"/>
        <v>14.999999999999991</v>
      </c>
      <c r="J1702" t="str">
        <f t="shared" si="107"/>
        <v>OK</v>
      </c>
    </row>
    <row r="1703" spans="1:10" x14ac:dyDescent="0.2">
      <c r="A1703">
        <v>11702</v>
      </c>
      <c r="B1703" t="s">
        <v>10</v>
      </c>
      <c r="C1703" t="s">
        <v>11</v>
      </c>
      <c r="D1703" s="8">
        <v>7.83</v>
      </c>
      <c r="E1703">
        <v>10</v>
      </c>
      <c r="F1703" t="str">
        <f t="shared" si="104"/>
        <v>Premium</v>
      </c>
      <c r="G1703" s="3" cm="1">
        <f t="array" ref="G1703">_xlfn.XLOOKUP(C1703 &amp; F1703,
         [1]unilever_price_limits!A:A &amp; [1]unilever_price_limits!B:B,
         [1]unilever_price_limits!C:C)</f>
        <v>50</v>
      </c>
      <c r="H1703" s="8">
        <f t="shared" si="105"/>
        <v>11.745000000000001</v>
      </c>
      <c r="I1703" s="6">
        <f t="shared" si="106"/>
        <v>50.000000000000021</v>
      </c>
      <c r="J1703" t="str">
        <f t="shared" si="107"/>
        <v>OK</v>
      </c>
    </row>
    <row r="1704" spans="1:10" x14ac:dyDescent="0.2">
      <c r="A1704">
        <v>11703</v>
      </c>
      <c r="B1704" t="s">
        <v>5</v>
      </c>
      <c r="C1704" t="s">
        <v>11</v>
      </c>
      <c r="D1704" s="8">
        <v>8.6300000000000008</v>
      </c>
      <c r="E1704">
        <v>7</v>
      </c>
      <c r="F1704" t="str">
        <f t="shared" si="104"/>
        <v>Standard</v>
      </c>
      <c r="G1704" s="3" cm="1">
        <f t="array" ref="G1704">_xlfn.XLOOKUP(C1704 &amp; F1704,
         [1]unilever_price_limits!A:A &amp; [1]unilever_price_limits!B:B,
         [1]unilever_price_limits!C:C)</f>
        <v>25</v>
      </c>
      <c r="H1704" s="8">
        <f t="shared" si="105"/>
        <v>10.787500000000001</v>
      </c>
      <c r="I1704" s="6">
        <f t="shared" si="106"/>
        <v>25</v>
      </c>
      <c r="J1704" t="str">
        <f t="shared" si="107"/>
        <v>OK</v>
      </c>
    </row>
    <row r="1705" spans="1:10" x14ac:dyDescent="0.2">
      <c r="A1705">
        <v>11704</v>
      </c>
      <c r="B1705" t="s">
        <v>5</v>
      </c>
      <c r="C1705" t="s">
        <v>6</v>
      </c>
      <c r="D1705" s="8">
        <v>11.06</v>
      </c>
      <c r="E1705">
        <v>7</v>
      </c>
      <c r="F1705" t="str">
        <f t="shared" si="104"/>
        <v>Standard</v>
      </c>
      <c r="G1705" s="3" cm="1">
        <f t="array" ref="G1705">_xlfn.XLOOKUP(C1705 &amp; F1705,
         [1]unilever_price_limits!A:A &amp; [1]unilever_price_limits!B:B,
         [1]unilever_price_limits!C:C)</f>
        <v>28</v>
      </c>
      <c r="H1705" s="8">
        <f t="shared" si="105"/>
        <v>14.1568</v>
      </c>
      <c r="I1705" s="6">
        <f t="shared" si="106"/>
        <v>28.000000000000004</v>
      </c>
      <c r="J1705" t="str">
        <f t="shared" si="107"/>
        <v>OK</v>
      </c>
    </row>
    <row r="1706" spans="1:10" x14ac:dyDescent="0.2">
      <c r="A1706">
        <v>11705</v>
      </c>
      <c r="B1706" t="s">
        <v>5</v>
      </c>
      <c r="C1706" t="s">
        <v>9</v>
      </c>
      <c r="D1706" s="8">
        <v>5.65</v>
      </c>
      <c r="E1706">
        <v>1</v>
      </c>
      <c r="F1706" t="str">
        <f t="shared" si="104"/>
        <v>Value</v>
      </c>
      <c r="G1706" s="3" cm="1">
        <f t="array" ref="G1706">_xlfn.XLOOKUP(C1706 &amp; F1706,
         [1]unilever_price_limits!A:A &amp; [1]unilever_price_limits!B:B,
         [1]unilever_price_limits!C:C)</f>
        <v>15</v>
      </c>
      <c r="H1706" s="8">
        <f t="shared" si="105"/>
        <v>6.4974999999999996</v>
      </c>
      <c r="I1706" s="6">
        <f t="shared" si="106"/>
        <v>14.999999999999991</v>
      </c>
      <c r="J1706" t="str">
        <f t="shared" si="107"/>
        <v>OK</v>
      </c>
    </row>
    <row r="1707" spans="1:10" x14ac:dyDescent="0.2">
      <c r="A1707">
        <v>11706</v>
      </c>
      <c r="B1707" t="s">
        <v>7</v>
      </c>
      <c r="C1707" t="s">
        <v>6</v>
      </c>
      <c r="D1707" s="8">
        <v>9.3800000000000008</v>
      </c>
      <c r="E1707">
        <v>8</v>
      </c>
      <c r="F1707" t="str">
        <f t="shared" si="104"/>
        <v>Premium</v>
      </c>
      <c r="G1707" s="3" cm="1">
        <f t="array" ref="G1707">_xlfn.XLOOKUP(C1707 &amp; F1707,
         [1]unilever_price_limits!A:A &amp; [1]unilever_price_limits!B:B,
         [1]unilever_price_limits!C:C)</f>
        <v>55</v>
      </c>
      <c r="H1707" s="8">
        <f t="shared" si="105"/>
        <v>14.539000000000001</v>
      </c>
      <c r="I1707" s="6">
        <f t="shared" si="106"/>
        <v>55.000000000000007</v>
      </c>
      <c r="J1707" t="str">
        <f t="shared" si="107"/>
        <v>OK</v>
      </c>
    </row>
    <row r="1708" spans="1:10" x14ac:dyDescent="0.2">
      <c r="A1708">
        <v>11707</v>
      </c>
      <c r="B1708" t="s">
        <v>5</v>
      </c>
      <c r="C1708" t="s">
        <v>11</v>
      </c>
      <c r="D1708" s="8">
        <v>8.99</v>
      </c>
      <c r="E1708">
        <v>4</v>
      </c>
      <c r="F1708" t="str">
        <f t="shared" si="104"/>
        <v>Standard</v>
      </c>
      <c r="G1708" s="3" cm="1">
        <f t="array" ref="G1708">_xlfn.XLOOKUP(C1708 &amp; F1708,
         [1]unilever_price_limits!A:A &amp; [1]unilever_price_limits!B:B,
         [1]unilever_price_limits!C:C)</f>
        <v>25</v>
      </c>
      <c r="H1708" s="8">
        <f t="shared" si="105"/>
        <v>11.237500000000001</v>
      </c>
      <c r="I1708" s="6">
        <f t="shared" si="106"/>
        <v>25</v>
      </c>
      <c r="J1708" t="str">
        <f t="shared" si="107"/>
        <v>OK</v>
      </c>
    </row>
    <row r="1709" spans="1:10" x14ac:dyDescent="0.2">
      <c r="A1709">
        <v>11708</v>
      </c>
      <c r="B1709" t="s">
        <v>10</v>
      </c>
      <c r="C1709" t="s">
        <v>6</v>
      </c>
      <c r="D1709" s="8">
        <v>8.44</v>
      </c>
      <c r="E1709">
        <v>5</v>
      </c>
      <c r="F1709" t="str">
        <f t="shared" si="104"/>
        <v>Standard</v>
      </c>
      <c r="G1709" s="3" cm="1">
        <f t="array" ref="G1709">_xlfn.XLOOKUP(C1709 &amp; F1709,
         [1]unilever_price_limits!A:A &amp; [1]unilever_price_limits!B:B,
         [1]unilever_price_limits!C:C)</f>
        <v>28</v>
      </c>
      <c r="H1709" s="8">
        <f t="shared" si="105"/>
        <v>10.8032</v>
      </c>
      <c r="I1709" s="6">
        <f t="shared" si="106"/>
        <v>28.000000000000004</v>
      </c>
      <c r="J1709" t="str">
        <f t="shared" si="107"/>
        <v>OK</v>
      </c>
    </row>
    <row r="1710" spans="1:10" x14ac:dyDescent="0.2">
      <c r="A1710">
        <v>11709</v>
      </c>
      <c r="B1710" t="s">
        <v>7</v>
      </c>
      <c r="C1710" t="s">
        <v>11</v>
      </c>
      <c r="D1710" s="8">
        <v>9.7899999999999991</v>
      </c>
      <c r="E1710">
        <v>6</v>
      </c>
      <c r="F1710" t="str">
        <f t="shared" si="104"/>
        <v>Standard</v>
      </c>
      <c r="G1710" s="3" cm="1">
        <f t="array" ref="G1710">_xlfn.XLOOKUP(C1710 &amp; F1710,
         [1]unilever_price_limits!A:A &amp; [1]unilever_price_limits!B:B,
         [1]unilever_price_limits!C:C)</f>
        <v>25</v>
      </c>
      <c r="H1710" s="8">
        <f t="shared" si="105"/>
        <v>12.237499999999999</v>
      </c>
      <c r="I1710" s="6">
        <f t="shared" si="106"/>
        <v>25</v>
      </c>
      <c r="J1710" t="str">
        <f t="shared" si="107"/>
        <v>OK</v>
      </c>
    </row>
    <row r="1711" spans="1:10" x14ac:dyDescent="0.2">
      <c r="A1711">
        <v>11710</v>
      </c>
      <c r="B1711" t="s">
        <v>10</v>
      </c>
      <c r="C1711" t="s">
        <v>6</v>
      </c>
      <c r="D1711" s="8">
        <v>4.26</v>
      </c>
      <c r="E1711">
        <v>3</v>
      </c>
      <c r="F1711" t="str">
        <f t="shared" si="104"/>
        <v>Value</v>
      </c>
      <c r="G1711" s="3" cm="1">
        <f t="array" ref="G1711">_xlfn.XLOOKUP(C1711 &amp; F1711,
         [1]unilever_price_limits!A:A &amp; [1]unilever_price_limits!B:B,
         [1]unilever_price_limits!C:C)</f>
        <v>12</v>
      </c>
      <c r="H1711" s="8">
        <f t="shared" si="105"/>
        <v>4.7712000000000003</v>
      </c>
      <c r="I1711" s="6">
        <f t="shared" si="106"/>
        <v>12.000000000000011</v>
      </c>
      <c r="J1711" t="str">
        <f t="shared" si="107"/>
        <v>OK</v>
      </c>
    </row>
    <row r="1712" spans="1:10" x14ac:dyDescent="0.2">
      <c r="A1712">
        <v>11711</v>
      </c>
      <c r="B1712" t="s">
        <v>8</v>
      </c>
      <c r="C1712" t="s">
        <v>6</v>
      </c>
      <c r="D1712" s="8">
        <v>1.73</v>
      </c>
      <c r="E1712">
        <v>5</v>
      </c>
      <c r="F1712" t="str">
        <f t="shared" si="104"/>
        <v>Standard</v>
      </c>
      <c r="G1712" s="3" cm="1">
        <f t="array" ref="G1712">_xlfn.XLOOKUP(C1712 &amp; F1712,
         [1]unilever_price_limits!A:A &amp; [1]unilever_price_limits!B:B,
         [1]unilever_price_limits!C:C)</f>
        <v>28</v>
      </c>
      <c r="H1712" s="8">
        <f t="shared" si="105"/>
        <v>2.2143999999999999</v>
      </c>
      <c r="I1712" s="6">
        <f t="shared" si="106"/>
        <v>28.000000000000004</v>
      </c>
      <c r="J1712" t="str">
        <f t="shared" si="107"/>
        <v>OK</v>
      </c>
    </row>
    <row r="1713" spans="1:10" x14ac:dyDescent="0.2">
      <c r="A1713">
        <v>11712</v>
      </c>
      <c r="B1713" t="s">
        <v>8</v>
      </c>
      <c r="C1713" t="s">
        <v>9</v>
      </c>
      <c r="D1713" s="8">
        <v>2.23</v>
      </c>
      <c r="E1713">
        <v>10</v>
      </c>
      <c r="F1713" t="str">
        <f t="shared" si="104"/>
        <v>Premium</v>
      </c>
      <c r="G1713" s="3" cm="1">
        <f t="array" ref="G1713">_xlfn.XLOOKUP(C1713 &amp; F1713,
         [1]unilever_price_limits!A:A &amp; [1]unilever_price_limits!B:B,
         [1]unilever_price_limits!C:C)</f>
        <v>60</v>
      </c>
      <c r="H1713" s="8">
        <f t="shared" si="105"/>
        <v>3.5680000000000001</v>
      </c>
      <c r="I1713" s="6">
        <f t="shared" si="106"/>
        <v>60.000000000000007</v>
      </c>
      <c r="J1713" t="str">
        <f t="shared" si="107"/>
        <v>OK</v>
      </c>
    </row>
    <row r="1714" spans="1:10" x14ac:dyDescent="0.2">
      <c r="A1714">
        <v>11713</v>
      </c>
      <c r="B1714" t="s">
        <v>8</v>
      </c>
      <c r="C1714" t="s">
        <v>6</v>
      </c>
      <c r="D1714" s="8">
        <v>3.76</v>
      </c>
      <c r="E1714">
        <v>5</v>
      </c>
      <c r="F1714" t="str">
        <f t="shared" si="104"/>
        <v>Standard</v>
      </c>
      <c r="G1714" s="3" cm="1">
        <f t="array" ref="G1714">_xlfn.XLOOKUP(C1714 &amp; F1714,
         [1]unilever_price_limits!A:A &amp; [1]unilever_price_limits!B:B,
         [1]unilever_price_limits!C:C)</f>
        <v>28</v>
      </c>
      <c r="H1714" s="8">
        <f t="shared" si="105"/>
        <v>4.8128000000000002</v>
      </c>
      <c r="I1714" s="6">
        <f t="shared" si="106"/>
        <v>28.000000000000004</v>
      </c>
      <c r="J1714" t="str">
        <f t="shared" si="107"/>
        <v>OK</v>
      </c>
    </row>
    <row r="1715" spans="1:10" x14ac:dyDescent="0.2">
      <c r="A1715">
        <v>11714</v>
      </c>
      <c r="B1715" t="s">
        <v>8</v>
      </c>
      <c r="C1715" t="s">
        <v>9</v>
      </c>
      <c r="D1715" s="8">
        <v>7.75</v>
      </c>
      <c r="E1715">
        <v>1</v>
      </c>
      <c r="F1715" t="str">
        <f t="shared" si="104"/>
        <v>Value</v>
      </c>
      <c r="G1715" s="3" cm="1">
        <f t="array" ref="G1715">_xlfn.XLOOKUP(C1715 &amp; F1715,
         [1]unilever_price_limits!A:A &amp; [1]unilever_price_limits!B:B,
         [1]unilever_price_limits!C:C)</f>
        <v>15</v>
      </c>
      <c r="H1715" s="8">
        <f t="shared" si="105"/>
        <v>8.9124999999999996</v>
      </c>
      <c r="I1715" s="6">
        <f t="shared" si="106"/>
        <v>14.999999999999991</v>
      </c>
      <c r="J1715" t="str">
        <f t="shared" si="107"/>
        <v>OK</v>
      </c>
    </row>
    <row r="1716" spans="1:10" x14ac:dyDescent="0.2">
      <c r="A1716">
        <v>11715</v>
      </c>
      <c r="B1716" t="s">
        <v>10</v>
      </c>
      <c r="C1716" t="s">
        <v>9</v>
      </c>
      <c r="D1716" s="8">
        <v>12.69</v>
      </c>
      <c r="E1716">
        <v>3</v>
      </c>
      <c r="F1716" t="str">
        <f t="shared" si="104"/>
        <v>Value</v>
      </c>
      <c r="G1716" s="3" cm="1">
        <f t="array" ref="G1716">_xlfn.XLOOKUP(C1716 &amp; F1716,
         [1]unilever_price_limits!A:A &amp; [1]unilever_price_limits!B:B,
         [1]unilever_price_limits!C:C)</f>
        <v>15</v>
      </c>
      <c r="H1716" s="8">
        <f t="shared" si="105"/>
        <v>14.593499999999999</v>
      </c>
      <c r="I1716" s="6">
        <f t="shared" si="106"/>
        <v>14.999999999999991</v>
      </c>
      <c r="J1716" t="str">
        <f t="shared" si="107"/>
        <v>OK</v>
      </c>
    </row>
    <row r="1717" spans="1:10" x14ac:dyDescent="0.2">
      <c r="A1717">
        <v>11716</v>
      </c>
      <c r="B1717" t="s">
        <v>7</v>
      </c>
      <c r="C1717" t="s">
        <v>9</v>
      </c>
      <c r="D1717" s="8">
        <v>10.67</v>
      </c>
      <c r="E1717">
        <v>3</v>
      </c>
      <c r="F1717" t="str">
        <f t="shared" si="104"/>
        <v>Value</v>
      </c>
      <c r="G1717" s="3" cm="1">
        <f t="array" ref="G1717">_xlfn.XLOOKUP(C1717 &amp; F1717,
         [1]unilever_price_limits!A:A &amp; [1]unilever_price_limits!B:B,
         [1]unilever_price_limits!C:C)</f>
        <v>15</v>
      </c>
      <c r="H1717" s="8">
        <f t="shared" si="105"/>
        <v>12.270499999999998</v>
      </c>
      <c r="I1717" s="6">
        <f t="shared" si="106"/>
        <v>14.999999999999991</v>
      </c>
      <c r="J1717" t="str">
        <f t="shared" si="107"/>
        <v>OK</v>
      </c>
    </row>
    <row r="1718" spans="1:10" x14ac:dyDescent="0.2">
      <c r="A1718">
        <v>11717</v>
      </c>
      <c r="B1718" t="s">
        <v>7</v>
      </c>
      <c r="C1718" t="s">
        <v>9</v>
      </c>
      <c r="D1718" s="8">
        <v>11.94</v>
      </c>
      <c r="E1718">
        <v>1</v>
      </c>
      <c r="F1718" t="str">
        <f t="shared" si="104"/>
        <v>Value</v>
      </c>
      <c r="G1718" s="3" cm="1">
        <f t="array" ref="G1718">_xlfn.XLOOKUP(C1718 &amp; F1718,
         [1]unilever_price_limits!A:A &amp; [1]unilever_price_limits!B:B,
         [1]unilever_price_limits!C:C)</f>
        <v>15</v>
      </c>
      <c r="H1718" s="8">
        <f t="shared" si="105"/>
        <v>13.730999999999998</v>
      </c>
      <c r="I1718" s="6">
        <f t="shared" si="106"/>
        <v>14.999999999999991</v>
      </c>
      <c r="J1718" t="str">
        <f t="shared" si="107"/>
        <v>OK</v>
      </c>
    </row>
    <row r="1719" spans="1:10" x14ac:dyDescent="0.2">
      <c r="A1719">
        <v>11718</v>
      </c>
      <c r="B1719" t="s">
        <v>5</v>
      </c>
      <c r="C1719" t="s">
        <v>6</v>
      </c>
      <c r="D1719" s="8">
        <v>5.59</v>
      </c>
      <c r="E1719">
        <v>7</v>
      </c>
      <c r="F1719" t="str">
        <f t="shared" si="104"/>
        <v>Standard</v>
      </c>
      <c r="G1719" s="3" cm="1">
        <f t="array" ref="G1719">_xlfn.XLOOKUP(C1719 &amp; F1719,
         [1]unilever_price_limits!A:A &amp; [1]unilever_price_limits!B:B,
         [1]unilever_price_limits!C:C)</f>
        <v>28</v>
      </c>
      <c r="H1719" s="8">
        <f t="shared" si="105"/>
        <v>7.1551999999999998</v>
      </c>
      <c r="I1719" s="6">
        <f t="shared" si="106"/>
        <v>28.000000000000004</v>
      </c>
      <c r="J1719" t="str">
        <f t="shared" si="107"/>
        <v>OK</v>
      </c>
    </row>
    <row r="1720" spans="1:10" x14ac:dyDescent="0.2">
      <c r="A1720">
        <v>11719</v>
      </c>
      <c r="B1720" t="s">
        <v>10</v>
      </c>
      <c r="C1720" t="s">
        <v>11</v>
      </c>
      <c r="D1720" s="8">
        <v>6.37</v>
      </c>
      <c r="E1720">
        <v>1</v>
      </c>
      <c r="F1720" t="str">
        <f t="shared" si="104"/>
        <v>Value</v>
      </c>
      <c r="G1720" s="3" cm="1">
        <f t="array" ref="G1720">_xlfn.XLOOKUP(C1720 &amp; F1720,
         [1]unilever_price_limits!A:A &amp; [1]unilever_price_limits!B:B,
         [1]unilever_price_limits!C:C)</f>
        <v>10</v>
      </c>
      <c r="H1720" s="8">
        <f t="shared" si="105"/>
        <v>7.0070000000000006</v>
      </c>
      <c r="I1720" s="6">
        <f t="shared" si="106"/>
        <v>10.000000000000009</v>
      </c>
      <c r="J1720" t="str">
        <f t="shared" si="107"/>
        <v>OK</v>
      </c>
    </row>
    <row r="1721" spans="1:10" x14ac:dyDescent="0.2">
      <c r="A1721">
        <v>11720</v>
      </c>
      <c r="B1721" t="s">
        <v>8</v>
      </c>
      <c r="C1721" t="s">
        <v>11</v>
      </c>
      <c r="D1721" s="8">
        <v>6.21</v>
      </c>
      <c r="E1721">
        <v>7</v>
      </c>
      <c r="F1721" t="str">
        <f t="shared" si="104"/>
        <v>Standard</v>
      </c>
      <c r="G1721" s="3" cm="1">
        <f t="array" ref="G1721">_xlfn.XLOOKUP(C1721 &amp; F1721,
         [1]unilever_price_limits!A:A &amp; [1]unilever_price_limits!B:B,
         [1]unilever_price_limits!C:C)</f>
        <v>25</v>
      </c>
      <c r="H1721" s="8">
        <f t="shared" si="105"/>
        <v>7.7625000000000002</v>
      </c>
      <c r="I1721" s="6">
        <f t="shared" si="106"/>
        <v>25</v>
      </c>
      <c r="J1721" t="str">
        <f t="shared" si="107"/>
        <v>OK</v>
      </c>
    </row>
    <row r="1722" spans="1:10" x14ac:dyDescent="0.2">
      <c r="A1722">
        <v>11721</v>
      </c>
      <c r="B1722" t="s">
        <v>10</v>
      </c>
      <c r="C1722" t="s">
        <v>11</v>
      </c>
      <c r="D1722" s="8">
        <v>3.28</v>
      </c>
      <c r="E1722">
        <v>4</v>
      </c>
      <c r="F1722" t="str">
        <f t="shared" si="104"/>
        <v>Standard</v>
      </c>
      <c r="G1722" s="3" cm="1">
        <f t="array" ref="G1722">_xlfn.XLOOKUP(C1722 &amp; F1722,
         [1]unilever_price_limits!A:A &amp; [1]unilever_price_limits!B:B,
         [1]unilever_price_limits!C:C)</f>
        <v>25</v>
      </c>
      <c r="H1722" s="8">
        <f t="shared" si="105"/>
        <v>4.0999999999999996</v>
      </c>
      <c r="I1722" s="6">
        <f t="shared" si="106"/>
        <v>25</v>
      </c>
      <c r="J1722" t="str">
        <f t="shared" si="107"/>
        <v>OK</v>
      </c>
    </row>
    <row r="1723" spans="1:10" x14ac:dyDescent="0.2">
      <c r="A1723">
        <v>11722</v>
      </c>
      <c r="B1723" t="s">
        <v>5</v>
      </c>
      <c r="C1723" t="s">
        <v>6</v>
      </c>
      <c r="D1723" s="8">
        <v>1.39</v>
      </c>
      <c r="E1723">
        <v>9</v>
      </c>
      <c r="F1723" t="str">
        <f t="shared" si="104"/>
        <v>Premium</v>
      </c>
      <c r="G1723" s="3" cm="1">
        <f t="array" ref="G1723">_xlfn.XLOOKUP(C1723 &amp; F1723,
         [1]unilever_price_limits!A:A &amp; [1]unilever_price_limits!B:B,
         [1]unilever_price_limits!C:C)</f>
        <v>55</v>
      </c>
      <c r="H1723" s="8">
        <f t="shared" si="105"/>
        <v>2.1545000000000001</v>
      </c>
      <c r="I1723" s="6">
        <f t="shared" si="106"/>
        <v>55.000000000000028</v>
      </c>
      <c r="J1723" t="str">
        <f t="shared" si="107"/>
        <v>OK</v>
      </c>
    </row>
    <row r="1724" spans="1:10" x14ac:dyDescent="0.2">
      <c r="A1724">
        <v>11723</v>
      </c>
      <c r="B1724" t="s">
        <v>5</v>
      </c>
      <c r="C1724" t="s">
        <v>9</v>
      </c>
      <c r="D1724" s="8">
        <v>9.07</v>
      </c>
      <c r="E1724">
        <v>7</v>
      </c>
      <c r="F1724" t="str">
        <f t="shared" si="104"/>
        <v>Standard</v>
      </c>
      <c r="G1724" s="3" cm="1">
        <f t="array" ref="G1724">_xlfn.XLOOKUP(C1724 &amp; F1724,
         [1]unilever_price_limits!A:A &amp; [1]unilever_price_limits!B:B,
         [1]unilever_price_limits!C:C)</f>
        <v>30</v>
      </c>
      <c r="H1724" s="8">
        <f t="shared" si="105"/>
        <v>11.791</v>
      </c>
      <c r="I1724" s="6">
        <f t="shared" si="106"/>
        <v>30.000000000000004</v>
      </c>
      <c r="J1724" t="str">
        <f t="shared" si="107"/>
        <v>OK</v>
      </c>
    </row>
    <row r="1725" spans="1:10" x14ac:dyDescent="0.2">
      <c r="A1725">
        <v>11724</v>
      </c>
      <c r="B1725" t="s">
        <v>10</v>
      </c>
      <c r="C1725" t="s">
        <v>11</v>
      </c>
      <c r="D1725" s="8">
        <v>14.84</v>
      </c>
      <c r="E1725">
        <v>5</v>
      </c>
      <c r="F1725" t="str">
        <f t="shared" si="104"/>
        <v>Standard</v>
      </c>
      <c r="G1725" s="3" cm="1">
        <f t="array" ref="G1725">_xlfn.XLOOKUP(C1725 &amp; F1725,
         [1]unilever_price_limits!A:A &amp; [1]unilever_price_limits!B:B,
         [1]unilever_price_limits!C:C)</f>
        <v>25</v>
      </c>
      <c r="H1725" s="8">
        <f t="shared" si="105"/>
        <v>18.55</v>
      </c>
      <c r="I1725" s="6">
        <f t="shared" si="106"/>
        <v>25</v>
      </c>
      <c r="J1725" t="str">
        <f t="shared" si="107"/>
        <v>OK</v>
      </c>
    </row>
    <row r="1726" spans="1:10" x14ac:dyDescent="0.2">
      <c r="A1726">
        <v>11725</v>
      </c>
      <c r="B1726" t="s">
        <v>10</v>
      </c>
      <c r="C1726" t="s">
        <v>6</v>
      </c>
      <c r="D1726" s="8">
        <v>2.92</v>
      </c>
      <c r="E1726">
        <v>7</v>
      </c>
      <c r="F1726" t="str">
        <f t="shared" si="104"/>
        <v>Standard</v>
      </c>
      <c r="G1726" s="3" cm="1">
        <f t="array" ref="G1726">_xlfn.XLOOKUP(C1726 &amp; F1726,
         [1]unilever_price_limits!A:A &amp; [1]unilever_price_limits!B:B,
         [1]unilever_price_limits!C:C)</f>
        <v>28</v>
      </c>
      <c r="H1726" s="8">
        <f t="shared" si="105"/>
        <v>3.7376</v>
      </c>
      <c r="I1726" s="6">
        <f t="shared" si="106"/>
        <v>28.000000000000004</v>
      </c>
      <c r="J1726" t="str">
        <f t="shared" si="107"/>
        <v>OK</v>
      </c>
    </row>
    <row r="1727" spans="1:10" x14ac:dyDescent="0.2">
      <c r="A1727">
        <v>11726</v>
      </c>
      <c r="B1727" t="s">
        <v>10</v>
      </c>
      <c r="C1727" t="s">
        <v>9</v>
      </c>
      <c r="D1727" s="8">
        <v>1.18</v>
      </c>
      <c r="E1727">
        <v>9</v>
      </c>
      <c r="F1727" t="str">
        <f t="shared" si="104"/>
        <v>Premium</v>
      </c>
      <c r="G1727" s="3" cm="1">
        <f t="array" ref="G1727">_xlfn.XLOOKUP(C1727 &amp; F1727,
         [1]unilever_price_limits!A:A &amp; [1]unilever_price_limits!B:B,
         [1]unilever_price_limits!C:C)</f>
        <v>60</v>
      </c>
      <c r="H1727" s="8">
        <f t="shared" si="105"/>
        <v>1.8879999999999999</v>
      </c>
      <c r="I1727" s="6">
        <f t="shared" si="106"/>
        <v>60.000000000000007</v>
      </c>
      <c r="J1727" t="str">
        <f t="shared" si="107"/>
        <v>OK</v>
      </c>
    </row>
    <row r="1728" spans="1:10" x14ac:dyDescent="0.2">
      <c r="A1728">
        <v>11727</v>
      </c>
      <c r="B1728" t="s">
        <v>7</v>
      </c>
      <c r="C1728" t="s">
        <v>11</v>
      </c>
      <c r="D1728" s="8">
        <v>11.8</v>
      </c>
      <c r="E1728">
        <v>10</v>
      </c>
      <c r="F1728" t="str">
        <f t="shared" si="104"/>
        <v>Premium</v>
      </c>
      <c r="G1728" s="3" cm="1">
        <f t="array" ref="G1728">_xlfn.XLOOKUP(C1728 &amp; F1728,
         [1]unilever_price_limits!A:A &amp; [1]unilever_price_limits!B:B,
         [1]unilever_price_limits!C:C)</f>
        <v>50</v>
      </c>
      <c r="H1728" s="8">
        <f t="shared" si="105"/>
        <v>17.700000000000003</v>
      </c>
      <c r="I1728" s="6">
        <f t="shared" si="106"/>
        <v>50.000000000000021</v>
      </c>
      <c r="J1728" t="str">
        <f t="shared" si="107"/>
        <v>OK</v>
      </c>
    </row>
    <row r="1729" spans="1:10" x14ac:dyDescent="0.2">
      <c r="A1729">
        <v>11728</v>
      </c>
      <c r="B1729" t="s">
        <v>8</v>
      </c>
      <c r="C1729" t="s">
        <v>9</v>
      </c>
      <c r="D1729" s="8">
        <v>4.16</v>
      </c>
      <c r="E1729">
        <v>6</v>
      </c>
      <c r="F1729" t="str">
        <f t="shared" si="104"/>
        <v>Standard</v>
      </c>
      <c r="G1729" s="3" cm="1">
        <f t="array" ref="G1729">_xlfn.XLOOKUP(C1729 &amp; F1729,
         [1]unilever_price_limits!A:A &amp; [1]unilever_price_limits!B:B,
         [1]unilever_price_limits!C:C)</f>
        <v>30</v>
      </c>
      <c r="H1729" s="8">
        <f t="shared" si="105"/>
        <v>5.4080000000000004</v>
      </c>
      <c r="I1729" s="6">
        <f t="shared" si="106"/>
        <v>30.000000000000004</v>
      </c>
      <c r="J1729" t="str">
        <f t="shared" si="107"/>
        <v>OK</v>
      </c>
    </row>
    <row r="1730" spans="1:10" x14ac:dyDescent="0.2">
      <c r="A1730">
        <v>11729</v>
      </c>
      <c r="B1730" t="s">
        <v>10</v>
      </c>
      <c r="C1730" t="s">
        <v>11</v>
      </c>
      <c r="D1730" s="8">
        <v>12.53</v>
      </c>
      <c r="E1730">
        <v>1</v>
      </c>
      <c r="F1730" t="str">
        <f t="shared" si="104"/>
        <v>Value</v>
      </c>
      <c r="G1730" s="3" cm="1">
        <f t="array" ref="G1730">_xlfn.XLOOKUP(C1730 &amp; F1730,
         [1]unilever_price_limits!A:A &amp; [1]unilever_price_limits!B:B,
         [1]unilever_price_limits!C:C)</f>
        <v>10</v>
      </c>
      <c r="H1730" s="8">
        <f t="shared" si="105"/>
        <v>13.783000000000001</v>
      </c>
      <c r="I1730" s="6">
        <f t="shared" si="106"/>
        <v>10.000000000000009</v>
      </c>
      <c r="J1730" t="str">
        <f t="shared" si="107"/>
        <v>OK</v>
      </c>
    </row>
    <row r="1731" spans="1:10" x14ac:dyDescent="0.2">
      <c r="A1731">
        <v>11730</v>
      </c>
      <c r="B1731" t="s">
        <v>10</v>
      </c>
      <c r="C1731" t="s">
        <v>11</v>
      </c>
      <c r="D1731" s="8">
        <v>10.71</v>
      </c>
      <c r="E1731">
        <v>6</v>
      </c>
      <c r="F1731" t="str">
        <f t="shared" ref="F1731:F1794" si="108">IF(E1731&lt;=3,"Value",
 IF(E1731&lt;=7,"Standard","Premium"))</f>
        <v>Standard</v>
      </c>
      <c r="G1731" s="3" cm="1">
        <f t="array" ref="G1731">_xlfn.XLOOKUP(C1731 &amp; F1731,
         [1]unilever_price_limits!A:A &amp; [1]unilever_price_limits!B:B,
         [1]unilever_price_limits!C:C)</f>
        <v>25</v>
      </c>
      <c r="H1731" s="8">
        <f t="shared" ref="H1731:H1794" si="109">D1731 * (1 + G1731/100)</f>
        <v>13.387500000000001</v>
      </c>
      <c r="I1731" s="6">
        <f t="shared" ref="I1731:I1794" si="110">(H1731 / D1731 - 1) * 100</f>
        <v>25</v>
      </c>
      <c r="J1731" t="str">
        <f t="shared" ref="J1731:J1794" si="111">IF(I1730&gt; G1730, "⚠ Exceeds Limit", "OK")</f>
        <v>OK</v>
      </c>
    </row>
    <row r="1732" spans="1:10" x14ac:dyDescent="0.2">
      <c r="A1732">
        <v>11731</v>
      </c>
      <c r="B1732" t="s">
        <v>10</v>
      </c>
      <c r="C1732" t="s">
        <v>11</v>
      </c>
      <c r="D1732" s="8">
        <v>14.21</v>
      </c>
      <c r="E1732">
        <v>1</v>
      </c>
      <c r="F1732" t="str">
        <f t="shared" si="108"/>
        <v>Value</v>
      </c>
      <c r="G1732" s="3" cm="1">
        <f t="array" ref="G1732">_xlfn.XLOOKUP(C1732 &amp; F1732,
         [1]unilever_price_limits!A:A &amp; [1]unilever_price_limits!B:B,
         [1]unilever_price_limits!C:C)</f>
        <v>10</v>
      </c>
      <c r="H1732" s="8">
        <f t="shared" si="109"/>
        <v>15.631000000000002</v>
      </c>
      <c r="I1732" s="6">
        <f t="shared" si="110"/>
        <v>10.000000000000009</v>
      </c>
      <c r="J1732" t="str">
        <f t="shared" si="111"/>
        <v>OK</v>
      </c>
    </row>
    <row r="1733" spans="1:10" x14ac:dyDescent="0.2">
      <c r="A1733">
        <v>11732</v>
      </c>
      <c r="B1733" t="s">
        <v>5</v>
      </c>
      <c r="C1733" t="s">
        <v>9</v>
      </c>
      <c r="D1733" s="8">
        <v>6.43</v>
      </c>
      <c r="E1733">
        <v>4</v>
      </c>
      <c r="F1733" t="str">
        <f t="shared" si="108"/>
        <v>Standard</v>
      </c>
      <c r="G1733" s="3" cm="1">
        <f t="array" ref="G1733">_xlfn.XLOOKUP(C1733 &amp; F1733,
         [1]unilever_price_limits!A:A &amp; [1]unilever_price_limits!B:B,
         [1]unilever_price_limits!C:C)</f>
        <v>30</v>
      </c>
      <c r="H1733" s="8">
        <f t="shared" si="109"/>
        <v>8.359</v>
      </c>
      <c r="I1733" s="6">
        <f t="shared" si="110"/>
        <v>30.000000000000004</v>
      </c>
      <c r="J1733" t="str">
        <f t="shared" si="111"/>
        <v>OK</v>
      </c>
    </row>
    <row r="1734" spans="1:10" x14ac:dyDescent="0.2">
      <c r="A1734">
        <v>11733</v>
      </c>
      <c r="B1734" t="s">
        <v>5</v>
      </c>
      <c r="C1734" t="s">
        <v>6</v>
      </c>
      <c r="D1734" s="8">
        <v>10.1</v>
      </c>
      <c r="E1734">
        <v>8</v>
      </c>
      <c r="F1734" t="str">
        <f t="shared" si="108"/>
        <v>Premium</v>
      </c>
      <c r="G1734" s="3" cm="1">
        <f t="array" ref="G1734">_xlfn.XLOOKUP(C1734 &amp; F1734,
         [1]unilever_price_limits!A:A &amp; [1]unilever_price_limits!B:B,
         [1]unilever_price_limits!C:C)</f>
        <v>55</v>
      </c>
      <c r="H1734" s="8">
        <f t="shared" si="109"/>
        <v>15.654999999999999</v>
      </c>
      <c r="I1734" s="6">
        <f t="shared" si="110"/>
        <v>55.000000000000007</v>
      </c>
      <c r="J1734" t="str">
        <f t="shared" si="111"/>
        <v>OK</v>
      </c>
    </row>
    <row r="1735" spans="1:10" x14ac:dyDescent="0.2">
      <c r="A1735">
        <v>11734</v>
      </c>
      <c r="B1735" t="s">
        <v>7</v>
      </c>
      <c r="C1735" t="s">
        <v>9</v>
      </c>
      <c r="D1735" s="8">
        <v>7.24</v>
      </c>
      <c r="E1735">
        <v>5</v>
      </c>
      <c r="F1735" t="str">
        <f t="shared" si="108"/>
        <v>Standard</v>
      </c>
      <c r="G1735" s="3" cm="1">
        <f t="array" ref="G1735">_xlfn.XLOOKUP(C1735 &amp; F1735,
         [1]unilever_price_limits!A:A &amp; [1]unilever_price_limits!B:B,
         [1]unilever_price_limits!C:C)</f>
        <v>30</v>
      </c>
      <c r="H1735" s="8">
        <f t="shared" si="109"/>
        <v>9.4120000000000008</v>
      </c>
      <c r="I1735" s="6">
        <f t="shared" si="110"/>
        <v>30.000000000000004</v>
      </c>
      <c r="J1735" t="str">
        <f t="shared" si="111"/>
        <v>OK</v>
      </c>
    </row>
    <row r="1736" spans="1:10" x14ac:dyDescent="0.2">
      <c r="A1736">
        <v>11735</v>
      </c>
      <c r="B1736" t="s">
        <v>8</v>
      </c>
      <c r="C1736" t="s">
        <v>11</v>
      </c>
      <c r="D1736" s="8">
        <v>9.64</v>
      </c>
      <c r="E1736">
        <v>5</v>
      </c>
      <c r="F1736" t="str">
        <f t="shared" si="108"/>
        <v>Standard</v>
      </c>
      <c r="G1736" s="3" cm="1">
        <f t="array" ref="G1736">_xlfn.XLOOKUP(C1736 &amp; F1736,
         [1]unilever_price_limits!A:A &amp; [1]unilever_price_limits!B:B,
         [1]unilever_price_limits!C:C)</f>
        <v>25</v>
      </c>
      <c r="H1736" s="8">
        <f t="shared" si="109"/>
        <v>12.05</v>
      </c>
      <c r="I1736" s="6">
        <f t="shared" si="110"/>
        <v>25</v>
      </c>
      <c r="J1736" t="str">
        <f t="shared" si="111"/>
        <v>OK</v>
      </c>
    </row>
    <row r="1737" spans="1:10" x14ac:dyDescent="0.2">
      <c r="A1737">
        <v>11736</v>
      </c>
      <c r="B1737" t="s">
        <v>7</v>
      </c>
      <c r="C1737" t="s">
        <v>9</v>
      </c>
      <c r="D1737" s="8">
        <v>7.02</v>
      </c>
      <c r="E1737">
        <v>10</v>
      </c>
      <c r="F1737" t="str">
        <f t="shared" si="108"/>
        <v>Premium</v>
      </c>
      <c r="G1737" s="3" cm="1">
        <f t="array" ref="G1737">_xlfn.XLOOKUP(C1737 &amp; F1737,
         [1]unilever_price_limits!A:A &amp; [1]unilever_price_limits!B:B,
         [1]unilever_price_limits!C:C)</f>
        <v>60</v>
      </c>
      <c r="H1737" s="8">
        <f t="shared" si="109"/>
        <v>11.231999999999999</v>
      </c>
      <c r="I1737" s="6">
        <f t="shared" si="110"/>
        <v>60.000000000000007</v>
      </c>
      <c r="J1737" t="str">
        <f t="shared" si="111"/>
        <v>OK</v>
      </c>
    </row>
    <row r="1738" spans="1:10" x14ac:dyDescent="0.2">
      <c r="A1738">
        <v>11737</v>
      </c>
      <c r="B1738" t="s">
        <v>8</v>
      </c>
      <c r="C1738" t="s">
        <v>6</v>
      </c>
      <c r="D1738" s="8">
        <v>3.24</v>
      </c>
      <c r="E1738">
        <v>8</v>
      </c>
      <c r="F1738" t="str">
        <f t="shared" si="108"/>
        <v>Premium</v>
      </c>
      <c r="G1738" s="3" cm="1">
        <f t="array" ref="G1738">_xlfn.XLOOKUP(C1738 &amp; F1738,
         [1]unilever_price_limits!A:A &amp; [1]unilever_price_limits!B:B,
         [1]unilever_price_limits!C:C)</f>
        <v>55</v>
      </c>
      <c r="H1738" s="8">
        <f t="shared" si="109"/>
        <v>5.0220000000000002</v>
      </c>
      <c r="I1738" s="6">
        <f t="shared" si="110"/>
        <v>55.000000000000007</v>
      </c>
      <c r="J1738" t="str">
        <f t="shared" si="111"/>
        <v>OK</v>
      </c>
    </row>
    <row r="1739" spans="1:10" x14ac:dyDescent="0.2">
      <c r="A1739">
        <v>11738</v>
      </c>
      <c r="B1739" t="s">
        <v>5</v>
      </c>
      <c r="C1739" t="s">
        <v>9</v>
      </c>
      <c r="D1739" s="8">
        <v>7.86</v>
      </c>
      <c r="E1739">
        <v>8</v>
      </c>
      <c r="F1739" t="str">
        <f t="shared" si="108"/>
        <v>Premium</v>
      </c>
      <c r="G1739" s="3" cm="1">
        <f t="array" ref="G1739">_xlfn.XLOOKUP(C1739 &amp; F1739,
         [1]unilever_price_limits!A:A &amp; [1]unilever_price_limits!B:B,
         [1]unilever_price_limits!C:C)</f>
        <v>60</v>
      </c>
      <c r="H1739" s="8">
        <f t="shared" si="109"/>
        <v>12.576000000000001</v>
      </c>
      <c r="I1739" s="6">
        <f t="shared" si="110"/>
        <v>60.000000000000007</v>
      </c>
      <c r="J1739" t="str">
        <f t="shared" si="111"/>
        <v>OK</v>
      </c>
    </row>
    <row r="1740" spans="1:10" x14ac:dyDescent="0.2">
      <c r="A1740">
        <v>11739</v>
      </c>
      <c r="B1740" t="s">
        <v>5</v>
      </c>
      <c r="C1740" t="s">
        <v>6</v>
      </c>
      <c r="D1740" s="8">
        <v>8.16</v>
      </c>
      <c r="E1740">
        <v>1</v>
      </c>
      <c r="F1740" t="str">
        <f t="shared" si="108"/>
        <v>Value</v>
      </c>
      <c r="G1740" s="3" cm="1">
        <f t="array" ref="G1740">_xlfn.XLOOKUP(C1740 &amp; F1740,
         [1]unilever_price_limits!A:A &amp; [1]unilever_price_limits!B:B,
         [1]unilever_price_limits!C:C)</f>
        <v>12</v>
      </c>
      <c r="H1740" s="8">
        <f t="shared" si="109"/>
        <v>9.1392000000000007</v>
      </c>
      <c r="I1740" s="6">
        <f t="shared" si="110"/>
        <v>12.000000000000011</v>
      </c>
      <c r="J1740" t="str">
        <f t="shared" si="111"/>
        <v>OK</v>
      </c>
    </row>
    <row r="1741" spans="1:10" x14ac:dyDescent="0.2">
      <c r="A1741">
        <v>11740</v>
      </c>
      <c r="B1741" t="s">
        <v>5</v>
      </c>
      <c r="C1741" t="s">
        <v>6</v>
      </c>
      <c r="D1741" s="8">
        <v>12.25</v>
      </c>
      <c r="E1741">
        <v>5</v>
      </c>
      <c r="F1741" t="str">
        <f t="shared" si="108"/>
        <v>Standard</v>
      </c>
      <c r="G1741" s="3" cm="1">
        <f t="array" ref="G1741">_xlfn.XLOOKUP(C1741 &amp; F1741,
         [1]unilever_price_limits!A:A &amp; [1]unilever_price_limits!B:B,
         [1]unilever_price_limits!C:C)</f>
        <v>28</v>
      </c>
      <c r="H1741" s="8">
        <f t="shared" si="109"/>
        <v>15.68</v>
      </c>
      <c r="I1741" s="6">
        <f t="shared" si="110"/>
        <v>28.000000000000004</v>
      </c>
      <c r="J1741" t="str">
        <f t="shared" si="111"/>
        <v>OK</v>
      </c>
    </row>
    <row r="1742" spans="1:10" x14ac:dyDescent="0.2">
      <c r="A1742">
        <v>11741</v>
      </c>
      <c r="B1742" t="s">
        <v>7</v>
      </c>
      <c r="C1742" t="s">
        <v>9</v>
      </c>
      <c r="D1742" s="8">
        <v>11.17</v>
      </c>
      <c r="E1742">
        <v>5</v>
      </c>
      <c r="F1742" t="str">
        <f t="shared" si="108"/>
        <v>Standard</v>
      </c>
      <c r="G1742" s="3" cm="1">
        <f t="array" ref="G1742">_xlfn.XLOOKUP(C1742 &amp; F1742,
         [1]unilever_price_limits!A:A &amp; [1]unilever_price_limits!B:B,
         [1]unilever_price_limits!C:C)</f>
        <v>30</v>
      </c>
      <c r="H1742" s="8">
        <f t="shared" si="109"/>
        <v>14.521000000000001</v>
      </c>
      <c r="I1742" s="6">
        <f t="shared" si="110"/>
        <v>30.000000000000004</v>
      </c>
      <c r="J1742" t="str">
        <f t="shared" si="111"/>
        <v>OK</v>
      </c>
    </row>
    <row r="1743" spans="1:10" x14ac:dyDescent="0.2">
      <c r="A1743">
        <v>11742</v>
      </c>
      <c r="B1743" t="s">
        <v>10</v>
      </c>
      <c r="C1743" t="s">
        <v>11</v>
      </c>
      <c r="D1743" s="8">
        <v>10.119999999999999</v>
      </c>
      <c r="E1743">
        <v>8</v>
      </c>
      <c r="F1743" t="str">
        <f t="shared" si="108"/>
        <v>Premium</v>
      </c>
      <c r="G1743" s="3" cm="1">
        <f t="array" ref="G1743">_xlfn.XLOOKUP(C1743 &amp; F1743,
         [1]unilever_price_limits!A:A &amp; [1]unilever_price_limits!B:B,
         [1]unilever_price_limits!C:C)</f>
        <v>50</v>
      </c>
      <c r="H1743" s="8">
        <f t="shared" si="109"/>
        <v>15.18</v>
      </c>
      <c r="I1743" s="6">
        <f t="shared" si="110"/>
        <v>50</v>
      </c>
      <c r="J1743" t="str">
        <f t="shared" si="111"/>
        <v>OK</v>
      </c>
    </row>
    <row r="1744" spans="1:10" x14ac:dyDescent="0.2">
      <c r="A1744">
        <v>11743</v>
      </c>
      <c r="B1744" t="s">
        <v>10</v>
      </c>
      <c r="C1744" t="s">
        <v>6</v>
      </c>
      <c r="D1744" s="8">
        <v>2.14</v>
      </c>
      <c r="E1744">
        <v>1</v>
      </c>
      <c r="F1744" t="str">
        <f t="shared" si="108"/>
        <v>Value</v>
      </c>
      <c r="G1744" s="3" cm="1">
        <f t="array" ref="G1744">_xlfn.XLOOKUP(C1744 &amp; F1744,
         [1]unilever_price_limits!A:A &amp; [1]unilever_price_limits!B:B,
         [1]unilever_price_limits!C:C)</f>
        <v>12</v>
      </c>
      <c r="H1744" s="8">
        <f t="shared" si="109"/>
        <v>2.3968000000000003</v>
      </c>
      <c r="I1744" s="6">
        <f t="shared" si="110"/>
        <v>12.000000000000011</v>
      </c>
      <c r="J1744" t="str">
        <f t="shared" si="111"/>
        <v>OK</v>
      </c>
    </row>
    <row r="1745" spans="1:10" x14ac:dyDescent="0.2">
      <c r="A1745">
        <v>11744</v>
      </c>
      <c r="B1745" t="s">
        <v>5</v>
      </c>
      <c r="C1745" t="s">
        <v>9</v>
      </c>
      <c r="D1745" s="8">
        <v>10.95</v>
      </c>
      <c r="E1745">
        <v>7</v>
      </c>
      <c r="F1745" t="str">
        <f t="shared" si="108"/>
        <v>Standard</v>
      </c>
      <c r="G1745" s="3" cm="1">
        <f t="array" ref="G1745">_xlfn.XLOOKUP(C1745 &amp; F1745,
         [1]unilever_price_limits!A:A &amp; [1]unilever_price_limits!B:B,
         [1]unilever_price_limits!C:C)</f>
        <v>30</v>
      </c>
      <c r="H1745" s="8">
        <f t="shared" si="109"/>
        <v>14.234999999999999</v>
      </c>
      <c r="I1745" s="6">
        <f t="shared" si="110"/>
        <v>30.000000000000004</v>
      </c>
      <c r="J1745" t="str">
        <f t="shared" si="111"/>
        <v>OK</v>
      </c>
    </row>
    <row r="1746" spans="1:10" x14ac:dyDescent="0.2">
      <c r="A1746">
        <v>11745</v>
      </c>
      <c r="B1746" t="s">
        <v>10</v>
      </c>
      <c r="C1746" t="s">
        <v>6</v>
      </c>
      <c r="D1746" s="8">
        <v>7.75</v>
      </c>
      <c r="E1746">
        <v>7</v>
      </c>
      <c r="F1746" t="str">
        <f t="shared" si="108"/>
        <v>Standard</v>
      </c>
      <c r="G1746" s="3" cm="1">
        <f t="array" ref="G1746">_xlfn.XLOOKUP(C1746 &amp; F1746,
         [1]unilever_price_limits!A:A &amp; [1]unilever_price_limits!B:B,
         [1]unilever_price_limits!C:C)</f>
        <v>28</v>
      </c>
      <c r="H1746" s="8">
        <f t="shared" si="109"/>
        <v>9.92</v>
      </c>
      <c r="I1746" s="6">
        <f t="shared" si="110"/>
        <v>28.000000000000004</v>
      </c>
      <c r="J1746" t="str">
        <f t="shared" si="111"/>
        <v>OK</v>
      </c>
    </row>
    <row r="1747" spans="1:10" x14ac:dyDescent="0.2">
      <c r="A1747">
        <v>11746</v>
      </c>
      <c r="B1747" t="s">
        <v>10</v>
      </c>
      <c r="C1747" t="s">
        <v>11</v>
      </c>
      <c r="D1747" s="8">
        <v>13.46</v>
      </c>
      <c r="E1747">
        <v>9</v>
      </c>
      <c r="F1747" t="str">
        <f t="shared" si="108"/>
        <v>Premium</v>
      </c>
      <c r="G1747" s="3" cm="1">
        <f t="array" ref="G1747">_xlfn.XLOOKUP(C1747 &amp; F1747,
         [1]unilever_price_limits!A:A &amp; [1]unilever_price_limits!B:B,
         [1]unilever_price_limits!C:C)</f>
        <v>50</v>
      </c>
      <c r="H1747" s="8">
        <f t="shared" si="109"/>
        <v>20.190000000000001</v>
      </c>
      <c r="I1747" s="6">
        <f t="shared" si="110"/>
        <v>50</v>
      </c>
      <c r="J1747" t="str">
        <f t="shared" si="111"/>
        <v>OK</v>
      </c>
    </row>
    <row r="1748" spans="1:10" x14ac:dyDescent="0.2">
      <c r="A1748">
        <v>11747</v>
      </c>
      <c r="B1748" t="s">
        <v>7</v>
      </c>
      <c r="C1748" t="s">
        <v>9</v>
      </c>
      <c r="D1748" s="8">
        <v>13.84</v>
      </c>
      <c r="E1748">
        <v>2</v>
      </c>
      <c r="F1748" t="str">
        <f t="shared" si="108"/>
        <v>Value</v>
      </c>
      <c r="G1748" s="3" cm="1">
        <f t="array" ref="G1748">_xlfn.XLOOKUP(C1748 &amp; F1748,
         [1]unilever_price_limits!A:A &amp; [1]unilever_price_limits!B:B,
         [1]unilever_price_limits!C:C)</f>
        <v>15</v>
      </c>
      <c r="H1748" s="8">
        <f t="shared" si="109"/>
        <v>15.915999999999999</v>
      </c>
      <c r="I1748" s="6">
        <f t="shared" si="110"/>
        <v>14.999999999999991</v>
      </c>
      <c r="J1748" t="str">
        <f t="shared" si="111"/>
        <v>OK</v>
      </c>
    </row>
    <row r="1749" spans="1:10" x14ac:dyDescent="0.2">
      <c r="A1749">
        <v>11748</v>
      </c>
      <c r="B1749" t="s">
        <v>8</v>
      </c>
      <c r="C1749" t="s">
        <v>9</v>
      </c>
      <c r="D1749" s="8">
        <v>1.3</v>
      </c>
      <c r="E1749">
        <v>3</v>
      </c>
      <c r="F1749" t="str">
        <f t="shared" si="108"/>
        <v>Value</v>
      </c>
      <c r="G1749" s="3" cm="1">
        <f t="array" ref="G1749">_xlfn.XLOOKUP(C1749 &amp; F1749,
         [1]unilever_price_limits!A:A &amp; [1]unilever_price_limits!B:B,
         [1]unilever_price_limits!C:C)</f>
        <v>15</v>
      </c>
      <c r="H1749" s="8">
        <f t="shared" si="109"/>
        <v>1.4949999999999999</v>
      </c>
      <c r="I1749" s="6">
        <f t="shared" si="110"/>
        <v>14.999999999999991</v>
      </c>
      <c r="J1749" t="str">
        <f t="shared" si="111"/>
        <v>OK</v>
      </c>
    </row>
    <row r="1750" spans="1:10" x14ac:dyDescent="0.2">
      <c r="A1750">
        <v>11749</v>
      </c>
      <c r="B1750" t="s">
        <v>5</v>
      </c>
      <c r="C1750" t="s">
        <v>9</v>
      </c>
      <c r="D1750" s="8">
        <v>12.4</v>
      </c>
      <c r="E1750">
        <v>4</v>
      </c>
      <c r="F1750" t="str">
        <f t="shared" si="108"/>
        <v>Standard</v>
      </c>
      <c r="G1750" s="3" cm="1">
        <f t="array" ref="G1750">_xlfn.XLOOKUP(C1750 &amp; F1750,
         [1]unilever_price_limits!A:A &amp; [1]unilever_price_limits!B:B,
         [1]unilever_price_limits!C:C)</f>
        <v>30</v>
      </c>
      <c r="H1750" s="8">
        <f t="shared" si="109"/>
        <v>16.12</v>
      </c>
      <c r="I1750" s="6">
        <f t="shared" si="110"/>
        <v>30.000000000000004</v>
      </c>
      <c r="J1750" t="str">
        <f t="shared" si="111"/>
        <v>OK</v>
      </c>
    </row>
    <row r="1751" spans="1:10" x14ac:dyDescent="0.2">
      <c r="A1751">
        <v>11750</v>
      </c>
      <c r="B1751" t="s">
        <v>5</v>
      </c>
      <c r="C1751" t="s">
        <v>11</v>
      </c>
      <c r="D1751" s="8">
        <v>1.05</v>
      </c>
      <c r="E1751">
        <v>1</v>
      </c>
      <c r="F1751" t="str">
        <f t="shared" si="108"/>
        <v>Value</v>
      </c>
      <c r="G1751" s="3" cm="1">
        <f t="array" ref="G1751">_xlfn.XLOOKUP(C1751 &amp; F1751,
         [1]unilever_price_limits!A:A &amp; [1]unilever_price_limits!B:B,
         [1]unilever_price_limits!C:C)</f>
        <v>10</v>
      </c>
      <c r="H1751" s="8">
        <f t="shared" si="109"/>
        <v>1.1550000000000002</v>
      </c>
      <c r="I1751" s="6">
        <f t="shared" si="110"/>
        <v>10.000000000000009</v>
      </c>
      <c r="J1751" t="str">
        <f t="shared" si="111"/>
        <v>OK</v>
      </c>
    </row>
    <row r="1752" spans="1:10" x14ac:dyDescent="0.2">
      <c r="A1752">
        <v>11751</v>
      </c>
      <c r="B1752" t="s">
        <v>7</v>
      </c>
      <c r="C1752" t="s">
        <v>6</v>
      </c>
      <c r="D1752" s="8">
        <v>5.82</v>
      </c>
      <c r="E1752">
        <v>7</v>
      </c>
      <c r="F1752" t="str">
        <f t="shared" si="108"/>
        <v>Standard</v>
      </c>
      <c r="G1752" s="3" cm="1">
        <f t="array" ref="G1752">_xlfn.XLOOKUP(C1752 &amp; F1752,
         [1]unilever_price_limits!A:A &amp; [1]unilever_price_limits!B:B,
         [1]unilever_price_limits!C:C)</f>
        <v>28</v>
      </c>
      <c r="H1752" s="8">
        <f t="shared" si="109"/>
        <v>7.4496000000000002</v>
      </c>
      <c r="I1752" s="6">
        <f t="shared" si="110"/>
        <v>28.000000000000004</v>
      </c>
      <c r="J1752" t="str">
        <f t="shared" si="111"/>
        <v>OK</v>
      </c>
    </row>
    <row r="1753" spans="1:10" x14ac:dyDescent="0.2">
      <c r="A1753">
        <v>11752</v>
      </c>
      <c r="B1753" t="s">
        <v>7</v>
      </c>
      <c r="C1753" t="s">
        <v>9</v>
      </c>
      <c r="D1753" s="8">
        <v>8.36</v>
      </c>
      <c r="E1753">
        <v>10</v>
      </c>
      <c r="F1753" t="str">
        <f t="shared" si="108"/>
        <v>Premium</v>
      </c>
      <c r="G1753" s="3" cm="1">
        <f t="array" ref="G1753">_xlfn.XLOOKUP(C1753 &amp; F1753,
         [1]unilever_price_limits!A:A &amp; [1]unilever_price_limits!B:B,
         [1]unilever_price_limits!C:C)</f>
        <v>60</v>
      </c>
      <c r="H1753" s="8">
        <f t="shared" si="109"/>
        <v>13.375999999999999</v>
      </c>
      <c r="I1753" s="6">
        <f t="shared" si="110"/>
        <v>60.000000000000007</v>
      </c>
      <c r="J1753" t="str">
        <f t="shared" si="111"/>
        <v>OK</v>
      </c>
    </row>
    <row r="1754" spans="1:10" x14ac:dyDescent="0.2">
      <c r="A1754">
        <v>11753</v>
      </c>
      <c r="B1754" t="s">
        <v>10</v>
      </c>
      <c r="C1754" t="s">
        <v>6</v>
      </c>
      <c r="D1754" s="8">
        <v>2.65</v>
      </c>
      <c r="E1754">
        <v>3</v>
      </c>
      <c r="F1754" t="str">
        <f t="shared" si="108"/>
        <v>Value</v>
      </c>
      <c r="G1754" s="3" cm="1">
        <f t="array" ref="G1754">_xlfn.XLOOKUP(C1754 &amp; F1754,
         [1]unilever_price_limits!A:A &amp; [1]unilever_price_limits!B:B,
         [1]unilever_price_limits!C:C)</f>
        <v>12</v>
      </c>
      <c r="H1754" s="8">
        <f t="shared" si="109"/>
        <v>2.968</v>
      </c>
      <c r="I1754" s="6">
        <f t="shared" si="110"/>
        <v>12.000000000000011</v>
      </c>
      <c r="J1754" t="str">
        <f t="shared" si="111"/>
        <v>OK</v>
      </c>
    </row>
    <row r="1755" spans="1:10" x14ac:dyDescent="0.2">
      <c r="A1755">
        <v>11754</v>
      </c>
      <c r="B1755" t="s">
        <v>5</v>
      </c>
      <c r="C1755" t="s">
        <v>6</v>
      </c>
      <c r="D1755" s="8">
        <v>11.32</v>
      </c>
      <c r="E1755">
        <v>3</v>
      </c>
      <c r="F1755" t="str">
        <f t="shared" si="108"/>
        <v>Value</v>
      </c>
      <c r="G1755" s="3" cm="1">
        <f t="array" ref="G1755">_xlfn.XLOOKUP(C1755 &amp; F1755,
         [1]unilever_price_limits!A:A &amp; [1]unilever_price_limits!B:B,
         [1]unilever_price_limits!C:C)</f>
        <v>12</v>
      </c>
      <c r="H1755" s="8">
        <f t="shared" si="109"/>
        <v>12.678400000000002</v>
      </c>
      <c r="I1755" s="6">
        <f t="shared" si="110"/>
        <v>12.000000000000011</v>
      </c>
      <c r="J1755" t="str">
        <f t="shared" si="111"/>
        <v>OK</v>
      </c>
    </row>
    <row r="1756" spans="1:10" x14ac:dyDescent="0.2">
      <c r="A1756">
        <v>11755</v>
      </c>
      <c r="B1756" t="s">
        <v>8</v>
      </c>
      <c r="C1756" t="s">
        <v>11</v>
      </c>
      <c r="D1756" s="8">
        <v>0.62</v>
      </c>
      <c r="E1756">
        <v>3</v>
      </c>
      <c r="F1756" t="str">
        <f t="shared" si="108"/>
        <v>Value</v>
      </c>
      <c r="G1756" s="3" cm="1">
        <f t="array" ref="G1756">_xlfn.XLOOKUP(C1756 &amp; F1756,
         [1]unilever_price_limits!A:A &amp; [1]unilever_price_limits!B:B,
         [1]unilever_price_limits!C:C)</f>
        <v>10</v>
      </c>
      <c r="H1756" s="8">
        <f t="shared" si="109"/>
        <v>0.68200000000000005</v>
      </c>
      <c r="I1756" s="6">
        <f t="shared" si="110"/>
        <v>10.000000000000009</v>
      </c>
      <c r="J1756" t="str">
        <f t="shared" si="111"/>
        <v>OK</v>
      </c>
    </row>
    <row r="1757" spans="1:10" x14ac:dyDescent="0.2">
      <c r="A1757">
        <v>11756</v>
      </c>
      <c r="B1757" t="s">
        <v>7</v>
      </c>
      <c r="C1757" t="s">
        <v>9</v>
      </c>
      <c r="D1757" s="8">
        <v>2.94</v>
      </c>
      <c r="E1757">
        <v>8</v>
      </c>
      <c r="F1757" t="str">
        <f t="shared" si="108"/>
        <v>Premium</v>
      </c>
      <c r="G1757" s="3" cm="1">
        <f t="array" ref="G1757">_xlfn.XLOOKUP(C1757 &amp; F1757,
         [1]unilever_price_limits!A:A &amp; [1]unilever_price_limits!B:B,
         [1]unilever_price_limits!C:C)</f>
        <v>60</v>
      </c>
      <c r="H1757" s="8">
        <f t="shared" si="109"/>
        <v>4.7039999999999997</v>
      </c>
      <c r="I1757" s="6">
        <f t="shared" si="110"/>
        <v>59.999999999999986</v>
      </c>
      <c r="J1757" t="str">
        <f t="shared" si="111"/>
        <v>OK</v>
      </c>
    </row>
    <row r="1758" spans="1:10" x14ac:dyDescent="0.2">
      <c r="A1758">
        <v>11757</v>
      </c>
      <c r="B1758" t="s">
        <v>8</v>
      </c>
      <c r="C1758" t="s">
        <v>6</v>
      </c>
      <c r="D1758" s="8">
        <v>8.92</v>
      </c>
      <c r="E1758">
        <v>9</v>
      </c>
      <c r="F1758" t="str">
        <f t="shared" si="108"/>
        <v>Premium</v>
      </c>
      <c r="G1758" s="3" cm="1">
        <f t="array" ref="G1758">_xlfn.XLOOKUP(C1758 &amp; F1758,
         [1]unilever_price_limits!A:A &amp; [1]unilever_price_limits!B:B,
         [1]unilever_price_limits!C:C)</f>
        <v>55</v>
      </c>
      <c r="H1758" s="8">
        <f t="shared" si="109"/>
        <v>13.826000000000001</v>
      </c>
      <c r="I1758" s="6">
        <f t="shared" si="110"/>
        <v>55.000000000000007</v>
      </c>
      <c r="J1758" t="str">
        <f t="shared" si="111"/>
        <v>OK</v>
      </c>
    </row>
    <row r="1759" spans="1:10" x14ac:dyDescent="0.2">
      <c r="A1759">
        <v>11758</v>
      </c>
      <c r="B1759" t="s">
        <v>8</v>
      </c>
      <c r="C1759" t="s">
        <v>9</v>
      </c>
      <c r="D1759" s="8">
        <v>10.86</v>
      </c>
      <c r="E1759">
        <v>10</v>
      </c>
      <c r="F1759" t="str">
        <f t="shared" si="108"/>
        <v>Premium</v>
      </c>
      <c r="G1759" s="3" cm="1">
        <f t="array" ref="G1759">_xlfn.XLOOKUP(C1759 &amp; F1759,
         [1]unilever_price_limits!A:A &amp; [1]unilever_price_limits!B:B,
         [1]unilever_price_limits!C:C)</f>
        <v>60</v>
      </c>
      <c r="H1759" s="8">
        <f t="shared" si="109"/>
        <v>17.376000000000001</v>
      </c>
      <c r="I1759" s="6">
        <f t="shared" si="110"/>
        <v>60.000000000000007</v>
      </c>
      <c r="J1759" t="str">
        <f t="shared" si="111"/>
        <v>OK</v>
      </c>
    </row>
    <row r="1760" spans="1:10" x14ac:dyDescent="0.2">
      <c r="A1760">
        <v>11759</v>
      </c>
      <c r="B1760" t="s">
        <v>5</v>
      </c>
      <c r="C1760" t="s">
        <v>9</v>
      </c>
      <c r="D1760" s="8">
        <v>13.79</v>
      </c>
      <c r="E1760">
        <v>2</v>
      </c>
      <c r="F1760" t="str">
        <f t="shared" si="108"/>
        <v>Value</v>
      </c>
      <c r="G1760" s="3" cm="1">
        <f t="array" ref="G1760">_xlfn.XLOOKUP(C1760 &amp; F1760,
         [1]unilever_price_limits!A:A &amp; [1]unilever_price_limits!B:B,
         [1]unilever_price_limits!C:C)</f>
        <v>15</v>
      </c>
      <c r="H1760" s="8">
        <f t="shared" si="109"/>
        <v>15.858499999999998</v>
      </c>
      <c r="I1760" s="6">
        <f t="shared" si="110"/>
        <v>14.999999999999991</v>
      </c>
      <c r="J1760" t="str">
        <f t="shared" si="111"/>
        <v>OK</v>
      </c>
    </row>
    <row r="1761" spans="1:10" x14ac:dyDescent="0.2">
      <c r="A1761">
        <v>11760</v>
      </c>
      <c r="B1761" t="s">
        <v>5</v>
      </c>
      <c r="C1761" t="s">
        <v>11</v>
      </c>
      <c r="D1761" s="8">
        <v>10.73</v>
      </c>
      <c r="E1761">
        <v>10</v>
      </c>
      <c r="F1761" t="str">
        <f t="shared" si="108"/>
        <v>Premium</v>
      </c>
      <c r="G1761" s="3" cm="1">
        <f t="array" ref="G1761">_xlfn.XLOOKUP(C1761 &amp; F1761,
         [1]unilever_price_limits!A:A &amp; [1]unilever_price_limits!B:B,
         [1]unilever_price_limits!C:C)</f>
        <v>50</v>
      </c>
      <c r="H1761" s="8">
        <f t="shared" si="109"/>
        <v>16.094999999999999</v>
      </c>
      <c r="I1761" s="6">
        <f t="shared" si="110"/>
        <v>49.999999999999979</v>
      </c>
      <c r="J1761" t="str">
        <f t="shared" si="111"/>
        <v>OK</v>
      </c>
    </row>
    <row r="1762" spans="1:10" x14ac:dyDescent="0.2">
      <c r="A1762">
        <v>11761</v>
      </c>
      <c r="B1762" t="s">
        <v>7</v>
      </c>
      <c r="C1762" t="s">
        <v>9</v>
      </c>
      <c r="D1762" s="8">
        <v>10.24</v>
      </c>
      <c r="E1762">
        <v>10</v>
      </c>
      <c r="F1762" t="str">
        <f t="shared" si="108"/>
        <v>Premium</v>
      </c>
      <c r="G1762" s="3" cm="1">
        <f t="array" ref="G1762">_xlfn.XLOOKUP(C1762 &amp; F1762,
         [1]unilever_price_limits!A:A &amp; [1]unilever_price_limits!B:B,
         [1]unilever_price_limits!C:C)</f>
        <v>60</v>
      </c>
      <c r="H1762" s="8">
        <f t="shared" si="109"/>
        <v>16.384</v>
      </c>
      <c r="I1762" s="6">
        <f t="shared" si="110"/>
        <v>60.000000000000007</v>
      </c>
      <c r="J1762" t="str">
        <f t="shared" si="111"/>
        <v>OK</v>
      </c>
    </row>
    <row r="1763" spans="1:10" x14ac:dyDescent="0.2">
      <c r="A1763">
        <v>11762</v>
      </c>
      <c r="B1763" t="s">
        <v>5</v>
      </c>
      <c r="C1763" t="s">
        <v>9</v>
      </c>
      <c r="D1763" s="8">
        <v>6.22</v>
      </c>
      <c r="E1763">
        <v>1</v>
      </c>
      <c r="F1763" t="str">
        <f t="shared" si="108"/>
        <v>Value</v>
      </c>
      <c r="G1763" s="3" cm="1">
        <f t="array" ref="G1763">_xlfn.XLOOKUP(C1763 &amp; F1763,
         [1]unilever_price_limits!A:A &amp; [1]unilever_price_limits!B:B,
         [1]unilever_price_limits!C:C)</f>
        <v>15</v>
      </c>
      <c r="H1763" s="8">
        <f t="shared" si="109"/>
        <v>7.1529999999999996</v>
      </c>
      <c r="I1763" s="6">
        <f t="shared" si="110"/>
        <v>14.999999999999991</v>
      </c>
      <c r="J1763" t="str">
        <f t="shared" si="111"/>
        <v>OK</v>
      </c>
    </row>
    <row r="1764" spans="1:10" x14ac:dyDescent="0.2">
      <c r="A1764">
        <v>11763</v>
      </c>
      <c r="B1764" t="s">
        <v>5</v>
      </c>
      <c r="C1764" t="s">
        <v>6</v>
      </c>
      <c r="D1764" s="8">
        <v>0.52</v>
      </c>
      <c r="E1764">
        <v>9</v>
      </c>
      <c r="F1764" t="str">
        <f t="shared" si="108"/>
        <v>Premium</v>
      </c>
      <c r="G1764" s="3" cm="1">
        <f t="array" ref="G1764">_xlfn.XLOOKUP(C1764 &amp; F1764,
         [1]unilever_price_limits!A:A &amp; [1]unilever_price_limits!B:B,
         [1]unilever_price_limits!C:C)</f>
        <v>55</v>
      </c>
      <c r="H1764" s="8">
        <f t="shared" si="109"/>
        <v>0.80600000000000005</v>
      </c>
      <c r="I1764" s="6">
        <f t="shared" si="110"/>
        <v>55.000000000000007</v>
      </c>
      <c r="J1764" t="str">
        <f t="shared" si="111"/>
        <v>OK</v>
      </c>
    </row>
    <row r="1765" spans="1:10" x14ac:dyDescent="0.2">
      <c r="A1765">
        <v>11764</v>
      </c>
      <c r="B1765" t="s">
        <v>5</v>
      </c>
      <c r="C1765" t="s">
        <v>11</v>
      </c>
      <c r="D1765" s="8">
        <v>2.2400000000000002</v>
      </c>
      <c r="E1765">
        <v>6</v>
      </c>
      <c r="F1765" t="str">
        <f t="shared" si="108"/>
        <v>Standard</v>
      </c>
      <c r="G1765" s="3" cm="1">
        <f t="array" ref="G1765">_xlfn.XLOOKUP(C1765 &amp; F1765,
         [1]unilever_price_limits!A:A &amp; [1]unilever_price_limits!B:B,
         [1]unilever_price_limits!C:C)</f>
        <v>25</v>
      </c>
      <c r="H1765" s="8">
        <f t="shared" si="109"/>
        <v>2.8000000000000003</v>
      </c>
      <c r="I1765" s="6">
        <f t="shared" si="110"/>
        <v>25</v>
      </c>
      <c r="J1765" t="str">
        <f t="shared" si="111"/>
        <v>OK</v>
      </c>
    </row>
    <row r="1766" spans="1:10" x14ac:dyDescent="0.2">
      <c r="A1766">
        <v>11765</v>
      </c>
      <c r="B1766" t="s">
        <v>8</v>
      </c>
      <c r="C1766" t="s">
        <v>9</v>
      </c>
      <c r="D1766" s="8">
        <v>8.25</v>
      </c>
      <c r="E1766">
        <v>9</v>
      </c>
      <c r="F1766" t="str">
        <f t="shared" si="108"/>
        <v>Premium</v>
      </c>
      <c r="G1766" s="3" cm="1">
        <f t="array" ref="G1766">_xlfn.XLOOKUP(C1766 &amp; F1766,
         [1]unilever_price_limits!A:A &amp; [1]unilever_price_limits!B:B,
         [1]unilever_price_limits!C:C)</f>
        <v>60</v>
      </c>
      <c r="H1766" s="8">
        <f t="shared" si="109"/>
        <v>13.200000000000001</v>
      </c>
      <c r="I1766" s="6">
        <f t="shared" si="110"/>
        <v>60.000000000000007</v>
      </c>
      <c r="J1766" t="str">
        <f t="shared" si="111"/>
        <v>OK</v>
      </c>
    </row>
    <row r="1767" spans="1:10" x14ac:dyDescent="0.2">
      <c r="A1767">
        <v>11766</v>
      </c>
      <c r="B1767" t="s">
        <v>7</v>
      </c>
      <c r="C1767" t="s">
        <v>6</v>
      </c>
      <c r="D1767" s="8">
        <v>10.29</v>
      </c>
      <c r="E1767">
        <v>6</v>
      </c>
      <c r="F1767" t="str">
        <f t="shared" si="108"/>
        <v>Standard</v>
      </c>
      <c r="G1767" s="3" cm="1">
        <f t="array" ref="G1767">_xlfn.XLOOKUP(C1767 &amp; F1767,
         [1]unilever_price_limits!A:A &amp; [1]unilever_price_limits!B:B,
         [1]unilever_price_limits!C:C)</f>
        <v>28</v>
      </c>
      <c r="H1767" s="8">
        <f t="shared" si="109"/>
        <v>13.171199999999999</v>
      </c>
      <c r="I1767" s="6">
        <f t="shared" si="110"/>
        <v>28.000000000000004</v>
      </c>
      <c r="J1767" t="str">
        <f t="shared" si="111"/>
        <v>OK</v>
      </c>
    </row>
    <row r="1768" spans="1:10" x14ac:dyDescent="0.2">
      <c r="A1768">
        <v>11767</v>
      </c>
      <c r="B1768" t="s">
        <v>10</v>
      </c>
      <c r="C1768" t="s">
        <v>11</v>
      </c>
      <c r="D1768" s="8">
        <v>6.55</v>
      </c>
      <c r="E1768">
        <v>2</v>
      </c>
      <c r="F1768" t="str">
        <f t="shared" si="108"/>
        <v>Value</v>
      </c>
      <c r="G1768" s="3" cm="1">
        <f t="array" ref="G1768">_xlfn.XLOOKUP(C1768 &amp; F1768,
         [1]unilever_price_limits!A:A &amp; [1]unilever_price_limits!B:B,
         [1]unilever_price_limits!C:C)</f>
        <v>10</v>
      </c>
      <c r="H1768" s="8">
        <f t="shared" si="109"/>
        <v>7.2050000000000001</v>
      </c>
      <c r="I1768" s="6">
        <f t="shared" si="110"/>
        <v>10.000000000000009</v>
      </c>
      <c r="J1768" t="str">
        <f t="shared" si="111"/>
        <v>OK</v>
      </c>
    </row>
    <row r="1769" spans="1:10" x14ac:dyDescent="0.2">
      <c r="A1769">
        <v>11768</v>
      </c>
      <c r="B1769" t="s">
        <v>8</v>
      </c>
      <c r="C1769" t="s">
        <v>11</v>
      </c>
      <c r="D1769" s="8">
        <v>11.09</v>
      </c>
      <c r="E1769">
        <v>1</v>
      </c>
      <c r="F1769" t="str">
        <f t="shared" si="108"/>
        <v>Value</v>
      </c>
      <c r="G1769" s="3" cm="1">
        <f t="array" ref="G1769">_xlfn.XLOOKUP(C1769 &amp; F1769,
         [1]unilever_price_limits!A:A &amp; [1]unilever_price_limits!B:B,
         [1]unilever_price_limits!C:C)</f>
        <v>10</v>
      </c>
      <c r="H1769" s="8">
        <f t="shared" si="109"/>
        <v>12.199000000000002</v>
      </c>
      <c r="I1769" s="6">
        <f t="shared" si="110"/>
        <v>10.000000000000009</v>
      </c>
      <c r="J1769" t="str">
        <f t="shared" si="111"/>
        <v>OK</v>
      </c>
    </row>
    <row r="1770" spans="1:10" x14ac:dyDescent="0.2">
      <c r="A1770">
        <v>11769</v>
      </c>
      <c r="B1770" t="s">
        <v>5</v>
      </c>
      <c r="C1770" t="s">
        <v>6</v>
      </c>
      <c r="D1770" s="8">
        <v>8.07</v>
      </c>
      <c r="E1770">
        <v>8</v>
      </c>
      <c r="F1770" t="str">
        <f t="shared" si="108"/>
        <v>Premium</v>
      </c>
      <c r="G1770" s="3" cm="1">
        <f t="array" ref="G1770">_xlfn.XLOOKUP(C1770 &amp; F1770,
         [1]unilever_price_limits!A:A &amp; [1]unilever_price_limits!B:B,
         [1]unilever_price_limits!C:C)</f>
        <v>55</v>
      </c>
      <c r="H1770" s="8">
        <f t="shared" si="109"/>
        <v>12.508500000000002</v>
      </c>
      <c r="I1770" s="6">
        <f t="shared" si="110"/>
        <v>55.000000000000007</v>
      </c>
      <c r="J1770" t="str">
        <f t="shared" si="111"/>
        <v>OK</v>
      </c>
    </row>
    <row r="1771" spans="1:10" x14ac:dyDescent="0.2">
      <c r="A1771">
        <v>11770</v>
      </c>
      <c r="B1771" t="s">
        <v>8</v>
      </c>
      <c r="C1771" t="s">
        <v>6</v>
      </c>
      <c r="D1771" s="8">
        <v>1.58</v>
      </c>
      <c r="E1771">
        <v>3</v>
      </c>
      <c r="F1771" t="str">
        <f t="shared" si="108"/>
        <v>Value</v>
      </c>
      <c r="G1771" s="3" cm="1">
        <f t="array" ref="G1771">_xlfn.XLOOKUP(C1771 &amp; F1771,
         [1]unilever_price_limits!A:A &amp; [1]unilever_price_limits!B:B,
         [1]unilever_price_limits!C:C)</f>
        <v>12</v>
      </c>
      <c r="H1771" s="8">
        <f t="shared" si="109"/>
        <v>1.7696000000000003</v>
      </c>
      <c r="I1771" s="6">
        <f t="shared" si="110"/>
        <v>12.000000000000011</v>
      </c>
      <c r="J1771" t="str">
        <f t="shared" si="111"/>
        <v>OK</v>
      </c>
    </row>
    <row r="1772" spans="1:10" x14ac:dyDescent="0.2">
      <c r="A1772">
        <v>11771</v>
      </c>
      <c r="B1772" t="s">
        <v>5</v>
      </c>
      <c r="C1772" t="s">
        <v>6</v>
      </c>
      <c r="D1772" s="8">
        <v>3.28</v>
      </c>
      <c r="E1772">
        <v>1</v>
      </c>
      <c r="F1772" t="str">
        <f t="shared" si="108"/>
        <v>Value</v>
      </c>
      <c r="G1772" s="3" cm="1">
        <f t="array" ref="G1772">_xlfn.XLOOKUP(C1772 &amp; F1772,
         [1]unilever_price_limits!A:A &amp; [1]unilever_price_limits!B:B,
         [1]unilever_price_limits!C:C)</f>
        <v>12</v>
      </c>
      <c r="H1772" s="8">
        <f t="shared" si="109"/>
        <v>3.6736</v>
      </c>
      <c r="I1772" s="6">
        <f t="shared" si="110"/>
        <v>12.000000000000011</v>
      </c>
      <c r="J1772" t="str">
        <f t="shared" si="111"/>
        <v>OK</v>
      </c>
    </row>
    <row r="1773" spans="1:10" x14ac:dyDescent="0.2">
      <c r="A1773">
        <v>11772</v>
      </c>
      <c r="B1773" t="s">
        <v>5</v>
      </c>
      <c r="C1773" t="s">
        <v>6</v>
      </c>
      <c r="D1773" s="8">
        <v>12.68</v>
      </c>
      <c r="E1773">
        <v>8</v>
      </c>
      <c r="F1773" t="str">
        <f t="shared" si="108"/>
        <v>Premium</v>
      </c>
      <c r="G1773" s="3" cm="1">
        <f t="array" ref="G1773">_xlfn.XLOOKUP(C1773 &amp; F1773,
         [1]unilever_price_limits!A:A &amp; [1]unilever_price_limits!B:B,
         [1]unilever_price_limits!C:C)</f>
        <v>55</v>
      </c>
      <c r="H1773" s="8">
        <f t="shared" si="109"/>
        <v>19.654</v>
      </c>
      <c r="I1773" s="6">
        <f t="shared" si="110"/>
        <v>55.000000000000007</v>
      </c>
      <c r="J1773" t="str">
        <f t="shared" si="111"/>
        <v>OK</v>
      </c>
    </row>
    <row r="1774" spans="1:10" x14ac:dyDescent="0.2">
      <c r="A1774">
        <v>11773</v>
      </c>
      <c r="B1774" t="s">
        <v>8</v>
      </c>
      <c r="C1774" t="s">
        <v>6</v>
      </c>
      <c r="D1774" s="8">
        <v>11.01</v>
      </c>
      <c r="E1774">
        <v>1</v>
      </c>
      <c r="F1774" t="str">
        <f t="shared" si="108"/>
        <v>Value</v>
      </c>
      <c r="G1774" s="3" cm="1">
        <f t="array" ref="G1774">_xlfn.XLOOKUP(C1774 &amp; F1774,
         [1]unilever_price_limits!A:A &amp; [1]unilever_price_limits!B:B,
         [1]unilever_price_limits!C:C)</f>
        <v>12</v>
      </c>
      <c r="H1774" s="8">
        <f t="shared" si="109"/>
        <v>12.331200000000001</v>
      </c>
      <c r="I1774" s="6">
        <f t="shared" si="110"/>
        <v>12.000000000000011</v>
      </c>
      <c r="J1774" t="str">
        <f t="shared" si="111"/>
        <v>OK</v>
      </c>
    </row>
    <row r="1775" spans="1:10" x14ac:dyDescent="0.2">
      <c r="A1775">
        <v>11774</v>
      </c>
      <c r="B1775" t="s">
        <v>7</v>
      </c>
      <c r="C1775" t="s">
        <v>9</v>
      </c>
      <c r="D1775" s="8">
        <v>13.47</v>
      </c>
      <c r="E1775">
        <v>8</v>
      </c>
      <c r="F1775" t="str">
        <f t="shared" si="108"/>
        <v>Premium</v>
      </c>
      <c r="G1775" s="3" cm="1">
        <f t="array" ref="G1775">_xlfn.XLOOKUP(C1775 &amp; F1775,
         [1]unilever_price_limits!A:A &amp; [1]unilever_price_limits!B:B,
         [1]unilever_price_limits!C:C)</f>
        <v>60</v>
      </c>
      <c r="H1775" s="8">
        <f t="shared" si="109"/>
        <v>21.552000000000003</v>
      </c>
      <c r="I1775" s="6">
        <f t="shared" si="110"/>
        <v>60.000000000000007</v>
      </c>
      <c r="J1775" t="str">
        <f t="shared" si="111"/>
        <v>OK</v>
      </c>
    </row>
    <row r="1776" spans="1:10" x14ac:dyDescent="0.2">
      <c r="A1776">
        <v>11775</v>
      </c>
      <c r="B1776" t="s">
        <v>5</v>
      </c>
      <c r="C1776" t="s">
        <v>9</v>
      </c>
      <c r="D1776" s="8">
        <v>2.2000000000000002</v>
      </c>
      <c r="E1776">
        <v>1</v>
      </c>
      <c r="F1776" t="str">
        <f t="shared" si="108"/>
        <v>Value</v>
      </c>
      <c r="G1776" s="3" cm="1">
        <f t="array" ref="G1776">_xlfn.XLOOKUP(C1776 &amp; F1776,
         [1]unilever_price_limits!A:A &amp; [1]unilever_price_limits!B:B,
         [1]unilever_price_limits!C:C)</f>
        <v>15</v>
      </c>
      <c r="H1776" s="8">
        <f t="shared" si="109"/>
        <v>2.5299999999999998</v>
      </c>
      <c r="I1776" s="6">
        <f t="shared" si="110"/>
        <v>14.999999999999991</v>
      </c>
      <c r="J1776" t="str">
        <f t="shared" si="111"/>
        <v>OK</v>
      </c>
    </row>
    <row r="1777" spans="1:10" x14ac:dyDescent="0.2">
      <c r="A1777">
        <v>11776</v>
      </c>
      <c r="B1777" t="s">
        <v>7</v>
      </c>
      <c r="C1777" t="s">
        <v>11</v>
      </c>
      <c r="D1777" s="8">
        <v>14.86</v>
      </c>
      <c r="E1777">
        <v>9</v>
      </c>
      <c r="F1777" t="str">
        <f t="shared" si="108"/>
        <v>Premium</v>
      </c>
      <c r="G1777" s="3" cm="1">
        <f t="array" ref="G1777">_xlfn.XLOOKUP(C1777 &amp; F1777,
         [1]unilever_price_limits!A:A &amp; [1]unilever_price_limits!B:B,
         [1]unilever_price_limits!C:C)</f>
        <v>50</v>
      </c>
      <c r="H1777" s="8">
        <f t="shared" si="109"/>
        <v>22.29</v>
      </c>
      <c r="I1777" s="6">
        <f t="shared" si="110"/>
        <v>50</v>
      </c>
      <c r="J1777" t="str">
        <f t="shared" si="111"/>
        <v>OK</v>
      </c>
    </row>
    <row r="1778" spans="1:10" x14ac:dyDescent="0.2">
      <c r="A1778">
        <v>11777</v>
      </c>
      <c r="B1778" t="s">
        <v>10</v>
      </c>
      <c r="C1778" t="s">
        <v>9</v>
      </c>
      <c r="D1778" s="8">
        <v>3.54</v>
      </c>
      <c r="E1778">
        <v>9</v>
      </c>
      <c r="F1778" t="str">
        <f t="shared" si="108"/>
        <v>Premium</v>
      </c>
      <c r="G1778" s="3" cm="1">
        <f t="array" ref="G1778">_xlfn.XLOOKUP(C1778 &amp; F1778,
         [1]unilever_price_limits!A:A &amp; [1]unilever_price_limits!B:B,
         [1]unilever_price_limits!C:C)</f>
        <v>60</v>
      </c>
      <c r="H1778" s="8">
        <f t="shared" si="109"/>
        <v>5.6640000000000006</v>
      </c>
      <c r="I1778" s="6">
        <f t="shared" si="110"/>
        <v>60.000000000000007</v>
      </c>
      <c r="J1778" t="str">
        <f t="shared" si="111"/>
        <v>OK</v>
      </c>
    </row>
    <row r="1779" spans="1:10" x14ac:dyDescent="0.2">
      <c r="A1779">
        <v>11778</v>
      </c>
      <c r="B1779" t="s">
        <v>5</v>
      </c>
      <c r="C1779" t="s">
        <v>9</v>
      </c>
      <c r="D1779" s="8">
        <v>0.67</v>
      </c>
      <c r="E1779">
        <v>9</v>
      </c>
      <c r="F1779" t="str">
        <f t="shared" si="108"/>
        <v>Premium</v>
      </c>
      <c r="G1779" s="3" cm="1">
        <f t="array" ref="G1779">_xlfn.XLOOKUP(C1779 &amp; F1779,
         [1]unilever_price_limits!A:A &amp; [1]unilever_price_limits!B:B,
         [1]unilever_price_limits!C:C)</f>
        <v>60</v>
      </c>
      <c r="H1779" s="8">
        <f t="shared" si="109"/>
        <v>1.0720000000000001</v>
      </c>
      <c r="I1779" s="6">
        <f t="shared" si="110"/>
        <v>60.000000000000007</v>
      </c>
      <c r="J1779" t="str">
        <f t="shared" si="111"/>
        <v>OK</v>
      </c>
    </row>
    <row r="1780" spans="1:10" x14ac:dyDescent="0.2">
      <c r="A1780">
        <v>11779</v>
      </c>
      <c r="B1780" t="s">
        <v>7</v>
      </c>
      <c r="C1780" t="s">
        <v>9</v>
      </c>
      <c r="D1780" s="8">
        <v>14.96</v>
      </c>
      <c r="E1780">
        <v>3</v>
      </c>
      <c r="F1780" t="str">
        <f t="shared" si="108"/>
        <v>Value</v>
      </c>
      <c r="G1780" s="3" cm="1">
        <f t="array" ref="G1780">_xlfn.XLOOKUP(C1780 &amp; F1780,
         [1]unilever_price_limits!A:A &amp; [1]unilever_price_limits!B:B,
         [1]unilever_price_limits!C:C)</f>
        <v>15</v>
      </c>
      <c r="H1780" s="8">
        <f t="shared" si="109"/>
        <v>17.204000000000001</v>
      </c>
      <c r="I1780" s="6">
        <f t="shared" si="110"/>
        <v>14.999999999999991</v>
      </c>
      <c r="J1780" t="str">
        <f t="shared" si="111"/>
        <v>OK</v>
      </c>
    </row>
    <row r="1781" spans="1:10" x14ac:dyDescent="0.2">
      <c r="A1781">
        <v>11780</v>
      </c>
      <c r="B1781" t="s">
        <v>7</v>
      </c>
      <c r="C1781" t="s">
        <v>6</v>
      </c>
      <c r="D1781" s="8">
        <v>4.58</v>
      </c>
      <c r="E1781">
        <v>4</v>
      </c>
      <c r="F1781" t="str">
        <f t="shared" si="108"/>
        <v>Standard</v>
      </c>
      <c r="G1781" s="3" cm="1">
        <f t="array" ref="G1781">_xlfn.XLOOKUP(C1781 &amp; F1781,
         [1]unilever_price_limits!A:A &amp; [1]unilever_price_limits!B:B,
         [1]unilever_price_limits!C:C)</f>
        <v>28</v>
      </c>
      <c r="H1781" s="8">
        <f t="shared" si="109"/>
        <v>5.8624000000000001</v>
      </c>
      <c r="I1781" s="6">
        <f t="shared" si="110"/>
        <v>28.000000000000004</v>
      </c>
      <c r="J1781" t="str">
        <f t="shared" si="111"/>
        <v>OK</v>
      </c>
    </row>
    <row r="1782" spans="1:10" x14ac:dyDescent="0.2">
      <c r="A1782">
        <v>11781</v>
      </c>
      <c r="B1782" t="s">
        <v>10</v>
      </c>
      <c r="C1782" t="s">
        <v>11</v>
      </c>
      <c r="D1782" s="8">
        <v>10.19</v>
      </c>
      <c r="E1782">
        <v>5</v>
      </c>
      <c r="F1782" t="str">
        <f t="shared" si="108"/>
        <v>Standard</v>
      </c>
      <c r="G1782" s="3" cm="1">
        <f t="array" ref="G1782">_xlfn.XLOOKUP(C1782 &amp; F1782,
         [1]unilever_price_limits!A:A &amp; [1]unilever_price_limits!B:B,
         [1]unilever_price_limits!C:C)</f>
        <v>25</v>
      </c>
      <c r="H1782" s="8">
        <f t="shared" si="109"/>
        <v>12.737499999999999</v>
      </c>
      <c r="I1782" s="6">
        <f t="shared" si="110"/>
        <v>25</v>
      </c>
      <c r="J1782" t="str">
        <f t="shared" si="111"/>
        <v>OK</v>
      </c>
    </row>
    <row r="1783" spans="1:10" x14ac:dyDescent="0.2">
      <c r="A1783">
        <v>11782</v>
      </c>
      <c r="B1783" t="s">
        <v>7</v>
      </c>
      <c r="C1783" t="s">
        <v>11</v>
      </c>
      <c r="D1783" s="8">
        <v>3.06</v>
      </c>
      <c r="E1783">
        <v>6</v>
      </c>
      <c r="F1783" t="str">
        <f t="shared" si="108"/>
        <v>Standard</v>
      </c>
      <c r="G1783" s="3" cm="1">
        <f t="array" ref="G1783">_xlfn.XLOOKUP(C1783 &amp; F1783,
         [1]unilever_price_limits!A:A &amp; [1]unilever_price_limits!B:B,
         [1]unilever_price_limits!C:C)</f>
        <v>25</v>
      </c>
      <c r="H1783" s="8">
        <f t="shared" si="109"/>
        <v>3.8250000000000002</v>
      </c>
      <c r="I1783" s="6">
        <f t="shared" si="110"/>
        <v>25</v>
      </c>
      <c r="J1783" t="str">
        <f t="shared" si="111"/>
        <v>OK</v>
      </c>
    </row>
    <row r="1784" spans="1:10" x14ac:dyDescent="0.2">
      <c r="A1784">
        <v>11783</v>
      </c>
      <c r="B1784" t="s">
        <v>7</v>
      </c>
      <c r="C1784" t="s">
        <v>11</v>
      </c>
      <c r="D1784" s="8">
        <v>8.91</v>
      </c>
      <c r="E1784">
        <v>9</v>
      </c>
      <c r="F1784" t="str">
        <f t="shared" si="108"/>
        <v>Premium</v>
      </c>
      <c r="G1784" s="3" cm="1">
        <f t="array" ref="G1784">_xlfn.XLOOKUP(C1784 &amp; F1784,
         [1]unilever_price_limits!A:A &amp; [1]unilever_price_limits!B:B,
         [1]unilever_price_limits!C:C)</f>
        <v>50</v>
      </c>
      <c r="H1784" s="8">
        <f t="shared" si="109"/>
        <v>13.365</v>
      </c>
      <c r="I1784" s="6">
        <f t="shared" si="110"/>
        <v>50</v>
      </c>
      <c r="J1784" t="str">
        <f t="shared" si="111"/>
        <v>OK</v>
      </c>
    </row>
    <row r="1785" spans="1:10" x14ac:dyDescent="0.2">
      <c r="A1785">
        <v>11784</v>
      </c>
      <c r="B1785" t="s">
        <v>10</v>
      </c>
      <c r="C1785" t="s">
        <v>11</v>
      </c>
      <c r="D1785" s="8">
        <v>13.61</v>
      </c>
      <c r="E1785">
        <v>4</v>
      </c>
      <c r="F1785" t="str">
        <f t="shared" si="108"/>
        <v>Standard</v>
      </c>
      <c r="G1785" s="3" cm="1">
        <f t="array" ref="G1785">_xlfn.XLOOKUP(C1785 &amp; F1785,
         [1]unilever_price_limits!A:A &amp; [1]unilever_price_limits!B:B,
         [1]unilever_price_limits!C:C)</f>
        <v>25</v>
      </c>
      <c r="H1785" s="8">
        <f t="shared" si="109"/>
        <v>17.012499999999999</v>
      </c>
      <c r="I1785" s="6">
        <f t="shared" si="110"/>
        <v>25</v>
      </c>
      <c r="J1785" t="str">
        <f t="shared" si="111"/>
        <v>OK</v>
      </c>
    </row>
    <row r="1786" spans="1:10" x14ac:dyDescent="0.2">
      <c r="A1786">
        <v>11785</v>
      </c>
      <c r="B1786" t="s">
        <v>5</v>
      </c>
      <c r="C1786" t="s">
        <v>9</v>
      </c>
      <c r="D1786" s="8">
        <v>5.14</v>
      </c>
      <c r="E1786">
        <v>6</v>
      </c>
      <c r="F1786" t="str">
        <f t="shared" si="108"/>
        <v>Standard</v>
      </c>
      <c r="G1786" s="3" cm="1">
        <f t="array" ref="G1786">_xlfn.XLOOKUP(C1786 &amp; F1786,
         [1]unilever_price_limits!A:A &amp; [1]unilever_price_limits!B:B,
         [1]unilever_price_limits!C:C)</f>
        <v>30</v>
      </c>
      <c r="H1786" s="8">
        <f t="shared" si="109"/>
        <v>6.6819999999999995</v>
      </c>
      <c r="I1786" s="6">
        <f t="shared" si="110"/>
        <v>30.000000000000004</v>
      </c>
      <c r="J1786" t="str">
        <f t="shared" si="111"/>
        <v>OK</v>
      </c>
    </row>
    <row r="1787" spans="1:10" x14ac:dyDescent="0.2">
      <c r="A1787">
        <v>11786</v>
      </c>
      <c r="B1787" t="s">
        <v>7</v>
      </c>
      <c r="C1787" t="s">
        <v>9</v>
      </c>
      <c r="D1787" s="8">
        <v>10.220000000000001</v>
      </c>
      <c r="E1787">
        <v>1</v>
      </c>
      <c r="F1787" t="str">
        <f t="shared" si="108"/>
        <v>Value</v>
      </c>
      <c r="G1787" s="3" cm="1">
        <f t="array" ref="G1787">_xlfn.XLOOKUP(C1787 &amp; F1787,
         [1]unilever_price_limits!A:A &amp; [1]unilever_price_limits!B:B,
         [1]unilever_price_limits!C:C)</f>
        <v>15</v>
      </c>
      <c r="H1787" s="8">
        <f t="shared" si="109"/>
        <v>11.753</v>
      </c>
      <c r="I1787" s="6">
        <f t="shared" si="110"/>
        <v>14.999999999999991</v>
      </c>
      <c r="J1787" t="str">
        <f t="shared" si="111"/>
        <v>OK</v>
      </c>
    </row>
    <row r="1788" spans="1:10" x14ac:dyDescent="0.2">
      <c r="A1788">
        <v>11787</v>
      </c>
      <c r="B1788" t="s">
        <v>7</v>
      </c>
      <c r="C1788" t="s">
        <v>6</v>
      </c>
      <c r="D1788" s="8">
        <v>3.22</v>
      </c>
      <c r="E1788">
        <v>2</v>
      </c>
      <c r="F1788" t="str">
        <f t="shared" si="108"/>
        <v>Value</v>
      </c>
      <c r="G1788" s="3" cm="1">
        <f t="array" ref="G1788">_xlfn.XLOOKUP(C1788 &amp; F1788,
         [1]unilever_price_limits!A:A &amp; [1]unilever_price_limits!B:B,
         [1]unilever_price_limits!C:C)</f>
        <v>12</v>
      </c>
      <c r="H1788" s="8">
        <f t="shared" si="109"/>
        <v>3.6064000000000007</v>
      </c>
      <c r="I1788" s="6">
        <f t="shared" si="110"/>
        <v>12.000000000000011</v>
      </c>
      <c r="J1788" t="str">
        <f t="shared" si="111"/>
        <v>OK</v>
      </c>
    </row>
    <row r="1789" spans="1:10" x14ac:dyDescent="0.2">
      <c r="A1789">
        <v>11788</v>
      </c>
      <c r="B1789" t="s">
        <v>7</v>
      </c>
      <c r="C1789" t="s">
        <v>11</v>
      </c>
      <c r="D1789" s="8">
        <v>9.56</v>
      </c>
      <c r="E1789">
        <v>8</v>
      </c>
      <c r="F1789" t="str">
        <f t="shared" si="108"/>
        <v>Premium</v>
      </c>
      <c r="G1789" s="3" cm="1">
        <f t="array" ref="G1789">_xlfn.XLOOKUP(C1789 &amp; F1789,
         [1]unilever_price_limits!A:A &amp; [1]unilever_price_limits!B:B,
         [1]unilever_price_limits!C:C)</f>
        <v>50</v>
      </c>
      <c r="H1789" s="8">
        <f t="shared" si="109"/>
        <v>14.34</v>
      </c>
      <c r="I1789" s="6">
        <f t="shared" si="110"/>
        <v>50</v>
      </c>
      <c r="J1789" t="str">
        <f t="shared" si="111"/>
        <v>OK</v>
      </c>
    </row>
    <row r="1790" spans="1:10" x14ac:dyDescent="0.2">
      <c r="A1790">
        <v>11789</v>
      </c>
      <c r="B1790" t="s">
        <v>8</v>
      </c>
      <c r="C1790" t="s">
        <v>9</v>
      </c>
      <c r="D1790" s="8">
        <v>5.38</v>
      </c>
      <c r="E1790">
        <v>4</v>
      </c>
      <c r="F1790" t="str">
        <f t="shared" si="108"/>
        <v>Standard</v>
      </c>
      <c r="G1790" s="3" cm="1">
        <f t="array" ref="G1790">_xlfn.XLOOKUP(C1790 &amp; F1790,
         [1]unilever_price_limits!A:A &amp; [1]unilever_price_limits!B:B,
         [1]unilever_price_limits!C:C)</f>
        <v>30</v>
      </c>
      <c r="H1790" s="8">
        <f t="shared" si="109"/>
        <v>6.9939999999999998</v>
      </c>
      <c r="I1790" s="6">
        <f t="shared" si="110"/>
        <v>30.000000000000004</v>
      </c>
      <c r="J1790" t="str">
        <f t="shared" si="111"/>
        <v>OK</v>
      </c>
    </row>
    <row r="1791" spans="1:10" x14ac:dyDescent="0.2">
      <c r="A1791">
        <v>11790</v>
      </c>
      <c r="B1791" t="s">
        <v>10</v>
      </c>
      <c r="C1791" t="s">
        <v>9</v>
      </c>
      <c r="D1791" s="8">
        <v>3.56</v>
      </c>
      <c r="E1791">
        <v>10</v>
      </c>
      <c r="F1791" t="str">
        <f t="shared" si="108"/>
        <v>Premium</v>
      </c>
      <c r="G1791" s="3" cm="1">
        <f t="array" ref="G1791">_xlfn.XLOOKUP(C1791 &amp; F1791,
         [1]unilever_price_limits!A:A &amp; [1]unilever_price_limits!B:B,
         [1]unilever_price_limits!C:C)</f>
        <v>60</v>
      </c>
      <c r="H1791" s="8">
        <f t="shared" si="109"/>
        <v>5.6960000000000006</v>
      </c>
      <c r="I1791" s="6">
        <f t="shared" si="110"/>
        <v>60.000000000000007</v>
      </c>
      <c r="J1791" t="str">
        <f t="shared" si="111"/>
        <v>OK</v>
      </c>
    </row>
    <row r="1792" spans="1:10" x14ac:dyDescent="0.2">
      <c r="A1792">
        <v>11791</v>
      </c>
      <c r="B1792" t="s">
        <v>8</v>
      </c>
      <c r="C1792" t="s">
        <v>6</v>
      </c>
      <c r="D1792" s="8">
        <v>5.04</v>
      </c>
      <c r="E1792">
        <v>7</v>
      </c>
      <c r="F1792" t="str">
        <f t="shared" si="108"/>
        <v>Standard</v>
      </c>
      <c r="G1792" s="3" cm="1">
        <f t="array" ref="G1792">_xlfn.XLOOKUP(C1792 &amp; F1792,
         [1]unilever_price_limits!A:A &amp; [1]unilever_price_limits!B:B,
         [1]unilever_price_limits!C:C)</f>
        <v>28</v>
      </c>
      <c r="H1792" s="8">
        <f t="shared" si="109"/>
        <v>6.4512</v>
      </c>
      <c r="I1792" s="6">
        <f t="shared" si="110"/>
        <v>28.000000000000004</v>
      </c>
      <c r="J1792" t="str">
        <f t="shared" si="111"/>
        <v>OK</v>
      </c>
    </row>
    <row r="1793" spans="1:10" x14ac:dyDescent="0.2">
      <c r="A1793">
        <v>11792</v>
      </c>
      <c r="B1793" t="s">
        <v>10</v>
      </c>
      <c r="C1793" t="s">
        <v>6</v>
      </c>
      <c r="D1793" s="8">
        <v>3.09</v>
      </c>
      <c r="E1793">
        <v>4</v>
      </c>
      <c r="F1793" t="str">
        <f t="shared" si="108"/>
        <v>Standard</v>
      </c>
      <c r="G1793" s="3" cm="1">
        <f t="array" ref="G1793">_xlfn.XLOOKUP(C1793 &amp; F1793,
         [1]unilever_price_limits!A:A &amp; [1]unilever_price_limits!B:B,
         [1]unilever_price_limits!C:C)</f>
        <v>28</v>
      </c>
      <c r="H1793" s="8">
        <f t="shared" si="109"/>
        <v>3.9552</v>
      </c>
      <c r="I1793" s="6">
        <f t="shared" si="110"/>
        <v>28.000000000000004</v>
      </c>
      <c r="J1793" t="str">
        <f t="shared" si="111"/>
        <v>OK</v>
      </c>
    </row>
    <row r="1794" spans="1:10" x14ac:dyDescent="0.2">
      <c r="A1794">
        <v>11793</v>
      </c>
      <c r="B1794" t="s">
        <v>5</v>
      </c>
      <c r="C1794" t="s">
        <v>6</v>
      </c>
      <c r="D1794" s="8">
        <v>13.58</v>
      </c>
      <c r="E1794">
        <v>9</v>
      </c>
      <c r="F1794" t="str">
        <f t="shared" si="108"/>
        <v>Premium</v>
      </c>
      <c r="G1794" s="3" cm="1">
        <f t="array" ref="G1794">_xlfn.XLOOKUP(C1794 &amp; F1794,
         [1]unilever_price_limits!A:A &amp; [1]unilever_price_limits!B:B,
         [1]unilever_price_limits!C:C)</f>
        <v>55</v>
      </c>
      <c r="H1794" s="8">
        <f t="shared" si="109"/>
        <v>21.048999999999999</v>
      </c>
      <c r="I1794" s="6">
        <f t="shared" si="110"/>
        <v>55.000000000000007</v>
      </c>
      <c r="J1794" t="str">
        <f t="shared" si="111"/>
        <v>OK</v>
      </c>
    </row>
    <row r="1795" spans="1:10" x14ac:dyDescent="0.2">
      <c r="A1795">
        <v>11794</v>
      </c>
      <c r="B1795" t="s">
        <v>5</v>
      </c>
      <c r="C1795" t="s">
        <v>9</v>
      </c>
      <c r="D1795" s="8">
        <v>6.26</v>
      </c>
      <c r="E1795">
        <v>9</v>
      </c>
      <c r="F1795" t="str">
        <f t="shared" ref="F1795:F1858" si="112">IF(E1795&lt;=3,"Value",
 IF(E1795&lt;=7,"Standard","Premium"))</f>
        <v>Premium</v>
      </c>
      <c r="G1795" s="3" cm="1">
        <f t="array" ref="G1795">_xlfn.XLOOKUP(C1795 &amp; F1795,
         [1]unilever_price_limits!A:A &amp; [1]unilever_price_limits!B:B,
         [1]unilever_price_limits!C:C)</f>
        <v>60</v>
      </c>
      <c r="H1795" s="8">
        <f t="shared" ref="H1795:H1858" si="113">D1795 * (1 + G1795/100)</f>
        <v>10.016</v>
      </c>
      <c r="I1795" s="6">
        <f t="shared" ref="I1795:I1858" si="114">(H1795 / D1795 - 1) * 100</f>
        <v>60.000000000000007</v>
      </c>
      <c r="J1795" t="str">
        <f t="shared" ref="J1795:J1858" si="115">IF(I1794&gt; G1794, "⚠ Exceeds Limit", "OK")</f>
        <v>OK</v>
      </c>
    </row>
    <row r="1796" spans="1:10" x14ac:dyDescent="0.2">
      <c r="A1796">
        <v>11795</v>
      </c>
      <c r="B1796" t="s">
        <v>7</v>
      </c>
      <c r="C1796" t="s">
        <v>9</v>
      </c>
      <c r="D1796" s="8">
        <v>4.0599999999999996</v>
      </c>
      <c r="E1796">
        <v>4</v>
      </c>
      <c r="F1796" t="str">
        <f t="shared" si="112"/>
        <v>Standard</v>
      </c>
      <c r="G1796" s="3" cm="1">
        <f t="array" ref="G1796">_xlfn.XLOOKUP(C1796 &amp; F1796,
         [1]unilever_price_limits!A:A &amp; [1]unilever_price_limits!B:B,
         [1]unilever_price_limits!C:C)</f>
        <v>30</v>
      </c>
      <c r="H1796" s="8">
        <f t="shared" si="113"/>
        <v>5.2779999999999996</v>
      </c>
      <c r="I1796" s="6">
        <f t="shared" si="114"/>
        <v>30.000000000000004</v>
      </c>
      <c r="J1796" t="str">
        <f t="shared" si="115"/>
        <v>OK</v>
      </c>
    </row>
    <row r="1797" spans="1:10" x14ac:dyDescent="0.2">
      <c r="A1797">
        <v>11796</v>
      </c>
      <c r="B1797" t="s">
        <v>10</v>
      </c>
      <c r="C1797" t="s">
        <v>6</v>
      </c>
      <c r="D1797" s="8">
        <v>7</v>
      </c>
      <c r="E1797">
        <v>8</v>
      </c>
      <c r="F1797" t="str">
        <f t="shared" si="112"/>
        <v>Premium</v>
      </c>
      <c r="G1797" s="3" cm="1">
        <f t="array" ref="G1797">_xlfn.XLOOKUP(C1797 &amp; F1797,
         [1]unilever_price_limits!A:A &amp; [1]unilever_price_limits!B:B,
         [1]unilever_price_limits!C:C)</f>
        <v>55</v>
      </c>
      <c r="H1797" s="8">
        <f t="shared" si="113"/>
        <v>10.85</v>
      </c>
      <c r="I1797" s="6">
        <f t="shared" si="114"/>
        <v>55.000000000000007</v>
      </c>
      <c r="J1797" t="str">
        <f t="shared" si="115"/>
        <v>OK</v>
      </c>
    </row>
    <row r="1798" spans="1:10" x14ac:dyDescent="0.2">
      <c r="A1798">
        <v>11797</v>
      </c>
      <c r="B1798" t="s">
        <v>5</v>
      </c>
      <c r="C1798" t="s">
        <v>11</v>
      </c>
      <c r="D1798" s="8">
        <v>5.15</v>
      </c>
      <c r="E1798">
        <v>6</v>
      </c>
      <c r="F1798" t="str">
        <f t="shared" si="112"/>
        <v>Standard</v>
      </c>
      <c r="G1798" s="3" cm="1">
        <f t="array" ref="G1798">_xlfn.XLOOKUP(C1798 &amp; F1798,
         [1]unilever_price_limits!A:A &amp; [1]unilever_price_limits!B:B,
         [1]unilever_price_limits!C:C)</f>
        <v>25</v>
      </c>
      <c r="H1798" s="8">
        <f t="shared" si="113"/>
        <v>6.4375</v>
      </c>
      <c r="I1798" s="6">
        <f t="shared" si="114"/>
        <v>25</v>
      </c>
      <c r="J1798" t="str">
        <f t="shared" si="115"/>
        <v>OK</v>
      </c>
    </row>
    <row r="1799" spans="1:10" x14ac:dyDescent="0.2">
      <c r="A1799">
        <v>11798</v>
      </c>
      <c r="B1799" t="s">
        <v>10</v>
      </c>
      <c r="C1799" t="s">
        <v>6</v>
      </c>
      <c r="D1799" s="8">
        <v>11.29</v>
      </c>
      <c r="E1799">
        <v>1</v>
      </c>
      <c r="F1799" t="str">
        <f t="shared" si="112"/>
        <v>Value</v>
      </c>
      <c r="G1799" s="3" cm="1">
        <f t="array" ref="G1799">_xlfn.XLOOKUP(C1799 &amp; F1799,
         [1]unilever_price_limits!A:A &amp; [1]unilever_price_limits!B:B,
         [1]unilever_price_limits!C:C)</f>
        <v>12</v>
      </c>
      <c r="H1799" s="8">
        <f t="shared" si="113"/>
        <v>12.6448</v>
      </c>
      <c r="I1799" s="6">
        <f t="shared" si="114"/>
        <v>12.000000000000011</v>
      </c>
      <c r="J1799" t="str">
        <f t="shared" si="115"/>
        <v>OK</v>
      </c>
    </row>
    <row r="1800" spans="1:10" x14ac:dyDescent="0.2">
      <c r="A1800">
        <v>11799</v>
      </c>
      <c r="B1800" t="s">
        <v>5</v>
      </c>
      <c r="C1800" t="s">
        <v>6</v>
      </c>
      <c r="D1800" s="8">
        <v>14.58</v>
      </c>
      <c r="E1800">
        <v>7</v>
      </c>
      <c r="F1800" t="str">
        <f t="shared" si="112"/>
        <v>Standard</v>
      </c>
      <c r="G1800" s="3" cm="1">
        <f t="array" ref="G1800">_xlfn.XLOOKUP(C1800 &amp; F1800,
         [1]unilever_price_limits!A:A &amp; [1]unilever_price_limits!B:B,
         [1]unilever_price_limits!C:C)</f>
        <v>28</v>
      </c>
      <c r="H1800" s="8">
        <f t="shared" si="113"/>
        <v>18.662400000000002</v>
      </c>
      <c r="I1800" s="6">
        <f t="shared" si="114"/>
        <v>28.000000000000004</v>
      </c>
      <c r="J1800" t="str">
        <f t="shared" si="115"/>
        <v>OK</v>
      </c>
    </row>
    <row r="1801" spans="1:10" x14ac:dyDescent="0.2">
      <c r="A1801">
        <v>11800</v>
      </c>
      <c r="B1801" t="s">
        <v>8</v>
      </c>
      <c r="C1801" t="s">
        <v>6</v>
      </c>
      <c r="D1801" s="8">
        <v>6.85</v>
      </c>
      <c r="E1801">
        <v>1</v>
      </c>
      <c r="F1801" t="str">
        <f t="shared" si="112"/>
        <v>Value</v>
      </c>
      <c r="G1801" s="3" cm="1">
        <f t="array" ref="G1801">_xlfn.XLOOKUP(C1801 &amp; F1801,
         [1]unilever_price_limits!A:A &amp; [1]unilever_price_limits!B:B,
         [1]unilever_price_limits!C:C)</f>
        <v>12</v>
      </c>
      <c r="H1801" s="8">
        <f t="shared" si="113"/>
        <v>7.6720000000000006</v>
      </c>
      <c r="I1801" s="6">
        <f t="shared" si="114"/>
        <v>12.000000000000011</v>
      </c>
      <c r="J1801" t="str">
        <f t="shared" si="115"/>
        <v>OK</v>
      </c>
    </row>
    <row r="1802" spans="1:10" x14ac:dyDescent="0.2">
      <c r="A1802">
        <v>11801</v>
      </c>
      <c r="B1802" t="s">
        <v>5</v>
      </c>
      <c r="C1802" t="s">
        <v>6</v>
      </c>
      <c r="D1802" s="8">
        <v>12.98</v>
      </c>
      <c r="E1802">
        <v>3</v>
      </c>
      <c r="F1802" t="str">
        <f t="shared" si="112"/>
        <v>Value</v>
      </c>
      <c r="G1802" s="3" cm="1">
        <f t="array" ref="G1802">_xlfn.XLOOKUP(C1802 &amp; F1802,
         [1]unilever_price_limits!A:A &amp; [1]unilever_price_limits!B:B,
         [1]unilever_price_limits!C:C)</f>
        <v>12</v>
      </c>
      <c r="H1802" s="8">
        <f t="shared" si="113"/>
        <v>14.537600000000001</v>
      </c>
      <c r="I1802" s="6">
        <f t="shared" si="114"/>
        <v>12.000000000000011</v>
      </c>
      <c r="J1802" t="str">
        <f t="shared" si="115"/>
        <v>OK</v>
      </c>
    </row>
    <row r="1803" spans="1:10" x14ac:dyDescent="0.2">
      <c r="A1803">
        <v>11802</v>
      </c>
      <c r="B1803" t="s">
        <v>8</v>
      </c>
      <c r="C1803" t="s">
        <v>9</v>
      </c>
      <c r="D1803" s="8">
        <v>8.7100000000000009</v>
      </c>
      <c r="E1803">
        <v>8</v>
      </c>
      <c r="F1803" t="str">
        <f t="shared" si="112"/>
        <v>Premium</v>
      </c>
      <c r="G1803" s="3" cm="1">
        <f t="array" ref="G1803">_xlfn.XLOOKUP(C1803 &amp; F1803,
         [1]unilever_price_limits!A:A &amp; [1]unilever_price_limits!B:B,
         [1]unilever_price_limits!C:C)</f>
        <v>60</v>
      </c>
      <c r="H1803" s="8">
        <f t="shared" si="113"/>
        <v>13.936000000000002</v>
      </c>
      <c r="I1803" s="6">
        <f t="shared" si="114"/>
        <v>60.000000000000007</v>
      </c>
      <c r="J1803" t="str">
        <f t="shared" si="115"/>
        <v>OK</v>
      </c>
    </row>
    <row r="1804" spans="1:10" x14ac:dyDescent="0.2">
      <c r="A1804">
        <v>11803</v>
      </c>
      <c r="B1804" t="s">
        <v>5</v>
      </c>
      <c r="C1804" t="s">
        <v>11</v>
      </c>
      <c r="D1804" s="8">
        <v>2.78</v>
      </c>
      <c r="E1804">
        <v>9</v>
      </c>
      <c r="F1804" t="str">
        <f t="shared" si="112"/>
        <v>Premium</v>
      </c>
      <c r="G1804" s="3" cm="1">
        <f t="array" ref="G1804">_xlfn.XLOOKUP(C1804 &amp; F1804,
         [1]unilever_price_limits!A:A &amp; [1]unilever_price_limits!B:B,
         [1]unilever_price_limits!C:C)</f>
        <v>50</v>
      </c>
      <c r="H1804" s="8">
        <f t="shared" si="113"/>
        <v>4.17</v>
      </c>
      <c r="I1804" s="6">
        <f t="shared" si="114"/>
        <v>50</v>
      </c>
      <c r="J1804" t="str">
        <f t="shared" si="115"/>
        <v>OK</v>
      </c>
    </row>
    <row r="1805" spans="1:10" x14ac:dyDescent="0.2">
      <c r="A1805">
        <v>11804</v>
      </c>
      <c r="B1805" t="s">
        <v>7</v>
      </c>
      <c r="C1805" t="s">
        <v>6</v>
      </c>
      <c r="D1805" s="8">
        <v>10.51</v>
      </c>
      <c r="E1805">
        <v>3</v>
      </c>
      <c r="F1805" t="str">
        <f t="shared" si="112"/>
        <v>Value</v>
      </c>
      <c r="G1805" s="3" cm="1">
        <f t="array" ref="G1805">_xlfn.XLOOKUP(C1805 &amp; F1805,
         [1]unilever_price_limits!A:A &amp; [1]unilever_price_limits!B:B,
         [1]unilever_price_limits!C:C)</f>
        <v>12</v>
      </c>
      <c r="H1805" s="8">
        <f t="shared" si="113"/>
        <v>11.7712</v>
      </c>
      <c r="I1805" s="6">
        <f t="shared" si="114"/>
        <v>12.000000000000011</v>
      </c>
      <c r="J1805" t="str">
        <f t="shared" si="115"/>
        <v>OK</v>
      </c>
    </row>
    <row r="1806" spans="1:10" x14ac:dyDescent="0.2">
      <c r="A1806">
        <v>11805</v>
      </c>
      <c r="B1806" t="s">
        <v>8</v>
      </c>
      <c r="C1806" t="s">
        <v>11</v>
      </c>
      <c r="D1806" s="8">
        <v>7.94</v>
      </c>
      <c r="E1806">
        <v>1</v>
      </c>
      <c r="F1806" t="str">
        <f t="shared" si="112"/>
        <v>Value</v>
      </c>
      <c r="G1806" s="3" cm="1">
        <f t="array" ref="G1806">_xlfn.XLOOKUP(C1806 &amp; F1806,
         [1]unilever_price_limits!A:A &amp; [1]unilever_price_limits!B:B,
         [1]unilever_price_limits!C:C)</f>
        <v>10</v>
      </c>
      <c r="H1806" s="8">
        <f t="shared" si="113"/>
        <v>8.7340000000000018</v>
      </c>
      <c r="I1806" s="6">
        <f t="shared" si="114"/>
        <v>10.000000000000009</v>
      </c>
      <c r="J1806" t="str">
        <f t="shared" si="115"/>
        <v>OK</v>
      </c>
    </row>
    <row r="1807" spans="1:10" x14ac:dyDescent="0.2">
      <c r="A1807">
        <v>11806</v>
      </c>
      <c r="B1807" t="s">
        <v>5</v>
      </c>
      <c r="C1807" t="s">
        <v>11</v>
      </c>
      <c r="D1807" s="8">
        <v>9.93</v>
      </c>
      <c r="E1807">
        <v>1</v>
      </c>
      <c r="F1807" t="str">
        <f t="shared" si="112"/>
        <v>Value</v>
      </c>
      <c r="G1807" s="3" cm="1">
        <f t="array" ref="G1807">_xlfn.XLOOKUP(C1807 &amp; F1807,
         [1]unilever_price_limits!A:A &amp; [1]unilever_price_limits!B:B,
         [1]unilever_price_limits!C:C)</f>
        <v>10</v>
      </c>
      <c r="H1807" s="8">
        <f t="shared" si="113"/>
        <v>10.923</v>
      </c>
      <c r="I1807" s="6">
        <f t="shared" si="114"/>
        <v>10.000000000000009</v>
      </c>
      <c r="J1807" t="str">
        <f t="shared" si="115"/>
        <v>OK</v>
      </c>
    </row>
    <row r="1808" spans="1:10" x14ac:dyDescent="0.2">
      <c r="A1808">
        <v>11807</v>
      </c>
      <c r="B1808" t="s">
        <v>7</v>
      </c>
      <c r="C1808" t="s">
        <v>11</v>
      </c>
      <c r="D1808" s="8">
        <v>13.4</v>
      </c>
      <c r="E1808">
        <v>7</v>
      </c>
      <c r="F1808" t="str">
        <f t="shared" si="112"/>
        <v>Standard</v>
      </c>
      <c r="G1808" s="3" cm="1">
        <f t="array" ref="G1808">_xlfn.XLOOKUP(C1808 &amp; F1808,
         [1]unilever_price_limits!A:A &amp; [1]unilever_price_limits!B:B,
         [1]unilever_price_limits!C:C)</f>
        <v>25</v>
      </c>
      <c r="H1808" s="8">
        <f t="shared" si="113"/>
        <v>16.75</v>
      </c>
      <c r="I1808" s="6">
        <f t="shared" si="114"/>
        <v>25</v>
      </c>
      <c r="J1808" t="str">
        <f t="shared" si="115"/>
        <v>OK</v>
      </c>
    </row>
    <row r="1809" spans="1:10" x14ac:dyDescent="0.2">
      <c r="A1809">
        <v>11808</v>
      </c>
      <c r="B1809" t="s">
        <v>8</v>
      </c>
      <c r="C1809" t="s">
        <v>6</v>
      </c>
      <c r="D1809" s="8">
        <v>6.89</v>
      </c>
      <c r="E1809">
        <v>5</v>
      </c>
      <c r="F1809" t="str">
        <f t="shared" si="112"/>
        <v>Standard</v>
      </c>
      <c r="G1809" s="3" cm="1">
        <f t="array" ref="G1809">_xlfn.XLOOKUP(C1809 &amp; F1809,
         [1]unilever_price_limits!A:A &amp; [1]unilever_price_limits!B:B,
         [1]unilever_price_limits!C:C)</f>
        <v>28</v>
      </c>
      <c r="H1809" s="8">
        <f t="shared" si="113"/>
        <v>8.8192000000000004</v>
      </c>
      <c r="I1809" s="6">
        <f t="shared" si="114"/>
        <v>28.000000000000004</v>
      </c>
      <c r="J1809" t="str">
        <f t="shared" si="115"/>
        <v>OK</v>
      </c>
    </row>
    <row r="1810" spans="1:10" x14ac:dyDescent="0.2">
      <c r="A1810">
        <v>11809</v>
      </c>
      <c r="B1810" t="s">
        <v>7</v>
      </c>
      <c r="C1810" t="s">
        <v>9</v>
      </c>
      <c r="D1810" s="8">
        <v>13.57</v>
      </c>
      <c r="E1810">
        <v>1</v>
      </c>
      <c r="F1810" t="str">
        <f t="shared" si="112"/>
        <v>Value</v>
      </c>
      <c r="G1810" s="3" cm="1">
        <f t="array" ref="G1810">_xlfn.XLOOKUP(C1810 &amp; F1810,
         [1]unilever_price_limits!A:A &amp; [1]unilever_price_limits!B:B,
         [1]unilever_price_limits!C:C)</f>
        <v>15</v>
      </c>
      <c r="H1810" s="8">
        <f t="shared" si="113"/>
        <v>15.605499999999999</v>
      </c>
      <c r="I1810" s="6">
        <f t="shared" si="114"/>
        <v>14.999999999999991</v>
      </c>
      <c r="J1810" t="str">
        <f t="shared" si="115"/>
        <v>OK</v>
      </c>
    </row>
    <row r="1811" spans="1:10" x14ac:dyDescent="0.2">
      <c r="A1811">
        <v>11810</v>
      </c>
      <c r="B1811" t="s">
        <v>10</v>
      </c>
      <c r="C1811" t="s">
        <v>6</v>
      </c>
      <c r="D1811" s="8">
        <v>11.38</v>
      </c>
      <c r="E1811">
        <v>6</v>
      </c>
      <c r="F1811" t="str">
        <f t="shared" si="112"/>
        <v>Standard</v>
      </c>
      <c r="G1811" s="3" cm="1">
        <f t="array" ref="G1811">_xlfn.XLOOKUP(C1811 &amp; F1811,
         [1]unilever_price_limits!A:A &amp; [1]unilever_price_limits!B:B,
         [1]unilever_price_limits!C:C)</f>
        <v>28</v>
      </c>
      <c r="H1811" s="8">
        <f t="shared" si="113"/>
        <v>14.566400000000002</v>
      </c>
      <c r="I1811" s="6">
        <f t="shared" si="114"/>
        <v>28.000000000000004</v>
      </c>
      <c r="J1811" t="str">
        <f t="shared" si="115"/>
        <v>OK</v>
      </c>
    </row>
    <row r="1812" spans="1:10" x14ac:dyDescent="0.2">
      <c r="A1812">
        <v>11811</v>
      </c>
      <c r="B1812" t="s">
        <v>10</v>
      </c>
      <c r="C1812" t="s">
        <v>11</v>
      </c>
      <c r="D1812" s="8">
        <v>7.58</v>
      </c>
      <c r="E1812">
        <v>6</v>
      </c>
      <c r="F1812" t="str">
        <f t="shared" si="112"/>
        <v>Standard</v>
      </c>
      <c r="G1812" s="3" cm="1">
        <f t="array" ref="G1812">_xlfn.XLOOKUP(C1812 &amp; F1812,
         [1]unilever_price_limits!A:A &amp; [1]unilever_price_limits!B:B,
         [1]unilever_price_limits!C:C)</f>
        <v>25</v>
      </c>
      <c r="H1812" s="8">
        <f t="shared" si="113"/>
        <v>9.4749999999999996</v>
      </c>
      <c r="I1812" s="6">
        <f t="shared" si="114"/>
        <v>25</v>
      </c>
      <c r="J1812" t="str">
        <f t="shared" si="115"/>
        <v>OK</v>
      </c>
    </row>
    <row r="1813" spans="1:10" x14ac:dyDescent="0.2">
      <c r="A1813">
        <v>11812</v>
      </c>
      <c r="B1813" t="s">
        <v>8</v>
      </c>
      <c r="C1813" t="s">
        <v>11</v>
      </c>
      <c r="D1813" s="8">
        <v>9.25</v>
      </c>
      <c r="E1813">
        <v>4</v>
      </c>
      <c r="F1813" t="str">
        <f t="shared" si="112"/>
        <v>Standard</v>
      </c>
      <c r="G1813" s="3" cm="1">
        <f t="array" ref="G1813">_xlfn.XLOOKUP(C1813 &amp; F1813,
         [1]unilever_price_limits!A:A &amp; [1]unilever_price_limits!B:B,
         [1]unilever_price_limits!C:C)</f>
        <v>25</v>
      </c>
      <c r="H1813" s="8">
        <f t="shared" si="113"/>
        <v>11.5625</v>
      </c>
      <c r="I1813" s="6">
        <f t="shared" si="114"/>
        <v>25</v>
      </c>
      <c r="J1813" t="str">
        <f t="shared" si="115"/>
        <v>OK</v>
      </c>
    </row>
    <row r="1814" spans="1:10" x14ac:dyDescent="0.2">
      <c r="A1814">
        <v>11813</v>
      </c>
      <c r="B1814" t="s">
        <v>5</v>
      </c>
      <c r="C1814" t="s">
        <v>9</v>
      </c>
      <c r="D1814" s="8">
        <v>5.22</v>
      </c>
      <c r="E1814">
        <v>7</v>
      </c>
      <c r="F1814" t="str">
        <f t="shared" si="112"/>
        <v>Standard</v>
      </c>
      <c r="G1814" s="3" cm="1">
        <f t="array" ref="G1814">_xlfn.XLOOKUP(C1814 &amp; F1814,
         [1]unilever_price_limits!A:A &amp; [1]unilever_price_limits!B:B,
         [1]unilever_price_limits!C:C)</f>
        <v>30</v>
      </c>
      <c r="H1814" s="8">
        <f t="shared" si="113"/>
        <v>6.7859999999999996</v>
      </c>
      <c r="I1814" s="6">
        <f t="shared" si="114"/>
        <v>30.000000000000004</v>
      </c>
      <c r="J1814" t="str">
        <f t="shared" si="115"/>
        <v>OK</v>
      </c>
    </row>
    <row r="1815" spans="1:10" x14ac:dyDescent="0.2">
      <c r="A1815">
        <v>11814</v>
      </c>
      <c r="B1815" t="s">
        <v>8</v>
      </c>
      <c r="C1815" t="s">
        <v>6</v>
      </c>
      <c r="D1815" s="8">
        <v>14.76</v>
      </c>
      <c r="E1815">
        <v>7</v>
      </c>
      <c r="F1815" t="str">
        <f t="shared" si="112"/>
        <v>Standard</v>
      </c>
      <c r="G1815" s="3" cm="1">
        <f t="array" ref="G1815">_xlfn.XLOOKUP(C1815 &amp; F1815,
         [1]unilever_price_limits!A:A &amp; [1]unilever_price_limits!B:B,
         [1]unilever_price_limits!C:C)</f>
        <v>28</v>
      </c>
      <c r="H1815" s="8">
        <f t="shared" si="113"/>
        <v>18.892800000000001</v>
      </c>
      <c r="I1815" s="6">
        <f t="shared" si="114"/>
        <v>28.000000000000004</v>
      </c>
      <c r="J1815" t="str">
        <f t="shared" si="115"/>
        <v>OK</v>
      </c>
    </row>
    <row r="1816" spans="1:10" x14ac:dyDescent="0.2">
      <c r="A1816">
        <v>11815</v>
      </c>
      <c r="B1816" t="s">
        <v>7</v>
      </c>
      <c r="C1816" t="s">
        <v>11</v>
      </c>
      <c r="D1816" s="8">
        <v>10.18</v>
      </c>
      <c r="E1816">
        <v>9</v>
      </c>
      <c r="F1816" t="str">
        <f t="shared" si="112"/>
        <v>Premium</v>
      </c>
      <c r="G1816" s="3" cm="1">
        <f t="array" ref="G1816">_xlfn.XLOOKUP(C1816 &amp; F1816,
         [1]unilever_price_limits!A:A &amp; [1]unilever_price_limits!B:B,
         [1]unilever_price_limits!C:C)</f>
        <v>50</v>
      </c>
      <c r="H1816" s="8">
        <f t="shared" si="113"/>
        <v>15.27</v>
      </c>
      <c r="I1816" s="6">
        <f t="shared" si="114"/>
        <v>50</v>
      </c>
      <c r="J1816" t="str">
        <f t="shared" si="115"/>
        <v>OK</v>
      </c>
    </row>
    <row r="1817" spans="1:10" x14ac:dyDescent="0.2">
      <c r="A1817">
        <v>11816</v>
      </c>
      <c r="B1817" t="s">
        <v>5</v>
      </c>
      <c r="C1817" t="s">
        <v>9</v>
      </c>
      <c r="D1817" s="8">
        <v>1.1399999999999999</v>
      </c>
      <c r="E1817">
        <v>1</v>
      </c>
      <c r="F1817" t="str">
        <f t="shared" si="112"/>
        <v>Value</v>
      </c>
      <c r="G1817" s="3" cm="1">
        <f t="array" ref="G1817">_xlfn.XLOOKUP(C1817 &amp; F1817,
         [1]unilever_price_limits!A:A &amp; [1]unilever_price_limits!B:B,
         [1]unilever_price_limits!C:C)</f>
        <v>15</v>
      </c>
      <c r="H1817" s="8">
        <f t="shared" si="113"/>
        <v>1.3109999999999997</v>
      </c>
      <c r="I1817" s="6">
        <f t="shared" si="114"/>
        <v>14.999999999999991</v>
      </c>
      <c r="J1817" t="str">
        <f t="shared" si="115"/>
        <v>OK</v>
      </c>
    </row>
    <row r="1818" spans="1:10" x14ac:dyDescent="0.2">
      <c r="A1818">
        <v>11817</v>
      </c>
      <c r="B1818" t="s">
        <v>10</v>
      </c>
      <c r="C1818" t="s">
        <v>11</v>
      </c>
      <c r="D1818" s="8">
        <v>5.24</v>
      </c>
      <c r="E1818">
        <v>5</v>
      </c>
      <c r="F1818" t="str">
        <f t="shared" si="112"/>
        <v>Standard</v>
      </c>
      <c r="G1818" s="3" cm="1">
        <f t="array" ref="G1818">_xlfn.XLOOKUP(C1818 &amp; F1818,
         [1]unilever_price_limits!A:A &amp; [1]unilever_price_limits!B:B,
         [1]unilever_price_limits!C:C)</f>
        <v>25</v>
      </c>
      <c r="H1818" s="8">
        <f t="shared" si="113"/>
        <v>6.5500000000000007</v>
      </c>
      <c r="I1818" s="6">
        <f t="shared" si="114"/>
        <v>25</v>
      </c>
      <c r="J1818" t="str">
        <f t="shared" si="115"/>
        <v>OK</v>
      </c>
    </row>
    <row r="1819" spans="1:10" x14ac:dyDescent="0.2">
      <c r="A1819">
        <v>11818</v>
      </c>
      <c r="B1819" t="s">
        <v>5</v>
      </c>
      <c r="C1819" t="s">
        <v>9</v>
      </c>
      <c r="D1819" s="8">
        <v>9.5399999999999991</v>
      </c>
      <c r="E1819">
        <v>10</v>
      </c>
      <c r="F1819" t="str">
        <f t="shared" si="112"/>
        <v>Premium</v>
      </c>
      <c r="G1819" s="3" cm="1">
        <f t="array" ref="G1819">_xlfn.XLOOKUP(C1819 &amp; F1819,
         [1]unilever_price_limits!A:A &amp; [1]unilever_price_limits!B:B,
         [1]unilever_price_limits!C:C)</f>
        <v>60</v>
      </c>
      <c r="H1819" s="8">
        <f t="shared" si="113"/>
        <v>15.263999999999999</v>
      </c>
      <c r="I1819" s="6">
        <f t="shared" si="114"/>
        <v>60.000000000000007</v>
      </c>
      <c r="J1819" t="str">
        <f t="shared" si="115"/>
        <v>OK</v>
      </c>
    </row>
    <row r="1820" spans="1:10" x14ac:dyDescent="0.2">
      <c r="A1820">
        <v>11819</v>
      </c>
      <c r="B1820" t="s">
        <v>10</v>
      </c>
      <c r="C1820" t="s">
        <v>9</v>
      </c>
      <c r="D1820" s="8">
        <v>1.32</v>
      </c>
      <c r="E1820">
        <v>3</v>
      </c>
      <c r="F1820" t="str">
        <f t="shared" si="112"/>
        <v>Value</v>
      </c>
      <c r="G1820" s="3" cm="1">
        <f t="array" ref="G1820">_xlfn.XLOOKUP(C1820 &amp; F1820,
         [1]unilever_price_limits!A:A &amp; [1]unilever_price_limits!B:B,
         [1]unilever_price_limits!C:C)</f>
        <v>15</v>
      </c>
      <c r="H1820" s="8">
        <f t="shared" si="113"/>
        <v>1.518</v>
      </c>
      <c r="I1820" s="6">
        <f t="shared" si="114"/>
        <v>14.999999999999991</v>
      </c>
      <c r="J1820" t="str">
        <f t="shared" si="115"/>
        <v>OK</v>
      </c>
    </row>
    <row r="1821" spans="1:10" x14ac:dyDescent="0.2">
      <c r="A1821">
        <v>11820</v>
      </c>
      <c r="B1821" t="s">
        <v>5</v>
      </c>
      <c r="C1821" t="s">
        <v>6</v>
      </c>
      <c r="D1821" s="8">
        <v>0.85</v>
      </c>
      <c r="E1821">
        <v>7</v>
      </c>
      <c r="F1821" t="str">
        <f t="shared" si="112"/>
        <v>Standard</v>
      </c>
      <c r="G1821" s="3" cm="1">
        <f t="array" ref="G1821">_xlfn.XLOOKUP(C1821 &amp; F1821,
         [1]unilever_price_limits!A:A &amp; [1]unilever_price_limits!B:B,
         [1]unilever_price_limits!C:C)</f>
        <v>28</v>
      </c>
      <c r="H1821" s="8">
        <f t="shared" si="113"/>
        <v>1.0880000000000001</v>
      </c>
      <c r="I1821" s="6">
        <f t="shared" si="114"/>
        <v>28.000000000000004</v>
      </c>
      <c r="J1821" t="str">
        <f t="shared" si="115"/>
        <v>OK</v>
      </c>
    </row>
    <row r="1822" spans="1:10" x14ac:dyDescent="0.2">
      <c r="A1822">
        <v>11821</v>
      </c>
      <c r="B1822" t="s">
        <v>5</v>
      </c>
      <c r="C1822" t="s">
        <v>11</v>
      </c>
      <c r="D1822" s="8">
        <v>7.03</v>
      </c>
      <c r="E1822">
        <v>4</v>
      </c>
      <c r="F1822" t="str">
        <f t="shared" si="112"/>
        <v>Standard</v>
      </c>
      <c r="G1822" s="3" cm="1">
        <f t="array" ref="G1822">_xlfn.XLOOKUP(C1822 &amp; F1822,
         [1]unilever_price_limits!A:A &amp; [1]unilever_price_limits!B:B,
         [1]unilever_price_limits!C:C)</f>
        <v>25</v>
      </c>
      <c r="H1822" s="8">
        <f t="shared" si="113"/>
        <v>8.7874999999999996</v>
      </c>
      <c r="I1822" s="6">
        <f t="shared" si="114"/>
        <v>25</v>
      </c>
      <c r="J1822" t="str">
        <f t="shared" si="115"/>
        <v>OK</v>
      </c>
    </row>
    <row r="1823" spans="1:10" x14ac:dyDescent="0.2">
      <c r="A1823">
        <v>11822</v>
      </c>
      <c r="B1823" t="s">
        <v>5</v>
      </c>
      <c r="C1823" t="s">
        <v>6</v>
      </c>
      <c r="D1823" s="8">
        <v>5.32</v>
      </c>
      <c r="E1823">
        <v>4</v>
      </c>
      <c r="F1823" t="str">
        <f t="shared" si="112"/>
        <v>Standard</v>
      </c>
      <c r="G1823" s="3" cm="1">
        <f t="array" ref="G1823">_xlfn.XLOOKUP(C1823 &amp; F1823,
         [1]unilever_price_limits!A:A &amp; [1]unilever_price_limits!B:B,
         [1]unilever_price_limits!C:C)</f>
        <v>28</v>
      </c>
      <c r="H1823" s="8">
        <f t="shared" si="113"/>
        <v>6.8096000000000005</v>
      </c>
      <c r="I1823" s="6">
        <f t="shared" si="114"/>
        <v>28.000000000000004</v>
      </c>
      <c r="J1823" t="str">
        <f t="shared" si="115"/>
        <v>OK</v>
      </c>
    </row>
    <row r="1824" spans="1:10" x14ac:dyDescent="0.2">
      <c r="A1824">
        <v>11823</v>
      </c>
      <c r="B1824" t="s">
        <v>7</v>
      </c>
      <c r="C1824" t="s">
        <v>11</v>
      </c>
      <c r="D1824" s="8">
        <v>6.86</v>
      </c>
      <c r="E1824">
        <v>1</v>
      </c>
      <c r="F1824" t="str">
        <f t="shared" si="112"/>
        <v>Value</v>
      </c>
      <c r="G1824" s="3" cm="1">
        <f t="array" ref="G1824">_xlfn.XLOOKUP(C1824 &amp; F1824,
         [1]unilever_price_limits!A:A &amp; [1]unilever_price_limits!B:B,
         [1]unilever_price_limits!C:C)</f>
        <v>10</v>
      </c>
      <c r="H1824" s="8">
        <f t="shared" si="113"/>
        <v>7.5460000000000012</v>
      </c>
      <c r="I1824" s="6">
        <f t="shared" si="114"/>
        <v>10.000000000000009</v>
      </c>
      <c r="J1824" t="str">
        <f t="shared" si="115"/>
        <v>OK</v>
      </c>
    </row>
    <row r="1825" spans="1:10" x14ac:dyDescent="0.2">
      <c r="A1825">
        <v>11824</v>
      </c>
      <c r="B1825" t="s">
        <v>7</v>
      </c>
      <c r="C1825" t="s">
        <v>6</v>
      </c>
      <c r="D1825" s="8">
        <v>4.3099999999999996</v>
      </c>
      <c r="E1825">
        <v>1</v>
      </c>
      <c r="F1825" t="str">
        <f t="shared" si="112"/>
        <v>Value</v>
      </c>
      <c r="G1825" s="3" cm="1">
        <f t="array" ref="G1825">_xlfn.XLOOKUP(C1825 &amp; F1825,
         [1]unilever_price_limits!A:A &amp; [1]unilever_price_limits!B:B,
         [1]unilever_price_limits!C:C)</f>
        <v>12</v>
      </c>
      <c r="H1825" s="8">
        <f t="shared" si="113"/>
        <v>4.8272000000000004</v>
      </c>
      <c r="I1825" s="6">
        <f t="shared" si="114"/>
        <v>12.000000000000011</v>
      </c>
      <c r="J1825" t="str">
        <f t="shared" si="115"/>
        <v>OK</v>
      </c>
    </row>
    <row r="1826" spans="1:10" x14ac:dyDescent="0.2">
      <c r="A1826">
        <v>11825</v>
      </c>
      <c r="B1826" t="s">
        <v>8</v>
      </c>
      <c r="C1826" t="s">
        <v>11</v>
      </c>
      <c r="D1826" s="8">
        <v>2.89</v>
      </c>
      <c r="E1826">
        <v>10</v>
      </c>
      <c r="F1826" t="str">
        <f t="shared" si="112"/>
        <v>Premium</v>
      </c>
      <c r="G1826" s="3" cm="1">
        <f t="array" ref="G1826">_xlfn.XLOOKUP(C1826 &amp; F1826,
         [1]unilever_price_limits!A:A &amp; [1]unilever_price_limits!B:B,
         [1]unilever_price_limits!C:C)</f>
        <v>50</v>
      </c>
      <c r="H1826" s="8">
        <f t="shared" si="113"/>
        <v>4.335</v>
      </c>
      <c r="I1826" s="6">
        <f t="shared" si="114"/>
        <v>50</v>
      </c>
      <c r="J1826" t="str">
        <f t="shared" si="115"/>
        <v>OK</v>
      </c>
    </row>
    <row r="1827" spans="1:10" x14ac:dyDescent="0.2">
      <c r="A1827">
        <v>11826</v>
      </c>
      <c r="B1827" t="s">
        <v>8</v>
      </c>
      <c r="C1827" t="s">
        <v>6</v>
      </c>
      <c r="D1827" s="8">
        <v>10.49</v>
      </c>
      <c r="E1827">
        <v>2</v>
      </c>
      <c r="F1827" t="str">
        <f t="shared" si="112"/>
        <v>Value</v>
      </c>
      <c r="G1827" s="3" cm="1">
        <f t="array" ref="G1827">_xlfn.XLOOKUP(C1827 &amp; F1827,
         [1]unilever_price_limits!A:A &amp; [1]unilever_price_limits!B:B,
         [1]unilever_price_limits!C:C)</f>
        <v>12</v>
      </c>
      <c r="H1827" s="8">
        <f t="shared" si="113"/>
        <v>11.748800000000001</v>
      </c>
      <c r="I1827" s="6">
        <f t="shared" si="114"/>
        <v>12.000000000000011</v>
      </c>
      <c r="J1827" t="str">
        <f t="shared" si="115"/>
        <v>OK</v>
      </c>
    </row>
    <row r="1828" spans="1:10" x14ac:dyDescent="0.2">
      <c r="A1828">
        <v>11827</v>
      </c>
      <c r="B1828" t="s">
        <v>10</v>
      </c>
      <c r="C1828" t="s">
        <v>9</v>
      </c>
      <c r="D1828" s="8">
        <v>7.96</v>
      </c>
      <c r="E1828">
        <v>2</v>
      </c>
      <c r="F1828" t="str">
        <f t="shared" si="112"/>
        <v>Value</v>
      </c>
      <c r="G1828" s="3" cm="1">
        <f t="array" ref="G1828">_xlfn.XLOOKUP(C1828 &amp; F1828,
         [1]unilever_price_limits!A:A &amp; [1]unilever_price_limits!B:B,
         [1]unilever_price_limits!C:C)</f>
        <v>15</v>
      </c>
      <c r="H1828" s="8">
        <f t="shared" si="113"/>
        <v>9.1539999999999999</v>
      </c>
      <c r="I1828" s="6">
        <f t="shared" si="114"/>
        <v>14.999999999999991</v>
      </c>
      <c r="J1828" t="str">
        <f t="shared" si="115"/>
        <v>OK</v>
      </c>
    </row>
    <row r="1829" spans="1:10" x14ac:dyDescent="0.2">
      <c r="A1829">
        <v>11828</v>
      </c>
      <c r="B1829" t="s">
        <v>7</v>
      </c>
      <c r="C1829" t="s">
        <v>11</v>
      </c>
      <c r="D1829" s="8">
        <v>3.4</v>
      </c>
      <c r="E1829">
        <v>1</v>
      </c>
      <c r="F1829" t="str">
        <f t="shared" si="112"/>
        <v>Value</v>
      </c>
      <c r="G1829" s="3" cm="1">
        <f t="array" ref="G1829">_xlfn.XLOOKUP(C1829 &amp; F1829,
         [1]unilever_price_limits!A:A &amp; [1]unilever_price_limits!B:B,
         [1]unilever_price_limits!C:C)</f>
        <v>10</v>
      </c>
      <c r="H1829" s="8">
        <f t="shared" si="113"/>
        <v>3.74</v>
      </c>
      <c r="I1829" s="6">
        <f t="shared" si="114"/>
        <v>10.000000000000009</v>
      </c>
      <c r="J1829" t="str">
        <f t="shared" si="115"/>
        <v>OK</v>
      </c>
    </row>
    <row r="1830" spans="1:10" x14ac:dyDescent="0.2">
      <c r="A1830">
        <v>11829</v>
      </c>
      <c r="B1830" t="s">
        <v>10</v>
      </c>
      <c r="C1830" t="s">
        <v>11</v>
      </c>
      <c r="D1830" s="8">
        <v>5.13</v>
      </c>
      <c r="E1830">
        <v>8</v>
      </c>
      <c r="F1830" t="str">
        <f t="shared" si="112"/>
        <v>Premium</v>
      </c>
      <c r="G1830" s="3" cm="1">
        <f t="array" ref="G1830">_xlfn.XLOOKUP(C1830 &amp; F1830,
         [1]unilever_price_limits!A:A &amp; [1]unilever_price_limits!B:B,
         [1]unilever_price_limits!C:C)</f>
        <v>50</v>
      </c>
      <c r="H1830" s="8">
        <f t="shared" si="113"/>
        <v>7.6950000000000003</v>
      </c>
      <c r="I1830" s="6">
        <f t="shared" si="114"/>
        <v>50</v>
      </c>
      <c r="J1830" t="str">
        <f t="shared" si="115"/>
        <v>OK</v>
      </c>
    </row>
    <row r="1831" spans="1:10" x14ac:dyDescent="0.2">
      <c r="A1831">
        <v>11830</v>
      </c>
      <c r="B1831" t="s">
        <v>8</v>
      </c>
      <c r="C1831" t="s">
        <v>9</v>
      </c>
      <c r="D1831" s="8">
        <v>9.08</v>
      </c>
      <c r="E1831">
        <v>6</v>
      </c>
      <c r="F1831" t="str">
        <f t="shared" si="112"/>
        <v>Standard</v>
      </c>
      <c r="G1831" s="3" cm="1">
        <f t="array" ref="G1831">_xlfn.XLOOKUP(C1831 &amp; F1831,
         [1]unilever_price_limits!A:A &amp; [1]unilever_price_limits!B:B,
         [1]unilever_price_limits!C:C)</f>
        <v>30</v>
      </c>
      <c r="H1831" s="8">
        <f t="shared" si="113"/>
        <v>11.804</v>
      </c>
      <c r="I1831" s="6">
        <f t="shared" si="114"/>
        <v>30.000000000000004</v>
      </c>
      <c r="J1831" t="str">
        <f t="shared" si="115"/>
        <v>OK</v>
      </c>
    </row>
    <row r="1832" spans="1:10" x14ac:dyDescent="0.2">
      <c r="A1832">
        <v>11831</v>
      </c>
      <c r="B1832" t="s">
        <v>10</v>
      </c>
      <c r="C1832" t="s">
        <v>6</v>
      </c>
      <c r="D1832" s="8">
        <v>1.55</v>
      </c>
      <c r="E1832">
        <v>6</v>
      </c>
      <c r="F1832" t="str">
        <f t="shared" si="112"/>
        <v>Standard</v>
      </c>
      <c r="G1832" s="3" cm="1">
        <f t="array" ref="G1832">_xlfn.XLOOKUP(C1832 &amp; F1832,
         [1]unilever_price_limits!A:A &amp; [1]unilever_price_limits!B:B,
         [1]unilever_price_limits!C:C)</f>
        <v>28</v>
      </c>
      <c r="H1832" s="8">
        <f t="shared" si="113"/>
        <v>1.9840000000000002</v>
      </c>
      <c r="I1832" s="6">
        <f t="shared" si="114"/>
        <v>28.000000000000004</v>
      </c>
      <c r="J1832" t="str">
        <f t="shared" si="115"/>
        <v>OK</v>
      </c>
    </row>
    <row r="1833" spans="1:10" x14ac:dyDescent="0.2">
      <c r="A1833">
        <v>11832</v>
      </c>
      <c r="B1833" t="s">
        <v>8</v>
      </c>
      <c r="C1833" t="s">
        <v>11</v>
      </c>
      <c r="D1833" s="8">
        <v>2.64</v>
      </c>
      <c r="E1833">
        <v>10</v>
      </c>
      <c r="F1833" t="str">
        <f t="shared" si="112"/>
        <v>Premium</v>
      </c>
      <c r="G1833" s="3" cm="1">
        <f t="array" ref="G1833">_xlfn.XLOOKUP(C1833 &amp; F1833,
         [1]unilever_price_limits!A:A &amp; [1]unilever_price_limits!B:B,
         [1]unilever_price_limits!C:C)</f>
        <v>50</v>
      </c>
      <c r="H1833" s="8">
        <f t="shared" si="113"/>
        <v>3.96</v>
      </c>
      <c r="I1833" s="6">
        <f t="shared" si="114"/>
        <v>50</v>
      </c>
      <c r="J1833" t="str">
        <f t="shared" si="115"/>
        <v>OK</v>
      </c>
    </row>
    <row r="1834" spans="1:10" x14ac:dyDescent="0.2">
      <c r="A1834">
        <v>11833</v>
      </c>
      <c r="B1834" t="s">
        <v>7</v>
      </c>
      <c r="C1834" t="s">
        <v>11</v>
      </c>
      <c r="D1834" s="8">
        <v>1.56</v>
      </c>
      <c r="E1834">
        <v>10</v>
      </c>
      <c r="F1834" t="str">
        <f t="shared" si="112"/>
        <v>Premium</v>
      </c>
      <c r="G1834" s="3" cm="1">
        <f t="array" ref="G1834">_xlfn.XLOOKUP(C1834 &amp; F1834,
         [1]unilever_price_limits!A:A &amp; [1]unilever_price_limits!B:B,
         [1]unilever_price_limits!C:C)</f>
        <v>50</v>
      </c>
      <c r="H1834" s="8">
        <f t="shared" si="113"/>
        <v>2.34</v>
      </c>
      <c r="I1834" s="6">
        <f t="shared" si="114"/>
        <v>49.999999999999979</v>
      </c>
      <c r="J1834" t="str">
        <f t="shared" si="115"/>
        <v>OK</v>
      </c>
    </row>
    <row r="1835" spans="1:10" x14ac:dyDescent="0.2">
      <c r="A1835">
        <v>11834</v>
      </c>
      <c r="B1835" t="s">
        <v>5</v>
      </c>
      <c r="C1835" t="s">
        <v>6</v>
      </c>
      <c r="D1835" s="8">
        <v>12.28</v>
      </c>
      <c r="E1835">
        <v>9</v>
      </c>
      <c r="F1835" t="str">
        <f t="shared" si="112"/>
        <v>Premium</v>
      </c>
      <c r="G1835" s="3" cm="1">
        <f t="array" ref="G1835">_xlfn.XLOOKUP(C1835 &amp; F1835,
         [1]unilever_price_limits!A:A &amp; [1]unilever_price_limits!B:B,
         [1]unilever_price_limits!C:C)</f>
        <v>55</v>
      </c>
      <c r="H1835" s="8">
        <f t="shared" si="113"/>
        <v>19.033999999999999</v>
      </c>
      <c r="I1835" s="6">
        <f t="shared" si="114"/>
        <v>55.000000000000007</v>
      </c>
      <c r="J1835" t="str">
        <f t="shared" si="115"/>
        <v>OK</v>
      </c>
    </row>
    <row r="1836" spans="1:10" x14ac:dyDescent="0.2">
      <c r="A1836">
        <v>11835</v>
      </c>
      <c r="B1836" t="s">
        <v>7</v>
      </c>
      <c r="C1836" t="s">
        <v>9</v>
      </c>
      <c r="D1836" s="8">
        <v>11.41</v>
      </c>
      <c r="E1836">
        <v>5</v>
      </c>
      <c r="F1836" t="str">
        <f t="shared" si="112"/>
        <v>Standard</v>
      </c>
      <c r="G1836" s="3" cm="1">
        <f t="array" ref="G1836">_xlfn.XLOOKUP(C1836 &amp; F1836,
         [1]unilever_price_limits!A:A &amp; [1]unilever_price_limits!B:B,
         [1]unilever_price_limits!C:C)</f>
        <v>30</v>
      </c>
      <c r="H1836" s="8">
        <f t="shared" si="113"/>
        <v>14.833</v>
      </c>
      <c r="I1836" s="6">
        <f t="shared" si="114"/>
        <v>30.000000000000004</v>
      </c>
      <c r="J1836" t="str">
        <f t="shared" si="115"/>
        <v>OK</v>
      </c>
    </row>
    <row r="1837" spans="1:10" x14ac:dyDescent="0.2">
      <c r="A1837">
        <v>11836</v>
      </c>
      <c r="B1837" t="s">
        <v>10</v>
      </c>
      <c r="C1837" t="s">
        <v>6</v>
      </c>
      <c r="D1837" s="8">
        <v>11.42</v>
      </c>
      <c r="E1837">
        <v>4</v>
      </c>
      <c r="F1837" t="str">
        <f t="shared" si="112"/>
        <v>Standard</v>
      </c>
      <c r="G1837" s="3" cm="1">
        <f t="array" ref="G1837">_xlfn.XLOOKUP(C1837 &amp; F1837,
         [1]unilever_price_limits!A:A &amp; [1]unilever_price_limits!B:B,
         [1]unilever_price_limits!C:C)</f>
        <v>28</v>
      </c>
      <c r="H1837" s="8">
        <f t="shared" si="113"/>
        <v>14.617599999999999</v>
      </c>
      <c r="I1837" s="6">
        <f t="shared" si="114"/>
        <v>28.000000000000004</v>
      </c>
      <c r="J1837" t="str">
        <f t="shared" si="115"/>
        <v>OK</v>
      </c>
    </row>
    <row r="1838" spans="1:10" x14ac:dyDescent="0.2">
      <c r="A1838">
        <v>11837</v>
      </c>
      <c r="B1838" t="s">
        <v>10</v>
      </c>
      <c r="C1838" t="s">
        <v>6</v>
      </c>
      <c r="D1838" s="8">
        <v>10.89</v>
      </c>
      <c r="E1838">
        <v>6</v>
      </c>
      <c r="F1838" t="str">
        <f t="shared" si="112"/>
        <v>Standard</v>
      </c>
      <c r="G1838" s="3" cm="1">
        <f t="array" ref="G1838">_xlfn.XLOOKUP(C1838 &amp; F1838,
         [1]unilever_price_limits!A:A &amp; [1]unilever_price_limits!B:B,
         [1]unilever_price_limits!C:C)</f>
        <v>28</v>
      </c>
      <c r="H1838" s="8">
        <f t="shared" si="113"/>
        <v>13.939200000000001</v>
      </c>
      <c r="I1838" s="6">
        <f t="shared" si="114"/>
        <v>28.000000000000004</v>
      </c>
      <c r="J1838" t="str">
        <f t="shared" si="115"/>
        <v>OK</v>
      </c>
    </row>
    <row r="1839" spans="1:10" x14ac:dyDescent="0.2">
      <c r="A1839">
        <v>11838</v>
      </c>
      <c r="B1839" t="s">
        <v>7</v>
      </c>
      <c r="C1839" t="s">
        <v>6</v>
      </c>
      <c r="D1839" s="8">
        <v>10.210000000000001</v>
      </c>
      <c r="E1839">
        <v>8</v>
      </c>
      <c r="F1839" t="str">
        <f t="shared" si="112"/>
        <v>Premium</v>
      </c>
      <c r="G1839" s="3" cm="1">
        <f t="array" ref="G1839">_xlfn.XLOOKUP(C1839 &amp; F1839,
         [1]unilever_price_limits!A:A &amp; [1]unilever_price_limits!B:B,
         [1]unilever_price_limits!C:C)</f>
        <v>55</v>
      </c>
      <c r="H1839" s="8">
        <f t="shared" si="113"/>
        <v>15.825500000000002</v>
      </c>
      <c r="I1839" s="6">
        <f t="shared" si="114"/>
        <v>55.000000000000007</v>
      </c>
      <c r="J1839" t="str">
        <f t="shared" si="115"/>
        <v>OK</v>
      </c>
    </row>
    <row r="1840" spans="1:10" x14ac:dyDescent="0.2">
      <c r="A1840">
        <v>11839</v>
      </c>
      <c r="B1840" t="s">
        <v>7</v>
      </c>
      <c r="C1840" t="s">
        <v>11</v>
      </c>
      <c r="D1840" s="8">
        <v>7.42</v>
      </c>
      <c r="E1840">
        <v>1</v>
      </c>
      <c r="F1840" t="str">
        <f t="shared" si="112"/>
        <v>Value</v>
      </c>
      <c r="G1840" s="3" cm="1">
        <f t="array" ref="G1840">_xlfn.XLOOKUP(C1840 &amp; F1840,
         [1]unilever_price_limits!A:A &amp; [1]unilever_price_limits!B:B,
         [1]unilever_price_limits!C:C)</f>
        <v>10</v>
      </c>
      <c r="H1840" s="8">
        <f t="shared" si="113"/>
        <v>8.1620000000000008</v>
      </c>
      <c r="I1840" s="6">
        <f t="shared" si="114"/>
        <v>10.000000000000009</v>
      </c>
      <c r="J1840" t="str">
        <f t="shared" si="115"/>
        <v>OK</v>
      </c>
    </row>
    <row r="1841" spans="1:10" x14ac:dyDescent="0.2">
      <c r="A1841">
        <v>11840</v>
      </c>
      <c r="B1841" t="s">
        <v>8</v>
      </c>
      <c r="C1841" t="s">
        <v>9</v>
      </c>
      <c r="D1841" s="8">
        <v>9.81</v>
      </c>
      <c r="E1841">
        <v>7</v>
      </c>
      <c r="F1841" t="str">
        <f t="shared" si="112"/>
        <v>Standard</v>
      </c>
      <c r="G1841" s="3" cm="1">
        <f t="array" ref="G1841">_xlfn.XLOOKUP(C1841 &amp; F1841,
         [1]unilever_price_limits!A:A &amp; [1]unilever_price_limits!B:B,
         [1]unilever_price_limits!C:C)</f>
        <v>30</v>
      </c>
      <c r="H1841" s="8">
        <f t="shared" si="113"/>
        <v>12.753000000000002</v>
      </c>
      <c r="I1841" s="6">
        <f t="shared" si="114"/>
        <v>30.000000000000004</v>
      </c>
      <c r="J1841" t="str">
        <f t="shared" si="115"/>
        <v>OK</v>
      </c>
    </row>
    <row r="1842" spans="1:10" x14ac:dyDescent="0.2">
      <c r="A1842">
        <v>11841</v>
      </c>
      <c r="B1842" t="s">
        <v>10</v>
      </c>
      <c r="C1842" t="s">
        <v>9</v>
      </c>
      <c r="D1842" s="8">
        <v>1.06</v>
      </c>
      <c r="E1842">
        <v>8</v>
      </c>
      <c r="F1842" t="str">
        <f t="shared" si="112"/>
        <v>Premium</v>
      </c>
      <c r="G1842" s="3" cm="1">
        <f t="array" ref="G1842">_xlfn.XLOOKUP(C1842 &amp; F1842,
         [1]unilever_price_limits!A:A &amp; [1]unilever_price_limits!B:B,
         [1]unilever_price_limits!C:C)</f>
        <v>60</v>
      </c>
      <c r="H1842" s="8">
        <f t="shared" si="113"/>
        <v>1.6960000000000002</v>
      </c>
      <c r="I1842" s="6">
        <f t="shared" si="114"/>
        <v>60.000000000000007</v>
      </c>
      <c r="J1842" t="str">
        <f t="shared" si="115"/>
        <v>OK</v>
      </c>
    </row>
    <row r="1843" spans="1:10" x14ac:dyDescent="0.2">
      <c r="A1843">
        <v>11842</v>
      </c>
      <c r="B1843" t="s">
        <v>10</v>
      </c>
      <c r="C1843" t="s">
        <v>6</v>
      </c>
      <c r="D1843" s="8">
        <v>9.51</v>
      </c>
      <c r="E1843">
        <v>9</v>
      </c>
      <c r="F1843" t="str">
        <f t="shared" si="112"/>
        <v>Premium</v>
      </c>
      <c r="G1843" s="3" cm="1">
        <f t="array" ref="G1843">_xlfn.XLOOKUP(C1843 &amp; F1843,
         [1]unilever_price_limits!A:A &amp; [1]unilever_price_limits!B:B,
         [1]unilever_price_limits!C:C)</f>
        <v>55</v>
      </c>
      <c r="H1843" s="8">
        <f t="shared" si="113"/>
        <v>14.740500000000001</v>
      </c>
      <c r="I1843" s="6">
        <f t="shared" si="114"/>
        <v>55.000000000000007</v>
      </c>
      <c r="J1843" t="str">
        <f t="shared" si="115"/>
        <v>OK</v>
      </c>
    </row>
    <row r="1844" spans="1:10" x14ac:dyDescent="0.2">
      <c r="A1844">
        <v>11843</v>
      </c>
      <c r="B1844" t="s">
        <v>7</v>
      </c>
      <c r="C1844" t="s">
        <v>11</v>
      </c>
      <c r="D1844" s="8">
        <v>11.78</v>
      </c>
      <c r="E1844">
        <v>8</v>
      </c>
      <c r="F1844" t="str">
        <f t="shared" si="112"/>
        <v>Premium</v>
      </c>
      <c r="G1844" s="3" cm="1">
        <f t="array" ref="G1844">_xlfn.XLOOKUP(C1844 &amp; F1844,
         [1]unilever_price_limits!A:A &amp; [1]unilever_price_limits!B:B,
         [1]unilever_price_limits!C:C)</f>
        <v>50</v>
      </c>
      <c r="H1844" s="8">
        <f t="shared" si="113"/>
        <v>17.669999999999998</v>
      </c>
      <c r="I1844" s="6">
        <f t="shared" si="114"/>
        <v>50</v>
      </c>
      <c r="J1844" t="str">
        <f t="shared" si="115"/>
        <v>OK</v>
      </c>
    </row>
    <row r="1845" spans="1:10" x14ac:dyDescent="0.2">
      <c r="A1845">
        <v>11844</v>
      </c>
      <c r="B1845" t="s">
        <v>5</v>
      </c>
      <c r="C1845" t="s">
        <v>6</v>
      </c>
      <c r="D1845" s="8">
        <v>7.76</v>
      </c>
      <c r="E1845">
        <v>7</v>
      </c>
      <c r="F1845" t="str">
        <f t="shared" si="112"/>
        <v>Standard</v>
      </c>
      <c r="G1845" s="3" cm="1">
        <f t="array" ref="G1845">_xlfn.XLOOKUP(C1845 &amp; F1845,
         [1]unilever_price_limits!A:A &amp; [1]unilever_price_limits!B:B,
         [1]unilever_price_limits!C:C)</f>
        <v>28</v>
      </c>
      <c r="H1845" s="8">
        <f t="shared" si="113"/>
        <v>9.9328000000000003</v>
      </c>
      <c r="I1845" s="6">
        <f t="shared" si="114"/>
        <v>28.000000000000004</v>
      </c>
      <c r="J1845" t="str">
        <f t="shared" si="115"/>
        <v>OK</v>
      </c>
    </row>
    <row r="1846" spans="1:10" x14ac:dyDescent="0.2">
      <c r="A1846">
        <v>11845</v>
      </c>
      <c r="B1846" t="s">
        <v>10</v>
      </c>
      <c r="C1846" t="s">
        <v>11</v>
      </c>
      <c r="D1846" s="8">
        <v>5.68</v>
      </c>
      <c r="E1846">
        <v>3</v>
      </c>
      <c r="F1846" t="str">
        <f t="shared" si="112"/>
        <v>Value</v>
      </c>
      <c r="G1846" s="3" cm="1">
        <f t="array" ref="G1846">_xlfn.XLOOKUP(C1846 &amp; F1846,
         [1]unilever_price_limits!A:A &amp; [1]unilever_price_limits!B:B,
         [1]unilever_price_limits!C:C)</f>
        <v>10</v>
      </c>
      <c r="H1846" s="8">
        <f t="shared" si="113"/>
        <v>6.2480000000000002</v>
      </c>
      <c r="I1846" s="6">
        <f t="shared" si="114"/>
        <v>10.000000000000009</v>
      </c>
      <c r="J1846" t="str">
        <f t="shared" si="115"/>
        <v>OK</v>
      </c>
    </row>
    <row r="1847" spans="1:10" x14ac:dyDescent="0.2">
      <c r="A1847">
        <v>11846</v>
      </c>
      <c r="B1847" t="s">
        <v>5</v>
      </c>
      <c r="C1847" t="s">
        <v>11</v>
      </c>
      <c r="D1847" s="8">
        <v>4.5199999999999996</v>
      </c>
      <c r="E1847">
        <v>2</v>
      </c>
      <c r="F1847" t="str">
        <f t="shared" si="112"/>
        <v>Value</v>
      </c>
      <c r="G1847" s="3" cm="1">
        <f t="array" ref="G1847">_xlfn.XLOOKUP(C1847 &amp; F1847,
         [1]unilever_price_limits!A:A &amp; [1]unilever_price_limits!B:B,
         [1]unilever_price_limits!C:C)</f>
        <v>10</v>
      </c>
      <c r="H1847" s="8">
        <f t="shared" si="113"/>
        <v>4.9719999999999995</v>
      </c>
      <c r="I1847" s="6">
        <f t="shared" si="114"/>
        <v>10.000000000000009</v>
      </c>
      <c r="J1847" t="str">
        <f t="shared" si="115"/>
        <v>OK</v>
      </c>
    </row>
    <row r="1848" spans="1:10" x14ac:dyDescent="0.2">
      <c r="A1848">
        <v>11847</v>
      </c>
      <c r="B1848" t="s">
        <v>7</v>
      </c>
      <c r="C1848" t="s">
        <v>11</v>
      </c>
      <c r="D1848" s="8">
        <v>9.82</v>
      </c>
      <c r="E1848">
        <v>3</v>
      </c>
      <c r="F1848" t="str">
        <f t="shared" si="112"/>
        <v>Value</v>
      </c>
      <c r="G1848" s="3" cm="1">
        <f t="array" ref="G1848">_xlfn.XLOOKUP(C1848 &amp; F1848,
         [1]unilever_price_limits!A:A &amp; [1]unilever_price_limits!B:B,
         [1]unilever_price_limits!C:C)</f>
        <v>10</v>
      </c>
      <c r="H1848" s="8">
        <f t="shared" si="113"/>
        <v>10.802000000000001</v>
      </c>
      <c r="I1848" s="6">
        <f t="shared" si="114"/>
        <v>10.000000000000009</v>
      </c>
      <c r="J1848" t="str">
        <f t="shared" si="115"/>
        <v>OK</v>
      </c>
    </row>
    <row r="1849" spans="1:10" x14ac:dyDescent="0.2">
      <c r="A1849">
        <v>11848</v>
      </c>
      <c r="B1849" t="s">
        <v>7</v>
      </c>
      <c r="C1849" t="s">
        <v>11</v>
      </c>
      <c r="D1849" s="8">
        <v>10.55</v>
      </c>
      <c r="E1849">
        <v>4</v>
      </c>
      <c r="F1849" t="str">
        <f t="shared" si="112"/>
        <v>Standard</v>
      </c>
      <c r="G1849" s="3" cm="1">
        <f t="array" ref="G1849">_xlfn.XLOOKUP(C1849 &amp; F1849,
         [1]unilever_price_limits!A:A &amp; [1]unilever_price_limits!B:B,
         [1]unilever_price_limits!C:C)</f>
        <v>25</v>
      </c>
      <c r="H1849" s="8">
        <f t="shared" si="113"/>
        <v>13.1875</v>
      </c>
      <c r="I1849" s="6">
        <f t="shared" si="114"/>
        <v>25</v>
      </c>
      <c r="J1849" t="str">
        <f t="shared" si="115"/>
        <v>OK</v>
      </c>
    </row>
    <row r="1850" spans="1:10" x14ac:dyDescent="0.2">
      <c r="A1850">
        <v>11849</v>
      </c>
      <c r="B1850" t="s">
        <v>8</v>
      </c>
      <c r="C1850" t="s">
        <v>9</v>
      </c>
      <c r="D1850" s="8">
        <v>13.13</v>
      </c>
      <c r="E1850">
        <v>4</v>
      </c>
      <c r="F1850" t="str">
        <f t="shared" si="112"/>
        <v>Standard</v>
      </c>
      <c r="G1850" s="3" cm="1">
        <f t="array" ref="G1850">_xlfn.XLOOKUP(C1850 &amp; F1850,
         [1]unilever_price_limits!A:A &amp; [1]unilever_price_limits!B:B,
         [1]unilever_price_limits!C:C)</f>
        <v>30</v>
      </c>
      <c r="H1850" s="8">
        <f t="shared" si="113"/>
        <v>17.069000000000003</v>
      </c>
      <c r="I1850" s="6">
        <f t="shared" si="114"/>
        <v>30.000000000000004</v>
      </c>
      <c r="J1850" t="str">
        <f t="shared" si="115"/>
        <v>OK</v>
      </c>
    </row>
    <row r="1851" spans="1:10" x14ac:dyDescent="0.2">
      <c r="A1851">
        <v>11850</v>
      </c>
      <c r="B1851" t="s">
        <v>10</v>
      </c>
      <c r="C1851" t="s">
        <v>11</v>
      </c>
      <c r="D1851" s="8">
        <v>5.46</v>
      </c>
      <c r="E1851">
        <v>6</v>
      </c>
      <c r="F1851" t="str">
        <f t="shared" si="112"/>
        <v>Standard</v>
      </c>
      <c r="G1851" s="3" cm="1">
        <f t="array" ref="G1851">_xlfn.XLOOKUP(C1851 &amp; F1851,
         [1]unilever_price_limits!A:A &amp; [1]unilever_price_limits!B:B,
         [1]unilever_price_limits!C:C)</f>
        <v>25</v>
      </c>
      <c r="H1851" s="8">
        <f t="shared" si="113"/>
        <v>6.8250000000000002</v>
      </c>
      <c r="I1851" s="6">
        <f t="shared" si="114"/>
        <v>25</v>
      </c>
      <c r="J1851" t="str">
        <f t="shared" si="115"/>
        <v>OK</v>
      </c>
    </row>
    <row r="1852" spans="1:10" x14ac:dyDescent="0.2">
      <c r="A1852">
        <v>11851</v>
      </c>
      <c r="B1852" t="s">
        <v>5</v>
      </c>
      <c r="C1852" t="s">
        <v>11</v>
      </c>
      <c r="D1852" s="8">
        <v>11.66</v>
      </c>
      <c r="E1852">
        <v>7</v>
      </c>
      <c r="F1852" t="str">
        <f t="shared" si="112"/>
        <v>Standard</v>
      </c>
      <c r="G1852" s="3" cm="1">
        <f t="array" ref="G1852">_xlfn.XLOOKUP(C1852 &amp; F1852,
         [1]unilever_price_limits!A:A &amp; [1]unilever_price_limits!B:B,
         [1]unilever_price_limits!C:C)</f>
        <v>25</v>
      </c>
      <c r="H1852" s="8">
        <f t="shared" si="113"/>
        <v>14.574999999999999</v>
      </c>
      <c r="I1852" s="6">
        <f t="shared" si="114"/>
        <v>25</v>
      </c>
      <c r="J1852" t="str">
        <f t="shared" si="115"/>
        <v>OK</v>
      </c>
    </row>
    <row r="1853" spans="1:10" x14ac:dyDescent="0.2">
      <c r="A1853">
        <v>11852</v>
      </c>
      <c r="B1853" t="s">
        <v>8</v>
      </c>
      <c r="C1853" t="s">
        <v>6</v>
      </c>
      <c r="D1853" s="8">
        <v>8.64</v>
      </c>
      <c r="E1853">
        <v>4</v>
      </c>
      <c r="F1853" t="str">
        <f t="shared" si="112"/>
        <v>Standard</v>
      </c>
      <c r="G1853" s="3" cm="1">
        <f t="array" ref="G1853">_xlfn.XLOOKUP(C1853 &amp; F1853,
         [1]unilever_price_limits!A:A &amp; [1]unilever_price_limits!B:B,
         [1]unilever_price_limits!C:C)</f>
        <v>28</v>
      </c>
      <c r="H1853" s="8">
        <f t="shared" si="113"/>
        <v>11.059200000000001</v>
      </c>
      <c r="I1853" s="6">
        <f t="shared" si="114"/>
        <v>28.000000000000004</v>
      </c>
      <c r="J1853" t="str">
        <f t="shared" si="115"/>
        <v>OK</v>
      </c>
    </row>
    <row r="1854" spans="1:10" x14ac:dyDescent="0.2">
      <c r="A1854">
        <v>11853</v>
      </c>
      <c r="B1854" t="s">
        <v>10</v>
      </c>
      <c r="C1854" t="s">
        <v>6</v>
      </c>
      <c r="D1854" s="8">
        <v>13.3</v>
      </c>
      <c r="E1854">
        <v>10</v>
      </c>
      <c r="F1854" t="str">
        <f t="shared" si="112"/>
        <v>Premium</v>
      </c>
      <c r="G1854" s="3" cm="1">
        <f t="array" ref="G1854">_xlfn.XLOOKUP(C1854 &amp; F1854,
         [1]unilever_price_limits!A:A &amp; [1]unilever_price_limits!B:B,
         [1]unilever_price_limits!C:C)</f>
        <v>55</v>
      </c>
      <c r="H1854" s="8">
        <f t="shared" si="113"/>
        <v>20.615000000000002</v>
      </c>
      <c r="I1854" s="6">
        <f t="shared" si="114"/>
        <v>55.000000000000007</v>
      </c>
      <c r="J1854" t="str">
        <f t="shared" si="115"/>
        <v>OK</v>
      </c>
    </row>
    <row r="1855" spans="1:10" x14ac:dyDescent="0.2">
      <c r="A1855">
        <v>11854</v>
      </c>
      <c r="B1855" t="s">
        <v>8</v>
      </c>
      <c r="C1855" t="s">
        <v>9</v>
      </c>
      <c r="D1855" s="8">
        <v>8.15</v>
      </c>
      <c r="E1855">
        <v>6</v>
      </c>
      <c r="F1855" t="str">
        <f t="shared" si="112"/>
        <v>Standard</v>
      </c>
      <c r="G1855" s="3" cm="1">
        <f t="array" ref="G1855">_xlfn.XLOOKUP(C1855 &amp; F1855,
         [1]unilever_price_limits!A:A &amp; [1]unilever_price_limits!B:B,
         [1]unilever_price_limits!C:C)</f>
        <v>30</v>
      </c>
      <c r="H1855" s="8">
        <f t="shared" si="113"/>
        <v>10.595000000000001</v>
      </c>
      <c r="I1855" s="6">
        <f t="shared" si="114"/>
        <v>30.000000000000004</v>
      </c>
      <c r="J1855" t="str">
        <f t="shared" si="115"/>
        <v>OK</v>
      </c>
    </row>
    <row r="1856" spans="1:10" x14ac:dyDescent="0.2">
      <c r="A1856">
        <v>11855</v>
      </c>
      <c r="B1856" t="s">
        <v>7</v>
      </c>
      <c r="C1856" t="s">
        <v>6</v>
      </c>
      <c r="D1856" s="8">
        <v>8.01</v>
      </c>
      <c r="E1856">
        <v>9</v>
      </c>
      <c r="F1856" t="str">
        <f t="shared" si="112"/>
        <v>Premium</v>
      </c>
      <c r="G1856" s="3" cm="1">
        <f t="array" ref="G1856">_xlfn.XLOOKUP(C1856 &amp; F1856,
         [1]unilever_price_limits!A:A &amp; [1]unilever_price_limits!B:B,
         [1]unilever_price_limits!C:C)</f>
        <v>55</v>
      </c>
      <c r="H1856" s="8">
        <f t="shared" si="113"/>
        <v>12.4155</v>
      </c>
      <c r="I1856" s="6">
        <f t="shared" si="114"/>
        <v>55.000000000000007</v>
      </c>
      <c r="J1856" t="str">
        <f t="shared" si="115"/>
        <v>OK</v>
      </c>
    </row>
    <row r="1857" spans="1:10" x14ac:dyDescent="0.2">
      <c r="A1857">
        <v>11856</v>
      </c>
      <c r="B1857" t="s">
        <v>10</v>
      </c>
      <c r="C1857" t="s">
        <v>11</v>
      </c>
      <c r="D1857" s="8">
        <v>8.8800000000000008</v>
      </c>
      <c r="E1857">
        <v>6</v>
      </c>
      <c r="F1857" t="str">
        <f t="shared" si="112"/>
        <v>Standard</v>
      </c>
      <c r="G1857" s="3" cm="1">
        <f t="array" ref="G1857">_xlfn.XLOOKUP(C1857 &amp; F1857,
         [1]unilever_price_limits!A:A &amp; [1]unilever_price_limits!B:B,
         [1]unilever_price_limits!C:C)</f>
        <v>25</v>
      </c>
      <c r="H1857" s="8">
        <f t="shared" si="113"/>
        <v>11.100000000000001</v>
      </c>
      <c r="I1857" s="6">
        <f t="shared" si="114"/>
        <v>25</v>
      </c>
      <c r="J1857" t="str">
        <f t="shared" si="115"/>
        <v>OK</v>
      </c>
    </row>
    <row r="1858" spans="1:10" x14ac:dyDescent="0.2">
      <c r="A1858">
        <v>11857</v>
      </c>
      <c r="B1858" t="s">
        <v>8</v>
      </c>
      <c r="C1858" t="s">
        <v>6</v>
      </c>
      <c r="D1858" s="8">
        <v>11.37</v>
      </c>
      <c r="E1858">
        <v>3</v>
      </c>
      <c r="F1858" t="str">
        <f t="shared" si="112"/>
        <v>Value</v>
      </c>
      <c r="G1858" s="3" cm="1">
        <f t="array" ref="G1858">_xlfn.XLOOKUP(C1858 &amp; F1858,
         [1]unilever_price_limits!A:A &amp; [1]unilever_price_limits!B:B,
         [1]unilever_price_limits!C:C)</f>
        <v>12</v>
      </c>
      <c r="H1858" s="8">
        <f t="shared" si="113"/>
        <v>12.734400000000001</v>
      </c>
      <c r="I1858" s="6">
        <f t="shared" si="114"/>
        <v>12.000000000000011</v>
      </c>
      <c r="J1858" t="str">
        <f t="shared" si="115"/>
        <v>OK</v>
      </c>
    </row>
    <row r="1859" spans="1:10" x14ac:dyDescent="0.2">
      <c r="A1859">
        <v>11858</v>
      </c>
      <c r="B1859" t="s">
        <v>8</v>
      </c>
      <c r="C1859" t="s">
        <v>9</v>
      </c>
      <c r="D1859" s="8">
        <v>14.49</v>
      </c>
      <c r="E1859">
        <v>1</v>
      </c>
      <c r="F1859" t="str">
        <f t="shared" ref="F1859:F1922" si="116">IF(E1859&lt;=3,"Value",
 IF(E1859&lt;=7,"Standard","Premium"))</f>
        <v>Value</v>
      </c>
      <c r="G1859" s="3" cm="1">
        <f t="array" ref="G1859">_xlfn.XLOOKUP(C1859 &amp; F1859,
         [1]unilever_price_limits!A:A &amp; [1]unilever_price_limits!B:B,
         [1]unilever_price_limits!C:C)</f>
        <v>15</v>
      </c>
      <c r="H1859" s="8">
        <f t="shared" ref="H1859:H1922" si="117">D1859 * (1 + G1859/100)</f>
        <v>16.663499999999999</v>
      </c>
      <c r="I1859" s="6">
        <f t="shared" ref="I1859:I1922" si="118">(H1859 / D1859 - 1) * 100</f>
        <v>14.999999999999991</v>
      </c>
      <c r="J1859" t="str">
        <f t="shared" ref="J1859:J1922" si="119">IF(I1858&gt; G1858, "⚠ Exceeds Limit", "OK")</f>
        <v>OK</v>
      </c>
    </row>
    <row r="1860" spans="1:10" x14ac:dyDescent="0.2">
      <c r="A1860">
        <v>11859</v>
      </c>
      <c r="B1860" t="s">
        <v>5</v>
      </c>
      <c r="C1860" t="s">
        <v>6</v>
      </c>
      <c r="D1860" s="8">
        <v>1.57</v>
      </c>
      <c r="E1860">
        <v>10</v>
      </c>
      <c r="F1860" t="str">
        <f t="shared" si="116"/>
        <v>Premium</v>
      </c>
      <c r="G1860" s="3" cm="1">
        <f t="array" ref="G1860">_xlfn.XLOOKUP(C1860 &amp; F1860,
         [1]unilever_price_limits!A:A &amp; [1]unilever_price_limits!B:B,
         [1]unilever_price_limits!C:C)</f>
        <v>55</v>
      </c>
      <c r="H1860" s="8">
        <f t="shared" si="117"/>
        <v>2.4335</v>
      </c>
      <c r="I1860" s="6">
        <f t="shared" si="118"/>
        <v>55.000000000000007</v>
      </c>
      <c r="J1860" t="str">
        <f t="shared" si="119"/>
        <v>OK</v>
      </c>
    </row>
    <row r="1861" spans="1:10" x14ac:dyDescent="0.2">
      <c r="A1861">
        <v>11860</v>
      </c>
      <c r="B1861" t="s">
        <v>8</v>
      </c>
      <c r="C1861" t="s">
        <v>6</v>
      </c>
      <c r="D1861" s="8">
        <v>1.27</v>
      </c>
      <c r="E1861">
        <v>10</v>
      </c>
      <c r="F1861" t="str">
        <f t="shared" si="116"/>
        <v>Premium</v>
      </c>
      <c r="G1861" s="3" cm="1">
        <f t="array" ref="G1861">_xlfn.XLOOKUP(C1861 &amp; F1861,
         [1]unilever_price_limits!A:A &amp; [1]unilever_price_limits!B:B,
         [1]unilever_price_limits!C:C)</f>
        <v>55</v>
      </c>
      <c r="H1861" s="8">
        <f t="shared" si="117"/>
        <v>1.9685000000000001</v>
      </c>
      <c r="I1861" s="6">
        <f t="shared" si="118"/>
        <v>55.000000000000007</v>
      </c>
      <c r="J1861" t="str">
        <f t="shared" si="119"/>
        <v>OK</v>
      </c>
    </row>
    <row r="1862" spans="1:10" x14ac:dyDescent="0.2">
      <c r="A1862">
        <v>11861</v>
      </c>
      <c r="B1862" t="s">
        <v>10</v>
      </c>
      <c r="C1862" t="s">
        <v>9</v>
      </c>
      <c r="D1862" s="8">
        <v>14.09</v>
      </c>
      <c r="E1862">
        <v>5</v>
      </c>
      <c r="F1862" t="str">
        <f t="shared" si="116"/>
        <v>Standard</v>
      </c>
      <c r="G1862" s="3" cm="1">
        <f t="array" ref="G1862">_xlfn.XLOOKUP(C1862 &amp; F1862,
         [1]unilever_price_limits!A:A &amp; [1]unilever_price_limits!B:B,
         [1]unilever_price_limits!C:C)</f>
        <v>30</v>
      </c>
      <c r="H1862" s="8">
        <f t="shared" si="117"/>
        <v>18.317</v>
      </c>
      <c r="I1862" s="6">
        <f t="shared" si="118"/>
        <v>30.000000000000004</v>
      </c>
      <c r="J1862" t="str">
        <f t="shared" si="119"/>
        <v>OK</v>
      </c>
    </row>
    <row r="1863" spans="1:10" x14ac:dyDescent="0.2">
      <c r="A1863">
        <v>11862</v>
      </c>
      <c r="B1863" t="s">
        <v>10</v>
      </c>
      <c r="C1863" t="s">
        <v>9</v>
      </c>
      <c r="D1863" s="8">
        <v>8.18</v>
      </c>
      <c r="E1863">
        <v>10</v>
      </c>
      <c r="F1863" t="str">
        <f t="shared" si="116"/>
        <v>Premium</v>
      </c>
      <c r="G1863" s="3" cm="1">
        <f t="array" ref="G1863">_xlfn.XLOOKUP(C1863 &amp; F1863,
         [1]unilever_price_limits!A:A &amp; [1]unilever_price_limits!B:B,
         [1]unilever_price_limits!C:C)</f>
        <v>60</v>
      </c>
      <c r="H1863" s="8">
        <f t="shared" si="117"/>
        <v>13.088000000000001</v>
      </c>
      <c r="I1863" s="6">
        <f t="shared" si="118"/>
        <v>60.000000000000007</v>
      </c>
      <c r="J1863" t="str">
        <f t="shared" si="119"/>
        <v>OK</v>
      </c>
    </row>
    <row r="1864" spans="1:10" x14ac:dyDescent="0.2">
      <c r="A1864">
        <v>11863</v>
      </c>
      <c r="B1864" t="s">
        <v>5</v>
      </c>
      <c r="C1864" t="s">
        <v>11</v>
      </c>
      <c r="D1864" s="8">
        <v>9.42</v>
      </c>
      <c r="E1864">
        <v>10</v>
      </c>
      <c r="F1864" t="str">
        <f t="shared" si="116"/>
        <v>Premium</v>
      </c>
      <c r="G1864" s="3" cm="1">
        <f t="array" ref="G1864">_xlfn.XLOOKUP(C1864 &amp; F1864,
         [1]unilever_price_limits!A:A &amp; [1]unilever_price_limits!B:B,
         [1]unilever_price_limits!C:C)</f>
        <v>50</v>
      </c>
      <c r="H1864" s="8">
        <f t="shared" si="117"/>
        <v>14.129999999999999</v>
      </c>
      <c r="I1864" s="6">
        <f t="shared" si="118"/>
        <v>50</v>
      </c>
      <c r="J1864" t="str">
        <f t="shared" si="119"/>
        <v>OK</v>
      </c>
    </row>
    <row r="1865" spans="1:10" x14ac:dyDescent="0.2">
      <c r="A1865">
        <v>11864</v>
      </c>
      <c r="B1865" t="s">
        <v>10</v>
      </c>
      <c r="C1865" t="s">
        <v>6</v>
      </c>
      <c r="D1865" s="8">
        <v>7.5</v>
      </c>
      <c r="E1865">
        <v>3</v>
      </c>
      <c r="F1865" t="str">
        <f t="shared" si="116"/>
        <v>Value</v>
      </c>
      <c r="G1865" s="3" cm="1">
        <f t="array" ref="G1865">_xlfn.XLOOKUP(C1865 &amp; F1865,
         [1]unilever_price_limits!A:A &amp; [1]unilever_price_limits!B:B,
         [1]unilever_price_limits!C:C)</f>
        <v>12</v>
      </c>
      <c r="H1865" s="8">
        <f t="shared" si="117"/>
        <v>8.4</v>
      </c>
      <c r="I1865" s="6">
        <f t="shared" si="118"/>
        <v>12.000000000000011</v>
      </c>
      <c r="J1865" t="str">
        <f t="shared" si="119"/>
        <v>OK</v>
      </c>
    </row>
    <row r="1866" spans="1:10" x14ac:dyDescent="0.2">
      <c r="A1866">
        <v>11865</v>
      </c>
      <c r="B1866" t="s">
        <v>7</v>
      </c>
      <c r="C1866" t="s">
        <v>11</v>
      </c>
      <c r="D1866" s="8">
        <v>1.86</v>
      </c>
      <c r="E1866">
        <v>8</v>
      </c>
      <c r="F1866" t="str">
        <f t="shared" si="116"/>
        <v>Premium</v>
      </c>
      <c r="G1866" s="3" cm="1">
        <f t="array" ref="G1866">_xlfn.XLOOKUP(C1866 &amp; F1866,
         [1]unilever_price_limits!A:A &amp; [1]unilever_price_limits!B:B,
         [1]unilever_price_limits!C:C)</f>
        <v>50</v>
      </c>
      <c r="H1866" s="8">
        <f t="shared" si="117"/>
        <v>2.79</v>
      </c>
      <c r="I1866" s="6">
        <f t="shared" si="118"/>
        <v>50</v>
      </c>
      <c r="J1866" t="str">
        <f t="shared" si="119"/>
        <v>OK</v>
      </c>
    </row>
    <row r="1867" spans="1:10" x14ac:dyDescent="0.2">
      <c r="A1867">
        <v>11866</v>
      </c>
      <c r="B1867" t="s">
        <v>10</v>
      </c>
      <c r="C1867" t="s">
        <v>6</v>
      </c>
      <c r="D1867" s="8">
        <v>11.64</v>
      </c>
      <c r="E1867">
        <v>10</v>
      </c>
      <c r="F1867" t="str">
        <f t="shared" si="116"/>
        <v>Premium</v>
      </c>
      <c r="G1867" s="3" cm="1">
        <f t="array" ref="G1867">_xlfn.XLOOKUP(C1867 &amp; F1867,
         [1]unilever_price_limits!A:A &amp; [1]unilever_price_limits!B:B,
         [1]unilever_price_limits!C:C)</f>
        <v>55</v>
      </c>
      <c r="H1867" s="8">
        <f t="shared" si="117"/>
        <v>18.042000000000002</v>
      </c>
      <c r="I1867" s="6">
        <f t="shared" si="118"/>
        <v>55.000000000000007</v>
      </c>
      <c r="J1867" t="str">
        <f t="shared" si="119"/>
        <v>OK</v>
      </c>
    </row>
    <row r="1868" spans="1:10" x14ac:dyDescent="0.2">
      <c r="A1868">
        <v>11867</v>
      </c>
      <c r="B1868" t="s">
        <v>10</v>
      </c>
      <c r="C1868" t="s">
        <v>6</v>
      </c>
      <c r="D1868" s="8">
        <v>11.33</v>
      </c>
      <c r="E1868">
        <v>1</v>
      </c>
      <c r="F1868" t="str">
        <f t="shared" si="116"/>
        <v>Value</v>
      </c>
      <c r="G1868" s="3" cm="1">
        <f t="array" ref="G1868">_xlfn.XLOOKUP(C1868 &amp; F1868,
         [1]unilever_price_limits!A:A &amp; [1]unilever_price_limits!B:B,
         [1]unilever_price_limits!C:C)</f>
        <v>12</v>
      </c>
      <c r="H1868" s="8">
        <f t="shared" si="117"/>
        <v>12.6896</v>
      </c>
      <c r="I1868" s="6">
        <f t="shared" si="118"/>
        <v>12.000000000000011</v>
      </c>
      <c r="J1868" t="str">
        <f t="shared" si="119"/>
        <v>OK</v>
      </c>
    </row>
    <row r="1869" spans="1:10" x14ac:dyDescent="0.2">
      <c r="A1869">
        <v>11868</v>
      </c>
      <c r="B1869" t="s">
        <v>8</v>
      </c>
      <c r="C1869" t="s">
        <v>11</v>
      </c>
      <c r="D1869" s="8">
        <v>5.0199999999999996</v>
      </c>
      <c r="E1869">
        <v>2</v>
      </c>
      <c r="F1869" t="str">
        <f t="shared" si="116"/>
        <v>Value</v>
      </c>
      <c r="G1869" s="3" cm="1">
        <f t="array" ref="G1869">_xlfn.XLOOKUP(C1869 &amp; F1869,
         [1]unilever_price_limits!A:A &amp; [1]unilever_price_limits!B:B,
         [1]unilever_price_limits!C:C)</f>
        <v>10</v>
      </c>
      <c r="H1869" s="8">
        <f t="shared" si="117"/>
        <v>5.5220000000000002</v>
      </c>
      <c r="I1869" s="6">
        <f t="shared" si="118"/>
        <v>10.000000000000009</v>
      </c>
      <c r="J1869" t="str">
        <f t="shared" si="119"/>
        <v>OK</v>
      </c>
    </row>
    <row r="1870" spans="1:10" x14ac:dyDescent="0.2">
      <c r="A1870">
        <v>11869</v>
      </c>
      <c r="B1870" t="s">
        <v>8</v>
      </c>
      <c r="C1870" t="s">
        <v>6</v>
      </c>
      <c r="D1870" s="8">
        <v>4.9400000000000004</v>
      </c>
      <c r="E1870">
        <v>3</v>
      </c>
      <c r="F1870" t="str">
        <f t="shared" si="116"/>
        <v>Value</v>
      </c>
      <c r="G1870" s="3" cm="1">
        <f t="array" ref="G1870">_xlfn.XLOOKUP(C1870 &amp; F1870,
         [1]unilever_price_limits!A:A &amp; [1]unilever_price_limits!B:B,
         [1]unilever_price_limits!C:C)</f>
        <v>12</v>
      </c>
      <c r="H1870" s="8">
        <f t="shared" si="117"/>
        <v>5.5328000000000008</v>
      </c>
      <c r="I1870" s="6">
        <f t="shared" si="118"/>
        <v>12.000000000000011</v>
      </c>
      <c r="J1870" t="str">
        <f t="shared" si="119"/>
        <v>OK</v>
      </c>
    </row>
    <row r="1871" spans="1:10" x14ac:dyDescent="0.2">
      <c r="A1871">
        <v>11870</v>
      </c>
      <c r="B1871" t="s">
        <v>10</v>
      </c>
      <c r="C1871" t="s">
        <v>6</v>
      </c>
      <c r="D1871" s="8">
        <v>12.65</v>
      </c>
      <c r="E1871">
        <v>3</v>
      </c>
      <c r="F1871" t="str">
        <f t="shared" si="116"/>
        <v>Value</v>
      </c>
      <c r="G1871" s="3" cm="1">
        <f t="array" ref="G1871">_xlfn.XLOOKUP(C1871 &amp; F1871,
         [1]unilever_price_limits!A:A &amp; [1]unilever_price_limits!B:B,
         [1]unilever_price_limits!C:C)</f>
        <v>12</v>
      </c>
      <c r="H1871" s="8">
        <f t="shared" si="117"/>
        <v>14.168000000000001</v>
      </c>
      <c r="I1871" s="6">
        <f t="shared" si="118"/>
        <v>12.000000000000011</v>
      </c>
      <c r="J1871" t="str">
        <f t="shared" si="119"/>
        <v>OK</v>
      </c>
    </row>
    <row r="1872" spans="1:10" x14ac:dyDescent="0.2">
      <c r="A1872">
        <v>11871</v>
      </c>
      <c r="B1872" t="s">
        <v>5</v>
      </c>
      <c r="C1872" t="s">
        <v>6</v>
      </c>
      <c r="D1872" s="8">
        <v>1.55</v>
      </c>
      <c r="E1872">
        <v>8</v>
      </c>
      <c r="F1872" t="str">
        <f t="shared" si="116"/>
        <v>Premium</v>
      </c>
      <c r="G1872" s="3" cm="1">
        <f t="array" ref="G1872">_xlfn.XLOOKUP(C1872 &amp; F1872,
         [1]unilever_price_limits!A:A &amp; [1]unilever_price_limits!B:B,
         [1]unilever_price_limits!C:C)</f>
        <v>55</v>
      </c>
      <c r="H1872" s="8">
        <f t="shared" si="117"/>
        <v>2.4025000000000003</v>
      </c>
      <c r="I1872" s="6">
        <f t="shared" si="118"/>
        <v>55.000000000000007</v>
      </c>
      <c r="J1872" t="str">
        <f t="shared" si="119"/>
        <v>OK</v>
      </c>
    </row>
    <row r="1873" spans="1:10" x14ac:dyDescent="0.2">
      <c r="A1873">
        <v>11872</v>
      </c>
      <c r="B1873" t="s">
        <v>8</v>
      </c>
      <c r="C1873" t="s">
        <v>9</v>
      </c>
      <c r="D1873" s="8">
        <v>13.28</v>
      </c>
      <c r="E1873">
        <v>5</v>
      </c>
      <c r="F1873" t="str">
        <f t="shared" si="116"/>
        <v>Standard</v>
      </c>
      <c r="G1873" s="3" cm="1">
        <f t="array" ref="G1873">_xlfn.XLOOKUP(C1873 &amp; F1873,
         [1]unilever_price_limits!A:A &amp; [1]unilever_price_limits!B:B,
         [1]unilever_price_limits!C:C)</f>
        <v>30</v>
      </c>
      <c r="H1873" s="8">
        <f t="shared" si="117"/>
        <v>17.263999999999999</v>
      </c>
      <c r="I1873" s="6">
        <f t="shared" si="118"/>
        <v>30.000000000000004</v>
      </c>
      <c r="J1873" t="str">
        <f t="shared" si="119"/>
        <v>OK</v>
      </c>
    </row>
    <row r="1874" spans="1:10" x14ac:dyDescent="0.2">
      <c r="A1874">
        <v>11873</v>
      </c>
      <c r="B1874" t="s">
        <v>5</v>
      </c>
      <c r="C1874" t="s">
        <v>11</v>
      </c>
      <c r="D1874" s="8">
        <v>4.22</v>
      </c>
      <c r="E1874">
        <v>8</v>
      </c>
      <c r="F1874" t="str">
        <f t="shared" si="116"/>
        <v>Premium</v>
      </c>
      <c r="G1874" s="3" cm="1">
        <f t="array" ref="G1874">_xlfn.XLOOKUP(C1874 &amp; F1874,
         [1]unilever_price_limits!A:A &amp; [1]unilever_price_limits!B:B,
         [1]unilever_price_limits!C:C)</f>
        <v>50</v>
      </c>
      <c r="H1874" s="8">
        <f t="shared" si="117"/>
        <v>6.33</v>
      </c>
      <c r="I1874" s="6">
        <f t="shared" si="118"/>
        <v>50</v>
      </c>
      <c r="J1874" t="str">
        <f t="shared" si="119"/>
        <v>OK</v>
      </c>
    </row>
    <row r="1875" spans="1:10" x14ac:dyDescent="0.2">
      <c r="A1875">
        <v>11874</v>
      </c>
      <c r="B1875" t="s">
        <v>10</v>
      </c>
      <c r="C1875" t="s">
        <v>9</v>
      </c>
      <c r="D1875" s="8">
        <v>9.1</v>
      </c>
      <c r="E1875">
        <v>6</v>
      </c>
      <c r="F1875" t="str">
        <f t="shared" si="116"/>
        <v>Standard</v>
      </c>
      <c r="G1875" s="3" cm="1">
        <f t="array" ref="G1875">_xlfn.XLOOKUP(C1875 &amp; F1875,
         [1]unilever_price_limits!A:A &amp; [1]unilever_price_limits!B:B,
         [1]unilever_price_limits!C:C)</f>
        <v>30</v>
      </c>
      <c r="H1875" s="8">
        <f t="shared" si="117"/>
        <v>11.83</v>
      </c>
      <c r="I1875" s="6">
        <f t="shared" si="118"/>
        <v>30.000000000000004</v>
      </c>
      <c r="J1875" t="str">
        <f t="shared" si="119"/>
        <v>OK</v>
      </c>
    </row>
    <row r="1876" spans="1:10" x14ac:dyDescent="0.2">
      <c r="A1876">
        <v>11875</v>
      </c>
      <c r="B1876" t="s">
        <v>10</v>
      </c>
      <c r="C1876" t="s">
        <v>11</v>
      </c>
      <c r="D1876" s="8">
        <v>14.07</v>
      </c>
      <c r="E1876">
        <v>2</v>
      </c>
      <c r="F1876" t="str">
        <f t="shared" si="116"/>
        <v>Value</v>
      </c>
      <c r="G1876" s="3" cm="1">
        <f t="array" ref="G1876">_xlfn.XLOOKUP(C1876 &amp; F1876,
         [1]unilever_price_limits!A:A &amp; [1]unilever_price_limits!B:B,
         [1]unilever_price_limits!C:C)</f>
        <v>10</v>
      </c>
      <c r="H1876" s="8">
        <f t="shared" si="117"/>
        <v>15.477000000000002</v>
      </c>
      <c r="I1876" s="6">
        <f t="shared" si="118"/>
        <v>10.000000000000009</v>
      </c>
      <c r="J1876" t="str">
        <f t="shared" si="119"/>
        <v>OK</v>
      </c>
    </row>
    <row r="1877" spans="1:10" x14ac:dyDescent="0.2">
      <c r="A1877">
        <v>11876</v>
      </c>
      <c r="B1877" t="s">
        <v>7</v>
      </c>
      <c r="C1877" t="s">
        <v>11</v>
      </c>
      <c r="D1877" s="8">
        <v>10.33</v>
      </c>
      <c r="E1877">
        <v>4</v>
      </c>
      <c r="F1877" t="str">
        <f t="shared" si="116"/>
        <v>Standard</v>
      </c>
      <c r="G1877" s="3" cm="1">
        <f t="array" ref="G1877">_xlfn.XLOOKUP(C1877 &amp; F1877,
         [1]unilever_price_limits!A:A &amp; [1]unilever_price_limits!B:B,
         [1]unilever_price_limits!C:C)</f>
        <v>25</v>
      </c>
      <c r="H1877" s="8">
        <f t="shared" si="117"/>
        <v>12.9125</v>
      </c>
      <c r="I1877" s="6">
        <f t="shared" si="118"/>
        <v>25</v>
      </c>
      <c r="J1877" t="str">
        <f t="shared" si="119"/>
        <v>OK</v>
      </c>
    </row>
    <row r="1878" spans="1:10" x14ac:dyDescent="0.2">
      <c r="A1878">
        <v>11877</v>
      </c>
      <c r="B1878" t="s">
        <v>8</v>
      </c>
      <c r="C1878" t="s">
        <v>6</v>
      </c>
      <c r="D1878" s="8">
        <v>6.51</v>
      </c>
      <c r="E1878">
        <v>9</v>
      </c>
      <c r="F1878" t="str">
        <f t="shared" si="116"/>
        <v>Premium</v>
      </c>
      <c r="G1878" s="3" cm="1">
        <f t="array" ref="G1878">_xlfn.XLOOKUP(C1878 &amp; F1878,
         [1]unilever_price_limits!A:A &amp; [1]unilever_price_limits!B:B,
         [1]unilever_price_limits!C:C)</f>
        <v>55</v>
      </c>
      <c r="H1878" s="8">
        <f t="shared" si="117"/>
        <v>10.0905</v>
      </c>
      <c r="I1878" s="6">
        <f t="shared" si="118"/>
        <v>55.000000000000007</v>
      </c>
      <c r="J1878" t="str">
        <f t="shared" si="119"/>
        <v>OK</v>
      </c>
    </row>
    <row r="1879" spans="1:10" x14ac:dyDescent="0.2">
      <c r="A1879">
        <v>11878</v>
      </c>
      <c r="B1879" t="s">
        <v>10</v>
      </c>
      <c r="C1879" t="s">
        <v>11</v>
      </c>
      <c r="D1879" s="8">
        <v>10.5</v>
      </c>
      <c r="E1879">
        <v>4</v>
      </c>
      <c r="F1879" t="str">
        <f t="shared" si="116"/>
        <v>Standard</v>
      </c>
      <c r="G1879" s="3" cm="1">
        <f t="array" ref="G1879">_xlfn.XLOOKUP(C1879 &amp; F1879,
         [1]unilever_price_limits!A:A &amp; [1]unilever_price_limits!B:B,
         [1]unilever_price_limits!C:C)</f>
        <v>25</v>
      </c>
      <c r="H1879" s="8">
        <f t="shared" si="117"/>
        <v>13.125</v>
      </c>
      <c r="I1879" s="6">
        <f t="shared" si="118"/>
        <v>25</v>
      </c>
      <c r="J1879" t="str">
        <f t="shared" si="119"/>
        <v>OK</v>
      </c>
    </row>
    <row r="1880" spans="1:10" x14ac:dyDescent="0.2">
      <c r="A1880">
        <v>11879</v>
      </c>
      <c r="B1880" t="s">
        <v>7</v>
      </c>
      <c r="C1880" t="s">
        <v>9</v>
      </c>
      <c r="D1880" s="8">
        <v>5.49</v>
      </c>
      <c r="E1880">
        <v>5</v>
      </c>
      <c r="F1880" t="str">
        <f t="shared" si="116"/>
        <v>Standard</v>
      </c>
      <c r="G1880" s="3" cm="1">
        <f t="array" ref="G1880">_xlfn.XLOOKUP(C1880 &amp; F1880,
         [1]unilever_price_limits!A:A &amp; [1]unilever_price_limits!B:B,
         [1]unilever_price_limits!C:C)</f>
        <v>30</v>
      </c>
      <c r="H1880" s="8">
        <f t="shared" si="117"/>
        <v>7.1370000000000005</v>
      </c>
      <c r="I1880" s="6">
        <f t="shared" si="118"/>
        <v>30.000000000000004</v>
      </c>
      <c r="J1880" t="str">
        <f t="shared" si="119"/>
        <v>OK</v>
      </c>
    </row>
    <row r="1881" spans="1:10" x14ac:dyDescent="0.2">
      <c r="A1881">
        <v>11880</v>
      </c>
      <c r="B1881" t="s">
        <v>8</v>
      </c>
      <c r="C1881" t="s">
        <v>9</v>
      </c>
      <c r="D1881" s="8">
        <v>4.5199999999999996</v>
      </c>
      <c r="E1881">
        <v>5</v>
      </c>
      <c r="F1881" t="str">
        <f t="shared" si="116"/>
        <v>Standard</v>
      </c>
      <c r="G1881" s="3" cm="1">
        <f t="array" ref="G1881">_xlfn.XLOOKUP(C1881 &amp; F1881,
         [1]unilever_price_limits!A:A &amp; [1]unilever_price_limits!B:B,
         [1]unilever_price_limits!C:C)</f>
        <v>30</v>
      </c>
      <c r="H1881" s="8">
        <f t="shared" si="117"/>
        <v>5.8759999999999994</v>
      </c>
      <c r="I1881" s="6">
        <f t="shared" si="118"/>
        <v>30.000000000000004</v>
      </c>
      <c r="J1881" t="str">
        <f t="shared" si="119"/>
        <v>OK</v>
      </c>
    </row>
    <row r="1882" spans="1:10" x14ac:dyDescent="0.2">
      <c r="A1882">
        <v>11881</v>
      </c>
      <c r="B1882" t="s">
        <v>10</v>
      </c>
      <c r="C1882" t="s">
        <v>9</v>
      </c>
      <c r="D1882" s="8">
        <v>14.95</v>
      </c>
      <c r="E1882">
        <v>10</v>
      </c>
      <c r="F1882" t="str">
        <f t="shared" si="116"/>
        <v>Premium</v>
      </c>
      <c r="G1882" s="3" cm="1">
        <f t="array" ref="G1882">_xlfn.XLOOKUP(C1882 &amp; F1882,
         [1]unilever_price_limits!A:A &amp; [1]unilever_price_limits!B:B,
         [1]unilever_price_limits!C:C)</f>
        <v>60</v>
      </c>
      <c r="H1882" s="8">
        <f t="shared" si="117"/>
        <v>23.92</v>
      </c>
      <c r="I1882" s="6">
        <f t="shared" si="118"/>
        <v>60.000000000000007</v>
      </c>
      <c r="J1882" t="str">
        <f t="shared" si="119"/>
        <v>OK</v>
      </c>
    </row>
    <row r="1883" spans="1:10" x14ac:dyDescent="0.2">
      <c r="A1883">
        <v>11882</v>
      </c>
      <c r="B1883" t="s">
        <v>10</v>
      </c>
      <c r="C1883" t="s">
        <v>11</v>
      </c>
      <c r="D1883" s="8">
        <v>11.39</v>
      </c>
      <c r="E1883">
        <v>8</v>
      </c>
      <c r="F1883" t="str">
        <f t="shared" si="116"/>
        <v>Premium</v>
      </c>
      <c r="G1883" s="3" cm="1">
        <f t="array" ref="G1883">_xlfn.XLOOKUP(C1883 &amp; F1883,
         [1]unilever_price_limits!A:A &amp; [1]unilever_price_limits!B:B,
         [1]unilever_price_limits!C:C)</f>
        <v>50</v>
      </c>
      <c r="H1883" s="8">
        <f t="shared" si="117"/>
        <v>17.085000000000001</v>
      </c>
      <c r="I1883" s="6">
        <f t="shared" si="118"/>
        <v>50</v>
      </c>
      <c r="J1883" t="str">
        <f t="shared" si="119"/>
        <v>OK</v>
      </c>
    </row>
    <row r="1884" spans="1:10" x14ac:dyDescent="0.2">
      <c r="A1884">
        <v>11883</v>
      </c>
      <c r="B1884" t="s">
        <v>8</v>
      </c>
      <c r="C1884" t="s">
        <v>9</v>
      </c>
      <c r="D1884" s="8">
        <v>9.85</v>
      </c>
      <c r="E1884">
        <v>6</v>
      </c>
      <c r="F1884" t="str">
        <f t="shared" si="116"/>
        <v>Standard</v>
      </c>
      <c r="G1884" s="3" cm="1">
        <f t="array" ref="G1884">_xlfn.XLOOKUP(C1884 &amp; F1884,
         [1]unilever_price_limits!A:A &amp; [1]unilever_price_limits!B:B,
         [1]unilever_price_limits!C:C)</f>
        <v>30</v>
      </c>
      <c r="H1884" s="8">
        <f t="shared" si="117"/>
        <v>12.805</v>
      </c>
      <c r="I1884" s="6">
        <f t="shared" si="118"/>
        <v>30.000000000000004</v>
      </c>
      <c r="J1884" t="str">
        <f t="shared" si="119"/>
        <v>OK</v>
      </c>
    </row>
    <row r="1885" spans="1:10" x14ac:dyDescent="0.2">
      <c r="A1885">
        <v>11884</v>
      </c>
      <c r="B1885" t="s">
        <v>8</v>
      </c>
      <c r="C1885" t="s">
        <v>11</v>
      </c>
      <c r="D1885" s="8">
        <v>5.65</v>
      </c>
      <c r="E1885">
        <v>10</v>
      </c>
      <c r="F1885" t="str">
        <f t="shared" si="116"/>
        <v>Premium</v>
      </c>
      <c r="G1885" s="3" cm="1">
        <f t="array" ref="G1885">_xlfn.XLOOKUP(C1885 &amp; F1885,
         [1]unilever_price_limits!A:A &amp; [1]unilever_price_limits!B:B,
         [1]unilever_price_limits!C:C)</f>
        <v>50</v>
      </c>
      <c r="H1885" s="8">
        <f t="shared" si="117"/>
        <v>8.4750000000000014</v>
      </c>
      <c r="I1885" s="6">
        <f t="shared" si="118"/>
        <v>50.000000000000021</v>
      </c>
      <c r="J1885" t="str">
        <f t="shared" si="119"/>
        <v>OK</v>
      </c>
    </row>
    <row r="1886" spans="1:10" x14ac:dyDescent="0.2">
      <c r="A1886">
        <v>11885</v>
      </c>
      <c r="B1886" t="s">
        <v>8</v>
      </c>
      <c r="C1886" t="s">
        <v>9</v>
      </c>
      <c r="D1886" s="8">
        <v>1.21</v>
      </c>
      <c r="E1886">
        <v>7</v>
      </c>
      <c r="F1886" t="str">
        <f t="shared" si="116"/>
        <v>Standard</v>
      </c>
      <c r="G1886" s="3" cm="1">
        <f t="array" ref="G1886">_xlfn.XLOOKUP(C1886 &amp; F1886,
         [1]unilever_price_limits!A:A &amp; [1]unilever_price_limits!B:B,
         [1]unilever_price_limits!C:C)</f>
        <v>30</v>
      </c>
      <c r="H1886" s="8">
        <f t="shared" si="117"/>
        <v>1.573</v>
      </c>
      <c r="I1886" s="6">
        <f t="shared" si="118"/>
        <v>30.000000000000004</v>
      </c>
      <c r="J1886" t="str">
        <f t="shared" si="119"/>
        <v>OK</v>
      </c>
    </row>
    <row r="1887" spans="1:10" x14ac:dyDescent="0.2">
      <c r="A1887">
        <v>11886</v>
      </c>
      <c r="B1887" t="s">
        <v>10</v>
      </c>
      <c r="C1887" t="s">
        <v>9</v>
      </c>
      <c r="D1887" s="8">
        <v>0.95</v>
      </c>
      <c r="E1887">
        <v>6</v>
      </c>
      <c r="F1887" t="str">
        <f t="shared" si="116"/>
        <v>Standard</v>
      </c>
      <c r="G1887" s="3" cm="1">
        <f t="array" ref="G1887">_xlfn.XLOOKUP(C1887 &amp; F1887,
         [1]unilever_price_limits!A:A &amp; [1]unilever_price_limits!B:B,
         [1]unilever_price_limits!C:C)</f>
        <v>30</v>
      </c>
      <c r="H1887" s="8">
        <f t="shared" si="117"/>
        <v>1.2349999999999999</v>
      </c>
      <c r="I1887" s="6">
        <f t="shared" si="118"/>
        <v>29.999999999999982</v>
      </c>
      <c r="J1887" t="str">
        <f t="shared" si="119"/>
        <v>OK</v>
      </c>
    </row>
    <row r="1888" spans="1:10" x14ac:dyDescent="0.2">
      <c r="A1888">
        <v>11887</v>
      </c>
      <c r="B1888" t="s">
        <v>10</v>
      </c>
      <c r="C1888" t="s">
        <v>11</v>
      </c>
      <c r="D1888" s="8">
        <v>8.5399999999999991</v>
      </c>
      <c r="E1888">
        <v>5</v>
      </c>
      <c r="F1888" t="str">
        <f t="shared" si="116"/>
        <v>Standard</v>
      </c>
      <c r="G1888" s="3" cm="1">
        <f t="array" ref="G1888">_xlfn.XLOOKUP(C1888 &amp; F1888,
         [1]unilever_price_limits!A:A &amp; [1]unilever_price_limits!B:B,
         [1]unilever_price_limits!C:C)</f>
        <v>25</v>
      </c>
      <c r="H1888" s="8">
        <f t="shared" si="117"/>
        <v>10.674999999999999</v>
      </c>
      <c r="I1888" s="6">
        <f t="shared" si="118"/>
        <v>25</v>
      </c>
      <c r="J1888" t="str">
        <f t="shared" si="119"/>
        <v>OK</v>
      </c>
    </row>
    <row r="1889" spans="1:10" x14ac:dyDescent="0.2">
      <c r="A1889">
        <v>11888</v>
      </c>
      <c r="B1889" t="s">
        <v>7</v>
      </c>
      <c r="C1889" t="s">
        <v>9</v>
      </c>
      <c r="D1889" s="8">
        <v>11.55</v>
      </c>
      <c r="E1889">
        <v>5</v>
      </c>
      <c r="F1889" t="str">
        <f t="shared" si="116"/>
        <v>Standard</v>
      </c>
      <c r="G1889" s="3" cm="1">
        <f t="array" ref="G1889">_xlfn.XLOOKUP(C1889 &amp; F1889,
         [1]unilever_price_limits!A:A &amp; [1]unilever_price_limits!B:B,
         [1]unilever_price_limits!C:C)</f>
        <v>30</v>
      </c>
      <c r="H1889" s="8">
        <f t="shared" si="117"/>
        <v>15.015000000000001</v>
      </c>
      <c r="I1889" s="6">
        <f t="shared" si="118"/>
        <v>30.000000000000004</v>
      </c>
      <c r="J1889" t="str">
        <f t="shared" si="119"/>
        <v>OK</v>
      </c>
    </row>
    <row r="1890" spans="1:10" x14ac:dyDescent="0.2">
      <c r="A1890">
        <v>11889</v>
      </c>
      <c r="B1890" t="s">
        <v>5</v>
      </c>
      <c r="C1890" t="s">
        <v>6</v>
      </c>
      <c r="D1890" s="8">
        <v>8.2899999999999991</v>
      </c>
      <c r="E1890">
        <v>3</v>
      </c>
      <c r="F1890" t="str">
        <f t="shared" si="116"/>
        <v>Value</v>
      </c>
      <c r="G1890" s="3" cm="1">
        <f t="array" ref="G1890">_xlfn.XLOOKUP(C1890 &amp; F1890,
         [1]unilever_price_limits!A:A &amp; [1]unilever_price_limits!B:B,
         [1]unilever_price_limits!C:C)</f>
        <v>12</v>
      </c>
      <c r="H1890" s="8">
        <f t="shared" si="117"/>
        <v>9.2848000000000006</v>
      </c>
      <c r="I1890" s="6">
        <f t="shared" si="118"/>
        <v>12.000000000000011</v>
      </c>
      <c r="J1890" t="str">
        <f t="shared" si="119"/>
        <v>OK</v>
      </c>
    </row>
    <row r="1891" spans="1:10" x14ac:dyDescent="0.2">
      <c r="A1891">
        <v>11890</v>
      </c>
      <c r="B1891" t="s">
        <v>8</v>
      </c>
      <c r="C1891" t="s">
        <v>11</v>
      </c>
      <c r="D1891" s="8">
        <v>12.69</v>
      </c>
      <c r="E1891">
        <v>7</v>
      </c>
      <c r="F1891" t="str">
        <f t="shared" si="116"/>
        <v>Standard</v>
      </c>
      <c r="G1891" s="3" cm="1">
        <f t="array" ref="G1891">_xlfn.XLOOKUP(C1891 &amp; F1891,
         [1]unilever_price_limits!A:A &amp; [1]unilever_price_limits!B:B,
         [1]unilever_price_limits!C:C)</f>
        <v>25</v>
      </c>
      <c r="H1891" s="8">
        <f t="shared" si="117"/>
        <v>15.862499999999999</v>
      </c>
      <c r="I1891" s="6">
        <f t="shared" si="118"/>
        <v>25</v>
      </c>
      <c r="J1891" t="str">
        <f t="shared" si="119"/>
        <v>OK</v>
      </c>
    </row>
    <row r="1892" spans="1:10" x14ac:dyDescent="0.2">
      <c r="A1892">
        <v>11891</v>
      </c>
      <c r="B1892" t="s">
        <v>10</v>
      </c>
      <c r="C1892" t="s">
        <v>11</v>
      </c>
      <c r="D1892" s="8">
        <v>0.98</v>
      </c>
      <c r="E1892">
        <v>10</v>
      </c>
      <c r="F1892" t="str">
        <f t="shared" si="116"/>
        <v>Premium</v>
      </c>
      <c r="G1892" s="3" cm="1">
        <f t="array" ref="G1892">_xlfn.XLOOKUP(C1892 &amp; F1892,
         [1]unilever_price_limits!A:A &amp; [1]unilever_price_limits!B:B,
         [1]unilever_price_limits!C:C)</f>
        <v>50</v>
      </c>
      <c r="H1892" s="8">
        <f t="shared" si="117"/>
        <v>1.47</v>
      </c>
      <c r="I1892" s="6">
        <f t="shared" si="118"/>
        <v>50</v>
      </c>
      <c r="J1892" t="str">
        <f t="shared" si="119"/>
        <v>OK</v>
      </c>
    </row>
    <row r="1893" spans="1:10" x14ac:dyDescent="0.2">
      <c r="A1893">
        <v>11892</v>
      </c>
      <c r="B1893" t="s">
        <v>10</v>
      </c>
      <c r="C1893" t="s">
        <v>11</v>
      </c>
      <c r="D1893" s="8">
        <v>5.82</v>
      </c>
      <c r="E1893">
        <v>5</v>
      </c>
      <c r="F1893" t="str">
        <f t="shared" si="116"/>
        <v>Standard</v>
      </c>
      <c r="G1893" s="3" cm="1">
        <f t="array" ref="G1893">_xlfn.XLOOKUP(C1893 &amp; F1893,
         [1]unilever_price_limits!A:A &amp; [1]unilever_price_limits!B:B,
         [1]unilever_price_limits!C:C)</f>
        <v>25</v>
      </c>
      <c r="H1893" s="8">
        <f t="shared" si="117"/>
        <v>7.2750000000000004</v>
      </c>
      <c r="I1893" s="6">
        <f t="shared" si="118"/>
        <v>25</v>
      </c>
      <c r="J1893" t="str">
        <f t="shared" si="119"/>
        <v>OK</v>
      </c>
    </row>
    <row r="1894" spans="1:10" x14ac:dyDescent="0.2">
      <c r="A1894">
        <v>11893</v>
      </c>
      <c r="B1894" t="s">
        <v>8</v>
      </c>
      <c r="C1894" t="s">
        <v>6</v>
      </c>
      <c r="D1894" s="8">
        <v>3.94</v>
      </c>
      <c r="E1894">
        <v>7</v>
      </c>
      <c r="F1894" t="str">
        <f t="shared" si="116"/>
        <v>Standard</v>
      </c>
      <c r="G1894" s="3" cm="1">
        <f t="array" ref="G1894">_xlfn.XLOOKUP(C1894 &amp; F1894,
         [1]unilever_price_limits!A:A &amp; [1]unilever_price_limits!B:B,
         [1]unilever_price_limits!C:C)</f>
        <v>28</v>
      </c>
      <c r="H1894" s="8">
        <f t="shared" si="117"/>
        <v>5.0431999999999997</v>
      </c>
      <c r="I1894" s="6">
        <f t="shared" si="118"/>
        <v>28.000000000000004</v>
      </c>
      <c r="J1894" t="str">
        <f t="shared" si="119"/>
        <v>OK</v>
      </c>
    </row>
    <row r="1895" spans="1:10" x14ac:dyDescent="0.2">
      <c r="A1895">
        <v>11894</v>
      </c>
      <c r="B1895" t="s">
        <v>5</v>
      </c>
      <c r="C1895" t="s">
        <v>11</v>
      </c>
      <c r="D1895" s="8">
        <v>6.99</v>
      </c>
      <c r="E1895">
        <v>2</v>
      </c>
      <c r="F1895" t="str">
        <f t="shared" si="116"/>
        <v>Value</v>
      </c>
      <c r="G1895" s="3" cm="1">
        <f t="array" ref="G1895">_xlfn.XLOOKUP(C1895 &amp; F1895,
         [1]unilever_price_limits!A:A &amp; [1]unilever_price_limits!B:B,
         [1]unilever_price_limits!C:C)</f>
        <v>10</v>
      </c>
      <c r="H1895" s="8">
        <f t="shared" si="117"/>
        <v>7.6890000000000009</v>
      </c>
      <c r="I1895" s="6">
        <f t="shared" si="118"/>
        <v>10.000000000000009</v>
      </c>
      <c r="J1895" t="str">
        <f t="shared" si="119"/>
        <v>OK</v>
      </c>
    </row>
    <row r="1896" spans="1:10" x14ac:dyDescent="0.2">
      <c r="A1896">
        <v>11895</v>
      </c>
      <c r="B1896" t="s">
        <v>8</v>
      </c>
      <c r="C1896" t="s">
        <v>9</v>
      </c>
      <c r="D1896" s="8">
        <v>1.55</v>
      </c>
      <c r="E1896">
        <v>9</v>
      </c>
      <c r="F1896" t="str">
        <f t="shared" si="116"/>
        <v>Premium</v>
      </c>
      <c r="G1896" s="3" cm="1">
        <f t="array" ref="G1896">_xlfn.XLOOKUP(C1896 &amp; F1896,
         [1]unilever_price_limits!A:A &amp; [1]unilever_price_limits!B:B,
         [1]unilever_price_limits!C:C)</f>
        <v>60</v>
      </c>
      <c r="H1896" s="8">
        <f t="shared" si="117"/>
        <v>2.4800000000000004</v>
      </c>
      <c r="I1896" s="6">
        <f t="shared" si="118"/>
        <v>60.000000000000028</v>
      </c>
      <c r="J1896" t="str">
        <f t="shared" si="119"/>
        <v>OK</v>
      </c>
    </row>
    <row r="1897" spans="1:10" x14ac:dyDescent="0.2">
      <c r="A1897">
        <v>11896</v>
      </c>
      <c r="B1897" t="s">
        <v>5</v>
      </c>
      <c r="C1897" t="s">
        <v>9</v>
      </c>
      <c r="D1897" s="8">
        <v>14.33</v>
      </c>
      <c r="E1897">
        <v>8</v>
      </c>
      <c r="F1897" t="str">
        <f t="shared" si="116"/>
        <v>Premium</v>
      </c>
      <c r="G1897" s="3" cm="1">
        <f t="array" ref="G1897">_xlfn.XLOOKUP(C1897 &amp; F1897,
         [1]unilever_price_limits!A:A &amp; [1]unilever_price_limits!B:B,
         [1]unilever_price_limits!C:C)</f>
        <v>60</v>
      </c>
      <c r="H1897" s="8">
        <f t="shared" si="117"/>
        <v>22.928000000000001</v>
      </c>
      <c r="I1897" s="6">
        <f t="shared" si="118"/>
        <v>60.000000000000007</v>
      </c>
      <c r="J1897" t="str">
        <f t="shared" si="119"/>
        <v>OK</v>
      </c>
    </row>
    <row r="1898" spans="1:10" x14ac:dyDescent="0.2">
      <c r="A1898">
        <v>11897</v>
      </c>
      <c r="B1898" t="s">
        <v>10</v>
      </c>
      <c r="C1898" t="s">
        <v>9</v>
      </c>
      <c r="D1898" s="8">
        <v>3.74</v>
      </c>
      <c r="E1898">
        <v>5</v>
      </c>
      <c r="F1898" t="str">
        <f t="shared" si="116"/>
        <v>Standard</v>
      </c>
      <c r="G1898" s="3" cm="1">
        <f t="array" ref="G1898">_xlfn.XLOOKUP(C1898 &amp; F1898,
         [1]unilever_price_limits!A:A &amp; [1]unilever_price_limits!B:B,
         [1]unilever_price_limits!C:C)</f>
        <v>30</v>
      </c>
      <c r="H1898" s="8">
        <f t="shared" si="117"/>
        <v>4.8620000000000001</v>
      </c>
      <c r="I1898" s="6">
        <f t="shared" si="118"/>
        <v>30.000000000000004</v>
      </c>
      <c r="J1898" t="str">
        <f t="shared" si="119"/>
        <v>OK</v>
      </c>
    </row>
    <row r="1899" spans="1:10" x14ac:dyDescent="0.2">
      <c r="A1899">
        <v>11898</v>
      </c>
      <c r="B1899" t="s">
        <v>5</v>
      </c>
      <c r="C1899" t="s">
        <v>11</v>
      </c>
      <c r="D1899" s="8">
        <v>13.87</v>
      </c>
      <c r="E1899">
        <v>2</v>
      </c>
      <c r="F1899" t="str">
        <f t="shared" si="116"/>
        <v>Value</v>
      </c>
      <c r="G1899" s="3" cm="1">
        <f t="array" ref="G1899">_xlfn.XLOOKUP(C1899 &amp; F1899,
         [1]unilever_price_limits!A:A &amp; [1]unilever_price_limits!B:B,
         [1]unilever_price_limits!C:C)</f>
        <v>10</v>
      </c>
      <c r="H1899" s="8">
        <f t="shared" si="117"/>
        <v>15.257</v>
      </c>
      <c r="I1899" s="6">
        <f t="shared" si="118"/>
        <v>10.000000000000009</v>
      </c>
      <c r="J1899" t="str">
        <f t="shared" si="119"/>
        <v>OK</v>
      </c>
    </row>
    <row r="1900" spans="1:10" x14ac:dyDescent="0.2">
      <c r="A1900">
        <v>11899</v>
      </c>
      <c r="B1900" t="s">
        <v>7</v>
      </c>
      <c r="C1900" t="s">
        <v>9</v>
      </c>
      <c r="D1900" s="8">
        <v>6.68</v>
      </c>
      <c r="E1900">
        <v>6</v>
      </c>
      <c r="F1900" t="str">
        <f t="shared" si="116"/>
        <v>Standard</v>
      </c>
      <c r="G1900" s="3" cm="1">
        <f t="array" ref="G1900">_xlfn.XLOOKUP(C1900 &amp; F1900,
         [1]unilever_price_limits!A:A &amp; [1]unilever_price_limits!B:B,
         [1]unilever_price_limits!C:C)</f>
        <v>30</v>
      </c>
      <c r="H1900" s="8">
        <f t="shared" si="117"/>
        <v>8.6839999999999993</v>
      </c>
      <c r="I1900" s="6">
        <f t="shared" si="118"/>
        <v>30.000000000000004</v>
      </c>
      <c r="J1900" t="str">
        <f t="shared" si="119"/>
        <v>OK</v>
      </c>
    </row>
    <row r="1901" spans="1:10" x14ac:dyDescent="0.2">
      <c r="A1901">
        <v>11900</v>
      </c>
      <c r="B1901" t="s">
        <v>10</v>
      </c>
      <c r="C1901" t="s">
        <v>11</v>
      </c>
      <c r="D1901" s="8">
        <v>14.79</v>
      </c>
      <c r="E1901">
        <v>8</v>
      </c>
      <c r="F1901" t="str">
        <f t="shared" si="116"/>
        <v>Premium</v>
      </c>
      <c r="G1901" s="3" cm="1">
        <f t="array" ref="G1901">_xlfn.XLOOKUP(C1901 &amp; F1901,
         [1]unilever_price_limits!A:A &amp; [1]unilever_price_limits!B:B,
         [1]unilever_price_limits!C:C)</f>
        <v>50</v>
      </c>
      <c r="H1901" s="8">
        <f t="shared" si="117"/>
        <v>22.184999999999999</v>
      </c>
      <c r="I1901" s="6">
        <f t="shared" si="118"/>
        <v>50</v>
      </c>
      <c r="J1901" t="str">
        <f t="shared" si="119"/>
        <v>OK</v>
      </c>
    </row>
    <row r="1902" spans="1:10" x14ac:dyDescent="0.2">
      <c r="A1902">
        <v>11901</v>
      </c>
      <c r="B1902" t="s">
        <v>7</v>
      </c>
      <c r="C1902" t="s">
        <v>9</v>
      </c>
      <c r="D1902" s="8">
        <v>8.5299999999999994</v>
      </c>
      <c r="E1902">
        <v>7</v>
      </c>
      <c r="F1902" t="str">
        <f t="shared" si="116"/>
        <v>Standard</v>
      </c>
      <c r="G1902" s="3" cm="1">
        <f t="array" ref="G1902">_xlfn.XLOOKUP(C1902 &amp; F1902,
         [1]unilever_price_limits!A:A &amp; [1]unilever_price_limits!B:B,
         [1]unilever_price_limits!C:C)</f>
        <v>30</v>
      </c>
      <c r="H1902" s="8">
        <f t="shared" si="117"/>
        <v>11.089</v>
      </c>
      <c r="I1902" s="6">
        <f t="shared" si="118"/>
        <v>30.000000000000004</v>
      </c>
      <c r="J1902" t="str">
        <f t="shared" si="119"/>
        <v>OK</v>
      </c>
    </row>
    <row r="1903" spans="1:10" x14ac:dyDescent="0.2">
      <c r="A1903">
        <v>11902</v>
      </c>
      <c r="B1903" t="s">
        <v>8</v>
      </c>
      <c r="C1903" t="s">
        <v>6</v>
      </c>
      <c r="D1903" s="8">
        <v>14</v>
      </c>
      <c r="E1903">
        <v>8</v>
      </c>
      <c r="F1903" t="str">
        <f t="shared" si="116"/>
        <v>Premium</v>
      </c>
      <c r="G1903" s="3" cm="1">
        <f t="array" ref="G1903">_xlfn.XLOOKUP(C1903 &amp; F1903,
         [1]unilever_price_limits!A:A &amp; [1]unilever_price_limits!B:B,
         [1]unilever_price_limits!C:C)</f>
        <v>55</v>
      </c>
      <c r="H1903" s="8">
        <f t="shared" si="117"/>
        <v>21.7</v>
      </c>
      <c r="I1903" s="6">
        <f t="shared" si="118"/>
        <v>55.000000000000007</v>
      </c>
      <c r="J1903" t="str">
        <f t="shared" si="119"/>
        <v>OK</v>
      </c>
    </row>
    <row r="1904" spans="1:10" x14ac:dyDescent="0.2">
      <c r="A1904">
        <v>11903</v>
      </c>
      <c r="B1904" t="s">
        <v>8</v>
      </c>
      <c r="C1904" t="s">
        <v>6</v>
      </c>
      <c r="D1904" s="8">
        <v>0.57999999999999996</v>
      </c>
      <c r="E1904">
        <v>4</v>
      </c>
      <c r="F1904" t="str">
        <f t="shared" si="116"/>
        <v>Standard</v>
      </c>
      <c r="G1904" s="3" cm="1">
        <f t="array" ref="G1904">_xlfn.XLOOKUP(C1904 &amp; F1904,
         [1]unilever_price_limits!A:A &amp; [1]unilever_price_limits!B:B,
         [1]unilever_price_limits!C:C)</f>
        <v>28</v>
      </c>
      <c r="H1904" s="8">
        <f t="shared" si="117"/>
        <v>0.74239999999999995</v>
      </c>
      <c r="I1904" s="6">
        <f t="shared" si="118"/>
        <v>28.000000000000004</v>
      </c>
      <c r="J1904" t="str">
        <f t="shared" si="119"/>
        <v>OK</v>
      </c>
    </row>
    <row r="1905" spans="1:10" x14ac:dyDescent="0.2">
      <c r="A1905">
        <v>11904</v>
      </c>
      <c r="B1905" t="s">
        <v>8</v>
      </c>
      <c r="C1905" t="s">
        <v>6</v>
      </c>
      <c r="D1905" s="8">
        <v>11.35</v>
      </c>
      <c r="E1905">
        <v>3</v>
      </c>
      <c r="F1905" t="str">
        <f t="shared" si="116"/>
        <v>Value</v>
      </c>
      <c r="G1905" s="3" cm="1">
        <f t="array" ref="G1905">_xlfn.XLOOKUP(C1905 &amp; F1905,
         [1]unilever_price_limits!A:A &amp; [1]unilever_price_limits!B:B,
         [1]unilever_price_limits!C:C)</f>
        <v>12</v>
      </c>
      <c r="H1905" s="8">
        <f t="shared" si="117"/>
        <v>12.712000000000002</v>
      </c>
      <c r="I1905" s="6">
        <f t="shared" si="118"/>
        <v>12.000000000000011</v>
      </c>
      <c r="J1905" t="str">
        <f t="shared" si="119"/>
        <v>OK</v>
      </c>
    </row>
    <row r="1906" spans="1:10" x14ac:dyDescent="0.2">
      <c r="A1906">
        <v>11905</v>
      </c>
      <c r="B1906" t="s">
        <v>5</v>
      </c>
      <c r="C1906" t="s">
        <v>6</v>
      </c>
      <c r="D1906" s="8">
        <v>13.59</v>
      </c>
      <c r="E1906">
        <v>7</v>
      </c>
      <c r="F1906" t="str">
        <f t="shared" si="116"/>
        <v>Standard</v>
      </c>
      <c r="G1906" s="3" cm="1">
        <f t="array" ref="G1906">_xlfn.XLOOKUP(C1906 &amp; F1906,
         [1]unilever_price_limits!A:A &amp; [1]unilever_price_limits!B:B,
         [1]unilever_price_limits!C:C)</f>
        <v>28</v>
      </c>
      <c r="H1906" s="8">
        <f t="shared" si="117"/>
        <v>17.395199999999999</v>
      </c>
      <c r="I1906" s="6">
        <f t="shared" si="118"/>
        <v>28.000000000000004</v>
      </c>
      <c r="J1906" t="str">
        <f t="shared" si="119"/>
        <v>OK</v>
      </c>
    </row>
    <row r="1907" spans="1:10" x14ac:dyDescent="0.2">
      <c r="A1907">
        <v>11906</v>
      </c>
      <c r="B1907" t="s">
        <v>10</v>
      </c>
      <c r="C1907" t="s">
        <v>11</v>
      </c>
      <c r="D1907" s="8">
        <v>2.5299999999999998</v>
      </c>
      <c r="E1907">
        <v>2</v>
      </c>
      <c r="F1907" t="str">
        <f t="shared" si="116"/>
        <v>Value</v>
      </c>
      <c r="G1907" s="3" cm="1">
        <f t="array" ref="G1907">_xlfn.XLOOKUP(C1907 &amp; F1907,
         [1]unilever_price_limits!A:A &amp; [1]unilever_price_limits!B:B,
         [1]unilever_price_limits!C:C)</f>
        <v>10</v>
      </c>
      <c r="H1907" s="8">
        <f t="shared" si="117"/>
        <v>2.7829999999999999</v>
      </c>
      <c r="I1907" s="6">
        <f t="shared" si="118"/>
        <v>10.000000000000009</v>
      </c>
      <c r="J1907" t="str">
        <f t="shared" si="119"/>
        <v>OK</v>
      </c>
    </row>
    <row r="1908" spans="1:10" x14ac:dyDescent="0.2">
      <c r="A1908">
        <v>11907</v>
      </c>
      <c r="B1908" t="s">
        <v>8</v>
      </c>
      <c r="C1908" t="s">
        <v>9</v>
      </c>
      <c r="D1908" s="8">
        <v>1.89</v>
      </c>
      <c r="E1908">
        <v>5</v>
      </c>
      <c r="F1908" t="str">
        <f t="shared" si="116"/>
        <v>Standard</v>
      </c>
      <c r="G1908" s="3" cm="1">
        <f t="array" ref="G1908">_xlfn.XLOOKUP(C1908 &amp; F1908,
         [1]unilever_price_limits!A:A &amp; [1]unilever_price_limits!B:B,
         [1]unilever_price_limits!C:C)</f>
        <v>30</v>
      </c>
      <c r="H1908" s="8">
        <f t="shared" si="117"/>
        <v>2.4569999999999999</v>
      </c>
      <c r="I1908" s="6">
        <f t="shared" si="118"/>
        <v>30.000000000000004</v>
      </c>
      <c r="J1908" t="str">
        <f t="shared" si="119"/>
        <v>OK</v>
      </c>
    </row>
    <row r="1909" spans="1:10" x14ac:dyDescent="0.2">
      <c r="A1909">
        <v>11908</v>
      </c>
      <c r="B1909" t="s">
        <v>8</v>
      </c>
      <c r="C1909" t="s">
        <v>6</v>
      </c>
      <c r="D1909" s="8">
        <v>6.66</v>
      </c>
      <c r="E1909">
        <v>7</v>
      </c>
      <c r="F1909" t="str">
        <f t="shared" si="116"/>
        <v>Standard</v>
      </c>
      <c r="G1909" s="3" cm="1">
        <f t="array" ref="G1909">_xlfn.XLOOKUP(C1909 &amp; F1909,
         [1]unilever_price_limits!A:A &amp; [1]unilever_price_limits!B:B,
         [1]unilever_price_limits!C:C)</f>
        <v>28</v>
      </c>
      <c r="H1909" s="8">
        <f t="shared" si="117"/>
        <v>8.5248000000000008</v>
      </c>
      <c r="I1909" s="6">
        <f t="shared" si="118"/>
        <v>28.000000000000004</v>
      </c>
      <c r="J1909" t="str">
        <f t="shared" si="119"/>
        <v>OK</v>
      </c>
    </row>
    <row r="1910" spans="1:10" x14ac:dyDescent="0.2">
      <c r="A1910">
        <v>11909</v>
      </c>
      <c r="B1910" t="s">
        <v>10</v>
      </c>
      <c r="C1910" t="s">
        <v>11</v>
      </c>
      <c r="D1910" s="8">
        <v>14.04</v>
      </c>
      <c r="E1910">
        <v>1</v>
      </c>
      <c r="F1910" t="str">
        <f t="shared" si="116"/>
        <v>Value</v>
      </c>
      <c r="G1910" s="3" cm="1">
        <f t="array" ref="G1910">_xlfn.XLOOKUP(C1910 &amp; F1910,
         [1]unilever_price_limits!A:A &amp; [1]unilever_price_limits!B:B,
         [1]unilever_price_limits!C:C)</f>
        <v>10</v>
      </c>
      <c r="H1910" s="8">
        <f t="shared" si="117"/>
        <v>15.444000000000001</v>
      </c>
      <c r="I1910" s="6">
        <f t="shared" si="118"/>
        <v>10.000000000000009</v>
      </c>
      <c r="J1910" t="str">
        <f t="shared" si="119"/>
        <v>OK</v>
      </c>
    </row>
    <row r="1911" spans="1:10" x14ac:dyDescent="0.2">
      <c r="A1911">
        <v>11910</v>
      </c>
      <c r="B1911" t="s">
        <v>8</v>
      </c>
      <c r="C1911" t="s">
        <v>6</v>
      </c>
      <c r="D1911" s="8">
        <v>8.36</v>
      </c>
      <c r="E1911">
        <v>4</v>
      </c>
      <c r="F1911" t="str">
        <f t="shared" si="116"/>
        <v>Standard</v>
      </c>
      <c r="G1911" s="3" cm="1">
        <f t="array" ref="G1911">_xlfn.XLOOKUP(C1911 &amp; F1911,
         [1]unilever_price_limits!A:A &amp; [1]unilever_price_limits!B:B,
         [1]unilever_price_limits!C:C)</f>
        <v>28</v>
      </c>
      <c r="H1911" s="8">
        <f t="shared" si="117"/>
        <v>10.700799999999999</v>
      </c>
      <c r="I1911" s="6">
        <f t="shared" si="118"/>
        <v>28.000000000000004</v>
      </c>
      <c r="J1911" t="str">
        <f t="shared" si="119"/>
        <v>OK</v>
      </c>
    </row>
    <row r="1912" spans="1:10" x14ac:dyDescent="0.2">
      <c r="A1912">
        <v>11911</v>
      </c>
      <c r="B1912" t="s">
        <v>7</v>
      </c>
      <c r="C1912" t="s">
        <v>6</v>
      </c>
      <c r="D1912" s="8">
        <v>8.15</v>
      </c>
      <c r="E1912">
        <v>2</v>
      </c>
      <c r="F1912" t="str">
        <f t="shared" si="116"/>
        <v>Value</v>
      </c>
      <c r="G1912" s="3" cm="1">
        <f t="array" ref="G1912">_xlfn.XLOOKUP(C1912 &amp; F1912,
         [1]unilever_price_limits!A:A &amp; [1]unilever_price_limits!B:B,
         [1]unilever_price_limits!C:C)</f>
        <v>12</v>
      </c>
      <c r="H1912" s="8">
        <f t="shared" si="117"/>
        <v>9.1280000000000019</v>
      </c>
      <c r="I1912" s="6">
        <f t="shared" si="118"/>
        <v>12.000000000000011</v>
      </c>
      <c r="J1912" t="str">
        <f t="shared" si="119"/>
        <v>OK</v>
      </c>
    </row>
    <row r="1913" spans="1:10" x14ac:dyDescent="0.2">
      <c r="A1913">
        <v>11912</v>
      </c>
      <c r="B1913" t="s">
        <v>10</v>
      </c>
      <c r="C1913" t="s">
        <v>11</v>
      </c>
      <c r="D1913" s="8">
        <v>2.5499999999999998</v>
      </c>
      <c r="E1913">
        <v>6</v>
      </c>
      <c r="F1913" t="str">
        <f t="shared" si="116"/>
        <v>Standard</v>
      </c>
      <c r="G1913" s="3" cm="1">
        <f t="array" ref="G1913">_xlfn.XLOOKUP(C1913 &amp; F1913,
         [1]unilever_price_limits!A:A &amp; [1]unilever_price_limits!B:B,
         [1]unilever_price_limits!C:C)</f>
        <v>25</v>
      </c>
      <c r="H1913" s="8">
        <f t="shared" si="117"/>
        <v>3.1875</v>
      </c>
      <c r="I1913" s="6">
        <f t="shared" si="118"/>
        <v>25</v>
      </c>
      <c r="J1913" t="str">
        <f t="shared" si="119"/>
        <v>OK</v>
      </c>
    </row>
    <row r="1914" spans="1:10" x14ac:dyDescent="0.2">
      <c r="A1914">
        <v>11913</v>
      </c>
      <c r="B1914" t="s">
        <v>10</v>
      </c>
      <c r="C1914" t="s">
        <v>11</v>
      </c>
      <c r="D1914" s="8">
        <v>0.51</v>
      </c>
      <c r="E1914">
        <v>1</v>
      </c>
      <c r="F1914" t="str">
        <f t="shared" si="116"/>
        <v>Value</v>
      </c>
      <c r="G1914" s="3" cm="1">
        <f t="array" ref="G1914">_xlfn.XLOOKUP(C1914 &amp; F1914,
         [1]unilever_price_limits!A:A &amp; [1]unilever_price_limits!B:B,
         [1]unilever_price_limits!C:C)</f>
        <v>10</v>
      </c>
      <c r="H1914" s="8">
        <f t="shared" si="117"/>
        <v>0.56100000000000005</v>
      </c>
      <c r="I1914" s="6">
        <f t="shared" si="118"/>
        <v>10.000000000000009</v>
      </c>
      <c r="J1914" t="str">
        <f t="shared" si="119"/>
        <v>OK</v>
      </c>
    </row>
    <row r="1915" spans="1:10" x14ac:dyDescent="0.2">
      <c r="A1915">
        <v>11914</v>
      </c>
      <c r="B1915" t="s">
        <v>10</v>
      </c>
      <c r="C1915" t="s">
        <v>9</v>
      </c>
      <c r="D1915" s="8">
        <v>12.25</v>
      </c>
      <c r="E1915">
        <v>7</v>
      </c>
      <c r="F1915" t="str">
        <f t="shared" si="116"/>
        <v>Standard</v>
      </c>
      <c r="G1915" s="3" cm="1">
        <f t="array" ref="G1915">_xlfn.XLOOKUP(C1915 &amp; F1915,
         [1]unilever_price_limits!A:A &amp; [1]unilever_price_limits!B:B,
         [1]unilever_price_limits!C:C)</f>
        <v>30</v>
      </c>
      <c r="H1915" s="8">
        <f t="shared" si="117"/>
        <v>15.925000000000001</v>
      </c>
      <c r="I1915" s="6">
        <f t="shared" si="118"/>
        <v>30.000000000000004</v>
      </c>
      <c r="J1915" t="str">
        <f t="shared" si="119"/>
        <v>OK</v>
      </c>
    </row>
    <row r="1916" spans="1:10" x14ac:dyDescent="0.2">
      <c r="A1916">
        <v>11915</v>
      </c>
      <c r="B1916" t="s">
        <v>7</v>
      </c>
      <c r="C1916" t="s">
        <v>9</v>
      </c>
      <c r="D1916" s="8">
        <v>1.77</v>
      </c>
      <c r="E1916">
        <v>3</v>
      </c>
      <c r="F1916" t="str">
        <f t="shared" si="116"/>
        <v>Value</v>
      </c>
      <c r="G1916" s="3" cm="1">
        <f t="array" ref="G1916">_xlfn.XLOOKUP(C1916 &amp; F1916,
         [1]unilever_price_limits!A:A &amp; [1]unilever_price_limits!B:B,
         [1]unilever_price_limits!C:C)</f>
        <v>15</v>
      </c>
      <c r="H1916" s="8">
        <f t="shared" si="117"/>
        <v>2.0354999999999999</v>
      </c>
      <c r="I1916" s="6">
        <f t="shared" si="118"/>
        <v>14.999999999999991</v>
      </c>
      <c r="J1916" t="str">
        <f t="shared" si="119"/>
        <v>OK</v>
      </c>
    </row>
    <row r="1917" spans="1:10" x14ac:dyDescent="0.2">
      <c r="A1917">
        <v>11916</v>
      </c>
      <c r="B1917" t="s">
        <v>10</v>
      </c>
      <c r="C1917" t="s">
        <v>6</v>
      </c>
      <c r="D1917" s="8">
        <v>9.69</v>
      </c>
      <c r="E1917">
        <v>1</v>
      </c>
      <c r="F1917" t="str">
        <f t="shared" si="116"/>
        <v>Value</v>
      </c>
      <c r="G1917" s="3" cm="1">
        <f t="array" ref="G1917">_xlfn.XLOOKUP(C1917 &amp; F1917,
         [1]unilever_price_limits!A:A &amp; [1]unilever_price_limits!B:B,
         [1]unilever_price_limits!C:C)</f>
        <v>12</v>
      </c>
      <c r="H1917" s="8">
        <f t="shared" si="117"/>
        <v>10.8528</v>
      </c>
      <c r="I1917" s="6">
        <f t="shared" si="118"/>
        <v>12.000000000000011</v>
      </c>
      <c r="J1917" t="str">
        <f t="shared" si="119"/>
        <v>OK</v>
      </c>
    </row>
    <row r="1918" spans="1:10" x14ac:dyDescent="0.2">
      <c r="A1918">
        <v>11917</v>
      </c>
      <c r="B1918" t="s">
        <v>7</v>
      </c>
      <c r="C1918" t="s">
        <v>6</v>
      </c>
      <c r="D1918" s="8">
        <v>13.76</v>
      </c>
      <c r="E1918">
        <v>8</v>
      </c>
      <c r="F1918" t="str">
        <f t="shared" si="116"/>
        <v>Premium</v>
      </c>
      <c r="G1918" s="3" cm="1">
        <f t="array" ref="G1918">_xlfn.XLOOKUP(C1918 &amp; F1918,
         [1]unilever_price_limits!A:A &amp; [1]unilever_price_limits!B:B,
         [1]unilever_price_limits!C:C)</f>
        <v>55</v>
      </c>
      <c r="H1918" s="8">
        <f t="shared" si="117"/>
        <v>21.327999999999999</v>
      </c>
      <c r="I1918" s="6">
        <f t="shared" si="118"/>
        <v>55.000000000000007</v>
      </c>
      <c r="J1918" t="str">
        <f t="shared" si="119"/>
        <v>OK</v>
      </c>
    </row>
    <row r="1919" spans="1:10" x14ac:dyDescent="0.2">
      <c r="A1919">
        <v>11918</v>
      </c>
      <c r="B1919" t="s">
        <v>10</v>
      </c>
      <c r="C1919" t="s">
        <v>9</v>
      </c>
      <c r="D1919" s="8">
        <v>3.53</v>
      </c>
      <c r="E1919">
        <v>7</v>
      </c>
      <c r="F1919" t="str">
        <f t="shared" si="116"/>
        <v>Standard</v>
      </c>
      <c r="G1919" s="3" cm="1">
        <f t="array" ref="G1919">_xlfn.XLOOKUP(C1919 &amp; F1919,
         [1]unilever_price_limits!A:A &amp; [1]unilever_price_limits!B:B,
         [1]unilever_price_limits!C:C)</f>
        <v>30</v>
      </c>
      <c r="H1919" s="8">
        <f t="shared" si="117"/>
        <v>4.5889999999999995</v>
      </c>
      <c r="I1919" s="6">
        <f t="shared" si="118"/>
        <v>30.000000000000004</v>
      </c>
      <c r="J1919" t="str">
        <f t="shared" si="119"/>
        <v>OK</v>
      </c>
    </row>
    <row r="1920" spans="1:10" x14ac:dyDescent="0.2">
      <c r="A1920">
        <v>11919</v>
      </c>
      <c r="B1920" t="s">
        <v>5</v>
      </c>
      <c r="C1920" t="s">
        <v>9</v>
      </c>
      <c r="D1920" s="8">
        <v>10.15</v>
      </c>
      <c r="E1920">
        <v>2</v>
      </c>
      <c r="F1920" t="str">
        <f t="shared" si="116"/>
        <v>Value</v>
      </c>
      <c r="G1920" s="3" cm="1">
        <f t="array" ref="G1920">_xlfn.XLOOKUP(C1920 &amp; F1920,
         [1]unilever_price_limits!A:A &amp; [1]unilever_price_limits!B:B,
         [1]unilever_price_limits!C:C)</f>
        <v>15</v>
      </c>
      <c r="H1920" s="8">
        <f t="shared" si="117"/>
        <v>11.672499999999999</v>
      </c>
      <c r="I1920" s="6">
        <f t="shared" si="118"/>
        <v>14.999999999999991</v>
      </c>
      <c r="J1920" t="str">
        <f t="shared" si="119"/>
        <v>OK</v>
      </c>
    </row>
    <row r="1921" spans="1:10" x14ac:dyDescent="0.2">
      <c r="A1921">
        <v>11920</v>
      </c>
      <c r="B1921" t="s">
        <v>8</v>
      </c>
      <c r="C1921" t="s">
        <v>11</v>
      </c>
      <c r="D1921" s="8">
        <v>1.64</v>
      </c>
      <c r="E1921">
        <v>7</v>
      </c>
      <c r="F1921" t="str">
        <f t="shared" si="116"/>
        <v>Standard</v>
      </c>
      <c r="G1921" s="3" cm="1">
        <f t="array" ref="G1921">_xlfn.XLOOKUP(C1921 &amp; F1921,
         [1]unilever_price_limits!A:A &amp; [1]unilever_price_limits!B:B,
         [1]unilever_price_limits!C:C)</f>
        <v>25</v>
      </c>
      <c r="H1921" s="8">
        <f t="shared" si="117"/>
        <v>2.0499999999999998</v>
      </c>
      <c r="I1921" s="6">
        <f t="shared" si="118"/>
        <v>25</v>
      </c>
      <c r="J1921" t="str">
        <f t="shared" si="119"/>
        <v>OK</v>
      </c>
    </row>
    <row r="1922" spans="1:10" x14ac:dyDescent="0.2">
      <c r="A1922">
        <v>11921</v>
      </c>
      <c r="B1922" t="s">
        <v>5</v>
      </c>
      <c r="C1922" t="s">
        <v>9</v>
      </c>
      <c r="D1922" s="8">
        <v>9.25</v>
      </c>
      <c r="E1922">
        <v>3</v>
      </c>
      <c r="F1922" t="str">
        <f t="shared" si="116"/>
        <v>Value</v>
      </c>
      <c r="G1922" s="3" cm="1">
        <f t="array" ref="G1922">_xlfn.XLOOKUP(C1922 &amp; F1922,
         [1]unilever_price_limits!A:A &amp; [1]unilever_price_limits!B:B,
         [1]unilever_price_limits!C:C)</f>
        <v>15</v>
      </c>
      <c r="H1922" s="8">
        <f t="shared" si="117"/>
        <v>10.637499999999999</v>
      </c>
      <c r="I1922" s="6">
        <f t="shared" si="118"/>
        <v>14.999999999999991</v>
      </c>
      <c r="J1922" t="str">
        <f t="shared" si="119"/>
        <v>OK</v>
      </c>
    </row>
    <row r="1923" spans="1:10" x14ac:dyDescent="0.2">
      <c r="A1923">
        <v>11922</v>
      </c>
      <c r="B1923" t="s">
        <v>8</v>
      </c>
      <c r="C1923" t="s">
        <v>9</v>
      </c>
      <c r="D1923" s="8">
        <v>2.88</v>
      </c>
      <c r="E1923">
        <v>9</v>
      </c>
      <c r="F1923" t="str">
        <f t="shared" ref="F1923:F1986" si="120">IF(E1923&lt;=3,"Value",
 IF(E1923&lt;=7,"Standard","Premium"))</f>
        <v>Premium</v>
      </c>
      <c r="G1923" s="3" cm="1">
        <f t="array" ref="G1923">_xlfn.XLOOKUP(C1923 &amp; F1923,
         [1]unilever_price_limits!A:A &amp; [1]unilever_price_limits!B:B,
         [1]unilever_price_limits!C:C)</f>
        <v>60</v>
      </c>
      <c r="H1923" s="8">
        <f t="shared" ref="H1923:H1986" si="121">D1923 * (1 + G1923/100)</f>
        <v>4.6079999999999997</v>
      </c>
      <c r="I1923" s="6">
        <f t="shared" ref="I1923:I1986" si="122">(H1923 / D1923 - 1) * 100</f>
        <v>59.999999999999986</v>
      </c>
      <c r="J1923" t="str">
        <f t="shared" ref="J1923:J1986" si="123">IF(I1922&gt; G1922, "⚠ Exceeds Limit", "OK")</f>
        <v>OK</v>
      </c>
    </row>
    <row r="1924" spans="1:10" x14ac:dyDescent="0.2">
      <c r="A1924">
        <v>11923</v>
      </c>
      <c r="B1924" t="s">
        <v>7</v>
      </c>
      <c r="C1924" t="s">
        <v>6</v>
      </c>
      <c r="D1924" s="8">
        <v>11.17</v>
      </c>
      <c r="E1924">
        <v>8</v>
      </c>
      <c r="F1924" t="str">
        <f t="shared" si="120"/>
        <v>Premium</v>
      </c>
      <c r="G1924" s="3" cm="1">
        <f t="array" ref="G1924">_xlfn.XLOOKUP(C1924 &amp; F1924,
         [1]unilever_price_limits!A:A &amp; [1]unilever_price_limits!B:B,
         [1]unilever_price_limits!C:C)</f>
        <v>55</v>
      </c>
      <c r="H1924" s="8">
        <f t="shared" si="121"/>
        <v>17.313500000000001</v>
      </c>
      <c r="I1924" s="6">
        <f t="shared" si="122"/>
        <v>55.000000000000007</v>
      </c>
      <c r="J1924" t="str">
        <f t="shared" si="123"/>
        <v>OK</v>
      </c>
    </row>
    <row r="1925" spans="1:10" x14ac:dyDescent="0.2">
      <c r="A1925">
        <v>11924</v>
      </c>
      <c r="B1925" t="s">
        <v>5</v>
      </c>
      <c r="C1925" t="s">
        <v>9</v>
      </c>
      <c r="D1925" s="8">
        <v>4.87</v>
      </c>
      <c r="E1925">
        <v>5</v>
      </c>
      <c r="F1925" t="str">
        <f t="shared" si="120"/>
        <v>Standard</v>
      </c>
      <c r="G1925" s="3" cm="1">
        <f t="array" ref="G1925">_xlfn.XLOOKUP(C1925 &amp; F1925,
         [1]unilever_price_limits!A:A &amp; [1]unilever_price_limits!B:B,
         [1]unilever_price_limits!C:C)</f>
        <v>30</v>
      </c>
      <c r="H1925" s="8">
        <f t="shared" si="121"/>
        <v>6.3310000000000004</v>
      </c>
      <c r="I1925" s="6">
        <f t="shared" si="122"/>
        <v>30.000000000000004</v>
      </c>
      <c r="J1925" t="str">
        <f t="shared" si="123"/>
        <v>OK</v>
      </c>
    </row>
    <row r="1926" spans="1:10" x14ac:dyDescent="0.2">
      <c r="A1926">
        <v>11925</v>
      </c>
      <c r="B1926" t="s">
        <v>10</v>
      </c>
      <c r="C1926" t="s">
        <v>6</v>
      </c>
      <c r="D1926" s="8">
        <v>7.22</v>
      </c>
      <c r="E1926">
        <v>7</v>
      </c>
      <c r="F1926" t="str">
        <f t="shared" si="120"/>
        <v>Standard</v>
      </c>
      <c r="G1926" s="3" cm="1">
        <f t="array" ref="G1926">_xlfn.XLOOKUP(C1926 &amp; F1926,
         [1]unilever_price_limits!A:A &amp; [1]unilever_price_limits!B:B,
         [1]unilever_price_limits!C:C)</f>
        <v>28</v>
      </c>
      <c r="H1926" s="8">
        <f t="shared" si="121"/>
        <v>9.2416</v>
      </c>
      <c r="I1926" s="6">
        <f t="shared" si="122"/>
        <v>28.000000000000004</v>
      </c>
      <c r="J1926" t="str">
        <f t="shared" si="123"/>
        <v>OK</v>
      </c>
    </row>
    <row r="1927" spans="1:10" x14ac:dyDescent="0.2">
      <c r="A1927">
        <v>11926</v>
      </c>
      <c r="B1927" t="s">
        <v>8</v>
      </c>
      <c r="C1927" t="s">
        <v>9</v>
      </c>
      <c r="D1927" s="8">
        <v>9.19</v>
      </c>
      <c r="E1927">
        <v>3</v>
      </c>
      <c r="F1927" t="str">
        <f t="shared" si="120"/>
        <v>Value</v>
      </c>
      <c r="G1927" s="3" cm="1">
        <f t="array" ref="G1927">_xlfn.XLOOKUP(C1927 &amp; F1927,
         [1]unilever_price_limits!A:A &amp; [1]unilever_price_limits!B:B,
         [1]unilever_price_limits!C:C)</f>
        <v>15</v>
      </c>
      <c r="H1927" s="8">
        <f t="shared" si="121"/>
        <v>10.568499999999998</v>
      </c>
      <c r="I1927" s="6">
        <f t="shared" si="122"/>
        <v>14.999999999999991</v>
      </c>
      <c r="J1927" t="str">
        <f t="shared" si="123"/>
        <v>OK</v>
      </c>
    </row>
    <row r="1928" spans="1:10" x14ac:dyDescent="0.2">
      <c r="A1928">
        <v>11927</v>
      </c>
      <c r="B1928" t="s">
        <v>8</v>
      </c>
      <c r="C1928" t="s">
        <v>11</v>
      </c>
      <c r="D1928" s="8">
        <v>2.98</v>
      </c>
      <c r="E1928">
        <v>1</v>
      </c>
      <c r="F1928" t="str">
        <f t="shared" si="120"/>
        <v>Value</v>
      </c>
      <c r="G1928" s="3" cm="1">
        <f t="array" ref="G1928">_xlfn.XLOOKUP(C1928 &amp; F1928,
         [1]unilever_price_limits!A:A &amp; [1]unilever_price_limits!B:B,
         [1]unilever_price_limits!C:C)</f>
        <v>10</v>
      </c>
      <c r="H1928" s="8">
        <f t="shared" si="121"/>
        <v>3.278</v>
      </c>
      <c r="I1928" s="6">
        <f t="shared" si="122"/>
        <v>10.000000000000009</v>
      </c>
      <c r="J1928" t="str">
        <f t="shared" si="123"/>
        <v>OK</v>
      </c>
    </row>
    <row r="1929" spans="1:10" x14ac:dyDescent="0.2">
      <c r="A1929">
        <v>11928</v>
      </c>
      <c r="B1929" t="s">
        <v>5</v>
      </c>
      <c r="C1929" t="s">
        <v>9</v>
      </c>
      <c r="D1929" s="8">
        <v>11.25</v>
      </c>
      <c r="E1929">
        <v>1</v>
      </c>
      <c r="F1929" t="str">
        <f t="shared" si="120"/>
        <v>Value</v>
      </c>
      <c r="G1929" s="3" cm="1">
        <f t="array" ref="G1929">_xlfn.XLOOKUP(C1929 &amp; F1929,
         [1]unilever_price_limits!A:A &amp; [1]unilever_price_limits!B:B,
         [1]unilever_price_limits!C:C)</f>
        <v>15</v>
      </c>
      <c r="H1929" s="8">
        <f t="shared" si="121"/>
        <v>12.937499999999998</v>
      </c>
      <c r="I1929" s="6">
        <f t="shared" si="122"/>
        <v>14.999999999999991</v>
      </c>
      <c r="J1929" t="str">
        <f t="shared" si="123"/>
        <v>OK</v>
      </c>
    </row>
    <row r="1930" spans="1:10" x14ac:dyDescent="0.2">
      <c r="A1930">
        <v>11929</v>
      </c>
      <c r="B1930" t="s">
        <v>7</v>
      </c>
      <c r="C1930" t="s">
        <v>9</v>
      </c>
      <c r="D1930" s="8">
        <v>4.8899999999999997</v>
      </c>
      <c r="E1930">
        <v>2</v>
      </c>
      <c r="F1930" t="str">
        <f t="shared" si="120"/>
        <v>Value</v>
      </c>
      <c r="G1930" s="3" cm="1">
        <f t="array" ref="G1930">_xlfn.XLOOKUP(C1930 &amp; F1930,
         [1]unilever_price_limits!A:A &amp; [1]unilever_price_limits!B:B,
         [1]unilever_price_limits!C:C)</f>
        <v>15</v>
      </c>
      <c r="H1930" s="8">
        <f t="shared" si="121"/>
        <v>5.6234999999999991</v>
      </c>
      <c r="I1930" s="6">
        <f t="shared" si="122"/>
        <v>14.999999999999991</v>
      </c>
      <c r="J1930" t="str">
        <f t="shared" si="123"/>
        <v>OK</v>
      </c>
    </row>
    <row r="1931" spans="1:10" x14ac:dyDescent="0.2">
      <c r="A1931">
        <v>11930</v>
      </c>
      <c r="B1931" t="s">
        <v>5</v>
      </c>
      <c r="C1931" t="s">
        <v>9</v>
      </c>
      <c r="D1931" s="8">
        <v>10.1</v>
      </c>
      <c r="E1931">
        <v>8</v>
      </c>
      <c r="F1931" t="str">
        <f t="shared" si="120"/>
        <v>Premium</v>
      </c>
      <c r="G1931" s="3" cm="1">
        <f t="array" ref="G1931">_xlfn.XLOOKUP(C1931 &amp; F1931,
         [1]unilever_price_limits!A:A &amp; [1]unilever_price_limits!B:B,
         [1]unilever_price_limits!C:C)</f>
        <v>60</v>
      </c>
      <c r="H1931" s="8">
        <f t="shared" si="121"/>
        <v>16.16</v>
      </c>
      <c r="I1931" s="6">
        <f t="shared" si="122"/>
        <v>60.000000000000007</v>
      </c>
      <c r="J1931" t="str">
        <f t="shared" si="123"/>
        <v>OK</v>
      </c>
    </row>
    <row r="1932" spans="1:10" x14ac:dyDescent="0.2">
      <c r="A1932">
        <v>11931</v>
      </c>
      <c r="B1932" t="s">
        <v>7</v>
      </c>
      <c r="C1932" t="s">
        <v>6</v>
      </c>
      <c r="D1932" s="8">
        <v>2.8</v>
      </c>
      <c r="E1932">
        <v>1</v>
      </c>
      <c r="F1932" t="str">
        <f t="shared" si="120"/>
        <v>Value</v>
      </c>
      <c r="G1932" s="3" cm="1">
        <f t="array" ref="G1932">_xlfn.XLOOKUP(C1932 &amp; F1932,
         [1]unilever_price_limits!A:A &amp; [1]unilever_price_limits!B:B,
         [1]unilever_price_limits!C:C)</f>
        <v>12</v>
      </c>
      <c r="H1932" s="8">
        <f t="shared" si="121"/>
        <v>3.1360000000000001</v>
      </c>
      <c r="I1932" s="6">
        <f t="shared" si="122"/>
        <v>12.000000000000011</v>
      </c>
      <c r="J1932" t="str">
        <f t="shared" si="123"/>
        <v>OK</v>
      </c>
    </row>
    <row r="1933" spans="1:10" x14ac:dyDescent="0.2">
      <c r="A1933">
        <v>11932</v>
      </c>
      <c r="B1933" t="s">
        <v>7</v>
      </c>
      <c r="C1933" t="s">
        <v>11</v>
      </c>
      <c r="D1933" s="8">
        <v>10.48</v>
      </c>
      <c r="E1933">
        <v>5</v>
      </c>
      <c r="F1933" t="str">
        <f t="shared" si="120"/>
        <v>Standard</v>
      </c>
      <c r="G1933" s="3" cm="1">
        <f t="array" ref="G1933">_xlfn.XLOOKUP(C1933 &amp; F1933,
         [1]unilever_price_limits!A:A &amp; [1]unilever_price_limits!B:B,
         [1]unilever_price_limits!C:C)</f>
        <v>25</v>
      </c>
      <c r="H1933" s="8">
        <f t="shared" si="121"/>
        <v>13.100000000000001</v>
      </c>
      <c r="I1933" s="6">
        <f t="shared" si="122"/>
        <v>25</v>
      </c>
      <c r="J1933" t="str">
        <f t="shared" si="123"/>
        <v>OK</v>
      </c>
    </row>
    <row r="1934" spans="1:10" x14ac:dyDescent="0.2">
      <c r="A1934">
        <v>11933</v>
      </c>
      <c r="B1934" t="s">
        <v>8</v>
      </c>
      <c r="C1934" t="s">
        <v>9</v>
      </c>
      <c r="D1934" s="8">
        <v>2.36</v>
      </c>
      <c r="E1934">
        <v>9</v>
      </c>
      <c r="F1934" t="str">
        <f t="shared" si="120"/>
        <v>Premium</v>
      </c>
      <c r="G1934" s="3" cm="1">
        <f t="array" ref="G1934">_xlfn.XLOOKUP(C1934 &amp; F1934,
         [1]unilever_price_limits!A:A &amp; [1]unilever_price_limits!B:B,
         [1]unilever_price_limits!C:C)</f>
        <v>60</v>
      </c>
      <c r="H1934" s="8">
        <f t="shared" si="121"/>
        <v>3.7759999999999998</v>
      </c>
      <c r="I1934" s="6">
        <f t="shared" si="122"/>
        <v>60.000000000000007</v>
      </c>
      <c r="J1934" t="str">
        <f t="shared" si="123"/>
        <v>OK</v>
      </c>
    </row>
    <row r="1935" spans="1:10" x14ac:dyDescent="0.2">
      <c r="A1935">
        <v>11934</v>
      </c>
      <c r="B1935" t="s">
        <v>5</v>
      </c>
      <c r="C1935" t="s">
        <v>6</v>
      </c>
      <c r="D1935" s="8">
        <v>6.67</v>
      </c>
      <c r="E1935">
        <v>9</v>
      </c>
      <c r="F1935" t="str">
        <f t="shared" si="120"/>
        <v>Premium</v>
      </c>
      <c r="G1935" s="3" cm="1">
        <f t="array" ref="G1935">_xlfn.XLOOKUP(C1935 &amp; F1935,
         [1]unilever_price_limits!A:A &amp; [1]unilever_price_limits!B:B,
         [1]unilever_price_limits!C:C)</f>
        <v>55</v>
      </c>
      <c r="H1935" s="8">
        <f t="shared" si="121"/>
        <v>10.3385</v>
      </c>
      <c r="I1935" s="6">
        <f t="shared" si="122"/>
        <v>55.000000000000007</v>
      </c>
      <c r="J1935" t="str">
        <f t="shared" si="123"/>
        <v>OK</v>
      </c>
    </row>
    <row r="1936" spans="1:10" x14ac:dyDescent="0.2">
      <c r="A1936">
        <v>11935</v>
      </c>
      <c r="B1936" t="s">
        <v>5</v>
      </c>
      <c r="C1936" t="s">
        <v>11</v>
      </c>
      <c r="D1936" s="8">
        <v>4.08</v>
      </c>
      <c r="E1936">
        <v>2</v>
      </c>
      <c r="F1936" t="str">
        <f t="shared" si="120"/>
        <v>Value</v>
      </c>
      <c r="G1936" s="3" cm="1">
        <f t="array" ref="G1936">_xlfn.XLOOKUP(C1936 &amp; F1936,
         [1]unilever_price_limits!A:A &amp; [1]unilever_price_limits!B:B,
         [1]unilever_price_limits!C:C)</f>
        <v>10</v>
      </c>
      <c r="H1936" s="8">
        <f t="shared" si="121"/>
        <v>4.4880000000000004</v>
      </c>
      <c r="I1936" s="6">
        <f t="shared" si="122"/>
        <v>10.000000000000009</v>
      </c>
      <c r="J1936" t="str">
        <f t="shared" si="123"/>
        <v>OK</v>
      </c>
    </row>
    <row r="1937" spans="1:10" x14ac:dyDescent="0.2">
      <c r="A1937">
        <v>11936</v>
      </c>
      <c r="B1937" t="s">
        <v>7</v>
      </c>
      <c r="C1937" t="s">
        <v>6</v>
      </c>
      <c r="D1937" s="8">
        <v>11.35</v>
      </c>
      <c r="E1937">
        <v>7</v>
      </c>
      <c r="F1937" t="str">
        <f t="shared" si="120"/>
        <v>Standard</v>
      </c>
      <c r="G1937" s="3" cm="1">
        <f t="array" ref="G1937">_xlfn.XLOOKUP(C1937 &amp; F1937,
         [1]unilever_price_limits!A:A &amp; [1]unilever_price_limits!B:B,
         [1]unilever_price_limits!C:C)</f>
        <v>28</v>
      </c>
      <c r="H1937" s="8">
        <f t="shared" si="121"/>
        <v>14.528</v>
      </c>
      <c r="I1937" s="6">
        <f t="shared" si="122"/>
        <v>28.000000000000004</v>
      </c>
      <c r="J1937" t="str">
        <f t="shared" si="123"/>
        <v>OK</v>
      </c>
    </row>
    <row r="1938" spans="1:10" x14ac:dyDescent="0.2">
      <c r="A1938">
        <v>11937</v>
      </c>
      <c r="B1938" t="s">
        <v>5</v>
      </c>
      <c r="C1938" t="s">
        <v>6</v>
      </c>
      <c r="D1938" s="8">
        <v>4.3</v>
      </c>
      <c r="E1938">
        <v>1</v>
      </c>
      <c r="F1938" t="str">
        <f t="shared" si="120"/>
        <v>Value</v>
      </c>
      <c r="G1938" s="3" cm="1">
        <f t="array" ref="G1938">_xlfn.XLOOKUP(C1938 &amp; F1938,
         [1]unilever_price_limits!A:A &amp; [1]unilever_price_limits!B:B,
         [1]unilever_price_limits!C:C)</f>
        <v>12</v>
      </c>
      <c r="H1938" s="8">
        <f t="shared" si="121"/>
        <v>4.8159999999999998</v>
      </c>
      <c r="I1938" s="6">
        <f t="shared" si="122"/>
        <v>12.000000000000011</v>
      </c>
      <c r="J1938" t="str">
        <f t="shared" si="123"/>
        <v>OK</v>
      </c>
    </row>
    <row r="1939" spans="1:10" x14ac:dyDescent="0.2">
      <c r="A1939">
        <v>11938</v>
      </c>
      <c r="B1939" t="s">
        <v>10</v>
      </c>
      <c r="C1939" t="s">
        <v>11</v>
      </c>
      <c r="D1939" s="8">
        <v>13.28</v>
      </c>
      <c r="E1939">
        <v>3</v>
      </c>
      <c r="F1939" t="str">
        <f t="shared" si="120"/>
        <v>Value</v>
      </c>
      <c r="G1939" s="3" cm="1">
        <f t="array" ref="G1939">_xlfn.XLOOKUP(C1939 &amp; F1939,
         [1]unilever_price_limits!A:A &amp; [1]unilever_price_limits!B:B,
         [1]unilever_price_limits!C:C)</f>
        <v>10</v>
      </c>
      <c r="H1939" s="8">
        <f t="shared" si="121"/>
        <v>14.608000000000001</v>
      </c>
      <c r="I1939" s="6">
        <f t="shared" si="122"/>
        <v>10.000000000000009</v>
      </c>
      <c r="J1939" t="str">
        <f t="shared" si="123"/>
        <v>OK</v>
      </c>
    </row>
    <row r="1940" spans="1:10" x14ac:dyDescent="0.2">
      <c r="A1940">
        <v>11939</v>
      </c>
      <c r="B1940" t="s">
        <v>10</v>
      </c>
      <c r="C1940" t="s">
        <v>9</v>
      </c>
      <c r="D1940" s="8">
        <v>13.43</v>
      </c>
      <c r="E1940">
        <v>6</v>
      </c>
      <c r="F1940" t="str">
        <f t="shared" si="120"/>
        <v>Standard</v>
      </c>
      <c r="G1940" s="3" cm="1">
        <f t="array" ref="G1940">_xlfn.XLOOKUP(C1940 &amp; F1940,
         [1]unilever_price_limits!A:A &amp; [1]unilever_price_limits!B:B,
         [1]unilever_price_limits!C:C)</f>
        <v>30</v>
      </c>
      <c r="H1940" s="8">
        <f t="shared" si="121"/>
        <v>17.459</v>
      </c>
      <c r="I1940" s="6">
        <f t="shared" si="122"/>
        <v>30.000000000000004</v>
      </c>
      <c r="J1940" t="str">
        <f t="shared" si="123"/>
        <v>OK</v>
      </c>
    </row>
    <row r="1941" spans="1:10" x14ac:dyDescent="0.2">
      <c r="A1941">
        <v>11940</v>
      </c>
      <c r="B1941" t="s">
        <v>5</v>
      </c>
      <c r="C1941" t="s">
        <v>6</v>
      </c>
      <c r="D1941" s="8">
        <v>3.35</v>
      </c>
      <c r="E1941">
        <v>9</v>
      </c>
      <c r="F1941" t="str">
        <f t="shared" si="120"/>
        <v>Premium</v>
      </c>
      <c r="G1941" s="3" cm="1">
        <f t="array" ref="G1941">_xlfn.XLOOKUP(C1941 &amp; F1941,
         [1]unilever_price_limits!A:A &amp; [1]unilever_price_limits!B:B,
         [1]unilever_price_limits!C:C)</f>
        <v>55</v>
      </c>
      <c r="H1941" s="8">
        <f t="shared" si="121"/>
        <v>5.1924999999999999</v>
      </c>
      <c r="I1941" s="6">
        <f t="shared" si="122"/>
        <v>54.999999999999986</v>
      </c>
      <c r="J1941" t="str">
        <f t="shared" si="123"/>
        <v>OK</v>
      </c>
    </row>
    <row r="1942" spans="1:10" x14ac:dyDescent="0.2">
      <c r="A1942">
        <v>11941</v>
      </c>
      <c r="B1942" t="s">
        <v>5</v>
      </c>
      <c r="C1942" t="s">
        <v>6</v>
      </c>
      <c r="D1942" s="8">
        <v>9.4</v>
      </c>
      <c r="E1942">
        <v>10</v>
      </c>
      <c r="F1942" t="str">
        <f t="shared" si="120"/>
        <v>Premium</v>
      </c>
      <c r="G1942" s="3" cm="1">
        <f t="array" ref="G1942">_xlfn.XLOOKUP(C1942 &amp; F1942,
         [1]unilever_price_limits!A:A &amp; [1]unilever_price_limits!B:B,
         [1]unilever_price_limits!C:C)</f>
        <v>55</v>
      </c>
      <c r="H1942" s="8">
        <f t="shared" si="121"/>
        <v>14.57</v>
      </c>
      <c r="I1942" s="6">
        <f t="shared" si="122"/>
        <v>55.000000000000007</v>
      </c>
      <c r="J1942" t="str">
        <f t="shared" si="123"/>
        <v>OK</v>
      </c>
    </row>
    <row r="1943" spans="1:10" x14ac:dyDescent="0.2">
      <c r="A1943">
        <v>11942</v>
      </c>
      <c r="B1943" t="s">
        <v>7</v>
      </c>
      <c r="C1943" t="s">
        <v>9</v>
      </c>
      <c r="D1943" s="8">
        <v>1.77</v>
      </c>
      <c r="E1943">
        <v>2</v>
      </c>
      <c r="F1943" t="str">
        <f t="shared" si="120"/>
        <v>Value</v>
      </c>
      <c r="G1943" s="3" cm="1">
        <f t="array" ref="G1943">_xlfn.XLOOKUP(C1943 &amp; F1943,
         [1]unilever_price_limits!A:A &amp; [1]unilever_price_limits!B:B,
         [1]unilever_price_limits!C:C)</f>
        <v>15</v>
      </c>
      <c r="H1943" s="8">
        <f t="shared" si="121"/>
        <v>2.0354999999999999</v>
      </c>
      <c r="I1943" s="6">
        <f t="shared" si="122"/>
        <v>14.999999999999991</v>
      </c>
      <c r="J1943" t="str">
        <f t="shared" si="123"/>
        <v>OK</v>
      </c>
    </row>
    <row r="1944" spans="1:10" x14ac:dyDescent="0.2">
      <c r="A1944">
        <v>11943</v>
      </c>
      <c r="B1944" t="s">
        <v>10</v>
      </c>
      <c r="C1944" t="s">
        <v>9</v>
      </c>
      <c r="D1944" s="8">
        <v>6.18</v>
      </c>
      <c r="E1944">
        <v>7</v>
      </c>
      <c r="F1944" t="str">
        <f t="shared" si="120"/>
        <v>Standard</v>
      </c>
      <c r="G1944" s="3" cm="1">
        <f t="array" ref="G1944">_xlfn.XLOOKUP(C1944 &amp; F1944,
         [1]unilever_price_limits!A:A &amp; [1]unilever_price_limits!B:B,
         [1]unilever_price_limits!C:C)</f>
        <v>30</v>
      </c>
      <c r="H1944" s="8">
        <f t="shared" si="121"/>
        <v>8.0340000000000007</v>
      </c>
      <c r="I1944" s="6">
        <f t="shared" si="122"/>
        <v>30.000000000000028</v>
      </c>
      <c r="J1944" t="str">
        <f t="shared" si="123"/>
        <v>OK</v>
      </c>
    </row>
    <row r="1945" spans="1:10" x14ac:dyDescent="0.2">
      <c r="A1945">
        <v>11944</v>
      </c>
      <c r="B1945" t="s">
        <v>10</v>
      </c>
      <c r="C1945" t="s">
        <v>11</v>
      </c>
      <c r="D1945" s="8">
        <v>10.84</v>
      </c>
      <c r="E1945">
        <v>4</v>
      </c>
      <c r="F1945" t="str">
        <f t="shared" si="120"/>
        <v>Standard</v>
      </c>
      <c r="G1945" s="3" cm="1">
        <f t="array" ref="G1945">_xlfn.XLOOKUP(C1945 &amp; F1945,
         [1]unilever_price_limits!A:A &amp; [1]unilever_price_limits!B:B,
         [1]unilever_price_limits!C:C)</f>
        <v>25</v>
      </c>
      <c r="H1945" s="8">
        <f t="shared" si="121"/>
        <v>13.55</v>
      </c>
      <c r="I1945" s="6">
        <f t="shared" si="122"/>
        <v>25</v>
      </c>
      <c r="J1945" t="str">
        <f t="shared" si="123"/>
        <v>OK</v>
      </c>
    </row>
    <row r="1946" spans="1:10" x14ac:dyDescent="0.2">
      <c r="A1946">
        <v>11945</v>
      </c>
      <c r="B1946" t="s">
        <v>8</v>
      </c>
      <c r="C1946" t="s">
        <v>11</v>
      </c>
      <c r="D1946" s="8">
        <v>10.06</v>
      </c>
      <c r="E1946">
        <v>2</v>
      </c>
      <c r="F1946" t="str">
        <f t="shared" si="120"/>
        <v>Value</v>
      </c>
      <c r="G1946" s="3" cm="1">
        <f t="array" ref="G1946">_xlfn.XLOOKUP(C1946 &amp; F1946,
         [1]unilever_price_limits!A:A &amp; [1]unilever_price_limits!B:B,
         [1]unilever_price_limits!C:C)</f>
        <v>10</v>
      </c>
      <c r="H1946" s="8">
        <f t="shared" si="121"/>
        <v>11.066000000000001</v>
      </c>
      <c r="I1946" s="6">
        <f t="shared" si="122"/>
        <v>10.000000000000009</v>
      </c>
      <c r="J1946" t="str">
        <f t="shared" si="123"/>
        <v>OK</v>
      </c>
    </row>
    <row r="1947" spans="1:10" x14ac:dyDescent="0.2">
      <c r="A1947">
        <v>11946</v>
      </c>
      <c r="B1947" t="s">
        <v>7</v>
      </c>
      <c r="C1947" t="s">
        <v>11</v>
      </c>
      <c r="D1947" s="8">
        <v>9.56</v>
      </c>
      <c r="E1947">
        <v>3</v>
      </c>
      <c r="F1947" t="str">
        <f t="shared" si="120"/>
        <v>Value</v>
      </c>
      <c r="G1947" s="3" cm="1">
        <f t="array" ref="G1947">_xlfn.XLOOKUP(C1947 &amp; F1947,
         [1]unilever_price_limits!A:A &amp; [1]unilever_price_limits!B:B,
         [1]unilever_price_limits!C:C)</f>
        <v>10</v>
      </c>
      <c r="H1947" s="8">
        <f t="shared" si="121"/>
        <v>10.516000000000002</v>
      </c>
      <c r="I1947" s="6">
        <f t="shared" si="122"/>
        <v>10.000000000000009</v>
      </c>
      <c r="J1947" t="str">
        <f t="shared" si="123"/>
        <v>OK</v>
      </c>
    </row>
    <row r="1948" spans="1:10" x14ac:dyDescent="0.2">
      <c r="A1948">
        <v>11947</v>
      </c>
      <c r="B1948" t="s">
        <v>8</v>
      </c>
      <c r="C1948" t="s">
        <v>9</v>
      </c>
      <c r="D1948" s="8">
        <v>4.5999999999999996</v>
      </c>
      <c r="E1948">
        <v>6</v>
      </c>
      <c r="F1948" t="str">
        <f t="shared" si="120"/>
        <v>Standard</v>
      </c>
      <c r="G1948" s="3" cm="1">
        <f t="array" ref="G1948">_xlfn.XLOOKUP(C1948 &amp; F1948,
         [1]unilever_price_limits!A:A &amp; [1]unilever_price_limits!B:B,
         [1]unilever_price_limits!C:C)</f>
        <v>30</v>
      </c>
      <c r="H1948" s="8">
        <f t="shared" si="121"/>
        <v>5.9799999999999995</v>
      </c>
      <c r="I1948" s="6">
        <f t="shared" si="122"/>
        <v>30.000000000000004</v>
      </c>
      <c r="J1948" t="str">
        <f t="shared" si="123"/>
        <v>OK</v>
      </c>
    </row>
    <row r="1949" spans="1:10" x14ac:dyDescent="0.2">
      <c r="A1949">
        <v>11948</v>
      </c>
      <c r="B1949" t="s">
        <v>10</v>
      </c>
      <c r="C1949" t="s">
        <v>6</v>
      </c>
      <c r="D1949" s="8">
        <v>5.98</v>
      </c>
      <c r="E1949">
        <v>10</v>
      </c>
      <c r="F1949" t="str">
        <f t="shared" si="120"/>
        <v>Premium</v>
      </c>
      <c r="G1949" s="3" cm="1">
        <f t="array" ref="G1949">_xlfn.XLOOKUP(C1949 &amp; F1949,
         [1]unilever_price_limits!A:A &amp; [1]unilever_price_limits!B:B,
         [1]unilever_price_limits!C:C)</f>
        <v>55</v>
      </c>
      <c r="H1949" s="8">
        <f t="shared" si="121"/>
        <v>9.2690000000000001</v>
      </c>
      <c r="I1949" s="6">
        <f t="shared" si="122"/>
        <v>54.999999999999986</v>
      </c>
      <c r="J1949" t="str">
        <f t="shared" si="123"/>
        <v>OK</v>
      </c>
    </row>
    <row r="1950" spans="1:10" x14ac:dyDescent="0.2">
      <c r="A1950">
        <v>11949</v>
      </c>
      <c r="B1950" t="s">
        <v>7</v>
      </c>
      <c r="C1950" t="s">
        <v>6</v>
      </c>
      <c r="D1950" s="8">
        <v>1.99</v>
      </c>
      <c r="E1950">
        <v>9</v>
      </c>
      <c r="F1950" t="str">
        <f t="shared" si="120"/>
        <v>Premium</v>
      </c>
      <c r="G1950" s="3" cm="1">
        <f t="array" ref="G1950">_xlfn.XLOOKUP(C1950 &amp; F1950,
         [1]unilever_price_limits!A:A &amp; [1]unilever_price_limits!B:B,
         [1]unilever_price_limits!C:C)</f>
        <v>55</v>
      </c>
      <c r="H1950" s="8">
        <f t="shared" si="121"/>
        <v>3.0845000000000002</v>
      </c>
      <c r="I1950" s="6">
        <f t="shared" si="122"/>
        <v>55.000000000000007</v>
      </c>
      <c r="J1950" t="str">
        <f t="shared" si="123"/>
        <v>OK</v>
      </c>
    </row>
    <row r="1951" spans="1:10" x14ac:dyDescent="0.2">
      <c r="A1951">
        <v>11950</v>
      </c>
      <c r="B1951" t="s">
        <v>5</v>
      </c>
      <c r="C1951" t="s">
        <v>11</v>
      </c>
      <c r="D1951" s="8">
        <v>10.93</v>
      </c>
      <c r="E1951">
        <v>8</v>
      </c>
      <c r="F1951" t="str">
        <f t="shared" si="120"/>
        <v>Premium</v>
      </c>
      <c r="G1951" s="3" cm="1">
        <f t="array" ref="G1951">_xlfn.XLOOKUP(C1951 &amp; F1951,
         [1]unilever_price_limits!A:A &amp; [1]unilever_price_limits!B:B,
         [1]unilever_price_limits!C:C)</f>
        <v>50</v>
      </c>
      <c r="H1951" s="8">
        <f t="shared" si="121"/>
        <v>16.395</v>
      </c>
      <c r="I1951" s="6">
        <f t="shared" si="122"/>
        <v>50</v>
      </c>
      <c r="J1951" t="str">
        <f t="shared" si="123"/>
        <v>OK</v>
      </c>
    </row>
    <row r="1952" spans="1:10" x14ac:dyDescent="0.2">
      <c r="A1952">
        <v>11951</v>
      </c>
      <c r="B1952" t="s">
        <v>7</v>
      </c>
      <c r="C1952" t="s">
        <v>9</v>
      </c>
      <c r="D1952" s="8">
        <v>7.81</v>
      </c>
      <c r="E1952">
        <v>10</v>
      </c>
      <c r="F1952" t="str">
        <f t="shared" si="120"/>
        <v>Premium</v>
      </c>
      <c r="G1952" s="3" cm="1">
        <f t="array" ref="G1952">_xlfn.XLOOKUP(C1952 &amp; F1952,
         [1]unilever_price_limits!A:A &amp; [1]unilever_price_limits!B:B,
         [1]unilever_price_limits!C:C)</f>
        <v>60</v>
      </c>
      <c r="H1952" s="8">
        <f t="shared" si="121"/>
        <v>12.496</v>
      </c>
      <c r="I1952" s="6">
        <f t="shared" si="122"/>
        <v>60.000000000000007</v>
      </c>
      <c r="J1952" t="str">
        <f t="shared" si="123"/>
        <v>OK</v>
      </c>
    </row>
    <row r="1953" spans="1:10" x14ac:dyDescent="0.2">
      <c r="A1953">
        <v>11952</v>
      </c>
      <c r="B1953" t="s">
        <v>5</v>
      </c>
      <c r="C1953" t="s">
        <v>6</v>
      </c>
      <c r="D1953" s="8">
        <v>10.78</v>
      </c>
      <c r="E1953">
        <v>9</v>
      </c>
      <c r="F1953" t="str">
        <f t="shared" si="120"/>
        <v>Premium</v>
      </c>
      <c r="G1953" s="3" cm="1">
        <f t="array" ref="G1953">_xlfn.XLOOKUP(C1953 &amp; F1953,
         [1]unilever_price_limits!A:A &amp; [1]unilever_price_limits!B:B,
         [1]unilever_price_limits!C:C)</f>
        <v>55</v>
      </c>
      <c r="H1953" s="8">
        <f t="shared" si="121"/>
        <v>16.709</v>
      </c>
      <c r="I1953" s="6">
        <f t="shared" si="122"/>
        <v>55.000000000000007</v>
      </c>
      <c r="J1953" t="str">
        <f t="shared" si="123"/>
        <v>OK</v>
      </c>
    </row>
    <row r="1954" spans="1:10" x14ac:dyDescent="0.2">
      <c r="A1954">
        <v>11953</v>
      </c>
      <c r="B1954" t="s">
        <v>5</v>
      </c>
      <c r="C1954" t="s">
        <v>11</v>
      </c>
      <c r="D1954" s="8">
        <v>4.1100000000000003</v>
      </c>
      <c r="E1954">
        <v>4</v>
      </c>
      <c r="F1954" t="str">
        <f t="shared" si="120"/>
        <v>Standard</v>
      </c>
      <c r="G1954" s="3" cm="1">
        <f t="array" ref="G1954">_xlfn.XLOOKUP(C1954 &amp; F1954,
         [1]unilever_price_limits!A:A &amp; [1]unilever_price_limits!B:B,
         [1]unilever_price_limits!C:C)</f>
        <v>25</v>
      </c>
      <c r="H1954" s="8">
        <f t="shared" si="121"/>
        <v>5.1375000000000002</v>
      </c>
      <c r="I1954" s="6">
        <f t="shared" si="122"/>
        <v>25</v>
      </c>
      <c r="J1954" t="str">
        <f t="shared" si="123"/>
        <v>OK</v>
      </c>
    </row>
    <row r="1955" spans="1:10" x14ac:dyDescent="0.2">
      <c r="A1955">
        <v>11954</v>
      </c>
      <c r="B1955" t="s">
        <v>7</v>
      </c>
      <c r="C1955" t="s">
        <v>6</v>
      </c>
      <c r="D1955" s="8">
        <v>5.2</v>
      </c>
      <c r="E1955">
        <v>4</v>
      </c>
      <c r="F1955" t="str">
        <f t="shared" si="120"/>
        <v>Standard</v>
      </c>
      <c r="G1955" s="3" cm="1">
        <f t="array" ref="G1955">_xlfn.XLOOKUP(C1955 &amp; F1955,
         [1]unilever_price_limits!A:A &amp; [1]unilever_price_limits!B:B,
         [1]unilever_price_limits!C:C)</f>
        <v>28</v>
      </c>
      <c r="H1955" s="8">
        <f t="shared" si="121"/>
        <v>6.6560000000000006</v>
      </c>
      <c r="I1955" s="6">
        <f t="shared" si="122"/>
        <v>28.000000000000004</v>
      </c>
      <c r="J1955" t="str">
        <f t="shared" si="123"/>
        <v>OK</v>
      </c>
    </row>
    <row r="1956" spans="1:10" x14ac:dyDescent="0.2">
      <c r="A1956">
        <v>11955</v>
      </c>
      <c r="B1956" t="s">
        <v>5</v>
      </c>
      <c r="C1956" t="s">
        <v>6</v>
      </c>
      <c r="D1956" s="8">
        <v>5.35</v>
      </c>
      <c r="E1956">
        <v>9</v>
      </c>
      <c r="F1956" t="str">
        <f t="shared" si="120"/>
        <v>Premium</v>
      </c>
      <c r="G1956" s="3" cm="1">
        <f t="array" ref="G1956">_xlfn.XLOOKUP(C1956 &amp; F1956,
         [1]unilever_price_limits!A:A &amp; [1]unilever_price_limits!B:B,
         [1]unilever_price_limits!C:C)</f>
        <v>55</v>
      </c>
      <c r="H1956" s="8">
        <f t="shared" si="121"/>
        <v>8.2925000000000004</v>
      </c>
      <c r="I1956" s="6">
        <f t="shared" si="122"/>
        <v>55.000000000000028</v>
      </c>
      <c r="J1956" t="str">
        <f t="shared" si="123"/>
        <v>OK</v>
      </c>
    </row>
    <row r="1957" spans="1:10" x14ac:dyDescent="0.2">
      <c r="A1957">
        <v>11956</v>
      </c>
      <c r="B1957" t="s">
        <v>8</v>
      </c>
      <c r="C1957" t="s">
        <v>9</v>
      </c>
      <c r="D1957" s="8">
        <v>0.87</v>
      </c>
      <c r="E1957">
        <v>8</v>
      </c>
      <c r="F1957" t="str">
        <f t="shared" si="120"/>
        <v>Premium</v>
      </c>
      <c r="G1957" s="3" cm="1">
        <f t="array" ref="G1957">_xlfn.XLOOKUP(C1957 &amp; F1957,
         [1]unilever_price_limits!A:A &amp; [1]unilever_price_limits!B:B,
         [1]unilever_price_limits!C:C)</f>
        <v>60</v>
      </c>
      <c r="H1957" s="8">
        <f t="shared" si="121"/>
        <v>1.3920000000000001</v>
      </c>
      <c r="I1957" s="6">
        <f t="shared" si="122"/>
        <v>60.000000000000007</v>
      </c>
      <c r="J1957" t="str">
        <f t="shared" si="123"/>
        <v>OK</v>
      </c>
    </row>
    <row r="1958" spans="1:10" x14ac:dyDescent="0.2">
      <c r="A1958">
        <v>11957</v>
      </c>
      <c r="B1958" t="s">
        <v>10</v>
      </c>
      <c r="C1958" t="s">
        <v>9</v>
      </c>
      <c r="D1958" s="8">
        <v>5.45</v>
      </c>
      <c r="E1958">
        <v>2</v>
      </c>
      <c r="F1958" t="str">
        <f t="shared" si="120"/>
        <v>Value</v>
      </c>
      <c r="G1958" s="3" cm="1">
        <f t="array" ref="G1958">_xlfn.XLOOKUP(C1958 &amp; F1958,
         [1]unilever_price_limits!A:A &amp; [1]unilever_price_limits!B:B,
         [1]unilever_price_limits!C:C)</f>
        <v>15</v>
      </c>
      <c r="H1958" s="8">
        <f t="shared" si="121"/>
        <v>6.2675000000000001</v>
      </c>
      <c r="I1958" s="6">
        <f t="shared" si="122"/>
        <v>14.999999999999991</v>
      </c>
      <c r="J1958" t="str">
        <f t="shared" si="123"/>
        <v>OK</v>
      </c>
    </row>
    <row r="1959" spans="1:10" x14ac:dyDescent="0.2">
      <c r="A1959">
        <v>11958</v>
      </c>
      <c r="B1959" t="s">
        <v>5</v>
      </c>
      <c r="C1959" t="s">
        <v>6</v>
      </c>
      <c r="D1959" s="8">
        <v>12.15</v>
      </c>
      <c r="E1959">
        <v>8</v>
      </c>
      <c r="F1959" t="str">
        <f t="shared" si="120"/>
        <v>Premium</v>
      </c>
      <c r="G1959" s="3" cm="1">
        <f t="array" ref="G1959">_xlfn.XLOOKUP(C1959 &amp; F1959,
         [1]unilever_price_limits!A:A &amp; [1]unilever_price_limits!B:B,
         [1]unilever_price_limits!C:C)</f>
        <v>55</v>
      </c>
      <c r="H1959" s="8">
        <f t="shared" si="121"/>
        <v>18.8325</v>
      </c>
      <c r="I1959" s="6">
        <f t="shared" si="122"/>
        <v>54.999999999999986</v>
      </c>
      <c r="J1959" t="str">
        <f t="shared" si="123"/>
        <v>OK</v>
      </c>
    </row>
    <row r="1960" spans="1:10" x14ac:dyDescent="0.2">
      <c r="A1960">
        <v>11959</v>
      </c>
      <c r="B1960" t="s">
        <v>8</v>
      </c>
      <c r="C1960" t="s">
        <v>11</v>
      </c>
      <c r="D1960" s="8">
        <v>13.51</v>
      </c>
      <c r="E1960">
        <v>1</v>
      </c>
      <c r="F1960" t="str">
        <f t="shared" si="120"/>
        <v>Value</v>
      </c>
      <c r="G1960" s="3" cm="1">
        <f t="array" ref="G1960">_xlfn.XLOOKUP(C1960 &amp; F1960,
         [1]unilever_price_limits!A:A &amp; [1]unilever_price_limits!B:B,
         [1]unilever_price_limits!C:C)</f>
        <v>10</v>
      </c>
      <c r="H1960" s="8">
        <f t="shared" si="121"/>
        <v>14.861000000000001</v>
      </c>
      <c r="I1960" s="6">
        <f t="shared" si="122"/>
        <v>10.000000000000009</v>
      </c>
      <c r="J1960" t="str">
        <f t="shared" si="123"/>
        <v>OK</v>
      </c>
    </row>
    <row r="1961" spans="1:10" x14ac:dyDescent="0.2">
      <c r="A1961">
        <v>11960</v>
      </c>
      <c r="B1961" t="s">
        <v>5</v>
      </c>
      <c r="C1961" t="s">
        <v>9</v>
      </c>
      <c r="D1961" s="8">
        <v>8.01</v>
      </c>
      <c r="E1961">
        <v>9</v>
      </c>
      <c r="F1961" t="str">
        <f t="shared" si="120"/>
        <v>Premium</v>
      </c>
      <c r="G1961" s="3" cm="1">
        <f t="array" ref="G1961">_xlfn.XLOOKUP(C1961 &amp; F1961,
         [1]unilever_price_limits!A:A &amp; [1]unilever_price_limits!B:B,
         [1]unilever_price_limits!C:C)</f>
        <v>60</v>
      </c>
      <c r="H1961" s="8">
        <f t="shared" si="121"/>
        <v>12.816000000000001</v>
      </c>
      <c r="I1961" s="6">
        <f t="shared" si="122"/>
        <v>60.000000000000007</v>
      </c>
      <c r="J1961" t="str">
        <f t="shared" si="123"/>
        <v>OK</v>
      </c>
    </row>
    <row r="1962" spans="1:10" x14ac:dyDescent="0.2">
      <c r="A1962">
        <v>11961</v>
      </c>
      <c r="B1962" t="s">
        <v>10</v>
      </c>
      <c r="C1962" t="s">
        <v>6</v>
      </c>
      <c r="D1962" s="8">
        <v>7.1</v>
      </c>
      <c r="E1962">
        <v>9</v>
      </c>
      <c r="F1962" t="str">
        <f t="shared" si="120"/>
        <v>Premium</v>
      </c>
      <c r="G1962" s="3" cm="1">
        <f t="array" ref="G1962">_xlfn.XLOOKUP(C1962 &amp; F1962,
         [1]unilever_price_limits!A:A &amp; [1]unilever_price_limits!B:B,
         [1]unilever_price_limits!C:C)</f>
        <v>55</v>
      </c>
      <c r="H1962" s="8">
        <f t="shared" si="121"/>
        <v>11.004999999999999</v>
      </c>
      <c r="I1962" s="6">
        <f t="shared" si="122"/>
        <v>55.000000000000007</v>
      </c>
      <c r="J1962" t="str">
        <f t="shared" si="123"/>
        <v>OK</v>
      </c>
    </row>
    <row r="1963" spans="1:10" x14ac:dyDescent="0.2">
      <c r="A1963">
        <v>11962</v>
      </c>
      <c r="B1963" t="s">
        <v>8</v>
      </c>
      <c r="C1963" t="s">
        <v>9</v>
      </c>
      <c r="D1963" s="8">
        <v>0.95</v>
      </c>
      <c r="E1963">
        <v>8</v>
      </c>
      <c r="F1963" t="str">
        <f t="shared" si="120"/>
        <v>Premium</v>
      </c>
      <c r="G1963" s="3" cm="1">
        <f t="array" ref="G1963">_xlfn.XLOOKUP(C1963 &amp; F1963,
         [1]unilever_price_limits!A:A &amp; [1]unilever_price_limits!B:B,
         [1]unilever_price_limits!C:C)</f>
        <v>60</v>
      </c>
      <c r="H1963" s="8">
        <f t="shared" si="121"/>
        <v>1.52</v>
      </c>
      <c r="I1963" s="6">
        <f t="shared" si="122"/>
        <v>60.000000000000007</v>
      </c>
      <c r="J1963" t="str">
        <f t="shared" si="123"/>
        <v>OK</v>
      </c>
    </row>
    <row r="1964" spans="1:10" x14ac:dyDescent="0.2">
      <c r="A1964">
        <v>11963</v>
      </c>
      <c r="B1964" t="s">
        <v>10</v>
      </c>
      <c r="C1964" t="s">
        <v>9</v>
      </c>
      <c r="D1964" s="8">
        <v>13.25</v>
      </c>
      <c r="E1964">
        <v>5</v>
      </c>
      <c r="F1964" t="str">
        <f t="shared" si="120"/>
        <v>Standard</v>
      </c>
      <c r="G1964" s="3" cm="1">
        <f t="array" ref="G1964">_xlfn.XLOOKUP(C1964 &amp; F1964,
         [1]unilever_price_limits!A:A &amp; [1]unilever_price_limits!B:B,
         [1]unilever_price_limits!C:C)</f>
        <v>30</v>
      </c>
      <c r="H1964" s="8">
        <f t="shared" si="121"/>
        <v>17.225000000000001</v>
      </c>
      <c r="I1964" s="6">
        <f t="shared" si="122"/>
        <v>30.000000000000004</v>
      </c>
      <c r="J1964" t="str">
        <f t="shared" si="123"/>
        <v>OK</v>
      </c>
    </row>
    <row r="1965" spans="1:10" x14ac:dyDescent="0.2">
      <c r="A1965">
        <v>11964</v>
      </c>
      <c r="B1965" t="s">
        <v>10</v>
      </c>
      <c r="C1965" t="s">
        <v>9</v>
      </c>
      <c r="D1965" s="8">
        <v>0.69</v>
      </c>
      <c r="E1965">
        <v>5</v>
      </c>
      <c r="F1965" t="str">
        <f t="shared" si="120"/>
        <v>Standard</v>
      </c>
      <c r="G1965" s="3" cm="1">
        <f t="array" ref="G1965">_xlfn.XLOOKUP(C1965 &amp; F1965,
         [1]unilever_price_limits!A:A &amp; [1]unilever_price_limits!B:B,
         [1]unilever_price_limits!C:C)</f>
        <v>30</v>
      </c>
      <c r="H1965" s="8">
        <f t="shared" si="121"/>
        <v>0.89699999999999991</v>
      </c>
      <c r="I1965" s="6">
        <f t="shared" si="122"/>
        <v>30.000000000000004</v>
      </c>
      <c r="J1965" t="str">
        <f t="shared" si="123"/>
        <v>OK</v>
      </c>
    </row>
    <row r="1966" spans="1:10" x14ac:dyDescent="0.2">
      <c r="A1966">
        <v>11965</v>
      </c>
      <c r="B1966" t="s">
        <v>8</v>
      </c>
      <c r="C1966" t="s">
        <v>6</v>
      </c>
      <c r="D1966" s="8">
        <v>14.2</v>
      </c>
      <c r="E1966">
        <v>3</v>
      </c>
      <c r="F1966" t="str">
        <f t="shared" si="120"/>
        <v>Value</v>
      </c>
      <c r="G1966" s="3" cm="1">
        <f t="array" ref="G1966">_xlfn.XLOOKUP(C1966 &amp; F1966,
         [1]unilever_price_limits!A:A &amp; [1]unilever_price_limits!B:B,
         [1]unilever_price_limits!C:C)</f>
        <v>12</v>
      </c>
      <c r="H1966" s="8">
        <f t="shared" si="121"/>
        <v>15.904</v>
      </c>
      <c r="I1966" s="6">
        <f t="shared" si="122"/>
        <v>12.000000000000011</v>
      </c>
      <c r="J1966" t="str">
        <f t="shared" si="123"/>
        <v>OK</v>
      </c>
    </row>
    <row r="1967" spans="1:10" x14ac:dyDescent="0.2">
      <c r="A1967">
        <v>11966</v>
      </c>
      <c r="B1967" t="s">
        <v>8</v>
      </c>
      <c r="C1967" t="s">
        <v>11</v>
      </c>
      <c r="D1967" s="8">
        <v>7.59</v>
      </c>
      <c r="E1967">
        <v>5</v>
      </c>
      <c r="F1967" t="str">
        <f t="shared" si="120"/>
        <v>Standard</v>
      </c>
      <c r="G1967" s="3" cm="1">
        <f t="array" ref="G1967">_xlfn.XLOOKUP(C1967 &amp; F1967,
         [1]unilever_price_limits!A:A &amp; [1]unilever_price_limits!B:B,
         [1]unilever_price_limits!C:C)</f>
        <v>25</v>
      </c>
      <c r="H1967" s="8">
        <f t="shared" si="121"/>
        <v>9.4875000000000007</v>
      </c>
      <c r="I1967" s="6">
        <f t="shared" si="122"/>
        <v>25.000000000000021</v>
      </c>
      <c r="J1967" t="str">
        <f t="shared" si="123"/>
        <v>OK</v>
      </c>
    </row>
    <row r="1968" spans="1:10" x14ac:dyDescent="0.2">
      <c r="A1968">
        <v>11967</v>
      </c>
      <c r="B1968" t="s">
        <v>8</v>
      </c>
      <c r="C1968" t="s">
        <v>11</v>
      </c>
      <c r="D1968" s="8">
        <v>5.46</v>
      </c>
      <c r="E1968">
        <v>4</v>
      </c>
      <c r="F1968" t="str">
        <f t="shared" si="120"/>
        <v>Standard</v>
      </c>
      <c r="G1968" s="3" cm="1">
        <f t="array" ref="G1968">_xlfn.XLOOKUP(C1968 &amp; F1968,
         [1]unilever_price_limits!A:A &amp; [1]unilever_price_limits!B:B,
         [1]unilever_price_limits!C:C)</f>
        <v>25</v>
      </c>
      <c r="H1968" s="8">
        <f t="shared" si="121"/>
        <v>6.8250000000000002</v>
      </c>
      <c r="I1968" s="6">
        <f t="shared" si="122"/>
        <v>25</v>
      </c>
      <c r="J1968" t="str">
        <f t="shared" si="123"/>
        <v>OK</v>
      </c>
    </row>
    <row r="1969" spans="1:10" x14ac:dyDescent="0.2">
      <c r="A1969">
        <v>11968</v>
      </c>
      <c r="B1969" t="s">
        <v>7</v>
      </c>
      <c r="C1969" t="s">
        <v>11</v>
      </c>
      <c r="D1969" s="8">
        <v>13.9</v>
      </c>
      <c r="E1969">
        <v>1</v>
      </c>
      <c r="F1969" t="str">
        <f t="shared" si="120"/>
        <v>Value</v>
      </c>
      <c r="G1969" s="3" cm="1">
        <f t="array" ref="G1969">_xlfn.XLOOKUP(C1969 &amp; F1969,
         [1]unilever_price_limits!A:A &amp; [1]unilever_price_limits!B:B,
         [1]unilever_price_limits!C:C)</f>
        <v>10</v>
      </c>
      <c r="H1969" s="8">
        <f t="shared" si="121"/>
        <v>15.290000000000001</v>
      </c>
      <c r="I1969" s="6">
        <f t="shared" si="122"/>
        <v>10.000000000000009</v>
      </c>
      <c r="J1969" t="str">
        <f t="shared" si="123"/>
        <v>OK</v>
      </c>
    </row>
    <row r="1970" spans="1:10" x14ac:dyDescent="0.2">
      <c r="A1970">
        <v>11969</v>
      </c>
      <c r="B1970" t="s">
        <v>8</v>
      </c>
      <c r="C1970" t="s">
        <v>9</v>
      </c>
      <c r="D1970" s="8">
        <v>0.85</v>
      </c>
      <c r="E1970">
        <v>9</v>
      </c>
      <c r="F1970" t="str">
        <f t="shared" si="120"/>
        <v>Premium</v>
      </c>
      <c r="G1970" s="3" cm="1">
        <f t="array" ref="G1970">_xlfn.XLOOKUP(C1970 &amp; F1970,
         [1]unilever_price_limits!A:A &amp; [1]unilever_price_limits!B:B,
         [1]unilever_price_limits!C:C)</f>
        <v>60</v>
      </c>
      <c r="H1970" s="8">
        <f t="shared" si="121"/>
        <v>1.36</v>
      </c>
      <c r="I1970" s="6">
        <f t="shared" si="122"/>
        <v>60.000000000000007</v>
      </c>
      <c r="J1970" t="str">
        <f t="shared" si="123"/>
        <v>OK</v>
      </c>
    </row>
    <row r="1971" spans="1:10" x14ac:dyDescent="0.2">
      <c r="A1971">
        <v>11970</v>
      </c>
      <c r="B1971" t="s">
        <v>8</v>
      </c>
      <c r="C1971" t="s">
        <v>6</v>
      </c>
      <c r="D1971" s="8">
        <v>8.93</v>
      </c>
      <c r="E1971">
        <v>10</v>
      </c>
      <c r="F1971" t="str">
        <f t="shared" si="120"/>
        <v>Premium</v>
      </c>
      <c r="G1971" s="3" cm="1">
        <f t="array" ref="G1971">_xlfn.XLOOKUP(C1971 &amp; F1971,
         [1]unilever_price_limits!A:A &amp; [1]unilever_price_limits!B:B,
         [1]unilever_price_limits!C:C)</f>
        <v>55</v>
      </c>
      <c r="H1971" s="8">
        <f t="shared" si="121"/>
        <v>13.8415</v>
      </c>
      <c r="I1971" s="6">
        <f t="shared" si="122"/>
        <v>55.000000000000007</v>
      </c>
      <c r="J1971" t="str">
        <f t="shared" si="123"/>
        <v>OK</v>
      </c>
    </row>
    <row r="1972" spans="1:10" x14ac:dyDescent="0.2">
      <c r="A1972">
        <v>11971</v>
      </c>
      <c r="B1972" t="s">
        <v>8</v>
      </c>
      <c r="C1972" t="s">
        <v>9</v>
      </c>
      <c r="D1972" s="8">
        <v>8.4600000000000009</v>
      </c>
      <c r="E1972">
        <v>4</v>
      </c>
      <c r="F1972" t="str">
        <f t="shared" si="120"/>
        <v>Standard</v>
      </c>
      <c r="G1972" s="3" cm="1">
        <f t="array" ref="G1972">_xlfn.XLOOKUP(C1972 &amp; F1972,
         [1]unilever_price_limits!A:A &amp; [1]unilever_price_limits!B:B,
         [1]unilever_price_limits!C:C)</f>
        <v>30</v>
      </c>
      <c r="H1972" s="8">
        <f t="shared" si="121"/>
        <v>10.998000000000001</v>
      </c>
      <c r="I1972" s="6">
        <f t="shared" si="122"/>
        <v>30.000000000000004</v>
      </c>
      <c r="J1972" t="str">
        <f t="shared" si="123"/>
        <v>OK</v>
      </c>
    </row>
    <row r="1973" spans="1:10" x14ac:dyDescent="0.2">
      <c r="A1973">
        <v>11972</v>
      </c>
      <c r="B1973" t="s">
        <v>8</v>
      </c>
      <c r="C1973" t="s">
        <v>11</v>
      </c>
      <c r="D1973" s="8">
        <v>3.68</v>
      </c>
      <c r="E1973">
        <v>3</v>
      </c>
      <c r="F1973" t="str">
        <f t="shared" si="120"/>
        <v>Value</v>
      </c>
      <c r="G1973" s="3" cm="1">
        <f t="array" ref="G1973">_xlfn.XLOOKUP(C1973 &amp; F1973,
         [1]unilever_price_limits!A:A &amp; [1]unilever_price_limits!B:B,
         [1]unilever_price_limits!C:C)</f>
        <v>10</v>
      </c>
      <c r="H1973" s="8">
        <f t="shared" si="121"/>
        <v>4.0480000000000009</v>
      </c>
      <c r="I1973" s="6">
        <f t="shared" si="122"/>
        <v>10.000000000000032</v>
      </c>
      <c r="J1973" t="str">
        <f t="shared" si="123"/>
        <v>OK</v>
      </c>
    </row>
    <row r="1974" spans="1:10" x14ac:dyDescent="0.2">
      <c r="A1974">
        <v>11973</v>
      </c>
      <c r="B1974" t="s">
        <v>5</v>
      </c>
      <c r="C1974" t="s">
        <v>11</v>
      </c>
      <c r="D1974" s="8">
        <v>6.72</v>
      </c>
      <c r="E1974">
        <v>6</v>
      </c>
      <c r="F1974" t="str">
        <f t="shared" si="120"/>
        <v>Standard</v>
      </c>
      <c r="G1974" s="3" cm="1">
        <f t="array" ref="G1974">_xlfn.XLOOKUP(C1974 &amp; F1974,
         [1]unilever_price_limits!A:A &amp; [1]unilever_price_limits!B:B,
         [1]unilever_price_limits!C:C)</f>
        <v>25</v>
      </c>
      <c r="H1974" s="8">
        <f t="shared" si="121"/>
        <v>8.4</v>
      </c>
      <c r="I1974" s="6">
        <f t="shared" si="122"/>
        <v>25</v>
      </c>
      <c r="J1974" t="str">
        <f t="shared" si="123"/>
        <v>OK</v>
      </c>
    </row>
    <row r="1975" spans="1:10" x14ac:dyDescent="0.2">
      <c r="A1975">
        <v>11974</v>
      </c>
      <c r="B1975" t="s">
        <v>7</v>
      </c>
      <c r="C1975" t="s">
        <v>6</v>
      </c>
      <c r="D1975" s="8">
        <v>9.9600000000000009</v>
      </c>
      <c r="E1975">
        <v>1</v>
      </c>
      <c r="F1975" t="str">
        <f t="shared" si="120"/>
        <v>Value</v>
      </c>
      <c r="G1975" s="3" cm="1">
        <f t="array" ref="G1975">_xlfn.XLOOKUP(C1975 &amp; F1975,
         [1]unilever_price_limits!A:A &amp; [1]unilever_price_limits!B:B,
         [1]unilever_price_limits!C:C)</f>
        <v>12</v>
      </c>
      <c r="H1975" s="8">
        <f t="shared" si="121"/>
        <v>11.155200000000002</v>
      </c>
      <c r="I1975" s="6">
        <f t="shared" si="122"/>
        <v>12.000000000000011</v>
      </c>
      <c r="J1975" t="str">
        <f t="shared" si="123"/>
        <v>OK</v>
      </c>
    </row>
    <row r="1976" spans="1:10" x14ac:dyDescent="0.2">
      <c r="A1976">
        <v>11975</v>
      </c>
      <c r="B1976" t="s">
        <v>10</v>
      </c>
      <c r="C1976" t="s">
        <v>9</v>
      </c>
      <c r="D1976" s="8">
        <v>11.04</v>
      </c>
      <c r="E1976">
        <v>5</v>
      </c>
      <c r="F1976" t="str">
        <f t="shared" si="120"/>
        <v>Standard</v>
      </c>
      <c r="G1976" s="3" cm="1">
        <f t="array" ref="G1976">_xlfn.XLOOKUP(C1976 &amp; F1976,
         [1]unilever_price_limits!A:A &amp; [1]unilever_price_limits!B:B,
         [1]unilever_price_limits!C:C)</f>
        <v>30</v>
      </c>
      <c r="H1976" s="8">
        <f t="shared" si="121"/>
        <v>14.351999999999999</v>
      </c>
      <c r="I1976" s="6">
        <f t="shared" si="122"/>
        <v>30.000000000000004</v>
      </c>
      <c r="J1976" t="str">
        <f t="shared" si="123"/>
        <v>OK</v>
      </c>
    </row>
    <row r="1977" spans="1:10" x14ac:dyDescent="0.2">
      <c r="A1977">
        <v>11976</v>
      </c>
      <c r="B1977" t="s">
        <v>8</v>
      </c>
      <c r="C1977" t="s">
        <v>11</v>
      </c>
      <c r="D1977" s="8">
        <v>0.51</v>
      </c>
      <c r="E1977">
        <v>7</v>
      </c>
      <c r="F1977" t="str">
        <f t="shared" si="120"/>
        <v>Standard</v>
      </c>
      <c r="G1977" s="3" cm="1">
        <f t="array" ref="G1977">_xlfn.XLOOKUP(C1977 &amp; F1977,
         [1]unilever_price_limits!A:A &amp; [1]unilever_price_limits!B:B,
         [1]unilever_price_limits!C:C)</f>
        <v>25</v>
      </c>
      <c r="H1977" s="8">
        <f t="shared" si="121"/>
        <v>0.63749999999999996</v>
      </c>
      <c r="I1977" s="6">
        <f t="shared" si="122"/>
        <v>25</v>
      </c>
      <c r="J1977" t="str">
        <f t="shared" si="123"/>
        <v>OK</v>
      </c>
    </row>
    <row r="1978" spans="1:10" x14ac:dyDescent="0.2">
      <c r="A1978">
        <v>11977</v>
      </c>
      <c r="B1978" t="s">
        <v>5</v>
      </c>
      <c r="C1978" t="s">
        <v>6</v>
      </c>
      <c r="D1978" s="8">
        <v>14.08</v>
      </c>
      <c r="E1978">
        <v>2</v>
      </c>
      <c r="F1978" t="str">
        <f t="shared" si="120"/>
        <v>Value</v>
      </c>
      <c r="G1978" s="3" cm="1">
        <f t="array" ref="G1978">_xlfn.XLOOKUP(C1978 &amp; F1978,
         [1]unilever_price_limits!A:A &amp; [1]unilever_price_limits!B:B,
         [1]unilever_price_limits!C:C)</f>
        <v>12</v>
      </c>
      <c r="H1978" s="8">
        <f t="shared" si="121"/>
        <v>15.769600000000002</v>
      </c>
      <c r="I1978" s="6">
        <f t="shared" si="122"/>
        <v>12.000000000000011</v>
      </c>
      <c r="J1978" t="str">
        <f t="shared" si="123"/>
        <v>OK</v>
      </c>
    </row>
    <row r="1979" spans="1:10" x14ac:dyDescent="0.2">
      <c r="A1979">
        <v>11978</v>
      </c>
      <c r="B1979" t="s">
        <v>5</v>
      </c>
      <c r="C1979" t="s">
        <v>9</v>
      </c>
      <c r="D1979" s="8">
        <v>2.89</v>
      </c>
      <c r="E1979">
        <v>10</v>
      </c>
      <c r="F1979" t="str">
        <f t="shared" si="120"/>
        <v>Premium</v>
      </c>
      <c r="G1979" s="3" cm="1">
        <f t="array" ref="G1979">_xlfn.XLOOKUP(C1979 &amp; F1979,
         [1]unilever_price_limits!A:A &amp; [1]unilever_price_limits!B:B,
         [1]unilever_price_limits!C:C)</f>
        <v>60</v>
      </c>
      <c r="H1979" s="8">
        <f t="shared" si="121"/>
        <v>4.6240000000000006</v>
      </c>
      <c r="I1979" s="6">
        <f t="shared" si="122"/>
        <v>60.000000000000007</v>
      </c>
      <c r="J1979" t="str">
        <f t="shared" si="123"/>
        <v>OK</v>
      </c>
    </row>
    <row r="1980" spans="1:10" x14ac:dyDescent="0.2">
      <c r="A1980">
        <v>11979</v>
      </c>
      <c r="B1980" t="s">
        <v>5</v>
      </c>
      <c r="C1980" t="s">
        <v>9</v>
      </c>
      <c r="D1980" s="8">
        <v>3.89</v>
      </c>
      <c r="E1980">
        <v>9</v>
      </c>
      <c r="F1980" t="str">
        <f t="shared" si="120"/>
        <v>Premium</v>
      </c>
      <c r="G1980" s="3" cm="1">
        <f t="array" ref="G1980">_xlfn.XLOOKUP(C1980 &amp; F1980,
         [1]unilever_price_limits!A:A &amp; [1]unilever_price_limits!B:B,
         [1]unilever_price_limits!C:C)</f>
        <v>60</v>
      </c>
      <c r="H1980" s="8">
        <f t="shared" si="121"/>
        <v>6.2240000000000002</v>
      </c>
      <c r="I1980" s="6">
        <f t="shared" si="122"/>
        <v>60.000000000000007</v>
      </c>
      <c r="J1980" t="str">
        <f t="shared" si="123"/>
        <v>OK</v>
      </c>
    </row>
    <row r="1981" spans="1:10" x14ac:dyDescent="0.2">
      <c r="A1981">
        <v>11980</v>
      </c>
      <c r="B1981" t="s">
        <v>10</v>
      </c>
      <c r="C1981" t="s">
        <v>11</v>
      </c>
      <c r="D1981" s="8">
        <v>4.32</v>
      </c>
      <c r="E1981">
        <v>6</v>
      </c>
      <c r="F1981" t="str">
        <f t="shared" si="120"/>
        <v>Standard</v>
      </c>
      <c r="G1981" s="3" cm="1">
        <f t="array" ref="G1981">_xlfn.XLOOKUP(C1981 &amp; F1981,
         [1]unilever_price_limits!A:A &amp; [1]unilever_price_limits!B:B,
         [1]unilever_price_limits!C:C)</f>
        <v>25</v>
      </c>
      <c r="H1981" s="8">
        <f t="shared" si="121"/>
        <v>5.4</v>
      </c>
      <c r="I1981" s="6">
        <f t="shared" si="122"/>
        <v>25</v>
      </c>
      <c r="J1981" t="str">
        <f t="shared" si="123"/>
        <v>OK</v>
      </c>
    </row>
    <row r="1982" spans="1:10" x14ac:dyDescent="0.2">
      <c r="A1982">
        <v>11981</v>
      </c>
      <c r="B1982" t="s">
        <v>8</v>
      </c>
      <c r="C1982" t="s">
        <v>11</v>
      </c>
      <c r="D1982" s="8">
        <v>1.05</v>
      </c>
      <c r="E1982">
        <v>2</v>
      </c>
      <c r="F1982" t="str">
        <f t="shared" si="120"/>
        <v>Value</v>
      </c>
      <c r="G1982" s="3" cm="1">
        <f t="array" ref="G1982">_xlfn.XLOOKUP(C1982 &amp; F1982,
         [1]unilever_price_limits!A:A &amp; [1]unilever_price_limits!B:B,
         [1]unilever_price_limits!C:C)</f>
        <v>10</v>
      </c>
      <c r="H1982" s="8">
        <f t="shared" si="121"/>
        <v>1.1550000000000002</v>
      </c>
      <c r="I1982" s="6">
        <f t="shared" si="122"/>
        <v>10.000000000000009</v>
      </c>
      <c r="J1982" t="str">
        <f t="shared" si="123"/>
        <v>OK</v>
      </c>
    </row>
    <row r="1983" spans="1:10" x14ac:dyDescent="0.2">
      <c r="A1983">
        <v>11982</v>
      </c>
      <c r="B1983" t="s">
        <v>7</v>
      </c>
      <c r="C1983" t="s">
        <v>9</v>
      </c>
      <c r="D1983" s="8">
        <v>2.2799999999999998</v>
      </c>
      <c r="E1983">
        <v>8</v>
      </c>
      <c r="F1983" t="str">
        <f t="shared" si="120"/>
        <v>Premium</v>
      </c>
      <c r="G1983" s="3" cm="1">
        <f t="array" ref="G1983">_xlfn.XLOOKUP(C1983 &amp; F1983,
         [1]unilever_price_limits!A:A &amp; [1]unilever_price_limits!B:B,
         [1]unilever_price_limits!C:C)</f>
        <v>60</v>
      </c>
      <c r="H1983" s="8">
        <f t="shared" si="121"/>
        <v>3.6479999999999997</v>
      </c>
      <c r="I1983" s="6">
        <f t="shared" si="122"/>
        <v>60.000000000000007</v>
      </c>
      <c r="J1983" t="str">
        <f t="shared" si="123"/>
        <v>OK</v>
      </c>
    </row>
    <row r="1984" spans="1:10" x14ac:dyDescent="0.2">
      <c r="A1984">
        <v>11983</v>
      </c>
      <c r="B1984" t="s">
        <v>7</v>
      </c>
      <c r="C1984" t="s">
        <v>9</v>
      </c>
      <c r="D1984" s="8">
        <v>14.8</v>
      </c>
      <c r="E1984">
        <v>8</v>
      </c>
      <c r="F1984" t="str">
        <f t="shared" si="120"/>
        <v>Premium</v>
      </c>
      <c r="G1984" s="3" cm="1">
        <f t="array" ref="G1984">_xlfn.XLOOKUP(C1984 &amp; F1984,
         [1]unilever_price_limits!A:A &amp; [1]unilever_price_limits!B:B,
         [1]unilever_price_limits!C:C)</f>
        <v>60</v>
      </c>
      <c r="H1984" s="8">
        <f t="shared" si="121"/>
        <v>23.680000000000003</v>
      </c>
      <c r="I1984" s="6">
        <f t="shared" si="122"/>
        <v>60.000000000000007</v>
      </c>
      <c r="J1984" t="str">
        <f t="shared" si="123"/>
        <v>OK</v>
      </c>
    </row>
    <row r="1985" spans="1:10" x14ac:dyDescent="0.2">
      <c r="A1985">
        <v>11984</v>
      </c>
      <c r="B1985" t="s">
        <v>5</v>
      </c>
      <c r="C1985" t="s">
        <v>11</v>
      </c>
      <c r="D1985" s="8">
        <v>5.07</v>
      </c>
      <c r="E1985">
        <v>1</v>
      </c>
      <c r="F1985" t="str">
        <f t="shared" si="120"/>
        <v>Value</v>
      </c>
      <c r="G1985" s="3" cm="1">
        <f t="array" ref="G1985">_xlfn.XLOOKUP(C1985 &amp; F1985,
         [1]unilever_price_limits!A:A &amp; [1]unilever_price_limits!B:B,
         [1]unilever_price_limits!C:C)</f>
        <v>10</v>
      </c>
      <c r="H1985" s="8">
        <f t="shared" si="121"/>
        <v>5.5770000000000008</v>
      </c>
      <c r="I1985" s="6">
        <f t="shared" si="122"/>
        <v>10.000000000000009</v>
      </c>
      <c r="J1985" t="str">
        <f t="shared" si="123"/>
        <v>OK</v>
      </c>
    </row>
    <row r="1986" spans="1:10" x14ac:dyDescent="0.2">
      <c r="A1986">
        <v>11985</v>
      </c>
      <c r="B1986" t="s">
        <v>10</v>
      </c>
      <c r="C1986" t="s">
        <v>9</v>
      </c>
      <c r="D1986" s="8">
        <v>2.17</v>
      </c>
      <c r="E1986">
        <v>1</v>
      </c>
      <c r="F1986" t="str">
        <f t="shared" si="120"/>
        <v>Value</v>
      </c>
      <c r="G1986" s="3" cm="1">
        <f t="array" ref="G1986">_xlfn.XLOOKUP(C1986 &amp; F1986,
         [1]unilever_price_limits!A:A &amp; [1]unilever_price_limits!B:B,
         [1]unilever_price_limits!C:C)</f>
        <v>15</v>
      </c>
      <c r="H1986" s="8">
        <f t="shared" si="121"/>
        <v>2.4954999999999998</v>
      </c>
      <c r="I1986" s="6">
        <f t="shared" si="122"/>
        <v>14.999999999999991</v>
      </c>
      <c r="J1986" t="str">
        <f t="shared" si="123"/>
        <v>OK</v>
      </c>
    </row>
    <row r="1987" spans="1:10" x14ac:dyDescent="0.2">
      <c r="A1987">
        <v>11986</v>
      </c>
      <c r="B1987" t="s">
        <v>10</v>
      </c>
      <c r="C1987" t="s">
        <v>11</v>
      </c>
      <c r="D1987" s="8">
        <v>2.0499999999999998</v>
      </c>
      <c r="E1987">
        <v>1</v>
      </c>
      <c r="F1987" t="str">
        <f t="shared" ref="F1987:F2050" si="124">IF(E1987&lt;=3,"Value",
 IF(E1987&lt;=7,"Standard","Premium"))</f>
        <v>Value</v>
      </c>
      <c r="G1987" s="3" cm="1">
        <f t="array" ref="G1987">_xlfn.XLOOKUP(C1987 &amp; F1987,
         [1]unilever_price_limits!A:A &amp; [1]unilever_price_limits!B:B,
         [1]unilever_price_limits!C:C)</f>
        <v>10</v>
      </c>
      <c r="H1987" s="8">
        <f t="shared" ref="H1987:H2050" si="125">D1987 * (1 + G1987/100)</f>
        <v>2.2549999999999999</v>
      </c>
      <c r="I1987" s="6">
        <f t="shared" ref="I1987:I2050" si="126">(H1987 / D1987 - 1) * 100</f>
        <v>10.000000000000009</v>
      </c>
      <c r="J1987" t="str">
        <f t="shared" ref="J1987:J2050" si="127">IF(I1986&gt; G1986, "⚠ Exceeds Limit", "OK")</f>
        <v>OK</v>
      </c>
    </row>
    <row r="1988" spans="1:10" x14ac:dyDescent="0.2">
      <c r="A1988">
        <v>11987</v>
      </c>
      <c r="B1988" t="s">
        <v>10</v>
      </c>
      <c r="C1988" t="s">
        <v>9</v>
      </c>
      <c r="D1988" s="8">
        <v>10.93</v>
      </c>
      <c r="E1988">
        <v>4</v>
      </c>
      <c r="F1988" t="str">
        <f t="shared" si="124"/>
        <v>Standard</v>
      </c>
      <c r="G1988" s="3" cm="1">
        <f t="array" ref="G1988">_xlfn.XLOOKUP(C1988 &amp; F1988,
         [1]unilever_price_limits!A:A &amp; [1]unilever_price_limits!B:B,
         [1]unilever_price_limits!C:C)</f>
        <v>30</v>
      </c>
      <c r="H1988" s="8">
        <f t="shared" si="125"/>
        <v>14.209</v>
      </c>
      <c r="I1988" s="6">
        <f t="shared" si="126"/>
        <v>30.000000000000004</v>
      </c>
      <c r="J1988" t="str">
        <f t="shared" si="127"/>
        <v>OK</v>
      </c>
    </row>
    <row r="1989" spans="1:10" x14ac:dyDescent="0.2">
      <c r="A1989">
        <v>11988</v>
      </c>
      <c r="B1989" t="s">
        <v>7</v>
      </c>
      <c r="C1989" t="s">
        <v>11</v>
      </c>
      <c r="D1989" s="8">
        <v>12.89</v>
      </c>
      <c r="E1989">
        <v>4</v>
      </c>
      <c r="F1989" t="str">
        <f t="shared" si="124"/>
        <v>Standard</v>
      </c>
      <c r="G1989" s="3" cm="1">
        <f t="array" ref="G1989">_xlfn.XLOOKUP(C1989 &amp; F1989,
         [1]unilever_price_limits!A:A &amp; [1]unilever_price_limits!B:B,
         [1]unilever_price_limits!C:C)</f>
        <v>25</v>
      </c>
      <c r="H1989" s="8">
        <f t="shared" si="125"/>
        <v>16.112500000000001</v>
      </c>
      <c r="I1989" s="6">
        <f t="shared" si="126"/>
        <v>25</v>
      </c>
      <c r="J1989" t="str">
        <f t="shared" si="127"/>
        <v>OK</v>
      </c>
    </row>
    <row r="1990" spans="1:10" x14ac:dyDescent="0.2">
      <c r="A1990">
        <v>11989</v>
      </c>
      <c r="B1990" t="s">
        <v>5</v>
      </c>
      <c r="C1990" t="s">
        <v>6</v>
      </c>
      <c r="D1990" s="8">
        <v>4.2300000000000004</v>
      </c>
      <c r="E1990">
        <v>8</v>
      </c>
      <c r="F1990" t="str">
        <f t="shared" si="124"/>
        <v>Premium</v>
      </c>
      <c r="G1990" s="3" cm="1">
        <f t="array" ref="G1990">_xlfn.XLOOKUP(C1990 &amp; F1990,
         [1]unilever_price_limits!A:A &amp; [1]unilever_price_limits!B:B,
         [1]unilever_price_limits!C:C)</f>
        <v>55</v>
      </c>
      <c r="H1990" s="8">
        <f t="shared" si="125"/>
        <v>6.5565000000000007</v>
      </c>
      <c r="I1990" s="6">
        <f t="shared" si="126"/>
        <v>55.000000000000007</v>
      </c>
      <c r="J1990" t="str">
        <f t="shared" si="127"/>
        <v>OK</v>
      </c>
    </row>
    <row r="1991" spans="1:10" x14ac:dyDescent="0.2">
      <c r="A1991">
        <v>11990</v>
      </c>
      <c r="B1991" t="s">
        <v>8</v>
      </c>
      <c r="C1991" t="s">
        <v>11</v>
      </c>
      <c r="D1991" s="8">
        <v>0.8</v>
      </c>
      <c r="E1991">
        <v>1</v>
      </c>
      <c r="F1991" t="str">
        <f t="shared" si="124"/>
        <v>Value</v>
      </c>
      <c r="G1991" s="3" cm="1">
        <f t="array" ref="G1991">_xlfn.XLOOKUP(C1991 &amp; F1991,
         [1]unilever_price_limits!A:A &amp; [1]unilever_price_limits!B:B,
         [1]unilever_price_limits!C:C)</f>
        <v>10</v>
      </c>
      <c r="H1991" s="8">
        <f t="shared" si="125"/>
        <v>0.88000000000000012</v>
      </c>
      <c r="I1991" s="6">
        <f t="shared" si="126"/>
        <v>10.000000000000009</v>
      </c>
      <c r="J1991" t="str">
        <f t="shared" si="127"/>
        <v>OK</v>
      </c>
    </row>
    <row r="1992" spans="1:10" x14ac:dyDescent="0.2">
      <c r="A1992">
        <v>11991</v>
      </c>
      <c r="B1992" t="s">
        <v>7</v>
      </c>
      <c r="C1992" t="s">
        <v>11</v>
      </c>
      <c r="D1992" s="8">
        <v>3.73</v>
      </c>
      <c r="E1992">
        <v>10</v>
      </c>
      <c r="F1992" t="str">
        <f t="shared" si="124"/>
        <v>Premium</v>
      </c>
      <c r="G1992" s="3" cm="1">
        <f t="array" ref="G1992">_xlfn.XLOOKUP(C1992 &amp; F1992,
         [1]unilever_price_limits!A:A &amp; [1]unilever_price_limits!B:B,
         [1]unilever_price_limits!C:C)</f>
        <v>50</v>
      </c>
      <c r="H1992" s="8">
        <f t="shared" si="125"/>
        <v>5.5949999999999998</v>
      </c>
      <c r="I1992" s="6">
        <f t="shared" si="126"/>
        <v>50</v>
      </c>
      <c r="J1992" t="str">
        <f t="shared" si="127"/>
        <v>OK</v>
      </c>
    </row>
    <row r="1993" spans="1:10" x14ac:dyDescent="0.2">
      <c r="A1993">
        <v>11992</v>
      </c>
      <c r="B1993" t="s">
        <v>5</v>
      </c>
      <c r="C1993" t="s">
        <v>6</v>
      </c>
      <c r="D1993" s="8">
        <v>1.32</v>
      </c>
      <c r="E1993">
        <v>3</v>
      </c>
      <c r="F1993" t="str">
        <f t="shared" si="124"/>
        <v>Value</v>
      </c>
      <c r="G1993" s="3" cm="1">
        <f t="array" ref="G1993">_xlfn.XLOOKUP(C1993 &amp; F1993,
         [1]unilever_price_limits!A:A &amp; [1]unilever_price_limits!B:B,
         [1]unilever_price_limits!C:C)</f>
        <v>12</v>
      </c>
      <c r="H1993" s="8">
        <f t="shared" si="125"/>
        <v>1.4784000000000002</v>
      </c>
      <c r="I1993" s="6">
        <f t="shared" si="126"/>
        <v>12.000000000000011</v>
      </c>
      <c r="J1993" t="str">
        <f t="shared" si="127"/>
        <v>OK</v>
      </c>
    </row>
    <row r="1994" spans="1:10" x14ac:dyDescent="0.2">
      <c r="A1994">
        <v>11993</v>
      </c>
      <c r="B1994" t="s">
        <v>5</v>
      </c>
      <c r="C1994" t="s">
        <v>9</v>
      </c>
      <c r="D1994" s="8">
        <v>2</v>
      </c>
      <c r="E1994">
        <v>1</v>
      </c>
      <c r="F1994" t="str">
        <f t="shared" si="124"/>
        <v>Value</v>
      </c>
      <c r="G1994" s="3" cm="1">
        <f t="array" ref="G1994">_xlfn.XLOOKUP(C1994 &amp; F1994,
         [1]unilever_price_limits!A:A &amp; [1]unilever_price_limits!B:B,
         [1]unilever_price_limits!C:C)</f>
        <v>15</v>
      </c>
      <c r="H1994" s="8">
        <f t="shared" si="125"/>
        <v>2.2999999999999998</v>
      </c>
      <c r="I1994" s="6">
        <f t="shared" si="126"/>
        <v>14.999999999999991</v>
      </c>
      <c r="J1994" t="str">
        <f t="shared" si="127"/>
        <v>OK</v>
      </c>
    </row>
    <row r="1995" spans="1:10" x14ac:dyDescent="0.2">
      <c r="A1995">
        <v>11994</v>
      </c>
      <c r="B1995" t="s">
        <v>8</v>
      </c>
      <c r="C1995" t="s">
        <v>6</v>
      </c>
      <c r="D1995" s="8">
        <v>6.76</v>
      </c>
      <c r="E1995">
        <v>9</v>
      </c>
      <c r="F1995" t="str">
        <f t="shared" si="124"/>
        <v>Premium</v>
      </c>
      <c r="G1995" s="3" cm="1">
        <f t="array" ref="G1995">_xlfn.XLOOKUP(C1995 &amp; F1995,
         [1]unilever_price_limits!A:A &amp; [1]unilever_price_limits!B:B,
         [1]unilever_price_limits!C:C)</f>
        <v>55</v>
      </c>
      <c r="H1995" s="8">
        <f t="shared" si="125"/>
        <v>10.478</v>
      </c>
      <c r="I1995" s="6">
        <f t="shared" si="126"/>
        <v>55.000000000000007</v>
      </c>
      <c r="J1995" t="str">
        <f t="shared" si="127"/>
        <v>OK</v>
      </c>
    </row>
    <row r="1996" spans="1:10" x14ac:dyDescent="0.2">
      <c r="A1996">
        <v>11995</v>
      </c>
      <c r="B1996" t="s">
        <v>8</v>
      </c>
      <c r="C1996" t="s">
        <v>11</v>
      </c>
      <c r="D1996" s="8">
        <v>3.83</v>
      </c>
      <c r="E1996">
        <v>10</v>
      </c>
      <c r="F1996" t="str">
        <f t="shared" si="124"/>
        <v>Premium</v>
      </c>
      <c r="G1996" s="3" cm="1">
        <f t="array" ref="G1996">_xlfn.XLOOKUP(C1996 &amp; F1996,
         [1]unilever_price_limits!A:A &amp; [1]unilever_price_limits!B:B,
         [1]unilever_price_limits!C:C)</f>
        <v>50</v>
      </c>
      <c r="H1996" s="8">
        <f t="shared" si="125"/>
        <v>5.7450000000000001</v>
      </c>
      <c r="I1996" s="6">
        <f t="shared" si="126"/>
        <v>50</v>
      </c>
      <c r="J1996" t="str">
        <f t="shared" si="127"/>
        <v>OK</v>
      </c>
    </row>
    <row r="1997" spans="1:10" x14ac:dyDescent="0.2">
      <c r="A1997">
        <v>11996</v>
      </c>
      <c r="B1997" t="s">
        <v>8</v>
      </c>
      <c r="C1997" t="s">
        <v>9</v>
      </c>
      <c r="D1997" s="8">
        <v>7.98</v>
      </c>
      <c r="E1997">
        <v>9</v>
      </c>
      <c r="F1997" t="str">
        <f t="shared" si="124"/>
        <v>Premium</v>
      </c>
      <c r="G1997" s="3" cm="1">
        <f t="array" ref="G1997">_xlfn.XLOOKUP(C1997 &amp; F1997,
         [1]unilever_price_limits!A:A &amp; [1]unilever_price_limits!B:B,
         [1]unilever_price_limits!C:C)</f>
        <v>60</v>
      </c>
      <c r="H1997" s="8">
        <f t="shared" si="125"/>
        <v>12.768000000000001</v>
      </c>
      <c r="I1997" s="6">
        <f t="shared" si="126"/>
        <v>60.000000000000007</v>
      </c>
      <c r="J1997" t="str">
        <f t="shared" si="127"/>
        <v>OK</v>
      </c>
    </row>
    <row r="1998" spans="1:10" x14ac:dyDescent="0.2">
      <c r="A1998">
        <v>11997</v>
      </c>
      <c r="B1998" t="s">
        <v>10</v>
      </c>
      <c r="C1998" t="s">
        <v>6</v>
      </c>
      <c r="D1998" s="8">
        <v>4.18</v>
      </c>
      <c r="E1998">
        <v>7</v>
      </c>
      <c r="F1998" t="str">
        <f t="shared" si="124"/>
        <v>Standard</v>
      </c>
      <c r="G1998" s="3" cm="1">
        <f t="array" ref="G1998">_xlfn.XLOOKUP(C1998 &amp; F1998,
         [1]unilever_price_limits!A:A &amp; [1]unilever_price_limits!B:B,
         [1]unilever_price_limits!C:C)</f>
        <v>28</v>
      </c>
      <c r="H1998" s="8">
        <f t="shared" si="125"/>
        <v>5.3503999999999996</v>
      </c>
      <c r="I1998" s="6">
        <f t="shared" si="126"/>
        <v>28.000000000000004</v>
      </c>
      <c r="J1998" t="str">
        <f t="shared" si="127"/>
        <v>OK</v>
      </c>
    </row>
    <row r="1999" spans="1:10" x14ac:dyDescent="0.2">
      <c r="A1999">
        <v>11998</v>
      </c>
      <c r="B1999" t="s">
        <v>8</v>
      </c>
      <c r="C1999" t="s">
        <v>9</v>
      </c>
      <c r="D1999" s="8">
        <v>14.14</v>
      </c>
      <c r="E1999">
        <v>8</v>
      </c>
      <c r="F1999" t="str">
        <f t="shared" si="124"/>
        <v>Premium</v>
      </c>
      <c r="G1999" s="3" cm="1">
        <f t="array" ref="G1999">_xlfn.XLOOKUP(C1999 &amp; F1999,
         [1]unilever_price_limits!A:A &amp; [1]unilever_price_limits!B:B,
         [1]unilever_price_limits!C:C)</f>
        <v>60</v>
      </c>
      <c r="H1999" s="8">
        <f t="shared" si="125"/>
        <v>22.624000000000002</v>
      </c>
      <c r="I1999" s="6">
        <f t="shared" si="126"/>
        <v>60.000000000000007</v>
      </c>
      <c r="J1999" t="str">
        <f t="shared" si="127"/>
        <v>OK</v>
      </c>
    </row>
    <row r="2000" spans="1:10" x14ac:dyDescent="0.2">
      <c r="A2000">
        <v>11999</v>
      </c>
      <c r="B2000" t="s">
        <v>5</v>
      </c>
      <c r="C2000" t="s">
        <v>9</v>
      </c>
      <c r="D2000" s="8">
        <v>13.64</v>
      </c>
      <c r="E2000">
        <v>1</v>
      </c>
      <c r="F2000" t="str">
        <f t="shared" si="124"/>
        <v>Value</v>
      </c>
      <c r="G2000" s="3" cm="1">
        <f t="array" ref="G2000">_xlfn.XLOOKUP(C2000 &amp; F2000,
         [1]unilever_price_limits!A:A &amp; [1]unilever_price_limits!B:B,
         [1]unilever_price_limits!C:C)</f>
        <v>15</v>
      </c>
      <c r="H2000" s="8">
        <f t="shared" si="125"/>
        <v>15.686</v>
      </c>
      <c r="I2000" s="6">
        <f t="shared" si="126"/>
        <v>14.999999999999991</v>
      </c>
      <c r="J2000" t="str">
        <f t="shared" si="127"/>
        <v>OK</v>
      </c>
    </row>
    <row r="2001" spans="1:10" x14ac:dyDescent="0.2">
      <c r="A2001">
        <v>12000</v>
      </c>
      <c r="B2001" t="s">
        <v>8</v>
      </c>
      <c r="C2001" t="s">
        <v>6</v>
      </c>
      <c r="D2001" s="8">
        <v>8.7200000000000006</v>
      </c>
      <c r="E2001">
        <v>5</v>
      </c>
      <c r="F2001" t="str">
        <f t="shared" si="124"/>
        <v>Standard</v>
      </c>
      <c r="G2001" s="3" cm="1">
        <f t="array" ref="G2001">_xlfn.XLOOKUP(C2001 &amp; F2001,
         [1]unilever_price_limits!A:A &amp; [1]unilever_price_limits!B:B,
         [1]unilever_price_limits!C:C)</f>
        <v>28</v>
      </c>
      <c r="H2001" s="8">
        <f t="shared" si="125"/>
        <v>11.161600000000002</v>
      </c>
      <c r="I2001" s="6">
        <f t="shared" si="126"/>
        <v>28.000000000000004</v>
      </c>
      <c r="J2001" t="str">
        <f t="shared" si="127"/>
        <v>OK</v>
      </c>
    </row>
    <row r="2002" spans="1:10" x14ac:dyDescent="0.2">
      <c r="A2002">
        <v>12001</v>
      </c>
      <c r="B2002" t="s">
        <v>5</v>
      </c>
      <c r="C2002" t="s">
        <v>9</v>
      </c>
      <c r="D2002" s="8">
        <v>5.64</v>
      </c>
      <c r="E2002">
        <v>2</v>
      </c>
      <c r="F2002" t="str">
        <f t="shared" si="124"/>
        <v>Value</v>
      </c>
      <c r="G2002" s="3" cm="1">
        <f t="array" ref="G2002">_xlfn.XLOOKUP(C2002 &amp; F2002,
         [1]unilever_price_limits!A:A &amp; [1]unilever_price_limits!B:B,
         [1]unilever_price_limits!C:C)</f>
        <v>15</v>
      </c>
      <c r="H2002" s="8">
        <f t="shared" si="125"/>
        <v>6.4859999999999989</v>
      </c>
      <c r="I2002" s="6">
        <f t="shared" si="126"/>
        <v>14.999999999999991</v>
      </c>
      <c r="J2002" t="str">
        <f t="shared" si="127"/>
        <v>OK</v>
      </c>
    </row>
    <row r="2003" spans="1:10" x14ac:dyDescent="0.2">
      <c r="A2003">
        <v>12002</v>
      </c>
      <c r="B2003" t="s">
        <v>7</v>
      </c>
      <c r="C2003" t="s">
        <v>6</v>
      </c>
      <c r="D2003" s="8">
        <v>6.03</v>
      </c>
      <c r="E2003">
        <v>1</v>
      </c>
      <c r="F2003" t="str">
        <f t="shared" si="124"/>
        <v>Value</v>
      </c>
      <c r="G2003" s="3" cm="1">
        <f t="array" ref="G2003">_xlfn.XLOOKUP(C2003 &amp; F2003,
         [1]unilever_price_limits!A:A &amp; [1]unilever_price_limits!B:B,
         [1]unilever_price_limits!C:C)</f>
        <v>12</v>
      </c>
      <c r="H2003" s="8">
        <f t="shared" si="125"/>
        <v>6.7536000000000005</v>
      </c>
      <c r="I2003" s="6">
        <f t="shared" si="126"/>
        <v>12.000000000000011</v>
      </c>
      <c r="J2003" t="str">
        <f t="shared" si="127"/>
        <v>OK</v>
      </c>
    </row>
    <row r="2004" spans="1:10" x14ac:dyDescent="0.2">
      <c r="A2004">
        <v>12003</v>
      </c>
      <c r="B2004" t="s">
        <v>10</v>
      </c>
      <c r="C2004" t="s">
        <v>11</v>
      </c>
      <c r="D2004" s="8">
        <v>6.47</v>
      </c>
      <c r="E2004">
        <v>3</v>
      </c>
      <c r="F2004" t="str">
        <f t="shared" si="124"/>
        <v>Value</v>
      </c>
      <c r="G2004" s="3" cm="1">
        <f t="array" ref="G2004">_xlfn.XLOOKUP(C2004 &amp; F2004,
         [1]unilever_price_limits!A:A &amp; [1]unilever_price_limits!B:B,
         [1]unilever_price_limits!C:C)</f>
        <v>10</v>
      </c>
      <c r="H2004" s="8">
        <f t="shared" si="125"/>
        <v>7.117</v>
      </c>
      <c r="I2004" s="6">
        <f t="shared" si="126"/>
        <v>10.000000000000009</v>
      </c>
      <c r="J2004" t="str">
        <f t="shared" si="127"/>
        <v>OK</v>
      </c>
    </row>
    <row r="2005" spans="1:10" x14ac:dyDescent="0.2">
      <c r="A2005">
        <v>12004</v>
      </c>
      <c r="B2005" t="s">
        <v>7</v>
      </c>
      <c r="C2005" t="s">
        <v>9</v>
      </c>
      <c r="D2005" s="8">
        <v>11.05</v>
      </c>
      <c r="E2005">
        <v>7</v>
      </c>
      <c r="F2005" t="str">
        <f t="shared" si="124"/>
        <v>Standard</v>
      </c>
      <c r="G2005" s="3" cm="1">
        <f t="array" ref="G2005">_xlfn.XLOOKUP(C2005 &amp; F2005,
         [1]unilever_price_limits!A:A &amp; [1]unilever_price_limits!B:B,
         [1]unilever_price_limits!C:C)</f>
        <v>30</v>
      </c>
      <c r="H2005" s="8">
        <f t="shared" si="125"/>
        <v>14.365000000000002</v>
      </c>
      <c r="I2005" s="6">
        <f t="shared" si="126"/>
        <v>30.000000000000004</v>
      </c>
      <c r="J2005" t="str">
        <f t="shared" si="127"/>
        <v>OK</v>
      </c>
    </row>
    <row r="2006" spans="1:10" x14ac:dyDescent="0.2">
      <c r="A2006">
        <v>12005</v>
      </c>
      <c r="B2006" t="s">
        <v>7</v>
      </c>
      <c r="C2006" t="s">
        <v>11</v>
      </c>
      <c r="D2006" s="8">
        <v>7.05</v>
      </c>
      <c r="E2006">
        <v>1</v>
      </c>
      <c r="F2006" t="str">
        <f t="shared" si="124"/>
        <v>Value</v>
      </c>
      <c r="G2006" s="3" cm="1">
        <f t="array" ref="G2006">_xlfn.XLOOKUP(C2006 &amp; F2006,
         [1]unilever_price_limits!A:A &amp; [1]unilever_price_limits!B:B,
         [1]unilever_price_limits!C:C)</f>
        <v>10</v>
      </c>
      <c r="H2006" s="8">
        <f t="shared" si="125"/>
        <v>7.7550000000000008</v>
      </c>
      <c r="I2006" s="6">
        <f t="shared" si="126"/>
        <v>10.000000000000009</v>
      </c>
      <c r="J2006" t="str">
        <f t="shared" si="127"/>
        <v>OK</v>
      </c>
    </row>
    <row r="2007" spans="1:10" x14ac:dyDescent="0.2">
      <c r="A2007">
        <v>12006</v>
      </c>
      <c r="B2007" t="s">
        <v>5</v>
      </c>
      <c r="C2007" t="s">
        <v>11</v>
      </c>
      <c r="D2007" s="8">
        <v>12.92</v>
      </c>
      <c r="E2007">
        <v>2</v>
      </c>
      <c r="F2007" t="str">
        <f t="shared" si="124"/>
        <v>Value</v>
      </c>
      <c r="G2007" s="3" cm="1">
        <f t="array" ref="G2007">_xlfn.XLOOKUP(C2007 &amp; F2007,
         [1]unilever_price_limits!A:A &amp; [1]unilever_price_limits!B:B,
         [1]unilever_price_limits!C:C)</f>
        <v>10</v>
      </c>
      <c r="H2007" s="8">
        <f t="shared" si="125"/>
        <v>14.212000000000002</v>
      </c>
      <c r="I2007" s="6">
        <f t="shared" si="126"/>
        <v>10.000000000000009</v>
      </c>
      <c r="J2007" t="str">
        <f t="shared" si="127"/>
        <v>OK</v>
      </c>
    </row>
    <row r="2008" spans="1:10" x14ac:dyDescent="0.2">
      <c r="A2008">
        <v>12007</v>
      </c>
      <c r="B2008" t="s">
        <v>7</v>
      </c>
      <c r="C2008" t="s">
        <v>9</v>
      </c>
      <c r="D2008" s="8">
        <v>14.19</v>
      </c>
      <c r="E2008">
        <v>2</v>
      </c>
      <c r="F2008" t="str">
        <f t="shared" si="124"/>
        <v>Value</v>
      </c>
      <c r="G2008" s="3" cm="1">
        <f t="array" ref="G2008">_xlfn.XLOOKUP(C2008 &amp; F2008,
         [1]unilever_price_limits!A:A &amp; [1]unilever_price_limits!B:B,
         [1]unilever_price_limits!C:C)</f>
        <v>15</v>
      </c>
      <c r="H2008" s="8">
        <f t="shared" si="125"/>
        <v>16.318499999999997</v>
      </c>
      <c r="I2008" s="6">
        <f t="shared" si="126"/>
        <v>14.999999999999991</v>
      </c>
      <c r="J2008" t="str">
        <f t="shared" si="127"/>
        <v>OK</v>
      </c>
    </row>
    <row r="2009" spans="1:10" x14ac:dyDescent="0.2">
      <c r="A2009">
        <v>12008</v>
      </c>
      <c r="B2009" t="s">
        <v>5</v>
      </c>
      <c r="C2009" t="s">
        <v>6</v>
      </c>
      <c r="D2009" s="8">
        <v>5.37</v>
      </c>
      <c r="E2009">
        <v>4</v>
      </c>
      <c r="F2009" t="str">
        <f t="shared" si="124"/>
        <v>Standard</v>
      </c>
      <c r="G2009" s="3" cm="1">
        <f t="array" ref="G2009">_xlfn.XLOOKUP(C2009 &amp; F2009,
         [1]unilever_price_limits!A:A &amp; [1]unilever_price_limits!B:B,
         [1]unilever_price_limits!C:C)</f>
        <v>28</v>
      </c>
      <c r="H2009" s="8">
        <f t="shared" si="125"/>
        <v>6.8736000000000006</v>
      </c>
      <c r="I2009" s="6">
        <f t="shared" si="126"/>
        <v>28.000000000000004</v>
      </c>
      <c r="J2009" t="str">
        <f t="shared" si="127"/>
        <v>OK</v>
      </c>
    </row>
    <row r="2010" spans="1:10" x14ac:dyDescent="0.2">
      <c r="A2010">
        <v>12009</v>
      </c>
      <c r="B2010" t="s">
        <v>8</v>
      </c>
      <c r="C2010" t="s">
        <v>9</v>
      </c>
      <c r="D2010" s="8">
        <v>8.6300000000000008</v>
      </c>
      <c r="E2010">
        <v>3</v>
      </c>
      <c r="F2010" t="str">
        <f t="shared" si="124"/>
        <v>Value</v>
      </c>
      <c r="G2010" s="3" cm="1">
        <f t="array" ref="G2010">_xlfn.XLOOKUP(C2010 &amp; F2010,
         [1]unilever_price_limits!A:A &amp; [1]unilever_price_limits!B:B,
         [1]unilever_price_limits!C:C)</f>
        <v>15</v>
      </c>
      <c r="H2010" s="8">
        <f t="shared" si="125"/>
        <v>9.9245000000000001</v>
      </c>
      <c r="I2010" s="6">
        <f t="shared" si="126"/>
        <v>14.999999999999991</v>
      </c>
      <c r="J2010" t="str">
        <f t="shared" si="127"/>
        <v>OK</v>
      </c>
    </row>
    <row r="2011" spans="1:10" x14ac:dyDescent="0.2">
      <c r="A2011">
        <v>12010</v>
      </c>
      <c r="B2011" t="s">
        <v>8</v>
      </c>
      <c r="C2011" t="s">
        <v>11</v>
      </c>
      <c r="D2011" s="8">
        <v>1.88</v>
      </c>
      <c r="E2011">
        <v>3</v>
      </c>
      <c r="F2011" t="str">
        <f t="shared" si="124"/>
        <v>Value</v>
      </c>
      <c r="G2011" s="3" cm="1">
        <f t="array" ref="G2011">_xlfn.XLOOKUP(C2011 &amp; F2011,
         [1]unilever_price_limits!A:A &amp; [1]unilever_price_limits!B:B,
         [1]unilever_price_limits!C:C)</f>
        <v>10</v>
      </c>
      <c r="H2011" s="8">
        <f t="shared" si="125"/>
        <v>2.0680000000000001</v>
      </c>
      <c r="I2011" s="6">
        <f t="shared" si="126"/>
        <v>10.000000000000009</v>
      </c>
      <c r="J2011" t="str">
        <f t="shared" si="127"/>
        <v>OK</v>
      </c>
    </row>
    <row r="2012" spans="1:10" x14ac:dyDescent="0.2">
      <c r="A2012">
        <v>12011</v>
      </c>
      <c r="B2012" t="s">
        <v>5</v>
      </c>
      <c r="C2012" t="s">
        <v>11</v>
      </c>
      <c r="D2012" s="8">
        <v>3.41</v>
      </c>
      <c r="E2012">
        <v>10</v>
      </c>
      <c r="F2012" t="str">
        <f t="shared" si="124"/>
        <v>Premium</v>
      </c>
      <c r="G2012" s="3" cm="1">
        <f t="array" ref="G2012">_xlfn.XLOOKUP(C2012 &amp; F2012,
         [1]unilever_price_limits!A:A &amp; [1]unilever_price_limits!B:B,
         [1]unilever_price_limits!C:C)</f>
        <v>50</v>
      </c>
      <c r="H2012" s="8">
        <f t="shared" si="125"/>
        <v>5.1150000000000002</v>
      </c>
      <c r="I2012" s="6">
        <f t="shared" si="126"/>
        <v>50</v>
      </c>
      <c r="J2012" t="str">
        <f t="shared" si="127"/>
        <v>OK</v>
      </c>
    </row>
    <row r="2013" spans="1:10" x14ac:dyDescent="0.2">
      <c r="A2013">
        <v>12012</v>
      </c>
      <c r="B2013" t="s">
        <v>8</v>
      </c>
      <c r="C2013" t="s">
        <v>6</v>
      </c>
      <c r="D2013" s="8">
        <v>6.5</v>
      </c>
      <c r="E2013">
        <v>5</v>
      </c>
      <c r="F2013" t="str">
        <f t="shared" si="124"/>
        <v>Standard</v>
      </c>
      <c r="G2013" s="3" cm="1">
        <f t="array" ref="G2013">_xlfn.XLOOKUP(C2013 &amp; F2013,
         [1]unilever_price_limits!A:A &amp; [1]unilever_price_limits!B:B,
         [1]unilever_price_limits!C:C)</f>
        <v>28</v>
      </c>
      <c r="H2013" s="8">
        <f t="shared" si="125"/>
        <v>8.32</v>
      </c>
      <c r="I2013" s="6">
        <f t="shared" si="126"/>
        <v>28.000000000000004</v>
      </c>
      <c r="J2013" t="str">
        <f t="shared" si="127"/>
        <v>OK</v>
      </c>
    </row>
    <row r="2014" spans="1:10" x14ac:dyDescent="0.2">
      <c r="A2014">
        <v>12013</v>
      </c>
      <c r="B2014" t="s">
        <v>10</v>
      </c>
      <c r="C2014" t="s">
        <v>9</v>
      </c>
      <c r="D2014" s="8">
        <v>3.49</v>
      </c>
      <c r="E2014">
        <v>3</v>
      </c>
      <c r="F2014" t="str">
        <f t="shared" si="124"/>
        <v>Value</v>
      </c>
      <c r="G2014" s="3" cm="1">
        <f t="array" ref="G2014">_xlfn.XLOOKUP(C2014 &amp; F2014,
         [1]unilever_price_limits!A:A &amp; [1]unilever_price_limits!B:B,
         [1]unilever_price_limits!C:C)</f>
        <v>15</v>
      </c>
      <c r="H2014" s="8">
        <f t="shared" si="125"/>
        <v>4.0134999999999996</v>
      </c>
      <c r="I2014" s="6">
        <f t="shared" si="126"/>
        <v>14.999999999999991</v>
      </c>
      <c r="J2014" t="str">
        <f t="shared" si="127"/>
        <v>OK</v>
      </c>
    </row>
    <row r="2015" spans="1:10" x14ac:dyDescent="0.2">
      <c r="A2015">
        <v>12014</v>
      </c>
      <c r="B2015" t="s">
        <v>7</v>
      </c>
      <c r="C2015" t="s">
        <v>11</v>
      </c>
      <c r="D2015" s="8">
        <v>13.21</v>
      </c>
      <c r="E2015">
        <v>7</v>
      </c>
      <c r="F2015" t="str">
        <f t="shared" si="124"/>
        <v>Standard</v>
      </c>
      <c r="G2015" s="3" cm="1">
        <f t="array" ref="G2015">_xlfn.XLOOKUP(C2015 &amp; F2015,
         [1]unilever_price_limits!A:A &amp; [1]unilever_price_limits!B:B,
         [1]unilever_price_limits!C:C)</f>
        <v>25</v>
      </c>
      <c r="H2015" s="8">
        <f t="shared" si="125"/>
        <v>16.512500000000003</v>
      </c>
      <c r="I2015" s="6">
        <f t="shared" si="126"/>
        <v>25.000000000000021</v>
      </c>
      <c r="J2015" t="str">
        <f t="shared" si="127"/>
        <v>OK</v>
      </c>
    </row>
    <row r="2016" spans="1:10" x14ac:dyDescent="0.2">
      <c r="A2016">
        <v>12015</v>
      </c>
      <c r="B2016" t="s">
        <v>10</v>
      </c>
      <c r="C2016" t="s">
        <v>11</v>
      </c>
      <c r="D2016" s="8">
        <v>2.8</v>
      </c>
      <c r="E2016">
        <v>5</v>
      </c>
      <c r="F2016" t="str">
        <f t="shared" si="124"/>
        <v>Standard</v>
      </c>
      <c r="G2016" s="3" cm="1">
        <f t="array" ref="G2016">_xlfn.XLOOKUP(C2016 &amp; F2016,
         [1]unilever_price_limits!A:A &amp; [1]unilever_price_limits!B:B,
         [1]unilever_price_limits!C:C)</f>
        <v>25</v>
      </c>
      <c r="H2016" s="8">
        <f t="shared" si="125"/>
        <v>3.5</v>
      </c>
      <c r="I2016" s="6">
        <f t="shared" si="126"/>
        <v>25</v>
      </c>
      <c r="J2016" t="str">
        <f t="shared" si="127"/>
        <v>OK</v>
      </c>
    </row>
    <row r="2017" spans="1:10" x14ac:dyDescent="0.2">
      <c r="A2017">
        <v>12016</v>
      </c>
      <c r="B2017" t="s">
        <v>7</v>
      </c>
      <c r="C2017" t="s">
        <v>11</v>
      </c>
      <c r="D2017" s="8">
        <v>7.11</v>
      </c>
      <c r="E2017">
        <v>4</v>
      </c>
      <c r="F2017" t="str">
        <f t="shared" si="124"/>
        <v>Standard</v>
      </c>
      <c r="G2017" s="3" cm="1">
        <f t="array" ref="G2017">_xlfn.XLOOKUP(C2017 &amp; F2017,
         [1]unilever_price_limits!A:A &amp; [1]unilever_price_limits!B:B,
         [1]unilever_price_limits!C:C)</f>
        <v>25</v>
      </c>
      <c r="H2017" s="8">
        <f t="shared" si="125"/>
        <v>8.8875000000000011</v>
      </c>
      <c r="I2017" s="6">
        <f t="shared" si="126"/>
        <v>25</v>
      </c>
      <c r="J2017" t="str">
        <f t="shared" si="127"/>
        <v>OK</v>
      </c>
    </row>
    <row r="2018" spans="1:10" x14ac:dyDescent="0.2">
      <c r="A2018">
        <v>12017</v>
      </c>
      <c r="B2018" t="s">
        <v>8</v>
      </c>
      <c r="C2018" t="s">
        <v>6</v>
      </c>
      <c r="D2018" s="8">
        <v>9.2799999999999994</v>
      </c>
      <c r="E2018">
        <v>3</v>
      </c>
      <c r="F2018" t="str">
        <f t="shared" si="124"/>
        <v>Value</v>
      </c>
      <c r="G2018" s="3" cm="1">
        <f t="array" ref="G2018">_xlfn.XLOOKUP(C2018 &amp; F2018,
         [1]unilever_price_limits!A:A &amp; [1]unilever_price_limits!B:B,
         [1]unilever_price_limits!C:C)</f>
        <v>12</v>
      </c>
      <c r="H2018" s="8">
        <f t="shared" si="125"/>
        <v>10.393600000000001</v>
      </c>
      <c r="I2018" s="6">
        <f t="shared" si="126"/>
        <v>12.000000000000011</v>
      </c>
      <c r="J2018" t="str">
        <f t="shared" si="127"/>
        <v>OK</v>
      </c>
    </row>
    <row r="2019" spans="1:10" x14ac:dyDescent="0.2">
      <c r="A2019">
        <v>12018</v>
      </c>
      <c r="B2019" t="s">
        <v>10</v>
      </c>
      <c r="C2019" t="s">
        <v>11</v>
      </c>
      <c r="D2019" s="8">
        <v>10.53</v>
      </c>
      <c r="E2019">
        <v>4</v>
      </c>
      <c r="F2019" t="str">
        <f t="shared" si="124"/>
        <v>Standard</v>
      </c>
      <c r="G2019" s="3" cm="1">
        <f t="array" ref="G2019">_xlfn.XLOOKUP(C2019 &amp; F2019,
         [1]unilever_price_limits!A:A &amp; [1]unilever_price_limits!B:B,
         [1]unilever_price_limits!C:C)</f>
        <v>25</v>
      </c>
      <c r="H2019" s="8">
        <f t="shared" si="125"/>
        <v>13.1625</v>
      </c>
      <c r="I2019" s="6">
        <f t="shared" si="126"/>
        <v>25</v>
      </c>
      <c r="J2019" t="str">
        <f t="shared" si="127"/>
        <v>OK</v>
      </c>
    </row>
    <row r="2020" spans="1:10" x14ac:dyDescent="0.2">
      <c r="A2020">
        <v>12019</v>
      </c>
      <c r="B2020" t="s">
        <v>8</v>
      </c>
      <c r="C2020" t="s">
        <v>11</v>
      </c>
      <c r="D2020" s="8">
        <v>6.05</v>
      </c>
      <c r="E2020">
        <v>2</v>
      </c>
      <c r="F2020" t="str">
        <f t="shared" si="124"/>
        <v>Value</v>
      </c>
      <c r="G2020" s="3" cm="1">
        <f t="array" ref="G2020">_xlfn.XLOOKUP(C2020 &amp; F2020,
         [1]unilever_price_limits!A:A &amp; [1]unilever_price_limits!B:B,
         [1]unilever_price_limits!C:C)</f>
        <v>10</v>
      </c>
      <c r="H2020" s="8">
        <f t="shared" si="125"/>
        <v>6.6550000000000002</v>
      </c>
      <c r="I2020" s="6">
        <f t="shared" si="126"/>
        <v>10.000000000000009</v>
      </c>
      <c r="J2020" t="str">
        <f t="shared" si="127"/>
        <v>OK</v>
      </c>
    </row>
    <row r="2021" spans="1:10" x14ac:dyDescent="0.2">
      <c r="A2021">
        <v>12020</v>
      </c>
      <c r="B2021" t="s">
        <v>7</v>
      </c>
      <c r="C2021" t="s">
        <v>9</v>
      </c>
      <c r="D2021" s="8">
        <v>13.1</v>
      </c>
      <c r="E2021">
        <v>1</v>
      </c>
      <c r="F2021" t="str">
        <f t="shared" si="124"/>
        <v>Value</v>
      </c>
      <c r="G2021" s="3" cm="1">
        <f t="array" ref="G2021">_xlfn.XLOOKUP(C2021 &amp; F2021,
         [1]unilever_price_limits!A:A &amp; [1]unilever_price_limits!B:B,
         [1]unilever_price_limits!C:C)</f>
        <v>15</v>
      </c>
      <c r="H2021" s="8">
        <f t="shared" si="125"/>
        <v>15.064999999999998</v>
      </c>
      <c r="I2021" s="6">
        <f t="shared" si="126"/>
        <v>14.999999999999991</v>
      </c>
      <c r="J2021" t="str">
        <f t="shared" si="127"/>
        <v>OK</v>
      </c>
    </row>
    <row r="2022" spans="1:10" x14ac:dyDescent="0.2">
      <c r="A2022">
        <v>12021</v>
      </c>
      <c r="B2022" t="s">
        <v>5</v>
      </c>
      <c r="C2022" t="s">
        <v>9</v>
      </c>
      <c r="D2022" s="8">
        <v>8.74</v>
      </c>
      <c r="E2022">
        <v>3</v>
      </c>
      <c r="F2022" t="str">
        <f t="shared" si="124"/>
        <v>Value</v>
      </c>
      <c r="G2022" s="3" cm="1">
        <f t="array" ref="G2022">_xlfn.XLOOKUP(C2022 &amp; F2022,
         [1]unilever_price_limits!A:A &amp; [1]unilever_price_limits!B:B,
         [1]unilever_price_limits!C:C)</f>
        <v>15</v>
      </c>
      <c r="H2022" s="8">
        <f t="shared" si="125"/>
        <v>10.051</v>
      </c>
      <c r="I2022" s="6">
        <f t="shared" si="126"/>
        <v>14.999999999999991</v>
      </c>
      <c r="J2022" t="str">
        <f t="shared" si="127"/>
        <v>OK</v>
      </c>
    </row>
    <row r="2023" spans="1:10" x14ac:dyDescent="0.2">
      <c r="A2023">
        <v>12022</v>
      </c>
      <c r="B2023" t="s">
        <v>5</v>
      </c>
      <c r="C2023" t="s">
        <v>11</v>
      </c>
      <c r="D2023" s="8">
        <v>6.87</v>
      </c>
      <c r="E2023">
        <v>2</v>
      </c>
      <c r="F2023" t="str">
        <f t="shared" si="124"/>
        <v>Value</v>
      </c>
      <c r="G2023" s="3" cm="1">
        <f t="array" ref="G2023">_xlfn.XLOOKUP(C2023 &amp; F2023,
         [1]unilever_price_limits!A:A &amp; [1]unilever_price_limits!B:B,
         [1]unilever_price_limits!C:C)</f>
        <v>10</v>
      </c>
      <c r="H2023" s="8">
        <f t="shared" si="125"/>
        <v>7.5570000000000004</v>
      </c>
      <c r="I2023" s="6">
        <f t="shared" si="126"/>
        <v>10.000000000000009</v>
      </c>
      <c r="J2023" t="str">
        <f t="shared" si="127"/>
        <v>OK</v>
      </c>
    </row>
    <row r="2024" spans="1:10" x14ac:dyDescent="0.2">
      <c r="A2024">
        <v>12023</v>
      </c>
      <c r="B2024" t="s">
        <v>10</v>
      </c>
      <c r="C2024" t="s">
        <v>11</v>
      </c>
      <c r="D2024" s="8">
        <v>1.47</v>
      </c>
      <c r="E2024">
        <v>1</v>
      </c>
      <c r="F2024" t="str">
        <f t="shared" si="124"/>
        <v>Value</v>
      </c>
      <c r="G2024" s="3" cm="1">
        <f t="array" ref="G2024">_xlfn.XLOOKUP(C2024 &amp; F2024,
         [1]unilever_price_limits!A:A &amp; [1]unilever_price_limits!B:B,
         [1]unilever_price_limits!C:C)</f>
        <v>10</v>
      </c>
      <c r="H2024" s="8">
        <f t="shared" si="125"/>
        <v>1.617</v>
      </c>
      <c r="I2024" s="6">
        <f t="shared" si="126"/>
        <v>10.000000000000009</v>
      </c>
      <c r="J2024" t="str">
        <f t="shared" si="127"/>
        <v>OK</v>
      </c>
    </row>
    <row r="2025" spans="1:10" x14ac:dyDescent="0.2">
      <c r="A2025">
        <v>12024</v>
      </c>
      <c r="B2025" t="s">
        <v>8</v>
      </c>
      <c r="C2025" t="s">
        <v>9</v>
      </c>
      <c r="D2025" s="8">
        <v>7.24</v>
      </c>
      <c r="E2025">
        <v>1</v>
      </c>
      <c r="F2025" t="str">
        <f t="shared" si="124"/>
        <v>Value</v>
      </c>
      <c r="G2025" s="3" cm="1">
        <f t="array" ref="G2025">_xlfn.XLOOKUP(C2025 &amp; F2025,
         [1]unilever_price_limits!A:A &amp; [1]unilever_price_limits!B:B,
         [1]unilever_price_limits!C:C)</f>
        <v>15</v>
      </c>
      <c r="H2025" s="8">
        <f t="shared" si="125"/>
        <v>8.3259999999999987</v>
      </c>
      <c r="I2025" s="6">
        <f t="shared" si="126"/>
        <v>14.999999999999968</v>
      </c>
      <c r="J2025" t="str">
        <f t="shared" si="127"/>
        <v>OK</v>
      </c>
    </row>
    <row r="2026" spans="1:10" x14ac:dyDescent="0.2">
      <c r="A2026">
        <v>12025</v>
      </c>
      <c r="B2026" t="s">
        <v>8</v>
      </c>
      <c r="C2026" t="s">
        <v>6</v>
      </c>
      <c r="D2026" s="8">
        <v>12.4</v>
      </c>
      <c r="E2026">
        <v>2</v>
      </c>
      <c r="F2026" t="str">
        <f t="shared" si="124"/>
        <v>Value</v>
      </c>
      <c r="G2026" s="3" cm="1">
        <f t="array" ref="G2026">_xlfn.XLOOKUP(C2026 &amp; F2026,
         [1]unilever_price_limits!A:A &amp; [1]unilever_price_limits!B:B,
         [1]unilever_price_limits!C:C)</f>
        <v>12</v>
      </c>
      <c r="H2026" s="8">
        <f t="shared" si="125"/>
        <v>13.888000000000002</v>
      </c>
      <c r="I2026" s="6">
        <f t="shared" si="126"/>
        <v>12.000000000000011</v>
      </c>
      <c r="J2026" t="str">
        <f t="shared" si="127"/>
        <v>OK</v>
      </c>
    </row>
    <row r="2027" spans="1:10" x14ac:dyDescent="0.2">
      <c r="A2027">
        <v>12026</v>
      </c>
      <c r="B2027" t="s">
        <v>10</v>
      </c>
      <c r="C2027" t="s">
        <v>6</v>
      </c>
      <c r="D2027" s="8">
        <v>9.41</v>
      </c>
      <c r="E2027">
        <v>9</v>
      </c>
      <c r="F2027" t="str">
        <f t="shared" si="124"/>
        <v>Premium</v>
      </c>
      <c r="G2027" s="3" cm="1">
        <f t="array" ref="G2027">_xlfn.XLOOKUP(C2027 &amp; F2027,
         [1]unilever_price_limits!A:A &amp; [1]unilever_price_limits!B:B,
         [1]unilever_price_limits!C:C)</f>
        <v>55</v>
      </c>
      <c r="H2027" s="8">
        <f t="shared" si="125"/>
        <v>14.585500000000001</v>
      </c>
      <c r="I2027" s="6">
        <f t="shared" si="126"/>
        <v>55.000000000000007</v>
      </c>
      <c r="J2027" t="str">
        <f t="shared" si="127"/>
        <v>OK</v>
      </c>
    </row>
    <row r="2028" spans="1:10" x14ac:dyDescent="0.2">
      <c r="A2028">
        <v>12027</v>
      </c>
      <c r="B2028" t="s">
        <v>5</v>
      </c>
      <c r="C2028" t="s">
        <v>6</v>
      </c>
      <c r="D2028" s="8">
        <v>12.57</v>
      </c>
      <c r="E2028">
        <v>5</v>
      </c>
      <c r="F2028" t="str">
        <f t="shared" si="124"/>
        <v>Standard</v>
      </c>
      <c r="G2028" s="3" cm="1">
        <f t="array" ref="G2028">_xlfn.XLOOKUP(C2028 &amp; F2028,
         [1]unilever_price_limits!A:A &amp; [1]unilever_price_limits!B:B,
         [1]unilever_price_limits!C:C)</f>
        <v>28</v>
      </c>
      <c r="H2028" s="8">
        <f t="shared" si="125"/>
        <v>16.089600000000001</v>
      </c>
      <c r="I2028" s="6">
        <f t="shared" si="126"/>
        <v>28.000000000000004</v>
      </c>
      <c r="J2028" t="str">
        <f t="shared" si="127"/>
        <v>OK</v>
      </c>
    </row>
    <row r="2029" spans="1:10" x14ac:dyDescent="0.2">
      <c r="A2029">
        <v>12028</v>
      </c>
      <c r="B2029" t="s">
        <v>7</v>
      </c>
      <c r="C2029" t="s">
        <v>6</v>
      </c>
      <c r="D2029" s="8">
        <v>7.66</v>
      </c>
      <c r="E2029">
        <v>9</v>
      </c>
      <c r="F2029" t="str">
        <f t="shared" si="124"/>
        <v>Premium</v>
      </c>
      <c r="G2029" s="3" cm="1">
        <f t="array" ref="G2029">_xlfn.XLOOKUP(C2029 &amp; F2029,
         [1]unilever_price_limits!A:A &amp; [1]unilever_price_limits!B:B,
         [1]unilever_price_limits!C:C)</f>
        <v>55</v>
      </c>
      <c r="H2029" s="8">
        <f t="shared" si="125"/>
        <v>11.873000000000001</v>
      </c>
      <c r="I2029" s="6">
        <f t="shared" si="126"/>
        <v>55.000000000000007</v>
      </c>
      <c r="J2029" t="str">
        <f t="shared" si="127"/>
        <v>OK</v>
      </c>
    </row>
    <row r="2030" spans="1:10" x14ac:dyDescent="0.2">
      <c r="A2030">
        <v>12029</v>
      </c>
      <c r="B2030" t="s">
        <v>10</v>
      </c>
      <c r="C2030" t="s">
        <v>6</v>
      </c>
      <c r="D2030" s="8">
        <v>2.2200000000000002</v>
      </c>
      <c r="E2030">
        <v>8</v>
      </c>
      <c r="F2030" t="str">
        <f t="shared" si="124"/>
        <v>Premium</v>
      </c>
      <c r="G2030" s="3" cm="1">
        <f t="array" ref="G2030">_xlfn.XLOOKUP(C2030 &amp; F2030,
         [1]unilever_price_limits!A:A &amp; [1]unilever_price_limits!B:B,
         [1]unilever_price_limits!C:C)</f>
        <v>55</v>
      </c>
      <c r="H2030" s="8">
        <f t="shared" si="125"/>
        <v>3.4410000000000003</v>
      </c>
      <c r="I2030" s="6">
        <f t="shared" si="126"/>
        <v>55.000000000000007</v>
      </c>
      <c r="J2030" t="str">
        <f t="shared" si="127"/>
        <v>OK</v>
      </c>
    </row>
    <row r="2031" spans="1:10" x14ac:dyDescent="0.2">
      <c r="A2031">
        <v>12030</v>
      </c>
      <c r="B2031" t="s">
        <v>7</v>
      </c>
      <c r="C2031" t="s">
        <v>6</v>
      </c>
      <c r="D2031" s="8">
        <v>0.7</v>
      </c>
      <c r="E2031">
        <v>6</v>
      </c>
      <c r="F2031" t="str">
        <f t="shared" si="124"/>
        <v>Standard</v>
      </c>
      <c r="G2031" s="3" cm="1">
        <f t="array" ref="G2031">_xlfn.XLOOKUP(C2031 &amp; F2031,
         [1]unilever_price_limits!A:A &amp; [1]unilever_price_limits!B:B,
         [1]unilever_price_limits!C:C)</f>
        <v>28</v>
      </c>
      <c r="H2031" s="8">
        <f t="shared" si="125"/>
        <v>0.89599999999999991</v>
      </c>
      <c r="I2031" s="6">
        <f t="shared" si="126"/>
        <v>28.000000000000004</v>
      </c>
      <c r="J2031" t="str">
        <f t="shared" si="127"/>
        <v>OK</v>
      </c>
    </row>
    <row r="2032" spans="1:10" x14ac:dyDescent="0.2">
      <c r="A2032">
        <v>12031</v>
      </c>
      <c r="B2032" t="s">
        <v>5</v>
      </c>
      <c r="C2032" t="s">
        <v>6</v>
      </c>
      <c r="D2032" s="8">
        <v>4.9000000000000004</v>
      </c>
      <c r="E2032">
        <v>1</v>
      </c>
      <c r="F2032" t="str">
        <f t="shared" si="124"/>
        <v>Value</v>
      </c>
      <c r="G2032" s="3" cm="1">
        <f t="array" ref="G2032">_xlfn.XLOOKUP(C2032 &amp; F2032,
         [1]unilever_price_limits!A:A &amp; [1]unilever_price_limits!B:B,
         [1]unilever_price_limits!C:C)</f>
        <v>12</v>
      </c>
      <c r="H2032" s="8">
        <f t="shared" si="125"/>
        <v>5.4880000000000013</v>
      </c>
      <c r="I2032" s="6">
        <f t="shared" si="126"/>
        <v>12.000000000000011</v>
      </c>
      <c r="J2032" t="str">
        <f t="shared" si="127"/>
        <v>OK</v>
      </c>
    </row>
    <row r="2033" spans="1:10" x14ac:dyDescent="0.2">
      <c r="A2033">
        <v>12032</v>
      </c>
      <c r="B2033" t="s">
        <v>8</v>
      </c>
      <c r="C2033" t="s">
        <v>6</v>
      </c>
      <c r="D2033" s="8">
        <v>10.62</v>
      </c>
      <c r="E2033">
        <v>10</v>
      </c>
      <c r="F2033" t="str">
        <f t="shared" si="124"/>
        <v>Premium</v>
      </c>
      <c r="G2033" s="3" cm="1">
        <f t="array" ref="G2033">_xlfn.XLOOKUP(C2033 &amp; F2033,
         [1]unilever_price_limits!A:A &amp; [1]unilever_price_limits!B:B,
         [1]unilever_price_limits!C:C)</f>
        <v>55</v>
      </c>
      <c r="H2033" s="8">
        <f t="shared" si="125"/>
        <v>16.460999999999999</v>
      </c>
      <c r="I2033" s="6">
        <f t="shared" si="126"/>
        <v>55.000000000000007</v>
      </c>
      <c r="J2033" t="str">
        <f t="shared" si="127"/>
        <v>OK</v>
      </c>
    </row>
    <row r="2034" spans="1:10" x14ac:dyDescent="0.2">
      <c r="A2034">
        <v>12033</v>
      </c>
      <c r="B2034" t="s">
        <v>5</v>
      </c>
      <c r="C2034" t="s">
        <v>9</v>
      </c>
      <c r="D2034" s="8">
        <v>11.96</v>
      </c>
      <c r="E2034">
        <v>5</v>
      </c>
      <c r="F2034" t="str">
        <f t="shared" si="124"/>
        <v>Standard</v>
      </c>
      <c r="G2034" s="3" cm="1">
        <f t="array" ref="G2034">_xlfn.XLOOKUP(C2034 &amp; F2034,
         [1]unilever_price_limits!A:A &amp; [1]unilever_price_limits!B:B,
         [1]unilever_price_limits!C:C)</f>
        <v>30</v>
      </c>
      <c r="H2034" s="8">
        <f t="shared" si="125"/>
        <v>15.548000000000002</v>
      </c>
      <c r="I2034" s="6">
        <f t="shared" si="126"/>
        <v>30.000000000000004</v>
      </c>
      <c r="J2034" t="str">
        <f t="shared" si="127"/>
        <v>OK</v>
      </c>
    </row>
    <row r="2035" spans="1:10" x14ac:dyDescent="0.2">
      <c r="A2035">
        <v>12034</v>
      </c>
      <c r="B2035" t="s">
        <v>10</v>
      </c>
      <c r="C2035" t="s">
        <v>6</v>
      </c>
      <c r="D2035" s="8">
        <v>4.79</v>
      </c>
      <c r="E2035">
        <v>1</v>
      </c>
      <c r="F2035" t="str">
        <f t="shared" si="124"/>
        <v>Value</v>
      </c>
      <c r="G2035" s="3" cm="1">
        <f t="array" ref="G2035">_xlfn.XLOOKUP(C2035 &amp; F2035,
         [1]unilever_price_limits!A:A &amp; [1]unilever_price_limits!B:B,
         [1]unilever_price_limits!C:C)</f>
        <v>12</v>
      </c>
      <c r="H2035" s="8">
        <f t="shared" si="125"/>
        <v>5.3648000000000007</v>
      </c>
      <c r="I2035" s="6">
        <f t="shared" si="126"/>
        <v>12.000000000000011</v>
      </c>
      <c r="J2035" t="str">
        <f t="shared" si="127"/>
        <v>OK</v>
      </c>
    </row>
    <row r="2036" spans="1:10" x14ac:dyDescent="0.2">
      <c r="A2036">
        <v>12035</v>
      </c>
      <c r="B2036" t="s">
        <v>8</v>
      </c>
      <c r="C2036" t="s">
        <v>6</v>
      </c>
      <c r="D2036" s="8">
        <v>7.69</v>
      </c>
      <c r="E2036">
        <v>7</v>
      </c>
      <c r="F2036" t="str">
        <f t="shared" si="124"/>
        <v>Standard</v>
      </c>
      <c r="G2036" s="3" cm="1">
        <f t="array" ref="G2036">_xlfn.XLOOKUP(C2036 &amp; F2036,
         [1]unilever_price_limits!A:A &amp; [1]unilever_price_limits!B:B,
         [1]unilever_price_limits!C:C)</f>
        <v>28</v>
      </c>
      <c r="H2036" s="8">
        <f t="shared" si="125"/>
        <v>9.8432000000000013</v>
      </c>
      <c r="I2036" s="6">
        <f t="shared" si="126"/>
        <v>28.000000000000004</v>
      </c>
      <c r="J2036" t="str">
        <f t="shared" si="127"/>
        <v>OK</v>
      </c>
    </row>
    <row r="2037" spans="1:10" x14ac:dyDescent="0.2">
      <c r="A2037">
        <v>12036</v>
      </c>
      <c r="B2037" t="s">
        <v>10</v>
      </c>
      <c r="C2037" t="s">
        <v>6</v>
      </c>
      <c r="D2037" s="8">
        <v>6.61</v>
      </c>
      <c r="E2037">
        <v>10</v>
      </c>
      <c r="F2037" t="str">
        <f t="shared" si="124"/>
        <v>Premium</v>
      </c>
      <c r="G2037" s="3" cm="1">
        <f t="array" ref="G2037">_xlfn.XLOOKUP(C2037 &amp; F2037,
         [1]unilever_price_limits!A:A &amp; [1]unilever_price_limits!B:B,
         [1]unilever_price_limits!C:C)</f>
        <v>55</v>
      </c>
      <c r="H2037" s="8">
        <f t="shared" si="125"/>
        <v>10.245500000000002</v>
      </c>
      <c r="I2037" s="6">
        <f t="shared" si="126"/>
        <v>55.000000000000028</v>
      </c>
      <c r="J2037" t="str">
        <f t="shared" si="127"/>
        <v>OK</v>
      </c>
    </row>
    <row r="2038" spans="1:10" x14ac:dyDescent="0.2">
      <c r="A2038">
        <v>12037</v>
      </c>
      <c r="B2038" t="s">
        <v>10</v>
      </c>
      <c r="C2038" t="s">
        <v>11</v>
      </c>
      <c r="D2038" s="8">
        <v>6.45</v>
      </c>
      <c r="E2038">
        <v>8</v>
      </c>
      <c r="F2038" t="str">
        <f t="shared" si="124"/>
        <v>Premium</v>
      </c>
      <c r="G2038" s="3" cm="1">
        <f t="array" ref="G2038">_xlfn.XLOOKUP(C2038 &amp; F2038,
         [1]unilever_price_limits!A:A &amp; [1]unilever_price_limits!B:B,
         [1]unilever_price_limits!C:C)</f>
        <v>50</v>
      </c>
      <c r="H2038" s="8">
        <f t="shared" si="125"/>
        <v>9.6750000000000007</v>
      </c>
      <c r="I2038" s="6">
        <f t="shared" si="126"/>
        <v>50</v>
      </c>
      <c r="J2038" t="str">
        <f t="shared" si="127"/>
        <v>OK</v>
      </c>
    </row>
    <row r="2039" spans="1:10" x14ac:dyDescent="0.2">
      <c r="A2039">
        <v>12038</v>
      </c>
      <c r="B2039" t="s">
        <v>5</v>
      </c>
      <c r="C2039" t="s">
        <v>9</v>
      </c>
      <c r="D2039" s="8">
        <v>3.85</v>
      </c>
      <c r="E2039">
        <v>8</v>
      </c>
      <c r="F2039" t="str">
        <f t="shared" si="124"/>
        <v>Premium</v>
      </c>
      <c r="G2039" s="3" cm="1">
        <f t="array" ref="G2039">_xlfn.XLOOKUP(C2039 &amp; F2039,
         [1]unilever_price_limits!A:A &amp; [1]unilever_price_limits!B:B,
         [1]unilever_price_limits!C:C)</f>
        <v>60</v>
      </c>
      <c r="H2039" s="8">
        <f t="shared" si="125"/>
        <v>6.16</v>
      </c>
      <c r="I2039" s="6">
        <f t="shared" si="126"/>
        <v>60.000000000000007</v>
      </c>
      <c r="J2039" t="str">
        <f t="shared" si="127"/>
        <v>OK</v>
      </c>
    </row>
    <row r="2040" spans="1:10" x14ac:dyDescent="0.2">
      <c r="A2040">
        <v>12039</v>
      </c>
      <c r="B2040" t="s">
        <v>10</v>
      </c>
      <c r="C2040" t="s">
        <v>9</v>
      </c>
      <c r="D2040" s="8">
        <v>2.48</v>
      </c>
      <c r="E2040">
        <v>7</v>
      </c>
      <c r="F2040" t="str">
        <f t="shared" si="124"/>
        <v>Standard</v>
      </c>
      <c r="G2040" s="3" cm="1">
        <f t="array" ref="G2040">_xlfn.XLOOKUP(C2040 &amp; F2040,
         [1]unilever_price_limits!A:A &amp; [1]unilever_price_limits!B:B,
         [1]unilever_price_limits!C:C)</f>
        <v>30</v>
      </c>
      <c r="H2040" s="8">
        <f t="shared" si="125"/>
        <v>3.2240000000000002</v>
      </c>
      <c r="I2040" s="6">
        <f t="shared" si="126"/>
        <v>30.000000000000004</v>
      </c>
      <c r="J2040" t="str">
        <f t="shared" si="127"/>
        <v>OK</v>
      </c>
    </row>
    <row r="2041" spans="1:10" x14ac:dyDescent="0.2">
      <c r="A2041">
        <v>12040</v>
      </c>
      <c r="B2041" t="s">
        <v>5</v>
      </c>
      <c r="C2041" t="s">
        <v>9</v>
      </c>
      <c r="D2041" s="8">
        <v>3.35</v>
      </c>
      <c r="E2041">
        <v>2</v>
      </c>
      <c r="F2041" t="str">
        <f t="shared" si="124"/>
        <v>Value</v>
      </c>
      <c r="G2041" s="3" cm="1">
        <f t="array" ref="G2041">_xlfn.XLOOKUP(C2041 &amp; F2041,
         [1]unilever_price_limits!A:A &amp; [1]unilever_price_limits!B:B,
         [1]unilever_price_limits!C:C)</f>
        <v>15</v>
      </c>
      <c r="H2041" s="8">
        <f t="shared" si="125"/>
        <v>3.8524999999999996</v>
      </c>
      <c r="I2041" s="6">
        <f t="shared" si="126"/>
        <v>14.999999999999991</v>
      </c>
      <c r="J2041" t="str">
        <f t="shared" si="127"/>
        <v>OK</v>
      </c>
    </row>
    <row r="2042" spans="1:10" x14ac:dyDescent="0.2">
      <c r="A2042">
        <v>12041</v>
      </c>
      <c r="B2042" t="s">
        <v>8</v>
      </c>
      <c r="C2042" t="s">
        <v>6</v>
      </c>
      <c r="D2042" s="8">
        <v>1.3</v>
      </c>
      <c r="E2042">
        <v>5</v>
      </c>
      <c r="F2042" t="str">
        <f t="shared" si="124"/>
        <v>Standard</v>
      </c>
      <c r="G2042" s="3" cm="1">
        <f t="array" ref="G2042">_xlfn.XLOOKUP(C2042 &amp; F2042,
         [1]unilever_price_limits!A:A &amp; [1]unilever_price_limits!B:B,
         [1]unilever_price_limits!C:C)</f>
        <v>28</v>
      </c>
      <c r="H2042" s="8">
        <f t="shared" si="125"/>
        <v>1.6640000000000001</v>
      </c>
      <c r="I2042" s="6">
        <f t="shared" si="126"/>
        <v>28.000000000000004</v>
      </c>
      <c r="J2042" t="str">
        <f t="shared" si="127"/>
        <v>OK</v>
      </c>
    </row>
    <row r="2043" spans="1:10" x14ac:dyDescent="0.2">
      <c r="A2043">
        <v>12042</v>
      </c>
      <c r="B2043" t="s">
        <v>5</v>
      </c>
      <c r="C2043" t="s">
        <v>6</v>
      </c>
      <c r="D2043" s="8">
        <v>3.37</v>
      </c>
      <c r="E2043">
        <v>4</v>
      </c>
      <c r="F2043" t="str">
        <f t="shared" si="124"/>
        <v>Standard</v>
      </c>
      <c r="G2043" s="3" cm="1">
        <f t="array" ref="G2043">_xlfn.XLOOKUP(C2043 &amp; F2043,
         [1]unilever_price_limits!A:A &amp; [1]unilever_price_limits!B:B,
         [1]unilever_price_limits!C:C)</f>
        <v>28</v>
      </c>
      <c r="H2043" s="8">
        <f t="shared" si="125"/>
        <v>4.3136000000000001</v>
      </c>
      <c r="I2043" s="6">
        <f t="shared" si="126"/>
        <v>28.000000000000004</v>
      </c>
      <c r="J2043" t="str">
        <f t="shared" si="127"/>
        <v>OK</v>
      </c>
    </row>
    <row r="2044" spans="1:10" x14ac:dyDescent="0.2">
      <c r="A2044">
        <v>12043</v>
      </c>
      <c r="B2044" t="s">
        <v>8</v>
      </c>
      <c r="C2044" t="s">
        <v>11</v>
      </c>
      <c r="D2044" s="8">
        <v>0.63</v>
      </c>
      <c r="E2044">
        <v>5</v>
      </c>
      <c r="F2044" t="str">
        <f t="shared" si="124"/>
        <v>Standard</v>
      </c>
      <c r="G2044" s="3" cm="1">
        <f t="array" ref="G2044">_xlfn.XLOOKUP(C2044 &amp; F2044,
         [1]unilever_price_limits!A:A &amp; [1]unilever_price_limits!B:B,
         [1]unilever_price_limits!C:C)</f>
        <v>25</v>
      </c>
      <c r="H2044" s="8">
        <f t="shared" si="125"/>
        <v>0.78749999999999998</v>
      </c>
      <c r="I2044" s="6">
        <f t="shared" si="126"/>
        <v>25</v>
      </c>
      <c r="J2044" t="str">
        <f t="shared" si="127"/>
        <v>OK</v>
      </c>
    </row>
    <row r="2045" spans="1:10" x14ac:dyDescent="0.2">
      <c r="A2045">
        <v>12044</v>
      </c>
      <c r="B2045" t="s">
        <v>5</v>
      </c>
      <c r="C2045" t="s">
        <v>9</v>
      </c>
      <c r="D2045" s="8">
        <v>9.6</v>
      </c>
      <c r="E2045">
        <v>10</v>
      </c>
      <c r="F2045" t="str">
        <f t="shared" si="124"/>
        <v>Premium</v>
      </c>
      <c r="G2045" s="3" cm="1">
        <f t="array" ref="G2045">_xlfn.XLOOKUP(C2045 &amp; F2045,
         [1]unilever_price_limits!A:A &amp; [1]unilever_price_limits!B:B,
         [1]unilever_price_limits!C:C)</f>
        <v>60</v>
      </c>
      <c r="H2045" s="8">
        <f t="shared" si="125"/>
        <v>15.36</v>
      </c>
      <c r="I2045" s="6">
        <f t="shared" si="126"/>
        <v>60.000000000000007</v>
      </c>
      <c r="J2045" t="str">
        <f t="shared" si="127"/>
        <v>OK</v>
      </c>
    </row>
    <row r="2046" spans="1:10" x14ac:dyDescent="0.2">
      <c r="A2046">
        <v>12045</v>
      </c>
      <c r="B2046" t="s">
        <v>7</v>
      </c>
      <c r="C2046" t="s">
        <v>6</v>
      </c>
      <c r="D2046" s="8">
        <v>5.09</v>
      </c>
      <c r="E2046">
        <v>9</v>
      </c>
      <c r="F2046" t="str">
        <f t="shared" si="124"/>
        <v>Premium</v>
      </c>
      <c r="G2046" s="3" cm="1">
        <f t="array" ref="G2046">_xlfn.XLOOKUP(C2046 &amp; F2046,
         [1]unilever_price_limits!A:A &amp; [1]unilever_price_limits!B:B,
         [1]unilever_price_limits!C:C)</f>
        <v>55</v>
      </c>
      <c r="H2046" s="8">
        <f t="shared" si="125"/>
        <v>7.8895</v>
      </c>
      <c r="I2046" s="6">
        <f t="shared" si="126"/>
        <v>55.000000000000007</v>
      </c>
      <c r="J2046" t="str">
        <f t="shared" si="127"/>
        <v>OK</v>
      </c>
    </row>
    <row r="2047" spans="1:10" x14ac:dyDescent="0.2">
      <c r="A2047">
        <v>12046</v>
      </c>
      <c r="B2047" t="s">
        <v>7</v>
      </c>
      <c r="C2047" t="s">
        <v>9</v>
      </c>
      <c r="D2047" s="8">
        <v>14.61</v>
      </c>
      <c r="E2047">
        <v>4</v>
      </c>
      <c r="F2047" t="str">
        <f t="shared" si="124"/>
        <v>Standard</v>
      </c>
      <c r="G2047" s="3" cm="1">
        <f t="array" ref="G2047">_xlfn.XLOOKUP(C2047 &amp; F2047,
         [1]unilever_price_limits!A:A &amp; [1]unilever_price_limits!B:B,
         [1]unilever_price_limits!C:C)</f>
        <v>30</v>
      </c>
      <c r="H2047" s="8">
        <f t="shared" si="125"/>
        <v>18.992999999999999</v>
      </c>
      <c r="I2047" s="6">
        <f t="shared" si="126"/>
        <v>30.000000000000004</v>
      </c>
      <c r="J2047" t="str">
        <f t="shared" si="127"/>
        <v>OK</v>
      </c>
    </row>
    <row r="2048" spans="1:10" x14ac:dyDescent="0.2">
      <c r="A2048">
        <v>12047</v>
      </c>
      <c r="B2048" t="s">
        <v>10</v>
      </c>
      <c r="C2048" t="s">
        <v>11</v>
      </c>
      <c r="D2048" s="8">
        <v>3.31</v>
      </c>
      <c r="E2048">
        <v>8</v>
      </c>
      <c r="F2048" t="str">
        <f t="shared" si="124"/>
        <v>Premium</v>
      </c>
      <c r="G2048" s="3" cm="1">
        <f t="array" ref="G2048">_xlfn.XLOOKUP(C2048 &amp; F2048,
         [1]unilever_price_limits!A:A &amp; [1]unilever_price_limits!B:B,
         [1]unilever_price_limits!C:C)</f>
        <v>50</v>
      </c>
      <c r="H2048" s="8">
        <f t="shared" si="125"/>
        <v>4.9649999999999999</v>
      </c>
      <c r="I2048" s="6">
        <f t="shared" si="126"/>
        <v>50</v>
      </c>
      <c r="J2048" t="str">
        <f t="shared" si="127"/>
        <v>OK</v>
      </c>
    </row>
    <row r="2049" spans="1:10" x14ac:dyDescent="0.2">
      <c r="A2049">
        <v>12048</v>
      </c>
      <c r="B2049" t="s">
        <v>5</v>
      </c>
      <c r="C2049" t="s">
        <v>11</v>
      </c>
      <c r="D2049" s="8">
        <v>5.51</v>
      </c>
      <c r="E2049">
        <v>8</v>
      </c>
      <c r="F2049" t="str">
        <f t="shared" si="124"/>
        <v>Premium</v>
      </c>
      <c r="G2049" s="3" cm="1">
        <f t="array" ref="G2049">_xlfn.XLOOKUP(C2049 &amp; F2049,
         [1]unilever_price_limits!A:A &amp; [1]unilever_price_limits!B:B,
         [1]unilever_price_limits!C:C)</f>
        <v>50</v>
      </c>
      <c r="H2049" s="8">
        <f t="shared" si="125"/>
        <v>8.2650000000000006</v>
      </c>
      <c r="I2049" s="6">
        <f t="shared" si="126"/>
        <v>50.000000000000021</v>
      </c>
      <c r="J2049" t="str">
        <f t="shared" si="127"/>
        <v>OK</v>
      </c>
    </row>
    <row r="2050" spans="1:10" x14ac:dyDescent="0.2">
      <c r="A2050">
        <v>12049</v>
      </c>
      <c r="B2050" t="s">
        <v>5</v>
      </c>
      <c r="C2050" t="s">
        <v>11</v>
      </c>
      <c r="D2050" s="8">
        <v>5.69</v>
      </c>
      <c r="E2050">
        <v>2</v>
      </c>
      <c r="F2050" t="str">
        <f t="shared" si="124"/>
        <v>Value</v>
      </c>
      <c r="G2050" s="3" cm="1">
        <f t="array" ref="G2050">_xlfn.XLOOKUP(C2050 &amp; F2050,
         [1]unilever_price_limits!A:A &amp; [1]unilever_price_limits!B:B,
         [1]unilever_price_limits!C:C)</f>
        <v>10</v>
      </c>
      <c r="H2050" s="8">
        <f t="shared" si="125"/>
        <v>6.2590000000000012</v>
      </c>
      <c r="I2050" s="6">
        <f t="shared" si="126"/>
        <v>10.000000000000009</v>
      </c>
      <c r="J2050" t="str">
        <f t="shared" si="127"/>
        <v>OK</v>
      </c>
    </row>
    <row r="2051" spans="1:10" x14ac:dyDescent="0.2">
      <c r="A2051">
        <v>12050</v>
      </c>
      <c r="B2051" t="s">
        <v>8</v>
      </c>
      <c r="C2051" t="s">
        <v>9</v>
      </c>
      <c r="D2051" s="8">
        <v>0.62</v>
      </c>
      <c r="E2051">
        <v>6</v>
      </c>
      <c r="F2051" t="str">
        <f t="shared" ref="F2051:F2114" si="128">IF(E2051&lt;=3,"Value",
 IF(E2051&lt;=7,"Standard","Premium"))</f>
        <v>Standard</v>
      </c>
      <c r="G2051" s="3" cm="1">
        <f t="array" ref="G2051">_xlfn.XLOOKUP(C2051 &amp; F2051,
         [1]unilever_price_limits!A:A &amp; [1]unilever_price_limits!B:B,
         [1]unilever_price_limits!C:C)</f>
        <v>30</v>
      </c>
      <c r="H2051" s="8">
        <f t="shared" ref="H2051:H2114" si="129">D2051 * (1 + G2051/100)</f>
        <v>0.80600000000000005</v>
      </c>
      <c r="I2051" s="6">
        <f t="shared" ref="I2051:I2114" si="130">(H2051 / D2051 - 1) * 100</f>
        <v>30.000000000000004</v>
      </c>
      <c r="J2051" t="str">
        <f t="shared" ref="J2051:J2114" si="131">IF(I2050&gt; G2050, "⚠ Exceeds Limit", "OK")</f>
        <v>OK</v>
      </c>
    </row>
    <row r="2052" spans="1:10" x14ac:dyDescent="0.2">
      <c r="A2052">
        <v>12051</v>
      </c>
      <c r="B2052" t="s">
        <v>10</v>
      </c>
      <c r="C2052" t="s">
        <v>6</v>
      </c>
      <c r="D2052" s="8">
        <v>12.67</v>
      </c>
      <c r="E2052">
        <v>5</v>
      </c>
      <c r="F2052" t="str">
        <f t="shared" si="128"/>
        <v>Standard</v>
      </c>
      <c r="G2052" s="3" cm="1">
        <f t="array" ref="G2052">_xlfn.XLOOKUP(C2052 &amp; F2052,
         [1]unilever_price_limits!A:A &amp; [1]unilever_price_limits!B:B,
         [1]unilever_price_limits!C:C)</f>
        <v>28</v>
      </c>
      <c r="H2052" s="8">
        <f t="shared" si="129"/>
        <v>16.217600000000001</v>
      </c>
      <c r="I2052" s="6">
        <f t="shared" si="130"/>
        <v>28.000000000000004</v>
      </c>
      <c r="J2052" t="str">
        <f t="shared" si="131"/>
        <v>OK</v>
      </c>
    </row>
    <row r="2053" spans="1:10" x14ac:dyDescent="0.2">
      <c r="A2053">
        <v>12052</v>
      </c>
      <c r="B2053" t="s">
        <v>5</v>
      </c>
      <c r="C2053" t="s">
        <v>6</v>
      </c>
      <c r="D2053" s="8">
        <v>0.96</v>
      </c>
      <c r="E2053">
        <v>2</v>
      </c>
      <c r="F2053" t="str">
        <f t="shared" si="128"/>
        <v>Value</v>
      </c>
      <c r="G2053" s="3" cm="1">
        <f t="array" ref="G2053">_xlfn.XLOOKUP(C2053 &amp; F2053,
         [1]unilever_price_limits!A:A &amp; [1]unilever_price_limits!B:B,
         [1]unilever_price_limits!C:C)</f>
        <v>12</v>
      </c>
      <c r="H2053" s="8">
        <f t="shared" si="129"/>
        <v>1.0752000000000002</v>
      </c>
      <c r="I2053" s="6">
        <f t="shared" si="130"/>
        <v>12.000000000000011</v>
      </c>
      <c r="J2053" t="str">
        <f t="shared" si="131"/>
        <v>OK</v>
      </c>
    </row>
    <row r="2054" spans="1:10" x14ac:dyDescent="0.2">
      <c r="A2054">
        <v>12053</v>
      </c>
      <c r="B2054" t="s">
        <v>10</v>
      </c>
      <c r="C2054" t="s">
        <v>11</v>
      </c>
      <c r="D2054" s="8">
        <v>14.13</v>
      </c>
      <c r="E2054">
        <v>10</v>
      </c>
      <c r="F2054" t="str">
        <f t="shared" si="128"/>
        <v>Premium</v>
      </c>
      <c r="G2054" s="3" cm="1">
        <f t="array" ref="G2054">_xlfn.XLOOKUP(C2054 &amp; F2054,
         [1]unilever_price_limits!A:A &amp; [1]unilever_price_limits!B:B,
         [1]unilever_price_limits!C:C)</f>
        <v>50</v>
      </c>
      <c r="H2054" s="8">
        <f t="shared" si="129"/>
        <v>21.195</v>
      </c>
      <c r="I2054" s="6">
        <f t="shared" si="130"/>
        <v>50</v>
      </c>
      <c r="J2054" t="str">
        <f t="shared" si="131"/>
        <v>OK</v>
      </c>
    </row>
    <row r="2055" spans="1:10" x14ac:dyDescent="0.2">
      <c r="A2055">
        <v>12054</v>
      </c>
      <c r="B2055" t="s">
        <v>7</v>
      </c>
      <c r="C2055" t="s">
        <v>6</v>
      </c>
      <c r="D2055" s="8">
        <v>13.44</v>
      </c>
      <c r="E2055">
        <v>4</v>
      </c>
      <c r="F2055" t="str">
        <f t="shared" si="128"/>
        <v>Standard</v>
      </c>
      <c r="G2055" s="3" cm="1">
        <f t="array" ref="G2055">_xlfn.XLOOKUP(C2055 &amp; F2055,
         [1]unilever_price_limits!A:A &amp; [1]unilever_price_limits!B:B,
         [1]unilever_price_limits!C:C)</f>
        <v>28</v>
      </c>
      <c r="H2055" s="8">
        <f t="shared" si="129"/>
        <v>17.203199999999999</v>
      </c>
      <c r="I2055" s="6">
        <f t="shared" si="130"/>
        <v>28.000000000000004</v>
      </c>
      <c r="J2055" t="str">
        <f t="shared" si="131"/>
        <v>OK</v>
      </c>
    </row>
    <row r="2056" spans="1:10" x14ac:dyDescent="0.2">
      <c r="A2056">
        <v>12055</v>
      </c>
      <c r="B2056" t="s">
        <v>5</v>
      </c>
      <c r="C2056" t="s">
        <v>11</v>
      </c>
      <c r="D2056" s="8">
        <v>8.27</v>
      </c>
      <c r="E2056">
        <v>7</v>
      </c>
      <c r="F2056" t="str">
        <f t="shared" si="128"/>
        <v>Standard</v>
      </c>
      <c r="G2056" s="3" cm="1">
        <f t="array" ref="G2056">_xlfn.XLOOKUP(C2056 &amp; F2056,
         [1]unilever_price_limits!A:A &amp; [1]unilever_price_limits!B:B,
         [1]unilever_price_limits!C:C)</f>
        <v>25</v>
      </c>
      <c r="H2056" s="8">
        <f t="shared" si="129"/>
        <v>10.337499999999999</v>
      </c>
      <c r="I2056" s="6">
        <f t="shared" si="130"/>
        <v>25</v>
      </c>
      <c r="J2056" t="str">
        <f t="shared" si="131"/>
        <v>OK</v>
      </c>
    </row>
    <row r="2057" spans="1:10" x14ac:dyDescent="0.2">
      <c r="A2057">
        <v>12056</v>
      </c>
      <c r="B2057" t="s">
        <v>5</v>
      </c>
      <c r="C2057" t="s">
        <v>9</v>
      </c>
      <c r="D2057" s="8">
        <v>8.3800000000000008</v>
      </c>
      <c r="E2057">
        <v>1</v>
      </c>
      <c r="F2057" t="str">
        <f t="shared" si="128"/>
        <v>Value</v>
      </c>
      <c r="G2057" s="3" cm="1">
        <f t="array" ref="G2057">_xlfn.XLOOKUP(C2057 &amp; F2057,
         [1]unilever_price_limits!A:A &amp; [1]unilever_price_limits!B:B,
         [1]unilever_price_limits!C:C)</f>
        <v>15</v>
      </c>
      <c r="H2057" s="8">
        <f t="shared" si="129"/>
        <v>9.6370000000000005</v>
      </c>
      <c r="I2057" s="6">
        <f t="shared" si="130"/>
        <v>14.999999999999991</v>
      </c>
      <c r="J2057" t="str">
        <f t="shared" si="131"/>
        <v>OK</v>
      </c>
    </row>
    <row r="2058" spans="1:10" x14ac:dyDescent="0.2">
      <c r="A2058">
        <v>12057</v>
      </c>
      <c r="B2058" t="s">
        <v>10</v>
      </c>
      <c r="C2058" t="s">
        <v>11</v>
      </c>
      <c r="D2058" s="8">
        <v>9.98</v>
      </c>
      <c r="E2058">
        <v>9</v>
      </c>
      <c r="F2058" t="str">
        <f t="shared" si="128"/>
        <v>Premium</v>
      </c>
      <c r="G2058" s="3" cm="1">
        <f t="array" ref="G2058">_xlfn.XLOOKUP(C2058 &amp; F2058,
         [1]unilever_price_limits!A:A &amp; [1]unilever_price_limits!B:B,
         [1]unilever_price_limits!C:C)</f>
        <v>50</v>
      </c>
      <c r="H2058" s="8">
        <f t="shared" si="129"/>
        <v>14.97</v>
      </c>
      <c r="I2058" s="6">
        <f t="shared" si="130"/>
        <v>50</v>
      </c>
      <c r="J2058" t="str">
        <f t="shared" si="131"/>
        <v>OK</v>
      </c>
    </row>
    <row r="2059" spans="1:10" x14ac:dyDescent="0.2">
      <c r="A2059">
        <v>12058</v>
      </c>
      <c r="B2059" t="s">
        <v>5</v>
      </c>
      <c r="C2059" t="s">
        <v>9</v>
      </c>
      <c r="D2059" s="8">
        <v>6.11</v>
      </c>
      <c r="E2059">
        <v>10</v>
      </c>
      <c r="F2059" t="str">
        <f t="shared" si="128"/>
        <v>Premium</v>
      </c>
      <c r="G2059" s="3" cm="1">
        <f t="array" ref="G2059">_xlfn.XLOOKUP(C2059 &amp; F2059,
         [1]unilever_price_limits!A:A &amp; [1]unilever_price_limits!B:B,
         [1]unilever_price_limits!C:C)</f>
        <v>60</v>
      </c>
      <c r="H2059" s="8">
        <f t="shared" si="129"/>
        <v>9.7760000000000016</v>
      </c>
      <c r="I2059" s="6">
        <f t="shared" si="130"/>
        <v>60.000000000000007</v>
      </c>
      <c r="J2059" t="str">
        <f t="shared" si="131"/>
        <v>OK</v>
      </c>
    </row>
    <row r="2060" spans="1:10" x14ac:dyDescent="0.2">
      <c r="A2060">
        <v>12059</v>
      </c>
      <c r="B2060" t="s">
        <v>10</v>
      </c>
      <c r="C2060" t="s">
        <v>11</v>
      </c>
      <c r="D2060" s="8">
        <v>9.8800000000000008</v>
      </c>
      <c r="E2060">
        <v>1</v>
      </c>
      <c r="F2060" t="str">
        <f t="shared" si="128"/>
        <v>Value</v>
      </c>
      <c r="G2060" s="3" cm="1">
        <f t="array" ref="G2060">_xlfn.XLOOKUP(C2060 &amp; F2060,
         [1]unilever_price_limits!A:A &amp; [1]unilever_price_limits!B:B,
         [1]unilever_price_limits!C:C)</f>
        <v>10</v>
      </c>
      <c r="H2060" s="8">
        <f t="shared" si="129"/>
        <v>10.868000000000002</v>
      </c>
      <c r="I2060" s="6">
        <f t="shared" si="130"/>
        <v>10.000000000000009</v>
      </c>
      <c r="J2060" t="str">
        <f t="shared" si="131"/>
        <v>OK</v>
      </c>
    </row>
    <row r="2061" spans="1:10" x14ac:dyDescent="0.2">
      <c r="A2061">
        <v>12060</v>
      </c>
      <c r="B2061" t="s">
        <v>5</v>
      </c>
      <c r="C2061" t="s">
        <v>6</v>
      </c>
      <c r="D2061" s="8">
        <v>1.1499999999999999</v>
      </c>
      <c r="E2061">
        <v>5</v>
      </c>
      <c r="F2061" t="str">
        <f t="shared" si="128"/>
        <v>Standard</v>
      </c>
      <c r="G2061" s="3" cm="1">
        <f t="array" ref="G2061">_xlfn.XLOOKUP(C2061 &amp; F2061,
         [1]unilever_price_limits!A:A &amp; [1]unilever_price_limits!B:B,
         [1]unilever_price_limits!C:C)</f>
        <v>28</v>
      </c>
      <c r="H2061" s="8">
        <f t="shared" si="129"/>
        <v>1.472</v>
      </c>
      <c r="I2061" s="6">
        <f t="shared" si="130"/>
        <v>28.000000000000004</v>
      </c>
      <c r="J2061" t="str">
        <f t="shared" si="131"/>
        <v>OK</v>
      </c>
    </row>
    <row r="2062" spans="1:10" x14ac:dyDescent="0.2">
      <c r="A2062">
        <v>12061</v>
      </c>
      <c r="B2062" t="s">
        <v>8</v>
      </c>
      <c r="C2062" t="s">
        <v>6</v>
      </c>
      <c r="D2062" s="8">
        <v>1.28</v>
      </c>
      <c r="E2062">
        <v>7</v>
      </c>
      <c r="F2062" t="str">
        <f t="shared" si="128"/>
        <v>Standard</v>
      </c>
      <c r="G2062" s="3" cm="1">
        <f t="array" ref="G2062">_xlfn.XLOOKUP(C2062 &amp; F2062,
         [1]unilever_price_limits!A:A &amp; [1]unilever_price_limits!B:B,
         [1]unilever_price_limits!C:C)</f>
        <v>28</v>
      </c>
      <c r="H2062" s="8">
        <f t="shared" si="129"/>
        <v>1.6384000000000001</v>
      </c>
      <c r="I2062" s="6">
        <f t="shared" si="130"/>
        <v>28.000000000000004</v>
      </c>
      <c r="J2062" t="str">
        <f t="shared" si="131"/>
        <v>OK</v>
      </c>
    </row>
    <row r="2063" spans="1:10" x14ac:dyDescent="0.2">
      <c r="A2063">
        <v>12062</v>
      </c>
      <c r="B2063" t="s">
        <v>10</v>
      </c>
      <c r="C2063" t="s">
        <v>11</v>
      </c>
      <c r="D2063" s="8">
        <v>7.13</v>
      </c>
      <c r="E2063">
        <v>8</v>
      </c>
      <c r="F2063" t="str">
        <f t="shared" si="128"/>
        <v>Premium</v>
      </c>
      <c r="G2063" s="3" cm="1">
        <f t="array" ref="G2063">_xlfn.XLOOKUP(C2063 &amp; F2063,
         [1]unilever_price_limits!A:A &amp; [1]unilever_price_limits!B:B,
         [1]unilever_price_limits!C:C)</f>
        <v>50</v>
      </c>
      <c r="H2063" s="8">
        <f t="shared" si="129"/>
        <v>10.695</v>
      </c>
      <c r="I2063" s="6">
        <f t="shared" si="130"/>
        <v>50</v>
      </c>
      <c r="J2063" t="str">
        <f t="shared" si="131"/>
        <v>OK</v>
      </c>
    </row>
    <row r="2064" spans="1:10" x14ac:dyDescent="0.2">
      <c r="A2064">
        <v>12063</v>
      </c>
      <c r="B2064" t="s">
        <v>5</v>
      </c>
      <c r="C2064" t="s">
        <v>6</v>
      </c>
      <c r="D2064" s="8">
        <v>8.4700000000000006</v>
      </c>
      <c r="E2064">
        <v>2</v>
      </c>
      <c r="F2064" t="str">
        <f t="shared" si="128"/>
        <v>Value</v>
      </c>
      <c r="G2064" s="3" cm="1">
        <f t="array" ref="G2064">_xlfn.XLOOKUP(C2064 &amp; F2064,
         [1]unilever_price_limits!A:A &amp; [1]unilever_price_limits!B:B,
         [1]unilever_price_limits!C:C)</f>
        <v>12</v>
      </c>
      <c r="H2064" s="8">
        <f t="shared" si="129"/>
        <v>9.4864000000000015</v>
      </c>
      <c r="I2064" s="6">
        <f t="shared" si="130"/>
        <v>12.000000000000011</v>
      </c>
      <c r="J2064" t="str">
        <f t="shared" si="131"/>
        <v>OK</v>
      </c>
    </row>
    <row r="2065" spans="1:10" x14ac:dyDescent="0.2">
      <c r="A2065">
        <v>12064</v>
      </c>
      <c r="B2065" t="s">
        <v>7</v>
      </c>
      <c r="C2065" t="s">
        <v>6</v>
      </c>
      <c r="D2065" s="8">
        <v>13.37</v>
      </c>
      <c r="E2065">
        <v>4</v>
      </c>
      <c r="F2065" t="str">
        <f t="shared" si="128"/>
        <v>Standard</v>
      </c>
      <c r="G2065" s="3" cm="1">
        <f t="array" ref="G2065">_xlfn.XLOOKUP(C2065 &amp; F2065,
         [1]unilever_price_limits!A:A &amp; [1]unilever_price_limits!B:B,
         [1]unilever_price_limits!C:C)</f>
        <v>28</v>
      </c>
      <c r="H2065" s="8">
        <f t="shared" si="129"/>
        <v>17.113599999999998</v>
      </c>
      <c r="I2065" s="6">
        <f t="shared" si="130"/>
        <v>28.000000000000004</v>
      </c>
      <c r="J2065" t="str">
        <f t="shared" si="131"/>
        <v>OK</v>
      </c>
    </row>
    <row r="2066" spans="1:10" x14ac:dyDescent="0.2">
      <c r="A2066">
        <v>12065</v>
      </c>
      <c r="B2066" t="s">
        <v>5</v>
      </c>
      <c r="C2066" t="s">
        <v>6</v>
      </c>
      <c r="D2066" s="8">
        <v>2.02</v>
      </c>
      <c r="E2066">
        <v>2</v>
      </c>
      <c r="F2066" t="str">
        <f t="shared" si="128"/>
        <v>Value</v>
      </c>
      <c r="G2066" s="3" cm="1">
        <f t="array" ref="G2066">_xlfn.XLOOKUP(C2066 &amp; F2066,
         [1]unilever_price_limits!A:A &amp; [1]unilever_price_limits!B:B,
         [1]unilever_price_limits!C:C)</f>
        <v>12</v>
      </c>
      <c r="H2066" s="8">
        <f t="shared" si="129"/>
        <v>2.2624000000000004</v>
      </c>
      <c r="I2066" s="6">
        <f t="shared" si="130"/>
        <v>12.000000000000011</v>
      </c>
      <c r="J2066" t="str">
        <f t="shared" si="131"/>
        <v>OK</v>
      </c>
    </row>
    <row r="2067" spans="1:10" x14ac:dyDescent="0.2">
      <c r="A2067">
        <v>12066</v>
      </c>
      <c r="B2067" t="s">
        <v>7</v>
      </c>
      <c r="C2067" t="s">
        <v>9</v>
      </c>
      <c r="D2067" s="8">
        <v>12.43</v>
      </c>
      <c r="E2067">
        <v>4</v>
      </c>
      <c r="F2067" t="str">
        <f t="shared" si="128"/>
        <v>Standard</v>
      </c>
      <c r="G2067" s="3" cm="1">
        <f t="array" ref="G2067">_xlfn.XLOOKUP(C2067 &amp; F2067,
         [1]unilever_price_limits!A:A &amp; [1]unilever_price_limits!B:B,
         [1]unilever_price_limits!C:C)</f>
        <v>30</v>
      </c>
      <c r="H2067" s="8">
        <f t="shared" si="129"/>
        <v>16.158999999999999</v>
      </c>
      <c r="I2067" s="6">
        <f t="shared" si="130"/>
        <v>30.000000000000004</v>
      </c>
      <c r="J2067" t="str">
        <f t="shared" si="131"/>
        <v>OK</v>
      </c>
    </row>
    <row r="2068" spans="1:10" x14ac:dyDescent="0.2">
      <c r="A2068">
        <v>12067</v>
      </c>
      <c r="B2068" t="s">
        <v>7</v>
      </c>
      <c r="C2068" t="s">
        <v>6</v>
      </c>
      <c r="D2068" s="8">
        <v>3.55</v>
      </c>
      <c r="E2068">
        <v>6</v>
      </c>
      <c r="F2068" t="str">
        <f t="shared" si="128"/>
        <v>Standard</v>
      </c>
      <c r="G2068" s="3" cm="1">
        <f t="array" ref="G2068">_xlfn.XLOOKUP(C2068 &amp; F2068,
         [1]unilever_price_limits!A:A &amp; [1]unilever_price_limits!B:B,
         [1]unilever_price_limits!C:C)</f>
        <v>28</v>
      </c>
      <c r="H2068" s="8">
        <f t="shared" si="129"/>
        <v>4.5439999999999996</v>
      </c>
      <c r="I2068" s="6">
        <f t="shared" si="130"/>
        <v>28.000000000000004</v>
      </c>
      <c r="J2068" t="str">
        <f t="shared" si="131"/>
        <v>OK</v>
      </c>
    </row>
    <row r="2069" spans="1:10" x14ac:dyDescent="0.2">
      <c r="A2069">
        <v>12068</v>
      </c>
      <c r="B2069" t="s">
        <v>8</v>
      </c>
      <c r="C2069" t="s">
        <v>9</v>
      </c>
      <c r="D2069" s="8">
        <v>6.21</v>
      </c>
      <c r="E2069">
        <v>6</v>
      </c>
      <c r="F2069" t="str">
        <f t="shared" si="128"/>
        <v>Standard</v>
      </c>
      <c r="G2069" s="3" cm="1">
        <f t="array" ref="G2069">_xlfn.XLOOKUP(C2069 &amp; F2069,
         [1]unilever_price_limits!A:A &amp; [1]unilever_price_limits!B:B,
         [1]unilever_price_limits!C:C)</f>
        <v>30</v>
      </c>
      <c r="H2069" s="8">
        <f t="shared" si="129"/>
        <v>8.0730000000000004</v>
      </c>
      <c r="I2069" s="6">
        <f t="shared" si="130"/>
        <v>30.000000000000004</v>
      </c>
      <c r="J2069" t="str">
        <f t="shared" si="131"/>
        <v>OK</v>
      </c>
    </row>
    <row r="2070" spans="1:10" x14ac:dyDescent="0.2">
      <c r="A2070">
        <v>12069</v>
      </c>
      <c r="B2070" t="s">
        <v>10</v>
      </c>
      <c r="C2070" t="s">
        <v>11</v>
      </c>
      <c r="D2070" s="8">
        <v>5.09</v>
      </c>
      <c r="E2070">
        <v>2</v>
      </c>
      <c r="F2070" t="str">
        <f t="shared" si="128"/>
        <v>Value</v>
      </c>
      <c r="G2070" s="3" cm="1">
        <f t="array" ref="G2070">_xlfn.XLOOKUP(C2070 &amp; F2070,
         [1]unilever_price_limits!A:A &amp; [1]unilever_price_limits!B:B,
         [1]unilever_price_limits!C:C)</f>
        <v>10</v>
      </c>
      <c r="H2070" s="8">
        <f t="shared" si="129"/>
        <v>5.5990000000000002</v>
      </c>
      <c r="I2070" s="6">
        <f t="shared" si="130"/>
        <v>10.000000000000009</v>
      </c>
      <c r="J2070" t="str">
        <f t="shared" si="131"/>
        <v>OK</v>
      </c>
    </row>
    <row r="2071" spans="1:10" x14ac:dyDescent="0.2">
      <c r="A2071">
        <v>12070</v>
      </c>
      <c r="B2071" t="s">
        <v>5</v>
      </c>
      <c r="C2071" t="s">
        <v>6</v>
      </c>
      <c r="D2071" s="8">
        <v>6.3</v>
      </c>
      <c r="E2071">
        <v>4</v>
      </c>
      <c r="F2071" t="str">
        <f t="shared" si="128"/>
        <v>Standard</v>
      </c>
      <c r="G2071" s="3" cm="1">
        <f t="array" ref="G2071">_xlfn.XLOOKUP(C2071 &amp; F2071,
         [1]unilever_price_limits!A:A &amp; [1]unilever_price_limits!B:B,
         [1]unilever_price_limits!C:C)</f>
        <v>28</v>
      </c>
      <c r="H2071" s="8">
        <f t="shared" si="129"/>
        <v>8.0640000000000001</v>
      </c>
      <c r="I2071" s="6">
        <f t="shared" si="130"/>
        <v>28.000000000000004</v>
      </c>
      <c r="J2071" t="str">
        <f t="shared" si="131"/>
        <v>OK</v>
      </c>
    </row>
    <row r="2072" spans="1:10" x14ac:dyDescent="0.2">
      <c r="A2072">
        <v>12071</v>
      </c>
      <c r="B2072" t="s">
        <v>8</v>
      </c>
      <c r="C2072" t="s">
        <v>6</v>
      </c>
      <c r="D2072" s="8">
        <v>2.68</v>
      </c>
      <c r="E2072">
        <v>4</v>
      </c>
      <c r="F2072" t="str">
        <f t="shared" si="128"/>
        <v>Standard</v>
      </c>
      <c r="G2072" s="3" cm="1">
        <f t="array" ref="G2072">_xlfn.XLOOKUP(C2072 &amp; F2072,
         [1]unilever_price_limits!A:A &amp; [1]unilever_price_limits!B:B,
         [1]unilever_price_limits!C:C)</f>
        <v>28</v>
      </c>
      <c r="H2072" s="8">
        <f t="shared" si="129"/>
        <v>3.4304000000000001</v>
      </c>
      <c r="I2072" s="6">
        <f t="shared" si="130"/>
        <v>28.000000000000004</v>
      </c>
      <c r="J2072" t="str">
        <f t="shared" si="131"/>
        <v>OK</v>
      </c>
    </row>
    <row r="2073" spans="1:10" x14ac:dyDescent="0.2">
      <c r="A2073">
        <v>12072</v>
      </c>
      <c r="B2073" t="s">
        <v>5</v>
      </c>
      <c r="C2073" t="s">
        <v>6</v>
      </c>
      <c r="D2073" s="8">
        <v>7.8</v>
      </c>
      <c r="E2073">
        <v>1</v>
      </c>
      <c r="F2073" t="str">
        <f t="shared" si="128"/>
        <v>Value</v>
      </c>
      <c r="G2073" s="3" cm="1">
        <f t="array" ref="G2073">_xlfn.XLOOKUP(C2073 &amp; F2073,
         [1]unilever_price_limits!A:A &amp; [1]unilever_price_limits!B:B,
         [1]unilever_price_limits!C:C)</f>
        <v>12</v>
      </c>
      <c r="H2073" s="8">
        <f t="shared" si="129"/>
        <v>8.7360000000000007</v>
      </c>
      <c r="I2073" s="6">
        <f t="shared" si="130"/>
        <v>12.000000000000011</v>
      </c>
      <c r="J2073" t="str">
        <f t="shared" si="131"/>
        <v>OK</v>
      </c>
    </row>
    <row r="2074" spans="1:10" x14ac:dyDescent="0.2">
      <c r="A2074">
        <v>12073</v>
      </c>
      <c r="B2074" t="s">
        <v>7</v>
      </c>
      <c r="C2074" t="s">
        <v>11</v>
      </c>
      <c r="D2074" s="8">
        <v>12.12</v>
      </c>
      <c r="E2074">
        <v>2</v>
      </c>
      <c r="F2074" t="str">
        <f t="shared" si="128"/>
        <v>Value</v>
      </c>
      <c r="G2074" s="3" cm="1">
        <f t="array" ref="G2074">_xlfn.XLOOKUP(C2074 &amp; F2074,
         [1]unilever_price_limits!A:A &amp; [1]unilever_price_limits!B:B,
         [1]unilever_price_limits!C:C)</f>
        <v>10</v>
      </c>
      <c r="H2074" s="8">
        <f t="shared" si="129"/>
        <v>13.332000000000001</v>
      </c>
      <c r="I2074" s="6">
        <f t="shared" si="130"/>
        <v>10.000000000000009</v>
      </c>
      <c r="J2074" t="str">
        <f t="shared" si="131"/>
        <v>OK</v>
      </c>
    </row>
    <row r="2075" spans="1:10" x14ac:dyDescent="0.2">
      <c r="A2075">
        <v>12074</v>
      </c>
      <c r="B2075" t="s">
        <v>10</v>
      </c>
      <c r="C2075" t="s">
        <v>9</v>
      </c>
      <c r="D2075" s="8">
        <v>6.9</v>
      </c>
      <c r="E2075">
        <v>3</v>
      </c>
      <c r="F2075" t="str">
        <f t="shared" si="128"/>
        <v>Value</v>
      </c>
      <c r="G2075" s="3" cm="1">
        <f t="array" ref="G2075">_xlfn.XLOOKUP(C2075 &amp; F2075,
         [1]unilever_price_limits!A:A &amp; [1]unilever_price_limits!B:B,
         [1]unilever_price_limits!C:C)</f>
        <v>15</v>
      </c>
      <c r="H2075" s="8">
        <f t="shared" si="129"/>
        <v>7.9349999999999996</v>
      </c>
      <c r="I2075" s="6">
        <f t="shared" si="130"/>
        <v>14.999999999999991</v>
      </c>
      <c r="J2075" t="str">
        <f t="shared" si="131"/>
        <v>OK</v>
      </c>
    </row>
    <row r="2076" spans="1:10" x14ac:dyDescent="0.2">
      <c r="A2076">
        <v>12075</v>
      </c>
      <c r="B2076" t="s">
        <v>5</v>
      </c>
      <c r="C2076" t="s">
        <v>9</v>
      </c>
      <c r="D2076" s="8">
        <v>7.61</v>
      </c>
      <c r="E2076">
        <v>5</v>
      </c>
      <c r="F2076" t="str">
        <f t="shared" si="128"/>
        <v>Standard</v>
      </c>
      <c r="G2076" s="3" cm="1">
        <f t="array" ref="G2076">_xlfn.XLOOKUP(C2076 &amp; F2076,
         [1]unilever_price_limits!A:A &amp; [1]unilever_price_limits!B:B,
         [1]unilever_price_limits!C:C)</f>
        <v>30</v>
      </c>
      <c r="H2076" s="8">
        <f t="shared" si="129"/>
        <v>9.8930000000000007</v>
      </c>
      <c r="I2076" s="6">
        <f t="shared" si="130"/>
        <v>30.000000000000004</v>
      </c>
      <c r="J2076" t="str">
        <f t="shared" si="131"/>
        <v>OK</v>
      </c>
    </row>
    <row r="2077" spans="1:10" x14ac:dyDescent="0.2">
      <c r="A2077">
        <v>12076</v>
      </c>
      <c r="B2077" t="s">
        <v>5</v>
      </c>
      <c r="C2077" t="s">
        <v>6</v>
      </c>
      <c r="D2077" s="8">
        <v>12.81</v>
      </c>
      <c r="E2077">
        <v>8</v>
      </c>
      <c r="F2077" t="str">
        <f t="shared" si="128"/>
        <v>Premium</v>
      </c>
      <c r="G2077" s="3" cm="1">
        <f t="array" ref="G2077">_xlfn.XLOOKUP(C2077 &amp; F2077,
         [1]unilever_price_limits!A:A &amp; [1]unilever_price_limits!B:B,
         [1]unilever_price_limits!C:C)</f>
        <v>55</v>
      </c>
      <c r="H2077" s="8">
        <f t="shared" si="129"/>
        <v>19.855500000000003</v>
      </c>
      <c r="I2077" s="6">
        <f t="shared" si="130"/>
        <v>55.000000000000028</v>
      </c>
      <c r="J2077" t="str">
        <f t="shared" si="131"/>
        <v>OK</v>
      </c>
    </row>
    <row r="2078" spans="1:10" x14ac:dyDescent="0.2">
      <c r="A2078">
        <v>12077</v>
      </c>
      <c r="B2078" t="s">
        <v>7</v>
      </c>
      <c r="C2078" t="s">
        <v>11</v>
      </c>
      <c r="D2078" s="8">
        <v>10.74</v>
      </c>
      <c r="E2078">
        <v>6</v>
      </c>
      <c r="F2078" t="str">
        <f t="shared" si="128"/>
        <v>Standard</v>
      </c>
      <c r="G2078" s="3" cm="1">
        <f t="array" ref="G2078">_xlfn.XLOOKUP(C2078 &amp; F2078,
         [1]unilever_price_limits!A:A &amp; [1]unilever_price_limits!B:B,
         [1]unilever_price_limits!C:C)</f>
        <v>25</v>
      </c>
      <c r="H2078" s="8">
        <f t="shared" si="129"/>
        <v>13.425000000000001</v>
      </c>
      <c r="I2078" s="6">
        <f t="shared" si="130"/>
        <v>25</v>
      </c>
      <c r="J2078" t="str">
        <f t="shared" si="131"/>
        <v>OK</v>
      </c>
    </row>
    <row r="2079" spans="1:10" x14ac:dyDescent="0.2">
      <c r="A2079">
        <v>12078</v>
      </c>
      <c r="B2079" t="s">
        <v>5</v>
      </c>
      <c r="C2079" t="s">
        <v>11</v>
      </c>
      <c r="D2079" s="8">
        <v>7.61</v>
      </c>
      <c r="E2079">
        <v>3</v>
      </c>
      <c r="F2079" t="str">
        <f t="shared" si="128"/>
        <v>Value</v>
      </c>
      <c r="G2079" s="3" cm="1">
        <f t="array" ref="G2079">_xlfn.XLOOKUP(C2079 &amp; F2079,
         [1]unilever_price_limits!A:A &amp; [1]unilever_price_limits!B:B,
         [1]unilever_price_limits!C:C)</f>
        <v>10</v>
      </c>
      <c r="H2079" s="8">
        <f t="shared" si="129"/>
        <v>8.3710000000000004</v>
      </c>
      <c r="I2079" s="6">
        <f t="shared" si="130"/>
        <v>10.000000000000009</v>
      </c>
      <c r="J2079" t="str">
        <f t="shared" si="131"/>
        <v>OK</v>
      </c>
    </row>
    <row r="2080" spans="1:10" x14ac:dyDescent="0.2">
      <c r="A2080">
        <v>12079</v>
      </c>
      <c r="B2080" t="s">
        <v>5</v>
      </c>
      <c r="C2080" t="s">
        <v>11</v>
      </c>
      <c r="D2080" s="8">
        <v>4.24</v>
      </c>
      <c r="E2080">
        <v>6</v>
      </c>
      <c r="F2080" t="str">
        <f t="shared" si="128"/>
        <v>Standard</v>
      </c>
      <c r="G2080" s="3" cm="1">
        <f t="array" ref="G2080">_xlfn.XLOOKUP(C2080 &amp; F2080,
         [1]unilever_price_limits!A:A &amp; [1]unilever_price_limits!B:B,
         [1]unilever_price_limits!C:C)</f>
        <v>25</v>
      </c>
      <c r="H2080" s="8">
        <f t="shared" si="129"/>
        <v>5.3000000000000007</v>
      </c>
      <c r="I2080" s="6">
        <f t="shared" si="130"/>
        <v>25</v>
      </c>
      <c r="J2080" t="str">
        <f t="shared" si="131"/>
        <v>OK</v>
      </c>
    </row>
    <row r="2081" spans="1:10" x14ac:dyDescent="0.2">
      <c r="A2081">
        <v>12080</v>
      </c>
      <c r="B2081" t="s">
        <v>7</v>
      </c>
      <c r="C2081" t="s">
        <v>11</v>
      </c>
      <c r="D2081" s="8">
        <v>13.33</v>
      </c>
      <c r="E2081">
        <v>7</v>
      </c>
      <c r="F2081" t="str">
        <f t="shared" si="128"/>
        <v>Standard</v>
      </c>
      <c r="G2081" s="3" cm="1">
        <f t="array" ref="G2081">_xlfn.XLOOKUP(C2081 &amp; F2081,
         [1]unilever_price_limits!A:A &amp; [1]unilever_price_limits!B:B,
         [1]unilever_price_limits!C:C)</f>
        <v>25</v>
      </c>
      <c r="H2081" s="8">
        <f t="shared" si="129"/>
        <v>16.662500000000001</v>
      </c>
      <c r="I2081" s="6">
        <f t="shared" si="130"/>
        <v>25</v>
      </c>
      <c r="J2081" t="str">
        <f t="shared" si="131"/>
        <v>OK</v>
      </c>
    </row>
    <row r="2082" spans="1:10" x14ac:dyDescent="0.2">
      <c r="A2082">
        <v>12081</v>
      </c>
      <c r="B2082" t="s">
        <v>8</v>
      </c>
      <c r="C2082" t="s">
        <v>11</v>
      </c>
      <c r="D2082" s="8">
        <v>8.8699999999999992</v>
      </c>
      <c r="E2082">
        <v>6</v>
      </c>
      <c r="F2082" t="str">
        <f t="shared" si="128"/>
        <v>Standard</v>
      </c>
      <c r="G2082" s="3" cm="1">
        <f t="array" ref="G2082">_xlfn.XLOOKUP(C2082 &amp; F2082,
         [1]unilever_price_limits!A:A &amp; [1]unilever_price_limits!B:B,
         [1]unilever_price_limits!C:C)</f>
        <v>25</v>
      </c>
      <c r="H2082" s="8">
        <f t="shared" si="129"/>
        <v>11.087499999999999</v>
      </c>
      <c r="I2082" s="6">
        <f t="shared" si="130"/>
        <v>25</v>
      </c>
      <c r="J2082" t="str">
        <f t="shared" si="131"/>
        <v>OK</v>
      </c>
    </row>
    <row r="2083" spans="1:10" x14ac:dyDescent="0.2">
      <c r="A2083">
        <v>12082</v>
      </c>
      <c r="B2083" t="s">
        <v>7</v>
      </c>
      <c r="C2083" t="s">
        <v>9</v>
      </c>
      <c r="D2083" s="8">
        <v>3.71</v>
      </c>
      <c r="E2083">
        <v>10</v>
      </c>
      <c r="F2083" t="str">
        <f t="shared" si="128"/>
        <v>Premium</v>
      </c>
      <c r="G2083" s="3" cm="1">
        <f t="array" ref="G2083">_xlfn.XLOOKUP(C2083 &amp; F2083,
         [1]unilever_price_limits!A:A &amp; [1]unilever_price_limits!B:B,
         [1]unilever_price_limits!C:C)</f>
        <v>60</v>
      </c>
      <c r="H2083" s="8">
        <f t="shared" si="129"/>
        <v>5.9359999999999999</v>
      </c>
      <c r="I2083" s="6">
        <f t="shared" si="130"/>
        <v>60.000000000000007</v>
      </c>
      <c r="J2083" t="str">
        <f t="shared" si="131"/>
        <v>OK</v>
      </c>
    </row>
    <row r="2084" spans="1:10" x14ac:dyDescent="0.2">
      <c r="A2084">
        <v>12083</v>
      </c>
      <c r="B2084" t="s">
        <v>8</v>
      </c>
      <c r="C2084" t="s">
        <v>9</v>
      </c>
      <c r="D2084" s="8">
        <v>4.4000000000000004</v>
      </c>
      <c r="E2084">
        <v>6</v>
      </c>
      <c r="F2084" t="str">
        <f t="shared" si="128"/>
        <v>Standard</v>
      </c>
      <c r="G2084" s="3" cm="1">
        <f t="array" ref="G2084">_xlfn.XLOOKUP(C2084 &amp; F2084,
         [1]unilever_price_limits!A:A &amp; [1]unilever_price_limits!B:B,
         [1]unilever_price_limits!C:C)</f>
        <v>30</v>
      </c>
      <c r="H2084" s="8">
        <f t="shared" si="129"/>
        <v>5.7200000000000006</v>
      </c>
      <c r="I2084" s="6">
        <f t="shared" si="130"/>
        <v>30.000000000000004</v>
      </c>
      <c r="J2084" t="str">
        <f t="shared" si="131"/>
        <v>OK</v>
      </c>
    </row>
    <row r="2085" spans="1:10" x14ac:dyDescent="0.2">
      <c r="A2085">
        <v>12084</v>
      </c>
      <c r="B2085" t="s">
        <v>10</v>
      </c>
      <c r="C2085" t="s">
        <v>9</v>
      </c>
      <c r="D2085" s="8">
        <v>12.15</v>
      </c>
      <c r="E2085">
        <v>1</v>
      </c>
      <c r="F2085" t="str">
        <f t="shared" si="128"/>
        <v>Value</v>
      </c>
      <c r="G2085" s="3" cm="1">
        <f t="array" ref="G2085">_xlfn.XLOOKUP(C2085 &amp; F2085,
         [1]unilever_price_limits!A:A &amp; [1]unilever_price_limits!B:B,
         [1]unilever_price_limits!C:C)</f>
        <v>15</v>
      </c>
      <c r="H2085" s="8">
        <f t="shared" si="129"/>
        <v>13.9725</v>
      </c>
      <c r="I2085" s="6">
        <f t="shared" si="130"/>
        <v>14.999999999999991</v>
      </c>
      <c r="J2085" t="str">
        <f t="shared" si="131"/>
        <v>OK</v>
      </c>
    </row>
    <row r="2086" spans="1:10" x14ac:dyDescent="0.2">
      <c r="A2086">
        <v>12085</v>
      </c>
      <c r="B2086" t="s">
        <v>8</v>
      </c>
      <c r="C2086" t="s">
        <v>6</v>
      </c>
      <c r="D2086" s="8">
        <v>1.1399999999999999</v>
      </c>
      <c r="E2086">
        <v>3</v>
      </c>
      <c r="F2086" t="str">
        <f t="shared" si="128"/>
        <v>Value</v>
      </c>
      <c r="G2086" s="3" cm="1">
        <f t="array" ref="G2086">_xlfn.XLOOKUP(C2086 &amp; F2086,
         [1]unilever_price_limits!A:A &amp; [1]unilever_price_limits!B:B,
         [1]unilever_price_limits!C:C)</f>
        <v>12</v>
      </c>
      <c r="H2086" s="8">
        <f t="shared" si="129"/>
        <v>1.2767999999999999</v>
      </c>
      <c r="I2086" s="6">
        <f t="shared" si="130"/>
        <v>12.000000000000011</v>
      </c>
      <c r="J2086" t="str">
        <f t="shared" si="131"/>
        <v>OK</v>
      </c>
    </row>
    <row r="2087" spans="1:10" x14ac:dyDescent="0.2">
      <c r="A2087">
        <v>12086</v>
      </c>
      <c r="B2087" t="s">
        <v>8</v>
      </c>
      <c r="C2087" t="s">
        <v>11</v>
      </c>
      <c r="D2087" s="8">
        <v>14.89</v>
      </c>
      <c r="E2087">
        <v>7</v>
      </c>
      <c r="F2087" t="str">
        <f t="shared" si="128"/>
        <v>Standard</v>
      </c>
      <c r="G2087" s="3" cm="1">
        <f t="array" ref="G2087">_xlfn.XLOOKUP(C2087 &amp; F2087,
         [1]unilever_price_limits!A:A &amp; [1]unilever_price_limits!B:B,
         [1]unilever_price_limits!C:C)</f>
        <v>25</v>
      </c>
      <c r="H2087" s="8">
        <f t="shared" si="129"/>
        <v>18.612500000000001</v>
      </c>
      <c r="I2087" s="6">
        <f t="shared" si="130"/>
        <v>25</v>
      </c>
      <c r="J2087" t="str">
        <f t="shared" si="131"/>
        <v>OK</v>
      </c>
    </row>
    <row r="2088" spans="1:10" x14ac:dyDescent="0.2">
      <c r="A2088">
        <v>12087</v>
      </c>
      <c r="B2088" t="s">
        <v>10</v>
      </c>
      <c r="C2088" t="s">
        <v>6</v>
      </c>
      <c r="D2088" s="8">
        <v>2.39</v>
      </c>
      <c r="E2088">
        <v>4</v>
      </c>
      <c r="F2088" t="str">
        <f t="shared" si="128"/>
        <v>Standard</v>
      </c>
      <c r="G2088" s="3" cm="1">
        <f t="array" ref="G2088">_xlfn.XLOOKUP(C2088 &amp; F2088,
         [1]unilever_price_limits!A:A &amp; [1]unilever_price_limits!B:B,
         [1]unilever_price_limits!C:C)</f>
        <v>28</v>
      </c>
      <c r="H2088" s="8">
        <f t="shared" si="129"/>
        <v>3.0592000000000001</v>
      </c>
      <c r="I2088" s="6">
        <f t="shared" si="130"/>
        <v>28.000000000000004</v>
      </c>
      <c r="J2088" t="str">
        <f t="shared" si="131"/>
        <v>OK</v>
      </c>
    </row>
    <row r="2089" spans="1:10" x14ac:dyDescent="0.2">
      <c r="A2089">
        <v>12088</v>
      </c>
      <c r="B2089" t="s">
        <v>8</v>
      </c>
      <c r="C2089" t="s">
        <v>11</v>
      </c>
      <c r="D2089" s="8">
        <v>12.04</v>
      </c>
      <c r="E2089">
        <v>4</v>
      </c>
      <c r="F2089" t="str">
        <f t="shared" si="128"/>
        <v>Standard</v>
      </c>
      <c r="G2089" s="3" cm="1">
        <f t="array" ref="G2089">_xlfn.XLOOKUP(C2089 &amp; F2089,
         [1]unilever_price_limits!A:A &amp; [1]unilever_price_limits!B:B,
         [1]unilever_price_limits!C:C)</f>
        <v>25</v>
      </c>
      <c r="H2089" s="8">
        <f t="shared" si="129"/>
        <v>15.049999999999999</v>
      </c>
      <c r="I2089" s="6">
        <f t="shared" si="130"/>
        <v>25</v>
      </c>
      <c r="J2089" t="str">
        <f t="shared" si="131"/>
        <v>OK</v>
      </c>
    </row>
    <row r="2090" spans="1:10" x14ac:dyDescent="0.2">
      <c r="A2090">
        <v>12089</v>
      </c>
      <c r="B2090" t="s">
        <v>7</v>
      </c>
      <c r="C2090" t="s">
        <v>9</v>
      </c>
      <c r="D2090" s="8">
        <v>6.22</v>
      </c>
      <c r="E2090">
        <v>7</v>
      </c>
      <c r="F2090" t="str">
        <f t="shared" si="128"/>
        <v>Standard</v>
      </c>
      <c r="G2090" s="3" cm="1">
        <f t="array" ref="G2090">_xlfn.XLOOKUP(C2090 &amp; F2090,
         [1]unilever_price_limits!A:A &amp; [1]unilever_price_limits!B:B,
         [1]unilever_price_limits!C:C)</f>
        <v>30</v>
      </c>
      <c r="H2090" s="8">
        <f t="shared" si="129"/>
        <v>8.0860000000000003</v>
      </c>
      <c r="I2090" s="6">
        <f t="shared" si="130"/>
        <v>30.000000000000004</v>
      </c>
      <c r="J2090" t="str">
        <f t="shared" si="131"/>
        <v>OK</v>
      </c>
    </row>
    <row r="2091" spans="1:10" x14ac:dyDescent="0.2">
      <c r="A2091">
        <v>12090</v>
      </c>
      <c r="B2091" t="s">
        <v>8</v>
      </c>
      <c r="C2091" t="s">
        <v>6</v>
      </c>
      <c r="D2091" s="8">
        <v>7.64</v>
      </c>
      <c r="E2091">
        <v>9</v>
      </c>
      <c r="F2091" t="str">
        <f t="shared" si="128"/>
        <v>Premium</v>
      </c>
      <c r="G2091" s="3" cm="1">
        <f t="array" ref="G2091">_xlfn.XLOOKUP(C2091 &amp; F2091,
         [1]unilever_price_limits!A:A &amp; [1]unilever_price_limits!B:B,
         [1]unilever_price_limits!C:C)</f>
        <v>55</v>
      </c>
      <c r="H2091" s="8">
        <f t="shared" si="129"/>
        <v>11.842000000000001</v>
      </c>
      <c r="I2091" s="6">
        <f t="shared" si="130"/>
        <v>55.000000000000007</v>
      </c>
      <c r="J2091" t="str">
        <f t="shared" si="131"/>
        <v>OK</v>
      </c>
    </row>
    <row r="2092" spans="1:10" x14ac:dyDescent="0.2">
      <c r="A2092">
        <v>12091</v>
      </c>
      <c r="B2092" t="s">
        <v>10</v>
      </c>
      <c r="C2092" t="s">
        <v>9</v>
      </c>
      <c r="D2092" s="8">
        <v>13.27</v>
      </c>
      <c r="E2092">
        <v>2</v>
      </c>
      <c r="F2092" t="str">
        <f t="shared" si="128"/>
        <v>Value</v>
      </c>
      <c r="G2092" s="3" cm="1">
        <f t="array" ref="G2092">_xlfn.XLOOKUP(C2092 &amp; F2092,
         [1]unilever_price_limits!A:A &amp; [1]unilever_price_limits!B:B,
         [1]unilever_price_limits!C:C)</f>
        <v>15</v>
      </c>
      <c r="H2092" s="8">
        <f t="shared" si="129"/>
        <v>15.260499999999999</v>
      </c>
      <c r="I2092" s="6">
        <f t="shared" si="130"/>
        <v>14.999999999999991</v>
      </c>
      <c r="J2092" t="str">
        <f t="shared" si="131"/>
        <v>OK</v>
      </c>
    </row>
    <row r="2093" spans="1:10" x14ac:dyDescent="0.2">
      <c r="A2093">
        <v>12092</v>
      </c>
      <c r="B2093" t="s">
        <v>7</v>
      </c>
      <c r="C2093" t="s">
        <v>11</v>
      </c>
      <c r="D2093" s="8">
        <v>6.49</v>
      </c>
      <c r="E2093">
        <v>9</v>
      </c>
      <c r="F2093" t="str">
        <f t="shared" si="128"/>
        <v>Premium</v>
      </c>
      <c r="G2093" s="3" cm="1">
        <f t="array" ref="G2093">_xlfn.XLOOKUP(C2093 &amp; F2093,
         [1]unilever_price_limits!A:A &amp; [1]unilever_price_limits!B:B,
         [1]unilever_price_limits!C:C)</f>
        <v>50</v>
      </c>
      <c r="H2093" s="8">
        <f t="shared" si="129"/>
        <v>9.7349999999999994</v>
      </c>
      <c r="I2093" s="6">
        <f t="shared" si="130"/>
        <v>49.999999999999979</v>
      </c>
      <c r="J2093" t="str">
        <f t="shared" si="131"/>
        <v>OK</v>
      </c>
    </row>
    <row r="2094" spans="1:10" x14ac:dyDescent="0.2">
      <c r="A2094">
        <v>12093</v>
      </c>
      <c r="B2094" t="s">
        <v>10</v>
      </c>
      <c r="C2094" t="s">
        <v>11</v>
      </c>
      <c r="D2094" s="8">
        <v>8.2899999999999991</v>
      </c>
      <c r="E2094">
        <v>3</v>
      </c>
      <c r="F2094" t="str">
        <f t="shared" si="128"/>
        <v>Value</v>
      </c>
      <c r="G2094" s="3" cm="1">
        <f t="array" ref="G2094">_xlfn.XLOOKUP(C2094 &amp; F2094,
         [1]unilever_price_limits!A:A &amp; [1]unilever_price_limits!B:B,
         [1]unilever_price_limits!C:C)</f>
        <v>10</v>
      </c>
      <c r="H2094" s="8">
        <f t="shared" si="129"/>
        <v>9.1189999999999998</v>
      </c>
      <c r="I2094" s="6">
        <f t="shared" si="130"/>
        <v>10.000000000000009</v>
      </c>
      <c r="J2094" t="str">
        <f t="shared" si="131"/>
        <v>OK</v>
      </c>
    </row>
    <row r="2095" spans="1:10" x14ac:dyDescent="0.2">
      <c r="A2095">
        <v>12094</v>
      </c>
      <c r="B2095" t="s">
        <v>10</v>
      </c>
      <c r="C2095" t="s">
        <v>11</v>
      </c>
      <c r="D2095" s="8">
        <v>1.21</v>
      </c>
      <c r="E2095">
        <v>6</v>
      </c>
      <c r="F2095" t="str">
        <f t="shared" si="128"/>
        <v>Standard</v>
      </c>
      <c r="G2095" s="3" cm="1">
        <f t="array" ref="G2095">_xlfn.XLOOKUP(C2095 &amp; F2095,
         [1]unilever_price_limits!A:A &amp; [1]unilever_price_limits!B:B,
         [1]unilever_price_limits!C:C)</f>
        <v>25</v>
      </c>
      <c r="H2095" s="8">
        <f t="shared" si="129"/>
        <v>1.5125</v>
      </c>
      <c r="I2095" s="6">
        <f t="shared" si="130"/>
        <v>25</v>
      </c>
      <c r="J2095" t="str">
        <f t="shared" si="131"/>
        <v>OK</v>
      </c>
    </row>
    <row r="2096" spans="1:10" x14ac:dyDescent="0.2">
      <c r="A2096">
        <v>12095</v>
      </c>
      <c r="B2096" t="s">
        <v>5</v>
      </c>
      <c r="C2096" t="s">
        <v>9</v>
      </c>
      <c r="D2096" s="8">
        <v>0.53</v>
      </c>
      <c r="E2096">
        <v>4</v>
      </c>
      <c r="F2096" t="str">
        <f t="shared" si="128"/>
        <v>Standard</v>
      </c>
      <c r="G2096" s="3" cm="1">
        <f t="array" ref="G2096">_xlfn.XLOOKUP(C2096 &amp; F2096,
         [1]unilever_price_limits!A:A &amp; [1]unilever_price_limits!B:B,
         [1]unilever_price_limits!C:C)</f>
        <v>30</v>
      </c>
      <c r="H2096" s="8">
        <f t="shared" si="129"/>
        <v>0.68900000000000006</v>
      </c>
      <c r="I2096" s="6">
        <f t="shared" si="130"/>
        <v>30.000000000000004</v>
      </c>
      <c r="J2096" t="str">
        <f t="shared" si="131"/>
        <v>OK</v>
      </c>
    </row>
    <row r="2097" spans="1:10" x14ac:dyDescent="0.2">
      <c r="A2097">
        <v>12096</v>
      </c>
      <c r="B2097" t="s">
        <v>5</v>
      </c>
      <c r="C2097" t="s">
        <v>11</v>
      </c>
      <c r="D2097" s="8">
        <v>4.05</v>
      </c>
      <c r="E2097">
        <v>1</v>
      </c>
      <c r="F2097" t="str">
        <f t="shared" si="128"/>
        <v>Value</v>
      </c>
      <c r="G2097" s="3" cm="1">
        <f t="array" ref="G2097">_xlfn.XLOOKUP(C2097 &amp; F2097,
         [1]unilever_price_limits!A:A &amp; [1]unilever_price_limits!B:B,
         [1]unilever_price_limits!C:C)</f>
        <v>10</v>
      </c>
      <c r="H2097" s="8">
        <f t="shared" si="129"/>
        <v>4.4550000000000001</v>
      </c>
      <c r="I2097" s="6">
        <f t="shared" si="130"/>
        <v>10.000000000000009</v>
      </c>
      <c r="J2097" t="str">
        <f t="shared" si="131"/>
        <v>OK</v>
      </c>
    </row>
    <row r="2098" spans="1:10" x14ac:dyDescent="0.2">
      <c r="A2098">
        <v>12097</v>
      </c>
      <c r="B2098" t="s">
        <v>10</v>
      </c>
      <c r="C2098" t="s">
        <v>9</v>
      </c>
      <c r="D2098" s="8">
        <v>10.37</v>
      </c>
      <c r="E2098">
        <v>9</v>
      </c>
      <c r="F2098" t="str">
        <f t="shared" si="128"/>
        <v>Premium</v>
      </c>
      <c r="G2098" s="3" cm="1">
        <f t="array" ref="G2098">_xlfn.XLOOKUP(C2098 &amp; F2098,
         [1]unilever_price_limits!A:A &amp; [1]unilever_price_limits!B:B,
         [1]unilever_price_limits!C:C)</f>
        <v>60</v>
      </c>
      <c r="H2098" s="8">
        <f t="shared" si="129"/>
        <v>16.591999999999999</v>
      </c>
      <c r="I2098" s="6">
        <f t="shared" si="130"/>
        <v>60.000000000000007</v>
      </c>
      <c r="J2098" t="str">
        <f t="shared" si="131"/>
        <v>OK</v>
      </c>
    </row>
    <row r="2099" spans="1:10" x14ac:dyDescent="0.2">
      <c r="A2099">
        <v>12098</v>
      </c>
      <c r="B2099" t="s">
        <v>10</v>
      </c>
      <c r="C2099" t="s">
        <v>6</v>
      </c>
      <c r="D2099" s="8">
        <v>2.2599999999999998</v>
      </c>
      <c r="E2099">
        <v>6</v>
      </c>
      <c r="F2099" t="str">
        <f t="shared" si="128"/>
        <v>Standard</v>
      </c>
      <c r="G2099" s="3" cm="1">
        <f t="array" ref="G2099">_xlfn.XLOOKUP(C2099 &amp; F2099,
         [1]unilever_price_limits!A:A &amp; [1]unilever_price_limits!B:B,
         [1]unilever_price_limits!C:C)</f>
        <v>28</v>
      </c>
      <c r="H2099" s="8">
        <f t="shared" si="129"/>
        <v>2.8927999999999998</v>
      </c>
      <c r="I2099" s="6">
        <f t="shared" si="130"/>
        <v>28.000000000000004</v>
      </c>
      <c r="J2099" t="str">
        <f t="shared" si="131"/>
        <v>OK</v>
      </c>
    </row>
    <row r="2100" spans="1:10" x14ac:dyDescent="0.2">
      <c r="A2100">
        <v>12099</v>
      </c>
      <c r="B2100" t="s">
        <v>10</v>
      </c>
      <c r="C2100" t="s">
        <v>11</v>
      </c>
      <c r="D2100" s="8">
        <v>2.15</v>
      </c>
      <c r="E2100">
        <v>8</v>
      </c>
      <c r="F2100" t="str">
        <f t="shared" si="128"/>
        <v>Premium</v>
      </c>
      <c r="G2100" s="3" cm="1">
        <f t="array" ref="G2100">_xlfn.XLOOKUP(C2100 &amp; F2100,
         [1]unilever_price_limits!A:A &amp; [1]unilever_price_limits!B:B,
         [1]unilever_price_limits!C:C)</f>
        <v>50</v>
      </c>
      <c r="H2100" s="8">
        <f t="shared" si="129"/>
        <v>3.2249999999999996</v>
      </c>
      <c r="I2100" s="6">
        <f t="shared" si="130"/>
        <v>50</v>
      </c>
      <c r="J2100" t="str">
        <f t="shared" si="131"/>
        <v>OK</v>
      </c>
    </row>
    <row r="2101" spans="1:10" x14ac:dyDescent="0.2">
      <c r="A2101">
        <v>12100</v>
      </c>
      <c r="B2101" t="s">
        <v>5</v>
      </c>
      <c r="C2101" t="s">
        <v>11</v>
      </c>
      <c r="D2101" s="8">
        <v>6.46</v>
      </c>
      <c r="E2101">
        <v>2</v>
      </c>
      <c r="F2101" t="str">
        <f t="shared" si="128"/>
        <v>Value</v>
      </c>
      <c r="G2101" s="3" cm="1">
        <f t="array" ref="G2101">_xlfn.XLOOKUP(C2101 &amp; F2101,
         [1]unilever_price_limits!A:A &amp; [1]unilever_price_limits!B:B,
         [1]unilever_price_limits!C:C)</f>
        <v>10</v>
      </c>
      <c r="H2101" s="8">
        <f t="shared" si="129"/>
        <v>7.1060000000000008</v>
      </c>
      <c r="I2101" s="6">
        <f t="shared" si="130"/>
        <v>10.000000000000009</v>
      </c>
      <c r="J2101" t="str">
        <f t="shared" si="131"/>
        <v>OK</v>
      </c>
    </row>
    <row r="2102" spans="1:10" x14ac:dyDescent="0.2">
      <c r="A2102">
        <v>12101</v>
      </c>
      <c r="B2102" t="s">
        <v>5</v>
      </c>
      <c r="C2102" t="s">
        <v>11</v>
      </c>
      <c r="D2102" s="8">
        <v>9.89</v>
      </c>
      <c r="E2102">
        <v>7</v>
      </c>
      <c r="F2102" t="str">
        <f t="shared" si="128"/>
        <v>Standard</v>
      </c>
      <c r="G2102" s="3" cm="1">
        <f t="array" ref="G2102">_xlfn.XLOOKUP(C2102 &amp; F2102,
         [1]unilever_price_limits!A:A &amp; [1]unilever_price_limits!B:B,
         [1]unilever_price_limits!C:C)</f>
        <v>25</v>
      </c>
      <c r="H2102" s="8">
        <f t="shared" si="129"/>
        <v>12.362500000000001</v>
      </c>
      <c r="I2102" s="6">
        <f t="shared" si="130"/>
        <v>25</v>
      </c>
      <c r="J2102" t="str">
        <f t="shared" si="131"/>
        <v>OK</v>
      </c>
    </row>
    <row r="2103" spans="1:10" x14ac:dyDescent="0.2">
      <c r="A2103">
        <v>12102</v>
      </c>
      <c r="B2103" t="s">
        <v>8</v>
      </c>
      <c r="C2103" t="s">
        <v>6</v>
      </c>
      <c r="D2103" s="8">
        <v>10.83</v>
      </c>
      <c r="E2103">
        <v>6</v>
      </c>
      <c r="F2103" t="str">
        <f t="shared" si="128"/>
        <v>Standard</v>
      </c>
      <c r="G2103" s="3" cm="1">
        <f t="array" ref="G2103">_xlfn.XLOOKUP(C2103 &amp; F2103,
         [1]unilever_price_limits!A:A &amp; [1]unilever_price_limits!B:B,
         [1]unilever_price_limits!C:C)</f>
        <v>28</v>
      </c>
      <c r="H2103" s="8">
        <f t="shared" si="129"/>
        <v>13.862400000000001</v>
      </c>
      <c r="I2103" s="6">
        <f t="shared" si="130"/>
        <v>28.000000000000004</v>
      </c>
      <c r="J2103" t="str">
        <f t="shared" si="131"/>
        <v>OK</v>
      </c>
    </row>
    <row r="2104" spans="1:10" x14ac:dyDescent="0.2">
      <c r="A2104">
        <v>12103</v>
      </c>
      <c r="B2104" t="s">
        <v>8</v>
      </c>
      <c r="C2104" t="s">
        <v>11</v>
      </c>
      <c r="D2104" s="8">
        <v>3.09</v>
      </c>
      <c r="E2104">
        <v>2</v>
      </c>
      <c r="F2104" t="str">
        <f t="shared" si="128"/>
        <v>Value</v>
      </c>
      <c r="G2104" s="3" cm="1">
        <f t="array" ref="G2104">_xlfn.XLOOKUP(C2104 &amp; F2104,
         [1]unilever_price_limits!A:A &amp; [1]unilever_price_limits!B:B,
         [1]unilever_price_limits!C:C)</f>
        <v>10</v>
      </c>
      <c r="H2104" s="8">
        <f t="shared" si="129"/>
        <v>3.399</v>
      </c>
      <c r="I2104" s="6">
        <f t="shared" si="130"/>
        <v>10.000000000000009</v>
      </c>
      <c r="J2104" t="str">
        <f t="shared" si="131"/>
        <v>OK</v>
      </c>
    </row>
    <row r="2105" spans="1:10" x14ac:dyDescent="0.2">
      <c r="A2105">
        <v>12104</v>
      </c>
      <c r="B2105" t="s">
        <v>10</v>
      </c>
      <c r="C2105" t="s">
        <v>9</v>
      </c>
      <c r="D2105" s="8">
        <v>1.65</v>
      </c>
      <c r="E2105">
        <v>2</v>
      </c>
      <c r="F2105" t="str">
        <f t="shared" si="128"/>
        <v>Value</v>
      </c>
      <c r="G2105" s="3" cm="1">
        <f t="array" ref="G2105">_xlfn.XLOOKUP(C2105 &amp; F2105,
         [1]unilever_price_limits!A:A &amp; [1]unilever_price_limits!B:B,
         [1]unilever_price_limits!C:C)</f>
        <v>15</v>
      </c>
      <c r="H2105" s="8">
        <f t="shared" si="129"/>
        <v>1.8974999999999997</v>
      </c>
      <c r="I2105" s="6">
        <f t="shared" si="130"/>
        <v>14.999999999999991</v>
      </c>
      <c r="J2105" t="str">
        <f t="shared" si="131"/>
        <v>OK</v>
      </c>
    </row>
    <row r="2106" spans="1:10" x14ac:dyDescent="0.2">
      <c r="A2106">
        <v>12105</v>
      </c>
      <c r="B2106" t="s">
        <v>7</v>
      </c>
      <c r="C2106" t="s">
        <v>9</v>
      </c>
      <c r="D2106" s="8">
        <v>14.14</v>
      </c>
      <c r="E2106">
        <v>4</v>
      </c>
      <c r="F2106" t="str">
        <f t="shared" si="128"/>
        <v>Standard</v>
      </c>
      <c r="G2106" s="3" cm="1">
        <f t="array" ref="G2106">_xlfn.XLOOKUP(C2106 &amp; F2106,
         [1]unilever_price_limits!A:A &amp; [1]unilever_price_limits!B:B,
         [1]unilever_price_limits!C:C)</f>
        <v>30</v>
      </c>
      <c r="H2106" s="8">
        <f t="shared" si="129"/>
        <v>18.382000000000001</v>
      </c>
      <c r="I2106" s="6">
        <f t="shared" si="130"/>
        <v>30.000000000000004</v>
      </c>
      <c r="J2106" t="str">
        <f t="shared" si="131"/>
        <v>OK</v>
      </c>
    </row>
    <row r="2107" spans="1:10" x14ac:dyDescent="0.2">
      <c r="A2107">
        <v>12106</v>
      </c>
      <c r="B2107" t="s">
        <v>7</v>
      </c>
      <c r="C2107" t="s">
        <v>11</v>
      </c>
      <c r="D2107" s="8">
        <v>4.28</v>
      </c>
      <c r="E2107">
        <v>4</v>
      </c>
      <c r="F2107" t="str">
        <f t="shared" si="128"/>
        <v>Standard</v>
      </c>
      <c r="G2107" s="3" cm="1">
        <f t="array" ref="G2107">_xlfn.XLOOKUP(C2107 &amp; F2107,
         [1]unilever_price_limits!A:A &amp; [1]unilever_price_limits!B:B,
         [1]unilever_price_limits!C:C)</f>
        <v>25</v>
      </c>
      <c r="H2107" s="8">
        <f t="shared" si="129"/>
        <v>5.3500000000000005</v>
      </c>
      <c r="I2107" s="6">
        <f t="shared" si="130"/>
        <v>25</v>
      </c>
      <c r="J2107" t="str">
        <f t="shared" si="131"/>
        <v>OK</v>
      </c>
    </row>
    <row r="2108" spans="1:10" x14ac:dyDescent="0.2">
      <c r="A2108">
        <v>12107</v>
      </c>
      <c r="B2108" t="s">
        <v>5</v>
      </c>
      <c r="C2108" t="s">
        <v>11</v>
      </c>
      <c r="D2108" s="8">
        <v>12.87</v>
      </c>
      <c r="E2108">
        <v>3</v>
      </c>
      <c r="F2108" t="str">
        <f t="shared" si="128"/>
        <v>Value</v>
      </c>
      <c r="G2108" s="3" cm="1">
        <f t="array" ref="G2108">_xlfn.XLOOKUP(C2108 &amp; F2108,
         [1]unilever_price_limits!A:A &amp; [1]unilever_price_limits!B:B,
         [1]unilever_price_limits!C:C)</f>
        <v>10</v>
      </c>
      <c r="H2108" s="8">
        <f t="shared" si="129"/>
        <v>14.157</v>
      </c>
      <c r="I2108" s="6">
        <f t="shared" si="130"/>
        <v>10.000000000000009</v>
      </c>
      <c r="J2108" t="str">
        <f t="shared" si="131"/>
        <v>OK</v>
      </c>
    </row>
    <row r="2109" spans="1:10" x14ac:dyDescent="0.2">
      <c r="A2109">
        <v>12108</v>
      </c>
      <c r="B2109" t="s">
        <v>5</v>
      </c>
      <c r="C2109" t="s">
        <v>6</v>
      </c>
      <c r="D2109" s="8">
        <v>13.02</v>
      </c>
      <c r="E2109">
        <v>8</v>
      </c>
      <c r="F2109" t="str">
        <f t="shared" si="128"/>
        <v>Premium</v>
      </c>
      <c r="G2109" s="3" cm="1">
        <f t="array" ref="G2109">_xlfn.XLOOKUP(C2109 &amp; F2109,
         [1]unilever_price_limits!A:A &amp; [1]unilever_price_limits!B:B,
         [1]unilever_price_limits!C:C)</f>
        <v>55</v>
      </c>
      <c r="H2109" s="8">
        <f t="shared" si="129"/>
        <v>20.181000000000001</v>
      </c>
      <c r="I2109" s="6">
        <f t="shared" si="130"/>
        <v>55.000000000000007</v>
      </c>
      <c r="J2109" t="str">
        <f t="shared" si="131"/>
        <v>OK</v>
      </c>
    </row>
    <row r="2110" spans="1:10" x14ac:dyDescent="0.2">
      <c r="A2110">
        <v>12109</v>
      </c>
      <c r="B2110" t="s">
        <v>5</v>
      </c>
      <c r="C2110" t="s">
        <v>6</v>
      </c>
      <c r="D2110" s="8">
        <v>11.7</v>
      </c>
      <c r="E2110">
        <v>7</v>
      </c>
      <c r="F2110" t="str">
        <f t="shared" si="128"/>
        <v>Standard</v>
      </c>
      <c r="G2110" s="3" cm="1">
        <f t="array" ref="G2110">_xlfn.XLOOKUP(C2110 &amp; F2110,
         [1]unilever_price_limits!A:A &amp; [1]unilever_price_limits!B:B,
         [1]unilever_price_limits!C:C)</f>
        <v>28</v>
      </c>
      <c r="H2110" s="8">
        <f t="shared" si="129"/>
        <v>14.975999999999999</v>
      </c>
      <c r="I2110" s="6">
        <f t="shared" si="130"/>
        <v>28.000000000000004</v>
      </c>
      <c r="J2110" t="str">
        <f t="shared" si="131"/>
        <v>OK</v>
      </c>
    </row>
    <row r="2111" spans="1:10" x14ac:dyDescent="0.2">
      <c r="A2111">
        <v>12110</v>
      </c>
      <c r="B2111" t="s">
        <v>10</v>
      </c>
      <c r="C2111" t="s">
        <v>6</v>
      </c>
      <c r="D2111" s="8">
        <v>2.95</v>
      </c>
      <c r="E2111">
        <v>2</v>
      </c>
      <c r="F2111" t="str">
        <f t="shared" si="128"/>
        <v>Value</v>
      </c>
      <c r="G2111" s="3" cm="1">
        <f t="array" ref="G2111">_xlfn.XLOOKUP(C2111 &amp; F2111,
         [1]unilever_price_limits!A:A &amp; [1]unilever_price_limits!B:B,
         [1]unilever_price_limits!C:C)</f>
        <v>12</v>
      </c>
      <c r="H2111" s="8">
        <f t="shared" si="129"/>
        <v>3.3040000000000007</v>
      </c>
      <c r="I2111" s="6">
        <f t="shared" si="130"/>
        <v>12.000000000000011</v>
      </c>
      <c r="J2111" t="str">
        <f t="shared" si="131"/>
        <v>OK</v>
      </c>
    </row>
    <row r="2112" spans="1:10" x14ac:dyDescent="0.2">
      <c r="A2112">
        <v>12111</v>
      </c>
      <c r="B2112" t="s">
        <v>7</v>
      </c>
      <c r="C2112" t="s">
        <v>11</v>
      </c>
      <c r="D2112" s="8">
        <v>12.42</v>
      </c>
      <c r="E2112">
        <v>3</v>
      </c>
      <c r="F2112" t="str">
        <f t="shared" si="128"/>
        <v>Value</v>
      </c>
      <c r="G2112" s="3" cm="1">
        <f t="array" ref="G2112">_xlfn.XLOOKUP(C2112 &amp; F2112,
         [1]unilever_price_limits!A:A &amp; [1]unilever_price_limits!B:B,
         [1]unilever_price_limits!C:C)</f>
        <v>10</v>
      </c>
      <c r="H2112" s="8">
        <f t="shared" si="129"/>
        <v>13.662000000000001</v>
      </c>
      <c r="I2112" s="6">
        <f t="shared" si="130"/>
        <v>10.000000000000009</v>
      </c>
      <c r="J2112" t="str">
        <f t="shared" si="131"/>
        <v>OK</v>
      </c>
    </row>
    <row r="2113" spans="1:10" x14ac:dyDescent="0.2">
      <c r="A2113">
        <v>12112</v>
      </c>
      <c r="B2113" t="s">
        <v>8</v>
      </c>
      <c r="C2113" t="s">
        <v>6</v>
      </c>
      <c r="D2113" s="8">
        <v>11.65</v>
      </c>
      <c r="E2113">
        <v>10</v>
      </c>
      <c r="F2113" t="str">
        <f t="shared" si="128"/>
        <v>Premium</v>
      </c>
      <c r="G2113" s="3" cm="1">
        <f t="array" ref="G2113">_xlfn.XLOOKUP(C2113 &amp; F2113,
         [1]unilever_price_limits!A:A &amp; [1]unilever_price_limits!B:B,
         [1]unilever_price_limits!C:C)</f>
        <v>55</v>
      </c>
      <c r="H2113" s="8">
        <f t="shared" si="129"/>
        <v>18.057500000000001</v>
      </c>
      <c r="I2113" s="6">
        <f t="shared" si="130"/>
        <v>55.000000000000007</v>
      </c>
      <c r="J2113" t="str">
        <f t="shared" si="131"/>
        <v>OK</v>
      </c>
    </row>
    <row r="2114" spans="1:10" x14ac:dyDescent="0.2">
      <c r="A2114">
        <v>12113</v>
      </c>
      <c r="B2114" t="s">
        <v>10</v>
      </c>
      <c r="C2114" t="s">
        <v>6</v>
      </c>
      <c r="D2114" s="8">
        <v>9.15</v>
      </c>
      <c r="E2114">
        <v>9</v>
      </c>
      <c r="F2114" t="str">
        <f t="shared" si="128"/>
        <v>Premium</v>
      </c>
      <c r="G2114" s="3" cm="1">
        <f t="array" ref="G2114">_xlfn.XLOOKUP(C2114 &amp; F2114,
         [1]unilever_price_limits!A:A &amp; [1]unilever_price_limits!B:B,
         [1]unilever_price_limits!C:C)</f>
        <v>55</v>
      </c>
      <c r="H2114" s="8">
        <f t="shared" si="129"/>
        <v>14.182500000000001</v>
      </c>
      <c r="I2114" s="6">
        <f t="shared" si="130"/>
        <v>55.000000000000007</v>
      </c>
      <c r="J2114" t="str">
        <f t="shared" si="131"/>
        <v>OK</v>
      </c>
    </row>
    <row r="2115" spans="1:10" x14ac:dyDescent="0.2">
      <c r="A2115">
        <v>12114</v>
      </c>
      <c r="B2115" t="s">
        <v>8</v>
      </c>
      <c r="C2115" t="s">
        <v>9</v>
      </c>
      <c r="D2115" s="8">
        <v>5.39</v>
      </c>
      <c r="E2115">
        <v>5</v>
      </c>
      <c r="F2115" t="str">
        <f t="shared" ref="F2115:F2178" si="132">IF(E2115&lt;=3,"Value",
 IF(E2115&lt;=7,"Standard","Premium"))</f>
        <v>Standard</v>
      </c>
      <c r="G2115" s="3" cm="1">
        <f t="array" ref="G2115">_xlfn.XLOOKUP(C2115 &amp; F2115,
         [1]unilever_price_limits!A:A &amp; [1]unilever_price_limits!B:B,
         [1]unilever_price_limits!C:C)</f>
        <v>30</v>
      </c>
      <c r="H2115" s="8">
        <f t="shared" ref="H2115:H2178" si="133">D2115 * (1 + G2115/100)</f>
        <v>7.0069999999999997</v>
      </c>
      <c r="I2115" s="6">
        <f t="shared" ref="I2115:I2178" si="134">(H2115 / D2115 - 1) * 100</f>
        <v>30.000000000000004</v>
      </c>
      <c r="J2115" t="str">
        <f t="shared" ref="J2115:J2178" si="135">IF(I2114&gt; G2114, "⚠ Exceeds Limit", "OK")</f>
        <v>OK</v>
      </c>
    </row>
    <row r="2116" spans="1:10" x14ac:dyDescent="0.2">
      <c r="A2116">
        <v>12115</v>
      </c>
      <c r="B2116" t="s">
        <v>8</v>
      </c>
      <c r="C2116" t="s">
        <v>6</v>
      </c>
      <c r="D2116" s="8">
        <v>4.3099999999999996</v>
      </c>
      <c r="E2116">
        <v>2</v>
      </c>
      <c r="F2116" t="str">
        <f t="shared" si="132"/>
        <v>Value</v>
      </c>
      <c r="G2116" s="3" cm="1">
        <f t="array" ref="G2116">_xlfn.XLOOKUP(C2116 &amp; F2116,
         [1]unilever_price_limits!A:A &amp; [1]unilever_price_limits!B:B,
         [1]unilever_price_limits!C:C)</f>
        <v>12</v>
      </c>
      <c r="H2116" s="8">
        <f t="shared" si="133"/>
        <v>4.8272000000000004</v>
      </c>
      <c r="I2116" s="6">
        <f t="shared" si="134"/>
        <v>12.000000000000011</v>
      </c>
      <c r="J2116" t="str">
        <f t="shared" si="135"/>
        <v>OK</v>
      </c>
    </row>
    <row r="2117" spans="1:10" x14ac:dyDescent="0.2">
      <c r="A2117">
        <v>12116</v>
      </c>
      <c r="B2117" t="s">
        <v>10</v>
      </c>
      <c r="C2117" t="s">
        <v>9</v>
      </c>
      <c r="D2117" s="8">
        <v>2.27</v>
      </c>
      <c r="E2117">
        <v>3</v>
      </c>
      <c r="F2117" t="str">
        <f t="shared" si="132"/>
        <v>Value</v>
      </c>
      <c r="G2117" s="3" cm="1">
        <f t="array" ref="G2117">_xlfn.XLOOKUP(C2117 &amp; F2117,
         [1]unilever_price_limits!A:A &amp; [1]unilever_price_limits!B:B,
         [1]unilever_price_limits!C:C)</f>
        <v>15</v>
      </c>
      <c r="H2117" s="8">
        <f t="shared" si="133"/>
        <v>2.6104999999999996</v>
      </c>
      <c r="I2117" s="6">
        <f t="shared" si="134"/>
        <v>14.999999999999991</v>
      </c>
      <c r="J2117" t="str">
        <f t="shared" si="135"/>
        <v>OK</v>
      </c>
    </row>
    <row r="2118" spans="1:10" x14ac:dyDescent="0.2">
      <c r="A2118">
        <v>12117</v>
      </c>
      <c r="B2118" t="s">
        <v>8</v>
      </c>
      <c r="C2118" t="s">
        <v>9</v>
      </c>
      <c r="D2118" s="8">
        <v>7.89</v>
      </c>
      <c r="E2118">
        <v>8</v>
      </c>
      <c r="F2118" t="str">
        <f t="shared" si="132"/>
        <v>Premium</v>
      </c>
      <c r="G2118" s="3" cm="1">
        <f t="array" ref="G2118">_xlfn.XLOOKUP(C2118 &amp; F2118,
         [1]unilever_price_limits!A:A &amp; [1]unilever_price_limits!B:B,
         [1]unilever_price_limits!C:C)</f>
        <v>60</v>
      </c>
      <c r="H2118" s="8">
        <f t="shared" si="133"/>
        <v>12.624000000000001</v>
      </c>
      <c r="I2118" s="6">
        <f t="shared" si="134"/>
        <v>60.000000000000007</v>
      </c>
      <c r="J2118" t="str">
        <f t="shared" si="135"/>
        <v>OK</v>
      </c>
    </row>
    <row r="2119" spans="1:10" x14ac:dyDescent="0.2">
      <c r="A2119">
        <v>12118</v>
      </c>
      <c r="B2119" t="s">
        <v>7</v>
      </c>
      <c r="C2119" t="s">
        <v>6</v>
      </c>
      <c r="D2119" s="8">
        <v>8.99</v>
      </c>
      <c r="E2119">
        <v>4</v>
      </c>
      <c r="F2119" t="str">
        <f t="shared" si="132"/>
        <v>Standard</v>
      </c>
      <c r="G2119" s="3" cm="1">
        <f t="array" ref="G2119">_xlfn.XLOOKUP(C2119 &amp; F2119,
         [1]unilever_price_limits!A:A &amp; [1]unilever_price_limits!B:B,
         [1]unilever_price_limits!C:C)</f>
        <v>28</v>
      </c>
      <c r="H2119" s="8">
        <f t="shared" si="133"/>
        <v>11.507200000000001</v>
      </c>
      <c r="I2119" s="6">
        <f t="shared" si="134"/>
        <v>28.000000000000004</v>
      </c>
      <c r="J2119" t="str">
        <f t="shared" si="135"/>
        <v>OK</v>
      </c>
    </row>
    <row r="2120" spans="1:10" x14ac:dyDescent="0.2">
      <c r="A2120">
        <v>12119</v>
      </c>
      <c r="B2120" t="s">
        <v>8</v>
      </c>
      <c r="C2120" t="s">
        <v>9</v>
      </c>
      <c r="D2120" s="8">
        <v>5.71</v>
      </c>
      <c r="E2120">
        <v>2</v>
      </c>
      <c r="F2120" t="str">
        <f t="shared" si="132"/>
        <v>Value</v>
      </c>
      <c r="G2120" s="3" cm="1">
        <f t="array" ref="G2120">_xlfn.XLOOKUP(C2120 &amp; F2120,
         [1]unilever_price_limits!A:A &amp; [1]unilever_price_limits!B:B,
         [1]unilever_price_limits!C:C)</f>
        <v>15</v>
      </c>
      <c r="H2120" s="8">
        <f t="shared" si="133"/>
        <v>6.5664999999999996</v>
      </c>
      <c r="I2120" s="6">
        <f t="shared" si="134"/>
        <v>14.999999999999991</v>
      </c>
      <c r="J2120" t="str">
        <f t="shared" si="135"/>
        <v>OK</v>
      </c>
    </row>
    <row r="2121" spans="1:10" x14ac:dyDescent="0.2">
      <c r="A2121">
        <v>12120</v>
      </c>
      <c r="B2121" t="s">
        <v>7</v>
      </c>
      <c r="C2121" t="s">
        <v>11</v>
      </c>
      <c r="D2121" s="8">
        <v>7.39</v>
      </c>
      <c r="E2121">
        <v>2</v>
      </c>
      <c r="F2121" t="str">
        <f t="shared" si="132"/>
        <v>Value</v>
      </c>
      <c r="G2121" s="3" cm="1">
        <f t="array" ref="G2121">_xlfn.XLOOKUP(C2121 &amp; F2121,
         [1]unilever_price_limits!A:A &amp; [1]unilever_price_limits!B:B,
         [1]unilever_price_limits!C:C)</f>
        <v>10</v>
      </c>
      <c r="H2121" s="8">
        <f t="shared" si="133"/>
        <v>8.1289999999999996</v>
      </c>
      <c r="I2121" s="6">
        <f t="shared" si="134"/>
        <v>10.000000000000009</v>
      </c>
      <c r="J2121" t="str">
        <f t="shared" si="135"/>
        <v>OK</v>
      </c>
    </row>
    <row r="2122" spans="1:10" x14ac:dyDescent="0.2">
      <c r="A2122">
        <v>12121</v>
      </c>
      <c r="B2122" t="s">
        <v>7</v>
      </c>
      <c r="C2122" t="s">
        <v>11</v>
      </c>
      <c r="D2122" s="8">
        <v>5.77</v>
      </c>
      <c r="E2122">
        <v>6</v>
      </c>
      <c r="F2122" t="str">
        <f t="shared" si="132"/>
        <v>Standard</v>
      </c>
      <c r="G2122" s="3" cm="1">
        <f t="array" ref="G2122">_xlfn.XLOOKUP(C2122 &amp; F2122,
         [1]unilever_price_limits!A:A &amp; [1]unilever_price_limits!B:B,
         [1]unilever_price_limits!C:C)</f>
        <v>25</v>
      </c>
      <c r="H2122" s="8">
        <f t="shared" si="133"/>
        <v>7.2124999999999995</v>
      </c>
      <c r="I2122" s="6">
        <f t="shared" si="134"/>
        <v>25</v>
      </c>
      <c r="J2122" t="str">
        <f t="shared" si="135"/>
        <v>OK</v>
      </c>
    </row>
    <row r="2123" spans="1:10" x14ac:dyDescent="0.2">
      <c r="A2123">
        <v>12122</v>
      </c>
      <c r="B2123" t="s">
        <v>7</v>
      </c>
      <c r="C2123" t="s">
        <v>6</v>
      </c>
      <c r="D2123" s="8">
        <v>9.7899999999999991</v>
      </c>
      <c r="E2123">
        <v>8</v>
      </c>
      <c r="F2123" t="str">
        <f t="shared" si="132"/>
        <v>Premium</v>
      </c>
      <c r="G2123" s="3" cm="1">
        <f t="array" ref="G2123">_xlfn.XLOOKUP(C2123 &amp; F2123,
         [1]unilever_price_limits!A:A &amp; [1]unilever_price_limits!B:B,
         [1]unilever_price_limits!C:C)</f>
        <v>55</v>
      </c>
      <c r="H2123" s="8">
        <f t="shared" si="133"/>
        <v>15.174499999999998</v>
      </c>
      <c r="I2123" s="6">
        <f t="shared" si="134"/>
        <v>55.000000000000007</v>
      </c>
      <c r="J2123" t="str">
        <f t="shared" si="135"/>
        <v>OK</v>
      </c>
    </row>
    <row r="2124" spans="1:10" x14ac:dyDescent="0.2">
      <c r="A2124">
        <v>12123</v>
      </c>
      <c r="B2124" t="s">
        <v>5</v>
      </c>
      <c r="C2124" t="s">
        <v>11</v>
      </c>
      <c r="D2124" s="8">
        <v>13.57</v>
      </c>
      <c r="E2124">
        <v>7</v>
      </c>
      <c r="F2124" t="str">
        <f t="shared" si="132"/>
        <v>Standard</v>
      </c>
      <c r="G2124" s="3" cm="1">
        <f t="array" ref="G2124">_xlfn.XLOOKUP(C2124 &amp; F2124,
         [1]unilever_price_limits!A:A &amp; [1]unilever_price_limits!B:B,
         [1]unilever_price_limits!C:C)</f>
        <v>25</v>
      </c>
      <c r="H2124" s="8">
        <f t="shared" si="133"/>
        <v>16.962499999999999</v>
      </c>
      <c r="I2124" s="6">
        <f t="shared" si="134"/>
        <v>24.999999999999979</v>
      </c>
      <c r="J2124" t="str">
        <f t="shared" si="135"/>
        <v>OK</v>
      </c>
    </row>
    <row r="2125" spans="1:10" x14ac:dyDescent="0.2">
      <c r="A2125">
        <v>12124</v>
      </c>
      <c r="B2125" t="s">
        <v>8</v>
      </c>
      <c r="C2125" t="s">
        <v>9</v>
      </c>
      <c r="D2125" s="8">
        <v>2.88</v>
      </c>
      <c r="E2125">
        <v>4</v>
      </c>
      <c r="F2125" t="str">
        <f t="shared" si="132"/>
        <v>Standard</v>
      </c>
      <c r="G2125" s="3" cm="1">
        <f t="array" ref="G2125">_xlfn.XLOOKUP(C2125 &amp; F2125,
         [1]unilever_price_limits!A:A &amp; [1]unilever_price_limits!B:B,
         [1]unilever_price_limits!C:C)</f>
        <v>30</v>
      </c>
      <c r="H2125" s="8">
        <f t="shared" si="133"/>
        <v>3.7439999999999998</v>
      </c>
      <c r="I2125" s="6">
        <f t="shared" si="134"/>
        <v>30.000000000000004</v>
      </c>
      <c r="J2125" t="str">
        <f t="shared" si="135"/>
        <v>OK</v>
      </c>
    </row>
    <row r="2126" spans="1:10" x14ac:dyDescent="0.2">
      <c r="A2126">
        <v>12125</v>
      </c>
      <c r="B2126" t="s">
        <v>10</v>
      </c>
      <c r="C2126" t="s">
        <v>11</v>
      </c>
      <c r="D2126" s="8">
        <v>6.03</v>
      </c>
      <c r="E2126">
        <v>2</v>
      </c>
      <c r="F2126" t="str">
        <f t="shared" si="132"/>
        <v>Value</v>
      </c>
      <c r="G2126" s="3" cm="1">
        <f t="array" ref="G2126">_xlfn.XLOOKUP(C2126 &amp; F2126,
         [1]unilever_price_limits!A:A &amp; [1]unilever_price_limits!B:B,
         [1]unilever_price_limits!C:C)</f>
        <v>10</v>
      </c>
      <c r="H2126" s="8">
        <f t="shared" si="133"/>
        <v>6.6330000000000009</v>
      </c>
      <c r="I2126" s="6">
        <f t="shared" si="134"/>
        <v>10.000000000000009</v>
      </c>
      <c r="J2126" t="str">
        <f t="shared" si="135"/>
        <v>OK</v>
      </c>
    </row>
    <row r="2127" spans="1:10" x14ac:dyDescent="0.2">
      <c r="A2127">
        <v>12126</v>
      </c>
      <c r="B2127" t="s">
        <v>10</v>
      </c>
      <c r="C2127" t="s">
        <v>6</v>
      </c>
      <c r="D2127" s="8">
        <v>2.54</v>
      </c>
      <c r="E2127">
        <v>9</v>
      </c>
      <c r="F2127" t="str">
        <f t="shared" si="132"/>
        <v>Premium</v>
      </c>
      <c r="G2127" s="3" cm="1">
        <f t="array" ref="G2127">_xlfn.XLOOKUP(C2127 &amp; F2127,
         [1]unilever_price_limits!A:A &amp; [1]unilever_price_limits!B:B,
         [1]unilever_price_limits!C:C)</f>
        <v>55</v>
      </c>
      <c r="H2127" s="8">
        <f t="shared" si="133"/>
        <v>3.9370000000000003</v>
      </c>
      <c r="I2127" s="6">
        <f t="shared" si="134"/>
        <v>55.000000000000007</v>
      </c>
      <c r="J2127" t="str">
        <f t="shared" si="135"/>
        <v>OK</v>
      </c>
    </row>
    <row r="2128" spans="1:10" x14ac:dyDescent="0.2">
      <c r="A2128">
        <v>12127</v>
      </c>
      <c r="B2128" t="s">
        <v>8</v>
      </c>
      <c r="C2128" t="s">
        <v>6</v>
      </c>
      <c r="D2128" s="8">
        <v>9.56</v>
      </c>
      <c r="E2128">
        <v>4</v>
      </c>
      <c r="F2128" t="str">
        <f t="shared" si="132"/>
        <v>Standard</v>
      </c>
      <c r="G2128" s="3" cm="1">
        <f t="array" ref="G2128">_xlfn.XLOOKUP(C2128 &amp; F2128,
         [1]unilever_price_limits!A:A &amp; [1]unilever_price_limits!B:B,
         [1]unilever_price_limits!C:C)</f>
        <v>28</v>
      </c>
      <c r="H2128" s="8">
        <f t="shared" si="133"/>
        <v>12.236800000000001</v>
      </c>
      <c r="I2128" s="6">
        <f t="shared" si="134"/>
        <v>28.000000000000004</v>
      </c>
      <c r="J2128" t="str">
        <f t="shared" si="135"/>
        <v>OK</v>
      </c>
    </row>
    <row r="2129" spans="1:10" x14ac:dyDescent="0.2">
      <c r="A2129">
        <v>12128</v>
      </c>
      <c r="B2129" t="s">
        <v>5</v>
      </c>
      <c r="C2129" t="s">
        <v>9</v>
      </c>
      <c r="D2129" s="8">
        <v>11.07</v>
      </c>
      <c r="E2129">
        <v>9</v>
      </c>
      <c r="F2129" t="str">
        <f t="shared" si="132"/>
        <v>Premium</v>
      </c>
      <c r="G2129" s="3" cm="1">
        <f t="array" ref="G2129">_xlfn.XLOOKUP(C2129 &amp; F2129,
         [1]unilever_price_limits!A:A &amp; [1]unilever_price_limits!B:B,
         [1]unilever_price_limits!C:C)</f>
        <v>60</v>
      </c>
      <c r="H2129" s="8">
        <f t="shared" si="133"/>
        <v>17.712</v>
      </c>
      <c r="I2129" s="6">
        <f t="shared" si="134"/>
        <v>59.999999999999986</v>
      </c>
      <c r="J2129" t="str">
        <f t="shared" si="135"/>
        <v>OK</v>
      </c>
    </row>
    <row r="2130" spans="1:10" x14ac:dyDescent="0.2">
      <c r="A2130">
        <v>12129</v>
      </c>
      <c r="B2130" t="s">
        <v>5</v>
      </c>
      <c r="C2130" t="s">
        <v>6</v>
      </c>
      <c r="D2130" s="8">
        <v>14.01</v>
      </c>
      <c r="E2130">
        <v>5</v>
      </c>
      <c r="F2130" t="str">
        <f t="shared" si="132"/>
        <v>Standard</v>
      </c>
      <c r="G2130" s="3" cm="1">
        <f t="array" ref="G2130">_xlfn.XLOOKUP(C2130 &amp; F2130,
         [1]unilever_price_limits!A:A &amp; [1]unilever_price_limits!B:B,
         [1]unilever_price_limits!C:C)</f>
        <v>28</v>
      </c>
      <c r="H2130" s="8">
        <f t="shared" si="133"/>
        <v>17.9328</v>
      </c>
      <c r="I2130" s="6">
        <f t="shared" si="134"/>
        <v>28.000000000000004</v>
      </c>
      <c r="J2130" t="str">
        <f t="shared" si="135"/>
        <v>OK</v>
      </c>
    </row>
    <row r="2131" spans="1:10" x14ac:dyDescent="0.2">
      <c r="A2131">
        <v>12130</v>
      </c>
      <c r="B2131" t="s">
        <v>7</v>
      </c>
      <c r="C2131" t="s">
        <v>11</v>
      </c>
      <c r="D2131" s="8">
        <v>4.54</v>
      </c>
      <c r="E2131">
        <v>7</v>
      </c>
      <c r="F2131" t="str">
        <f t="shared" si="132"/>
        <v>Standard</v>
      </c>
      <c r="G2131" s="3" cm="1">
        <f t="array" ref="G2131">_xlfn.XLOOKUP(C2131 &amp; F2131,
         [1]unilever_price_limits!A:A &amp; [1]unilever_price_limits!B:B,
         [1]unilever_price_limits!C:C)</f>
        <v>25</v>
      </c>
      <c r="H2131" s="8">
        <f t="shared" si="133"/>
        <v>5.6749999999999998</v>
      </c>
      <c r="I2131" s="6">
        <f t="shared" si="134"/>
        <v>25</v>
      </c>
      <c r="J2131" t="str">
        <f t="shared" si="135"/>
        <v>OK</v>
      </c>
    </row>
    <row r="2132" spans="1:10" x14ac:dyDescent="0.2">
      <c r="A2132">
        <v>12131</v>
      </c>
      <c r="B2132" t="s">
        <v>8</v>
      </c>
      <c r="C2132" t="s">
        <v>6</v>
      </c>
      <c r="D2132" s="8">
        <v>14.28</v>
      </c>
      <c r="E2132">
        <v>5</v>
      </c>
      <c r="F2132" t="str">
        <f t="shared" si="132"/>
        <v>Standard</v>
      </c>
      <c r="G2132" s="3" cm="1">
        <f t="array" ref="G2132">_xlfn.XLOOKUP(C2132 &amp; F2132,
         [1]unilever_price_limits!A:A &amp; [1]unilever_price_limits!B:B,
         [1]unilever_price_limits!C:C)</f>
        <v>28</v>
      </c>
      <c r="H2132" s="8">
        <f t="shared" si="133"/>
        <v>18.278400000000001</v>
      </c>
      <c r="I2132" s="6">
        <f t="shared" si="134"/>
        <v>28.000000000000025</v>
      </c>
      <c r="J2132" t="str">
        <f t="shared" si="135"/>
        <v>OK</v>
      </c>
    </row>
    <row r="2133" spans="1:10" x14ac:dyDescent="0.2">
      <c r="A2133">
        <v>12132</v>
      </c>
      <c r="B2133" t="s">
        <v>8</v>
      </c>
      <c r="C2133" t="s">
        <v>9</v>
      </c>
      <c r="D2133" s="8">
        <v>1.42</v>
      </c>
      <c r="E2133">
        <v>2</v>
      </c>
      <c r="F2133" t="str">
        <f t="shared" si="132"/>
        <v>Value</v>
      </c>
      <c r="G2133" s="3" cm="1">
        <f t="array" ref="G2133">_xlfn.XLOOKUP(C2133 &amp; F2133,
         [1]unilever_price_limits!A:A &amp; [1]unilever_price_limits!B:B,
         [1]unilever_price_limits!C:C)</f>
        <v>15</v>
      </c>
      <c r="H2133" s="8">
        <f t="shared" si="133"/>
        <v>1.6329999999999998</v>
      </c>
      <c r="I2133" s="6">
        <f t="shared" si="134"/>
        <v>14.999999999999991</v>
      </c>
      <c r="J2133" t="str">
        <f t="shared" si="135"/>
        <v>OK</v>
      </c>
    </row>
    <row r="2134" spans="1:10" x14ac:dyDescent="0.2">
      <c r="A2134">
        <v>12133</v>
      </c>
      <c r="B2134" t="s">
        <v>10</v>
      </c>
      <c r="C2134" t="s">
        <v>6</v>
      </c>
      <c r="D2134" s="8">
        <v>9.24</v>
      </c>
      <c r="E2134">
        <v>6</v>
      </c>
      <c r="F2134" t="str">
        <f t="shared" si="132"/>
        <v>Standard</v>
      </c>
      <c r="G2134" s="3" cm="1">
        <f t="array" ref="G2134">_xlfn.XLOOKUP(C2134 &amp; F2134,
         [1]unilever_price_limits!A:A &amp; [1]unilever_price_limits!B:B,
         [1]unilever_price_limits!C:C)</f>
        <v>28</v>
      </c>
      <c r="H2134" s="8">
        <f t="shared" si="133"/>
        <v>11.827200000000001</v>
      </c>
      <c r="I2134" s="6">
        <f t="shared" si="134"/>
        <v>28.000000000000004</v>
      </c>
      <c r="J2134" t="str">
        <f t="shared" si="135"/>
        <v>OK</v>
      </c>
    </row>
    <row r="2135" spans="1:10" x14ac:dyDescent="0.2">
      <c r="A2135">
        <v>12134</v>
      </c>
      <c r="B2135" t="s">
        <v>8</v>
      </c>
      <c r="C2135" t="s">
        <v>11</v>
      </c>
      <c r="D2135" s="8">
        <v>1.33</v>
      </c>
      <c r="E2135">
        <v>7</v>
      </c>
      <c r="F2135" t="str">
        <f t="shared" si="132"/>
        <v>Standard</v>
      </c>
      <c r="G2135" s="3" cm="1">
        <f t="array" ref="G2135">_xlfn.XLOOKUP(C2135 &amp; F2135,
         [1]unilever_price_limits!A:A &amp; [1]unilever_price_limits!B:B,
         [1]unilever_price_limits!C:C)</f>
        <v>25</v>
      </c>
      <c r="H2135" s="8">
        <f t="shared" si="133"/>
        <v>1.6625000000000001</v>
      </c>
      <c r="I2135" s="6">
        <f t="shared" si="134"/>
        <v>25</v>
      </c>
      <c r="J2135" t="str">
        <f t="shared" si="135"/>
        <v>OK</v>
      </c>
    </row>
    <row r="2136" spans="1:10" x14ac:dyDescent="0.2">
      <c r="A2136">
        <v>12135</v>
      </c>
      <c r="B2136" t="s">
        <v>5</v>
      </c>
      <c r="C2136" t="s">
        <v>9</v>
      </c>
      <c r="D2136" s="8">
        <v>13.46</v>
      </c>
      <c r="E2136">
        <v>6</v>
      </c>
      <c r="F2136" t="str">
        <f t="shared" si="132"/>
        <v>Standard</v>
      </c>
      <c r="G2136" s="3" cm="1">
        <f t="array" ref="G2136">_xlfn.XLOOKUP(C2136 &amp; F2136,
         [1]unilever_price_limits!A:A &amp; [1]unilever_price_limits!B:B,
         [1]unilever_price_limits!C:C)</f>
        <v>30</v>
      </c>
      <c r="H2136" s="8">
        <f t="shared" si="133"/>
        <v>17.498000000000001</v>
      </c>
      <c r="I2136" s="6">
        <f t="shared" si="134"/>
        <v>30.000000000000004</v>
      </c>
      <c r="J2136" t="str">
        <f t="shared" si="135"/>
        <v>OK</v>
      </c>
    </row>
    <row r="2137" spans="1:10" x14ac:dyDescent="0.2">
      <c r="A2137">
        <v>12136</v>
      </c>
      <c r="B2137" t="s">
        <v>8</v>
      </c>
      <c r="C2137" t="s">
        <v>11</v>
      </c>
      <c r="D2137" s="8">
        <v>8.18</v>
      </c>
      <c r="E2137">
        <v>3</v>
      </c>
      <c r="F2137" t="str">
        <f t="shared" si="132"/>
        <v>Value</v>
      </c>
      <c r="G2137" s="3" cm="1">
        <f t="array" ref="G2137">_xlfn.XLOOKUP(C2137 &amp; F2137,
         [1]unilever_price_limits!A:A &amp; [1]unilever_price_limits!B:B,
         [1]unilever_price_limits!C:C)</f>
        <v>10</v>
      </c>
      <c r="H2137" s="8">
        <f t="shared" si="133"/>
        <v>8.9980000000000011</v>
      </c>
      <c r="I2137" s="6">
        <f t="shared" si="134"/>
        <v>10.000000000000009</v>
      </c>
      <c r="J2137" t="str">
        <f t="shared" si="135"/>
        <v>OK</v>
      </c>
    </row>
    <row r="2138" spans="1:10" x14ac:dyDescent="0.2">
      <c r="A2138">
        <v>12137</v>
      </c>
      <c r="B2138" t="s">
        <v>10</v>
      </c>
      <c r="C2138" t="s">
        <v>9</v>
      </c>
      <c r="D2138" s="8">
        <v>10.210000000000001</v>
      </c>
      <c r="E2138">
        <v>10</v>
      </c>
      <c r="F2138" t="str">
        <f t="shared" si="132"/>
        <v>Premium</v>
      </c>
      <c r="G2138" s="3" cm="1">
        <f t="array" ref="G2138">_xlfn.XLOOKUP(C2138 &amp; F2138,
         [1]unilever_price_limits!A:A &amp; [1]unilever_price_limits!B:B,
         [1]unilever_price_limits!C:C)</f>
        <v>60</v>
      </c>
      <c r="H2138" s="8">
        <f t="shared" si="133"/>
        <v>16.336000000000002</v>
      </c>
      <c r="I2138" s="6">
        <f t="shared" si="134"/>
        <v>60.000000000000007</v>
      </c>
      <c r="J2138" t="str">
        <f t="shared" si="135"/>
        <v>OK</v>
      </c>
    </row>
    <row r="2139" spans="1:10" x14ac:dyDescent="0.2">
      <c r="A2139">
        <v>12138</v>
      </c>
      <c r="B2139" t="s">
        <v>7</v>
      </c>
      <c r="C2139" t="s">
        <v>6</v>
      </c>
      <c r="D2139" s="8">
        <v>12.56</v>
      </c>
      <c r="E2139">
        <v>8</v>
      </c>
      <c r="F2139" t="str">
        <f t="shared" si="132"/>
        <v>Premium</v>
      </c>
      <c r="G2139" s="3" cm="1">
        <f t="array" ref="G2139">_xlfn.XLOOKUP(C2139 &amp; F2139,
         [1]unilever_price_limits!A:A &amp; [1]unilever_price_limits!B:B,
         [1]unilever_price_limits!C:C)</f>
        <v>55</v>
      </c>
      <c r="H2139" s="8">
        <f t="shared" si="133"/>
        <v>19.468</v>
      </c>
      <c r="I2139" s="6">
        <f t="shared" si="134"/>
        <v>55.000000000000007</v>
      </c>
      <c r="J2139" t="str">
        <f t="shared" si="135"/>
        <v>OK</v>
      </c>
    </row>
    <row r="2140" spans="1:10" x14ac:dyDescent="0.2">
      <c r="A2140">
        <v>12139</v>
      </c>
      <c r="B2140" t="s">
        <v>10</v>
      </c>
      <c r="C2140" t="s">
        <v>9</v>
      </c>
      <c r="D2140" s="8">
        <v>2.68</v>
      </c>
      <c r="E2140">
        <v>3</v>
      </c>
      <c r="F2140" t="str">
        <f t="shared" si="132"/>
        <v>Value</v>
      </c>
      <c r="G2140" s="3" cm="1">
        <f t="array" ref="G2140">_xlfn.XLOOKUP(C2140 &amp; F2140,
         [1]unilever_price_limits!A:A &amp; [1]unilever_price_limits!B:B,
         [1]unilever_price_limits!C:C)</f>
        <v>15</v>
      </c>
      <c r="H2140" s="8">
        <f t="shared" si="133"/>
        <v>3.0819999999999999</v>
      </c>
      <c r="I2140" s="6">
        <f t="shared" si="134"/>
        <v>14.999999999999991</v>
      </c>
      <c r="J2140" t="str">
        <f t="shared" si="135"/>
        <v>OK</v>
      </c>
    </row>
    <row r="2141" spans="1:10" x14ac:dyDescent="0.2">
      <c r="A2141">
        <v>12140</v>
      </c>
      <c r="B2141" t="s">
        <v>10</v>
      </c>
      <c r="C2141" t="s">
        <v>9</v>
      </c>
      <c r="D2141" s="8">
        <v>1.06</v>
      </c>
      <c r="E2141">
        <v>5</v>
      </c>
      <c r="F2141" t="str">
        <f t="shared" si="132"/>
        <v>Standard</v>
      </c>
      <c r="G2141" s="3" cm="1">
        <f t="array" ref="G2141">_xlfn.XLOOKUP(C2141 &amp; F2141,
         [1]unilever_price_limits!A:A &amp; [1]unilever_price_limits!B:B,
         [1]unilever_price_limits!C:C)</f>
        <v>30</v>
      </c>
      <c r="H2141" s="8">
        <f t="shared" si="133"/>
        <v>1.3780000000000001</v>
      </c>
      <c r="I2141" s="6">
        <f t="shared" si="134"/>
        <v>30.000000000000004</v>
      </c>
      <c r="J2141" t="str">
        <f t="shared" si="135"/>
        <v>OK</v>
      </c>
    </row>
    <row r="2142" spans="1:10" x14ac:dyDescent="0.2">
      <c r="A2142">
        <v>12141</v>
      </c>
      <c r="B2142" t="s">
        <v>7</v>
      </c>
      <c r="C2142" t="s">
        <v>6</v>
      </c>
      <c r="D2142" s="8">
        <v>13.24</v>
      </c>
      <c r="E2142">
        <v>9</v>
      </c>
      <c r="F2142" t="str">
        <f t="shared" si="132"/>
        <v>Premium</v>
      </c>
      <c r="G2142" s="3" cm="1">
        <f t="array" ref="G2142">_xlfn.XLOOKUP(C2142 &amp; F2142,
         [1]unilever_price_limits!A:A &amp; [1]unilever_price_limits!B:B,
         [1]unilever_price_limits!C:C)</f>
        <v>55</v>
      </c>
      <c r="H2142" s="8">
        <f t="shared" si="133"/>
        <v>20.522000000000002</v>
      </c>
      <c r="I2142" s="6">
        <f t="shared" si="134"/>
        <v>55.000000000000007</v>
      </c>
      <c r="J2142" t="str">
        <f t="shared" si="135"/>
        <v>OK</v>
      </c>
    </row>
    <row r="2143" spans="1:10" x14ac:dyDescent="0.2">
      <c r="A2143">
        <v>12142</v>
      </c>
      <c r="B2143" t="s">
        <v>10</v>
      </c>
      <c r="C2143" t="s">
        <v>11</v>
      </c>
      <c r="D2143" s="8">
        <v>5.07</v>
      </c>
      <c r="E2143">
        <v>5</v>
      </c>
      <c r="F2143" t="str">
        <f t="shared" si="132"/>
        <v>Standard</v>
      </c>
      <c r="G2143" s="3" cm="1">
        <f t="array" ref="G2143">_xlfn.XLOOKUP(C2143 &amp; F2143,
         [1]unilever_price_limits!A:A &amp; [1]unilever_price_limits!B:B,
         [1]unilever_price_limits!C:C)</f>
        <v>25</v>
      </c>
      <c r="H2143" s="8">
        <f t="shared" si="133"/>
        <v>6.3375000000000004</v>
      </c>
      <c r="I2143" s="6">
        <f t="shared" si="134"/>
        <v>25</v>
      </c>
      <c r="J2143" t="str">
        <f t="shared" si="135"/>
        <v>OK</v>
      </c>
    </row>
    <row r="2144" spans="1:10" x14ac:dyDescent="0.2">
      <c r="A2144">
        <v>12143</v>
      </c>
      <c r="B2144" t="s">
        <v>10</v>
      </c>
      <c r="C2144" t="s">
        <v>6</v>
      </c>
      <c r="D2144" s="8">
        <v>2.37</v>
      </c>
      <c r="E2144">
        <v>7</v>
      </c>
      <c r="F2144" t="str">
        <f t="shared" si="132"/>
        <v>Standard</v>
      </c>
      <c r="G2144" s="3" cm="1">
        <f t="array" ref="G2144">_xlfn.XLOOKUP(C2144 &amp; F2144,
         [1]unilever_price_limits!A:A &amp; [1]unilever_price_limits!B:B,
         [1]unilever_price_limits!C:C)</f>
        <v>28</v>
      </c>
      <c r="H2144" s="8">
        <f t="shared" si="133"/>
        <v>3.0336000000000003</v>
      </c>
      <c r="I2144" s="6">
        <f t="shared" si="134"/>
        <v>28.000000000000004</v>
      </c>
      <c r="J2144" t="str">
        <f t="shared" si="135"/>
        <v>OK</v>
      </c>
    </row>
    <row r="2145" spans="1:10" x14ac:dyDescent="0.2">
      <c r="A2145">
        <v>12144</v>
      </c>
      <c r="B2145" t="s">
        <v>8</v>
      </c>
      <c r="C2145" t="s">
        <v>9</v>
      </c>
      <c r="D2145" s="8">
        <v>7.29</v>
      </c>
      <c r="E2145">
        <v>7</v>
      </c>
      <c r="F2145" t="str">
        <f t="shared" si="132"/>
        <v>Standard</v>
      </c>
      <c r="G2145" s="3" cm="1">
        <f t="array" ref="G2145">_xlfn.XLOOKUP(C2145 &amp; F2145,
         [1]unilever_price_limits!A:A &amp; [1]unilever_price_limits!B:B,
         [1]unilever_price_limits!C:C)</f>
        <v>30</v>
      </c>
      <c r="H2145" s="8">
        <f t="shared" si="133"/>
        <v>9.4770000000000003</v>
      </c>
      <c r="I2145" s="6">
        <f t="shared" si="134"/>
        <v>30.000000000000004</v>
      </c>
      <c r="J2145" t="str">
        <f t="shared" si="135"/>
        <v>OK</v>
      </c>
    </row>
    <row r="2146" spans="1:10" x14ac:dyDescent="0.2">
      <c r="A2146">
        <v>12145</v>
      </c>
      <c r="B2146" t="s">
        <v>8</v>
      </c>
      <c r="C2146" t="s">
        <v>6</v>
      </c>
      <c r="D2146" s="8">
        <v>9.18</v>
      </c>
      <c r="E2146">
        <v>5</v>
      </c>
      <c r="F2146" t="str">
        <f t="shared" si="132"/>
        <v>Standard</v>
      </c>
      <c r="G2146" s="3" cm="1">
        <f t="array" ref="G2146">_xlfn.XLOOKUP(C2146 &amp; F2146,
         [1]unilever_price_limits!A:A &amp; [1]unilever_price_limits!B:B,
         [1]unilever_price_limits!C:C)</f>
        <v>28</v>
      </c>
      <c r="H2146" s="8">
        <f t="shared" si="133"/>
        <v>11.750399999999999</v>
      </c>
      <c r="I2146" s="6">
        <f t="shared" si="134"/>
        <v>28.000000000000004</v>
      </c>
      <c r="J2146" t="str">
        <f t="shared" si="135"/>
        <v>OK</v>
      </c>
    </row>
    <row r="2147" spans="1:10" x14ac:dyDescent="0.2">
      <c r="A2147">
        <v>12146</v>
      </c>
      <c r="B2147" t="s">
        <v>7</v>
      </c>
      <c r="C2147" t="s">
        <v>9</v>
      </c>
      <c r="D2147" s="8">
        <v>0.95</v>
      </c>
      <c r="E2147">
        <v>2</v>
      </c>
      <c r="F2147" t="str">
        <f t="shared" si="132"/>
        <v>Value</v>
      </c>
      <c r="G2147" s="3" cm="1">
        <f t="array" ref="G2147">_xlfn.XLOOKUP(C2147 &amp; F2147,
         [1]unilever_price_limits!A:A &amp; [1]unilever_price_limits!B:B,
         [1]unilever_price_limits!C:C)</f>
        <v>15</v>
      </c>
      <c r="H2147" s="8">
        <f t="shared" si="133"/>
        <v>1.0924999999999998</v>
      </c>
      <c r="I2147" s="6">
        <f t="shared" si="134"/>
        <v>14.999999999999991</v>
      </c>
      <c r="J2147" t="str">
        <f t="shared" si="135"/>
        <v>OK</v>
      </c>
    </row>
    <row r="2148" spans="1:10" x14ac:dyDescent="0.2">
      <c r="A2148">
        <v>12147</v>
      </c>
      <c r="B2148" t="s">
        <v>8</v>
      </c>
      <c r="C2148" t="s">
        <v>6</v>
      </c>
      <c r="D2148" s="8">
        <v>4.49</v>
      </c>
      <c r="E2148">
        <v>5</v>
      </c>
      <c r="F2148" t="str">
        <f t="shared" si="132"/>
        <v>Standard</v>
      </c>
      <c r="G2148" s="3" cm="1">
        <f t="array" ref="G2148">_xlfn.XLOOKUP(C2148 &amp; F2148,
         [1]unilever_price_limits!A:A &amp; [1]unilever_price_limits!B:B,
         [1]unilever_price_limits!C:C)</f>
        <v>28</v>
      </c>
      <c r="H2148" s="8">
        <f t="shared" si="133"/>
        <v>5.7472000000000003</v>
      </c>
      <c r="I2148" s="6">
        <f t="shared" si="134"/>
        <v>28.000000000000004</v>
      </c>
      <c r="J2148" t="str">
        <f t="shared" si="135"/>
        <v>OK</v>
      </c>
    </row>
    <row r="2149" spans="1:10" x14ac:dyDescent="0.2">
      <c r="A2149">
        <v>12148</v>
      </c>
      <c r="B2149" t="s">
        <v>8</v>
      </c>
      <c r="C2149" t="s">
        <v>6</v>
      </c>
      <c r="D2149" s="8">
        <v>0.98</v>
      </c>
      <c r="E2149">
        <v>7</v>
      </c>
      <c r="F2149" t="str">
        <f t="shared" si="132"/>
        <v>Standard</v>
      </c>
      <c r="G2149" s="3" cm="1">
        <f t="array" ref="G2149">_xlfn.XLOOKUP(C2149 &amp; F2149,
         [1]unilever_price_limits!A:A &amp; [1]unilever_price_limits!B:B,
         [1]unilever_price_limits!C:C)</f>
        <v>28</v>
      </c>
      <c r="H2149" s="8">
        <f t="shared" si="133"/>
        <v>1.2544</v>
      </c>
      <c r="I2149" s="6">
        <f t="shared" si="134"/>
        <v>28.000000000000004</v>
      </c>
      <c r="J2149" t="str">
        <f t="shared" si="135"/>
        <v>OK</v>
      </c>
    </row>
    <row r="2150" spans="1:10" x14ac:dyDescent="0.2">
      <c r="A2150">
        <v>12149</v>
      </c>
      <c r="B2150" t="s">
        <v>10</v>
      </c>
      <c r="C2150" t="s">
        <v>11</v>
      </c>
      <c r="D2150" s="8">
        <v>6.59</v>
      </c>
      <c r="E2150">
        <v>7</v>
      </c>
      <c r="F2150" t="str">
        <f t="shared" si="132"/>
        <v>Standard</v>
      </c>
      <c r="G2150" s="3" cm="1">
        <f t="array" ref="G2150">_xlfn.XLOOKUP(C2150 &amp; F2150,
         [1]unilever_price_limits!A:A &amp; [1]unilever_price_limits!B:B,
         [1]unilever_price_limits!C:C)</f>
        <v>25</v>
      </c>
      <c r="H2150" s="8">
        <f t="shared" si="133"/>
        <v>8.2375000000000007</v>
      </c>
      <c r="I2150" s="6">
        <f t="shared" si="134"/>
        <v>25.000000000000021</v>
      </c>
      <c r="J2150" t="str">
        <f t="shared" si="135"/>
        <v>OK</v>
      </c>
    </row>
    <row r="2151" spans="1:10" x14ac:dyDescent="0.2">
      <c r="A2151">
        <v>12150</v>
      </c>
      <c r="B2151" t="s">
        <v>5</v>
      </c>
      <c r="C2151" t="s">
        <v>9</v>
      </c>
      <c r="D2151" s="8">
        <v>13.48</v>
      </c>
      <c r="E2151">
        <v>4</v>
      </c>
      <c r="F2151" t="str">
        <f t="shared" si="132"/>
        <v>Standard</v>
      </c>
      <c r="G2151" s="3" cm="1">
        <f t="array" ref="G2151">_xlfn.XLOOKUP(C2151 &amp; F2151,
         [1]unilever_price_limits!A:A &amp; [1]unilever_price_limits!B:B,
         [1]unilever_price_limits!C:C)</f>
        <v>30</v>
      </c>
      <c r="H2151" s="8">
        <f t="shared" si="133"/>
        <v>17.524000000000001</v>
      </c>
      <c r="I2151" s="6">
        <f t="shared" si="134"/>
        <v>30.000000000000004</v>
      </c>
      <c r="J2151" t="str">
        <f t="shared" si="135"/>
        <v>OK</v>
      </c>
    </row>
    <row r="2152" spans="1:10" x14ac:dyDescent="0.2">
      <c r="A2152">
        <v>12151</v>
      </c>
      <c r="B2152" t="s">
        <v>8</v>
      </c>
      <c r="C2152" t="s">
        <v>11</v>
      </c>
      <c r="D2152" s="8">
        <v>14.75</v>
      </c>
      <c r="E2152">
        <v>1</v>
      </c>
      <c r="F2152" t="str">
        <f t="shared" si="132"/>
        <v>Value</v>
      </c>
      <c r="G2152" s="3" cm="1">
        <f t="array" ref="G2152">_xlfn.XLOOKUP(C2152 &amp; F2152,
         [1]unilever_price_limits!A:A &amp; [1]unilever_price_limits!B:B,
         [1]unilever_price_limits!C:C)</f>
        <v>10</v>
      </c>
      <c r="H2152" s="8">
        <f t="shared" si="133"/>
        <v>16.225000000000001</v>
      </c>
      <c r="I2152" s="6">
        <f t="shared" si="134"/>
        <v>10.000000000000009</v>
      </c>
      <c r="J2152" t="str">
        <f t="shared" si="135"/>
        <v>OK</v>
      </c>
    </row>
    <row r="2153" spans="1:10" x14ac:dyDescent="0.2">
      <c r="A2153">
        <v>12152</v>
      </c>
      <c r="B2153" t="s">
        <v>5</v>
      </c>
      <c r="C2153" t="s">
        <v>9</v>
      </c>
      <c r="D2153" s="8">
        <v>9.74</v>
      </c>
      <c r="E2153">
        <v>6</v>
      </c>
      <c r="F2153" t="str">
        <f t="shared" si="132"/>
        <v>Standard</v>
      </c>
      <c r="G2153" s="3" cm="1">
        <f t="array" ref="G2153">_xlfn.XLOOKUP(C2153 &amp; F2153,
         [1]unilever_price_limits!A:A &amp; [1]unilever_price_limits!B:B,
         [1]unilever_price_limits!C:C)</f>
        <v>30</v>
      </c>
      <c r="H2153" s="8">
        <f t="shared" si="133"/>
        <v>12.662000000000001</v>
      </c>
      <c r="I2153" s="6">
        <f t="shared" si="134"/>
        <v>30.000000000000004</v>
      </c>
      <c r="J2153" t="str">
        <f t="shared" si="135"/>
        <v>OK</v>
      </c>
    </row>
    <row r="2154" spans="1:10" x14ac:dyDescent="0.2">
      <c r="A2154">
        <v>12153</v>
      </c>
      <c r="B2154" t="s">
        <v>8</v>
      </c>
      <c r="C2154" t="s">
        <v>6</v>
      </c>
      <c r="D2154" s="8">
        <v>2.84</v>
      </c>
      <c r="E2154">
        <v>3</v>
      </c>
      <c r="F2154" t="str">
        <f t="shared" si="132"/>
        <v>Value</v>
      </c>
      <c r="G2154" s="3" cm="1">
        <f t="array" ref="G2154">_xlfn.XLOOKUP(C2154 &amp; F2154,
         [1]unilever_price_limits!A:A &amp; [1]unilever_price_limits!B:B,
         [1]unilever_price_limits!C:C)</f>
        <v>12</v>
      </c>
      <c r="H2154" s="8">
        <f t="shared" si="133"/>
        <v>3.1808000000000001</v>
      </c>
      <c r="I2154" s="6">
        <f t="shared" si="134"/>
        <v>12.000000000000011</v>
      </c>
      <c r="J2154" t="str">
        <f t="shared" si="135"/>
        <v>OK</v>
      </c>
    </row>
    <row r="2155" spans="1:10" x14ac:dyDescent="0.2">
      <c r="A2155">
        <v>12154</v>
      </c>
      <c r="B2155" t="s">
        <v>8</v>
      </c>
      <c r="C2155" t="s">
        <v>9</v>
      </c>
      <c r="D2155" s="8">
        <v>13.63</v>
      </c>
      <c r="E2155">
        <v>5</v>
      </c>
      <c r="F2155" t="str">
        <f t="shared" si="132"/>
        <v>Standard</v>
      </c>
      <c r="G2155" s="3" cm="1">
        <f t="array" ref="G2155">_xlfn.XLOOKUP(C2155 &amp; F2155,
         [1]unilever_price_limits!A:A &amp; [1]unilever_price_limits!B:B,
         [1]unilever_price_limits!C:C)</f>
        <v>30</v>
      </c>
      <c r="H2155" s="8">
        <f t="shared" si="133"/>
        <v>17.719000000000001</v>
      </c>
      <c r="I2155" s="6">
        <f t="shared" si="134"/>
        <v>30.000000000000004</v>
      </c>
      <c r="J2155" t="str">
        <f t="shared" si="135"/>
        <v>OK</v>
      </c>
    </row>
    <row r="2156" spans="1:10" x14ac:dyDescent="0.2">
      <c r="A2156">
        <v>12155</v>
      </c>
      <c r="B2156" t="s">
        <v>7</v>
      </c>
      <c r="C2156" t="s">
        <v>11</v>
      </c>
      <c r="D2156" s="8">
        <v>7.99</v>
      </c>
      <c r="E2156">
        <v>4</v>
      </c>
      <c r="F2156" t="str">
        <f t="shared" si="132"/>
        <v>Standard</v>
      </c>
      <c r="G2156" s="3" cm="1">
        <f t="array" ref="G2156">_xlfn.XLOOKUP(C2156 &amp; F2156,
         [1]unilever_price_limits!A:A &amp; [1]unilever_price_limits!B:B,
         [1]unilever_price_limits!C:C)</f>
        <v>25</v>
      </c>
      <c r="H2156" s="8">
        <f t="shared" si="133"/>
        <v>9.9875000000000007</v>
      </c>
      <c r="I2156" s="6">
        <f t="shared" si="134"/>
        <v>25</v>
      </c>
      <c r="J2156" t="str">
        <f t="shared" si="135"/>
        <v>OK</v>
      </c>
    </row>
    <row r="2157" spans="1:10" x14ac:dyDescent="0.2">
      <c r="A2157">
        <v>12156</v>
      </c>
      <c r="B2157" t="s">
        <v>7</v>
      </c>
      <c r="C2157" t="s">
        <v>11</v>
      </c>
      <c r="D2157" s="8">
        <v>2.73</v>
      </c>
      <c r="E2157">
        <v>2</v>
      </c>
      <c r="F2157" t="str">
        <f t="shared" si="132"/>
        <v>Value</v>
      </c>
      <c r="G2157" s="3" cm="1">
        <f t="array" ref="G2157">_xlfn.XLOOKUP(C2157 &amp; F2157,
         [1]unilever_price_limits!A:A &amp; [1]unilever_price_limits!B:B,
         [1]unilever_price_limits!C:C)</f>
        <v>10</v>
      </c>
      <c r="H2157" s="8">
        <f t="shared" si="133"/>
        <v>3.0030000000000001</v>
      </c>
      <c r="I2157" s="6">
        <f t="shared" si="134"/>
        <v>10.000000000000009</v>
      </c>
      <c r="J2157" t="str">
        <f t="shared" si="135"/>
        <v>OK</v>
      </c>
    </row>
    <row r="2158" spans="1:10" x14ac:dyDescent="0.2">
      <c r="A2158">
        <v>12157</v>
      </c>
      <c r="B2158" t="s">
        <v>7</v>
      </c>
      <c r="C2158" t="s">
        <v>11</v>
      </c>
      <c r="D2158" s="8">
        <v>13.87</v>
      </c>
      <c r="E2158">
        <v>7</v>
      </c>
      <c r="F2158" t="str">
        <f t="shared" si="132"/>
        <v>Standard</v>
      </c>
      <c r="G2158" s="3" cm="1">
        <f t="array" ref="G2158">_xlfn.XLOOKUP(C2158 &amp; F2158,
         [1]unilever_price_limits!A:A &amp; [1]unilever_price_limits!B:B,
         [1]unilever_price_limits!C:C)</f>
        <v>25</v>
      </c>
      <c r="H2158" s="8">
        <f t="shared" si="133"/>
        <v>17.337499999999999</v>
      </c>
      <c r="I2158" s="6">
        <f t="shared" si="134"/>
        <v>25</v>
      </c>
      <c r="J2158" t="str">
        <f t="shared" si="135"/>
        <v>OK</v>
      </c>
    </row>
    <row r="2159" spans="1:10" x14ac:dyDescent="0.2">
      <c r="A2159">
        <v>12158</v>
      </c>
      <c r="B2159" t="s">
        <v>5</v>
      </c>
      <c r="C2159" t="s">
        <v>9</v>
      </c>
      <c r="D2159" s="8">
        <v>11.48</v>
      </c>
      <c r="E2159">
        <v>5</v>
      </c>
      <c r="F2159" t="str">
        <f t="shared" si="132"/>
        <v>Standard</v>
      </c>
      <c r="G2159" s="3" cm="1">
        <f t="array" ref="G2159">_xlfn.XLOOKUP(C2159 &amp; F2159,
         [1]unilever_price_limits!A:A &amp; [1]unilever_price_limits!B:B,
         [1]unilever_price_limits!C:C)</f>
        <v>30</v>
      </c>
      <c r="H2159" s="8">
        <f t="shared" si="133"/>
        <v>14.924000000000001</v>
      </c>
      <c r="I2159" s="6">
        <f t="shared" si="134"/>
        <v>30.000000000000004</v>
      </c>
      <c r="J2159" t="str">
        <f t="shared" si="135"/>
        <v>OK</v>
      </c>
    </row>
    <row r="2160" spans="1:10" x14ac:dyDescent="0.2">
      <c r="A2160">
        <v>12159</v>
      </c>
      <c r="B2160" t="s">
        <v>10</v>
      </c>
      <c r="C2160" t="s">
        <v>11</v>
      </c>
      <c r="D2160" s="8">
        <v>11.11</v>
      </c>
      <c r="E2160">
        <v>7</v>
      </c>
      <c r="F2160" t="str">
        <f t="shared" si="132"/>
        <v>Standard</v>
      </c>
      <c r="G2160" s="3" cm="1">
        <f t="array" ref="G2160">_xlfn.XLOOKUP(C2160 &amp; F2160,
         [1]unilever_price_limits!A:A &amp; [1]unilever_price_limits!B:B,
         [1]unilever_price_limits!C:C)</f>
        <v>25</v>
      </c>
      <c r="H2160" s="8">
        <f t="shared" si="133"/>
        <v>13.887499999999999</v>
      </c>
      <c r="I2160" s="6">
        <f t="shared" si="134"/>
        <v>25</v>
      </c>
      <c r="J2160" t="str">
        <f t="shared" si="135"/>
        <v>OK</v>
      </c>
    </row>
    <row r="2161" spans="1:10" x14ac:dyDescent="0.2">
      <c r="A2161">
        <v>12160</v>
      </c>
      <c r="B2161" t="s">
        <v>8</v>
      </c>
      <c r="C2161" t="s">
        <v>11</v>
      </c>
      <c r="D2161" s="8">
        <v>10.78</v>
      </c>
      <c r="E2161">
        <v>9</v>
      </c>
      <c r="F2161" t="str">
        <f t="shared" si="132"/>
        <v>Premium</v>
      </c>
      <c r="G2161" s="3" cm="1">
        <f t="array" ref="G2161">_xlfn.XLOOKUP(C2161 &amp; F2161,
         [1]unilever_price_limits!A:A &amp; [1]unilever_price_limits!B:B,
         [1]unilever_price_limits!C:C)</f>
        <v>50</v>
      </c>
      <c r="H2161" s="8">
        <f t="shared" si="133"/>
        <v>16.169999999999998</v>
      </c>
      <c r="I2161" s="6">
        <f t="shared" si="134"/>
        <v>50</v>
      </c>
      <c r="J2161" t="str">
        <f t="shared" si="135"/>
        <v>OK</v>
      </c>
    </row>
    <row r="2162" spans="1:10" x14ac:dyDescent="0.2">
      <c r="A2162">
        <v>12161</v>
      </c>
      <c r="B2162" t="s">
        <v>8</v>
      </c>
      <c r="C2162" t="s">
        <v>11</v>
      </c>
      <c r="D2162" s="8">
        <v>3.4</v>
      </c>
      <c r="E2162">
        <v>4</v>
      </c>
      <c r="F2162" t="str">
        <f t="shared" si="132"/>
        <v>Standard</v>
      </c>
      <c r="G2162" s="3" cm="1">
        <f t="array" ref="G2162">_xlfn.XLOOKUP(C2162 &amp; F2162,
         [1]unilever_price_limits!A:A &amp; [1]unilever_price_limits!B:B,
         [1]unilever_price_limits!C:C)</f>
        <v>25</v>
      </c>
      <c r="H2162" s="8">
        <f t="shared" si="133"/>
        <v>4.25</v>
      </c>
      <c r="I2162" s="6">
        <f t="shared" si="134"/>
        <v>25</v>
      </c>
      <c r="J2162" t="str">
        <f t="shared" si="135"/>
        <v>OK</v>
      </c>
    </row>
    <row r="2163" spans="1:10" x14ac:dyDescent="0.2">
      <c r="A2163">
        <v>12162</v>
      </c>
      <c r="B2163" t="s">
        <v>8</v>
      </c>
      <c r="C2163" t="s">
        <v>6</v>
      </c>
      <c r="D2163" s="8">
        <v>3.56</v>
      </c>
      <c r="E2163">
        <v>5</v>
      </c>
      <c r="F2163" t="str">
        <f t="shared" si="132"/>
        <v>Standard</v>
      </c>
      <c r="G2163" s="3" cm="1">
        <f t="array" ref="G2163">_xlfn.XLOOKUP(C2163 &amp; F2163,
         [1]unilever_price_limits!A:A &amp; [1]unilever_price_limits!B:B,
         [1]unilever_price_limits!C:C)</f>
        <v>28</v>
      </c>
      <c r="H2163" s="8">
        <f t="shared" si="133"/>
        <v>4.5568</v>
      </c>
      <c r="I2163" s="6">
        <f t="shared" si="134"/>
        <v>28.000000000000004</v>
      </c>
      <c r="J2163" t="str">
        <f t="shared" si="135"/>
        <v>OK</v>
      </c>
    </row>
    <row r="2164" spans="1:10" x14ac:dyDescent="0.2">
      <c r="A2164">
        <v>12163</v>
      </c>
      <c r="B2164" t="s">
        <v>5</v>
      </c>
      <c r="C2164" t="s">
        <v>6</v>
      </c>
      <c r="D2164" s="8">
        <v>10.48</v>
      </c>
      <c r="E2164">
        <v>9</v>
      </c>
      <c r="F2164" t="str">
        <f t="shared" si="132"/>
        <v>Premium</v>
      </c>
      <c r="G2164" s="3" cm="1">
        <f t="array" ref="G2164">_xlfn.XLOOKUP(C2164 &amp; F2164,
         [1]unilever_price_limits!A:A &amp; [1]unilever_price_limits!B:B,
         [1]unilever_price_limits!C:C)</f>
        <v>55</v>
      </c>
      <c r="H2164" s="8">
        <f t="shared" si="133"/>
        <v>16.244</v>
      </c>
      <c r="I2164" s="6">
        <f t="shared" si="134"/>
        <v>54.999999999999986</v>
      </c>
      <c r="J2164" t="str">
        <f t="shared" si="135"/>
        <v>OK</v>
      </c>
    </row>
    <row r="2165" spans="1:10" x14ac:dyDescent="0.2">
      <c r="A2165">
        <v>12164</v>
      </c>
      <c r="B2165" t="s">
        <v>7</v>
      </c>
      <c r="C2165" t="s">
        <v>9</v>
      </c>
      <c r="D2165" s="8">
        <v>3.69</v>
      </c>
      <c r="E2165">
        <v>10</v>
      </c>
      <c r="F2165" t="str">
        <f t="shared" si="132"/>
        <v>Premium</v>
      </c>
      <c r="G2165" s="3" cm="1">
        <f t="array" ref="G2165">_xlfn.XLOOKUP(C2165 &amp; F2165,
         [1]unilever_price_limits!A:A &amp; [1]unilever_price_limits!B:B,
         [1]unilever_price_limits!C:C)</f>
        <v>60</v>
      </c>
      <c r="H2165" s="8">
        <f t="shared" si="133"/>
        <v>5.9039999999999999</v>
      </c>
      <c r="I2165" s="6">
        <f t="shared" si="134"/>
        <v>60.000000000000007</v>
      </c>
      <c r="J2165" t="str">
        <f t="shared" si="135"/>
        <v>OK</v>
      </c>
    </row>
    <row r="2166" spans="1:10" x14ac:dyDescent="0.2">
      <c r="A2166">
        <v>12165</v>
      </c>
      <c r="B2166" t="s">
        <v>10</v>
      </c>
      <c r="C2166" t="s">
        <v>9</v>
      </c>
      <c r="D2166" s="8">
        <v>6.86</v>
      </c>
      <c r="E2166">
        <v>4</v>
      </c>
      <c r="F2166" t="str">
        <f t="shared" si="132"/>
        <v>Standard</v>
      </c>
      <c r="G2166" s="3" cm="1">
        <f t="array" ref="G2166">_xlfn.XLOOKUP(C2166 &amp; F2166,
         [1]unilever_price_limits!A:A &amp; [1]unilever_price_limits!B:B,
         [1]unilever_price_limits!C:C)</f>
        <v>30</v>
      </c>
      <c r="H2166" s="8">
        <f t="shared" si="133"/>
        <v>8.918000000000001</v>
      </c>
      <c r="I2166" s="6">
        <f t="shared" si="134"/>
        <v>30.000000000000004</v>
      </c>
      <c r="J2166" t="str">
        <f t="shared" si="135"/>
        <v>OK</v>
      </c>
    </row>
    <row r="2167" spans="1:10" x14ac:dyDescent="0.2">
      <c r="A2167">
        <v>12166</v>
      </c>
      <c r="B2167" t="s">
        <v>5</v>
      </c>
      <c r="C2167" t="s">
        <v>11</v>
      </c>
      <c r="D2167" s="8">
        <v>11.84</v>
      </c>
      <c r="E2167">
        <v>5</v>
      </c>
      <c r="F2167" t="str">
        <f t="shared" si="132"/>
        <v>Standard</v>
      </c>
      <c r="G2167" s="3" cm="1">
        <f t="array" ref="G2167">_xlfn.XLOOKUP(C2167 &amp; F2167,
         [1]unilever_price_limits!A:A &amp; [1]unilever_price_limits!B:B,
         [1]unilever_price_limits!C:C)</f>
        <v>25</v>
      </c>
      <c r="H2167" s="8">
        <f t="shared" si="133"/>
        <v>14.8</v>
      </c>
      <c r="I2167" s="6">
        <f t="shared" si="134"/>
        <v>25</v>
      </c>
      <c r="J2167" t="str">
        <f t="shared" si="135"/>
        <v>OK</v>
      </c>
    </row>
    <row r="2168" spans="1:10" x14ac:dyDescent="0.2">
      <c r="A2168">
        <v>12167</v>
      </c>
      <c r="B2168" t="s">
        <v>7</v>
      </c>
      <c r="C2168" t="s">
        <v>6</v>
      </c>
      <c r="D2168" s="8">
        <v>11.87</v>
      </c>
      <c r="E2168">
        <v>5</v>
      </c>
      <c r="F2168" t="str">
        <f t="shared" si="132"/>
        <v>Standard</v>
      </c>
      <c r="G2168" s="3" cm="1">
        <f t="array" ref="G2168">_xlfn.XLOOKUP(C2168 &amp; F2168,
         [1]unilever_price_limits!A:A &amp; [1]unilever_price_limits!B:B,
         [1]unilever_price_limits!C:C)</f>
        <v>28</v>
      </c>
      <c r="H2168" s="8">
        <f t="shared" si="133"/>
        <v>15.1936</v>
      </c>
      <c r="I2168" s="6">
        <f t="shared" si="134"/>
        <v>28.000000000000004</v>
      </c>
      <c r="J2168" t="str">
        <f t="shared" si="135"/>
        <v>OK</v>
      </c>
    </row>
    <row r="2169" spans="1:10" x14ac:dyDescent="0.2">
      <c r="A2169">
        <v>12168</v>
      </c>
      <c r="B2169" t="s">
        <v>5</v>
      </c>
      <c r="C2169" t="s">
        <v>11</v>
      </c>
      <c r="D2169" s="8">
        <v>7.07</v>
      </c>
      <c r="E2169">
        <v>8</v>
      </c>
      <c r="F2169" t="str">
        <f t="shared" si="132"/>
        <v>Premium</v>
      </c>
      <c r="G2169" s="3" cm="1">
        <f t="array" ref="G2169">_xlfn.XLOOKUP(C2169 &amp; F2169,
         [1]unilever_price_limits!A:A &amp; [1]unilever_price_limits!B:B,
         [1]unilever_price_limits!C:C)</f>
        <v>50</v>
      </c>
      <c r="H2169" s="8">
        <f t="shared" si="133"/>
        <v>10.605</v>
      </c>
      <c r="I2169" s="6">
        <f t="shared" si="134"/>
        <v>50</v>
      </c>
      <c r="J2169" t="str">
        <f t="shared" si="135"/>
        <v>OK</v>
      </c>
    </row>
    <row r="2170" spans="1:10" x14ac:dyDescent="0.2">
      <c r="A2170">
        <v>12169</v>
      </c>
      <c r="B2170" t="s">
        <v>10</v>
      </c>
      <c r="C2170" t="s">
        <v>11</v>
      </c>
      <c r="D2170" s="8">
        <v>11.99</v>
      </c>
      <c r="E2170">
        <v>4</v>
      </c>
      <c r="F2170" t="str">
        <f t="shared" si="132"/>
        <v>Standard</v>
      </c>
      <c r="G2170" s="3" cm="1">
        <f t="array" ref="G2170">_xlfn.XLOOKUP(C2170 &amp; F2170,
         [1]unilever_price_limits!A:A &amp; [1]unilever_price_limits!B:B,
         [1]unilever_price_limits!C:C)</f>
        <v>25</v>
      </c>
      <c r="H2170" s="8">
        <f t="shared" si="133"/>
        <v>14.987500000000001</v>
      </c>
      <c r="I2170" s="6">
        <f t="shared" si="134"/>
        <v>25</v>
      </c>
      <c r="J2170" t="str">
        <f t="shared" si="135"/>
        <v>OK</v>
      </c>
    </row>
    <row r="2171" spans="1:10" x14ac:dyDescent="0.2">
      <c r="A2171">
        <v>12170</v>
      </c>
      <c r="B2171" t="s">
        <v>7</v>
      </c>
      <c r="C2171" t="s">
        <v>6</v>
      </c>
      <c r="D2171" s="8">
        <v>12.66</v>
      </c>
      <c r="E2171">
        <v>4</v>
      </c>
      <c r="F2171" t="str">
        <f t="shared" si="132"/>
        <v>Standard</v>
      </c>
      <c r="G2171" s="3" cm="1">
        <f t="array" ref="G2171">_xlfn.XLOOKUP(C2171 &amp; F2171,
         [1]unilever_price_limits!A:A &amp; [1]unilever_price_limits!B:B,
         [1]unilever_price_limits!C:C)</f>
        <v>28</v>
      </c>
      <c r="H2171" s="8">
        <f t="shared" si="133"/>
        <v>16.204799999999999</v>
      </c>
      <c r="I2171" s="6">
        <f t="shared" si="134"/>
        <v>27.999999999999979</v>
      </c>
      <c r="J2171" t="str">
        <f t="shared" si="135"/>
        <v>OK</v>
      </c>
    </row>
    <row r="2172" spans="1:10" x14ac:dyDescent="0.2">
      <c r="A2172">
        <v>12171</v>
      </c>
      <c r="B2172" t="s">
        <v>5</v>
      </c>
      <c r="C2172" t="s">
        <v>6</v>
      </c>
      <c r="D2172" s="8">
        <v>9.99</v>
      </c>
      <c r="E2172">
        <v>7</v>
      </c>
      <c r="F2172" t="str">
        <f t="shared" si="132"/>
        <v>Standard</v>
      </c>
      <c r="G2172" s="3" cm="1">
        <f t="array" ref="G2172">_xlfn.XLOOKUP(C2172 &amp; F2172,
         [1]unilever_price_limits!A:A &amp; [1]unilever_price_limits!B:B,
         [1]unilever_price_limits!C:C)</f>
        <v>28</v>
      </c>
      <c r="H2172" s="8">
        <f t="shared" si="133"/>
        <v>12.7872</v>
      </c>
      <c r="I2172" s="6">
        <f t="shared" si="134"/>
        <v>28.000000000000004</v>
      </c>
      <c r="J2172" t="str">
        <f t="shared" si="135"/>
        <v>OK</v>
      </c>
    </row>
    <row r="2173" spans="1:10" x14ac:dyDescent="0.2">
      <c r="A2173">
        <v>12172</v>
      </c>
      <c r="B2173" t="s">
        <v>10</v>
      </c>
      <c r="C2173" t="s">
        <v>6</v>
      </c>
      <c r="D2173" s="8">
        <v>3.81</v>
      </c>
      <c r="E2173">
        <v>5</v>
      </c>
      <c r="F2173" t="str">
        <f t="shared" si="132"/>
        <v>Standard</v>
      </c>
      <c r="G2173" s="3" cm="1">
        <f t="array" ref="G2173">_xlfn.XLOOKUP(C2173 &amp; F2173,
         [1]unilever_price_limits!A:A &amp; [1]unilever_price_limits!B:B,
         [1]unilever_price_limits!C:C)</f>
        <v>28</v>
      </c>
      <c r="H2173" s="8">
        <f t="shared" si="133"/>
        <v>4.8768000000000002</v>
      </c>
      <c r="I2173" s="6">
        <f t="shared" si="134"/>
        <v>28.000000000000004</v>
      </c>
      <c r="J2173" t="str">
        <f t="shared" si="135"/>
        <v>OK</v>
      </c>
    </row>
    <row r="2174" spans="1:10" x14ac:dyDescent="0.2">
      <c r="A2174">
        <v>12173</v>
      </c>
      <c r="B2174" t="s">
        <v>8</v>
      </c>
      <c r="C2174" t="s">
        <v>9</v>
      </c>
      <c r="D2174" s="8">
        <v>4.47</v>
      </c>
      <c r="E2174">
        <v>6</v>
      </c>
      <c r="F2174" t="str">
        <f t="shared" si="132"/>
        <v>Standard</v>
      </c>
      <c r="G2174" s="3" cm="1">
        <f t="array" ref="G2174">_xlfn.XLOOKUP(C2174 &amp; F2174,
         [1]unilever_price_limits!A:A &amp; [1]unilever_price_limits!B:B,
         [1]unilever_price_limits!C:C)</f>
        <v>30</v>
      </c>
      <c r="H2174" s="8">
        <f t="shared" si="133"/>
        <v>5.8109999999999999</v>
      </c>
      <c r="I2174" s="6">
        <f t="shared" si="134"/>
        <v>30.000000000000004</v>
      </c>
      <c r="J2174" t="str">
        <f t="shared" si="135"/>
        <v>OK</v>
      </c>
    </row>
    <row r="2175" spans="1:10" x14ac:dyDescent="0.2">
      <c r="A2175">
        <v>12174</v>
      </c>
      <c r="B2175" t="s">
        <v>10</v>
      </c>
      <c r="C2175" t="s">
        <v>9</v>
      </c>
      <c r="D2175" s="8">
        <v>5.07</v>
      </c>
      <c r="E2175">
        <v>6</v>
      </c>
      <c r="F2175" t="str">
        <f t="shared" si="132"/>
        <v>Standard</v>
      </c>
      <c r="G2175" s="3" cm="1">
        <f t="array" ref="G2175">_xlfn.XLOOKUP(C2175 &amp; F2175,
         [1]unilever_price_limits!A:A &amp; [1]unilever_price_limits!B:B,
         [1]unilever_price_limits!C:C)</f>
        <v>30</v>
      </c>
      <c r="H2175" s="8">
        <f t="shared" si="133"/>
        <v>6.5910000000000002</v>
      </c>
      <c r="I2175" s="6">
        <f t="shared" si="134"/>
        <v>30.000000000000004</v>
      </c>
      <c r="J2175" t="str">
        <f t="shared" si="135"/>
        <v>OK</v>
      </c>
    </row>
    <row r="2176" spans="1:10" x14ac:dyDescent="0.2">
      <c r="A2176">
        <v>12175</v>
      </c>
      <c r="B2176" t="s">
        <v>8</v>
      </c>
      <c r="C2176" t="s">
        <v>11</v>
      </c>
      <c r="D2176" s="8">
        <v>2.19</v>
      </c>
      <c r="E2176">
        <v>6</v>
      </c>
      <c r="F2176" t="str">
        <f t="shared" si="132"/>
        <v>Standard</v>
      </c>
      <c r="G2176" s="3" cm="1">
        <f t="array" ref="G2176">_xlfn.XLOOKUP(C2176 &amp; F2176,
         [1]unilever_price_limits!A:A &amp; [1]unilever_price_limits!B:B,
         [1]unilever_price_limits!C:C)</f>
        <v>25</v>
      </c>
      <c r="H2176" s="8">
        <f t="shared" si="133"/>
        <v>2.7374999999999998</v>
      </c>
      <c r="I2176" s="6">
        <f t="shared" si="134"/>
        <v>25</v>
      </c>
      <c r="J2176" t="str">
        <f t="shared" si="135"/>
        <v>OK</v>
      </c>
    </row>
    <row r="2177" spans="1:10" x14ac:dyDescent="0.2">
      <c r="A2177">
        <v>12176</v>
      </c>
      <c r="B2177" t="s">
        <v>5</v>
      </c>
      <c r="C2177" t="s">
        <v>9</v>
      </c>
      <c r="D2177" s="8">
        <v>4.46</v>
      </c>
      <c r="E2177">
        <v>10</v>
      </c>
      <c r="F2177" t="str">
        <f t="shared" si="132"/>
        <v>Premium</v>
      </c>
      <c r="G2177" s="3" cm="1">
        <f t="array" ref="G2177">_xlfn.XLOOKUP(C2177 &amp; F2177,
         [1]unilever_price_limits!A:A &amp; [1]unilever_price_limits!B:B,
         [1]unilever_price_limits!C:C)</f>
        <v>60</v>
      </c>
      <c r="H2177" s="8">
        <f t="shared" si="133"/>
        <v>7.1360000000000001</v>
      </c>
      <c r="I2177" s="6">
        <f t="shared" si="134"/>
        <v>60.000000000000007</v>
      </c>
      <c r="J2177" t="str">
        <f t="shared" si="135"/>
        <v>OK</v>
      </c>
    </row>
    <row r="2178" spans="1:10" x14ac:dyDescent="0.2">
      <c r="A2178">
        <v>12177</v>
      </c>
      <c r="B2178" t="s">
        <v>7</v>
      </c>
      <c r="C2178" t="s">
        <v>6</v>
      </c>
      <c r="D2178" s="8">
        <v>3.54</v>
      </c>
      <c r="E2178">
        <v>5</v>
      </c>
      <c r="F2178" t="str">
        <f t="shared" si="132"/>
        <v>Standard</v>
      </c>
      <c r="G2178" s="3" cm="1">
        <f t="array" ref="G2178">_xlfn.XLOOKUP(C2178 &amp; F2178,
         [1]unilever_price_limits!A:A &amp; [1]unilever_price_limits!B:B,
         [1]unilever_price_limits!C:C)</f>
        <v>28</v>
      </c>
      <c r="H2178" s="8">
        <f t="shared" si="133"/>
        <v>4.5312000000000001</v>
      </c>
      <c r="I2178" s="6">
        <f t="shared" si="134"/>
        <v>28.000000000000004</v>
      </c>
      <c r="J2178" t="str">
        <f t="shared" si="135"/>
        <v>OK</v>
      </c>
    </row>
    <row r="2179" spans="1:10" x14ac:dyDescent="0.2">
      <c r="A2179">
        <v>12178</v>
      </c>
      <c r="B2179" t="s">
        <v>7</v>
      </c>
      <c r="C2179" t="s">
        <v>6</v>
      </c>
      <c r="D2179" s="8">
        <v>7.1</v>
      </c>
      <c r="E2179">
        <v>5</v>
      </c>
      <c r="F2179" t="str">
        <f t="shared" ref="F2179:F2242" si="136">IF(E2179&lt;=3,"Value",
 IF(E2179&lt;=7,"Standard","Premium"))</f>
        <v>Standard</v>
      </c>
      <c r="G2179" s="3" cm="1">
        <f t="array" ref="G2179">_xlfn.XLOOKUP(C2179 &amp; F2179,
         [1]unilever_price_limits!A:A &amp; [1]unilever_price_limits!B:B,
         [1]unilever_price_limits!C:C)</f>
        <v>28</v>
      </c>
      <c r="H2179" s="8">
        <f t="shared" ref="H2179:H2242" si="137">D2179 * (1 + G2179/100)</f>
        <v>9.0879999999999992</v>
      </c>
      <c r="I2179" s="6">
        <f t="shared" ref="I2179:I2242" si="138">(H2179 / D2179 - 1) * 100</f>
        <v>28.000000000000004</v>
      </c>
      <c r="J2179" t="str">
        <f t="shared" ref="J2179:J2242" si="139">IF(I2178&gt; G2178, "⚠ Exceeds Limit", "OK")</f>
        <v>OK</v>
      </c>
    </row>
    <row r="2180" spans="1:10" x14ac:dyDescent="0.2">
      <c r="A2180">
        <v>12179</v>
      </c>
      <c r="B2180" t="s">
        <v>5</v>
      </c>
      <c r="C2180" t="s">
        <v>9</v>
      </c>
      <c r="D2180" s="8">
        <v>13.67</v>
      </c>
      <c r="E2180">
        <v>9</v>
      </c>
      <c r="F2180" t="str">
        <f t="shared" si="136"/>
        <v>Premium</v>
      </c>
      <c r="G2180" s="3" cm="1">
        <f t="array" ref="G2180">_xlfn.XLOOKUP(C2180 &amp; F2180,
         [1]unilever_price_limits!A:A &amp; [1]unilever_price_limits!B:B,
         [1]unilever_price_limits!C:C)</f>
        <v>60</v>
      </c>
      <c r="H2180" s="8">
        <f t="shared" si="137"/>
        <v>21.872</v>
      </c>
      <c r="I2180" s="6">
        <f t="shared" si="138"/>
        <v>60.000000000000007</v>
      </c>
      <c r="J2180" t="str">
        <f t="shared" si="139"/>
        <v>OK</v>
      </c>
    </row>
    <row r="2181" spans="1:10" x14ac:dyDescent="0.2">
      <c r="A2181">
        <v>12180</v>
      </c>
      <c r="B2181" t="s">
        <v>7</v>
      </c>
      <c r="C2181" t="s">
        <v>11</v>
      </c>
      <c r="D2181" s="8">
        <v>2.0099999999999998</v>
      </c>
      <c r="E2181">
        <v>8</v>
      </c>
      <c r="F2181" t="str">
        <f t="shared" si="136"/>
        <v>Premium</v>
      </c>
      <c r="G2181" s="3" cm="1">
        <f t="array" ref="G2181">_xlfn.XLOOKUP(C2181 &amp; F2181,
         [1]unilever_price_limits!A:A &amp; [1]unilever_price_limits!B:B,
         [1]unilever_price_limits!C:C)</f>
        <v>50</v>
      </c>
      <c r="H2181" s="8">
        <f t="shared" si="137"/>
        <v>3.0149999999999997</v>
      </c>
      <c r="I2181" s="6">
        <f t="shared" si="138"/>
        <v>50</v>
      </c>
      <c r="J2181" t="str">
        <f t="shared" si="139"/>
        <v>OK</v>
      </c>
    </row>
    <row r="2182" spans="1:10" x14ac:dyDescent="0.2">
      <c r="A2182">
        <v>12181</v>
      </c>
      <c r="B2182" t="s">
        <v>7</v>
      </c>
      <c r="C2182" t="s">
        <v>11</v>
      </c>
      <c r="D2182" s="8">
        <v>10.94</v>
      </c>
      <c r="E2182">
        <v>4</v>
      </c>
      <c r="F2182" t="str">
        <f t="shared" si="136"/>
        <v>Standard</v>
      </c>
      <c r="G2182" s="3" cm="1">
        <f t="array" ref="G2182">_xlfn.XLOOKUP(C2182 &amp; F2182,
         [1]unilever_price_limits!A:A &amp; [1]unilever_price_limits!B:B,
         [1]unilever_price_limits!C:C)</f>
        <v>25</v>
      </c>
      <c r="H2182" s="8">
        <f t="shared" si="137"/>
        <v>13.674999999999999</v>
      </c>
      <c r="I2182" s="6">
        <f t="shared" si="138"/>
        <v>25</v>
      </c>
      <c r="J2182" t="str">
        <f t="shared" si="139"/>
        <v>OK</v>
      </c>
    </row>
    <row r="2183" spans="1:10" x14ac:dyDescent="0.2">
      <c r="A2183">
        <v>12182</v>
      </c>
      <c r="B2183" t="s">
        <v>8</v>
      </c>
      <c r="C2183" t="s">
        <v>9</v>
      </c>
      <c r="D2183" s="8">
        <v>10.47</v>
      </c>
      <c r="E2183">
        <v>7</v>
      </c>
      <c r="F2183" t="str">
        <f t="shared" si="136"/>
        <v>Standard</v>
      </c>
      <c r="G2183" s="3" cm="1">
        <f t="array" ref="G2183">_xlfn.XLOOKUP(C2183 &amp; F2183,
         [1]unilever_price_limits!A:A &amp; [1]unilever_price_limits!B:B,
         [1]unilever_price_limits!C:C)</f>
        <v>30</v>
      </c>
      <c r="H2183" s="8">
        <f t="shared" si="137"/>
        <v>13.611000000000001</v>
      </c>
      <c r="I2183" s="6">
        <f t="shared" si="138"/>
        <v>30.000000000000004</v>
      </c>
      <c r="J2183" t="str">
        <f t="shared" si="139"/>
        <v>OK</v>
      </c>
    </row>
    <row r="2184" spans="1:10" x14ac:dyDescent="0.2">
      <c r="A2184">
        <v>12183</v>
      </c>
      <c r="B2184" t="s">
        <v>5</v>
      </c>
      <c r="C2184" t="s">
        <v>11</v>
      </c>
      <c r="D2184" s="8">
        <v>1.89</v>
      </c>
      <c r="E2184">
        <v>8</v>
      </c>
      <c r="F2184" t="str">
        <f t="shared" si="136"/>
        <v>Premium</v>
      </c>
      <c r="G2184" s="3" cm="1">
        <f t="array" ref="G2184">_xlfn.XLOOKUP(C2184 &amp; F2184,
         [1]unilever_price_limits!A:A &amp; [1]unilever_price_limits!B:B,
         [1]unilever_price_limits!C:C)</f>
        <v>50</v>
      </c>
      <c r="H2184" s="8">
        <f t="shared" si="137"/>
        <v>2.835</v>
      </c>
      <c r="I2184" s="6">
        <f t="shared" si="138"/>
        <v>50</v>
      </c>
      <c r="J2184" t="str">
        <f t="shared" si="139"/>
        <v>OK</v>
      </c>
    </row>
    <row r="2185" spans="1:10" x14ac:dyDescent="0.2">
      <c r="A2185">
        <v>12184</v>
      </c>
      <c r="B2185" t="s">
        <v>10</v>
      </c>
      <c r="C2185" t="s">
        <v>11</v>
      </c>
      <c r="D2185" s="8">
        <v>13.88</v>
      </c>
      <c r="E2185">
        <v>9</v>
      </c>
      <c r="F2185" t="str">
        <f t="shared" si="136"/>
        <v>Premium</v>
      </c>
      <c r="G2185" s="3" cm="1">
        <f t="array" ref="G2185">_xlfn.XLOOKUP(C2185 &amp; F2185,
         [1]unilever_price_limits!A:A &amp; [1]unilever_price_limits!B:B,
         [1]unilever_price_limits!C:C)</f>
        <v>50</v>
      </c>
      <c r="H2185" s="8">
        <f t="shared" si="137"/>
        <v>20.82</v>
      </c>
      <c r="I2185" s="6">
        <f t="shared" si="138"/>
        <v>50</v>
      </c>
      <c r="J2185" t="str">
        <f t="shared" si="139"/>
        <v>OK</v>
      </c>
    </row>
    <row r="2186" spans="1:10" x14ac:dyDescent="0.2">
      <c r="A2186">
        <v>12185</v>
      </c>
      <c r="B2186" t="s">
        <v>8</v>
      </c>
      <c r="C2186" t="s">
        <v>11</v>
      </c>
      <c r="D2186" s="8">
        <v>8.74</v>
      </c>
      <c r="E2186">
        <v>5</v>
      </c>
      <c r="F2186" t="str">
        <f t="shared" si="136"/>
        <v>Standard</v>
      </c>
      <c r="G2186" s="3" cm="1">
        <f t="array" ref="G2186">_xlfn.XLOOKUP(C2186 &amp; F2186,
         [1]unilever_price_limits!A:A &amp; [1]unilever_price_limits!B:B,
         [1]unilever_price_limits!C:C)</f>
        <v>25</v>
      </c>
      <c r="H2186" s="8">
        <f t="shared" si="137"/>
        <v>10.925000000000001</v>
      </c>
      <c r="I2186" s="6">
        <f t="shared" si="138"/>
        <v>25</v>
      </c>
      <c r="J2186" t="str">
        <f t="shared" si="139"/>
        <v>OK</v>
      </c>
    </row>
    <row r="2187" spans="1:10" x14ac:dyDescent="0.2">
      <c r="A2187">
        <v>12186</v>
      </c>
      <c r="B2187" t="s">
        <v>5</v>
      </c>
      <c r="C2187" t="s">
        <v>6</v>
      </c>
      <c r="D2187" s="8">
        <v>5.77</v>
      </c>
      <c r="E2187">
        <v>3</v>
      </c>
      <c r="F2187" t="str">
        <f t="shared" si="136"/>
        <v>Value</v>
      </c>
      <c r="G2187" s="3" cm="1">
        <f t="array" ref="G2187">_xlfn.XLOOKUP(C2187 &amp; F2187,
         [1]unilever_price_limits!A:A &amp; [1]unilever_price_limits!B:B,
         [1]unilever_price_limits!C:C)</f>
        <v>12</v>
      </c>
      <c r="H2187" s="8">
        <f t="shared" si="137"/>
        <v>6.4623999999999997</v>
      </c>
      <c r="I2187" s="6">
        <f t="shared" si="138"/>
        <v>12.000000000000011</v>
      </c>
      <c r="J2187" t="str">
        <f t="shared" si="139"/>
        <v>OK</v>
      </c>
    </row>
    <row r="2188" spans="1:10" x14ac:dyDescent="0.2">
      <c r="A2188">
        <v>12187</v>
      </c>
      <c r="B2188" t="s">
        <v>8</v>
      </c>
      <c r="C2188" t="s">
        <v>6</v>
      </c>
      <c r="D2188" s="8">
        <v>11.47</v>
      </c>
      <c r="E2188">
        <v>4</v>
      </c>
      <c r="F2188" t="str">
        <f t="shared" si="136"/>
        <v>Standard</v>
      </c>
      <c r="G2188" s="3" cm="1">
        <f t="array" ref="G2188">_xlfn.XLOOKUP(C2188 &amp; F2188,
         [1]unilever_price_limits!A:A &amp; [1]unilever_price_limits!B:B,
         [1]unilever_price_limits!C:C)</f>
        <v>28</v>
      </c>
      <c r="H2188" s="8">
        <f t="shared" si="137"/>
        <v>14.681600000000001</v>
      </c>
      <c r="I2188" s="6">
        <f t="shared" si="138"/>
        <v>28.000000000000004</v>
      </c>
      <c r="J2188" t="str">
        <f t="shared" si="139"/>
        <v>OK</v>
      </c>
    </row>
    <row r="2189" spans="1:10" x14ac:dyDescent="0.2">
      <c r="A2189">
        <v>12188</v>
      </c>
      <c r="B2189" t="s">
        <v>10</v>
      </c>
      <c r="C2189" t="s">
        <v>9</v>
      </c>
      <c r="D2189" s="8">
        <v>4.2300000000000004</v>
      </c>
      <c r="E2189">
        <v>10</v>
      </c>
      <c r="F2189" t="str">
        <f t="shared" si="136"/>
        <v>Premium</v>
      </c>
      <c r="G2189" s="3" cm="1">
        <f t="array" ref="G2189">_xlfn.XLOOKUP(C2189 &amp; F2189,
         [1]unilever_price_limits!A:A &amp; [1]unilever_price_limits!B:B,
         [1]unilever_price_limits!C:C)</f>
        <v>60</v>
      </c>
      <c r="H2189" s="8">
        <f t="shared" si="137"/>
        <v>6.7680000000000007</v>
      </c>
      <c r="I2189" s="6">
        <f t="shared" si="138"/>
        <v>60.000000000000007</v>
      </c>
      <c r="J2189" t="str">
        <f t="shared" si="139"/>
        <v>OK</v>
      </c>
    </row>
    <row r="2190" spans="1:10" x14ac:dyDescent="0.2">
      <c r="A2190">
        <v>12189</v>
      </c>
      <c r="B2190" t="s">
        <v>10</v>
      </c>
      <c r="C2190" t="s">
        <v>6</v>
      </c>
      <c r="D2190" s="8">
        <v>10.56</v>
      </c>
      <c r="E2190">
        <v>6</v>
      </c>
      <c r="F2190" t="str">
        <f t="shared" si="136"/>
        <v>Standard</v>
      </c>
      <c r="G2190" s="3" cm="1">
        <f t="array" ref="G2190">_xlfn.XLOOKUP(C2190 &amp; F2190,
         [1]unilever_price_limits!A:A &amp; [1]unilever_price_limits!B:B,
         [1]unilever_price_limits!C:C)</f>
        <v>28</v>
      </c>
      <c r="H2190" s="8">
        <f t="shared" si="137"/>
        <v>13.516800000000002</v>
      </c>
      <c r="I2190" s="6">
        <f t="shared" si="138"/>
        <v>28.000000000000004</v>
      </c>
      <c r="J2190" t="str">
        <f t="shared" si="139"/>
        <v>OK</v>
      </c>
    </row>
    <row r="2191" spans="1:10" x14ac:dyDescent="0.2">
      <c r="A2191">
        <v>12190</v>
      </c>
      <c r="B2191" t="s">
        <v>5</v>
      </c>
      <c r="C2191" t="s">
        <v>11</v>
      </c>
      <c r="D2191" s="8">
        <v>1.08</v>
      </c>
      <c r="E2191">
        <v>10</v>
      </c>
      <c r="F2191" t="str">
        <f t="shared" si="136"/>
        <v>Premium</v>
      </c>
      <c r="G2191" s="3" cm="1">
        <f t="array" ref="G2191">_xlfn.XLOOKUP(C2191 &amp; F2191,
         [1]unilever_price_limits!A:A &amp; [1]unilever_price_limits!B:B,
         [1]unilever_price_limits!C:C)</f>
        <v>50</v>
      </c>
      <c r="H2191" s="8">
        <f t="shared" si="137"/>
        <v>1.62</v>
      </c>
      <c r="I2191" s="6">
        <f t="shared" si="138"/>
        <v>50</v>
      </c>
      <c r="J2191" t="str">
        <f t="shared" si="139"/>
        <v>OK</v>
      </c>
    </row>
    <row r="2192" spans="1:10" x14ac:dyDescent="0.2">
      <c r="A2192">
        <v>12191</v>
      </c>
      <c r="B2192" t="s">
        <v>10</v>
      </c>
      <c r="C2192" t="s">
        <v>6</v>
      </c>
      <c r="D2192" s="8">
        <v>12.67</v>
      </c>
      <c r="E2192">
        <v>5</v>
      </c>
      <c r="F2192" t="str">
        <f t="shared" si="136"/>
        <v>Standard</v>
      </c>
      <c r="G2192" s="3" cm="1">
        <f t="array" ref="G2192">_xlfn.XLOOKUP(C2192 &amp; F2192,
         [1]unilever_price_limits!A:A &amp; [1]unilever_price_limits!B:B,
         [1]unilever_price_limits!C:C)</f>
        <v>28</v>
      </c>
      <c r="H2192" s="8">
        <f t="shared" si="137"/>
        <v>16.217600000000001</v>
      </c>
      <c r="I2192" s="6">
        <f t="shared" si="138"/>
        <v>28.000000000000004</v>
      </c>
      <c r="J2192" t="str">
        <f t="shared" si="139"/>
        <v>OK</v>
      </c>
    </row>
    <row r="2193" spans="1:10" x14ac:dyDescent="0.2">
      <c r="A2193">
        <v>12192</v>
      </c>
      <c r="B2193" t="s">
        <v>8</v>
      </c>
      <c r="C2193" t="s">
        <v>9</v>
      </c>
      <c r="D2193" s="8">
        <v>7</v>
      </c>
      <c r="E2193">
        <v>9</v>
      </c>
      <c r="F2193" t="str">
        <f t="shared" si="136"/>
        <v>Premium</v>
      </c>
      <c r="G2193" s="3" cm="1">
        <f t="array" ref="G2193">_xlfn.XLOOKUP(C2193 &amp; F2193,
         [1]unilever_price_limits!A:A &amp; [1]unilever_price_limits!B:B,
         [1]unilever_price_limits!C:C)</f>
        <v>60</v>
      </c>
      <c r="H2193" s="8">
        <f t="shared" si="137"/>
        <v>11.200000000000001</v>
      </c>
      <c r="I2193" s="6">
        <f t="shared" si="138"/>
        <v>60.000000000000007</v>
      </c>
      <c r="J2193" t="str">
        <f t="shared" si="139"/>
        <v>OK</v>
      </c>
    </row>
    <row r="2194" spans="1:10" x14ac:dyDescent="0.2">
      <c r="A2194">
        <v>12193</v>
      </c>
      <c r="B2194" t="s">
        <v>10</v>
      </c>
      <c r="C2194" t="s">
        <v>6</v>
      </c>
      <c r="D2194" s="8">
        <v>9.73</v>
      </c>
      <c r="E2194">
        <v>3</v>
      </c>
      <c r="F2194" t="str">
        <f t="shared" si="136"/>
        <v>Value</v>
      </c>
      <c r="G2194" s="3" cm="1">
        <f t="array" ref="G2194">_xlfn.XLOOKUP(C2194 &amp; F2194,
         [1]unilever_price_limits!A:A &amp; [1]unilever_price_limits!B:B,
         [1]unilever_price_limits!C:C)</f>
        <v>12</v>
      </c>
      <c r="H2194" s="8">
        <f t="shared" si="137"/>
        <v>10.897600000000002</v>
      </c>
      <c r="I2194" s="6">
        <f t="shared" si="138"/>
        <v>12.000000000000011</v>
      </c>
      <c r="J2194" t="str">
        <f t="shared" si="139"/>
        <v>OK</v>
      </c>
    </row>
    <row r="2195" spans="1:10" x14ac:dyDescent="0.2">
      <c r="A2195">
        <v>12194</v>
      </c>
      <c r="B2195" t="s">
        <v>8</v>
      </c>
      <c r="C2195" t="s">
        <v>11</v>
      </c>
      <c r="D2195" s="8">
        <v>3.71</v>
      </c>
      <c r="E2195">
        <v>2</v>
      </c>
      <c r="F2195" t="str">
        <f t="shared" si="136"/>
        <v>Value</v>
      </c>
      <c r="G2195" s="3" cm="1">
        <f t="array" ref="G2195">_xlfn.XLOOKUP(C2195 &amp; F2195,
         [1]unilever_price_limits!A:A &amp; [1]unilever_price_limits!B:B,
         [1]unilever_price_limits!C:C)</f>
        <v>10</v>
      </c>
      <c r="H2195" s="8">
        <f t="shared" si="137"/>
        <v>4.0810000000000004</v>
      </c>
      <c r="I2195" s="6">
        <f t="shared" si="138"/>
        <v>10.000000000000009</v>
      </c>
      <c r="J2195" t="str">
        <f t="shared" si="139"/>
        <v>OK</v>
      </c>
    </row>
    <row r="2196" spans="1:10" x14ac:dyDescent="0.2">
      <c r="A2196">
        <v>12195</v>
      </c>
      <c r="B2196" t="s">
        <v>8</v>
      </c>
      <c r="C2196" t="s">
        <v>11</v>
      </c>
      <c r="D2196" s="8">
        <v>10.32</v>
      </c>
      <c r="E2196">
        <v>6</v>
      </c>
      <c r="F2196" t="str">
        <f t="shared" si="136"/>
        <v>Standard</v>
      </c>
      <c r="G2196" s="3" cm="1">
        <f t="array" ref="G2196">_xlfn.XLOOKUP(C2196 &amp; F2196,
         [1]unilever_price_limits!A:A &amp; [1]unilever_price_limits!B:B,
         [1]unilever_price_limits!C:C)</f>
        <v>25</v>
      </c>
      <c r="H2196" s="8">
        <f t="shared" si="137"/>
        <v>12.9</v>
      </c>
      <c r="I2196" s="6">
        <f t="shared" si="138"/>
        <v>25</v>
      </c>
      <c r="J2196" t="str">
        <f t="shared" si="139"/>
        <v>OK</v>
      </c>
    </row>
    <row r="2197" spans="1:10" x14ac:dyDescent="0.2">
      <c r="A2197">
        <v>12196</v>
      </c>
      <c r="B2197" t="s">
        <v>10</v>
      </c>
      <c r="C2197" t="s">
        <v>9</v>
      </c>
      <c r="D2197" s="8">
        <v>11.7</v>
      </c>
      <c r="E2197">
        <v>7</v>
      </c>
      <c r="F2197" t="str">
        <f t="shared" si="136"/>
        <v>Standard</v>
      </c>
      <c r="G2197" s="3" cm="1">
        <f t="array" ref="G2197">_xlfn.XLOOKUP(C2197 &amp; F2197,
         [1]unilever_price_limits!A:A &amp; [1]unilever_price_limits!B:B,
         [1]unilever_price_limits!C:C)</f>
        <v>30</v>
      </c>
      <c r="H2197" s="8">
        <f t="shared" si="137"/>
        <v>15.209999999999999</v>
      </c>
      <c r="I2197" s="6">
        <f t="shared" si="138"/>
        <v>30.000000000000004</v>
      </c>
      <c r="J2197" t="str">
        <f t="shared" si="139"/>
        <v>OK</v>
      </c>
    </row>
    <row r="2198" spans="1:10" x14ac:dyDescent="0.2">
      <c r="A2198">
        <v>12197</v>
      </c>
      <c r="B2198" t="s">
        <v>5</v>
      </c>
      <c r="C2198" t="s">
        <v>6</v>
      </c>
      <c r="D2198" s="8">
        <v>7.36</v>
      </c>
      <c r="E2198">
        <v>5</v>
      </c>
      <c r="F2198" t="str">
        <f t="shared" si="136"/>
        <v>Standard</v>
      </c>
      <c r="G2198" s="3" cm="1">
        <f t="array" ref="G2198">_xlfn.XLOOKUP(C2198 &amp; F2198,
         [1]unilever_price_limits!A:A &amp; [1]unilever_price_limits!B:B,
         [1]unilever_price_limits!C:C)</f>
        <v>28</v>
      </c>
      <c r="H2198" s="8">
        <f t="shared" si="137"/>
        <v>9.4207999999999998</v>
      </c>
      <c r="I2198" s="6">
        <f t="shared" si="138"/>
        <v>28.000000000000004</v>
      </c>
      <c r="J2198" t="str">
        <f t="shared" si="139"/>
        <v>OK</v>
      </c>
    </row>
    <row r="2199" spans="1:10" x14ac:dyDescent="0.2">
      <c r="A2199">
        <v>12198</v>
      </c>
      <c r="B2199" t="s">
        <v>7</v>
      </c>
      <c r="C2199" t="s">
        <v>6</v>
      </c>
      <c r="D2199" s="8">
        <v>9.4600000000000009</v>
      </c>
      <c r="E2199">
        <v>1</v>
      </c>
      <c r="F2199" t="str">
        <f t="shared" si="136"/>
        <v>Value</v>
      </c>
      <c r="G2199" s="3" cm="1">
        <f t="array" ref="G2199">_xlfn.XLOOKUP(C2199 &amp; F2199,
         [1]unilever_price_limits!A:A &amp; [1]unilever_price_limits!B:B,
         [1]unilever_price_limits!C:C)</f>
        <v>12</v>
      </c>
      <c r="H2199" s="8">
        <f t="shared" si="137"/>
        <v>10.595200000000002</v>
      </c>
      <c r="I2199" s="6">
        <f t="shared" si="138"/>
        <v>12.000000000000011</v>
      </c>
      <c r="J2199" t="str">
        <f t="shared" si="139"/>
        <v>OK</v>
      </c>
    </row>
    <row r="2200" spans="1:10" x14ac:dyDescent="0.2">
      <c r="A2200">
        <v>12199</v>
      </c>
      <c r="B2200" t="s">
        <v>10</v>
      </c>
      <c r="C2200" t="s">
        <v>6</v>
      </c>
      <c r="D2200" s="8">
        <v>7.12</v>
      </c>
      <c r="E2200">
        <v>3</v>
      </c>
      <c r="F2200" t="str">
        <f t="shared" si="136"/>
        <v>Value</v>
      </c>
      <c r="G2200" s="3" cm="1">
        <f t="array" ref="G2200">_xlfn.XLOOKUP(C2200 &amp; F2200,
         [1]unilever_price_limits!A:A &amp; [1]unilever_price_limits!B:B,
         [1]unilever_price_limits!C:C)</f>
        <v>12</v>
      </c>
      <c r="H2200" s="8">
        <f t="shared" si="137"/>
        <v>7.974400000000001</v>
      </c>
      <c r="I2200" s="6">
        <f t="shared" si="138"/>
        <v>12.000000000000011</v>
      </c>
      <c r="J2200" t="str">
        <f t="shared" si="139"/>
        <v>OK</v>
      </c>
    </row>
    <row r="2201" spans="1:10" x14ac:dyDescent="0.2">
      <c r="A2201">
        <v>12200</v>
      </c>
      <c r="B2201" t="s">
        <v>8</v>
      </c>
      <c r="C2201" t="s">
        <v>11</v>
      </c>
      <c r="D2201" s="8">
        <v>13.46</v>
      </c>
      <c r="E2201">
        <v>3</v>
      </c>
      <c r="F2201" t="str">
        <f t="shared" si="136"/>
        <v>Value</v>
      </c>
      <c r="G2201" s="3" cm="1">
        <f t="array" ref="G2201">_xlfn.XLOOKUP(C2201 &amp; F2201,
         [1]unilever_price_limits!A:A &amp; [1]unilever_price_limits!B:B,
         [1]unilever_price_limits!C:C)</f>
        <v>10</v>
      </c>
      <c r="H2201" s="8">
        <f t="shared" si="137"/>
        <v>14.806000000000003</v>
      </c>
      <c r="I2201" s="6">
        <f t="shared" si="138"/>
        <v>10.000000000000009</v>
      </c>
      <c r="J2201" t="str">
        <f t="shared" si="139"/>
        <v>OK</v>
      </c>
    </row>
    <row r="2202" spans="1:10" x14ac:dyDescent="0.2">
      <c r="A2202">
        <v>12201</v>
      </c>
      <c r="B2202" t="s">
        <v>8</v>
      </c>
      <c r="C2202" t="s">
        <v>9</v>
      </c>
      <c r="D2202" s="8">
        <v>7.72</v>
      </c>
      <c r="E2202">
        <v>4</v>
      </c>
      <c r="F2202" t="str">
        <f t="shared" si="136"/>
        <v>Standard</v>
      </c>
      <c r="G2202" s="3" cm="1">
        <f t="array" ref="G2202">_xlfn.XLOOKUP(C2202 &amp; F2202,
         [1]unilever_price_limits!A:A &amp; [1]unilever_price_limits!B:B,
         [1]unilever_price_limits!C:C)</f>
        <v>30</v>
      </c>
      <c r="H2202" s="8">
        <f t="shared" si="137"/>
        <v>10.036</v>
      </c>
      <c r="I2202" s="6">
        <f t="shared" si="138"/>
        <v>30.000000000000004</v>
      </c>
      <c r="J2202" t="str">
        <f t="shared" si="139"/>
        <v>OK</v>
      </c>
    </row>
    <row r="2203" spans="1:10" x14ac:dyDescent="0.2">
      <c r="A2203">
        <v>12202</v>
      </c>
      <c r="B2203" t="s">
        <v>10</v>
      </c>
      <c r="C2203" t="s">
        <v>6</v>
      </c>
      <c r="D2203" s="8">
        <v>12.71</v>
      </c>
      <c r="E2203">
        <v>10</v>
      </c>
      <c r="F2203" t="str">
        <f t="shared" si="136"/>
        <v>Premium</v>
      </c>
      <c r="G2203" s="3" cm="1">
        <f t="array" ref="G2203">_xlfn.XLOOKUP(C2203 &amp; F2203,
         [1]unilever_price_limits!A:A &amp; [1]unilever_price_limits!B:B,
         [1]unilever_price_limits!C:C)</f>
        <v>55</v>
      </c>
      <c r="H2203" s="8">
        <f t="shared" si="137"/>
        <v>19.700500000000002</v>
      </c>
      <c r="I2203" s="6">
        <f t="shared" si="138"/>
        <v>55.000000000000007</v>
      </c>
      <c r="J2203" t="str">
        <f t="shared" si="139"/>
        <v>OK</v>
      </c>
    </row>
    <row r="2204" spans="1:10" x14ac:dyDescent="0.2">
      <c r="A2204">
        <v>12203</v>
      </c>
      <c r="B2204" t="s">
        <v>5</v>
      </c>
      <c r="C2204" t="s">
        <v>11</v>
      </c>
      <c r="D2204" s="8">
        <v>12.12</v>
      </c>
      <c r="E2204">
        <v>6</v>
      </c>
      <c r="F2204" t="str">
        <f t="shared" si="136"/>
        <v>Standard</v>
      </c>
      <c r="G2204" s="3" cm="1">
        <f t="array" ref="G2204">_xlfn.XLOOKUP(C2204 &amp; F2204,
         [1]unilever_price_limits!A:A &amp; [1]unilever_price_limits!B:B,
         [1]unilever_price_limits!C:C)</f>
        <v>25</v>
      </c>
      <c r="H2204" s="8">
        <f t="shared" si="137"/>
        <v>15.149999999999999</v>
      </c>
      <c r="I2204" s="6">
        <f t="shared" si="138"/>
        <v>25</v>
      </c>
      <c r="J2204" t="str">
        <f t="shared" si="139"/>
        <v>OK</v>
      </c>
    </row>
    <row r="2205" spans="1:10" x14ac:dyDescent="0.2">
      <c r="A2205">
        <v>12204</v>
      </c>
      <c r="B2205" t="s">
        <v>5</v>
      </c>
      <c r="C2205" t="s">
        <v>11</v>
      </c>
      <c r="D2205" s="8">
        <v>6.45</v>
      </c>
      <c r="E2205">
        <v>5</v>
      </c>
      <c r="F2205" t="str">
        <f t="shared" si="136"/>
        <v>Standard</v>
      </c>
      <c r="G2205" s="3" cm="1">
        <f t="array" ref="G2205">_xlfn.XLOOKUP(C2205 &amp; F2205,
         [1]unilever_price_limits!A:A &amp; [1]unilever_price_limits!B:B,
         [1]unilever_price_limits!C:C)</f>
        <v>25</v>
      </c>
      <c r="H2205" s="8">
        <f t="shared" si="137"/>
        <v>8.0625</v>
      </c>
      <c r="I2205" s="6">
        <f t="shared" si="138"/>
        <v>25</v>
      </c>
      <c r="J2205" t="str">
        <f t="shared" si="139"/>
        <v>OK</v>
      </c>
    </row>
    <row r="2206" spans="1:10" x14ac:dyDescent="0.2">
      <c r="A2206">
        <v>12205</v>
      </c>
      <c r="B2206" t="s">
        <v>8</v>
      </c>
      <c r="C2206" t="s">
        <v>11</v>
      </c>
      <c r="D2206" s="8">
        <v>3.84</v>
      </c>
      <c r="E2206">
        <v>1</v>
      </c>
      <c r="F2206" t="str">
        <f t="shared" si="136"/>
        <v>Value</v>
      </c>
      <c r="G2206" s="3" cm="1">
        <f t="array" ref="G2206">_xlfn.XLOOKUP(C2206 &amp; F2206,
         [1]unilever_price_limits!A:A &amp; [1]unilever_price_limits!B:B,
         [1]unilever_price_limits!C:C)</f>
        <v>10</v>
      </c>
      <c r="H2206" s="8">
        <f t="shared" si="137"/>
        <v>4.2240000000000002</v>
      </c>
      <c r="I2206" s="6">
        <f t="shared" si="138"/>
        <v>10.000000000000009</v>
      </c>
      <c r="J2206" t="str">
        <f t="shared" si="139"/>
        <v>OK</v>
      </c>
    </row>
    <row r="2207" spans="1:10" x14ac:dyDescent="0.2">
      <c r="A2207">
        <v>12206</v>
      </c>
      <c r="B2207" t="s">
        <v>8</v>
      </c>
      <c r="C2207" t="s">
        <v>6</v>
      </c>
      <c r="D2207" s="8">
        <v>6.39</v>
      </c>
      <c r="E2207">
        <v>6</v>
      </c>
      <c r="F2207" t="str">
        <f t="shared" si="136"/>
        <v>Standard</v>
      </c>
      <c r="G2207" s="3" cm="1">
        <f t="array" ref="G2207">_xlfn.XLOOKUP(C2207 &amp; F2207,
         [1]unilever_price_limits!A:A &amp; [1]unilever_price_limits!B:B,
         [1]unilever_price_limits!C:C)</f>
        <v>28</v>
      </c>
      <c r="H2207" s="8">
        <f t="shared" si="137"/>
        <v>8.1791999999999998</v>
      </c>
      <c r="I2207" s="6">
        <f t="shared" si="138"/>
        <v>28.000000000000004</v>
      </c>
      <c r="J2207" t="str">
        <f t="shared" si="139"/>
        <v>OK</v>
      </c>
    </row>
    <row r="2208" spans="1:10" x14ac:dyDescent="0.2">
      <c r="A2208">
        <v>12207</v>
      </c>
      <c r="B2208" t="s">
        <v>5</v>
      </c>
      <c r="C2208" t="s">
        <v>6</v>
      </c>
      <c r="D2208" s="8">
        <v>12.48</v>
      </c>
      <c r="E2208">
        <v>9</v>
      </c>
      <c r="F2208" t="str">
        <f t="shared" si="136"/>
        <v>Premium</v>
      </c>
      <c r="G2208" s="3" cm="1">
        <f t="array" ref="G2208">_xlfn.XLOOKUP(C2208 &amp; F2208,
         [1]unilever_price_limits!A:A &amp; [1]unilever_price_limits!B:B,
         [1]unilever_price_limits!C:C)</f>
        <v>55</v>
      </c>
      <c r="H2208" s="8">
        <f t="shared" si="137"/>
        <v>19.344000000000001</v>
      </c>
      <c r="I2208" s="6">
        <f t="shared" si="138"/>
        <v>55.000000000000007</v>
      </c>
      <c r="J2208" t="str">
        <f t="shared" si="139"/>
        <v>OK</v>
      </c>
    </row>
    <row r="2209" spans="1:10" x14ac:dyDescent="0.2">
      <c r="A2209">
        <v>12208</v>
      </c>
      <c r="B2209" t="s">
        <v>7</v>
      </c>
      <c r="C2209" t="s">
        <v>6</v>
      </c>
      <c r="D2209" s="8">
        <v>3.8</v>
      </c>
      <c r="E2209">
        <v>1</v>
      </c>
      <c r="F2209" t="str">
        <f t="shared" si="136"/>
        <v>Value</v>
      </c>
      <c r="G2209" s="3" cm="1">
        <f t="array" ref="G2209">_xlfn.XLOOKUP(C2209 &amp; F2209,
         [1]unilever_price_limits!A:A &amp; [1]unilever_price_limits!B:B,
         [1]unilever_price_limits!C:C)</f>
        <v>12</v>
      </c>
      <c r="H2209" s="8">
        <f t="shared" si="137"/>
        <v>4.2560000000000002</v>
      </c>
      <c r="I2209" s="6">
        <f t="shared" si="138"/>
        <v>12.000000000000011</v>
      </c>
      <c r="J2209" t="str">
        <f t="shared" si="139"/>
        <v>OK</v>
      </c>
    </row>
    <row r="2210" spans="1:10" x14ac:dyDescent="0.2">
      <c r="A2210">
        <v>12209</v>
      </c>
      <c r="B2210" t="s">
        <v>10</v>
      </c>
      <c r="C2210" t="s">
        <v>6</v>
      </c>
      <c r="D2210" s="8">
        <v>8.1</v>
      </c>
      <c r="E2210">
        <v>8</v>
      </c>
      <c r="F2210" t="str">
        <f t="shared" si="136"/>
        <v>Premium</v>
      </c>
      <c r="G2210" s="3" cm="1">
        <f t="array" ref="G2210">_xlfn.XLOOKUP(C2210 &amp; F2210,
         [1]unilever_price_limits!A:A &amp; [1]unilever_price_limits!B:B,
         [1]unilever_price_limits!C:C)</f>
        <v>55</v>
      </c>
      <c r="H2210" s="8">
        <f t="shared" si="137"/>
        <v>12.555</v>
      </c>
      <c r="I2210" s="6">
        <f t="shared" si="138"/>
        <v>55.000000000000007</v>
      </c>
      <c r="J2210" t="str">
        <f t="shared" si="139"/>
        <v>OK</v>
      </c>
    </row>
    <row r="2211" spans="1:10" x14ac:dyDescent="0.2">
      <c r="A2211">
        <v>12210</v>
      </c>
      <c r="B2211" t="s">
        <v>8</v>
      </c>
      <c r="C2211" t="s">
        <v>6</v>
      </c>
      <c r="D2211" s="8">
        <v>12.19</v>
      </c>
      <c r="E2211">
        <v>8</v>
      </c>
      <c r="F2211" t="str">
        <f t="shared" si="136"/>
        <v>Premium</v>
      </c>
      <c r="G2211" s="3" cm="1">
        <f t="array" ref="G2211">_xlfn.XLOOKUP(C2211 &amp; F2211,
         [1]unilever_price_limits!A:A &amp; [1]unilever_price_limits!B:B,
         [1]unilever_price_limits!C:C)</f>
        <v>55</v>
      </c>
      <c r="H2211" s="8">
        <f t="shared" si="137"/>
        <v>18.894500000000001</v>
      </c>
      <c r="I2211" s="6">
        <f t="shared" si="138"/>
        <v>55.000000000000007</v>
      </c>
      <c r="J2211" t="str">
        <f t="shared" si="139"/>
        <v>OK</v>
      </c>
    </row>
    <row r="2212" spans="1:10" x14ac:dyDescent="0.2">
      <c r="A2212">
        <v>12211</v>
      </c>
      <c r="B2212" t="s">
        <v>8</v>
      </c>
      <c r="C2212" t="s">
        <v>6</v>
      </c>
      <c r="D2212" s="8">
        <v>5.63</v>
      </c>
      <c r="E2212">
        <v>3</v>
      </c>
      <c r="F2212" t="str">
        <f t="shared" si="136"/>
        <v>Value</v>
      </c>
      <c r="G2212" s="3" cm="1">
        <f t="array" ref="G2212">_xlfn.XLOOKUP(C2212 &amp; F2212,
         [1]unilever_price_limits!A:A &amp; [1]unilever_price_limits!B:B,
         [1]unilever_price_limits!C:C)</f>
        <v>12</v>
      </c>
      <c r="H2212" s="8">
        <f t="shared" si="137"/>
        <v>6.3056000000000001</v>
      </c>
      <c r="I2212" s="6">
        <f t="shared" si="138"/>
        <v>12.000000000000011</v>
      </c>
      <c r="J2212" t="str">
        <f t="shared" si="139"/>
        <v>OK</v>
      </c>
    </row>
    <row r="2213" spans="1:10" x14ac:dyDescent="0.2">
      <c r="A2213">
        <v>12212</v>
      </c>
      <c r="B2213" t="s">
        <v>5</v>
      </c>
      <c r="C2213" t="s">
        <v>6</v>
      </c>
      <c r="D2213" s="8">
        <v>9.81</v>
      </c>
      <c r="E2213">
        <v>9</v>
      </c>
      <c r="F2213" t="str">
        <f t="shared" si="136"/>
        <v>Premium</v>
      </c>
      <c r="G2213" s="3" cm="1">
        <f t="array" ref="G2213">_xlfn.XLOOKUP(C2213 &amp; F2213,
         [1]unilever_price_limits!A:A &amp; [1]unilever_price_limits!B:B,
         [1]unilever_price_limits!C:C)</f>
        <v>55</v>
      </c>
      <c r="H2213" s="8">
        <f t="shared" si="137"/>
        <v>15.205500000000001</v>
      </c>
      <c r="I2213" s="6">
        <f t="shared" si="138"/>
        <v>55.000000000000007</v>
      </c>
      <c r="J2213" t="str">
        <f t="shared" si="139"/>
        <v>OK</v>
      </c>
    </row>
    <row r="2214" spans="1:10" x14ac:dyDescent="0.2">
      <c r="A2214">
        <v>12213</v>
      </c>
      <c r="B2214" t="s">
        <v>10</v>
      </c>
      <c r="C2214" t="s">
        <v>6</v>
      </c>
      <c r="D2214" s="8">
        <v>4.0599999999999996</v>
      </c>
      <c r="E2214">
        <v>8</v>
      </c>
      <c r="F2214" t="str">
        <f t="shared" si="136"/>
        <v>Premium</v>
      </c>
      <c r="G2214" s="3" cm="1">
        <f t="array" ref="G2214">_xlfn.XLOOKUP(C2214 &amp; F2214,
         [1]unilever_price_limits!A:A &amp; [1]unilever_price_limits!B:B,
         [1]unilever_price_limits!C:C)</f>
        <v>55</v>
      </c>
      <c r="H2214" s="8">
        <f t="shared" si="137"/>
        <v>6.2929999999999993</v>
      </c>
      <c r="I2214" s="6">
        <f t="shared" si="138"/>
        <v>55.000000000000007</v>
      </c>
      <c r="J2214" t="str">
        <f t="shared" si="139"/>
        <v>OK</v>
      </c>
    </row>
    <row r="2215" spans="1:10" x14ac:dyDescent="0.2">
      <c r="A2215">
        <v>12214</v>
      </c>
      <c r="B2215" t="s">
        <v>5</v>
      </c>
      <c r="C2215" t="s">
        <v>6</v>
      </c>
      <c r="D2215" s="8">
        <v>2.08</v>
      </c>
      <c r="E2215">
        <v>3</v>
      </c>
      <c r="F2215" t="str">
        <f t="shared" si="136"/>
        <v>Value</v>
      </c>
      <c r="G2215" s="3" cm="1">
        <f t="array" ref="G2215">_xlfn.XLOOKUP(C2215 &amp; F2215,
         [1]unilever_price_limits!A:A &amp; [1]unilever_price_limits!B:B,
         [1]unilever_price_limits!C:C)</f>
        <v>12</v>
      </c>
      <c r="H2215" s="8">
        <f t="shared" si="137"/>
        <v>2.3296000000000001</v>
      </c>
      <c r="I2215" s="6">
        <f t="shared" si="138"/>
        <v>12.000000000000011</v>
      </c>
      <c r="J2215" t="str">
        <f t="shared" si="139"/>
        <v>OK</v>
      </c>
    </row>
    <row r="2216" spans="1:10" x14ac:dyDescent="0.2">
      <c r="A2216">
        <v>12215</v>
      </c>
      <c r="B2216" t="s">
        <v>10</v>
      </c>
      <c r="C2216" t="s">
        <v>11</v>
      </c>
      <c r="D2216" s="8">
        <v>12.02</v>
      </c>
      <c r="E2216">
        <v>10</v>
      </c>
      <c r="F2216" t="str">
        <f t="shared" si="136"/>
        <v>Premium</v>
      </c>
      <c r="G2216" s="3" cm="1">
        <f t="array" ref="G2216">_xlfn.XLOOKUP(C2216 &amp; F2216,
         [1]unilever_price_limits!A:A &amp; [1]unilever_price_limits!B:B,
         [1]unilever_price_limits!C:C)</f>
        <v>50</v>
      </c>
      <c r="H2216" s="8">
        <f t="shared" si="137"/>
        <v>18.03</v>
      </c>
      <c r="I2216" s="6">
        <f t="shared" si="138"/>
        <v>50.000000000000021</v>
      </c>
      <c r="J2216" t="str">
        <f t="shared" si="139"/>
        <v>OK</v>
      </c>
    </row>
    <row r="2217" spans="1:10" x14ac:dyDescent="0.2">
      <c r="A2217">
        <v>12216</v>
      </c>
      <c r="B2217" t="s">
        <v>10</v>
      </c>
      <c r="C2217" t="s">
        <v>6</v>
      </c>
      <c r="D2217" s="8">
        <v>1.94</v>
      </c>
      <c r="E2217">
        <v>5</v>
      </c>
      <c r="F2217" t="str">
        <f t="shared" si="136"/>
        <v>Standard</v>
      </c>
      <c r="G2217" s="3" cm="1">
        <f t="array" ref="G2217">_xlfn.XLOOKUP(C2217 &amp; F2217,
         [1]unilever_price_limits!A:A &amp; [1]unilever_price_limits!B:B,
         [1]unilever_price_limits!C:C)</f>
        <v>28</v>
      </c>
      <c r="H2217" s="8">
        <f t="shared" si="137"/>
        <v>2.4832000000000001</v>
      </c>
      <c r="I2217" s="6">
        <f t="shared" si="138"/>
        <v>28.000000000000004</v>
      </c>
      <c r="J2217" t="str">
        <f t="shared" si="139"/>
        <v>OK</v>
      </c>
    </row>
    <row r="2218" spans="1:10" x14ac:dyDescent="0.2">
      <c r="A2218">
        <v>12217</v>
      </c>
      <c r="B2218" t="s">
        <v>10</v>
      </c>
      <c r="C2218" t="s">
        <v>9</v>
      </c>
      <c r="D2218" s="8">
        <v>4.4400000000000004</v>
      </c>
      <c r="E2218">
        <v>3</v>
      </c>
      <c r="F2218" t="str">
        <f t="shared" si="136"/>
        <v>Value</v>
      </c>
      <c r="G2218" s="3" cm="1">
        <f t="array" ref="G2218">_xlfn.XLOOKUP(C2218 &amp; F2218,
         [1]unilever_price_limits!A:A &amp; [1]unilever_price_limits!B:B,
         [1]unilever_price_limits!C:C)</f>
        <v>15</v>
      </c>
      <c r="H2218" s="8">
        <f t="shared" si="137"/>
        <v>5.1059999999999999</v>
      </c>
      <c r="I2218" s="6">
        <f t="shared" si="138"/>
        <v>14.999999999999991</v>
      </c>
      <c r="J2218" t="str">
        <f t="shared" si="139"/>
        <v>OK</v>
      </c>
    </row>
    <row r="2219" spans="1:10" x14ac:dyDescent="0.2">
      <c r="A2219">
        <v>12218</v>
      </c>
      <c r="B2219" t="s">
        <v>8</v>
      </c>
      <c r="C2219" t="s">
        <v>11</v>
      </c>
      <c r="D2219" s="8">
        <v>12.9</v>
      </c>
      <c r="E2219">
        <v>5</v>
      </c>
      <c r="F2219" t="str">
        <f t="shared" si="136"/>
        <v>Standard</v>
      </c>
      <c r="G2219" s="3" cm="1">
        <f t="array" ref="G2219">_xlfn.XLOOKUP(C2219 &amp; F2219,
         [1]unilever_price_limits!A:A &amp; [1]unilever_price_limits!B:B,
         [1]unilever_price_limits!C:C)</f>
        <v>25</v>
      </c>
      <c r="H2219" s="8">
        <f t="shared" si="137"/>
        <v>16.125</v>
      </c>
      <c r="I2219" s="6">
        <f t="shared" si="138"/>
        <v>25</v>
      </c>
      <c r="J2219" t="str">
        <f t="shared" si="139"/>
        <v>OK</v>
      </c>
    </row>
    <row r="2220" spans="1:10" x14ac:dyDescent="0.2">
      <c r="A2220">
        <v>12219</v>
      </c>
      <c r="B2220" t="s">
        <v>7</v>
      </c>
      <c r="C2220" t="s">
        <v>6</v>
      </c>
      <c r="D2220" s="8">
        <v>5.52</v>
      </c>
      <c r="E2220">
        <v>9</v>
      </c>
      <c r="F2220" t="str">
        <f t="shared" si="136"/>
        <v>Premium</v>
      </c>
      <c r="G2220" s="3" cm="1">
        <f t="array" ref="G2220">_xlfn.XLOOKUP(C2220 &amp; F2220,
         [1]unilever_price_limits!A:A &amp; [1]unilever_price_limits!B:B,
         [1]unilever_price_limits!C:C)</f>
        <v>55</v>
      </c>
      <c r="H2220" s="8">
        <f t="shared" si="137"/>
        <v>8.5559999999999992</v>
      </c>
      <c r="I2220" s="6">
        <f t="shared" si="138"/>
        <v>55.000000000000007</v>
      </c>
      <c r="J2220" t="str">
        <f t="shared" si="139"/>
        <v>OK</v>
      </c>
    </row>
    <row r="2221" spans="1:10" x14ac:dyDescent="0.2">
      <c r="A2221">
        <v>12220</v>
      </c>
      <c r="B2221" t="s">
        <v>5</v>
      </c>
      <c r="C2221" t="s">
        <v>9</v>
      </c>
      <c r="D2221" s="8">
        <v>14.61</v>
      </c>
      <c r="E2221">
        <v>4</v>
      </c>
      <c r="F2221" t="str">
        <f t="shared" si="136"/>
        <v>Standard</v>
      </c>
      <c r="G2221" s="3" cm="1">
        <f t="array" ref="G2221">_xlfn.XLOOKUP(C2221 &amp; F2221,
         [1]unilever_price_limits!A:A &amp; [1]unilever_price_limits!B:B,
         [1]unilever_price_limits!C:C)</f>
        <v>30</v>
      </c>
      <c r="H2221" s="8">
        <f t="shared" si="137"/>
        <v>18.992999999999999</v>
      </c>
      <c r="I2221" s="6">
        <f t="shared" si="138"/>
        <v>30.000000000000004</v>
      </c>
      <c r="J2221" t="str">
        <f t="shared" si="139"/>
        <v>OK</v>
      </c>
    </row>
    <row r="2222" spans="1:10" x14ac:dyDescent="0.2">
      <c r="A2222">
        <v>12221</v>
      </c>
      <c r="B2222" t="s">
        <v>7</v>
      </c>
      <c r="C2222" t="s">
        <v>6</v>
      </c>
      <c r="D2222" s="8">
        <v>14.71</v>
      </c>
      <c r="E2222">
        <v>6</v>
      </c>
      <c r="F2222" t="str">
        <f t="shared" si="136"/>
        <v>Standard</v>
      </c>
      <c r="G2222" s="3" cm="1">
        <f t="array" ref="G2222">_xlfn.XLOOKUP(C2222 &amp; F2222,
         [1]unilever_price_limits!A:A &amp; [1]unilever_price_limits!B:B,
         [1]unilever_price_limits!C:C)</f>
        <v>28</v>
      </c>
      <c r="H2222" s="8">
        <f t="shared" si="137"/>
        <v>18.828800000000001</v>
      </c>
      <c r="I2222" s="6">
        <f t="shared" si="138"/>
        <v>28.000000000000004</v>
      </c>
      <c r="J2222" t="str">
        <f t="shared" si="139"/>
        <v>OK</v>
      </c>
    </row>
    <row r="2223" spans="1:10" x14ac:dyDescent="0.2">
      <c r="A2223">
        <v>12222</v>
      </c>
      <c r="B2223" t="s">
        <v>5</v>
      </c>
      <c r="C2223" t="s">
        <v>9</v>
      </c>
      <c r="D2223" s="8">
        <v>4.3899999999999997</v>
      </c>
      <c r="E2223">
        <v>3</v>
      </c>
      <c r="F2223" t="str">
        <f t="shared" si="136"/>
        <v>Value</v>
      </c>
      <c r="G2223" s="3" cm="1">
        <f t="array" ref="G2223">_xlfn.XLOOKUP(C2223 &amp; F2223,
         [1]unilever_price_limits!A:A &amp; [1]unilever_price_limits!B:B,
         [1]unilever_price_limits!C:C)</f>
        <v>15</v>
      </c>
      <c r="H2223" s="8">
        <f t="shared" si="137"/>
        <v>5.0484999999999989</v>
      </c>
      <c r="I2223" s="6">
        <f t="shared" si="138"/>
        <v>14.999999999999991</v>
      </c>
      <c r="J2223" t="str">
        <f t="shared" si="139"/>
        <v>OK</v>
      </c>
    </row>
    <row r="2224" spans="1:10" x14ac:dyDescent="0.2">
      <c r="A2224">
        <v>12223</v>
      </c>
      <c r="B2224" t="s">
        <v>10</v>
      </c>
      <c r="C2224" t="s">
        <v>9</v>
      </c>
      <c r="D2224" s="8">
        <v>1.0900000000000001</v>
      </c>
      <c r="E2224">
        <v>3</v>
      </c>
      <c r="F2224" t="str">
        <f t="shared" si="136"/>
        <v>Value</v>
      </c>
      <c r="G2224" s="3" cm="1">
        <f t="array" ref="G2224">_xlfn.XLOOKUP(C2224 &amp; F2224,
         [1]unilever_price_limits!A:A &amp; [1]unilever_price_limits!B:B,
         [1]unilever_price_limits!C:C)</f>
        <v>15</v>
      </c>
      <c r="H2224" s="8">
        <f t="shared" si="137"/>
        <v>1.2535000000000001</v>
      </c>
      <c r="I2224" s="6">
        <f t="shared" si="138"/>
        <v>14.999999999999991</v>
      </c>
      <c r="J2224" t="str">
        <f t="shared" si="139"/>
        <v>OK</v>
      </c>
    </row>
    <row r="2225" spans="1:10" x14ac:dyDescent="0.2">
      <c r="A2225">
        <v>12224</v>
      </c>
      <c r="B2225" t="s">
        <v>8</v>
      </c>
      <c r="C2225" t="s">
        <v>9</v>
      </c>
      <c r="D2225" s="8">
        <v>10.72</v>
      </c>
      <c r="E2225">
        <v>5</v>
      </c>
      <c r="F2225" t="str">
        <f t="shared" si="136"/>
        <v>Standard</v>
      </c>
      <c r="G2225" s="3" cm="1">
        <f t="array" ref="G2225">_xlfn.XLOOKUP(C2225 &amp; F2225,
         [1]unilever_price_limits!A:A &amp; [1]unilever_price_limits!B:B,
         [1]unilever_price_limits!C:C)</f>
        <v>30</v>
      </c>
      <c r="H2225" s="8">
        <f t="shared" si="137"/>
        <v>13.936000000000002</v>
      </c>
      <c r="I2225" s="6">
        <f t="shared" si="138"/>
        <v>30.000000000000004</v>
      </c>
      <c r="J2225" t="str">
        <f t="shared" si="139"/>
        <v>OK</v>
      </c>
    </row>
    <row r="2226" spans="1:10" x14ac:dyDescent="0.2">
      <c r="A2226">
        <v>12225</v>
      </c>
      <c r="B2226" t="s">
        <v>7</v>
      </c>
      <c r="C2226" t="s">
        <v>9</v>
      </c>
      <c r="D2226" s="8">
        <v>7.04</v>
      </c>
      <c r="E2226">
        <v>8</v>
      </c>
      <c r="F2226" t="str">
        <f t="shared" si="136"/>
        <v>Premium</v>
      </c>
      <c r="G2226" s="3" cm="1">
        <f t="array" ref="G2226">_xlfn.XLOOKUP(C2226 &amp; F2226,
         [1]unilever_price_limits!A:A &amp; [1]unilever_price_limits!B:B,
         [1]unilever_price_limits!C:C)</f>
        <v>60</v>
      </c>
      <c r="H2226" s="8">
        <f t="shared" si="137"/>
        <v>11.264000000000001</v>
      </c>
      <c r="I2226" s="6">
        <f t="shared" si="138"/>
        <v>60.000000000000007</v>
      </c>
      <c r="J2226" t="str">
        <f t="shared" si="139"/>
        <v>OK</v>
      </c>
    </row>
    <row r="2227" spans="1:10" x14ac:dyDescent="0.2">
      <c r="A2227">
        <v>12226</v>
      </c>
      <c r="B2227" t="s">
        <v>8</v>
      </c>
      <c r="C2227" t="s">
        <v>11</v>
      </c>
      <c r="D2227" s="8">
        <v>1.96</v>
      </c>
      <c r="E2227">
        <v>8</v>
      </c>
      <c r="F2227" t="str">
        <f t="shared" si="136"/>
        <v>Premium</v>
      </c>
      <c r="G2227" s="3" cm="1">
        <f t="array" ref="G2227">_xlfn.XLOOKUP(C2227 &amp; F2227,
         [1]unilever_price_limits!A:A &amp; [1]unilever_price_limits!B:B,
         [1]unilever_price_limits!C:C)</f>
        <v>50</v>
      </c>
      <c r="H2227" s="8">
        <f t="shared" si="137"/>
        <v>2.94</v>
      </c>
      <c r="I2227" s="6">
        <f t="shared" si="138"/>
        <v>50</v>
      </c>
      <c r="J2227" t="str">
        <f t="shared" si="139"/>
        <v>OK</v>
      </c>
    </row>
    <row r="2228" spans="1:10" x14ac:dyDescent="0.2">
      <c r="A2228">
        <v>12227</v>
      </c>
      <c r="B2228" t="s">
        <v>5</v>
      </c>
      <c r="C2228" t="s">
        <v>11</v>
      </c>
      <c r="D2228" s="8">
        <v>10.76</v>
      </c>
      <c r="E2228">
        <v>3</v>
      </c>
      <c r="F2228" t="str">
        <f t="shared" si="136"/>
        <v>Value</v>
      </c>
      <c r="G2228" s="3" cm="1">
        <f t="array" ref="G2228">_xlfn.XLOOKUP(C2228 &amp; F2228,
         [1]unilever_price_limits!A:A &amp; [1]unilever_price_limits!B:B,
         [1]unilever_price_limits!C:C)</f>
        <v>10</v>
      </c>
      <c r="H2228" s="8">
        <f t="shared" si="137"/>
        <v>11.836</v>
      </c>
      <c r="I2228" s="6">
        <f t="shared" si="138"/>
        <v>10.000000000000009</v>
      </c>
      <c r="J2228" t="str">
        <f t="shared" si="139"/>
        <v>OK</v>
      </c>
    </row>
    <row r="2229" spans="1:10" x14ac:dyDescent="0.2">
      <c r="A2229">
        <v>12228</v>
      </c>
      <c r="B2229" t="s">
        <v>8</v>
      </c>
      <c r="C2229" t="s">
        <v>9</v>
      </c>
      <c r="D2229" s="8">
        <v>0.95</v>
      </c>
      <c r="E2229">
        <v>8</v>
      </c>
      <c r="F2229" t="str">
        <f t="shared" si="136"/>
        <v>Premium</v>
      </c>
      <c r="G2229" s="3" cm="1">
        <f t="array" ref="G2229">_xlfn.XLOOKUP(C2229 &amp; F2229,
         [1]unilever_price_limits!A:A &amp; [1]unilever_price_limits!B:B,
         [1]unilever_price_limits!C:C)</f>
        <v>60</v>
      </c>
      <c r="H2229" s="8">
        <f t="shared" si="137"/>
        <v>1.52</v>
      </c>
      <c r="I2229" s="6">
        <f t="shared" si="138"/>
        <v>60.000000000000007</v>
      </c>
      <c r="J2229" t="str">
        <f t="shared" si="139"/>
        <v>OK</v>
      </c>
    </row>
    <row r="2230" spans="1:10" x14ac:dyDescent="0.2">
      <c r="A2230">
        <v>12229</v>
      </c>
      <c r="B2230" t="s">
        <v>8</v>
      </c>
      <c r="C2230" t="s">
        <v>6</v>
      </c>
      <c r="D2230" s="8">
        <v>13.12</v>
      </c>
      <c r="E2230">
        <v>8</v>
      </c>
      <c r="F2230" t="str">
        <f t="shared" si="136"/>
        <v>Premium</v>
      </c>
      <c r="G2230" s="3" cm="1">
        <f t="array" ref="G2230">_xlfn.XLOOKUP(C2230 &amp; F2230,
         [1]unilever_price_limits!A:A &amp; [1]unilever_price_limits!B:B,
         [1]unilever_price_limits!C:C)</f>
        <v>55</v>
      </c>
      <c r="H2230" s="8">
        <f t="shared" si="137"/>
        <v>20.335999999999999</v>
      </c>
      <c r="I2230" s="6">
        <f t="shared" si="138"/>
        <v>55.000000000000007</v>
      </c>
      <c r="J2230" t="str">
        <f t="shared" si="139"/>
        <v>OK</v>
      </c>
    </row>
    <row r="2231" spans="1:10" x14ac:dyDescent="0.2">
      <c r="A2231">
        <v>12230</v>
      </c>
      <c r="B2231" t="s">
        <v>7</v>
      </c>
      <c r="C2231" t="s">
        <v>9</v>
      </c>
      <c r="D2231" s="8">
        <v>2.5099999999999998</v>
      </c>
      <c r="E2231">
        <v>3</v>
      </c>
      <c r="F2231" t="str">
        <f t="shared" si="136"/>
        <v>Value</v>
      </c>
      <c r="G2231" s="3" cm="1">
        <f t="array" ref="G2231">_xlfn.XLOOKUP(C2231 &amp; F2231,
         [1]unilever_price_limits!A:A &amp; [1]unilever_price_limits!B:B,
         [1]unilever_price_limits!C:C)</f>
        <v>15</v>
      </c>
      <c r="H2231" s="8">
        <f t="shared" si="137"/>
        <v>2.8864999999999994</v>
      </c>
      <c r="I2231" s="6">
        <f t="shared" si="138"/>
        <v>14.999999999999991</v>
      </c>
      <c r="J2231" t="str">
        <f t="shared" si="139"/>
        <v>OK</v>
      </c>
    </row>
    <row r="2232" spans="1:10" x14ac:dyDescent="0.2">
      <c r="A2232">
        <v>12231</v>
      </c>
      <c r="B2232" t="s">
        <v>10</v>
      </c>
      <c r="C2232" t="s">
        <v>11</v>
      </c>
      <c r="D2232" s="8">
        <v>2.35</v>
      </c>
      <c r="E2232">
        <v>10</v>
      </c>
      <c r="F2232" t="str">
        <f t="shared" si="136"/>
        <v>Premium</v>
      </c>
      <c r="G2232" s="3" cm="1">
        <f t="array" ref="G2232">_xlfn.XLOOKUP(C2232 &amp; F2232,
         [1]unilever_price_limits!A:A &amp; [1]unilever_price_limits!B:B,
         [1]unilever_price_limits!C:C)</f>
        <v>50</v>
      </c>
      <c r="H2232" s="8">
        <f t="shared" si="137"/>
        <v>3.5250000000000004</v>
      </c>
      <c r="I2232" s="6">
        <f t="shared" si="138"/>
        <v>50</v>
      </c>
      <c r="J2232" t="str">
        <f t="shared" si="139"/>
        <v>OK</v>
      </c>
    </row>
    <row r="2233" spans="1:10" x14ac:dyDescent="0.2">
      <c r="A2233">
        <v>12232</v>
      </c>
      <c r="B2233" t="s">
        <v>8</v>
      </c>
      <c r="C2233" t="s">
        <v>6</v>
      </c>
      <c r="D2233" s="8">
        <v>3.05</v>
      </c>
      <c r="E2233">
        <v>10</v>
      </c>
      <c r="F2233" t="str">
        <f t="shared" si="136"/>
        <v>Premium</v>
      </c>
      <c r="G2233" s="3" cm="1">
        <f t="array" ref="G2233">_xlfn.XLOOKUP(C2233 &amp; F2233,
         [1]unilever_price_limits!A:A &amp; [1]unilever_price_limits!B:B,
         [1]unilever_price_limits!C:C)</f>
        <v>55</v>
      </c>
      <c r="H2233" s="8">
        <f t="shared" si="137"/>
        <v>4.7275</v>
      </c>
      <c r="I2233" s="6">
        <f t="shared" si="138"/>
        <v>55.000000000000007</v>
      </c>
      <c r="J2233" t="str">
        <f t="shared" si="139"/>
        <v>OK</v>
      </c>
    </row>
    <row r="2234" spans="1:10" x14ac:dyDescent="0.2">
      <c r="A2234">
        <v>12233</v>
      </c>
      <c r="B2234" t="s">
        <v>10</v>
      </c>
      <c r="C2234" t="s">
        <v>11</v>
      </c>
      <c r="D2234" s="8">
        <v>14.42</v>
      </c>
      <c r="E2234">
        <v>2</v>
      </c>
      <c r="F2234" t="str">
        <f t="shared" si="136"/>
        <v>Value</v>
      </c>
      <c r="G2234" s="3" cm="1">
        <f t="array" ref="G2234">_xlfn.XLOOKUP(C2234 &amp; F2234,
         [1]unilever_price_limits!A:A &amp; [1]unilever_price_limits!B:B,
         [1]unilever_price_limits!C:C)</f>
        <v>10</v>
      </c>
      <c r="H2234" s="8">
        <f t="shared" si="137"/>
        <v>15.862000000000002</v>
      </c>
      <c r="I2234" s="6">
        <f t="shared" si="138"/>
        <v>10.000000000000009</v>
      </c>
      <c r="J2234" t="str">
        <f t="shared" si="139"/>
        <v>OK</v>
      </c>
    </row>
    <row r="2235" spans="1:10" x14ac:dyDescent="0.2">
      <c r="A2235">
        <v>12234</v>
      </c>
      <c r="B2235" t="s">
        <v>5</v>
      </c>
      <c r="C2235" t="s">
        <v>11</v>
      </c>
      <c r="D2235" s="8">
        <v>10.55</v>
      </c>
      <c r="E2235">
        <v>10</v>
      </c>
      <c r="F2235" t="str">
        <f t="shared" si="136"/>
        <v>Premium</v>
      </c>
      <c r="G2235" s="3" cm="1">
        <f t="array" ref="G2235">_xlfn.XLOOKUP(C2235 &amp; F2235,
         [1]unilever_price_limits!A:A &amp; [1]unilever_price_limits!B:B,
         [1]unilever_price_limits!C:C)</f>
        <v>50</v>
      </c>
      <c r="H2235" s="8">
        <f t="shared" si="137"/>
        <v>15.825000000000001</v>
      </c>
      <c r="I2235" s="6">
        <f t="shared" si="138"/>
        <v>50</v>
      </c>
      <c r="J2235" t="str">
        <f t="shared" si="139"/>
        <v>OK</v>
      </c>
    </row>
    <row r="2236" spans="1:10" x14ac:dyDescent="0.2">
      <c r="A2236">
        <v>12235</v>
      </c>
      <c r="B2236" t="s">
        <v>8</v>
      </c>
      <c r="C2236" t="s">
        <v>6</v>
      </c>
      <c r="D2236" s="8">
        <v>12.12</v>
      </c>
      <c r="E2236">
        <v>2</v>
      </c>
      <c r="F2236" t="str">
        <f t="shared" si="136"/>
        <v>Value</v>
      </c>
      <c r="G2236" s="3" cm="1">
        <f t="array" ref="G2236">_xlfn.XLOOKUP(C2236 &amp; F2236,
         [1]unilever_price_limits!A:A &amp; [1]unilever_price_limits!B:B,
         [1]unilever_price_limits!C:C)</f>
        <v>12</v>
      </c>
      <c r="H2236" s="8">
        <f t="shared" si="137"/>
        <v>13.574400000000001</v>
      </c>
      <c r="I2236" s="6">
        <f t="shared" si="138"/>
        <v>12.000000000000011</v>
      </c>
      <c r="J2236" t="str">
        <f t="shared" si="139"/>
        <v>OK</v>
      </c>
    </row>
    <row r="2237" spans="1:10" x14ac:dyDescent="0.2">
      <c r="A2237">
        <v>12236</v>
      </c>
      <c r="B2237" t="s">
        <v>7</v>
      </c>
      <c r="C2237" t="s">
        <v>9</v>
      </c>
      <c r="D2237" s="8">
        <v>6.27</v>
      </c>
      <c r="E2237">
        <v>9</v>
      </c>
      <c r="F2237" t="str">
        <f t="shared" si="136"/>
        <v>Premium</v>
      </c>
      <c r="G2237" s="3" cm="1">
        <f t="array" ref="G2237">_xlfn.XLOOKUP(C2237 &amp; F2237,
         [1]unilever_price_limits!A:A &amp; [1]unilever_price_limits!B:B,
         [1]unilever_price_limits!C:C)</f>
        <v>60</v>
      </c>
      <c r="H2237" s="8">
        <f t="shared" si="137"/>
        <v>10.032</v>
      </c>
      <c r="I2237" s="6">
        <f t="shared" si="138"/>
        <v>60.000000000000007</v>
      </c>
      <c r="J2237" t="str">
        <f t="shared" si="139"/>
        <v>OK</v>
      </c>
    </row>
    <row r="2238" spans="1:10" x14ac:dyDescent="0.2">
      <c r="A2238">
        <v>12237</v>
      </c>
      <c r="B2238" t="s">
        <v>5</v>
      </c>
      <c r="C2238" t="s">
        <v>9</v>
      </c>
      <c r="D2238" s="8">
        <v>5.38</v>
      </c>
      <c r="E2238">
        <v>7</v>
      </c>
      <c r="F2238" t="str">
        <f t="shared" si="136"/>
        <v>Standard</v>
      </c>
      <c r="G2238" s="3" cm="1">
        <f t="array" ref="G2238">_xlfn.XLOOKUP(C2238 &amp; F2238,
         [1]unilever_price_limits!A:A &amp; [1]unilever_price_limits!B:B,
         [1]unilever_price_limits!C:C)</f>
        <v>30</v>
      </c>
      <c r="H2238" s="8">
        <f t="shared" si="137"/>
        <v>6.9939999999999998</v>
      </c>
      <c r="I2238" s="6">
        <f t="shared" si="138"/>
        <v>30.000000000000004</v>
      </c>
      <c r="J2238" t="str">
        <f t="shared" si="139"/>
        <v>OK</v>
      </c>
    </row>
    <row r="2239" spans="1:10" x14ac:dyDescent="0.2">
      <c r="A2239">
        <v>12238</v>
      </c>
      <c r="B2239" t="s">
        <v>5</v>
      </c>
      <c r="C2239" t="s">
        <v>9</v>
      </c>
      <c r="D2239" s="8">
        <v>3.9</v>
      </c>
      <c r="E2239">
        <v>6</v>
      </c>
      <c r="F2239" t="str">
        <f t="shared" si="136"/>
        <v>Standard</v>
      </c>
      <c r="G2239" s="3" cm="1">
        <f t="array" ref="G2239">_xlfn.XLOOKUP(C2239 &amp; F2239,
         [1]unilever_price_limits!A:A &amp; [1]unilever_price_limits!B:B,
         [1]unilever_price_limits!C:C)</f>
        <v>30</v>
      </c>
      <c r="H2239" s="8">
        <f t="shared" si="137"/>
        <v>5.07</v>
      </c>
      <c r="I2239" s="6">
        <f t="shared" si="138"/>
        <v>30.000000000000004</v>
      </c>
      <c r="J2239" t="str">
        <f t="shared" si="139"/>
        <v>OK</v>
      </c>
    </row>
    <row r="2240" spans="1:10" x14ac:dyDescent="0.2">
      <c r="A2240">
        <v>12239</v>
      </c>
      <c r="B2240" t="s">
        <v>7</v>
      </c>
      <c r="C2240" t="s">
        <v>9</v>
      </c>
      <c r="D2240" s="8">
        <v>7.47</v>
      </c>
      <c r="E2240">
        <v>7</v>
      </c>
      <c r="F2240" t="str">
        <f t="shared" si="136"/>
        <v>Standard</v>
      </c>
      <c r="G2240" s="3" cm="1">
        <f t="array" ref="G2240">_xlfn.XLOOKUP(C2240 &amp; F2240,
         [1]unilever_price_limits!A:A &amp; [1]unilever_price_limits!B:B,
         [1]unilever_price_limits!C:C)</f>
        <v>30</v>
      </c>
      <c r="H2240" s="8">
        <f t="shared" si="137"/>
        <v>9.7110000000000003</v>
      </c>
      <c r="I2240" s="6">
        <f t="shared" si="138"/>
        <v>30.000000000000004</v>
      </c>
      <c r="J2240" t="str">
        <f t="shared" si="139"/>
        <v>OK</v>
      </c>
    </row>
    <row r="2241" spans="1:10" x14ac:dyDescent="0.2">
      <c r="A2241">
        <v>12240</v>
      </c>
      <c r="B2241" t="s">
        <v>8</v>
      </c>
      <c r="C2241" t="s">
        <v>6</v>
      </c>
      <c r="D2241" s="8">
        <v>8.5</v>
      </c>
      <c r="E2241">
        <v>8</v>
      </c>
      <c r="F2241" t="str">
        <f t="shared" si="136"/>
        <v>Premium</v>
      </c>
      <c r="G2241" s="3" cm="1">
        <f t="array" ref="G2241">_xlfn.XLOOKUP(C2241 &amp; F2241,
         [1]unilever_price_limits!A:A &amp; [1]unilever_price_limits!B:B,
         [1]unilever_price_limits!C:C)</f>
        <v>55</v>
      </c>
      <c r="H2241" s="8">
        <f t="shared" si="137"/>
        <v>13.175000000000001</v>
      </c>
      <c r="I2241" s="6">
        <f t="shared" si="138"/>
        <v>55.000000000000007</v>
      </c>
      <c r="J2241" t="str">
        <f t="shared" si="139"/>
        <v>OK</v>
      </c>
    </row>
    <row r="2242" spans="1:10" x14ac:dyDescent="0.2">
      <c r="A2242">
        <v>12241</v>
      </c>
      <c r="B2242" t="s">
        <v>8</v>
      </c>
      <c r="C2242" t="s">
        <v>6</v>
      </c>
      <c r="D2242" s="8">
        <v>9.66</v>
      </c>
      <c r="E2242">
        <v>1</v>
      </c>
      <c r="F2242" t="str">
        <f t="shared" si="136"/>
        <v>Value</v>
      </c>
      <c r="G2242" s="3" cm="1">
        <f t="array" ref="G2242">_xlfn.XLOOKUP(C2242 &amp; F2242,
         [1]unilever_price_limits!A:A &amp; [1]unilever_price_limits!B:B,
         [1]unilever_price_limits!C:C)</f>
        <v>12</v>
      </c>
      <c r="H2242" s="8">
        <f t="shared" si="137"/>
        <v>10.8192</v>
      </c>
      <c r="I2242" s="6">
        <f t="shared" si="138"/>
        <v>12.000000000000011</v>
      </c>
      <c r="J2242" t="str">
        <f t="shared" si="139"/>
        <v>OK</v>
      </c>
    </row>
    <row r="2243" spans="1:10" x14ac:dyDescent="0.2">
      <c r="A2243">
        <v>12242</v>
      </c>
      <c r="B2243" t="s">
        <v>5</v>
      </c>
      <c r="C2243" t="s">
        <v>6</v>
      </c>
      <c r="D2243" s="8">
        <v>4.2300000000000004</v>
      </c>
      <c r="E2243">
        <v>8</v>
      </c>
      <c r="F2243" t="str">
        <f t="shared" ref="F2243:F2306" si="140">IF(E2243&lt;=3,"Value",
 IF(E2243&lt;=7,"Standard","Premium"))</f>
        <v>Premium</v>
      </c>
      <c r="G2243" s="3" cm="1">
        <f t="array" ref="G2243">_xlfn.XLOOKUP(C2243 &amp; F2243,
         [1]unilever_price_limits!A:A &amp; [1]unilever_price_limits!B:B,
         [1]unilever_price_limits!C:C)</f>
        <v>55</v>
      </c>
      <c r="H2243" s="8">
        <f t="shared" ref="H2243:H2306" si="141">D2243 * (1 + G2243/100)</f>
        <v>6.5565000000000007</v>
      </c>
      <c r="I2243" s="6">
        <f t="shared" ref="I2243:I2306" si="142">(H2243 / D2243 - 1) * 100</f>
        <v>55.000000000000007</v>
      </c>
      <c r="J2243" t="str">
        <f t="shared" ref="J2243:J2306" si="143">IF(I2242&gt; G2242, "⚠ Exceeds Limit", "OK")</f>
        <v>OK</v>
      </c>
    </row>
    <row r="2244" spans="1:10" x14ac:dyDescent="0.2">
      <c r="A2244">
        <v>12243</v>
      </c>
      <c r="B2244" t="s">
        <v>8</v>
      </c>
      <c r="C2244" t="s">
        <v>11</v>
      </c>
      <c r="D2244" s="8">
        <v>14.26</v>
      </c>
      <c r="E2244">
        <v>3</v>
      </c>
      <c r="F2244" t="str">
        <f t="shared" si="140"/>
        <v>Value</v>
      </c>
      <c r="G2244" s="3" cm="1">
        <f t="array" ref="G2244">_xlfn.XLOOKUP(C2244 &amp; F2244,
         [1]unilever_price_limits!A:A &amp; [1]unilever_price_limits!B:B,
         [1]unilever_price_limits!C:C)</f>
        <v>10</v>
      </c>
      <c r="H2244" s="8">
        <f t="shared" si="141"/>
        <v>15.686000000000002</v>
      </c>
      <c r="I2244" s="6">
        <f t="shared" si="142"/>
        <v>10.000000000000009</v>
      </c>
      <c r="J2244" t="str">
        <f t="shared" si="143"/>
        <v>OK</v>
      </c>
    </row>
    <row r="2245" spans="1:10" x14ac:dyDescent="0.2">
      <c r="A2245">
        <v>12244</v>
      </c>
      <c r="B2245" t="s">
        <v>10</v>
      </c>
      <c r="C2245" t="s">
        <v>6</v>
      </c>
      <c r="D2245" s="8">
        <v>2.96</v>
      </c>
      <c r="E2245">
        <v>3</v>
      </c>
      <c r="F2245" t="str">
        <f t="shared" si="140"/>
        <v>Value</v>
      </c>
      <c r="G2245" s="3" cm="1">
        <f t="array" ref="G2245">_xlfn.XLOOKUP(C2245 &amp; F2245,
         [1]unilever_price_limits!A:A &amp; [1]unilever_price_limits!B:B,
         [1]unilever_price_limits!C:C)</f>
        <v>12</v>
      </c>
      <c r="H2245" s="8">
        <f t="shared" si="141"/>
        <v>3.3152000000000004</v>
      </c>
      <c r="I2245" s="6">
        <f t="shared" si="142"/>
        <v>12.000000000000011</v>
      </c>
      <c r="J2245" t="str">
        <f t="shared" si="143"/>
        <v>OK</v>
      </c>
    </row>
    <row r="2246" spans="1:10" x14ac:dyDescent="0.2">
      <c r="A2246">
        <v>12245</v>
      </c>
      <c r="B2246" t="s">
        <v>7</v>
      </c>
      <c r="C2246" t="s">
        <v>9</v>
      </c>
      <c r="D2246" s="8">
        <v>14.5</v>
      </c>
      <c r="E2246">
        <v>6</v>
      </c>
      <c r="F2246" t="str">
        <f t="shared" si="140"/>
        <v>Standard</v>
      </c>
      <c r="G2246" s="3" cm="1">
        <f t="array" ref="G2246">_xlfn.XLOOKUP(C2246 &amp; F2246,
         [1]unilever_price_limits!A:A &amp; [1]unilever_price_limits!B:B,
         [1]unilever_price_limits!C:C)</f>
        <v>30</v>
      </c>
      <c r="H2246" s="8">
        <f t="shared" si="141"/>
        <v>18.850000000000001</v>
      </c>
      <c r="I2246" s="6">
        <f t="shared" si="142"/>
        <v>30.000000000000004</v>
      </c>
      <c r="J2246" t="str">
        <f t="shared" si="143"/>
        <v>OK</v>
      </c>
    </row>
    <row r="2247" spans="1:10" x14ac:dyDescent="0.2">
      <c r="A2247">
        <v>12246</v>
      </c>
      <c r="B2247" t="s">
        <v>10</v>
      </c>
      <c r="C2247" t="s">
        <v>11</v>
      </c>
      <c r="D2247" s="8">
        <v>0.72</v>
      </c>
      <c r="E2247">
        <v>4</v>
      </c>
      <c r="F2247" t="str">
        <f t="shared" si="140"/>
        <v>Standard</v>
      </c>
      <c r="G2247" s="3" cm="1">
        <f t="array" ref="G2247">_xlfn.XLOOKUP(C2247 &amp; F2247,
         [1]unilever_price_limits!A:A &amp; [1]unilever_price_limits!B:B,
         [1]unilever_price_limits!C:C)</f>
        <v>25</v>
      </c>
      <c r="H2247" s="8">
        <f t="shared" si="141"/>
        <v>0.89999999999999991</v>
      </c>
      <c r="I2247" s="6">
        <f t="shared" si="142"/>
        <v>25</v>
      </c>
      <c r="J2247" t="str">
        <f t="shared" si="143"/>
        <v>OK</v>
      </c>
    </row>
    <row r="2248" spans="1:10" x14ac:dyDescent="0.2">
      <c r="A2248">
        <v>12247</v>
      </c>
      <c r="B2248" t="s">
        <v>8</v>
      </c>
      <c r="C2248" t="s">
        <v>9</v>
      </c>
      <c r="D2248" s="8">
        <v>7.48</v>
      </c>
      <c r="E2248">
        <v>4</v>
      </c>
      <c r="F2248" t="str">
        <f t="shared" si="140"/>
        <v>Standard</v>
      </c>
      <c r="G2248" s="3" cm="1">
        <f t="array" ref="G2248">_xlfn.XLOOKUP(C2248 &amp; F2248,
         [1]unilever_price_limits!A:A &amp; [1]unilever_price_limits!B:B,
         [1]unilever_price_limits!C:C)</f>
        <v>30</v>
      </c>
      <c r="H2248" s="8">
        <f t="shared" si="141"/>
        <v>9.7240000000000002</v>
      </c>
      <c r="I2248" s="6">
        <f t="shared" si="142"/>
        <v>30.000000000000004</v>
      </c>
      <c r="J2248" t="str">
        <f t="shared" si="143"/>
        <v>OK</v>
      </c>
    </row>
    <row r="2249" spans="1:10" x14ac:dyDescent="0.2">
      <c r="A2249">
        <v>12248</v>
      </c>
      <c r="B2249" t="s">
        <v>5</v>
      </c>
      <c r="C2249" t="s">
        <v>9</v>
      </c>
      <c r="D2249" s="8">
        <v>5.33</v>
      </c>
      <c r="E2249">
        <v>4</v>
      </c>
      <c r="F2249" t="str">
        <f t="shared" si="140"/>
        <v>Standard</v>
      </c>
      <c r="G2249" s="3" cm="1">
        <f t="array" ref="G2249">_xlfn.XLOOKUP(C2249 &amp; F2249,
         [1]unilever_price_limits!A:A &amp; [1]unilever_price_limits!B:B,
         [1]unilever_price_limits!C:C)</f>
        <v>30</v>
      </c>
      <c r="H2249" s="8">
        <f t="shared" si="141"/>
        <v>6.9290000000000003</v>
      </c>
      <c r="I2249" s="6">
        <f t="shared" si="142"/>
        <v>30.000000000000004</v>
      </c>
      <c r="J2249" t="str">
        <f t="shared" si="143"/>
        <v>OK</v>
      </c>
    </row>
    <row r="2250" spans="1:10" x14ac:dyDescent="0.2">
      <c r="A2250">
        <v>12249</v>
      </c>
      <c r="B2250" t="s">
        <v>7</v>
      </c>
      <c r="C2250" t="s">
        <v>6</v>
      </c>
      <c r="D2250" s="8">
        <v>7.01</v>
      </c>
      <c r="E2250">
        <v>10</v>
      </c>
      <c r="F2250" t="str">
        <f t="shared" si="140"/>
        <v>Premium</v>
      </c>
      <c r="G2250" s="3" cm="1">
        <f t="array" ref="G2250">_xlfn.XLOOKUP(C2250 &amp; F2250,
         [1]unilever_price_limits!A:A &amp; [1]unilever_price_limits!B:B,
         [1]unilever_price_limits!C:C)</f>
        <v>55</v>
      </c>
      <c r="H2250" s="8">
        <f t="shared" si="141"/>
        <v>10.865500000000001</v>
      </c>
      <c r="I2250" s="6">
        <f t="shared" si="142"/>
        <v>55.000000000000028</v>
      </c>
      <c r="J2250" t="str">
        <f t="shared" si="143"/>
        <v>OK</v>
      </c>
    </row>
    <row r="2251" spans="1:10" x14ac:dyDescent="0.2">
      <c r="A2251">
        <v>12250</v>
      </c>
      <c r="B2251" t="s">
        <v>8</v>
      </c>
      <c r="C2251" t="s">
        <v>6</v>
      </c>
      <c r="D2251" s="8">
        <v>8.77</v>
      </c>
      <c r="E2251">
        <v>9</v>
      </c>
      <c r="F2251" t="str">
        <f t="shared" si="140"/>
        <v>Premium</v>
      </c>
      <c r="G2251" s="3" cm="1">
        <f t="array" ref="G2251">_xlfn.XLOOKUP(C2251 &amp; F2251,
         [1]unilever_price_limits!A:A &amp; [1]unilever_price_limits!B:B,
         [1]unilever_price_limits!C:C)</f>
        <v>55</v>
      </c>
      <c r="H2251" s="8">
        <f t="shared" si="141"/>
        <v>13.593500000000001</v>
      </c>
      <c r="I2251" s="6">
        <f t="shared" si="142"/>
        <v>55.000000000000007</v>
      </c>
      <c r="J2251" t="str">
        <f t="shared" si="143"/>
        <v>OK</v>
      </c>
    </row>
    <row r="2252" spans="1:10" x14ac:dyDescent="0.2">
      <c r="A2252">
        <v>12251</v>
      </c>
      <c r="B2252" t="s">
        <v>8</v>
      </c>
      <c r="C2252" t="s">
        <v>9</v>
      </c>
      <c r="D2252" s="8">
        <v>6.82</v>
      </c>
      <c r="E2252">
        <v>8</v>
      </c>
      <c r="F2252" t="str">
        <f t="shared" si="140"/>
        <v>Premium</v>
      </c>
      <c r="G2252" s="3" cm="1">
        <f t="array" ref="G2252">_xlfn.XLOOKUP(C2252 &amp; F2252,
         [1]unilever_price_limits!A:A &amp; [1]unilever_price_limits!B:B,
         [1]unilever_price_limits!C:C)</f>
        <v>60</v>
      </c>
      <c r="H2252" s="8">
        <f t="shared" si="141"/>
        <v>10.912000000000001</v>
      </c>
      <c r="I2252" s="6">
        <f t="shared" si="142"/>
        <v>60.000000000000007</v>
      </c>
      <c r="J2252" t="str">
        <f t="shared" si="143"/>
        <v>OK</v>
      </c>
    </row>
    <row r="2253" spans="1:10" x14ac:dyDescent="0.2">
      <c r="A2253">
        <v>12252</v>
      </c>
      <c r="B2253" t="s">
        <v>5</v>
      </c>
      <c r="C2253" t="s">
        <v>9</v>
      </c>
      <c r="D2253" s="8">
        <v>6.52</v>
      </c>
      <c r="E2253">
        <v>3</v>
      </c>
      <c r="F2253" t="str">
        <f t="shared" si="140"/>
        <v>Value</v>
      </c>
      <c r="G2253" s="3" cm="1">
        <f t="array" ref="G2253">_xlfn.XLOOKUP(C2253 &amp; F2253,
         [1]unilever_price_limits!A:A &amp; [1]unilever_price_limits!B:B,
         [1]unilever_price_limits!C:C)</f>
        <v>15</v>
      </c>
      <c r="H2253" s="8">
        <f t="shared" si="141"/>
        <v>7.4979999999999993</v>
      </c>
      <c r="I2253" s="6">
        <f t="shared" si="142"/>
        <v>14.999999999999991</v>
      </c>
      <c r="J2253" t="str">
        <f t="shared" si="143"/>
        <v>OK</v>
      </c>
    </row>
    <row r="2254" spans="1:10" x14ac:dyDescent="0.2">
      <c r="A2254">
        <v>12253</v>
      </c>
      <c r="B2254" t="s">
        <v>5</v>
      </c>
      <c r="C2254" t="s">
        <v>11</v>
      </c>
      <c r="D2254" s="8">
        <v>11.12</v>
      </c>
      <c r="E2254">
        <v>1</v>
      </c>
      <c r="F2254" t="str">
        <f t="shared" si="140"/>
        <v>Value</v>
      </c>
      <c r="G2254" s="3" cm="1">
        <f t="array" ref="G2254">_xlfn.XLOOKUP(C2254 &amp; F2254,
         [1]unilever_price_limits!A:A &amp; [1]unilever_price_limits!B:B,
         [1]unilever_price_limits!C:C)</f>
        <v>10</v>
      </c>
      <c r="H2254" s="8">
        <f t="shared" si="141"/>
        <v>12.231999999999999</v>
      </c>
      <c r="I2254" s="6">
        <f t="shared" si="142"/>
        <v>10.000000000000009</v>
      </c>
      <c r="J2254" t="str">
        <f t="shared" si="143"/>
        <v>OK</v>
      </c>
    </row>
    <row r="2255" spans="1:10" x14ac:dyDescent="0.2">
      <c r="A2255">
        <v>12254</v>
      </c>
      <c r="B2255" t="s">
        <v>10</v>
      </c>
      <c r="C2255" t="s">
        <v>6</v>
      </c>
      <c r="D2255" s="8">
        <v>10.45</v>
      </c>
      <c r="E2255">
        <v>1</v>
      </c>
      <c r="F2255" t="str">
        <f t="shared" si="140"/>
        <v>Value</v>
      </c>
      <c r="G2255" s="3" cm="1">
        <f t="array" ref="G2255">_xlfn.XLOOKUP(C2255 &amp; F2255,
         [1]unilever_price_limits!A:A &amp; [1]unilever_price_limits!B:B,
         [1]unilever_price_limits!C:C)</f>
        <v>12</v>
      </c>
      <c r="H2255" s="8">
        <f t="shared" si="141"/>
        <v>11.704000000000001</v>
      </c>
      <c r="I2255" s="6">
        <f t="shared" si="142"/>
        <v>12.000000000000011</v>
      </c>
      <c r="J2255" t="str">
        <f t="shared" si="143"/>
        <v>OK</v>
      </c>
    </row>
    <row r="2256" spans="1:10" x14ac:dyDescent="0.2">
      <c r="A2256">
        <v>12255</v>
      </c>
      <c r="B2256" t="s">
        <v>7</v>
      </c>
      <c r="C2256" t="s">
        <v>11</v>
      </c>
      <c r="D2256" s="8">
        <v>12.58</v>
      </c>
      <c r="E2256">
        <v>1</v>
      </c>
      <c r="F2256" t="str">
        <f t="shared" si="140"/>
        <v>Value</v>
      </c>
      <c r="G2256" s="3" cm="1">
        <f t="array" ref="G2256">_xlfn.XLOOKUP(C2256 &amp; F2256,
         [1]unilever_price_limits!A:A &amp; [1]unilever_price_limits!B:B,
         [1]unilever_price_limits!C:C)</f>
        <v>10</v>
      </c>
      <c r="H2256" s="8">
        <f t="shared" si="141"/>
        <v>13.838000000000001</v>
      </c>
      <c r="I2256" s="6">
        <f t="shared" si="142"/>
        <v>10.000000000000009</v>
      </c>
      <c r="J2256" t="str">
        <f t="shared" si="143"/>
        <v>OK</v>
      </c>
    </row>
    <row r="2257" spans="1:10" x14ac:dyDescent="0.2">
      <c r="A2257">
        <v>12256</v>
      </c>
      <c r="B2257" t="s">
        <v>7</v>
      </c>
      <c r="C2257" t="s">
        <v>11</v>
      </c>
      <c r="D2257" s="8">
        <v>4.12</v>
      </c>
      <c r="E2257">
        <v>4</v>
      </c>
      <c r="F2257" t="str">
        <f t="shared" si="140"/>
        <v>Standard</v>
      </c>
      <c r="G2257" s="3" cm="1">
        <f t="array" ref="G2257">_xlfn.XLOOKUP(C2257 &amp; F2257,
         [1]unilever_price_limits!A:A &amp; [1]unilever_price_limits!B:B,
         [1]unilever_price_limits!C:C)</f>
        <v>25</v>
      </c>
      <c r="H2257" s="8">
        <f t="shared" si="141"/>
        <v>5.15</v>
      </c>
      <c r="I2257" s="6">
        <f t="shared" si="142"/>
        <v>25</v>
      </c>
      <c r="J2257" t="str">
        <f t="shared" si="143"/>
        <v>OK</v>
      </c>
    </row>
    <row r="2258" spans="1:10" x14ac:dyDescent="0.2">
      <c r="A2258">
        <v>12257</v>
      </c>
      <c r="B2258" t="s">
        <v>5</v>
      </c>
      <c r="C2258" t="s">
        <v>11</v>
      </c>
      <c r="D2258" s="8">
        <v>9.34</v>
      </c>
      <c r="E2258">
        <v>6</v>
      </c>
      <c r="F2258" t="str">
        <f t="shared" si="140"/>
        <v>Standard</v>
      </c>
      <c r="G2258" s="3" cm="1">
        <f t="array" ref="G2258">_xlfn.XLOOKUP(C2258 &amp; F2258,
         [1]unilever_price_limits!A:A &amp; [1]unilever_price_limits!B:B,
         [1]unilever_price_limits!C:C)</f>
        <v>25</v>
      </c>
      <c r="H2258" s="8">
        <f t="shared" si="141"/>
        <v>11.675000000000001</v>
      </c>
      <c r="I2258" s="6">
        <f t="shared" si="142"/>
        <v>25</v>
      </c>
      <c r="J2258" t="str">
        <f t="shared" si="143"/>
        <v>OK</v>
      </c>
    </row>
    <row r="2259" spans="1:10" x14ac:dyDescent="0.2">
      <c r="A2259">
        <v>12258</v>
      </c>
      <c r="B2259" t="s">
        <v>10</v>
      </c>
      <c r="C2259" t="s">
        <v>9</v>
      </c>
      <c r="D2259" s="8">
        <v>8.99</v>
      </c>
      <c r="E2259">
        <v>4</v>
      </c>
      <c r="F2259" t="str">
        <f t="shared" si="140"/>
        <v>Standard</v>
      </c>
      <c r="G2259" s="3" cm="1">
        <f t="array" ref="G2259">_xlfn.XLOOKUP(C2259 &amp; F2259,
         [1]unilever_price_limits!A:A &amp; [1]unilever_price_limits!B:B,
         [1]unilever_price_limits!C:C)</f>
        <v>30</v>
      </c>
      <c r="H2259" s="8">
        <f t="shared" si="141"/>
        <v>11.687000000000001</v>
      </c>
      <c r="I2259" s="6">
        <f t="shared" si="142"/>
        <v>30.000000000000004</v>
      </c>
      <c r="J2259" t="str">
        <f t="shared" si="143"/>
        <v>OK</v>
      </c>
    </row>
    <row r="2260" spans="1:10" x14ac:dyDescent="0.2">
      <c r="A2260">
        <v>12259</v>
      </c>
      <c r="B2260" t="s">
        <v>7</v>
      </c>
      <c r="C2260" t="s">
        <v>11</v>
      </c>
      <c r="D2260" s="8">
        <v>5.86</v>
      </c>
      <c r="E2260">
        <v>3</v>
      </c>
      <c r="F2260" t="str">
        <f t="shared" si="140"/>
        <v>Value</v>
      </c>
      <c r="G2260" s="3" cm="1">
        <f t="array" ref="G2260">_xlfn.XLOOKUP(C2260 &amp; F2260,
         [1]unilever_price_limits!A:A &amp; [1]unilever_price_limits!B:B,
         [1]unilever_price_limits!C:C)</f>
        <v>10</v>
      </c>
      <c r="H2260" s="8">
        <f t="shared" si="141"/>
        <v>6.4460000000000006</v>
      </c>
      <c r="I2260" s="6">
        <f t="shared" si="142"/>
        <v>10.000000000000009</v>
      </c>
      <c r="J2260" t="str">
        <f t="shared" si="143"/>
        <v>OK</v>
      </c>
    </row>
    <row r="2261" spans="1:10" x14ac:dyDescent="0.2">
      <c r="A2261">
        <v>12260</v>
      </c>
      <c r="B2261" t="s">
        <v>5</v>
      </c>
      <c r="C2261" t="s">
        <v>11</v>
      </c>
      <c r="D2261" s="8">
        <v>7.55</v>
      </c>
      <c r="E2261">
        <v>8</v>
      </c>
      <c r="F2261" t="str">
        <f t="shared" si="140"/>
        <v>Premium</v>
      </c>
      <c r="G2261" s="3" cm="1">
        <f t="array" ref="G2261">_xlfn.XLOOKUP(C2261 &amp; F2261,
         [1]unilever_price_limits!A:A &amp; [1]unilever_price_limits!B:B,
         [1]unilever_price_limits!C:C)</f>
        <v>50</v>
      </c>
      <c r="H2261" s="8">
        <f t="shared" si="141"/>
        <v>11.324999999999999</v>
      </c>
      <c r="I2261" s="6">
        <f t="shared" si="142"/>
        <v>50</v>
      </c>
      <c r="J2261" t="str">
        <f t="shared" si="143"/>
        <v>OK</v>
      </c>
    </row>
    <row r="2262" spans="1:10" x14ac:dyDescent="0.2">
      <c r="A2262">
        <v>12261</v>
      </c>
      <c r="B2262" t="s">
        <v>8</v>
      </c>
      <c r="C2262" t="s">
        <v>9</v>
      </c>
      <c r="D2262" s="8">
        <v>5.05</v>
      </c>
      <c r="E2262">
        <v>8</v>
      </c>
      <c r="F2262" t="str">
        <f t="shared" si="140"/>
        <v>Premium</v>
      </c>
      <c r="G2262" s="3" cm="1">
        <f t="array" ref="G2262">_xlfn.XLOOKUP(C2262 &amp; F2262,
         [1]unilever_price_limits!A:A &amp; [1]unilever_price_limits!B:B,
         [1]unilever_price_limits!C:C)</f>
        <v>60</v>
      </c>
      <c r="H2262" s="8">
        <f t="shared" si="141"/>
        <v>8.08</v>
      </c>
      <c r="I2262" s="6">
        <f t="shared" si="142"/>
        <v>60.000000000000007</v>
      </c>
      <c r="J2262" t="str">
        <f t="shared" si="143"/>
        <v>OK</v>
      </c>
    </row>
    <row r="2263" spans="1:10" x14ac:dyDescent="0.2">
      <c r="A2263">
        <v>12262</v>
      </c>
      <c r="B2263" t="s">
        <v>7</v>
      </c>
      <c r="C2263" t="s">
        <v>6</v>
      </c>
      <c r="D2263" s="8">
        <v>2.56</v>
      </c>
      <c r="E2263">
        <v>6</v>
      </c>
      <c r="F2263" t="str">
        <f t="shared" si="140"/>
        <v>Standard</v>
      </c>
      <c r="G2263" s="3" cm="1">
        <f t="array" ref="G2263">_xlfn.XLOOKUP(C2263 &amp; F2263,
         [1]unilever_price_limits!A:A &amp; [1]unilever_price_limits!B:B,
         [1]unilever_price_limits!C:C)</f>
        <v>28</v>
      </c>
      <c r="H2263" s="8">
        <f t="shared" si="141"/>
        <v>3.2768000000000002</v>
      </c>
      <c r="I2263" s="6">
        <f t="shared" si="142"/>
        <v>28.000000000000004</v>
      </c>
      <c r="J2263" t="str">
        <f t="shared" si="143"/>
        <v>OK</v>
      </c>
    </row>
    <row r="2264" spans="1:10" x14ac:dyDescent="0.2">
      <c r="A2264">
        <v>12263</v>
      </c>
      <c r="B2264" t="s">
        <v>10</v>
      </c>
      <c r="C2264" t="s">
        <v>6</v>
      </c>
      <c r="D2264" s="8">
        <v>3.6</v>
      </c>
      <c r="E2264">
        <v>9</v>
      </c>
      <c r="F2264" t="str">
        <f t="shared" si="140"/>
        <v>Premium</v>
      </c>
      <c r="G2264" s="3" cm="1">
        <f t="array" ref="G2264">_xlfn.XLOOKUP(C2264 &amp; F2264,
         [1]unilever_price_limits!A:A &amp; [1]unilever_price_limits!B:B,
         [1]unilever_price_limits!C:C)</f>
        <v>55</v>
      </c>
      <c r="H2264" s="8">
        <f t="shared" si="141"/>
        <v>5.58</v>
      </c>
      <c r="I2264" s="6">
        <f t="shared" si="142"/>
        <v>55.000000000000007</v>
      </c>
      <c r="J2264" t="str">
        <f t="shared" si="143"/>
        <v>OK</v>
      </c>
    </row>
    <row r="2265" spans="1:10" x14ac:dyDescent="0.2">
      <c r="A2265">
        <v>12264</v>
      </c>
      <c r="B2265" t="s">
        <v>10</v>
      </c>
      <c r="C2265" t="s">
        <v>11</v>
      </c>
      <c r="D2265" s="8">
        <v>2.0299999999999998</v>
      </c>
      <c r="E2265">
        <v>10</v>
      </c>
      <c r="F2265" t="str">
        <f t="shared" si="140"/>
        <v>Premium</v>
      </c>
      <c r="G2265" s="3" cm="1">
        <f t="array" ref="G2265">_xlfn.XLOOKUP(C2265 &amp; F2265,
         [1]unilever_price_limits!A:A &amp; [1]unilever_price_limits!B:B,
         [1]unilever_price_limits!C:C)</f>
        <v>50</v>
      </c>
      <c r="H2265" s="8">
        <f t="shared" si="141"/>
        <v>3.0449999999999999</v>
      </c>
      <c r="I2265" s="6">
        <f t="shared" si="142"/>
        <v>50</v>
      </c>
      <c r="J2265" t="str">
        <f t="shared" si="143"/>
        <v>OK</v>
      </c>
    </row>
    <row r="2266" spans="1:10" x14ac:dyDescent="0.2">
      <c r="A2266">
        <v>12265</v>
      </c>
      <c r="B2266" t="s">
        <v>10</v>
      </c>
      <c r="C2266" t="s">
        <v>9</v>
      </c>
      <c r="D2266" s="8">
        <v>10.4</v>
      </c>
      <c r="E2266">
        <v>1</v>
      </c>
      <c r="F2266" t="str">
        <f t="shared" si="140"/>
        <v>Value</v>
      </c>
      <c r="G2266" s="3" cm="1">
        <f t="array" ref="G2266">_xlfn.XLOOKUP(C2266 &amp; F2266,
         [1]unilever_price_limits!A:A &amp; [1]unilever_price_limits!B:B,
         [1]unilever_price_limits!C:C)</f>
        <v>15</v>
      </c>
      <c r="H2266" s="8">
        <f t="shared" si="141"/>
        <v>11.959999999999999</v>
      </c>
      <c r="I2266" s="6">
        <f t="shared" si="142"/>
        <v>14.999999999999991</v>
      </c>
      <c r="J2266" t="str">
        <f t="shared" si="143"/>
        <v>OK</v>
      </c>
    </row>
    <row r="2267" spans="1:10" x14ac:dyDescent="0.2">
      <c r="A2267">
        <v>12266</v>
      </c>
      <c r="B2267" t="s">
        <v>8</v>
      </c>
      <c r="C2267" t="s">
        <v>6</v>
      </c>
      <c r="D2267" s="8">
        <v>10.08</v>
      </c>
      <c r="E2267">
        <v>8</v>
      </c>
      <c r="F2267" t="str">
        <f t="shared" si="140"/>
        <v>Premium</v>
      </c>
      <c r="G2267" s="3" cm="1">
        <f t="array" ref="G2267">_xlfn.XLOOKUP(C2267 &amp; F2267,
         [1]unilever_price_limits!A:A &amp; [1]unilever_price_limits!B:B,
         [1]unilever_price_limits!C:C)</f>
        <v>55</v>
      </c>
      <c r="H2267" s="8">
        <f t="shared" si="141"/>
        <v>15.624000000000001</v>
      </c>
      <c r="I2267" s="6">
        <f t="shared" si="142"/>
        <v>55.000000000000007</v>
      </c>
      <c r="J2267" t="str">
        <f t="shared" si="143"/>
        <v>OK</v>
      </c>
    </row>
    <row r="2268" spans="1:10" x14ac:dyDescent="0.2">
      <c r="A2268">
        <v>12267</v>
      </c>
      <c r="B2268" t="s">
        <v>7</v>
      </c>
      <c r="C2268" t="s">
        <v>11</v>
      </c>
      <c r="D2268" s="8">
        <v>14.28</v>
      </c>
      <c r="E2268">
        <v>6</v>
      </c>
      <c r="F2268" t="str">
        <f t="shared" si="140"/>
        <v>Standard</v>
      </c>
      <c r="G2268" s="3" cm="1">
        <f t="array" ref="G2268">_xlfn.XLOOKUP(C2268 &amp; F2268,
         [1]unilever_price_limits!A:A &amp; [1]unilever_price_limits!B:B,
         [1]unilever_price_limits!C:C)</f>
        <v>25</v>
      </c>
      <c r="H2268" s="8">
        <f t="shared" si="141"/>
        <v>17.849999999999998</v>
      </c>
      <c r="I2268" s="6">
        <f t="shared" si="142"/>
        <v>25</v>
      </c>
      <c r="J2268" t="str">
        <f t="shared" si="143"/>
        <v>OK</v>
      </c>
    </row>
    <row r="2269" spans="1:10" x14ac:dyDescent="0.2">
      <c r="A2269">
        <v>12268</v>
      </c>
      <c r="B2269" t="s">
        <v>7</v>
      </c>
      <c r="C2269" t="s">
        <v>11</v>
      </c>
      <c r="D2269" s="8">
        <v>11.08</v>
      </c>
      <c r="E2269">
        <v>1</v>
      </c>
      <c r="F2269" t="str">
        <f t="shared" si="140"/>
        <v>Value</v>
      </c>
      <c r="G2269" s="3" cm="1">
        <f t="array" ref="G2269">_xlfn.XLOOKUP(C2269 &amp; F2269,
         [1]unilever_price_limits!A:A &amp; [1]unilever_price_limits!B:B,
         [1]unilever_price_limits!C:C)</f>
        <v>10</v>
      </c>
      <c r="H2269" s="8">
        <f t="shared" si="141"/>
        <v>12.188000000000001</v>
      </c>
      <c r="I2269" s="6">
        <f t="shared" si="142"/>
        <v>10.000000000000009</v>
      </c>
      <c r="J2269" t="str">
        <f t="shared" si="143"/>
        <v>OK</v>
      </c>
    </row>
    <row r="2270" spans="1:10" x14ac:dyDescent="0.2">
      <c r="A2270">
        <v>12269</v>
      </c>
      <c r="B2270" t="s">
        <v>8</v>
      </c>
      <c r="C2270" t="s">
        <v>9</v>
      </c>
      <c r="D2270" s="8">
        <v>1.25</v>
      </c>
      <c r="E2270">
        <v>4</v>
      </c>
      <c r="F2270" t="str">
        <f t="shared" si="140"/>
        <v>Standard</v>
      </c>
      <c r="G2270" s="3" cm="1">
        <f t="array" ref="G2270">_xlfn.XLOOKUP(C2270 &amp; F2270,
         [1]unilever_price_limits!A:A &amp; [1]unilever_price_limits!B:B,
         [1]unilever_price_limits!C:C)</f>
        <v>30</v>
      </c>
      <c r="H2270" s="8">
        <f t="shared" si="141"/>
        <v>1.625</v>
      </c>
      <c r="I2270" s="6">
        <f t="shared" si="142"/>
        <v>30.000000000000004</v>
      </c>
      <c r="J2270" t="str">
        <f t="shared" si="143"/>
        <v>OK</v>
      </c>
    </row>
    <row r="2271" spans="1:10" x14ac:dyDescent="0.2">
      <c r="A2271">
        <v>12270</v>
      </c>
      <c r="B2271" t="s">
        <v>7</v>
      </c>
      <c r="C2271" t="s">
        <v>11</v>
      </c>
      <c r="D2271" s="8">
        <v>13.32</v>
      </c>
      <c r="E2271">
        <v>5</v>
      </c>
      <c r="F2271" t="str">
        <f t="shared" si="140"/>
        <v>Standard</v>
      </c>
      <c r="G2271" s="3" cm="1">
        <f t="array" ref="G2271">_xlfn.XLOOKUP(C2271 &amp; F2271,
         [1]unilever_price_limits!A:A &amp; [1]unilever_price_limits!B:B,
         [1]unilever_price_limits!C:C)</f>
        <v>25</v>
      </c>
      <c r="H2271" s="8">
        <f t="shared" si="141"/>
        <v>16.649999999999999</v>
      </c>
      <c r="I2271" s="6">
        <f t="shared" si="142"/>
        <v>24.999999999999979</v>
      </c>
      <c r="J2271" t="str">
        <f t="shared" si="143"/>
        <v>OK</v>
      </c>
    </row>
    <row r="2272" spans="1:10" x14ac:dyDescent="0.2">
      <c r="A2272">
        <v>12271</v>
      </c>
      <c r="B2272" t="s">
        <v>8</v>
      </c>
      <c r="C2272" t="s">
        <v>6</v>
      </c>
      <c r="D2272" s="8">
        <v>13.01</v>
      </c>
      <c r="E2272">
        <v>7</v>
      </c>
      <c r="F2272" t="str">
        <f t="shared" si="140"/>
        <v>Standard</v>
      </c>
      <c r="G2272" s="3" cm="1">
        <f t="array" ref="G2272">_xlfn.XLOOKUP(C2272 &amp; F2272,
         [1]unilever_price_limits!A:A &amp; [1]unilever_price_limits!B:B,
         [1]unilever_price_limits!C:C)</f>
        <v>28</v>
      </c>
      <c r="H2272" s="8">
        <f t="shared" si="141"/>
        <v>16.652799999999999</v>
      </c>
      <c r="I2272" s="6">
        <f t="shared" si="142"/>
        <v>28.000000000000004</v>
      </c>
      <c r="J2272" t="str">
        <f t="shared" si="143"/>
        <v>OK</v>
      </c>
    </row>
    <row r="2273" spans="1:10" x14ac:dyDescent="0.2">
      <c r="A2273">
        <v>12272</v>
      </c>
      <c r="B2273" t="s">
        <v>8</v>
      </c>
      <c r="C2273" t="s">
        <v>9</v>
      </c>
      <c r="D2273" s="8">
        <v>6.93</v>
      </c>
      <c r="E2273">
        <v>8</v>
      </c>
      <c r="F2273" t="str">
        <f t="shared" si="140"/>
        <v>Premium</v>
      </c>
      <c r="G2273" s="3" cm="1">
        <f t="array" ref="G2273">_xlfn.XLOOKUP(C2273 &amp; F2273,
         [1]unilever_price_limits!A:A &amp; [1]unilever_price_limits!B:B,
         [1]unilever_price_limits!C:C)</f>
        <v>60</v>
      </c>
      <c r="H2273" s="8">
        <f t="shared" si="141"/>
        <v>11.088000000000001</v>
      </c>
      <c r="I2273" s="6">
        <f t="shared" si="142"/>
        <v>60.000000000000028</v>
      </c>
      <c r="J2273" t="str">
        <f t="shared" si="143"/>
        <v>OK</v>
      </c>
    </row>
    <row r="2274" spans="1:10" x14ac:dyDescent="0.2">
      <c r="A2274">
        <v>12273</v>
      </c>
      <c r="B2274" t="s">
        <v>8</v>
      </c>
      <c r="C2274" t="s">
        <v>6</v>
      </c>
      <c r="D2274" s="8">
        <v>9</v>
      </c>
      <c r="E2274">
        <v>9</v>
      </c>
      <c r="F2274" t="str">
        <f t="shared" si="140"/>
        <v>Premium</v>
      </c>
      <c r="G2274" s="3" cm="1">
        <f t="array" ref="G2274">_xlfn.XLOOKUP(C2274 &amp; F2274,
         [1]unilever_price_limits!A:A &amp; [1]unilever_price_limits!B:B,
         [1]unilever_price_limits!C:C)</f>
        <v>55</v>
      </c>
      <c r="H2274" s="8">
        <f t="shared" si="141"/>
        <v>13.950000000000001</v>
      </c>
      <c r="I2274" s="6">
        <f t="shared" si="142"/>
        <v>55.000000000000007</v>
      </c>
      <c r="J2274" t="str">
        <f t="shared" si="143"/>
        <v>OK</v>
      </c>
    </row>
    <row r="2275" spans="1:10" x14ac:dyDescent="0.2">
      <c r="A2275">
        <v>12274</v>
      </c>
      <c r="B2275" t="s">
        <v>10</v>
      </c>
      <c r="C2275" t="s">
        <v>6</v>
      </c>
      <c r="D2275" s="8">
        <v>14.65</v>
      </c>
      <c r="E2275">
        <v>6</v>
      </c>
      <c r="F2275" t="str">
        <f t="shared" si="140"/>
        <v>Standard</v>
      </c>
      <c r="G2275" s="3" cm="1">
        <f t="array" ref="G2275">_xlfn.XLOOKUP(C2275 &amp; F2275,
         [1]unilever_price_limits!A:A &amp; [1]unilever_price_limits!B:B,
         [1]unilever_price_limits!C:C)</f>
        <v>28</v>
      </c>
      <c r="H2275" s="8">
        <f t="shared" si="141"/>
        <v>18.752000000000002</v>
      </c>
      <c r="I2275" s="6">
        <f t="shared" si="142"/>
        <v>28.000000000000004</v>
      </c>
      <c r="J2275" t="str">
        <f t="shared" si="143"/>
        <v>OK</v>
      </c>
    </row>
    <row r="2276" spans="1:10" x14ac:dyDescent="0.2">
      <c r="A2276">
        <v>12275</v>
      </c>
      <c r="B2276" t="s">
        <v>7</v>
      </c>
      <c r="C2276" t="s">
        <v>6</v>
      </c>
      <c r="D2276" s="8">
        <v>8.2200000000000006</v>
      </c>
      <c r="E2276">
        <v>10</v>
      </c>
      <c r="F2276" t="str">
        <f t="shared" si="140"/>
        <v>Premium</v>
      </c>
      <c r="G2276" s="3" cm="1">
        <f t="array" ref="G2276">_xlfn.XLOOKUP(C2276 &amp; F2276,
         [1]unilever_price_limits!A:A &amp; [1]unilever_price_limits!B:B,
         [1]unilever_price_limits!C:C)</f>
        <v>55</v>
      </c>
      <c r="H2276" s="8">
        <f t="shared" si="141"/>
        <v>12.741000000000001</v>
      </c>
      <c r="I2276" s="6">
        <f t="shared" si="142"/>
        <v>55.000000000000007</v>
      </c>
      <c r="J2276" t="str">
        <f t="shared" si="143"/>
        <v>OK</v>
      </c>
    </row>
    <row r="2277" spans="1:10" x14ac:dyDescent="0.2">
      <c r="A2277">
        <v>12276</v>
      </c>
      <c r="B2277" t="s">
        <v>8</v>
      </c>
      <c r="C2277" t="s">
        <v>11</v>
      </c>
      <c r="D2277" s="8">
        <v>13.63</v>
      </c>
      <c r="E2277">
        <v>9</v>
      </c>
      <c r="F2277" t="str">
        <f t="shared" si="140"/>
        <v>Premium</v>
      </c>
      <c r="G2277" s="3" cm="1">
        <f t="array" ref="G2277">_xlfn.XLOOKUP(C2277 &amp; F2277,
         [1]unilever_price_limits!A:A &amp; [1]unilever_price_limits!B:B,
         [1]unilever_price_limits!C:C)</f>
        <v>50</v>
      </c>
      <c r="H2277" s="8">
        <f t="shared" si="141"/>
        <v>20.445</v>
      </c>
      <c r="I2277" s="6">
        <f t="shared" si="142"/>
        <v>50</v>
      </c>
      <c r="J2277" t="str">
        <f t="shared" si="143"/>
        <v>OK</v>
      </c>
    </row>
    <row r="2278" spans="1:10" x14ac:dyDescent="0.2">
      <c r="A2278">
        <v>12277</v>
      </c>
      <c r="B2278" t="s">
        <v>7</v>
      </c>
      <c r="C2278" t="s">
        <v>11</v>
      </c>
      <c r="D2278" s="8">
        <v>1.7</v>
      </c>
      <c r="E2278">
        <v>4</v>
      </c>
      <c r="F2278" t="str">
        <f t="shared" si="140"/>
        <v>Standard</v>
      </c>
      <c r="G2278" s="3" cm="1">
        <f t="array" ref="G2278">_xlfn.XLOOKUP(C2278 &amp; F2278,
         [1]unilever_price_limits!A:A &amp; [1]unilever_price_limits!B:B,
         [1]unilever_price_limits!C:C)</f>
        <v>25</v>
      </c>
      <c r="H2278" s="8">
        <f t="shared" si="141"/>
        <v>2.125</v>
      </c>
      <c r="I2278" s="6">
        <f t="shared" si="142"/>
        <v>25</v>
      </c>
      <c r="J2278" t="str">
        <f t="shared" si="143"/>
        <v>OK</v>
      </c>
    </row>
    <row r="2279" spans="1:10" x14ac:dyDescent="0.2">
      <c r="A2279">
        <v>12278</v>
      </c>
      <c r="B2279" t="s">
        <v>10</v>
      </c>
      <c r="C2279" t="s">
        <v>6</v>
      </c>
      <c r="D2279" s="8">
        <v>3.27</v>
      </c>
      <c r="E2279">
        <v>8</v>
      </c>
      <c r="F2279" t="str">
        <f t="shared" si="140"/>
        <v>Premium</v>
      </c>
      <c r="G2279" s="3" cm="1">
        <f t="array" ref="G2279">_xlfn.XLOOKUP(C2279 &amp; F2279,
         [1]unilever_price_limits!A:A &amp; [1]unilever_price_limits!B:B,
         [1]unilever_price_limits!C:C)</f>
        <v>55</v>
      </c>
      <c r="H2279" s="8">
        <f t="shared" si="141"/>
        <v>5.0685000000000002</v>
      </c>
      <c r="I2279" s="6">
        <f t="shared" si="142"/>
        <v>55.000000000000007</v>
      </c>
      <c r="J2279" t="str">
        <f t="shared" si="143"/>
        <v>OK</v>
      </c>
    </row>
    <row r="2280" spans="1:10" x14ac:dyDescent="0.2">
      <c r="A2280">
        <v>12279</v>
      </c>
      <c r="B2280" t="s">
        <v>8</v>
      </c>
      <c r="C2280" t="s">
        <v>6</v>
      </c>
      <c r="D2280" s="8">
        <v>6.89</v>
      </c>
      <c r="E2280">
        <v>3</v>
      </c>
      <c r="F2280" t="str">
        <f t="shared" si="140"/>
        <v>Value</v>
      </c>
      <c r="G2280" s="3" cm="1">
        <f t="array" ref="G2280">_xlfn.XLOOKUP(C2280 &amp; F2280,
         [1]unilever_price_limits!A:A &amp; [1]unilever_price_limits!B:B,
         [1]unilever_price_limits!C:C)</f>
        <v>12</v>
      </c>
      <c r="H2280" s="8">
        <f t="shared" si="141"/>
        <v>7.7168000000000001</v>
      </c>
      <c r="I2280" s="6">
        <f t="shared" si="142"/>
        <v>12.000000000000011</v>
      </c>
      <c r="J2280" t="str">
        <f t="shared" si="143"/>
        <v>OK</v>
      </c>
    </row>
    <row r="2281" spans="1:10" x14ac:dyDescent="0.2">
      <c r="A2281">
        <v>12280</v>
      </c>
      <c r="B2281" t="s">
        <v>5</v>
      </c>
      <c r="C2281" t="s">
        <v>9</v>
      </c>
      <c r="D2281" s="8">
        <v>8.98</v>
      </c>
      <c r="E2281">
        <v>4</v>
      </c>
      <c r="F2281" t="str">
        <f t="shared" si="140"/>
        <v>Standard</v>
      </c>
      <c r="G2281" s="3" cm="1">
        <f t="array" ref="G2281">_xlfn.XLOOKUP(C2281 &amp; F2281,
         [1]unilever_price_limits!A:A &amp; [1]unilever_price_limits!B:B,
         [1]unilever_price_limits!C:C)</f>
        <v>30</v>
      </c>
      <c r="H2281" s="8">
        <f t="shared" si="141"/>
        <v>11.674000000000001</v>
      </c>
      <c r="I2281" s="6">
        <f t="shared" si="142"/>
        <v>30.000000000000004</v>
      </c>
      <c r="J2281" t="str">
        <f t="shared" si="143"/>
        <v>OK</v>
      </c>
    </row>
    <row r="2282" spans="1:10" x14ac:dyDescent="0.2">
      <c r="A2282">
        <v>12281</v>
      </c>
      <c r="B2282" t="s">
        <v>10</v>
      </c>
      <c r="C2282" t="s">
        <v>9</v>
      </c>
      <c r="D2282" s="8">
        <v>12.34</v>
      </c>
      <c r="E2282">
        <v>10</v>
      </c>
      <c r="F2282" t="str">
        <f t="shared" si="140"/>
        <v>Premium</v>
      </c>
      <c r="G2282" s="3" cm="1">
        <f t="array" ref="G2282">_xlfn.XLOOKUP(C2282 &amp; F2282,
         [1]unilever_price_limits!A:A &amp; [1]unilever_price_limits!B:B,
         [1]unilever_price_limits!C:C)</f>
        <v>60</v>
      </c>
      <c r="H2282" s="8">
        <f t="shared" si="141"/>
        <v>19.744</v>
      </c>
      <c r="I2282" s="6">
        <f t="shared" si="142"/>
        <v>60.000000000000007</v>
      </c>
      <c r="J2282" t="str">
        <f t="shared" si="143"/>
        <v>OK</v>
      </c>
    </row>
    <row r="2283" spans="1:10" x14ac:dyDescent="0.2">
      <c r="A2283">
        <v>12282</v>
      </c>
      <c r="B2283" t="s">
        <v>5</v>
      </c>
      <c r="C2283" t="s">
        <v>11</v>
      </c>
      <c r="D2283" s="8">
        <v>14.83</v>
      </c>
      <c r="E2283">
        <v>4</v>
      </c>
      <c r="F2283" t="str">
        <f t="shared" si="140"/>
        <v>Standard</v>
      </c>
      <c r="G2283" s="3" cm="1">
        <f t="array" ref="G2283">_xlfn.XLOOKUP(C2283 &amp; F2283,
         [1]unilever_price_limits!A:A &amp; [1]unilever_price_limits!B:B,
         [1]unilever_price_limits!C:C)</f>
        <v>25</v>
      </c>
      <c r="H2283" s="8">
        <f t="shared" si="141"/>
        <v>18.537500000000001</v>
      </c>
      <c r="I2283" s="6">
        <f t="shared" si="142"/>
        <v>25</v>
      </c>
      <c r="J2283" t="str">
        <f t="shared" si="143"/>
        <v>OK</v>
      </c>
    </row>
    <row r="2284" spans="1:10" x14ac:dyDescent="0.2">
      <c r="A2284">
        <v>12283</v>
      </c>
      <c r="B2284" t="s">
        <v>7</v>
      </c>
      <c r="C2284" t="s">
        <v>11</v>
      </c>
      <c r="D2284" s="8">
        <v>6.14</v>
      </c>
      <c r="E2284">
        <v>6</v>
      </c>
      <c r="F2284" t="str">
        <f t="shared" si="140"/>
        <v>Standard</v>
      </c>
      <c r="G2284" s="3" cm="1">
        <f t="array" ref="G2284">_xlfn.XLOOKUP(C2284 &amp; F2284,
         [1]unilever_price_limits!A:A &amp; [1]unilever_price_limits!B:B,
         [1]unilever_price_limits!C:C)</f>
        <v>25</v>
      </c>
      <c r="H2284" s="8">
        <f t="shared" si="141"/>
        <v>7.6749999999999998</v>
      </c>
      <c r="I2284" s="6">
        <f t="shared" si="142"/>
        <v>25</v>
      </c>
      <c r="J2284" t="str">
        <f t="shared" si="143"/>
        <v>OK</v>
      </c>
    </row>
    <row r="2285" spans="1:10" x14ac:dyDescent="0.2">
      <c r="A2285">
        <v>12284</v>
      </c>
      <c r="B2285" t="s">
        <v>7</v>
      </c>
      <c r="C2285" t="s">
        <v>9</v>
      </c>
      <c r="D2285" s="8">
        <v>1.19</v>
      </c>
      <c r="E2285">
        <v>9</v>
      </c>
      <c r="F2285" t="str">
        <f t="shared" si="140"/>
        <v>Premium</v>
      </c>
      <c r="G2285" s="3" cm="1">
        <f t="array" ref="G2285">_xlfn.XLOOKUP(C2285 &amp; F2285,
         [1]unilever_price_limits!A:A &amp; [1]unilever_price_limits!B:B,
         [1]unilever_price_limits!C:C)</f>
        <v>60</v>
      </c>
      <c r="H2285" s="8">
        <f t="shared" si="141"/>
        <v>1.9039999999999999</v>
      </c>
      <c r="I2285" s="6">
        <f t="shared" si="142"/>
        <v>60.000000000000007</v>
      </c>
      <c r="J2285" t="str">
        <f t="shared" si="143"/>
        <v>OK</v>
      </c>
    </row>
    <row r="2286" spans="1:10" x14ac:dyDescent="0.2">
      <c r="A2286">
        <v>12285</v>
      </c>
      <c r="B2286" t="s">
        <v>10</v>
      </c>
      <c r="C2286" t="s">
        <v>6</v>
      </c>
      <c r="D2286" s="8">
        <v>12.12</v>
      </c>
      <c r="E2286">
        <v>6</v>
      </c>
      <c r="F2286" t="str">
        <f t="shared" si="140"/>
        <v>Standard</v>
      </c>
      <c r="G2286" s="3" cm="1">
        <f t="array" ref="G2286">_xlfn.XLOOKUP(C2286 &amp; F2286,
         [1]unilever_price_limits!A:A &amp; [1]unilever_price_limits!B:B,
         [1]unilever_price_limits!C:C)</f>
        <v>28</v>
      </c>
      <c r="H2286" s="8">
        <f t="shared" si="141"/>
        <v>15.513599999999999</v>
      </c>
      <c r="I2286" s="6">
        <f t="shared" si="142"/>
        <v>28.000000000000004</v>
      </c>
      <c r="J2286" t="str">
        <f t="shared" si="143"/>
        <v>OK</v>
      </c>
    </row>
    <row r="2287" spans="1:10" x14ac:dyDescent="0.2">
      <c r="A2287">
        <v>12286</v>
      </c>
      <c r="B2287" t="s">
        <v>7</v>
      </c>
      <c r="C2287" t="s">
        <v>11</v>
      </c>
      <c r="D2287" s="8">
        <v>9.26</v>
      </c>
      <c r="E2287">
        <v>1</v>
      </c>
      <c r="F2287" t="str">
        <f t="shared" si="140"/>
        <v>Value</v>
      </c>
      <c r="G2287" s="3" cm="1">
        <f t="array" ref="G2287">_xlfn.XLOOKUP(C2287 &amp; F2287,
         [1]unilever_price_limits!A:A &amp; [1]unilever_price_limits!B:B,
         [1]unilever_price_limits!C:C)</f>
        <v>10</v>
      </c>
      <c r="H2287" s="8">
        <f t="shared" si="141"/>
        <v>10.186</v>
      </c>
      <c r="I2287" s="6">
        <f t="shared" si="142"/>
        <v>10.000000000000009</v>
      </c>
      <c r="J2287" t="str">
        <f t="shared" si="143"/>
        <v>OK</v>
      </c>
    </row>
    <row r="2288" spans="1:10" x14ac:dyDescent="0.2">
      <c r="A2288">
        <v>12287</v>
      </c>
      <c r="B2288" t="s">
        <v>5</v>
      </c>
      <c r="C2288" t="s">
        <v>6</v>
      </c>
      <c r="D2288" s="8">
        <v>3.38</v>
      </c>
      <c r="E2288">
        <v>5</v>
      </c>
      <c r="F2288" t="str">
        <f t="shared" si="140"/>
        <v>Standard</v>
      </c>
      <c r="G2288" s="3" cm="1">
        <f t="array" ref="G2288">_xlfn.XLOOKUP(C2288 &amp; F2288,
         [1]unilever_price_limits!A:A &amp; [1]unilever_price_limits!B:B,
         [1]unilever_price_limits!C:C)</f>
        <v>28</v>
      </c>
      <c r="H2288" s="8">
        <f t="shared" si="141"/>
        <v>4.3263999999999996</v>
      </c>
      <c r="I2288" s="6">
        <f t="shared" si="142"/>
        <v>28.000000000000004</v>
      </c>
      <c r="J2288" t="str">
        <f t="shared" si="143"/>
        <v>OK</v>
      </c>
    </row>
    <row r="2289" spans="1:10" x14ac:dyDescent="0.2">
      <c r="A2289">
        <v>12288</v>
      </c>
      <c r="B2289" t="s">
        <v>8</v>
      </c>
      <c r="C2289" t="s">
        <v>9</v>
      </c>
      <c r="D2289" s="8">
        <v>7.68</v>
      </c>
      <c r="E2289">
        <v>9</v>
      </c>
      <c r="F2289" t="str">
        <f t="shared" si="140"/>
        <v>Premium</v>
      </c>
      <c r="G2289" s="3" cm="1">
        <f t="array" ref="G2289">_xlfn.XLOOKUP(C2289 &amp; F2289,
         [1]unilever_price_limits!A:A &amp; [1]unilever_price_limits!B:B,
         [1]unilever_price_limits!C:C)</f>
        <v>60</v>
      </c>
      <c r="H2289" s="8">
        <f t="shared" si="141"/>
        <v>12.288</v>
      </c>
      <c r="I2289" s="6">
        <f t="shared" si="142"/>
        <v>60.000000000000007</v>
      </c>
      <c r="J2289" t="str">
        <f t="shared" si="143"/>
        <v>OK</v>
      </c>
    </row>
    <row r="2290" spans="1:10" x14ac:dyDescent="0.2">
      <c r="A2290">
        <v>12289</v>
      </c>
      <c r="B2290" t="s">
        <v>8</v>
      </c>
      <c r="C2290" t="s">
        <v>11</v>
      </c>
      <c r="D2290" s="8">
        <v>11.26</v>
      </c>
      <c r="E2290">
        <v>5</v>
      </c>
      <c r="F2290" t="str">
        <f t="shared" si="140"/>
        <v>Standard</v>
      </c>
      <c r="G2290" s="3" cm="1">
        <f t="array" ref="G2290">_xlfn.XLOOKUP(C2290 &amp; F2290,
         [1]unilever_price_limits!A:A &amp; [1]unilever_price_limits!B:B,
         [1]unilever_price_limits!C:C)</f>
        <v>25</v>
      </c>
      <c r="H2290" s="8">
        <f t="shared" si="141"/>
        <v>14.074999999999999</v>
      </c>
      <c r="I2290" s="6">
        <f t="shared" si="142"/>
        <v>25</v>
      </c>
      <c r="J2290" t="str">
        <f t="shared" si="143"/>
        <v>OK</v>
      </c>
    </row>
    <row r="2291" spans="1:10" x14ac:dyDescent="0.2">
      <c r="A2291">
        <v>12290</v>
      </c>
      <c r="B2291" t="s">
        <v>8</v>
      </c>
      <c r="C2291" t="s">
        <v>11</v>
      </c>
      <c r="D2291" s="8">
        <v>11.67</v>
      </c>
      <c r="E2291">
        <v>6</v>
      </c>
      <c r="F2291" t="str">
        <f t="shared" si="140"/>
        <v>Standard</v>
      </c>
      <c r="G2291" s="3" cm="1">
        <f t="array" ref="G2291">_xlfn.XLOOKUP(C2291 &amp; F2291,
         [1]unilever_price_limits!A:A &amp; [1]unilever_price_limits!B:B,
         [1]unilever_price_limits!C:C)</f>
        <v>25</v>
      </c>
      <c r="H2291" s="8">
        <f t="shared" si="141"/>
        <v>14.5875</v>
      </c>
      <c r="I2291" s="6">
        <f t="shared" si="142"/>
        <v>25</v>
      </c>
      <c r="J2291" t="str">
        <f t="shared" si="143"/>
        <v>OK</v>
      </c>
    </row>
    <row r="2292" spans="1:10" x14ac:dyDescent="0.2">
      <c r="A2292">
        <v>12291</v>
      </c>
      <c r="B2292" t="s">
        <v>10</v>
      </c>
      <c r="C2292" t="s">
        <v>9</v>
      </c>
      <c r="D2292" s="8">
        <v>7.74</v>
      </c>
      <c r="E2292">
        <v>3</v>
      </c>
      <c r="F2292" t="str">
        <f t="shared" si="140"/>
        <v>Value</v>
      </c>
      <c r="G2292" s="3" cm="1">
        <f t="array" ref="G2292">_xlfn.XLOOKUP(C2292 &amp; F2292,
         [1]unilever_price_limits!A:A &amp; [1]unilever_price_limits!B:B,
         [1]unilever_price_limits!C:C)</f>
        <v>15</v>
      </c>
      <c r="H2292" s="8">
        <f t="shared" si="141"/>
        <v>8.9009999999999998</v>
      </c>
      <c r="I2292" s="6">
        <f t="shared" si="142"/>
        <v>14.999999999999991</v>
      </c>
      <c r="J2292" t="str">
        <f t="shared" si="143"/>
        <v>OK</v>
      </c>
    </row>
    <row r="2293" spans="1:10" x14ac:dyDescent="0.2">
      <c r="A2293">
        <v>12292</v>
      </c>
      <c r="B2293" t="s">
        <v>7</v>
      </c>
      <c r="C2293" t="s">
        <v>11</v>
      </c>
      <c r="D2293" s="8">
        <v>4.93</v>
      </c>
      <c r="E2293">
        <v>8</v>
      </c>
      <c r="F2293" t="str">
        <f t="shared" si="140"/>
        <v>Premium</v>
      </c>
      <c r="G2293" s="3" cm="1">
        <f t="array" ref="G2293">_xlfn.XLOOKUP(C2293 &amp; F2293,
         [1]unilever_price_limits!A:A &amp; [1]unilever_price_limits!B:B,
         [1]unilever_price_limits!C:C)</f>
        <v>50</v>
      </c>
      <c r="H2293" s="8">
        <f t="shared" si="141"/>
        <v>7.3949999999999996</v>
      </c>
      <c r="I2293" s="6">
        <f t="shared" si="142"/>
        <v>50</v>
      </c>
      <c r="J2293" t="str">
        <f t="shared" si="143"/>
        <v>OK</v>
      </c>
    </row>
    <row r="2294" spans="1:10" x14ac:dyDescent="0.2">
      <c r="A2294">
        <v>12293</v>
      </c>
      <c r="B2294" t="s">
        <v>5</v>
      </c>
      <c r="C2294" t="s">
        <v>9</v>
      </c>
      <c r="D2294" s="8">
        <v>14.62</v>
      </c>
      <c r="E2294">
        <v>10</v>
      </c>
      <c r="F2294" t="str">
        <f t="shared" si="140"/>
        <v>Premium</v>
      </c>
      <c r="G2294" s="3" cm="1">
        <f t="array" ref="G2294">_xlfn.XLOOKUP(C2294 &amp; F2294,
         [1]unilever_price_limits!A:A &amp; [1]unilever_price_limits!B:B,
         [1]unilever_price_limits!C:C)</f>
        <v>60</v>
      </c>
      <c r="H2294" s="8">
        <f t="shared" si="141"/>
        <v>23.391999999999999</v>
      </c>
      <c r="I2294" s="6">
        <f t="shared" si="142"/>
        <v>60.000000000000007</v>
      </c>
      <c r="J2294" t="str">
        <f t="shared" si="143"/>
        <v>OK</v>
      </c>
    </row>
    <row r="2295" spans="1:10" x14ac:dyDescent="0.2">
      <c r="A2295">
        <v>12294</v>
      </c>
      <c r="B2295" t="s">
        <v>7</v>
      </c>
      <c r="C2295" t="s">
        <v>11</v>
      </c>
      <c r="D2295" s="8">
        <v>10.119999999999999</v>
      </c>
      <c r="E2295">
        <v>4</v>
      </c>
      <c r="F2295" t="str">
        <f t="shared" si="140"/>
        <v>Standard</v>
      </c>
      <c r="G2295" s="3" cm="1">
        <f t="array" ref="G2295">_xlfn.XLOOKUP(C2295 &amp; F2295,
         [1]unilever_price_limits!A:A &amp; [1]unilever_price_limits!B:B,
         [1]unilever_price_limits!C:C)</f>
        <v>25</v>
      </c>
      <c r="H2295" s="8">
        <f t="shared" si="141"/>
        <v>12.649999999999999</v>
      </c>
      <c r="I2295" s="6">
        <f t="shared" si="142"/>
        <v>25</v>
      </c>
      <c r="J2295" t="str">
        <f t="shared" si="143"/>
        <v>OK</v>
      </c>
    </row>
    <row r="2296" spans="1:10" x14ac:dyDescent="0.2">
      <c r="A2296">
        <v>12295</v>
      </c>
      <c r="B2296" t="s">
        <v>7</v>
      </c>
      <c r="C2296" t="s">
        <v>9</v>
      </c>
      <c r="D2296" s="8">
        <v>6.42</v>
      </c>
      <c r="E2296">
        <v>4</v>
      </c>
      <c r="F2296" t="str">
        <f t="shared" si="140"/>
        <v>Standard</v>
      </c>
      <c r="G2296" s="3" cm="1">
        <f t="array" ref="G2296">_xlfn.XLOOKUP(C2296 &amp; F2296,
         [1]unilever_price_limits!A:A &amp; [1]unilever_price_limits!B:B,
         [1]unilever_price_limits!C:C)</f>
        <v>30</v>
      </c>
      <c r="H2296" s="8">
        <f t="shared" si="141"/>
        <v>8.3460000000000001</v>
      </c>
      <c r="I2296" s="6">
        <f t="shared" si="142"/>
        <v>30.000000000000004</v>
      </c>
      <c r="J2296" t="str">
        <f t="shared" si="143"/>
        <v>OK</v>
      </c>
    </row>
    <row r="2297" spans="1:10" x14ac:dyDescent="0.2">
      <c r="A2297">
        <v>12296</v>
      </c>
      <c r="B2297" t="s">
        <v>7</v>
      </c>
      <c r="C2297" t="s">
        <v>11</v>
      </c>
      <c r="D2297" s="8">
        <v>4.57</v>
      </c>
      <c r="E2297">
        <v>5</v>
      </c>
      <c r="F2297" t="str">
        <f t="shared" si="140"/>
        <v>Standard</v>
      </c>
      <c r="G2297" s="3" cm="1">
        <f t="array" ref="G2297">_xlfn.XLOOKUP(C2297 &amp; F2297,
         [1]unilever_price_limits!A:A &amp; [1]unilever_price_limits!B:B,
         [1]unilever_price_limits!C:C)</f>
        <v>25</v>
      </c>
      <c r="H2297" s="8">
        <f t="shared" si="141"/>
        <v>5.7125000000000004</v>
      </c>
      <c r="I2297" s="6">
        <f t="shared" si="142"/>
        <v>25</v>
      </c>
      <c r="J2297" t="str">
        <f t="shared" si="143"/>
        <v>OK</v>
      </c>
    </row>
    <row r="2298" spans="1:10" x14ac:dyDescent="0.2">
      <c r="A2298">
        <v>12297</v>
      </c>
      <c r="B2298" t="s">
        <v>8</v>
      </c>
      <c r="C2298" t="s">
        <v>6</v>
      </c>
      <c r="D2298" s="8">
        <v>11.1</v>
      </c>
      <c r="E2298">
        <v>10</v>
      </c>
      <c r="F2298" t="str">
        <f t="shared" si="140"/>
        <v>Premium</v>
      </c>
      <c r="G2298" s="3" cm="1">
        <f t="array" ref="G2298">_xlfn.XLOOKUP(C2298 &amp; F2298,
         [1]unilever_price_limits!A:A &amp; [1]unilever_price_limits!B:B,
         [1]unilever_price_limits!C:C)</f>
        <v>55</v>
      </c>
      <c r="H2298" s="8">
        <f t="shared" si="141"/>
        <v>17.204999999999998</v>
      </c>
      <c r="I2298" s="6">
        <f t="shared" si="142"/>
        <v>54.999999999999986</v>
      </c>
      <c r="J2298" t="str">
        <f t="shared" si="143"/>
        <v>OK</v>
      </c>
    </row>
    <row r="2299" spans="1:10" x14ac:dyDescent="0.2">
      <c r="A2299">
        <v>12298</v>
      </c>
      <c r="B2299" t="s">
        <v>5</v>
      </c>
      <c r="C2299" t="s">
        <v>6</v>
      </c>
      <c r="D2299" s="8">
        <v>4.01</v>
      </c>
      <c r="E2299">
        <v>9</v>
      </c>
      <c r="F2299" t="str">
        <f t="shared" si="140"/>
        <v>Premium</v>
      </c>
      <c r="G2299" s="3" cm="1">
        <f t="array" ref="G2299">_xlfn.XLOOKUP(C2299 &amp; F2299,
         [1]unilever_price_limits!A:A &amp; [1]unilever_price_limits!B:B,
         [1]unilever_price_limits!C:C)</f>
        <v>55</v>
      </c>
      <c r="H2299" s="8">
        <f t="shared" si="141"/>
        <v>6.2154999999999996</v>
      </c>
      <c r="I2299" s="6">
        <f t="shared" si="142"/>
        <v>55.000000000000007</v>
      </c>
      <c r="J2299" t="str">
        <f t="shared" si="143"/>
        <v>OK</v>
      </c>
    </row>
    <row r="2300" spans="1:10" x14ac:dyDescent="0.2">
      <c r="A2300">
        <v>12299</v>
      </c>
      <c r="B2300" t="s">
        <v>5</v>
      </c>
      <c r="C2300" t="s">
        <v>6</v>
      </c>
      <c r="D2300" s="8">
        <v>2.99</v>
      </c>
      <c r="E2300">
        <v>8</v>
      </c>
      <c r="F2300" t="str">
        <f t="shared" si="140"/>
        <v>Premium</v>
      </c>
      <c r="G2300" s="3" cm="1">
        <f t="array" ref="G2300">_xlfn.XLOOKUP(C2300 &amp; F2300,
         [1]unilever_price_limits!A:A &amp; [1]unilever_price_limits!B:B,
         [1]unilever_price_limits!C:C)</f>
        <v>55</v>
      </c>
      <c r="H2300" s="8">
        <f t="shared" si="141"/>
        <v>4.6345000000000001</v>
      </c>
      <c r="I2300" s="6">
        <f t="shared" si="142"/>
        <v>54.999999999999986</v>
      </c>
      <c r="J2300" t="str">
        <f t="shared" si="143"/>
        <v>OK</v>
      </c>
    </row>
    <row r="2301" spans="1:10" x14ac:dyDescent="0.2">
      <c r="A2301">
        <v>12300</v>
      </c>
      <c r="B2301" t="s">
        <v>7</v>
      </c>
      <c r="C2301" t="s">
        <v>11</v>
      </c>
      <c r="D2301" s="8">
        <v>8.18</v>
      </c>
      <c r="E2301">
        <v>7</v>
      </c>
      <c r="F2301" t="str">
        <f t="shared" si="140"/>
        <v>Standard</v>
      </c>
      <c r="G2301" s="3" cm="1">
        <f t="array" ref="G2301">_xlfn.XLOOKUP(C2301 &amp; F2301,
         [1]unilever_price_limits!A:A &amp; [1]unilever_price_limits!B:B,
         [1]unilever_price_limits!C:C)</f>
        <v>25</v>
      </c>
      <c r="H2301" s="8">
        <f t="shared" si="141"/>
        <v>10.225</v>
      </c>
      <c r="I2301" s="6">
        <f t="shared" si="142"/>
        <v>25</v>
      </c>
      <c r="J2301" t="str">
        <f t="shared" si="143"/>
        <v>OK</v>
      </c>
    </row>
    <row r="2302" spans="1:10" x14ac:dyDescent="0.2">
      <c r="A2302">
        <v>12301</v>
      </c>
      <c r="B2302" t="s">
        <v>8</v>
      </c>
      <c r="C2302" t="s">
        <v>11</v>
      </c>
      <c r="D2302" s="8">
        <v>4.7</v>
      </c>
      <c r="E2302">
        <v>5</v>
      </c>
      <c r="F2302" t="str">
        <f t="shared" si="140"/>
        <v>Standard</v>
      </c>
      <c r="G2302" s="3" cm="1">
        <f t="array" ref="G2302">_xlfn.XLOOKUP(C2302 &amp; F2302,
         [1]unilever_price_limits!A:A &amp; [1]unilever_price_limits!B:B,
         [1]unilever_price_limits!C:C)</f>
        <v>25</v>
      </c>
      <c r="H2302" s="8">
        <f t="shared" si="141"/>
        <v>5.875</v>
      </c>
      <c r="I2302" s="6">
        <f t="shared" si="142"/>
        <v>25</v>
      </c>
      <c r="J2302" t="str">
        <f t="shared" si="143"/>
        <v>OK</v>
      </c>
    </row>
    <row r="2303" spans="1:10" x14ac:dyDescent="0.2">
      <c r="A2303">
        <v>12302</v>
      </c>
      <c r="B2303" t="s">
        <v>8</v>
      </c>
      <c r="C2303" t="s">
        <v>6</v>
      </c>
      <c r="D2303" s="8">
        <v>9.6199999999999992</v>
      </c>
      <c r="E2303">
        <v>9</v>
      </c>
      <c r="F2303" t="str">
        <f t="shared" si="140"/>
        <v>Premium</v>
      </c>
      <c r="G2303" s="3" cm="1">
        <f t="array" ref="G2303">_xlfn.XLOOKUP(C2303 &amp; F2303,
         [1]unilever_price_limits!A:A &amp; [1]unilever_price_limits!B:B,
         [1]unilever_price_limits!C:C)</f>
        <v>55</v>
      </c>
      <c r="H2303" s="8">
        <f t="shared" si="141"/>
        <v>14.911</v>
      </c>
      <c r="I2303" s="6">
        <f t="shared" si="142"/>
        <v>55.000000000000007</v>
      </c>
      <c r="J2303" t="str">
        <f t="shared" si="143"/>
        <v>OK</v>
      </c>
    </row>
    <row r="2304" spans="1:10" x14ac:dyDescent="0.2">
      <c r="A2304">
        <v>12303</v>
      </c>
      <c r="B2304" t="s">
        <v>5</v>
      </c>
      <c r="C2304" t="s">
        <v>6</v>
      </c>
      <c r="D2304" s="8">
        <v>2.21</v>
      </c>
      <c r="E2304">
        <v>9</v>
      </c>
      <c r="F2304" t="str">
        <f t="shared" si="140"/>
        <v>Premium</v>
      </c>
      <c r="G2304" s="3" cm="1">
        <f t="array" ref="G2304">_xlfn.XLOOKUP(C2304 &amp; F2304,
         [1]unilever_price_limits!A:A &amp; [1]unilever_price_limits!B:B,
         [1]unilever_price_limits!C:C)</f>
        <v>55</v>
      </c>
      <c r="H2304" s="8">
        <f t="shared" si="141"/>
        <v>3.4255</v>
      </c>
      <c r="I2304" s="6">
        <f t="shared" si="142"/>
        <v>55.000000000000007</v>
      </c>
      <c r="J2304" t="str">
        <f t="shared" si="143"/>
        <v>OK</v>
      </c>
    </row>
    <row r="2305" spans="1:10" x14ac:dyDescent="0.2">
      <c r="A2305">
        <v>12304</v>
      </c>
      <c r="B2305" t="s">
        <v>8</v>
      </c>
      <c r="C2305" t="s">
        <v>9</v>
      </c>
      <c r="D2305" s="8">
        <v>10</v>
      </c>
      <c r="E2305">
        <v>10</v>
      </c>
      <c r="F2305" t="str">
        <f t="shared" si="140"/>
        <v>Premium</v>
      </c>
      <c r="G2305" s="3" cm="1">
        <f t="array" ref="G2305">_xlfn.XLOOKUP(C2305 &amp; F2305,
         [1]unilever_price_limits!A:A &amp; [1]unilever_price_limits!B:B,
         [1]unilever_price_limits!C:C)</f>
        <v>60</v>
      </c>
      <c r="H2305" s="8">
        <f t="shared" si="141"/>
        <v>16</v>
      </c>
      <c r="I2305" s="6">
        <f t="shared" si="142"/>
        <v>60.000000000000007</v>
      </c>
      <c r="J2305" t="str">
        <f t="shared" si="143"/>
        <v>OK</v>
      </c>
    </row>
    <row r="2306" spans="1:10" x14ac:dyDescent="0.2">
      <c r="A2306">
        <v>12305</v>
      </c>
      <c r="B2306" t="s">
        <v>8</v>
      </c>
      <c r="C2306" t="s">
        <v>9</v>
      </c>
      <c r="D2306" s="8">
        <v>4.6100000000000003</v>
      </c>
      <c r="E2306">
        <v>10</v>
      </c>
      <c r="F2306" t="str">
        <f t="shared" si="140"/>
        <v>Premium</v>
      </c>
      <c r="G2306" s="3" cm="1">
        <f t="array" ref="G2306">_xlfn.XLOOKUP(C2306 &amp; F2306,
         [1]unilever_price_limits!A:A &amp; [1]unilever_price_limits!B:B,
         [1]unilever_price_limits!C:C)</f>
        <v>60</v>
      </c>
      <c r="H2306" s="8">
        <f t="shared" si="141"/>
        <v>7.3760000000000012</v>
      </c>
      <c r="I2306" s="6">
        <f t="shared" si="142"/>
        <v>60.000000000000007</v>
      </c>
      <c r="J2306" t="str">
        <f t="shared" si="143"/>
        <v>OK</v>
      </c>
    </row>
    <row r="2307" spans="1:10" x14ac:dyDescent="0.2">
      <c r="A2307">
        <v>12306</v>
      </c>
      <c r="B2307" t="s">
        <v>8</v>
      </c>
      <c r="C2307" t="s">
        <v>9</v>
      </c>
      <c r="D2307" s="8">
        <v>0.5</v>
      </c>
      <c r="E2307">
        <v>2</v>
      </c>
      <c r="F2307" t="str">
        <f t="shared" ref="F2307:F2370" si="144">IF(E2307&lt;=3,"Value",
 IF(E2307&lt;=7,"Standard","Premium"))</f>
        <v>Value</v>
      </c>
      <c r="G2307" s="3" cm="1">
        <f t="array" ref="G2307">_xlfn.XLOOKUP(C2307 &amp; F2307,
         [1]unilever_price_limits!A:A &amp; [1]unilever_price_limits!B:B,
         [1]unilever_price_limits!C:C)</f>
        <v>15</v>
      </c>
      <c r="H2307" s="8">
        <f t="shared" ref="H2307:H2370" si="145">D2307 * (1 + G2307/100)</f>
        <v>0.57499999999999996</v>
      </c>
      <c r="I2307" s="6">
        <f t="shared" ref="I2307:I2370" si="146">(H2307 / D2307 - 1) * 100</f>
        <v>14.999999999999991</v>
      </c>
      <c r="J2307" t="str">
        <f t="shared" ref="J2307:J2370" si="147">IF(I2306&gt; G2306, "⚠ Exceeds Limit", "OK")</f>
        <v>OK</v>
      </c>
    </row>
    <row r="2308" spans="1:10" x14ac:dyDescent="0.2">
      <c r="A2308">
        <v>12307</v>
      </c>
      <c r="B2308" t="s">
        <v>10</v>
      </c>
      <c r="C2308" t="s">
        <v>6</v>
      </c>
      <c r="D2308" s="8">
        <v>2.34</v>
      </c>
      <c r="E2308">
        <v>4</v>
      </c>
      <c r="F2308" t="str">
        <f t="shared" si="144"/>
        <v>Standard</v>
      </c>
      <c r="G2308" s="3" cm="1">
        <f t="array" ref="G2308">_xlfn.XLOOKUP(C2308 &amp; F2308,
         [1]unilever_price_limits!A:A &amp; [1]unilever_price_limits!B:B,
         [1]unilever_price_limits!C:C)</f>
        <v>28</v>
      </c>
      <c r="H2308" s="8">
        <f t="shared" si="145"/>
        <v>2.9952000000000001</v>
      </c>
      <c r="I2308" s="6">
        <f t="shared" si="146"/>
        <v>28.000000000000004</v>
      </c>
      <c r="J2308" t="str">
        <f t="shared" si="147"/>
        <v>OK</v>
      </c>
    </row>
    <row r="2309" spans="1:10" x14ac:dyDescent="0.2">
      <c r="A2309">
        <v>12308</v>
      </c>
      <c r="B2309" t="s">
        <v>7</v>
      </c>
      <c r="C2309" t="s">
        <v>6</v>
      </c>
      <c r="D2309" s="8">
        <v>14.04</v>
      </c>
      <c r="E2309">
        <v>8</v>
      </c>
      <c r="F2309" t="str">
        <f t="shared" si="144"/>
        <v>Premium</v>
      </c>
      <c r="G2309" s="3" cm="1">
        <f t="array" ref="G2309">_xlfn.XLOOKUP(C2309 &amp; F2309,
         [1]unilever_price_limits!A:A &amp; [1]unilever_price_limits!B:B,
         [1]unilever_price_limits!C:C)</f>
        <v>55</v>
      </c>
      <c r="H2309" s="8">
        <f t="shared" si="145"/>
        <v>21.762</v>
      </c>
      <c r="I2309" s="6">
        <f t="shared" si="146"/>
        <v>55.000000000000007</v>
      </c>
      <c r="J2309" t="str">
        <f t="shared" si="147"/>
        <v>OK</v>
      </c>
    </row>
    <row r="2310" spans="1:10" x14ac:dyDescent="0.2">
      <c r="A2310">
        <v>12309</v>
      </c>
      <c r="B2310" t="s">
        <v>5</v>
      </c>
      <c r="C2310" t="s">
        <v>6</v>
      </c>
      <c r="D2310" s="8">
        <v>13.08</v>
      </c>
      <c r="E2310">
        <v>1</v>
      </c>
      <c r="F2310" t="str">
        <f t="shared" si="144"/>
        <v>Value</v>
      </c>
      <c r="G2310" s="3" cm="1">
        <f t="array" ref="G2310">_xlfn.XLOOKUP(C2310 &amp; F2310,
         [1]unilever_price_limits!A:A &amp; [1]unilever_price_limits!B:B,
         [1]unilever_price_limits!C:C)</f>
        <v>12</v>
      </c>
      <c r="H2310" s="8">
        <f t="shared" si="145"/>
        <v>14.649600000000001</v>
      </c>
      <c r="I2310" s="6">
        <f t="shared" si="146"/>
        <v>12.000000000000011</v>
      </c>
      <c r="J2310" t="str">
        <f t="shared" si="147"/>
        <v>OK</v>
      </c>
    </row>
    <row r="2311" spans="1:10" x14ac:dyDescent="0.2">
      <c r="A2311">
        <v>12310</v>
      </c>
      <c r="B2311" t="s">
        <v>5</v>
      </c>
      <c r="C2311" t="s">
        <v>9</v>
      </c>
      <c r="D2311" s="8">
        <v>3.89</v>
      </c>
      <c r="E2311">
        <v>5</v>
      </c>
      <c r="F2311" t="str">
        <f t="shared" si="144"/>
        <v>Standard</v>
      </c>
      <c r="G2311" s="3" cm="1">
        <f t="array" ref="G2311">_xlfn.XLOOKUP(C2311 &amp; F2311,
         [1]unilever_price_limits!A:A &amp; [1]unilever_price_limits!B:B,
         [1]unilever_price_limits!C:C)</f>
        <v>30</v>
      </c>
      <c r="H2311" s="8">
        <f t="shared" si="145"/>
        <v>5.0570000000000004</v>
      </c>
      <c r="I2311" s="6">
        <f t="shared" si="146"/>
        <v>30.000000000000004</v>
      </c>
      <c r="J2311" t="str">
        <f t="shared" si="147"/>
        <v>OK</v>
      </c>
    </row>
    <row r="2312" spans="1:10" x14ac:dyDescent="0.2">
      <c r="A2312">
        <v>12311</v>
      </c>
      <c r="B2312" t="s">
        <v>10</v>
      </c>
      <c r="C2312" t="s">
        <v>11</v>
      </c>
      <c r="D2312" s="8">
        <v>11.79</v>
      </c>
      <c r="E2312">
        <v>8</v>
      </c>
      <c r="F2312" t="str">
        <f t="shared" si="144"/>
        <v>Premium</v>
      </c>
      <c r="G2312" s="3" cm="1">
        <f t="array" ref="G2312">_xlfn.XLOOKUP(C2312 &amp; F2312,
         [1]unilever_price_limits!A:A &amp; [1]unilever_price_limits!B:B,
         [1]unilever_price_limits!C:C)</f>
        <v>50</v>
      </c>
      <c r="H2312" s="8">
        <f t="shared" si="145"/>
        <v>17.684999999999999</v>
      </c>
      <c r="I2312" s="6">
        <f t="shared" si="146"/>
        <v>50</v>
      </c>
      <c r="J2312" t="str">
        <f t="shared" si="147"/>
        <v>OK</v>
      </c>
    </row>
    <row r="2313" spans="1:10" x14ac:dyDescent="0.2">
      <c r="A2313">
        <v>12312</v>
      </c>
      <c r="B2313" t="s">
        <v>7</v>
      </c>
      <c r="C2313" t="s">
        <v>6</v>
      </c>
      <c r="D2313" s="8">
        <v>9.32</v>
      </c>
      <c r="E2313">
        <v>2</v>
      </c>
      <c r="F2313" t="str">
        <f t="shared" si="144"/>
        <v>Value</v>
      </c>
      <c r="G2313" s="3" cm="1">
        <f t="array" ref="G2313">_xlfn.XLOOKUP(C2313 &amp; F2313,
         [1]unilever_price_limits!A:A &amp; [1]unilever_price_limits!B:B,
         [1]unilever_price_limits!C:C)</f>
        <v>12</v>
      </c>
      <c r="H2313" s="8">
        <f t="shared" si="145"/>
        <v>10.438400000000001</v>
      </c>
      <c r="I2313" s="6">
        <f t="shared" si="146"/>
        <v>12.000000000000011</v>
      </c>
      <c r="J2313" t="str">
        <f t="shared" si="147"/>
        <v>OK</v>
      </c>
    </row>
    <row r="2314" spans="1:10" x14ac:dyDescent="0.2">
      <c r="A2314">
        <v>12313</v>
      </c>
      <c r="B2314" t="s">
        <v>5</v>
      </c>
      <c r="C2314" t="s">
        <v>11</v>
      </c>
      <c r="D2314" s="8">
        <v>14.58</v>
      </c>
      <c r="E2314">
        <v>2</v>
      </c>
      <c r="F2314" t="str">
        <f t="shared" si="144"/>
        <v>Value</v>
      </c>
      <c r="G2314" s="3" cm="1">
        <f t="array" ref="G2314">_xlfn.XLOOKUP(C2314 &amp; F2314,
         [1]unilever_price_limits!A:A &amp; [1]unilever_price_limits!B:B,
         [1]unilever_price_limits!C:C)</f>
        <v>10</v>
      </c>
      <c r="H2314" s="8">
        <f t="shared" si="145"/>
        <v>16.038</v>
      </c>
      <c r="I2314" s="6">
        <f t="shared" si="146"/>
        <v>10.000000000000009</v>
      </c>
      <c r="J2314" t="str">
        <f t="shared" si="147"/>
        <v>OK</v>
      </c>
    </row>
    <row r="2315" spans="1:10" x14ac:dyDescent="0.2">
      <c r="A2315">
        <v>12314</v>
      </c>
      <c r="B2315" t="s">
        <v>8</v>
      </c>
      <c r="C2315" t="s">
        <v>11</v>
      </c>
      <c r="D2315" s="8">
        <v>5.92</v>
      </c>
      <c r="E2315">
        <v>8</v>
      </c>
      <c r="F2315" t="str">
        <f t="shared" si="144"/>
        <v>Premium</v>
      </c>
      <c r="G2315" s="3" cm="1">
        <f t="array" ref="G2315">_xlfn.XLOOKUP(C2315 &amp; F2315,
         [1]unilever_price_limits!A:A &amp; [1]unilever_price_limits!B:B,
         [1]unilever_price_limits!C:C)</f>
        <v>50</v>
      </c>
      <c r="H2315" s="8">
        <f t="shared" si="145"/>
        <v>8.879999999999999</v>
      </c>
      <c r="I2315" s="6">
        <f t="shared" si="146"/>
        <v>49.999999999999979</v>
      </c>
      <c r="J2315" t="str">
        <f t="shared" si="147"/>
        <v>OK</v>
      </c>
    </row>
    <row r="2316" spans="1:10" x14ac:dyDescent="0.2">
      <c r="A2316">
        <v>12315</v>
      </c>
      <c r="B2316" t="s">
        <v>5</v>
      </c>
      <c r="C2316" t="s">
        <v>11</v>
      </c>
      <c r="D2316" s="8">
        <v>10.38</v>
      </c>
      <c r="E2316">
        <v>10</v>
      </c>
      <c r="F2316" t="str">
        <f t="shared" si="144"/>
        <v>Premium</v>
      </c>
      <c r="G2316" s="3" cm="1">
        <f t="array" ref="G2316">_xlfn.XLOOKUP(C2316 &amp; F2316,
         [1]unilever_price_limits!A:A &amp; [1]unilever_price_limits!B:B,
         [1]unilever_price_limits!C:C)</f>
        <v>50</v>
      </c>
      <c r="H2316" s="8">
        <f t="shared" si="145"/>
        <v>15.57</v>
      </c>
      <c r="I2316" s="6">
        <f t="shared" si="146"/>
        <v>50</v>
      </c>
      <c r="J2316" t="str">
        <f t="shared" si="147"/>
        <v>OK</v>
      </c>
    </row>
    <row r="2317" spans="1:10" x14ac:dyDescent="0.2">
      <c r="A2317">
        <v>12316</v>
      </c>
      <c r="B2317" t="s">
        <v>8</v>
      </c>
      <c r="C2317" t="s">
        <v>9</v>
      </c>
      <c r="D2317" s="8">
        <v>1.42</v>
      </c>
      <c r="E2317">
        <v>9</v>
      </c>
      <c r="F2317" t="str">
        <f t="shared" si="144"/>
        <v>Premium</v>
      </c>
      <c r="G2317" s="3" cm="1">
        <f t="array" ref="G2317">_xlfn.XLOOKUP(C2317 &amp; F2317,
         [1]unilever_price_limits!A:A &amp; [1]unilever_price_limits!B:B,
         [1]unilever_price_limits!C:C)</f>
        <v>60</v>
      </c>
      <c r="H2317" s="8">
        <f t="shared" si="145"/>
        <v>2.2719999999999998</v>
      </c>
      <c r="I2317" s="6">
        <f t="shared" si="146"/>
        <v>59.999999999999986</v>
      </c>
      <c r="J2317" t="str">
        <f t="shared" si="147"/>
        <v>OK</v>
      </c>
    </row>
    <row r="2318" spans="1:10" x14ac:dyDescent="0.2">
      <c r="A2318">
        <v>12317</v>
      </c>
      <c r="B2318" t="s">
        <v>10</v>
      </c>
      <c r="C2318" t="s">
        <v>11</v>
      </c>
      <c r="D2318" s="8">
        <v>6.25</v>
      </c>
      <c r="E2318">
        <v>7</v>
      </c>
      <c r="F2318" t="str">
        <f t="shared" si="144"/>
        <v>Standard</v>
      </c>
      <c r="G2318" s="3" cm="1">
        <f t="array" ref="G2318">_xlfn.XLOOKUP(C2318 &amp; F2318,
         [1]unilever_price_limits!A:A &amp; [1]unilever_price_limits!B:B,
         [1]unilever_price_limits!C:C)</f>
        <v>25</v>
      </c>
      <c r="H2318" s="8">
        <f t="shared" si="145"/>
        <v>7.8125</v>
      </c>
      <c r="I2318" s="6">
        <f t="shared" si="146"/>
        <v>25</v>
      </c>
      <c r="J2318" t="str">
        <f t="shared" si="147"/>
        <v>OK</v>
      </c>
    </row>
    <row r="2319" spans="1:10" x14ac:dyDescent="0.2">
      <c r="A2319">
        <v>12318</v>
      </c>
      <c r="B2319" t="s">
        <v>8</v>
      </c>
      <c r="C2319" t="s">
        <v>6</v>
      </c>
      <c r="D2319" s="8">
        <v>14.48</v>
      </c>
      <c r="E2319">
        <v>8</v>
      </c>
      <c r="F2319" t="str">
        <f t="shared" si="144"/>
        <v>Premium</v>
      </c>
      <c r="G2319" s="3" cm="1">
        <f t="array" ref="G2319">_xlfn.XLOOKUP(C2319 &amp; F2319,
         [1]unilever_price_limits!A:A &amp; [1]unilever_price_limits!B:B,
         [1]unilever_price_limits!C:C)</f>
        <v>55</v>
      </c>
      <c r="H2319" s="8">
        <f t="shared" si="145"/>
        <v>22.444000000000003</v>
      </c>
      <c r="I2319" s="6">
        <f t="shared" si="146"/>
        <v>55.000000000000007</v>
      </c>
      <c r="J2319" t="str">
        <f t="shared" si="147"/>
        <v>OK</v>
      </c>
    </row>
    <row r="2320" spans="1:10" x14ac:dyDescent="0.2">
      <c r="A2320">
        <v>12319</v>
      </c>
      <c r="B2320" t="s">
        <v>5</v>
      </c>
      <c r="C2320" t="s">
        <v>9</v>
      </c>
      <c r="D2320" s="8">
        <v>8.32</v>
      </c>
      <c r="E2320">
        <v>5</v>
      </c>
      <c r="F2320" t="str">
        <f t="shared" si="144"/>
        <v>Standard</v>
      </c>
      <c r="G2320" s="3" cm="1">
        <f t="array" ref="G2320">_xlfn.XLOOKUP(C2320 &amp; F2320,
         [1]unilever_price_limits!A:A &amp; [1]unilever_price_limits!B:B,
         [1]unilever_price_limits!C:C)</f>
        <v>30</v>
      </c>
      <c r="H2320" s="8">
        <f t="shared" si="145"/>
        <v>10.816000000000001</v>
      </c>
      <c r="I2320" s="6">
        <f t="shared" si="146"/>
        <v>30.000000000000004</v>
      </c>
      <c r="J2320" t="str">
        <f t="shared" si="147"/>
        <v>OK</v>
      </c>
    </row>
    <row r="2321" spans="1:10" x14ac:dyDescent="0.2">
      <c r="A2321">
        <v>12320</v>
      </c>
      <c r="B2321" t="s">
        <v>5</v>
      </c>
      <c r="C2321" t="s">
        <v>6</v>
      </c>
      <c r="D2321" s="8">
        <v>4.67</v>
      </c>
      <c r="E2321">
        <v>1</v>
      </c>
      <c r="F2321" t="str">
        <f t="shared" si="144"/>
        <v>Value</v>
      </c>
      <c r="G2321" s="3" cm="1">
        <f t="array" ref="G2321">_xlfn.XLOOKUP(C2321 &amp; F2321,
         [1]unilever_price_limits!A:A &amp; [1]unilever_price_limits!B:B,
         [1]unilever_price_limits!C:C)</f>
        <v>12</v>
      </c>
      <c r="H2321" s="8">
        <f t="shared" si="145"/>
        <v>5.2304000000000004</v>
      </c>
      <c r="I2321" s="6">
        <f t="shared" si="146"/>
        <v>12.000000000000011</v>
      </c>
      <c r="J2321" t="str">
        <f t="shared" si="147"/>
        <v>OK</v>
      </c>
    </row>
    <row r="2322" spans="1:10" x14ac:dyDescent="0.2">
      <c r="A2322">
        <v>12321</v>
      </c>
      <c r="B2322" t="s">
        <v>5</v>
      </c>
      <c r="C2322" t="s">
        <v>6</v>
      </c>
      <c r="D2322" s="8">
        <v>2.2400000000000002</v>
      </c>
      <c r="E2322">
        <v>4</v>
      </c>
      <c r="F2322" t="str">
        <f t="shared" si="144"/>
        <v>Standard</v>
      </c>
      <c r="G2322" s="3" cm="1">
        <f t="array" ref="G2322">_xlfn.XLOOKUP(C2322 &amp; F2322,
         [1]unilever_price_limits!A:A &amp; [1]unilever_price_limits!B:B,
         [1]unilever_price_limits!C:C)</f>
        <v>28</v>
      </c>
      <c r="H2322" s="8">
        <f t="shared" si="145"/>
        <v>2.8672000000000004</v>
      </c>
      <c r="I2322" s="6">
        <f t="shared" si="146"/>
        <v>28.000000000000004</v>
      </c>
      <c r="J2322" t="str">
        <f t="shared" si="147"/>
        <v>OK</v>
      </c>
    </row>
    <row r="2323" spans="1:10" x14ac:dyDescent="0.2">
      <c r="A2323">
        <v>12322</v>
      </c>
      <c r="B2323" t="s">
        <v>10</v>
      </c>
      <c r="C2323" t="s">
        <v>9</v>
      </c>
      <c r="D2323" s="8">
        <v>10.7</v>
      </c>
      <c r="E2323">
        <v>2</v>
      </c>
      <c r="F2323" t="str">
        <f t="shared" si="144"/>
        <v>Value</v>
      </c>
      <c r="G2323" s="3" cm="1">
        <f t="array" ref="G2323">_xlfn.XLOOKUP(C2323 &amp; F2323,
         [1]unilever_price_limits!A:A &amp; [1]unilever_price_limits!B:B,
         [1]unilever_price_limits!C:C)</f>
        <v>15</v>
      </c>
      <c r="H2323" s="8">
        <f t="shared" si="145"/>
        <v>12.304999999999998</v>
      </c>
      <c r="I2323" s="6">
        <f t="shared" si="146"/>
        <v>14.999999999999991</v>
      </c>
      <c r="J2323" t="str">
        <f t="shared" si="147"/>
        <v>OK</v>
      </c>
    </row>
    <row r="2324" spans="1:10" x14ac:dyDescent="0.2">
      <c r="A2324">
        <v>12323</v>
      </c>
      <c r="B2324" t="s">
        <v>10</v>
      </c>
      <c r="C2324" t="s">
        <v>6</v>
      </c>
      <c r="D2324" s="8">
        <v>9.85</v>
      </c>
      <c r="E2324">
        <v>3</v>
      </c>
      <c r="F2324" t="str">
        <f t="shared" si="144"/>
        <v>Value</v>
      </c>
      <c r="G2324" s="3" cm="1">
        <f t="array" ref="G2324">_xlfn.XLOOKUP(C2324 &amp; F2324,
         [1]unilever_price_limits!A:A &amp; [1]unilever_price_limits!B:B,
         [1]unilever_price_limits!C:C)</f>
        <v>12</v>
      </c>
      <c r="H2324" s="8">
        <f t="shared" si="145"/>
        <v>11.032</v>
      </c>
      <c r="I2324" s="6">
        <f t="shared" si="146"/>
        <v>12.000000000000011</v>
      </c>
      <c r="J2324" t="str">
        <f t="shared" si="147"/>
        <v>OK</v>
      </c>
    </row>
    <row r="2325" spans="1:10" x14ac:dyDescent="0.2">
      <c r="A2325">
        <v>12324</v>
      </c>
      <c r="B2325" t="s">
        <v>7</v>
      </c>
      <c r="C2325" t="s">
        <v>6</v>
      </c>
      <c r="D2325" s="8">
        <v>5.92</v>
      </c>
      <c r="E2325">
        <v>3</v>
      </c>
      <c r="F2325" t="str">
        <f t="shared" si="144"/>
        <v>Value</v>
      </c>
      <c r="G2325" s="3" cm="1">
        <f t="array" ref="G2325">_xlfn.XLOOKUP(C2325 &amp; F2325,
         [1]unilever_price_limits!A:A &amp; [1]unilever_price_limits!B:B,
         [1]unilever_price_limits!C:C)</f>
        <v>12</v>
      </c>
      <c r="H2325" s="8">
        <f t="shared" si="145"/>
        <v>6.6304000000000007</v>
      </c>
      <c r="I2325" s="6">
        <f t="shared" si="146"/>
        <v>12.000000000000011</v>
      </c>
      <c r="J2325" t="str">
        <f t="shared" si="147"/>
        <v>OK</v>
      </c>
    </row>
    <row r="2326" spans="1:10" x14ac:dyDescent="0.2">
      <c r="A2326">
        <v>12325</v>
      </c>
      <c r="B2326" t="s">
        <v>5</v>
      </c>
      <c r="C2326" t="s">
        <v>9</v>
      </c>
      <c r="D2326" s="8">
        <v>14.29</v>
      </c>
      <c r="E2326">
        <v>9</v>
      </c>
      <c r="F2326" t="str">
        <f t="shared" si="144"/>
        <v>Premium</v>
      </c>
      <c r="G2326" s="3" cm="1">
        <f t="array" ref="G2326">_xlfn.XLOOKUP(C2326 &amp; F2326,
         [1]unilever_price_limits!A:A &amp; [1]unilever_price_limits!B:B,
         [1]unilever_price_limits!C:C)</f>
        <v>60</v>
      </c>
      <c r="H2326" s="8">
        <f t="shared" si="145"/>
        <v>22.864000000000001</v>
      </c>
      <c r="I2326" s="6">
        <f t="shared" si="146"/>
        <v>60.000000000000007</v>
      </c>
      <c r="J2326" t="str">
        <f t="shared" si="147"/>
        <v>OK</v>
      </c>
    </row>
    <row r="2327" spans="1:10" x14ac:dyDescent="0.2">
      <c r="A2327">
        <v>12326</v>
      </c>
      <c r="B2327" t="s">
        <v>8</v>
      </c>
      <c r="C2327" t="s">
        <v>6</v>
      </c>
      <c r="D2327" s="8">
        <v>0.82</v>
      </c>
      <c r="E2327">
        <v>10</v>
      </c>
      <c r="F2327" t="str">
        <f t="shared" si="144"/>
        <v>Premium</v>
      </c>
      <c r="G2327" s="3" cm="1">
        <f t="array" ref="G2327">_xlfn.XLOOKUP(C2327 &amp; F2327,
         [1]unilever_price_limits!A:A &amp; [1]unilever_price_limits!B:B,
         [1]unilever_price_limits!C:C)</f>
        <v>55</v>
      </c>
      <c r="H2327" s="8">
        <f t="shared" si="145"/>
        <v>1.2709999999999999</v>
      </c>
      <c r="I2327" s="6">
        <f t="shared" si="146"/>
        <v>55.000000000000007</v>
      </c>
      <c r="J2327" t="str">
        <f t="shared" si="147"/>
        <v>OK</v>
      </c>
    </row>
    <row r="2328" spans="1:10" x14ac:dyDescent="0.2">
      <c r="A2328">
        <v>12327</v>
      </c>
      <c r="B2328" t="s">
        <v>10</v>
      </c>
      <c r="C2328" t="s">
        <v>11</v>
      </c>
      <c r="D2328" s="8">
        <v>4.9000000000000004</v>
      </c>
      <c r="E2328">
        <v>4</v>
      </c>
      <c r="F2328" t="str">
        <f t="shared" si="144"/>
        <v>Standard</v>
      </c>
      <c r="G2328" s="3" cm="1">
        <f t="array" ref="G2328">_xlfn.XLOOKUP(C2328 &amp; F2328,
         [1]unilever_price_limits!A:A &amp; [1]unilever_price_limits!B:B,
         [1]unilever_price_limits!C:C)</f>
        <v>25</v>
      </c>
      <c r="H2328" s="8">
        <f t="shared" si="145"/>
        <v>6.125</v>
      </c>
      <c r="I2328" s="6">
        <f t="shared" si="146"/>
        <v>25</v>
      </c>
      <c r="J2328" t="str">
        <f t="shared" si="147"/>
        <v>OK</v>
      </c>
    </row>
    <row r="2329" spans="1:10" x14ac:dyDescent="0.2">
      <c r="A2329">
        <v>12328</v>
      </c>
      <c r="B2329" t="s">
        <v>5</v>
      </c>
      <c r="C2329" t="s">
        <v>6</v>
      </c>
      <c r="D2329" s="8">
        <v>13.86</v>
      </c>
      <c r="E2329">
        <v>2</v>
      </c>
      <c r="F2329" t="str">
        <f t="shared" si="144"/>
        <v>Value</v>
      </c>
      <c r="G2329" s="3" cm="1">
        <f t="array" ref="G2329">_xlfn.XLOOKUP(C2329 &amp; F2329,
         [1]unilever_price_limits!A:A &amp; [1]unilever_price_limits!B:B,
         [1]unilever_price_limits!C:C)</f>
        <v>12</v>
      </c>
      <c r="H2329" s="8">
        <f t="shared" si="145"/>
        <v>15.523200000000001</v>
      </c>
      <c r="I2329" s="6">
        <f t="shared" si="146"/>
        <v>12.000000000000011</v>
      </c>
      <c r="J2329" t="str">
        <f t="shared" si="147"/>
        <v>OK</v>
      </c>
    </row>
    <row r="2330" spans="1:10" x14ac:dyDescent="0.2">
      <c r="A2330">
        <v>12329</v>
      </c>
      <c r="B2330" t="s">
        <v>5</v>
      </c>
      <c r="C2330" t="s">
        <v>11</v>
      </c>
      <c r="D2330" s="8">
        <v>5.15</v>
      </c>
      <c r="E2330">
        <v>3</v>
      </c>
      <c r="F2330" t="str">
        <f t="shared" si="144"/>
        <v>Value</v>
      </c>
      <c r="G2330" s="3" cm="1">
        <f t="array" ref="G2330">_xlfn.XLOOKUP(C2330 &amp; F2330,
         [1]unilever_price_limits!A:A &amp; [1]unilever_price_limits!B:B,
         [1]unilever_price_limits!C:C)</f>
        <v>10</v>
      </c>
      <c r="H2330" s="8">
        <f t="shared" si="145"/>
        <v>5.6650000000000009</v>
      </c>
      <c r="I2330" s="6">
        <f t="shared" si="146"/>
        <v>10.000000000000009</v>
      </c>
      <c r="J2330" t="str">
        <f t="shared" si="147"/>
        <v>OK</v>
      </c>
    </row>
    <row r="2331" spans="1:10" x14ac:dyDescent="0.2">
      <c r="A2331">
        <v>12330</v>
      </c>
      <c r="B2331" t="s">
        <v>10</v>
      </c>
      <c r="C2331" t="s">
        <v>6</v>
      </c>
      <c r="D2331" s="8">
        <v>4.16</v>
      </c>
      <c r="E2331">
        <v>3</v>
      </c>
      <c r="F2331" t="str">
        <f t="shared" si="144"/>
        <v>Value</v>
      </c>
      <c r="G2331" s="3" cm="1">
        <f t="array" ref="G2331">_xlfn.XLOOKUP(C2331 &amp; F2331,
         [1]unilever_price_limits!A:A &amp; [1]unilever_price_limits!B:B,
         [1]unilever_price_limits!C:C)</f>
        <v>12</v>
      </c>
      <c r="H2331" s="8">
        <f t="shared" si="145"/>
        <v>4.6592000000000002</v>
      </c>
      <c r="I2331" s="6">
        <f t="shared" si="146"/>
        <v>12.000000000000011</v>
      </c>
      <c r="J2331" t="str">
        <f t="shared" si="147"/>
        <v>OK</v>
      </c>
    </row>
    <row r="2332" spans="1:10" x14ac:dyDescent="0.2">
      <c r="A2332">
        <v>12331</v>
      </c>
      <c r="B2332" t="s">
        <v>7</v>
      </c>
      <c r="C2332" t="s">
        <v>9</v>
      </c>
      <c r="D2332" s="8">
        <v>8.25</v>
      </c>
      <c r="E2332">
        <v>7</v>
      </c>
      <c r="F2332" t="str">
        <f t="shared" si="144"/>
        <v>Standard</v>
      </c>
      <c r="G2332" s="3" cm="1">
        <f t="array" ref="G2332">_xlfn.XLOOKUP(C2332 &amp; F2332,
         [1]unilever_price_limits!A:A &amp; [1]unilever_price_limits!B:B,
         [1]unilever_price_limits!C:C)</f>
        <v>30</v>
      </c>
      <c r="H2332" s="8">
        <f t="shared" si="145"/>
        <v>10.725</v>
      </c>
      <c r="I2332" s="6">
        <f t="shared" si="146"/>
        <v>30.000000000000004</v>
      </c>
      <c r="J2332" t="str">
        <f t="shared" si="147"/>
        <v>OK</v>
      </c>
    </row>
    <row r="2333" spans="1:10" x14ac:dyDescent="0.2">
      <c r="A2333">
        <v>12332</v>
      </c>
      <c r="B2333" t="s">
        <v>10</v>
      </c>
      <c r="C2333" t="s">
        <v>9</v>
      </c>
      <c r="D2333" s="8">
        <v>12.45</v>
      </c>
      <c r="E2333">
        <v>8</v>
      </c>
      <c r="F2333" t="str">
        <f t="shared" si="144"/>
        <v>Premium</v>
      </c>
      <c r="G2333" s="3" cm="1">
        <f t="array" ref="G2333">_xlfn.XLOOKUP(C2333 &amp; F2333,
         [1]unilever_price_limits!A:A &amp; [1]unilever_price_limits!B:B,
         [1]unilever_price_limits!C:C)</f>
        <v>60</v>
      </c>
      <c r="H2333" s="8">
        <f t="shared" si="145"/>
        <v>19.920000000000002</v>
      </c>
      <c r="I2333" s="6">
        <f t="shared" si="146"/>
        <v>60.000000000000028</v>
      </c>
      <c r="J2333" t="str">
        <f t="shared" si="147"/>
        <v>OK</v>
      </c>
    </row>
    <row r="2334" spans="1:10" x14ac:dyDescent="0.2">
      <c r="A2334">
        <v>12333</v>
      </c>
      <c r="B2334" t="s">
        <v>10</v>
      </c>
      <c r="C2334" t="s">
        <v>6</v>
      </c>
      <c r="D2334" s="8">
        <v>2</v>
      </c>
      <c r="E2334">
        <v>6</v>
      </c>
      <c r="F2334" t="str">
        <f t="shared" si="144"/>
        <v>Standard</v>
      </c>
      <c r="G2334" s="3" cm="1">
        <f t="array" ref="G2334">_xlfn.XLOOKUP(C2334 &amp; F2334,
         [1]unilever_price_limits!A:A &amp; [1]unilever_price_limits!B:B,
         [1]unilever_price_limits!C:C)</f>
        <v>28</v>
      </c>
      <c r="H2334" s="8">
        <f t="shared" si="145"/>
        <v>2.56</v>
      </c>
      <c r="I2334" s="6">
        <f t="shared" si="146"/>
        <v>28.000000000000004</v>
      </c>
      <c r="J2334" t="str">
        <f t="shared" si="147"/>
        <v>OK</v>
      </c>
    </row>
    <row r="2335" spans="1:10" x14ac:dyDescent="0.2">
      <c r="A2335">
        <v>12334</v>
      </c>
      <c r="B2335" t="s">
        <v>8</v>
      </c>
      <c r="C2335" t="s">
        <v>9</v>
      </c>
      <c r="D2335" s="8">
        <v>14.17</v>
      </c>
      <c r="E2335">
        <v>4</v>
      </c>
      <c r="F2335" t="str">
        <f t="shared" si="144"/>
        <v>Standard</v>
      </c>
      <c r="G2335" s="3" cm="1">
        <f t="array" ref="G2335">_xlfn.XLOOKUP(C2335 &amp; F2335,
         [1]unilever_price_limits!A:A &amp; [1]unilever_price_limits!B:B,
         [1]unilever_price_limits!C:C)</f>
        <v>30</v>
      </c>
      <c r="H2335" s="8">
        <f t="shared" si="145"/>
        <v>18.420999999999999</v>
      </c>
      <c r="I2335" s="6">
        <f t="shared" si="146"/>
        <v>30.000000000000004</v>
      </c>
      <c r="J2335" t="str">
        <f t="shared" si="147"/>
        <v>OK</v>
      </c>
    </row>
    <row r="2336" spans="1:10" x14ac:dyDescent="0.2">
      <c r="A2336">
        <v>12335</v>
      </c>
      <c r="B2336" t="s">
        <v>8</v>
      </c>
      <c r="C2336" t="s">
        <v>6</v>
      </c>
      <c r="D2336" s="8">
        <v>12.03</v>
      </c>
      <c r="E2336">
        <v>6</v>
      </c>
      <c r="F2336" t="str">
        <f t="shared" si="144"/>
        <v>Standard</v>
      </c>
      <c r="G2336" s="3" cm="1">
        <f t="array" ref="G2336">_xlfn.XLOOKUP(C2336 &amp; F2336,
         [1]unilever_price_limits!A:A &amp; [1]unilever_price_limits!B:B,
         [1]unilever_price_limits!C:C)</f>
        <v>28</v>
      </c>
      <c r="H2336" s="8">
        <f t="shared" si="145"/>
        <v>15.398399999999999</v>
      </c>
      <c r="I2336" s="6">
        <f t="shared" si="146"/>
        <v>28.000000000000004</v>
      </c>
      <c r="J2336" t="str">
        <f t="shared" si="147"/>
        <v>OK</v>
      </c>
    </row>
    <row r="2337" spans="1:10" x14ac:dyDescent="0.2">
      <c r="A2337">
        <v>12336</v>
      </c>
      <c r="B2337" t="s">
        <v>7</v>
      </c>
      <c r="C2337" t="s">
        <v>9</v>
      </c>
      <c r="D2337" s="8">
        <v>3.13</v>
      </c>
      <c r="E2337">
        <v>1</v>
      </c>
      <c r="F2337" t="str">
        <f t="shared" si="144"/>
        <v>Value</v>
      </c>
      <c r="G2337" s="3" cm="1">
        <f t="array" ref="G2337">_xlfn.XLOOKUP(C2337 &amp; F2337,
         [1]unilever_price_limits!A:A &amp; [1]unilever_price_limits!B:B,
         [1]unilever_price_limits!C:C)</f>
        <v>15</v>
      </c>
      <c r="H2337" s="8">
        <f t="shared" si="145"/>
        <v>3.5994999999999995</v>
      </c>
      <c r="I2337" s="6">
        <f t="shared" si="146"/>
        <v>14.999999999999991</v>
      </c>
      <c r="J2337" t="str">
        <f t="shared" si="147"/>
        <v>OK</v>
      </c>
    </row>
    <row r="2338" spans="1:10" x14ac:dyDescent="0.2">
      <c r="A2338">
        <v>12337</v>
      </c>
      <c r="B2338" t="s">
        <v>5</v>
      </c>
      <c r="C2338" t="s">
        <v>11</v>
      </c>
      <c r="D2338" s="8">
        <v>10.82</v>
      </c>
      <c r="E2338">
        <v>10</v>
      </c>
      <c r="F2338" t="str">
        <f t="shared" si="144"/>
        <v>Premium</v>
      </c>
      <c r="G2338" s="3" cm="1">
        <f t="array" ref="G2338">_xlfn.XLOOKUP(C2338 &amp; F2338,
         [1]unilever_price_limits!A:A &amp; [1]unilever_price_limits!B:B,
         [1]unilever_price_limits!C:C)</f>
        <v>50</v>
      </c>
      <c r="H2338" s="8">
        <f t="shared" si="145"/>
        <v>16.23</v>
      </c>
      <c r="I2338" s="6">
        <f t="shared" si="146"/>
        <v>50</v>
      </c>
      <c r="J2338" t="str">
        <f t="shared" si="147"/>
        <v>OK</v>
      </c>
    </row>
    <row r="2339" spans="1:10" x14ac:dyDescent="0.2">
      <c r="A2339">
        <v>12338</v>
      </c>
      <c r="B2339" t="s">
        <v>10</v>
      </c>
      <c r="C2339" t="s">
        <v>6</v>
      </c>
      <c r="D2339" s="8">
        <v>6.08</v>
      </c>
      <c r="E2339">
        <v>8</v>
      </c>
      <c r="F2339" t="str">
        <f t="shared" si="144"/>
        <v>Premium</v>
      </c>
      <c r="G2339" s="3" cm="1">
        <f t="array" ref="G2339">_xlfn.XLOOKUP(C2339 &amp; F2339,
         [1]unilever_price_limits!A:A &amp; [1]unilever_price_limits!B:B,
         [1]unilever_price_limits!C:C)</f>
        <v>55</v>
      </c>
      <c r="H2339" s="8">
        <f t="shared" si="145"/>
        <v>9.4240000000000013</v>
      </c>
      <c r="I2339" s="6">
        <f t="shared" si="146"/>
        <v>55.000000000000028</v>
      </c>
      <c r="J2339" t="str">
        <f t="shared" si="147"/>
        <v>OK</v>
      </c>
    </row>
    <row r="2340" spans="1:10" x14ac:dyDescent="0.2">
      <c r="A2340">
        <v>12339</v>
      </c>
      <c r="B2340" t="s">
        <v>7</v>
      </c>
      <c r="C2340" t="s">
        <v>11</v>
      </c>
      <c r="D2340" s="8">
        <v>6.33</v>
      </c>
      <c r="E2340">
        <v>1</v>
      </c>
      <c r="F2340" t="str">
        <f t="shared" si="144"/>
        <v>Value</v>
      </c>
      <c r="G2340" s="3" cm="1">
        <f t="array" ref="G2340">_xlfn.XLOOKUP(C2340 &amp; F2340,
         [1]unilever_price_limits!A:A &amp; [1]unilever_price_limits!B:B,
         [1]unilever_price_limits!C:C)</f>
        <v>10</v>
      </c>
      <c r="H2340" s="8">
        <f t="shared" si="145"/>
        <v>6.963000000000001</v>
      </c>
      <c r="I2340" s="6">
        <f t="shared" si="146"/>
        <v>10.000000000000009</v>
      </c>
      <c r="J2340" t="str">
        <f t="shared" si="147"/>
        <v>OK</v>
      </c>
    </row>
    <row r="2341" spans="1:10" x14ac:dyDescent="0.2">
      <c r="A2341">
        <v>12340</v>
      </c>
      <c r="B2341" t="s">
        <v>8</v>
      </c>
      <c r="C2341" t="s">
        <v>11</v>
      </c>
      <c r="D2341" s="8">
        <v>11.86</v>
      </c>
      <c r="E2341">
        <v>5</v>
      </c>
      <c r="F2341" t="str">
        <f t="shared" si="144"/>
        <v>Standard</v>
      </c>
      <c r="G2341" s="3" cm="1">
        <f t="array" ref="G2341">_xlfn.XLOOKUP(C2341 &amp; F2341,
         [1]unilever_price_limits!A:A &amp; [1]unilever_price_limits!B:B,
         [1]unilever_price_limits!C:C)</f>
        <v>25</v>
      </c>
      <c r="H2341" s="8">
        <f t="shared" si="145"/>
        <v>14.824999999999999</v>
      </c>
      <c r="I2341" s="6">
        <f t="shared" si="146"/>
        <v>25</v>
      </c>
      <c r="J2341" t="str">
        <f t="shared" si="147"/>
        <v>OK</v>
      </c>
    </row>
    <row r="2342" spans="1:10" x14ac:dyDescent="0.2">
      <c r="A2342">
        <v>12341</v>
      </c>
      <c r="B2342" t="s">
        <v>10</v>
      </c>
      <c r="C2342" t="s">
        <v>6</v>
      </c>
      <c r="D2342" s="8">
        <v>14.46</v>
      </c>
      <c r="E2342">
        <v>2</v>
      </c>
      <c r="F2342" t="str">
        <f t="shared" si="144"/>
        <v>Value</v>
      </c>
      <c r="G2342" s="3" cm="1">
        <f t="array" ref="G2342">_xlfn.XLOOKUP(C2342 &amp; F2342,
         [1]unilever_price_limits!A:A &amp; [1]unilever_price_limits!B:B,
         [1]unilever_price_limits!C:C)</f>
        <v>12</v>
      </c>
      <c r="H2342" s="8">
        <f t="shared" si="145"/>
        <v>16.195200000000003</v>
      </c>
      <c r="I2342" s="6">
        <f t="shared" si="146"/>
        <v>12.000000000000011</v>
      </c>
      <c r="J2342" t="str">
        <f t="shared" si="147"/>
        <v>OK</v>
      </c>
    </row>
    <row r="2343" spans="1:10" x14ac:dyDescent="0.2">
      <c r="A2343">
        <v>12342</v>
      </c>
      <c r="B2343" t="s">
        <v>5</v>
      </c>
      <c r="C2343" t="s">
        <v>11</v>
      </c>
      <c r="D2343" s="8">
        <v>2.34</v>
      </c>
      <c r="E2343">
        <v>6</v>
      </c>
      <c r="F2343" t="str">
        <f t="shared" si="144"/>
        <v>Standard</v>
      </c>
      <c r="G2343" s="3" cm="1">
        <f t="array" ref="G2343">_xlfn.XLOOKUP(C2343 &amp; F2343,
         [1]unilever_price_limits!A:A &amp; [1]unilever_price_limits!B:B,
         [1]unilever_price_limits!C:C)</f>
        <v>25</v>
      </c>
      <c r="H2343" s="8">
        <f t="shared" si="145"/>
        <v>2.9249999999999998</v>
      </c>
      <c r="I2343" s="6">
        <f t="shared" si="146"/>
        <v>25</v>
      </c>
      <c r="J2343" t="str">
        <f t="shared" si="147"/>
        <v>OK</v>
      </c>
    </row>
    <row r="2344" spans="1:10" x14ac:dyDescent="0.2">
      <c r="A2344">
        <v>12343</v>
      </c>
      <c r="B2344" t="s">
        <v>8</v>
      </c>
      <c r="C2344" t="s">
        <v>6</v>
      </c>
      <c r="D2344" s="8">
        <v>6.6</v>
      </c>
      <c r="E2344">
        <v>9</v>
      </c>
      <c r="F2344" t="str">
        <f t="shared" si="144"/>
        <v>Premium</v>
      </c>
      <c r="G2344" s="3" cm="1">
        <f t="array" ref="G2344">_xlfn.XLOOKUP(C2344 &amp; F2344,
         [1]unilever_price_limits!A:A &amp; [1]unilever_price_limits!B:B,
         [1]unilever_price_limits!C:C)</f>
        <v>55</v>
      </c>
      <c r="H2344" s="8">
        <f t="shared" si="145"/>
        <v>10.23</v>
      </c>
      <c r="I2344" s="6">
        <f t="shared" si="146"/>
        <v>55.000000000000007</v>
      </c>
      <c r="J2344" t="str">
        <f t="shared" si="147"/>
        <v>OK</v>
      </c>
    </row>
    <row r="2345" spans="1:10" x14ac:dyDescent="0.2">
      <c r="A2345">
        <v>12344</v>
      </c>
      <c r="B2345" t="s">
        <v>8</v>
      </c>
      <c r="C2345" t="s">
        <v>11</v>
      </c>
      <c r="D2345" s="8">
        <v>7.47</v>
      </c>
      <c r="E2345">
        <v>5</v>
      </c>
      <c r="F2345" t="str">
        <f t="shared" si="144"/>
        <v>Standard</v>
      </c>
      <c r="G2345" s="3" cm="1">
        <f t="array" ref="G2345">_xlfn.XLOOKUP(C2345 &amp; F2345,
         [1]unilever_price_limits!A:A &amp; [1]unilever_price_limits!B:B,
         [1]unilever_price_limits!C:C)</f>
        <v>25</v>
      </c>
      <c r="H2345" s="8">
        <f t="shared" si="145"/>
        <v>9.3375000000000004</v>
      </c>
      <c r="I2345" s="6">
        <f t="shared" si="146"/>
        <v>25</v>
      </c>
      <c r="J2345" t="str">
        <f t="shared" si="147"/>
        <v>OK</v>
      </c>
    </row>
    <row r="2346" spans="1:10" x14ac:dyDescent="0.2">
      <c r="A2346">
        <v>12345</v>
      </c>
      <c r="B2346" t="s">
        <v>8</v>
      </c>
      <c r="C2346" t="s">
        <v>6</v>
      </c>
      <c r="D2346" s="8">
        <v>5.96</v>
      </c>
      <c r="E2346">
        <v>4</v>
      </c>
      <c r="F2346" t="str">
        <f t="shared" si="144"/>
        <v>Standard</v>
      </c>
      <c r="G2346" s="3" cm="1">
        <f t="array" ref="G2346">_xlfn.XLOOKUP(C2346 &amp; F2346,
         [1]unilever_price_limits!A:A &amp; [1]unilever_price_limits!B:B,
         [1]unilever_price_limits!C:C)</f>
        <v>28</v>
      </c>
      <c r="H2346" s="8">
        <f t="shared" si="145"/>
        <v>7.6288</v>
      </c>
      <c r="I2346" s="6">
        <f t="shared" si="146"/>
        <v>28.000000000000004</v>
      </c>
      <c r="J2346" t="str">
        <f t="shared" si="147"/>
        <v>OK</v>
      </c>
    </row>
    <row r="2347" spans="1:10" x14ac:dyDescent="0.2">
      <c r="A2347">
        <v>12346</v>
      </c>
      <c r="B2347" t="s">
        <v>7</v>
      </c>
      <c r="C2347" t="s">
        <v>6</v>
      </c>
      <c r="D2347" s="8">
        <v>5.77</v>
      </c>
      <c r="E2347">
        <v>2</v>
      </c>
      <c r="F2347" t="str">
        <f t="shared" si="144"/>
        <v>Value</v>
      </c>
      <c r="G2347" s="3" cm="1">
        <f t="array" ref="G2347">_xlfn.XLOOKUP(C2347 &amp; F2347,
         [1]unilever_price_limits!A:A &amp; [1]unilever_price_limits!B:B,
         [1]unilever_price_limits!C:C)</f>
        <v>12</v>
      </c>
      <c r="H2347" s="8">
        <f t="shared" si="145"/>
        <v>6.4623999999999997</v>
      </c>
      <c r="I2347" s="6">
        <f t="shared" si="146"/>
        <v>12.000000000000011</v>
      </c>
      <c r="J2347" t="str">
        <f t="shared" si="147"/>
        <v>OK</v>
      </c>
    </row>
    <row r="2348" spans="1:10" x14ac:dyDescent="0.2">
      <c r="A2348">
        <v>12347</v>
      </c>
      <c r="B2348" t="s">
        <v>5</v>
      </c>
      <c r="C2348" t="s">
        <v>9</v>
      </c>
      <c r="D2348" s="8">
        <v>1.26</v>
      </c>
      <c r="E2348">
        <v>3</v>
      </c>
      <c r="F2348" t="str">
        <f t="shared" si="144"/>
        <v>Value</v>
      </c>
      <c r="G2348" s="3" cm="1">
        <f t="array" ref="G2348">_xlfn.XLOOKUP(C2348 &amp; F2348,
         [1]unilever_price_limits!A:A &amp; [1]unilever_price_limits!B:B,
         [1]unilever_price_limits!C:C)</f>
        <v>15</v>
      </c>
      <c r="H2348" s="8">
        <f t="shared" si="145"/>
        <v>1.4489999999999998</v>
      </c>
      <c r="I2348" s="6">
        <f t="shared" si="146"/>
        <v>14.999999999999991</v>
      </c>
      <c r="J2348" t="str">
        <f t="shared" si="147"/>
        <v>OK</v>
      </c>
    </row>
    <row r="2349" spans="1:10" x14ac:dyDescent="0.2">
      <c r="A2349">
        <v>12348</v>
      </c>
      <c r="B2349" t="s">
        <v>10</v>
      </c>
      <c r="C2349" t="s">
        <v>6</v>
      </c>
      <c r="D2349" s="8">
        <v>10.44</v>
      </c>
      <c r="E2349">
        <v>6</v>
      </c>
      <c r="F2349" t="str">
        <f t="shared" si="144"/>
        <v>Standard</v>
      </c>
      <c r="G2349" s="3" cm="1">
        <f t="array" ref="G2349">_xlfn.XLOOKUP(C2349 &amp; F2349,
         [1]unilever_price_limits!A:A &amp; [1]unilever_price_limits!B:B,
         [1]unilever_price_limits!C:C)</f>
        <v>28</v>
      </c>
      <c r="H2349" s="8">
        <f t="shared" si="145"/>
        <v>13.363199999999999</v>
      </c>
      <c r="I2349" s="6">
        <f t="shared" si="146"/>
        <v>28.000000000000004</v>
      </c>
      <c r="J2349" t="str">
        <f t="shared" si="147"/>
        <v>OK</v>
      </c>
    </row>
    <row r="2350" spans="1:10" x14ac:dyDescent="0.2">
      <c r="A2350">
        <v>12349</v>
      </c>
      <c r="B2350" t="s">
        <v>7</v>
      </c>
      <c r="C2350" t="s">
        <v>6</v>
      </c>
      <c r="D2350" s="8">
        <v>6.83</v>
      </c>
      <c r="E2350">
        <v>8</v>
      </c>
      <c r="F2350" t="str">
        <f t="shared" si="144"/>
        <v>Premium</v>
      </c>
      <c r="G2350" s="3" cm="1">
        <f t="array" ref="G2350">_xlfn.XLOOKUP(C2350 &amp; F2350,
         [1]unilever_price_limits!A:A &amp; [1]unilever_price_limits!B:B,
         [1]unilever_price_limits!C:C)</f>
        <v>55</v>
      </c>
      <c r="H2350" s="8">
        <f t="shared" si="145"/>
        <v>10.586500000000001</v>
      </c>
      <c r="I2350" s="6">
        <f t="shared" si="146"/>
        <v>55.000000000000007</v>
      </c>
      <c r="J2350" t="str">
        <f t="shared" si="147"/>
        <v>OK</v>
      </c>
    </row>
    <row r="2351" spans="1:10" x14ac:dyDescent="0.2">
      <c r="A2351">
        <v>12350</v>
      </c>
      <c r="B2351" t="s">
        <v>7</v>
      </c>
      <c r="C2351" t="s">
        <v>11</v>
      </c>
      <c r="D2351" s="8">
        <v>3.32</v>
      </c>
      <c r="E2351">
        <v>8</v>
      </c>
      <c r="F2351" t="str">
        <f t="shared" si="144"/>
        <v>Premium</v>
      </c>
      <c r="G2351" s="3" cm="1">
        <f t="array" ref="G2351">_xlfn.XLOOKUP(C2351 &amp; F2351,
         [1]unilever_price_limits!A:A &amp; [1]unilever_price_limits!B:B,
         [1]unilever_price_limits!C:C)</f>
        <v>50</v>
      </c>
      <c r="H2351" s="8">
        <f t="shared" si="145"/>
        <v>4.9799999999999995</v>
      </c>
      <c r="I2351" s="6">
        <f t="shared" si="146"/>
        <v>50</v>
      </c>
      <c r="J2351" t="str">
        <f t="shared" si="147"/>
        <v>OK</v>
      </c>
    </row>
    <row r="2352" spans="1:10" x14ac:dyDescent="0.2">
      <c r="A2352">
        <v>12351</v>
      </c>
      <c r="B2352" t="s">
        <v>7</v>
      </c>
      <c r="C2352" t="s">
        <v>6</v>
      </c>
      <c r="D2352" s="8">
        <v>12.33</v>
      </c>
      <c r="E2352">
        <v>5</v>
      </c>
      <c r="F2352" t="str">
        <f t="shared" si="144"/>
        <v>Standard</v>
      </c>
      <c r="G2352" s="3" cm="1">
        <f t="array" ref="G2352">_xlfn.XLOOKUP(C2352 &amp; F2352,
         [1]unilever_price_limits!A:A &amp; [1]unilever_price_limits!B:B,
         [1]unilever_price_limits!C:C)</f>
        <v>28</v>
      </c>
      <c r="H2352" s="8">
        <f t="shared" si="145"/>
        <v>15.782400000000001</v>
      </c>
      <c r="I2352" s="6">
        <f t="shared" si="146"/>
        <v>28.000000000000004</v>
      </c>
      <c r="J2352" t="str">
        <f t="shared" si="147"/>
        <v>OK</v>
      </c>
    </row>
    <row r="2353" spans="1:10" x14ac:dyDescent="0.2">
      <c r="A2353">
        <v>12352</v>
      </c>
      <c r="B2353" t="s">
        <v>8</v>
      </c>
      <c r="C2353" t="s">
        <v>9</v>
      </c>
      <c r="D2353" s="8">
        <v>12.14</v>
      </c>
      <c r="E2353">
        <v>5</v>
      </c>
      <c r="F2353" t="str">
        <f t="shared" si="144"/>
        <v>Standard</v>
      </c>
      <c r="G2353" s="3" cm="1">
        <f t="array" ref="G2353">_xlfn.XLOOKUP(C2353 &amp; F2353,
         [1]unilever_price_limits!A:A &amp; [1]unilever_price_limits!B:B,
         [1]unilever_price_limits!C:C)</f>
        <v>30</v>
      </c>
      <c r="H2353" s="8">
        <f t="shared" si="145"/>
        <v>15.782000000000002</v>
      </c>
      <c r="I2353" s="6">
        <f t="shared" si="146"/>
        <v>30.000000000000004</v>
      </c>
      <c r="J2353" t="str">
        <f t="shared" si="147"/>
        <v>OK</v>
      </c>
    </row>
    <row r="2354" spans="1:10" x14ac:dyDescent="0.2">
      <c r="A2354">
        <v>12353</v>
      </c>
      <c r="B2354" t="s">
        <v>5</v>
      </c>
      <c r="C2354" t="s">
        <v>11</v>
      </c>
      <c r="D2354" s="8">
        <v>7.55</v>
      </c>
      <c r="E2354">
        <v>10</v>
      </c>
      <c r="F2354" t="str">
        <f t="shared" si="144"/>
        <v>Premium</v>
      </c>
      <c r="G2354" s="3" cm="1">
        <f t="array" ref="G2354">_xlfn.XLOOKUP(C2354 &amp; F2354,
         [1]unilever_price_limits!A:A &amp; [1]unilever_price_limits!B:B,
         [1]unilever_price_limits!C:C)</f>
        <v>50</v>
      </c>
      <c r="H2354" s="8">
        <f t="shared" si="145"/>
        <v>11.324999999999999</v>
      </c>
      <c r="I2354" s="6">
        <f t="shared" si="146"/>
        <v>50</v>
      </c>
      <c r="J2354" t="str">
        <f t="shared" si="147"/>
        <v>OK</v>
      </c>
    </row>
    <row r="2355" spans="1:10" x14ac:dyDescent="0.2">
      <c r="A2355">
        <v>12354</v>
      </c>
      <c r="B2355" t="s">
        <v>7</v>
      </c>
      <c r="C2355" t="s">
        <v>11</v>
      </c>
      <c r="D2355" s="8">
        <v>4.83</v>
      </c>
      <c r="E2355">
        <v>3</v>
      </c>
      <c r="F2355" t="str">
        <f t="shared" si="144"/>
        <v>Value</v>
      </c>
      <c r="G2355" s="3" cm="1">
        <f t="array" ref="G2355">_xlfn.XLOOKUP(C2355 &amp; F2355,
         [1]unilever_price_limits!A:A &amp; [1]unilever_price_limits!B:B,
         [1]unilever_price_limits!C:C)</f>
        <v>10</v>
      </c>
      <c r="H2355" s="8">
        <f t="shared" si="145"/>
        <v>5.3130000000000006</v>
      </c>
      <c r="I2355" s="6">
        <f t="shared" si="146"/>
        <v>10.000000000000009</v>
      </c>
      <c r="J2355" t="str">
        <f t="shared" si="147"/>
        <v>OK</v>
      </c>
    </row>
    <row r="2356" spans="1:10" x14ac:dyDescent="0.2">
      <c r="A2356">
        <v>12355</v>
      </c>
      <c r="B2356" t="s">
        <v>10</v>
      </c>
      <c r="C2356" t="s">
        <v>9</v>
      </c>
      <c r="D2356" s="8">
        <v>9.75</v>
      </c>
      <c r="E2356">
        <v>7</v>
      </c>
      <c r="F2356" t="str">
        <f t="shared" si="144"/>
        <v>Standard</v>
      </c>
      <c r="G2356" s="3" cm="1">
        <f t="array" ref="G2356">_xlfn.XLOOKUP(C2356 &amp; F2356,
         [1]unilever_price_limits!A:A &amp; [1]unilever_price_limits!B:B,
         [1]unilever_price_limits!C:C)</f>
        <v>30</v>
      </c>
      <c r="H2356" s="8">
        <f t="shared" si="145"/>
        <v>12.675000000000001</v>
      </c>
      <c r="I2356" s="6">
        <f t="shared" si="146"/>
        <v>30.000000000000004</v>
      </c>
      <c r="J2356" t="str">
        <f t="shared" si="147"/>
        <v>OK</v>
      </c>
    </row>
    <row r="2357" spans="1:10" x14ac:dyDescent="0.2">
      <c r="A2357">
        <v>12356</v>
      </c>
      <c r="B2357" t="s">
        <v>5</v>
      </c>
      <c r="C2357" t="s">
        <v>11</v>
      </c>
      <c r="D2357" s="8">
        <v>4.68</v>
      </c>
      <c r="E2357">
        <v>6</v>
      </c>
      <c r="F2357" t="str">
        <f t="shared" si="144"/>
        <v>Standard</v>
      </c>
      <c r="G2357" s="3" cm="1">
        <f t="array" ref="G2357">_xlfn.XLOOKUP(C2357 &amp; F2357,
         [1]unilever_price_limits!A:A &amp; [1]unilever_price_limits!B:B,
         [1]unilever_price_limits!C:C)</f>
        <v>25</v>
      </c>
      <c r="H2357" s="8">
        <f t="shared" si="145"/>
        <v>5.85</v>
      </c>
      <c r="I2357" s="6">
        <f t="shared" si="146"/>
        <v>25</v>
      </c>
      <c r="J2357" t="str">
        <f t="shared" si="147"/>
        <v>OK</v>
      </c>
    </row>
    <row r="2358" spans="1:10" x14ac:dyDescent="0.2">
      <c r="A2358">
        <v>12357</v>
      </c>
      <c r="B2358" t="s">
        <v>10</v>
      </c>
      <c r="C2358" t="s">
        <v>11</v>
      </c>
      <c r="D2358" s="8">
        <v>3.92</v>
      </c>
      <c r="E2358">
        <v>1</v>
      </c>
      <c r="F2358" t="str">
        <f t="shared" si="144"/>
        <v>Value</v>
      </c>
      <c r="G2358" s="3" cm="1">
        <f t="array" ref="G2358">_xlfn.XLOOKUP(C2358 &amp; F2358,
         [1]unilever_price_limits!A:A &amp; [1]unilever_price_limits!B:B,
         [1]unilever_price_limits!C:C)</f>
        <v>10</v>
      </c>
      <c r="H2358" s="8">
        <f t="shared" si="145"/>
        <v>4.3120000000000003</v>
      </c>
      <c r="I2358" s="6">
        <f t="shared" si="146"/>
        <v>10.000000000000009</v>
      </c>
      <c r="J2358" t="str">
        <f t="shared" si="147"/>
        <v>OK</v>
      </c>
    </row>
    <row r="2359" spans="1:10" x14ac:dyDescent="0.2">
      <c r="A2359">
        <v>12358</v>
      </c>
      <c r="B2359" t="s">
        <v>5</v>
      </c>
      <c r="C2359" t="s">
        <v>11</v>
      </c>
      <c r="D2359" s="8">
        <v>11.09</v>
      </c>
      <c r="E2359">
        <v>4</v>
      </c>
      <c r="F2359" t="str">
        <f t="shared" si="144"/>
        <v>Standard</v>
      </c>
      <c r="G2359" s="3" cm="1">
        <f t="array" ref="G2359">_xlfn.XLOOKUP(C2359 &amp; F2359,
         [1]unilever_price_limits!A:A &amp; [1]unilever_price_limits!B:B,
         [1]unilever_price_limits!C:C)</f>
        <v>25</v>
      </c>
      <c r="H2359" s="8">
        <f t="shared" si="145"/>
        <v>13.862500000000001</v>
      </c>
      <c r="I2359" s="6">
        <f t="shared" si="146"/>
        <v>25</v>
      </c>
      <c r="J2359" t="str">
        <f t="shared" si="147"/>
        <v>OK</v>
      </c>
    </row>
    <row r="2360" spans="1:10" x14ac:dyDescent="0.2">
      <c r="A2360">
        <v>12359</v>
      </c>
      <c r="B2360" t="s">
        <v>10</v>
      </c>
      <c r="C2360" t="s">
        <v>11</v>
      </c>
      <c r="D2360" s="8">
        <v>1.08</v>
      </c>
      <c r="E2360">
        <v>6</v>
      </c>
      <c r="F2360" t="str">
        <f t="shared" si="144"/>
        <v>Standard</v>
      </c>
      <c r="G2360" s="3" cm="1">
        <f t="array" ref="G2360">_xlfn.XLOOKUP(C2360 &amp; F2360,
         [1]unilever_price_limits!A:A &amp; [1]unilever_price_limits!B:B,
         [1]unilever_price_limits!C:C)</f>
        <v>25</v>
      </c>
      <c r="H2360" s="8">
        <f t="shared" si="145"/>
        <v>1.35</v>
      </c>
      <c r="I2360" s="6">
        <f t="shared" si="146"/>
        <v>25</v>
      </c>
      <c r="J2360" t="str">
        <f t="shared" si="147"/>
        <v>OK</v>
      </c>
    </row>
    <row r="2361" spans="1:10" x14ac:dyDescent="0.2">
      <c r="A2361">
        <v>12360</v>
      </c>
      <c r="B2361" t="s">
        <v>8</v>
      </c>
      <c r="C2361" t="s">
        <v>9</v>
      </c>
      <c r="D2361" s="8">
        <v>1.87</v>
      </c>
      <c r="E2361">
        <v>6</v>
      </c>
      <c r="F2361" t="str">
        <f t="shared" si="144"/>
        <v>Standard</v>
      </c>
      <c r="G2361" s="3" cm="1">
        <f t="array" ref="G2361">_xlfn.XLOOKUP(C2361 &amp; F2361,
         [1]unilever_price_limits!A:A &amp; [1]unilever_price_limits!B:B,
         [1]unilever_price_limits!C:C)</f>
        <v>30</v>
      </c>
      <c r="H2361" s="8">
        <f t="shared" si="145"/>
        <v>2.431</v>
      </c>
      <c r="I2361" s="6">
        <f t="shared" si="146"/>
        <v>30.000000000000004</v>
      </c>
      <c r="J2361" t="str">
        <f t="shared" si="147"/>
        <v>OK</v>
      </c>
    </row>
    <row r="2362" spans="1:10" x14ac:dyDescent="0.2">
      <c r="A2362">
        <v>12361</v>
      </c>
      <c r="B2362" t="s">
        <v>7</v>
      </c>
      <c r="C2362" t="s">
        <v>9</v>
      </c>
      <c r="D2362" s="8">
        <v>0.6</v>
      </c>
      <c r="E2362">
        <v>3</v>
      </c>
      <c r="F2362" t="str">
        <f t="shared" si="144"/>
        <v>Value</v>
      </c>
      <c r="G2362" s="3" cm="1">
        <f t="array" ref="G2362">_xlfn.XLOOKUP(C2362 &amp; F2362,
         [1]unilever_price_limits!A:A &amp; [1]unilever_price_limits!B:B,
         [1]unilever_price_limits!C:C)</f>
        <v>15</v>
      </c>
      <c r="H2362" s="8">
        <f t="shared" si="145"/>
        <v>0.69</v>
      </c>
      <c r="I2362" s="6">
        <f t="shared" si="146"/>
        <v>14.999999999999991</v>
      </c>
      <c r="J2362" t="str">
        <f t="shared" si="147"/>
        <v>OK</v>
      </c>
    </row>
    <row r="2363" spans="1:10" x14ac:dyDescent="0.2">
      <c r="A2363">
        <v>12362</v>
      </c>
      <c r="B2363" t="s">
        <v>10</v>
      </c>
      <c r="C2363" t="s">
        <v>11</v>
      </c>
      <c r="D2363" s="8">
        <v>2.72</v>
      </c>
      <c r="E2363">
        <v>6</v>
      </c>
      <c r="F2363" t="str">
        <f t="shared" si="144"/>
        <v>Standard</v>
      </c>
      <c r="G2363" s="3" cm="1">
        <f t="array" ref="G2363">_xlfn.XLOOKUP(C2363 &amp; F2363,
         [1]unilever_price_limits!A:A &amp; [1]unilever_price_limits!B:B,
         [1]unilever_price_limits!C:C)</f>
        <v>25</v>
      </c>
      <c r="H2363" s="8">
        <f t="shared" si="145"/>
        <v>3.4000000000000004</v>
      </c>
      <c r="I2363" s="6">
        <f t="shared" si="146"/>
        <v>25</v>
      </c>
      <c r="J2363" t="str">
        <f t="shared" si="147"/>
        <v>OK</v>
      </c>
    </row>
    <row r="2364" spans="1:10" x14ac:dyDescent="0.2">
      <c r="A2364">
        <v>12363</v>
      </c>
      <c r="B2364" t="s">
        <v>5</v>
      </c>
      <c r="C2364" t="s">
        <v>11</v>
      </c>
      <c r="D2364" s="8">
        <v>1.5</v>
      </c>
      <c r="E2364">
        <v>10</v>
      </c>
      <c r="F2364" t="str">
        <f t="shared" si="144"/>
        <v>Premium</v>
      </c>
      <c r="G2364" s="3" cm="1">
        <f t="array" ref="G2364">_xlfn.XLOOKUP(C2364 &amp; F2364,
         [1]unilever_price_limits!A:A &amp; [1]unilever_price_limits!B:B,
         [1]unilever_price_limits!C:C)</f>
        <v>50</v>
      </c>
      <c r="H2364" s="8">
        <f t="shared" si="145"/>
        <v>2.25</v>
      </c>
      <c r="I2364" s="6">
        <f t="shared" si="146"/>
        <v>50</v>
      </c>
      <c r="J2364" t="str">
        <f t="shared" si="147"/>
        <v>OK</v>
      </c>
    </row>
    <row r="2365" spans="1:10" x14ac:dyDescent="0.2">
      <c r="A2365">
        <v>12364</v>
      </c>
      <c r="B2365" t="s">
        <v>7</v>
      </c>
      <c r="C2365" t="s">
        <v>9</v>
      </c>
      <c r="D2365" s="8">
        <v>14.94</v>
      </c>
      <c r="E2365">
        <v>6</v>
      </c>
      <c r="F2365" t="str">
        <f t="shared" si="144"/>
        <v>Standard</v>
      </c>
      <c r="G2365" s="3" cm="1">
        <f t="array" ref="G2365">_xlfn.XLOOKUP(C2365 &amp; F2365,
         [1]unilever_price_limits!A:A &amp; [1]unilever_price_limits!B:B,
         [1]unilever_price_limits!C:C)</f>
        <v>30</v>
      </c>
      <c r="H2365" s="8">
        <f t="shared" si="145"/>
        <v>19.422000000000001</v>
      </c>
      <c r="I2365" s="6">
        <f t="shared" si="146"/>
        <v>30.000000000000004</v>
      </c>
      <c r="J2365" t="str">
        <f t="shared" si="147"/>
        <v>OK</v>
      </c>
    </row>
    <row r="2366" spans="1:10" x14ac:dyDescent="0.2">
      <c r="A2366">
        <v>12365</v>
      </c>
      <c r="B2366" t="s">
        <v>7</v>
      </c>
      <c r="C2366" t="s">
        <v>9</v>
      </c>
      <c r="D2366" s="8">
        <v>4.6900000000000004</v>
      </c>
      <c r="E2366">
        <v>9</v>
      </c>
      <c r="F2366" t="str">
        <f t="shared" si="144"/>
        <v>Premium</v>
      </c>
      <c r="G2366" s="3" cm="1">
        <f t="array" ref="G2366">_xlfn.XLOOKUP(C2366 &amp; F2366,
         [1]unilever_price_limits!A:A &amp; [1]unilever_price_limits!B:B,
         [1]unilever_price_limits!C:C)</f>
        <v>60</v>
      </c>
      <c r="H2366" s="8">
        <f t="shared" si="145"/>
        <v>7.5040000000000013</v>
      </c>
      <c r="I2366" s="6">
        <f t="shared" si="146"/>
        <v>60.000000000000007</v>
      </c>
      <c r="J2366" t="str">
        <f t="shared" si="147"/>
        <v>OK</v>
      </c>
    </row>
    <row r="2367" spans="1:10" x14ac:dyDescent="0.2">
      <c r="A2367">
        <v>12366</v>
      </c>
      <c r="B2367" t="s">
        <v>5</v>
      </c>
      <c r="C2367" t="s">
        <v>9</v>
      </c>
      <c r="D2367" s="8">
        <v>2.66</v>
      </c>
      <c r="E2367">
        <v>9</v>
      </c>
      <c r="F2367" t="str">
        <f t="shared" si="144"/>
        <v>Premium</v>
      </c>
      <c r="G2367" s="3" cm="1">
        <f t="array" ref="G2367">_xlfn.XLOOKUP(C2367 &amp; F2367,
         [1]unilever_price_limits!A:A &amp; [1]unilever_price_limits!B:B,
         [1]unilever_price_limits!C:C)</f>
        <v>60</v>
      </c>
      <c r="H2367" s="8">
        <f t="shared" si="145"/>
        <v>4.2560000000000002</v>
      </c>
      <c r="I2367" s="6">
        <f t="shared" si="146"/>
        <v>60.000000000000007</v>
      </c>
      <c r="J2367" t="str">
        <f t="shared" si="147"/>
        <v>OK</v>
      </c>
    </row>
    <row r="2368" spans="1:10" x14ac:dyDescent="0.2">
      <c r="A2368">
        <v>12367</v>
      </c>
      <c r="B2368" t="s">
        <v>10</v>
      </c>
      <c r="C2368" t="s">
        <v>11</v>
      </c>
      <c r="D2368" s="8">
        <v>3.99</v>
      </c>
      <c r="E2368">
        <v>2</v>
      </c>
      <c r="F2368" t="str">
        <f t="shared" si="144"/>
        <v>Value</v>
      </c>
      <c r="G2368" s="3" cm="1">
        <f t="array" ref="G2368">_xlfn.XLOOKUP(C2368 &amp; F2368,
         [1]unilever_price_limits!A:A &amp; [1]unilever_price_limits!B:B,
         [1]unilever_price_limits!C:C)</f>
        <v>10</v>
      </c>
      <c r="H2368" s="8">
        <f t="shared" si="145"/>
        <v>4.3890000000000002</v>
      </c>
      <c r="I2368" s="6">
        <f t="shared" si="146"/>
        <v>10.000000000000009</v>
      </c>
      <c r="J2368" t="str">
        <f t="shared" si="147"/>
        <v>OK</v>
      </c>
    </row>
    <row r="2369" spans="1:10" x14ac:dyDescent="0.2">
      <c r="A2369">
        <v>12368</v>
      </c>
      <c r="B2369" t="s">
        <v>8</v>
      </c>
      <c r="C2369" t="s">
        <v>11</v>
      </c>
      <c r="D2369" s="8">
        <v>14.07</v>
      </c>
      <c r="E2369">
        <v>4</v>
      </c>
      <c r="F2369" t="str">
        <f t="shared" si="144"/>
        <v>Standard</v>
      </c>
      <c r="G2369" s="3" cm="1">
        <f t="array" ref="G2369">_xlfn.XLOOKUP(C2369 &amp; F2369,
         [1]unilever_price_limits!A:A &amp; [1]unilever_price_limits!B:B,
         [1]unilever_price_limits!C:C)</f>
        <v>25</v>
      </c>
      <c r="H2369" s="8">
        <f t="shared" si="145"/>
        <v>17.587499999999999</v>
      </c>
      <c r="I2369" s="6">
        <f t="shared" si="146"/>
        <v>24.999999999999979</v>
      </c>
      <c r="J2369" t="str">
        <f t="shared" si="147"/>
        <v>OK</v>
      </c>
    </row>
    <row r="2370" spans="1:10" x14ac:dyDescent="0.2">
      <c r="A2370">
        <v>12369</v>
      </c>
      <c r="B2370" t="s">
        <v>8</v>
      </c>
      <c r="C2370" t="s">
        <v>6</v>
      </c>
      <c r="D2370" s="8">
        <v>8.0399999999999991</v>
      </c>
      <c r="E2370">
        <v>9</v>
      </c>
      <c r="F2370" t="str">
        <f t="shared" si="144"/>
        <v>Premium</v>
      </c>
      <c r="G2370" s="3" cm="1">
        <f t="array" ref="G2370">_xlfn.XLOOKUP(C2370 &amp; F2370,
         [1]unilever_price_limits!A:A &amp; [1]unilever_price_limits!B:B,
         [1]unilever_price_limits!C:C)</f>
        <v>55</v>
      </c>
      <c r="H2370" s="8">
        <f t="shared" si="145"/>
        <v>12.462</v>
      </c>
      <c r="I2370" s="6">
        <f t="shared" si="146"/>
        <v>55.000000000000007</v>
      </c>
      <c r="J2370" t="str">
        <f t="shared" si="147"/>
        <v>OK</v>
      </c>
    </row>
    <row r="2371" spans="1:10" x14ac:dyDescent="0.2">
      <c r="A2371">
        <v>12370</v>
      </c>
      <c r="B2371" t="s">
        <v>10</v>
      </c>
      <c r="C2371" t="s">
        <v>9</v>
      </c>
      <c r="D2371" s="8">
        <v>5.79</v>
      </c>
      <c r="E2371">
        <v>4</v>
      </c>
      <c r="F2371" t="str">
        <f t="shared" ref="F2371:F2434" si="148">IF(E2371&lt;=3,"Value",
 IF(E2371&lt;=7,"Standard","Premium"))</f>
        <v>Standard</v>
      </c>
      <c r="G2371" s="3" cm="1">
        <f t="array" ref="G2371">_xlfn.XLOOKUP(C2371 &amp; F2371,
         [1]unilever_price_limits!A:A &amp; [1]unilever_price_limits!B:B,
         [1]unilever_price_limits!C:C)</f>
        <v>30</v>
      </c>
      <c r="H2371" s="8">
        <f t="shared" ref="H2371:H2434" si="149">D2371 * (1 + G2371/100)</f>
        <v>7.5270000000000001</v>
      </c>
      <c r="I2371" s="6">
        <f t="shared" ref="I2371:I2434" si="150">(H2371 / D2371 - 1) * 100</f>
        <v>30.000000000000004</v>
      </c>
      <c r="J2371" t="str">
        <f t="shared" ref="J2371:J2434" si="151">IF(I2370&gt; G2370, "⚠ Exceeds Limit", "OK")</f>
        <v>OK</v>
      </c>
    </row>
    <row r="2372" spans="1:10" x14ac:dyDescent="0.2">
      <c r="A2372">
        <v>12371</v>
      </c>
      <c r="B2372" t="s">
        <v>7</v>
      </c>
      <c r="C2372" t="s">
        <v>11</v>
      </c>
      <c r="D2372" s="8">
        <v>13.16</v>
      </c>
      <c r="E2372">
        <v>8</v>
      </c>
      <c r="F2372" t="str">
        <f t="shared" si="148"/>
        <v>Premium</v>
      </c>
      <c r="G2372" s="3" cm="1">
        <f t="array" ref="G2372">_xlfn.XLOOKUP(C2372 &amp; F2372,
         [1]unilever_price_limits!A:A &amp; [1]unilever_price_limits!B:B,
         [1]unilever_price_limits!C:C)</f>
        <v>50</v>
      </c>
      <c r="H2372" s="8">
        <f t="shared" si="149"/>
        <v>19.740000000000002</v>
      </c>
      <c r="I2372" s="6">
        <f t="shared" si="150"/>
        <v>50.000000000000021</v>
      </c>
      <c r="J2372" t="str">
        <f t="shared" si="151"/>
        <v>OK</v>
      </c>
    </row>
    <row r="2373" spans="1:10" x14ac:dyDescent="0.2">
      <c r="A2373">
        <v>12372</v>
      </c>
      <c r="B2373" t="s">
        <v>7</v>
      </c>
      <c r="C2373" t="s">
        <v>9</v>
      </c>
      <c r="D2373" s="8">
        <v>6.23</v>
      </c>
      <c r="E2373">
        <v>10</v>
      </c>
      <c r="F2373" t="str">
        <f t="shared" si="148"/>
        <v>Premium</v>
      </c>
      <c r="G2373" s="3" cm="1">
        <f t="array" ref="G2373">_xlfn.XLOOKUP(C2373 &amp; F2373,
         [1]unilever_price_limits!A:A &amp; [1]unilever_price_limits!B:B,
         [1]unilever_price_limits!C:C)</f>
        <v>60</v>
      </c>
      <c r="H2373" s="8">
        <f t="shared" si="149"/>
        <v>9.9680000000000017</v>
      </c>
      <c r="I2373" s="6">
        <f t="shared" si="150"/>
        <v>60.000000000000007</v>
      </c>
      <c r="J2373" t="str">
        <f t="shared" si="151"/>
        <v>OK</v>
      </c>
    </row>
    <row r="2374" spans="1:10" x14ac:dyDescent="0.2">
      <c r="A2374">
        <v>12373</v>
      </c>
      <c r="B2374" t="s">
        <v>7</v>
      </c>
      <c r="C2374" t="s">
        <v>11</v>
      </c>
      <c r="D2374" s="8">
        <v>5.36</v>
      </c>
      <c r="E2374">
        <v>3</v>
      </c>
      <c r="F2374" t="str">
        <f t="shared" si="148"/>
        <v>Value</v>
      </c>
      <c r="G2374" s="3" cm="1">
        <f t="array" ref="G2374">_xlfn.XLOOKUP(C2374 &amp; F2374,
         [1]unilever_price_limits!A:A &amp; [1]unilever_price_limits!B:B,
         [1]unilever_price_limits!C:C)</f>
        <v>10</v>
      </c>
      <c r="H2374" s="8">
        <f t="shared" si="149"/>
        <v>5.8960000000000008</v>
      </c>
      <c r="I2374" s="6">
        <f t="shared" si="150"/>
        <v>10.000000000000009</v>
      </c>
      <c r="J2374" t="str">
        <f t="shared" si="151"/>
        <v>OK</v>
      </c>
    </row>
    <row r="2375" spans="1:10" x14ac:dyDescent="0.2">
      <c r="A2375">
        <v>12374</v>
      </c>
      <c r="B2375" t="s">
        <v>7</v>
      </c>
      <c r="C2375" t="s">
        <v>9</v>
      </c>
      <c r="D2375" s="8">
        <v>3.51</v>
      </c>
      <c r="E2375">
        <v>3</v>
      </c>
      <c r="F2375" t="str">
        <f t="shared" si="148"/>
        <v>Value</v>
      </c>
      <c r="G2375" s="3" cm="1">
        <f t="array" ref="G2375">_xlfn.XLOOKUP(C2375 &amp; F2375,
         [1]unilever_price_limits!A:A &amp; [1]unilever_price_limits!B:B,
         [1]unilever_price_limits!C:C)</f>
        <v>15</v>
      </c>
      <c r="H2375" s="8">
        <f t="shared" si="149"/>
        <v>4.0364999999999993</v>
      </c>
      <c r="I2375" s="6">
        <f t="shared" si="150"/>
        <v>14.999999999999991</v>
      </c>
      <c r="J2375" t="str">
        <f t="shared" si="151"/>
        <v>OK</v>
      </c>
    </row>
    <row r="2376" spans="1:10" x14ac:dyDescent="0.2">
      <c r="A2376">
        <v>12375</v>
      </c>
      <c r="B2376" t="s">
        <v>10</v>
      </c>
      <c r="C2376" t="s">
        <v>11</v>
      </c>
      <c r="D2376" s="8">
        <v>5.98</v>
      </c>
      <c r="E2376">
        <v>9</v>
      </c>
      <c r="F2376" t="str">
        <f t="shared" si="148"/>
        <v>Premium</v>
      </c>
      <c r="G2376" s="3" cm="1">
        <f t="array" ref="G2376">_xlfn.XLOOKUP(C2376 &amp; F2376,
         [1]unilever_price_limits!A:A &amp; [1]unilever_price_limits!B:B,
         [1]unilever_price_limits!C:C)</f>
        <v>50</v>
      </c>
      <c r="H2376" s="8">
        <f t="shared" si="149"/>
        <v>8.9700000000000006</v>
      </c>
      <c r="I2376" s="6">
        <f t="shared" si="150"/>
        <v>50</v>
      </c>
      <c r="J2376" t="str">
        <f t="shared" si="151"/>
        <v>OK</v>
      </c>
    </row>
    <row r="2377" spans="1:10" x14ac:dyDescent="0.2">
      <c r="A2377">
        <v>12376</v>
      </c>
      <c r="B2377" t="s">
        <v>7</v>
      </c>
      <c r="C2377" t="s">
        <v>6</v>
      </c>
      <c r="D2377" s="8">
        <v>5.09</v>
      </c>
      <c r="E2377">
        <v>10</v>
      </c>
      <c r="F2377" t="str">
        <f t="shared" si="148"/>
        <v>Premium</v>
      </c>
      <c r="G2377" s="3" cm="1">
        <f t="array" ref="G2377">_xlfn.XLOOKUP(C2377 &amp; F2377,
         [1]unilever_price_limits!A:A &amp; [1]unilever_price_limits!B:B,
         [1]unilever_price_limits!C:C)</f>
        <v>55</v>
      </c>
      <c r="H2377" s="8">
        <f t="shared" si="149"/>
        <v>7.8895</v>
      </c>
      <c r="I2377" s="6">
        <f t="shared" si="150"/>
        <v>55.000000000000007</v>
      </c>
      <c r="J2377" t="str">
        <f t="shared" si="151"/>
        <v>OK</v>
      </c>
    </row>
    <row r="2378" spans="1:10" x14ac:dyDescent="0.2">
      <c r="A2378">
        <v>12377</v>
      </c>
      <c r="B2378" t="s">
        <v>5</v>
      </c>
      <c r="C2378" t="s">
        <v>6</v>
      </c>
      <c r="D2378" s="8">
        <v>10.32</v>
      </c>
      <c r="E2378">
        <v>8</v>
      </c>
      <c r="F2378" t="str">
        <f t="shared" si="148"/>
        <v>Premium</v>
      </c>
      <c r="G2378" s="3" cm="1">
        <f t="array" ref="G2378">_xlfn.XLOOKUP(C2378 &amp; F2378,
         [1]unilever_price_limits!A:A &amp; [1]unilever_price_limits!B:B,
         [1]unilever_price_limits!C:C)</f>
        <v>55</v>
      </c>
      <c r="H2378" s="8">
        <f t="shared" si="149"/>
        <v>15.996</v>
      </c>
      <c r="I2378" s="6">
        <f t="shared" si="150"/>
        <v>55.000000000000007</v>
      </c>
      <c r="J2378" t="str">
        <f t="shared" si="151"/>
        <v>OK</v>
      </c>
    </row>
    <row r="2379" spans="1:10" x14ac:dyDescent="0.2">
      <c r="A2379">
        <v>12378</v>
      </c>
      <c r="B2379" t="s">
        <v>7</v>
      </c>
      <c r="C2379" t="s">
        <v>9</v>
      </c>
      <c r="D2379" s="8">
        <v>4.7</v>
      </c>
      <c r="E2379">
        <v>1</v>
      </c>
      <c r="F2379" t="str">
        <f t="shared" si="148"/>
        <v>Value</v>
      </c>
      <c r="G2379" s="3" cm="1">
        <f t="array" ref="G2379">_xlfn.XLOOKUP(C2379 &amp; F2379,
         [1]unilever_price_limits!A:A &amp; [1]unilever_price_limits!B:B,
         [1]unilever_price_limits!C:C)</f>
        <v>15</v>
      </c>
      <c r="H2379" s="8">
        <f t="shared" si="149"/>
        <v>5.4049999999999994</v>
      </c>
      <c r="I2379" s="6">
        <f t="shared" si="150"/>
        <v>14.999999999999991</v>
      </c>
      <c r="J2379" t="str">
        <f t="shared" si="151"/>
        <v>OK</v>
      </c>
    </row>
    <row r="2380" spans="1:10" x14ac:dyDescent="0.2">
      <c r="A2380">
        <v>12379</v>
      </c>
      <c r="B2380" t="s">
        <v>8</v>
      </c>
      <c r="C2380" t="s">
        <v>11</v>
      </c>
      <c r="D2380" s="8">
        <v>8.8699999999999992</v>
      </c>
      <c r="E2380">
        <v>10</v>
      </c>
      <c r="F2380" t="str">
        <f t="shared" si="148"/>
        <v>Premium</v>
      </c>
      <c r="G2380" s="3" cm="1">
        <f t="array" ref="G2380">_xlfn.XLOOKUP(C2380 &amp; F2380,
         [1]unilever_price_limits!A:A &amp; [1]unilever_price_limits!B:B,
         [1]unilever_price_limits!C:C)</f>
        <v>50</v>
      </c>
      <c r="H2380" s="8">
        <f t="shared" si="149"/>
        <v>13.305</v>
      </c>
      <c r="I2380" s="6">
        <f t="shared" si="150"/>
        <v>50</v>
      </c>
      <c r="J2380" t="str">
        <f t="shared" si="151"/>
        <v>OK</v>
      </c>
    </row>
    <row r="2381" spans="1:10" x14ac:dyDescent="0.2">
      <c r="A2381">
        <v>12380</v>
      </c>
      <c r="B2381" t="s">
        <v>7</v>
      </c>
      <c r="C2381" t="s">
        <v>11</v>
      </c>
      <c r="D2381" s="8">
        <v>1.46</v>
      </c>
      <c r="E2381">
        <v>2</v>
      </c>
      <c r="F2381" t="str">
        <f t="shared" si="148"/>
        <v>Value</v>
      </c>
      <c r="G2381" s="3" cm="1">
        <f t="array" ref="G2381">_xlfn.XLOOKUP(C2381 &amp; F2381,
         [1]unilever_price_limits!A:A &amp; [1]unilever_price_limits!B:B,
         [1]unilever_price_limits!C:C)</f>
        <v>10</v>
      </c>
      <c r="H2381" s="8">
        <f t="shared" si="149"/>
        <v>1.6060000000000001</v>
      </c>
      <c r="I2381" s="6">
        <f t="shared" si="150"/>
        <v>10.000000000000009</v>
      </c>
      <c r="J2381" t="str">
        <f t="shared" si="151"/>
        <v>OK</v>
      </c>
    </row>
    <row r="2382" spans="1:10" x14ac:dyDescent="0.2">
      <c r="A2382">
        <v>12381</v>
      </c>
      <c r="B2382" t="s">
        <v>10</v>
      </c>
      <c r="C2382" t="s">
        <v>9</v>
      </c>
      <c r="D2382" s="8">
        <v>3.27</v>
      </c>
      <c r="E2382">
        <v>3</v>
      </c>
      <c r="F2382" t="str">
        <f t="shared" si="148"/>
        <v>Value</v>
      </c>
      <c r="G2382" s="3" cm="1">
        <f t="array" ref="G2382">_xlfn.XLOOKUP(C2382 &amp; F2382,
         [1]unilever_price_limits!A:A &amp; [1]unilever_price_limits!B:B,
         [1]unilever_price_limits!C:C)</f>
        <v>15</v>
      </c>
      <c r="H2382" s="8">
        <f t="shared" si="149"/>
        <v>3.7604999999999995</v>
      </c>
      <c r="I2382" s="6">
        <f t="shared" si="150"/>
        <v>14.999999999999991</v>
      </c>
      <c r="J2382" t="str">
        <f t="shared" si="151"/>
        <v>OK</v>
      </c>
    </row>
    <row r="2383" spans="1:10" x14ac:dyDescent="0.2">
      <c r="A2383">
        <v>12382</v>
      </c>
      <c r="B2383" t="s">
        <v>8</v>
      </c>
      <c r="C2383" t="s">
        <v>11</v>
      </c>
      <c r="D2383" s="8">
        <v>6.41</v>
      </c>
      <c r="E2383">
        <v>2</v>
      </c>
      <c r="F2383" t="str">
        <f t="shared" si="148"/>
        <v>Value</v>
      </c>
      <c r="G2383" s="3" cm="1">
        <f t="array" ref="G2383">_xlfn.XLOOKUP(C2383 &amp; F2383,
         [1]unilever_price_limits!A:A &amp; [1]unilever_price_limits!B:B,
         [1]unilever_price_limits!C:C)</f>
        <v>10</v>
      </c>
      <c r="H2383" s="8">
        <f t="shared" si="149"/>
        <v>7.051000000000001</v>
      </c>
      <c r="I2383" s="6">
        <f t="shared" si="150"/>
        <v>10.000000000000009</v>
      </c>
      <c r="J2383" t="str">
        <f t="shared" si="151"/>
        <v>OK</v>
      </c>
    </row>
    <row r="2384" spans="1:10" x14ac:dyDescent="0.2">
      <c r="A2384">
        <v>12383</v>
      </c>
      <c r="B2384" t="s">
        <v>10</v>
      </c>
      <c r="C2384" t="s">
        <v>9</v>
      </c>
      <c r="D2384" s="8">
        <v>14.09</v>
      </c>
      <c r="E2384">
        <v>3</v>
      </c>
      <c r="F2384" t="str">
        <f t="shared" si="148"/>
        <v>Value</v>
      </c>
      <c r="G2384" s="3" cm="1">
        <f t="array" ref="G2384">_xlfn.XLOOKUP(C2384 &amp; F2384,
         [1]unilever_price_limits!A:A &amp; [1]unilever_price_limits!B:B,
         [1]unilever_price_limits!C:C)</f>
        <v>15</v>
      </c>
      <c r="H2384" s="8">
        <f t="shared" si="149"/>
        <v>16.203499999999998</v>
      </c>
      <c r="I2384" s="6">
        <f t="shared" si="150"/>
        <v>14.999999999999991</v>
      </c>
      <c r="J2384" t="str">
        <f t="shared" si="151"/>
        <v>OK</v>
      </c>
    </row>
    <row r="2385" spans="1:10" x14ac:dyDescent="0.2">
      <c r="A2385">
        <v>12384</v>
      </c>
      <c r="B2385" t="s">
        <v>10</v>
      </c>
      <c r="C2385" t="s">
        <v>11</v>
      </c>
      <c r="D2385" s="8">
        <v>5.97</v>
      </c>
      <c r="E2385">
        <v>8</v>
      </c>
      <c r="F2385" t="str">
        <f t="shared" si="148"/>
        <v>Premium</v>
      </c>
      <c r="G2385" s="3" cm="1">
        <f t="array" ref="G2385">_xlfn.XLOOKUP(C2385 &amp; F2385,
         [1]unilever_price_limits!A:A &amp; [1]unilever_price_limits!B:B,
         [1]unilever_price_limits!C:C)</f>
        <v>50</v>
      </c>
      <c r="H2385" s="8">
        <f t="shared" si="149"/>
        <v>8.9550000000000001</v>
      </c>
      <c r="I2385" s="6">
        <f t="shared" si="150"/>
        <v>50</v>
      </c>
      <c r="J2385" t="str">
        <f t="shared" si="151"/>
        <v>OK</v>
      </c>
    </row>
    <row r="2386" spans="1:10" x14ac:dyDescent="0.2">
      <c r="A2386">
        <v>12385</v>
      </c>
      <c r="B2386" t="s">
        <v>8</v>
      </c>
      <c r="C2386" t="s">
        <v>9</v>
      </c>
      <c r="D2386" s="8">
        <v>10.130000000000001</v>
      </c>
      <c r="E2386">
        <v>6</v>
      </c>
      <c r="F2386" t="str">
        <f t="shared" si="148"/>
        <v>Standard</v>
      </c>
      <c r="G2386" s="3" cm="1">
        <f t="array" ref="G2386">_xlfn.XLOOKUP(C2386 &amp; F2386,
         [1]unilever_price_limits!A:A &amp; [1]unilever_price_limits!B:B,
         [1]unilever_price_limits!C:C)</f>
        <v>30</v>
      </c>
      <c r="H2386" s="8">
        <f t="shared" si="149"/>
        <v>13.169000000000002</v>
      </c>
      <c r="I2386" s="6">
        <f t="shared" si="150"/>
        <v>30.000000000000004</v>
      </c>
      <c r="J2386" t="str">
        <f t="shared" si="151"/>
        <v>OK</v>
      </c>
    </row>
    <row r="2387" spans="1:10" x14ac:dyDescent="0.2">
      <c r="A2387">
        <v>12386</v>
      </c>
      <c r="B2387" t="s">
        <v>10</v>
      </c>
      <c r="C2387" t="s">
        <v>11</v>
      </c>
      <c r="D2387" s="8">
        <v>4.2</v>
      </c>
      <c r="E2387">
        <v>7</v>
      </c>
      <c r="F2387" t="str">
        <f t="shared" si="148"/>
        <v>Standard</v>
      </c>
      <c r="G2387" s="3" cm="1">
        <f t="array" ref="G2387">_xlfn.XLOOKUP(C2387 &amp; F2387,
         [1]unilever_price_limits!A:A &amp; [1]unilever_price_limits!B:B,
         [1]unilever_price_limits!C:C)</f>
        <v>25</v>
      </c>
      <c r="H2387" s="8">
        <f t="shared" si="149"/>
        <v>5.25</v>
      </c>
      <c r="I2387" s="6">
        <f t="shared" si="150"/>
        <v>25</v>
      </c>
      <c r="J2387" t="str">
        <f t="shared" si="151"/>
        <v>OK</v>
      </c>
    </row>
    <row r="2388" spans="1:10" x14ac:dyDescent="0.2">
      <c r="A2388">
        <v>12387</v>
      </c>
      <c r="B2388" t="s">
        <v>10</v>
      </c>
      <c r="C2388" t="s">
        <v>9</v>
      </c>
      <c r="D2388" s="8">
        <v>2.34</v>
      </c>
      <c r="E2388">
        <v>10</v>
      </c>
      <c r="F2388" t="str">
        <f t="shared" si="148"/>
        <v>Premium</v>
      </c>
      <c r="G2388" s="3" cm="1">
        <f t="array" ref="G2388">_xlfn.XLOOKUP(C2388 &amp; F2388,
         [1]unilever_price_limits!A:A &amp; [1]unilever_price_limits!B:B,
         [1]unilever_price_limits!C:C)</f>
        <v>60</v>
      </c>
      <c r="H2388" s="8">
        <f t="shared" si="149"/>
        <v>3.7439999999999998</v>
      </c>
      <c r="I2388" s="6">
        <f t="shared" si="150"/>
        <v>60.000000000000007</v>
      </c>
      <c r="J2388" t="str">
        <f t="shared" si="151"/>
        <v>OK</v>
      </c>
    </row>
    <row r="2389" spans="1:10" x14ac:dyDescent="0.2">
      <c r="A2389">
        <v>12388</v>
      </c>
      <c r="B2389" t="s">
        <v>7</v>
      </c>
      <c r="C2389" t="s">
        <v>11</v>
      </c>
      <c r="D2389" s="8">
        <v>1.35</v>
      </c>
      <c r="E2389">
        <v>10</v>
      </c>
      <c r="F2389" t="str">
        <f t="shared" si="148"/>
        <v>Premium</v>
      </c>
      <c r="G2389" s="3" cm="1">
        <f t="array" ref="G2389">_xlfn.XLOOKUP(C2389 &amp; F2389,
         [1]unilever_price_limits!A:A &amp; [1]unilever_price_limits!B:B,
         [1]unilever_price_limits!C:C)</f>
        <v>50</v>
      </c>
      <c r="H2389" s="8">
        <f t="shared" si="149"/>
        <v>2.0250000000000004</v>
      </c>
      <c r="I2389" s="6">
        <f t="shared" si="150"/>
        <v>50.000000000000021</v>
      </c>
      <c r="J2389" t="str">
        <f t="shared" si="151"/>
        <v>OK</v>
      </c>
    </row>
    <row r="2390" spans="1:10" x14ac:dyDescent="0.2">
      <c r="A2390">
        <v>12389</v>
      </c>
      <c r="B2390" t="s">
        <v>5</v>
      </c>
      <c r="C2390" t="s">
        <v>6</v>
      </c>
      <c r="D2390" s="8">
        <v>4.93</v>
      </c>
      <c r="E2390">
        <v>6</v>
      </c>
      <c r="F2390" t="str">
        <f t="shared" si="148"/>
        <v>Standard</v>
      </c>
      <c r="G2390" s="3" cm="1">
        <f t="array" ref="G2390">_xlfn.XLOOKUP(C2390 &amp; F2390,
         [1]unilever_price_limits!A:A &amp; [1]unilever_price_limits!B:B,
         [1]unilever_price_limits!C:C)</f>
        <v>28</v>
      </c>
      <c r="H2390" s="8">
        <f t="shared" si="149"/>
        <v>6.3103999999999996</v>
      </c>
      <c r="I2390" s="6">
        <f t="shared" si="150"/>
        <v>28.000000000000004</v>
      </c>
      <c r="J2390" t="str">
        <f t="shared" si="151"/>
        <v>OK</v>
      </c>
    </row>
    <row r="2391" spans="1:10" x14ac:dyDescent="0.2">
      <c r="A2391">
        <v>12390</v>
      </c>
      <c r="B2391" t="s">
        <v>10</v>
      </c>
      <c r="C2391" t="s">
        <v>11</v>
      </c>
      <c r="D2391" s="8">
        <v>2.79</v>
      </c>
      <c r="E2391">
        <v>1</v>
      </c>
      <c r="F2391" t="str">
        <f t="shared" si="148"/>
        <v>Value</v>
      </c>
      <c r="G2391" s="3" cm="1">
        <f t="array" ref="G2391">_xlfn.XLOOKUP(C2391 &amp; F2391,
         [1]unilever_price_limits!A:A &amp; [1]unilever_price_limits!B:B,
         [1]unilever_price_limits!C:C)</f>
        <v>10</v>
      </c>
      <c r="H2391" s="8">
        <f t="shared" si="149"/>
        <v>3.0690000000000004</v>
      </c>
      <c r="I2391" s="6">
        <f t="shared" si="150"/>
        <v>10.000000000000009</v>
      </c>
      <c r="J2391" t="str">
        <f t="shared" si="151"/>
        <v>OK</v>
      </c>
    </row>
    <row r="2392" spans="1:10" x14ac:dyDescent="0.2">
      <c r="A2392">
        <v>12391</v>
      </c>
      <c r="B2392" t="s">
        <v>10</v>
      </c>
      <c r="C2392" t="s">
        <v>9</v>
      </c>
      <c r="D2392" s="8">
        <v>3.02</v>
      </c>
      <c r="E2392">
        <v>3</v>
      </c>
      <c r="F2392" t="str">
        <f t="shared" si="148"/>
        <v>Value</v>
      </c>
      <c r="G2392" s="3" cm="1">
        <f t="array" ref="G2392">_xlfn.XLOOKUP(C2392 &amp; F2392,
         [1]unilever_price_limits!A:A &amp; [1]unilever_price_limits!B:B,
         [1]unilever_price_limits!C:C)</f>
        <v>15</v>
      </c>
      <c r="H2392" s="8">
        <f t="shared" si="149"/>
        <v>3.4729999999999999</v>
      </c>
      <c r="I2392" s="6">
        <f t="shared" si="150"/>
        <v>14.999999999999991</v>
      </c>
      <c r="J2392" t="str">
        <f t="shared" si="151"/>
        <v>OK</v>
      </c>
    </row>
    <row r="2393" spans="1:10" x14ac:dyDescent="0.2">
      <c r="A2393">
        <v>12392</v>
      </c>
      <c r="B2393" t="s">
        <v>10</v>
      </c>
      <c r="C2393" t="s">
        <v>6</v>
      </c>
      <c r="D2393" s="8">
        <v>11.53</v>
      </c>
      <c r="E2393">
        <v>1</v>
      </c>
      <c r="F2393" t="str">
        <f t="shared" si="148"/>
        <v>Value</v>
      </c>
      <c r="G2393" s="3" cm="1">
        <f t="array" ref="G2393">_xlfn.XLOOKUP(C2393 &amp; F2393,
         [1]unilever_price_limits!A:A &amp; [1]unilever_price_limits!B:B,
         [1]unilever_price_limits!C:C)</f>
        <v>12</v>
      </c>
      <c r="H2393" s="8">
        <f t="shared" si="149"/>
        <v>12.913600000000001</v>
      </c>
      <c r="I2393" s="6">
        <f t="shared" si="150"/>
        <v>12.000000000000011</v>
      </c>
      <c r="J2393" t="str">
        <f t="shared" si="151"/>
        <v>OK</v>
      </c>
    </row>
    <row r="2394" spans="1:10" x14ac:dyDescent="0.2">
      <c r="A2394">
        <v>12393</v>
      </c>
      <c r="B2394" t="s">
        <v>7</v>
      </c>
      <c r="C2394" t="s">
        <v>11</v>
      </c>
      <c r="D2394" s="8">
        <v>0.73</v>
      </c>
      <c r="E2394">
        <v>10</v>
      </c>
      <c r="F2394" t="str">
        <f t="shared" si="148"/>
        <v>Premium</v>
      </c>
      <c r="G2394" s="3" cm="1">
        <f t="array" ref="G2394">_xlfn.XLOOKUP(C2394 &amp; F2394,
         [1]unilever_price_limits!A:A &amp; [1]unilever_price_limits!B:B,
         [1]unilever_price_limits!C:C)</f>
        <v>50</v>
      </c>
      <c r="H2394" s="8">
        <f t="shared" si="149"/>
        <v>1.095</v>
      </c>
      <c r="I2394" s="6">
        <f t="shared" si="150"/>
        <v>50</v>
      </c>
      <c r="J2394" t="str">
        <f t="shared" si="151"/>
        <v>OK</v>
      </c>
    </row>
    <row r="2395" spans="1:10" x14ac:dyDescent="0.2">
      <c r="A2395">
        <v>12394</v>
      </c>
      <c r="B2395" t="s">
        <v>5</v>
      </c>
      <c r="C2395" t="s">
        <v>6</v>
      </c>
      <c r="D2395" s="8">
        <v>8.59</v>
      </c>
      <c r="E2395">
        <v>9</v>
      </c>
      <c r="F2395" t="str">
        <f t="shared" si="148"/>
        <v>Premium</v>
      </c>
      <c r="G2395" s="3" cm="1">
        <f t="array" ref="G2395">_xlfn.XLOOKUP(C2395 &amp; F2395,
         [1]unilever_price_limits!A:A &amp; [1]unilever_price_limits!B:B,
         [1]unilever_price_limits!C:C)</f>
        <v>55</v>
      </c>
      <c r="H2395" s="8">
        <f t="shared" si="149"/>
        <v>13.314500000000001</v>
      </c>
      <c r="I2395" s="6">
        <f t="shared" si="150"/>
        <v>55.000000000000007</v>
      </c>
      <c r="J2395" t="str">
        <f t="shared" si="151"/>
        <v>OK</v>
      </c>
    </row>
    <row r="2396" spans="1:10" x14ac:dyDescent="0.2">
      <c r="A2396">
        <v>12395</v>
      </c>
      <c r="B2396" t="s">
        <v>8</v>
      </c>
      <c r="C2396" t="s">
        <v>11</v>
      </c>
      <c r="D2396" s="8">
        <v>6</v>
      </c>
      <c r="E2396">
        <v>9</v>
      </c>
      <c r="F2396" t="str">
        <f t="shared" si="148"/>
        <v>Premium</v>
      </c>
      <c r="G2396" s="3" cm="1">
        <f t="array" ref="G2396">_xlfn.XLOOKUP(C2396 &amp; F2396,
         [1]unilever_price_limits!A:A &amp; [1]unilever_price_limits!B:B,
         [1]unilever_price_limits!C:C)</f>
        <v>50</v>
      </c>
      <c r="H2396" s="8">
        <f t="shared" si="149"/>
        <v>9</v>
      </c>
      <c r="I2396" s="6">
        <f t="shared" si="150"/>
        <v>50</v>
      </c>
      <c r="J2396" t="str">
        <f t="shared" si="151"/>
        <v>OK</v>
      </c>
    </row>
    <row r="2397" spans="1:10" x14ac:dyDescent="0.2">
      <c r="A2397">
        <v>12396</v>
      </c>
      <c r="B2397" t="s">
        <v>7</v>
      </c>
      <c r="C2397" t="s">
        <v>6</v>
      </c>
      <c r="D2397" s="8">
        <v>7.84</v>
      </c>
      <c r="E2397">
        <v>5</v>
      </c>
      <c r="F2397" t="str">
        <f t="shared" si="148"/>
        <v>Standard</v>
      </c>
      <c r="G2397" s="3" cm="1">
        <f t="array" ref="G2397">_xlfn.XLOOKUP(C2397 &amp; F2397,
         [1]unilever_price_limits!A:A &amp; [1]unilever_price_limits!B:B,
         [1]unilever_price_limits!C:C)</f>
        <v>28</v>
      </c>
      <c r="H2397" s="8">
        <f t="shared" si="149"/>
        <v>10.0352</v>
      </c>
      <c r="I2397" s="6">
        <f t="shared" si="150"/>
        <v>28.000000000000004</v>
      </c>
      <c r="J2397" t="str">
        <f t="shared" si="151"/>
        <v>OK</v>
      </c>
    </row>
    <row r="2398" spans="1:10" x14ac:dyDescent="0.2">
      <c r="A2398">
        <v>12397</v>
      </c>
      <c r="B2398" t="s">
        <v>7</v>
      </c>
      <c r="C2398" t="s">
        <v>9</v>
      </c>
      <c r="D2398" s="8">
        <v>8.66</v>
      </c>
      <c r="E2398">
        <v>4</v>
      </c>
      <c r="F2398" t="str">
        <f t="shared" si="148"/>
        <v>Standard</v>
      </c>
      <c r="G2398" s="3" cm="1">
        <f t="array" ref="G2398">_xlfn.XLOOKUP(C2398 &amp; F2398,
         [1]unilever_price_limits!A:A &amp; [1]unilever_price_limits!B:B,
         [1]unilever_price_limits!C:C)</f>
        <v>30</v>
      </c>
      <c r="H2398" s="8">
        <f t="shared" si="149"/>
        <v>11.258000000000001</v>
      </c>
      <c r="I2398" s="6">
        <f t="shared" si="150"/>
        <v>30.000000000000004</v>
      </c>
      <c r="J2398" t="str">
        <f t="shared" si="151"/>
        <v>OK</v>
      </c>
    </row>
    <row r="2399" spans="1:10" x14ac:dyDescent="0.2">
      <c r="A2399">
        <v>12398</v>
      </c>
      <c r="B2399" t="s">
        <v>5</v>
      </c>
      <c r="C2399" t="s">
        <v>11</v>
      </c>
      <c r="D2399" s="8">
        <v>5.04</v>
      </c>
      <c r="E2399">
        <v>9</v>
      </c>
      <c r="F2399" t="str">
        <f t="shared" si="148"/>
        <v>Premium</v>
      </c>
      <c r="G2399" s="3" cm="1">
        <f t="array" ref="G2399">_xlfn.XLOOKUP(C2399 &amp; F2399,
         [1]unilever_price_limits!A:A &amp; [1]unilever_price_limits!B:B,
         [1]unilever_price_limits!C:C)</f>
        <v>50</v>
      </c>
      <c r="H2399" s="8">
        <f t="shared" si="149"/>
        <v>7.5600000000000005</v>
      </c>
      <c r="I2399" s="6">
        <f t="shared" si="150"/>
        <v>50</v>
      </c>
      <c r="J2399" t="str">
        <f t="shared" si="151"/>
        <v>OK</v>
      </c>
    </row>
    <row r="2400" spans="1:10" x14ac:dyDescent="0.2">
      <c r="A2400">
        <v>12399</v>
      </c>
      <c r="B2400" t="s">
        <v>5</v>
      </c>
      <c r="C2400" t="s">
        <v>11</v>
      </c>
      <c r="D2400" s="8">
        <v>4.78</v>
      </c>
      <c r="E2400">
        <v>9</v>
      </c>
      <c r="F2400" t="str">
        <f t="shared" si="148"/>
        <v>Premium</v>
      </c>
      <c r="G2400" s="3" cm="1">
        <f t="array" ref="G2400">_xlfn.XLOOKUP(C2400 &amp; F2400,
         [1]unilever_price_limits!A:A &amp; [1]unilever_price_limits!B:B,
         [1]unilever_price_limits!C:C)</f>
        <v>50</v>
      </c>
      <c r="H2400" s="8">
        <f t="shared" si="149"/>
        <v>7.17</v>
      </c>
      <c r="I2400" s="6">
        <f t="shared" si="150"/>
        <v>50</v>
      </c>
      <c r="J2400" t="str">
        <f t="shared" si="151"/>
        <v>OK</v>
      </c>
    </row>
    <row r="2401" spans="1:10" x14ac:dyDescent="0.2">
      <c r="A2401">
        <v>12400</v>
      </c>
      <c r="B2401" t="s">
        <v>7</v>
      </c>
      <c r="C2401" t="s">
        <v>9</v>
      </c>
      <c r="D2401" s="8">
        <v>11.13</v>
      </c>
      <c r="E2401">
        <v>3</v>
      </c>
      <c r="F2401" t="str">
        <f t="shared" si="148"/>
        <v>Value</v>
      </c>
      <c r="G2401" s="3" cm="1">
        <f t="array" ref="G2401">_xlfn.XLOOKUP(C2401 &amp; F2401,
         [1]unilever_price_limits!A:A &amp; [1]unilever_price_limits!B:B,
         [1]unilever_price_limits!C:C)</f>
        <v>15</v>
      </c>
      <c r="H2401" s="8">
        <f t="shared" si="149"/>
        <v>12.7995</v>
      </c>
      <c r="I2401" s="6">
        <f t="shared" si="150"/>
        <v>14.999999999999991</v>
      </c>
      <c r="J2401" t="str">
        <f t="shared" si="151"/>
        <v>OK</v>
      </c>
    </row>
    <row r="2402" spans="1:10" x14ac:dyDescent="0.2">
      <c r="A2402">
        <v>12401</v>
      </c>
      <c r="B2402" t="s">
        <v>8</v>
      </c>
      <c r="C2402" t="s">
        <v>6</v>
      </c>
      <c r="D2402" s="8">
        <v>13.13</v>
      </c>
      <c r="E2402">
        <v>5</v>
      </c>
      <c r="F2402" t="str">
        <f t="shared" si="148"/>
        <v>Standard</v>
      </c>
      <c r="G2402" s="3" cm="1">
        <f t="array" ref="G2402">_xlfn.XLOOKUP(C2402 &amp; F2402,
         [1]unilever_price_limits!A:A &amp; [1]unilever_price_limits!B:B,
         [1]unilever_price_limits!C:C)</f>
        <v>28</v>
      </c>
      <c r="H2402" s="8">
        <f t="shared" si="149"/>
        <v>16.8064</v>
      </c>
      <c r="I2402" s="6">
        <f t="shared" si="150"/>
        <v>28.000000000000004</v>
      </c>
      <c r="J2402" t="str">
        <f t="shared" si="151"/>
        <v>OK</v>
      </c>
    </row>
    <row r="2403" spans="1:10" x14ac:dyDescent="0.2">
      <c r="A2403">
        <v>12402</v>
      </c>
      <c r="B2403" t="s">
        <v>7</v>
      </c>
      <c r="C2403" t="s">
        <v>9</v>
      </c>
      <c r="D2403" s="8">
        <v>3.29</v>
      </c>
      <c r="E2403">
        <v>3</v>
      </c>
      <c r="F2403" t="str">
        <f t="shared" si="148"/>
        <v>Value</v>
      </c>
      <c r="G2403" s="3" cm="1">
        <f t="array" ref="G2403">_xlfn.XLOOKUP(C2403 &amp; F2403,
         [1]unilever_price_limits!A:A &amp; [1]unilever_price_limits!B:B,
         [1]unilever_price_limits!C:C)</f>
        <v>15</v>
      </c>
      <c r="H2403" s="8">
        <f t="shared" si="149"/>
        <v>3.7834999999999996</v>
      </c>
      <c r="I2403" s="6">
        <f t="shared" si="150"/>
        <v>14.999999999999991</v>
      </c>
      <c r="J2403" t="str">
        <f t="shared" si="151"/>
        <v>OK</v>
      </c>
    </row>
    <row r="2404" spans="1:10" x14ac:dyDescent="0.2">
      <c r="A2404">
        <v>12403</v>
      </c>
      <c r="B2404" t="s">
        <v>5</v>
      </c>
      <c r="C2404" t="s">
        <v>9</v>
      </c>
      <c r="D2404" s="8">
        <v>1.92</v>
      </c>
      <c r="E2404">
        <v>10</v>
      </c>
      <c r="F2404" t="str">
        <f t="shared" si="148"/>
        <v>Premium</v>
      </c>
      <c r="G2404" s="3" cm="1">
        <f t="array" ref="G2404">_xlfn.XLOOKUP(C2404 &amp; F2404,
         [1]unilever_price_limits!A:A &amp; [1]unilever_price_limits!B:B,
         [1]unilever_price_limits!C:C)</f>
        <v>60</v>
      </c>
      <c r="H2404" s="8">
        <f t="shared" si="149"/>
        <v>3.0720000000000001</v>
      </c>
      <c r="I2404" s="6">
        <f t="shared" si="150"/>
        <v>60.000000000000007</v>
      </c>
      <c r="J2404" t="str">
        <f t="shared" si="151"/>
        <v>OK</v>
      </c>
    </row>
    <row r="2405" spans="1:10" x14ac:dyDescent="0.2">
      <c r="A2405">
        <v>12404</v>
      </c>
      <c r="B2405" t="s">
        <v>8</v>
      </c>
      <c r="C2405" t="s">
        <v>6</v>
      </c>
      <c r="D2405" s="8">
        <v>13.52</v>
      </c>
      <c r="E2405">
        <v>2</v>
      </c>
      <c r="F2405" t="str">
        <f t="shared" si="148"/>
        <v>Value</v>
      </c>
      <c r="G2405" s="3" cm="1">
        <f t="array" ref="G2405">_xlfn.XLOOKUP(C2405 &amp; F2405,
         [1]unilever_price_limits!A:A &amp; [1]unilever_price_limits!B:B,
         [1]unilever_price_limits!C:C)</f>
        <v>12</v>
      </c>
      <c r="H2405" s="8">
        <f t="shared" si="149"/>
        <v>15.1424</v>
      </c>
      <c r="I2405" s="6">
        <f t="shared" si="150"/>
        <v>12.000000000000011</v>
      </c>
      <c r="J2405" t="str">
        <f t="shared" si="151"/>
        <v>OK</v>
      </c>
    </row>
    <row r="2406" spans="1:10" x14ac:dyDescent="0.2">
      <c r="A2406">
        <v>12405</v>
      </c>
      <c r="B2406" t="s">
        <v>5</v>
      </c>
      <c r="C2406" t="s">
        <v>9</v>
      </c>
      <c r="D2406" s="8">
        <v>5.57</v>
      </c>
      <c r="E2406">
        <v>1</v>
      </c>
      <c r="F2406" t="str">
        <f t="shared" si="148"/>
        <v>Value</v>
      </c>
      <c r="G2406" s="3" cm="1">
        <f t="array" ref="G2406">_xlfn.XLOOKUP(C2406 &amp; F2406,
         [1]unilever_price_limits!A:A &amp; [1]unilever_price_limits!B:B,
         [1]unilever_price_limits!C:C)</f>
        <v>15</v>
      </c>
      <c r="H2406" s="8">
        <f t="shared" si="149"/>
        <v>6.4055</v>
      </c>
      <c r="I2406" s="6">
        <f t="shared" si="150"/>
        <v>14.999999999999991</v>
      </c>
      <c r="J2406" t="str">
        <f t="shared" si="151"/>
        <v>OK</v>
      </c>
    </row>
    <row r="2407" spans="1:10" x14ac:dyDescent="0.2">
      <c r="A2407">
        <v>12406</v>
      </c>
      <c r="B2407" t="s">
        <v>8</v>
      </c>
      <c r="C2407" t="s">
        <v>11</v>
      </c>
      <c r="D2407" s="8">
        <v>8.49</v>
      </c>
      <c r="E2407">
        <v>10</v>
      </c>
      <c r="F2407" t="str">
        <f t="shared" si="148"/>
        <v>Premium</v>
      </c>
      <c r="G2407" s="3" cm="1">
        <f t="array" ref="G2407">_xlfn.XLOOKUP(C2407 &amp; F2407,
         [1]unilever_price_limits!A:A &amp; [1]unilever_price_limits!B:B,
         [1]unilever_price_limits!C:C)</f>
        <v>50</v>
      </c>
      <c r="H2407" s="8">
        <f t="shared" si="149"/>
        <v>12.734999999999999</v>
      </c>
      <c r="I2407" s="6">
        <f t="shared" si="150"/>
        <v>50</v>
      </c>
      <c r="J2407" t="str">
        <f t="shared" si="151"/>
        <v>OK</v>
      </c>
    </row>
    <row r="2408" spans="1:10" x14ac:dyDescent="0.2">
      <c r="A2408">
        <v>12407</v>
      </c>
      <c r="B2408" t="s">
        <v>10</v>
      </c>
      <c r="C2408" t="s">
        <v>11</v>
      </c>
      <c r="D2408" s="8">
        <v>5.71</v>
      </c>
      <c r="E2408">
        <v>2</v>
      </c>
      <c r="F2408" t="str">
        <f t="shared" si="148"/>
        <v>Value</v>
      </c>
      <c r="G2408" s="3" cm="1">
        <f t="array" ref="G2408">_xlfn.XLOOKUP(C2408 &amp; F2408,
         [1]unilever_price_limits!A:A &amp; [1]unilever_price_limits!B:B,
         [1]unilever_price_limits!C:C)</f>
        <v>10</v>
      </c>
      <c r="H2408" s="8">
        <f t="shared" si="149"/>
        <v>6.2810000000000006</v>
      </c>
      <c r="I2408" s="6">
        <f t="shared" si="150"/>
        <v>10.000000000000009</v>
      </c>
      <c r="J2408" t="str">
        <f t="shared" si="151"/>
        <v>OK</v>
      </c>
    </row>
    <row r="2409" spans="1:10" x14ac:dyDescent="0.2">
      <c r="A2409">
        <v>12408</v>
      </c>
      <c r="B2409" t="s">
        <v>5</v>
      </c>
      <c r="C2409" t="s">
        <v>11</v>
      </c>
      <c r="D2409" s="8">
        <v>2.3199999999999998</v>
      </c>
      <c r="E2409">
        <v>8</v>
      </c>
      <c r="F2409" t="str">
        <f t="shared" si="148"/>
        <v>Premium</v>
      </c>
      <c r="G2409" s="3" cm="1">
        <f t="array" ref="G2409">_xlfn.XLOOKUP(C2409 &amp; F2409,
         [1]unilever_price_limits!A:A &amp; [1]unilever_price_limits!B:B,
         [1]unilever_price_limits!C:C)</f>
        <v>50</v>
      </c>
      <c r="H2409" s="8">
        <f t="shared" si="149"/>
        <v>3.4799999999999995</v>
      </c>
      <c r="I2409" s="6">
        <f t="shared" si="150"/>
        <v>50</v>
      </c>
      <c r="J2409" t="str">
        <f t="shared" si="151"/>
        <v>OK</v>
      </c>
    </row>
    <row r="2410" spans="1:10" x14ac:dyDescent="0.2">
      <c r="A2410">
        <v>12409</v>
      </c>
      <c r="B2410" t="s">
        <v>5</v>
      </c>
      <c r="C2410" t="s">
        <v>9</v>
      </c>
      <c r="D2410" s="8">
        <v>9.0500000000000007</v>
      </c>
      <c r="E2410">
        <v>8</v>
      </c>
      <c r="F2410" t="str">
        <f t="shared" si="148"/>
        <v>Premium</v>
      </c>
      <c r="G2410" s="3" cm="1">
        <f t="array" ref="G2410">_xlfn.XLOOKUP(C2410 &amp; F2410,
         [1]unilever_price_limits!A:A &amp; [1]unilever_price_limits!B:B,
         [1]unilever_price_limits!C:C)</f>
        <v>60</v>
      </c>
      <c r="H2410" s="8">
        <f t="shared" si="149"/>
        <v>14.480000000000002</v>
      </c>
      <c r="I2410" s="6">
        <f t="shared" si="150"/>
        <v>60.000000000000007</v>
      </c>
      <c r="J2410" t="str">
        <f t="shared" si="151"/>
        <v>OK</v>
      </c>
    </row>
    <row r="2411" spans="1:10" x14ac:dyDescent="0.2">
      <c r="A2411">
        <v>12410</v>
      </c>
      <c r="B2411" t="s">
        <v>7</v>
      </c>
      <c r="C2411" t="s">
        <v>11</v>
      </c>
      <c r="D2411" s="8">
        <v>8.11</v>
      </c>
      <c r="E2411">
        <v>3</v>
      </c>
      <c r="F2411" t="str">
        <f t="shared" si="148"/>
        <v>Value</v>
      </c>
      <c r="G2411" s="3" cm="1">
        <f t="array" ref="G2411">_xlfn.XLOOKUP(C2411 &amp; F2411,
         [1]unilever_price_limits!A:A &amp; [1]unilever_price_limits!B:B,
         [1]unilever_price_limits!C:C)</f>
        <v>10</v>
      </c>
      <c r="H2411" s="8">
        <f t="shared" si="149"/>
        <v>8.9209999999999994</v>
      </c>
      <c r="I2411" s="6">
        <f t="shared" si="150"/>
        <v>10.000000000000009</v>
      </c>
      <c r="J2411" t="str">
        <f t="shared" si="151"/>
        <v>OK</v>
      </c>
    </row>
    <row r="2412" spans="1:10" x14ac:dyDescent="0.2">
      <c r="A2412">
        <v>12411</v>
      </c>
      <c r="B2412" t="s">
        <v>5</v>
      </c>
      <c r="C2412" t="s">
        <v>11</v>
      </c>
      <c r="D2412" s="8">
        <v>3.44</v>
      </c>
      <c r="E2412">
        <v>7</v>
      </c>
      <c r="F2412" t="str">
        <f t="shared" si="148"/>
        <v>Standard</v>
      </c>
      <c r="G2412" s="3" cm="1">
        <f t="array" ref="G2412">_xlfn.XLOOKUP(C2412 &amp; F2412,
         [1]unilever_price_limits!A:A &amp; [1]unilever_price_limits!B:B,
         [1]unilever_price_limits!C:C)</f>
        <v>25</v>
      </c>
      <c r="H2412" s="8">
        <f t="shared" si="149"/>
        <v>4.3</v>
      </c>
      <c r="I2412" s="6">
        <f t="shared" si="150"/>
        <v>25</v>
      </c>
      <c r="J2412" t="str">
        <f t="shared" si="151"/>
        <v>OK</v>
      </c>
    </row>
    <row r="2413" spans="1:10" x14ac:dyDescent="0.2">
      <c r="A2413">
        <v>12412</v>
      </c>
      <c r="B2413" t="s">
        <v>5</v>
      </c>
      <c r="C2413" t="s">
        <v>11</v>
      </c>
      <c r="D2413" s="8">
        <v>7.05</v>
      </c>
      <c r="E2413">
        <v>7</v>
      </c>
      <c r="F2413" t="str">
        <f t="shared" si="148"/>
        <v>Standard</v>
      </c>
      <c r="G2413" s="3" cm="1">
        <f t="array" ref="G2413">_xlfn.XLOOKUP(C2413 &amp; F2413,
         [1]unilever_price_limits!A:A &amp; [1]unilever_price_limits!B:B,
         [1]unilever_price_limits!C:C)</f>
        <v>25</v>
      </c>
      <c r="H2413" s="8">
        <f t="shared" si="149"/>
        <v>8.8125</v>
      </c>
      <c r="I2413" s="6">
        <f t="shared" si="150"/>
        <v>25</v>
      </c>
      <c r="J2413" t="str">
        <f t="shared" si="151"/>
        <v>OK</v>
      </c>
    </row>
    <row r="2414" spans="1:10" x14ac:dyDescent="0.2">
      <c r="A2414">
        <v>12413</v>
      </c>
      <c r="B2414" t="s">
        <v>10</v>
      </c>
      <c r="C2414" t="s">
        <v>11</v>
      </c>
      <c r="D2414" s="8">
        <v>12.06</v>
      </c>
      <c r="E2414">
        <v>2</v>
      </c>
      <c r="F2414" t="str">
        <f t="shared" si="148"/>
        <v>Value</v>
      </c>
      <c r="G2414" s="3" cm="1">
        <f t="array" ref="G2414">_xlfn.XLOOKUP(C2414 &amp; F2414,
         [1]unilever_price_limits!A:A &amp; [1]unilever_price_limits!B:B,
         [1]unilever_price_limits!C:C)</f>
        <v>10</v>
      </c>
      <c r="H2414" s="8">
        <f t="shared" si="149"/>
        <v>13.266000000000002</v>
      </c>
      <c r="I2414" s="6">
        <f t="shared" si="150"/>
        <v>10.000000000000009</v>
      </c>
      <c r="J2414" t="str">
        <f t="shared" si="151"/>
        <v>OK</v>
      </c>
    </row>
    <row r="2415" spans="1:10" x14ac:dyDescent="0.2">
      <c r="A2415">
        <v>12414</v>
      </c>
      <c r="B2415" t="s">
        <v>5</v>
      </c>
      <c r="C2415" t="s">
        <v>11</v>
      </c>
      <c r="D2415" s="8">
        <v>9.06</v>
      </c>
      <c r="E2415">
        <v>9</v>
      </c>
      <c r="F2415" t="str">
        <f t="shared" si="148"/>
        <v>Premium</v>
      </c>
      <c r="G2415" s="3" cm="1">
        <f t="array" ref="G2415">_xlfn.XLOOKUP(C2415 &amp; F2415,
         [1]unilever_price_limits!A:A &amp; [1]unilever_price_limits!B:B,
         [1]unilever_price_limits!C:C)</f>
        <v>50</v>
      </c>
      <c r="H2415" s="8">
        <f t="shared" si="149"/>
        <v>13.59</v>
      </c>
      <c r="I2415" s="6">
        <f t="shared" si="150"/>
        <v>50</v>
      </c>
      <c r="J2415" t="str">
        <f t="shared" si="151"/>
        <v>OK</v>
      </c>
    </row>
    <row r="2416" spans="1:10" x14ac:dyDescent="0.2">
      <c r="A2416">
        <v>12415</v>
      </c>
      <c r="B2416" t="s">
        <v>10</v>
      </c>
      <c r="C2416" t="s">
        <v>11</v>
      </c>
      <c r="D2416" s="8">
        <v>1.91</v>
      </c>
      <c r="E2416">
        <v>3</v>
      </c>
      <c r="F2416" t="str">
        <f t="shared" si="148"/>
        <v>Value</v>
      </c>
      <c r="G2416" s="3" cm="1">
        <f t="array" ref="G2416">_xlfn.XLOOKUP(C2416 &amp; F2416,
         [1]unilever_price_limits!A:A &amp; [1]unilever_price_limits!B:B,
         [1]unilever_price_limits!C:C)</f>
        <v>10</v>
      </c>
      <c r="H2416" s="8">
        <f t="shared" si="149"/>
        <v>2.101</v>
      </c>
      <c r="I2416" s="6">
        <f t="shared" si="150"/>
        <v>10.000000000000009</v>
      </c>
      <c r="J2416" t="str">
        <f t="shared" si="151"/>
        <v>OK</v>
      </c>
    </row>
    <row r="2417" spans="1:10" x14ac:dyDescent="0.2">
      <c r="A2417">
        <v>12416</v>
      </c>
      <c r="B2417" t="s">
        <v>10</v>
      </c>
      <c r="C2417" t="s">
        <v>9</v>
      </c>
      <c r="D2417" s="8">
        <v>8.4499999999999993</v>
      </c>
      <c r="E2417">
        <v>2</v>
      </c>
      <c r="F2417" t="str">
        <f t="shared" si="148"/>
        <v>Value</v>
      </c>
      <c r="G2417" s="3" cm="1">
        <f t="array" ref="G2417">_xlfn.XLOOKUP(C2417 &amp; F2417,
         [1]unilever_price_limits!A:A &amp; [1]unilever_price_limits!B:B,
         [1]unilever_price_limits!C:C)</f>
        <v>15</v>
      </c>
      <c r="H2417" s="8">
        <f t="shared" si="149"/>
        <v>9.7174999999999976</v>
      </c>
      <c r="I2417" s="6">
        <f t="shared" si="150"/>
        <v>14.999999999999991</v>
      </c>
      <c r="J2417" t="str">
        <f t="shared" si="151"/>
        <v>OK</v>
      </c>
    </row>
    <row r="2418" spans="1:10" x14ac:dyDescent="0.2">
      <c r="A2418">
        <v>12417</v>
      </c>
      <c r="B2418" t="s">
        <v>10</v>
      </c>
      <c r="C2418" t="s">
        <v>11</v>
      </c>
      <c r="D2418" s="8">
        <v>10.69</v>
      </c>
      <c r="E2418">
        <v>3</v>
      </c>
      <c r="F2418" t="str">
        <f t="shared" si="148"/>
        <v>Value</v>
      </c>
      <c r="G2418" s="3" cm="1">
        <f t="array" ref="G2418">_xlfn.XLOOKUP(C2418 &amp; F2418,
         [1]unilever_price_limits!A:A &amp; [1]unilever_price_limits!B:B,
         [1]unilever_price_limits!C:C)</f>
        <v>10</v>
      </c>
      <c r="H2418" s="8">
        <f t="shared" si="149"/>
        <v>11.759</v>
      </c>
      <c r="I2418" s="6">
        <f t="shared" si="150"/>
        <v>10.000000000000009</v>
      </c>
      <c r="J2418" t="str">
        <f t="shared" si="151"/>
        <v>OK</v>
      </c>
    </row>
    <row r="2419" spans="1:10" x14ac:dyDescent="0.2">
      <c r="A2419">
        <v>12418</v>
      </c>
      <c r="B2419" t="s">
        <v>10</v>
      </c>
      <c r="C2419" t="s">
        <v>11</v>
      </c>
      <c r="D2419" s="8">
        <v>11.99</v>
      </c>
      <c r="E2419">
        <v>2</v>
      </c>
      <c r="F2419" t="str">
        <f t="shared" si="148"/>
        <v>Value</v>
      </c>
      <c r="G2419" s="3" cm="1">
        <f t="array" ref="G2419">_xlfn.XLOOKUP(C2419 &amp; F2419,
         [1]unilever_price_limits!A:A &amp; [1]unilever_price_limits!B:B,
         [1]unilever_price_limits!C:C)</f>
        <v>10</v>
      </c>
      <c r="H2419" s="8">
        <f t="shared" si="149"/>
        <v>13.189000000000002</v>
      </c>
      <c r="I2419" s="6">
        <f t="shared" si="150"/>
        <v>10.000000000000009</v>
      </c>
      <c r="J2419" t="str">
        <f t="shared" si="151"/>
        <v>OK</v>
      </c>
    </row>
    <row r="2420" spans="1:10" x14ac:dyDescent="0.2">
      <c r="A2420">
        <v>12419</v>
      </c>
      <c r="B2420" t="s">
        <v>8</v>
      </c>
      <c r="C2420" t="s">
        <v>6</v>
      </c>
      <c r="D2420" s="8">
        <v>9.6199999999999992</v>
      </c>
      <c r="E2420">
        <v>8</v>
      </c>
      <c r="F2420" t="str">
        <f t="shared" si="148"/>
        <v>Premium</v>
      </c>
      <c r="G2420" s="3" cm="1">
        <f t="array" ref="G2420">_xlfn.XLOOKUP(C2420 &amp; F2420,
         [1]unilever_price_limits!A:A &amp; [1]unilever_price_limits!B:B,
         [1]unilever_price_limits!C:C)</f>
        <v>55</v>
      </c>
      <c r="H2420" s="8">
        <f t="shared" si="149"/>
        <v>14.911</v>
      </c>
      <c r="I2420" s="6">
        <f t="shared" si="150"/>
        <v>55.000000000000007</v>
      </c>
      <c r="J2420" t="str">
        <f t="shared" si="151"/>
        <v>OK</v>
      </c>
    </row>
    <row r="2421" spans="1:10" x14ac:dyDescent="0.2">
      <c r="A2421">
        <v>12420</v>
      </c>
      <c r="B2421" t="s">
        <v>7</v>
      </c>
      <c r="C2421" t="s">
        <v>9</v>
      </c>
      <c r="D2421" s="8">
        <v>2.71</v>
      </c>
      <c r="E2421">
        <v>5</v>
      </c>
      <c r="F2421" t="str">
        <f t="shared" si="148"/>
        <v>Standard</v>
      </c>
      <c r="G2421" s="3" cm="1">
        <f t="array" ref="G2421">_xlfn.XLOOKUP(C2421 &amp; F2421,
         [1]unilever_price_limits!A:A &amp; [1]unilever_price_limits!B:B,
         [1]unilever_price_limits!C:C)</f>
        <v>30</v>
      </c>
      <c r="H2421" s="8">
        <f t="shared" si="149"/>
        <v>3.5230000000000001</v>
      </c>
      <c r="I2421" s="6">
        <f t="shared" si="150"/>
        <v>30.000000000000004</v>
      </c>
      <c r="J2421" t="str">
        <f t="shared" si="151"/>
        <v>OK</v>
      </c>
    </row>
    <row r="2422" spans="1:10" x14ac:dyDescent="0.2">
      <c r="A2422">
        <v>12421</v>
      </c>
      <c r="B2422" t="s">
        <v>8</v>
      </c>
      <c r="C2422" t="s">
        <v>9</v>
      </c>
      <c r="D2422" s="8">
        <v>10.8</v>
      </c>
      <c r="E2422">
        <v>3</v>
      </c>
      <c r="F2422" t="str">
        <f t="shared" si="148"/>
        <v>Value</v>
      </c>
      <c r="G2422" s="3" cm="1">
        <f t="array" ref="G2422">_xlfn.XLOOKUP(C2422 &amp; F2422,
         [1]unilever_price_limits!A:A &amp; [1]unilever_price_limits!B:B,
         [1]unilever_price_limits!C:C)</f>
        <v>15</v>
      </c>
      <c r="H2422" s="8">
        <f t="shared" si="149"/>
        <v>12.42</v>
      </c>
      <c r="I2422" s="6">
        <f t="shared" si="150"/>
        <v>14.999999999999991</v>
      </c>
      <c r="J2422" t="str">
        <f t="shared" si="151"/>
        <v>OK</v>
      </c>
    </row>
    <row r="2423" spans="1:10" x14ac:dyDescent="0.2">
      <c r="A2423">
        <v>12422</v>
      </c>
      <c r="B2423" t="s">
        <v>5</v>
      </c>
      <c r="C2423" t="s">
        <v>9</v>
      </c>
      <c r="D2423" s="8">
        <v>10.32</v>
      </c>
      <c r="E2423">
        <v>5</v>
      </c>
      <c r="F2423" t="str">
        <f t="shared" si="148"/>
        <v>Standard</v>
      </c>
      <c r="G2423" s="3" cm="1">
        <f t="array" ref="G2423">_xlfn.XLOOKUP(C2423 &amp; F2423,
         [1]unilever_price_limits!A:A &amp; [1]unilever_price_limits!B:B,
         [1]unilever_price_limits!C:C)</f>
        <v>30</v>
      </c>
      <c r="H2423" s="8">
        <f t="shared" si="149"/>
        <v>13.416</v>
      </c>
      <c r="I2423" s="6">
        <f t="shared" si="150"/>
        <v>30.000000000000004</v>
      </c>
      <c r="J2423" t="str">
        <f t="shared" si="151"/>
        <v>OK</v>
      </c>
    </row>
    <row r="2424" spans="1:10" x14ac:dyDescent="0.2">
      <c r="A2424">
        <v>12423</v>
      </c>
      <c r="B2424" t="s">
        <v>8</v>
      </c>
      <c r="C2424" t="s">
        <v>9</v>
      </c>
      <c r="D2424" s="8">
        <v>0.85</v>
      </c>
      <c r="E2424">
        <v>8</v>
      </c>
      <c r="F2424" t="str">
        <f t="shared" si="148"/>
        <v>Premium</v>
      </c>
      <c r="G2424" s="3" cm="1">
        <f t="array" ref="G2424">_xlfn.XLOOKUP(C2424 &amp; F2424,
         [1]unilever_price_limits!A:A &amp; [1]unilever_price_limits!B:B,
         [1]unilever_price_limits!C:C)</f>
        <v>60</v>
      </c>
      <c r="H2424" s="8">
        <f t="shared" si="149"/>
        <v>1.36</v>
      </c>
      <c r="I2424" s="6">
        <f t="shared" si="150"/>
        <v>60.000000000000007</v>
      </c>
      <c r="J2424" t="str">
        <f t="shared" si="151"/>
        <v>OK</v>
      </c>
    </row>
    <row r="2425" spans="1:10" x14ac:dyDescent="0.2">
      <c r="A2425">
        <v>12424</v>
      </c>
      <c r="B2425" t="s">
        <v>8</v>
      </c>
      <c r="C2425" t="s">
        <v>11</v>
      </c>
      <c r="D2425" s="8">
        <v>6.47</v>
      </c>
      <c r="E2425">
        <v>7</v>
      </c>
      <c r="F2425" t="str">
        <f t="shared" si="148"/>
        <v>Standard</v>
      </c>
      <c r="G2425" s="3" cm="1">
        <f t="array" ref="G2425">_xlfn.XLOOKUP(C2425 &amp; F2425,
         [1]unilever_price_limits!A:A &amp; [1]unilever_price_limits!B:B,
         [1]unilever_price_limits!C:C)</f>
        <v>25</v>
      </c>
      <c r="H2425" s="8">
        <f t="shared" si="149"/>
        <v>8.0875000000000004</v>
      </c>
      <c r="I2425" s="6">
        <f t="shared" si="150"/>
        <v>25</v>
      </c>
      <c r="J2425" t="str">
        <f t="shared" si="151"/>
        <v>OK</v>
      </c>
    </row>
    <row r="2426" spans="1:10" x14ac:dyDescent="0.2">
      <c r="A2426">
        <v>12425</v>
      </c>
      <c r="B2426" t="s">
        <v>5</v>
      </c>
      <c r="C2426" t="s">
        <v>11</v>
      </c>
      <c r="D2426" s="8">
        <v>5.33</v>
      </c>
      <c r="E2426">
        <v>6</v>
      </c>
      <c r="F2426" t="str">
        <f t="shared" si="148"/>
        <v>Standard</v>
      </c>
      <c r="G2426" s="3" cm="1">
        <f t="array" ref="G2426">_xlfn.XLOOKUP(C2426 &amp; F2426,
         [1]unilever_price_limits!A:A &amp; [1]unilever_price_limits!B:B,
         [1]unilever_price_limits!C:C)</f>
        <v>25</v>
      </c>
      <c r="H2426" s="8">
        <f t="shared" si="149"/>
        <v>6.6624999999999996</v>
      </c>
      <c r="I2426" s="6">
        <f t="shared" si="150"/>
        <v>25</v>
      </c>
      <c r="J2426" t="str">
        <f t="shared" si="151"/>
        <v>OK</v>
      </c>
    </row>
    <row r="2427" spans="1:10" x14ac:dyDescent="0.2">
      <c r="A2427">
        <v>12426</v>
      </c>
      <c r="B2427" t="s">
        <v>5</v>
      </c>
      <c r="C2427" t="s">
        <v>6</v>
      </c>
      <c r="D2427" s="8">
        <v>10.210000000000001</v>
      </c>
      <c r="E2427">
        <v>1</v>
      </c>
      <c r="F2427" t="str">
        <f t="shared" si="148"/>
        <v>Value</v>
      </c>
      <c r="G2427" s="3" cm="1">
        <f t="array" ref="G2427">_xlfn.XLOOKUP(C2427 &amp; F2427,
         [1]unilever_price_limits!A:A &amp; [1]unilever_price_limits!B:B,
         [1]unilever_price_limits!C:C)</f>
        <v>12</v>
      </c>
      <c r="H2427" s="8">
        <f t="shared" si="149"/>
        <v>11.435200000000002</v>
      </c>
      <c r="I2427" s="6">
        <f t="shared" si="150"/>
        <v>12.000000000000011</v>
      </c>
      <c r="J2427" t="str">
        <f t="shared" si="151"/>
        <v>OK</v>
      </c>
    </row>
    <row r="2428" spans="1:10" x14ac:dyDescent="0.2">
      <c r="A2428">
        <v>12427</v>
      </c>
      <c r="B2428" t="s">
        <v>5</v>
      </c>
      <c r="C2428" t="s">
        <v>6</v>
      </c>
      <c r="D2428" s="8">
        <v>3.63</v>
      </c>
      <c r="E2428">
        <v>10</v>
      </c>
      <c r="F2428" t="str">
        <f t="shared" si="148"/>
        <v>Premium</v>
      </c>
      <c r="G2428" s="3" cm="1">
        <f t="array" ref="G2428">_xlfn.XLOOKUP(C2428 &amp; F2428,
         [1]unilever_price_limits!A:A &amp; [1]unilever_price_limits!B:B,
         [1]unilever_price_limits!C:C)</f>
        <v>55</v>
      </c>
      <c r="H2428" s="8">
        <f t="shared" si="149"/>
        <v>5.6265000000000001</v>
      </c>
      <c r="I2428" s="6">
        <f t="shared" si="150"/>
        <v>55.000000000000007</v>
      </c>
      <c r="J2428" t="str">
        <f t="shared" si="151"/>
        <v>OK</v>
      </c>
    </row>
    <row r="2429" spans="1:10" x14ac:dyDescent="0.2">
      <c r="A2429">
        <v>12428</v>
      </c>
      <c r="B2429" t="s">
        <v>8</v>
      </c>
      <c r="C2429" t="s">
        <v>9</v>
      </c>
      <c r="D2429" s="8">
        <v>9.07</v>
      </c>
      <c r="E2429">
        <v>1</v>
      </c>
      <c r="F2429" t="str">
        <f t="shared" si="148"/>
        <v>Value</v>
      </c>
      <c r="G2429" s="3" cm="1">
        <f t="array" ref="G2429">_xlfn.XLOOKUP(C2429 &amp; F2429,
         [1]unilever_price_limits!A:A &amp; [1]unilever_price_limits!B:B,
         [1]unilever_price_limits!C:C)</f>
        <v>15</v>
      </c>
      <c r="H2429" s="8">
        <f t="shared" si="149"/>
        <v>10.4305</v>
      </c>
      <c r="I2429" s="6">
        <f t="shared" si="150"/>
        <v>14.999999999999991</v>
      </c>
      <c r="J2429" t="str">
        <f t="shared" si="151"/>
        <v>OK</v>
      </c>
    </row>
    <row r="2430" spans="1:10" x14ac:dyDescent="0.2">
      <c r="A2430">
        <v>12429</v>
      </c>
      <c r="B2430" t="s">
        <v>8</v>
      </c>
      <c r="C2430" t="s">
        <v>6</v>
      </c>
      <c r="D2430" s="8">
        <v>13.74</v>
      </c>
      <c r="E2430">
        <v>1</v>
      </c>
      <c r="F2430" t="str">
        <f t="shared" si="148"/>
        <v>Value</v>
      </c>
      <c r="G2430" s="3" cm="1">
        <f t="array" ref="G2430">_xlfn.XLOOKUP(C2430 &amp; F2430,
         [1]unilever_price_limits!A:A &amp; [1]unilever_price_limits!B:B,
         [1]unilever_price_limits!C:C)</f>
        <v>12</v>
      </c>
      <c r="H2430" s="8">
        <f t="shared" si="149"/>
        <v>15.388800000000002</v>
      </c>
      <c r="I2430" s="6">
        <f t="shared" si="150"/>
        <v>12.000000000000011</v>
      </c>
      <c r="J2430" t="str">
        <f t="shared" si="151"/>
        <v>OK</v>
      </c>
    </row>
    <row r="2431" spans="1:10" x14ac:dyDescent="0.2">
      <c r="A2431">
        <v>12430</v>
      </c>
      <c r="B2431" t="s">
        <v>5</v>
      </c>
      <c r="C2431" t="s">
        <v>6</v>
      </c>
      <c r="D2431" s="8">
        <v>12.07</v>
      </c>
      <c r="E2431">
        <v>10</v>
      </c>
      <c r="F2431" t="str">
        <f t="shared" si="148"/>
        <v>Premium</v>
      </c>
      <c r="G2431" s="3" cm="1">
        <f t="array" ref="G2431">_xlfn.XLOOKUP(C2431 &amp; F2431,
         [1]unilever_price_limits!A:A &amp; [1]unilever_price_limits!B:B,
         [1]unilever_price_limits!C:C)</f>
        <v>55</v>
      </c>
      <c r="H2431" s="8">
        <f t="shared" si="149"/>
        <v>18.708500000000001</v>
      </c>
      <c r="I2431" s="6">
        <f t="shared" si="150"/>
        <v>55.000000000000007</v>
      </c>
      <c r="J2431" t="str">
        <f t="shared" si="151"/>
        <v>OK</v>
      </c>
    </row>
    <row r="2432" spans="1:10" x14ac:dyDescent="0.2">
      <c r="A2432">
        <v>12431</v>
      </c>
      <c r="B2432" t="s">
        <v>7</v>
      </c>
      <c r="C2432" t="s">
        <v>9</v>
      </c>
      <c r="D2432" s="8">
        <v>13.86</v>
      </c>
      <c r="E2432">
        <v>8</v>
      </c>
      <c r="F2432" t="str">
        <f t="shared" si="148"/>
        <v>Premium</v>
      </c>
      <c r="G2432" s="3" cm="1">
        <f t="array" ref="G2432">_xlfn.XLOOKUP(C2432 &amp; F2432,
         [1]unilever_price_limits!A:A &amp; [1]unilever_price_limits!B:B,
         [1]unilever_price_limits!C:C)</f>
        <v>60</v>
      </c>
      <c r="H2432" s="8">
        <f t="shared" si="149"/>
        <v>22.176000000000002</v>
      </c>
      <c r="I2432" s="6">
        <f t="shared" si="150"/>
        <v>60.000000000000028</v>
      </c>
      <c r="J2432" t="str">
        <f t="shared" si="151"/>
        <v>OK</v>
      </c>
    </row>
    <row r="2433" spans="1:10" x14ac:dyDescent="0.2">
      <c r="A2433">
        <v>12432</v>
      </c>
      <c r="B2433" t="s">
        <v>7</v>
      </c>
      <c r="C2433" t="s">
        <v>9</v>
      </c>
      <c r="D2433" s="8">
        <v>14.69</v>
      </c>
      <c r="E2433">
        <v>8</v>
      </c>
      <c r="F2433" t="str">
        <f t="shared" si="148"/>
        <v>Premium</v>
      </c>
      <c r="G2433" s="3" cm="1">
        <f t="array" ref="G2433">_xlfn.XLOOKUP(C2433 &amp; F2433,
         [1]unilever_price_limits!A:A &amp; [1]unilever_price_limits!B:B,
         [1]unilever_price_limits!C:C)</f>
        <v>60</v>
      </c>
      <c r="H2433" s="8">
        <f t="shared" si="149"/>
        <v>23.504000000000001</v>
      </c>
      <c r="I2433" s="6">
        <f t="shared" si="150"/>
        <v>60.000000000000007</v>
      </c>
      <c r="J2433" t="str">
        <f t="shared" si="151"/>
        <v>OK</v>
      </c>
    </row>
    <row r="2434" spans="1:10" x14ac:dyDescent="0.2">
      <c r="A2434">
        <v>12433</v>
      </c>
      <c r="B2434" t="s">
        <v>10</v>
      </c>
      <c r="C2434" t="s">
        <v>6</v>
      </c>
      <c r="D2434" s="8">
        <v>0.65</v>
      </c>
      <c r="E2434">
        <v>7</v>
      </c>
      <c r="F2434" t="str">
        <f t="shared" si="148"/>
        <v>Standard</v>
      </c>
      <c r="G2434" s="3" cm="1">
        <f t="array" ref="G2434">_xlfn.XLOOKUP(C2434 &amp; F2434,
         [1]unilever_price_limits!A:A &amp; [1]unilever_price_limits!B:B,
         [1]unilever_price_limits!C:C)</f>
        <v>28</v>
      </c>
      <c r="H2434" s="8">
        <f t="shared" si="149"/>
        <v>0.83200000000000007</v>
      </c>
      <c r="I2434" s="6">
        <f t="shared" si="150"/>
        <v>28.000000000000004</v>
      </c>
      <c r="J2434" t="str">
        <f t="shared" si="151"/>
        <v>OK</v>
      </c>
    </row>
    <row r="2435" spans="1:10" x14ac:dyDescent="0.2">
      <c r="A2435">
        <v>12434</v>
      </c>
      <c r="B2435" t="s">
        <v>5</v>
      </c>
      <c r="C2435" t="s">
        <v>11</v>
      </c>
      <c r="D2435" s="8">
        <v>9.5299999999999994</v>
      </c>
      <c r="E2435">
        <v>6</v>
      </c>
      <c r="F2435" t="str">
        <f t="shared" ref="F2435:F2498" si="152">IF(E2435&lt;=3,"Value",
 IF(E2435&lt;=7,"Standard","Premium"))</f>
        <v>Standard</v>
      </c>
      <c r="G2435" s="3" cm="1">
        <f t="array" ref="G2435">_xlfn.XLOOKUP(C2435 &amp; F2435,
         [1]unilever_price_limits!A:A &amp; [1]unilever_price_limits!B:B,
         [1]unilever_price_limits!C:C)</f>
        <v>25</v>
      </c>
      <c r="H2435" s="8">
        <f t="shared" ref="H2435:H2498" si="153">D2435 * (1 + G2435/100)</f>
        <v>11.9125</v>
      </c>
      <c r="I2435" s="6">
        <f t="shared" ref="I2435:I2498" si="154">(H2435 / D2435 - 1) * 100</f>
        <v>25</v>
      </c>
      <c r="J2435" t="str">
        <f t="shared" ref="J2435:J2498" si="155">IF(I2434&gt; G2434, "⚠ Exceeds Limit", "OK")</f>
        <v>OK</v>
      </c>
    </row>
    <row r="2436" spans="1:10" x14ac:dyDescent="0.2">
      <c r="A2436">
        <v>12435</v>
      </c>
      <c r="B2436" t="s">
        <v>10</v>
      </c>
      <c r="C2436" t="s">
        <v>6</v>
      </c>
      <c r="D2436" s="8">
        <v>6.49</v>
      </c>
      <c r="E2436">
        <v>4</v>
      </c>
      <c r="F2436" t="str">
        <f t="shared" si="152"/>
        <v>Standard</v>
      </c>
      <c r="G2436" s="3" cm="1">
        <f t="array" ref="G2436">_xlfn.XLOOKUP(C2436 &amp; F2436,
         [1]unilever_price_limits!A:A &amp; [1]unilever_price_limits!B:B,
         [1]unilever_price_limits!C:C)</f>
        <v>28</v>
      </c>
      <c r="H2436" s="8">
        <f t="shared" si="153"/>
        <v>8.3071999999999999</v>
      </c>
      <c r="I2436" s="6">
        <f t="shared" si="154"/>
        <v>28.000000000000004</v>
      </c>
      <c r="J2436" t="str">
        <f t="shared" si="155"/>
        <v>OK</v>
      </c>
    </row>
    <row r="2437" spans="1:10" x14ac:dyDescent="0.2">
      <c r="A2437">
        <v>12436</v>
      </c>
      <c r="B2437" t="s">
        <v>7</v>
      </c>
      <c r="C2437" t="s">
        <v>6</v>
      </c>
      <c r="D2437" s="8">
        <v>12.97</v>
      </c>
      <c r="E2437">
        <v>1</v>
      </c>
      <c r="F2437" t="str">
        <f t="shared" si="152"/>
        <v>Value</v>
      </c>
      <c r="G2437" s="3" cm="1">
        <f t="array" ref="G2437">_xlfn.XLOOKUP(C2437 &amp; F2437,
         [1]unilever_price_limits!A:A &amp; [1]unilever_price_limits!B:B,
         [1]unilever_price_limits!C:C)</f>
        <v>12</v>
      </c>
      <c r="H2437" s="8">
        <f t="shared" si="153"/>
        <v>14.526400000000002</v>
      </c>
      <c r="I2437" s="6">
        <f t="shared" si="154"/>
        <v>12.000000000000011</v>
      </c>
      <c r="J2437" t="str">
        <f t="shared" si="155"/>
        <v>OK</v>
      </c>
    </row>
    <row r="2438" spans="1:10" x14ac:dyDescent="0.2">
      <c r="A2438">
        <v>12437</v>
      </c>
      <c r="B2438" t="s">
        <v>10</v>
      </c>
      <c r="C2438" t="s">
        <v>11</v>
      </c>
      <c r="D2438" s="8">
        <v>4.1500000000000004</v>
      </c>
      <c r="E2438">
        <v>9</v>
      </c>
      <c r="F2438" t="str">
        <f t="shared" si="152"/>
        <v>Premium</v>
      </c>
      <c r="G2438" s="3" cm="1">
        <f t="array" ref="G2438">_xlfn.XLOOKUP(C2438 &amp; F2438,
         [1]unilever_price_limits!A:A &amp; [1]unilever_price_limits!B:B,
         [1]unilever_price_limits!C:C)</f>
        <v>50</v>
      </c>
      <c r="H2438" s="8">
        <f t="shared" si="153"/>
        <v>6.2250000000000005</v>
      </c>
      <c r="I2438" s="6">
        <f t="shared" si="154"/>
        <v>50</v>
      </c>
      <c r="J2438" t="str">
        <f t="shared" si="155"/>
        <v>OK</v>
      </c>
    </row>
    <row r="2439" spans="1:10" x14ac:dyDescent="0.2">
      <c r="A2439">
        <v>12438</v>
      </c>
      <c r="B2439" t="s">
        <v>5</v>
      </c>
      <c r="C2439" t="s">
        <v>11</v>
      </c>
      <c r="D2439" s="8">
        <v>14.72</v>
      </c>
      <c r="E2439">
        <v>1</v>
      </c>
      <c r="F2439" t="str">
        <f t="shared" si="152"/>
        <v>Value</v>
      </c>
      <c r="G2439" s="3" cm="1">
        <f t="array" ref="G2439">_xlfn.XLOOKUP(C2439 &amp; F2439,
         [1]unilever_price_limits!A:A &amp; [1]unilever_price_limits!B:B,
         [1]unilever_price_limits!C:C)</f>
        <v>10</v>
      </c>
      <c r="H2439" s="8">
        <f t="shared" si="153"/>
        <v>16.192000000000004</v>
      </c>
      <c r="I2439" s="6">
        <f t="shared" si="154"/>
        <v>10.000000000000032</v>
      </c>
      <c r="J2439" t="str">
        <f t="shared" si="155"/>
        <v>OK</v>
      </c>
    </row>
    <row r="2440" spans="1:10" x14ac:dyDescent="0.2">
      <c r="A2440">
        <v>12439</v>
      </c>
      <c r="B2440" t="s">
        <v>5</v>
      </c>
      <c r="C2440" t="s">
        <v>9</v>
      </c>
      <c r="D2440" s="8">
        <v>9.4</v>
      </c>
      <c r="E2440">
        <v>4</v>
      </c>
      <c r="F2440" t="str">
        <f t="shared" si="152"/>
        <v>Standard</v>
      </c>
      <c r="G2440" s="3" cm="1">
        <f t="array" ref="G2440">_xlfn.XLOOKUP(C2440 &amp; F2440,
         [1]unilever_price_limits!A:A &amp; [1]unilever_price_limits!B:B,
         [1]unilever_price_limits!C:C)</f>
        <v>30</v>
      </c>
      <c r="H2440" s="8">
        <f t="shared" si="153"/>
        <v>12.22</v>
      </c>
      <c r="I2440" s="6">
        <f t="shared" si="154"/>
        <v>30.000000000000004</v>
      </c>
      <c r="J2440" t="str">
        <f t="shared" si="155"/>
        <v>OK</v>
      </c>
    </row>
    <row r="2441" spans="1:10" x14ac:dyDescent="0.2">
      <c r="A2441">
        <v>12440</v>
      </c>
      <c r="B2441" t="s">
        <v>5</v>
      </c>
      <c r="C2441" t="s">
        <v>9</v>
      </c>
      <c r="D2441" s="8">
        <v>12.01</v>
      </c>
      <c r="E2441">
        <v>3</v>
      </c>
      <c r="F2441" t="str">
        <f t="shared" si="152"/>
        <v>Value</v>
      </c>
      <c r="G2441" s="3" cm="1">
        <f t="array" ref="G2441">_xlfn.XLOOKUP(C2441 &amp; F2441,
         [1]unilever_price_limits!A:A &amp; [1]unilever_price_limits!B:B,
         [1]unilever_price_limits!C:C)</f>
        <v>15</v>
      </c>
      <c r="H2441" s="8">
        <f t="shared" si="153"/>
        <v>13.811499999999999</v>
      </c>
      <c r="I2441" s="6">
        <f t="shared" si="154"/>
        <v>14.999999999999991</v>
      </c>
      <c r="J2441" t="str">
        <f t="shared" si="155"/>
        <v>OK</v>
      </c>
    </row>
    <row r="2442" spans="1:10" x14ac:dyDescent="0.2">
      <c r="A2442">
        <v>12441</v>
      </c>
      <c r="B2442" t="s">
        <v>8</v>
      </c>
      <c r="C2442" t="s">
        <v>6</v>
      </c>
      <c r="D2442" s="8">
        <v>1.74</v>
      </c>
      <c r="E2442">
        <v>7</v>
      </c>
      <c r="F2442" t="str">
        <f t="shared" si="152"/>
        <v>Standard</v>
      </c>
      <c r="G2442" s="3" cm="1">
        <f t="array" ref="G2442">_xlfn.XLOOKUP(C2442 &amp; F2442,
         [1]unilever_price_limits!A:A &amp; [1]unilever_price_limits!B:B,
         [1]unilever_price_limits!C:C)</f>
        <v>28</v>
      </c>
      <c r="H2442" s="8">
        <f t="shared" si="153"/>
        <v>2.2271999999999998</v>
      </c>
      <c r="I2442" s="6">
        <f t="shared" si="154"/>
        <v>28.000000000000004</v>
      </c>
      <c r="J2442" t="str">
        <f t="shared" si="155"/>
        <v>OK</v>
      </c>
    </row>
    <row r="2443" spans="1:10" x14ac:dyDescent="0.2">
      <c r="A2443">
        <v>12442</v>
      </c>
      <c r="B2443" t="s">
        <v>10</v>
      </c>
      <c r="C2443" t="s">
        <v>11</v>
      </c>
      <c r="D2443" s="8">
        <v>3.16</v>
      </c>
      <c r="E2443">
        <v>5</v>
      </c>
      <c r="F2443" t="str">
        <f t="shared" si="152"/>
        <v>Standard</v>
      </c>
      <c r="G2443" s="3" cm="1">
        <f t="array" ref="G2443">_xlfn.XLOOKUP(C2443 &amp; F2443,
         [1]unilever_price_limits!A:A &amp; [1]unilever_price_limits!B:B,
         [1]unilever_price_limits!C:C)</f>
        <v>25</v>
      </c>
      <c r="H2443" s="8">
        <f t="shared" si="153"/>
        <v>3.95</v>
      </c>
      <c r="I2443" s="6">
        <f t="shared" si="154"/>
        <v>25</v>
      </c>
      <c r="J2443" t="str">
        <f t="shared" si="155"/>
        <v>OK</v>
      </c>
    </row>
    <row r="2444" spans="1:10" x14ac:dyDescent="0.2">
      <c r="A2444">
        <v>12443</v>
      </c>
      <c r="B2444" t="s">
        <v>7</v>
      </c>
      <c r="C2444" t="s">
        <v>9</v>
      </c>
      <c r="D2444" s="8">
        <v>11.5</v>
      </c>
      <c r="E2444">
        <v>5</v>
      </c>
      <c r="F2444" t="str">
        <f t="shared" si="152"/>
        <v>Standard</v>
      </c>
      <c r="G2444" s="3" cm="1">
        <f t="array" ref="G2444">_xlfn.XLOOKUP(C2444 &amp; F2444,
         [1]unilever_price_limits!A:A &amp; [1]unilever_price_limits!B:B,
         [1]unilever_price_limits!C:C)</f>
        <v>30</v>
      </c>
      <c r="H2444" s="8">
        <f t="shared" si="153"/>
        <v>14.950000000000001</v>
      </c>
      <c r="I2444" s="6">
        <f t="shared" si="154"/>
        <v>30.000000000000004</v>
      </c>
      <c r="J2444" t="str">
        <f t="shared" si="155"/>
        <v>OK</v>
      </c>
    </row>
    <row r="2445" spans="1:10" x14ac:dyDescent="0.2">
      <c r="A2445">
        <v>12444</v>
      </c>
      <c r="B2445" t="s">
        <v>7</v>
      </c>
      <c r="C2445" t="s">
        <v>6</v>
      </c>
      <c r="D2445" s="8">
        <v>0.82</v>
      </c>
      <c r="E2445">
        <v>4</v>
      </c>
      <c r="F2445" t="str">
        <f t="shared" si="152"/>
        <v>Standard</v>
      </c>
      <c r="G2445" s="3" cm="1">
        <f t="array" ref="G2445">_xlfn.XLOOKUP(C2445 &amp; F2445,
         [1]unilever_price_limits!A:A &amp; [1]unilever_price_limits!B:B,
         [1]unilever_price_limits!C:C)</f>
        <v>28</v>
      </c>
      <c r="H2445" s="8">
        <f t="shared" si="153"/>
        <v>1.0495999999999999</v>
      </c>
      <c r="I2445" s="6">
        <f t="shared" si="154"/>
        <v>27.999999999999979</v>
      </c>
      <c r="J2445" t="str">
        <f t="shared" si="155"/>
        <v>OK</v>
      </c>
    </row>
    <row r="2446" spans="1:10" x14ac:dyDescent="0.2">
      <c r="A2446">
        <v>12445</v>
      </c>
      <c r="B2446" t="s">
        <v>7</v>
      </c>
      <c r="C2446" t="s">
        <v>11</v>
      </c>
      <c r="D2446" s="8">
        <v>12.34</v>
      </c>
      <c r="E2446">
        <v>1</v>
      </c>
      <c r="F2446" t="str">
        <f t="shared" si="152"/>
        <v>Value</v>
      </c>
      <c r="G2446" s="3" cm="1">
        <f t="array" ref="G2446">_xlfn.XLOOKUP(C2446 &amp; F2446,
         [1]unilever_price_limits!A:A &amp; [1]unilever_price_limits!B:B,
         [1]unilever_price_limits!C:C)</f>
        <v>10</v>
      </c>
      <c r="H2446" s="8">
        <f t="shared" si="153"/>
        <v>13.574000000000002</v>
      </c>
      <c r="I2446" s="6">
        <f t="shared" si="154"/>
        <v>10.000000000000009</v>
      </c>
      <c r="J2446" t="str">
        <f t="shared" si="155"/>
        <v>OK</v>
      </c>
    </row>
    <row r="2447" spans="1:10" x14ac:dyDescent="0.2">
      <c r="A2447">
        <v>12446</v>
      </c>
      <c r="B2447" t="s">
        <v>8</v>
      </c>
      <c r="C2447" t="s">
        <v>6</v>
      </c>
      <c r="D2447" s="8">
        <v>0.7</v>
      </c>
      <c r="E2447">
        <v>5</v>
      </c>
      <c r="F2447" t="str">
        <f t="shared" si="152"/>
        <v>Standard</v>
      </c>
      <c r="G2447" s="3" cm="1">
        <f t="array" ref="G2447">_xlfn.XLOOKUP(C2447 &amp; F2447,
         [1]unilever_price_limits!A:A &amp; [1]unilever_price_limits!B:B,
         [1]unilever_price_limits!C:C)</f>
        <v>28</v>
      </c>
      <c r="H2447" s="8">
        <f t="shared" si="153"/>
        <v>0.89599999999999991</v>
      </c>
      <c r="I2447" s="6">
        <f t="shared" si="154"/>
        <v>28.000000000000004</v>
      </c>
      <c r="J2447" t="str">
        <f t="shared" si="155"/>
        <v>OK</v>
      </c>
    </row>
    <row r="2448" spans="1:10" x14ac:dyDescent="0.2">
      <c r="A2448">
        <v>12447</v>
      </c>
      <c r="B2448" t="s">
        <v>8</v>
      </c>
      <c r="C2448" t="s">
        <v>9</v>
      </c>
      <c r="D2448" s="8">
        <v>10.029999999999999</v>
      </c>
      <c r="E2448">
        <v>4</v>
      </c>
      <c r="F2448" t="str">
        <f t="shared" si="152"/>
        <v>Standard</v>
      </c>
      <c r="G2448" s="3" cm="1">
        <f t="array" ref="G2448">_xlfn.XLOOKUP(C2448 &amp; F2448,
         [1]unilever_price_limits!A:A &amp; [1]unilever_price_limits!B:B,
         [1]unilever_price_limits!C:C)</f>
        <v>30</v>
      </c>
      <c r="H2448" s="8">
        <f t="shared" si="153"/>
        <v>13.039</v>
      </c>
      <c r="I2448" s="6">
        <f t="shared" si="154"/>
        <v>30.000000000000004</v>
      </c>
      <c r="J2448" t="str">
        <f t="shared" si="155"/>
        <v>OK</v>
      </c>
    </row>
    <row r="2449" spans="1:10" x14ac:dyDescent="0.2">
      <c r="A2449">
        <v>12448</v>
      </c>
      <c r="B2449" t="s">
        <v>5</v>
      </c>
      <c r="C2449" t="s">
        <v>9</v>
      </c>
      <c r="D2449" s="8">
        <v>5.79</v>
      </c>
      <c r="E2449">
        <v>10</v>
      </c>
      <c r="F2449" t="str">
        <f t="shared" si="152"/>
        <v>Premium</v>
      </c>
      <c r="G2449" s="3" cm="1">
        <f t="array" ref="G2449">_xlfn.XLOOKUP(C2449 &amp; F2449,
         [1]unilever_price_limits!A:A &amp; [1]unilever_price_limits!B:B,
         [1]unilever_price_limits!C:C)</f>
        <v>60</v>
      </c>
      <c r="H2449" s="8">
        <f t="shared" si="153"/>
        <v>9.2640000000000011</v>
      </c>
      <c r="I2449" s="6">
        <f t="shared" si="154"/>
        <v>60.000000000000007</v>
      </c>
      <c r="J2449" t="str">
        <f t="shared" si="155"/>
        <v>OK</v>
      </c>
    </row>
    <row r="2450" spans="1:10" x14ac:dyDescent="0.2">
      <c r="A2450">
        <v>12449</v>
      </c>
      <c r="B2450" t="s">
        <v>7</v>
      </c>
      <c r="C2450" t="s">
        <v>11</v>
      </c>
      <c r="D2450" s="8">
        <v>9.3699999999999992</v>
      </c>
      <c r="E2450">
        <v>8</v>
      </c>
      <c r="F2450" t="str">
        <f t="shared" si="152"/>
        <v>Premium</v>
      </c>
      <c r="G2450" s="3" cm="1">
        <f t="array" ref="G2450">_xlfn.XLOOKUP(C2450 &amp; F2450,
         [1]unilever_price_limits!A:A &amp; [1]unilever_price_limits!B:B,
         [1]unilever_price_limits!C:C)</f>
        <v>50</v>
      </c>
      <c r="H2450" s="8">
        <f t="shared" si="153"/>
        <v>14.055</v>
      </c>
      <c r="I2450" s="6">
        <f t="shared" si="154"/>
        <v>50</v>
      </c>
      <c r="J2450" t="str">
        <f t="shared" si="155"/>
        <v>OK</v>
      </c>
    </row>
    <row r="2451" spans="1:10" x14ac:dyDescent="0.2">
      <c r="A2451">
        <v>12450</v>
      </c>
      <c r="B2451" t="s">
        <v>8</v>
      </c>
      <c r="C2451" t="s">
        <v>6</v>
      </c>
      <c r="D2451" s="8">
        <v>10.59</v>
      </c>
      <c r="E2451">
        <v>2</v>
      </c>
      <c r="F2451" t="str">
        <f t="shared" si="152"/>
        <v>Value</v>
      </c>
      <c r="G2451" s="3" cm="1">
        <f t="array" ref="G2451">_xlfn.XLOOKUP(C2451 &amp; F2451,
         [1]unilever_price_limits!A:A &amp; [1]unilever_price_limits!B:B,
         [1]unilever_price_limits!C:C)</f>
        <v>12</v>
      </c>
      <c r="H2451" s="8">
        <f t="shared" si="153"/>
        <v>11.860800000000001</v>
      </c>
      <c r="I2451" s="6">
        <f t="shared" si="154"/>
        <v>12.000000000000011</v>
      </c>
      <c r="J2451" t="str">
        <f t="shared" si="155"/>
        <v>OK</v>
      </c>
    </row>
    <row r="2452" spans="1:10" x14ac:dyDescent="0.2">
      <c r="A2452">
        <v>12451</v>
      </c>
      <c r="B2452" t="s">
        <v>5</v>
      </c>
      <c r="C2452" t="s">
        <v>11</v>
      </c>
      <c r="D2452" s="8">
        <v>5.47</v>
      </c>
      <c r="E2452">
        <v>8</v>
      </c>
      <c r="F2452" t="str">
        <f t="shared" si="152"/>
        <v>Premium</v>
      </c>
      <c r="G2452" s="3" cm="1">
        <f t="array" ref="G2452">_xlfn.XLOOKUP(C2452 &amp; F2452,
         [1]unilever_price_limits!A:A &amp; [1]unilever_price_limits!B:B,
         [1]unilever_price_limits!C:C)</f>
        <v>50</v>
      </c>
      <c r="H2452" s="8">
        <f t="shared" si="153"/>
        <v>8.2050000000000001</v>
      </c>
      <c r="I2452" s="6">
        <f t="shared" si="154"/>
        <v>50</v>
      </c>
      <c r="J2452" t="str">
        <f t="shared" si="155"/>
        <v>OK</v>
      </c>
    </row>
    <row r="2453" spans="1:10" x14ac:dyDescent="0.2">
      <c r="A2453">
        <v>12452</v>
      </c>
      <c r="B2453" t="s">
        <v>7</v>
      </c>
      <c r="C2453" t="s">
        <v>9</v>
      </c>
      <c r="D2453" s="8">
        <v>2.0699999999999998</v>
      </c>
      <c r="E2453">
        <v>1</v>
      </c>
      <c r="F2453" t="str">
        <f t="shared" si="152"/>
        <v>Value</v>
      </c>
      <c r="G2453" s="3" cm="1">
        <f t="array" ref="G2453">_xlfn.XLOOKUP(C2453 &amp; F2453,
         [1]unilever_price_limits!A:A &amp; [1]unilever_price_limits!B:B,
         [1]unilever_price_limits!C:C)</f>
        <v>15</v>
      </c>
      <c r="H2453" s="8">
        <f t="shared" si="153"/>
        <v>2.3804999999999996</v>
      </c>
      <c r="I2453" s="6">
        <f t="shared" si="154"/>
        <v>14.999999999999991</v>
      </c>
      <c r="J2453" t="str">
        <f t="shared" si="155"/>
        <v>OK</v>
      </c>
    </row>
    <row r="2454" spans="1:10" x14ac:dyDescent="0.2">
      <c r="A2454">
        <v>12453</v>
      </c>
      <c r="B2454" t="s">
        <v>10</v>
      </c>
      <c r="C2454" t="s">
        <v>9</v>
      </c>
      <c r="D2454" s="8">
        <v>1.51</v>
      </c>
      <c r="E2454">
        <v>4</v>
      </c>
      <c r="F2454" t="str">
        <f t="shared" si="152"/>
        <v>Standard</v>
      </c>
      <c r="G2454" s="3" cm="1">
        <f t="array" ref="G2454">_xlfn.XLOOKUP(C2454 &amp; F2454,
         [1]unilever_price_limits!A:A &amp; [1]unilever_price_limits!B:B,
         [1]unilever_price_limits!C:C)</f>
        <v>30</v>
      </c>
      <c r="H2454" s="8">
        <f t="shared" si="153"/>
        <v>1.9630000000000001</v>
      </c>
      <c r="I2454" s="6">
        <f t="shared" si="154"/>
        <v>30.000000000000004</v>
      </c>
      <c r="J2454" t="str">
        <f t="shared" si="155"/>
        <v>OK</v>
      </c>
    </row>
    <row r="2455" spans="1:10" x14ac:dyDescent="0.2">
      <c r="A2455">
        <v>12454</v>
      </c>
      <c r="B2455" t="s">
        <v>5</v>
      </c>
      <c r="C2455" t="s">
        <v>6</v>
      </c>
      <c r="D2455" s="8">
        <v>9.0399999999999991</v>
      </c>
      <c r="E2455">
        <v>3</v>
      </c>
      <c r="F2455" t="str">
        <f t="shared" si="152"/>
        <v>Value</v>
      </c>
      <c r="G2455" s="3" cm="1">
        <f t="array" ref="G2455">_xlfn.XLOOKUP(C2455 &amp; F2455,
         [1]unilever_price_limits!A:A &amp; [1]unilever_price_limits!B:B,
         [1]unilever_price_limits!C:C)</f>
        <v>12</v>
      </c>
      <c r="H2455" s="8">
        <f t="shared" si="153"/>
        <v>10.1248</v>
      </c>
      <c r="I2455" s="6">
        <f t="shared" si="154"/>
        <v>12.000000000000011</v>
      </c>
      <c r="J2455" t="str">
        <f t="shared" si="155"/>
        <v>OK</v>
      </c>
    </row>
    <row r="2456" spans="1:10" x14ac:dyDescent="0.2">
      <c r="A2456">
        <v>12455</v>
      </c>
      <c r="B2456" t="s">
        <v>8</v>
      </c>
      <c r="C2456" t="s">
        <v>6</v>
      </c>
      <c r="D2456" s="8">
        <v>8.0500000000000007</v>
      </c>
      <c r="E2456">
        <v>5</v>
      </c>
      <c r="F2456" t="str">
        <f t="shared" si="152"/>
        <v>Standard</v>
      </c>
      <c r="G2456" s="3" cm="1">
        <f t="array" ref="G2456">_xlfn.XLOOKUP(C2456 &amp; F2456,
         [1]unilever_price_limits!A:A &amp; [1]unilever_price_limits!B:B,
         [1]unilever_price_limits!C:C)</f>
        <v>28</v>
      </c>
      <c r="H2456" s="8">
        <f t="shared" si="153"/>
        <v>10.304</v>
      </c>
      <c r="I2456" s="6">
        <f t="shared" si="154"/>
        <v>28.000000000000004</v>
      </c>
      <c r="J2456" t="str">
        <f t="shared" si="155"/>
        <v>OK</v>
      </c>
    </row>
    <row r="2457" spans="1:10" x14ac:dyDescent="0.2">
      <c r="A2457">
        <v>12456</v>
      </c>
      <c r="B2457" t="s">
        <v>8</v>
      </c>
      <c r="C2457" t="s">
        <v>6</v>
      </c>
      <c r="D2457" s="8">
        <v>11.26</v>
      </c>
      <c r="E2457">
        <v>5</v>
      </c>
      <c r="F2457" t="str">
        <f t="shared" si="152"/>
        <v>Standard</v>
      </c>
      <c r="G2457" s="3" cm="1">
        <f t="array" ref="G2457">_xlfn.XLOOKUP(C2457 &amp; F2457,
         [1]unilever_price_limits!A:A &amp; [1]unilever_price_limits!B:B,
         [1]unilever_price_limits!C:C)</f>
        <v>28</v>
      </c>
      <c r="H2457" s="8">
        <f t="shared" si="153"/>
        <v>14.412800000000001</v>
      </c>
      <c r="I2457" s="6">
        <f t="shared" si="154"/>
        <v>28.000000000000004</v>
      </c>
      <c r="J2457" t="str">
        <f t="shared" si="155"/>
        <v>OK</v>
      </c>
    </row>
    <row r="2458" spans="1:10" x14ac:dyDescent="0.2">
      <c r="A2458">
        <v>12457</v>
      </c>
      <c r="B2458" t="s">
        <v>5</v>
      </c>
      <c r="C2458" t="s">
        <v>11</v>
      </c>
      <c r="D2458" s="8">
        <v>7.89</v>
      </c>
      <c r="E2458">
        <v>5</v>
      </c>
      <c r="F2458" t="str">
        <f t="shared" si="152"/>
        <v>Standard</v>
      </c>
      <c r="G2458" s="3" cm="1">
        <f t="array" ref="G2458">_xlfn.XLOOKUP(C2458 &amp; F2458,
         [1]unilever_price_limits!A:A &amp; [1]unilever_price_limits!B:B,
         [1]unilever_price_limits!C:C)</f>
        <v>25</v>
      </c>
      <c r="H2458" s="8">
        <f t="shared" si="153"/>
        <v>9.8624999999999989</v>
      </c>
      <c r="I2458" s="6">
        <f t="shared" si="154"/>
        <v>25</v>
      </c>
      <c r="J2458" t="str">
        <f t="shared" si="155"/>
        <v>OK</v>
      </c>
    </row>
    <row r="2459" spans="1:10" x14ac:dyDescent="0.2">
      <c r="A2459">
        <v>12458</v>
      </c>
      <c r="B2459" t="s">
        <v>5</v>
      </c>
      <c r="C2459" t="s">
        <v>6</v>
      </c>
      <c r="D2459" s="8">
        <v>6.63</v>
      </c>
      <c r="E2459">
        <v>4</v>
      </c>
      <c r="F2459" t="str">
        <f t="shared" si="152"/>
        <v>Standard</v>
      </c>
      <c r="G2459" s="3" cm="1">
        <f t="array" ref="G2459">_xlfn.XLOOKUP(C2459 &amp; F2459,
         [1]unilever_price_limits!A:A &amp; [1]unilever_price_limits!B:B,
         [1]unilever_price_limits!C:C)</f>
        <v>28</v>
      </c>
      <c r="H2459" s="8">
        <f t="shared" si="153"/>
        <v>8.4863999999999997</v>
      </c>
      <c r="I2459" s="6">
        <f t="shared" si="154"/>
        <v>28.000000000000004</v>
      </c>
      <c r="J2459" t="str">
        <f t="shared" si="155"/>
        <v>OK</v>
      </c>
    </row>
    <row r="2460" spans="1:10" x14ac:dyDescent="0.2">
      <c r="A2460">
        <v>12459</v>
      </c>
      <c r="B2460" t="s">
        <v>8</v>
      </c>
      <c r="C2460" t="s">
        <v>6</v>
      </c>
      <c r="D2460" s="8">
        <v>6.27</v>
      </c>
      <c r="E2460">
        <v>8</v>
      </c>
      <c r="F2460" t="str">
        <f t="shared" si="152"/>
        <v>Premium</v>
      </c>
      <c r="G2460" s="3" cm="1">
        <f t="array" ref="G2460">_xlfn.XLOOKUP(C2460 &amp; F2460,
         [1]unilever_price_limits!A:A &amp; [1]unilever_price_limits!B:B,
         [1]unilever_price_limits!C:C)</f>
        <v>55</v>
      </c>
      <c r="H2460" s="8">
        <f t="shared" si="153"/>
        <v>9.7184999999999988</v>
      </c>
      <c r="I2460" s="6">
        <f t="shared" si="154"/>
        <v>54.999999999999986</v>
      </c>
      <c r="J2460" t="str">
        <f t="shared" si="155"/>
        <v>OK</v>
      </c>
    </row>
    <row r="2461" spans="1:10" x14ac:dyDescent="0.2">
      <c r="A2461">
        <v>12460</v>
      </c>
      <c r="B2461" t="s">
        <v>10</v>
      </c>
      <c r="C2461" t="s">
        <v>9</v>
      </c>
      <c r="D2461" s="8">
        <v>0.88</v>
      </c>
      <c r="E2461">
        <v>3</v>
      </c>
      <c r="F2461" t="str">
        <f t="shared" si="152"/>
        <v>Value</v>
      </c>
      <c r="G2461" s="3" cm="1">
        <f t="array" ref="G2461">_xlfn.XLOOKUP(C2461 &amp; F2461,
         [1]unilever_price_limits!A:A &amp; [1]unilever_price_limits!B:B,
         [1]unilever_price_limits!C:C)</f>
        <v>15</v>
      </c>
      <c r="H2461" s="8">
        <f t="shared" si="153"/>
        <v>1.012</v>
      </c>
      <c r="I2461" s="6">
        <f t="shared" si="154"/>
        <v>14.999999999999991</v>
      </c>
      <c r="J2461" t="str">
        <f t="shared" si="155"/>
        <v>OK</v>
      </c>
    </row>
    <row r="2462" spans="1:10" x14ac:dyDescent="0.2">
      <c r="A2462">
        <v>12461</v>
      </c>
      <c r="B2462" t="s">
        <v>7</v>
      </c>
      <c r="C2462" t="s">
        <v>9</v>
      </c>
      <c r="D2462" s="8">
        <v>5.37</v>
      </c>
      <c r="E2462">
        <v>4</v>
      </c>
      <c r="F2462" t="str">
        <f t="shared" si="152"/>
        <v>Standard</v>
      </c>
      <c r="G2462" s="3" cm="1">
        <f t="array" ref="G2462">_xlfn.XLOOKUP(C2462 &amp; F2462,
         [1]unilever_price_limits!A:A &amp; [1]unilever_price_limits!B:B,
         [1]unilever_price_limits!C:C)</f>
        <v>30</v>
      </c>
      <c r="H2462" s="8">
        <f t="shared" si="153"/>
        <v>6.9810000000000008</v>
      </c>
      <c r="I2462" s="6">
        <f t="shared" si="154"/>
        <v>30.000000000000004</v>
      </c>
      <c r="J2462" t="str">
        <f t="shared" si="155"/>
        <v>OK</v>
      </c>
    </row>
    <row r="2463" spans="1:10" x14ac:dyDescent="0.2">
      <c r="A2463">
        <v>12462</v>
      </c>
      <c r="B2463" t="s">
        <v>10</v>
      </c>
      <c r="C2463" t="s">
        <v>6</v>
      </c>
      <c r="D2463" s="8">
        <v>14.65</v>
      </c>
      <c r="E2463">
        <v>1</v>
      </c>
      <c r="F2463" t="str">
        <f t="shared" si="152"/>
        <v>Value</v>
      </c>
      <c r="G2463" s="3" cm="1">
        <f t="array" ref="G2463">_xlfn.XLOOKUP(C2463 &amp; F2463,
         [1]unilever_price_limits!A:A &amp; [1]unilever_price_limits!B:B,
         [1]unilever_price_limits!C:C)</f>
        <v>12</v>
      </c>
      <c r="H2463" s="8">
        <f t="shared" si="153"/>
        <v>16.408000000000001</v>
      </c>
      <c r="I2463" s="6">
        <f t="shared" si="154"/>
        <v>12.000000000000011</v>
      </c>
      <c r="J2463" t="str">
        <f t="shared" si="155"/>
        <v>OK</v>
      </c>
    </row>
    <row r="2464" spans="1:10" x14ac:dyDescent="0.2">
      <c r="A2464">
        <v>12463</v>
      </c>
      <c r="B2464" t="s">
        <v>5</v>
      </c>
      <c r="C2464" t="s">
        <v>6</v>
      </c>
      <c r="D2464" s="8">
        <v>13.17</v>
      </c>
      <c r="E2464">
        <v>7</v>
      </c>
      <c r="F2464" t="str">
        <f t="shared" si="152"/>
        <v>Standard</v>
      </c>
      <c r="G2464" s="3" cm="1">
        <f t="array" ref="G2464">_xlfn.XLOOKUP(C2464 &amp; F2464,
         [1]unilever_price_limits!A:A &amp; [1]unilever_price_limits!B:B,
         [1]unilever_price_limits!C:C)</f>
        <v>28</v>
      </c>
      <c r="H2464" s="8">
        <f t="shared" si="153"/>
        <v>16.857600000000001</v>
      </c>
      <c r="I2464" s="6">
        <f t="shared" si="154"/>
        <v>28.000000000000004</v>
      </c>
      <c r="J2464" t="str">
        <f t="shared" si="155"/>
        <v>OK</v>
      </c>
    </row>
    <row r="2465" spans="1:10" x14ac:dyDescent="0.2">
      <c r="A2465">
        <v>12464</v>
      </c>
      <c r="B2465" t="s">
        <v>10</v>
      </c>
      <c r="C2465" t="s">
        <v>9</v>
      </c>
      <c r="D2465" s="8">
        <v>5.28</v>
      </c>
      <c r="E2465">
        <v>1</v>
      </c>
      <c r="F2465" t="str">
        <f t="shared" si="152"/>
        <v>Value</v>
      </c>
      <c r="G2465" s="3" cm="1">
        <f t="array" ref="G2465">_xlfn.XLOOKUP(C2465 &amp; F2465,
         [1]unilever_price_limits!A:A &amp; [1]unilever_price_limits!B:B,
         [1]unilever_price_limits!C:C)</f>
        <v>15</v>
      </c>
      <c r="H2465" s="8">
        <f t="shared" si="153"/>
        <v>6.0720000000000001</v>
      </c>
      <c r="I2465" s="6">
        <f t="shared" si="154"/>
        <v>14.999999999999991</v>
      </c>
      <c r="J2465" t="str">
        <f t="shared" si="155"/>
        <v>OK</v>
      </c>
    </row>
    <row r="2466" spans="1:10" x14ac:dyDescent="0.2">
      <c r="A2466">
        <v>12465</v>
      </c>
      <c r="B2466" t="s">
        <v>8</v>
      </c>
      <c r="C2466" t="s">
        <v>6</v>
      </c>
      <c r="D2466" s="8">
        <v>9.02</v>
      </c>
      <c r="E2466">
        <v>2</v>
      </c>
      <c r="F2466" t="str">
        <f t="shared" si="152"/>
        <v>Value</v>
      </c>
      <c r="G2466" s="3" cm="1">
        <f t="array" ref="G2466">_xlfn.XLOOKUP(C2466 &amp; F2466,
         [1]unilever_price_limits!A:A &amp; [1]unilever_price_limits!B:B,
         [1]unilever_price_limits!C:C)</f>
        <v>12</v>
      </c>
      <c r="H2466" s="8">
        <f t="shared" si="153"/>
        <v>10.102400000000001</v>
      </c>
      <c r="I2466" s="6">
        <f t="shared" si="154"/>
        <v>12.000000000000011</v>
      </c>
      <c r="J2466" t="str">
        <f t="shared" si="155"/>
        <v>OK</v>
      </c>
    </row>
    <row r="2467" spans="1:10" x14ac:dyDescent="0.2">
      <c r="A2467">
        <v>12466</v>
      </c>
      <c r="B2467" t="s">
        <v>5</v>
      </c>
      <c r="C2467" t="s">
        <v>11</v>
      </c>
      <c r="D2467" s="8">
        <v>12.79</v>
      </c>
      <c r="E2467">
        <v>7</v>
      </c>
      <c r="F2467" t="str">
        <f t="shared" si="152"/>
        <v>Standard</v>
      </c>
      <c r="G2467" s="3" cm="1">
        <f t="array" ref="G2467">_xlfn.XLOOKUP(C2467 &amp; F2467,
         [1]unilever_price_limits!A:A &amp; [1]unilever_price_limits!B:B,
         [1]unilever_price_limits!C:C)</f>
        <v>25</v>
      </c>
      <c r="H2467" s="8">
        <f t="shared" si="153"/>
        <v>15.987499999999999</v>
      </c>
      <c r="I2467" s="6">
        <f t="shared" si="154"/>
        <v>25</v>
      </c>
      <c r="J2467" t="str">
        <f t="shared" si="155"/>
        <v>OK</v>
      </c>
    </row>
    <row r="2468" spans="1:10" x14ac:dyDescent="0.2">
      <c r="A2468">
        <v>12467</v>
      </c>
      <c r="B2468" t="s">
        <v>7</v>
      </c>
      <c r="C2468" t="s">
        <v>11</v>
      </c>
      <c r="D2468" s="8">
        <v>6.9</v>
      </c>
      <c r="E2468">
        <v>1</v>
      </c>
      <c r="F2468" t="str">
        <f t="shared" si="152"/>
        <v>Value</v>
      </c>
      <c r="G2468" s="3" cm="1">
        <f t="array" ref="G2468">_xlfn.XLOOKUP(C2468 &amp; F2468,
         [1]unilever_price_limits!A:A &amp; [1]unilever_price_limits!B:B,
         [1]unilever_price_limits!C:C)</f>
        <v>10</v>
      </c>
      <c r="H2468" s="8">
        <f t="shared" si="153"/>
        <v>7.5900000000000007</v>
      </c>
      <c r="I2468" s="6">
        <f t="shared" si="154"/>
        <v>10.000000000000009</v>
      </c>
      <c r="J2468" t="str">
        <f t="shared" si="155"/>
        <v>OK</v>
      </c>
    </row>
    <row r="2469" spans="1:10" x14ac:dyDescent="0.2">
      <c r="A2469">
        <v>12468</v>
      </c>
      <c r="B2469" t="s">
        <v>8</v>
      </c>
      <c r="C2469" t="s">
        <v>11</v>
      </c>
      <c r="D2469" s="8">
        <v>0.76</v>
      </c>
      <c r="E2469">
        <v>3</v>
      </c>
      <c r="F2469" t="str">
        <f t="shared" si="152"/>
        <v>Value</v>
      </c>
      <c r="G2469" s="3" cm="1">
        <f t="array" ref="G2469">_xlfn.XLOOKUP(C2469 &amp; F2469,
         [1]unilever_price_limits!A:A &amp; [1]unilever_price_limits!B:B,
         [1]unilever_price_limits!C:C)</f>
        <v>10</v>
      </c>
      <c r="H2469" s="8">
        <f t="shared" si="153"/>
        <v>0.83600000000000008</v>
      </c>
      <c r="I2469" s="6">
        <f t="shared" si="154"/>
        <v>10.000000000000009</v>
      </c>
      <c r="J2469" t="str">
        <f t="shared" si="155"/>
        <v>OK</v>
      </c>
    </row>
    <row r="2470" spans="1:10" x14ac:dyDescent="0.2">
      <c r="A2470">
        <v>12469</v>
      </c>
      <c r="B2470" t="s">
        <v>8</v>
      </c>
      <c r="C2470" t="s">
        <v>6</v>
      </c>
      <c r="D2470" s="8">
        <v>1.58</v>
      </c>
      <c r="E2470">
        <v>6</v>
      </c>
      <c r="F2470" t="str">
        <f t="shared" si="152"/>
        <v>Standard</v>
      </c>
      <c r="G2470" s="3" cm="1">
        <f t="array" ref="G2470">_xlfn.XLOOKUP(C2470 &amp; F2470,
         [1]unilever_price_limits!A:A &amp; [1]unilever_price_limits!B:B,
         [1]unilever_price_limits!C:C)</f>
        <v>28</v>
      </c>
      <c r="H2470" s="8">
        <f t="shared" si="153"/>
        <v>2.0224000000000002</v>
      </c>
      <c r="I2470" s="6">
        <f t="shared" si="154"/>
        <v>28.000000000000004</v>
      </c>
      <c r="J2470" t="str">
        <f t="shared" si="155"/>
        <v>OK</v>
      </c>
    </row>
    <row r="2471" spans="1:10" x14ac:dyDescent="0.2">
      <c r="A2471">
        <v>12470</v>
      </c>
      <c r="B2471" t="s">
        <v>7</v>
      </c>
      <c r="C2471" t="s">
        <v>9</v>
      </c>
      <c r="D2471" s="8">
        <v>7.9</v>
      </c>
      <c r="E2471">
        <v>6</v>
      </c>
      <c r="F2471" t="str">
        <f t="shared" si="152"/>
        <v>Standard</v>
      </c>
      <c r="G2471" s="3" cm="1">
        <f t="array" ref="G2471">_xlfn.XLOOKUP(C2471 &amp; F2471,
         [1]unilever_price_limits!A:A &amp; [1]unilever_price_limits!B:B,
         [1]unilever_price_limits!C:C)</f>
        <v>30</v>
      </c>
      <c r="H2471" s="8">
        <f t="shared" si="153"/>
        <v>10.270000000000001</v>
      </c>
      <c r="I2471" s="6">
        <f t="shared" si="154"/>
        <v>30.000000000000004</v>
      </c>
      <c r="J2471" t="str">
        <f t="shared" si="155"/>
        <v>OK</v>
      </c>
    </row>
    <row r="2472" spans="1:10" x14ac:dyDescent="0.2">
      <c r="A2472">
        <v>12471</v>
      </c>
      <c r="B2472" t="s">
        <v>7</v>
      </c>
      <c r="C2472" t="s">
        <v>6</v>
      </c>
      <c r="D2472" s="8">
        <v>14.56</v>
      </c>
      <c r="E2472">
        <v>6</v>
      </c>
      <c r="F2472" t="str">
        <f t="shared" si="152"/>
        <v>Standard</v>
      </c>
      <c r="G2472" s="3" cm="1">
        <f t="array" ref="G2472">_xlfn.XLOOKUP(C2472 &amp; F2472,
         [1]unilever_price_limits!A:A &amp; [1]unilever_price_limits!B:B,
         [1]unilever_price_limits!C:C)</f>
        <v>28</v>
      </c>
      <c r="H2472" s="8">
        <f t="shared" si="153"/>
        <v>18.636800000000001</v>
      </c>
      <c r="I2472" s="6">
        <f t="shared" si="154"/>
        <v>28.000000000000004</v>
      </c>
      <c r="J2472" t="str">
        <f t="shared" si="155"/>
        <v>OK</v>
      </c>
    </row>
    <row r="2473" spans="1:10" x14ac:dyDescent="0.2">
      <c r="A2473">
        <v>12472</v>
      </c>
      <c r="B2473" t="s">
        <v>10</v>
      </c>
      <c r="C2473" t="s">
        <v>6</v>
      </c>
      <c r="D2473" s="8">
        <v>10.55</v>
      </c>
      <c r="E2473">
        <v>2</v>
      </c>
      <c r="F2473" t="str">
        <f t="shared" si="152"/>
        <v>Value</v>
      </c>
      <c r="G2473" s="3" cm="1">
        <f t="array" ref="G2473">_xlfn.XLOOKUP(C2473 &amp; F2473,
         [1]unilever_price_limits!A:A &amp; [1]unilever_price_limits!B:B,
         [1]unilever_price_limits!C:C)</f>
        <v>12</v>
      </c>
      <c r="H2473" s="8">
        <f t="shared" si="153"/>
        <v>11.816000000000003</v>
      </c>
      <c r="I2473" s="6">
        <f t="shared" si="154"/>
        <v>12.000000000000011</v>
      </c>
      <c r="J2473" t="str">
        <f t="shared" si="155"/>
        <v>OK</v>
      </c>
    </row>
    <row r="2474" spans="1:10" x14ac:dyDescent="0.2">
      <c r="A2474">
        <v>12473</v>
      </c>
      <c r="B2474" t="s">
        <v>5</v>
      </c>
      <c r="C2474" t="s">
        <v>9</v>
      </c>
      <c r="D2474" s="8">
        <v>1.53</v>
      </c>
      <c r="E2474">
        <v>2</v>
      </c>
      <c r="F2474" t="str">
        <f t="shared" si="152"/>
        <v>Value</v>
      </c>
      <c r="G2474" s="3" cm="1">
        <f t="array" ref="G2474">_xlfn.XLOOKUP(C2474 &amp; F2474,
         [1]unilever_price_limits!A:A &amp; [1]unilever_price_limits!B:B,
         [1]unilever_price_limits!C:C)</f>
        <v>15</v>
      </c>
      <c r="H2474" s="8">
        <f t="shared" si="153"/>
        <v>1.7594999999999998</v>
      </c>
      <c r="I2474" s="6">
        <f t="shared" si="154"/>
        <v>14.999999999999991</v>
      </c>
      <c r="J2474" t="str">
        <f t="shared" si="155"/>
        <v>OK</v>
      </c>
    </row>
    <row r="2475" spans="1:10" x14ac:dyDescent="0.2">
      <c r="A2475">
        <v>12474</v>
      </c>
      <c r="B2475" t="s">
        <v>7</v>
      </c>
      <c r="C2475" t="s">
        <v>9</v>
      </c>
      <c r="D2475" s="8">
        <v>3.25</v>
      </c>
      <c r="E2475">
        <v>6</v>
      </c>
      <c r="F2475" t="str">
        <f t="shared" si="152"/>
        <v>Standard</v>
      </c>
      <c r="G2475" s="3" cm="1">
        <f t="array" ref="G2475">_xlfn.XLOOKUP(C2475 &amp; F2475,
         [1]unilever_price_limits!A:A &amp; [1]unilever_price_limits!B:B,
         [1]unilever_price_limits!C:C)</f>
        <v>30</v>
      </c>
      <c r="H2475" s="8">
        <f t="shared" si="153"/>
        <v>4.2250000000000005</v>
      </c>
      <c r="I2475" s="6">
        <f t="shared" si="154"/>
        <v>30.000000000000028</v>
      </c>
      <c r="J2475" t="str">
        <f t="shared" si="155"/>
        <v>OK</v>
      </c>
    </row>
    <row r="2476" spans="1:10" x14ac:dyDescent="0.2">
      <c r="A2476">
        <v>12475</v>
      </c>
      <c r="B2476" t="s">
        <v>7</v>
      </c>
      <c r="C2476" t="s">
        <v>9</v>
      </c>
      <c r="D2476" s="8">
        <v>11.68</v>
      </c>
      <c r="E2476">
        <v>10</v>
      </c>
      <c r="F2476" t="str">
        <f t="shared" si="152"/>
        <v>Premium</v>
      </c>
      <c r="G2476" s="3" cm="1">
        <f t="array" ref="G2476">_xlfn.XLOOKUP(C2476 &amp; F2476,
         [1]unilever_price_limits!A:A &amp; [1]unilever_price_limits!B:B,
         [1]unilever_price_limits!C:C)</f>
        <v>60</v>
      </c>
      <c r="H2476" s="8">
        <f t="shared" si="153"/>
        <v>18.687999999999999</v>
      </c>
      <c r="I2476" s="6">
        <f t="shared" si="154"/>
        <v>59.999999999999986</v>
      </c>
      <c r="J2476" t="str">
        <f t="shared" si="155"/>
        <v>OK</v>
      </c>
    </row>
    <row r="2477" spans="1:10" x14ac:dyDescent="0.2">
      <c r="A2477">
        <v>12476</v>
      </c>
      <c r="B2477" t="s">
        <v>5</v>
      </c>
      <c r="C2477" t="s">
        <v>11</v>
      </c>
      <c r="D2477" s="8">
        <v>12.7</v>
      </c>
      <c r="E2477">
        <v>5</v>
      </c>
      <c r="F2477" t="str">
        <f t="shared" si="152"/>
        <v>Standard</v>
      </c>
      <c r="G2477" s="3" cm="1">
        <f t="array" ref="G2477">_xlfn.XLOOKUP(C2477 &amp; F2477,
         [1]unilever_price_limits!A:A &amp; [1]unilever_price_limits!B:B,
         [1]unilever_price_limits!C:C)</f>
        <v>25</v>
      </c>
      <c r="H2477" s="8">
        <f t="shared" si="153"/>
        <v>15.875</v>
      </c>
      <c r="I2477" s="6">
        <f t="shared" si="154"/>
        <v>25</v>
      </c>
      <c r="J2477" t="str">
        <f t="shared" si="155"/>
        <v>OK</v>
      </c>
    </row>
    <row r="2478" spans="1:10" x14ac:dyDescent="0.2">
      <c r="A2478">
        <v>12477</v>
      </c>
      <c r="B2478" t="s">
        <v>7</v>
      </c>
      <c r="C2478" t="s">
        <v>6</v>
      </c>
      <c r="D2478" s="8">
        <v>9.4600000000000009</v>
      </c>
      <c r="E2478">
        <v>7</v>
      </c>
      <c r="F2478" t="str">
        <f t="shared" si="152"/>
        <v>Standard</v>
      </c>
      <c r="G2478" s="3" cm="1">
        <f t="array" ref="G2478">_xlfn.XLOOKUP(C2478 &amp; F2478,
         [1]unilever_price_limits!A:A &amp; [1]unilever_price_limits!B:B,
         [1]unilever_price_limits!C:C)</f>
        <v>28</v>
      </c>
      <c r="H2478" s="8">
        <f t="shared" si="153"/>
        <v>12.108800000000002</v>
      </c>
      <c r="I2478" s="6">
        <f t="shared" si="154"/>
        <v>28.000000000000004</v>
      </c>
      <c r="J2478" t="str">
        <f t="shared" si="155"/>
        <v>OK</v>
      </c>
    </row>
    <row r="2479" spans="1:10" x14ac:dyDescent="0.2">
      <c r="A2479">
        <v>12478</v>
      </c>
      <c r="B2479" t="s">
        <v>7</v>
      </c>
      <c r="C2479" t="s">
        <v>9</v>
      </c>
      <c r="D2479" s="8">
        <v>9.84</v>
      </c>
      <c r="E2479">
        <v>7</v>
      </c>
      <c r="F2479" t="str">
        <f t="shared" si="152"/>
        <v>Standard</v>
      </c>
      <c r="G2479" s="3" cm="1">
        <f t="array" ref="G2479">_xlfn.XLOOKUP(C2479 &amp; F2479,
         [1]unilever_price_limits!A:A &amp; [1]unilever_price_limits!B:B,
         [1]unilever_price_limits!C:C)</f>
        <v>30</v>
      </c>
      <c r="H2479" s="8">
        <f t="shared" si="153"/>
        <v>12.792</v>
      </c>
      <c r="I2479" s="6">
        <f t="shared" si="154"/>
        <v>30.000000000000004</v>
      </c>
      <c r="J2479" t="str">
        <f t="shared" si="155"/>
        <v>OK</v>
      </c>
    </row>
    <row r="2480" spans="1:10" x14ac:dyDescent="0.2">
      <c r="A2480">
        <v>12479</v>
      </c>
      <c r="B2480" t="s">
        <v>10</v>
      </c>
      <c r="C2480" t="s">
        <v>6</v>
      </c>
      <c r="D2480" s="8">
        <v>0.91</v>
      </c>
      <c r="E2480">
        <v>5</v>
      </c>
      <c r="F2480" t="str">
        <f t="shared" si="152"/>
        <v>Standard</v>
      </c>
      <c r="G2480" s="3" cm="1">
        <f t="array" ref="G2480">_xlfn.XLOOKUP(C2480 &amp; F2480,
         [1]unilever_price_limits!A:A &amp; [1]unilever_price_limits!B:B,
         [1]unilever_price_limits!C:C)</f>
        <v>28</v>
      </c>
      <c r="H2480" s="8">
        <f t="shared" si="153"/>
        <v>1.1648000000000001</v>
      </c>
      <c r="I2480" s="6">
        <f t="shared" si="154"/>
        <v>28.000000000000004</v>
      </c>
      <c r="J2480" t="str">
        <f t="shared" si="155"/>
        <v>OK</v>
      </c>
    </row>
    <row r="2481" spans="1:10" x14ac:dyDescent="0.2">
      <c r="A2481">
        <v>12480</v>
      </c>
      <c r="B2481" t="s">
        <v>8</v>
      </c>
      <c r="C2481" t="s">
        <v>11</v>
      </c>
      <c r="D2481" s="8">
        <v>12.51</v>
      </c>
      <c r="E2481">
        <v>8</v>
      </c>
      <c r="F2481" t="str">
        <f t="shared" si="152"/>
        <v>Premium</v>
      </c>
      <c r="G2481" s="3" cm="1">
        <f t="array" ref="G2481">_xlfn.XLOOKUP(C2481 &amp; F2481,
         [1]unilever_price_limits!A:A &amp; [1]unilever_price_limits!B:B,
         [1]unilever_price_limits!C:C)</f>
        <v>50</v>
      </c>
      <c r="H2481" s="8">
        <f t="shared" si="153"/>
        <v>18.765000000000001</v>
      </c>
      <c r="I2481" s="6">
        <f t="shared" si="154"/>
        <v>50</v>
      </c>
      <c r="J2481" t="str">
        <f t="shared" si="155"/>
        <v>OK</v>
      </c>
    </row>
    <row r="2482" spans="1:10" x14ac:dyDescent="0.2">
      <c r="A2482">
        <v>12481</v>
      </c>
      <c r="B2482" t="s">
        <v>8</v>
      </c>
      <c r="C2482" t="s">
        <v>11</v>
      </c>
      <c r="D2482" s="8">
        <v>11.93</v>
      </c>
      <c r="E2482">
        <v>10</v>
      </c>
      <c r="F2482" t="str">
        <f t="shared" si="152"/>
        <v>Premium</v>
      </c>
      <c r="G2482" s="3" cm="1">
        <f t="array" ref="G2482">_xlfn.XLOOKUP(C2482 &amp; F2482,
         [1]unilever_price_limits!A:A &amp; [1]unilever_price_limits!B:B,
         [1]unilever_price_limits!C:C)</f>
        <v>50</v>
      </c>
      <c r="H2482" s="8">
        <f t="shared" si="153"/>
        <v>17.895</v>
      </c>
      <c r="I2482" s="6">
        <f t="shared" si="154"/>
        <v>50</v>
      </c>
      <c r="J2482" t="str">
        <f t="shared" si="155"/>
        <v>OK</v>
      </c>
    </row>
    <row r="2483" spans="1:10" x14ac:dyDescent="0.2">
      <c r="A2483">
        <v>12482</v>
      </c>
      <c r="B2483" t="s">
        <v>8</v>
      </c>
      <c r="C2483" t="s">
        <v>9</v>
      </c>
      <c r="D2483" s="8">
        <v>4.26</v>
      </c>
      <c r="E2483">
        <v>6</v>
      </c>
      <c r="F2483" t="str">
        <f t="shared" si="152"/>
        <v>Standard</v>
      </c>
      <c r="G2483" s="3" cm="1">
        <f t="array" ref="G2483">_xlfn.XLOOKUP(C2483 &amp; F2483,
         [1]unilever_price_limits!A:A &amp; [1]unilever_price_limits!B:B,
         [1]unilever_price_limits!C:C)</f>
        <v>30</v>
      </c>
      <c r="H2483" s="8">
        <f t="shared" si="153"/>
        <v>5.5380000000000003</v>
      </c>
      <c r="I2483" s="6">
        <f t="shared" si="154"/>
        <v>30.000000000000004</v>
      </c>
      <c r="J2483" t="str">
        <f t="shared" si="155"/>
        <v>OK</v>
      </c>
    </row>
    <row r="2484" spans="1:10" x14ac:dyDescent="0.2">
      <c r="A2484">
        <v>12483</v>
      </c>
      <c r="B2484" t="s">
        <v>8</v>
      </c>
      <c r="C2484" t="s">
        <v>9</v>
      </c>
      <c r="D2484" s="8">
        <v>10.78</v>
      </c>
      <c r="E2484">
        <v>5</v>
      </c>
      <c r="F2484" t="str">
        <f t="shared" si="152"/>
        <v>Standard</v>
      </c>
      <c r="G2484" s="3" cm="1">
        <f t="array" ref="G2484">_xlfn.XLOOKUP(C2484 &amp; F2484,
         [1]unilever_price_limits!A:A &amp; [1]unilever_price_limits!B:B,
         [1]unilever_price_limits!C:C)</f>
        <v>30</v>
      </c>
      <c r="H2484" s="8">
        <f t="shared" si="153"/>
        <v>14.013999999999999</v>
      </c>
      <c r="I2484" s="6">
        <f t="shared" si="154"/>
        <v>30.000000000000004</v>
      </c>
      <c r="J2484" t="str">
        <f t="shared" si="155"/>
        <v>OK</v>
      </c>
    </row>
    <row r="2485" spans="1:10" x14ac:dyDescent="0.2">
      <c r="A2485">
        <v>12484</v>
      </c>
      <c r="B2485" t="s">
        <v>7</v>
      </c>
      <c r="C2485" t="s">
        <v>6</v>
      </c>
      <c r="D2485" s="8">
        <v>3.62</v>
      </c>
      <c r="E2485">
        <v>4</v>
      </c>
      <c r="F2485" t="str">
        <f t="shared" si="152"/>
        <v>Standard</v>
      </c>
      <c r="G2485" s="3" cm="1">
        <f t="array" ref="G2485">_xlfn.XLOOKUP(C2485 &amp; F2485,
         [1]unilever_price_limits!A:A &amp; [1]unilever_price_limits!B:B,
         [1]unilever_price_limits!C:C)</f>
        <v>28</v>
      </c>
      <c r="H2485" s="8">
        <f t="shared" si="153"/>
        <v>4.6336000000000004</v>
      </c>
      <c r="I2485" s="6">
        <f t="shared" si="154"/>
        <v>28.000000000000004</v>
      </c>
      <c r="J2485" t="str">
        <f t="shared" si="155"/>
        <v>OK</v>
      </c>
    </row>
    <row r="2486" spans="1:10" x14ac:dyDescent="0.2">
      <c r="A2486">
        <v>12485</v>
      </c>
      <c r="B2486" t="s">
        <v>5</v>
      </c>
      <c r="C2486" t="s">
        <v>9</v>
      </c>
      <c r="D2486" s="8">
        <v>1.08</v>
      </c>
      <c r="E2486">
        <v>7</v>
      </c>
      <c r="F2486" t="str">
        <f t="shared" si="152"/>
        <v>Standard</v>
      </c>
      <c r="G2486" s="3" cm="1">
        <f t="array" ref="G2486">_xlfn.XLOOKUP(C2486 &amp; F2486,
         [1]unilever_price_limits!A:A &amp; [1]unilever_price_limits!B:B,
         [1]unilever_price_limits!C:C)</f>
        <v>30</v>
      </c>
      <c r="H2486" s="8">
        <f t="shared" si="153"/>
        <v>1.4040000000000001</v>
      </c>
      <c r="I2486" s="6">
        <f t="shared" si="154"/>
        <v>30.000000000000004</v>
      </c>
      <c r="J2486" t="str">
        <f t="shared" si="155"/>
        <v>OK</v>
      </c>
    </row>
    <row r="2487" spans="1:10" x14ac:dyDescent="0.2">
      <c r="A2487">
        <v>12486</v>
      </c>
      <c r="B2487" t="s">
        <v>5</v>
      </c>
      <c r="C2487" t="s">
        <v>6</v>
      </c>
      <c r="D2487" s="8">
        <v>3.42</v>
      </c>
      <c r="E2487">
        <v>4</v>
      </c>
      <c r="F2487" t="str">
        <f t="shared" si="152"/>
        <v>Standard</v>
      </c>
      <c r="G2487" s="3" cm="1">
        <f t="array" ref="G2487">_xlfn.XLOOKUP(C2487 &amp; F2487,
         [1]unilever_price_limits!A:A &amp; [1]unilever_price_limits!B:B,
         [1]unilever_price_limits!C:C)</f>
        <v>28</v>
      </c>
      <c r="H2487" s="8">
        <f t="shared" si="153"/>
        <v>4.3776000000000002</v>
      </c>
      <c r="I2487" s="6">
        <f t="shared" si="154"/>
        <v>28.000000000000004</v>
      </c>
      <c r="J2487" t="str">
        <f t="shared" si="155"/>
        <v>OK</v>
      </c>
    </row>
    <row r="2488" spans="1:10" x14ac:dyDescent="0.2">
      <c r="A2488">
        <v>12487</v>
      </c>
      <c r="B2488" t="s">
        <v>10</v>
      </c>
      <c r="C2488" t="s">
        <v>9</v>
      </c>
      <c r="D2488" s="8">
        <v>3.09</v>
      </c>
      <c r="E2488">
        <v>5</v>
      </c>
      <c r="F2488" t="str">
        <f t="shared" si="152"/>
        <v>Standard</v>
      </c>
      <c r="G2488" s="3" cm="1">
        <f t="array" ref="G2488">_xlfn.XLOOKUP(C2488 &amp; F2488,
         [1]unilever_price_limits!A:A &amp; [1]unilever_price_limits!B:B,
         [1]unilever_price_limits!C:C)</f>
        <v>30</v>
      </c>
      <c r="H2488" s="8">
        <f t="shared" si="153"/>
        <v>4.0170000000000003</v>
      </c>
      <c r="I2488" s="6">
        <f t="shared" si="154"/>
        <v>30.000000000000028</v>
      </c>
      <c r="J2488" t="str">
        <f t="shared" si="155"/>
        <v>OK</v>
      </c>
    </row>
    <row r="2489" spans="1:10" x14ac:dyDescent="0.2">
      <c r="A2489">
        <v>12488</v>
      </c>
      <c r="B2489" t="s">
        <v>10</v>
      </c>
      <c r="C2489" t="s">
        <v>6</v>
      </c>
      <c r="D2489" s="8">
        <v>5.4</v>
      </c>
      <c r="E2489">
        <v>5</v>
      </c>
      <c r="F2489" t="str">
        <f t="shared" si="152"/>
        <v>Standard</v>
      </c>
      <c r="G2489" s="3" cm="1">
        <f t="array" ref="G2489">_xlfn.XLOOKUP(C2489 &amp; F2489,
         [1]unilever_price_limits!A:A &amp; [1]unilever_price_limits!B:B,
         [1]unilever_price_limits!C:C)</f>
        <v>28</v>
      </c>
      <c r="H2489" s="8">
        <f t="shared" si="153"/>
        <v>6.9120000000000008</v>
      </c>
      <c r="I2489" s="6">
        <f t="shared" si="154"/>
        <v>28.000000000000004</v>
      </c>
      <c r="J2489" t="str">
        <f t="shared" si="155"/>
        <v>OK</v>
      </c>
    </row>
    <row r="2490" spans="1:10" x14ac:dyDescent="0.2">
      <c r="A2490">
        <v>12489</v>
      </c>
      <c r="B2490" t="s">
        <v>7</v>
      </c>
      <c r="C2490" t="s">
        <v>6</v>
      </c>
      <c r="D2490" s="8">
        <v>6.57</v>
      </c>
      <c r="E2490">
        <v>1</v>
      </c>
      <c r="F2490" t="str">
        <f t="shared" si="152"/>
        <v>Value</v>
      </c>
      <c r="G2490" s="3" cm="1">
        <f t="array" ref="G2490">_xlfn.XLOOKUP(C2490 &amp; F2490,
         [1]unilever_price_limits!A:A &amp; [1]unilever_price_limits!B:B,
         [1]unilever_price_limits!C:C)</f>
        <v>12</v>
      </c>
      <c r="H2490" s="8">
        <f t="shared" si="153"/>
        <v>7.3584000000000014</v>
      </c>
      <c r="I2490" s="6">
        <f t="shared" si="154"/>
        <v>12.000000000000011</v>
      </c>
      <c r="J2490" t="str">
        <f t="shared" si="155"/>
        <v>OK</v>
      </c>
    </row>
    <row r="2491" spans="1:10" x14ac:dyDescent="0.2">
      <c r="A2491">
        <v>12490</v>
      </c>
      <c r="B2491" t="s">
        <v>5</v>
      </c>
      <c r="C2491" t="s">
        <v>6</v>
      </c>
      <c r="D2491" s="8">
        <v>7.87</v>
      </c>
      <c r="E2491">
        <v>1</v>
      </c>
      <c r="F2491" t="str">
        <f t="shared" si="152"/>
        <v>Value</v>
      </c>
      <c r="G2491" s="3" cm="1">
        <f t="array" ref="G2491">_xlfn.XLOOKUP(C2491 &amp; F2491,
         [1]unilever_price_limits!A:A &amp; [1]unilever_price_limits!B:B,
         [1]unilever_price_limits!C:C)</f>
        <v>12</v>
      </c>
      <c r="H2491" s="8">
        <f t="shared" si="153"/>
        <v>8.8144000000000009</v>
      </c>
      <c r="I2491" s="6">
        <f t="shared" si="154"/>
        <v>12.000000000000011</v>
      </c>
      <c r="J2491" t="str">
        <f t="shared" si="155"/>
        <v>OK</v>
      </c>
    </row>
    <row r="2492" spans="1:10" x14ac:dyDescent="0.2">
      <c r="A2492">
        <v>12491</v>
      </c>
      <c r="B2492" t="s">
        <v>5</v>
      </c>
      <c r="C2492" t="s">
        <v>6</v>
      </c>
      <c r="D2492" s="8">
        <v>7.41</v>
      </c>
      <c r="E2492">
        <v>3</v>
      </c>
      <c r="F2492" t="str">
        <f t="shared" si="152"/>
        <v>Value</v>
      </c>
      <c r="G2492" s="3" cm="1">
        <f t="array" ref="G2492">_xlfn.XLOOKUP(C2492 &amp; F2492,
         [1]unilever_price_limits!A:A &amp; [1]unilever_price_limits!B:B,
         [1]unilever_price_limits!C:C)</f>
        <v>12</v>
      </c>
      <c r="H2492" s="8">
        <f t="shared" si="153"/>
        <v>8.2992000000000008</v>
      </c>
      <c r="I2492" s="6">
        <f t="shared" si="154"/>
        <v>12.000000000000011</v>
      </c>
      <c r="J2492" t="str">
        <f t="shared" si="155"/>
        <v>OK</v>
      </c>
    </row>
    <row r="2493" spans="1:10" x14ac:dyDescent="0.2">
      <c r="A2493">
        <v>12492</v>
      </c>
      <c r="B2493" t="s">
        <v>8</v>
      </c>
      <c r="C2493" t="s">
        <v>11</v>
      </c>
      <c r="D2493" s="8">
        <v>4.42</v>
      </c>
      <c r="E2493">
        <v>3</v>
      </c>
      <c r="F2493" t="str">
        <f t="shared" si="152"/>
        <v>Value</v>
      </c>
      <c r="G2493" s="3" cm="1">
        <f t="array" ref="G2493">_xlfn.XLOOKUP(C2493 &amp; F2493,
         [1]unilever_price_limits!A:A &amp; [1]unilever_price_limits!B:B,
         [1]unilever_price_limits!C:C)</f>
        <v>10</v>
      </c>
      <c r="H2493" s="8">
        <f t="shared" si="153"/>
        <v>4.8620000000000001</v>
      </c>
      <c r="I2493" s="6">
        <f t="shared" si="154"/>
        <v>10.000000000000009</v>
      </c>
      <c r="J2493" t="str">
        <f t="shared" si="155"/>
        <v>OK</v>
      </c>
    </row>
    <row r="2494" spans="1:10" x14ac:dyDescent="0.2">
      <c r="A2494">
        <v>12493</v>
      </c>
      <c r="B2494" t="s">
        <v>7</v>
      </c>
      <c r="C2494" t="s">
        <v>6</v>
      </c>
      <c r="D2494" s="8">
        <v>0.92</v>
      </c>
      <c r="E2494">
        <v>2</v>
      </c>
      <c r="F2494" t="str">
        <f t="shared" si="152"/>
        <v>Value</v>
      </c>
      <c r="G2494" s="3" cm="1">
        <f t="array" ref="G2494">_xlfn.XLOOKUP(C2494 &amp; F2494,
         [1]unilever_price_limits!A:A &amp; [1]unilever_price_limits!B:B,
         [1]unilever_price_limits!C:C)</f>
        <v>12</v>
      </c>
      <c r="H2494" s="8">
        <f t="shared" si="153"/>
        <v>1.0304000000000002</v>
      </c>
      <c r="I2494" s="6">
        <f t="shared" si="154"/>
        <v>12.000000000000011</v>
      </c>
      <c r="J2494" t="str">
        <f t="shared" si="155"/>
        <v>OK</v>
      </c>
    </row>
    <row r="2495" spans="1:10" x14ac:dyDescent="0.2">
      <c r="A2495">
        <v>12494</v>
      </c>
      <c r="B2495" t="s">
        <v>7</v>
      </c>
      <c r="C2495" t="s">
        <v>9</v>
      </c>
      <c r="D2495" s="8">
        <v>9.27</v>
      </c>
      <c r="E2495">
        <v>2</v>
      </c>
      <c r="F2495" t="str">
        <f t="shared" si="152"/>
        <v>Value</v>
      </c>
      <c r="G2495" s="3" cm="1">
        <f t="array" ref="G2495">_xlfn.XLOOKUP(C2495 &amp; F2495,
         [1]unilever_price_limits!A:A &amp; [1]unilever_price_limits!B:B,
         [1]unilever_price_limits!C:C)</f>
        <v>15</v>
      </c>
      <c r="H2495" s="8">
        <f t="shared" si="153"/>
        <v>10.660499999999999</v>
      </c>
      <c r="I2495" s="6">
        <f t="shared" si="154"/>
        <v>14.999999999999991</v>
      </c>
      <c r="J2495" t="str">
        <f t="shared" si="155"/>
        <v>OK</v>
      </c>
    </row>
    <row r="2496" spans="1:10" x14ac:dyDescent="0.2">
      <c r="A2496">
        <v>12495</v>
      </c>
      <c r="B2496" t="s">
        <v>8</v>
      </c>
      <c r="C2496" t="s">
        <v>11</v>
      </c>
      <c r="D2496" s="8">
        <v>6.24</v>
      </c>
      <c r="E2496">
        <v>6</v>
      </c>
      <c r="F2496" t="str">
        <f t="shared" si="152"/>
        <v>Standard</v>
      </c>
      <c r="G2496" s="3" cm="1">
        <f t="array" ref="G2496">_xlfn.XLOOKUP(C2496 &amp; F2496,
         [1]unilever_price_limits!A:A &amp; [1]unilever_price_limits!B:B,
         [1]unilever_price_limits!C:C)</f>
        <v>25</v>
      </c>
      <c r="H2496" s="8">
        <f t="shared" si="153"/>
        <v>7.8000000000000007</v>
      </c>
      <c r="I2496" s="6">
        <f t="shared" si="154"/>
        <v>25</v>
      </c>
      <c r="J2496" t="str">
        <f t="shared" si="155"/>
        <v>OK</v>
      </c>
    </row>
    <row r="2497" spans="1:10" x14ac:dyDescent="0.2">
      <c r="A2497">
        <v>12496</v>
      </c>
      <c r="B2497" t="s">
        <v>7</v>
      </c>
      <c r="C2497" t="s">
        <v>11</v>
      </c>
      <c r="D2497" s="8">
        <v>4.83</v>
      </c>
      <c r="E2497">
        <v>1</v>
      </c>
      <c r="F2497" t="str">
        <f t="shared" si="152"/>
        <v>Value</v>
      </c>
      <c r="G2497" s="3" cm="1">
        <f t="array" ref="G2497">_xlfn.XLOOKUP(C2497 &amp; F2497,
         [1]unilever_price_limits!A:A &amp; [1]unilever_price_limits!B:B,
         [1]unilever_price_limits!C:C)</f>
        <v>10</v>
      </c>
      <c r="H2497" s="8">
        <f t="shared" si="153"/>
        <v>5.3130000000000006</v>
      </c>
      <c r="I2497" s="6">
        <f t="shared" si="154"/>
        <v>10.000000000000009</v>
      </c>
      <c r="J2497" t="str">
        <f t="shared" si="155"/>
        <v>OK</v>
      </c>
    </row>
    <row r="2498" spans="1:10" x14ac:dyDescent="0.2">
      <c r="A2498">
        <v>12497</v>
      </c>
      <c r="B2498" t="s">
        <v>7</v>
      </c>
      <c r="C2498" t="s">
        <v>6</v>
      </c>
      <c r="D2498" s="8">
        <v>13.07</v>
      </c>
      <c r="E2498">
        <v>6</v>
      </c>
      <c r="F2498" t="str">
        <f t="shared" si="152"/>
        <v>Standard</v>
      </c>
      <c r="G2498" s="3" cm="1">
        <f t="array" ref="G2498">_xlfn.XLOOKUP(C2498 &amp; F2498,
         [1]unilever_price_limits!A:A &amp; [1]unilever_price_limits!B:B,
         [1]unilever_price_limits!C:C)</f>
        <v>28</v>
      </c>
      <c r="H2498" s="8">
        <f t="shared" si="153"/>
        <v>16.729600000000001</v>
      </c>
      <c r="I2498" s="6">
        <f t="shared" si="154"/>
        <v>28.000000000000004</v>
      </c>
      <c r="J2498" t="str">
        <f t="shared" si="155"/>
        <v>OK</v>
      </c>
    </row>
    <row r="2499" spans="1:10" x14ac:dyDescent="0.2">
      <c r="A2499">
        <v>12498</v>
      </c>
      <c r="B2499" t="s">
        <v>10</v>
      </c>
      <c r="C2499" t="s">
        <v>11</v>
      </c>
      <c r="D2499" s="8">
        <v>11.33</v>
      </c>
      <c r="E2499">
        <v>5</v>
      </c>
      <c r="F2499" t="str">
        <f t="shared" ref="F2499:F2562" si="156">IF(E2499&lt;=3,"Value",
 IF(E2499&lt;=7,"Standard","Premium"))</f>
        <v>Standard</v>
      </c>
      <c r="G2499" s="3" cm="1">
        <f t="array" ref="G2499">_xlfn.XLOOKUP(C2499 &amp; F2499,
         [1]unilever_price_limits!A:A &amp; [1]unilever_price_limits!B:B,
         [1]unilever_price_limits!C:C)</f>
        <v>25</v>
      </c>
      <c r="H2499" s="8">
        <f t="shared" ref="H2499:H2562" si="157">D2499 * (1 + G2499/100)</f>
        <v>14.1625</v>
      </c>
      <c r="I2499" s="6">
        <f t="shared" ref="I2499:I2562" si="158">(H2499 / D2499 - 1) * 100</f>
        <v>25</v>
      </c>
      <c r="J2499" t="str">
        <f t="shared" ref="J2499:J2562" si="159">IF(I2498&gt; G2498, "⚠ Exceeds Limit", "OK")</f>
        <v>OK</v>
      </c>
    </row>
    <row r="2500" spans="1:10" x14ac:dyDescent="0.2">
      <c r="A2500">
        <v>12499</v>
      </c>
      <c r="B2500" t="s">
        <v>5</v>
      </c>
      <c r="C2500" t="s">
        <v>6</v>
      </c>
      <c r="D2500" s="8">
        <v>12.94</v>
      </c>
      <c r="E2500">
        <v>6</v>
      </c>
      <c r="F2500" t="str">
        <f t="shared" si="156"/>
        <v>Standard</v>
      </c>
      <c r="G2500" s="3" cm="1">
        <f t="array" ref="G2500">_xlfn.XLOOKUP(C2500 &amp; F2500,
         [1]unilever_price_limits!A:A &amp; [1]unilever_price_limits!B:B,
         [1]unilever_price_limits!C:C)</f>
        <v>28</v>
      </c>
      <c r="H2500" s="8">
        <f t="shared" si="157"/>
        <v>16.563199999999998</v>
      </c>
      <c r="I2500" s="6">
        <f t="shared" si="158"/>
        <v>28.000000000000004</v>
      </c>
      <c r="J2500" t="str">
        <f t="shared" si="159"/>
        <v>OK</v>
      </c>
    </row>
    <row r="2501" spans="1:10" x14ac:dyDescent="0.2">
      <c r="A2501">
        <v>12500</v>
      </c>
      <c r="B2501" t="s">
        <v>7</v>
      </c>
      <c r="C2501" t="s">
        <v>9</v>
      </c>
      <c r="D2501" s="8">
        <v>7.68</v>
      </c>
      <c r="E2501">
        <v>5</v>
      </c>
      <c r="F2501" t="str">
        <f t="shared" si="156"/>
        <v>Standard</v>
      </c>
      <c r="G2501" s="3" cm="1">
        <f t="array" ref="G2501">_xlfn.XLOOKUP(C2501 &amp; F2501,
         [1]unilever_price_limits!A:A &amp; [1]unilever_price_limits!B:B,
         [1]unilever_price_limits!C:C)</f>
        <v>30</v>
      </c>
      <c r="H2501" s="8">
        <f t="shared" si="157"/>
        <v>9.984</v>
      </c>
      <c r="I2501" s="6">
        <f t="shared" si="158"/>
        <v>30.000000000000004</v>
      </c>
      <c r="J2501" t="str">
        <f t="shared" si="159"/>
        <v>OK</v>
      </c>
    </row>
    <row r="2502" spans="1:10" x14ac:dyDescent="0.2">
      <c r="A2502">
        <v>12501</v>
      </c>
      <c r="B2502" t="s">
        <v>10</v>
      </c>
      <c r="C2502" t="s">
        <v>6</v>
      </c>
      <c r="D2502" s="8">
        <v>2.4</v>
      </c>
      <c r="E2502">
        <v>7</v>
      </c>
      <c r="F2502" t="str">
        <f t="shared" si="156"/>
        <v>Standard</v>
      </c>
      <c r="G2502" s="3" cm="1">
        <f t="array" ref="G2502">_xlfn.XLOOKUP(C2502 &amp; F2502,
         [1]unilever_price_limits!A:A &amp; [1]unilever_price_limits!B:B,
         [1]unilever_price_limits!C:C)</f>
        <v>28</v>
      </c>
      <c r="H2502" s="8">
        <f t="shared" si="157"/>
        <v>3.0720000000000001</v>
      </c>
      <c r="I2502" s="6">
        <f t="shared" si="158"/>
        <v>28.000000000000004</v>
      </c>
      <c r="J2502" t="str">
        <f t="shared" si="159"/>
        <v>OK</v>
      </c>
    </row>
    <row r="2503" spans="1:10" x14ac:dyDescent="0.2">
      <c r="A2503">
        <v>12502</v>
      </c>
      <c r="B2503" t="s">
        <v>5</v>
      </c>
      <c r="C2503" t="s">
        <v>11</v>
      </c>
      <c r="D2503" s="8">
        <v>10.6</v>
      </c>
      <c r="E2503">
        <v>1</v>
      </c>
      <c r="F2503" t="str">
        <f t="shared" si="156"/>
        <v>Value</v>
      </c>
      <c r="G2503" s="3" cm="1">
        <f t="array" ref="G2503">_xlfn.XLOOKUP(C2503 &amp; F2503,
         [1]unilever_price_limits!A:A &amp; [1]unilever_price_limits!B:B,
         [1]unilever_price_limits!C:C)</f>
        <v>10</v>
      </c>
      <c r="H2503" s="8">
        <f t="shared" si="157"/>
        <v>11.66</v>
      </c>
      <c r="I2503" s="6">
        <f t="shared" si="158"/>
        <v>10.000000000000009</v>
      </c>
      <c r="J2503" t="str">
        <f t="shared" si="159"/>
        <v>OK</v>
      </c>
    </row>
    <row r="2504" spans="1:10" x14ac:dyDescent="0.2">
      <c r="A2504">
        <v>12503</v>
      </c>
      <c r="B2504" t="s">
        <v>8</v>
      </c>
      <c r="C2504" t="s">
        <v>9</v>
      </c>
      <c r="D2504" s="8">
        <v>3.49</v>
      </c>
      <c r="E2504">
        <v>3</v>
      </c>
      <c r="F2504" t="str">
        <f t="shared" si="156"/>
        <v>Value</v>
      </c>
      <c r="G2504" s="3" cm="1">
        <f t="array" ref="G2504">_xlfn.XLOOKUP(C2504 &amp; F2504,
         [1]unilever_price_limits!A:A &amp; [1]unilever_price_limits!B:B,
         [1]unilever_price_limits!C:C)</f>
        <v>15</v>
      </c>
      <c r="H2504" s="8">
        <f t="shared" si="157"/>
        <v>4.0134999999999996</v>
      </c>
      <c r="I2504" s="6">
        <f t="shared" si="158"/>
        <v>14.999999999999991</v>
      </c>
      <c r="J2504" t="str">
        <f t="shared" si="159"/>
        <v>OK</v>
      </c>
    </row>
    <row r="2505" spans="1:10" x14ac:dyDescent="0.2">
      <c r="A2505">
        <v>12504</v>
      </c>
      <c r="B2505" t="s">
        <v>10</v>
      </c>
      <c r="C2505" t="s">
        <v>6</v>
      </c>
      <c r="D2505" s="8">
        <v>6.9</v>
      </c>
      <c r="E2505">
        <v>6</v>
      </c>
      <c r="F2505" t="str">
        <f t="shared" si="156"/>
        <v>Standard</v>
      </c>
      <c r="G2505" s="3" cm="1">
        <f t="array" ref="G2505">_xlfn.XLOOKUP(C2505 &amp; F2505,
         [1]unilever_price_limits!A:A &amp; [1]unilever_price_limits!B:B,
         [1]unilever_price_limits!C:C)</f>
        <v>28</v>
      </c>
      <c r="H2505" s="8">
        <f t="shared" si="157"/>
        <v>8.8320000000000007</v>
      </c>
      <c r="I2505" s="6">
        <f t="shared" si="158"/>
        <v>28.000000000000004</v>
      </c>
      <c r="J2505" t="str">
        <f t="shared" si="159"/>
        <v>OK</v>
      </c>
    </row>
    <row r="2506" spans="1:10" x14ac:dyDescent="0.2">
      <c r="A2506">
        <v>12505</v>
      </c>
      <c r="B2506" t="s">
        <v>10</v>
      </c>
      <c r="C2506" t="s">
        <v>9</v>
      </c>
      <c r="D2506" s="8">
        <v>1.44</v>
      </c>
      <c r="E2506">
        <v>1</v>
      </c>
      <c r="F2506" t="str">
        <f t="shared" si="156"/>
        <v>Value</v>
      </c>
      <c r="G2506" s="3" cm="1">
        <f t="array" ref="G2506">_xlfn.XLOOKUP(C2506 &amp; F2506,
         [1]unilever_price_limits!A:A &amp; [1]unilever_price_limits!B:B,
         [1]unilever_price_limits!C:C)</f>
        <v>15</v>
      </c>
      <c r="H2506" s="8">
        <f t="shared" si="157"/>
        <v>1.6559999999999999</v>
      </c>
      <c r="I2506" s="6">
        <f t="shared" si="158"/>
        <v>14.999999999999991</v>
      </c>
      <c r="J2506" t="str">
        <f t="shared" si="159"/>
        <v>OK</v>
      </c>
    </row>
    <row r="2507" spans="1:10" x14ac:dyDescent="0.2">
      <c r="A2507">
        <v>12506</v>
      </c>
      <c r="B2507" t="s">
        <v>5</v>
      </c>
      <c r="C2507" t="s">
        <v>9</v>
      </c>
      <c r="D2507" s="8">
        <v>12.47</v>
      </c>
      <c r="E2507">
        <v>7</v>
      </c>
      <c r="F2507" t="str">
        <f t="shared" si="156"/>
        <v>Standard</v>
      </c>
      <c r="G2507" s="3" cm="1">
        <f t="array" ref="G2507">_xlfn.XLOOKUP(C2507 &amp; F2507,
         [1]unilever_price_limits!A:A &amp; [1]unilever_price_limits!B:B,
         [1]unilever_price_limits!C:C)</f>
        <v>30</v>
      </c>
      <c r="H2507" s="8">
        <f t="shared" si="157"/>
        <v>16.211000000000002</v>
      </c>
      <c r="I2507" s="6">
        <f t="shared" si="158"/>
        <v>30.000000000000004</v>
      </c>
      <c r="J2507" t="str">
        <f t="shared" si="159"/>
        <v>OK</v>
      </c>
    </row>
    <row r="2508" spans="1:10" x14ac:dyDescent="0.2">
      <c r="A2508">
        <v>12507</v>
      </c>
      <c r="B2508" t="s">
        <v>8</v>
      </c>
      <c r="C2508" t="s">
        <v>11</v>
      </c>
      <c r="D2508" s="8">
        <v>2.33</v>
      </c>
      <c r="E2508">
        <v>4</v>
      </c>
      <c r="F2508" t="str">
        <f t="shared" si="156"/>
        <v>Standard</v>
      </c>
      <c r="G2508" s="3" cm="1">
        <f t="array" ref="G2508">_xlfn.XLOOKUP(C2508 &amp; F2508,
         [1]unilever_price_limits!A:A &amp; [1]unilever_price_limits!B:B,
         [1]unilever_price_limits!C:C)</f>
        <v>25</v>
      </c>
      <c r="H2508" s="8">
        <f t="shared" si="157"/>
        <v>2.9125000000000001</v>
      </c>
      <c r="I2508" s="6">
        <f t="shared" si="158"/>
        <v>25</v>
      </c>
      <c r="J2508" t="str">
        <f t="shared" si="159"/>
        <v>OK</v>
      </c>
    </row>
    <row r="2509" spans="1:10" x14ac:dyDescent="0.2">
      <c r="A2509">
        <v>12508</v>
      </c>
      <c r="B2509" t="s">
        <v>10</v>
      </c>
      <c r="C2509" t="s">
        <v>9</v>
      </c>
      <c r="D2509" s="8">
        <v>13.59</v>
      </c>
      <c r="E2509">
        <v>3</v>
      </c>
      <c r="F2509" t="str">
        <f t="shared" si="156"/>
        <v>Value</v>
      </c>
      <c r="G2509" s="3" cm="1">
        <f t="array" ref="G2509">_xlfn.XLOOKUP(C2509 &amp; F2509,
         [1]unilever_price_limits!A:A &amp; [1]unilever_price_limits!B:B,
         [1]unilever_price_limits!C:C)</f>
        <v>15</v>
      </c>
      <c r="H2509" s="8">
        <f t="shared" si="157"/>
        <v>15.628499999999999</v>
      </c>
      <c r="I2509" s="6">
        <f t="shared" si="158"/>
        <v>14.999999999999991</v>
      </c>
      <c r="J2509" t="str">
        <f t="shared" si="159"/>
        <v>OK</v>
      </c>
    </row>
    <row r="2510" spans="1:10" x14ac:dyDescent="0.2">
      <c r="A2510">
        <v>12509</v>
      </c>
      <c r="B2510" t="s">
        <v>7</v>
      </c>
      <c r="C2510" t="s">
        <v>11</v>
      </c>
      <c r="D2510" s="8">
        <v>13.03</v>
      </c>
      <c r="E2510">
        <v>10</v>
      </c>
      <c r="F2510" t="str">
        <f t="shared" si="156"/>
        <v>Premium</v>
      </c>
      <c r="G2510" s="3" cm="1">
        <f t="array" ref="G2510">_xlfn.XLOOKUP(C2510 &amp; F2510,
         [1]unilever_price_limits!A:A &amp; [1]unilever_price_limits!B:B,
         [1]unilever_price_limits!C:C)</f>
        <v>50</v>
      </c>
      <c r="H2510" s="8">
        <f t="shared" si="157"/>
        <v>19.544999999999998</v>
      </c>
      <c r="I2510" s="6">
        <f t="shared" si="158"/>
        <v>50</v>
      </c>
      <c r="J2510" t="str">
        <f t="shared" si="159"/>
        <v>OK</v>
      </c>
    </row>
    <row r="2511" spans="1:10" x14ac:dyDescent="0.2">
      <c r="A2511">
        <v>12510</v>
      </c>
      <c r="B2511" t="s">
        <v>7</v>
      </c>
      <c r="C2511" t="s">
        <v>9</v>
      </c>
      <c r="D2511" s="8">
        <v>7.24</v>
      </c>
      <c r="E2511">
        <v>9</v>
      </c>
      <c r="F2511" t="str">
        <f t="shared" si="156"/>
        <v>Premium</v>
      </c>
      <c r="G2511" s="3" cm="1">
        <f t="array" ref="G2511">_xlfn.XLOOKUP(C2511 &amp; F2511,
         [1]unilever_price_limits!A:A &amp; [1]unilever_price_limits!B:B,
         [1]unilever_price_limits!C:C)</f>
        <v>60</v>
      </c>
      <c r="H2511" s="8">
        <f t="shared" si="157"/>
        <v>11.584000000000001</v>
      </c>
      <c r="I2511" s="6">
        <f t="shared" si="158"/>
        <v>60.000000000000007</v>
      </c>
      <c r="J2511" t="str">
        <f t="shared" si="159"/>
        <v>OK</v>
      </c>
    </row>
    <row r="2512" spans="1:10" x14ac:dyDescent="0.2">
      <c r="A2512">
        <v>12511</v>
      </c>
      <c r="B2512" t="s">
        <v>7</v>
      </c>
      <c r="C2512" t="s">
        <v>6</v>
      </c>
      <c r="D2512" s="8">
        <v>11.29</v>
      </c>
      <c r="E2512">
        <v>1</v>
      </c>
      <c r="F2512" t="str">
        <f t="shared" si="156"/>
        <v>Value</v>
      </c>
      <c r="G2512" s="3" cm="1">
        <f t="array" ref="G2512">_xlfn.XLOOKUP(C2512 &amp; F2512,
         [1]unilever_price_limits!A:A &amp; [1]unilever_price_limits!B:B,
         [1]unilever_price_limits!C:C)</f>
        <v>12</v>
      </c>
      <c r="H2512" s="8">
        <f t="shared" si="157"/>
        <v>12.6448</v>
      </c>
      <c r="I2512" s="6">
        <f t="shared" si="158"/>
        <v>12.000000000000011</v>
      </c>
      <c r="J2512" t="str">
        <f t="shared" si="159"/>
        <v>OK</v>
      </c>
    </row>
    <row r="2513" spans="1:10" x14ac:dyDescent="0.2">
      <c r="A2513">
        <v>12512</v>
      </c>
      <c r="B2513" t="s">
        <v>8</v>
      </c>
      <c r="C2513" t="s">
        <v>9</v>
      </c>
      <c r="D2513" s="8">
        <v>9.48</v>
      </c>
      <c r="E2513">
        <v>8</v>
      </c>
      <c r="F2513" t="str">
        <f t="shared" si="156"/>
        <v>Premium</v>
      </c>
      <c r="G2513" s="3" cm="1">
        <f t="array" ref="G2513">_xlfn.XLOOKUP(C2513 &amp; F2513,
         [1]unilever_price_limits!A:A &amp; [1]unilever_price_limits!B:B,
         [1]unilever_price_limits!C:C)</f>
        <v>60</v>
      </c>
      <c r="H2513" s="8">
        <f t="shared" si="157"/>
        <v>15.168000000000001</v>
      </c>
      <c r="I2513" s="6">
        <f t="shared" si="158"/>
        <v>60.000000000000007</v>
      </c>
      <c r="J2513" t="str">
        <f t="shared" si="159"/>
        <v>OK</v>
      </c>
    </row>
    <row r="2514" spans="1:10" x14ac:dyDescent="0.2">
      <c r="A2514">
        <v>12513</v>
      </c>
      <c r="B2514" t="s">
        <v>10</v>
      </c>
      <c r="C2514" t="s">
        <v>6</v>
      </c>
      <c r="D2514" s="8">
        <v>12.14</v>
      </c>
      <c r="E2514">
        <v>1</v>
      </c>
      <c r="F2514" t="str">
        <f t="shared" si="156"/>
        <v>Value</v>
      </c>
      <c r="G2514" s="3" cm="1">
        <f t="array" ref="G2514">_xlfn.XLOOKUP(C2514 &amp; F2514,
         [1]unilever_price_limits!A:A &amp; [1]unilever_price_limits!B:B,
         [1]unilever_price_limits!C:C)</f>
        <v>12</v>
      </c>
      <c r="H2514" s="8">
        <f t="shared" si="157"/>
        <v>13.596800000000002</v>
      </c>
      <c r="I2514" s="6">
        <f t="shared" si="158"/>
        <v>12.000000000000011</v>
      </c>
      <c r="J2514" t="str">
        <f t="shared" si="159"/>
        <v>OK</v>
      </c>
    </row>
    <row r="2515" spans="1:10" x14ac:dyDescent="0.2">
      <c r="A2515">
        <v>12514</v>
      </c>
      <c r="B2515" t="s">
        <v>7</v>
      </c>
      <c r="C2515" t="s">
        <v>6</v>
      </c>
      <c r="D2515" s="8">
        <v>6.76</v>
      </c>
      <c r="E2515">
        <v>5</v>
      </c>
      <c r="F2515" t="str">
        <f t="shared" si="156"/>
        <v>Standard</v>
      </c>
      <c r="G2515" s="3" cm="1">
        <f t="array" ref="G2515">_xlfn.XLOOKUP(C2515 &amp; F2515,
         [1]unilever_price_limits!A:A &amp; [1]unilever_price_limits!B:B,
         [1]unilever_price_limits!C:C)</f>
        <v>28</v>
      </c>
      <c r="H2515" s="8">
        <f t="shared" si="157"/>
        <v>8.6527999999999992</v>
      </c>
      <c r="I2515" s="6">
        <f t="shared" si="158"/>
        <v>28.000000000000004</v>
      </c>
      <c r="J2515" t="str">
        <f t="shared" si="159"/>
        <v>OK</v>
      </c>
    </row>
    <row r="2516" spans="1:10" x14ac:dyDescent="0.2">
      <c r="A2516">
        <v>12515</v>
      </c>
      <c r="B2516" t="s">
        <v>8</v>
      </c>
      <c r="C2516" t="s">
        <v>9</v>
      </c>
      <c r="D2516" s="8">
        <v>11.89</v>
      </c>
      <c r="E2516">
        <v>10</v>
      </c>
      <c r="F2516" t="str">
        <f t="shared" si="156"/>
        <v>Premium</v>
      </c>
      <c r="G2516" s="3" cm="1">
        <f t="array" ref="G2516">_xlfn.XLOOKUP(C2516 &amp; F2516,
         [1]unilever_price_limits!A:A &amp; [1]unilever_price_limits!B:B,
         [1]unilever_price_limits!C:C)</f>
        <v>60</v>
      </c>
      <c r="H2516" s="8">
        <f t="shared" si="157"/>
        <v>19.024000000000001</v>
      </c>
      <c r="I2516" s="6">
        <f t="shared" si="158"/>
        <v>60.000000000000007</v>
      </c>
      <c r="J2516" t="str">
        <f t="shared" si="159"/>
        <v>OK</v>
      </c>
    </row>
    <row r="2517" spans="1:10" x14ac:dyDescent="0.2">
      <c r="A2517">
        <v>12516</v>
      </c>
      <c r="B2517" t="s">
        <v>7</v>
      </c>
      <c r="C2517" t="s">
        <v>6</v>
      </c>
      <c r="D2517" s="8">
        <v>7.21</v>
      </c>
      <c r="E2517">
        <v>8</v>
      </c>
      <c r="F2517" t="str">
        <f t="shared" si="156"/>
        <v>Premium</v>
      </c>
      <c r="G2517" s="3" cm="1">
        <f t="array" ref="G2517">_xlfn.XLOOKUP(C2517 &amp; F2517,
         [1]unilever_price_limits!A:A &amp; [1]unilever_price_limits!B:B,
         [1]unilever_price_limits!C:C)</f>
        <v>55</v>
      </c>
      <c r="H2517" s="8">
        <f t="shared" si="157"/>
        <v>11.1755</v>
      </c>
      <c r="I2517" s="6">
        <f t="shared" si="158"/>
        <v>55.000000000000007</v>
      </c>
      <c r="J2517" t="str">
        <f t="shared" si="159"/>
        <v>OK</v>
      </c>
    </row>
    <row r="2518" spans="1:10" x14ac:dyDescent="0.2">
      <c r="A2518">
        <v>12517</v>
      </c>
      <c r="B2518" t="s">
        <v>5</v>
      </c>
      <c r="C2518" t="s">
        <v>9</v>
      </c>
      <c r="D2518" s="8">
        <v>14.14</v>
      </c>
      <c r="E2518">
        <v>6</v>
      </c>
      <c r="F2518" t="str">
        <f t="shared" si="156"/>
        <v>Standard</v>
      </c>
      <c r="G2518" s="3" cm="1">
        <f t="array" ref="G2518">_xlfn.XLOOKUP(C2518 &amp; F2518,
         [1]unilever_price_limits!A:A &amp; [1]unilever_price_limits!B:B,
         [1]unilever_price_limits!C:C)</f>
        <v>30</v>
      </c>
      <c r="H2518" s="8">
        <f t="shared" si="157"/>
        <v>18.382000000000001</v>
      </c>
      <c r="I2518" s="6">
        <f t="shared" si="158"/>
        <v>30.000000000000004</v>
      </c>
      <c r="J2518" t="str">
        <f t="shared" si="159"/>
        <v>OK</v>
      </c>
    </row>
    <row r="2519" spans="1:10" x14ac:dyDescent="0.2">
      <c r="A2519">
        <v>12518</v>
      </c>
      <c r="B2519" t="s">
        <v>10</v>
      </c>
      <c r="C2519" t="s">
        <v>9</v>
      </c>
      <c r="D2519" s="8">
        <v>7.55</v>
      </c>
      <c r="E2519">
        <v>7</v>
      </c>
      <c r="F2519" t="str">
        <f t="shared" si="156"/>
        <v>Standard</v>
      </c>
      <c r="G2519" s="3" cm="1">
        <f t="array" ref="G2519">_xlfn.XLOOKUP(C2519 &amp; F2519,
         [1]unilever_price_limits!A:A &amp; [1]unilever_price_limits!B:B,
         [1]unilever_price_limits!C:C)</f>
        <v>30</v>
      </c>
      <c r="H2519" s="8">
        <f t="shared" si="157"/>
        <v>9.8149999999999995</v>
      </c>
      <c r="I2519" s="6">
        <f t="shared" si="158"/>
        <v>30.000000000000004</v>
      </c>
      <c r="J2519" t="str">
        <f t="shared" si="159"/>
        <v>OK</v>
      </c>
    </row>
    <row r="2520" spans="1:10" x14ac:dyDescent="0.2">
      <c r="A2520">
        <v>12519</v>
      </c>
      <c r="B2520" t="s">
        <v>10</v>
      </c>
      <c r="C2520" t="s">
        <v>6</v>
      </c>
      <c r="D2520" s="8">
        <v>7.21</v>
      </c>
      <c r="E2520">
        <v>8</v>
      </c>
      <c r="F2520" t="str">
        <f t="shared" si="156"/>
        <v>Premium</v>
      </c>
      <c r="G2520" s="3" cm="1">
        <f t="array" ref="G2520">_xlfn.XLOOKUP(C2520 &amp; F2520,
         [1]unilever_price_limits!A:A &amp; [1]unilever_price_limits!B:B,
         [1]unilever_price_limits!C:C)</f>
        <v>55</v>
      </c>
      <c r="H2520" s="8">
        <f t="shared" si="157"/>
        <v>11.1755</v>
      </c>
      <c r="I2520" s="6">
        <f t="shared" si="158"/>
        <v>55.000000000000007</v>
      </c>
      <c r="J2520" t="str">
        <f t="shared" si="159"/>
        <v>OK</v>
      </c>
    </row>
    <row r="2521" spans="1:10" x14ac:dyDescent="0.2">
      <c r="A2521">
        <v>12520</v>
      </c>
      <c r="B2521" t="s">
        <v>8</v>
      </c>
      <c r="C2521" t="s">
        <v>6</v>
      </c>
      <c r="D2521" s="8">
        <v>11.88</v>
      </c>
      <c r="E2521">
        <v>6</v>
      </c>
      <c r="F2521" t="str">
        <f t="shared" si="156"/>
        <v>Standard</v>
      </c>
      <c r="G2521" s="3" cm="1">
        <f t="array" ref="G2521">_xlfn.XLOOKUP(C2521 &amp; F2521,
         [1]unilever_price_limits!A:A &amp; [1]unilever_price_limits!B:B,
         [1]unilever_price_limits!C:C)</f>
        <v>28</v>
      </c>
      <c r="H2521" s="8">
        <f t="shared" si="157"/>
        <v>15.206400000000002</v>
      </c>
      <c r="I2521" s="6">
        <f t="shared" si="158"/>
        <v>28.000000000000004</v>
      </c>
      <c r="J2521" t="str">
        <f t="shared" si="159"/>
        <v>OK</v>
      </c>
    </row>
    <row r="2522" spans="1:10" x14ac:dyDescent="0.2">
      <c r="A2522">
        <v>12521</v>
      </c>
      <c r="B2522" t="s">
        <v>8</v>
      </c>
      <c r="C2522" t="s">
        <v>11</v>
      </c>
      <c r="D2522" s="8">
        <v>12.41</v>
      </c>
      <c r="E2522">
        <v>6</v>
      </c>
      <c r="F2522" t="str">
        <f t="shared" si="156"/>
        <v>Standard</v>
      </c>
      <c r="G2522" s="3" cm="1">
        <f t="array" ref="G2522">_xlfn.XLOOKUP(C2522 &amp; F2522,
         [1]unilever_price_limits!A:A &amp; [1]unilever_price_limits!B:B,
         [1]unilever_price_limits!C:C)</f>
        <v>25</v>
      </c>
      <c r="H2522" s="8">
        <f t="shared" si="157"/>
        <v>15.512499999999999</v>
      </c>
      <c r="I2522" s="6">
        <f t="shared" si="158"/>
        <v>25</v>
      </c>
      <c r="J2522" t="str">
        <f t="shared" si="159"/>
        <v>OK</v>
      </c>
    </row>
    <row r="2523" spans="1:10" x14ac:dyDescent="0.2">
      <c r="A2523">
        <v>12522</v>
      </c>
      <c r="B2523" t="s">
        <v>10</v>
      </c>
      <c r="C2523" t="s">
        <v>6</v>
      </c>
      <c r="D2523" s="8">
        <v>8.5399999999999991</v>
      </c>
      <c r="E2523">
        <v>6</v>
      </c>
      <c r="F2523" t="str">
        <f t="shared" si="156"/>
        <v>Standard</v>
      </c>
      <c r="G2523" s="3" cm="1">
        <f t="array" ref="G2523">_xlfn.XLOOKUP(C2523 &amp; F2523,
         [1]unilever_price_limits!A:A &amp; [1]unilever_price_limits!B:B,
         [1]unilever_price_limits!C:C)</f>
        <v>28</v>
      </c>
      <c r="H2523" s="8">
        <f t="shared" si="157"/>
        <v>10.931199999999999</v>
      </c>
      <c r="I2523" s="6">
        <f t="shared" si="158"/>
        <v>28.000000000000004</v>
      </c>
      <c r="J2523" t="str">
        <f t="shared" si="159"/>
        <v>OK</v>
      </c>
    </row>
    <row r="2524" spans="1:10" x14ac:dyDescent="0.2">
      <c r="A2524">
        <v>12523</v>
      </c>
      <c r="B2524" t="s">
        <v>7</v>
      </c>
      <c r="C2524" t="s">
        <v>11</v>
      </c>
      <c r="D2524" s="8">
        <v>3.11</v>
      </c>
      <c r="E2524">
        <v>5</v>
      </c>
      <c r="F2524" t="str">
        <f t="shared" si="156"/>
        <v>Standard</v>
      </c>
      <c r="G2524" s="3" cm="1">
        <f t="array" ref="G2524">_xlfn.XLOOKUP(C2524 &amp; F2524,
         [1]unilever_price_limits!A:A &amp; [1]unilever_price_limits!B:B,
         [1]unilever_price_limits!C:C)</f>
        <v>25</v>
      </c>
      <c r="H2524" s="8">
        <f t="shared" si="157"/>
        <v>3.8874999999999997</v>
      </c>
      <c r="I2524" s="6">
        <f t="shared" si="158"/>
        <v>25</v>
      </c>
      <c r="J2524" t="str">
        <f t="shared" si="159"/>
        <v>OK</v>
      </c>
    </row>
    <row r="2525" spans="1:10" x14ac:dyDescent="0.2">
      <c r="A2525">
        <v>12524</v>
      </c>
      <c r="B2525" t="s">
        <v>7</v>
      </c>
      <c r="C2525" t="s">
        <v>6</v>
      </c>
      <c r="D2525" s="8">
        <v>7.28</v>
      </c>
      <c r="E2525">
        <v>8</v>
      </c>
      <c r="F2525" t="str">
        <f t="shared" si="156"/>
        <v>Premium</v>
      </c>
      <c r="G2525" s="3" cm="1">
        <f t="array" ref="G2525">_xlfn.XLOOKUP(C2525 &amp; F2525,
         [1]unilever_price_limits!A:A &amp; [1]unilever_price_limits!B:B,
         [1]unilever_price_limits!C:C)</f>
        <v>55</v>
      </c>
      <c r="H2525" s="8">
        <f t="shared" si="157"/>
        <v>11.284000000000001</v>
      </c>
      <c r="I2525" s="6">
        <f t="shared" si="158"/>
        <v>55.000000000000007</v>
      </c>
      <c r="J2525" t="str">
        <f t="shared" si="159"/>
        <v>OK</v>
      </c>
    </row>
    <row r="2526" spans="1:10" x14ac:dyDescent="0.2">
      <c r="A2526">
        <v>12525</v>
      </c>
      <c r="B2526" t="s">
        <v>5</v>
      </c>
      <c r="C2526" t="s">
        <v>9</v>
      </c>
      <c r="D2526" s="8">
        <v>14.54</v>
      </c>
      <c r="E2526">
        <v>2</v>
      </c>
      <c r="F2526" t="str">
        <f t="shared" si="156"/>
        <v>Value</v>
      </c>
      <c r="G2526" s="3" cm="1">
        <f t="array" ref="G2526">_xlfn.XLOOKUP(C2526 &amp; F2526,
         [1]unilever_price_limits!A:A &amp; [1]unilever_price_limits!B:B,
         [1]unilever_price_limits!C:C)</f>
        <v>15</v>
      </c>
      <c r="H2526" s="8">
        <f t="shared" si="157"/>
        <v>16.720999999999997</v>
      </c>
      <c r="I2526" s="6">
        <f t="shared" si="158"/>
        <v>14.999999999999991</v>
      </c>
      <c r="J2526" t="str">
        <f t="shared" si="159"/>
        <v>OK</v>
      </c>
    </row>
    <row r="2527" spans="1:10" x14ac:dyDescent="0.2">
      <c r="A2527">
        <v>12526</v>
      </c>
      <c r="B2527" t="s">
        <v>7</v>
      </c>
      <c r="C2527" t="s">
        <v>6</v>
      </c>
      <c r="D2527" s="8">
        <v>11.42</v>
      </c>
      <c r="E2527">
        <v>7</v>
      </c>
      <c r="F2527" t="str">
        <f t="shared" si="156"/>
        <v>Standard</v>
      </c>
      <c r="G2527" s="3" cm="1">
        <f t="array" ref="G2527">_xlfn.XLOOKUP(C2527 &amp; F2527,
         [1]unilever_price_limits!A:A &amp; [1]unilever_price_limits!B:B,
         [1]unilever_price_limits!C:C)</f>
        <v>28</v>
      </c>
      <c r="H2527" s="8">
        <f t="shared" si="157"/>
        <v>14.617599999999999</v>
      </c>
      <c r="I2527" s="6">
        <f t="shared" si="158"/>
        <v>28.000000000000004</v>
      </c>
      <c r="J2527" t="str">
        <f t="shared" si="159"/>
        <v>OK</v>
      </c>
    </row>
    <row r="2528" spans="1:10" x14ac:dyDescent="0.2">
      <c r="A2528">
        <v>12527</v>
      </c>
      <c r="B2528" t="s">
        <v>8</v>
      </c>
      <c r="C2528" t="s">
        <v>9</v>
      </c>
      <c r="D2528" s="8">
        <v>12.26</v>
      </c>
      <c r="E2528">
        <v>4</v>
      </c>
      <c r="F2528" t="str">
        <f t="shared" si="156"/>
        <v>Standard</v>
      </c>
      <c r="G2528" s="3" cm="1">
        <f t="array" ref="G2528">_xlfn.XLOOKUP(C2528 &amp; F2528,
         [1]unilever_price_limits!A:A &amp; [1]unilever_price_limits!B:B,
         [1]unilever_price_limits!C:C)</f>
        <v>30</v>
      </c>
      <c r="H2528" s="8">
        <f t="shared" si="157"/>
        <v>15.938000000000001</v>
      </c>
      <c r="I2528" s="6">
        <f t="shared" si="158"/>
        <v>30.000000000000004</v>
      </c>
      <c r="J2528" t="str">
        <f t="shared" si="159"/>
        <v>OK</v>
      </c>
    </row>
    <row r="2529" spans="1:10" x14ac:dyDescent="0.2">
      <c r="A2529">
        <v>12528</v>
      </c>
      <c r="B2529" t="s">
        <v>8</v>
      </c>
      <c r="C2529" t="s">
        <v>9</v>
      </c>
      <c r="D2529" s="8">
        <v>0.98</v>
      </c>
      <c r="E2529">
        <v>1</v>
      </c>
      <c r="F2529" t="str">
        <f t="shared" si="156"/>
        <v>Value</v>
      </c>
      <c r="G2529" s="3" cm="1">
        <f t="array" ref="G2529">_xlfn.XLOOKUP(C2529 &amp; F2529,
         [1]unilever_price_limits!A:A &amp; [1]unilever_price_limits!B:B,
         [1]unilever_price_limits!C:C)</f>
        <v>15</v>
      </c>
      <c r="H2529" s="8">
        <f t="shared" si="157"/>
        <v>1.127</v>
      </c>
      <c r="I2529" s="6">
        <f t="shared" si="158"/>
        <v>15.000000000000014</v>
      </c>
      <c r="J2529" t="str">
        <f t="shared" si="159"/>
        <v>OK</v>
      </c>
    </row>
    <row r="2530" spans="1:10" x14ac:dyDescent="0.2">
      <c r="A2530">
        <v>12529</v>
      </c>
      <c r="B2530" t="s">
        <v>7</v>
      </c>
      <c r="C2530" t="s">
        <v>9</v>
      </c>
      <c r="D2530" s="8">
        <v>7.28</v>
      </c>
      <c r="E2530">
        <v>5</v>
      </c>
      <c r="F2530" t="str">
        <f t="shared" si="156"/>
        <v>Standard</v>
      </c>
      <c r="G2530" s="3" cm="1">
        <f t="array" ref="G2530">_xlfn.XLOOKUP(C2530 &amp; F2530,
         [1]unilever_price_limits!A:A &amp; [1]unilever_price_limits!B:B,
         [1]unilever_price_limits!C:C)</f>
        <v>30</v>
      </c>
      <c r="H2530" s="8">
        <f t="shared" si="157"/>
        <v>9.4640000000000004</v>
      </c>
      <c r="I2530" s="6">
        <f t="shared" si="158"/>
        <v>30.000000000000004</v>
      </c>
      <c r="J2530" t="str">
        <f t="shared" si="159"/>
        <v>OK</v>
      </c>
    </row>
    <row r="2531" spans="1:10" x14ac:dyDescent="0.2">
      <c r="A2531">
        <v>12530</v>
      </c>
      <c r="B2531" t="s">
        <v>8</v>
      </c>
      <c r="C2531" t="s">
        <v>11</v>
      </c>
      <c r="D2531" s="8">
        <v>9.8800000000000008</v>
      </c>
      <c r="E2531">
        <v>3</v>
      </c>
      <c r="F2531" t="str">
        <f t="shared" si="156"/>
        <v>Value</v>
      </c>
      <c r="G2531" s="3" cm="1">
        <f t="array" ref="G2531">_xlfn.XLOOKUP(C2531 &amp; F2531,
         [1]unilever_price_limits!A:A &amp; [1]unilever_price_limits!B:B,
         [1]unilever_price_limits!C:C)</f>
        <v>10</v>
      </c>
      <c r="H2531" s="8">
        <f t="shared" si="157"/>
        <v>10.868000000000002</v>
      </c>
      <c r="I2531" s="6">
        <f t="shared" si="158"/>
        <v>10.000000000000009</v>
      </c>
      <c r="J2531" t="str">
        <f t="shared" si="159"/>
        <v>OK</v>
      </c>
    </row>
    <row r="2532" spans="1:10" x14ac:dyDescent="0.2">
      <c r="A2532">
        <v>12531</v>
      </c>
      <c r="B2532" t="s">
        <v>10</v>
      </c>
      <c r="C2532" t="s">
        <v>6</v>
      </c>
      <c r="D2532" s="8">
        <v>12.54</v>
      </c>
      <c r="E2532">
        <v>4</v>
      </c>
      <c r="F2532" t="str">
        <f t="shared" si="156"/>
        <v>Standard</v>
      </c>
      <c r="G2532" s="3" cm="1">
        <f t="array" ref="G2532">_xlfn.XLOOKUP(C2532 &amp; F2532,
         [1]unilever_price_limits!A:A &amp; [1]unilever_price_limits!B:B,
         [1]unilever_price_limits!C:C)</f>
        <v>28</v>
      </c>
      <c r="H2532" s="8">
        <f t="shared" si="157"/>
        <v>16.051199999999998</v>
      </c>
      <c r="I2532" s="6">
        <f t="shared" si="158"/>
        <v>28.000000000000004</v>
      </c>
      <c r="J2532" t="str">
        <f t="shared" si="159"/>
        <v>OK</v>
      </c>
    </row>
    <row r="2533" spans="1:10" x14ac:dyDescent="0.2">
      <c r="A2533">
        <v>12532</v>
      </c>
      <c r="B2533" t="s">
        <v>10</v>
      </c>
      <c r="C2533" t="s">
        <v>9</v>
      </c>
      <c r="D2533" s="8">
        <v>1.21</v>
      </c>
      <c r="E2533">
        <v>7</v>
      </c>
      <c r="F2533" t="str">
        <f t="shared" si="156"/>
        <v>Standard</v>
      </c>
      <c r="G2533" s="3" cm="1">
        <f t="array" ref="G2533">_xlfn.XLOOKUP(C2533 &amp; F2533,
         [1]unilever_price_limits!A:A &amp; [1]unilever_price_limits!B:B,
         [1]unilever_price_limits!C:C)</f>
        <v>30</v>
      </c>
      <c r="H2533" s="8">
        <f t="shared" si="157"/>
        <v>1.573</v>
      </c>
      <c r="I2533" s="6">
        <f t="shared" si="158"/>
        <v>30.000000000000004</v>
      </c>
      <c r="J2533" t="str">
        <f t="shared" si="159"/>
        <v>OK</v>
      </c>
    </row>
    <row r="2534" spans="1:10" x14ac:dyDescent="0.2">
      <c r="A2534">
        <v>12533</v>
      </c>
      <c r="B2534" t="s">
        <v>7</v>
      </c>
      <c r="C2534" t="s">
        <v>9</v>
      </c>
      <c r="D2534" s="8">
        <v>12.86</v>
      </c>
      <c r="E2534">
        <v>5</v>
      </c>
      <c r="F2534" t="str">
        <f t="shared" si="156"/>
        <v>Standard</v>
      </c>
      <c r="G2534" s="3" cm="1">
        <f t="array" ref="G2534">_xlfn.XLOOKUP(C2534 &amp; F2534,
         [1]unilever_price_limits!A:A &amp; [1]unilever_price_limits!B:B,
         [1]unilever_price_limits!C:C)</f>
        <v>30</v>
      </c>
      <c r="H2534" s="8">
        <f t="shared" si="157"/>
        <v>16.718</v>
      </c>
      <c r="I2534" s="6">
        <f t="shared" si="158"/>
        <v>30.000000000000004</v>
      </c>
      <c r="J2534" t="str">
        <f t="shared" si="159"/>
        <v>OK</v>
      </c>
    </row>
    <row r="2535" spans="1:10" x14ac:dyDescent="0.2">
      <c r="A2535">
        <v>12534</v>
      </c>
      <c r="B2535" t="s">
        <v>10</v>
      </c>
      <c r="C2535" t="s">
        <v>11</v>
      </c>
      <c r="D2535" s="8">
        <v>8.4499999999999993</v>
      </c>
      <c r="E2535">
        <v>4</v>
      </c>
      <c r="F2535" t="str">
        <f t="shared" si="156"/>
        <v>Standard</v>
      </c>
      <c r="G2535" s="3" cm="1">
        <f t="array" ref="G2535">_xlfn.XLOOKUP(C2535 &amp; F2535,
         [1]unilever_price_limits!A:A &amp; [1]unilever_price_limits!B:B,
         [1]unilever_price_limits!C:C)</f>
        <v>25</v>
      </c>
      <c r="H2535" s="8">
        <f t="shared" si="157"/>
        <v>10.5625</v>
      </c>
      <c r="I2535" s="6">
        <f t="shared" si="158"/>
        <v>25</v>
      </c>
      <c r="J2535" t="str">
        <f t="shared" si="159"/>
        <v>OK</v>
      </c>
    </row>
    <row r="2536" spans="1:10" x14ac:dyDescent="0.2">
      <c r="A2536">
        <v>12535</v>
      </c>
      <c r="B2536" t="s">
        <v>10</v>
      </c>
      <c r="C2536" t="s">
        <v>6</v>
      </c>
      <c r="D2536" s="8">
        <v>3.36</v>
      </c>
      <c r="E2536">
        <v>1</v>
      </c>
      <c r="F2536" t="str">
        <f t="shared" si="156"/>
        <v>Value</v>
      </c>
      <c r="G2536" s="3" cm="1">
        <f t="array" ref="G2536">_xlfn.XLOOKUP(C2536 &amp; F2536,
         [1]unilever_price_limits!A:A &amp; [1]unilever_price_limits!B:B,
         [1]unilever_price_limits!C:C)</f>
        <v>12</v>
      </c>
      <c r="H2536" s="8">
        <f t="shared" si="157"/>
        <v>3.7632000000000003</v>
      </c>
      <c r="I2536" s="6">
        <f t="shared" si="158"/>
        <v>12.000000000000011</v>
      </c>
      <c r="J2536" t="str">
        <f t="shared" si="159"/>
        <v>OK</v>
      </c>
    </row>
    <row r="2537" spans="1:10" x14ac:dyDescent="0.2">
      <c r="A2537">
        <v>12536</v>
      </c>
      <c r="B2537" t="s">
        <v>5</v>
      </c>
      <c r="C2537" t="s">
        <v>6</v>
      </c>
      <c r="D2537" s="8">
        <v>5.0999999999999996</v>
      </c>
      <c r="E2537">
        <v>6</v>
      </c>
      <c r="F2537" t="str">
        <f t="shared" si="156"/>
        <v>Standard</v>
      </c>
      <c r="G2537" s="3" cm="1">
        <f t="array" ref="G2537">_xlfn.XLOOKUP(C2537 &amp; F2537,
         [1]unilever_price_limits!A:A &amp; [1]unilever_price_limits!B:B,
         [1]unilever_price_limits!C:C)</f>
        <v>28</v>
      </c>
      <c r="H2537" s="8">
        <f t="shared" si="157"/>
        <v>6.5279999999999996</v>
      </c>
      <c r="I2537" s="6">
        <f t="shared" si="158"/>
        <v>28.000000000000004</v>
      </c>
      <c r="J2537" t="str">
        <f t="shared" si="159"/>
        <v>OK</v>
      </c>
    </row>
    <row r="2538" spans="1:10" x14ac:dyDescent="0.2">
      <c r="A2538">
        <v>12537</v>
      </c>
      <c r="B2538" t="s">
        <v>5</v>
      </c>
      <c r="C2538" t="s">
        <v>11</v>
      </c>
      <c r="D2538" s="8">
        <v>4.59</v>
      </c>
      <c r="E2538">
        <v>10</v>
      </c>
      <c r="F2538" t="str">
        <f t="shared" si="156"/>
        <v>Premium</v>
      </c>
      <c r="G2538" s="3" cm="1">
        <f t="array" ref="G2538">_xlfn.XLOOKUP(C2538 &amp; F2538,
         [1]unilever_price_limits!A:A &amp; [1]unilever_price_limits!B:B,
         [1]unilever_price_limits!C:C)</f>
        <v>50</v>
      </c>
      <c r="H2538" s="8">
        <f t="shared" si="157"/>
        <v>6.8849999999999998</v>
      </c>
      <c r="I2538" s="6">
        <f t="shared" si="158"/>
        <v>50</v>
      </c>
      <c r="J2538" t="str">
        <f t="shared" si="159"/>
        <v>OK</v>
      </c>
    </row>
    <row r="2539" spans="1:10" x14ac:dyDescent="0.2">
      <c r="A2539">
        <v>12538</v>
      </c>
      <c r="B2539" t="s">
        <v>10</v>
      </c>
      <c r="C2539" t="s">
        <v>11</v>
      </c>
      <c r="D2539" s="8">
        <v>8.1999999999999993</v>
      </c>
      <c r="E2539">
        <v>6</v>
      </c>
      <c r="F2539" t="str">
        <f t="shared" si="156"/>
        <v>Standard</v>
      </c>
      <c r="G2539" s="3" cm="1">
        <f t="array" ref="G2539">_xlfn.XLOOKUP(C2539 &amp; F2539,
         [1]unilever_price_limits!A:A &amp; [1]unilever_price_limits!B:B,
         [1]unilever_price_limits!C:C)</f>
        <v>25</v>
      </c>
      <c r="H2539" s="8">
        <f t="shared" si="157"/>
        <v>10.25</v>
      </c>
      <c r="I2539" s="6">
        <f t="shared" si="158"/>
        <v>25</v>
      </c>
      <c r="J2539" t="str">
        <f t="shared" si="159"/>
        <v>OK</v>
      </c>
    </row>
    <row r="2540" spans="1:10" x14ac:dyDescent="0.2">
      <c r="A2540">
        <v>12539</v>
      </c>
      <c r="B2540" t="s">
        <v>7</v>
      </c>
      <c r="C2540" t="s">
        <v>6</v>
      </c>
      <c r="D2540" s="8">
        <v>1.25</v>
      </c>
      <c r="E2540">
        <v>7</v>
      </c>
      <c r="F2540" t="str">
        <f t="shared" si="156"/>
        <v>Standard</v>
      </c>
      <c r="G2540" s="3" cm="1">
        <f t="array" ref="G2540">_xlfn.XLOOKUP(C2540 &amp; F2540,
         [1]unilever_price_limits!A:A &amp; [1]unilever_price_limits!B:B,
         [1]unilever_price_limits!C:C)</f>
        <v>28</v>
      </c>
      <c r="H2540" s="8">
        <f t="shared" si="157"/>
        <v>1.6</v>
      </c>
      <c r="I2540" s="6">
        <f t="shared" si="158"/>
        <v>28.000000000000004</v>
      </c>
      <c r="J2540" t="str">
        <f t="shared" si="159"/>
        <v>OK</v>
      </c>
    </row>
    <row r="2541" spans="1:10" x14ac:dyDescent="0.2">
      <c r="A2541">
        <v>12540</v>
      </c>
      <c r="B2541" t="s">
        <v>5</v>
      </c>
      <c r="C2541" t="s">
        <v>11</v>
      </c>
      <c r="D2541" s="8">
        <v>2.8</v>
      </c>
      <c r="E2541">
        <v>1</v>
      </c>
      <c r="F2541" t="str">
        <f t="shared" si="156"/>
        <v>Value</v>
      </c>
      <c r="G2541" s="3" cm="1">
        <f t="array" ref="G2541">_xlfn.XLOOKUP(C2541 &amp; F2541,
         [1]unilever_price_limits!A:A &amp; [1]unilever_price_limits!B:B,
         [1]unilever_price_limits!C:C)</f>
        <v>10</v>
      </c>
      <c r="H2541" s="8">
        <f t="shared" si="157"/>
        <v>3.08</v>
      </c>
      <c r="I2541" s="6">
        <f t="shared" si="158"/>
        <v>10.000000000000009</v>
      </c>
      <c r="J2541" t="str">
        <f t="shared" si="159"/>
        <v>OK</v>
      </c>
    </row>
    <row r="2542" spans="1:10" x14ac:dyDescent="0.2">
      <c r="A2542">
        <v>12541</v>
      </c>
      <c r="B2542" t="s">
        <v>8</v>
      </c>
      <c r="C2542" t="s">
        <v>6</v>
      </c>
      <c r="D2542" s="8">
        <v>12.28</v>
      </c>
      <c r="E2542">
        <v>4</v>
      </c>
      <c r="F2542" t="str">
        <f t="shared" si="156"/>
        <v>Standard</v>
      </c>
      <c r="G2542" s="3" cm="1">
        <f t="array" ref="G2542">_xlfn.XLOOKUP(C2542 &amp; F2542,
         [1]unilever_price_limits!A:A &amp; [1]unilever_price_limits!B:B,
         [1]unilever_price_limits!C:C)</f>
        <v>28</v>
      </c>
      <c r="H2542" s="8">
        <f t="shared" si="157"/>
        <v>15.718399999999999</v>
      </c>
      <c r="I2542" s="6">
        <f t="shared" si="158"/>
        <v>28.000000000000004</v>
      </c>
      <c r="J2542" t="str">
        <f t="shared" si="159"/>
        <v>OK</v>
      </c>
    </row>
    <row r="2543" spans="1:10" x14ac:dyDescent="0.2">
      <c r="A2543">
        <v>12542</v>
      </c>
      <c r="B2543" t="s">
        <v>8</v>
      </c>
      <c r="C2543" t="s">
        <v>6</v>
      </c>
      <c r="D2543" s="8">
        <v>2.42</v>
      </c>
      <c r="E2543">
        <v>9</v>
      </c>
      <c r="F2543" t="str">
        <f t="shared" si="156"/>
        <v>Premium</v>
      </c>
      <c r="G2543" s="3" cm="1">
        <f t="array" ref="G2543">_xlfn.XLOOKUP(C2543 &amp; F2543,
         [1]unilever_price_limits!A:A &amp; [1]unilever_price_limits!B:B,
         [1]unilever_price_limits!C:C)</f>
        <v>55</v>
      </c>
      <c r="H2543" s="8">
        <f t="shared" si="157"/>
        <v>3.7509999999999999</v>
      </c>
      <c r="I2543" s="6">
        <f t="shared" si="158"/>
        <v>55.000000000000007</v>
      </c>
      <c r="J2543" t="str">
        <f t="shared" si="159"/>
        <v>OK</v>
      </c>
    </row>
    <row r="2544" spans="1:10" x14ac:dyDescent="0.2">
      <c r="A2544">
        <v>12543</v>
      </c>
      <c r="B2544" t="s">
        <v>8</v>
      </c>
      <c r="C2544" t="s">
        <v>9</v>
      </c>
      <c r="D2544" s="8">
        <v>3.88</v>
      </c>
      <c r="E2544">
        <v>10</v>
      </c>
      <c r="F2544" t="str">
        <f t="shared" si="156"/>
        <v>Premium</v>
      </c>
      <c r="G2544" s="3" cm="1">
        <f t="array" ref="G2544">_xlfn.XLOOKUP(C2544 &amp; F2544,
         [1]unilever_price_limits!A:A &amp; [1]unilever_price_limits!B:B,
         [1]unilever_price_limits!C:C)</f>
        <v>60</v>
      </c>
      <c r="H2544" s="8">
        <f t="shared" si="157"/>
        <v>6.2080000000000002</v>
      </c>
      <c r="I2544" s="6">
        <f t="shared" si="158"/>
        <v>60.000000000000007</v>
      </c>
      <c r="J2544" t="str">
        <f t="shared" si="159"/>
        <v>OK</v>
      </c>
    </row>
    <row r="2545" spans="1:10" x14ac:dyDescent="0.2">
      <c r="A2545">
        <v>12544</v>
      </c>
      <c r="B2545" t="s">
        <v>7</v>
      </c>
      <c r="C2545" t="s">
        <v>9</v>
      </c>
      <c r="D2545" s="8">
        <v>7.07</v>
      </c>
      <c r="E2545">
        <v>6</v>
      </c>
      <c r="F2545" t="str">
        <f t="shared" si="156"/>
        <v>Standard</v>
      </c>
      <c r="G2545" s="3" cm="1">
        <f t="array" ref="G2545">_xlfn.XLOOKUP(C2545 &amp; F2545,
         [1]unilever_price_limits!A:A &amp; [1]unilever_price_limits!B:B,
         [1]unilever_price_limits!C:C)</f>
        <v>30</v>
      </c>
      <c r="H2545" s="8">
        <f t="shared" si="157"/>
        <v>9.1910000000000007</v>
      </c>
      <c r="I2545" s="6">
        <f t="shared" si="158"/>
        <v>30.000000000000004</v>
      </c>
      <c r="J2545" t="str">
        <f t="shared" si="159"/>
        <v>OK</v>
      </c>
    </row>
    <row r="2546" spans="1:10" x14ac:dyDescent="0.2">
      <c r="A2546">
        <v>12545</v>
      </c>
      <c r="B2546" t="s">
        <v>10</v>
      </c>
      <c r="C2546" t="s">
        <v>6</v>
      </c>
      <c r="D2546" s="8">
        <v>8</v>
      </c>
      <c r="E2546">
        <v>2</v>
      </c>
      <c r="F2546" t="str">
        <f t="shared" si="156"/>
        <v>Value</v>
      </c>
      <c r="G2546" s="3" cm="1">
        <f t="array" ref="G2546">_xlfn.XLOOKUP(C2546 &amp; F2546,
         [1]unilever_price_limits!A:A &amp; [1]unilever_price_limits!B:B,
         [1]unilever_price_limits!C:C)</f>
        <v>12</v>
      </c>
      <c r="H2546" s="8">
        <f t="shared" si="157"/>
        <v>8.9600000000000009</v>
      </c>
      <c r="I2546" s="6">
        <f t="shared" si="158"/>
        <v>12.000000000000011</v>
      </c>
      <c r="J2546" t="str">
        <f t="shared" si="159"/>
        <v>OK</v>
      </c>
    </row>
    <row r="2547" spans="1:10" x14ac:dyDescent="0.2">
      <c r="A2547">
        <v>12546</v>
      </c>
      <c r="B2547" t="s">
        <v>8</v>
      </c>
      <c r="C2547" t="s">
        <v>6</v>
      </c>
      <c r="D2547" s="8">
        <v>11.57</v>
      </c>
      <c r="E2547">
        <v>4</v>
      </c>
      <c r="F2547" t="str">
        <f t="shared" si="156"/>
        <v>Standard</v>
      </c>
      <c r="G2547" s="3" cm="1">
        <f t="array" ref="G2547">_xlfn.XLOOKUP(C2547 &amp; F2547,
         [1]unilever_price_limits!A:A &amp; [1]unilever_price_limits!B:B,
         [1]unilever_price_limits!C:C)</f>
        <v>28</v>
      </c>
      <c r="H2547" s="8">
        <f t="shared" si="157"/>
        <v>14.809600000000001</v>
      </c>
      <c r="I2547" s="6">
        <f t="shared" si="158"/>
        <v>28.000000000000004</v>
      </c>
      <c r="J2547" t="str">
        <f t="shared" si="159"/>
        <v>OK</v>
      </c>
    </row>
    <row r="2548" spans="1:10" x14ac:dyDescent="0.2">
      <c r="A2548">
        <v>12547</v>
      </c>
      <c r="B2548" t="s">
        <v>7</v>
      </c>
      <c r="C2548" t="s">
        <v>6</v>
      </c>
      <c r="D2548" s="8">
        <v>6.99</v>
      </c>
      <c r="E2548">
        <v>6</v>
      </c>
      <c r="F2548" t="str">
        <f t="shared" si="156"/>
        <v>Standard</v>
      </c>
      <c r="G2548" s="3" cm="1">
        <f t="array" ref="G2548">_xlfn.XLOOKUP(C2548 &amp; F2548,
         [1]unilever_price_limits!A:A &amp; [1]unilever_price_limits!B:B,
         [1]unilever_price_limits!C:C)</f>
        <v>28</v>
      </c>
      <c r="H2548" s="8">
        <f t="shared" si="157"/>
        <v>8.9472000000000005</v>
      </c>
      <c r="I2548" s="6">
        <f t="shared" si="158"/>
        <v>28.000000000000004</v>
      </c>
      <c r="J2548" t="str">
        <f t="shared" si="159"/>
        <v>OK</v>
      </c>
    </row>
    <row r="2549" spans="1:10" x14ac:dyDescent="0.2">
      <c r="A2549">
        <v>12548</v>
      </c>
      <c r="B2549" t="s">
        <v>5</v>
      </c>
      <c r="C2549" t="s">
        <v>6</v>
      </c>
      <c r="D2549" s="8">
        <v>11.95</v>
      </c>
      <c r="E2549">
        <v>4</v>
      </c>
      <c r="F2549" t="str">
        <f t="shared" si="156"/>
        <v>Standard</v>
      </c>
      <c r="G2549" s="3" cm="1">
        <f t="array" ref="G2549">_xlfn.XLOOKUP(C2549 &amp; F2549,
         [1]unilever_price_limits!A:A &amp; [1]unilever_price_limits!B:B,
         [1]unilever_price_limits!C:C)</f>
        <v>28</v>
      </c>
      <c r="H2549" s="8">
        <f t="shared" si="157"/>
        <v>15.295999999999999</v>
      </c>
      <c r="I2549" s="6">
        <f t="shared" si="158"/>
        <v>28.000000000000004</v>
      </c>
      <c r="J2549" t="str">
        <f t="shared" si="159"/>
        <v>OK</v>
      </c>
    </row>
    <row r="2550" spans="1:10" x14ac:dyDescent="0.2">
      <c r="A2550">
        <v>12549</v>
      </c>
      <c r="B2550" t="s">
        <v>10</v>
      </c>
      <c r="C2550" t="s">
        <v>6</v>
      </c>
      <c r="D2550" s="8">
        <v>9.4700000000000006</v>
      </c>
      <c r="E2550">
        <v>10</v>
      </c>
      <c r="F2550" t="str">
        <f t="shared" si="156"/>
        <v>Premium</v>
      </c>
      <c r="G2550" s="3" cm="1">
        <f t="array" ref="G2550">_xlfn.XLOOKUP(C2550 &amp; F2550,
         [1]unilever_price_limits!A:A &amp; [1]unilever_price_limits!B:B,
         [1]unilever_price_limits!C:C)</f>
        <v>55</v>
      </c>
      <c r="H2550" s="8">
        <f t="shared" si="157"/>
        <v>14.678500000000001</v>
      </c>
      <c r="I2550" s="6">
        <f t="shared" si="158"/>
        <v>55.000000000000007</v>
      </c>
      <c r="J2550" t="str">
        <f t="shared" si="159"/>
        <v>OK</v>
      </c>
    </row>
    <row r="2551" spans="1:10" x14ac:dyDescent="0.2">
      <c r="A2551">
        <v>12550</v>
      </c>
      <c r="B2551" t="s">
        <v>5</v>
      </c>
      <c r="C2551" t="s">
        <v>6</v>
      </c>
      <c r="D2551" s="8">
        <v>2.14</v>
      </c>
      <c r="E2551">
        <v>7</v>
      </c>
      <c r="F2551" t="str">
        <f t="shared" si="156"/>
        <v>Standard</v>
      </c>
      <c r="G2551" s="3" cm="1">
        <f t="array" ref="G2551">_xlfn.XLOOKUP(C2551 &amp; F2551,
         [1]unilever_price_limits!A:A &amp; [1]unilever_price_limits!B:B,
         [1]unilever_price_limits!C:C)</f>
        <v>28</v>
      </c>
      <c r="H2551" s="8">
        <f t="shared" si="157"/>
        <v>2.7392000000000003</v>
      </c>
      <c r="I2551" s="6">
        <f t="shared" si="158"/>
        <v>28.000000000000004</v>
      </c>
      <c r="J2551" t="str">
        <f t="shared" si="159"/>
        <v>OK</v>
      </c>
    </row>
    <row r="2552" spans="1:10" x14ac:dyDescent="0.2">
      <c r="A2552">
        <v>12551</v>
      </c>
      <c r="B2552" t="s">
        <v>7</v>
      </c>
      <c r="C2552" t="s">
        <v>11</v>
      </c>
      <c r="D2552" s="8">
        <v>2.77</v>
      </c>
      <c r="E2552">
        <v>3</v>
      </c>
      <c r="F2552" t="str">
        <f t="shared" si="156"/>
        <v>Value</v>
      </c>
      <c r="G2552" s="3" cm="1">
        <f t="array" ref="G2552">_xlfn.XLOOKUP(C2552 &amp; F2552,
         [1]unilever_price_limits!A:A &amp; [1]unilever_price_limits!B:B,
         [1]unilever_price_limits!C:C)</f>
        <v>10</v>
      </c>
      <c r="H2552" s="8">
        <f t="shared" si="157"/>
        <v>3.0470000000000002</v>
      </c>
      <c r="I2552" s="6">
        <f t="shared" si="158"/>
        <v>10.000000000000009</v>
      </c>
      <c r="J2552" t="str">
        <f t="shared" si="159"/>
        <v>OK</v>
      </c>
    </row>
    <row r="2553" spans="1:10" x14ac:dyDescent="0.2">
      <c r="A2553">
        <v>12552</v>
      </c>
      <c r="B2553" t="s">
        <v>8</v>
      </c>
      <c r="C2553" t="s">
        <v>6</v>
      </c>
      <c r="D2553" s="8">
        <v>6.84</v>
      </c>
      <c r="E2553">
        <v>6</v>
      </c>
      <c r="F2553" t="str">
        <f t="shared" si="156"/>
        <v>Standard</v>
      </c>
      <c r="G2553" s="3" cm="1">
        <f t="array" ref="G2553">_xlfn.XLOOKUP(C2553 &amp; F2553,
         [1]unilever_price_limits!A:A &amp; [1]unilever_price_limits!B:B,
         [1]unilever_price_limits!C:C)</f>
        <v>28</v>
      </c>
      <c r="H2553" s="8">
        <f t="shared" si="157"/>
        <v>8.7552000000000003</v>
      </c>
      <c r="I2553" s="6">
        <f t="shared" si="158"/>
        <v>28.000000000000004</v>
      </c>
      <c r="J2553" t="str">
        <f t="shared" si="159"/>
        <v>OK</v>
      </c>
    </row>
    <row r="2554" spans="1:10" x14ac:dyDescent="0.2">
      <c r="A2554">
        <v>12553</v>
      </c>
      <c r="B2554" t="s">
        <v>8</v>
      </c>
      <c r="C2554" t="s">
        <v>11</v>
      </c>
      <c r="D2554" s="8">
        <v>6.25</v>
      </c>
      <c r="E2554">
        <v>4</v>
      </c>
      <c r="F2554" t="str">
        <f t="shared" si="156"/>
        <v>Standard</v>
      </c>
      <c r="G2554" s="3" cm="1">
        <f t="array" ref="G2554">_xlfn.XLOOKUP(C2554 &amp; F2554,
         [1]unilever_price_limits!A:A &amp; [1]unilever_price_limits!B:B,
         [1]unilever_price_limits!C:C)</f>
        <v>25</v>
      </c>
      <c r="H2554" s="8">
        <f t="shared" si="157"/>
        <v>7.8125</v>
      </c>
      <c r="I2554" s="6">
        <f t="shared" si="158"/>
        <v>25</v>
      </c>
      <c r="J2554" t="str">
        <f t="shared" si="159"/>
        <v>OK</v>
      </c>
    </row>
    <row r="2555" spans="1:10" x14ac:dyDescent="0.2">
      <c r="A2555">
        <v>12554</v>
      </c>
      <c r="B2555" t="s">
        <v>7</v>
      </c>
      <c r="C2555" t="s">
        <v>11</v>
      </c>
      <c r="D2555" s="8">
        <v>11.28</v>
      </c>
      <c r="E2555">
        <v>3</v>
      </c>
      <c r="F2555" t="str">
        <f t="shared" si="156"/>
        <v>Value</v>
      </c>
      <c r="G2555" s="3" cm="1">
        <f t="array" ref="G2555">_xlfn.XLOOKUP(C2555 &amp; F2555,
         [1]unilever_price_limits!A:A &amp; [1]unilever_price_limits!B:B,
         [1]unilever_price_limits!C:C)</f>
        <v>10</v>
      </c>
      <c r="H2555" s="8">
        <f t="shared" si="157"/>
        <v>12.407999999999999</v>
      </c>
      <c r="I2555" s="6">
        <f t="shared" si="158"/>
        <v>10.000000000000009</v>
      </c>
      <c r="J2555" t="str">
        <f t="shared" si="159"/>
        <v>OK</v>
      </c>
    </row>
    <row r="2556" spans="1:10" x14ac:dyDescent="0.2">
      <c r="A2556">
        <v>12555</v>
      </c>
      <c r="B2556" t="s">
        <v>8</v>
      </c>
      <c r="C2556" t="s">
        <v>6</v>
      </c>
      <c r="D2556" s="8">
        <v>8.92</v>
      </c>
      <c r="E2556">
        <v>3</v>
      </c>
      <c r="F2556" t="str">
        <f t="shared" si="156"/>
        <v>Value</v>
      </c>
      <c r="G2556" s="3" cm="1">
        <f t="array" ref="G2556">_xlfn.XLOOKUP(C2556 &amp; F2556,
         [1]unilever_price_limits!A:A &amp; [1]unilever_price_limits!B:B,
         [1]unilever_price_limits!C:C)</f>
        <v>12</v>
      </c>
      <c r="H2556" s="8">
        <f t="shared" si="157"/>
        <v>9.9904000000000011</v>
      </c>
      <c r="I2556" s="6">
        <f t="shared" si="158"/>
        <v>12.000000000000011</v>
      </c>
      <c r="J2556" t="str">
        <f t="shared" si="159"/>
        <v>OK</v>
      </c>
    </row>
    <row r="2557" spans="1:10" x14ac:dyDescent="0.2">
      <c r="A2557">
        <v>12556</v>
      </c>
      <c r="B2557" t="s">
        <v>10</v>
      </c>
      <c r="C2557" t="s">
        <v>6</v>
      </c>
      <c r="D2557" s="8">
        <v>6.13</v>
      </c>
      <c r="E2557">
        <v>2</v>
      </c>
      <c r="F2557" t="str">
        <f t="shared" si="156"/>
        <v>Value</v>
      </c>
      <c r="G2557" s="3" cm="1">
        <f t="array" ref="G2557">_xlfn.XLOOKUP(C2557 &amp; F2557,
         [1]unilever_price_limits!A:A &amp; [1]unilever_price_limits!B:B,
         [1]unilever_price_limits!C:C)</f>
        <v>12</v>
      </c>
      <c r="H2557" s="8">
        <f t="shared" si="157"/>
        <v>6.8656000000000006</v>
      </c>
      <c r="I2557" s="6">
        <f t="shared" si="158"/>
        <v>12.000000000000011</v>
      </c>
      <c r="J2557" t="str">
        <f t="shared" si="159"/>
        <v>OK</v>
      </c>
    </row>
    <row r="2558" spans="1:10" x14ac:dyDescent="0.2">
      <c r="A2558">
        <v>12557</v>
      </c>
      <c r="B2558" t="s">
        <v>7</v>
      </c>
      <c r="C2558" t="s">
        <v>11</v>
      </c>
      <c r="D2558" s="8">
        <v>2.98</v>
      </c>
      <c r="E2558">
        <v>3</v>
      </c>
      <c r="F2558" t="str">
        <f t="shared" si="156"/>
        <v>Value</v>
      </c>
      <c r="G2558" s="3" cm="1">
        <f t="array" ref="G2558">_xlfn.XLOOKUP(C2558 &amp; F2558,
         [1]unilever_price_limits!A:A &amp; [1]unilever_price_limits!B:B,
         [1]unilever_price_limits!C:C)</f>
        <v>10</v>
      </c>
      <c r="H2558" s="8">
        <f t="shared" si="157"/>
        <v>3.278</v>
      </c>
      <c r="I2558" s="6">
        <f t="shared" si="158"/>
        <v>10.000000000000009</v>
      </c>
      <c r="J2558" t="str">
        <f t="shared" si="159"/>
        <v>OK</v>
      </c>
    </row>
    <row r="2559" spans="1:10" x14ac:dyDescent="0.2">
      <c r="A2559">
        <v>12558</v>
      </c>
      <c r="B2559" t="s">
        <v>5</v>
      </c>
      <c r="C2559" t="s">
        <v>11</v>
      </c>
      <c r="D2559" s="8">
        <v>3.79</v>
      </c>
      <c r="E2559">
        <v>10</v>
      </c>
      <c r="F2559" t="str">
        <f t="shared" si="156"/>
        <v>Premium</v>
      </c>
      <c r="G2559" s="3" cm="1">
        <f t="array" ref="G2559">_xlfn.XLOOKUP(C2559 &amp; F2559,
         [1]unilever_price_limits!A:A &amp; [1]unilever_price_limits!B:B,
         [1]unilever_price_limits!C:C)</f>
        <v>50</v>
      </c>
      <c r="H2559" s="8">
        <f t="shared" si="157"/>
        <v>5.6850000000000005</v>
      </c>
      <c r="I2559" s="6">
        <f t="shared" si="158"/>
        <v>50.000000000000021</v>
      </c>
      <c r="J2559" t="str">
        <f t="shared" si="159"/>
        <v>OK</v>
      </c>
    </row>
    <row r="2560" spans="1:10" x14ac:dyDescent="0.2">
      <c r="A2560">
        <v>12559</v>
      </c>
      <c r="B2560" t="s">
        <v>7</v>
      </c>
      <c r="C2560" t="s">
        <v>6</v>
      </c>
      <c r="D2560" s="8">
        <v>8.84</v>
      </c>
      <c r="E2560">
        <v>1</v>
      </c>
      <c r="F2560" t="str">
        <f t="shared" si="156"/>
        <v>Value</v>
      </c>
      <c r="G2560" s="3" cm="1">
        <f t="array" ref="G2560">_xlfn.XLOOKUP(C2560 &amp; F2560,
         [1]unilever_price_limits!A:A &amp; [1]unilever_price_limits!B:B,
         [1]unilever_price_limits!C:C)</f>
        <v>12</v>
      </c>
      <c r="H2560" s="8">
        <f t="shared" si="157"/>
        <v>9.9008000000000003</v>
      </c>
      <c r="I2560" s="6">
        <f t="shared" si="158"/>
        <v>12.000000000000011</v>
      </c>
      <c r="J2560" t="str">
        <f t="shared" si="159"/>
        <v>OK</v>
      </c>
    </row>
    <row r="2561" spans="1:10" x14ac:dyDescent="0.2">
      <c r="A2561">
        <v>12560</v>
      </c>
      <c r="B2561" t="s">
        <v>10</v>
      </c>
      <c r="C2561" t="s">
        <v>6</v>
      </c>
      <c r="D2561" s="8">
        <v>6.64</v>
      </c>
      <c r="E2561">
        <v>3</v>
      </c>
      <c r="F2561" t="str">
        <f t="shared" si="156"/>
        <v>Value</v>
      </c>
      <c r="G2561" s="3" cm="1">
        <f t="array" ref="G2561">_xlfn.XLOOKUP(C2561 &amp; F2561,
         [1]unilever_price_limits!A:A &amp; [1]unilever_price_limits!B:B,
         [1]unilever_price_limits!C:C)</f>
        <v>12</v>
      </c>
      <c r="H2561" s="8">
        <f t="shared" si="157"/>
        <v>7.4368000000000007</v>
      </c>
      <c r="I2561" s="6">
        <f t="shared" si="158"/>
        <v>12.000000000000011</v>
      </c>
      <c r="J2561" t="str">
        <f t="shared" si="159"/>
        <v>OK</v>
      </c>
    </row>
    <row r="2562" spans="1:10" x14ac:dyDescent="0.2">
      <c r="A2562">
        <v>12561</v>
      </c>
      <c r="B2562" t="s">
        <v>10</v>
      </c>
      <c r="C2562" t="s">
        <v>11</v>
      </c>
      <c r="D2562" s="8">
        <v>7.97</v>
      </c>
      <c r="E2562">
        <v>9</v>
      </c>
      <c r="F2562" t="str">
        <f t="shared" si="156"/>
        <v>Premium</v>
      </c>
      <c r="G2562" s="3" cm="1">
        <f t="array" ref="G2562">_xlfn.XLOOKUP(C2562 &amp; F2562,
         [1]unilever_price_limits!A:A &amp; [1]unilever_price_limits!B:B,
         [1]unilever_price_limits!C:C)</f>
        <v>50</v>
      </c>
      <c r="H2562" s="8">
        <f t="shared" si="157"/>
        <v>11.955</v>
      </c>
      <c r="I2562" s="6">
        <f t="shared" si="158"/>
        <v>50</v>
      </c>
      <c r="J2562" t="str">
        <f t="shared" si="159"/>
        <v>OK</v>
      </c>
    </row>
    <row r="2563" spans="1:10" x14ac:dyDescent="0.2">
      <c r="A2563">
        <v>12562</v>
      </c>
      <c r="B2563" t="s">
        <v>7</v>
      </c>
      <c r="C2563" t="s">
        <v>11</v>
      </c>
      <c r="D2563" s="8">
        <v>2.97</v>
      </c>
      <c r="E2563">
        <v>4</v>
      </c>
      <c r="F2563" t="str">
        <f t="shared" ref="F2563:F2626" si="160">IF(E2563&lt;=3,"Value",
 IF(E2563&lt;=7,"Standard","Premium"))</f>
        <v>Standard</v>
      </c>
      <c r="G2563" s="3" cm="1">
        <f t="array" ref="G2563">_xlfn.XLOOKUP(C2563 &amp; F2563,
         [1]unilever_price_limits!A:A &amp; [1]unilever_price_limits!B:B,
         [1]unilever_price_limits!C:C)</f>
        <v>25</v>
      </c>
      <c r="H2563" s="8">
        <f t="shared" ref="H2563:H2626" si="161">D2563 * (1 + G2563/100)</f>
        <v>3.7125000000000004</v>
      </c>
      <c r="I2563" s="6">
        <f t="shared" ref="I2563:I2626" si="162">(H2563 / D2563 - 1) * 100</f>
        <v>25</v>
      </c>
      <c r="J2563" t="str">
        <f t="shared" ref="J2563:J2626" si="163">IF(I2562&gt; G2562, "⚠ Exceeds Limit", "OK")</f>
        <v>OK</v>
      </c>
    </row>
    <row r="2564" spans="1:10" x14ac:dyDescent="0.2">
      <c r="A2564">
        <v>12563</v>
      </c>
      <c r="B2564" t="s">
        <v>7</v>
      </c>
      <c r="C2564" t="s">
        <v>11</v>
      </c>
      <c r="D2564" s="8">
        <v>10.11</v>
      </c>
      <c r="E2564">
        <v>3</v>
      </c>
      <c r="F2564" t="str">
        <f t="shared" si="160"/>
        <v>Value</v>
      </c>
      <c r="G2564" s="3" cm="1">
        <f t="array" ref="G2564">_xlfn.XLOOKUP(C2564 &amp; F2564,
         [1]unilever_price_limits!A:A &amp; [1]unilever_price_limits!B:B,
         [1]unilever_price_limits!C:C)</f>
        <v>10</v>
      </c>
      <c r="H2564" s="8">
        <f t="shared" si="161"/>
        <v>11.121</v>
      </c>
      <c r="I2564" s="6">
        <f t="shared" si="162"/>
        <v>10.000000000000009</v>
      </c>
      <c r="J2564" t="str">
        <f t="shared" si="163"/>
        <v>OK</v>
      </c>
    </row>
    <row r="2565" spans="1:10" x14ac:dyDescent="0.2">
      <c r="A2565">
        <v>12564</v>
      </c>
      <c r="B2565" t="s">
        <v>8</v>
      </c>
      <c r="C2565" t="s">
        <v>9</v>
      </c>
      <c r="D2565" s="8">
        <v>12.86</v>
      </c>
      <c r="E2565">
        <v>8</v>
      </c>
      <c r="F2565" t="str">
        <f t="shared" si="160"/>
        <v>Premium</v>
      </c>
      <c r="G2565" s="3" cm="1">
        <f t="array" ref="G2565">_xlfn.XLOOKUP(C2565 &amp; F2565,
         [1]unilever_price_limits!A:A &amp; [1]unilever_price_limits!B:B,
         [1]unilever_price_limits!C:C)</f>
        <v>60</v>
      </c>
      <c r="H2565" s="8">
        <f t="shared" si="161"/>
        <v>20.576000000000001</v>
      </c>
      <c r="I2565" s="6">
        <f t="shared" si="162"/>
        <v>60.000000000000007</v>
      </c>
      <c r="J2565" t="str">
        <f t="shared" si="163"/>
        <v>OK</v>
      </c>
    </row>
    <row r="2566" spans="1:10" x14ac:dyDescent="0.2">
      <c r="A2566">
        <v>12565</v>
      </c>
      <c r="B2566" t="s">
        <v>10</v>
      </c>
      <c r="C2566" t="s">
        <v>11</v>
      </c>
      <c r="D2566" s="8">
        <v>4.24</v>
      </c>
      <c r="E2566">
        <v>1</v>
      </c>
      <c r="F2566" t="str">
        <f t="shared" si="160"/>
        <v>Value</v>
      </c>
      <c r="G2566" s="3" cm="1">
        <f t="array" ref="G2566">_xlfn.XLOOKUP(C2566 &amp; F2566,
         [1]unilever_price_limits!A:A &amp; [1]unilever_price_limits!B:B,
         [1]unilever_price_limits!C:C)</f>
        <v>10</v>
      </c>
      <c r="H2566" s="8">
        <f t="shared" si="161"/>
        <v>4.6640000000000006</v>
      </c>
      <c r="I2566" s="6">
        <f t="shared" si="162"/>
        <v>10.000000000000009</v>
      </c>
      <c r="J2566" t="str">
        <f t="shared" si="163"/>
        <v>OK</v>
      </c>
    </row>
    <row r="2567" spans="1:10" x14ac:dyDescent="0.2">
      <c r="A2567">
        <v>12566</v>
      </c>
      <c r="B2567" t="s">
        <v>7</v>
      </c>
      <c r="C2567" t="s">
        <v>9</v>
      </c>
      <c r="D2567" s="8">
        <v>7.63</v>
      </c>
      <c r="E2567">
        <v>5</v>
      </c>
      <c r="F2567" t="str">
        <f t="shared" si="160"/>
        <v>Standard</v>
      </c>
      <c r="G2567" s="3" cm="1">
        <f t="array" ref="G2567">_xlfn.XLOOKUP(C2567 &amp; F2567,
         [1]unilever_price_limits!A:A &amp; [1]unilever_price_limits!B:B,
         [1]unilever_price_limits!C:C)</f>
        <v>30</v>
      </c>
      <c r="H2567" s="8">
        <f t="shared" si="161"/>
        <v>9.9190000000000005</v>
      </c>
      <c r="I2567" s="6">
        <f t="shared" si="162"/>
        <v>30.000000000000004</v>
      </c>
      <c r="J2567" t="str">
        <f t="shared" si="163"/>
        <v>OK</v>
      </c>
    </row>
    <row r="2568" spans="1:10" x14ac:dyDescent="0.2">
      <c r="A2568">
        <v>12567</v>
      </c>
      <c r="B2568" t="s">
        <v>7</v>
      </c>
      <c r="C2568" t="s">
        <v>6</v>
      </c>
      <c r="D2568" s="8">
        <v>14.65</v>
      </c>
      <c r="E2568">
        <v>1</v>
      </c>
      <c r="F2568" t="str">
        <f t="shared" si="160"/>
        <v>Value</v>
      </c>
      <c r="G2568" s="3" cm="1">
        <f t="array" ref="G2568">_xlfn.XLOOKUP(C2568 &amp; F2568,
         [1]unilever_price_limits!A:A &amp; [1]unilever_price_limits!B:B,
         [1]unilever_price_limits!C:C)</f>
        <v>12</v>
      </c>
      <c r="H2568" s="8">
        <f t="shared" si="161"/>
        <v>16.408000000000001</v>
      </c>
      <c r="I2568" s="6">
        <f t="shared" si="162"/>
        <v>12.000000000000011</v>
      </c>
      <c r="J2568" t="str">
        <f t="shared" si="163"/>
        <v>OK</v>
      </c>
    </row>
    <row r="2569" spans="1:10" x14ac:dyDescent="0.2">
      <c r="A2569">
        <v>12568</v>
      </c>
      <c r="B2569" t="s">
        <v>10</v>
      </c>
      <c r="C2569" t="s">
        <v>6</v>
      </c>
      <c r="D2569" s="8">
        <v>5.33</v>
      </c>
      <c r="E2569">
        <v>7</v>
      </c>
      <c r="F2569" t="str">
        <f t="shared" si="160"/>
        <v>Standard</v>
      </c>
      <c r="G2569" s="3" cm="1">
        <f t="array" ref="G2569">_xlfn.XLOOKUP(C2569 &amp; F2569,
         [1]unilever_price_limits!A:A &amp; [1]unilever_price_limits!B:B,
         [1]unilever_price_limits!C:C)</f>
        <v>28</v>
      </c>
      <c r="H2569" s="8">
        <f t="shared" si="161"/>
        <v>6.8224</v>
      </c>
      <c r="I2569" s="6">
        <f t="shared" si="162"/>
        <v>28.000000000000004</v>
      </c>
      <c r="J2569" t="str">
        <f t="shared" si="163"/>
        <v>OK</v>
      </c>
    </row>
    <row r="2570" spans="1:10" x14ac:dyDescent="0.2">
      <c r="A2570">
        <v>12569</v>
      </c>
      <c r="B2570" t="s">
        <v>7</v>
      </c>
      <c r="C2570" t="s">
        <v>11</v>
      </c>
      <c r="D2570" s="8">
        <v>9.1300000000000008</v>
      </c>
      <c r="E2570">
        <v>5</v>
      </c>
      <c r="F2570" t="str">
        <f t="shared" si="160"/>
        <v>Standard</v>
      </c>
      <c r="G2570" s="3" cm="1">
        <f t="array" ref="G2570">_xlfn.XLOOKUP(C2570 &amp; F2570,
         [1]unilever_price_limits!A:A &amp; [1]unilever_price_limits!B:B,
         [1]unilever_price_limits!C:C)</f>
        <v>25</v>
      </c>
      <c r="H2570" s="8">
        <f t="shared" si="161"/>
        <v>11.412500000000001</v>
      </c>
      <c r="I2570" s="6">
        <f t="shared" si="162"/>
        <v>25</v>
      </c>
      <c r="J2570" t="str">
        <f t="shared" si="163"/>
        <v>OK</v>
      </c>
    </row>
    <row r="2571" spans="1:10" x14ac:dyDescent="0.2">
      <c r="A2571">
        <v>12570</v>
      </c>
      <c r="B2571" t="s">
        <v>8</v>
      </c>
      <c r="C2571" t="s">
        <v>6</v>
      </c>
      <c r="D2571" s="8">
        <v>1.81</v>
      </c>
      <c r="E2571">
        <v>2</v>
      </c>
      <c r="F2571" t="str">
        <f t="shared" si="160"/>
        <v>Value</v>
      </c>
      <c r="G2571" s="3" cm="1">
        <f t="array" ref="G2571">_xlfn.XLOOKUP(C2571 &amp; F2571,
         [1]unilever_price_limits!A:A &amp; [1]unilever_price_limits!B:B,
         [1]unilever_price_limits!C:C)</f>
        <v>12</v>
      </c>
      <c r="H2571" s="8">
        <f t="shared" si="161"/>
        <v>2.0272000000000001</v>
      </c>
      <c r="I2571" s="6">
        <f t="shared" si="162"/>
        <v>12.000000000000011</v>
      </c>
      <c r="J2571" t="str">
        <f t="shared" si="163"/>
        <v>OK</v>
      </c>
    </row>
    <row r="2572" spans="1:10" x14ac:dyDescent="0.2">
      <c r="A2572">
        <v>12571</v>
      </c>
      <c r="B2572" t="s">
        <v>10</v>
      </c>
      <c r="C2572" t="s">
        <v>6</v>
      </c>
      <c r="D2572" s="8">
        <v>9.2899999999999991</v>
      </c>
      <c r="E2572">
        <v>1</v>
      </c>
      <c r="F2572" t="str">
        <f t="shared" si="160"/>
        <v>Value</v>
      </c>
      <c r="G2572" s="3" cm="1">
        <f t="array" ref="G2572">_xlfn.XLOOKUP(C2572 &amp; F2572,
         [1]unilever_price_limits!A:A &amp; [1]unilever_price_limits!B:B,
         [1]unilever_price_limits!C:C)</f>
        <v>12</v>
      </c>
      <c r="H2572" s="8">
        <f t="shared" si="161"/>
        <v>10.4048</v>
      </c>
      <c r="I2572" s="6">
        <f t="shared" si="162"/>
        <v>12.000000000000011</v>
      </c>
      <c r="J2572" t="str">
        <f t="shared" si="163"/>
        <v>OK</v>
      </c>
    </row>
    <row r="2573" spans="1:10" x14ac:dyDescent="0.2">
      <c r="A2573">
        <v>12572</v>
      </c>
      <c r="B2573" t="s">
        <v>8</v>
      </c>
      <c r="C2573" t="s">
        <v>6</v>
      </c>
      <c r="D2573" s="8">
        <v>1.8</v>
      </c>
      <c r="E2573">
        <v>7</v>
      </c>
      <c r="F2573" t="str">
        <f t="shared" si="160"/>
        <v>Standard</v>
      </c>
      <c r="G2573" s="3" cm="1">
        <f t="array" ref="G2573">_xlfn.XLOOKUP(C2573 &amp; F2573,
         [1]unilever_price_limits!A:A &amp; [1]unilever_price_limits!B:B,
         [1]unilever_price_limits!C:C)</f>
        <v>28</v>
      </c>
      <c r="H2573" s="8">
        <f t="shared" si="161"/>
        <v>2.3040000000000003</v>
      </c>
      <c r="I2573" s="6">
        <f t="shared" si="162"/>
        <v>28.000000000000004</v>
      </c>
      <c r="J2573" t="str">
        <f t="shared" si="163"/>
        <v>OK</v>
      </c>
    </row>
    <row r="2574" spans="1:10" x14ac:dyDescent="0.2">
      <c r="A2574">
        <v>12573</v>
      </c>
      <c r="B2574" t="s">
        <v>8</v>
      </c>
      <c r="C2574" t="s">
        <v>6</v>
      </c>
      <c r="D2574" s="8">
        <v>14.41</v>
      </c>
      <c r="E2574">
        <v>1</v>
      </c>
      <c r="F2574" t="str">
        <f t="shared" si="160"/>
        <v>Value</v>
      </c>
      <c r="G2574" s="3" cm="1">
        <f t="array" ref="G2574">_xlfn.XLOOKUP(C2574 &amp; F2574,
         [1]unilever_price_limits!A:A &amp; [1]unilever_price_limits!B:B,
         [1]unilever_price_limits!C:C)</f>
        <v>12</v>
      </c>
      <c r="H2574" s="8">
        <f t="shared" si="161"/>
        <v>16.139200000000002</v>
      </c>
      <c r="I2574" s="6">
        <f t="shared" si="162"/>
        <v>12.000000000000011</v>
      </c>
      <c r="J2574" t="str">
        <f t="shared" si="163"/>
        <v>OK</v>
      </c>
    </row>
    <row r="2575" spans="1:10" x14ac:dyDescent="0.2">
      <c r="A2575">
        <v>12574</v>
      </c>
      <c r="B2575" t="s">
        <v>8</v>
      </c>
      <c r="C2575" t="s">
        <v>9</v>
      </c>
      <c r="D2575" s="8">
        <v>10.88</v>
      </c>
      <c r="E2575">
        <v>3</v>
      </c>
      <c r="F2575" t="str">
        <f t="shared" si="160"/>
        <v>Value</v>
      </c>
      <c r="G2575" s="3" cm="1">
        <f t="array" ref="G2575">_xlfn.XLOOKUP(C2575 &amp; F2575,
         [1]unilever_price_limits!A:A &amp; [1]unilever_price_limits!B:B,
         [1]unilever_price_limits!C:C)</f>
        <v>15</v>
      </c>
      <c r="H2575" s="8">
        <f t="shared" si="161"/>
        <v>12.512</v>
      </c>
      <c r="I2575" s="6">
        <f t="shared" si="162"/>
        <v>14.999999999999991</v>
      </c>
      <c r="J2575" t="str">
        <f t="shared" si="163"/>
        <v>OK</v>
      </c>
    </row>
    <row r="2576" spans="1:10" x14ac:dyDescent="0.2">
      <c r="A2576">
        <v>12575</v>
      </c>
      <c r="B2576" t="s">
        <v>8</v>
      </c>
      <c r="C2576" t="s">
        <v>9</v>
      </c>
      <c r="D2576" s="8">
        <v>11.93</v>
      </c>
      <c r="E2576">
        <v>6</v>
      </c>
      <c r="F2576" t="str">
        <f t="shared" si="160"/>
        <v>Standard</v>
      </c>
      <c r="G2576" s="3" cm="1">
        <f t="array" ref="G2576">_xlfn.XLOOKUP(C2576 &amp; F2576,
         [1]unilever_price_limits!A:A &amp; [1]unilever_price_limits!B:B,
         [1]unilever_price_limits!C:C)</f>
        <v>30</v>
      </c>
      <c r="H2576" s="8">
        <f t="shared" si="161"/>
        <v>15.509</v>
      </c>
      <c r="I2576" s="6">
        <f t="shared" si="162"/>
        <v>30.000000000000004</v>
      </c>
      <c r="J2576" t="str">
        <f t="shared" si="163"/>
        <v>OK</v>
      </c>
    </row>
    <row r="2577" spans="1:10" x14ac:dyDescent="0.2">
      <c r="A2577">
        <v>12576</v>
      </c>
      <c r="B2577" t="s">
        <v>10</v>
      </c>
      <c r="C2577" t="s">
        <v>11</v>
      </c>
      <c r="D2577" s="8">
        <v>10.71</v>
      </c>
      <c r="E2577">
        <v>6</v>
      </c>
      <c r="F2577" t="str">
        <f t="shared" si="160"/>
        <v>Standard</v>
      </c>
      <c r="G2577" s="3" cm="1">
        <f t="array" ref="G2577">_xlfn.XLOOKUP(C2577 &amp; F2577,
         [1]unilever_price_limits!A:A &amp; [1]unilever_price_limits!B:B,
         [1]unilever_price_limits!C:C)</f>
        <v>25</v>
      </c>
      <c r="H2577" s="8">
        <f t="shared" si="161"/>
        <v>13.387500000000001</v>
      </c>
      <c r="I2577" s="6">
        <f t="shared" si="162"/>
        <v>25</v>
      </c>
      <c r="J2577" t="str">
        <f t="shared" si="163"/>
        <v>OK</v>
      </c>
    </row>
    <row r="2578" spans="1:10" x14ac:dyDescent="0.2">
      <c r="A2578">
        <v>12577</v>
      </c>
      <c r="B2578" t="s">
        <v>8</v>
      </c>
      <c r="C2578" t="s">
        <v>11</v>
      </c>
      <c r="D2578" s="8">
        <v>9.0500000000000007</v>
      </c>
      <c r="E2578">
        <v>7</v>
      </c>
      <c r="F2578" t="str">
        <f t="shared" si="160"/>
        <v>Standard</v>
      </c>
      <c r="G2578" s="3" cm="1">
        <f t="array" ref="G2578">_xlfn.XLOOKUP(C2578 &amp; F2578,
         [1]unilever_price_limits!A:A &amp; [1]unilever_price_limits!B:B,
         [1]unilever_price_limits!C:C)</f>
        <v>25</v>
      </c>
      <c r="H2578" s="8">
        <f t="shared" si="161"/>
        <v>11.3125</v>
      </c>
      <c r="I2578" s="6">
        <f t="shared" si="162"/>
        <v>25</v>
      </c>
      <c r="J2578" t="str">
        <f t="shared" si="163"/>
        <v>OK</v>
      </c>
    </row>
    <row r="2579" spans="1:10" x14ac:dyDescent="0.2">
      <c r="A2579">
        <v>12578</v>
      </c>
      <c r="B2579" t="s">
        <v>8</v>
      </c>
      <c r="C2579" t="s">
        <v>11</v>
      </c>
      <c r="D2579" s="8">
        <v>7.02</v>
      </c>
      <c r="E2579">
        <v>1</v>
      </c>
      <c r="F2579" t="str">
        <f t="shared" si="160"/>
        <v>Value</v>
      </c>
      <c r="G2579" s="3" cm="1">
        <f t="array" ref="G2579">_xlfn.XLOOKUP(C2579 &amp; F2579,
         [1]unilever_price_limits!A:A &amp; [1]unilever_price_limits!B:B,
         [1]unilever_price_limits!C:C)</f>
        <v>10</v>
      </c>
      <c r="H2579" s="8">
        <f t="shared" si="161"/>
        <v>7.7220000000000004</v>
      </c>
      <c r="I2579" s="6">
        <f t="shared" si="162"/>
        <v>10.000000000000009</v>
      </c>
      <c r="J2579" t="str">
        <f t="shared" si="163"/>
        <v>OK</v>
      </c>
    </row>
    <row r="2580" spans="1:10" x14ac:dyDescent="0.2">
      <c r="A2580">
        <v>12579</v>
      </c>
      <c r="B2580" t="s">
        <v>7</v>
      </c>
      <c r="C2580" t="s">
        <v>6</v>
      </c>
      <c r="D2580" s="8">
        <v>12.95</v>
      </c>
      <c r="E2580">
        <v>7</v>
      </c>
      <c r="F2580" t="str">
        <f t="shared" si="160"/>
        <v>Standard</v>
      </c>
      <c r="G2580" s="3" cm="1">
        <f t="array" ref="G2580">_xlfn.XLOOKUP(C2580 &amp; F2580,
         [1]unilever_price_limits!A:A &amp; [1]unilever_price_limits!B:B,
         [1]unilever_price_limits!C:C)</f>
        <v>28</v>
      </c>
      <c r="H2580" s="8">
        <f t="shared" si="161"/>
        <v>16.576000000000001</v>
      </c>
      <c r="I2580" s="6">
        <f t="shared" si="162"/>
        <v>28.000000000000004</v>
      </c>
      <c r="J2580" t="str">
        <f t="shared" si="163"/>
        <v>OK</v>
      </c>
    </row>
    <row r="2581" spans="1:10" x14ac:dyDescent="0.2">
      <c r="A2581">
        <v>12580</v>
      </c>
      <c r="B2581" t="s">
        <v>10</v>
      </c>
      <c r="C2581" t="s">
        <v>6</v>
      </c>
      <c r="D2581" s="8">
        <v>14.37</v>
      </c>
      <c r="E2581">
        <v>2</v>
      </c>
      <c r="F2581" t="str">
        <f t="shared" si="160"/>
        <v>Value</v>
      </c>
      <c r="G2581" s="3" cm="1">
        <f t="array" ref="G2581">_xlfn.XLOOKUP(C2581 &amp; F2581,
         [1]unilever_price_limits!A:A &amp; [1]unilever_price_limits!B:B,
         [1]unilever_price_limits!C:C)</f>
        <v>12</v>
      </c>
      <c r="H2581" s="8">
        <f t="shared" si="161"/>
        <v>16.0944</v>
      </c>
      <c r="I2581" s="6">
        <f t="shared" si="162"/>
        <v>12.000000000000011</v>
      </c>
      <c r="J2581" t="str">
        <f t="shared" si="163"/>
        <v>OK</v>
      </c>
    </row>
    <row r="2582" spans="1:10" x14ac:dyDescent="0.2">
      <c r="A2582">
        <v>12581</v>
      </c>
      <c r="B2582" t="s">
        <v>10</v>
      </c>
      <c r="C2582" t="s">
        <v>9</v>
      </c>
      <c r="D2582" s="8">
        <v>7.74</v>
      </c>
      <c r="E2582">
        <v>6</v>
      </c>
      <c r="F2582" t="str">
        <f t="shared" si="160"/>
        <v>Standard</v>
      </c>
      <c r="G2582" s="3" cm="1">
        <f t="array" ref="G2582">_xlfn.XLOOKUP(C2582 &amp; F2582,
         [1]unilever_price_limits!A:A &amp; [1]unilever_price_limits!B:B,
         [1]unilever_price_limits!C:C)</f>
        <v>30</v>
      </c>
      <c r="H2582" s="8">
        <f t="shared" si="161"/>
        <v>10.062000000000001</v>
      </c>
      <c r="I2582" s="6">
        <f t="shared" si="162"/>
        <v>30.000000000000004</v>
      </c>
      <c r="J2582" t="str">
        <f t="shared" si="163"/>
        <v>OK</v>
      </c>
    </row>
    <row r="2583" spans="1:10" x14ac:dyDescent="0.2">
      <c r="A2583">
        <v>12582</v>
      </c>
      <c r="B2583" t="s">
        <v>5</v>
      </c>
      <c r="C2583" t="s">
        <v>9</v>
      </c>
      <c r="D2583" s="8">
        <v>14.01</v>
      </c>
      <c r="E2583">
        <v>8</v>
      </c>
      <c r="F2583" t="str">
        <f t="shared" si="160"/>
        <v>Premium</v>
      </c>
      <c r="G2583" s="3" cm="1">
        <f t="array" ref="G2583">_xlfn.XLOOKUP(C2583 &amp; F2583,
         [1]unilever_price_limits!A:A &amp; [1]unilever_price_limits!B:B,
         [1]unilever_price_limits!C:C)</f>
        <v>60</v>
      </c>
      <c r="H2583" s="8">
        <f t="shared" si="161"/>
        <v>22.416</v>
      </c>
      <c r="I2583" s="6">
        <f t="shared" si="162"/>
        <v>60.000000000000007</v>
      </c>
      <c r="J2583" t="str">
        <f t="shared" si="163"/>
        <v>OK</v>
      </c>
    </row>
    <row r="2584" spans="1:10" x14ac:dyDescent="0.2">
      <c r="A2584">
        <v>12583</v>
      </c>
      <c r="B2584" t="s">
        <v>10</v>
      </c>
      <c r="C2584" t="s">
        <v>11</v>
      </c>
      <c r="D2584" s="8">
        <v>8.9600000000000009</v>
      </c>
      <c r="E2584">
        <v>5</v>
      </c>
      <c r="F2584" t="str">
        <f t="shared" si="160"/>
        <v>Standard</v>
      </c>
      <c r="G2584" s="3" cm="1">
        <f t="array" ref="G2584">_xlfn.XLOOKUP(C2584 &amp; F2584,
         [1]unilever_price_limits!A:A &amp; [1]unilever_price_limits!B:B,
         [1]unilever_price_limits!C:C)</f>
        <v>25</v>
      </c>
      <c r="H2584" s="8">
        <f t="shared" si="161"/>
        <v>11.200000000000001</v>
      </c>
      <c r="I2584" s="6">
        <f t="shared" si="162"/>
        <v>25</v>
      </c>
      <c r="J2584" t="str">
        <f t="shared" si="163"/>
        <v>OK</v>
      </c>
    </row>
    <row r="2585" spans="1:10" x14ac:dyDescent="0.2">
      <c r="A2585">
        <v>12584</v>
      </c>
      <c r="B2585" t="s">
        <v>10</v>
      </c>
      <c r="C2585" t="s">
        <v>9</v>
      </c>
      <c r="D2585" s="8">
        <v>8.31</v>
      </c>
      <c r="E2585">
        <v>10</v>
      </c>
      <c r="F2585" t="str">
        <f t="shared" si="160"/>
        <v>Premium</v>
      </c>
      <c r="G2585" s="3" cm="1">
        <f t="array" ref="G2585">_xlfn.XLOOKUP(C2585 &amp; F2585,
         [1]unilever_price_limits!A:A &amp; [1]unilever_price_limits!B:B,
         [1]unilever_price_limits!C:C)</f>
        <v>60</v>
      </c>
      <c r="H2585" s="8">
        <f t="shared" si="161"/>
        <v>13.296000000000001</v>
      </c>
      <c r="I2585" s="6">
        <f t="shared" si="162"/>
        <v>60.000000000000007</v>
      </c>
      <c r="J2585" t="str">
        <f t="shared" si="163"/>
        <v>OK</v>
      </c>
    </row>
    <row r="2586" spans="1:10" x14ac:dyDescent="0.2">
      <c r="A2586">
        <v>12585</v>
      </c>
      <c r="B2586" t="s">
        <v>5</v>
      </c>
      <c r="C2586" t="s">
        <v>9</v>
      </c>
      <c r="D2586" s="8">
        <v>7.09</v>
      </c>
      <c r="E2586">
        <v>3</v>
      </c>
      <c r="F2586" t="str">
        <f t="shared" si="160"/>
        <v>Value</v>
      </c>
      <c r="G2586" s="3" cm="1">
        <f t="array" ref="G2586">_xlfn.XLOOKUP(C2586 &amp; F2586,
         [1]unilever_price_limits!A:A &amp; [1]unilever_price_limits!B:B,
         [1]unilever_price_limits!C:C)</f>
        <v>15</v>
      </c>
      <c r="H2586" s="8">
        <f t="shared" si="161"/>
        <v>8.1534999999999993</v>
      </c>
      <c r="I2586" s="6">
        <f t="shared" si="162"/>
        <v>14.999999999999991</v>
      </c>
      <c r="J2586" t="str">
        <f t="shared" si="163"/>
        <v>OK</v>
      </c>
    </row>
    <row r="2587" spans="1:10" x14ac:dyDescent="0.2">
      <c r="A2587">
        <v>12586</v>
      </c>
      <c r="B2587" t="s">
        <v>10</v>
      </c>
      <c r="C2587" t="s">
        <v>9</v>
      </c>
      <c r="D2587" s="8">
        <v>3.53</v>
      </c>
      <c r="E2587">
        <v>8</v>
      </c>
      <c r="F2587" t="str">
        <f t="shared" si="160"/>
        <v>Premium</v>
      </c>
      <c r="G2587" s="3" cm="1">
        <f t="array" ref="G2587">_xlfn.XLOOKUP(C2587 &amp; F2587,
         [1]unilever_price_limits!A:A &amp; [1]unilever_price_limits!B:B,
         [1]unilever_price_limits!C:C)</f>
        <v>60</v>
      </c>
      <c r="H2587" s="8">
        <f t="shared" si="161"/>
        <v>5.6479999999999997</v>
      </c>
      <c r="I2587" s="6">
        <f t="shared" si="162"/>
        <v>60.000000000000007</v>
      </c>
      <c r="J2587" t="str">
        <f t="shared" si="163"/>
        <v>OK</v>
      </c>
    </row>
    <row r="2588" spans="1:10" x14ac:dyDescent="0.2">
      <c r="A2588">
        <v>12587</v>
      </c>
      <c r="B2588" t="s">
        <v>10</v>
      </c>
      <c r="C2588" t="s">
        <v>9</v>
      </c>
      <c r="D2588" s="8">
        <v>0.55000000000000004</v>
      </c>
      <c r="E2588">
        <v>8</v>
      </c>
      <c r="F2588" t="str">
        <f t="shared" si="160"/>
        <v>Premium</v>
      </c>
      <c r="G2588" s="3" cm="1">
        <f t="array" ref="G2588">_xlfn.XLOOKUP(C2588 &amp; F2588,
         [1]unilever_price_limits!A:A &amp; [1]unilever_price_limits!B:B,
         [1]unilever_price_limits!C:C)</f>
        <v>60</v>
      </c>
      <c r="H2588" s="8">
        <f t="shared" si="161"/>
        <v>0.88000000000000012</v>
      </c>
      <c r="I2588" s="6">
        <f t="shared" si="162"/>
        <v>60.000000000000007</v>
      </c>
      <c r="J2588" t="str">
        <f t="shared" si="163"/>
        <v>OK</v>
      </c>
    </row>
    <row r="2589" spans="1:10" x14ac:dyDescent="0.2">
      <c r="A2589">
        <v>12588</v>
      </c>
      <c r="B2589" t="s">
        <v>10</v>
      </c>
      <c r="C2589" t="s">
        <v>9</v>
      </c>
      <c r="D2589" s="8">
        <v>4</v>
      </c>
      <c r="E2589">
        <v>4</v>
      </c>
      <c r="F2589" t="str">
        <f t="shared" si="160"/>
        <v>Standard</v>
      </c>
      <c r="G2589" s="3" cm="1">
        <f t="array" ref="G2589">_xlfn.XLOOKUP(C2589 &amp; F2589,
         [1]unilever_price_limits!A:A &amp; [1]unilever_price_limits!B:B,
         [1]unilever_price_limits!C:C)</f>
        <v>30</v>
      </c>
      <c r="H2589" s="8">
        <f t="shared" si="161"/>
        <v>5.2</v>
      </c>
      <c r="I2589" s="6">
        <f t="shared" si="162"/>
        <v>30.000000000000004</v>
      </c>
      <c r="J2589" t="str">
        <f t="shared" si="163"/>
        <v>OK</v>
      </c>
    </row>
    <row r="2590" spans="1:10" x14ac:dyDescent="0.2">
      <c r="A2590">
        <v>12589</v>
      </c>
      <c r="B2590" t="s">
        <v>10</v>
      </c>
      <c r="C2590" t="s">
        <v>11</v>
      </c>
      <c r="D2590" s="8">
        <v>7.89</v>
      </c>
      <c r="E2590">
        <v>8</v>
      </c>
      <c r="F2590" t="str">
        <f t="shared" si="160"/>
        <v>Premium</v>
      </c>
      <c r="G2590" s="3" cm="1">
        <f t="array" ref="G2590">_xlfn.XLOOKUP(C2590 &amp; F2590,
         [1]unilever_price_limits!A:A &amp; [1]unilever_price_limits!B:B,
         [1]unilever_price_limits!C:C)</f>
        <v>50</v>
      </c>
      <c r="H2590" s="8">
        <f t="shared" si="161"/>
        <v>11.834999999999999</v>
      </c>
      <c r="I2590" s="6">
        <f t="shared" si="162"/>
        <v>50</v>
      </c>
      <c r="J2590" t="str">
        <f t="shared" si="163"/>
        <v>OK</v>
      </c>
    </row>
    <row r="2591" spans="1:10" x14ac:dyDescent="0.2">
      <c r="A2591">
        <v>12590</v>
      </c>
      <c r="B2591" t="s">
        <v>5</v>
      </c>
      <c r="C2591" t="s">
        <v>11</v>
      </c>
      <c r="D2591" s="8">
        <v>6.01</v>
      </c>
      <c r="E2591">
        <v>5</v>
      </c>
      <c r="F2591" t="str">
        <f t="shared" si="160"/>
        <v>Standard</v>
      </c>
      <c r="G2591" s="3" cm="1">
        <f t="array" ref="G2591">_xlfn.XLOOKUP(C2591 &amp; F2591,
         [1]unilever_price_limits!A:A &amp; [1]unilever_price_limits!B:B,
         [1]unilever_price_limits!C:C)</f>
        <v>25</v>
      </c>
      <c r="H2591" s="8">
        <f t="shared" si="161"/>
        <v>7.5124999999999993</v>
      </c>
      <c r="I2591" s="6">
        <f t="shared" si="162"/>
        <v>25</v>
      </c>
      <c r="J2591" t="str">
        <f t="shared" si="163"/>
        <v>OK</v>
      </c>
    </row>
    <row r="2592" spans="1:10" x14ac:dyDescent="0.2">
      <c r="A2592">
        <v>12591</v>
      </c>
      <c r="B2592" t="s">
        <v>10</v>
      </c>
      <c r="C2592" t="s">
        <v>9</v>
      </c>
      <c r="D2592" s="8">
        <v>7</v>
      </c>
      <c r="E2592">
        <v>5</v>
      </c>
      <c r="F2592" t="str">
        <f t="shared" si="160"/>
        <v>Standard</v>
      </c>
      <c r="G2592" s="3" cm="1">
        <f t="array" ref="G2592">_xlfn.XLOOKUP(C2592 &amp; F2592,
         [1]unilever_price_limits!A:A &amp; [1]unilever_price_limits!B:B,
         [1]unilever_price_limits!C:C)</f>
        <v>30</v>
      </c>
      <c r="H2592" s="8">
        <f t="shared" si="161"/>
        <v>9.1</v>
      </c>
      <c r="I2592" s="6">
        <f t="shared" si="162"/>
        <v>30.000000000000004</v>
      </c>
      <c r="J2592" t="str">
        <f t="shared" si="163"/>
        <v>OK</v>
      </c>
    </row>
    <row r="2593" spans="1:10" x14ac:dyDescent="0.2">
      <c r="A2593">
        <v>12592</v>
      </c>
      <c r="B2593" t="s">
        <v>10</v>
      </c>
      <c r="C2593" t="s">
        <v>11</v>
      </c>
      <c r="D2593" s="8">
        <v>14.72</v>
      </c>
      <c r="E2593">
        <v>3</v>
      </c>
      <c r="F2593" t="str">
        <f t="shared" si="160"/>
        <v>Value</v>
      </c>
      <c r="G2593" s="3" cm="1">
        <f t="array" ref="G2593">_xlfn.XLOOKUP(C2593 &amp; F2593,
         [1]unilever_price_limits!A:A &amp; [1]unilever_price_limits!B:B,
         [1]unilever_price_limits!C:C)</f>
        <v>10</v>
      </c>
      <c r="H2593" s="8">
        <f t="shared" si="161"/>
        <v>16.192000000000004</v>
      </c>
      <c r="I2593" s="6">
        <f t="shared" si="162"/>
        <v>10.000000000000032</v>
      </c>
      <c r="J2593" t="str">
        <f t="shared" si="163"/>
        <v>OK</v>
      </c>
    </row>
    <row r="2594" spans="1:10" x14ac:dyDescent="0.2">
      <c r="A2594">
        <v>12593</v>
      </c>
      <c r="B2594" t="s">
        <v>5</v>
      </c>
      <c r="C2594" t="s">
        <v>6</v>
      </c>
      <c r="D2594" s="8">
        <v>5.58</v>
      </c>
      <c r="E2594">
        <v>7</v>
      </c>
      <c r="F2594" t="str">
        <f t="shared" si="160"/>
        <v>Standard</v>
      </c>
      <c r="G2594" s="3" cm="1">
        <f t="array" ref="G2594">_xlfn.XLOOKUP(C2594 &amp; F2594,
         [1]unilever_price_limits!A:A &amp; [1]unilever_price_limits!B:B,
         [1]unilever_price_limits!C:C)</f>
        <v>28</v>
      </c>
      <c r="H2594" s="8">
        <f t="shared" si="161"/>
        <v>7.1424000000000003</v>
      </c>
      <c r="I2594" s="6">
        <f t="shared" si="162"/>
        <v>28.000000000000004</v>
      </c>
      <c r="J2594" t="str">
        <f t="shared" si="163"/>
        <v>OK</v>
      </c>
    </row>
    <row r="2595" spans="1:10" x14ac:dyDescent="0.2">
      <c r="A2595">
        <v>12594</v>
      </c>
      <c r="B2595" t="s">
        <v>7</v>
      </c>
      <c r="C2595" t="s">
        <v>9</v>
      </c>
      <c r="D2595" s="8">
        <v>7.06</v>
      </c>
      <c r="E2595">
        <v>9</v>
      </c>
      <c r="F2595" t="str">
        <f t="shared" si="160"/>
        <v>Premium</v>
      </c>
      <c r="G2595" s="3" cm="1">
        <f t="array" ref="G2595">_xlfn.XLOOKUP(C2595 &amp; F2595,
         [1]unilever_price_limits!A:A &amp; [1]unilever_price_limits!B:B,
         [1]unilever_price_limits!C:C)</f>
        <v>60</v>
      </c>
      <c r="H2595" s="8">
        <f t="shared" si="161"/>
        <v>11.295999999999999</v>
      </c>
      <c r="I2595" s="6">
        <f t="shared" si="162"/>
        <v>60.000000000000007</v>
      </c>
      <c r="J2595" t="str">
        <f t="shared" si="163"/>
        <v>OK</v>
      </c>
    </row>
    <row r="2596" spans="1:10" x14ac:dyDescent="0.2">
      <c r="A2596">
        <v>12595</v>
      </c>
      <c r="B2596" t="s">
        <v>8</v>
      </c>
      <c r="C2596" t="s">
        <v>6</v>
      </c>
      <c r="D2596" s="8">
        <v>2.44</v>
      </c>
      <c r="E2596">
        <v>9</v>
      </c>
      <c r="F2596" t="str">
        <f t="shared" si="160"/>
        <v>Premium</v>
      </c>
      <c r="G2596" s="3" cm="1">
        <f t="array" ref="G2596">_xlfn.XLOOKUP(C2596 &amp; F2596,
         [1]unilever_price_limits!A:A &amp; [1]unilever_price_limits!B:B,
         [1]unilever_price_limits!C:C)</f>
        <v>55</v>
      </c>
      <c r="H2596" s="8">
        <f t="shared" si="161"/>
        <v>3.782</v>
      </c>
      <c r="I2596" s="6">
        <f t="shared" si="162"/>
        <v>55.000000000000007</v>
      </c>
      <c r="J2596" t="str">
        <f t="shared" si="163"/>
        <v>OK</v>
      </c>
    </row>
    <row r="2597" spans="1:10" x14ac:dyDescent="0.2">
      <c r="A2597">
        <v>12596</v>
      </c>
      <c r="B2597" t="s">
        <v>7</v>
      </c>
      <c r="C2597" t="s">
        <v>11</v>
      </c>
      <c r="D2597" s="8">
        <v>1.2</v>
      </c>
      <c r="E2597">
        <v>1</v>
      </c>
      <c r="F2597" t="str">
        <f t="shared" si="160"/>
        <v>Value</v>
      </c>
      <c r="G2597" s="3" cm="1">
        <f t="array" ref="G2597">_xlfn.XLOOKUP(C2597 &amp; F2597,
         [1]unilever_price_limits!A:A &amp; [1]unilever_price_limits!B:B,
         [1]unilever_price_limits!C:C)</f>
        <v>10</v>
      </c>
      <c r="H2597" s="8">
        <f t="shared" si="161"/>
        <v>1.32</v>
      </c>
      <c r="I2597" s="6">
        <f t="shared" si="162"/>
        <v>10.000000000000009</v>
      </c>
      <c r="J2597" t="str">
        <f t="shared" si="163"/>
        <v>OK</v>
      </c>
    </row>
    <row r="2598" spans="1:10" x14ac:dyDescent="0.2">
      <c r="A2598">
        <v>12597</v>
      </c>
      <c r="B2598" t="s">
        <v>5</v>
      </c>
      <c r="C2598" t="s">
        <v>11</v>
      </c>
      <c r="D2598" s="8">
        <v>11.74</v>
      </c>
      <c r="E2598">
        <v>1</v>
      </c>
      <c r="F2598" t="str">
        <f t="shared" si="160"/>
        <v>Value</v>
      </c>
      <c r="G2598" s="3" cm="1">
        <f t="array" ref="G2598">_xlfn.XLOOKUP(C2598 &amp; F2598,
         [1]unilever_price_limits!A:A &amp; [1]unilever_price_limits!B:B,
         [1]unilever_price_limits!C:C)</f>
        <v>10</v>
      </c>
      <c r="H2598" s="8">
        <f t="shared" si="161"/>
        <v>12.914000000000001</v>
      </c>
      <c r="I2598" s="6">
        <f t="shared" si="162"/>
        <v>10.000000000000009</v>
      </c>
      <c r="J2598" t="str">
        <f t="shared" si="163"/>
        <v>OK</v>
      </c>
    </row>
    <row r="2599" spans="1:10" x14ac:dyDescent="0.2">
      <c r="A2599">
        <v>12598</v>
      </c>
      <c r="B2599" t="s">
        <v>8</v>
      </c>
      <c r="C2599" t="s">
        <v>6</v>
      </c>
      <c r="D2599" s="8">
        <v>8.77</v>
      </c>
      <c r="E2599">
        <v>10</v>
      </c>
      <c r="F2599" t="str">
        <f t="shared" si="160"/>
        <v>Premium</v>
      </c>
      <c r="G2599" s="3" cm="1">
        <f t="array" ref="G2599">_xlfn.XLOOKUP(C2599 &amp; F2599,
         [1]unilever_price_limits!A:A &amp; [1]unilever_price_limits!B:B,
         [1]unilever_price_limits!C:C)</f>
        <v>55</v>
      </c>
      <c r="H2599" s="8">
        <f t="shared" si="161"/>
        <v>13.593500000000001</v>
      </c>
      <c r="I2599" s="6">
        <f t="shared" si="162"/>
        <v>55.000000000000007</v>
      </c>
      <c r="J2599" t="str">
        <f t="shared" si="163"/>
        <v>OK</v>
      </c>
    </row>
    <row r="2600" spans="1:10" x14ac:dyDescent="0.2">
      <c r="A2600">
        <v>12599</v>
      </c>
      <c r="B2600" t="s">
        <v>5</v>
      </c>
      <c r="C2600" t="s">
        <v>11</v>
      </c>
      <c r="D2600" s="8">
        <v>11.53</v>
      </c>
      <c r="E2600">
        <v>5</v>
      </c>
      <c r="F2600" t="str">
        <f t="shared" si="160"/>
        <v>Standard</v>
      </c>
      <c r="G2600" s="3" cm="1">
        <f t="array" ref="G2600">_xlfn.XLOOKUP(C2600 &amp; F2600,
         [1]unilever_price_limits!A:A &amp; [1]unilever_price_limits!B:B,
         [1]unilever_price_limits!C:C)</f>
        <v>25</v>
      </c>
      <c r="H2600" s="8">
        <f t="shared" si="161"/>
        <v>14.4125</v>
      </c>
      <c r="I2600" s="6">
        <f t="shared" si="162"/>
        <v>25</v>
      </c>
      <c r="J2600" t="str">
        <f t="shared" si="163"/>
        <v>OK</v>
      </c>
    </row>
    <row r="2601" spans="1:10" x14ac:dyDescent="0.2">
      <c r="A2601">
        <v>12600</v>
      </c>
      <c r="B2601" t="s">
        <v>5</v>
      </c>
      <c r="C2601" t="s">
        <v>9</v>
      </c>
      <c r="D2601" s="8">
        <v>2.67</v>
      </c>
      <c r="E2601">
        <v>1</v>
      </c>
      <c r="F2601" t="str">
        <f t="shared" si="160"/>
        <v>Value</v>
      </c>
      <c r="G2601" s="3" cm="1">
        <f t="array" ref="G2601">_xlfn.XLOOKUP(C2601 &amp; F2601,
         [1]unilever_price_limits!A:A &amp; [1]unilever_price_limits!B:B,
         [1]unilever_price_limits!C:C)</f>
        <v>15</v>
      </c>
      <c r="H2601" s="8">
        <f t="shared" si="161"/>
        <v>3.0704999999999996</v>
      </c>
      <c r="I2601" s="6">
        <f t="shared" si="162"/>
        <v>14.999999999999991</v>
      </c>
      <c r="J2601" t="str">
        <f t="shared" si="163"/>
        <v>OK</v>
      </c>
    </row>
    <row r="2602" spans="1:10" x14ac:dyDescent="0.2">
      <c r="A2602">
        <v>12601</v>
      </c>
      <c r="B2602" t="s">
        <v>10</v>
      </c>
      <c r="C2602" t="s">
        <v>6</v>
      </c>
      <c r="D2602" s="8">
        <v>8.7899999999999991</v>
      </c>
      <c r="E2602">
        <v>4</v>
      </c>
      <c r="F2602" t="str">
        <f t="shared" si="160"/>
        <v>Standard</v>
      </c>
      <c r="G2602" s="3" cm="1">
        <f t="array" ref="G2602">_xlfn.XLOOKUP(C2602 &amp; F2602,
         [1]unilever_price_limits!A:A &amp; [1]unilever_price_limits!B:B,
         [1]unilever_price_limits!C:C)</f>
        <v>28</v>
      </c>
      <c r="H2602" s="8">
        <f t="shared" si="161"/>
        <v>11.251199999999999</v>
      </c>
      <c r="I2602" s="6">
        <f t="shared" si="162"/>
        <v>28.000000000000004</v>
      </c>
      <c r="J2602" t="str">
        <f t="shared" si="163"/>
        <v>OK</v>
      </c>
    </row>
    <row r="2603" spans="1:10" x14ac:dyDescent="0.2">
      <c r="A2603">
        <v>12602</v>
      </c>
      <c r="B2603" t="s">
        <v>8</v>
      </c>
      <c r="C2603" t="s">
        <v>9</v>
      </c>
      <c r="D2603" s="8">
        <v>4.18</v>
      </c>
      <c r="E2603">
        <v>1</v>
      </c>
      <c r="F2603" t="str">
        <f t="shared" si="160"/>
        <v>Value</v>
      </c>
      <c r="G2603" s="3" cm="1">
        <f t="array" ref="G2603">_xlfn.XLOOKUP(C2603 &amp; F2603,
         [1]unilever_price_limits!A:A &amp; [1]unilever_price_limits!B:B,
         [1]unilever_price_limits!C:C)</f>
        <v>15</v>
      </c>
      <c r="H2603" s="8">
        <f t="shared" si="161"/>
        <v>4.8069999999999995</v>
      </c>
      <c r="I2603" s="6">
        <f t="shared" si="162"/>
        <v>14.999999999999991</v>
      </c>
      <c r="J2603" t="str">
        <f t="shared" si="163"/>
        <v>OK</v>
      </c>
    </row>
    <row r="2604" spans="1:10" x14ac:dyDescent="0.2">
      <c r="A2604">
        <v>12603</v>
      </c>
      <c r="B2604" t="s">
        <v>10</v>
      </c>
      <c r="C2604" t="s">
        <v>6</v>
      </c>
      <c r="D2604" s="8">
        <v>3.81</v>
      </c>
      <c r="E2604">
        <v>2</v>
      </c>
      <c r="F2604" t="str">
        <f t="shared" si="160"/>
        <v>Value</v>
      </c>
      <c r="G2604" s="3" cm="1">
        <f t="array" ref="G2604">_xlfn.XLOOKUP(C2604 &amp; F2604,
         [1]unilever_price_limits!A:A &amp; [1]unilever_price_limits!B:B,
         [1]unilever_price_limits!C:C)</f>
        <v>12</v>
      </c>
      <c r="H2604" s="8">
        <f t="shared" si="161"/>
        <v>4.2672000000000008</v>
      </c>
      <c r="I2604" s="6">
        <f t="shared" si="162"/>
        <v>12.000000000000011</v>
      </c>
      <c r="J2604" t="str">
        <f t="shared" si="163"/>
        <v>OK</v>
      </c>
    </row>
    <row r="2605" spans="1:10" x14ac:dyDescent="0.2">
      <c r="A2605">
        <v>12604</v>
      </c>
      <c r="B2605" t="s">
        <v>8</v>
      </c>
      <c r="C2605" t="s">
        <v>11</v>
      </c>
      <c r="D2605" s="8">
        <v>0.67</v>
      </c>
      <c r="E2605">
        <v>2</v>
      </c>
      <c r="F2605" t="str">
        <f t="shared" si="160"/>
        <v>Value</v>
      </c>
      <c r="G2605" s="3" cm="1">
        <f t="array" ref="G2605">_xlfn.XLOOKUP(C2605 &amp; F2605,
         [1]unilever_price_limits!A:A &amp; [1]unilever_price_limits!B:B,
         [1]unilever_price_limits!C:C)</f>
        <v>10</v>
      </c>
      <c r="H2605" s="8">
        <f t="shared" si="161"/>
        <v>0.7370000000000001</v>
      </c>
      <c r="I2605" s="6">
        <f t="shared" si="162"/>
        <v>10.000000000000009</v>
      </c>
      <c r="J2605" t="str">
        <f t="shared" si="163"/>
        <v>OK</v>
      </c>
    </row>
    <row r="2606" spans="1:10" x14ac:dyDescent="0.2">
      <c r="A2606">
        <v>12605</v>
      </c>
      <c r="B2606" t="s">
        <v>5</v>
      </c>
      <c r="C2606" t="s">
        <v>6</v>
      </c>
      <c r="D2606" s="8">
        <v>2.39</v>
      </c>
      <c r="E2606">
        <v>4</v>
      </c>
      <c r="F2606" t="str">
        <f t="shared" si="160"/>
        <v>Standard</v>
      </c>
      <c r="G2606" s="3" cm="1">
        <f t="array" ref="G2606">_xlfn.XLOOKUP(C2606 &amp; F2606,
         [1]unilever_price_limits!A:A &amp; [1]unilever_price_limits!B:B,
         [1]unilever_price_limits!C:C)</f>
        <v>28</v>
      </c>
      <c r="H2606" s="8">
        <f t="shared" si="161"/>
        <v>3.0592000000000001</v>
      </c>
      <c r="I2606" s="6">
        <f t="shared" si="162"/>
        <v>28.000000000000004</v>
      </c>
      <c r="J2606" t="str">
        <f t="shared" si="163"/>
        <v>OK</v>
      </c>
    </row>
    <row r="2607" spans="1:10" x14ac:dyDescent="0.2">
      <c r="A2607">
        <v>12606</v>
      </c>
      <c r="B2607" t="s">
        <v>5</v>
      </c>
      <c r="C2607" t="s">
        <v>6</v>
      </c>
      <c r="D2607" s="8">
        <v>4.9800000000000004</v>
      </c>
      <c r="E2607">
        <v>8</v>
      </c>
      <c r="F2607" t="str">
        <f t="shared" si="160"/>
        <v>Premium</v>
      </c>
      <c r="G2607" s="3" cm="1">
        <f t="array" ref="G2607">_xlfn.XLOOKUP(C2607 &amp; F2607,
         [1]unilever_price_limits!A:A &amp; [1]unilever_price_limits!B:B,
         [1]unilever_price_limits!C:C)</f>
        <v>55</v>
      </c>
      <c r="H2607" s="8">
        <f t="shared" si="161"/>
        <v>7.7190000000000012</v>
      </c>
      <c r="I2607" s="6">
        <f t="shared" si="162"/>
        <v>55.000000000000007</v>
      </c>
      <c r="J2607" t="str">
        <f t="shared" si="163"/>
        <v>OK</v>
      </c>
    </row>
    <row r="2608" spans="1:10" x14ac:dyDescent="0.2">
      <c r="A2608">
        <v>12607</v>
      </c>
      <c r="B2608" t="s">
        <v>7</v>
      </c>
      <c r="C2608" t="s">
        <v>9</v>
      </c>
      <c r="D2608" s="8">
        <v>2.19</v>
      </c>
      <c r="E2608">
        <v>2</v>
      </c>
      <c r="F2608" t="str">
        <f t="shared" si="160"/>
        <v>Value</v>
      </c>
      <c r="G2608" s="3" cm="1">
        <f t="array" ref="G2608">_xlfn.XLOOKUP(C2608 &amp; F2608,
         [1]unilever_price_limits!A:A &amp; [1]unilever_price_limits!B:B,
         [1]unilever_price_limits!C:C)</f>
        <v>15</v>
      </c>
      <c r="H2608" s="8">
        <f t="shared" si="161"/>
        <v>2.5185</v>
      </c>
      <c r="I2608" s="6">
        <f t="shared" si="162"/>
        <v>14.999999999999991</v>
      </c>
      <c r="J2608" t="str">
        <f t="shared" si="163"/>
        <v>OK</v>
      </c>
    </row>
    <row r="2609" spans="1:10" x14ac:dyDescent="0.2">
      <c r="A2609">
        <v>12608</v>
      </c>
      <c r="B2609" t="s">
        <v>8</v>
      </c>
      <c r="C2609" t="s">
        <v>11</v>
      </c>
      <c r="D2609" s="8">
        <v>14.79</v>
      </c>
      <c r="E2609">
        <v>9</v>
      </c>
      <c r="F2609" t="str">
        <f t="shared" si="160"/>
        <v>Premium</v>
      </c>
      <c r="G2609" s="3" cm="1">
        <f t="array" ref="G2609">_xlfn.XLOOKUP(C2609 &amp; F2609,
         [1]unilever_price_limits!A:A &amp; [1]unilever_price_limits!B:B,
         [1]unilever_price_limits!C:C)</f>
        <v>50</v>
      </c>
      <c r="H2609" s="8">
        <f t="shared" si="161"/>
        <v>22.184999999999999</v>
      </c>
      <c r="I2609" s="6">
        <f t="shared" si="162"/>
        <v>50</v>
      </c>
      <c r="J2609" t="str">
        <f t="shared" si="163"/>
        <v>OK</v>
      </c>
    </row>
    <row r="2610" spans="1:10" x14ac:dyDescent="0.2">
      <c r="A2610">
        <v>12609</v>
      </c>
      <c r="B2610" t="s">
        <v>10</v>
      </c>
      <c r="C2610" t="s">
        <v>9</v>
      </c>
      <c r="D2610" s="8">
        <v>4.9800000000000004</v>
      </c>
      <c r="E2610">
        <v>9</v>
      </c>
      <c r="F2610" t="str">
        <f t="shared" si="160"/>
        <v>Premium</v>
      </c>
      <c r="G2610" s="3" cm="1">
        <f t="array" ref="G2610">_xlfn.XLOOKUP(C2610 &amp; F2610,
         [1]unilever_price_limits!A:A &amp; [1]unilever_price_limits!B:B,
         [1]unilever_price_limits!C:C)</f>
        <v>60</v>
      </c>
      <c r="H2610" s="8">
        <f t="shared" si="161"/>
        <v>7.9680000000000009</v>
      </c>
      <c r="I2610" s="6">
        <f t="shared" si="162"/>
        <v>60.000000000000007</v>
      </c>
      <c r="J2610" t="str">
        <f t="shared" si="163"/>
        <v>OK</v>
      </c>
    </row>
    <row r="2611" spans="1:10" x14ac:dyDescent="0.2">
      <c r="A2611">
        <v>12610</v>
      </c>
      <c r="B2611" t="s">
        <v>7</v>
      </c>
      <c r="C2611" t="s">
        <v>11</v>
      </c>
      <c r="D2611" s="8">
        <v>2.39</v>
      </c>
      <c r="E2611">
        <v>2</v>
      </c>
      <c r="F2611" t="str">
        <f t="shared" si="160"/>
        <v>Value</v>
      </c>
      <c r="G2611" s="3" cm="1">
        <f t="array" ref="G2611">_xlfn.XLOOKUP(C2611 &amp; F2611,
         [1]unilever_price_limits!A:A &amp; [1]unilever_price_limits!B:B,
         [1]unilever_price_limits!C:C)</f>
        <v>10</v>
      </c>
      <c r="H2611" s="8">
        <f t="shared" si="161"/>
        <v>2.6290000000000004</v>
      </c>
      <c r="I2611" s="6">
        <f t="shared" si="162"/>
        <v>10.000000000000009</v>
      </c>
      <c r="J2611" t="str">
        <f t="shared" si="163"/>
        <v>OK</v>
      </c>
    </row>
    <row r="2612" spans="1:10" x14ac:dyDescent="0.2">
      <c r="A2612">
        <v>12611</v>
      </c>
      <c r="B2612" t="s">
        <v>7</v>
      </c>
      <c r="C2612" t="s">
        <v>9</v>
      </c>
      <c r="D2612" s="8">
        <v>3.39</v>
      </c>
      <c r="E2612">
        <v>1</v>
      </c>
      <c r="F2612" t="str">
        <f t="shared" si="160"/>
        <v>Value</v>
      </c>
      <c r="G2612" s="3" cm="1">
        <f t="array" ref="G2612">_xlfn.XLOOKUP(C2612 &amp; F2612,
         [1]unilever_price_limits!A:A &amp; [1]unilever_price_limits!B:B,
         [1]unilever_price_limits!C:C)</f>
        <v>15</v>
      </c>
      <c r="H2612" s="8">
        <f t="shared" si="161"/>
        <v>3.8984999999999999</v>
      </c>
      <c r="I2612" s="6">
        <f t="shared" si="162"/>
        <v>14.999999999999991</v>
      </c>
      <c r="J2612" t="str">
        <f t="shared" si="163"/>
        <v>OK</v>
      </c>
    </row>
    <row r="2613" spans="1:10" x14ac:dyDescent="0.2">
      <c r="A2613">
        <v>12612</v>
      </c>
      <c r="B2613" t="s">
        <v>7</v>
      </c>
      <c r="C2613" t="s">
        <v>6</v>
      </c>
      <c r="D2613" s="8">
        <v>9.02</v>
      </c>
      <c r="E2613">
        <v>10</v>
      </c>
      <c r="F2613" t="str">
        <f t="shared" si="160"/>
        <v>Premium</v>
      </c>
      <c r="G2613" s="3" cm="1">
        <f t="array" ref="G2613">_xlfn.XLOOKUP(C2613 &amp; F2613,
         [1]unilever_price_limits!A:A &amp; [1]unilever_price_limits!B:B,
         [1]unilever_price_limits!C:C)</f>
        <v>55</v>
      </c>
      <c r="H2613" s="8">
        <f t="shared" si="161"/>
        <v>13.981</v>
      </c>
      <c r="I2613" s="6">
        <f t="shared" si="162"/>
        <v>55.000000000000007</v>
      </c>
      <c r="J2613" t="str">
        <f t="shared" si="163"/>
        <v>OK</v>
      </c>
    </row>
    <row r="2614" spans="1:10" x14ac:dyDescent="0.2">
      <c r="A2614">
        <v>12613</v>
      </c>
      <c r="B2614" t="s">
        <v>10</v>
      </c>
      <c r="C2614" t="s">
        <v>9</v>
      </c>
      <c r="D2614" s="8">
        <v>1.43</v>
      </c>
      <c r="E2614">
        <v>10</v>
      </c>
      <c r="F2614" t="str">
        <f t="shared" si="160"/>
        <v>Premium</v>
      </c>
      <c r="G2614" s="3" cm="1">
        <f t="array" ref="G2614">_xlfn.XLOOKUP(C2614 &amp; F2614,
         [1]unilever_price_limits!A:A &amp; [1]unilever_price_limits!B:B,
         [1]unilever_price_limits!C:C)</f>
        <v>60</v>
      </c>
      <c r="H2614" s="8">
        <f t="shared" si="161"/>
        <v>2.2879999999999998</v>
      </c>
      <c r="I2614" s="6">
        <f t="shared" si="162"/>
        <v>59.999999999999986</v>
      </c>
      <c r="J2614" t="str">
        <f t="shared" si="163"/>
        <v>OK</v>
      </c>
    </row>
    <row r="2615" spans="1:10" x14ac:dyDescent="0.2">
      <c r="A2615">
        <v>12614</v>
      </c>
      <c r="B2615" t="s">
        <v>7</v>
      </c>
      <c r="C2615" t="s">
        <v>11</v>
      </c>
      <c r="D2615" s="8">
        <v>13.01</v>
      </c>
      <c r="E2615">
        <v>9</v>
      </c>
      <c r="F2615" t="str">
        <f t="shared" si="160"/>
        <v>Premium</v>
      </c>
      <c r="G2615" s="3" cm="1">
        <f t="array" ref="G2615">_xlfn.XLOOKUP(C2615 &amp; F2615,
         [1]unilever_price_limits!A:A &amp; [1]unilever_price_limits!B:B,
         [1]unilever_price_limits!C:C)</f>
        <v>50</v>
      </c>
      <c r="H2615" s="8">
        <f t="shared" si="161"/>
        <v>19.515000000000001</v>
      </c>
      <c r="I2615" s="6">
        <f t="shared" si="162"/>
        <v>50</v>
      </c>
      <c r="J2615" t="str">
        <f t="shared" si="163"/>
        <v>OK</v>
      </c>
    </row>
    <row r="2616" spans="1:10" x14ac:dyDescent="0.2">
      <c r="A2616">
        <v>12615</v>
      </c>
      <c r="B2616" t="s">
        <v>10</v>
      </c>
      <c r="C2616" t="s">
        <v>11</v>
      </c>
      <c r="D2616" s="8">
        <v>14.44</v>
      </c>
      <c r="E2616">
        <v>2</v>
      </c>
      <c r="F2616" t="str">
        <f t="shared" si="160"/>
        <v>Value</v>
      </c>
      <c r="G2616" s="3" cm="1">
        <f t="array" ref="G2616">_xlfn.XLOOKUP(C2616 &amp; F2616,
         [1]unilever_price_limits!A:A &amp; [1]unilever_price_limits!B:B,
         [1]unilever_price_limits!C:C)</f>
        <v>10</v>
      </c>
      <c r="H2616" s="8">
        <f t="shared" si="161"/>
        <v>15.884</v>
      </c>
      <c r="I2616" s="6">
        <f t="shared" si="162"/>
        <v>10.000000000000009</v>
      </c>
      <c r="J2616" t="str">
        <f t="shared" si="163"/>
        <v>OK</v>
      </c>
    </row>
    <row r="2617" spans="1:10" x14ac:dyDescent="0.2">
      <c r="A2617">
        <v>12616</v>
      </c>
      <c r="B2617" t="s">
        <v>7</v>
      </c>
      <c r="C2617" t="s">
        <v>6</v>
      </c>
      <c r="D2617" s="8">
        <v>4.08</v>
      </c>
      <c r="E2617">
        <v>8</v>
      </c>
      <c r="F2617" t="str">
        <f t="shared" si="160"/>
        <v>Premium</v>
      </c>
      <c r="G2617" s="3" cm="1">
        <f t="array" ref="G2617">_xlfn.XLOOKUP(C2617 &amp; F2617,
         [1]unilever_price_limits!A:A &amp; [1]unilever_price_limits!B:B,
         [1]unilever_price_limits!C:C)</f>
        <v>55</v>
      </c>
      <c r="H2617" s="8">
        <f t="shared" si="161"/>
        <v>6.3240000000000007</v>
      </c>
      <c r="I2617" s="6">
        <f t="shared" si="162"/>
        <v>55.000000000000007</v>
      </c>
      <c r="J2617" t="str">
        <f t="shared" si="163"/>
        <v>OK</v>
      </c>
    </row>
    <row r="2618" spans="1:10" x14ac:dyDescent="0.2">
      <c r="A2618">
        <v>12617</v>
      </c>
      <c r="B2618" t="s">
        <v>10</v>
      </c>
      <c r="C2618" t="s">
        <v>11</v>
      </c>
      <c r="D2618" s="8">
        <v>7.03</v>
      </c>
      <c r="E2618">
        <v>3</v>
      </c>
      <c r="F2618" t="str">
        <f t="shared" si="160"/>
        <v>Value</v>
      </c>
      <c r="G2618" s="3" cm="1">
        <f t="array" ref="G2618">_xlfn.XLOOKUP(C2618 &amp; F2618,
         [1]unilever_price_limits!A:A &amp; [1]unilever_price_limits!B:B,
         [1]unilever_price_limits!C:C)</f>
        <v>10</v>
      </c>
      <c r="H2618" s="8">
        <f t="shared" si="161"/>
        <v>7.7330000000000005</v>
      </c>
      <c r="I2618" s="6">
        <f t="shared" si="162"/>
        <v>10.000000000000009</v>
      </c>
      <c r="J2618" t="str">
        <f t="shared" si="163"/>
        <v>OK</v>
      </c>
    </row>
    <row r="2619" spans="1:10" x14ac:dyDescent="0.2">
      <c r="A2619">
        <v>12618</v>
      </c>
      <c r="B2619" t="s">
        <v>5</v>
      </c>
      <c r="C2619" t="s">
        <v>9</v>
      </c>
      <c r="D2619" s="8">
        <v>0.82</v>
      </c>
      <c r="E2619">
        <v>1</v>
      </c>
      <c r="F2619" t="str">
        <f t="shared" si="160"/>
        <v>Value</v>
      </c>
      <c r="G2619" s="3" cm="1">
        <f t="array" ref="G2619">_xlfn.XLOOKUP(C2619 &amp; F2619,
         [1]unilever_price_limits!A:A &amp; [1]unilever_price_limits!B:B,
         [1]unilever_price_limits!C:C)</f>
        <v>15</v>
      </c>
      <c r="H2619" s="8">
        <f t="shared" si="161"/>
        <v>0.94299999999999984</v>
      </c>
      <c r="I2619" s="6">
        <f t="shared" si="162"/>
        <v>14.999999999999991</v>
      </c>
      <c r="J2619" t="str">
        <f t="shared" si="163"/>
        <v>OK</v>
      </c>
    </row>
    <row r="2620" spans="1:10" x14ac:dyDescent="0.2">
      <c r="A2620">
        <v>12619</v>
      </c>
      <c r="B2620" t="s">
        <v>5</v>
      </c>
      <c r="C2620" t="s">
        <v>6</v>
      </c>
      <c r="D2620" s="8">
        <v>9.7899999999999991</v>
      </c>
      <c r="E2620">
        <v>1</v>
      </c>
      <c r="F2620" t="str">
        <f t="shared" si="160"/>
        <v>Value</v>
      </c>
      <c r="G2620" s="3" cm="1">
        <f t="array" ref="G2620">_xlfn.XLOOKUP(C2620 &amp; F2620,
         [1]unilever_price_limits!A:A &amp; [1]unilever_price_limits!B:B,
         [1]unilever_price_limits!C:C)</f>
        <v>12</v>
      </c>
      <c r="H2620" s="8">
        <f t="shared" si="161"/>
        <v>10.9648</v>
      </c>
      <c r="I2620" s="6">
        <f t="shared" si="162"/>
        <v>12.000000000000011</v>
      </c>
      <c r="J2620" t="str">
        <f t="shared" si="163"/>
        <v>OK</v>
      </c>
    </row>
    <row r="2621" spans="1:10" x14ac:dyDescent="0.2">
      <c r="A2621">
        <v>12620</v>
      </c>
      <c r="B2621" t="s">
        <v>5</v>
      </c>
      <c r="C2621" t="s">
        <v>11</v>
      </c>
      <c r="D2621" s="8">
        <v>6.5</v>
      </c>
      <c r="E2621">
        <v>10</v>
      </c>
      <c r="F2621" t="str">
        <f t="shared" si="160"/>
        <v>Premium</v>
      </c>
      <c r="G2621" s="3" cm="1">
        <f t="array" ref="G2621">_xlfn.XLOOKUP(C2621 &amp; F2621,
         [1]unilever_price_limits!A:A &amp; [1]unilever_price_limits!B:B,
         [1]unilever_price_limits!C:C)</f>
        <v>50</v>
      </c>
      <c r="H2621" s="8">
        <f t="shared" si="161"/>
        <v>9.75</v>
      </c>
      <c r="I2621" s="6">
        <f t="shared" si="162"/>
        <v>50</v>
      </c>
      <c r="J2621" t="str">
        <f t="shared" si="163"/>
        <v>OK</v>
      </c>
    </row>
    <row r="2622" spans="1:10" x14ac:dyDescent="0.2">
      <c r="A2622">
        <v>12621</v>
      </c>
      <c r="B2622" t="s">
        <v>5</v>
      </c>
      <c r="C2622" t="s">
        <v>11</v>
      </c>
      <c r="D2622" s="8">
        <v>4.42</v>
      </c>
      <c r="E2622">
        <v>2</v>
      </c>
      <c r="F2622" t="str">
        <f t="shared" si="160"/>
        <v>Value</v>
      </c>
      <c r="G2622" s="3" cm="1">
        <f t="array" ref="G2622">_xlfn.XLOOKUP(C2622 &amp; F2622,
         [1]unilever_price_limits!A:A &amp; [1]unilever_price_limits!B:B,
         [1]unilever_price_limits!C:C)</f>
        <v>10</v>
      </c>
      <c r="H2622" s="8">
        <f t="shared" si="161"/>
        <v>4.8620000000000001</v>
      </c>
      <c r="I2622" s="6">
        <f t="shared" si="162"/>
        <v>10.000000000000009</v>
      </c>
      <c r="J2622" t="str">
        <f t="shared" si="163"/>
        <v>OK</v>
      </c>
    </row>
    <row r="2623" spans="1:10" x14ac:dyDescent="0.2">
      <c r="A2623">
        <v>12622</v>
      </c>
      <c r="B2623" t="s">
        <v>5</v>
      </c>
      <c r="C2623" t="s">
        <v>9</v>
      </c>
      <c r="D2623" s="8">
        <v>3.5</v>
      </c>
      <c r="E2623">
        <v>7</v>
      </c>
      <c r="F2623" t="str">
        <f t="shared" si="160"/>
        <v>Standard</v>
      </c>
      <c r="G2623" s="3" cm="1">
        <f t="array" ref="G2623">_xlfn.XLOOKUP(C2623 &amp; F2623,
         [1]unilever_price_limits!A:A &amp; [1]unilever_price_limits!B:B,
         [1]unilever_price_limits!C:C)</f>
        <v>30</v>
      </c>
      <c r="H2623" s="8">
        <f t="shared" si="161"/>
        <v>4.55</v>
      </c>
      <c r="I2623" s="6">
        <f t="shared" si="162"/>
        <v>30.000000000000004</v>
      </c>
      <c r="J2623" t="str">
        <f t="shared" si="163"/>
        <v>OK</v>
      </c>
    </row>
    <row r="2624" spans="1:10" x14ac:dyDescent="0.2">
      <c r="A2624">
        <v>12623</v>
      </c>
      <c r="B2624" t="s">
        <v>7</v>
      </c>
      <c r="C2624" t="s">
        <v>9</v>
      </c>
      <c r="D2624" s="8">
        <v>9.98</v>
      </c>
      <c r="E2624">
        <v>6</v>
      </c>
      <c r="F2624" t="str">
        <f t="shared" si="160"/>
        <v>Standard</v>
      </c>
      <c r="G2624" s="3" cm="1">
        <f t="array" ref="G2624">_xlfn.XLOOKUP(C2624 &amp; F2624,
         [1]unilever_price_limits!A:A &amp; [1]unilever_price_limits!B:B,
         [1]unilever_price_limits!C:C)</f>
        <v>30</v>
      </c>
      <c r="H2624" s="8">
        <f t="shared" si="161"/>
        <v>12.974</v>
      </c>
      <c r="I2624" s="6">
        <f t="shared" si="162"/>
        <v>30.000000000000004</v>
      </c>
      <c r="J2624" t="str">
        <f t="shared" si="163"/>
        <v>OK</v>
      </c>
    </row>
    <row r="2625" spans="1:10" x14ac:dyDescent="0.2">
      <c r="A2625">
        <v>12624</v>
      </c>
      <c r="B2625" t="s">
        <v>7</v>
      </c>
      <c r="C2625" t="s">
        <v>6</v>
      </c>
      <c r="D2625" s="8">
        <v>6.54</v>
      </c>
      <c r="E2625">
        <v>2</v>
      </c>
      <c r="F2625" t="str">
        <f t="shared" si="160"/>
        <v>Value</v>
      </c>
      <c r="G2625" s="3" cm="1">
        <f t="array" ref="G2625">_xlfn.XLOOKUP(C2625 &amp; F2625,
         [1]unilever_price_limits!A:A &amp; [1]unilever_price_limits!B:B,
         [1]unilever_price_limits!C:C)</f>
        <v>12</v>
      </c>
      <c r="H2625" s="8">
        <f t="shared" si="161"/>
        <v>7.3248000000000006</v>
      </c>
      <c r="I2625" s="6">
        <f t="shared" si="162"/>
        <v>12.000000000000011</v>
      </c>
      <c r="J2625" t="str">
        <f t="shared" si="163"/>
        <v>OK</v>
      </c>
    </row>
    <row r="2626" spans="1:10" x14ac:dyDescent="0.2">
      <c r="A2626">
        <v>12625</v>
      </c>
      <c r="B2626" t="s">
        <v>7</v>
      </c>
      <c r="C2626" t="s">
        <v>11</v>
      </c>
      <c r="D2626" s="8">
        <v>3.11</v>
      </c>
      <c r="E2626">
        <v>4</v>
      </c>
      <c r="F2626" t="str">
        <f t="shared" si="160"/>
        <v>Standard</v>
      </c>
      <c r="G2626" s="3" cm="1">
        <f t="array" ref="G2626">_xlfn.XLOOKUP(C2626 &amp; F2626,
         [1]unilever_price_limits!A:A &amp; [1]unilever_price_limits!B:B,
         [1]unilever_price_limits!C:C)</f>
        <v>25</v>
      </c>
      <c r="H2626" s="8">
        <f t="shared" si="161"/>
        <v>3.8874999999999997</v>
      </c>
      <c r="I2626" s="6">
        <f t="shared" si="162"/>
        <v>25</v>
      </c>
      <c r="J2626" t="str">
        <f t="shared" si="163"/>
        <v>OK</v>
      </c>
    </row>
    <row r="2627" spans="1:10" x14ac:dyDescent="0.2">
      <c r="A2627">
        <v>12626</v>
      </c>
      <c r="B2627" t="s">
        <v>10</v>
      </c>
      <c r="C2627" t="s">
        <v>9</v>
      </c>
      <c r="D2627" s="8">
        <v>10.49</v>
      </c>
      <c r="E2627">
        <v>2</v>
      </c>
      <c r="F2627" t="str">
        <f t="shared" ref="F2627:F2690" si="164">IF(E2627&lt;=3,"Value",
 IF(E2627&lt;=7,"Standard","Premium"))</f>
        <v>Value</v>
      </c>
      <c r="G2627" s="3" cm="1">
        <f t="array" ref="G2627">_xlfn.XLOOKUP(C2627 &amp; F2627,
         [1]unilever_price_limits!A:A &amp; [1]unilever_price_limits!B:B,
         [1]unilever_price_limits!C:C)</f>
        <v>15</v>
      </c>
      <c r="H2627" s="8">
        <f t="shared" ref="H2627:H2690" si="165">D2627 * (1 + G2627/100)</f>
        <v>12.063499999999999</v>
      </c>
      <c r="I2627" s="6">
        <f t="shared" ref="I2627:I2690" si="166">(H2627 / D2627 - 1) * 100</f>
        <v>14.999999999999991</v>
      </c>
      <c r="J2627" t="str">
        <f t="shared" ref="J2627:J2690" si="167">IF(I2626&gt; G2626, "⚠ Exceeds Limit", "OK")</f>
        <v>OK</v>
      </c>
    </row>
    <row r="2628" spans="1:10" x14ac:dyDescent="0.2">
      <c r="A2628">
        <v>12627</v>
      </c>
      <c r="B2628" t="s">
        <v>10</v>
      </c>
      <c r="C2628" t="s">
        <v>6</v>
      </c>
      <c r="D2628" s="8">
        <v>8.69</v>
      </c>
      <c r="E2628">
        <v>1</v>
      </c>
      <c r="F2628" t="str">
        <f t="shared" si="164"/>
        <v>Value</v>
      </c>
      <c r="G2628" s="3" cm="1">
        <f t="array" ref="G2628">_xlfn.XLOOKUP(C2628 &amp; F2628,
         [1]unilever_price_limits!A:A &amp; [1]unilever_price_limits!B:B,
         [1]unilever_price_limits!C:C)</f>
        <v>12</v>
      </c>
      <c r="H2628" s="8">
        <f t="shared" si="165"/>
        <v>9.732800000000001</v>
      </c>
      <c r="I2628" s="6">
        <f t="shared" si="166"/>
        <v>12.000000000000011</v>
      </c>
      <c r="J2628" t="str">
        <f t="shared" si="167"/>
        <v>OK</v>
      </c>
    </row>
    <row r="2629" spans="1:10" x14ac:dyDescent="0.2">
      <c r="A2629">
        <v>12628</v>
      </c>
      <c r="B2629" t="s">
        <v>10</v>
      </c>
      <c r="C2629" t="s">
        <v>11</v>
      </c>
      <c r="D2629" s="8">
        <v>12.95</v>
      </c>
      <c r="E2629">
        <v>3</v>
      </c>
      <c r="F2629" t="str">
        <f t="shared" si="164"/>
        <v>Value</v>
      </c>
      <c r="G2629" s="3" cm="1">
        <f t="array" ref="G2629">_xlfn.XLOOKUP(C2629 &amp; F2629,
         [1]unilever_price_limits!A:A &amp; [1]unilever_price_limits!B:B,
         [1]unilever_price_limits!C:C)</f>
        <v>10</v>
      </c>
      <c r="H2629" s="8">
        <f t="shared" si="165"/>
        <v>14.245000000000001</v>
      </c>
      <c r="I2629" s="6">
        <f t="shared" si="166"/>
        <v>10.000000000000009</v>
      </c>
      <c r="J2629" t="str">
        <f t="shared" si="167"/>
        <v>OK</v>
      </c>
    </row>
    <row r="2630" spans="1:10" x14ac:dyDescent="0.2">
      <c r="A2630">
        <v>12629</v>
      </c>
      <c r="B2630" t="s">
        <v>10</v>
      </c>
      <c r="C2630" t="s">
        <v>11</v>
      </c>
      <c r="D2630" s="8">
        <v>2.2000000000000002</v>
      </c>
      <c r="E2630">
        <v>4</v>
      </c>
      <c r="F2630" t="str">
        <f t="shared" si="164"/>
        <v>Standard</v>
      </c>
      <c r="G2630" s="3" cm="1">
        <f t="array" ref="G2630">_xlfn.XLOOKUP(C2630 &amp; F2630,
         [1]unilever_price_limits!A:A &amp; [1]unilever_price_limits!B:B,
         [1]unilever_price_limits!C:C)</f>
        <v>25</v>
      </c>
      <c r="H2630" s="8">
        <f t="shared" si="165"/>
        <v>2.75</v>
      </c>
      <c r="I2630" s="6">
        <f t="shared" si="166"/>
        <v>25</v>
      </c>
      <c r="J2630" t="str">
        <f t="shared" si="167"/>
        <v>OK</v>
      </c>
    </row>
    <row r="2631" spans="1:10" x14ac:dyDescent="0.2">
      <c r="A2631">
        <v>12630</v>
      </c>
      <c r="B2631" t="s">
        <v>5</v>
      </c>
      <c r="C2631" t="s">
        <v>6</v>
      </c>
      <c r="D2631" s="8">
        <v>11.89</v>
      </c>
      <c r="E2631">
        <v>10</v>
      </c>
      <c r="F2631" t="str">
        <f t="shared" si="164"/>
        <v>Premium</v>
      </c>
      <c r="G2631" s="3" cm="1">
        <f t="array" ref="G2631">_xlfn.XLOOKUP(C2631 &amp; F2631,
         [1]unilever_price_limits!A:A &amp; [1]unilever_price_limits!B:B,
         [1]unilever_price_limits!C:C)</f>
        <v>55</v>
      </c>
      <c r="H2631" s="8">
        <f t="shared" si="165"/>
        <v>18.429500000000001</v>
      </c>
      <c r="I2631" s="6">
        <f t="shared" si="166"/>
        <v>55.000000000000007</v>
      </c>
      <c r="J2631" t="str">
        <f t="shared" si="167"/>
        <v>OK</v>
      </c>
    </row>
    <row r="2632" spans="1:10" x14ac:dyDescent="0.2">
      <c r="A2632">
        <v>12631</v>
      </c>
      <c r="B2632" t="s">
        <v>5</v>
      </c>
      <c r="C2632" t="s">
        <v>6</v>
      </c>
      <c r="D2632" s="8">
        <v>10.27</v>
      </c>
      <c r="E2632">
        <v>5</v>
      </c>
      <c r="F2632" t="str">
        <f t="shared" si="164"/>
        <v>Standard</v>
      </c>
      <c r="G2632" s="3" cm="1">
        <f t="array" ref="G2632">_xlfn.XLOOKUP(C2632 &amp; F2632,
         [1]unilever_price_limits!A:A &amp; [1]unilever_price_limits!B:B,
         [1]unilever_price_limits!C:C)</f>
        <v>28</v>
      </c>
      <c r="H2632" s="8">
        <f t="shared" si="165"/>
        <v>13.1456</v>
      </c>
      <c r="I2632" s="6">
        <f t="shared" si="166"/>
        <v>28.000000000000004</v>
      </c>
      <c r="J2632" t="str">
        <f t="shared" si="167"/>
        <v>OK</v>
      </c>
    </row>
    <row r="2633" spans="1:10" x14ac:dyDescent="0.2">
      <c r="A2633">
        <v>12632</v>
      </c>
      <c r="B2633" t="s">
        <v>5</v>
      </c>
      <c r="C2633" t="s">
        <v>9</v>
      </c>
      <c r="D2633" s="8">
        <v>2.17</v>
      </c>
      <c r="E2633">
        <v>5</v>
      </c>
      <c r="F2633" t="str">
        <f t="shared" si="164"/>
        <v>Standard</v>
      </c>
      <c r="G2633" s="3" cm="1">
        <f t="array" ref="G2633">_xlfn.XLOOKUP(C2633 &amp; F2633,
         [1]unilever_price_limits!A:A &amp; [1]unilever_price_limits!B:B,
         [1]unilever_price_limits!C:C)</f>
        <v>30</v>
      </c>
      <c r="H2633" s="8">
        <f t="shared" si="165"/>
        <v>2.8210000000000002</v>
      </c>
      <c r="I2633" s="6">
        <f t="shared" si="166"/>
        <v>30.000000000000004</v>
      </c>
      <c r="J2633" t="str">
        <f t="shared" si="167"/>
        <v>OK</v>
      </c>
    </row>
    <row r="2634" spans="1:10" x14ac:dyDescent="0.2">
      <c r="A2634">
        <v>12633</v>
      </c>
      <c r="B2634" t="s">
        <v>8</v>
      </c>
      <c r="C2634" t="s">
        <v>11</v>
      </c>
      <c r="D2634" s="8">
        <v>10.57</v>
      </c>
      <c r="E2634">
        <v>7</v>
      </c>
      <c r="F2634" t="str">
        <f t="shared" si="164"/>
        <v>Standard</v>
      </c>
      <c r="G2634" s="3" cm="1">
        <f t="array" ref="G2634">_xlfn.XLOOKUP(C2634 &amp; F2634,
         [1]unilever_price_limits!A:A &amp; [1]unilever_price_limits!B:B,
         [1]unilever_price_limits!C:C)</f>
        <v>25</v>
      </c>
      <c r="H2634" s="8">
        <f t="shared" si="165"/>
        <v>13.2125</v>
      </c>
      <c r="I2634" s="6">
        <f t="shared" si="166"/>
        <v>25</v>
      </c>
      <c r="J2634" t="str">
        <f t="shared" si="167"/>
        <v>OK</v>
      </c>
    </row>
    <row r="2635" spans="1:10" x14ac:dyDescent="0.2">
      <c r="A2635">
        <v>12634</v>
      </c>
      <c r="B2635" t="s">
        <v>7</v>
      </c>
      <c r="C2635" t="s">
        <v>11</v>
      </c>
      <c r="D2635" s="8">
        <v>6.9</v>
      </c>
      <c r="E2635">
        <v>10</v>
      </c>
      <c r="F2635" t="str">
        <f t="shared" si="164"/>
        <v>Premium</v>
      </c>
      <c r="G2635" s="3" cm="1">
        <f t="array" ref="G2635">_xlfn.XLOOKUP(C2635 &amp; F2635,
         [1]unilever_price_limits!A:A &amp; [1]unilever_price_limits!B:B,
         [1]unilever_price_limits!C:C)</f>
        <v>50</v>
      </c>
      <c r="H2635" s="8">
        <f t="shared" si="165"/>
        <v>10.350000000000001</v>
      </c>
      <c r="I2635" s="6">
        <f t="shared" si="166"/>
        <v>50.000000000000021</v>
      </c>
      <c r="J2635" t="str">
        <f t="shared" si="167"/>
        <v>OK</v>
      </c>
    </row>
    <row r="2636" spans="1:10" x14ac:dyDescent="0.2">
      <c r="A2636">
        <v>12635</v>
      </c>
      <c r="B2636" t="s">
        <v>10</v>
      </c>
      <c r="C2636" t="s">
        <v>11</v>
      </c>
      <c r="D2636" s="8">
        <v>14.2</v>
      </c>
      <c r="E2636">
        <v>8</v>
      </c>
      <c r="F2636" t="str">
        <f t="shared" si="164"/>
        <v>Premium</v>
      </c>
      <c r="G2636" s="3" cm="1">
        <f t="array" ref="G2636">_xlfn.XLOOKUP(C2636 &amp; F2636,
         [1]unilever_price_limits!A:A &amp; [1]unilever_price_limits!B:B,
         [1]unilever_price_limits!C:C)</f>
        <v>50</v>
      </c>
      <c r="H2636" s="8">
        <f t="shared" si="165"/>
        <v>21.299999999999997</v>
      </c>
      <c r="I2636" s="6">
        <f t="shared" si="166"/>
        <v>49.999999999999979</v>
      </c>
      <c r="J2636" t="str">
        <f t="shared" si="167"/>
        <v>OK</v>
      </c>
    </row>
    <row r="2637" spans="1:10" x14ac:dyDescent="0.2">
      <c r="A2637">
        <v>12636</v>
      </c>
      <c r="B2637" t="s">
        <v>10</v>
      </c>
      <c r="C2637" t="s">
        <v>6</v>
      </c>
      <c r="D2637" s="8">
        <v>2.5499999999999998</v>
      </c>
      <c r="E2637">
        <v>9</v>
      </c>
      <c r="F2637" t="str">
        <f t="shared" si="164"/>
        <v>Premium</v>
      </c>
      <c r="G2637" s="3" cm="1">
        <f t="array" ref="G2637">_xlfn.XLOOKUP(C2637 &amp; F2637,
         [1]unilever_price_limits!A:A &amp; [1]unilever_price_limits!B:B,
         [1]unilever_price_limits!C:C)</f>
        <v>55</v>
      </c>
      <c r="H2637" s="8">
        <f t="shared" si="165"/>
        <v>3.9524999999999997</v>
      </c>
      <c r="I2637" s="6">
        <f t="shared" si="166"/>
        <v>55.000000000000007</v>
      </c>
      <c r="J2637" t="str">
        <f t="shared" si="167"/>
        <v>OK</v>
      </c>
    </row>
    <row r="2638" spans="1:10" x14ac:dyDescent="0.2">
      <c r="A2638">
        <v>12637</v>
      </c>
      <c r="B2638" t="s">
        <v>5</v>
      </c>
      <c r="C2638" t="s">
        <v>9</v>
      </c>
      <c r="D2638" s="8">
        <v>9.82</v>
      </c>
      <c r="E2638">
        <v>7</v>
      </c>
      <c r="F2638" t="str">
        <f t="shared" si="164"/>
        <v>Standard</v>
      </c>
      <c r="G2638" s="3" cm="1">
        <f t="array" ref="G2638">_xlfn.XLOOKUP(C2638 &amp; F2638,
         [1]unilever_price_limits!A:A &amp; [1]unilever_price_limits!B:B,
         [1]unilever_price_limits!C:C)</f>
        <v>30</v>
      </c>
      <c r="H2638" s="8">
        <f t="shared" si="165"/>
        <v>12.766</v>
      </c>
      <c r="I2638" s="6">
        <f t="shared" si="166"/>
        <v>30.000000000000004</v>
      </c>
      <c r="J2638" t="str">
        <f t="shared" si="167"/>
        <v>OK</v>
      </c>
    </row>
    <row r="2639" spans="1:10" x14ac:dyDescent="0.2">
      <c r="A2639">
        <v>12638</v>
      </c>
      <c r="B2639" t="s">
        <v>10</v>
      </c>
      <c r="C2639" t="s">
        <v>11</v>
      </c>
      <c r="D2639" s="8">
        <v>6.04</v>
      </c>
      <c r="E2639">
        <v>5</v>
      </c>
      <c r="F2639" t="str">
        <f t="shared" si="164"/>
        <v>Standard</v>
      </c>
      <c r="G2639" s="3" cm="1">
        <f t="array" ref="G2639">_xlfn.XLOOKUP(C2639 &amp; F2639,
         [1]unilever_price_limits!A:A &amp; [1]unilever_price_limits!B:B,
         [1]unilever_price_limits!C:C)</f>
        <v>25</v>
      </c>
      <c r="H2639" s="8">
        <f t="shared" si="165"/>
        <v>7.55</v>
      </c>
      <c r="I2639" s="6">
        <f t="shared" si="166"/>
        <v>25</v>
      </c>
      <c r="J2639" t="str">
        <f t="shared" si="167"/>
        <v>OK</v>
      </c>
    </row>
    <row r="2640" spans="1:10" x14ac:dyDescent="0.2">
      <c r="A2640">
        <v>12639</v>
      </c>
      <c r="B2640" t="s">
        <v>10</v>
      </c>
      <c r="C2640" t="s">
        <v>6</v>
      </c>
      <c r="D2640" s="8">
        <v>14.37</v>
      </c>
      <c r="E2640">
        <v>9</v>
      </c>
      <c r="F2640" t="str">
        <f t="shared" si="164"/>
        <v>Premium</v>
      </c>
      <c r="G2640" s="3" cm="1">
        <f t="array" ref="G2640">_xlfn.XLOOKUP(C2640 &amp; F2640,
         [1]unilever_price_limits!A:A &amp; [1]unilever_price_limits!B:B,
         [1]unilever_price_limits!C:C)</f>
        <v>55</v>
      </c>
      <c r="H2640" s="8">
        <f t="shared" si="165"/>
        <v>22.273499999999999</v>
      </c>
      <c r="I2640" s="6">
        <f t="shared" si="166"/>
        <v>55.000000000000007</v>
      </c>
      <c r="J2640" t="str">
        <f t="shared" si="167"/>
        <v>OK</v>
      </c>
    </row>
    <row r="2641" spans="1:10" x14ac:dyDescent="0.2">
      <c r="A2641">
        <v>12640</v>
      </c>
      <c r="B2641" t="s">
        <v>7</v>
      </c>
      <c r="C2641" t="s">
        <v>11</v>
      </c>
      <c r="D2641" s="8">
        <v>5.28</v>
      </c>
      <c r="E2641">
        <v>8</v>
      </c>
      <c r="F2641" t="str">
        <f t="shared" si="164"/>
        <v>Premium</v>
      </c>
      <c r="G2641" s="3" cm="1">
        <f t="array" ref="G2641">_xlfn.XLOOKUP(C2641 &amp; F2641,
         [1]unilever_price_limits!A:A &amp; [1]unilever_price_limits!B:B,
         [1]unilever_price_limits!C:C)</f>
        <v>50</v>
      </c>
      <c r="H2641" s="8">
        <f t="shared" si="165"/>
        <v>7.92</v>
      </c>
      <c r="I2641" s="6">
        <f t="shared" si="166"/>
        <v>50</v>
      </c>
      <c r="J2641" t="str">
        <f t="shared" si="167"/>
        <v>OK</v>
      </c>
    </row>
    <row r="2642" spans="1:10" x14ac:dyDescent="0.2">
      <c r="A2642">
        <v>12641</v>
      </c>
      <c r="B2642" t="s">
        <v>5</v>
      </c>
      <c r="C2642" t="s">
        <v>9</v>
      </c>
      <c r="D2642" s="8">
        <v>14.45</v>
      </c>
      <c r="E2642">
        <v>10</v>
      </c>
      <c r="F2642" t="str">
        <f t="shared" si="164"/>
        <v>Premium</v>
      </c>
      <c r="G2642" s="3" cm="1">
        <f t="array" ref="G2642">_xlfn.XLOOKUP(C2642 &amp; F2642,
         [1]unilever_price_limits!A:A &amp; [1]unilever_price_limits!B:B,
         [1]unilever_price_limits!C:C)</f>
        <v>60</v>
      </c>
      <c r="H2642" s="8">
        <f t="shared" si="165"/>
        <v>23.12</v>
      </c>
      <c r="I2642" s="6">
        <f t="shared" si="166"/>
        <v>60.000000000000007</v>
      </c>
      <c r="J2642" t="str">
        <f t="shared" si="167"/>
        <v>OK</v>
      </c>
    </row>
    <row r="2643" spans="1:10" x14ac:dyDescent="0.2">
      <c r="A2643">
        <v>12642</v>
      </c>
      <c r="B2643" t="s">
        <v>7</v>
      </c>
      <c r="C2643" t="s">
        <v>11</v>
      </c>
      <c r="D2643" s="8">
        <v>13.57</v>
      </c>
      <c r="E2643">
        <v>9</v>
      </c>
      <c r="F2643" t="str">
        <f t="shared" si="164"/>
        <v>Premium</v>
      </c>
      <c r="G2643" s="3" cm="1">
        <f t="array" ref="G2643">_xlfn.XLOOKUP(C2643 &amp; F2643,
         [1]unilever_price_limits!A:A &amp; [1]unilever_price_limits!B:B,
         [1]unilever_price_limits!C:C)</f>
        <v>50</v>
      </c>
      <c r="H2643" s="8">
        <f t="shared" si="165"/>
        <v>20.355</v>
      </c>
      <c r="I2643" s="6">
        <f t="shared" si="166"/>
        <v>50</v>
      </c>
      <c r="J2643" t="str">
        <f t="shared" si="167"/>
        <v>OK</v>
      </c>
    </row>
    <row r="2644" spans="1:10" x14ac:dyDescent="0.2">
      <c r="A2644">
        <v>12643</v>
      </c>
      <c r="B2644" t="s">
        <v>8</v>
      </c>
      <c r="C2644" t="s">
        <v>9</v>
      </c>
      <c r="D2644" s="8">
        <v>4.42</v>
      </c>
      <c r="E2644">
        <v>10</v>
      </c>
      <c r="F2644" t="str">
        <f t="shared" si="164"/>
        <v>Premium</v>
      </c>
      <c r="G2644" s="3" cm="1">
        <f t="array" ref="G2644">_xlfn.XLOOKUP(C2644 &amp; F2644,
         [1]unilever_price_limits!A:A &amp; [1]unilever_price_limits!B:B,
         [1]unilever_price_limits!C:C)</f>
        <v>60</v>
      </c>
      <c r="H2644" s="8">
        <f t="shared" si="165"/>
        <v>7.0720000000000001</v>
      </c>
      <c r="I2644" s="6">
        <f t="shared" si="166"/>
        <v>60.000000000000007</v>
      </c>
      <c r="J2644" t="str">
        <f t="shared" si="167"/>
        <v>OK</v>
      </c>
    </row>
    <row r="2645" spans="1:10" x14ac:dyDescent="0.2">
      <c r="A2645">
        <v>12644</v>
      </c>
      <c r="B2645" t="s">
        <v>8</v>
      </c>
      <c r="C2645" t="s">
        <v>9</v>
      </c>
      <c r="D2645" s="8">
        <v>12.15</v>
      </c>
      <c r="E2645">
        <v>8</v>
      </c>
      <c r="F2645" t="str">
        <f t="shared" si="164"/>
        <v>Premium</v>
      </c>
      <c r="G2645" s="3" cm="1">
        <f t="array" ref="G2645">_xlfn.XLOOKUP(C2645 &amp; F2645,
         [1]unilever_price_limits!A:A &amp; [1]unilever_price_limits!B:B,
         [1]unilever_price_limits!C:C)</f>
        <v>60</v>
      </c>
      <c r="H2645" s="8">
        <f t="shared" si="165"/>
        <v>19.440000000000001</v>
      </c>
      <c r="I2645" s="6">
        <f t="shared" si="166"/>
        <v>60.000000000000007</v>
      </c>
      <c r="J2645" t="str">
        <f t="shared" si="167"/>
        <v>OK</v>
      </c>
    </row>
    <row r="2646" spans="1:10" x14ac:dyDescent="0.2">
      <c r="A2646">
        <v>12645</v>
      </c>
      <c r="B2646" t="s">
        <v>8</v>
      </c>
      <c r="C2646" t="s">
        <v>11</v>
      </c>
      <c r="D2646" s="8">
        <v>14.94</v>
      </c>
      <c r="E2646">
        <v>6</v>
      </c>
      <c r="F2646" t="str">
        <f t="shared" si="164"/>
        <v>Standard</v>
      </c>
      <c r="G2646" s="3" cm="1">
        <f t="array" ref="G2646">_xlfn.XLOOKUP(C2646 &amp; F2646,
         [1]unilever_price_limits!A:A &amp; [1]unilever_price_limits!B:B,
         [1]unilever_price_limits!C:C)</f>
        <v>25</v>
      </c>
      <c r="H2646" s="8">
        <f t="shared" si="165"/>
        <v>18.675000000000001</v>
      </c>
      <c r="I2646" s="6">
        <f t="shared" si="166"/>
        <v>25</v>
      </c>
      <c r="J2646" t="str">
        <f t="shared" si="167"/>
        <v>OK</v>
      </c>
    </row>
    <row r="2647" spans="1:10" x14ac:dyDescent="0.2">
      <c r="A2647">
        <v>12646</v>
      </c>
      <c r="B2647" t="s">
        <v>5</v>
      </c>
      <c r="C2647" t="s">
        <v>11</v>
      </c>
      <c r="D2647" s="8">
        <v>4.16</v>
      </c>
      <c r="E2647">
        <v>4</v>
      </c>
      <c r="F2647" t="str">
        <f t="shared" si="164"/>
        <v>Standard</v>
      </c>
      <c r="G2647" s="3" cm="1">
        <f t="array" ref="G2647">_xlfn.XLOOKUP(C2647 &amp; F2647,
         [1]unilever_price_limits!A:A &amp; [1]unilever_price_limits!B:B,
         [1]unilever_price_limits!C:C)</f>
        <v>25</v>
      </c>
      <c r="H2647" s="8">
        <f t="shared" si="165"/>
        <v>5.2</v>
      </c>
      <c r="I2647" s="6">
        <f t="shared" si="166"/>
        <v>25</v>
      </c>
      <c r="J2647" t="str">
        <f t="shared" si="167"/>
        <v>OK</v>
      </c>
    </row>
    <row r="2648" spans="1:10" x14ac:dyDescent="0.2">
      <c r="A2648">
        <v>12647</v>
      </c>
      <c r="B2648" t="s">
        <v>10</v>
      </c>
      <c r="C2648" t="s">
        <v>9</v>
      </c>
      <c r="D2648" s="8">
        <v>6.83</v>
      </c>
      <c r="E2648">
        <v>9</v>
      </c>
      <c r="F2648" t="str">
        <f t="shared" si="164"/>
        <v>Premium</v>
      </c>
      <c r="G2648" s="3" cm="1">
        <f t="array" ref="G2648">_xlfn.XLOOKUP(C2648 &amp; F2648,
         [1]unilever_price_limits!A:A &amp; [1]unilever_price_limits!B:B,
         [1]unilever_price_limits!C:C)</f>
        <v>60</v>
      </c>
      <c r="H2648" s="8">
        <f t="shared" si="165"/>
        <v>10.928000000000001</v>
      </c>
      <c r="I2648" s="6">
        <f t="shared" si="166"/>
        <v>60.000000000000007</v>
      </c>
      <c r="J2648" t="str">
        <f t="shared" si="167"/>
        <v>OK</v>
      </c>
    </row>
    <row r="2649" spans="1:10" x14ac:dyDescent="0.2">
      <c r="A2649">
        <v>12648</v>
      </c>
      <c r="B2649" t="s">
        <v>5</v>
      </c>
      <c r="C2649" t="s">
        <v>6</v>
      </c>
      <c r="D2649" s="8">
        <v>8.0399999999999991</v>
      </c>
      <c r="E2649">
        <v>9</v>
      </c>
      <c r="F2649" t="str">
        <f t="shared" si="164"/>
        <v>Premium</v>
      </c>
      <c r="G2649" s="3" cm="1">
        <f t="array" ref="G2649">_xlfn.XLOOKUP(C2649 &amp; F2649,
         [1]unilever_price_limits!A:A &amp; [1]unilever_price_limits!B:B,
         [1]unilever_price_limits!C:C)</f>
        <v>55</v>
      </c>
      <c r="H2649" s="8">
        <f t="shared" si="165"/>
        <v>12.462</v>
      </c>
      <c r="I2649" s="6">
        <f t="shared" si="166"/>
        <v>55.000000000000007</v>
      </c>
      <c r="J2649" t="str">
        <f t="shared" si="167"/>
        <v>OK</v>
      </c>
    </row>
    <row r="2650" spans="1:10" x14ac:dyDescent="0.2">
      <c r="A2650">
        <v>12649</v>
      </c>
      <c r="B2650" t="s">
        <v>5</v>
      </c>
      <c r="C2650" t="s">
        <v>9</v>
      </c>
      <c r="D2650" s="8">
        <v>4.78</v>
      </c>
      <c r="E2650">
        <v>10</v>
      </c>
      <c r="F2650" t="str">
        <f t="shared" si="164"/>
        <v>Premium</v>
      </c>
      <c r="G2650" s="3" cm="1">
        <f t="array" ref="G2650">_xlfn.XLOOKUP(C2650 &amp; F2650,
         [1]unilever_price_limits!A:A &amp; [1]unilever_price_limits!B:B,
         [1]unilever_price_limits!C:C)</f>
        <v>60</v>
      </c>
      <c r="H2650" s="8">
        <f t="shared" si="165"/>
        <v>7.6480000000000006</v>
      </c>
      <c r="I2650" s="6">
        <f t="shared" si="166"/>
        <v>60.000000000000007</v>
      </c>
      <c r="J2650" t="str">
        <f t="shared" si="167"/>
        <v>OK</v>
      </c>
    </row>
    <row r="2651" spans="1:10" x14ac:dyDescent="0.2">
      <c r="A2651">
        <v>12650</v>
      </c>
      <c r="B2651" t="s">
        <v>10</v>
      </c>
      <c r="C2651" t="s">
        <v>11</v>
      </c>
      <c r="D2651" s="8">
        <v>0.72</v>
      </c>
      <c r="E2651">
        <v>10</v>
      </c>
      <c r="F2651" t="str">
        <f t="shared" si="164"/>
        <v>Premium</v>
      </c>
      <c r="G2651" s="3" cm="1">
        <f t="array" ref="G2651">_xlfn.XLOOKUP(C2651 &amp; F2651,
         [1]unilever_price_limits!A:A &amp; [1]unilever_price_limits!B:B,
         [1]unilever_price_limits!C:C)</f>
        <v>50</v>
      </c>
      <c r="H2651" s="8">
        <f t="shared" si="165"/>
        <v>1.08</v>
      </c>
      <c r="I2651" s="6">
        <f t="shared" si="166"/>
        <v>50.000000000000021</v>
      </c>
      <c r="J2651" t="str">
        <f t="shared" si="167"/>
        <v>OK</v>
      </c>
    </row>
    <row r="2652" spans="1:10" x14ac:dyDescent="0.2">
      <c r="A2652">
        <v>12651</v>
      </c>
      <c r="B2652" t="s">
        <v>7</v>
      </c>
      <c r="C2652" t="s">
        <v>11</v>
      </c>
      <c r="D2652" s="8">
        <v>3.69</v>
      </c>
      <c r="E2652">
        <v>9</v>
      </c>
      <c r="F2652" t="str">
        <f t="shared" si="164"/>
        <v>Premium</v>
      </c>
      <c r="G2652" s="3" cm="1">
        <f t="array" ref="G2652">_xlfn.XLOOKUP(C2652 &amp; F2652,
         [1]unilever_price_limits!A:A &amp; [1]unilever_price_limits!B:B,
         [1]unilever_price_limits!C:C)</f>
        <v>50</v>
      </c>
      <c r="H2652" s="8">
        <f t="shared" si="165"/>
        <v>5.5350000000000001</v>
      </c>
      <c r="I2652" s="6">
        <f t="shared" si="166"/>
        <v>50</v>
      </c>
      <c r="J2652" t="str">
        <f t="shared" si="167"/>
        <v>OK</v>
      </c>
    </row>
    <row r="2653" spans="1:10" x14ac:dyDescent="0.2">
      <c r="A2653">
        <v>12652</v>
      </c>
      <c r="B2653" t="s">
        <v>8</v>
      </c>
      <c r="C2653" t="s">
        <v>6</v>
      </c>
      <c r="D2653" s="8">
        <v>4.59</v>
      </c>
      <c r="E2653">
        <v>10</v>
      </c>
      <c r="F2653" t="str">
        <f t="shared" si="164"/>
        <v>Premium</v>
      </c>
      <c r="G2653" s="3" cm="1">
        <f t="array" ref="G2653">_xlfn.XLOOKUP(C2653 &amp; F2653,
         [1]unilever_price_limits!A:A &amp; [1]unilever_price_limits!B:B,
         [1]unilever_price_limits!C:C)</f>
        <v>55</v>
      </c>
      <c r="H2653" s="8">
        <f t="shared" si="165"/>
        <v>7.1144999999999996</v>
      </c>
      <c r="I2653" s="6">
        <f t="shared" si="166"/>
        <v>55.000000000000007</v>
      </c>
      <c r="J2653" t="str">
        <f t="shared" si="167"/>
        <v>OK</v>
      </c>
    </row>
    <row r="2654" spans="1:10" x14ac:dyDescent="0.2">
      <c r="A2654">
        <v>12653</v>
      </c>
      <c r="B2654" t="s">
        <v>7</v>
      </c>
      <c r="C2654" t="s">
        <v>9</v>
      </c>
      <c r="D2654" s="8">
        <v>6.93</v>
      </c>
      <c r="E2654">
        <v>3</v>
      </c>
      <c r="F2654" t="str">
        <f t="shared" si="164"/>
        <v>Value</v>
      </c>
      <c r="G2654" s="3" cm="1">
        <f t="array" ref="G2654">_xlfn.XLOOKUP(C2654 &amp; F2654,
         [1]unilever_price_limits!A:A &amp; [1]unilever_price_limits!B:B,
         [1]unilever_price_limits!C:C)</f>
        <v>15</v>
      </c>
      <c r="H2654" s="8">
        <f t="shared" si="165"/>
        <v>7.9694999999999991</v>
      </c>
      <c r="I2654" s="6">
        <f t="shared" si="166"/>
        <v>14.999999999999991</v>
      </c>
      <c r="J2654" t="str">
        <f t="shared" si="167"/>
        <v>OK</v>
      </c>
    </row>
    <row r="2655" spans="1:10" x14ac:dyDescent="0.2">
      <c r="A2655">
        <v>12654</v>
      </c>
      <c r="B2655" t="s">
        <v>8</v>
      </c>
      <c r="C2655" t="s">
        <v>9</v>
      </c>
      <c r="D2655" s="8">
        <v>2.98</v>
      </c>
      <c r="E2655">
        <v>3</v>
      </c>
      <c r="F2655" t="str">
        <f t="shared" si="164"/>
        <v>Value</v>
      </c>
      <c r="G2655" s="3" cm="1">
        <f t="array" ref="G2655">_xlfn.XLOOKUP(C2655 &amp; F2655,
         [1]unilever_price_limits!A:A &amp; [1]unilever_price_limits!B:B,
         [1]unilever_price_limits!C:C)</f>
        <v>15</v>
      </c>
      <c r="H2655" s="8">
        <f t="shared" si="165"/>
        <v>3.4269999999999996</v>
      </c>
      <c r="I2655" s="6">
        <f t="shared" si="166"/>
        <v>14.999999999999991</v>
      </c>
      <c r="J2655" t="str">
        <f t="shared" si="167"/>
        <v>OK</v>
      </c>
    </row>
    <row r="2656" spans="1:10" x14ac:dyDescent="0.2">
      <c r="A2656">
        <v>12655</v>
      </c>
      <c r="B2656" t="s">
        <v>5</v>
      </c>
      <c r="C2656" t="s">
        <v>9</v>
      </c>
      <c r="D2656" s="8">
        <v>13.16</v>
      </c>
      <c r="E2656">
        <v>6</v>
      </c>
      <c r="F2656" t="str">
        <f t="shared" si="164"/>
        <v>Standard</v>
      </c>
      <c r="G2656" s="3" cm="1">
        <f t="array" ref="G2656">_xlfn.XLOOKUP(C2656 &amp; F2656,
         [1]unilever_price_limits!A:A &amp; [1]unilever_price_limits!B:B,
         [1]unilever_price_limits!C:C)</f>
        <v>30</v>
      </c>
      <c r="H2656" s="8">
        <f t="shared" si="165"/>
        <v>17.108000000000001</v>
      </c>
      <c r="I2656" s="6">
        <f t="shared" si="166"/>
        <v>30.000000000000004</v>
      </c>
      <c r="J2656" t="str">
        <f t="shared" si="167"/>
        <v>OK</v>
      </c>
    </row>
    <row r="2657" spans="1:10" x14ac:dyDescent="0.2">
      <c r="A2657">
        <v>12656</v>
      </c>
      <c r="B2657" t="s">
        <v>8</v>
      </c>
      <c r="C2657" t="s">
        <v>11</v>
      </c>
      <c r="D2657" s="8">
        <v>10.72</v>
      </c>
      <c r="E2657">
        <v>6</v>
      </c>
      <c r="F2657" t="str">
        <f t="shared" si="164"/>
        <v>Standard</v>
      </c>
      <c r="G2657" s="3" cm="1">
        <f t="array" ref="G2657">_xlfn.XLOOKUP(C2657 &amp; F2657,
         [1]unilever_price_limits!A:A &amp; [1]unilever_price_limits!B:B,
         [1]unilever_price_limits!C:C)</f>
        <v>25</v>
      </c>
      <c r="H2657" s="8">
        <f t="shared" si="165"/>
        <v>13.4</v>
      </c>
      <c r="I2657" s="6">
        <f t="shared" si="166"/>
        <v>25</v>
      </c>
      <c r="J2657" t="str">
        <f t="shared" si="167"/>
        <v>OK</v>
      </c>
    </row>
    <row r="2658" spans="1:10" x14ac:dyDescent="0.2">
      <c r="A2658">
        <v>12657</v>
      </c>
      <c r="B2658" t="s">
        <v>5</v>
      </c>
      <c r="C2658" t="s">
        <v>9</v>
      </c>
      <c r="D2658" s="8">
        <v>1.74</v>
      </c>
      <c r="E2658">
        <v>6</v>
      </c>
      <c r="F2658" t="str">
        <f t="shared" si="164"/>
        <v>Standard</v>
      </c>
      <c r="G2658" s="3" cm="1">
        <f t="array" ref="G2658">_xlfn.XLOOKUP(C2658 &amp; F2658,
         [1]unilever_price_limits!A:A &amp; [1]unilever_price_limits!B:B,
         [1]unilever_price_limits!C:C)</f>
        <v>30</v>
      </c>
      <c r="H2658" s="8">
        <f t="shared" si="165"/>
        <v>2.262</v>
      </c>
      <c r="I2658" s="6">
        <f t="shared" si="166"/>
        <v>30.000000000000004</v>
      </c>
      <c r="J2658" t="str">
        <f t="shared" si="167"/>
        <v>OK</v>
      </c>
    </row>
    <row r="2659" spans="1:10" x14ac:dyDescent="0.2">
      <c r="A2659">
        <v>12658</v>
      </c>
      <c r="B2659" t="s">
        <v>7</v>
      </c>
      <c r="C2659" t="s">
        <v>6</v>
      </c>
      <c r="D2659" s="8">
        <v>9.93</v>
      </c>
      <c r="E2659">
        <v>5</v>
      </c>
      <c r="F2659" t="str">
        <f t="shared" si="164"/>
        <v>Standard</v>
      </c>
      <c r="G2659" s="3" cm="1">
        <f t="array" ref="G2659">_xlfn.XLOOKUP(C2659 &amp; F2659,
         [1]unilever_price_limits!A:A &amp; [1]unilever_price_limits!B:B,
         [1]unilever_price_limits!C:C)</f>
        <v>28</v>
      </c>
      <c r="H2659" s="8">
        <f t="shared" si="165"/>
        <v>12.7104</v>
      </c>
      <c r="I2659" s="6">
        <f t="shared" si="166"/>
        <v>28.000000000000004</v>
      </c>
      <c r="J2659" t="str">
        <f t="shared" si="167"/>
        <v>OK</v>
      </c>
    </row>
    <row r="2660" spans="1:10" x14ac:dyDescent="0.2">
      <c r="A2660">
        <v>12659</v>
      </c>
      <c r="B2660" t="s">
        <v>5</v>
      </c>
      <c r="C2660" t="s">
        <v>11</v>
      </c>
      <c r="D2660" s="8">
        <v>9.98</v>
      </c>
      <c r="E2660">
        <v>5</v>
      </c>
      <c r="F2660" t="str">
        <f t="shared" si="164"/>
        <v>Standard</v>
      </c>
      <c r="G2660" s="3" cm="1">
        <f t="array" ref="G2660">_xlfn.XLOOKUP(C2660 &amp; F2660,
         [1]unilever_price_limits!A:A &amp; [1]unilever_price_limits!B:B,
         [1]unilever_price_limits!C:C)</f>
        <v>25</v>
      </c>
      <c r="H2660" s="8">
        <f t="shared" si="165"/>
        <v>12.475000000000001</v>
      </c>
      <c r="I2660" s="6">
        <f t="shared" si="166"/>
        <v>25</v>
      </c>
      <c r="J2660" t="str">
        <f t="shared" si="167"/>
        <v>OK</v>
      </c>
    </row>
    <row r="2661" spans="1:10" x14ac:dyDescent="0.2">
      <c r="A2661">
        <v>12660</v>
      </c>
      <c r="B2661" t="s">
        <v>7</v>
      </c>
      <c r="C2661" t="s">
        <v>11</v>
      </c>
      <c r="D2661" s="8">
        <v>14.37</v>
      </c>
      <c r="E2661">
        <v>2</v>
      </c>
      <c r="F2661" t="str">
        <f t="shared" si="164"/>
        <v>Value</v>
      </c>
      <c r="G2661" s="3" cm="1">
        <f t="array" ref="G2661">_xlfn.XLOOKUP(C2661 &amp; F2661,
         [1]unilever_price_limits!A:A &amp; [1]unilever_price_limits!B:B,
         [1]unilever_price_limits!C:C)</f>
        <v>10</v>
      </c>
      <c r="H2661" s="8">
        <f t="shared" si="165"/>
        <v>15.807</v>
      </c>
      <c r="I2661" s="6">
        <f t="shared" si="166"/>
        <v>10.000000000000009</v>
      </c>
      <c r="J2661" t="str">
        <f t="shared" si="167"/>
        <v>OK</v>
      </c>
    </row>
    <row r="2662" spans="1:10" x14ac:dyDescent="0.2">
      <c r="A2662">
        <v>12661</v>
      </c>
      <c r="B2662" t="s">
        <v>10</v>
      </c>
      <c r="C2662" t="s">
        <v>9</v>
      </c>
      <c r="D2662" s="8">
        <v>0.54</v>
      </c>
      <c r="E2662">
        <v>7</v>
      </c>
      <c r="F2662" t="str">
        <f t="shared" si="164"/>
        <v>Standard</v>
      </c>
      <c r="G2662" s="3" cm="1">
        <f t="array" ref="G2662">_xlfn.XLOOKUP(C2662 &amp; F2662,
         [1]unilever_price_limits!A:A &amp; [1]unilever_price_limits!B:B,
         [1]unilever_price_limits!C:C)</f>
        <v>30</v>
      </c>
      <c r="H2662" s="8">
        <f t="shared" si="165"/>
        <v>0.70200000000000007</v>
      </c>
      <c r="I2662" s="6">
        <f t="shared" si="166"/>
        <v>30.000000000000004</v>
      </c>
      <c r="J2662" t="str">
        <f t="shared" si="167"/>
        <v>OK</v>
      </c>
    </row>
    <row r="2663" spans="1:10" x14ac:dyDescent="0.2">
      <c r="A2663">
        <v>12662</v>
      </c>
      <c r="B2663" t="s">
        <v>10</v>
      </c>
      <c r="C2663" t="s">
        <v>6</v>
      </c>
      <c r="D2663" s="8">
        <v>4.0999999999999996</v>
      </c>
      <c r="E2663">
        <v>4</v>
      </c>
      <c r="F2663" t="str">
        <f t="shared" si="164"/>
        <v>Standard</v>
      </c>
      <c r="G2663" s="3" cm="1">
        <f t="array" ref="G2663">_xlfn.XLOOKUP(C2663 &amp; F2663,
         [1]unilever_price_limits!A:A &amp; [1]unilever_price_limits!B:B,
         [1]unilever_price_limits!C:C)</f>
        <v>28</v>
      </c>
      <c r="H2663" s="8">
        <f t="shared" si="165"/>
        <v>5.2479999999999993</v>
      </c>
      <c r="I2663" s="6">
        <f t="shared" si="166"/>
        <v>28.000000000000004</v>
      </c>
      <c r="J2663" t="str">
        <f t="shared" si="167"/>
        <v>OK</v>
      </c>
    </row>
    <row r="2664" spans="1:10" x14ac:dyDescent="0.2">
      <c r="A2664">
        <v>12663</v>
      </c>
      <c r="B2664" t="s">
        <v>10</v>
      </c>
      <c r="C2664" t="s">
        <v>11</v>
      </c>
      <c r="D2664" s="8">
        <v>13.95</v>
      </c>
      <c r="E2664">
        <v>3</v>
      </c>
      <c r="F2664" t="str">
        <f t="shared" si="164"/>
        <v>Value</v>
      </c>
      <c r="G2664" s="3" cm="1">
        <f t="array" ref="G2664">_xlfn.XLOOKUP(C2664 &amp; F2664,
         [1]unilever_price_limits!A:A &amp; [1]unilever_price_limits!B:B,
         [1]unilever_price_limits!C:C)</f>
        <v>10</v>
      </c>
      <c r="H2664" s="8">
        <f t="shared" si="165"/>
        <v>15.345000000000001</v>
      </c>
      <c r="I2664" s="6">
        <f t="shared" si="166"/>
        <v>10.000000000000009</v>
      </c>
      <c r="J2664" t="str">
        <f t="shared" si="167"/>
        <v>OK</v>
      </c>
    </row>
    <row r="2665" spans="1:10" x14ac:dyDescent="0.2">
      <c r="A2665">
        <v>12664</v>
      </c>
      <c r="B2665" t="s">
        <v>5</v>
      </c>
      <c r="C2665" t="s">
        <v>11</v>
      </c>
      <c r="D2665" s="8">
        <v>14.02</v>
      </c>
      <c r="E2665">
        <v>8</v>
      </c>
      <c r="F2665" t="str">
        <f t="shared" si="164"/>
        <v>Premium</v>
      </c>
      <c r="G2665" s="3" cm="1">
        <f t="array" ref="G2665">_xlfn.XLOOKUP(C2665 &amp; F2665,
         [1]unilever_price_limits!A:A &amp; [1]unilever_price_limits!B:B,
         [1]unilever_price_limits!C:C)</f>
        <v>50</v>
      </c>
      <c r="H2665" s="8">
        <f t="shared" si="165"/>
        <v>21.03</v>
      </c>
      <c r="I2665" s="6">
        <f t="shared" si="166"/>
        <v>50.000000000000021</v>
      </c>
      <c r="J2665" t="str">
        <f t="shared" si="167"/>
        <v>OK</v>
      </c>
    </row>
    <row r="2666" spans="1:10" x14ac:dyDescent="0.2">
      <c r="A2666">
        <v>12665</v>
      </c>
      <c r="B2666" t="s">
        <v>10</v>
      </c>
      <c r="C2666" t="s">
        <v>9</v>
      </c>
      <c r="D2666" s="8">
        <v>10.95</v>
      </c>
      <c r="E2666">
        <v>4</v>
      </c>
      <c r="F2666" t="str">
        <f t="shared" si="164"/>
        <v>Standard</v>
      </c>
      <c r="G2666" s="3" cm="1">
        <f t="array" ref="G2666">_xlfn.XLOOKUP(C2666 &amp; F2666,
         [1]unilever_price_limits!A:A &amp; [1]unilever_price_limits!B:B,
         [1]unilever_price_limits!C:C)</f>
        <v>30</v>
      </c>
      <c r="H2666" s="8">
        <f t="shared" si="165"/>
        <v>14.234999999999999</v>
      </c>
      <c r="I2666" s="6">
        <f t="shared" si="166"/>
        <v>30.000000000000004</v>
      </c>
      <c r="J2666" t="str">
        <f t="shared" si="167"/>
        <v>OK</v>
      </c>
    </row>
    <row r="2667" spans="1:10" x14ac:dyDescent="0.2">
      <c r="A2667">
        <v>12666</v>
      </c>
      <c r="B2667" t="s">
        <v>8</v>
      </c>
      <c r="C2667" t="s">
        <v>9</v>
      </c>
      <c r="D2667" s="8">
        <v>11.6</v>
      </c>
      <c r="E2667">
        <v>4</v>
      </c>
      <c r="F2667" t="str">
        <f t="shared" si="164"/>
        <v>Standard</v>
      </c>
      <c r="G2667" s="3" cm="1">
        <f t="array" ref="G2667">_xlfn.XLOOKUP(C2667 &amp; F2667,
         [1]unilever_price_limits!A:A &amp; [1]unilever_price_limits!B:B,
         [1]unilever_price_limits!C:C)</f>
        <v>30</v>
      </c>
      <c r="H2667" s="8">
        <f t="shared" si="165"/>
        <v>15.08</v>
      </c>
      <c r="I2667" s="6">
        <f t="shared" si="166"/>
        <v>30.000000000000004</v>
      </c>
      <c r="J2667" t="str">
        <f t="shared" si="167"/>
        <v>OK</v>
      </c>
    </row>
    <row r="2668" spans="1:10" x14ac:dyDescent="0.2">
      <c r="A2668">
        <v>12667</v>
      </c>
      <c r="B2668" t="s">
        <v>7</v>
      </c>
      <c r="C2668" t="s">
        <v>6</v>
      </c>
      <c r="D2668" s="8">
        <v>1.83</v>
      </c>
      <c r="E2668">
        <v>8</v>
      </c>
      <c r="F2668" t="str">
        <f t="shared" si="164"/>
        <v>Premium</v>
      </c>
      <c r="G2668" s="3" cm="1">
        <f t="array" ref="G2668">_xlfn.XLOOKUP(C2668 &amp; F2668,
         [1]unilever_price_limits!A:A &amp; [1]unilever_price_limits!B:B,
         [1]unilever_price_limits!C:C)</f>
        <v>55</v>
      </c>
      <c r="H2668" s="8">
        <f t="shared" si="165"/>
        <v>2.8365</v>
      </c>
      <c r="I2668" s="6">
        <f t="shared" si="166"/>
        <v>55.000000000000007</v>
      </c>
      <c r="J2668" t="str">
        <f t="shared" si="167"/>
        <v>OK</v>
      </c>
    </row>
    <row r="2669" spans="1:10" x14ac:dyDescent="0.2">
      <c r="A2669">
        <v>12668</v>
      </c>
      <c r="B2669" t="s">
        <v>7</v>
      </c>
      <c r="C2669" t="s">
        <v>9</v>
      </c>
      <c r="D2669" s="8">
        <v>7.95</v>
      </c>
      <c r="E2669">
        <v>1</v>
      </c>
      <c r="F2669" t="str">
        <f t="shared" si="164"/>
        <v>Value</v>
      </c>
      <c r="G2669" s="3" cm="1">
        <f t="array" ref="G2669">_xlfn.XLOOKUP(C2669 &amp; F2669,
         [1]unilever_price_limits!A:A &amp; [1]unilever_price_limits!B:B,
         [1]unilever_price_limits!C:C)</f>
        <v>15</v>
      </c>
      <c r="H2669" s="8">
        <f t="shared" si="165"/>
        <v>9.1425000000000001</v>
      </c>
      <c r="I2669" s="6">
        <f t="shared" si="166"/>
        <v>14.999999999999991</v>
      </c>
      <c r="J2669" t="str">
        <f t="shared" si="167"/>
        <v>OK</v>
      </c>
    </row>
    <row r="2670" spans="1:10" x14ac:dyDescent="0.2">
      <c r="A2670">
        <v>12669</v>
      </c>
      <c r="B2670" t="s">
        <v>8</v>
      </c>
      <c r="C2670" t="s">
        <v>6</v>
      </c>
      <c r="D2670" s="8">
        <v>3.86</v>
      </c>
      <c r="E2670">
        <v>9</v>
      </c>
      <c r="F2670" t="str">
        <f t="shared" si="164"/>
        <v>Premium</v>
      </c>
      <c r="G2670" s="3" cm="1">
        <f t="array" ref="G2670">_xlfn.XLOOKUP(C2670 &amp; F2670,
         [1]unilever_price_limits!A:A &amp; [1]unilever_price_limits!B:B,
         [1]unilever_price_limits!C:C)</f>
        <v>55</v>
      </c>
      <c r="H2670" s="8">
        <f t="shared" si="165"/>
        <v>5.9829999999999997</v>
      </c>
      <c r="I2670" s="6">
        <f t="shared" si="166"/>
        <v>55.000000000000007</v>
      </c>
      <c r="J2670" t="str">
        <f t="shared" si="167"/>
        <v>OK</v>
      </c>
    </row>
    <row r="2671" spans="1:10" x14ac:dyDescent="0.2">
      <c r="A2671">
        <v>12670</v>
      </c>
      <c r="B2671" t="s">
        <v>5</v>
      </c>
      <c r="C2671" t="s">
        <v>11</v>
      </c>
      <c r="D2671" s="8">
        <v>3.13</v>
      </c>
      <c r="E2671">
        <v>7</v>
      </c>
      <c r="F2671" t="str">
        <f t="shared" si="164"/>
        <v>Standard</v>
      </c>
      <c r="G2671" s="3" cm="1">
        <f t="array" ref="G2671">_xlfn.XLOOKUP(C2671 &amp; F2671,
         [1]unilever_price_limits!A:A &amp; [1]unilever_price_limits!B:B,
         [1]unilever_price_limits!C:C)</f>
        <v>25</v>
      </c>
      <c r="H2671" s="8">
        <f t="shared" si="165"/>
        <v>3.9124999999999996</v>
      </c>
      <c r="I2671" s="6">
        <f t="shared" si="166"/>
        <v>25</v>
      </c>
      <c r="J2671" t="str">
        <f t="shared" si="167"/>
        <v>OK</v>
      </c>
    </row>
    <row r="2672" spans="1:10" x14ac:dyDescent="0.2">
      <c r="A2672">
        <v>12671</v>
      </c>
      <c r="B2672" t="s">
        <v>5</v>
      </c>
      <c r="C2672" t="s">
        <v>6</v>
      </c>
      <c r="D2672" s="8">
        <v>12.25</v>
      </c>
      <c r="E2672">
        <v>2</v>
      </c>
      <c r="F2672" t="str">
        <f t="shared" si="164"/>
        <v>Value</v>
      </c>
      <c r="G2672" s="3" cm="1">
        <f t="array" ref="G2672">_xlfn.XLOOKUP(C2672 &amp; F2672,
         [1]unilever_price_limits!A:A &amp; [1]unilever_price_limits!B:B,
         [1]unilever_price_limits!C:C)</f>
        <v>12</v>
      </c>
      <c r="H2672" s="8">
        <f t="shared" si="165"/>
        <v>13.72</v>
      </c>
      <c r="I2672" s="6">
        <f t="shared" si="166"/>
        <v>12.000000000000011</v>
      </c>
      <c r="J2672" t="str">
        <f t="shared" si="167"/>
        <v>OK</v>
      </c>
    </row>
    <row r="2673" spans="1:10" x14ac:dyDescent="0.2">
      <c r="A2673">
        <v>12672</v>
      </c>
      <c r="B2673" t="s">
        <v>7</v>
      </c>
      <c r="C2673" t="s">
        <v>6</v>
      </c>
      <c r="D2673" s="8">
        <v>2.46</v>
      </c>
      <c r="E2673">
        <v>6</v>
      </c>
      <c r="F2673" t="str">
        <f t="shared" si="164"/>
        <v>Standard</v>
      </c>
      <c r="G2673" s="3" cm="1">
        <f t="array" ref="G2673">_xlfn.XLOOKUP(C2673 &amp; F2673,
         [1]unilever_price_limits!A:A &amp; [1]unilever_price_limits!B:B,
         [1]unilever_price_limits!C:C)</f>
        <v>28</v>
      </c>
      <c r="H2673" s="8">
        <f t="shared" si="165"/>
        <v>3.1488</v>
      </c>
      <c r="I2673" s="6">
        <f t="shared" si="166"/>
        <v>28.000000000000004</v>
      </c>
      <c r="J2673" t="str">
        <f t="shared" si="167"/>
        <v>OK</v>
      </c>
    </row>
    <row r="2674" spans="1:10" x14ac:dyDescent="0.2">
      <c r="A2674">
        <v>12673</v>
      </c>
      <c r="B2674" t="s">
        <v>10</v>
      </c>
      <c r="C2674" t="s">
        <v>6</v>
      </c>
      <c r="D2674" s="8">
        <v>7.3</v>
      </c>
      <c r="E2674">
        <v>8</v>
      </c>
      <c r="F2674" t="str">
        <f t="shared" si="164"/>
        <v>Premium</v>
      </c>
      <c r="G2674" s="3" cm="1">
        <f t="array" ref="G2674">_xlfn.XLOOKUP(C2674 &amp; F2674,
         [1]unilever_price_limits!A:A &amp; [1]unilever_price_limits!B:B,
         [1]unilever_price_limits!C:C)</f>
        <v>55</v>
      </c>
      <c r="H2674" s="8">
        <f t="shared" si="165"/>
        <v>11.315</v>
      </c>
      <c r="I2674" s="6">
        <f t="shared" si="166"/>
        <v>55.000000000000007</v>
      </c>
      <c r="J2674" t="str">
        <f t="shared" si="167"/>
        <v>OK</v>
      </c>
    </row>
    <row r="2675" spans="1:10" x14ac:dyDescent="0.2">
      <c r="A2675">
        <v>12674</v>
      </c>
      <c r="B2675" t="s">
        <v>5</v>
      </c>
      <c r="C2675" t="s">
        <v>11</v>
      </c>
      <c r="D2675" s="8">
        <v>14.11</v>
      </c>
      <c r="E2675">
        <v>5</v>
      </c>
      <c r="F2675" t="str">
        <f t="shared" si="164"/>
        <v>Standard</v>
      </c>
      <c r="G2675" s="3" cm="1">
        <f t="array" ref="G2675">_xlfn.XLOOKUP(C2675 &amp; F2675,
         [1]unilever_price_limits!A:A &amp; [1]unilever_price_limits!B:B,
         [1]unilever_price_limits!C:C)</f>
        <v>25</v>
      </c>
      <c r="H2675" s="8">
        <f t="shared" si="165"/>
        <v>17.637499999999999</v>
      </c>
      <c r="I2675" s="6">
        <f t="shared" si="166"/>
        <v>25</v>
      </c>
      <c r="J2675" t="str">
        <f t="shared" si="167"/>
        <v>OK</v>
      </c>
    </row>
    <row r="2676" spans="1:10" x14ac:dyDescent="0.2">
      <c r="A2676">
        <v>12675</v>
      </c>
      <c r="B2676" t="s">
        <v>5</v>
      </c>
      <c r="C2676" t="s">
        <v>9</v>
      </c>
      <c r="D2676" s="8">
        <v>3.19</v>
      </c>
      <c r="E2676">
        <v>6</v>
      </c>
      <c r="F2676" t="str">
        <f t="shared" si="164"/>
        <v>Standard</v>
      </c>
      <c r="G2676" s="3" cm="1">
        <f t="array" ref="G2676">_xlfn.XLOOKUP(C2676 &amp; F2676,
         [1]unilever_price_limits!A:A &amp; [1]unilever_price_limits!B:B,
         [1]unilever_price_limits!C:C)</f>
        <v>30</v>
      </c>
      <c r="H2676" s="8">
        <f t="shared" si="165"/>
        <v>4.1470000000000002</v>
      </c>
      <c r="I2676" s="6">
        <f t="shared" si="166"/>
        <v>30.000000000000004</v>
      </c>
      <c r="J2676" t="str">
        <f t="shared" si="167"/>
        <v>OK</v>
      </c>
    </row>
    <row r="2677" spans="1:10" x14ac:dyDescent="0.2">
      <c r="A2677">
        <v>12676</v>
      </c>
      <c r="B2677" t="s">
        <v>8</v>
      </c>
      <c r="C2677" t="s">
        <v>11</v>
      </c>
      <c r="D2677" s="8">
        <v>14.68</v>
      </c>
      <c r="E2677">
        <v>10</v>
      </c>
      <c r="F2677" t="str">
        <f t="shared" si="164"/>
        <v>Premium</v>
      </c>
      <c r="G2677" s="3" cm="1">
        <f t="array" ref="G2677">_xlfn.XLOOKUP(C2677 &amp; F2677,
         [1]unilever_price_limits!A:A &amp; [1]unilever_price_limits!B:B,
         [1]unilever_price_limits!C:C)</f>
        <v>50</v>
      </c>
      <c r="H2677" s="8">
        <f t="shared" si="165"/>
        <v>22.02</v>
      </c>
      <c r="I2677" s="6">
        <f t="shared" si="166"/>
        <v>50</v>
      </c>
      <c r="J2677" t="str">
        <f t="shared" si="167"/>
        <v>OK</v>
      </c>
    </row>
    <row r="2678" spans="1:10" x14ac:dyDescent="0.2">
      <c r="A2678">
        <v>12677</v>
      </c>
      <c r="B2678" t="s">
        <v>8</v>
      </c>
      <c r="C2678" t="s">
        <v>9</v>
      </c>
      <c r="D2678" s="8">
        <v>14.92</v>
      </c>
      <c r="E2678">
        <v>8</v>
      </c>
      <c r="F2678" t="str">
        <f t="shared" si="164"/>
        <v>Premium</v>
      </c>
      <c r="G2678" s="3" cm="1">
        <f t="array" ref="G2678">_xlfn.XLOOKUP(C2678 &amp; F2678,
         [1]unilever_price_limits!A:A &amp; [1]unilever_price_limits!B:B,
         [1]unilever_price_limits!C:C)</f>
        <v>60</v>
      </c>
      <c r="H2678" s="8">
        <f t="shared" si="165"/>
        <v>23.872</v>
      </c>
      <c r="I2678" s="6">
        <f t="shared" si="166"/>
        <v>60.000000000000007</v>
      </c>
      <c r="J2678" t="str">
        <f t="shared" si="167"/>
        <v>OK</v>
      </c>
    </row>
    <row r="2679" spans="1:10" x14ac:dyDescent="0.2">
      <c r="A2679">
        <v>12678</v>
      </c>
      <c r="B2679" t="s">
        <v>10</v>
      </c>
      <c r="C2679" t="s">
        <v>6</v>
      </c>
      <c r="D2679" s="8">
        <v>8.56</v>
      </c>
      <c r="E2679">
        <v>6</v>
      </c>
      <c r="F2679" t="str">
        <f t="shared" si="164"/>
        <v>Standard</v>
      </c>
      <c r="G2679" s="3" cm="1">
        <f t="array" ref="G2679">_xlfn.XLOOKUP(C2679 &amp; F2679,
         [1]unilever_price_limits!A:A &amp; [1]unilever_price_limits!B:B,
         [1]unilever_price_limits!C:C)</f>
        <v>28</v>
      </c>
      <c r="H2679" s="8">
        <f t="shared" si="165"/>
        <v>10.956800000000001</v>
      </c>
      <c r="I2679" s="6">
        <f t="shared" si="166"/>
        <v>28.000000000000004</v>
      </c>
      <c r="J2679" t="str">
        <f t="shared" si="167"/>
        <v>OK</v>
      </c>
    </row>
    <row r="2680" spans="1:10" x14ac:dyDescent="0.2">
      <c r="A2680">
        <v>12679</v>
      </c>
      <c r="B2680" t="s">
        <v>5</v>
      </c>
      <c r="C2680" t="s">
        <v>6</v>
      </c>
      <c r="D2680" s="8">
        <v>2.97</v>
      </c>
      <c r="E2680">
        <v>9</v>
      </c>
      <c r="F2680" t="str">
        <f t="shared" si="164"/>
        <v>Premium</v>
      </c>
      <c r="G2680" s="3" cm="1">
        <f t="array" ref="G2680">_xlfn.XLOOKUP(C2680 &amp; F2680,
         [1]unilever_price_limits!A:A &amp; [1]unilever_price_limits!B:B,
         [1]unilever_price_limits!C:C)</f>
        <v>55</v>
      </c>
      <c r="H2680" s="8">
        <f t="shared" si="165"/>
        <v>4.6035000000000004</v>
      </c>
      <c r="I2680" s="6">
        <f t="shared" si="166"/>
        <v>55.000000000000007</v>
      </c>
      <c r="J2680" t="str">
        <f t="shared" si="167"/>
        <v>OK</v>
      </c>
    </row>
    <row r="2681" spans="1:10" x14ac:dyDescent="0.2">
      <c r="A2681">
        <v>12680</v>
      </c>
      <c r="B2681" t="s">
        <v>5</v>
      </c>
      <c r="C2681" t="s">
        <v>6</v>
      </c>
      <c r="D2681" s="8">
        <v>5.08</v>
      </c>
      <c r="E2681">
        <v>9</v>
      </c>
      <c r="F2681" t="str">
        <f t="shared" si="164"/>
        <v>Premium</v>
      </c>
      <c r="G2681" s="3" cm="1">
        <f t="array" ref="G2681">_xlfn.XLOOKUP(C2681 &amp; F2681,
         [1]unilever_price_limits!A:A &amp; [1]unilever_price_limits!B:B,
         [1]unilever_price_limits!C:C)</f>
        <v>55</v>
      </c>
      <c r="H2681" s="8">
        <f t="shared" si="165"/>
        <v>7.8740000000000006</v>
      </c>
      <c r="I2681" s="6">
        <f t="shared" si="166"/>
        <v>55.000000000000007</v>
      </c>
      <c r="J2681" t="str">
        <f t="shared" si="167"/>
        <v>OK</v>
      </c>
    </row>
    <row r="2682" spans="1:10" x14ac:dyDescent="0.2">
      <c r="A2682">
        <v>12681</v>
      </c>
      <c r="B2682" t="s">
        <v>8</v>
      </c>
      <c r="C2682" t="s">
        <v>6</v>
      </c>
      <c r="D2682" s="8">
        <v>6.66</v>
      </c>
      <c r="E2682">
        <v>9</v>
      </c>
      <c r="F2682" t="str">
        <f t="shared" si="164"/>
        <v>Premium</v>
      </c>
      <c r="G2682" s="3" cm="1">
        <f t="array" ref="G2682">_xlfn.XLOOKUP(C2682 &amp; F2682,
         [1]unilever_price_limits!A:A &amp; [1]unilever_price_limits!B:B,
         [1]unilever_price_limits!C:C)</f>
        <v>55</v>
      </c>
      <c r="H2682" s="8">
        <f t="shared" si="165"/>
        <v>10.323</v>
      </c>
      <c r="I2682" s="6">
        <f t="shared" si="166"/>
        <v>55.000000000000007</v>
      </c>
      <c r="J2682" t="str">
        <f t="shared" si="167"/>
        <v>OK</v>
      </c>
    </row>
    <row r="2683" spans="1:10" x14ac:dyDescent="0.2">
      <c r="A2683">
        <v>12682</v>
      </c>
      <c r="B2683" t="s">
        <v>5</v>
      </c>
      <c r="C2683" t="s">
        <v>6</v>
      </c>
      <c r="D2683" s="8">
        <v>4.99</v>
      </c>
      <c r="E2683">
        <v>6</v>
      </c>
      <c r="F2683" t="str">
        <f t="shared" si="164"/>
        <v>Standard</v>
      </c>
      <c r="G2683" s="3" cm="1">
        <f t="array" ref="G2683">_xlfn.XLOOKUP(C2683 &amp; F2683,
         [1]unilever_price_limits!A:A &amp; [1]unilever_price_limits!B:B,
         [1]unilever_price_limits!C:C)</f>
        <v>28</v>
      </c>
      <c r="H2683" s="8">
        <f t="shared" si="165"/>
        <v>6.3872</v>
      </c>
      <c r="I2683" s="6">
        <f t="shared" si="166"/>
        <v>28.000000000000004</v>
      </c>
      <c r="J2683" t="str">
        <f t="shared" si="167"/>
        <v>OK</v>
      </c>
    </row>
    <row r="2684" spans="1:10" x14ac:dyDescent="0.2">
      <c r="A2684">
        <v>12683</v>
      </c>
      <c r="B2684" t="s">
        <v>7</v>
      </c>
      <c r="C2684" t="s">
        <v>9</v>
      </c>
      <c r="D2684" s="8">
        <v>4.57</v>
      </c>
      <c r="E2684">
        <v>9</v>
      </c>
      <c r="F2684" t="str">
        <f t="shared" si="164"/>
        <v>Premium</v>
      </c>
      <c r="G2684" s="3" cm="1">
        <f t="array" ref="G2684">_xlfn.XLOOKUP(C2684 &amp; F2684,
         [1]unilever_price_limits!A:A &amp; [1]unilever_price_limits!B:B,
         [1]unilever_price_limits!C:C)</f>
        <v>60</v>
      </c>
      <c r="H2684" s="8">
        <f t="shared" si="165"/>
        <v>7.3120000000000012</v>
      </c>
      <c r="I2684" s="6">
        <f t="shared" si="166"/>
        <v>60.000000000000007</v>
      </c>
      <c r="J2684" t="str">
        <f t="shared" si="167"/>
        <v>OK</v>
      </c>
    </row>
    <row r="2685" spans="1:10" x14ac:dyDescent="0.2">
      <c r="A2685">
        <v>12684</v>
      </c>
      <c r="B2685" t="s">
        <v>8</v>
      </c>
      <c r="C2685" t="s">
        <v>9</v>
      </c>
      <c r="D2685" s="8">
        <v>14.6</v>
      </c>
      <c r="E2685">
        <v>3</v>
      </c>
      <c r="F2685" t="str">
        <f t="shared" si="164"/>
        <v>Value</v>
      </c>
      <c r="G2685" s="3" cm="1">
        <f t="array" ref="G2685">_xlfn.XLOOKUP(C2685 &amp; F2685,
         [1]unilever_price_limits!A:A &amp; [1]unilever_price_limits!B:B,
         [1]unilever_price_limits!C:C)</f>
        <v>15</v>
      </c>
      <c r="H2685" s="8">
        <f t="shared" si="165"/>
        <v>16.79</v>
      </c>
      <c r="I2685" s="6">
        <f t="shared" si="166"/>
        <v>14.999999999999991</v>
      </c>
      <c r="J2685" t="str">
        <f t="shared" si="167"/>
        <v>OK</v>
      </c>
    </row>
    <row r="2686" spans="1:10" x14ac:dyDescent="0.2">
      <c r="A2686">
        <v>12685</v>
      </c>
      <c r="B2686" t="s">
        <v>10</v>
      </c>
      <c r="C2686" t="s">
        <v>6</v>
      </c>
      <c r="D2686" s="8">
        <v>2.72</v>
      </c>
      <c r="E2686">
        <v>5</v>
      </c>
      <c r="F2686" t="str">
        <f t="shared" si="164"/>
        <v>Standard</v>
      </c>
      <c r="G2686" s="3" cm="1">
        <f t="array" ref="G2686">_xlfn.XLOOKUP(C2686 &amp; F2686,
         [1]unilever_price_limits!A:A &amp; [1]unilever_price_limits!B:B,
         [1]unilever_price_limits!C:C)</f>
        <v>28</v>
      </c>
      <c r="H2686" s="8">
        <f t="shared" si="165"/>
        <v>3.4816000000000003</v>
      </c>
      <c r="I2686" s="6">
        <f t="shared" si="166"/>
        <v>28.000000000000004</v>
      </c>
      <c r="J2686" t="str">
        <f t="shared" si="167"/>
        <v>OK</v>
      </c>
    </row>
    <row r="2687" spans="1:10" x14ac:dyDescent="0.2">
      <c r="A2687">
        <v>12686</v>
      </c>
      <c r="B2687" t="s">
        <v>8</v>
      </c>
      <c r="C2687" t="s">
        <v>11</v>
      </c>
      <c r="D2687" s="8">
        <v>11.13</v>
      </c>
      <c r="E2687">
        <v>2</v>
      </c>
      <c r="F2687" t="str">
        <f t="shared" si="164"/>
        <v>Value</v>
      </c>
      <c r="G2687" s="3" cm="1">
        <f t="array" ref="G2687">_xlfn.XLOOKUP(C2687 &amp; F2687,
         [1]unilever_price_limits!A:A &amp; [1]unilever_price_limits!B:B,
         [1]unilever_price_limits!C:C)</f>
        <v>10</v>
      </c>
      <c r="H2687" s="8">
        <f t="shared" si="165"/>
        <v>12.243000000000002</v>
      </c>
      <c r="I2687" s="6">
        <f t="shared" si="166"/>
        <v>10.000000000000009</v>
      </c>
      <c r="J2687" t="str">
        <f t="shared" si="167"/>
        <v>OK</v>
      </c>
    </row>
    <row r="2688" spans="1:10" x14ac:dyDescent="0.2">
      <c r="A2688">
        <v>12687</v>
      </c>
      <c r="B2688" t="s">
        <v>5</v>
      </c>
      <c r="C2688" t="s">
        <v>11</v>
      </c>
      <c r="D2688" s="8">
        <v>0.51</v>
      </c>
      <c r="E2688">
        <v>8</v>
      </c>
      <c r="F2688" t="str">
        <f t="shared" si="164"/>
        <v>Premium</v>
      </c>
      <c r="G2688" s="3" cm="1">
        <f t="array" ref="G2688">_xlfn.XLOOKUP(C2688 &amp; F2688,
         [1]unilever_price_limits!A:A &amp; [1]unilever_price_limits!B:B,
         [1]unilever_price_limits!C:C)</f>
        <v>50</v>
      </c>
      <c r="H2688" s="8">
        <f t="shared" si="165"/>
        <v>0.76500000000000001</v>
      </c>
      <c r="I2688" s="6">
        <f t="shared" si="166"/>
        <v>50</v>
      </c>
      <c r="J2688" t="str">
        <f t="shared" si="167"/>
        <v>OK</v>
      </c>
    </row>
    <row r="2689" spans="1:10" x14ac:dyDescent="0.2">
      <c r="A2689">
        <v>12688</v>
      </c>
      <c r="B2689" t="s">
        <v>10</v>
      </c>
      <c r="C2689" t="s">
        <v>6</v>
      </c>
      <c r="D2689" s="8">
        <v>9.14</v>
      </c>
      <c r="E2689">
        <v>4</v>
      </c>
      <c r="F2689" t="str">
        <f t="shared" si="164"/>
        <v>Standard</v>
      </c>
      <c r="G2689" s="3" cm="1">
        <f t="array" ref="G2689">_xlfn.XLOOKUP(C2689 &amp; F2689,
         [1]unilever_price_limits!A:A &amp; [1]unilever_price_limits!B:B,
         [1]unilever_price_limits!C:C)</f>
        <v>28</v>
      </c>
      <c r="H2689" s="8">
        <f t="shared" si="165"/>
        <v>11.699200000000001</v>
      </c>
      <c r="I2689" s="6">
        <f t="shared" si="166"/>
        <v>28.000000000000004</v>
      </c>
      <c r="J2689" t="str">
        <f t="shared" si="167"/>
        <v>OK</v>
      </c>
    </row>
    <row r="2690" spans="1:10" x14ac:dyDescent="0.2">
      <c r="A2690">
        <v>12689</v>
      </c>
      <c r="B2690" t="s">
        <v>8</v>
      </c>
      <c r="C2690" t="s">
        <v>9</v>
      </c>
      <c r="D2690" s="8">
        <v>13.78</v>
      </c>
      <c r="E2690">
        <v>6</v>
      </c>
      <c r="F2690" t="str">
        <f t="shared" si="164"/>
        <v>Standard</v>
      </c>
      <c r="G2690" s="3" cm="1">
        <f t="array" ref="G2690">_xlfn.XLOOKUP(C2690 &amp; F2690,
         [1]unilever_price_limits!A:A &amp; [1]unilever_price_limits!B:B,
         [1]unilever_price_limits!C:C)</f>
        <v>30</v>
      </c>
      <c r="H2690" s="8">
        <f t="shared" si="165"/>
        <v>17.914000000000001</v>
      </c>
      <c r="I2690" s="6">
        <f t="shared" si="166"/>
        <v>30.000000000000028</v>
      </c>
      <c r="J2690" t="str">
        <f t="shared" si="167"/>
        <v>OK</v>
      </c>
    </row>
    <row r="2691" spans="1:10" x14ac:dyDescent="0.2">
      <c r="A2691">
        <v>12690</v>
      </c>
      <c r="B2691" t="s">
        <v>7</v>
      </c>
      <c r="C2691" t="s">
        <v>11</v>
      </c>
      <c r="D2691" s="8">
        <v>4.68</v>
      </c>
      <c r="E2691">
        <v>6</v>
      </c>
      <c r="F2691" t="str">
        <f t="shared" ref="F2691:F2754" si="168">IF(E2691&lt;=3,"Value",
 IF(E2691&lt;=7,"Standard","Premium"))</f>
        <v>Standard</v>
      </c>
      <c r="G2691" s="3" cm="1">
        <f t="array" ref="G2691">_xlfn.XLOOKUP(C2691 &amp; F2691,
         [1]unilever_price_limits!A:A &amp; [1]unilever_price_limits!B:B,
         [1]unilever_price_limits!C:C)</f>
        <v>25</v>
      </c>
      <c r="H2691" s="8">
        <f t="shared" ref="H2691:H2754" si="169">D2691 * (1 + G2691/100)</f>
        <v>5.85</v>
      </c>
      <c r="I2691" s="6">
        <f t="shared" ref="I2691:I2754" si="170">(H2691 / D2691 - 1) * 100</f>
        <v>25</v>
      </c>
      <c r="J2691" t="str">
        <f t="shared" ref="J2691:J2754" si="171">IF(I2690&gt; G2690, "⚠ Exceeds Limit", "OK")</f>
        <v>OK</v>
      </c>
    </row>
    <row r="2692" spans="1:10" x14ac:dyDescent="0.2">
      <c r="A2692">
        <v>12691</v>
      </c>
      <c r="B2692" t="s">
        <v>7</v>
      </c>
      <c r="C2692" t="s">
        <v>11</v>
      </c>
      <c r="D2692" s="8">
        <v>3.19</v>
      </c>
      <c r="E2692">
        <v>5</v>
      </c>
      <c r="F2692" t="str">
        <f t="shared" si="168"/>
        <v>Standard</v>
      </c>
      <c r="G2692" s="3" cm="1">
        <f t="array" ref="G2692">_xlfn.XLOOKUP(C2692 &amp; F2692,
         [1]unilever_price_limits!A:A &amp; [1]unilever_price_limits!B:B,
         [1]unilever_price_limits!C:C)</f>
        <v>25</v>
      </c>
      <c r="H2692" s="8">
        <f t="shared" si="169"/>
        <v>3.9874999999999998</v>
      </c>
      <c r="I2692" s="6">
        <f t="shared" si="170"/>
        <v>25</v>
      </c>
      <c r="J2692" t="str">
        <f t="shared" si="171"/>
        <v>OK</v>
      </c>
    </row>
    <row r="2693" spans="1:10" x14ac:dyDescent="0.2">
      <c r="A2693">
        <v>12692</v>
      </c>
      <c r="B2693" t="s">
        <v>8</v>
      </c>
      <c r="C2693" t="s">
        <v>11</v>
      </c>
      <c r="D2693" s="8">
        <v>9.9499999999999993</v>
      </c>
      <c r="E2693">
        <v>1</v>
      </c>
      <c r="F2693" t="str">
        <f t="shared" si="168"/>
        <v>Value</v>
      </c>
      <c r="G2693" s="3" cm="1">
        <f t="array" ref="G2693">_xlfn.XLOOKUP(C2693 &amp; F2693,
         [1]unilever_price_limits!A:A &amp; [1]unilever_price_limits!B:B,
         [1]unilever_price_limits!C:C)</f>
        <v>10</v>
      </c>
      <c r="H2693" s="8">
        <f t="shared" si="169"/>
        <v>10.945</v>
      </c>
      <c r="I2693" s="6">
        <f t="shared" si="170"/>
        <v>10.000000000000009</v>
      </c>
      <c r="J2693" t="str">
        <f t="shared" si="171"/>
        <v>OK</v>
      </c>
    </row>
    <row r="2694" spans="1:10" x14ac:dyDescent="0.2">
      <c r="A2694">
        <v>12693</v>
      </c>
      <c r="B2694" t="s">
        <v>7</v>
      </c>
      <c r="C2694" t="s">
        <v>6</v>
      </c>
      <c r="D2694" s="8">
        <v>10.83</v>
      </c>
      <c r="E2694">
        <v>7</v>
      </c>
      <c r="F2694" t="str">
        <f t="shared" si="168"/>
        <v>Standard</v>
      </c>
      <c r="G2694" s="3" cm="1">
        <f t="array" ref="G2694">_xlfn.XLOOKUP(C2694 &amp; F2694,
         [1]unilever_price_limits!A:A &amp; [1]unilever_price_limits!B:B,
         [1]unilever_price_limits!C:C)</f>
        <v>28</v>
      </c>
      <c r="H2694" s="8">
        <f t="shared" si="169"/>
        <v>13.862400000000001</v>
      </c>
      <c r="I2694" s="6">
        <f t="shared" si="170"/>
        <v>28.000000000000004</v>
      </c>
      <c r="J2694" t="str">
        <f t="shared" si="171"/>
        <v>OK</v>
      </c>
    </row>
    <row r="2695" spans="1:10" x14ac:dyDescent="0.2">
      <c r="A2695">
        <v>12694</v>
      </c>
      <c r="B2695" t="s">
        <v>7</v>
      </c>
      <c r="C2695" t="s">
        <v>11</v>
      </c>
      <c r="D2695" s="8">
        <v>10.48</v>
      </c>
      <c r="E2695">
        <v>10</v>
      </c>
      <c r="F2695" t="str">
        <f t="shared" si="168"/>
        <v>Premium</v>
      </c>
      <c r="G2695" s="3" cm="1">
        <f t="array" ref="G2695">_xlfn.XLOOKUP(C2695 &amp; F2695,
         [1]unilever_price_limits!A:A &amp; [1]unilever_price_limits!B:B,
         [1]unilever_price_limits!C:C)</f>
        <v>50</v>
      </c>
      <c r="H2695" s="8">
        <f t="shared" si="169"/>
        <v>15.72</v>
      </c>
      <c r="I2695" s="6">
        <f t="shared" si="170"/>
        <v>50</v>
      </c>
      <c r="J2695" t="str">
        <f t="shared" si="171"/>
        <v>OK</v>
      </c>
    </row>
    <row r="2696" spans="1:10" x14ac:dyDescent="0.2">
      <c r="A2696">
        <v>12695</v>
      </c>
      <c r="B2696" t="s">
        <v>7</v>
      </c>
      <c r="C2696" t="s">
        <v>11</v>
      </c>
      <c r="D2696" s="8">
        <v>5.13</v>
      </c>
      <c r="E2696">
        <v>8</v>
      </c>
      <c r="F2696" t="str">
        <f t="shared" si="168"/>
        <v>Premium</v>
      </c>
      <c r="G2696" s="3" cm="1">
        <f t="array" ref="G2696">_xlfn.XLOOKUP(C2696 &amp; F2696,
         [1]unilever_price_limits!A:A &amp; [1]unilever_price_limits!B:B,
         [1]unilever_price_limits!C:C)</f>
        <v>50</v>
      </c>
      <c r="H2696" s="8">
        <f t="shared" si="169"/>
        <v>7.6950000000000003</v>
      </c>
      <c r="I2696" s="6">
        <f t="shared" si="170"/>
        <v>50</v>
      </c>
      <c r="J2696" t="str">
        <f t="shared" si="171"/>
        <v>OK</v>
      </c>
    </row>
    <row r="2697" spans="1:10" x14ac:dyDescent="0.2">
      <c r="A2697">
        <v>12696</v>
      </c>
      <c r="B2697" t="s">
        <v>10</v>
      </c>
      <c r="C2697" t="s">
        <v>11</v>
      </c>
      <c r="D2697" s="8">
        <v>4.16</v>
      </c>
      <c r="E2697">
        <v>1</v>
      </c>
      <c r="F2697" t="str">
        <f t="shared" si="168"/>
        <v>Value</v>
      </c>
      <c r="G2697" s="3" cm="1">
        <f t="array" ref="G2697">_xlfn.XLOOKUP(C2697 &amp; F2697,
         [1]unilever_price_limits!A:A &amp; [1]unilever_price_limits!B:B,
         [1]unilever_price_limits!C:C)</f>
        <v>10</v>
      </c>
      <c r="H2697" s="8">
        <f t="shared" si="169"/>
        <v>4.5760000000000005</v>
      </c>
      <c r="I2697" s="6">
        <f t="shared" si="170"/>
        <v>10.000000000000009</v>
      </c>
      <c r="J2697" t="str">
        <f t="shared" si="171"/>
        <v>OK</v>
      </c>
    </row>
    <row r="2698" spans="1:10" x14ac:dyDescent="0.2">
      <c r="A2698">
        <v>12697</v>
      </c>
      <c r="B2698" t="s">
        <v>7</v>
      </c>
      <c r="C2698" t="s">
        <v>11</v>
      </c>
      <c r="D2698" s="8">
        <v>14.36</v>
      </c>
      <c r="E2698">
        <v>10</v>
      </c>
      <c r="F2698" t="str">
        <f t="shared" si="168"/>
        <v>Premium</v>
      </c>
      <c r="G2698" s="3" cm="1">
        <f t="array" ref="G2698">_xlfn.XLOOKUP(C2698 &amp; F2698,
         [1]unilever_price_limits!A:A &amp; [1]unilever_price_limits!B:B,
         [1]unilever_price_limits!C:C)</f>
        <v>50</v>
      </c>
      <c r="H2698" s="8">
        <f t="shared" si="169"/>
        <v>21.54</v>
      </c>
      <c r="I2698" s="6">
        <f t="shared" si="170"/>
        <v>50</v>
      </c>
      <c r="J2698" t="str">
        <f t="shared" si="171"/>
        <v>OK</v>
      </c>
    </row>
    <row r="2699" spans="1:10" x14ac:dyDescent="0.2">
      <c r="A2699">
        <v>12698</v>
      </c>
      <c r="B2699" t="s">
        <v>7</v>
      </c>
      <c r="C2699" t="s">
        <v>9</v>
      </c>
      <c r="D2699" s="8">
        <v>13.89</v>
      </c>
      <c r="E2699">
        <v>7</v>
      </c>
      <c r="F2699" t="str">
        <f t="shared" si="168"/>
        <v>Standard</v>
      </c>
      <c r="G2699" s="3" cm="1">
        <f t="array" ref="G2699">_xlfn.XLOOKUP(C2699 &amp; F2699,
         [1]unilever_price_limits!A:A &amp; [1]unilever_price_limits!B:B,
         [1]unilever_price_limits!C:C)</f>
        <v>30</v>
      </c>
      <c r="H2699" s="8">
        <f t="shared" si="169"/>
        <v>18.057000000000002</v>
      </c>
      <c r="I2699" s="6">
        <f t="shared" si="170"/>
        <v>30.000000000000004</v>
      </c>
      <c r="J2699" t="str">
        <f t="shared" si="171"/>
        <v>OK</v>
      </c>
    </row>
    <row r="2700" spans="1:10" x14ac:dyDescent="0.2">
      <c r="A2700">
        <v>12699</v>
      </c>
      <c r="B2700" t="s">
        <v>7</v>
      </c>
      <c r="C2700" t="s">
        <v>6</v>
      </c>
      <c r="D2700" s="8">
        <v>7.13</v>
      </c>
      <c r="E2700">
        <v>4</v>
      </c>
      <c r="F2700" t="str">
        <f t="shared" si="168"/>
        <v>Standard</v>
      </c>
      <c r="G2700" s="3" cm="1">
        <f t="array" ref="G2700">_xlfn.XLOOKUP(C2700 &amp; F2700,
         [1]unilever_price_limits!A:A &amp; [1]unilever_price_limits!B:B,
         [1]unilever_price_limits!C:C)</f>
        <v>28</v>
      </c>
      <c r="H2700" s="8">
        <f t="shared" si="169"/>
        <v>9.1264000000000003</v>
      </c>
      <c r="I2700" s="6">
        <f t="shared" si="170"/>
        <v>28.000000000000004</v>
      </c>
      <c r="J2700" t="str">
        <f t="shared" si="171"/>
        <v>OK</v>
      </c>
    </row>
    <row r="2701" spans="1:10" x14ac:dyDescent="0.2">
      <c r="A2701">
        <v>12700</v>
      </c>
      <c r="B2701" t="s">
        <v>10</v>
      </c>
      <c r="C2701" t="s">
        <v>6</v>
      </c>
      <c r="D2701" s="8">
        <v>12.77</v>
      </c>
      <c r="E2701">
        <v>6</v>
      </c>
      <c r="F2701" t="str">
        <f t="shared" si="168"/>
        <v>Standard</v>
      </c>
      <c r="G2701" s="3" cm="1">
        <f t="array" ref="G2701">_xlfn.XLOOKUP(C2701 &amp; F2701,
         [1]unilever_price_limits!A:A &amp; [1]unilever_price_limits!B:B,
         [1]unilever_price_limits!C:C)</f>
        <v>28</v>
      </c>
      <c r="H2701" s="8">
        <f t="shared" si="169"/>
        <v>16.345600000000001</v>
      </c>
      <c r="I2701" s="6">
        <f t="shared" si="170"/>
        <v>28.000000000000004</v>
      </c>
      <c r="J2701" t="str">
        <f t="shared" si="171"/>
        <v>OK</v>
      </c>
    </row>
    <row r="2702" spans="1:10" x14ac:dyDescent="0.2">
      <c r="A2702">
        <v>12701</v>
      </c>
      <c r="B2702" t="s">
        <v>8</v>
      </c>
      <c r="C2702" t="s">
        <v>9</v>
      </c>
      <c r="D2702" s="8">
        <v>7.06</v>
      </c>
      <c r="E2702">
        <v>9</v>
      </c>
      <c r="F2702" t="str">
        <f t="shared" si="168"/>
        <v>Premium</v>
      </c>
      <c r="G2702" s="3" cm="1">
        <f t="array" ref="G2702">_xlfn.XLOOKUP(C2702 &amp; F2702,
         [1]unilever_price_limits!A:A &amp; [1]unilever_price_limits!B:B,
         [1]unilever_price_limits!C:C)</f>
        <v>60</v>
      </c>
      <c r="H2702" s="8">
        <f t="shared" si="169"/>
        <v>11.295999999999999</v>
      </c>
      <c r="I2702" s="6">
        <f t="shared" si="170"/>
        <v>60.000000000000007</v>
      </c>
      <c r="J2702" t="str">
        <f t="shared" si="171"/>
        <v>OK</v>
      </c>
    </row>
    <row r="2703" spans="1:10" x14ac:dyDescent="0.2">
      <c r="A2703">
        <v>12702</v>
      </c>
      <c r="B2703" t="s">
        <v>5</v>
      </c>
      <c r="C2703" t="s">
        <v>9</v>
      </c>
      <c r="D2703" s="8">
        <v>6.65</v>
      </c>
      <c r="E2703">
        <v>5</v>
      </c>
      <c r="F2703" t="str">
        <f t="shared" si="168"/>
        <v>Standard</v>
      </c>
      <c r="G2703" s="3" cm="1">
        <f t="array" ref="G2703">_xlfn.XLOOKUP(C2703 &amp; F2703,
         [1]unilever_price_limits!A:A &amp; [1]unilever_price_limits!B:B,
         [1]unilever_price_limits!C:C)</f>
        <v>30</v>
      </c>
      <c r="H2703" s="8">
        <f t="shared" si="169"/>
        <v>8.6450000000000014</v>
      </c>
      <c r="I2703" s="6">
        <f t="shared" si="170"/>
        <v>30.000000000000004</v>
      </c>
      <c r="J2703" t="str">
        <f t="shared" si="171"/>
        <v>OK</v>
      </c>
    </row>
    <row r="2704" spans="1:10" x14ac:dyDescent="0.2">
      <c r="A2704">
        <v>12703</v>
      </c>
      <c r="B2704" t="s">
        <v>7</v>
      </c>
      <c r="C2704" t="s">
        <v>6</v>
      </c>
      <c r="D2704" s="8">
        <v>2.77</v>
      </c>
      <c r="E2704">
        <v>8</v>
      </c>
      <c r="F2704" t="str">
        <f t="shared" si="168"/>
        <v>Premium</v>
      </c>
      <c r="G2704" s="3" cm="1">
        <f t="array" ref="G2704">_xlfn.XLOOKUP(C2704 &amp; F2704,
         [1]unilever_price_limits!A:A &amp; [1]unilever_price_limits!B:B,
         [1]unilever_price_limits!C:C)</f>
        <v>55</v>
      </c>
      <c r="H2704" s="8">
        <f t="shared" si="169"/>
        <v>4.2934999999999999</v>
      </c>
      <c r="I2704" s="6">
        <f t="shared" si="170"/>
        <v>55.000000000000007</v>
      </c>
      <c r="J2704" t="str">
        <f t="shared" si="171"/>
        <v>OK</v>
      </c>
    </row>
    <row r="2705" spans="1:10" x14ac:dyDescent="0.2">
      <c r="A2705">
        <v>12704</v>
      </c>
      <c r="B2705" t="s">
        <v>8</v>
      </c>
      <c r="C2705" t="s">
        <v>11</v>
      </c>
      <c r="D2705" s="8">
        <v>6.68</v>
      </c>
      <c r="E2705">
        <v>5</v>
      </c>
      <c r="F2705" t="str">
        <f t="shared" si="168"/>
        <v>Standard</v>
      </c>
      <c r="G2705" s="3" cm="1">
        <f t="array" ref="G2705">_xlfn.XLOOKUP(C2705 &amp; F2705,
         [1]unilever_price_limits!A:A &amp; [1]unilever_price_limits!B:B,
         [1]unilever_price_limits!C:C)</f>
        <v>25</v>
      </c>
      <c r="H2705" s="8">
        <f t="shared" si="169"/>
        <v>8.35</v>
      </c>
      <c r="I2705" s="6">
        <f t="shared" si="170"/>
        <v>25</v>
      </c>
      <c r="J2705" t="str">
        <f t="shared" si="171"/>
        <v>OK</v>
      </c>
    </row>
    <row r="2706" spans="1:10" x14ac:dyDescent="0.2">
      <c r="A2706">
        <v>12705</v>
      </c>
      <c r="B2706" t="s">
        <v>7</v>
      </c>
      <c r="C2706" t="s">
        <v>11</v>
      </c>
      <c r="D2706" s="8">
        <v>8.2899999999999991</v>
      </c>
      <c r="E2706">
        <v>2</v>
      </c>
      <c r="F2706" t="str">
        <f t="shared" si="168"/>
        <v>Value</v>
      </c>
      <c r="G2706" s="3" cm="1">
        <f t="array" ref="G2706">_xlfn.XLOOKUP(C2706 &amp; F2706,
         [1]unilever_price_limits!A:A &amp; [1]unilever_price_limits!B:B,
         [1]unilever_price_limits!C:C)</f>
        <v>10</v>
      </c>
      <c r="H2706" s="8">
        <f t="shared" si="169"/>
        <v>9.1189999999999998</v>
      </c>
      <c r="I2706" s="6">
        <f t="shared" si="170"/>
        <v>10.000000000000009</v>
      </c>
      <c r="J2706" t="str">
        <f t="shared" si="171"/>
        <v>OK</v>
      </c>
    </row>
    <row r="2707" spans="1:10" x14ac:dyDescent="0.2">
      <c r="A2707">
        <v>12706</v>
      </c>
      <c r="B2707" t="s">
        <v>10</v>
      </c>
      <c r="C2707" t="s">
        <v>6</v>
      </c>
      <c r="D2707" s="8">
        <v>0.83</v>
      </c>
      <c r="E2707">
        <v>4</v>
      </c>
      <c r="F2707" t="str">
        <f t="shared" si="168"/>
        <v>Standard</v>
      </c>
      <c r="G2707" s="3" cm="1">
        <f t="array" ref="G2707">_xlfn.XLOOKUP(C2707 &amp; F2707,
         [1]unilever_price_limits!A:A &amp; [1]unilever_price_limits!B:B,
         [1]unilever_price_limits!C:C)</f>
        <v>28</v>
      </c>
      <c r="H2707" s="8">
        <f t="shared" si="169"/>
        <v>1.0624</v>
      </c>
      <c r="I2707" s="6">
        <f t="shared" si="170"/>
        <v>28.000000000000004</v>
      </c>
      <c r="J2707" t="str">
        <f t="shared" si="171"/>
        <v>OK</v>
      </c>
    </row>
    <row r="2708" spans="1:10" x14ac:dyDescent="0.2">
      <c r="A2708">
        <v>12707</v>
      </c>
      <c r="B2708" t="s">
        <v>8</v>
      </c>
      <c r="C2708" t="s">
        <v>11</v>
      </c>
      <c r="D2708" s="8">
        <v>6.94</v>
      </c>
      <c r="E2708">
        <v>2</v>
      </c>
      <c r="F2708" t="str">
        <f t="shared" si="168"/>
        <v>Value</v>
      </c>
      <c r="G2708" s="3" cm="1">
        <f t="array" ref="G2708">_xlfn.XLOOKUP(C2708 &amp; F2708,
         [1]unilever_price_limits!A:A &amp; [1]unilever_price_limits!B:B,
         [1]unilever_price_limits!C:C)</f>
        <v>10</v>
      </c>
      <c r="H2708" s="8">
        <f t="shared" si="169"/>
        <v>7.6340000000000012</v>
      </c>
      <c r="I2708" s="6">
        <f t="shared" si="170"/>
        <v>10.000000000000009</v>
      </c>
      <c r="J2708" t="str">
        <f t="shared" si="171"/>
        <v>OK</v>
      </c>
    </row>
    <row r="2709" spans="1:10" x14ac:dyDescent="0.2">
      <c r="A2709">
        <v>12708</v>
      </c>
      <c r="B2709" t="s">
        <v>10</v>
      </c>
      <c r="C2709" t="s">
        <v>9</v>
      </c>
      <c r="D2709" s="8">
        <v>11.83</v>
      </c>
      <c r="E2709">
        <v>7</v>
      </c>
      <c r="F2709" t="str">
        <f t="shared" si="168"/>
        <v>Standard</v>
      </c>
      <c r="G2709" s="3" cm="1">
        <f t="array" ref="G2709">_xlfn.XLOOKUP(C2709 &amp; F2709,
         [1]unilever_price_limits!A:A &amp; [1]unilever_price_limits!B:B,
         [1]unilever_price_limits!C:C)</f>
        <v>30</v>
      </c>
      <c r="H2709" s="8">
        <f t="shared" si="169"/>
        <v>15.379000000000001</v>
      </c>
      <c r="I2709" s="6">
        <f t="shared" si="170"/>
        <v>30.000000000000004</v>
      </c>
      <c r="J2709" t="str">
        <f t="shared" si="171"/>
        <v>OK</v>
      </c>
    </row>
    <row r="2710" spans="1:10" x14ac:dyDescent="0.2">
      <c r="A2710">
        <v>12709</v>
      </c>
      <c r="B2710" t="s">
        <v>7</v>
      </c>
      <c r="C2710" t="s">
        <v>11</v>
      </c>
      <c r="D2710" s="8">
        <v>10.36</v>
      </c>
      <c r="E2710">
        <v>7</v>
      </c>
      <c r="F2710" t="str">
        <f t="shared" si="168"/>
        <v>Standard</v>
      </c>
      <c r="G2710" s="3" cm="1">
        <f t="array" ref="G2710">_xlfn.XLOOKUP(C2710 &amp; F2710,
         [1]unilever_price_limits!A:A &amp; [1]unilever_price_limits!B:B,
         [1]unilever_price_limits!C:C)</f>
        <v>25</v>
      </c>
      <c r="H2710" s="8">
        <f t="shared" si="169"/>
        <v>12.95</v>
      </c>
      <c r="I2710" s="6">
        <f t="shared" si="170"/>
        <v>25</v>
      </c>
      <c r="J2710" t="str">
        <f t="shared" si="171"/>
        <v>OK</v>
      </c>
    </row>
    <row r="2711" spans="1:10" x14ac:dyDescent="0.2">
      <c r="A2711">
        <v>12710</v>
      </c>
      <c r="B2711" t="s">
        <v>7</v>
      </c>
      <c r="C2711" t="s">
        <v>11</v>
      </c>
      <c r="D2711" s="8">
        <v>9.7100000000000009</v>
      </c>
      <c r="E2711">
        <v>3</v>
      </c>
      <c r="F2711" t="str">
        <f t="shared" si="168"/>
        <v>Value</v>
      </c>
      <c r="G2711" s="3" cm="1">
        <f t="array" ref="G2711">_xlfn.XLOOKUP(C2711 &amp; F2711,
         [1]unilever_price_limits!A:A &amp; [1]unilever_price_limits!B:B,
         [1]unilever_price_limits!C:C)</f>
        <v>10</v>
      </c>
      <c r="H2711" s="8">
        <f t="shared" si="169"/>
        <v>10.681000000000001</v>
      </c>
      <c r="I2711" s="6">
        <f t="shared" si="170"/>
        <v>10.000000000000009</v>
      </c>
      <c r="J2711" t="str">
        <f t="shared" si="171"/>
        <v>OK</v>
      </c>
    </row>
    <row r="2712" spans="1:10" x14ac:dyDescent="0.2">
      <c r="A2712">
        <v>12711</v>
      </c>
      <c r="B2712" t="s">
        <v>10</v>
      </c>
      <c r="C2712" t="s">
        <v>11</v>
      </c>
      <c r="D2712" s="8">
        <v>13.69</v>
      </c>
      <c r="E2712">
        <v>7</v>
      </c>
      <c r="F2712" t="str">
        <f t="shared" si="168"/>
        <v>Standard</v>
      </c>
      <c r="G2712" s="3" cm="1">
        <f t="array" ref="G2712">_xlfn.XLOOKUP(C2712 &amp; F2712,
         [1]unilever_price_limits!A:A &amp; [1]unilever_price_limits!B:B,
         [1]unilever_price_limits!C:C)</f>
        <v>25</v>
      </c>
      <c r="H2712" s="8">
        <f t="shared" si="169"/>
        <v>17.112500000000001</v>
      </c>
      <c r="I2712" s="6">
        <f t="shared" si="170"/>
        <v>25</v>
      </c>
      <c r="J2712" t="str">
        <f t="shared" si="171"/>
        <v>OK</v>
      </c>
    </row>
    <row r="2713" spans="1:10" x14ac:dyDescent="0.2">
      <c r="A2713">
        <v>12712</v>
      </c>
      <c r="B2713" t="s">
        <v>5</v>
      </c>
      <c r="C2713" t="s">
        <v>6</v>
      </c>
      <c r="D2713" s="8">
        <v>0.76</v>
      </c>
      <c r="E2713">
        <v>1</v>
      </c>
      <c r="F2713" t="str">
        <f t="shared" si="168"/>
        <v>Value</v>
      </c>
      <c r="G2713" s="3" cm="1">
        <f t="array" ref="G2713">_xlfn.XLOOKUP(C2713 &amp; F2713,
         [1]unilever_price_limits!A:A &amp; [1]unilever_price_limits!B:B,
         [1]unilever_price_limits!C:C)</f>
        <v>12</v>
      </c>
      <c r="H2713" s="8">
        <f t="shared" si="169"/>
        <v>0.85120000000000007</v>
      </c>
      <c r="I2713" s="6">
        <f t="shared" si="170"/>
        <v>12.000000000000011</v>
      </c>
      <c r="J2713" t="str">
        <f t="shared" si="171"/>
        <v>OK</v>
      </c>
    </row>
    <row r="2714" spans="1:10" x14ac:dyDescent="0.2">
      <c r="A2714">
        <v>12713</v>
      </c>
      <c r="B2714" t="s">
        <v>10</v>
      </c>
      <c r="C2714" t="s">
        <v>9</v>
      </c>
      <c r="D2714" s="8">
        <v>8.58</v>
      </c>
      <c r="E2714">
        <v>1</v>
      </c>
      <c r="F2714" t="str">
        <f t="shared" si="168"/>
        <v>Value</v>
      </c>
      <c r="G2714" s="3" cm="1">
        <f t="array" ref="G2714">_xlfn.XLOOKUP(C2714 &amp; F2714,
         [1]unilever_price_limits!A:A &amp; [1]unilever_price_limits!B:B,
         [1]unilever_price_limits!C:C)</f>
        <v>15</v>
      </c>
      <c r="H2714" s="8">
        <f t="shared" si="169"/>
        <v>9.8669999999999991</v>
      </c>
      <c r="I2714" s="6">
        <f t="shared" si="170"/>
        <v>14.999999999999991</v>
      </c>
      <c r="J2714" t="str">
        <f t="shared" si="171"/>
        <v>OK</v>
      </c>
    </row>
    <row r="2715" spans="1:10" x14ac:dyDescent="0.2">
      <c r="A2715">
        <v>12714</v>
      </c>
      <c r="B2715" t="s">
        <v>7</v>
      </c>
      <c r="C2715" t="s">
        <v>11</v>
      </c>
      <c r="D2715" s="8">
        <v>11.92</v>
      </c>
      <c r="E2715">
        <v>9</v>
      </c>
      <c r="F2715" t="str">
        <f t="shared" si="168"/>
        <v>Premium</v>
      </c>
      <c r="G2715" s="3" cm="1">
        <f t="array" ref="G2715">_xlfn.XLOOKUP(C2715 &amp; F2715,
         [1]unilever_price_limits!A:A &amp; [1]unilever_price_limits!B:B,
         [1]unilever_price_limits!C:C)</f>
        <v>50</v>
      </c>
      <c r="H2715" s="8">
        <f t="shared" si="169"/>
        <v>17.88</v>
      </c>
      <c r="I2715" s="6">
        <f t="shared" si="170"/>
        <v>50</v>
      </c>
      <c r="J2715" t="str">
        <f t="shared" si="171"/>
        <v>OK</v>
      </c>
    </row>
    <row r="2716" spans="1:10" x14ac:dyDescent="0.2">
      <c r="A2716">
        <v>12715</v>
      </c>
      <c r="B2716" t="s">
        <v>10</v>
      </c>
      <c r="C2716" t="s">
        <v>6</v>
      </c>
      <c r="D2716" s="8">
        <v>8.35</v>
      </c>
      <c r="E2716">
        <v>6</v>
      </c>
      <c r="F2716" t="str">
        <f t="shared" si="168"/>
        <v>Standard</v>
      </c>
      <c r="G2716" s="3" cm="1">
        <f t="array" ref="G2716">_xlfn.XLOOKUP(C2716 &amp; F2716,
         [1]unilever_price_limits!A:A &amp; [1]unilever_price_limits!B:B,
         [1]unilever_price_limits!C:C)</f>
        <v>28</v>
      </c>
      <c r="H2716" s="8">
        <f t="shared" si="169"/>
        <v>10.688000000000001</v>
      </c>
      <c r="I2716" s="6">
        <f t="shared" si="170"/>
        <v>28.000000000000004</v>
      </c>
      <c r="J2716" t="str">
        <f t="shared" si="171"/>
        <v>OK</v>
      </c>
    </row>
    <row r="2717" spans="1:10" x14ac:dyDescent="0.2">
      <c r="A2717">
        <v>12716</v>
      </c>
      <c r="B2717" t="s">
        <v>5</v>
      </c>
      <c r="C2717" t="s">
        <v>11</v>
      </c>
      <c r="D2717" s="8">
        <v>5.2</v>
      </c>
      <c r="E2717">
        <v>5</v>
      </c>
      <c r="F2717" t="str">
        <f t="shared" si="168"/>
        <v>Standard</v>
      </c>
      <c r="G2717" s="3" cm="1">
        <f t="array" ref="G2717">_xlfn.XLOOKUP(C2717 &amp; F2717,
         [1]unilever_price_limits!A:A &amp; [1]unilever_price_limits!B:B,
         [1]unilever_price_limits!C:C)</f>
        <v>25</v>
      </c>
      <c r="H2717" s="8">
        <f t="shared" si="169"/>
        <v>6.5</v>
      </c>
      <c r="I2717" s="6">
        <f t="shared" si="170"/>
        <v>25</v>
      </c>
      <c r="J2717" t="str">
        <f t="shared" si="171"/>
        <v>OK</v>
      </c>
    </row>
    <row r="2718" spans="1:10" x14ac:dyDescent="0.2">
      <c r="A2718">
        <v>12717</v>
      </c>
      <c r="B2718" t="s">
        <v>10</v>
      </c>
      <c r="C2718" t="s">
        <v>9</v>
      </c>
      <c r="D2718" s="8">
        <v>2.48</v>
      </c>
      <c r="E2718">
        <v>6</v>
      </c>
      <c r="F2718" t="str">
        <f t="shared" si="168"/>
        <v>Standard</v>
      </c>
      <c r="G2718" s="3" cm="1">
        <f t="array" ref="G2718">_xlfn.XLOOKUP(C2718 &amp; F2718,
         [1]unilever_price_limits!A:A &amp; [1]unilever_price_limits!B:B,
         [1]unilever_price_limits!C:C)</f>
        <v>30</v>
      </c>
      <c r="H2718" s="8">
        <f t="shared" si="169"/>
        <v>3.2240000000000002</v>
      </c>
      <c r="I2718" s="6">
        <f t="shared" si="170"/>
        <v>30.000000000000004</v>
      </c>
      <c r="J2718" t="str">
        <f t="shared" si="171"/>
        <v>OK</v>
      </c>
    </row>
    <row r="2719" spans="1:10" x14ac:dyDescent="0.2">
      <c r="A2719">
        <v>12718</v>
      </c>
      <c r="B2719" t="s">
        <v>5</v>
      </c>
      <c r="C2719" t="s">
        <v>11</v>
      </c>
      <c r="D2719" s="8">
        <v>13.37</v>
      </c>
      <c r="E2719">
        <v>6</v>
      </c>
      <c r="F2719" t="str">
        <f t="shared" si="168"/>
        <v>Standard</v>
      </c>
      <c r="G2719" s="3" cm="1">
        <f t="array" ref="G2719">_xlfn.XLOOKUP(C2719 &amp; F2719,
         [1]unilever_price_limits!A:A &amp; [1]unilever_price_limits!B:B,
         [1]unilever_price_limits!C:C)</f>
        <v>25</v>
      </c>
      <c r="H2719" s="8">
        <f t="shared" si="169"/>
        <v>16.712499999999999</v>
      </c>
      <c r="I2719" s="6">
        <f t="shared" si="170"/>
        <v>25</v>
      </c>
      <c r="J2719" t="str">
        <f t="shared" si="171"/>
        <v>OK</v>
      </c>
    </row>
    <row r="2720" spans="1:10" x14ac:dyDescent="0.2">
      <c r="A2720">
        <v>12719</v>
      </c>
      <c r="B2720" t="s">
        <v>5</v>
      </c>
      <c r="C2720" t="s">
        <v>9</v>
      </c>
      <c r="D2720" s="8">
        <v>7.33</v>
      </c>
      <c r="E2720">
        <v>1</v>
      </c>
      <c r="F2720" t="str">
        <f t="shared" si="168"/>
        <v>Value</v>
      </c>
      <c r="G2720" s="3" cm="1">
        <f t="array" ref="G2720">_xlfn.XLOOKUP(C2720 &amp; F2720,
         [1]unilever_price_limits!A:A &amp; [1]unilever_price_limits!B:B,
         [1]unilever_price_limits!C:C)</f>
        <v>15</v>
      </c>
      <c r="H2720" s="8">
        <f t="shared" si="169"/>
        <v>8.4294999999999991</v>
      </c>
      <c r="I2720" s="6">
        <f t="shared" si="170"/>
        <v>14.999999999999991</v>
      </c>
      <c r="J2720" t="str">
        <f t="shared" si="171"/>
        <v>OK</v>
      </c>
    </row>
    <row r="2721" spans="1:10" x14ac:dyDescent="0.2">
      <c r="A2721">
        <v>12720</v>
      </c>
      <c r="B2721" t="s">
        <v>10</v>
      </c>
      <c r="C2721" t="s">
        <v>11</v>
      </c>
      <c r="D2721" s="8">
        <v>13.23</v>
      </c>
      <c r="E2721">
        <v>5</v>
      </c>
      <c r="F2721" t="str">
        <f t="shared" si="168"/>
        <v>Standard</v>
      </c>
      <c r="G2721" s="3" cm="1">
        <f t="array" ref="G2721">_xlfn.XLOOKUP(C2721 &amp; F2721,
         [1]unilever_price_limits!A:A &amp; [1]unilever_price_limits!B:B,
         [1]unilever_price_limits!C:C)</f>
        <v>25</v>
      </c>
      <c r="H2721" s="8">
        <f t="shared" si="169"/>
        <v>16.537500000000001</v>
      </c>
      <c r="I2721" s="6">
        <f t="shared" si="170"/>
        <v>25</v>
      </c>
      <c r="J2721" t="str">
        <f t="shared" si="171"/>
        <v>OK</v>
      </c>
    </row>
    <row r="2722" spans="1:10" x14ac:dyDescent="0.2">
      <c r="A2722">
        <v>12721</v>
      </c>
      <c r="B2722" t="s">
        <v>10</v>
      </c>
      <c r="C2722" t="s">
        <v>9</v>
      </c>
      <c r="D2722" s="8">
        <v>8.99</v>
      </c>
      <c r="E2722">
        <v>9</v>
      </c>
      <c r="F2722" t="str">
        <f t="shared" si="168"/>
        <v>Premium</v>
      </c>
      <c r="G2722" s="3" cm="1">
        <f t="array" ref="G2722">_xlfn.XLOOKUP(C2722 &amp; F2722,
         [1]unilever_price_limits!A:A &amp; [1]unilever_price_limits!B:B,
         [1]unilever_price_limits!C:C)</f>
        <v>60</v>
      </c>
      <c r="H2722" s="8">
        <f t="shared" si="169"/>
        <v>14.384</v>
      </c>
      <c r="I2722" s="6">
        <f t="shared" si="170"/>
        <v>60.000000000000007</v>
      </c>
      <c r="J2722" t="str">
        <f t="shared" si="171"/>
        <v>OK</v>
      </c>
    </row>
    <row r="2723" spans="1:10" x14ac:dyDescent="0.2">
      <c r="A2723">
        <v>12722</v>
      </c>
      <c r="B2723" t="s">
        <v>8</v>
      </c>
      <c r="C2723" t="s">
        <v>11</v>
      </c>
      <c r="D2723" s="8">
        <v>10.28</v>
      </c>
      <c r="E2723">
        <v>4</v>
      </c>
      <c r="F2723" t="str">
        <f t="shared" si="168"/>
        <v>Standard</v>
      </c>
      <c r="G2723" s="3" cm="1">
        <f t="array" ref="G2723">_xlfn.XLOOKUP(C2723 &amp; F2723,
         [1]unilever_price_limits!A:A &amp; [1]unilever_price_limits!B:B,
         [1]unilever_price_limits!C:C)</f>
        <v>25</v>
      </c>
      <c r="H2723" s="8">
        <f t="shared" si="169"/>
        <v>12.85</v>
      </c>
      <c r="I2723" s="6">
        <f t="shared" si="170"/>
        <v>25</v>
      </c>
      <c r="J2723" t="str">
        <f t="shared" si="171"/>
        <v>OK</v>
      </c>
    </row>
    <row r="2724" spans="1:10" x14ac:dyDescent="0.2">
      <c r="A2724">
        <v>12723</v>
      </c>
      <c r="B2724" t="s">
        <v>7</v>
      </c>
      <c r="C2724" t="s">
        <v>9</v>
      </c>
      <c r="D2724" s="8">
        <v>12.16</v>
      </c>
      <c r="E2724">
        <v>3</v>
      </c>
      <c r="F2724" t="str">
        <f t="shared" si="168"/>
        <v>Value</v>
      </c>
      <c r="G2724" s="3" cm="1">
        <f t="array" ref="G2724">_xlfn.XLOOKUP(C2724 &amp; F2724,
         [1]unilever_price_limits!A:A &amp; [1]unilever_price_limits!B:B,
         [1]unilever_price_limits!C:C)</f>
        <v>15</v>
      </c>
      <c r="H2724" s="8">
        <f t="shared" si="169"/>
        <v>13.983999999999998</v>
      </c>
      <c r="I2724" s="6">
        <f t="shared" si="170"/>
        <v>14.999999999999991</v>
      </c>
      <c r="J2724" t="str">
        <f t="shared" si="171"/>
        <v>OK</v>
      </c>
    </row>
    <row r="2725" spans="1:10" x14ac:dyDescent="0.2">
      <c r="A2725">
        <v>12724</v>
      </c>
      <c r="B2725" t="s">
        <v>5</v>
      </c>
      <c r="C2725" t="s">
        <v>11</v>
      </c>
      <c r="D2725" s="8">
        <v>10.06</v>
      </c>
      <c r="E2725">
        <v>1</v>
      </c>
      <c r="F2725" t="str">
        <f t="shared" si="168"/>
        <v>Value</v>
      </c>
      <c r="G2725" s="3" cm="1">
        <f t="array" ref="G2725">_xlfn.XLOOKUP(C2725 &amp; F2725,
         [1]unilever_price_limits!A:A &amp; [1]unilever_price_limits!B:B,
         [1]unilever_price_limits!C:C)</f>
        <v>10</v>
      </c>
      <c r="H2725" s="8">
        <f t="shared" si="169"/>
        <v>11.066000000000001</v>
      </c>
      <c r="I2725" s="6">
        <f t="shared" si="170"/>
        <v>10.000000000000009</v>
      </c>
      <c r="J2725" t="str">
        <f t="shared" si="171"/>
        <v>OK</v>
      </c>
    </row>
    <row r="2726" spans="1:10" x14ac:dyDescent="0.2">
      <c r="A2726">
        <v>12725</v>
      </c>
      <c r="B2726" t="s">
        <v>8</v>
      </c>
      <c r="C2726" t="s">
        <v>11</v>
      </c>
      <c r="D2726" s="8">
        <v>6.27</v>
      </c>
      <c r="E2726">
        <v>2</v>
      </c>
      <c r="F2726" t="str">
        <f t="shared" si="168"/>
        <v>Value</v>
      </c>
      <c r="G2726" s="3" cm="1">
        <f t="array" ref="G2726">_xlfn.XLOOKUP(C2726 &amp; F2726,
         [1]unilever_price_limits!A:A &amp; [1]unilever_price_limits!B:B,
         [1]unilever_price_limits!C:C)</f>
        <v>10</v>
      </c>
      <c r="H2726" s="8">
        <f t="shared" si="169"/>
        <v>6.8970000000000002</v>
      </c>
      <c r="I2726" s="6">
        <f t="shared" si="170"/>
        <v>10.000000000000009</v>
      </c>
      <c r="J2726" t="str">
        <f t="shared" si="171"/>
        <v>OK</v>
      </c>
    </row>
    <row r="2727" spans="1:10" x14ac:dyDescent="0.2">
      <c r="A2727">
        <v>12726</v>
      </c>
      <c r="B2727" t="s">
        <v>10</v>
      </c>
      <c r="C2727" t="s">
        <v>6</v>
      </c>
      <c r="D2727" s="8">
        <v>7.95</v>
      </c>
      <c r="E2727">
        <v>3</v>
      </c>
      <c r="F2727" t="str">
        <f t="shared" si="168"/>
        <v>Value</v>
      </c>
      <c r="G2727" s="3" cm="1">
        <f t="array" ref="G2727">_xlfn.XLOOKUP(C2727 &amp; F2727,
         [1]unilever_price_limits!A:A &amp; [1]unilever_price_limits!B:B,
         [1]unilever_price_limits!C:C)</f>
        <v>12</v>
      </c>
      <c r="H2727" s="8">
        <f t="shared" si="169"/>
        <v>8.9040000000000017</v>
      </c>
      <c r="I2727" s="6">
        <f t="shared" si="170"/>
        <v>12.000000000000011</v>
      </c>
      <c r="J2727" t="str">
        <f t="shared" si="171"/>
        <v>OK</v>
      </c>
    </row>
    <row r="2728" spans="1:10" x14ac:dyDescent="0.2">
      <c r="A2728">
        <v>12727</v>
      </c>
      <c r="B2728" t="s">
        <v>7</v>
      </c>
      <c r="C2728" t="s">
        <v>6</v>
      </c>
      <c r="D2728" s="8">
        <v>12.14</v>
      </c>
      <c r="E2728">
        <v>4</v>
      </c>
      <c r="F2728" t="str">
        <f t="shared" si="168"/>
        <v>Standard</v>
      </c>
      <c r="G2728" s="3" cm="1">
        <f t="array" ref="G2728">_xlfn.XLOOKUP(C2728 &amp; F2728,
         [1]unilever_price_limits!A:A &amp; [1]unilever_price_limits!B:B,
         [1]unilever_price_limits!C:C)</f>
        <v>28</v>
      </c>
      <c r="H2728" s="8">
        <f t="shared" si="169"/>
        <v>15.539200000000001</v>
      </c>
      <c r="I2728" s="6">
        <f t="shared" si="170"/>
        <v>28.000000000000004</v>
      </c>
      <c r="J2728" t="str">
        <f t="shared" si="171"/>
        <v>OK</v>
      </c>
    </row>
    <row r="2729" spans="1:10" x14ac:dyDescent="0.2">
      <c r="A2729">
        <v>12728</v>
      </c>
      <c r="B2729" t="s">
        <v>8</v>
      </c>
      <c r="C2729" t="s">
        <v>9</v>
      </c>
      <c r="D2729" s="8">
        <v>5.92</v>
      </c>
      <c r="E2729">
        <v>7</v>
      </c>
      <c r="F2729" t="str">
        <f t="shared" si="168"/>
        <v>Standard</v>
      </c>
      <c r="G2729" s="3" cm="1">
        <f t="array" ref="G2729">_xlfn.XLOOKUP(C2729 &amp; F2729,
         [1]unilever_price_limits!A:A &amp; [1]unilever_price_limits!B:B,
         [1]unilever_price_limits!C:C)</f>
        <v>30</v>
      </c>
      <c r="H2729" s="8">
        <f t="shared" si="169"/>
        <v>7.6959999999999997</v>
      </c>
      <c r="I2729" s="6">
        <f t="shared" si="170"/>
        <v>30.000000000000004</v>
      </c>
      <c r="J2729" t="str">
        <f t="shared" si="171"/>
        <v>OK</v>
      </c>
    </row>
    <row r="2730" spans="1:10" x14ac:dyDescent="0.2">
      <c r="A2730">
        <v>12729</v>
      </c>
      <c r="B2730" t="s">
        <v>5</v>
      </c>
      <c r="C2730" t="s">
        <v>11</v>
      </c>
      <c r="D2730" s="8">
        <v>6.13</v>
      </c>
      <c r="E2730">
        <v>6</v>
      </c>
      <c r="F2730" t="str">
        <f t="shared" si="168"/>
        <v>Standard</v>
      </c>
      <c r="G2730" s="3" cm="1">
        <f t="array" ref="G2730">_xlfn.XLOOKUP(C2730 &amp; F2730,
         [1]unilever_price_limits!A:A &amp; [1]unilever_price_limits!B:B,
         [1]unilever_price_limits!C:C)</f>
        <v>25</v>
      </c>
      <c r="H2730" s="8">
        <f t="shared" si="169"/>
        <v>7.6624999999999996</v>
      </c>
      <c r="I2730" s="6">
        <f t="shared" si="170"/>
        <v>25</v>
      </c>
      <c r="J2730" t="str">
        <f t="shared" si="171"/>
        <v>OK</v>
      </c>
    </row>
    <row r="2731" spans="1:10" x14ac:dyDescent="0.2">
      <c r="A2731">
        <v>12730</v>
      </c>
      <c r="B2731" t="s">
        <v>8</v>
      </c>
      <c r="C2731" t="s">
        <v>9</v>
      </c>
      <c r="D2731" s="8">
        <v>1.89</v>
      </c>
      <c r="E2731">
        <v>8</v>
      </c>
      <c r="F2731" t="str">
        <f t="shared" si="168"/>
        <v>Premium</v>
      </c>
      <c r="G2731" s="3" cm="1">
        <f t="array" ref="G2731">_xlfn.XLOOKUP(C2731 &amp; F2731,
         [1]unilever_price_limits!A:A &amp; [1]unilever_price_limits!B:B,
         [1]unilever_price_limits!C:C)</f>
        <v>60</v>
      </c>
      <c r="H2731" s="8">
        <f t="shared" si="169"/>
        <v>3.024</v>
      </c>
      <c r="I2731" s="6">
        <f t="shared" si="170"/>
        <v>60.000000000000007</v>
      </c>
      <c r="J2731" t="str">
        <f t="shared" si="171"/>
        <v>OK</v>
      </c>
    </row>
    <row r="2732" spans="1:10" x14ac:dyDescent="0.2">
      <c r="A2732">
        <v>12731</v>
      </c>
      <c r="B2732" t="s">
        <v>5</v>
      </c>
      <c r="C2732" t="s">
        <v>6</v>
      </c>
      <c r="D2732" s="8">
        <v>13.76</v>
      </c>
      <c r="E2732">
        <v>9</v>
      </c>
      <c r="F2732" t="str">
        <f t="shared" si="168"/>
        <v>Premium</v>
      </c>
      <c r="G2732" s="3" cm="1">
        <f t="array" ref="G2732">_xlfn.XLOOKUP(C2732 &amp; F2732,
         [1]unilever_price_limits!A:A &amp; [1]unilever_price_limits!B:B,
         [1]unilever_price_limits!C:C)</f>
        <v>55</v>
      </c>
      <c r="H2732" s="8">
        <f t="shared" si="169"/>
        <v>21.327999999999999</v>
      </c>
      <c r="I2732" s="6">
        <f t="shared" si="170"/>
        <v>55.000000000000007</v>
      </c>
      <c r="J2732" t="str">
        <f t="shared" si="171"/>
        <v>OK</v>
      </c>
    </row>
    <row r="2733" spans="1:10" x14ac:dyDescent="0.2">
      <c r="A2733">
        <v>12732</v>
      </c>
      <c r="B2733" t="s">
        <v>10</v>
      </c>
      <c r="C2733" t="s">
        <v>9</v>
      </c>
      <c r="D2733" s="8">
        <v>1.82</v>
      </c>
      <c r="E2733">
        <v>6</v>
      </c>
      <c r="F2733" t="str">
        <f t="shared" si="168"/>
        <v>Standard</v>
      </c>
      <c r="G2733" s="3" cm="1">
        <f t="array" ref="G2733">_xlfn.XLOOKUP(C2733 &amp; F2733,
         [1]unilever_price_limits!A:A &amp; [1]unilever_price_limits!B:B,
         [1]unilever_price_limits!C:C)</f>
        <v>30</v>
      </c>
      <c r="H2733" s="8">
        <f t="shared" si="169"/>
        <v>2.3660000000000001</v>
      </c>
      <c r="I2733" s="6">
        <f t="shared" si="170"/>
        <v>30.000000000000004</v>
      </c>
      <c r="J2733" t="str">
        <f t="shared" si="171"/>
        <v>OK</v>
      </c>
    </row>
    <row r="2734" spans="1:10" x14ac:dyDescent="0.2">
      <c r="A2734">
        <v>12733</v>
      </c>
      <c r="B2734" t="s">
        <v>7</v>
      </c>
      <c r="C2734" t="s">
        <v>9</v>
      </c>
      <c r="D2734" s="8">
        <v>9.9</v>
      </c>
      <c r="E2734">
        <v>7</v>
      </c>
      <c r="F2734" t="str">
        <f t="shared" si="168"/>
        <v>Standard</v>
      </c>
      <c r="G2734" s="3" cm="1">
        <f t="array" ref="G2734">_xlfn.XLOOKUP(C2734 &amp; F2734,
         [1]unilever_price_limits!A:A &amp; [1]unilever_price_limits!B:B,
         [1]unilever_price_limits!C:C)</f>
        <v>30</v>
      </c>
      <c r="H2734" s="8">
        <f t="shared" si="169"/>
        <v>12.870000000000001</v>
      </c>
      <c r="I2734" s="6">
        <f t="shared" si="170"/>
        <v>30.000000000000004</v>
      </c>
      <c r="J2734" t="str">
        <f t="shared" si="171"/>
        <v>OK</v>
      </c>
    </row>
    <row r="2735" spans="1:10" x14ac:dyDescent="0.2">
      <c r="A2735">
        <v>12734</v>
      </c>
      <c r="B2735" t="s">
        <v>7</v>
      </c>
      <c r="C2735" t="s">
        <v>6</v>
      </c>
      <c r="D2735" s="8">
        <v>6.49</v>
      </c>
      <c r="E2735">
        <v>4</v>
      </c>
      <c r="F2735" t="str">
        <f t="shared" si="168"/>
        <v>Standard</v>
      </c>
      <c r="G2735" s="3" cm="1">
        <f t="array" ref="G2735">_xlfn.XLOOKUP(C2735 &amp; F2735,
         [1]unilever_price_limits!A:A &amp; [1]unilever_price_limits!B:B,
         [1]unilever_price_limits!C:C)</f>
        <v>28</v>
      </c>
      <c r="H2735" s="8">
        <f t="shared" si="169"/>
        <v>8.3071999999999999</v>
      </c>
      <c r="I2735" s="6">
        <f t="shared" si="170"/>
        <v>28.000000000000004</v>
      </c>
      <c r="J2735" t="str">
        <f t="shared" si="171"/>
        <v>OK</v>
      </c>
    </row>
    <row r="2736" spans="1:10" x14ac:dyDescent="0.2">
      <c r="A2736">
        <v>12735</v>
      </c>
      <c r="B2736" t="s">
        <v>7</v>
      </c>
      <c r="C2736" t="s">
        <v>11</v>
      </c>
      <c r="D2736" s="8">
        <v>6.38</v>
      </c>
      <c r="E2736">
        <v>2</v>
      </c>
      <c r="F2736" t="str">
        <f t="shared" si="168"/>
        <v>Value</v>
      </c>
      <c r="G2736" s="3" cm="1">
        <f t="array" ref="G2736">_xlfn.XLOOKUP(C2736 &amp; F2736,
         [1]unilever_price_limits!A:A &amp; [1]unilever_price_limits!B:B,
         [1]unilever_price_limits!C:C)</f>
        <v>10</v>
      </c>
      <c r="H2736" s="8">
        <f t="shared" si="169"/>
        <v>7.0180000000000007</v>
      </c>
      <c r="I2736" s="6">
        <f t="shared" si="170"/>
        <v>10.000000000000009</v>
      </c>
      <c r="J2736" t="str">
        <f t="shared" si="171"/>
        <v>OK</v>
      </c>
    </row>
    <row r="2737" spans="1:10" x14ac:dyDescent="0.2">
      <c r="A2737">
        <v>12736</v>
      </c>
      <c r="B2737" t="s">
        <v>10</v>
      </c>
      <c r="C2737" t="s">
        <v>9</v>
      </c>
      <c r="D2737" s="8">
        <v>10.35</v>
      </c>
      <c r="E2737">
        <v>9</v>
      </c>
      <c r="F2737" t="str">
        <f t="shared" si="168"/>
        <v>Premium</v>
      </c>
      <c r="G2737" s="3" cm="1">
        <f t="array" ref="G2737">_xlfn.XLOOKUP(C2737 &amp; F2737,
         [1]unilever_price_limits!A:A &amp; [1]unilever_price_limits!B:B,
         [1]unilever_price_limits!C:C)</f>
        <v>60</v>
      </c>
      <c r="H2737" s="8">
        <f t="shared" si="169"/>
        <v>16.559999999999999</v>
      </c>
      <c r="I2737" s="6">
        <f t="shared" si="170"/>
        <v>59.999999999999986</v>
      </c>
      <c r="J2737" t="str">
        <f t="shared" si="171"/>
        <v>OK</v>
      </c>
    </row>
    <row r="2738" spans="1:10" x14ac:dyDescent="0.2">
      <c r="A2738">
        <v>12737</v>
      </c>
      <c r="B2738" t="s">
        <v>5</v>
      </c>
      <c r="C2738" t="s">
        <v>6</v>
      </c>
      <c r="D2738" s="8">
        <v>1.47</v>
      </c>
      <c r="E2738">
        <v>9</v>
      </c>
      <c r="F2738" t="str">
        <f t="shared" si="168"/>
        <v>Premium</v>
      </c>
      <c r="G2738" s="3" cm="1">
        <f t="array" ref="G2738">_xlfn.XLOOKUP(C2738 &amp; F2738,
         [1]unilever_price_limits!A:A &amp; [1]unilever_price_limits!B:B,
         [1]unilever_price_limits!C:C)</f>
        <v>55</v>
      </c>
      <c r="H2738" s="8">
        <f t="shared" si="169"/>
        <v>2.2785000000000002</v>
      </c>
      <c r="I2738" s="6">
        <f t="shared" si="170"/>
        <v>55.000000000000028</v>
      </c>
      <c r="J2738" t="str">
        <f t="shared" si="171"/>
        <v>OK</v>
      </c>
    </row>
    <row r="2739" spans="1:10" x14ac:dyDescent="0.2">
      <c r="A2739">
        <v>12738</v>
      </c>
      <c r="B2739" t="s">
        <v>10</v>
      </c>
      <c r="C2739" t="s">
        <v>11</v>
      </c>
      <c r="D2739" s="8">
        <v>9.11</v>
      </c>
      <c r="E2739">
        <v>4</v>
      </c>
      <c r="F2739" t="str">
        <f t="shared" si="168"/>
        <v>Standard</v>
      </c>
      <c r="G2739" s="3" cm="1">
        <f t="array" ref="G2739">_xlfn.XLOOKUP(C2739 &amp; F2739,
         [1]unilever_price_limits!A:A &amp; [1]unilever_price_limits!B:B,
         [1]unilever_price_limits!C:C)</f>
        <v>25</v>
      </c>
      <c r="H2739" s="8">
        <f t="shared" si="169"/>
        <v>11.387499999999999</v>
      </c>
      <c r="I2739" s="6">
        <f t="shared" si="170"/>
        <v>25</v>
      </c>
      <c r="J2739" t="str">
        <f t="shared" si="171"/>
        <v>OK</v>
      </c>
    </row>
    <row r="2740" spans="1:10" x14ac:dyDescent="0.2">
      <c r="A2740">
        <v>12739</v>
      </c>
      <c r="B2740" t="s">
        <v>7</v>
      </c>
      <c r="C2740" t="s">
        <v>6</v>
      </c>
      <c r="D2740" s="8">
        <v>11.69</v>
      </c>
      <c r="E2740">
        <v>3</v>
      </c>
      <c r="F2740" t="str">
        <f t="shared" si="168"/>
        <v>Value</v>
      </c>
      <c r="G2740" s="3" cm="1">
        <f t="array" ref="G2740">_xlfn.XLOOKUP(C2740 &amp; F2740,
         [1]unilever_price_limits!A:A &amp; [1]unilever_price_limits!B:B,
         [1]unilever_price_limits!C:C)</f>
        <v>12</v>
      </c>
      <c r="H2740" s="8">
        <f t="shared" si="169"/>
        <v>13.0928</v>
      </c>
      <c r="I2740" s="6">
        <f t="shared" si="170"/>
        <v>12.000000000000011</v>
      </c>
      <c r="J2740" t="str">
        <f t="shared" si="171"/>
        <v>OK</v>
      </c>
    </row>
    <row r="2741" spans="1:10" x14ac:dyDescent="0.2">
      <c r="A2741">
        <v>12740</v>
      </c>
      <c r="B2741" t="s">
        <v>10</v>
      </c>
      <c r="C2741" t="s">
        <v>9</v>
      </c>
      <c r="D2741" s="8">
        <v>12.51</v>
      </c>
      <c r="E2741">
        <v>10</v>
      </c>
      <c r="F2741" t="str">
        <f t="shared" si="168"/>
        <v>Premium</v>
      </c>
      <c r="G2741" s="3" cm="1">
        <f t="array" ref="G2741">_xlfn.XLOOKUP(C2741 &amp; F2741,
         [1]unilever_price_limits!A:A &amp; [1]unilever_price_limits!B:B,
         [1]unilever_price_limits!C:C)</f>
        <v>60</v>
      </c>
      <c r="H2741" s="8">
        <f t="shared" si="169"/>
        <v>20.016000000000002</v>
      </c>
      <c r="I2741" s="6">
        <f t="shared" si="170"/>
        <v>60.000000000000007</v>
      </c>
      <c r="J2741" t="str">
        <f t="shared" si="171"/>
        <v>OK</v>
      </c>
    </row>
    <row r="2742" spans="1:10" x14ac:dyDescent="0.2">
      <c r="A2742">
        <v>12741</v>
      </c>
      <c r="B2742" t="s">
        <v>10</v>
      </c>
      <c r="C2742" t="s">
        <v>11</v>
      </c>
      <c r="D2742" s="8">
        <v>2.97</v>
      </c>
      <c r="E2742">
        <v>6</v>
      </c>
      <c r="F2742" t="str">
        <f t="shared" si="168"/>
        <v>Standard</v>
      </c>
      <c r="G2742" s="3" cm="1">
        <f t="array" ref="G2742">_xlfn.XLOOKUP(C2742 &amp; F2742,
         [1]unilever_price_limits!A:A &amp; [1]unilever_price_limits!B:B,
         [1]unilever_price_limits!C:C)</f>
        <v>25</v>
      </c>
      <c r="H2742" s="8">
        <f t="shared" si="169"/>
        <v>3.7125000000000004</v>
      </c>
      <c r="I2742" s="6">
        <f t="shared" si="170"/>
        <v>25</v>
      </c>
      <c r="J2742" t="str">
        <f t="shared" si="171"/>
        <v>OK</v>
      </c>
    </row>
    <row r="2743" spans="1:10" x14ac:dyDescent="0.2">
      <c r="A2743">
        <v>12742</v>
      </c>
      <c r="B2743" t="s">
        <v>10</v>
      </c>
      <c r="C2743" t="s">
        <v>11</v>
      </c>
      <c r="D2743" s="8">
        <v>13.51</v>
      </c>
      <c r="E2743">
        <v>3</v>
      </c>
      <c r="F2743" t="str">
        <f t="shared" si="168"/>
        <v>Value</v>
      </c>
      <c r="G2743" s="3" cm="1">
        <f t="array" ref="G2743">_xlfn.XLOOKUP(C2743 &amp; F2743,
         [1]unilever_price_limits!A:A &amp; [1]unilever_price_limits!B:B,
         [1]unilever_price_limits!C:C)</f>
        <v>10</v>
      </c>
      <c r="H2743" s="8">
        <f t="shared" si="169"/>
        <v>14.861000000000001</v>
      </c>
      <c r="I2743" s="6">
        <f t="shared" si="170"/>
        <v>10.000000000000009</v>
      </c>
      <c r="J2743" t="str">
        <f t="shared" si="171"/>
        <v>OK</v>
      </c>
    </row>
    <row r="2744" spans="1:10" x14ac:dyDescent="0.2">
      <c r="A2744">
        <v>12743</v>
      </c>
      <c r="B2744" t="s">
        <v>5</v>
      </c>
      <c r="C2744" t="s">
        <v>6</v>
      </c>
      <c r="D2744" s="8">
        <v>10.01</v>
      </c>
      <c r="E2744">
        <v>1</v>
      </c>
      <c r="F2744" t="str">
        <f t="shared" si="168"/>
        <v>Value</v>
      </c>
      <c r="G2744" s="3" cm="1">
        <f t="array" ref="G2744">_xlfn.XLOOKUP(C2744 &amp; F2744,
         [1]unilever_price_limits!A:A &amp; [1]unilever_price_limits!B:B,
         [1]unilever_price_limits!C:C)</f>
        <v>12</v>
      </c>
      <c r="H2744" s="8">
        <f t="shared" si="169"/>
        <v>11.211200000000002</v>
      </c>
      <c r="I2744" s="6">
        <f t="shared" si="170"/>
        <v>12.000000000000011</v>
      </c>
      <c r="J2744" t="str">
        <f t="shared" si="171"/>
        <v>OK</v>
      </c>
    </row>
    <row r="2745" spans="1:10" x14ac:dyDescent="0.2">
      <c r="A2745">
        <v>12744</v>
      </c>
      <c r="B2745" t="s">
        <v>8</v>
      </c>
      <c r="C2745" t="s">
        <v>6</v>
      </c>
      <c r="D2745" s="8">
        <v>13.29</v>
      </c>
      <c r="E2745">
        <v>4</v>
      </c>
      <c r="F2745" t="str">
        <f t="shared" si="168"/>
        <v>Standard</v>
      </c>
      <c r="G2745" s="3" cm="1">
        <f t="array" ref="G2745">_xlfn.XLOOKUP(C2745 &amp; F2745,
         [1]unilever_price_limits!A:A &amp; [1]unilever_price_limits!B:B,
         [1]unilever_price_limits!C:C)</f>
        <v>28</v>
      </c>
      <c r="H2745" s="8">
        <f t="shared" si="169"/>
        <v>17.011199999999999</v>
      </c>
      <c r="I2745" s="6">
        <f t="shared" si="170"/>
        <v>28.000000000000004</v>
      </c>
      <c r="J2745" t="str">
        <f t="shared" si="171"/>
        <v>OK</v>
      </c>
    </row>
    <row r="2746" spans="1:10" x14ac:dyDescent="0.2">
      <c r="A2746">
        <v>12745</v>
      </c>
      <c r="B2746" t="s">
        <v>8</v>
      </c>
      <c r="C2746" t="s">
        <v>6</v>
      </c>
      <c r="D2746" s="8">
        <v>7.54</v>
      </c>
      <c r="E2746">
        <v>1</v>
      </c>
      <c r="F2746" t="str">
        <f t="shared" si="168"/>
        <v>Value</v>
      </c>
      <c r="G2746" s="3" cm="1">
        <f t="array" ref="G2746">_xlfn.XLOOKUP(C2746 &amp; F2746,
         [1]unilever_price_limits!A:A &amp; [1]unilever_price_limits!B:B,
         [1]unilever_price_limits!C:C)</f>
        <v>12</v>
      </c>
      <c r="H2746" s="8">
        <f t="shared" si="169"/>
        <v>8.4448000000000008</v>
      </c>
      <c r="I2746" s="6">
        <f t="shared" si="170"/>
        <v>12.000000000000011</v>
      </c>
      <c r="J2746" t="str">
        <f t="shared" si="171"/>
        <v>OK</v>
      </c>
    </row>
    <row r="2747" spans="1:10" x14ac:dyDescent="0.2">
      <c r="A2747">
        <v>12746</v>
      </c>
      <c r="B2747" t="s">
        <v>10</v>
      </c>
      <c r="C2747" t="s">
        <v>11</v>
      </c>
      <c r="D2747" s="8">
        <v>8.36</v>
      </c>
      <c r="E2747">
        <v>2</v>
      </c>
      <c r="F2747" t="str">
        <f t="shared" si="168"/>
        <v>Value</v>
      </c>
      <c r="G2747" s="3" cm="1">
        <f t="array" ref="G2747">_xlfn.XLOOKUP(C2747 &amp; F2747,
         [1]unilever_price_limits!A:A &amp; [1]unilever_price_limits!B:B,
         [1]unilever_price_limits!C:C)</f>
        <v>10</v>
      </c>
      <c r="H2747" s="8">
        <f t="shared" si="169"/>
        <v>9.1959999999999997</v>
      </c>
      <c r="I2747" s="6">
        <f t="shared" si="170"/>
        <v>10.000000000000009</v>
      </c>
      <c r="J2747" t="str">
        <f t="shared" si="171"/>
        <v>OK</v>
      </c>
    </row>
    <row r="2748" spans="1:10" x14ac:dyDescent="0.2">
      <c r="A2748">
        <v>12747</v>
      </c>
      <c r="B2748" t="s">
        <v>8</v>
      </c>
      <c r="C2748" t="s">
        <v>11</v>
      </c>
      <c r="D2748" s="8">
        <v>13.83</v>
      </c>
      <c r="E2748">
        <v>3</v>
      </c>
      <c r="F2748" t="str">
        <f t="shared" si="168"/>
        <v>Value</v>
      </c>
      <c r="G2748" s="3" cm="1">
        <f t="array" ref="G2748">_xlfn.XLOOKUP(C2748 &amp; F2748,
         [1]unilever_price_limits!A:A &amp; [1]unilever_price_limits!B:B,
         [1]unilever_price_limits!C:C)</f>
        <v>10</v>
      </c>
      <c r="H2748" s="8">
        <f t="shared" si="169"/>
        <v>15.213000000000001</v>
      </c>
      <c r="I2748" s="6">
        <f t="shared" si="170"/>
        <v>10.000000000000009</v>
      </c>
      <c r="J2748" t="str">
        <f t="shared" si="171"/>
        <v>OK</v>
      </c>
    </row>
    <row r="2749" spans="1:10" x14ac:dyDescent="0.2">
      <c r="A2749">
        <v>12748</v>
      </c>
      <c r="B2749" t="s">
        <v>8</v>
      </c>
      <c r="C2749" t="s">
        <v>9</v>
      </c>
      <c r="D2749" s="8">
        <v>13.55</v>
      </c>
      <c r="E2749">
        <v>8</v>
      </c>
      <c r="F2749" t="str">
        <f t="shared" si="168"/>
        <v>Premium</v>
      </c>
      <c r="G2749" s="3" cm="1">
        <f t="array" ref="G2749">_xlfn.XLOOKUP(C2749 &amp; F2749,
         [1]unilever_price_limits!A:A &amp; [1]unilever_price_limits!B:B,
         [1]unilever_price_limits!C:C)</f>
        <v>60</v>
      </c>
      <c r="H2749" s="8">
        <f t="shared" si="169"/>
        <v>21.680000000000003</v>
      </c>
      <c r="I2749" s="6">
        <f t="shared" si="170"/>
        <v>60.000000000000007</v>
      </c>
      <c r="J2749" t="str">
        <f t="shared" si="171"/>
        <v>OK</v>
      </c>
    </row>
    <row r="2750" spans="1:10" x14ac:dyDescent="0.2">
      <c r="A2750">
        <v>12749</v>
      </c>
      <c r="B2750" t="s">
        <v>10</v>
      </c>
      <c r="C2750" t="s">
        <v>11</v>
      </c>
      <c r="D2750" s="8">
        <v>7</v>
      </c>
      <c r="E2750">
        <v>10</v>
      </c>
      <c r="F2750" t="str">
        <f t="shared" si="168"/>
        <v>Premium</v>
      </c>
      <c r="G2750" s="3" cm="1">
        <f t="array" ref="G2750">_xlfn.XLOOKUP(C2750 &amp; F2750,
         [1]unilever_price_limits!A:A &amp; [1]unilever_price_limits!B:B,
         [1]unilever_price_limits!C:C)</f>
        <v>50</v>
      </c>
      <c r="H2750" s="8">
        <f t="shared" si="169"/>
        <v>10.5</v>
      </c>
      <c r="I2750" s="6">
        <f t="shared" si="170"/>
        <v>50</v>
      </c>
      <c r="J2750" t="str">
        <f t="shared" si="171"/>
        <v>OK</v>
      </c>
    </row>
    <row r="2751" spans="1:10" x14ac:dyDescent="0.2">
      <c r="A2751">
        <v>12750</v>
      </c>
      <c r="B2751" t="s">
        <v>10</v>
      </c>
      <c r="C2751" t="s">
        <v>9</v>
      </c>
      <c r="D2751" s="8">
        <v>4.4800000000000004</v>
      </c>
      <c r="E2751">
        <v>4</v>
      </c>
      <c r="F2751" t="str">
        <f t="shared" si="168"/>
        <v>Standard</v>
      </c>
      <c r="G2751" s="3" cm="1">
        <f t="array" ref="G2751">_xlfn.XLOOKUP(C2751 &amp; F2751,
         [1]unilever_price_limits!A:A &amp; [1]unilever_price_limits!B:B,
         [1]unilever_price_limits!C:C)</f>
        <v>30</v>
      </c>
      <c r="H2751" s="8">
        <f t="shared" si="169"/>
        <v>5.8240000000000007</v>
      </c>
      <c r="I2751" s="6">
        <f t="shared" si="170"/>
        <v>30.000000000000004</v>
      </c>
      <c r="J2751" t="str">
        <f t="shared" si="171"/>
        <v>OK</v>
      </c>
    </row>
    <row r="2752" spans="1:10" x14ac:dyDescent="0.2">
      <c r="A2752">
        <v>12751</v>
      </c>
      <c r="B2752" t="s">
        <v>7</v>
      </c>
      <c r="C2752" t="s">
        <v>6</v>
      </c>
      <c r="D2752" s="8">
        <v>6.2</v>
      </c>
      <c r="E2752">
        <v>4</v>
      </c>
      <c r="F2752" t="str">
        <f t="shared" si="168"/>
        <v>Standard</v>
      </c>
      <c r="G2752" s="3" cm="1">
        <f t="array" ref="G2752">_xlfn.XLOOKUP(C2752 &amp; F2752,
         [1]unilever_price_limits!A:A &amp; [1]unilever_price_limits!B:B,
         [1]unilever_price_limits!C:C)</f>
        <v>28</v>
      </c>
      <c r="H2752" s="8">
        <f t="shared" si="169"/>
        <v>7.9360000000000008</v>
      </c>
      <c r="I2752" s="6">
        <f t="shared" si="170"/>
        <v>28.000000000000004</v>
      </c>
      <c r="J2752" t="str">
        <f t="shared" si="171"/>
        <v>OK</v>
      </c>
    </row>
    <row r="2753" spans="1:10" x14ac:dyDescent="0.2">
      <c r="A2753">
        <v>12752</v>
      </c>
      <c r="B2753" t="s">
        <v>8</v>
      </c>
      <c r="C2753" t="s">
        <v>6</v>
      </c>
      <c r="D2753" s="8">
        <v>6.12</v>
      </c>
      <c r="E2753">
        <v>10</v>
      </c>
      <c r="F2753" t="str">
        <f t="shared" si="168"/>
        <v>Premium</v>
      </c>
      <c r="G2753" s="3" cm="1">
        <f t="array" ref="G2753">_xlfn.XLOOKUP(C2753 &amp; F2753,
         [1]unilever_price_limits!A:A &amp; [1]unilever_price_limits!B:B,
         [1]unilever_price_limits!C:C)</f>
        <v>55</v>
      </c>
      <c r="H2753" s="8">
        <f t="shared" si="169"/>
        <v>9.4860000000000007</v>
      </c>
      <c r="I2753" s="6">
        <f t="shared" si="170"/>
        <v>55.000000000000007</v>
      </c>
      <c r="J2753" t="str">
        <f t="shared" si="171"/>
        <v>OK</v>
      </c>
    </row>
    <row r="2754" spans="1:10" x14ac:dyDescent="0.2">
      <c r="A2754">
        <v>12753</v>
      </c>
      <c r="B2754" t="s">
        <v>5</v>
      </c>
      <c r="C2754" t="s">
        <v>11</v>
      </c>
      <c r="D2754" s="8">
        <v>4.66</v>
      </c>
      <c r="E2754">
        <v>9</v>
      </c>
      <c r="F2754" t="str">
        <f t="shared" si="168"/>
        <v>Premium</v>
      </c>
      <c r="G2754" s="3" cm="1">
        <f t="array" ref="G2754">_xlfn.XLOOKUP(C2754 &amp; F2754,
         [1]unilever_price_limits!A:A &amp; [1]unilever_price_limits!B:B,
         [1]unilever_price_limits!C:C)</f>
        <v>50</v>
      </c>
      <c r="H2754" s="8">
        <f t="shared" si="169"/>
        <v>6.99</v>
      </c>
      <c r="I2754" s="6">
        <f t="shared" si="170"/>
        <v>50</v>
      </c>
      <c r="J2754" t="str">
        <f t="shared" si="171"/>
        <v>OK</v>
      </c>
    </row>
    <row r="2755" spans="1:10" x14ac:dyDescent="0.2">
      <c r="A2755">
        <v>12754</v>
      </c>
      <c r="B2755" t="s">
        <v>10</v>
      </c>
      <c r="C2755" t="s">
        <v>6</v>
      </c>
      <c r="D2755" s="8">
        <v>4.3899999999999997</v>
      </c>
      <c r="E2755">
        <v>7</v>
      </c>
      <c r="F2755" t="str">
        <f t="shared" ref="F2755:F2818" si="172">IF(E2755&lt;=3,"Value",
 IF(E2755&lt;=7,"Standard","Premium"))</f>
        <v>Standard</v>
      </c>
      <c r="G2755" s="3" cm="1">
        <f t="array" ref="G2755">_xlfn.XLOOKUP(C2755 &amp; F2755,
         [1]unilever_price_limits!A:A &amp; [1]unilever_price_limits!B:B,
         [1]unilever_price_limits!C:C)</f>
        <v>28</v>
      </c>
      <c r="H2755" s="8">
        <f t="shared" ref="H2755:H2818" si="173">D2755 * (1 + G2755/100)</f>
        <v>5.6191999999999993</v>
      </c>
      <c r="I2755" s="6">
        <f t="shared" ref="I2755:I2818" si="174">(H2755 / D2755 - 1) * 100</f>
        <v>28.000000000000004</v>
      </c>
      <c r="J2755" t="str">
        <f t="shared" ref="J2755:J2818" si="175">IF(I2754&gt; G2754, "⚠ Exceeds Limit", "OK")</f>
        <v>OK</v>
      </c>
    </row>
    <row r="2756" spans="1:10" x14ac:dyDescent="0.2">
      <c r="A2756">
        <v>12755</v>
      </c>
      <c r="B2756" t="s">
        <v>7</v>
      </c>
      <c r="C2756" t="s">
        <v>6</v>
      </c>
      <c r="D2756" s="8">
        <v>12.99</v>
      </c>
      <c r="E2756">
        <v>2</v>
      </c>
      <c r="F2756" t="str">
        <f t="shared" si="172"/>
        <v>Value</v>
      </c>
      <c r="G2756" s="3" cm="1">
        <f t="array" ref="G2756">_xlfn.XLOOKUP(C2756 &amp; F2756,
         [1]unilever_price_limits!A:A &amp; [1]unilever_price_limits!B:B,
         [1]unilever_price_limits!C:C)</f>
        <v>12</v>
      </c>
      <c r="H2756" s="8">
        <f t="shared" si="173"/>
        <v>14.548800000000002</v>
      </c>
      <c r="I2756" s="6">
        <f t="shared" si="174"/>
        <v>12.000000000000011</v>
      </c>
      <c r="J2756" t="str">
        <f t="shared" si="175"/>
        <v>OK</v>
      </c>
    </row>
    <row r="2757" spans="1:10" x14ac:dyDescent="0.2">
      <c r="A2757">
        <v>12756</v>
      </c>
      <c r="B2757" t="s">
        <v>5</v>
      </c>
      <c r="C2757" t="s">
        <v>11</v>
      </c>
      <c r="D2757" s="8">
        <v>1.51</v>
      </c>
      <c r="E2757">
        <v>3</v>
      </c>
      <c r="F2757" t="str">
        <f t="shared" si="172"/>
        <v>Value</v>
      </c>
      <c r="G2757" s="3" cm="1">
        <f t="array" ref="G2757">_xlfn.XLOOKUP(C2757 &amp; F2757,
         [1]unilever_price_limits!A:A &amp; [1]unilever_price_limits!B:B,
         [1]unilever_price_limits!C:C)</f>
        <v>10</v>
      </c>
      <c r="H2757" s="8">
        <f t="shared" si="173"/>
        <v>1.6610000000000003</v>
      </c>
      <c r="I2757" s="6">
        <f t="shared" si="174"/>
        <v>10.000000000000009</v>
      </c>
      <c r="J2757" t="str">
        <f t="shared" si="175"/>
        <v>OK</v>
      </c>
    </row>
    <row r="2758" spans="1:10" x14ac:dyDescent="0.2">
      <c r="A2758">
        <v>12757</v>
      </c>
      <c r="B2758" t="s">
        <v>8</v>
      </c>
      <c r="C2758" t="s">
        <v>9</v>
      </c>
      <c r="D2758" s="8">
        <v>10.33</v>
      </c>
      <c r="E2758">
        <v>4</v>
      </c>
      <c r="F2758" t="str">
        <f t="shared" si="172"/>
        <v>Standard</v>
      </c>
      <c r="G2758" s="3" cm="1">
        <f t="array" ref="G2758">_xlfn.XLOOKUP(C2758 &amp; F2758,
         [1]unilever_price_limits!A:A &amp; [1]unilever_price_limits!B:B,
         [1]unilever_price_limits!C:C)</f>
        <v>30</v>
      </c>
      <c r="H2758" s="8">
        <f t="shared" si="173"/>
        <v>13.429</v>
      </c>
      <c r="I2758" s="6">
        <f t="shared" si="174"/>
        <v>30.000000000000004</v>
      </c>
      <c r="J2758" t="str">
        <f t="shared" si="175"/>
        <v>OK</v>
      </c>
    </row>
    <row r="2759" spans="1:10" x14ac:dyDescent="0.2">
      <c r="A2759">
        <v>12758</v>
      </c>
      <c r="B2759" t="s">
        <v>7</v>
      </c>
      <c r="C2759" t="s">
        <v>11</v>
      </c>
      <c r="D2759" s="8">
        <v>3.01</v>
      </c>
      <c r="E2759">
        <v>4</v>
      </c>
      <c r="F2759" t="str">
        <f t="shared" si="172"/>
        <v>Standard</v>
      </c>
      <c r="G2759" s="3" cm="1">
        <f t="array" ref="G2759">_xlfn.XLOOKUP(C2759 &amp; F2759,
         [1]unilever_price_limits!A:A &amp; [1]unilever_price_limits!B:B,
         [1]unilever_price_limits!C:C)</f>
        <v>25</v>
      </c>
      <c r="H2759" s="8">
        <f t="shared" si="173"/>
        <v>3.7624999999999997</v>
      </c>
      <c r="I2759" s="6">
        <f t="shared" si="174"/>
        <v>25</v>
      </c>
      <c r="J2759" t="str">
        <f t="shared" si="175"/>
        <v>OK</v>
      </c>
    </row>
    <row r="2760" spans="1:10" x14ac:dyDescent="0.2">
      <c r="A2760">
        <v>12759</v>
      </c>
      <c r="B2760" t="s">
        <v>10</v>
      </c>
      <c r="C2760" t="s">
        <v>9</v>
      </c>
      <c r="D2760" s="8">
        <v>5.5</v>
      </c>
      <c r="E2760">
        <v>10</v>
      </c>
      <c r="F2760" t="str">
        <f t="shared" si="172"/>
        <v>Premium</v>
      </c>
      <c r="G2760" s="3" cm="1">
        <f t="array" ref="G2760">_xlfn.XLOOKUP(C2760 &amp; F2760,
         [1]unilever_price_limits!A:A &amp; [1]unilever_price_limits!B:B,
         [1]unilever_price_limits!C:C)</f>
        <v>60</v>
      </c>
      <c r="H2760" s="8">
        <f t="shared" si="173"/>
        <v>8.8000000000000007</v>
      </c>
      <c r="I2760" s="6">
        <f t="shared" si="174"/>
        <v>60.000000000000007</v>
      </c>
      <c r="J2760" t="str">
        <f t="shared" si="175"/>
        <v>OK</v>
      </c>
    </row>
    <row r="2761" spans="1:10" x14ac:dyDescent="0.2">
      <c r="A2761">
        <v>12760</v>
      </c>
      <c r="B2761" t="s">
        <v>5</v>
      </c>
      <c r="C2761" t="s">
        <v>11</v>
      </c>
      <c r="D2761" s="8">
        <v>1.39</v>
      </c>
      <c r="E2761">
        <v>8</v>
      </c>
      <c r="F2761" t="str">
        <f t="shared" si="172"/>
        <v>Premium</v>
      </c>
      <c r="G2761" s="3" cm="1">
        <f t="array" ref="G2761">_xlfn.XLOOKUP(C2761 &amp; F2761,
         [1]unilever_price_limits!A:A &amp; [1]unilever_price_limits!B:B,
         [1]unilever_price_limits!C:C)</f>
        <v>50</v>
      </c>
      <c r="H2761" s="8">
        <f t="shared" si="173"/>
        <v>2.085</v>
      </c>
      <c r="I2761" s="6">
        <f t="shared" si="174"/>
        <v>50</v>
      </c>
      <c r="J2761" t="str">
        <f t="shared" si="175"/>
        <v>OK</v>
      </c>
    </row>
    <row r="2762" spans="1:10" x14ac:dyDescent="0.2">
      <c r="A2762">
        <v>12761</v>
      </c>
      <c r="B2762" t="s">
        <v>10</v>
      </c>
      <c r="C2762" t="s">
        <v>11</v>
      </c>
      <c r="D2762" s="8">
        <v>4.41</v>
      </c>
      <c r="E2762">
        <v>10</v>
      </c>
      <c r="F2762" t="str">
        <f t="shared" si="172"/>
        <v>Premium</v>
      </c>
      <c r="G2762" s="3" cm="1">
        <f t="array" ref="G2762">_xlfn.XLOOKUP(C2762 &amp; F2762,
         [1]unilever_price_limits!A:A &amp; [1]unilever_price_limits!B:B,
         [1]unilever_price_limits!C:C)</f>
        <v>50</v>
      </c>
      <c r="H2762" s="8">
        <f t="shared" si="173"/>
        <v>6.6150000000000002</v>
      </c>
      <c r="I2762" s="6">
        <f t="shared" si="174"/>
        <v>50</v>
      </c>
      <c r="J2762" t="str">
        <f t="shared" si="175"/>
        <v>OK</v>
      </c>
    </row>
    <row r="2763" spans="1:10" x14ac:dyDescent="0.2">
      <c r="A2763">
        <v>12762</v>
      </c>
      <c r="B2763" t="s">
        <v>8</v>
      </c>
      <c r="C2763" t="s">
        <v>6</v>
      </c>
      <c r="D2763" s="8">
        <v>11.64</v>
      </c>
      <c r="E2763">
        <v>10</v>
      </c>
      <c r="F2763" t="str">
        <f t="shared" si="172"/>
        <v>Premium</v>
      </c>
      <c r="G2763" s="3" cm="1">
        <f t="array" ref="G2763">_xlfn.XLOOKUP(C2763 &amp; F2763,
         [1]unilever_price_limits!A:A &amp; [1]unilever_price_limits!B:B,
         [1]unilever_price_limits!C:C)</f>
        <v>55</v>
      </c>
      <c r="H2763" s="8">
        <f t="shared" si="173"/>
        <v>18.042000000000002</v>
      </c>
      <c r="I2763" s="6">
        <f t="shared" si="174"/>
        <v>55.000000000000007</v>
      </c>
      <c r="J2763" t="str">
        <f t="shared" si="175"/>
        <v>OK</v>
      </c>
    </row>
    <row r="2764" spans="1:10" x14ac:dyDescent="0.2">
      <c r="A2764">
        <v>12763</v>
      </c>
      <c r="B2764" t="s">
        <v>5</v>
      </c>
      <c r="C2764" t="s">
        <v>11</v>
      </c>
      <c r="D2764" s="8">
        <v>13.33</v>
      </c>
      <c r="E2764">
        <v>6</v>
      </c>
      <c r="F2764" t="str">
        <f t="shared" si="172"/>
        <v>Standard</v>
      </c>
      <c r="G2764" s="3" cm="1">
        <f t="array" ref="G2764">_xlfn.XLOOKUP(C2764 &amp; F2764,
         [1]unilever_price_limits!A:A &amp; [1]unilever_price_limits!B:B,
         [1]unilever_price_limits!C:C)</f>
        <v>25</v>
      </c>
      <c r="H2764" s="8">
        <f t="shared" si="173"/>
        <v>16.662500000000001</v>
      </c>
      <c r="I2764" s="6">
        <f t="shared" si="174"/>
        <v>25</v>
      </c>
      <c r="J2764" t="str">
        <f t="shared" si="175"/>
        <v>OK</v>
      </c>
    </row>
    <row r="2765" spans="1:10" x14ac:dyDescent="0.2">
      <c r="A2765">
        <v>12764</v>
      </c>
      <c r="B2765" t="s">
        <v>8</v>
      </c>
      <c r="C2765" t="s">
        <v>11</v>
      </c>
      <c r="D2765" s="8">
        <v>3.71</v>
      </c>
      <c r="E2765">
        <v>3</v>
      </c>
      <c r="F2765" t="str">
        <f t="shared" si="172"/>
        <v>Value</v>
      </c>
      <c r="G2765" s="3" cm="1">
        <f t="array" ref="G2765">_xlfn.XLOOKUP(C2765 &amp; F2765,
         [1]unilever_price_limits!A:A &amp; [1]unilever_price_limits!B:B,
         [1]unilever_price_limits!C:C)</f>
        <v>10</v>
      </c>
      <c r="H2765" s="8">
        <f t="shared" si="173"/>
        <v>4.0810000000000004</v>
      </c>
      <c r="I2765" s="6">
        <f t="shared" si="174"/>
        <v>10.000000000000009</v>
      </c>
      <c r="J2765" t="str">
        <f t="shared" si="175"/>
        <v>OK</v>
      </c>
    </row>
    <row r="2766" spans="1:10" x14ac:dyDescent="0.2">
      <c r="A2766">
        <v>12765</v>
      </c>
      <c r="B2766" t="s">
        <v>8</v>
      </c>
      <c r="C2766" t="s">
        <v>9</v>
      </c>
      <c r="D2766" s="8">
        <v>7.22</v>
      </c>
      <c r="E2766">
        <v>9</v>
      </c>
      <c r="F2766" t="str">
        <f t="shared" si="172"/>
        <v>Premium</v>
      </c>
      <c r="G2766" s="3" cm="1">
        <f t="array" ref="G2766">_xlfn.XLOOKUP(C2766 &amp; F2766,
         [1]unilever_price_limits!A:A &amp; [1]unilever_price_limits!B:B,
         [1]unilever_price_limits!C:C)</f>
        <v>60</v>
      </c>
      <c r="H2766" s="8">
        <f t="shared" si="173"/>
        <v>11.552</v>
      </c>
      <c r="I2766" s="6">
        <f t="shared" si="174"/>
        <v>60.000000000000007</v>
      </c>
      <c r="J2766" t="str">
        <f t="shared" si="175"/>
        <v>OK</v>
      </c>
    </row>
    <row r="2767" spans="1:10" x14ac:dyDescent="0.2">
      <c r="A2767">
        <v>12766</v>
      </c>
      <c r="B2767" t="s">
        <v>7</v>
      </c>
      <c r="C2767" t="s">
        <v>6</v>
      </c>
      <c r="D2767" s="8">
        <v>7.32</v>
      </c>
      <c r="E2767">
        <v>10</v>
      </c>
      <c r="F2767" t="str">
        <f t="shared" si="172"/>
        <v>Premium</v>
      </c>
      <c r="G2767" s="3" cm="1">
        <f t="array" ref="G2767">_xlfn.XLOOKUP(C2767 &amp; F2767,
         [1]unilever_price_limits!A:A &amp; [1]unilever_price_limits!B:B,
         [1]unilever_price_limits!C:C)</f>
        <v>55</v>
      </c>
      <c r="H2767" s="8">
        <f t="shared" si="173"/>
        <v>11.346</v>
      </c>
      <c r="I2767" s="6">
        <f t="shared" si="174"/>
        <v>55.000000000000007</v>
      </c>
      <c r="J2767" t="str">
        <f t="shared" si="175"/>
        <v>OK</v>
      </c>
    </row>
    <row r="2768" spans="1:10" x14ac:dyDescent="0.2">
      <c r="A2768">
        <v>12767</v>
      </c>
      <c r="B2768" t="s">
        <v>10</v>
      </c>
      <c r="C2768" t="s">
        <v>9</v>
      </c>
      <c r="D2768" s="8">
        <v>13.17</v>
      </c>
      <c r="E2768">
        <v>8</v>
      </c>
      <c r="F2768" t="str">
        <f t="shared" si="172"/>
        <v>Premium</v>
      </c>
      <c r="G2768" s="3" cm="1">
        <f t="array" ref="G2768">_xlfn.XLOOKUP(C2768 &amp; F2768,
         [1]unilever_price_limits!A:A &amp; [1]unilever_price_limits!B:B,
         [1]unilever_price_limits!C:C)</f>
        <v>60</v>
      </c>
      <c r="H2768" s="8">
        <f t="shared" si="173"/>
        <v>21.072000000000003</v>
      </c>
      <c r="I2768" s="6">
        <f t="shared" si="174"/>
        <v>60.000000000000028</v>
      </c>
      <c r="J2768" t="str">
        <f t="shared" si="175"/>
        <v>OK</v>
      </c>
    </row>
    <row r="2769" spans="1:10" x14ac:dyDescent="0.2">
      <c r="A2769">
        <v>12768</v>
      </c>
      <c r="B2769" t="s">
        <v>5</v>
      </c>
      <c r="C2769" t="s">
        <v>9</v>
      </c>
      <c r="D2769" s="8">
        <v>11.56</v>
      </c>
      <c r="E2769">
        <v>9</v>
      </c>
      <c r="F2769" t="str">
        <f t="shared" si="172"/>
        <v>Premium</v>
      </c>
      <c r="G2769" s="3" cm="1">
        <f t="array" ref="G2769">_xlfn.XLOOKUP(C2769 &amp; F2769,
         [1]unilever_price_limits!A:A &amp; [1]unilever_price_limits!B:B,
         [1]unilever_price_limits!C:C)</f>
        <v>60</v>
      </c>
      <c r="H2769" s="8">
        <f t="shared" si="173"/>
        <v>18.496000000000002</v>
      </c>
      <c r="I2769" s="6">
        <f t="shared" si="174"/>
        <v>60.000000000000007</v>
      </c>
      <c r="J2769" t="str">
        <f t="shared" si="175"/>
        <v>OK</v>
      </c>
    </row>
    <row r="2770" spans="1:10" x14ac:dyDescent="0.2">
      <c r="A2770">
        <v>12769</v>
      </c>
      <c r="B2770" t="s">
        <v>8</v>
      </c>
      <c r="C2770" t="s">
        <v>6</v>
      </c>
      <c r="D2770" s="8">
        <v>7.94</v>
      </c>
      <c r="E2770">
        <v>5</v>
      </c>
      <c r="F2770" t="str">
        <f t="shared" si="172"/>
        <v>Standard</v>
      </c>
      <c r="G2770" s="3" cm="1">
        <f t="array" ref="G2770">_xlfn.XLOOKUP(C2770 &amp; F2770,
         [1]unilever_price_limits!A:A &amp; [1]unilever_price_limits!B:B,
         [1]unilever_price_limits!C:C)</f>
        <v>28</v>
      </c>
      <c r="H2770" s="8">
        <f t="shared" si="173"/>
        <v>10.163200000000002</v>
      </c>
      <c r="I2770" s="6">
        <f t="shared" si="174"/>
        <v>28.000000000000004</v>
      </c>
      <c r="J2770" t="str">
        <f t="shared" si="175"/>
        <v>OK</v>
      </c>
    </row>
    <row r="2771" spans="1:10" x14ac:dyDescent="0.2">
      <c r="A2771">
        <v>12770</v>
      </c>
      <c r="B2771" t="s">
        <v>8</v>
      </c>
      <c r="C2771" t="s">
        <v>6</v>
      </c>
      <c r="D2771" s="8">
        <v>10.23</v>
      </c>
      <c r="E2771">
        <v>3</v>
      </c>
      <c r="F2771" t="str">
        <f t="shared" si="172"/>
        <v>Value</v>
      </c>
      <c r="G2771" s="3" cm="1">
        <f t="array" ref="G2771">_xlfn.XLOOKUP(C2771 &amp; F2771,
         [1]unilever_price_limits!A:A &amp; [1]unilever_price_limits!B:B,
         [1]unilever_price_limits!C:C)</f>
        <v>12</v>
      </c>
      <c r="H2771" s="8">
        <f t="shared" si="173"/>
        <v>11.457600000000001</v>
      </c>
      <c r="I2771" s="6">
        <f t="shared" si="174"/>
        <v>12.000000000000011</v>
      </c>
      <c r="J2771" t="str">
        <f t="shared" si="175"/>
        <v>OK</v>
      </c>
    </row>
    <row r="2772" spans="1:10" x14ac:dyDescent="0.2">
      <c r="A2772">
        <v>12771</v>
      </c>
      <c r="B2772" t="s">
        <v>5</v>
      </c>
      <c r="C2772" t="s">
        <v>6</v>
      </c>
      <c r="D2772" s="8">
        <v>12.79</v>
      </c>
      <c r="E2772">
        <v>4</v>
      </c>
      <c r="F2772" t="str">
        <f t="shared" si="172"/>
        <v>Standard</v>
      </c>
      <c r="G2772" s="3" cm="1">
        <f t="array" ref="G2772">_xlfn.XLOOKUP(C2772 &amp; F2772,
         [1]unilever_price_limits!A:A &amp; [1]unilever_price_limits!B:B,
         [1]unilever_price_limits!C:C)</f>
        <v>28</v>
      </c>
      <c r="H2772" s="8">
        <f t="shared" si="173"/>
        <v>16.371199999999998</v>
      </c>
      <c r="I2772" s="6">
        <f t="shared" si="174"/>
        <v>28.000000000000004</v>
      </c>
      <c r="J2772" t="str">
        <f t="shared" si="175"/>
        <v>OK</v>
      </c>
    </row>
    <row r="2773" spans="1:10" x14ac:dyDescent="0.2">
      <c r="A2773">
        <v>12772</v>
      </c>
      <c r="B2773" t="s">
        <v>8</v>
      </c>
      <c r="C2773" t="s">
        <v>11</v>
      </c>
      <c r="D2773" s="8">
        <v>0.64</v>
      </c>
      <c r="E2773">
        <v>5</v>
      </c>
      <c r="F2773" t="str">
        <f t="shared" si="172"/>
        <v>Standard</v>
      </c>
      <c r="G2773" s="3" cm="1">
        <f t="array" ref="G2773">_xlfn.XLOOKUP(C2773 &amp; F2773,
         [1]unilever_price_limits!A:A &amp; [1]unilever_price_limits!B:B,
         [1]unilever_price_limits!C:C)</f>
        <v>25</v>
      </c>
      <c r="H2773" s="8">
        <f t="shared" si="173"/>
        <v>0.8</v>
      </c>
      <c r="I2773" s="6">
        <f t="shared" si="174"/>
        <v>25</v>
      </c>
      <c r="J2773" t="str">
        <f t="shared" si="175"/>
        <v>OK</v>
      </c>
    </row>
    <row r="2774" spans="1:10" x14ac:dyDescent="0.2">
      <c r="A2774">
        <v>12773</v>
      </c>
      <c r="B2774" t="s">
        <v>7</v>
      </c>
      <c r="C2774" t="s">
        <v>6</v>
      </c>
      <c r="D2774" s="8">
        <v>6.34</v>
      </c>
      <c r="E2774">
        <v>9</v>
      </c>
      <c r="F2774" t="str">
        <f t="shared" si="172"/>
        <v>Premium</v>
      </c>
      <c r="G2774" s="3" cm="1">
        <f t="array" ref="G2774">_xlfn.XLOOKUP(C2774 &amp; F2774,
         [1]unilever_price_limits!A:A &amp; [1]unilever_price_limits!B:B,
         [1]unilever_price_limits!C:C)</f>
        <v>55</v>
      </c>
      <c r="H2774" s="8">
        <f t="shared" si="173"/>
        <v>9.827</v>
      </c>
      <c r="I2774" s="6">
        <f t="shared" si="174"/>
        <v>55.000000000000007</v>
      </c>
      <c r="J2774" t="str">
        <f t="shared" si="175"/>
        <v>OK</v>
      </c>
    </row>
    <row r="2775" spans="1:10" x14ac:dyDescent="0.2">
      <c r="A2775">
        <v>12774</v>
      </c>
      <c r="B2775" t="s">
        <v>7</v>
      </c>
      <c r="C2775" t="s">
        <v>6</v>
      </c>
      <c r="D2775" s="8">
        <v>13.66</v>
      </c>
      <c r="E2775">
        <v>9</v>
      </c>
      <c r="F2775" t="str">
        <f t="shared" si="172"/>
        <v>Premium</v>
      </c>
      <c r="G2775" s="3" cm="1">
        <f t="array" ref="G2775">_xlfn.XLOOKUP(C2775 &amp; F2775,
         [1]unilever_price_limits!A:A &amp; [1]unilever_price_limits!B:B,
         [1]unilever_price_limits!C:C)</f>
        <v>55</v>
      </c>
      <c r="H2775" s="8">
        <f t="shared" si="173"/>
        <v>21.173000000000002</v>
      </c>
      <c r="I2775" s="6">
        <f t="shared" si="174"/>
        <v>55.000000000000007</v>
      </c>
      <c r="J2775" t="str">
        <f t="shared" si="175"/>
        <v>OK</v>
      </c>
    </row>
    <row r="2776" spans="1:10" x14ac:dyDescent="0.2">
      <c r="A2776">
        <v>12775</v>
      </c>
      <c r="B2776" t="s">
        <v>7</v>
      </c>
      <c r="C2776" t="s">
        <v>6</v>
      </c>
      <c r="D2776" s="8">
        <v>11.23</v>
      </c>
      <c r="E2776">
        <v>3</v>
      </c>
      <c r="F2776" t="str">
        <f t="shared" si="172"/>
        <v>Value</v>
      </c>
      <c r="G2776" s="3" cm="1">
        <f t="array" ref="G2776">_xlfn.XLOOKUP(C2776 &amp; F2776,
         [1]unilever_price_limits!A:A &amp; [1]unilever_price_limits!B:B,
         [1]unilever_price_limits!C:C)</f>
        <v>12</v>
      </c>
      <c r="H2776" s="8">
        <f t="shared" si="173"/>
        <v>12.577600000000002</v>
      </c>
      <c r="I2776" s="6">
        <f t="shared" si="174"/>
        <v>12.000000000000011</v>
      </c>
      <c r="J2776" t="str">
        <f t="shared" si="175"/>
        <v>OK</v>
      </c>
    </row>
    <row r="2777" spans="1:10" x14ac:dyDescent="0.2">
      <c r="A2777">
        <v>12776</v>
      </c>
      <c r="B2777" t="s">
        <v>7</v>
      </c>
      <c r="C2777" t="s">
        <v>9</v>
      </c>
      <c r="D2777" s="8">
        <v>8.3699999999999992</v>
      </c>
      <c r="E2777">
        <v>7</v>
      </c>
      <c r="F2777" t="str">
        <f t="shared" si="172"/>
        <v>Standard</v>
      </c>
      <c r="G2777" s="3" cm="1">
        <f t="array" ref="G2777">_xlfn.XLOOKUP(C2777 &amp; F2777,
         [1]unilever_price_limits!A:A &amp; [1]unilever_price_limits!B:B,
         [1]unilever_price_limits!C:C)</f>
        <v>30</v>
      </c>
      <c r="H2777" s="8">
        <f t="shared" si="173"/>
        <v>10.881</v>
      </c>
      <c r="I2777" s="6">
        <f t="shared" si="174"/>
        <v>30.000000000000004</v>
      </c>
      <c r="J2777" t="str">
        <f t="shared" si="175"/>
        <v>OK</v>
      </c>
    </row>
    <row r="2778" spans="1:10" x14ac:dyDescent="0.2">
      <c r="A2778">
        <v>12777</v>
      </c>
      <c r="B2778" t="s">
        <v>8</v>
      </c>
      <c r="C2778" t="s">
        <v>9</v>
      </c>
      <c r="D2778" s="8">
        <v>8.18</v>
      </c>
      <c r="E2778">
        <v>6</v>
      </c>
      <c r="F2778" t="str">
        <f t="shared" si="172"/>
        <v>Standard</v>
      </c>
      <c r="G2778" s="3" cm="1">
        <f t="array" ref="G2778">_xlfn.XLOOKUP(C2778 &amp; F2778,
         [1]unilever_price_limits!A:A &amp; [1]unilever_price_limits!B:B,
         [1]unilever_price_limits!C:C)</f>
        <v>30</v>
      </c>
      <c r="H2778" s="8">
        <f t="shared" si="173"/>
        <v>10.634</v>
      </c>
      <c r="I2778" s="6">
        <f t="shared" si="174"/>
        <v>30.000000000000004</v>
      </c>
      <c r="J2778" t="str">
        <f t="shared" si="175"/>
        <v>OK</v>
      </c>
    </row>
    <row r="2779" spans="1:10" x14ac:dyDescent="0.2">
      <c r="A2779">
        <v>12778</v>
      </c>
      <c r="B2779" t="s">
        <v>5</v>
      </c>
      <c r="C2779" t="s">
        <v>11</v>
      </c>
      <c r="D2779" s="8">
        <v>5.54</v>
      </c>
      <c r="E2779">
        <v>4</v>
      </c>
      <c r="F2779" t="str">
        <f t="shared" si="172"/>
        <v>Standard</v>
      </c>
      <c r="G2779" s="3" cm="1">
        <f t="array" ref="G2779">_xlfn.XLOOKUP(C2779 &amp; F2779,
         [1]unilever_price_limits!A:A &amp; [1]unilever_price_limits!B:B,
         [1]unilever_price_limits!C:C)</f>
        <v>25</v>
      </c>
      <c r="H2779" s="8">
        <f t="shared" si="173"/>
        <v>6.9249999999999998</v>
      </c>
      <c r="I2779" s="6">
        <f t="shared" si="174"/>
        <v>25</v>
      </c>
      <c r="J2779" t="str">
        <f t="shared" si="175"/>
        <v>OK</v>
      </c>
    </row>
    <row r="2780" spans="1:10" x14ac:dyDescent="0.2">
      <c r="A2780">
        <v>12779</v>
      </c>
      <c r="B2780" t="s">
        <v>5</v>
      </c>
      <c r="C2780" t="s">
        <v>9</v>
      </c>
      <c r="D2780" s="8">
        <v>8.0500000000000007</v>
      </c>
      <c r="E2780">
        <v>5</v>
      </c>
      <c r="F2780" t="str">
        <f t="shared" si="172"/>
        <v>Standard</v>
      </c>
      <c r="G2780" s="3" cm="1">
        <f t="array" ref="G2780">_xlfn.XLOOKUP(C2780 &amp; F2780,
         [1]unilever_price_limits!A:A &amp; [1]unilever_price_limits!B:B,
         [1]unilever_price_limits!C:C)</f>
        <v>30</v>
      </c>
      <c r="H2780" s="8">
        <f t="shared" si="173"/>
        <v>10.465000000000002</v>
      </c>
      <c r="I2780" s="6">
        <f t="shared" si="174"/>
        <v>30.000000000000004</v>
      </c>
      <c r="J2780" t="str">
        <f t="shared" si="175"/>
        <v>OK</v>
      </c>
    </row>
    <row r="2781" spans="1:10" x14ac:dyDescent="0.2">
      <c r="A2781">
        <v>12780</v>
      </c>
      <c r="B2781" t="s">
        <v>5</v>
      </c>
      <c r="C2781" t="s">
        <v>11</v>
      </c>
      <c r="D2781" s="8">
        <v>10</v>
      </c>
      <c r="E2781">
        <v>10</v>
      </c>
      <c r="F2781" t="str">
        <f t="shared" si="172"/>
        <v>Premium</v>
      </c>
      <c r="G2781" s="3" cm="1">
        <f t="array" ref="G2781">_xlfn.XLOOKUP(C2781 &amp; F2781,
         [1]unilever_price_limits!A:A &amp; [1]unilever_price_limits!B:B,
         [1]unilever_price_limits!C:C)</f>
        <v>50</v>
      </c>
      <c r="H2781" s="8">
        <f t="shared" si="173"/>
        <v>15</v>
      </c>
      <c r="I2781" s="6">
        <f t="shared" si="174"/>
        <v>50</v>
      </c>
      <c r="J2781" t="str">
        <f t="shared" si="175"/>
        <v>OK</v>
      </c>
    </row>
    <row r="2782" spans="1:10" x14ac:dyDescent="0.2">
      <c r="A2782">
        <v>12781</v>
      </c>
      <c r="B2782" t="s">
        <v>5</v>
      </c>
      <c r="C2782" t="s">
        <v>9</v>
      </c>
      <c r="D2782" s="8">
        <v>6.57</v>
      </c>
      <c r="E2782">
        <v>2</v>
      </c>
      <c r="F2782" t="str">
        <f t="shared" si="172"/>
        <v>Value</v>
      </c>
      <c r="G2782" s="3" cm="1">
        <f t="array" ref="G2782">_xlfn.XLOOKUP(C2782 &amp; F2782,
         [1]unilever_price_limits!A:A &amp; [1]unilever_price_limits!B:B,
         [1]unilever_price_limits!C:C)</f>
        <v>15</v>
      </c>
      <c r="H2782" s="8">
        <f t="shared" si="173"/>
        <v>7.5554999999999994</v>
      </c>
      <c r="I2782" s="6">
        <f t="shared" si="174"/>
        <v>14.999999999999991</v>
      </c>
      <c r="J2782" t="str">
        <f t="shared" si="175"/>
        <v>OK</v>
      </c>
    </row>
    <row r="2783" spans="1:10" x14ac:dyDescent="0.2">
      <c r="A2783">
        <v>12782</v>
      </c>
      <c r="B2783" t="s">
        <v>10</v>
      </c>
      <c r="C2783" t="s">
        <v>6</v>
      </c>
      <c r="D2783" s="8">
        <v>10.86</v>
      </c>
      <c r="E2783">
        <v>7</v>
      </c>
      <c r="F2783" t="str">
        <f t="shared" si="172"/>
        <v>Standard</v>
      </c>
      <c r="G2783" s="3" cm="1">
        <f t="array" ref="G2783">_xlfn.XLOOKUP(C2783 &amp; F2783,
         [1]unilever_price_limits!A:A &amp; [1]unilever_price_limits!B:B,
         [1]unilever_price_limits!C:C)</f>
        <v>28</v>
      </c>
      <c r="H2783" s="8">
        <f t="shared" si="173"/>
        <v>13.9008</v>
      </c>
      <c r="I2783" s="6">
        <f t="shared" si="174"/>
        <v>28.000000000000004</v>
      </c>
      <c r="J2783" t="str">
        <f t="shared" si="175"/>
        <v>OK</v>
      </c>
    </row>
    <row r="2784" spans="1:10" x14ac:dyDescent="0.2">
      <c r="A2784">
        <v>12783</v>
      </c>
      <c r="B2784" t="s">
        <v>5</v>
      </c>
      <c r="C2784" t="s">
        <v>9</v>
      </c>
      <c r="D2784" s="8">
        <v>12.99</v>
      </c>
      <c r="E2784">
        <v>4</v>
      </c>
      <c r="F2784" t="str">
        <f t="shared" si="172"/>
        <v>Standard</v>
      </c>
      <c r="G2784" s="3" cm="1">
        <f t="array" ref="G2784">_xlfn.XLOOKUP(C2784 &amp; F2784,
         [1]unilever_price_limits!A:A &amp; [1]unilever_price_limits!B:B,
         [1]unilever_price_limits!C:C)</f>
        <v>30</v>
      </c>
      <c r="H2784" s="8">
        <f t="shared" si="173"/>
        <v>16.887</v>
      </c>
      <c r="I2784" s="6">
        <f t="shared" si="174"/>
        <v>30.000000000000004</v>
      </c>
      <c r="J2784" t="str">
        <f t="shared" si="175"/>
        <v>OK</v>
      </c>
    </row>
    <row r="2785" spans="1:10" x14ac:dyDescent="0.2">
      <c r="A2785">
        <v>12784</v>
      </c>
      <c r="B2785" t="s">
        <v>10</v>
      </c>
      <c r="C2785" t="s">
        <v>11</v>
      </c>
      <c r="D2785" s="8">
        <v>2.74</v>
      </c>
      <c r="E2785">
        <v>2</v>
      </c>
      <c r="F2785" t="str">
        <f t="shared" si="172"/>
        <v>Value</v>
      </c>
      <c r="G2785" s="3" cm="1">
        <f t="array" ref="G2785">_xlfn.XLOOKUP(C2785 &amp; F2785,
         [1]unilever_price_limits!A:A &amp; [1]unilever_price_limits!B:B,
         [1]unilever_price_limits!C:C)</f>
        <v>10</v>
      </c>
      <c r="H2785" s="8">
        <f t="shared" si="173"/>
        <v>3.0140000000000007</v>
      </c>
      <c r="I2785" s="6">
        <f t="shared" si="174"/>
        <v>10.000000000000009</v>
      </c>
      <c r="J2785" t="str">
        <f t="shared" si="175"/>
        <v>OK</v>
      </c>
    </row>
    <row r="2786" spans="1:10" x14ac:dyDescent="0.2">
      <c r="A2786">
        <v>12785</v>
      </c>
      <c r="B2786" t="s">
        <v>10</v>
      </c>
      <c r="C2786" t="s">
        <v>9</v>
      </c>
      <c r="D2786" s="8">
        <v>7.05</v>
      </c>
      <c r="E2786">
        <v>6</v>
      </c>
      <c r="F2786" t="str">
        <f t="shared" si="172"/>
        <v>Standard</v>
      </c>
      <c r="G2786" s="3" cm="1">
        <f t="array" ref="G2786">_xlfn.XLOOKUP(C2786 &amp; F2786,
         [1]unilever_price_limits!A:A &amp; [1]unilever_price_limits!B:B,
         [1]unilever_price_limits!C:C)</f>
        <v>30</v>
      </c>
      <c r="H2786" s="8">
        <f t="shared" si="173"/>
        <v>9.1650000000000009</v>
      </c>
      <c r="I2786" s="6">
        <f t="shared" si="174"/>
        <v>30.000000000000028</v>
      </c>
      <c r="J2786" t="str">
        <f t="shared" si="175"/>
        <v>OK</v>
      </c>
    </row>
    <row r="2787" spans="1:10" x14ac:dyDescent="0.2">
      <c r="A2787">
        <v>12786</v>
      </c>
      <c r="B2787" t="s">
        <v>7</v>
      </c>
      <c r="C2787" t="s">
        <v>6</v>
      </c>
      <c r="D2787" s="8">
        <v>6.42</v>
      </c>
      <c r="E2787">
        <v>2</v>
      </c>
      <c r="F2787" t="str">
        <f t="shared" si="172"/>
        <v>Value</v>
      </c>
      <c r="G2787" s="3" cm="1">
        <f t="array" ref="G2787">_xlfn.XLOOKUP(C2787 &amp; F2787,
         [1]unilever_price_limits!A:A &amp; [1]unilever_price_limits!B:B,
         [1]unilever_price_limits!C:C)</f>
        <v>12</v>
      </c>
      <c r="H2787" s="8">
        <f t="shared" si="173"/>
        <v>7.1904000000000003</v>
      </c>
      <c r="I2787" s="6">
        <f t="shared" si="174"/>
        <v>12.000000000000011</v>
      </c>
      <c r="J2787" t="str">
        <f t="shared" si="175"/>
        <v>OK</v>
      </c>
    </row>
    <row r="2788" spans="1:10" x14ac:dyDescent="0.2">
      <c r="A2788">
        <v>12787</v>
      </c>
      <c r="B2788" t="s">
        <v>10</v>
      </c>
      <c r="C2788" t="s">
        <v>11</v>
      </c>
      <c r="D2788" s="8">
        <v>10.47</v>
      </c>
      <c r="E2788">
        <v>10</v>
      </c>
      <c r="F2788" t="str">
        <f t="shared" si="172"/>
        <v>Premium</v>
      </c>
      <c r="G2788" s="3" cm="1">
        <f t="array" ref="G2788">_xlfn.XLOOKUP(C2788 &amp; F2788,
         [1]unilever_price_limits!A:A &amp; [1]unilever_price_limits!B:B,
         [1]unilever_price_limits!C:C)</f>
        <v>50</v>
      </c>
      <c r="H2788" s="8">
        <f t="shared" si="173"/>
        <v>15.705000000000002</v>
      </c>
      <c r="I2788" s="6">
        <f t="shared" si="174"/>
        <v>50</v>
      </c>
      <c r="J2788" t="str">
        <f t="shared" si="175"/>
        <v>OK</v>
      </c>
    </row>
    <row r="2789" spans="1:10" x14ac:dyDescent="0.2">
      <c r="A2789">
        <v>12788</v>
      </c>
      <c r="B2789" t="s">
        <v>8</v>
      </c>
      <c r="C2789" t="s">
        <v>6</v>
      </c>
      <c r="D2789" s="8">
        <v>4.12</v>
      </c>
      <c r="E2789">
        <v>2</v>
      </c>
      <c r="F2789" t="str">
        <f t="shared" si="172"/>
        <v>Value</v>
      </c>
      <c r="G2789" s="3" cm="1">
        <f t="array" ref="G2789">_xlfn.XLOOKUP(C2789 &amp; F2789,
         [1]unilever_price_limits!A:A &amp; [1]unilever_price_limits!B:B,
         [1]unilever_price_limits!C:C)</f>
        <v>12</v>
      </c>
      <c r="H2789" s="8">
        <f t="shared" si="173"/>
        <v>4.6144000000000007</v>
      </c>
      <c r="I2789" s="6">
        <f t="shared" si="174"/>
        <v>12.000000000000011</v>
      </c>
      <c r="J2789" t="str">
        <f t="shared" si="175"/>
        <v>OK</v>
      </c>
    </row>
    <row r="2790" spans="1:10" x14ac:dyDescent="0.2">
      <c r="A2790">
        <v>12789</v>
      </c>
      <c r="B2790" t="s">
        <v>10</v>
      </c>
      <c r="C2790" t="s">
        <v>6</v>
      </c>
      <c r="D2790" s="8">
        <v>9.7799999999999994</v>
      </c>
      <c r="E2790">
        <v>7</v>
      </c>
      <c r="F2790" t="str">
        <f t="shared" si="172"/>
        <v>Standard</v>
      </c>
      <c r="G2790" s="3" cm="1">
        <f t="array" ref="G2790">_xlfn.XLOOKUP(C2790 &amp; F2790,
         [1]unilever_price_limits!A:A &amp; [1]unilever_price_limits!B:B,
         [1]unilever_price_limits!C:C)</f>
        <v>28</v>
      </c>
      <c r="H2790" s="8">
        <f t="shared" si="173"/>
        <v>12.5184</v>
      </c>
      <c r="I2790" s="6">
        <f t="shared" si="174"/>
        <v>28.000000000000004</v>
      </c>
      <c r="J2790" t="str">
        <f t="shared" si="175"/>
        <v>OK</v>
      </c>
    </row>
    <row r="2791" spans="1:10" x14ac:dyDescent="0.2">
      <c r="A2791">
        <v>12790</v>
      </c>
      <c r="B2791" t="s">
        <v>7</v>
      </c>
      <c r="C2791" t="s">
        <v>11</v>
      </c>
      <c r="D2791" s="8">
        <v>13.22</v>
      </c>
      <c r="E2791">
        <v>1</v>
      </c>
      <c r="F2791" t="str">
        <f t="shared" si="172"/>
        <v>Value</v>
      </c>
      <c r="G2791" s="3" cm="1">
        <f t="array" ref="G2791">_xlfn.XLOOKUP(C2791 &amp; F2791,
         [1]unilever_price_limits!A:A &amp; [1]unilever_price_limits!B:B,
         [1]unilever_price_limits!C:C)</f>
        <v>10</v>
      </c>
      <c r="H2791" s="8">
        <f t="shared" si="173"/>
        <v>14.542000000000002</v>
      </c>
      <c r="I2791" s="6">
        <f t="shared" si="174"/>
        <v>10.000000000000009</v>
      </c>
      <c r="J2791" t="str">
        <f t="shared" si="175"/>
        <v>OK</v>
      </c>
    </row>
    <row r="2792" spans="1:10" x14ac:dyDescent="0.2">
      <c r="A2792">
        <v>12791</v>
      </c>
      <c r="B2792" t="s">
        <v>10</v>
      </c>
      <c r="C2792" t="s">
        <v>6</v>
      </c>
      <c r="D2792" s="8">
        <v>6.56</v>
      </c>
      <c r="E2792">
        <v>7</v>
      </c>
      <c r="F2792" t="str">
        <f t="shared" si="172"/>
        <v>Standard</v>
      </c>
      <c r="G2792" s="3" cm="1">
        <f t="array" ref="G2792">_xlfn.XLOOKUP(C2792 &amp; F2792,
         [1]unilever_price_limits!A:A &amp; [1]unilever_price_limits!B:B,
         [1]unilever_price_limits!C:C)</f>
        <v>28</v>
      </c>
      <c r="H2792" s="8">
        <f t="shared" si="173"/>
        <v>8.3967999999999989</v>
      </c>
      <c r="I2792" s="6">
        <f t="shared" si="174"/>
        <v>27.999999999999979</v>
      </c>
      <c r="J2792" t="str">
        <f t="shared" si="175"/>
        <v>OK</v>
      </c>
    </row>
    <row r="2793" spans="1:10" x14ac:dyDescent="0.2">
      <c r="A2793">
        <v>12792</v>
      </c>
      <c r="B2793" t="s">
        <v>8</v>
      </c>
      <c r="C2793" t="s">
        <v>6</v>
      </c>
      <c r="D2793" s="8">
        <v>13.71</v>
      </c>
      <c r="E2793">
        <v>10</v>
      </c>
      <c r="F2793" t="str">
        <f t="shared" si="172"/>
        <v>Premium</v>
      </c>
      <c r="G2793" s="3" cm="1">
        <f t="array" ref="G2793">_xlfn.XLOOKUP(C2793 &amp; F2793,
         [1]unilever_price_limits!A:A &amp; [1]unilever_price_limits!B:B,
         [1]unilever_price_limits!C:C)</f>
        <v>55</v>
      </c>
      <c r="H2793" s="8">
        <f t="shared" si="173"/>
        <v>21.250500000000002</v>
      </c>
      <c r="I2793" s="6">
        <f t="shared" si="174"/>
        <v>55.000000000000007</v>
      </c>
      <c r="J2793" t="str">
        <f t="shared" si="175"/>
        <v>OK</v>
      </c>
    </row>
    <row r="2794" spans="1:10" x14ac:dyDescent="0.2">
      <c r="A2794">
        <v>12793</v>
      </c>
      <c r="B2794" t="s">
        <v>8</v>
      </c>
      <c r="C2794" t="s">
        <v>9</v>
      </c>
      <c r="D2794" s="8">
        <v>14.9</v>
      </c>
      <c r="E2794">
        <v>5</v>
      </c>
      <c r="F2794" t="str">
        <f t="shared" si="172"/>
        <v>Standard</v>
      </c>
      <c r="G2794" s="3" cm="1">
        <f t="array" ref="G2794">_xlfn.XLOOKUP(C2794 &amp; F2794,
         [1]unilever_price_limits!A:A &amp; [1]unilever_price_limits!B:B,
         [1]unilever_price_limits!C:C)</f>
        <v>30</v>
      </c>
      <c r="H2794" s="8">
        <f t="shared" si="173"/>
        <v>19.37</v>
      </c>
      <c r="I2794" s="6">
        <f t="shared" si="174"/>
        <v>30.000000000000004</v>
      </c>
      <c r="J2794" t="str">
        <f t="shared" si="175"/>
        <v>OK</v>
      </c>
    </row>
    <row r="2795" spans="1:10" x14ac:dyDescent="0.2">
      <c r="A2795">
        <v>12794</v>
      </c>
      <c r="B2795" t="s">
        <v>8</v>
      </c>
      <c r="C2795" t="s">
        <v>6</v>
      </c>
      <c r="D2795" s="8">
        <v>2.04</v>
      </c>
      <c r="E2795">
        <v>1</v>
      </c>
      <c r="F2795" t="str">
        <f t="shared" si="172"/>
        <v>Value</v>
      </c>
      <c r="G2795" s="3" cm="1">
        <f t="array" ref="G2795">_xlfn.XLOOKUP(C2795 &amp; F2795,
         [1]unilever_price_limits!A:A &amp; [1]unilever_price_limits!B:B,
         [1]unilever_price_limits!C:C)</f>
        <v>12</v>
      </c>
      <c r="H2795" s="8">
        <f t="shared" si="173"/>
        <v>2.2848000000000002</v>
      </c>
      <c r="I2795" s="6">
        <f t="shared" si="174"/>
        <v>12.000000000000011</v>
      </c>
      <c r="J2795" t="str">
        <f t="shared" si="175"/>
        <v>OK</v>
      </c>
    </row>
    <row r="2796" spans="1:10" x14ac:dyDescent="0.2">
      <c r="A2796">
        <v>12795</v>
      </c>
      <c r="B2796" t="s">
        <v>7</v>
      </c>
      <c r="C2796" t="s">
        <v>6</v>
      </c>
      <c r="D2796" s="8">
        <v>3.88</v>
      </c>
      <c r="E2796">
        <v>6</v>
      </c>
      <c r="F2796" t="str">
        <f t="shared" si="172"/>
        <v>Standard</v>
      </c>
      <c r="G2796" s="3" cm="1">
        <f t="array" ref="G2796">_xlfn.XLOOKUP(C2796 &amp; F2796,
         [1]unilever_price_limits!A:A &amp; [1]unilever_price_limits!B:B,
         [1]unilever_price_limits!C:C)</f>
        <v>28</v>
      </c>
      <c r="H2796" s="8">
        <f t="shared" si="173"/>
        <v>4.9664000000000001</v>
      </c>
      <c r="I2796" s="6">
        <f t="shared" si="174"/>
        <v>28.000000000000004</v>
      </c>
      <c r="J2796" t="str">
        <f t="shared" si="175"/>
        <v>OK</v>
      </c>
    </row>
    <row r="2797" spans="1:10" x14ac:dyDescent="0.2">
      <c r="A2797">
        <v>12796</v>
      </c>
      <c r="B2797" t="s">
        <v>7</v>
      </c>
      <c r="C2797" t="s">
        <v>6</v>
      </c>
      <c r="D2797" s="8">
        <v>14.28</v>
      </c>
      <c r="E2797">
        <v>7</v>
      </c>
      <c r="F2797" t="str">
        <f t="shared" si="172"/>
        <v>Standard</v>
      </c>
      <c r="G2797" s="3" cm="1">
        <f t="array" ref="G2797">_xlfn.XLOOKUP(C2797 &amp; F2797,
         [1]unilever_price_limits!A:A &amp; [1]unilever_price_limits!B:B,
         [1]unilever_price_limits!C:C)</f>
        <v>28</v>
      </c>
      <c r="H2797" s="8">
        <f t="shared" si="173"/>
        <v>18.278400000000001</v>
      </c>
      <c r="I2797" s="6">
        <f t="shared" si="174"/>
        <v>28.000000000000025</v>
      </c>
      <c r="J2797" t="str">
        <f t="shared" si="175"/>
        <v>OK</v>
      </c>
    </row>
    <row r="2798" spans="1:10" x14ac:dyDescent="0.2">
      <c r="A2798">
        <v>12797</v>
      </c>
      <c r="B2798" t="s">
        <v>5</v>
      </c>
      <c r="C2798" t="s">
        <v>6</v>
      </c>
      <c r="D2798" s="8">
        <v>14.4</v>
      </c>
      <c r="E2798">
        <v>1</v>
      </c>
      <c r="F2798" t="str">
        <f t="shared" si="172"/>
        <v>Value</v>
      </c>
      <c r="G2798" s="3" cm="1">
        <f t="array" ref="G2798">_xlfn.XLOOKUP(C2798 &amp; F2798,
         [1]unilever_price_limits!A:A &amp; [1]unilever_price_limits!B:B,
         [1]unilever_price_limits!C:C)</f>
        <v>12</v>
      </c>
      <c r="H2798" s="8">
        <f t="shared" si="173"/>
        <v>16.128000000000004</v>
      </c>
      <c r="I2798" s="6">
        <f t="shared" si="174"/>
        <v>12.000000000000032</v>
      </c>
      <c r="J2798" t="str">
        <f t="shared" si="175"/>
        <v>OK</v>
      </c>
    </row>
    <row r="2799" spans="1:10" x14ac:dyDescent="0.2">
      <c r="A2799">
        <v>12798</v>
      </c>
      <c r="B2799" t="s">
        <v>7</v>
      </c>
      <c r="C2799" t="s">
        <v>11</v>
      </c>
      <c r="D2799" s="8">
        <v>1.92</v>
      </c>
      <c r="E2799">
        <v>9</v>
      </c>
      <c r="F2799" t="str">
        <f t="shared" si="172"/>
        <v>Premium</v>
      </c>
      <c r="G2799" s="3" cm="1">
        <f t="array" ref="G2799">_xlfn.XLOOKUP(C2799 &amp; F2799,
         [1]unilever_price_limits!A:A &amp; [1]unilever_price_limits!B:B,
         [1]unilever_price_limits!C:C)</f>
        <v>50</v>
      </c>
      <c r="H2799" s="8">
        <f t="shared" si="173"/>
        <v>2.88</v>
      </c>
      <c r="I2799" s="6">
        <f t="shared" si="174"/>
        <v>50</v>
      </c>
      <c r="J2799" t="str">
        <f t="shared" si="175"/>
        <v>OK</v>
      </c>
    </row>
    <row r="2800" spans="1:10" x14ac:dyDescent="0.2">
      <c r="A2800">
        <v>12799</v>
      </c>
      <c r="B2800" t="s">
        <v>8</v>
      </c>
      <c r="C2800" t="s">
        <v>9</v>
      </c>
      <c r="D2800" s="8">
        <v>0.72</v>
      </c>
      <c r="E2800">
        <v>7</v>
      </c>
      <c r="F2800" t="str">
        <f t="shared" si="172"/>
        <v>Standard</v>
      </c>
      <c r="G2800" s="3" cm="1">
        <f t="array" ref="G2800">_xlfn.XLOOKUP(C2800 &amp; F2800,
         [1]unilever_price_limits!A:A &amp; [1]unilever_price_limits!B:B,
         [1]unilever_price_limits!C:C)</f>
        <v>30</v>
      </c>
      <c r="H2800" s="8">
        <f t="shared" si="173"/>
        <v>0.93599999999999994</v>
      </c>
      <c r="I2800" s="6">
        <f t="shared" si="174"/>
        <v>30.000000000000004</v>
      </c>
      <c r="J2800" t="str">
        <f t="shared" si="175"/>
        <v>OK</v>
      </c>
    </row>
    <row r="2801" spans="1:10" x14ac:dyDescent="0.2">
      <c r="A2801">
        <v>12800</v>
      </c>
      <c r="B2801" t="s">
        <v>8</v>
      </c>
      <c r="C2801" t="s">
        <v>6</v>
      </c>
      <c r="D2801" s="8">
        <v>2.84</v>
      </c>
      <c r="E2801">
        <v>1</v>
      </c>
      <c r="F2801" t="str">
        <f t="shared" si="172"/>
        <v>Value</v>
      </c>
      <c r="G2801" s="3" cm="1">
        <f t="array" ref="G2801">_xlfn.XLOOKUP(C2801 &amp; F2801,
         [1]unilever_price_limits!A:A &amp; [1]unilever_price_limits!B:B,
         [1]unilever_price_limits!C:C)</f>
        <v>12</v>
      </c>
      <c r="H2801" s="8">
        <f t="shared" si="173"/>
        <v>3.1808000000000001</v>
      </c>
      <c r="I2801" s="6">
        <f t="shared" si="174"/>
        <v>12.000000000000011</v>
      </c>
      <c r="J2801" t="str">
        <f t="shared" si="175"/>
        <v>OK</v>
      </c>
    </row>
    <row r="2802" spans="1:10" x14ac:dyDescent="0.2">
      <c r="A2802">
        <v>12801</v>
      </c>
      <c r="B2802" t="s">
        <v>7</v>
      </c>
      <c r="C2802" t="s">
        <v>6</v>
      </c>
      <c r="D2802" s="8">
        <v>14.94</v>
      </c>
      <c r="E2802">
        <v>3</v>
      </c>
      <c r="F2802" t="str">
        <f t="shared" si="172"/>
        <v>Value</v>
      </c>
      <c r="G2802" s="3" cm="1">
        <f t="array" ref="G2802">_xlfn.XLOOKUP(C2802 &amp; F2802,
         [1]unilever_price_limits!A:A &amp; [1]unilever_price_limits!B:B,
         [1]unilever_price_limits!C:C)</f>
        <v>12</v>
      </c>
      <c r="H2802" s="8">
        <f t="shared" si="173"/>
        <v>16.732800000000001</v>
      </c>
      <c r="I2802" s="6">
        <f t="shared" si="174"/>
        <v>12.000000000000011</v>
      </c>
      <c r="J2802" t="str">
        <f t="shared" si="175"/>
        <v>OK</v>
      </c>
    </row>
    <row r="2803" spans="1:10" x14ac:dyDescent="0.2">
      <c r="A2803">
        <v>12802</v>
      </c>
      <c r="B2803" t="s">
        <v>10</v>
      </c>
      <c r="C2803" t="s">
        <v>11</v>
      </c>
      <c r="D2803" s="8">
        <v>3.11</v>
      </c>
      <c r="E2803">
        <v>5</v>
      </c>
      <c r="F2803" t="str">
        <f t="shared" si="172"/>
        <v>Standard</v>
      </c>
      <c r="G2803" s="3" cm="1">
        <f t="array" ref="G2803">_xlfn.XLOOKUP(C2803 &amp; F2803,
         [1]unilever_price_limits!A:A &amp; [1]unilever_price_limits!B:B,
         [1]unilever_price_limits!C:C)</f>
        <v>25</v>
      </c>
      <c r="H2803" s="8">
        <f t="shared" si="173"/>
        <v>3.8874999999999997</v>
      </c>
      <c r="I2803" s="6">
        <f t="shared" si="174"/>
        <v>25</v>
      </c>
      <c r="J2803" t="str">
        <f t="shared" si="175"/>
        <v>OK</v>
      </c>
    </row>
    <row r="2804" spans="1:10" x14ac:dyDescent="0.2">
      <c r="A2804">
        <v>12803</v>
      </c>
      <c r="B2804" t="s">
        <v>7</v>
      </c>
      <c r="C2804" t="s">
        <v>6</v>
      </c>
      <c r="D2804" s="8">
        <v>7.79</v>
      </c>
      <c r="E2804">
        <v>4</v>
      </c>
      <c r="F2804" t="str">
        <f t="shared" si="172"/>
        <v>Standard</v>
      </c>
      <c r="G2804" s="3" cm="1">
        <f t="array" ref="G2804">_xlfn.XLOOKUP(C2804 &amp; F2804,
         [1]unilever_price_limits!A:A &amp; [1]unilever_price_limits!B:B,
         [1]unilever_price_limits!C:C)</f>
        <v>28</v>
      </c>
      <c r="H2804" s="8">
        <f t="shared" si="173"/>
        <v>9.9711999999999996</v>
      </c>
      <c r="I2804" s="6">
        <f t="shared" si="174"/>
        <v>28.000000000000004</v>
      </c>
      <c r="J2804" t="str">
        <f t="shared" si="175"/>
        <v>OK</v>
      </c>
    </row>
    <row r="2805" spans="1:10" x14ac:dyDescent="0.2">
      <c r="A2805">
        <v>12804</v>
      </c>
      <c r="B2805" t="s">
        <v>7</v>
      </c>
      <c r="C2805" t="s">
        <v>11</v>
      </c>
      <c r="D2805" s="8">
        <v>12.8</v>
      </c>
      <c r="E2805">
        <v>2</v>
      </c>
      <c r="F2805" t="str">
        <f t="shared" si="172"/>
        <v>Value</v>
      </c>
      <c r="G2805" s="3" cm="1">
        <f t="array" ref="G2805">_xlfn.XLOOKUP(C2805 &amp; F2805,
         [1]unilever_price_limits!A:A &amp; [1]unilever_price_limits!B:B,
         [1]unilever_price_limits!C:C)</f>
        <v>10</v>
      </c>
      <c r="H2805" s="8">
        <f t="shared" si="173"/>
        <v>14.080000000000002</v>
      </c>
      <c r="I2805" s="6">
        <f t="shared" si="174"/>
        <v>10.000000000000009</v>
      </c>
      <c r="J2805" t="str">
        <f t="shared" si="175"/>
        <v>OK</v>
      </c>
    </row>
    <row r="2806" spans="1:10" x14ac:dyDescent="0.2">
      <c r="A2806">
        <v>12805</v>
      </c>
      <c r="B2806" t="s">
        <v>8</v>
      </c>
      <c r="C2806" t="s">
        <v>9</v>
      </c>
      <c r="D2806" s="8">
        <v>0.8</v>
      </c>
      <c r="E2806">
        <v>1</v>
      </c>
      <c r="F2806" t="str">
        <f t="shared" si="172"/>
        <v>Value</v>
      </c>
      <c r="G2806" s="3" cm="1">
        <f t="array" ref="G2806">_xlfn.XLOOKUP(C2806 &amp; F2806,
         [1]unilever_price_limits!A:A &amp; [1]unilever_price_limits!B:B,
         [1]unilever_price_limits!C:C)</f>
        <v>15</v>
      </c>
      <c r="H2806" s="8">
        <f t="shared" si="173"/>
        <v>0.91999999999999993</v>
      </c>
      <c r="I2806" s="6">
        <f t="shared" si="174"/>
        <v>14.999999999999991</v>
      </c>
      <c r="J2806" t="str">
        <f t="shared" si="175"/>
        <v>OK</v>
      </c>
    </row>
    <row r="2807" spans="1:10" x14ac:dyDescent="0.2">
      <c r="A2807">
        <v>12806</v>
      </c>
      <c r="B2807" t="s">
        <v>5</v>
      </c>
      <c r="C2807" t="s">
        <v>9</v>
      </c>
      <c r="D2807" s="8">
        <v>9.27</v>
      </c>
      <c r="E2807">
        <v>4</v>
      </c>
      <c r="F2807" t="str">
        <f t="shared" si="172"/>
        <v>Standard</v>
      </c>
      <c r="G2807" s="3" cm="1">
        <f t="array" ref="G2807">_xlfn.XLOOKUP(C2807 &amp; F2807,
         [1]unilever_price_limits!A:A &amp; [1]unilever_price_limits!B:B,
         [1]unilever_price_limits!C:C)</f>
        <v>30</v>
      </c>
      <c r="H2807" s="8">
        <f t="shared" si="173"/>
        <v>12.051</v>
      </c>
      <c r="I2807" s="6">
        <f t="shared" si="174"/>
        <v>30.000000000000004</v>
      </c>
      <c r="J2807" t="str">
        <f t="shared" si="175"/>
        <v>OK</v>
      </c>
    </row>
    <row r="2808" spans="1:10" x14ac:dyDescent="0.2">
      <c r="A2808">
        <v>12807</v>
      </c>
      <c r="B2808" t="s">
        <v>8</v>
      </c>
      <c r="C2808" t="s">
        <v>6</v>
      </c>
      <c r="D2808" s="8">
        <v>4.5199999999999996</v>
      </c>
      <c r="E2808">
        <v>7</v>
      </c>
      <c r="F2808" t="str">
        <f t="shared" si="172"/>
        <v>Standard</v>
      </c>
      <c r="G2808" s="3" cm="1">
        <f t="array" ref="G2808">_xlfn.XLOOKUP(C2808 &amp; F2808,
         [1]unilever_price_limits!A:A &amp; [1]unilever_price_limits!B:B,
         [1]unilever_price_limits!C:C)</f>
        <v>28</v>
      </c>
      <c r="H2808" s="8">
        <f t="shared" si="173"/>
        <v>5.7855999999999996</v>
      </c>
      <c r="I2808" s="6">
        <f t="shared" si="174"/>
        <v>28.000000000000004</v>
      </c>
      <c r="J2808" t="str">
        <f t="shared" si="175"/>
        <v>OK</v>
      </c>
    </row>
    <row r="2809" spans="1:10" x14ac:dyDescent="0.2">
      <c r="A2809">
        <v>12808</v>
      </c>
      <c r="B2809" t="s">
        <v>5</v>
      </c>
      <c r="C2809" t="s">
        <v>6</v>
      </c>
      <c r="D2809" s="8">
        <v>13</v>
      </c>
      <c r="E2809">
        <v>4</v>
      </c>
      <c r="F2809" t="str">
        <f t="shared" si="172"/>
        <v>Standard</v>
      </c>
      <c r="G2809" s="3" cm="1">
        <f t="array" ref="G2809">_xlfn.XLOOKUP(C2809 &amp; F2809,
         [1]unilever_price_limits!A:A &amp; [1]unilever_price_limits!B:B,
         [1]unilever_price_limits!C:C)</f>
        <v>28</v>
      </c>
      <c r="H2809" s="8">
        <f t="shared" si="173"/>
        <v>16.64</v>
      </c>
      <c r="I2809" s="6">
        <f t="shared" si="174"/>
        <v>28.000000000000004</v>
      </c>
      <c r="J2809" t="str">
        <f t="shared" si="175"/>
        <v>OK</v>
      </c>
    </row>
    <row r="2810" spans="1:10" x14ac:dyDescent="0.2">
      <c r="A2810">
        <v>12809</v>
      </c>
      <c r="B2810" t="s">
        <v>8</v>
      </c>
      <c r="C2810" t="s">
        <v>6</v>
      </c>
      <c r="D2810" s="8">
        <v>4.6100000000000003</v>
      </c>
      <c r="E2810">
        <v>9</v>
      </c>
      <c r="F2810" t="str">
        <f t="shared" si="172"/>
        <v>Premium</v>
      </c>
      <c r="G2810" s="3" cm="1">
        <f t="array" ref="G2810">_xlfn.XLOOKUP(C2810 &amp; F2810,
         [1]unilever_price_limits!A:A &amp; [1]unilever_price_limits!B:B,
         [1]unilever_price_limits!C:C)</f>
        <v>55</v>
      </c>
      <c r="H2810" s="8">
        <f t="shared" si="173"/>
        <v>7.1455000000000011</v>
      </c>
      <c r="I2810" s="6">
        <f t="shared" si="174"/>
        <v>55.000000000000007</v>
      </c>
      <c r="J2810" t="str">
        <f t="shared" si="175"/>
        <v>OK</v>
      </c>
    </row>
    <row r="2811" spans="1:10" x14ac:dyDescent="0.2">
      <c r="A2811">
        <v>12810</v>
      </c>
      <c r="B2811" t="s">
        <v>7</v>
      </c>
      <c r="C2811" t="s">
        <v>11</v>
      </c>
      <c r="D2811" s="8">
        <v>10.46</v>
      </c>
      <c r="E2811">
        <v>8</v>
      </c>
      <c r="F2811" t="str">
        <f t="shared" si="172"/>
        <v>Premium</v>
      </c>
      <c r="G2811" s="3" cm="1">
        <f t="array" ref="G2811">_xlfn.XLOOKUP(C2811 &amp; F2811,
         [1]unilever_price_limits!A:A &amp; [1]unilever_price_limits!B:B,
         [1]unilever_price_limits!C:C)</f>
        <v>50</v>
      </c>
      <c r="H2811" s="8">
        <f t="shared" si="173"/>
        <v>15.690000000000001</v>
      </c>
      <c r="I2811" s="6">
        <f t="shared" si="174"/>
        <v>50</v>
      </c>
      <c r="J2811" t="str">
        <f t="shared" si="175"/>
        <v>OK</v>
      </c>
    </row>
    <row r="2812" spans="1:10" x14ac:dyDescent="0.2">
      <c r="A2812">
        <v>12811</v>
      </c>
      <c r="B2812" t="s">
        <v>8</v>
      </c>
      <c r="C2812" t="s">
        <v>6</v>
      </c>
      <c r="D2812" s="8">
        <v>10.28</v>
      </c>
      <c r="E2812">
        <v>8</v>
      </c>
      <c r="F2812" t="str">
        <f t="shared" si="172"/>
        <v>Premium</v>
      </c>
      <c r="G2812" s="3" cm="1">
        <f t="array" ref="G2812">_xlfn.XLOOKUP(C2812 &amp; F2812,
         [1]unilever_price_limits!A:A &amp; [1]unilever_price_limits!B:B,
         [1]unilever_price_limits!C:C)</f>
        <v>55</v>
      </c>
      <c r="H2812" s="8">
        <f t="shared" si="173"/>
        <v>15.933999999999999</v>
      </c>
      <c r="I2812" s="6">
        <f t="shared" si="174"/>
        <v>55.000000000000007</v>
      </c>
      <c r="J2812" t="str">
        <f t="shared" si="175"/>
        <v>OK</v>
      </c>
    </row>
    <row r="2813" spans="1:10" x14ac:dyDescent="0.2">
      <c r="A2813">
        <v>12812</v>
      </c>
      <c r="B2813" t="s">
        <v>8</v>
      </c>
      <c r="C2813" t="s">
        <v>6</v>
      </c>
      <c r="D2813" s="8">
        <v>3.71</v>
      </c>
      <c r="E2813">
        <v>5</v>
      </c>
      <c r="F2813" t="str">
        <f t="shared" si="172"/>
        <v>Standard</v>
      </c>
      <c r="G2813" s="3" cm="1">
        <f t="array" ref="G2813">_xlfn.XLOOKUP(C2813 &amp; F2813,
         [1]unilever_price_limits!A:A &amp; [1]unilever_price_limits!B:B,
         [1]unilever_price_limits!C:C)</f>
        <v>28</v>
      </c>
      <c r="H2813" s="8">
        <f t="shared" si="173"/>
        <v>4.7488000000000001</v>
      </c>
      <c r="I2813" s="6">
        <f t="shared" si="174"/>
        <v>28.000000000000004</v>
      </c>
      <c r="J2813" t="str">
        <f t="shared" si="175"/>
        <v>OK</v>
      </c>
    </row>
    <row r="2814" spans="1:10" x14ac:dyDescent="0.2">
      <c r="A2814">
        <v>12813</v>
      </c>
      <c r="B2814" t="s">
        <v>8</v>
      </c>
      <c r="C2814" t="s">
        <v>9</v>
      </c>
      <c r="D2814" s="8">
        <v>1</v>
      </c>
      <c r="E2814">
        <v>1</v>
      </c>
      <c r="F2814" t="str">
        <f t="shared" si="172"/>
        <v>Value</v>
      </c>
      <c r="G2814" s="3" cm="1">
        <f t="array" ref="G2814">_xlfn.XLOOKUP(C2814 &amp; F2814,
         [1]unilever_price_limits!A:A &amp; [1]unilever_price_limits!B:B,
         [1]unilever_price_limits!C:C)</f>
        <v>15</v>
      </c>
      <c r="H2814" s="8">
        <f t="shared" si="173"/>
        <v>1.1499999999999999</v>
      </c>
      <c r="I2814" s="6">
        <f t="shared" si="174"/>
        <v>14.999999999999991</v>
      </c>
      <c r="J2814" t="str">
        <f t="shared" si="175"/>
        <v>OK</v>
      </c>
    </row>
    <row r="2815" spans="1:10" x14ac:dyDescent="0.2">
      <c r="A2815">
        <v>12814</v>
      </c>
      <c r="B2815" t="s">
        <v>7</v>
      </c>
      <c r="C2815" t="s">
        <v>6</v>
      </c>
      <c r="D2815" s="8">
        <v>6.43</v>
      </c>
      <c r="E2815">
        <v>9</v>
      </c>
      <c r="F2815" t="str">
        <f t="shared" si="172"/>
        <v>Premium</v>
      </c>
      <c r="G2815" s="3" cm="1">
        <f t="array" ref="G2815">_xlfn.XLOOKUP(C2815 &amp; F2815,
         [1]unilever_price_limits!A:A &amp; [1]unilever_price_limits!B:B,
         [1]unilever_price_limits!C:C)</f>
        <v>55</v>
      </c>
      <c r="H2815" s="8">
        <f t="shared" si="173"/>
        <v>9.9664999999999999</v>
      </c>
      <c r="I2815" s="6">
        <f t="shared" si="174"/>
        <v>55.000000000000007</v>
      </c>
      <c r="J2815" t="str">
        <f t="shared" si="175"/>
        <v>OK</v>
      </c>
    </row>
    <row r="2816" spans="1:10" x14ac:dyDescent="0.2">
      <c r="A2816">
        <v>12815</v>
      </c>
      <c r="B2816" t="s">
        <v>7</v>
      </c>
      <c r="C2816" t="s">
        <v>9</v>
      </c>
      <c r="D2816" s="8">
        <v>4.6900000000000004</v>
      </c>
      <c r="E2816">
        <v>2</v>
      </c>
      <c r="F2816" t="str">
        <f t="shared" si="172"/>
        <v>Value</v>
      </c>
      <c r="G2816" s="3" cm="1">
        <f t="array" ref="G2816">_xlfn.XLOOKUP(C2816 &amp; F2816,
         [1]unilever_price_limits!A:A &amp; [1]unilever_price_limits!B:B,
         [1]unilever_price_limits!C:C)</f>
        <v>15</v>
      </c>
      <c r="H2816" s="8">
        <f t="shared" si="173"/>
        <v>5.3935000000000004</v>
      </c>
      <c r="I2816" s="6">
        <f t="shared" si="174"/>
        <v>14.999999999999991</v>
      </c>
      <c r="J2816" t="str">
        <f t="shared" si="175"/>
        <v>OK</v>
      </c>
    </row>
    <row r="2817" spans="1:10" x14ac:dyDescent="0.2">
      <c r="A2817">
        <v>12816</v>
      </c>
      <c r="B2817" t="s">
        <v>7</v>
      </c>
      <c r="C2817" t="s">
        <v>6</v>
      </c>
      <c r="D2817" s="8">
        <v>12.23</v>
      </c>
      <c r="E2817">
        <v>6</v>
      </c>
      <c r="F2817" t="str">
        <f t="shared" si="172"/>
        <v>Standard</v>
      </c>
      <c r="G2817" s="3" cm="1">
        <f t="array" ref="G2817">_xlfn.XLOOKUP(C2817 &amp; F2817,
         [1]unilever_price_limits!A:A &amp; [1]unilever_price_limits!B:B,
         [1]unilever_price_limits!C:C)</f>
        <v>28</v>
      </c>
      <c r="H2817" s="8">
        <f t="shared" si="173"/>
        <v>15.654400000000001</v>
      </c>
      <c r="I2817" s="6">
        <f t="shared" si="174"/>
        <v>28.000000000000004</v>
      </c>
      <c r="J2817" t="str">
        <f t="shared" si="175"/>
        <v>OK</v>
      </c>
    </row>
    <row r="2818" spans="1:10" x14ac:dyDescent="0.2">
      <c r="A2818">
        <v>12817</v>
      </c>
      <c r="B2818" t="s">
        <v>7</v>
      </c>
      <c r="C2818" t="s">
        <v>9</v>
      </c>
      <c r="D2818" s="8">
        <v>12.11</v>
      </c>
      <c r="E2818">
        <v>10</v>
      </c>
      <c r="F2818" t="str">
        <f t="shared" si="172"/>
        <v>Premium</v>
      </c>
      <c r="G2818" s="3" cm="1">
        <f t="array" ref="G2818">_xlfn.XLOOKUP(C2818 &amp; F2818,
         [1]unilever_price_limits!A:A &amp; [1]unilever_price_limits!B:B,
         [1]unilever_price_limits!C:C)</f>
        <v>60</v>
      </c>
      <c r="H2818" s="8">
        <f t="shared" si="173"/>
        <v>19.376000000000001</v>
      </c>
      <c r="I2818" s="6">
        <f t="shared" si="174"/>
        <v>60.000000000000007</v>
      </c>
      <c r="J2818" t="str">
        <f t="shared" si="175"/>
        <v>OK</v>
      </c>
    </row>
    <row r="2819" spans="1:10" x14ac:dyDescent="0.2">
      <c r="A2819">
        <v>12818</v>
      </c>
      <c r="B2819" t="s">
        <v>5</v>
      </c>
      <c r="C2819" t="s">
        <v>6</v>
      </c>
      <c r="D2819" s="8">
        <v>7.13</v>
      </c>
      <c r="E2819">
        <v>5</v>
      </c>
      <c r="F2819" t="str">
        <f t="shared" ref="F2819:F2882" si="176">IF(E2819&lt;=3,"Value",
 IF(E2819&lt;=7,"Standard","Premium"))</f>
        <v>Standard</v>
      </c>
      <c r="G2819" s="3" cm="1">
        <f t="array" ref="G2819">_xlfn.XLOOKUP(C2819 &amp; F2819,
         [1]unilever_price_limits!A:A &amp; [1]unilever_price_limits!B:B,
         [1]unilever_price_limits!C:C)</f>
        <v>28</v>
      </c>
      <c r="H2819" s="8">
        <f t="shared" ref="H2819:H2882" si="177">D2819 * (1 + G2819/100)</f>
        <v>9.1264000000000003</v>
      </c>
      <c r="I2819" s="6">
        <f t="shared" ref="I2819:I2882" si="178">(H2819 / D2819 - 1) * 100</f>
        <v>28.000000000000004</v>
      </c>
      <c r="J2819" t="str">
        <f t="shared" ref="J2819:J2882" si="179">IF(I2818&gt; G2818, "⚠ Exceeds Limit", "OK")</f>
        <v>OK</v>
      </c>
    </row>
    <row r="2820" spans="1:10" x14ac:dyDescent="0.2">
      <c r="A2820">
        <v>12819</v>
      </c>
      <c r="B2820" t="s">
        <v>5</v>
      </c>
      <c r="C2820" t="s">
        <v>9</v>
      </c>
      <c r="D2820" s="8">
        <v>9.2899999999999991</v>
      </c>
      <c r="E2820">
        <v>10</v>
      </c>
      <c r="F2820" t="str">
        <f t="shared" si="176"/>
        <v>Premium</v>
      </c>
      <c r="G2820" s="3" cm="1">
        <f t="array" ref="G2820">_xlfn.XLOOKUP(C2820 &amp; F2820,
         [1]unilever_price_limits!A:A &amp; [1]unilever_price_limits!B:B,
         [1]unilever_price_limits!C:C)</f>
        <v>60</v>
      </c>
      <c r="H2820" s="8">
        <f t="shared" si="177"/>
        <v>14.863999999999999</v>
      </c>
      <c r="I2820" s="6">
        <f t="shared" si="178"/>
        <v>60.000000000000007</v>
      </c>
      <c r="J2820" t="str">
        <f t="shared" si="179"/>
        <v>OK</v>
      </c>
    </row>
    <row r="2821" spans="1:10" x14ac:dyDescent="0.2">
      <c r="A2821">
        <v>12820</v>
      </c>
      <c r="B2821" t="s">
        <v>10</v>
      </c>
      <c r="C2821" t="s">
        <v>11</v>
      </c>
      <c r="D2821" s="8">
        <v>9.26</v>
      </c>
      <c r="E2821">
        <v>8</v>
      </c>
      <c r="F2821" t="str">
        <f t="shared" si="176"/>
        <v>Premium</v>
      </c>
      <c r="G2821" s="3" cm="1">
        <f t="array" ref="G2821">_xlfn.XLOOKUP(C2821 &amp; F2821,
         [1]unilever_price_limits!A:A &amp; [1]unilever_price_limits!B:B,
         [1]unilever_price_limits!C:C)</f>
        <v>50</v>
      </c>
      <c r="H2821" s="8">
        <f t="shared" si="177"/>
        <v>13.89</v>
      </c>
      <c r="I2821" s="6">
        <f t="shared" si="178"/>
        <v>50</v>
      </c>
      <c r="J2821" t="str">
        <f t="shared" si="179"/>
        <v>OK</v>
      </c>
    </row>
    <row r="2822" spans="1:10" x14ac:dyDescent="0.2">
      <c r="A2822">
        <v>12821</v>
      </c>
      <c r="B2822" t="s">
        <v>7</v>
      </c>
      <c r="C2822" t="s">
        <v>9</v>
      </c>
      <c r="D2822" s="8">
        <v>12.49</v>
      </c>
      <c r="E2822">
        <v>3</v>
      </c>
      <c r="F2822" t="str">
        <f t="shared" si="176"/>
        <v>Value</v>
      </c>
      <c r="G2822" s="3" cm="1">
        <f t="array" ref="G2822">_xlfn.XLOOKUP(C2822 &amp; F2822,
         [1]unilever_price_limits!A:A &amp; [1]unilever_price_limits!B:B,
         [1]unilever_price_limits!C:C)</f>
        <v>15</v>
      </c>
      <c r="H2822" s="8">
        <f t="shared" si="177"/>
        <v>14.363499999999998</v>
      </c>
      <c r="I2822" s="6">
        <f t="shared" si="178"/>
        <v>14.999999999999991</v>
      </c>
      <c r="J2822" t="str">
        <f t="shared" si="179"/>
        <v>OK</v>
      </c>
    </row>
    <row r="2823" spans="1:10" x14ac:dyDescent="0.2">
      <c r="A2823">
        <v>12822</v>
      </c>
      <c r="B2823" t="s">
        <v>5</v>
      </c>
      <c r="C2823" t="s">
        <v>9</v>
      </c>
      <c r="D2823" s="8">
        <v>6.66</v>
      </c>
      <c r="E2823">
        <v>6</v>
      </c>
      <c r="F2823" t="str">
        <f t="shared" si="176"/>
        <v>Standard</v>
      </c>
      <c r="G2823" s="3" cm="1">
        <f t="array" ref="G2823">_xlfn.XLOOKUP(C2823 &amp; F2823,
         [1]unilever_price_limits!A:A &amp; [1]unilever_price_limits!B:B,
         [1]unilever_price_limits!C:C)</f>
        <v>30</v>
      </c>
      <c r="H2823" s="8">
        <f t="shared" si="177"/>
        <v>8.6580000000000013</v>
      </c>
      <c r="I2823" s="6">
        <f t="shared" si="178"/>
        <v>30.000000000000028</v>
      </c>
      <c r="J2823" t="str">
        <f t="shared" si="179"/>
        <v>OK</v>
      </c>
    </row>
    <row r="2824" spans="1:10" x14ac:dyDescent="0.2">
      <c r="A2824">
        <v>12823</v>
      </c>
      <c r="B2824" t="s">
        <v>8</v>
      </c>
      <c r="C2824" t="s">
        <v>9</v>
      </c>
      <c r="D2824" s="8">
        <v>4.49</v>
      </c>
      <c r="E2824">
        <v>6</v>
      </c>
      <c r="F2824" t="str">
        <f t="shared" si="176"/>
        <v>Standard</v>
      </c>
      <c r="G2824" s="3" cm="1">
        <f t="array" ref="G2824">_xlfn.XLOOKUP(C2824 &amp; F2824,
         [1]unilever_price_limits!A:A &amp; [1]unilever_price_limits!B:B,
         [1]unilever_price_limits!C:C)</f>
        <v>30</v>
      </c>
      <c r="H2824" s="8">
        <f t="shared" si="177"/>
        <v>5.8370000000000006</v>
      </c>
      <c r="I2824" s="6">
        <f t="shared" si="178"/>
        <v>30.000000000000004</v>
      </c>
      <c r="J2824" t="str">
        <f t="shared" si="179"/>
        <v>OK</v>
      </c>
    </row>
    <row r="2825" spans="1:10" x14ac:dyDescent="0.2">
      <c r="A2825">
        <v>12824</v>
      </c>
      <c r="B2825" t="s">
        <v>7</v>
      </c>
      <c r="C2825" t="s">
        <v>6</v>
      </c>
      <c r="D2825" s="8">
        <v>4.34</v>
      </c>
      <c r="E2825">
        <v>10</v>
      </c>
      <c r="F2825" t="str">
        <f t="shared" si="176"/>
        <v>Premium</v>
      </c>
      <c r="G2825" s="3" cm="1">
        <f t="array" ref="G2825">_xlfn.XLOOKUP(C2825 &amp; F2825,
         [1]unilever_price_limits!A:A &amp; [1]unilever_price_limits!B:B,
         [1]unilever_price_limits!C:C)</f>
        <v>55</v>
      </c>
      <c r="H2825" s="8">
        <f t="shared" si="177"/>
        <v>6.7270000000000003</v>
      </c>
      <c r="I2825" s="6">
        <f t="shared" si="178"/>
        <v>55.000000000000007</v>
      </c>
      <c r="J2825" t="str">
        <f t="shared" si="179"/>
        <v>OK</v>
      </c>
    </row>
    <row r="2826" spans="1:10" x14ac:dyDescent="0.2">
      <c r="A2826">
        <v>12825</v>
      </c>
      <c r="B2826" t="s">
        <v>10</v>
      </c>
      <c r="C2826" t="s">
        <v>6</v>
      </c>
      <c r="D2826" s="8">
        <v>8.27</v>
      </c>
      <c r="E2826">
        <v>3</v>
      </c>
      <c r="F2826" t="str">
        <f t="shared" si="176"/>
        <v>Value</v>
      </c>
      <c r="G2826" s="3" cm="1">
        <f t="array" ref="G2826">_xlfn.XLOOKUP(C2826 &amp; F2826,
         [1]unilever_price_limits!A:A &amp; [1]unilever_price_limits!B:B,
         [1]unilever_price_limits!C:C)</f>
        <v>12</v>
      </c>
      <c r="H2826" s="8">
        <f t="shared" si="177"/>
        <v>9.2623999999999995</v>
      </c>
      <c r="I2826" s="6">
        <f t="shared" si="178"/>
        <v>12.000000000000011</v>
      </c>
      <c r="J2826" t="str">
        <f t="shared" si="179"/>
        <v>OK</v>
      </c>
    </row>
    <row r="2827" spans="1:10" x14ac:dyDescent="0.2">
      <c r="A2827">
        <v>12826</v>
      </c>
      <c r="B2827" t="s">
        <v>10</v>
      </c>
      <c r="C2827" t="s">
        <v>6</v>
      </c>
      <c r="D2827" s="8">
        <v>7.01</v>
      </c>
      <c r="E2827">
        <v>7</v>
      </c>
      <c r="F2827" t="str">
        <f t="shared" si="176"/>
        <v>Standard</v>
      </c>
      <c r="G2827" s="3" cm="1">
        <f t="array" ref="G2827">_xlfn.XLOOKUP(C2827 &amp; F2827,
         [1]unilever_price_limits!A:A &amp; [1]unilever_price_limits!B:B,
         [1]unilever_price_limits!C:C)</f>
        <v>28</v>
      </c>
      <c r="H2827" s="8">
        <f t="shared" si="177"/>
        <v>8.9727999999999994</v>
      </c>
      <c r="I2827" s="6">
        <f t="shared" si="178"/>
        <v>28.000000000000004</v>
      </c>
      <c r="J2827" t="str">
        <f t="shared" si="179"/>
        <v>OK</v>
      </c>
    </row>
    <row r="2828" spans="1:10" x14ac:dyDescent="0.2">
      <c r="A2828">
        <v>12827</v>
      </c>
      <c r="B2828" t="s">
        <v>10</v>
      </c>
      <c r="C2828" t="s">
        <v>11</v>
      </c>
      <c r="D2828" s="8">
        <v>6.88</v>
      </c>
      <c r="E2828">
        <v>4</v>
      </c>
      <c r="F2828" t="str">
        <f t="shared" si="176"/>
        <v>Standard</v>
      </c>
      <c r="G2828" s="3" cm="1">
        <f t="array" ref="G2828">_xlfn.XLOOKUP(C2828 &amp; F2828,
         [1]unilever_price_limits!A:A &amp; [1]unilever_price_limits!B:B,
         [1]unilever_price_limits!C:C)</f>
        <v>25</v>
      </c>
      <c r="H2828" s="8">
        <f t="shared" si="177"/>
        <v>8.6</v>
      </c>
      <c r="I2828" s="6">
        <f t="shared" si="178"/>
        <v>25</v>
      </c>
      <c r="J2828" t="str">
        <f t="shared" si="179"/>
        <v>OK</v>
      </c>
    </row>
    <row r="2829" spans="1:10" x14ac:dyDescent="0.2">
      <c r="A2829">
        <v>12828</v>
      </c>
      <c r="B2829" t="s">
        <v>8</v>
      </c>
      <c r="C2829" t="s">
        <v>11</v>
      </c>
      <c r="D2829" s="8">
        <v>1.82</v>
      </c>
      <c r="E2829">
        <v>5</v>
      </c>
      <c r="F2829" t="str">
        <f t="shared" si="176"/>
        <v>Standard</v>
      </c>
      <c r="G2829" s="3" cm="1">
        <f t="array" ref="G2829">_xlfn.XLOOKUP(C2829 &amp; F2829,
         [1]unilever_price_limits!A:A &amp; [1]unilever_price_limits!B:B,
         [1]unilever_price_limits!C:C)</f>
        <v>25</v>
      </c>
      <c r="H2829" s="8">
        <f t="shared" si="177"/>
        <v>2.2749999999999999</v>
      </c>
      <c r="I2829" s="6">
        <f t="shared" si="178"/>
        <v>25</v>
      </c>
      <c r="J2829" t="str">
        <f t="shared" si="179"/>
        <v>OK</v>
      </c>
    </row>
    <row r="2830" spans="1:10" x14ac:dyDescent="0.2">
      <c r="A2830">
        <v>12829</v>
      </c>
      <c r="B2830" t="s">
        <v>5</v>
      </c>
      <c r="C2830" t="s">
        <v>9</v>
      </c>
      <c r="D2830" s="8">
        <v>10.92</v>
      </c>
      <c r="E2830">
        <v>9</v>
      </c>
      <c r="F2830" t="str">
        <f t="shared" si="176"/>
        <v>Premium</v>
      </c>
      <c r="G2830" s="3" cm="1">
        <f t="array" ref="G2830">_xlfn.XLOOKUP(C2830 &amp; F2830,
         [1]unilever_price_limits!A:A &amp; [1]unilever_price_limits!B:B,
         [1]unilever_price_limits!C:C)</f>
        <v>60</v>
      </c>
      <c r="H2830" s="8">
        <f t="shared" si="177"/>
        <v>17.472000000000001</v>
      </c>
      <c r="I2830" s="6">
        <f t="shared" si="178"/>
        <v>60.000000000000007</v>
      </c>
      <c r="J2830" t="str">
        <f t="shared" si="179"/>
        <v>OK</v>
      </c>
    </row>
    <row r="2831" spans="1:10" x14ac:dyDescent="0.2">
      <c r="A2831">
        <v>12830</v>
      </c>
      <c r="B2831" t="s">
        <v>8</v>
      </c>
      <c r="C2831" t="s">
        <v>11</v>
      </c>
      <c r="D2831" s="8">
        <v>3.6</v>
      </c>
      <c r="E2831">
        <v>6</v>
      </c>
      <c r="F2831" t="str">
        <f t="shared" si="176"/>
        <v>Standard</v>
      </c>
      <c r="G2831" s="3" cm="1">
        <f t="array" ref="G2831">_xlfn.XLOOKUP(C2831 &amp; F2831,
         [1]unilever_price_limits!A:A &amp; [1]unilever_price_limits!B:B,
         [1]unilever_price_limits!C:C)</f>
        <v>25</v>
      </c>
      <c r="H2831" s="8">
        <f t="shared" si="177"/>
        <v>4.5</v>
      </c>
      <c r="I2831" s="6">
        <f t="shared" si="178"/>
        <v>25</v>
      </c>
      <c r="J2831" t="str">
        <f t="shared" si="179"/>
        <v>OK</v>
      </c>
    </row>
    <row r="2832" spans="1:10" x14ac:dyDescent="0.2">
      <c r="A2832">
        <v>12831</v>
      </c>
      <c r="B2832" t="s">
        <v>7</v>
      </c>
      <c r="C2832" t="s">
        <v>9</v>
      </c>
      <c r="D2832" s="8">
        <v>3.36</v>
      </c>
      <c r="E2832">
        <v>10</v>
      </c>
      <c r="F2832" t="str">
        <f t="shared" si="176"/>
        <v>Premium</v>
      </c>
      <c r="G2832" s="3" cm="1">
        <f t="array" ref="G2832">_xlfn.XLOOKUP(C2832 &amp; F2832,
         [1]unilever_price_limits!A:A &amp; [1]unilever_price_limits!B:B,
         [1]unilever_price_limits!C:C)</f>
        <v>60</v>
      </c>
      <c r="H2832" s="8">
        <f t="shared" si="177"/>
        <v>5.3760000000000003</v>
      </c>
      <c r="I2832" s="6">
        <f t="shared" si="178"/>
        <v>60.000000000000007</v>
      </c>
      <c r="J2832" t="str">
        <f t="shared" si="179"/>
        <v>OK</v>
      </c>
    </row>
    <row r="2833" spans="1:10" x14ac:dyDescent="0.2">
      <c r="A2833">
        <v>12832</v>
      </c>
      <c r="B2833" t="s">
        <v>10</v>
      </c>
      <c r="C2833" t="s">
        <v>9</v>
      </c>
      <c r="D2833" s="8">
        <v>6.48</v>
      </c>
      <c r="E2833">
        <v>4</v>
      </c>
      <c r="F2833" t="str">
        <f t="shared" si="176"/>
        <v>Standard</v>
      </c>
      <c r="G2833" s="3" cm="1">
        <f t="array" ref="G2833">_xlfn.XLOOKUP(C2833 &amp; F2833,
         [1]unilever_price_limits!A:A &amp; [1]unilever_price_limits!B:B,
         [1]unilever_price_limits!C:C)</f>
        <v>30</v>
      </c>
      <c r="H2833" s="8">
        <f t="shared" si="177"/>
        <v>8.4240000000000013</v>
      </c>
      <c r="I2833" s="6">
        <f t="shared" si="178"/>
        <v>30.000000000000004</v>
      </c>
      <c r="J2833" t="str">
        <f t="shared" si="179"/>
        <v>OK</v>
      </c>
    </row>
    <row r="2834" spans="1:10" x14ac:dyDescent="0.2">
      <c r="A2834">
        <v>12833</v>
      </c>
      <c r="B2834" t="s">
        <v>8</v>
      </c>
      <c r="C2834" t="s">
        <v>9</v>
      </c>
      <c r="D2834" s="8">
        <v>3.8</v>
      </c>
      <c r="E2834">
        <v>8</v>
      </c>
      <c r="F2834" t="str">
        <f t="shared" si="176"/>
        <v>Premium</v>
      </c>
      <c r="G2834" s="3" cm="1">
        <f t="array" ref="G2834">_xlfn.XLOOKUP(C2834 &amp; F2834,
         [1]unilever_price_limits!A:A &amp; [1]unilever_price_limits!B:B,
         [1]unilever_price_limits!C:C)</f>
        <v>60</v>
      </c>
      <c r="H2834" s="8">
        <f t="shared" si="177"/>
        <v>6.08</v>
      </c>
      <c r="I2834" s="6">
        <f t="shared" si="178"/>
        <v>60.000000000000007</v>
      </c>
      <c r="J2834" t="str">
        <f t="shared" si="179"/>
        <v>OK</v>
      </c>
    </row>
    <row r="2835" spans="1:10" x14ac:dyDescent="0.2">
      <c r="A2835">
        <v>12834</v>
      </c>
      <c r="B2835" t="s">
        <v>8</v>
      </c>
      <c r="C2835" t="s">
        <v>11</v>
      </c>
      <c r="D2835" s="8">
        <v>8.9700000000000006</v>
      </c>
      <c r="E2835">
        <v>9</v>
      </c>
      <c r="F2835" t="str">
        <f t="shared" si="176"/>
        <v>Premium</v>
      </c>
      <c r="G2835" s="3" cm="1">
        <f t="array" ref="G2835">_xlfn.XLOOKUP(C2835 &amp; F2835,
         [1]unilever_price_limits!A:A &amp; [1]unilever_price_limits!B:B,
         [1]unilever_price_limits!C:C)</f>
        <v>50</v>
      </c>
      <c r="H2835" s="8">
        <f t="shared" si="177"/>
        <v>13.455000000000002</v>
      </c>
      <c r="I2835" s="6">
        <f t="shared" si="178"/>
        <v>50</v>
      </c>
      <c r="J2835" t="str">
        <f t="shared" si="179"/>
        <v>OK</v>
      </c>
    </row>
    <row r="2836" spans="1:10" x14ac:dyDescent="0.2">
      <c r="A2836">
        <v>12835</v>
      </c>
      <c r="B2836" t="s">
        <v>5</v>
      </c>
      <c r="C2836" t="s">
        <v>6</v>
      </c>
      <c r="D2836" s="8">
        <v>5.89</v>
      </c>
      <c r="E2836">
        <v>10</v>
      </c>
      <c r="F2836" t="str">
        <f t="shared" si="176"/>
        <v>Premium</v>
      </c>
      <c r="G2836" s="3" cm="1">
        <f t="array" ref="G2836">_xlfn.XLOOKUP(C2836 &amp; F2836,
         [1]unilever_price_limits!A:A &amp; [1]unilever_price_limits!B:B,
         [1]unilever_price_limits!C:C)</f>
        <v>55</v>
      </c>
      <c r="H2836" s="8">
        <f t="shared" si="177"/>
        <v>9.1295000000000002</v>
      </c>
      <c r="I2836" s="6">
        <f t="shared" si="178"/>
        <v>55.000000000000007</v>
      </c>
      <c r="J2836" t="str">
        <f t="shared" si="179"/>
        <v>OK</v>
      </c>
    </row>
    <row r="2837" spans="1:10" x14ac:dyDescent="0.2">
      <c r="A2837">
        <v>12836</v>
      </c>
      <c r="B2837" t="s">
        <v>5</v>
      </c>
      <c r="C2837" t="s">
        <v>11</v>
      </c>
      <c r="D2837" s="8">
        <v>7.01</v>
      </c>
      <c r="E2837">
        <v>5</v>
      </c>
      <c r="F2837" t="str">
        <f t="shared" si="176"/>
        <v>Standard</v>
      </c>
      <c r="G2837" s="3" cm="1">
        <f t="array" ref="G2837">_xlfn.XLOOKUP(C2837 &amp; F2837,
         [1]unilever_price_limits!A:A &amp; [1]unilever_price_limits!B:B,
         [1]unilever_price_limits!C:C)</f>
        <v>25</v>
      </c>
      <c r="H2837" s="8">
        <f t="shared" si="177"/>
        <v>8.7624999999999993</v>
      </c>
      <c r="I2837" s="6">
        <f t="shared" si="178"/>
        <v>25</v>
      </c>
      <c r="J2837" t="str">
        <f t="shared" si="179"/>
        <v>OK</v>
      </c>
    </row>
    <row r="2838" spans="1:10" x14ac:dyDescent="0.2">
      <c r="A2838">
        <v>12837</v>
      </c>
      <c r="B2838" t="s">
        <v>10</v>
      </c>
      <c r="C2838" t="s">
        <v>9</v>
      </c>
      <c r="D2838" s="8">
        <v>8.2899999999999991</v>
      </c>
      <c r="E2838">
        <v>2</v>
      </c>
      <c r="F2838" t="str">
        <f t="shared" si="176"/>
        <v>Value</v>
      </c>
      <c r="G2838" s="3" cm="1">
        <f t="array" ref="G2838">_xlfn.XLOOKUP(C2838 &amp; F2838,
         [1]unilever_price_limits!A:A &amp; [1]unilever_price_limits!B:B,
         [1]unilever_price_limits!C:C)</f>
        <v>15</v>
      </c>
      <c r="H2838" s="8">
        <f t="shared" si="177"/>
        <v>9.5334999999999983</v>
      </c>
      <c r="I2838" s="6">
        <f t="shared" si="178"/>
        <v>14.999999999999991</v>
      </c>
      <c r="J2838" t="str">
        <f t="shared" si="179"/>
        <v>OK</v>
      </c>
    </row>
    <row r="2839" spans="1:10" x14ac:dyDescent="0.2">
      <c r="A2839">
        <v>12838</v>
      </c>
      <c r="B2839" t="s">
        <v>8</v>
      </c>
      <c r="C2839" t="s">
        <v>9</v>
      </c>
      <c r="D2839" s="8">
        <v>3.45</v>
      </c>
      <c r="E2839">
        <v>6</v>
      </c>
      <c r="F2839" t="str">
        <f t="shared" si="176"/>
        <v>Standard</v>
      </c>
      <c r="G2839" s="3" cm="1">
        <f t="array" ref="G2839">_xlfn.XLOOKUP(C2839 &amp; F2839,
         [1]unilever_price_limits!A:A &amp; [1]unilever_price_limits!B:B,
         [1]unilever_price_limits!C:C)</f>
        <v>30</v>
      </c>
      <c r="H2839" s="8">
        <f t="shared" si="177"/>
        <v>4.4850000000000003</v>
      </c>
      <c r="I2839" s="6">
        <f t="shared" si="178"/>
        <v>30.000000000000004</v>
      </c>
      <c r="J2839" t="str">
        <f t="shared" si="179"/>
        <v>OK</v>
      </c>
    </row>
    <row r="2840" spans="1:10" x14ac:dyDescent="0.2">
      <c r="A2840">
        <v>12839</v>
      </c>
      <c r="B2840" t="s">
        <v>8</v>
      </c>
      <c r="C2840" t="s">
        <v>11</v>
      </c>
      <c r="D2840" s="8">
        <v>2.76</v>
      </c>
      <c r="E2840">
        <v>8</v>
      </c>
      <c r="F2840" t="str">
        <f t="shared" si="176"/>
        <v>Premium</v>
      </c>
      <c r="G2840" s="3" cm="1">
        <f t="array" ref="G2840">_xlfn.XLOOKUP(C2840 &amp; F2840,
         [1]unilever_price_limits!A:A &amp; [1]unilever_price_limits!B:B,
         [1]unilever_price_limits!C:C)</f>
        <v>50</v>
      </c>
      <c r="H2840" s="8">
        <f t="shared" si="177"/>
        <v>4.1399999999999997</v>
      </c>
      <c r="I2840" s="6">
        <f t="shared" si="178"/>
        <v>50</v>
      </c>
      <c r="J2840" t="str">
        <f t="shared" si="179"/>
        <v>OK</v>
      </c>
    </row>
    <row r="2841" spans="1:10" x14ac:dyDescent="0.2">
      <c r="A2841">
        <v>12840</v>
      </c>
      <c r="B2841" t="s">
        <v>5</v>
      </c>
      <c r="C2841" t="s">
        <v>9</v>
      </c>
      <c r="D2841" s="8">
        <v>13.27</v>
      </c>
      <c r="E2841">
        <v>5</v>
      </c>
      <c r="F2841" t="str">
        <f t="shared" si="176"/>
        <v>Standard</v>
      </c>
      <c r="G2841" s="3" cm="1">
        <f t="array" ref="G2841">_xlfn.XLOOKUP(C2841 &amp; F2841,
         [1]unilever_price_limits!A:A &amp; [1]unilever_price_limits!B:B,
         [1]unilever_price_limits!C:C)</f>
        <v>30</v>
      </c>
      <c r="H2841" s="8">
        <f t="shared" si="177"/>
        <v>17.251000000000001</v>
      </c>
      <c r="I2841" s="6">
        <f t="shared" si="178"/>
        <v>30.000000000000004</v>
      </c>
      <c r="J2841" t="str">
        <f t="shared" si="179"/>
        <v>OK</v>
      </c>
    </row>
    <row r="2842" spans="1:10" x14ac:dyDescent="0.2">
      <c r="A2842">
        <v>12841</v>
      </c>
      <c r="B2842" t="s">
        <v>8</v>
      </c>
      <c r="C2842" t="s">
        <v>9</v>
      </c>
      <c r="D2842" s="8">
        <v>6.79</v>
      </c>
      <c r="E2842">
        <v>1</v>
      </c>
      <c r="F2842" t="str">
        <f t="shared" si="176"/>
        <v>Value</v>
      </c>
      <c r="G2842" s="3" cm="1">
        <f t="array" ref="G2842">_xlfn.XLOOKUP(C2842 &amp; F2842,
         [1]unilever_price_limits!A:A &amp; [1]unilever_price_limits!B:B,
         [1]unilever_price_limits!C:C)</f>
        <v>15</v>
      </c>
      <c r="H2842" s="8">
        <f t="shared" si="177"/>
        <v>7.8084999999999996</v>
      </c>
      <c r="I2842" s="6">
        <f t="shared" si="178"/>
        <v>14.999999999999991</v>
      </c>
      <c r="J2842" t="str">
        <f t="shared" si="179"/>
        <v>OK</v>
      </c>
    </row>
    <row r="2843" spans="1:10" x14ac:dyDescent="0.2">
      <c r="A2843">
        <v>12842</v>
      </c>
      <c r="B2843" t="s">
        <v>8</v>
      </c>
      <c r="C2843" t="s">
        <v>11</v>
      </c>
      <c r="D2843" s="8">
        <v>6.48</v>
      </c>
      <c r="E2843">
        <v>8</v>
      </c>
      <c r="F2843" t="str">
        <f t="shared" si="176"/>
        <v>Premium</v>
      </c>
      <c r="G2843" s="3" cm="1">
        <f t="array" ref="G2843">_xlfn.XLOOKUP(C2843 &amp; F2843,
         [1]unilever_price_limits!A:A &amp; [1]unilever_price_limits!B:B,
         [1]unilever_price_limits!C:C)</f>
        <v>50</v>
      </c>
      <c r="H2843" s="8">
        <f t="shared" si="177"/>
        <v>9.7200000000000006</v>
      </c>
      <c r="I2843" s="6">
        <f t="shared" si="178"/>
        <v>50</v>
      </c>
      <c r="J2843" t="str">
        <f t="shared" si="179"/>
        <v>OK</v>
      </c>
    </row>
    <row r="2844" spans="1:10" x14ac:dyDescent="0.2">
      <c r="A2844">
        <v>12843</v>
      </c>
      <c r="B2844" t="s">
        <v>8</v>
      </c>
      <c r="C2844" t="s">
        <v>11</v>
      </c>
      <c r="D2844" s="8">
        <v>1.02</v>
      </c>
      <c r="E2844">
        <v>9</v>
      </c>
      <c r="F2844" t="str">
        <f t="shared" si="176"/>
        <v>Premium</v>
      </c>
      <c r="G2844" s="3" cm="1">
        <f t="array" ref="G2844">_xlfn.XLOOKUP(C2844 &amp; F2844,
         [1]unilever_price_limits!A:A &amp; [1]unilever_price_limits!B:B,
         [1]unilever_price_limits!C:C)</f>
        <v>50</v>
      </c>
      <c r="H2844" s="8">
        <f t="shared" si="177"/>
        <v>1.53</v>
      </c>
      <c r="I2844" s="6">
        <f t="shared" si="178"/>
        <v>50</v>
      </c>
      <c r="J2844" t="str">
        <f t="shared" si="179"/>
        <v>OK</v>
      </c>
    </row>
    <row r="2845" spans="1:10" x14ac:dyDescent="0.2">
      <c r="A2845">
        <v>12844</v>
      </c>
      <c r="B2845" t="s">
        <v>5</v>
      </c>
      <c r="C2845" t="s">
        <v>11</v>
      </c>
      <c r="D2845" s="8">
        <v>7.72</v>
      </c>
      <c r="E2845">
        <v>1</v>
      </c>
      <c r="F2845" t="str">
        <f t="shared" si="176"/>
        <v>Value</v>
      </c>
      <c r="G2845" s="3" cm="1">
        <f t="array" ref="G2845">_xlfn.XLOOKUP(C2845 &amp; F2845,
         [1]unilever_price_limits!A:A &amp; [1]unilever_price_limits!B:B,
         [1]unilever_price_limits!C:C)</f>
        <v>10</v>
      </c>
      <c r="H2845" s="8">
        <f t="shared" si="177"/>
        <v>8.4920000000000009</v>
      </c>
      <c r="I2845" s="6">
        <f t="shared" si="178"/>
        <v>10.000000000000009</v>
      </c>
      <c r="J2845" t="str">
        <f t="shared" si="179"/>
        <v>OK</v>
      </c>
    </row>
    <row r="2846" spans="1:10" x14ac:dyDescent="0.2">
      <c r="A2846">
        <v>12845</v>
      </c>
      <c r="B2846" t="s">
        <v>10</v>
      </c>
      <c r="C2846" t="s">
        <v>9</v>
      </c>
      <c r="D2846" s="8">
        <v>8.5399999999999991</v>
      </c>
      <c r="E2846">
        <v>8</v>
      </c>
      <c r="F2846" t="str">
        <f t="shared" si="176"/>
        <v>Premium</v>
      </c>
      <c r="G2846" s="3" cm="1">
        <f t="array" ref="G2846">_xlfn.XLOOKUP(C2846 &amp; F2846,
         [1]unilever_price_limits!A:A &amp; [1]unilever_price_limits!B:B,
         [1]unilever_price_limits!C:C)</f>
        <v>60</v>
      </c>
      <c r="H2846" s="8">
        <f t="shared" si="177"/>
        <v>13.664</v>
      </c>
      <c r="I2846" s="6">
        <f t="shared" si="178"/>
        <v>60.000000000000007</v>
      </c>
      <c r="J2846" t="str">
        <f t="shared" si="179"/>
        <v>OK</v>
      </c>
    </row>
    <row r="2847" spans="1:10" x14ac:dyDescent="0.2">
      <c r="A2847">
        <v>12846</v>
      </c>
      <c r="B2847" t="s">
        <v>7</v>
      </c>
      <c r="C2847" t="s">
        <v>9</v>
      </c>
      <c r="D2847" s="8">
        <v>8.6</v>
      </c>
      <c r="E2847">
        <v>10</v>
      </c>
      <c r="F2847" t="str">
        <f t="shared" si="176"/>
        <v>Premium</v>
      </c>
      <c r="G2847" s="3" cm="1">
        <f t="array" ref="G2847">_xlfn.XLOOKUP(C2847 &amp; F2847,
         [1]unilever_price_limits!A:A &amp; [1]unilever_price_limits!B:B,
         [1]unilever_price_limits!C:C)</f>
        <v>60</v>
      </c>
      <c r="H2847" s="8">
        <f t="shared" si="177"/>
        <v>13.76</v>
      </c>
      <c r="I2847" s="6">
        <f t="shared" si="178"/>
        <v>60.000000000000007</v>
      </c>
      <c r="J2847" t="str">
        <f t="shared" si="179"/>
        <v>OK</v>
      </c>
    </row>
    <row r="2848" spans="1:10" x14ac:dyDescent="0.2">
      <c r="A2848">
        <v>12847</v>
      </c>
      <c r="B2848" t="s">
        <v>10</v>
      </c>
      <c r="C2848" t="s">
        <v>6</v>
      </c>
      <c r="D2848" s="8">
        <v>10.75</v>
      </c>
      <c r="E2848">
        <v>2</v>
      </c>
      <c r="F2848" t="str">
        <f t="shared" si="176"/>
        <v>Value</v>
      </c>
      <c r="G2848" s="3" cm="1">
        <f t="array" ref="G2848">_xlfn.XLOOKUP(C2848 &amp; F2848,
         [1]unilever_price_limits!A:A &amp; [1]unilever_price_limits!B:B,
         [1]unilever_price_limits!C:C)</f>
        <v>12</v>
      </c>
      <c r="H2848" s="8">
        <f t="shared" si="177"/>
        <v>12.040000000000001</v>
      </c>
      <c r="I2848" s="6">
        <f t="shared" si="178"/>
        <v>12.000000000000011</v>
      </c>
      <c r="J2848" t="str">
        <f t="shared" si="179"/>
        <v>OK</v>
      </c>
    </row>
    <row r="2849" spans="1:10" x14ac:dyDescent="0.2">
      <c r="A2849">
        <v>12848</v>
      </c>
      <c r="B2849" t="s">
        <v>7</v>
      </c>
      <c r="C2849" t="s">
        <v>6</v>
      </c>
      <c r="D2849" s="8">
        <v>3.07</v>
      </c>
      <c r="E2849">
        <v>4</v>
      </c>
      <c r="F2849" t="str">
        <f t="shared" si="176"/>
        <v>Standard</v>
      </c>
      <c r="G2849" s="3" cm="1">
        <f t="array" ref="G2849">_xlfn.XLOOKUP(C2849 &amp; F2849,
         [1]unilever_price_limits!A:A &amp; [1]unilever_price_limits!B:B,
         [1]unilever_price_limits!C:C)</f>
        <v>28</v>
      </c>
      <c r="H2849" s="8">
        <f t="shared" si="177"/>
        <v>3.9295999999999998</v>
      </c>
      <c r="I2849" s="6">
        <f t="shared" si="178"/>
        <v>28.000000000000004</v>
      </c>
      <c r="J2849" t="str">
        <f t="shared" si="179"/>
        <v>OK</v>
      </c>
    </row>
    <row r="2850" spans="1:10" x14ac:dyDescent="0.2">
      <c r="A2850">
        <v>12849</v>
      </c>
      <c r="B2850" t="s">
        <v>8</v>
      </c>
      <c r="C2850" t="s">
        <v>11</v>
      </c>
      <c r="D2850" s="8">
        <v>4.16</v>
      </c>
      <c r="E2850">
        <v>2</v>
      </c>
      <c r="F2850" t="str">
        <f t="shared" si="176"/>
        <v>Value</v>
      </c>
      <c r="G2850" s="3" cm="1">
        <f t="array" ref="G2850">_xlfn.XLOOKUP(C2850 &amp; F2850,
         [1]unilever_price_limits!A:A &amp; [1]unilever_price_limits!B:B,
         [1]unilever_price_limits!C:C)</f>
        <v>10</v>
      </c>
      <c r="H2850" s="8">
        <f t="shared" si="177"/>
        <v>4.5760000000000005</v>
      </c>
      <c r="I2850" s="6">
        <f t="shared" si="178"/>
        <v>10.000000000000009</v>
      </c>
      <c r="J2850" t="str">
        <f t="shared" si="179"/>
        <v>OK</v>
      </c>
    </row>
    <row r="2851" spans="1:10" x14ac:dyDescent="0.2">
      <c r="A2851">
        <v>12850</v>
      </c>
      <c r="B2851" t="s">
        <v>10</v>
      </c>
      <c r="C2851" t="s">
        <v>6</v>
      </c>
      <c r="D2851" s="8">
        <v>12.26</v>
      </c>
      <c r="E2851">
        <v>2</v>
      </c>
      <c r="F2851" t="str">
        <f t="shared" si="176"/>
        <v>Value</v>
      </c>
      <c r="G2851" s="3" cm="1">
        <f t="array" ref="G2851">_xlfn.XLOOKUP(C2851 &amp; F2851,
         [1]unilever_price_limits!A:A &amp; [1]unilever_price_limits!B:B,
         [1]unilever_price_limits!C:C)</f>
        <v>12</v>
      </c>
      <c r="H2851" s="8">
        <f t="shared" si="177"/>
        <v>13.731200000000001</v>
      </c>
      <c r="I2851" s="6">
        <f t="shared" si="178"/>
        <v>12.000000000000011</v>
      </c>
      <c r="J2851" t="str">
        <f t="shared" si="179"/>
        <v>OK</v>
      </c>
    </row>
    <row r="2852" spans="1:10" x14ac:dyDescent="0.2">
      <c r="A2852">
        <v>12851</v>
      </c>
      <c r="B2852" t="s">
        <v>7</v>
      </c>
      <c r="C2852" t="s">
        <v>9</v>
      </c>
      <c r="D2852" s="8">
        <v>14.23</v>
      </c>
      <c r="E2852">
        <v>10</v>
      </c>
      <c r="F2852" t="str">
        <f t="shared" si="176"/>
        <v>Premium</v>
      </c>
      <c r="G2852" s="3" cm="1">
        <f t="array" ref="G2852">_xlfn.XLOOKUP(C2852 &amp; F2852,
         [1]unilever_price_limits!A:A &amp; [1]unilever_price_limits!B:B,
         [1]unilever_price_limits!C:C)</f>
        <v>60</v>
      </c>
      <c r="H2852" s="8">
        <f t="shared" si="177"/>
        <v>22.768000000000001</v>
      </c>
      <c r="I2852" s="6">
        <f t="shared" si="178"/>
        <v>60.000000000000007</v>
      </c>
      <c r="J2852" t="str">
        <f t="shared" si="179"/>
        <v>OK</v>
      </c>
    </row>
    <row r="2853" spans="1:10" x14ac:dyDescent="0.2">
      <c r="A2853">
        <v>12852</v>
      </c>
      <c r="B2853" t="s">
        <v>5</v>
      </c>
      <c r="C2853" t="s">
        <v>6</v>
      </c>
      <c r="D2853" s="8">
        <v>2.4700000000000002</v>
      </c>
      <c r="E2853">
        <v>3</v>
      </c>
      <c r="F2853" t="str">
        <f t="shared" si="176"/>
        <v>Value</v>
      </c>
      <c r="G2853" s="3" cm="1">
        <f t="array" ref="G2853">_xlfn.XLOOKUP(C2853 &amp; F2853,
         [1]unilever_price_limits!A:A &amp; [1]unilever_price_limits!B:B,
         [1]unilever_price_limits!C:C)</f>
        <v>12</v>
      </c>
      <c r="H2853" s="8">
        <f t="shared" si="177"/>
        <v>2.7664000000000004</v>
      </c>
      <c r="I2853" s="6">
        <f t="shared" si="178"/>
        <v>12.000000000000011</v>
      </c>
      <c r="J2853" t="str">
        <f t="shared" si="179"/>
        <v>OK</v>
      </c>
    </row>
    <row r="2854" spans="1:10" x14ac:dyDescent="0.2">
      <c r="A2854">
        <v>12853</v>
      </c>
      <c r="B2854" t="s">
        <v>5</v>
      </c>
      <c r="C2854" t="s">
        <v>9</v>
      </c>
      <c r="D2854" s="8">
        <v>7.72</v>
      </c>
      <c r="E2854">
        <v>8</v>
      </c>
      <c r="F2854" t="str">
        <f t="shared" si="176"/>
        <v>Premium</v>
      </c>
      <c r="G2854" s="3" cm="1">
        <f t="array" ref="G2854">_xlfn.XLOOKUP(C2854 &amp; F2854,
         [1]unilever_price_limits!A:A &amp; [1]unilever_price_limits!B:B,
         [1]unilever_price_limits!C:C)</f>
        <v>60</v>
      </c>
      <c r="H2854" s="8">
        <f t="shared" si="177"/>
        <v>12.352</v>
      </c>
      <c r="I2854" s="6">
        <f t="shared" si="178"/>
        <v>60.000000000000007</v>
      </c>
      <c r="J2854" t="str">
        <f t="shared" si="179"/>
        <v>OK</v>
      </c>
    </row>
    <row r="2855" spans="1:10" x14ac:dyDescent="0.2">
      <c r="A2855">
        <v>12854</v>
      </c>
      <c r="B2855" t="s">
        <v>10</v>
      </c>
      <c r="C2855" t="s">
        <v>11</v>
      </c>
      <c r="D2855" s="8">
        <v>3.61</v>
      </c>
      <c r="E2855">
        <v>4</v>
      </c>
      <c r="F2855" t="str">
        <f t="shared" si="176"/>
        <v>Standard</v>
      </c>
      <c r="G2855" s="3" cm="1">
        <f t="array" ref="G2855">_xlfn.XLOOKUP(C2855 &amp; F2855,
         [1]unilever_price_limits!A:A &amp; [1]unilever_price_limits!B:B,
         [1]unilever_price_limits!C:C)</f>
        <v>25</v>
      </c>
      <c r="H2855" s="8">
        <f t="shared" si="177"/>
        <v>4.5125000000000002</v>
      </c>
      <c r="I2855" s="6">
        <f t="shared" si="178"/>
        <v>25</v>
      </c>
      <c r="J2855" t="str">
        <f t="shared" si="179"/>
        <v>OK</v>
      </c>
    </row>
    <row r="2856" spans="1:10" x14ac:dyDescent="0.2">
      <c r="A2856">
        <v>12855</v>
      </c>
      <c r="B2856" t="s">
        <v>10</v>
      </c>
      <c r="C2856" t="s">
        <v>11</v>
      </c>
      <c r="D2856" s="8">
        <v>1.37</v>
      </c>
      <c r="E2856">
        <v>7</v>
      </c>
      <c r="F2856" t="str">
        <f t="shared" si="176"/>
        <v>Standard</v>
      </c>
      <c r="G2856" s="3" cm="1">
        <f t="array" ref="G2856">_xlfn.XLOOKUP(C2856 &amp; F2856,
         [1]unilever_price_limits!A:A &amp; [1]unilever_price_limits!B:B,
         [1]unilever_price_limits!C:C)</f>
        <v>25</v>
      </c>
      <c r="H2856" s="8">
        <f t="shared" si="177"/>
        <v>1.7125000000000001</v>
      </c>
      <c r="I2856" s="6">
        <f t="shared" si="178"/>
        <v>25</v>
      </c>
      <c r="J2856" t="str">
        <f t="shared" si="179"/>
        <v>OK</v>
      </c>
    </row>
    <row r="2857" spans="1:10" x14ac:dyDescent="0.2">
      <c r="A2857">
        <v>12856</v>
      </c>
      <c r="B2857" t="s">
        <v>8</v>
      </c>
      <c r="C2857" t="s">
        <v>9</v>
      </c>
      <c r="D2857" s="8">
        <v>5.22</v>
      </c>
      <c r="E2857">
        <v>10</v>
      </c>
      <c r="F2857" t="str">
        <f t="shared" si="176"/>
        <v>Premium</v>
      </c>
      <c r="G2857" s="3" cm="1">
        <f t="array" ref="G2857">_xlfn.XLOOKUP(C2857 &amp; F2857,
         [1]unilever_price_limits!A:A &amp; [1]unilever_price_limits!B:B,
         [1]unilever_price_limits!C:C)</f>
        <v>60</v>
      </c>
      <c r="H2857" s="8">
        <f t="shared" si="177"/>
        <v>8.3520000000000003</v>
      </c>
      <c r="I2857" s="6">
        <f t="shared" si="178"/>
        <v>60.000000000000007</v>
      </c>
      <c r="J2857" t="str">
        <f t="shared" si="179"/>
        <v>OK</v>
      </c>
    </row>
    <row r="2858" spans="1:10" x14ac:dyDescent="0.2">
      <c r="A2858">
        <v>12857</v>
      </c>
      <c r="B2858" t="s">
        <v>10</v>
      </c>
      <c r="C2858" t="s">
        <v>6</v>
      </c>
      <c r="D2858" s="8">
        <v>2.58</v>
      </c>
      <c r="E2858">
        <v>3</v>
      </c>
      <c r="F2858" t="str">
        <f t="shared" si="176"/>
        <v>Value</v>
      </c>
      <c r="G2858" s="3" cm="1">
        <f t="array" ref="G2858">_xlfn.XLOOKUP(C2858 &amp; F2858,
         [1]unilever_price_limits!A:A &amp; [1]unilever_price_limits!B:B,
         [1]unilever_price_limits!C:C)</f>
        <v>12</v>
      </c>
      <c r="H2858" s="8">
        <f t="shared" si="177"/>
        <v>2.8896000000000002</v>
      </c>
      <c r="I2858" s="6">
        <f t="shared" si="178"/>
        <v>12.000000000000011</v>
      </c>
      <c r="J2858" t="str">
        <f t="shared" si="179"/>
        <v>OK</v>
      </c>
    </row>
    <row r="2859" spans="1:10" x14ac:dyDescent="0.2">
      <c r="A2859">
        <v>12858</v>
      </c>
      <c r="B2859" t="s">
        <v>8</v>
      </c>
      <c r="C2859" t="s">
        <v>11</v>
      </c>
      <c r="D2859" s="8">
        <v>10.79</v>
      </c>
      <c r="E2859">
        <v>10</v>
      </c>
      <c r="F2859" t="str">
        <f t="shared" si="176"/>
        <v>Premium</v>
      </c>
      <c r="G2859" s="3" cm="1">
        <f t="array" ref="G2859">_xlfn.XLOOKUP(C2859 &amp; F2859,
         [1]unilever_price_limits!A:A &amp; [1]unilever_price_limits!B:B,
         [1]unilever_price_limits!C:C)</f>
        <v>50</v>
      </c>
      <c r="H2859" s="8">
        <f t="shared" si="177"/>
        <v>16.184999999999999</v>
      </c>
      <c r="I2859" s="6">
        <f t="shared" si="178"/>
        <v>50</v>
      </c>
      <c r="J2859" t="str">
        <f t="shared" si="179"/>
        <v>OK</v>
      </c>
    </row>
    <row r="2860" spans="1:10" x14ac:dyDescent="0.2">
      <c r="A2860">
        <v>12859</v>
      </c>
      <c r="B2860" t="s">
        <v>8</v>
      </c>
      <c r="C2860" t="s">
        <v>11</v>
      </c>
      <c r="D2860" s="8">
        <v>8.24</v>
      </c>
      <c r="E2860">
        <v>3</v>
      </c>
      <c r="F2860" t="str">
        <f t="shared" si="176"/>
        <v>Value</v>
      </c>
      <c r="G2860" s="3" cm="1">
        <f t="array" ref="G2860">_xlfn.XLOOKUP(C2860 &amp; F2860,
         [1]unilever_price_limits!A:A &amp; [1]unilever_price_limits!B:B,
         [1]unilever_price_limits!C:C)</f>
        <v>10</v>
      </c>
      <c r="H2860" s="8">
        <f t="shared" si="177"/>
        <v>9.0640000000000018</v>
      </c>
      <c r="I2860" s="6">
        <f t="shared" si="178"/>
        <v>10.000000000000009</v>
      </c>
      <c r="J2860" t="str">
        <f t="shared" si="179"/>
        <v>OK</v>
      </c>
    </row>
    <row r="2861" spans="1:10" x14ac:dyDescent="0.2">
      <c r="A2861">
        <v>12860</v>
      </c>
      <c r="B2861" t="s">
        <v>5</v>
      </c>
      <c r="C2861" t="s">
        <v>6</v>
      </c>
      <c r="D2861" s="8">
        <v>2.59</v>
      </c>
      <c r="E2861">
        <v>2</v>
      </c>
      <c r="F2861" t="str">
        <f t="shared" si="176"/>
        <v>Value</v>
      </c>
      <c r="G2861" s="3" cm="1">
        <f t="array" ref="G2861">_xlfn.XLOOKUP(C2861 &amp; F2861,
         [1]unilever_price_limits!A:A &amp; [1]unilever_price_limits!B:B,
         [1]unilever_price_limits!C:C)</f>
        <v>12</v>
      </c>
      <c r="H2861" s="8">
        <f t="shared" si="177"/>
        <v>2.9008000000000003</v>
      </c>
      <c r="I2861" s="6">
        <f t="shared" si="178"/>
        <v>12.000000000000011</v>
      </c>
      <c r="J2861" t="str">
        <f t="shared" si="179"/>
        <v>OK</v>
      </c>
    </row>
    <row r="2862" spans="1:10" x14ac:dyDescent="0.2">
      <c r="A2862">
        <v>12861</v>
      </c>
      <c r="B2862" t="s">
        <v>5</v>
      </c>
      <c r="C2862" t="s">
        <v>6</v>
      </c>
      <c r="D2862" s="8">
        <v>0.63</v>
      </c>
      <c r="E2862">
        <v>6</v>
      </c>
      <c r="F2862" t="str">
        <f t="shared" si="176"/>
        <v>Standard</v>
      </c>
      <c r="G2862" s="3" cm="1">
        <f t="array" ref="G2862">_xlfn.XLOOKUP(C2862 &amp; F2862,
         [1]unilever_price_limits!A:A &amp; [1]unilever_price_limits!B:B,
         [1]unilever_price_limits!C:C)</f>
        <v>28</v>
      </c>
      <c r="H2862" s="8">
        <f t="shared" si="177"/>
        <v>0.80640000000000001</v>
      </c>
      <c r="I2862" s="6">
        <f t="shared" si="178"/>
        <v>28.000000000000004</v>
      </c>
      <c r="J2862" t="str">
        <f t="shared" si="179"/>
        <v>OK</v>
      </c>
    </row>
    <row r="2863" spans="1:10" x14ac:dyDescent="0.2">
      <c r="A2863">
        <v>12862</v>
      </c>
      <c r="B2863" t="s">
        <v>7</v>
      </c>
      <c r="C2863" t="s">
        <v>9</v>
      </c>
      <c r="D2863" s="8">
        <v>12.22</v>
      </c>
      <c r="E2863">
        <v>6</v>
      </c>
      <c r="F2863" t="str">
        <f t="shared" si="176"/>
        <v>Standard</v>
      </c>
      <c r="G2863" s="3" cm="1">
        <f t="array" ref="G2863">_xlfn.XLOOKUP(C2863 &amp; F2863,
         [1]unilever_price_limits!A:A &amp; [1]unilever_price_limits!B:B,
         [1]unilever_price_limits!C:C)</f>
        <v>30</v>
      </c>
      <c r="H2863" s="8">
        <f t="shared" si="177"/>
        <v>15.886000000000001</v>
      </c>
      <c r="I2863" s="6">
        <f t="shared" si="178"/>
        <v>30.000000000000004</v>
      </c>
      <c r="J2863" t="str">
        <f t="shared" si="179"/>
        <v>OK</v>
      </c>
    </row>
    <row r="2864" spans="1:10" x14ac:dyDescent="0.2">
      <c r="A2864">
        <v>12863</v>
      </c>
      <c r="B2864" t="s">
        <v>5</v>
      </c>
      <c r="C2864" t="s">
        <v>6</v>
      </c>
      <c r="D2864" s="8">
        <v>3.05</v>
      </c>
      <c r="E2864">
        <v>1</v>
      </c>
      <c r="F2864" t="str">
        <f t="shared" si="176"/>
        <v>Value</v>
      </c>
      <c r="G2864" s="3" cm="1">
        <f t="array" ref="G2864">_xlfn.XLOOKUP(C2864 &amp; F2864,
         [1]unilever_price_limits!A:A &amp; [1]unilever_price_limits!B:B,
         [1]unilever_price_limits!C:C)</f>
        <v>12</v>
      </c>
      <c r="H2864" s="8">
        <f t="shared" si="177"/>
        <v>3.4159999999999999</v>
      </c>
      <c r="I2864" s="6">
        <f t="shared" si="178"/>
        <v>12.000000000000011</v>
      </c>
      <c r="J2864" t="str">
        <f t="shared" si="179"/>
        <v>OK</v>
      </c>
    </row>
    <row r="2865" spans="1:10" x14ac:dyDescent="0.2">
      <c r="A2865">
        <v>12864</v>
      </c>
      <c r="B2865" t="s">
        <v>5</v>
      </c>
      <c r="C2865" t="s">
        <v>6</v>
      </c>
      <c r="D2865" s="8">
        <v>9.2899999999999991</v>
      </c>
      <c r="E2865">
        <v>7</v>
      </c>
      <c r="F2865" t="str">
        <f t="shared" si="176"/>
        <v>Standard</v>
      </c>
      <c r="G2865" s="3" cm="1">
        <f t="array" ref="G2865">_xlfn.XLOOKUP(C2865 &amp; F2865,
         [1]unilever_price_limits!A:A &amp; [1]unilever_price_limits!B:B,
         [1]unilever_price_limits!C:C)</f>
        <v>28</v>
      </c>
      <c r="H2865" s="8">
        <f t="shared" si="177"/>
        <v>11.8912</v>
      </c>
      <c r="I2865" s="6">
        <f t="shared" si="178"/>
        <v>28.000000000000004</v>
      </c>
      <c r="J2865" t="str">
        <f t="shared" si="179"/>
        <v>OK</v>
      </c>
    </row>
    <row r="2866" spans="1:10" x14ac:dyDescent="0.2">
      <c r="A2866">
        <v>12865</v>
      </c>
      <c r="B2866" t="s">
        <v>10</v>
      </c>
      <c r="C2866" t="s">
        <v>6</v>
      </c>
      <c r="D2866" s="8">
        <v>5.39</v>
      </c>
      <c r="E2866">
        <v>4</v>
      </c>
      <c r="F2866" t="str">
        <f t="shared" si="176"/>
        <v>Standard</v>
      </c>
      <c r="G2866" s="3" cm="1">
        <f t="array" ref="G2866">_xlfn.XLOOKUP(C2866 &amp; F2866,
         [1]unilever_price_limits!A:A &amp; [1]unilever_price_limits!B:B,
         [1]unilever_price_limits!C:C)</f>
        <v>28</v>
      </c>
      <c r="H2866" s="8">
        <f t="shared" si="177"/>
        <v>6.8991999999999996</v>
      </c>
      <c r="I2866" s="6">
        <f t="shared" si="178"/>
        <v>28.000000000000004</v>
      </c>
      <c r="J2866" t="str">
        <f t="shared" si="179"/>
        <v>OK</v>
      </c>
    </row>
    <row r="2867" spans="1:10" x14ac:dyDescent="0.2">
      <c r="A2867">
        <v>12866</v>
      </c>
      <c r="B2867" t="s">
        <v>5</v>
      </c>
      <c r="C2867" t="s">
        <v>9</v>
      </c>
      <c r="D2867" s="8">
        <v>8.99</v>
      </c>
      <c r="E2867">
        <v>3</v>
      </c>
      <c r="F2867" t="str">
        <f t="shared" si="176"/>
        <v>Value</v>
      </c>
      <c r="G2867" s="3" cm="1">
        <f t="array" ref="G2867">_xlfn.XLOOKUP(C2867 &amp; F2867,
         [1]unilever_price_limits!A:A &amp; [1]unilever_price_limits!B:B,
         [1]unilever_price_limits!C:C)</f>
        <v>15</v>
      </c>
      <c r="H2867" s="8">
        <f t="shared" si="177"/>
        <v>10.3385</v>
      </c>
      <c r="I2867" s="6">
        <f t="shared" si="178"/>
        <v>14.999999999999991</v>
      </c>
      <c r="J2867" t="str">
        <f t="shared" si="179"/>
        <v>OK</v>
      </c>
    </row>
    <row r="2868" spans="1:10" x14ac:dyDescent="0.2">
      <c r="A2868">
        <v>12867</v>
      </c>
      <c r="B2868" t="s">
        <v>7</v>
      </c>
      <c r="C2868" t="s">
        <v>9</v>
      </c>
      <c r="D2868" s="8">
        <v>5.08</v>
      </c>
      <c r="E2868">
        <v>8</v>
      </c>
      <c r="F2868" t="str">
        <f t="shared" si="176"/>
        <v>Premium</v>
      </c>
      <c r="G2868" s="3" cm="1">
        <f t="array" ref="G2868">_xlfn.XLOOKUP(C2868 &amp; F2868,
         [1]unilever_price_limits!A:A &amp; [1]unilever_price_limits!B:B,
         [1]unilever_price_limits!C:C)</f>
        <v>60</v>
      </c>
      <c r="H2868" s="8">
        <f t="shared" si="177"/>
        <v>8.1280000000000001</v>
      </c>
      <c r="I2868" s="6">
        <f t="shared" si="178"/>
        <v>60.000000000000007</v>
      </c>
      <c r="J2868" t="str">
        <f t="shared" si="179"/>
        <v>OK</v>
      </c>
    </row>
    <row r="2869" spans="1:10" x14ac:dyDescent="0.2">
      <c r="A2869">
        <v>12868</v>
      </c>
      <c r="B2869" t="s">
        <v>10</v>
      </c>
      <c r="C2869" t="s">
        <v>11</v>
      </c>
      <c r="D2869" s="8">
        <v>1.76</v>
      </c>
      <c r="E2869">
        <v>2</v>
      </c>
      <c r="F2869" t="str">
        <f t="shared" si="176"/>
        <v>Value</v>
      </c>
      <c r="G2869" s="3" cm="1">
        <f t="array" ref="G2869">_xlfn.XLOOKUP(C2869 &amp; F2869,
         [1]unilever_price_limits!A:A &amp; [1]unilever_price_limits!B:B,
         [1]unilever_price_limits!C:C)</f>
        <v>10</v>
      </c>
      <c r="H2869" s="8">
        <f t="shared" si="177"/>
        <v>1.9360000000000002</v>
      </c>
      <c r="I2869" s="6">
        <f t="shared" si="178"/>
        <v>10.000000000000009</v>
      </c>
      <c r="J2869" t="str">
        <f t="shared" si="179"/>
        <v>OK</v>
      </c>
    </row>
    <row r="2870" spans="1:10" x14ac:dyDescent="0.2">
      <c r="A2870">
        <v>12869</v>
      </c>
      <c r="B2870" t="s">
        <v>7</v>
      </c>
      <c r="C2870" t="s">
        <v>9</v>
      </c>
      <c r="D2870" s="8">
        <v>3.73</v>
      </c>
      <c r="E2870">
        <v>9</v>
      </c>
      <c r="F2870" t="str">
        <f t="shared" si="176"/>
        <v>Premium</v>
      </c>
      <c r="G2870" s="3" cm="1">
        <f t="array" ref="G2870">_xlfn.XLOOKUP(C2870 &amp; F2870,
         [1]unilever_price_limits!A:A &amp; [1]unilever_price_limits!B:B,
         [1]unilever_price_limits!C:C)</f>
        <v>60</v>
      </c>
      <c r="H2870" s="8">
        <f t="shared" si="177"/>
        <v>5.968</v>
      </c>
      <c r="I2870" s="6">
        <f t="shared" si="178"/>
        <v>60.000000000000007</v>
      </c>
      <c r="J2870" t="str">
        <f t="shared" si="179"/>
        <v>OK</v>
      </c>
    </row>
    <row r="2871" spans="1:10" x14ac:dyDescent="0.2">
      <c r="A2871">
        <v>12870</v>
      </c>
      <c r="B2871" t="s">
        <v>5</v>
      </c>
      <c r="C2871" t="s">
        <v>11</v>
      </c>
      <c r="D2871" s="8">
        <v>3.23</v>
      </c>
      <c r="E2871">
        <v>8</v>
      </c>
      <c r="F2871" t="str">
        <f t="shared" si="176"/>
        <v>Premium</v>
      </c>
      <c r="G2871" s="3" cm="1">
        <f t="array" ref="G2871">_xlfn.XLOOKUP(C2871 &amp; F2871,
         [1]unilever_price_limits!A:A &amp; [1]unilever_price_limits!B:B,
         [1]unilever_price_limits!C:C)</f>
        <v>50</v>
      </c>
      <c r="H2871" s="8">
        <f t="shared" si="177"/>
        <v>4.8449999999999998</v>
      </c>
      <c r="I2871" s="6">
        <f t="shared" si="178"/>
        <v>50</v>
      </c>
      <c r="J2871" t="str">
        <f t="shared" si="179"/>
        <v>OK</v>
      </c>
    </row>
    <row r="2872" spans="1:10" x14ac:dyDescent="0.2">
      <c r="A2872">
        <v>12871</v>
      </c>
      <c r="B2872" t="s">
        <v>7</v>
      </c>
      <c r="C2872" t="s">
        <v>6</v>
      </c>
      <c r="D2872" s="8">
        <v>6.71</v>
      </c>
      <c r="E2872">
        <v>8</v>
      </c>
      <c r="F2872" t="str">
        <f t="shared" si="176"/>
        <v>Premium</v>
      </c>
      <c r="G2872" s="3" cm="1">
        <f t="array" ref="G2872">_xlfn.XLOOKUP(C2872 &amp; F2872,
         [1]unilever_price_limits!A:A &amp; [1]unilever_price_limits!B:B,
         [1]unilever_price_limits!C:C)</f>
        <v>55</v>
      </c>
      <c r="H2872" s="8">
        <f t="shared" si="177"/>
        <v>10.400500000000001</v>
      </c>
      <c r="I2872" s="6">
        <f t="shared" si="178"/>
        <v>55.000000000000007</v>
      </c>
      <c r="J2872" t="str">
        <f t="shared" si="179"/>
        <v>OK</v>
      </c>
    </row>
    <row r="2873" spans="1:10" x14ac:dyDescent="0.2">
      <c r="A2873">
        <v>12872</v>
      </c>
      <c r="B2873" t="s">
        <v>10</v>
      </c>
      <c r="C2873" t="s">
        <v>11</v>
      </c>
      <c r="D2873" s="8">
        <v>10.050000000000001</v>
      </c>
      <c r="E2873">
        <v>3</v>
      </c>
      <c r="F2873" t="str">
        <f t="shared" si="176"/>
        <v>Value</v>
      </c>
      <c r="G2873" s="3" cm="1">
        <f t="array" ref="G2873">_xlfn.XLOOKUP(C2873 &amp; F2873,
         [1]unilever_price_limits!A:A &amp; [1]unilever_price_limits!B:B,
         [1]unilever_price_limits!C:C)</f>
        <v>10</v>
      </c>
      <c r="H2873" s="8">
        <f t="shared" si="177"/>
        <v>11.055000000000001</v>
      </c>
      <c r="I2873" s="6">
        <f t="shared" si="178"/>
        <v>10.000000000000009</v>
      </c>
      <c r="J2873" t="str">
        <f t="shared" si="179"/>
        <v>OK</v>
      </c>
    </row>
    <row r="2874" spans="1:10" x14ac:dyDescent="0.2">
      <c r="A2874">
        <v>12873</v>
      </c>
      <c r="B2874" t="s">
        <v>8</v>
      </c>
      <c r="C2874" t="s">
        <v>11</v>
      </c>
      <c r="D2874" s="8">
        <v>4.33</v>
      </c>
      <c r="E2874">
        <v>4</v>
      </c>
      <c r="F2874" t="str">
        <f t="shared" si="176"/>
        <v>Standard</v>
      </c>
      <c r="G2874" s="3" cm="1">
        <f t="array" ref="G2874">_xlfn.XLOOKUP(C2874 &amp; F2874,
         [1]unilever_price_limits!A:A &amp; [1]unilever_price_limits!B:B,
         [1]unilever_price_limits!C:C)</f>
        <v>25</v>
      </c>
      <c r="H2874" s="8">
        <f t="shared" si="177"/>
        <v>5.4124999999999996</v>
      </c>
      <c r="I2874" s="6">
        <f t="shared" si="178"/>
        <v>25</v>
      </c>
      <c r="J2874" t="str">
        <f t="shared" si="179"/>
        <v>OK</v>
      </c>
    </row>
    <row r="2875" spans="1:10" x14ac:dyDescent="0.2">
      <c r="A2875">
        <v>12874</v>
      </c>
      <c r="B2875" t="s">
        <v>7</v>
      </c>
      <c r="C2875" t="s">
        <v>6</v>
      </c>
      <c r="D2875" s="8">
        <v>0.68</v>
      </c>
      <c r="E2875">
        <v>2</v>
      </c>
      <c r="F2875" t="str">
        <f t="shared" si="176"/>
        <v>Value</v>
      </c>
      <c r="G2875" s="3" cm="1">
        <f t="array" ref="G2875">_xlfn.XLOOKUP(C2875 &amp; F2875,
         [1]unilever_price_limits!A:A &amp; [1]unilever_price_limits!B:B,
         [1]unilever_price_limits!C:C)</f>
        <v>12</v>
      </c>
      <c r="H2875" s="8">
        <f t="shared" si="177"/>
        <v>0.76160000000000017</v>
      </c>
      <c r="I2875" s="6">
        <f t="shared" si="178"/>
        <v>12.000000000000011</v>
      </c>
      <c r="J2875" t="str">
        <f t="shared" si="179"/>
        <v>OK</v>
      </c>
    </row>
    <row r="2876" spans="1:10" x14ac:dyDescent="0.2">
      <c r="A2876">
        <v>12875</v>
      </c>
      <c r="B2876" t="s">
        <v>7</v>
      </c>
      <c r="C2876" t="s">
        <v>11</v>
      </c>
      <c r="D2876" s="8">
        <v>8.02</v>
      </c>
      <c r="E2876">
        <v>2</v>
      </c>
      <c r="F2876" t="str">
        <f t="shared" si="176"/>
        <v>Value</v>
      </c>
      <c r="G2876" s="3" cm="1">
        <f t="array" ref="G2876">_xlfn.XLOOKUP(C2876 &amp; F2876,
         [1]unilever_price_limits!A:A &amp; [1]unilever_price_limits!B:B,
         [1]unilever_price_limits!C:C)</f>
        <v>10</v>
      </c>
      <c r="H2876" s="8">
        <f t="shared" si="177"/>
        <v>8.822000000000001</v>
      </c>
      <c r="I2876" s="6">
        <f t="shared" si="178"/>
        <v>10.000000000000009</v>
      </c>
      <c r="J2876" t="str">
        <f t="shared" si="179"/>
        <v>OK</v>
      </c>
    </row>
    <row r="2877" spans="1:10" x14ac:dyDescent="0.2">
      <c r="A2877">
        <v>12876</v>
      </c>
      <c r="B2877" t="s">
        <v>10</v>
      </c>
      <c r="C2877" t="s">
        <v>9</v>
      </c>
      <c r="D2877" s="8">
        <v>9.2799999999999994</v>
      </c>
      <c r="E2877">
        <v>4</v>
      </c>
      <c r="F2877" t="str">
        <f t="shared" si="176"/>
        <v>Standard</v>
      </c>
      <c r="G2877" s="3" cm="1">
        <f t="array" ref="G2877">_xlfn.XLOOKUP(C2877 &amp; F2877,
         [1]unilever_price_limits!A:A &amp; [1]unilever_price_limits!B:B,
         [1]unilever_price_limits!C:C)</f>
        <v>30</v>
      </c>
      <c r="H2877" s="8">
        <f t="shared" si="177"/>
        <v>12.064</v>
      </c>
      <c r="I2877" s="6">
        <f t="shared" si="178"/>
        <v>30.000000000000004</v>
      </c>
      <c r="J2877" t="str">
        <f t="shared" si="179"/>
        <v>OK</v>
      </c>
    </row>
    <row r="2878" spans="1:10" x14ac:dyDescent="0.2">
      <c r="A2878">
        <v>12877</v>
      </c>
      <c r="B2878" t="s">
        <v>10</v>
      </c>
      <c r="C2878" t="s">
        <v>9</v>
      </c>
      <c r="D2878" s="8">
        <v>14.46</v>
      </c>
      <c r="E2878">
        <v>6</v>
      </c>
      <c r="F2878" t="str">
        <f t="shared" si="176"/>
        <v>Standard</v>
      </c>
      <c r="G2878" s="3" cm="1">
        <f t="array" ref="G2878">_xlfn.XLOOKUP(C2878 &amp; F2878,
         [1]unilever_price_limits!A:A &amp; [1]unilever_price_limits!B:B,
         [1]unilever_price_limits!C:C)</f>
        <v>30</v>
      </c>
      <c r="H2878" s="8">
        <f t="shared" si="177"/>
        <v>18.798000000000002</v>
      </c>
      <c r="I2878" s="6">
        <f t="shared" si="178"/>
        <v>30.000000000000004</v>
      </c>
      <c r="J2878" t="str">
        <f t="shared" si="179"/>
        <v>OK</v>
      </c>
    </row>
    <row r="2879" spans="1:10" x14ac:dyDescent="0.2">
      <c r="A2879">
        <v>12878</v>
      </c>
      <c r="B2879" t="s">
        <v>7</v>
      </c>
      <c r="C2879" t="s">
        <v>9</v>
      </c>
      <c r="D2879" s="8">
        <v>9.0500000000000007</v>
      </c>
      <c r="E2879">
        <v>5</v>
      </c>
      <c r="F2879" t="str">
        <f t="shared" si="176"/>
        <v>Standard</v>
      </c>
      <c r="G2879" s="3" cm="1">
        <f t="array" ref="G2879">_xlfn.XLOOKUP(C2879 &amp; F2879,
         [1]unilever_price_limits!A:A &amp; [1]unilever_price_limits!B:B,
         [1]unilever_price_limits!C:C)</f>
        <v>30</v>
      </c>
      <c r="H2879" s="8">
        <f t="shared" si="177"/>
        <v>11.765000000000001</v>
      </c>
      <c r="I2879" s="6">
        <f t="shared" si="178"/>
        <v>30.000000000000004</v>
      </c>
      <c r="J2879" t="str">
        <f t="shared" si="179"/>
        <v>OK</v>
      </c>
    </row>
    <row r="2880" spans="1:10" x14ac:dyDescent="0.2">
      <c r="A2880">
        <v>12879</v>
      </c>
      <c r="B2880" t="s">
        <v>5</v>
      </c>
      <c r="C2880" t="s">
        <v>9</v>
      </c>
      <c r="D2880" s="8">
        <v>7.33</v>
      </c>
      <c r="E2880">
        <v>1</v>
      </c>
      <c r="F2880" t="str">
        <f t="shared" si="176"/>
        <v>Value</v>
      </c>
      <c r="G2880" s="3" cm="1">
        <f t="array" ref="G2880">_xlfn.XLOOKUP(C2880 &amp; F2880,
         [1]unilever_price_limits!A:A &amp; [1]unilever_price_limits!B:B,
         [1]unilever_price_limits!C:C)</f>
        <v>15</v>
      </c>
      <c r="H2880" s="8">
        <f t="shared" si="177"/>
        <v>8.4294999999999991</v>
      </c>
      <c r="I2880" s="6">
        <f t="shared" si="178"/>
        <v>14.999999999999991</v>
      </c>
      <c r="J2880" t="str">
        <f t="shared" si="179"/>
        <v>OK</v>
      </c>
    </row>
    <row r="2881" spans="1:10" x14ac:dyDescent="0.2">
      <c r="A2881">
        <v>12880</v>
      </c>
      <c r="B2881" t="s">
        <v>7</v>
      </c>
      <c r="C2881" t="s">
        <v>11</v>
      </c>
      <c r="D2881" s="8">
        <v>8.81</v>
      </c>
      <c r="E2881">
        <v>10</v>
      </c>
      <c r="F2881" t="str">
        <f t="shared" si="176"/>
        <v>Premium</v>
      </c>
      <c r="G2881" s="3" cm="1">
        <f t="array" ref="G2881">_xlfn.XLOOKUP(C2881 &amp; F2881,
         [1]unilever_price_limits!A:A &amp; [1]unilever_price_limits!B:B,
         [1]unilever_price_limits!C:C)</f>
        <v>50</v>
      </c>
      <c r="H2881" s="8">
        <f t="shared" si="177"/>
        <v>13.215</v>
      </c>
      <c r="I2881" s="6">
        <f t="shared" si="178"/>
        <v>50</v>
      </c>
      <c r="J2881" t="str">
        <f t="shared" si="179"/>
        <v>OK</v>
      </c>
    </row>
    <row r="2882" spans="1:10" x14ac:dyDescent="0.2">
      <c r="A2882">
        <v>12881</v>
      </c>
      <c r="B2882" t="s">
        <v>10</v>
      </c>
      <c r="C2882" t="s">
        <v>11</v>
      </c>
      <c r="D2882" s="8">
        <v>13.95</v>
      </c>
      <c r="E2882">
        <v>1</v>
      </c>
      <c r="F2882" t="str">
        <f t="shared" si="176"/>
        <v>Value</v>
      </c>
      <c r="G2882" s="3" cm="1">
        <f t="array" ref="G2882">_xlfn.XLOOKUP(C2882 &amp; F2882,
         [1]unilever_price_limits!A:A &amp; [1]unilever_price_limits!B:B,
         [1]unilever_price_limits!C:C)</f>
        <v>10</v>
      </c>
      <c r="H2882" s="8">
        <f t="shared" si="177"/>
        <v>15.345000000000001</v>
      </c>
      <c r="I2882" s="6">
        <f t="shared" si="178"/>
        <v>10.000000000000009</v>
      </c>
      <c r="J2882" t="str">
        <f t="shared" si="179"/>
        <v>OK</v>
      </c>
    </row>
    <row r="2883" spans="1:10" x14ac:dyDescent="0.2">
      <c r="A2883">
        <v>12882</v>
      </c>
      <c r="B2883" t="s">
        <v>8</v>
      </c>
      <c r="C2883" t="s">
        <v>6</v>
      </c>
      <c r="D2883" s="8">
        <v>12.51</v>
      </c>
      <c r="E2883">
        <v>6</v>
      </c>
      <c r="F2883" t="str">
        <f t="shared" ref="F2883:F2946" si="180">IF(E2883&lt;=3,"Value",
 IF(E2883&lt;=7,"Standard","Premium"))</f>
        <v>Standard</v>
      </c>
      <c r="G2883" s="3" cm="1">
        <f t="array" ref="G2883">_xlfn.XLOOKUP(C2883 &amp; F2883,
         [1]unilever_price_limits!A:A &amp; [1]unilever_price_limits!B:B,
         [1]unilever_price_limits!C:C)</f>
        <v>28</v>
      </c>
      <c r="H2883" s="8">
        <f t="shared" ref="H2883:H2946" si="181">D2883 * (1 + G2883/100)</f>
        <v>16.012799999999999</v>
      </c>
      <c r="I2883" s="6">
        <f t="shared" ref="I2883:I2946" si="182">(H2883 / D2883 - 1) * 100</f>
        <v>27.999999999999979</v>
      </c>
      <c r="J2883" t="str">
        <f t="shared" ref="J2883:J2946" si="183">IF(I2882&gt; G2882, "⚠ Exceeds Limit", "OK")</f>
        <v>OK</v>
      </c>
    </row>
    <row r="2884" spans="1:10" x14ac:dyDescent="0.2">
      <c r="A2884">
        <v>12883</v>
      </c>
      <c r="B2884" t="s">
        <v>8</v>
      </c>
      <c r="C2884" t="s">
        <v>11</v>
      </c>
      <c r="D2884" s="8">
        <v>5.18</v>
      </c>
      <c r="E2884">
        <v>3</v>
      </c>
      <c r="F2884" t="str">
        <f t="shared" si="180"/>
        <v>Value</v>
      </c>
      <c r="G2884" s="3" cm="1">
        <f t="array" ref="G2884">_xlfn.XLOOKUP(C2884 &amp; F2884,
         [1]unilever_price_limits!A:A &amp; [1]unilever_price_limits!B:B,
         [1]unilever_price_limits!C:C)</f>
        <v>10</v>
      </c>
      <c r="H2884" s="8">
        <f t="shared" si="181"/>
        <v>5.6980000000000004</v>
      </c>
      <c r="I2884" s="6">
        <f t="shared" si="182"/>
        <v>10.000000000000009</v>
      </c>
      <c r="J2884" t="str">
        <f t="shared" si="183"/>
        <v>OK</v>
      </c>
    </row>
    <row r="2885" spans="1:10" x14ac:dyDescent="0.2">
      <c r="A2885">
        <v>12884</v>
      </c>
      <c r="B2885" t="s">
        <v>5</v>
      </c>
      <c r="C2885" t="s">
        <v>11</v>
      </c>
      <c r="D2885" s="8">
        <v>3.94</v>
      </c>
      <c r="E2885">
        <v>3</v>
      </c>
      <c r="F2885" t="str">
        <f t="shared" si="180"/>
        <v>Value</v>
      </c>
      <c r="G2885" s="3" cm="1">
        <f t="array" ref="G2885">_xlfn.XLOOKUP(C2885 &amp; F2885,
         [1]unilever_price_limits!A:A &amp; [1]unilever_price_limits!B:B,
         [1]unilever_price_limits!C:C)</f>
        <v>10</v>
      </c>
      <c r="H2885" s="8">
        <f t="shared" si="181"/>
        <v>4.3340000000000005</v>
      </c>
      <c r="I2885" s="6">
        <f t="shared" si="182"/>
        <v>10.000000000000009</v>
      </c>
      <c r="J2885" t="str">
        <f t="shared" si="183"/>
        <v>OK</v>
      </c>
    </row>
    <row r="2886" spans="1:10" x14ac:dyDescent="0.2">
      <c r="A2886">
        <v>12885</v>
      </c>
      <c r="B2886" t="s">
        <v>7</v>
      </c>
      <c r="C2886" t="s">
        <v>11</v>
      </c>
      <c r="D2886" s="8">
        <v>4.3099999999999996</v>
      </c>
      <c r="E2886">
        <v>7</v>
      </c>
      <c r="F2886" t="str">
        <f t="shared" si="180"/>
        <v>Standard</v>
      </c>
      <c r="G2886" s="3" cm="1">
        <f t="array" ref="G2886">_xlfn.XLOOKUP(C2886 &amp; F2886,
         [1]unilever_price_limits!A:A &amp; [1]unilever_price_limits!B:B,
         [1]unilever_price_limits!C:C)</f>
        <v>25</v>
      </c>
      <c r="H2886" s="8">
        <f t="shared" si="181"/>
        <v>5.3874999999999993</v>
      </c>
      <c r="I2886" s="6">
        <f t="shared" si="182"/>
        <v>25</v>
      </c>
      <c r="J2886" t="str">
        <f t="shared" si="183"/>
        <v>OK</v>
      </c>
    </row>
    <row r="2887" spans="1:10" x14ac:dyDescent="0.2">
      <c r="A2887">
        <v>12886</v>
      </c>
      <c r="B2887" t="s">
        <v>8</v>
      </c>
      <c r="C2887" t="s">
        <v>6</v>
      </c>
      <c r="D2887" s="8">
        <v>7.81</v>
      </c>
      <c r="E2887">
        <v>1</v>
      </c>
      <c r="F2887" t="str">
        <f t="shared" si="180"/>
        <v>Value</v>
      </c>
      <c r="G2887" s="3" cm="1">
        <f t="array" ref="G2887">_xlfn.XLOOKUP(C2887 &amp; F2887,
         [1]unilever_price_limits!A:A &amp; [1]unilever_price_limits!B:B,
         [1]unilever_price_limits!C:C)</f>
        <v>12</v>
      </c>
      <c r="H2887" s="8">
        <f t="shared" si="181"/>
        <v>8.7472000000000012</v>
      </c>
      <c r="I2887" s="6">
        <f t="shared" si="182"/>
        <v>12.000000000000011</v>
      </c>
      <c r="J2887" t="str">
        <f t="shared" si="183"/>
        <v>OK</v>
      </c>
    </row>
    <row r="2888" spans="1:10" x14ac:dyDescent="0.2">
      <c r="A2888">
        <v>12887</v>
      </c>
      <c r="B2888" t="s">
        <v>7</v>
      </c>
      <c r="C2888" t="s">
        <v>9</v>
      </c>
      <c r="D2888" s="8">
        <v>11.29</v>
      </c>
      <c r="E2888">
        <v>1</v>
      </c>
      <c r="F2888" t="str">
        <f t="shared" si="180"/>
        <v>Value</v>
      </c>
      <c r="G2888" s="3" cm="1">
        <f t="array" ref="G2888">_xlfn.XLOOKUP(C2888 &amp; F2888,
         [1]unilever_price_limits!A:A &amp; [1]unilever_price_limits!B:B,
         [1]unilever_price_limits!C:C)</f>
        <v>15</v>
      </c>
      <c r="H2888" s="8">
        <f t="shared" si="181"/>
        <v>12.983499999999998</v>
      </c>
      <c r="I2888" s="6">
        <f t="shared" si="182"/>
        <v>14.999999999999991</v>
      </c>
      <c r="J2888" t="str">
        <f t="shared" si="183"/>
        <v>OK</v>
      </c>
    </row>
    <row r="2889" spans="1:10" x14ac:dyDescent="0.2">
      <c r="A2889">
        <v>12888</v>
      </c>
      <c r="B2889" t="s">
        <v>10</v>
      </c>
      <c r="C2889" t="s">
        <v>11</v>
      </c>
      <c r="D2889" s="8">
        <v>7.8</v>
      </c>
      <c r="E2889">
        <v>10</v>
      </c>
      <c r="F2889" t="str">
        <f t="shared" si="180"/>
        <v>Premium</v>
      </c>
      <c r="G2889" s="3" cm="1">
        <f t="array" ref="G2889">_xlfn.XLOOKUP(C2889 &amp; F2889,
         [1]unilever_price_limits!A:A &amp; [1]unilever_price_limits!B:B,
         [1]unilever_price_limits!C:C)</f>
        <v>50</v>
      </c>
      <c r="H2889" s="8">
        <f t="shared" si="181"/>
        <v>11.7</v>
      </c>
      <c r="I2889" s="6">
        <f t="shared" si="182"/>
        <v>50</v>
      </c>
      <c r="J2889" t="str">
        <f t="shared" si="183"/>
        <v>OK</v>
      </c>
    </row>
    <row r="2890" spans="1:10" x14ac:dyDescent="0.2">
      <c r="A2890">
        <v>12889</v>
      </c>
      <c r="B2890" t="s">
        <v>8</v>
      </c>
      <c r="C2890" t="s">
        <v>6</v>
      </c>
      <c r="D2890" s="8">
        <v>1.48</v>
      </c>
      <c r="E2890">
        <v>3</v>
      </c>
      <c r="F2890" t="str">
        <f t="shared" si="180"/>
        <v>Value</v>
      </c>
      <c r="G2890" s="3" cm="1">
        <f t="array" ref="G2890">_xlfn.XLOOKUP(C2890 &amp; F2890,
         [1]unilever_price_limits!A:A &amp; [1]unilever_price_limits!B:B,
         [1]unilever_price_limits!C:C)</f>
        <v>12</v>
      </c>
      <c r="H2890" s="8">
        <f t="shared" si="181"/>
        <v>1.6576000000000002</v>
      </c>
      <c r="I2890" s="6">
        <f t="shared" si="182"/>
        <v>12.000000000000011</v>
      </c>
      <c r="J2890" t="str">
        <f t="shared" si="183"/>
        <v>OK</v>
      </c>
    </row>
    <row r="2891" spans="1:10" x14ac:dyDescent="0.2">
      <c r="A2891">
        <v>12890</v>
      </c>
      <c r="B2891" t="s">
        <v>5</v>
      </c>
      <c r="C2891" t="s">
        <v>6</v>
      </c>
      <c r="D2891" s="8">
        <v>10.99</v>
      </c>
      <c r="E2891">
        <v>8</v>
      </c>
      <c r="F2891" t="str">
        <f t="shared" si="180"/>
        <v>Premium</v>
      </c>
      <c r="G2891" s="3" cm="1">
        <f t="array" ref="G2891">_xlfn.XLOOKUP(C2891 &amp; F2891,
         [1]unilever_price_limits!A:A &amp; [1]unilever_price_limits!B:B,
         [1]unilever_price_limits!C:C)</f>
        <v>55</v>
      </c>
      <c r="H2891" s="8">
        <f t="shared" si="181"/>
        <v>17.034500000000001</v>
      </c>
      <c r="I2891" s="6">
        <f t="shared" si="182"/>
        <v>55.000000000000007</v>
      </c>
      <c r="J2891" t="str">
        <f t="shared" si="183"/>
        <v>OK</v>
      </c>
    </row>
    <row r="2892" spans="1:10" x14ac:dyDescent="0.2">
      <c r="A2892">
        <v>12891</v>
      </c>
      <c r="B2892" t="s">
        <v>10</v>
      </c>
      <c r="C2892" t="s">
        <v>6</v>
      </c>
      <c r="D2892" s="8">
        <v>12.19</v>
      </c>
      <c r="E2892">
        <v>1</v>
      </c>
      <c r="F2892" t="str">
        <f t="shared" si="180"/>
        <v>Value</v>
      </c>
      <c r="G2892" s="3" cm="1">
        <f t="array" ref="G2892">_xlfn.XLOOKUP(C2892 &amp; F2892,
         [1]unilever_price_limits!A:A &amp; [1]unilever_price_limits!B:B,
         [1]unilever_price_limits!C:C)</f>
        <v>12</v>
      </c>
      <c r="H2892" s="8">
        <f t="shared" si="181"/>
        <v>13.652800000000001</v>
      </c>
      <c r="I2892" s="6">
        <f t="shared" si="182"/>
        <v>12.000000000000011</v>
      </c>
      <c r="J2892" t="str">
        <f t="shared" si="183"/>
        <v>OK</v>
      </c>
    </row>
    <row r="2893" spans="1:10" x14ac:dyDescent="0.2">
      <c r="A2893">
        <v>12892</v>
      </c>
      <c r="B2893" t="s">
        <v>5</v>
      </c>
      <c r="C2893" t="s">
        <v>9</v>
      </c>
      <c r="D2893" s="8">
        <v>4.7</v>
      </c>
      <c r="E2893">
        <v>10</v>
      </c>
      <c r="F2893" t="str">
        <f t="shared" si="180"/>
        <v>Premium</v>
      </c>
      <c r="G2893" s="3" cm="1">
        <f t="array" ref="G2893">_xlfn.XLOOKUP(C2893 &amp; F2893,
         [1]unilever_price_limits!A:A &amp; [1]unilever_price_limits!B:B,
         [1]unilever_price_limits!C:C)</f>
        <v>60</v>
      </c>
      <c r="H2893" s="8">
        <f t="shared" si="181"/>
        <v>7.5200000000000005</v>
      </c>
      <c r="I2893" s="6">
        <f t="shared" si="182"/>
        <v>60.000000000000007</v>
      </c>
      <c r="J2893" t="str">
        <f t="shared" si="183"/>
        <v>OK</v>
      </c>
    </row>
    <row r="2894" spans="1:10" x14ac:dyDescent="0.2">
      <c r="A2894">
        <v>12893</v>
      </c>
      <c r="B2894" t="s">
        <v>10</v>
      </c>
      <c r="C2894" t="s">
        <v>11</v>
      </c>
      <c r="D2894" s="8">
        <v>10.130000000000001</v>
      </c>
      <c r="E2894">
        <v>4</v>
      </c>
      <c r="F2894" t="str">
        <f t="shared" si="180"/>
        <v>Standard</v>
      </c>
      <c r="G2894" s="3" cm="1">
        <f t="array" ref="G2894">_xlfn.XLOOKUP(C2894 &amp; F2894,
         [1]unilever_price_limits!A:A &amp; [1]unilever_price_limits!B:B,
         [1]unilever_price_limits!C:C)</f>
        <v>25</v>
      </c>
      <c r="H2894" s="8">
        <f t="shared" si="181"/>
        <v>12.662500000000001</v>
      </c>
      <c r="I2894" s="6">
        <f t="shared" si="182"/>
        <v>25</v>
      </c>
      <c r="J2894" t="str">
        <f t="shared" si="183"/>
        <v>OK</v>
      </c>
    </row>
    <row r="2895" spans="1:10" x14ac:dyDescent="0.2">
      <c r="A2895">
        <v>12894</v>
      </c>
      <c r="B2895" t="s">
        <v>8</v>
      </c>
      <c r="C2895" t="s">
        <v>6</v>
      </c>
      <c r="D2895" s="8">
        <v>6.69</v>
      </c>
      <c r="E2895">
        <v>9</v>
      </c>
      <c r="F2895" t="str">
        <f t="shared" si="180"/>
        <v>Premium</v>
      </c>
      <c r="G2895" s="3" cm="1">
        <f t="array" ref="G2895">_xlfn.XLOOKUP(C2895 &amp; F2895,
         [1]unilever_price_limits!A:A &amp; [1]unilever_price_limits!B:B,
         [1]unilever_price_limits!C:C)</f>
        <v>55</v>
      </c>
      <c r="H2895" s="8">
        <f t="shared" si="181"/>
        <v>10.3695</v>
      </c>
      <c r="I2895" s="6">
        <f t="shared" si="182"/>
        <v>55.000000000000007</v>
      </c>
      <c r="J2895" t="str">
        <f t="shared" si="183"/>
        <v>OK</v>
      </c>
    </row>
    <row r="2896" spans="1:10" x14ac:dyDescent="0.2">
      <c r="A2896">
        <v>12895</v>
      </c>
      <c r="B2896" t="s">
        <v>5</v>
      </c>
      <c r="C2896" t="s">
        <v>9</v>
      </c>
      <c r="D2896" s="8">
        <v>13.39</v>
      </c>
      <c r="E2896">
        <v>4</v>
      </c>
      <c r="F2896" t="str">
        <f t="shared" si="180"/>
        <v>Standard</v>
      </c>
      <c r="G2896" s="3" cm="1">
        <f t="array" ref="G2896">_xlfn.XLOOKUP(C2896 &amp; F2896,
         [1]unilever_price_limits!A:A &amp; [1]unilever_price_limits!B:B,
         [1]unilever_price_limits!C:C)</f>
        <v>30</v>
      </c>
      <c r="H2896" s="8">
        <f t="shared" si="181"/>
        <v>17.407</v>
      </c>
      <c r="I2896" s="6">
        <f t="shared" si="182"/>
        <v>30.000000000000004</v>
      </c>
      <c r="J2896" t="str">
        <f t="shared" si="183"/>
        <v>OK</v>
      </c>
    </row>
    <row r="2897" spans="1:10" x14ac:dyDescent="0.2">
      <c r="A2897">
        <v>12896</v>
      </c>
      <c r="B2897" t="s">
        <v>5</v>
      </c>
      <c r="C2897" t="s">
        <v>6</v>
      </c>
      <c r="D2897" s="8">
        <v>12.76</v>
      </c>
      <c r="E2897">
        <v>10</v>
      </c>
      <c r="F2897" t="str">
        <f t="shared" si="180"/>
        <v>Premium</v>
      </c>
      <c r="G2897" s="3" cm="1">
        <f t="array" ref="G2897">_xlfn.XLOOKUP(C2897 &amp; F2897,
         [1]unilever_price_limits!A:A &amp; [1]unilever_price_limits!B:B,
         [1]unilever_price_limits!C:C)</f>
        <v>55</v>
      </c>
      <c r="H2897" s="8">
        <f t="shared" si="181"/>
        <v>19.777999999999999</v>
      </c>
      <c r="I2897" s="6">
        <f t="shared" si="182"/>
        <v>54.999999999999986</v>
      </c>
      <c r="J2897" t="str">
        <f t="shared" si="183"/>
        <v>OK</v>
      </c>
    </row>
    <row r="2898" spans="1:10" x14ac:dyDescent="0.2">
      <c r="A2898">
        <v>12897</v>
      </c>
      <c r="B2898" t="s">
        <v>10</v>
      </c>
      <c r="C2898" t="s">
        <v>6</v>
      </c>
      <c r="D2898" s="8">
        <v>8.1199999999999992</v>
      </c>
      <c r="E2898">
        <v>8</v>
      </c>
      <c r="F2898" t="str">
        <f t="shared" si="180"/>
        <v>Premium</v>
      </c>
      <c r="G2898" s="3" cm="1">
        <f t="array" ref="G2898">_xlfn.XLOOKUP(C2898 &amp; F2898,
         [1]unilever_price_limits!A:A &amp; [1]unilever_price_limits!B:B,
         [1]unilever_price_limits!C:C)</f>
        <v>55</v>
      </c>
      <c r="H2898" s="8">
        <f t="shared" si="181"/>
        <v>12.585999999999999</v>
      </c>
      <c r="I2898" s="6">
        <f t="shared" si="182"/>
        <v>55.000000000000007</v>
      </c>
      <c r="J2898" t="str">
        <f t="shared" si="183"/>
        <v>OK</v>
      </c>
    </row>
    <row r="2899" spans="1:10" x14ac:dyDescent="0.2">
      <c r="A2899">
        <v>12898</v>
      </c>
      <c r="B2899" t="s">
        <v>5</v>
      </c>
      <c r="C2899" t="s">
        <v>6</v>
      </c>
      <c r="D2899" s="8">
        <v>10.53</v>
      </c>
      <c r="E2899">
        <v>7</v>
      </c>
      <c r="F2899" t="str">
        <f t="shared" si="180"/>
        <v>Standard</v>
      </c>
      <c r="G2899" s="3" cm="1">
        <f t="array" ref="G2899">_xlfn.XLOOKUP(C2899 &amp; F2899,
         [1]unilever_price_limits!A:A &amp; [1]unilever_price_limits!B:B,
         [1]unilever_price_limits!C:C)</f>
        <v>28</v>
      </c>
      <c r="H2899" s="8">
        <f t="shared" si="181"/>
        <v>13.478399999999999</v>
      </c>
      <c r="I2899" s="6">
        <f t="shared" si="182"/>
        <v>28.000000000000004</v>
      </c>
      <c r="J2899" t="str">
        <f t="shared" si="183"/>
        <v>OK</v>
      </c>
    </row>
    <row r="2900" spans="1:10" x14ac:dyDescent="0.2">
      <c r="A2900">
        <v>12899</v>
      </c>
      <c r="B2900" t="s">
        <v>10</v>
      </c>
      <c r="C2900" t="s">
        <v>6</v>
      </c>
      <c r="D2900" s="8">
        <v>13.31</v>
      </c>
      <c r="E2900">
        <v>3</v>
      </c>
      <c r="F2900" t="str">
        <f t="shared" si="180"/>
        <v>Value</v>
      </c>
      <c r="G2900" s="3" cm="1">
        <f t="array" ref="G2900">_xlfn.XLOOKUP(C2900 &amp; F2900,
         [1]unilever_price_limits!A:A &amp; [1]unilever_price_limits!B:B,
         [1]unilever_price_limits!C:C)</f>
        <v>12</v>
      </c>
      <c r="H2900" s="8">
        <f t="shared" si="181"/>
        <v>14.907200000000001</v>
      </c>
      <c r="I2900" s="6">
        <f t="shared" si="182"/>
        <v>12.000000000000011</v>
      </c>
      <c r="J2900" t="str">
        <f t="shared" si="183"/>
        <v>OK</v>
      </c>
    </row>
    <row r="2901" spans="1:10" x14ac:dyDescent="0.2">
      <c r="A2901">
        <v>12900</v>
      </c>
      <c r="B2901" t="s">
        <v>10</v>
      </c>
      <c r="C2901" t="s">
        <v>6</v>
      </c>
      <c r="D2901" s="8">
        <v>7.69</v>
      </c>
      <c r="E2901">
        <v>7</v>
      </c>
      <c r="F2901" t="str">
        <f t="shared" si="180"/>
        <v>Standard</v>
      </c>
      <c r="G2901" s="3" cm="1">
        <f t="array" ref="G2901">_xlfn.XLOOKUP(C2901 &amp; F2901,
         [1]unilever_price_limits!A:A &amp; [1]unilever_price_limits!B:B,
         [1]unilever_price_limits!C:C)</f>
        <v>28</v>
      </c>
      <c r="H2901" s="8">
        <f t="shared" si="181"/>
        <v>9.8432000000000013</v>
      </c>
      <c r="I2901" s="6">
        <f t="shared" si="182"/>
        <v>28.000000000000004</v>
      </c>
      <c r="J2901" t="str">
        <f t="shared" si="183"/>
        <v>OK</v>
      </c>
    </row>
    <row r="2902" spans="1:10" x14ac:dyDescent="0.2">
      <c r="A2902">
        <v>12901</v>
      </c>
      <c r="B2902" t="s">
        <v>10</v>
      </c>
      <c r="C2902" t="s">
        <v>9</v>
      </c>
      <c r="D2902" s="8">
        <v>5.04</v>
      </c>
      <c r="E2902">
        <v>7</v>
      </c>
      <c r="F2902" t="str">
        <f t="shared" si="180"/>
        <v>Standard</v>
      </c>
      <c r="G2902" s="3" cm="1">
        <f t="array" ref="G2902">_xlfn.XLOOKUP(C2902 &amp; F2902,
         [1]unilever_price_limits!A:A &amp; [1]unilever_price_limits!B:B,
         [1]unilever_price_limits!C:C)</f>
        <v>30</v>
      </c>
      <c r="H2902" s="8">
        <f t="shared" si="181"/>
        <v>6.5520000000000005</v>
      </c>
      <c r="I2902" s="6">
        <f t="shared" si="182"/>
        <v>30.000000000000004</v>
      </c>
      <c r="J2902" t="str">
        <f t="shared" si="183"/>
        <v>OK</v>
      </c>
    </row>
    <row r="2903" spans="1:10" x14ac:dyDescent="0.2">
      <c r="A2903">
        <v>12902</v>
      </c>
      <c r="B2903" t="s">
        <v>10</v>
      </c>
      <c r="C2903" t="s">
        <v>11</v>
      </c>
      <c r="D2903" s="8">
        <v>11.43</v>
      </c>
      <c r="E2903">
        <v>10</v>
      </c>
      <c r="F2903" t="str">
        <f t="shared" si="180"/>
        <v>Premium</v>
      </c>
      <c r="G2903" s="3" cm="1">
        <f t="array" ref="G2903">_xlfn.XLOOKUP(C2903 &amp; F2903,
         [1]unilever_price_limits!A:A &amp; [1]unilever_price_limits!B:B,
         [1]unilever_price_limits!C:C)</f>
        <v>50</v>
      </c>
      <c r="H2903" s="8">
        <f t="shared" si="181"/>
        <v>17.145</v>
      </c>
      <c r="I2903" s="6">
        <f t="shared" si="182"/>
        <v>50</v>
      </c>
      <c r="J2903" t="str">
        <f t="shared" si="183"/>
        <v>OK</v>
      </c>
    </row>
    <row r="2904" spans="1:10" x14ac:dyDescent="0.2">
      <c r="A2904">
        <v>12903</v>
      </c>
      <c r="B2904" t="s">
        <v>8</v>
      </c>
      <c r="C2904" t="s">
        <v>11</v>
      </c>
      <c r="D2904" s="8">
        <v>3.69</v>
      </c>
      <c r="E2904">
        <v>3</v>
      </c>
      <c r="F2904" t="str">
        <f t="shared" si="180"/>
        <v>Value</v>
      </c>
      <c r="G2904" s="3" cm="1">
        <f t="array" ref="G2904">_xlfn.XLOOKUP(C2904 &amp; F2904,
         [1]unilever_price_limits!A:A &amp; [1]unilever_price_limits!B:B,
         [1]unilever_price_limits!C:C)</f>
        <v>10</v>
      </c>
      <c r="H2904" s="8">
        <f t="shared" si="181"/>
        <v>4.0590000000000002</v>
      </c>
      <c r="I2904" s="6">
        <f t="shared" si="182"/>
        <v>10.000000000000009</v>
      </c>
      <c r="J2904" t="str">
        <f t="shared" si="183"/>
        <v>OK</v>
      </c>
    </row>
    <row r="2905" spans="1:10" x14ac:dyDescent="0.2">
      <c r="A2905">
        <v>12904</v>
      </c>
      <c r="B2905" t="s">
        <v>10</v>
      </c>
      <c r="C2905" t="s">
        <v>11</v>
      </c>
      <c r="D2905" s="8">
        <v>6.13</v>
      </c>
      <c r="E2905">
        <v>2</v>
      </c>
      <c r="F2905" t="str">
        <f t="shared" si="180"/>
        <v>Value</v>
      </c>
      <c r="G2905" s="3" cm="1">
        <f t="array" ref="G2905">_xlfn.XLOOKUP(C2905 &amp; F2905,
         [1]unilever_price_limits!A:A &amp; [1]unilever_price_limits!B:B,
         [1]unilever_price_limits!C:C)</f>
        <v>10</v>
      </c>
      <c r="H2905" s="8">
        <f t="shared" si="181"/>
        <v>6.7430000000000003</v>
      </c>
      <c r="I2905" s="6">
        <f t="shared" si="182"/>
        <v>10.000000000000009</v>
      </c>
      <c r="J2905" t="str">
        <f t="shared" si="183"/>
        <v>OK</v>
      </c>
    </row>
    <row r="2906" spans="1:10" x14ac:dyDescent="0.2">
      <c r="A2906">
        <v>12905</v>
      </c>
      <c r="B2906" t="s">
        <v>7</v>
      </c>
      <c r="C2906" t="s">
        <v>11</v>
      </c>
      <c r="D2906" s="8">
        <v>13.05</v>
      </c>
      <c r="E2906">
        <v>9</v>
      </c>
      <c r="F2906" t="str">
        <f t="shared" si="180"/>
        <v>Premium</v>
      </c>
      <c r="G2906" s="3" cm="1">
        <f t="array" ref="G2906">_xlfn.XLOOKUP(C2906 &amp; F2906,
         [1]unilever_price_limits!A:A &amp; [1]unilever_price_limits!B:B,
         [1]unilever_price_limits!C:C)</f>
        <v>50</v>
      </c>
      <c r="H2906" s="8">
        <f t="shared" si="181"/>
        <v>19.575000000000003</v>
      </c>
      <c r="I2906" s="6">
        <f t="shared" si="182"/>
        <v>50.000000000000021</v>
      </c>
      <c r="J2906" t="str">
        <f t="shared" si="183"/>
        <v>OK</v>
      </c>
    </row>
    <row r="2907" spans="1:10" x14ac:dyDescent="0.2">
      <c r="A2907">
        <v>12906</v>
      </c>
      <c r="B2907" t="s">
        <v>5</v>
      </c>
      <c r="C2907" t="s">
        <v>9</v>
      </c>
      <c r="D2907" s="8">
        <v>11</v>
      </c>
      <c r="E2907">
        <v>1</v>
      </c>
      <c r="F2907" t="str">
        <f t="shared" si="180"/>
        <v>Value</v>
      </c>
      <c r="G2907" s="3" cm="1">
        <f t="array" ref="G2907">_xlfn.XLOOKUP(C2907 &amp; F2907,
         [1]unilever_price_limits!A:A &amp; [1]unilever_price_limits!B:B,
         [1]unilever_price_limits!C:C)</f>
        <v>15</v>
      </c>
      <c r="H2907" s="8">
        <f t="shared" si="181"/>
        <v>12.649999999999999</v>
      </c>
      <c r="I2907" s="6">
        <f t="shared" si="182"/>
        <v>14.999999999999991</v>
      </c>
      <c r="J2907" t="str">
        <f t="shared" si="183"/>
        <v>OK</v>
      </c>
    </row>
    <row r="2908" spans="1:10" x14ac:dyDescent="0.2">
      <c r="A2908">
        <v>12907</v>
      </c>
      <c r="B2908" t="s">
        <v>7</v>
      </c>
      <c r="C2908" t="s">
        <v>9</v>
      </c>
      <c r="D2908" s="8">
        <v>6.36</v>
      </c>
      <c r="E2908">
        <v>7</v>
      </c>
      <c r="F2908" t="str">
        <f t="shared" si="180"/>
        <v>Standard</v>
      </c>
      <c r="G2908" s="3" cm="1">
        <f t="array" ref="G2908">_xlfn.XLOOKUP(C2908 &amp; F2908,
         [1]unilever_price_limits!A:A &amp; [1]unilever_price_limits!B:B,
         [1]unilever_price_limits!C:C)</f>
        <v>30</v>
      </c>
      <c r="H2908" s="8">
        <f t="shared" si="181"/>
        <v>8.2680000000000007</v>
      </c>
      <c r="I2908" s="6">
        <f t="shared" si="182"/>
        <v>30.000000000000004</v>
      </c>
      <c r="J2908" t="str">
        <f t="shared" si="183"/>
        <v>OK</v>
      </c>
    </row>
    <row r="2909" spans="1:10" x14ac:dyDescent="0.2">
      <c r="A2909">
        <v>12908</v>
      </c>
      <c r="B2909" t="s">
        <v>8</v>
      </c>
      <c r="C2909" t="s">
        <v>9</v>
      </c>
      <c r="D2909" s="8">
        <v>3.61</v>
      </c>
      <c r="E2909">
        <v>4</v>
      </c>
      <c r="F2909" t="str">
        <f t="shared" si="180"/>
        <v>Standard</v>
      </c>
      <c r="G2909" s="3" cm="1">
        <f t="array" ref="G2909">_xlfn.XLOOKUP(C2909 &amp; F2909,
         [1]unilever_price_limits!A:A &amp; [1]unilever_price_limits!B:B,
         [1]unilever_price_limits!C:C)</f>
        <v>30</v>
      </c>
      <c r="H2909" s="8">
        <f t="shared" si="181"/>
        <v>4.6929999999999996</v>
      </c>
      <c r="I2909" s="6">
        <f t="shared" si="182"/>
        <v>30.000000000000004</v>
      </c>
      <c r="J2909" t="str">
        <f t="shared" si="183"/>
        <v>OK</v>
      </c>
    </row>
    <row r="2910" spans="1:10" x14ac:dyDescent="0.2">
      <c r="A2910">
        <v>12909</v>
      </c>
      <c r="B2910" t="s">
        <v>7</v>
      </c>
      <c r="C2910" t="s">
        <v>6</v>
      </c>
      <c r="D2910" s="8">
        <v>5.66</v>
      </c>
      <c r="E2910">
        <v>2</v>
      </c>
      <c r="F2910" t="str">
        <f t="shared" si="180"/>
        <v>Value</v>
      </c>
      <c r="G2910" s="3" cm="1">
        <f t="array" ref="G2910">_xlfn.XLOOKUP(C2910 &amp; F2910,
         [1]unilever_price_limits!A:A &amp; [1]unilever_price_limits!B:B,
         [1]unilever_price_limits!C:C)</f>
        <v>12</v>
      </c>
      <c r="H2910" s="8">
        <f t="shared" si="181"/>
        <v>6.3392000000000008</v>
      </c>
      <c r="I2910" s="6">
        <f t="shared" si="182"/>
        <v>12.000000000000011</v>
      </c>
      <c r="J2910" t="str">
        <f t="shared" si="183"/>
        <v>OK</v>
      </c>
    </row>
    <row r="2911" spans="1:10" x14ac:dyDescent="0.2">
      <c r="A2911">
        <v>12910</v>
      </c>
      <c r="B2911" t="s">
        <v>5</v>
      </c>
      <c r="C2911" t="s">
        <v>6</v>
      </c>
      <c r="D2911" s="8">
        <v>4.62</v>
      </c>
      <c r="E2911">
        <v>2</v>
      </c>
      <c r="F2911" t="str">
        <f t="shared" si="180"/>
        <v>Value</v>
      </c>
      <c r="G2911" s="3" cm="1">
        <f t="array" ref="G2911">_xlfn.XLOOKUP(C2911 &amp; F2911,
         [1]unilever_price_limits!A:A &amp; [1]unilever_price_limits!B:B,
         [1]unilever_price_limits!C:C)</f>
        <v>12</v>
      </c>
      <c r="H2911" s="8">
        <f t="shared" si="181"/>
        <v>5.1744000000000003</v>
      </c>
      <c r="I2911" s="6">
        <f t="shared" si="182"/>
        <v>12.000000000000011</v>
      </c>
      <c r="J2911" t="str">
        <f t="shared" si="183"/>
        <v>OK</v>
      </c>
    </row>
    <row r="2912" spans="1:10" x14ac:dyDescent="0.2">
      <c r="A2912">
        <v>12911</v>
      </c>
      <c r="B2912" t="s">
        <v>7</v>
      </c>
      <c r="C2912" t="s">
        <v>6</v>
      </c>
      <c r="D2912" s="8">
        <v>3.05</v>
      </c>
      <c r="E2912">
        <v>8</v>
      </c>
      <c r="F2912" t="str">
        <f t="shared" si="180"/>
        <v>Premium</v>
      </c>
      <c r="G2912" s="3" cm="1">
        <f t="array" ref="G2912">_xlfn.XLOOKUP(C2912 &amp; F2912,
         [1]unilever_price_limits!A:A &amp; [1]unilever_price_limits!B:B,
         [1]unilever_price_limits!C:C)</f>
        <v>55</v>
      </c>
      <c r="H2912" s="8">
        <f t="shared" si="181"/>
        <v>4.7275</v>
      </c>
      <c r="I2912" s="6">
        <f t="shared" si="182"/>
        <v>55.000000000000007</v>
      </c>
      <c r="J2912" t="str">
        <f t="shared" si="183"/>
        <v>OK</v>
      </c>
    </row>
    <row r="2913" spans="1:10" x14ac:dyDescent="0.2">
      <c r="A2913">
        <v>12912</v>
      </c>
      <c r="B2913" t="s">
        <v>8</v>
      </c>
      <c r="C2913" t="s">
        <v>11</v>
      </c>
      <c r="D2913" s="8">
        <v>11.28</v>
      </c>
      <c r="E2913">
        <v>7</v>
      </c>
      <c r="F2913" t="str">
        <f t="shared" si="180"/>
        <v>Standard</v>
      </c>
      <c r="G2913" s="3" cm="1">
        <f t="array" ref="G2913">_xlfn.XLOOKUP(C2913 &amp; F2913,
         [1]unilever_price_limits!A:A &amp; [1]unilever_price_limits!B:B,
         [1]unilever_price_limits!C:C)</f>
        <v>25</v>
      </c>
      <c r="H2913" s="8">
        <f t="shared" si="181"/>
        <v>14.1</v>
      </c>
      <c r="I2913" s="6">
        <f t="shared" si="182"/>
        <v>25</v>
      </c>
      <c r="J2913" t="str">
        <f t="shared" si="183"/>
        <v>OK</v>
      </c>
    </row>
    <row r="2914" spans="1:10" x14ac:dyDescent="0.2">
      <c r="A2914">
        <v>12913</v>
      </c>
      <c r="B2914" t="s">
        <v>10</v>
      </c>
      <c r="C2914" t="s">
        <v>6</v>
      </c>
      <c r="D2914" s="8">
        <v>4.16</v>
      </c>
      <c r="E2914">
        <v>7</v>
      </c>
      <c r="F2914" t="str">
        <f t="shared" si="180"/>
        <v>Standard</v>
      </c>
      <c r="G2914" s="3" cm="1">
        <f t="array" ref="G2914">_xlfn.XLOOKUP(C2914 &amp; F2914,
         [1]unilever_price_limits!A:A &amp; [1]unilever_price_limits!B:B,
         [1]unilever_price_limits!C:C)</f>
        <v>28</v>
      </c>
      <c r="H2914" s="8">
        <f t="shared" si="181"/>
        <v>5.3248000000000006</v>
      </c>
      <c r="I2914" s="6">
        <f t="shared" si="182"/>
        <v>28.000000000000004</v>
      </c>
      <c r="J2914" t="str">
        <f t="shared" si="183"/>
        <v>OK</v>
      </c>
    </row>
    <row r="2915" spans="1:10" x14ac:dyDescent="0.2">
      <c r="A2915">
        <v>12914</v>
      </c>
      <c r="B2915" t="s">
        <v>7</v>
      </c>
      <c r="C2915" t="s">
        <v>11</v>
      </c>
      <c r="D2915" s="8">
        <v>7.09</v>
      </c>
      <c r="E2915">
        <v>5</v>
      </c>
      <c r="F2915" t="str">
        <f t="shared" si="180"/>
        <v>Standard</v>
      </c>
      <c r="G2915" s="3" cm="1">
        <f t="array" ref="G2915">_xlfn.XLOOKUP(C2915 &amp; F2915,
         [1]unilever_price_limits!A:A &amp; [1]unilever_price_limits!B:B,
         [1]unilever_price_limits!C:C)</f>
        <v>25</v>
      </c>
      <c r="H2915" s="8">
        <f t="shared" si="181"/>
        <v>8.8625000000000007</v>
      </c>
      <c r="I2915" s="6">
        <f t="shared" si="182"/>
        <v>25.000000000000021</v>
      </c>
      <c r="J2915" t="str">
        <f t="shared" si="183"/>
        <v>OK</v>
      </c>
    </row>
    <row r="2916" spans="1:10" x14ac:dyDescent="0.2">
      <c r="A2916">
        <v>12915</v>
      </c>
      <c r="B2916" t="s">
        <v>8</v>
      </c>
      <c r="C2916" t="s">
        <v>6</v>
      </c>
      <c r="D2916" s="8">
        <v>6.09</v>
      </c>
      <c r="E2916">
        <v>10</v>
      </c>
      <c r="F2916" t="str">
        <f t="shared" si="180"/>
        <v>Premium</v>
      </c>
      <c r="G2916" s="3" cm="1">
        <f t="array" ref="G2916">_xlfn.XLOOKUP(C2916 &amp; F2916,
         [1]unilever_price_limits!A:A &amp; [1]unilever_price_limits!B:B,
         [1]unilever_price_limits!C:C)</f>
        <v>55</v>
      </c>
      <c r="H2916" s="8">
        <f t="shared" si="181"/>
        <v>9.4395000000000007</v>
      </c>
      <c r="I2916" s="6">
        <f t="shared" si="182"/>
        <v>55.000000000000007</v>
      </c>
      <c r="J2916" t="str">
        <f t="shared" si="183"/>
        <v>OK</v>
      </c>
    </row>
    <row r="2917" spans="1:10" x14ac:dyDescent="0.2">
      <c r="A2917">
        <v>12916</v>
      </c>
      <c r="B2917" t="s">
        <v>8</v>
      </c>
      <c r="C2917" t="s">
        <v>11</v>
      </c>
      <c r="D2917" s="8">
        <v>14.74</v>
      </c>
      <c r="E2917">
        <v>8</v>
      </c>
      <c r="F2917" t="str">
        <f t="shared" si="180"/>
        <v>Premium</v>
      </c>
      <c r="G2917" s="3" cm="1">
        <f t="array" ref="G2917">_xlfn.XLOOKUP(C2917 &amp; F2917,
         [1]unilever_price_limits!A:A &amp; [1]unilever_price_limits!B:B,
         [1]unilever_price_limits!C:C)</f>
        <v>50</v>
      </c>
      <c r="H2917" s="8">
        <f t="shared" si="181"/>
        <v>22.11</v>
      </c>
      <c r="I2917" s="6">
        <f t="shared" si="182"/>
        <v>50</v>
      </c>
      <c r="J2917" t="str">
        <f t="shared" si="183"/>
        <v>OK</v>
      </c>
    </row>
    <row r="2918" spans="1:10" x14ac:dyDescent="0.2">
      <c r="A2918">
        <v>12917</v>
      </c>
      <c r="B2918" t="s">
        <v>5</v>
      </c>
      <c r="C2918" t="s">
        <v>6</v>
      </c>
      <c r="D2918" s="8">
        <v>6.17</v>
      </c>
      <c r="E2918">
        <v>2</v>
      </c>
      <c r="F2918" t="str">
        <f t="shared" si="180"/>
        <v>Value</v>
      </c>
      <c r="G2918" s="3" cm="1">
        <f t="array" ref="G2918">_xlfn.XLOOKUP(C2918 &amp; F2918,
         [1]unilever_price_limits!A:A &amp; [1]unilever_price_limits!B:B,
         [1]unilever_price_limits!C:C)</f>
        <v>12</v>
      </c>
      <c r="H2918" s="8">
        <f t="shared" si="181"/>
        <v>6.910400000000001</v>
      </c>
      <c r="I2918" s="6">
        <f t="shared" si="182"/>
        <v>12.000000000000011</v>
      </c>
      <c r="J2918" t="str">
        <f t="shared" si="183"/>
        <v>OK</v>
      </c>
    </row>
    <row r="2919" spans="1:10" x14ac:dyDescent="0.2">
      <c r="A2919">
        <v>12918</v>
      </c>
      <c r="B2919" t="s">
        <v>5</v>
      </c>
      <c r="C2919" t="s">
        <v>6</v>
      </c>
      <c r="D2919" s="8">
        <v>1.66</v>
      </c>
      <c r="E2919">
        <v>2</v>
      </c>
      <c r="F2919" t="str">
        <f t="shared" si="180"/>
        <v>Value</v>
      </c>
      <c r="G2919" s="3" cm="1">
        <f t="array" ref="G2919">_xlfn.XLOOKUP(C2919 &amp; F2919,
         [1]unilever_price_limits!A:A &amp; [1]unilever_price_limits!B:B,
         [1]unilever_price_limits!C:C)</f>
        <v>12</v>
      </c>
      <c r="H2919" s="8">
        <f t="shared" si="181"/>
        <v>1.8592000000000002</v>
      </c>
      <c r="I2919" s="6">
        <f t="shared" si="182"/>
        <v>12.000000000000011</v>
      </c>
      <c r="J2919" t="str">
        <f t="shared" si="183"/>
        <v>OK</v>
      </c>
    </row>
    <row r="2920" spans="1:10" x14ac:dyDescent="0.2">
      <c r="A2920">
        <v>12919</v>
      </c>
      <c r="B2920" t="s">
        <v>7</v>
      </c>
      <c r="C2920" t="s">
        <v>9</v>
      </c>
      <c r="D2920" s="8">
        <v>1.8</v>
      </c>
      <c r="E2920">
        <v>5</v>
      </c>
      <c r="F2920" t="str">
        <f t="shared" si="180"/>
        <v>Standard</v>
      </c>
      <c r="G2920" s="3" cm="1">
        <f t="array" ref="G2920">_xlfn.XLOOKUP(C2920 &amp; F2920,
         [1]unilever_price_limits!A:A &amp; [1]unilever_price_limits!B:B,
         [1]unilever_price_limits!C:C)</f>
        <v>30</v>
      </c>
      <c r="H2920" s="8">
        <f t="shared" si="181"/>
        <v>2.3400000000000003</v>
      </c>
      <c r="I2920" s="6">
        <f t="shared" si="182"/>
        <v>30.000000000000004</v>
      </c>
      <c r="J2920" t="str">
        <f t="shared" si="183"/>
        <v>OK</v>
      </c>
    </row>
    <row r="2921" spans="1:10" x14ac:dyDescent="0.2">
      <c r="A2921">
        <v>12920</v>
      </c>
      <c r="B2921" t="s">
        <v>10</v>
      </c>
      <c r="C2921" t="s">
        <v>6</v>
      </c>
      <c r="D2921" s="8">
        <v>9.07</v>
      </c>
      <c r="E2921">
        <v>1</v>
      </c>
      <c r="F2921" t="str">
        <f t="shared" si="180"/>
        <v>Value</v>
      </c>
      <c r="G2921" s="3" cm="1">
        <f t="array" ref="G2921">_xlfn.XLOOKUP(C2921 &amp; F2921,
         [1]unilever_price_limits!A:A &amp; [1]unilever_price_limits!B:B,
         [1]unilever_price_limits!C:C)</f>
        <v>12</v>
      </c>
      <c r="H2921" s="8">
        <f t="shared" si="181"/>
        <v>10.158400000000002</v>
      </c>
      <c r="I2921" s="6">
        <f t="shared" si="182"/>
        <v>12.000000000000011</v>
      </c>
      <c r="J2921" t="str">
        <f t="shared" si="183"/>
        <v>OK</v>
      </c>
    </row>
    <row r="2922" spans="1:10" x14ac:dyDescent="0.2">
      <c r="A2922">
        <v>12921</v>
      </c>
      <c r="B2922" t="s">
        <v>8</v>
      </c>
      <c r="C2922" t="s">
        <v>6</v>
      </c>
      <c r="D2922" s="8">
        <v>9.19</v>
      </c>
      <c r="E2922">
        <v>6</v>
      </c>
      <c r="F2922" t="str">
        <f t="shared" si="180"/>
        <v>Standard</v>
      </c>
      <c r="G2922" s="3" cm="1">
        <f t="array" ref="G2922">_xlfn.XLOOKUP(C2922 &amp; F2922,
         [1]unilever_price_limits!A:A &amp; [1]unilever_price_limits!B:B,
         [1]unilever_price_limits!C:C)</f>
        <v>28</v>
      </c>
      <c r="H2922" s="8">
        <f t="shared" si="181"/>
        <v>11.763199999999999</v>
      </c>
      <c r="I2922" s="6">
        <f t="shared" si="182"/>
        <v>28.000000000000004</v>
      </c>
      <c r="J2922" t="str">
        <f t="shared" si="183"/>
        <v>OK</v>
      </c>
    </row>
    <row r="2923" spans="1:10" x14ac:dyDescent="0.2">
      <c r="A2923">
        <v>12922</v>
      </c>
      <c r="B2923" t="s">
        <v>7</v>
      </c>
      <c r="C2923" t="s">
        <v>9</v>
      </c>
      <c r="D2923" s="8">
        <v>6.57</v>
      </c>
      <c r="E2923">
        <v>4</v>
      </c>
      <c r="F2923" t="str">
        <f t="shared" si="180"/>
        <v>Standard</v>
      </c>
      <c r="G2923" s="3" cm="1">
        <f t="array" ref="G2923">_xlfn.XLOOKUP(C2923 &amp; F2923,
         [1]unilever_price_limits!A:A &amp; [1]unilever_price_limits!B:B,
         [1]unilever_price_limits!C:C)</f>
        <v>30</v>
      </c>
      <c r="H2923" s="8">
        <f t="shared" si="181"/>
        <v>8.5410000000000004</v>
      </c>
      <c r="I2923" s="6">
        <f t="shared" si="182"/>
        <v>30.000000000000004</v>
      </c>
      <c r="J2923" t="str">
        <f t="shared" si="183"/>
        <v>OK</v>
      </c>
    </row>
    <row r="2924" spans="1:10" x14ac:dyDescent="0.2">
      <c r="A2924">
        <v>12923</v>
      </c>
      <c r="B2924" t="s">
        <v>8</v>
      </c>
      <c r="C2924" t="s">
        <v>11</v>
      </c>
      <c r="D2924" s="8">
        <v>6.76</v>
      </c>
      <c r="E2924">
        <v>6</v>
      </c>
      <c r="F2924" t="str">
        <f t="shared" si="180"/>
        <v>Standard</v>
      </c>
      <c r="G2924" s="3" cm="1">
        <f t="array" ref="G2924">_xlfn.XLOOKUP(C2924 &amp; F2924,
         [1]unilever_price_limits!A:A &amp; [1]unilever_price_limits!B:B,
         [1]unilever_price_limits!C:C)</f>
        <v>25</v>
      </c>
      <c r="H2924" s="8">
        <f t="shared" si="181"/>
        <v>8.4499999999999993</v>
      </c>
      <c r="I2924" s="6">
        <f t="shared" si="182"/>
        <v>25</v>
      </c>
      <c r="J2924" t="str">
        <f t="shared" si="183"/>
        <v>OK</v>
      </c>
    </row>
    <row r="2925" spans="1:10" x14ac:dyDescent="0.2">
      <c r="A2925">
        <v>12924</v>
      </c>
      <c r="B2925" t="s">
        <v>8</v>
      </c>
      <c r="C2925" t="s">
        <v>9</v>
      </c>
      <c r="D2925" s="8">
        <v>1.28</v>
      </c>
      <c r="E2925">
        <v>7</v>
      </c>
      <c r="F2925" t="str">
        <f t="shared" si="180"/>
        <v>Standard</v>
      </c>
      <c r="G2925" s="3" cm="1">
        <f t="array" ref="G2925">_xlfn.XLOOKUP(C2925 &amp; F2925,
         [1]unilever_price_limits!A:A &amp; [1]unilever_price_limits!B:B,
         [1]unilever_price_limits!C:C)</f>
        <v>30</v>
      </c>
      <c r="H2925" s="8">
        <f t="shared" si="181"/>
        <v>1.6640000000000001</v>
      </c>
      <c r="I2925" s="6">
        <f t="shared" si="182"/>
        <v>30.000000000000004</v>
      </c>
      <c r="J2925" t="str">
        <f t="shared" si="183"/>
        <v>OK</v>
      </c>
    </row>
    <row r="2926" spans="1:10" x14ac:dyDescent="0.2">
      <c r="A2926">
        <v>12925</v>
      </c>
      <c r="B2926" t="s">
        <v>10</v>
      </c>
      <c r="C2926" t="s">
        <v>9</v>
      </c>
      <c r="D2926" s="8">
        <v>7.99</v>
      </c>
      <c r="E2926">
        <v>3</v>
      </c>
      <c r="F2926" t="str">
        <f t="shared" si="180"/>
        <v>Value</v>
      </c>
      <c r="G2926" s="3" cm="1">
        <f t="array" ref="G2926">_xlfn.XLOOKUP(C2926 &amp; F2926,
         [1]unilever_price_limits!A:A &amp; [1]unilever_price_limits!B:B,
         [1]unilever_price_limits!C:C)</f>
        <v>15</v>
      </c>
      <c r="H2926" s="8">
        <f t="shared" si="181"/>
        <v>9.1884999999999994</v>
      </c>
      <c r="I2926" s="6">
        <f t="shared" si="182"/>
        <v>14.999999999999991</v>
      </c>
      <c r="J2926" t="str">
        <f t="shared" si="183"/>
        <v>OK</v>
      </c>
    </row>
    <row r="2927" spans="1:10" x14ac:dyDescent="0.2">
      <c r="A2927">
        <v>12926</v>
      </c>
      <c r="B2927" t="s">
        <v>10</v>
      </c>
      <c r="C2927" t="s">
        <v>11</v>
      </c>
      <c r="D2927" s="8">
        <v>7.82</v>
      </c>
      <c r="E2927">
        <v>8</v>
      </c>
      <c r="F2927" t="str">
        <f t="shared" si="180"/>
        <v>Premium</v>
      </c>
      <c r="G2927" s="3" cm="1">
        <f t="array" ref="G2927">_xlfn.XLOOKUP(C2927 &amp; F2927,
         [1]unilever_price_limits!A:A &amp; [1]unilever_price_limits!B:B,
         [1]unilever_price_limits!C:C)</f>
        <v>50</v>
      </c>
      <c r="H2927" s="8">
        <f t="shared" si="181"/>
        <v>11.73</v>
      </c>
      <c r="I2927" s="6">
        <f t="shared" si="182"/>
        <v>50</v>
      </c>
      <c r="J2927" t="str">
        <f t="shared" si="183"/>
        <v>OK</v>
      </c>
    </row>
    <row r="2928" spans="1:10" x14ac:dyDescent="0.2">
      <c r="A2928">
        <v>12927</v>
      </c>
      <c r="B2928" t="s">
        <v>7</v>
      </c>
      <c r="C2928" t="s">
        <v>6</v>
      </c>
      <c r="D2928" s="8">
        <v>2.67</v>
      </c>
      <c r="E2928">
        <v>7</v>
      </c>
      <c r="F2928" t="str">
        <f t="shared" si="180"/>
        <v>Standard</v>
      </c>
      <c r="G2928" s="3" cm="1">
        <f t="array" ref="G2928">_xlfn.XLOOKUP(C2928 &amp; F2928,
         [1]unilever_price_limits!A:A &amp; [1]unilever_price_limits!B:B,
         [1]unilever_price_limits!C:C)</f>
        <v>28</v>
      </c>
      <c r="H2928" s="8">
        <f t="shared" si="181"/>
        <v>3.4176000000000002</v>
      </c>
      <c r="I2928" s="6">
        <f t="shared" si="182"/>
        <v>28.000000000000004</v>
      </c>
      <c r="J2928" t="str">
        <f t="shared" si="183"/>
        <v>OK</v>
      </c>
    </row>
    <row r="2929" spans="1:10" x14ac:dyDescent="0.2">
      <c r="A2929">
        <v>12928</v>
      </c>
      <c r="B2929" t="s">
        <v>10</v>
      </c>
      <c r="C2929" t="s">
        <v>11</v>
      </c>
      <c r="D2929" s="8">
        <v>2.0099999999999998</v>
      </c>
      <c r="E2929">
        <v>1</v>
      </c>
      <c r="F2929" t="str">
        <f t="shared" si="180"/>
        <v>Value</v>
      </c>
      <c r="G2929" s="3" cm="1">
        <f t="array" ref="G2929">_xlfn.XLOOKUP(C2929 &amp; F2929,
         [1]unilever_price_limits!A:A &amp; [1]unilever_price_limits!B:B,
         [1]unilever_price_limits!C:C)</f>
        <v>10</v>
      </c>
      <c r="H2929" s="8">
        <f t="shared" si="181"/>
        <v>2.2109999999999999</v>
      </c>
      <c r="I2929" s="6">
        <f t="shared" si="182"/>
        <v>10.000000000000009</v>
      </c>
      <c r="J2929" t="str">
        <f t="shared" si="183"/>
        <v>OK</v>
      </c>
    </row>
    <row r="2930" spans="1:10" x14ac:dyDescent="0.2">
      <c r="A2930">
        <v>12929</v>
      </c>
      <c r="B2930" t="s">
        <v>10</v>
      </c>
      <c r="C2930" t="s">
        <v>6</v>
      </c>
      <c r="D2930" s="8">
        <v>2.29</v>
      </c>
      <c r="E2930">
        <v>6</v>
      </c>
      <c r="F2930" t="str">
        <f t="shared" si="180"/>
        <v>Standard</v>
      </c>
      <c r="G2930" s="3" cm="1">
        <f t="array" ref="G2930">_xlfn.XLOOKUP(C2930 &amp; F2930,
         [1]unilever_price_limits!A:A &amp; [1]unilever_price_limits!B:B,
         [1]unilever_price_limits!C:C)</f>
        <v>28</v>
      </c>
      <c r="H2930" s="8">
        <f t="shared" si="181"/>
        <v>2.9312</v>
      </c>
      <c r="I2930" s="6">
        <f t="shared" si="182"/>
        <v>28.000000000000004</v>
      </c>
      <c r="J2930" t="str">
        <f t="shared" si="183"/>
        <v>OK</v>
      </c>
    </row>
    <row r="2931" spans="1:10" x14ac:dyDescent="0.2">
      <c r="A2931">
        <v>12930</v>
      </c>
      <c r="B2931" t="s">
        <v>7</v>
      </c>
      <c r="C2931" t="s">
        <v>6</v>
      </c>
      <c r="D2931" s="8">
        <v>1.96</v>
      </c>
      <c r="E2931">
        <v>7</v>
      </c>
      <c r="F2931" t="str">
        <f t="shared" si="180"/>
        <v>Standard</v>
      </c>
      <c r="G2931" s="3" cm="1">
        <f t="array" ref="G2931">_xlfn.XLOOKUP(C2931 &amp; F2931,
         [1]unilever_price_limits!A:A &amp; [1]unilever_price_limits!B:B,
         [1]unilever_price_limits!C:C)</f>
        <v>28</v>
      </c>
      <c r="H2931" s="8">
        <f t="shared" si="181"/>
        <v>2.5087999999999999</v>
      </c>
      <c r="I2931" s="6">
        <f t="shared" si="182"/>
        <v>28.000000000000004</v>
      </c>
      <c r="J2931" t="str">
        <f t="shared" si="183"/>
        <v>OK</v>
      </c>
    </row>
    <row r="2932" spans="1:10" x14ac:dyDescent="0.2">
      <c r="A2932">
        <v>12931</v>
      </c>
      <c r="B2932" t="s">
        <v>10</v>
      </c>
      <c r="C2932" t="s">
        <v>11</v>
      </c>
      <c r="D2932" s="8">
        <v>9.34</v>
      </c>
      <c r="E2932">
        <v>4</v>
      </c>
      <c r="F2932" t="str">
        <f t="shared" si="180"/>
        <v>Standard</v>
      </c>
      <c r="G2932" s="3" cm="1">
        <f t="array" ref="G2932">_xlfn.XLOOKUP(C2932 &amp; F2932,
         [1]unilever_price_limits!A:A &amp; [1]unilever_price_limits!B:B,
         [1]unilever_price_limits!C:C)</f>
        <v>25</v>
      </c>
      <c r="H2932" s="8">
        <f t="shared" si="181"/>
        <v>11.675000000000001</v>
      </c>
      <c r="I2932" s="6">
        <f t="shared" si="182"/>
        <v>25</v>
      </c>
      <c r="J2932" t="str">
        <f t="shared" si="183"/>
        <v>OK</v>
      </c>
    </row>
    <row r="2933" spans="1:10" x14ac:dyDescent="0.2">
      <c r="A2933">
        <v>12932</v>
      </c>
      <c r="B2933" t="s">
        <v>5</v>
      </c>
      <c r="C2933" t="s">
        <v>9</v>
      </c>
      <c r="D2933" s="8">
        <v>3.35</v>
      </c>
      <c r="E2933">
        <v>2</v>
      </c>
      <c r="F2933" t="str">
        <f t="shared" si="180"/>
        <v>Value</v>
      </c>
      <c r="G2933" s="3" cm="1">
        <f t="array" ref="G2933">_xlfn.XLOOKUP(C2933 &amp; F2933,
         [1]unilever_price_limits!A:A &amp; [1]unilever_price_limits!B:B,
         [1]unilever_price_limits!C:C)</f>
        <v>15</v>
      </c>
      <c r="H2933" s="8">
        <f t="shared" si="181"/>
        <v>3.8524999999999996</v>
      </c>
      <c r="I2933" s="6">
        <f t="shared" si="182"/>
        <v>14.999999999999991</v>
      </c>
      <c r="J2933" t="str">
        <f t="shared" si="183"/>
        <v>OK</v>
      </c>
    </row>
    <row r="2934" spans="1:10" x14ac:dyDescent="0.2">
      <c r="A2934">
        <v>12933</v>
      </c>
      <c r="B2934" t="s">
        <v>8</v>
      </c>
      <c r="C2934" t="s">
        <v>11</v>
      </c>
      <c r="D2934" s="8">
        <v>4.1500000000000004</v>
      </c>
      <c r="E2934">
        <v>10</v>
      </c>
      <c r="F2934" t="str">
        <f t="shared" si="180"/>
        <v>Premium</v>
      </c>
      <c r="G2934" s="3" cm="1">
        <f t="array" ref="G2934">_xlfn.XLOOKUP(C2934 &amp; F2934,
         [1]unilever_price_limits!A:A &amp; [1]unilever_price_limits!B:B,
         [1]unilever_price_limits!C:C)</f>
        <v>50</v>
      </c>
      <c r="H2934" s="8">
        <f t="shared" si="181"/>
        <v>6.2250000000000005</v>
      </c>
      <c r="I2934" s="6">
        <f t="shared" si="182"/>
        <v>50</v>
      </c>
      <c r="J2934" t="str">
        <f t="shared" si="183"/>
        <v>OK</v>
      </c>
    </row>
    <row r="2935" spans="1:10" x14ac:dyDescent="0.2">
      <c r="A2935">
        <v>12934</v>
      </c>
      <c r="B2935" t="s">
        <v>8</v>
      </c>
      <c r="C2935" t="s">
        <v>6</v>
      </c>
      <c r="D2935" s="8">
        <v>3.02</v>
      </c>
      <c r="E2935">
        <v>9</v>
      </c>
      <c r="F2935" t="str">
        <f t="shared" si="180"/>
        <v>Premium</v>
      </c>
      <c r="G2935" s="3" cm="1">
        <f t="array" ref="G2935">_xlfn.XLOOKUP(C2935 &amp; F2935,
         [1]unilever_price_limits!A:A &amp; [1]unilever_price_limits!B:B,
         [1]unilever_price_limits!C:C)</f>
        <v>55</v>
      </c>
      <c r="H2935" s="8">
        <f t="shared" si="181"/>
        <v>4.681</v>
      </c>
      <c r="I2935" s="6">
        <f t="shared" si="182"/>
        <v>55.000000000000007</v>
      </c>
      <c r="J2935" t="str">
        <f t="shared" si="183"/>
        <v>OK</v>
      </c>
    </row>
    <row r="2936" spans="1:10" x14ac:dyDescent="0.2">
      <c r="A2936">
        <v>12935</v>
      </c>
      <c r="B2936" t="s">
        <v>8</v>
      </c>
      <c r="C2936" t="s">
        <v>11</v>
      </c>
      <c r="D2936" s="8">
        <v>14.39</v>
      </c>
      <c r="E2936">
        <v>7</v>
      </c>
      <c r="F2936" t="str">
        <f t="shared" si="180"/>
        <v>Standard</v>
      </c>
      <c r="G2936" s="3" cm="1">
        <f t="array" ref="G2936">_xlfn.XLOOKUP(C2936 &amp; F2936,
         [1]unilever_price_limits!A:A &amp; [1]unilever_price_limits!B:B,
         [1]unilever_price_limits!C:C)</f>
        <v>25</v>
      </c>
      <c r="H2936" s="8">
        <f t="shared" si="181"/>
        <v>17.987500000000001</v>
      </c>
      <c r="I2936" s="6">
        <f t="shared" si="182"/>
        <v>25</v>
      </c>
      <c r="J2936" t="str">
        <f t="shared" si="183"/>
        <v>OK</v>
      </c>
    </row>
    <row r="2937" spans="1:10" x14ac:dyDescent="0.2">
      <c r="A2937">
        <v>12936</v>
      </c>
      <c r="B2937" t="s">
        <v>8</v>
      </c>
      <c r="C2937" t="s">
        <v>11</v>
      </c>
      <c r="D2937" s="8">
        <v>12.89</v>
      </c>
      <c r="E2937">
        <v>1</v>
      </c>
      <c r="F2937" t="str">
        <f t="shared" si="180"/>
        <v>Value</v>
      </c>
      <c r="G2937" s="3" cm="1">
        <f t="array" ref="G2937">_xlfn.XLOOKUP(C2937 &amp; F2937,
         [1]unilever_price_limits!A:A &amp; [1]unilever_price_limits!B:B,
         [1]unilever_price_limits!C:C)</f>
        <v>10</v>
      </c>
      <c r="H2937" s="8">
        <f t="shared" si="181"/>
        <v>14.179000000000002</v>
      </c>
      <c r="I2937" s="6">
        <f t="shared" si="182"/>
        <v>10.000000000000009</v>
      </c>
      <c r="J2937" t="str">
        <f t="shared" si="183"/>
        <v>OK</v>
      </c>
    </row>
    <row r="2938" spans="1:10" x14ac:dyDescent="0.2">
      <c r="A2938">
        <v>12937</v>
      </c>
      <c r="B2938" t="s">
        <v>7</v>
      </c>
      <c r="C2938" t="s">
        <v>6</v>
      </c>
      <c r="D2938" s="8">
        <v>3.84</v>
      </c>
      <c r="E2938">
        <v>8</v>
      </c>
      <c r="F2938" t="str">
        <f t="shared" si="180"/>
        <v>Premium</v>
      </c>
      <c r="G2938" s="3" cm="1">
        <f t="array" ref="G2938">_xlfn.XLOOKUP(C2938 &amp; F2938,
         [1]unilever_price_limits!A:A &amp; [1]unilever_price_limits!B:B,
         [1]unilever_price_limits!C:C)</f>
        <v>55</v>
      </c>
      <c r="H2938" s="8">
        <f t="shared" si="181"/>
        <v>5.952</v>
      </c>
      <c r="I2938" s="6">
        <f t="shared" si="182"/>
        <v>55.000000000000007</v>
      </c>
      <c r="J2938" t="str">
        <f t="shared" si="183"/>
        <v>OK</v>
      </c>
    </row>
    <row r="2939" spans="1:10" x14ac:dyDescent="0.2">
      <c r="A2939">
        <v>12938</v>
      </c>
      <c r="B2939" t="s">
        <v>8</v>
      </c>
      <c r="C2939" t="s">
        <v>9</v>
      </c>
      <c r="D2939" s="8">
        <v>5.25</v>
      </c>
      <c r="E2939">
        <v>3</v>
      </c>
      <c r="F2939" t="str">
        <f t="shared" si="180"/>
        <v>Value</v>
      </c>
      <c r="G2939" s="3" cm="1">
        <f t="array" ref="G2939">_xlfn.XLOOKUP(C2939 &amp; F2939,
         [1]unilever_price_limits!A:A &amp; [1]unilever_price_limits!B:B,
         [1]unilever_price_limits!C:C)</f>
        <v>15</v>
      </c>
      <c r="H2939" s="8">
        <f t="shared" si="181"/>
        <v>6.0374999999999996</v>
      </c>
      <c r="I2939" s="6">
        <f t="shared" si="182"/>
        <v>14.999999999999991</v>
      </c>
      <c r="J2939" t="str">
        <f t="shared" si="183"/>
        <v>OK</v>
      </c>
    </row>
    <row r="2940" spans="1:10" x14ac:dyDescent="0.2">
      <c r="A2940">
        <v>12939</v>
      </c>
      <c r="B2940" t="s">
        <v>8</v>
      </c>
      <c r="C2940" t="s">
        <v>11</v>
      </c>
      <c r="D2940" s="8">
        <v>3.54</v>
      </c>
      <c r="E2940">
        <v>4</v>
      </c>
      <c r="F2940" t="str">
        <f t="shared" si="180"/>
        <v>Standard</v>
      </c>
      <c r="G2940" s="3" cm="1">
        <f t="array" ref="G2940">_xlfn.XLOOKUP(C2940 &amp; F2940,
         [1]unilever_price_limits!A:A &amp; [1]unilever_price_limits!B:B,
         [1]unilever_price_limits!C:C)</f>
        <v>25</v>
      </c>
      <c r="H2940" s="8">
        <f t="shared" si="181"/>
        <v>4.4249999999999998</v>
      </c>
      <c r="I2940" s="6">
        <f t="shared" si="182"/>
        <v>25</v>
      </c>
      <c r="J2940" t="str">
        <f t="shared" si="183"/>
        <v>OK</v>
      </c>
    </row>
    <row r="2941" spans="1:10" x14ac:dyDescent="0.2">
      <c r="A2941">
        <v>12940</v>
      </c>
      <c r="B2941" t="s">
        <v>8</v>
      </c>
      <c r="C2941" t="s">
        <v>6</v>
      </c>
      <c r="D2941" s="8">
        <v>7.63</v>
      </c>
      <c r="E2941">
        <v>5</v>
      </c>
      <c r="F2941" t="str">
        <f t="shared" si="180"/>
        <v>Standard</v>
      </c>
      <c r="G2941" s="3" cm="1">
        <f t="array" ref="G2941">_xlfn.XLOOKUP(C2941 &amp; F2941,
         [1]unilever_price_limits!A:A &amp; [1]unilever_price_limits!B:B,
         [1]unilever_price_limits!C:C)</f>
        <v>28</v>
      </c>
      <c r="H2941" s="8">
        <f t="shared" si="181"/>
        <v>9.7664000000000009</v>
      </c>
      <c r="I2941" s="6">
        <f t="shared" si="182"/>
        <v>28.000000000000004</v>
      </c>
      <c r="J2941" t="str">
        <f t="shared" si="183"/>
        <v>OK</v>
      </c>
    </row>
    <row r="2942" spans="1:10" x14ac:dyDescent="0.2">
      <c r="A2942">
        <v>12941</v>
      </c>
      <c r="B2942" t="s">
        <v>8</v>
      </c>
      <c r="C2942" t="s">
        <v>6</v>
      </c>
      <c r="D2942" s="8">
        <v>0.78</v>
      </c>
      <c r="E2942">
        <v>1</v>
      </c>
      <c r="F2942" t="str">
        <f t="shared" si="180"/>
        <v>Value</v>
      </c>
      <c r="G2942" s="3" cm="1">
        <f t="array" ref="G2942">_xlfn.XLOOKUP(C2942 &amp; F2942,
         [1]unilever_price_limits!A:A &amp; [1]unilever_price_limits!B:B,
         [1]unilever_price_limits!C:C)</f>
        <v>12</v>
      </c>
      <c r="H2942" s="8">
        <f t="shared" si="181"/>
        <v>0.87360000000000015</v>
      </c>
      <c r="I2942" s="6">
        <f t="shared" si="182"/>
        <v>12.000000000000011</v>
      </c>
      <c r="J2942" t="str">
        <f t="shared" si="183"/>
        <v>OK</v>
      </c>
    </row>
    <row r="2943" spans="1:10" x14ac:dyDescent="0.2">
      <c r="A2943">
        <v>12942</v>
      </c>
      <c r="B2943" t="s">
        <v>5</v>
      </c>
      <c r="C2943" t="s">
        <v>11</v>
      </c>
      <c r="D2943" s="8">
        <v>10.23</v>
      </c>
      <c r="E2943">
        <v>6</v>
      </c>
      <c r="F2943" t="str">
        <f t="shared" si="180"/>
        <v>Standard</v>
      </c>
      <c r="G2943" s="3" cm="1">
        <f t="array" ref="G2943">_xlfn.XLOOKUP(C2943 &amp; F2943,
         [1]unilever_price_limits!A:A &amp; [1]unilever_price_limits!B:B,
         [1]unilever_price_limits!C:C)</f>
        <v>25</v>
      </c>
      <c r="H2943" s="8">
        <f t="shared" si="181"/>
        <v>12.787500000000001</v>
      </c>
      <c r="I2943" s="6">
        <f t="shared" si="182"/>
        <v>25</v>
      </c>
      <c r="J2943" t="str">
        <f t="shared" si="183"/>
        <v>OK</v>
      </c>
    </row>
    <row r="2944" spans="1:10" x14ac:dyDescent="0.2">
      <c r="A2944">
        <v>12943</v>
      </c>
      <c r="B2944" t="s">
        <v>8</v>
      </c>
      <c r="C2944" t="s">
        <v>9</v>
      </c>
      <c r="D2944" s="8">
        <v>8.09</v>
      </c>
      <c r="E2944">
        <v>10</v>
      </c>
      <c r="F2944" t="str">
        <f t="shared" si="180"/>
        <v>Premium</v>
      </c>
      <c r="G2944" s="3" cm="1">
        <f t="array" ref="G2944">_xlfn.XLOOKUP(C2944 &amp; F2944,
         [1]unilever_price_limits!A:A &amp; [1]unilever_price_limits!B:B,
         [1]unilever_price_limits!C:C)</f>
        <v>60</v>
      </c>
      <c r="H2944" s="8">
        <f t="shared" si="181"/>
        <v>12.944000000000001</v>
      </c>
      <c r="I2944" s="6">
        <f t="shared" si="182"/>
        <v>60.000000000000007</v>
      </c>
      <c r="J2944" t="str">
        <f t="shared" si="183"/>
        <v>OK</v>
      </c>
    </row>
    <row r="2945" spans="1:10" x14ac:dyDescent="0.2">
      <c r="A2945">
        <v>12944</v>
      </c>
      <c r="B2945" t="s">
        <v>5</v>
      </c>
      <c r="C2945" t="s">
        <v>11</v>
      </c>
      <c r="D2945" s="8">
        <v>13.53</v>
      </c>
      <c r="E2945">
        <v>6</v>
      </c>
      <c r="F2945" t="str">
        <f t="shared" si="180"/>
        <v>Standard</v>
      </c>
      <c r="G2945" s="3" cm="1">
        <f t="array" ref="G2945">_xlfn.XLOOKUP(C2945 &amp; F2945,
         [1]unilever_price_limits!A:A &amp; [1]unilever_price_limits!B:B,
         [1]unilever_price_limits!C:C)</f>
        <v>25</v>
      </c>
      <c r="H2945" s="8">
        <f t="shared" si="181"/>
        <v>16.912499999999998</v>
      </c>
      <c r="I2945" s="6">
        <f t="shared" si="182"/>
        <v>25</v>
      </c>
      <c r="J2945" t="str">
        <f t="shared" si="183"/>
        <v>OK</v>
      </c>
    </row>
    <row r="2946" spans="1:10" x14ac:dyDescent="0.2">
      <c r="A2946">
        <v>12945</v>
      </c>
      <c r="B2946" t="s">
        <v>7</v>
      </c>
      <c r="C2946" t="s">
        <v>9</v>
      </c>
      <c r="D2946" s="8">
        <v>2.88</v>
      </c>
      <c r="E2946">
        <v>2</v>
      </c>
      <c r="F2946" t="str">
        <f t="shared" si="180"/>
        <v>Value</v>
      </c>
      <c r="G2946" s="3" cm="1">
        <f t="array" ref="G2946">_xlfn.XLOOKUP(C2946 &amp; F2946,
         [1]unilever_price_limits!A:A &amp; [1]unilever_price_limits!B:B,
         [1]unilever_price_limits!C:C)</f>
        <v>15</v>
      </c>
      <c r="H2946" s="8">
        <f t="shared" si="181"/>
        <v>3.3119999999999998</v>
      </c>
      <c r="I2946" s="6">
        <f t="shared" si="182"/>
        <v>14.999999999999991</v>
      </c>
      <c r="J2946" t="str">
        <f t="shared" si="183"/>
        <v>OK</v>
      </c>
    </row>
    <row r="2947" spans="1:10" x14ac:dyDescent="0.2">
      <c r="A2947">
        <v>12946</v>
      </c>
      <c r="B2947" t="s">
        <v>10</v>
      </c>
      <c r="C2947" t="s">
        <v>9</v>
      </c>
      <c r="D2947" s="8">
        <v>12.16</v>
      </c>
      <c r="E2947">
        <v>10</v>
      </c>
      <c r="F2947" t="str">
        <f t="shared" ref="F2947:F3010" si="184">IF(E2947&lt;=3,"Value",
 IF(E2947&lt;=7,"Standard","Premium"))</f>
        <v>Premium</v>
      </c>
      <c r="G2947" s="3" cm="1">
        <f t="array" ref="G2947">_xlfn.XLOOKUP(C2947 &amp; F2947,
         [1]unilever_price_limits!A:A &amp; [1]unilever_price_limits!B:B,
         [1]unilever_price_limits!C:C)</f>
        <v>60</v>
      </c>
      <c r="H2947" s="8">
        <f t="shared" ref="H2947:H3010" si="185">D2947 * (1 + G2947/100)</f>
        <v>19.456000000000003</v>
      </c>
      <c r="I2947" s="6">
        <f t="shared" ref="I2947:I3010" si="186">(H2947 / D2947 - 1) * 100</f>
        <v>60.000000000000028</v>
      </c>
      <c r="J2947" t="str">
        <f t="shared" ref="J2947:J3010" si="187">IF(I2946&gt; G2946, "⚠ Exceeds Limit", "OK")</f>
        <v>OK</v>
      </c>
    </row>
    <row r="2948" spans="1:10" x14ac:dyDescent="0.2">
      <c r="A2948">
        <v>12947</v>
      </c>
      <c r="B2948" t="s">
        <v>8</v>
      </c>
      <c r="C2948" t="s">
        <v>9</v>
      </c>
      <c r="D2948" s="8">
        <v>11.98</v>
      </c>
      <c r="E2948">
        <v>6</v>
      </c>
      <c r="F2948" t="str">
        <f t="shared" si="184"/>
        <v>Standard</v>
      </c>
      <c r="G2948" s="3" cm="1">
        <f t="array" ref="G2948">_xlfn.XLOOKUP(C2948 &amp; F2948,
         [1]unilever_price_limits!A:A &amp; [1]unilever_price_limits!B:B,
         [1]unilever_price_limits!C:C)</f>
        <v>30</v>
      </c>
      <c r="H2948" s="8">
        <f t="shared" si="185"/>
        <v>15.574000000000002</v>
      </c>
      <c r="I2948" s="6">
        <f t="shared" si="186"/>
        <v>30.000000000000004</v>
      </c>
      <c r="J2948" t="str">
        <f t="shared" si="187"/>
        <v>OK</v>
      </c>
    </row>
    <row r="2949" spans="1:10" x14ac:dyDescent="0.2">
      <c r="A2949">
        <v>12948</v>
      </c>
      <c r="B2949" t="s">
        <v>10</v>
      </c>
      <c r="C2949" t="s">
        <v>9</v>
      </c>
      <c r="D2949" s="8">
        <v>2.34</v>
      </c>
      <c r="E2949">
        <v>8</v>
      </c>
      <c r="F2949" t="str">
        <f t="shared" si="184"/>
        <v>Premium</v>
      </c>
      <c r="G2949" s="3" cm="1">
        <f t="array" ref="G2949">_xlfn.XLOOKUP(C2949 &amp; F2949,
         [1]unilever_price_limits!A:A &amp; [1]unilever_price_limits!B:B,
         [1]unilever_price_limits!C:C)</f>
        <v>60</v>
      </c>
      <c r="H2949" s="8">
        <f t="shared" si="185"/>
        <v>3.7439999999999998</v>
      </c>
      <c r="I2949" s="6">
        <f t="shared" si="186"/>
        <v>60.000000000000007</v>
      </c>
      <c r="J2949" t="str">
        <f t="shared" si="187"/>
        <v>OK</v>
      </c>
    </row>
    <row r="2950" spans="1:10" x14ac:dyDescent="0.2">
      <c r="A2950">
        <v>12949</v>
      </c>
      <c r="B2950" t="s">
        <v>10</v>
      </c>
      <c r="C2950" t="s">
        <v>11</v>
      </c>
      <c r="D2950" s="8">
        <v>6.28</v>
      </c>
      <c r="E2950">
        <v>6</v>
      </c>
      <c r="F2950" t="str">
        <f t="shared" si="184"/>
        <v>Standard</v>
      </c>
      <c r="G2950" s="3" cm="1">
        <f t="array" ref="G2950">_xlfn.XLOOKUP(C2950 &amp; F2950,
         [1]unilever_price_limits!A:A &amp; [1]unilever_price_limits!B:B,
         [1]unilever_price_limits!C:C)</f>
        <v>25</v>
      </c>
      <c r="H2950" s="8">
        <f t="shared" si="185"/>
        <v>7.8500000000000005</v>
      </c>
      <c r="I2950" s="6">
        <f t="shared" si="186"/>
        <v>25</v>
      </c>
      <c r="J2950" t="str">
        <f t="shared" si="187"/>
        <v>OK</v>
      </c>
    </row>
    <row r="2951" spans="1:10" x14ac:dyDescent="0.2">
      <c r="A2951">
        <v>12950</v>
      </c>
      <c r="B2951" t="s">
        <v>7</v>
      </c>
      <c r="C2951" t="s">
        <v>6</v>
      </c>
      <c r="D2951" s="8">
        <v>2.97</v>
      </c>
      <c r="E2951">
        <v>4</v>
      </c>
      <c r="F2951" t="str">
        <f t="shared" si="184"/>
        <v>Standard</v>
      </c>
      <c r="G2951" s="3" cm="1">
        <f t="array" ref="G2951">_xlfn.XLOOKUP(C2951 &amp; F2951,
         [1]unilever_price_limits!A:A &amp; [1]unilever_price_limits!B:B,
         [1]unilever_price_limits!C:C)</f>
        <v>28</v>
      </c>
      <c r="H2951" s="8">
        <f t="shared" si="185"/>
        <v>3.8016000000000005</v>
      </c>
      <c r="I2951" s="6">
        <f t="shared" si="186"/>
        <v>28.000000000000004</v>
      </c>
      <c r="J2951" t="str">
        <f t="shared" si="187"/>
        <v>OK</v>
      </c>
    </row>
    <row r="2952" spans="1:10" x14ac:dyDescent="0.2">
      <c r="A2952">
        <v>12951</v>
      </c>
      <c r="B2952" t="s">
        <v>10</v>
      </c>
      <c r="C2952" t="s">
        <v>6</v>
      </c>
      <c r="D2952" s="8">
        <v>4.1900000000000004</v>
      </c>
      <c r="E2952">
        <v>4</v>
      </c>
      <c r="F2952" t="str">
        <f t="shared" si="184"/>
        <v>Standard</v>
      </c>
      <c r="G2952" s="3" cm="1">
        <f t="array" ref="G2952">_xlfn.XLOOKUP(C2952 &amp; F2952,
         [1]unilever_price_limits!A:A &amp; [1]unilever_price_limits!B:B,
         [1]unilever_price_limits!C:C)</f>
        <v>28</v>
      </c>
      <c r="H2952" s="8">
        <f t="shared" si="185"/>
        <v>5.3632000000000009</v>
      </c>
      <c r="I2952" s="6">
        <f t="shared" si="186"/>
        <v>28.000000000000004</v>
      </c>
      <c r="J2952" t="str">
        <f t="shared" si="187"/>
        <v>OK</v>
      </c>
    </row>
    <row r="2953" spans="1:10" x14ac:dyDescent="0.2">
      <c r="A2953">
        <v>12952</v>
      </c>
      <c r="B2953" t="s">
        <v>5</v>
      </c>
      <c r="C2953" t="s">
        <v>6</v>
      </c>
      <c r="D2953" s="8">
        <v>4.32</v>
      </c>
      <c r="E2953">
        <v>9</v>
      </c>
      <c r="F2953" t="str">
        <f t="shared" si="184"/>
        <v>Premium</v>
      </c>
      <c r="G2953" s="3" cm="1">
        <f t="array" ref="G2953">_xlfn.XLOOKUP(C2953 &amp; F2953,
         [1]unilever_price_limits!A:A &amp; [1]unilever_price_limits!B:B,
         [1]unilever_price_limits!C:C)</f>
        <v>55</v>
      </c>
      <c r="H2953" s="8">
        <f t="shared" si="185"/>
        <v>6.6960000000000006</v>
      </c>
      <c r="I2953" s="6">
        <f t="shared" si="186"/>
        <v>55.000000000000007</v>
      </c>
      <c r="J2953" t="str">
        <f t="shared" si="187"/>
        <v>OK</v>
      </c>
    </row>
    <row r="2954" spans="1:10" x14ac:dyDescent="0.2">
      <c r="A2954">
        <v>12953</v>
      </c>
      <c r="B2954" t="s">
        <v>10</v>
      </c>
      <c r="C2954" t="s">
        <v>6</v>
      </c>
      <c r="D2954" s="8">
        <v>8.57</v>
      </c>
      <c r="E2954">
        <v>6</v>
      </c>
      <c r="F2954" t="str">
        <f t="shared" si="184"/>
        <v>Standard</v>
      </c>
      <c r="G2954" s="3" cm="1">
        <f t="array" ref="G2954">_xlfn.XLOOKUP(C2954 &amp; F2954,
         [1]unilever_price_limits!A:A &amp; [1]unilever_price_limits!B:B,
         [1]unilever_price_limits!C:C)</f>
        <v>28</v>
      </c>
      <c r="H2954" s="8">
        <f t="shared" si="185"/>
        <v>10.9696</v>
      </c>
      <c r="I2954" s="6">
        <f t="shared" si="186"/>
        <v>28.000000000000004</v>
      </c>
      <c r="J2954" t="str">
        <f t="shared" si="187"/>
        <v>OK</v>
      </c>
    </row>
    <row r="2955" spans="1:10" x14ac:dyDescent="0.2">
      <c r="A2955">
        <v>12954</v>
      </c>
      <c r="B2955" t="s">
        <v>10</v>
      </c>
      <c r="C2955" t="s">
        <v>6</v>
      </c>
      <c r="D2955" s="8">
        <v>6.47</v>
      </c>
      <c r="E2955">
        <v>8</v>
      </c>
      <c r="F2955" t="str">
        <f t="shared" si="184"/>
        <v>Premium</v>
      </c>
      <c r="G2955" s="3" cm="1">
        <f t="array" ref="G2955">_xlfn.XLOOKUP(C2955 &amp; F2955,
         [1]unilever_price_limits!A:A &amp; [1]unilever_price_limits!B:B,
         [1]unilever_price_limits!C:C)</f>
        <v>55</v>
      </c>
      <c r="H2955" s="8">
        <f t="shared" si="185"/>
        <v>10.028499999999999</v>
      </c>
      <c r="I2955" s="6">
        <f t="shared" si="186"/>
        <v>55.000000000000007</v>
      </c>
      <c r="J2955" t="str">
        <f t="shared" si="187"/>
        <v>OK</v>
      </c>
    </row>
    <row r="2956" spans="1:10" x14ac:dyDescent="0.2">
      <c r="A2956">
        <v>12955</v>
      </c>
      <c r="B2956" t="s">
        <v>10</v>
      </c>
      <c r="C2956" t="s">
        <v>6</v>
      </c>
      <c r="D2956" s="8">
        <v>14.24</v>
      </c>
      <c r="E2956">
        <v>8</v>
      </c>
      <c r="F2956" t="str">
        <f t="shared" si="184"/>
        <v>Premium</v>
      </c>
      <c r="G2956" s="3" cm="1">
        <f t="array" ref="G2956">_xlfn.XLOOKUP(C2956 &amp; F2956,
         [1]unilever_price_limits!A:A &amp; [1]unilever_price_limits!B:B,
         [1]unilever_price_limits!C:C)</f>
        <v>55</v>
      </c>
      <c r="H2956" s="8">
        <f t="shared" si="185"/>
        <v>22.072000000000003</v>
      </c>
      <c r="I2956" s="6">
        <f t="shared" si="186"/>
        <v>55.000000000000028</v>
      </c>
      <c r="J2956" t="str">
        <f t="shared" si="187"/>
        <v>OK</v>
      </c>
    </row>
    <row r="2957" spans="1:10" x14ac:dyDescent="0.2">
      <c r="A2957">
        <v>12956</v>
      </c>
      <c r="B2957" t="s">
        <v>8</v>
      </c>
      <c r="C2957" t="s">
        <v>11</v>
      </c>
      <c r="D2957" s="8">
        <v>2.33</v>
      </c>
      <c r="E2957">
        <v>7</v>
      </c>
      <c r="F2957" t="str">
        <f t="shared" si="184"/>
        <v>Standard</v>
      </c>
      <c r="G2957" s="3" cm="1">
        <f t="array" ref="G2957">_xlfn.XLOOKUP(C2957 &amp; F2957,
         [1]unilever_price_limits!A:A &amp; [1]unilever_price_limits!B:B,
         [1]unilever_price_limits!C:C)</f>
        <v>25</v>
      </c>
      <c r="H2957" s="8">
        <f t="shared" si="185"/>
        <v>2.9125000000000001</v>
      </c>
      <c r="I2957" s="6">
        <f t="shared" si="186"/>
        <v>25</v>
      </c>
      <c r="J2957" t="str">
        <f t="shared" si="187"/>
        <v>OK</v>
      </c>
    </row>
    <row r="2958" spans="1:10" x14ac:dyDescent="0.2">
      <c r="A2958">
        <v>12957</v>
      </c>
      <c r="B2958" t="s">
        <v>8</v>
      </c>
      <c r="C2958" t="s">
        <v>9</v>
      </c>
      <c r="D2958" s="8">
        <v>14.62</v>
      </c>
      <c r="E2958">
        <v>3</v>
      </c>
      <c r="F2958" t="str">
        <f t="shared" si="184"/>
        <v>Value</v>
      </c>
      <c r="G2958" s="3" cm="1">
        <f t="array" ref="G2958">_xlfn.XLOOKUP(C2958 &amp; F2958,
         [1]unilever_price_limits!A:A &amp; [1]unilever_price_limits!B:B,
         [1]unilever_price_limits!C:C)</f>
        <v>15</v>
      </c>
      <c r="H2958" s="8">
        <f t="shared" si="185"/>
        <v>16.812999999999999</v>
      </c>
      <c r="I2958" s="6">
        <f t="shared" si="186"/>
        <v>14.999999999999991</v>
      </c>
      <c r="J2958" t="str">
        <f t="shared" si="187"/>
        <v>OK</v>
      </c>
    </row>
    <row r="2959" spans="1:10" x14ac:dyDescent="0.2">
      <c r="A2959">
        <v>12958</v>
      </c>
      <c r="B2959" t="s">
        <v>5</v>
      </c>
      <c r="C2959" t="s">
        <v>6</v>
      </c>
      <c r="D2959" s="8">
        <v>3.84</v>
      </c>
      <c r="E2959">
        <v>10</v>
      </c>
      <c r="F2959" t="str">
        <f t="shared" si="184"/>
        <v>Premium</v>
      </c>
      <c r="G2959" s="3" cm="1">
        <f t="array" ref="G2959">_xlfn.XLOOKUP(C2959 &amp; F2959,
         [1]unilever_price_limits!A:A &amp; [1]unilever_price_limits!B:B,
         [1]unilever_price_limits!C:C)</f>
        <v>55</v>
      </c>
      <c r="H2959" s="8">
        <f t="shared" si="185"/>
        <v>5.952</v>
      </c>
      <c r="I2959" s="6">
        <f t="shared" si="186"/>
        <v>55.000000000000007</v>
      </c>
      <c r="J2959" t="str">
        <f t="shared" si="187"/>
        <v>OK</v>
      </c>
    </row>
    <row r="2960" spans="1:10" x14ac:dyDescent="0.2">
      <c r="A2960">
        <v>12959</v>
      </c>
      <c r="B2960" t="s">
        <v>5</v>
      </c>
      <c r="C2960" t="s">
        <v>11</v>
      </c>
      <c r="D2960" s="8">
        <v>11.71</v>
      </c>
      <c r="E2960">
        <v>1</v>
      </c>
      <c r="F2960" t="str">
        <f t="shared" si="184"/>
        <v>Value</v>
      </c>
      <c r="G2960" s="3" cm="1">
        <f t="array" ref="G2960">_xlfn.XLOOKUP(C2960 &amp; F2960,
         [1]unilever_price_limits!A:A &amp; [1]unilever_price_limits!B:B,
         [1]unilever_price_limits!C:C)</f>
        <v>10</v>
      </c>
      <c r="H2960" s="8">
        <f t="shared" si="185"/>
        <v>12.881000000000002</v>
      </c>
      <c r="I2960" s="6">
        <f t="shared" si="186"/>
        <v>10.000000000000009</v>
      </c>
      <c r="J2960" t="str">
        <f t="shared" si="187"/>
        <v>OK</v>
      </c>
    </row>
    <row r="2961" spans="1:10" x14ac:dyDescent="0.2">
      <c r="A2961">
        <v>12960</v>
      </c>
      <c r="B2961" t="s">
        <v>8</v>
      </c>
      <c r="C2961" t="s">
        <v>6</v>
      </c>
      <c r="D2961" s="8">
        <v>5.42</v>
      </c>
      <c r="E2961">
        <v>5</v>
      </c>
      <c r="F2961" t="str">
        <f t="shared" si="184"/>
        <v>Standard</v>
      </c>
      <c r="G2961" s="3" cm="1">
        <f t="array" ref="G2961">_xlfn.XLOOKUP(C2961 &amp; F2961,
         [1]unilever_price_limits!A:A &amp; [1]unilever_price_limits!B:B,
         [1]unilever_price_limits!C:C)</f>
        <v>28</v>
      </c>
      <c r="H2961" s="8">
        <f t="shared" si="185"/>
        <v>6.9375999999999998</v>
      </c>
      <c r="I2961" s="6">
        <f t="shared" si="186"/>
        <v>28.000000000000004</v>
      </c>
      <c r="J2961" t="str">
        <f t="shared" si="187"/>
        <v>OK</v>
      </c>
    </row>
    <row r="2962" spans="1:10" x14ac:dyDescent="0.2">
      <c r="A2962">
        <v>12961</v>
      </c>
      <c r="B2962" t="s">
        <v>5</v>
      </c>
      <c r="C2962" t="s">
        <v>6</v>
      </c>
      <c r="D2962" s="8">
        <v>2.57</v>
      </c>
      <c r="E2962">
        <v>10</v>
      </c>
      <c r="F2962" t="str">
        <f t="shared" si="184"/>
        <v>Premium</v>
      </c>
      <c r="G2962" s="3" cm="1">
        <f t="array" ref="G2962">_xlfn.XLOOKUP(C2962 &amp; F2962,
         [1]unilever_price_limits!A:A &amp; [1]unilever_price_limits!B:B,
         [1]unilever_price_limits!C:C)</f>
        <v>55</v>
      </c>
      <c r="H2962" s="8">
        <f t="shared" si="185"/>
        <v>3.9834999999999998</v>
      </c>
      <c r="I2962" s="6">
        <f t="shared" si="186"/>
        <v>55.000000000000007</v>
      </c>
      <c r="J2962" t="str">
        <f t="shared" si="187"/>
        <v>OK</v>
      </c>
    </row>
    <row r="2963" spans="1:10" x14ac:dyDescent="0.2">
      <c r="A2963">
        <v>12962</v>
      </c>
      <c r="B2963" t="s">
        <v>8</v>
      </c>
      <c r="C2963" t="s">
        <v>9</v>
      </c>
      <c r="D2963" s="8">
        <v>12.94</v>
      </c>
      <c r="E2963">
        <v>10</v>
      </c>
      <c r="F2963" t="str">
        <f t="shared" si="184"/>
        <v>Premium</v>
      </c>
      <c r="G2963" s="3" cm="1">
        <f t="array" ref="G2963">_xlfn.XLOOKUP(C2963 &amp; F2963,
         [1]unilever_price_limits!A:A &amp; [1]unilever_price_limits!B:B,
         [1]unilever_price_limits!C:C)</f>
        <v>60</v>
      </c>
      <c r="H2963" s="8">
        <f t="shared" si="185"/>
        <v>20.704000000000001</v>
      </c>
      <c r="I2963" s="6">
        <f t="shared" si="186"/>
        <v>60.000000000000007</v>
      </c>
      <c r="J2963" t="str">
        <f t="shared" si="187"/>
        <v>OK</v>
      </c>
    </row>
    <row r="2964" spans="1:10" x14ac:dyDescent="0.2">
      <c r="A2964">
        <v>12963</v>
      </c>
      <c r="B2964" t="s">
        <v>7</v>
      </c>
      <c r="C2964" t="s">
        <v>9</v>
      </c>
      <c r="D2964" s="8">
        <v>4.9800000000000004</v>
      </c>
      <c r="E2964">
        <v>2</v>
      </c>
      <c r="F2964" t="str">
        <f t="shared" si="184"/>
        <v>Value</v>
      </c>
      <c r="G2964" s="3" cm="1">
        <f t="array" ref="G2964">_xlfn.XLOOKUP(C2964 &amp; F2964,
         [1]unilever_price_limits!A:A &amp; [1]unilever_price_limits!B:B,
         [1]unilever_price_limits!C:C)</f>
        <v>15</v>
      </c>
      <c r="H2964" s="8">
        <f t="shared" si="185"/>
        <v>5.7270000000000003</v>
      </c>
      <c r="I2964" s="6">
        <f t="shared" si="186"/>
        <v>14.999999999999991</v>
      </c>
      <c r="J2964" t="str">
        <f t="shared" si="187"/>
        <v>OK</v>
      </c>
    </row>
    <row r="2965" spans="1:10" x14ac:dyDescent="0.2">
      <c r="A2965">
        <v>12964</v>
      </c>
      <c r="B2965" t="s">
        <v>10</v>
      </c>
      <c r="C2965" t="s">
        <v>9</v>
      </c>
      <c r="D2965" s="8">
        <v>10.050000000000001</v>
      </c>
      <c r="E2965">
        <v>10</v>
      </c>
      <c r="F2965" t="str">
        <f t="shared" si="184"/>
        <v>Premium</v>
      </c>
      <c r="G2965" s="3" cm="1">
        <f t="array" ref="G2965">_xlfn.XLOOKUP(C2965 &amp; F2965,
         [1]unilever_price_limits!A:A &amp; [1]unilever_price_limits!B:B,
         [1]unilever_price_limits!C:C)</f>
        <v>60</v>
      </c>
      <c r="H2965" s="8">
        <f t="shared" si="185"/>
        <v>16.080000000000002</v>
      </c>
      <c r="I2965" s="6">
        <f t="shared" si="186"/>
        <v>60.000000000000007</v>
      </c>
      <c r="J2965" t="str">
        <f t="shared" si="187"/>
        <v>OK</v>
      </c>
    </row>
    <row r="2966" spans="1:10" x14ac:dyDescent="0.2">
      <c r="A2966">
        <v>12965</v>
      </c>
      <c r="B2966" t="s">
        <v>10</v>
      </c>
      <c r="C2966" t="s">
        <v>6</v>
      </c>
      <c r="D2966" s="8">
        <v>8.7100000000000009</v>
      </c>
      <c r="E2966">
        <v>2</v>
      </c>
      <c r="F2966" t="str">
        <f t="shared" si="184"/>
        <v>Value</v>
      </c>
      <c r="G2966" s="3" cm="1">
        <f t="array" ref="G2966">_xlfn.XLOOKUP(C2966 &amp; F2966,
         [1]unilever_price_limits!A:A &amp; [1]unilever_price_limits!B:B,
         [1]unilever_price_limits!C:C)</f>
        <v>12</v>
      </c>
      <c r="H2966" s="8">
        <f t="shared" si="185"/>
        <v>9.7552000000000021</v>
      </c>
      <c r="I2966" s="6">
        <f t="shared" si="186"/>
        <v>12.000000000000011</v>
      </c>
      <c r="J2966" t="str">
        <f t="shared" si="187"/>
        <v>OK</v>
      </c>
    </row>
    <row r="2967" spans="1:10" x14ac:dyDescent="0.2">
      <c r="A2967">
        <v>12966</v>
      </c>
      <c r="B2967" t="s">
        <v>5</v>
      </c>
      <c r="C2967" t="s">
        <v>6</v>
      </c>
      <c r="D2967" s="8">
        <v>7.34</v>
      </c>
      <c r="E2967">
        <v>7</v>
      </c>
      <c r="F2967" t="str">
        <f t="shared" si="184"/>
        <v>Standard</v>
      </c>
      <c r="G2967" s="3" cm="1">
        <f t="array" ref="G2967">_xlfn.XLOOKUP(C2967 &amp; F2967,
         [1]unilever_price_limits!A:A &amp; [1]unilever_price_limits!B:B,
         [1]unilever_price_limits!C:C)</f>
        <v>28</v>
      </c>
      <c r="H2967" s="8">
        <f t="shared" si="185"/>
        <v>9.3952000000000009</v>
      </c>
      <c r="I2967" s="6">
        <f t="shared" si="186"/>
        <v>28.000000000000025</v>
      </c>
      <c r="J2967" t="str">
        <f t="shared" si="187"/>
        <v>OK</v>
      </c>
    </row>
    <row r="2968" spans="1:10" x14ac:dyDescent="0.2">
      <c r="A2968">
        <v>12967</v>
      </c>
      <c r="B2968" t="s">
        <v>8</v>
      </c>
      <c r="C2968" t="s">
        <v>6</v>
      </c>
      <c r="D2968" s="8">
        <v>7.69</v>
      </c>
      <c r="E2968">
        <v>3</v>
      </c>
      <c r="F2968" t="str">
        <f t="shared" si="184"/>
        <v>Value</v>
      </c>
      <c r="G2968" s="3" cm="1">
        <f t="array" ref="G2968">_xlfn.XLOOKUP(C2968 &amp; F2968,
         [1]unilever_price_limits!A:A &amp; [1]unilever_price_limits!B:B,
         [1]unilever_price_limits!C:C)</f>
        <v>12</v>
      </c>
      <c r="H2968" s="8">
        <f t="shared" si="185"/>
        <v>8.6128000000000018</v>
      </c>
      <c r="I2968" s="6">
        <f t="shared" si="186"/>
        <v>12.000000000000011</v>
      </c>
      <c r="J2968" t="str">
        <f t="shared" si="187"/>
        <v>OK</v>
      </c>
    </row>
    <row r="2969" spans="1:10" x14ac:dyDescent="0.2">
      <c r="A2969">
        <v>12968</v>
      </c>
      <c r="B2969" t="s">
        <v>8</v>
      </c>
      <c r="C2969" t="s">
        <v>9</v>
      </c>
      <c r="D2969" s="8">
        <v>11.12</v>
      </c>
      <c r="E2969">
        <v>8</v>
      </c>
      <c r="F2969" t="str">
        <f t="shared" si="184"/>
        <v>Premium</v>
      </c>
      <c r="G2969" s="3" cm="1">
        <f t="array" ref="G2969">_xlfn.XLOOKUP(C2969 &amp; F2969,
         [1]unilever_price_limits!A:A &amp; [1]unilever_price_limits!B:B,
         [1]unilever_price_limits!C:C)</f>
        <v>60</v>
      </c>
      <c r="H2969" s="8">
        <f t="shared" si="185"/>
        <v>17.791999999999998</v>
      </c>
      <c r="I2969" s="6">
        <f t="shared" si="186"/>
        <v>59.999999999999986</v>
      </c>
      <c r="J2969" t="str">
        <f t="shared" si="187"/>
        <v>OK</v>
      </c>
    </row>
    <row r="2970" spans="1:10" x14ac:dyDescent="0.2">
      <c r="A2970">
        <v>12969</v>
      </c>
      <c r="B2970" t="s">
        <v>5</v>
      </c>
      <c r="C2970" t="s">
        <v>11</v>
      </c>
      <c r="D2970" s="8">
        <v>1.77</v>
      </c>
      <c r="E2970">
        <v>9</v>
      </c>
      <c r="F2970" t="str">
        <f t="shared" si="184"/>
        <v>Premium</v>
      </c>
      <c r="G2970" s="3" cm="1">
        <f t="array" ref="G2970">_xlfn.XLOOKUP(C2970 &amp; F2970,
         [1]unilever_price_limits!A:A &amp; [1]unilever_price_limits!B:B,
         [1]unilever_price_limits!C:C)</f>
        <v>50</v>
      </c>
      <c r="H2970" s="8">
        <f t="shared" si="185"/>
        <v>2.6550000000000002</v>
      </c>
      <c r="I2970" s="6">
        <f t="shared" si="186"/>
        <v>50.000000000000021</v>
      </c>
      <c r="J2970" t="str">
        <f t="shared" si="187"/>
        <v>OK</v>
      </c>
    </row>
    <row r="2971" spans="1:10" x14ac:dyDescent="0.2">
      <c r="A2971">
        <v>12970</v>
      </c>
      <c r="B2971" t="s">
        <v>8</v>
      </c>
      <c r="C2971" t="s">
        <v>6</v>
      </c>
      <c r="D2971" s="8">
        <v>10.19</v>
      </c>
      <c r="E2971">
        <v>8</v>
      </c>
      <c r="F2971" t="str">
        <f t="shared" si="184"/>
        <v>Premium</v>
      </c>
      <c r="G2971" s="3" cm="1">
        <f t="array" ref="G2971">_xlfn.XLOOKUP(C2971 &amp; F2971,
         [1]unilever_price_limits!A:A &amp; [1]unilever_price_limits!B:B,
         [1]unilever_price_limits!C:C)</f>
        <v>55</v>
      </c>
      <c r="H2971" s="8">
        <f t="shared" si="185"/>
        <v>15.794499999999999</v>
      </c>
      <c r="I2971" s="6">
        <f t="shared" si="186"/>
        <v>55.000000000000007</v>
      </c>
      <c r="J2971" t="str">
        <f t="shared" si="187"/>
        <v>OK</v>
      </c>
    </row>
    <row r="2972" spans="1:10" x14ac:dyDescent="0.2">
      <c r="A2972">
        <v>12971</v>
      </c>
      <c r="B2972" t="s">
        <v>7</v>
      </c>
      <c r="C2972" t="s">
        <v>6</v>
      </c>
      <c r="D2972" s="8">
        <v>13.49</v>
      </c>
      <c r="E2972">
        <v>6</v>
      </c>
      <c r="F2972" t="str">
        <f t="shared" si="184"/>
        <v>Standard</v>
      </c>
      <c r="G2972" s="3" cm="1">
        <f t="array" ref="G2972">_xlfn.XLOOKUP(C2972 &amp; F2972,
         [1]unilever_price_limits!A:A &amp; [1]unilever_price_limits!B:B,
         [1]unilever_price_limits!C:C)</f>
        <v>28</v>
      </c>
      <c r="H2972" s="8">
        <f t="shared" si="185"/>
        <v>17.267199999999999</v>
      </c>
      <c r="I2972" s="6">
        <f t="shared" si="186"/>
        <v>27.999999999999979</v>
      </c>
      <c r="J2972" t="str">
        <f t="shared" si="187"/>
        <v>OK</v>
      </c>
    </row>
    <row r="2973" spans="1:10" x14ac:dyDescent="0.2">
      <c r="A2973">
        <v>12972</v>
      </c>
      <c r="B2973" t="s">
        <v>10</v>
      </c>
      <c r="C2973" t="s">
        <v>6</v>
      </c>
      <c r="D2973" s="8">
        <v>1.34</v>
      </c>
      <c r="E2973">
        <v>5</v>
      </c>
      <c r="F2973" t="str">
        <f t="shared" si="184"/>
        <v>Standard</v>
      </c>
      <c r="G2973" s="3" cm="1">
        <f t="array" ref="G2973">_xlfn.XLOOKUP(C2973 &amp; F2973,
         [1]unilever_price_limits!A:A &amp; [1]unilever_price_limits!B:B,
         [1]unilever_price_limits!C:C)</f>
        <v>28</v>
      </c>
      <c r="H2973" s="8">
        <f t="shared" si="185"/>
        <v>1.7152000000000001</v>
      </c>
      <c r="I2973" s="6">
        <f t="shared" si="186"/>
        <v>28.000000000000004</v>
      </c>
      <c r="J2973" t="str">
        <f t="shared" si="187"/>
        <v>OK</v>
      </c>
    </row>
    <row r="2974" spans="1:10" x14ac:dyDescent="0.2">
      <c r="A2974">
        <v>12973</v>
      </c>
      <c r="B2974" t="s">
        <v>5</v>
      </c>
      <c r="C2974" t="s">
        <v>11</v>
      </c>
      <c r="D2974" s="8">
        <v>2.54</v>
      </c>
      <c r="E2974">
        <v>3</v>
      </c>
      <c r="F2974" t="str">
        <f t="shared" si="184"/>
        <v>Value</v>
      </c>
      <c r="G2974" s="3" cm="1">
        <f t="array" ref="G2974">_xlfn.XLOOKUP(C2974 &amp; F2974,
         [1]unilever_price_limits!A:A &amp; [1]unilever_price_limits!B:B,
         [1]unilever_price_limits!C:C)</f>
        <v>10</v>
      </c>
      <c r="H2974" s="8">
        <f t="shared" si="185"/>
        <v>2.7940000000000005</v>
      </c>
      <c r="I2974" s="6">
        <f t="shared" si="186"/>
        <v>10.000000000000009</v>
      </c>
      <c r="J2974" t="str">
        <f t="shared" si="187"/>
        <v>OK</v>
      </c>
    </row>
    <row r="2975" spans="1:10" x14ac:dyDescent="0.2">
      <c r="A2975">
        <v>12974</v>
      </c>
      <c r="B2975" t="s">
        <v>5</v>
      </c>
      <c r="C2975" t="s">
        <v>6</v>
      </c>
      <c r="D2975" s="8">
        <v>10.89</v>
      </c>
      <c r="E2975">
        <v>3</v>
      </c>
      <c r="F2975" t="str">
        <f t="shared" si="184"/>
        <v>Value</v>
      </c>
      <c r="G2975" s="3" cm="1">
        <f t="array" ref="G2975">_xlfn.XLOOKUP(C2975 &amp; F2975,
         [1]unilever_price_limits!A:A &amp; [1]unilever_price_limits!B:B,
         [1]unilever_price_limits!C:C)</f>
        <v>12</v>
      </c>
      <c r="H2975" s="8">
        <f t="shared" si="185"/>
        <v>12.196800000000001</v>
      </c>
      <c r="I2975" s="6">
        <f t="shared" si="186"/>
        <v>12.000000000000011</v>
      </c>
      <c r="J2975" t="str">
        <f t="shared" si="187"/>
        <v>OK</v>
      </c>
    </row>
    <row r="2976" spans="1:10" x14ac:dyDescent="0.2">
      <c r="A2976">
        <v>12975</v>
      </c>
      <c r="B2976" t="s">
        <v>8</v>
      </c>
      <c r="C2976" t="s">
        <v>11</v>
      </c>
      <c r="D2976" s="8">
        <v>6.84</v>
      </c>
      <c r="E2976">
        <v>7</v>
      </c>
      <c r="F2976" t="str">
        <f t="shared" si="184"/>
        <v>Standard</v>
      </c>
      <c r="G2976" s="3" cm="1">
        <f t="array" ref="G2976">_xlfn.XLOOKUP(C2976 &amp; F2976,
         [1]unilever_price_limits!A:A &amp; [1]unilever_price_limits!B:B,
         [1]unilever_price_limits!C:C)</f>
        <v>25</v>
      </c>
      <c r="H2976" s="8">
        <f t="shared" si="185"/>
        <v>8.5500000000000007</v>
      </c>
      <c r="I2976" s="6">
        <f t="shared" si="186"/>
        <v>25.000000000000021</v>
      </c>
      <c r="J2976" t="str">
        <f t="shared" si="187"/>
        <v>OK</v>
      </c>
    </row>
    <row r="2977" spans="1:10" x14ac:dyDescent="0.2">
      <c r="A2977">
        <v>12976</v>
      </c>
      <c r="B2977" t="s">
        <v>5</v>
      </c>
      <c r="C2977" t="s">
        <v>6</v>
      </c>
      <c r="D2977" s="8">
        <v>6.35</v>
      </c>
      <c r="E2977">
        <v>5</v>
      </c>
      <c r="F2977" t="str">
        <f t="shared" si="184"/>
        <v>Standard</v>
      </c>
      <c r="G2977" s="3" cm="1">
        <f t="array" ref="G2977">_xlfn.XLOOKUP(C2977 &amp; F2977,
         [1]unilever_price_limits!A:A &amp; [1]unilever_price_limits!B:B,
         [1]unilever_price_limits!C:C)</f>
        <v>28</v>
      </c>
      <c r="H2977" s="8">
        <f t="shared" si="185"/>
        <v>8.1280000000000001</v>
      </c>
      <c r="I2977" s="6">
        <f t="shared" si="186"/>
        <v>28.000000000000004</v>
      </c>
      <c r="J2977" t="str">
        <f t="shared" si="187"/>
        <v>OK</v>
      </c>
    </row>
    <row r="2978" spans="1:10" x14ac:dyDescent="0.2">
      <c r="A2978">
        <v>12977</v>
      </c>
      <c r="B2978" t="s">
        <v>7</v>
      </c>
      <c r="C2978" t="s">
        <v>11</v>
      </c>
      <c r="D2978" s="8">
        <v>2.4900000000000002</v>
      </c>
      <c r="E2978">
        <v>6</v>
      </c>
      <c r="F2978" t="str">
        <f t="shared" si="184"/>
        <v>Standard</v>
      </c>
      <c r="G2978" s="3" cm="1">
        <f t="array" ref="G2978">_xlfn.XLOOKUP(C2978 &amp; F2978,
         [1]unilever_price_limits!A:A &amp; [1]unilever_price_limits!B:B,
         [1]unilever_price_limits!C:C)</f>
        <v>25</v>
      </c>
      <c r="H2978" s="8">
        <f t="shared" si="185"/>
        <v>3.1125000000000003</v>
      </c>
      <c r="I2978" s="6">
        <f t="shared" si="186"/>
        <v>25</v>
      </c>
      <c r="J2978" t="str">
        <f t="shared" si="187"/>
        <v>OK</v>
      </c>
    </row>
    <row r="2979" spans="1:10" x14ac:dyDescent="0.2">
      <c r="A2979">
        <v>12978</v>
      </c>
      <c r="B2979" t="s">
        <v>8</v>
      </c>
      <c r="C2979" t="s">
        <v>6</v>
      </c>
      <c r="D2979" s="8">
        <v>7.85</v>
      </c>
      <c r="E2979">
        <v>6</v>
      </c>
      <c r="F2979" t="str">
        <f t="shared" si="184"/>
        <v>Standard</v>
      </c>
      <c r="G2979" s="3" cm="1">
        <f t="array" ref="G2979">_xlfn.XLOOKUP(C2979 &amp; F2979,
         [1]unilever_price_limits!A:A &amp; [1]unilever_price_limits!B:B,
         [1]unilever_price_limits!C:C)</f>
        <v>28</v>
      </c>
      <c r="H2979" s="8">
        <f t="shared" si="185"/>
        <v>10.048</v>
      </c>
      <c r="I2979" s="6">
        <f t="shared" si="186"/>
        <v>28.000000000000004</v>
      </c>
      <c r="J2979" t="str">
        <f t="shared" si="187"/>
        <v>OK</v>
      </c>
    </row>
    <row r="2980" spans="1:10" x14ac:dyDescent="0.2">
      <c r="A2980">
        <v>12979</v>
      </c>
      <c r="B2980" t="s">
        <v>8</v>
      </c>
      <c r="C2980" t="s">
        <v>9</v>
      </c>
      <c r="D2980" s="8">
        <v>2.33</v>
      </c>
      <c r="E2980">
        <v>9</v>
      </c>
      <c r="F2980" t="str">
        <f t="shared" si="184"/>
        <v>Premium</v>
      </c>
      <c r="G2980" s="3" cm="1">
        <f t="array" ref="G2980">_xlfn.XLOOKUP(C2980 &amp; F2980,
         [1]unilever_price_limits!A:A &amp; [1]unilever_price_limits!B:B,
         [1]unilever_price_limits!C:C)</f>
        <v>60</v>
      </c>
      <c r="H2980" s="8">
        <f t="shared" si="185"/>
        <v>3.7280000000000002</v>
      </c>
      <c r="I2980" s="6">
        <f t="shared" si="186"/>
        <v>60.000000000000007</v>
      </c>
      <c r="J2980" t="str">
        <f t="shared" si="187"/>
        <v>OK</v>
      </c>
    </row>
    <row r="2981" spans="1:10" x14ac:dyDescent="0.2">
      <c r="A2981">
        <v>12980</v>
      </c>
      <c r="B2981" t="s">
        <v>8</v>
      </c>
      <c r="C2981" t="s">
        <v>9</v>
      </c>
      <c r="D2981" s="8">
        <v>7.41</v>
      </c>
      <c r="E2981">
        <v>1</v>
      </c>
      <c r="F2981" t="str">
        <f t="shared" si="184"/>
        <v>Value</v>
      </c>
      <c r="G2981" s="3" cm="1">
        <f t="array" ref="G2981">_xlfn.XLOOKUP(C2981 &amp; F2981,
         [1]unilever_price_limits!A:A &amp; [1]unilever_price_limits!B:B,
         [1]unilever_price_limits!C:C)</f>
        <v>15</v>
      </c>
      <c r="H2981" s="8">
        <f t="shared" si="185"/>
        <v>8.5214999999999996</v>
      </c>
      <c r="I2981" s="6">
        <f t="shared" si="186"/>
        <v>14.999999999999991</v>
      </c>
      <c r="J2981" t="str">
        <f t="shared" si="187"/>
        <v>OK</v>
      </c>
    </row>
    <row r="2982" spans="1:10" x14ac:dyDescent="0.2">
      <c r="A2982">
        <v>12981</v>
      </c>
      <c r="B2982" t="s">
        <v>8</v>
      </c>
      <c r="C2982" t="s">
        <v>9</v>
      </c>
      <c r="D2982" s="8">
        <v>11.57</v>
      </c>
      <c r="E2982">
        <v>8</v>
      </c>
      <c r="F2982" t="str">
        <f t="shared" si="184"/>
        <v>Premium</v>
      </c>
      <c r="G2982" s="3" cm="1">
        <f t="array" ref="G2982">_xlfn.XLOOKUP(C2982 &amp; F2982,
         [1]unilever_price_limits!A:A &amp; [1]unilever_price_limits!B:B,
         [1]unilever_price_limits!C:C)</f>
        <v>60</v>
      </c>
      <c r="H2982" s="8">
        <f t="shared" si="185"/>
        <v>18.512</v>
      </c>
      <c r="I2982" s="6">
        <f t="shared" si="186"/>
        <v>60.000000000000007</v>
      </c>
      <c r="J2982" t="str">
        <f t="shared" si="187"/>
        <v>OK</v>
      </c>
    </row>
    <row r="2983" spans="1:10" x14ac:dyDescent="0.2">
      <c r="A2983">
        <v>12982</v>
      </c>
      <c r="B2983" t="s">
        <v>7</v>
      </c>
      <c r="C2983" t="s">
        <v>9</v>
      </c>
      <c r="D2983" s="8">
        <v>4.24</v>
      </c>
      <c r="E2983">
        <v>10</v>
      </c>
      <c r="F2983" t="str">
        <f t="shared" si="184"/>
        <v>Premium</v>
      </c>
      <c r="G2983" s="3" cm="1">
        <f t="array" ref="G2983">_xlfn.XLOOKUP(C2983 &amp; F2983,
         [1]unilever_price_limits!A:A &amp; [1]unilever_price_limits!B:B,
         [1]unilever_price_limits!C:C)</f>
        <v>60</v>
      </c>
      <c r="H2983" s="8">
        <f t="shared" si="185"/>
        <v>6.7840000000000007</v>
      </c>
      <c r="I2983" s="6">
        <f t="shared" si="186"/>
        <v>60.000000000000007</v>
      </c>
      <c r="J2983" t="str">
        <f t="shared" si="187"/>
        <v>OK</v>
      </c>
    </row>
    <row r="2984" spans="1:10" x14ac:dyDescent="0.2">
      <c r="A2984">
        <v>12983</v>
      </c>
      <c r="B2984" t="s">
        <v>8</v>
      </c>
      <c r="C2984" t="s">
        <v>6</v>
      </c>
      <c r="D2984" s="8">
        <v>7.47</v>
      </c>
      <c r="E2984">
        <v>5</v>
      </c>
      <c r="F2984" t="str">
        <f t="shared" si="184"/>
        <v>Standard</v>
      </c>
      <c r="G2984" s="3" cm="1">
        <f t="array" ref="G2984">_xlfn.XLOOKUP(C2984 &amp; F2984,
         [1]unilever_price_limits!A:A &amp; [1]unilever_price_limits!B:B,
         [1]unilever_price_limits!C:C)</f>
        <v>28</v>
      </c>
      <c r="H2984" s="8">
        <f t="shared" si="185"/>
        <v>9.5616000000000003</v>
      </c>
      <c r="I2984" s="6">
        <f t="shared" si="186"/>
        <v>28.000000000000004</v>
      </c>
      <c r="J2984" t="str">
        <f t="shared" si="187"/>
        <v>OK</v>
      </c>
    </row>
    <row r="2985" spans="1:10" x14ac:dyDescent="0.2">
      <c r="A2985">
        <v>12984</v>
      </c>
      <c r="B2985" t="s">
        <v>5</v>
      </c>
      <c r="C2985" t="s">
        <v>9</v>
      </c>
      <c r="D2985" s="8">
        <v>14.88</v>
      </c>
      <c r="E2985">
        <v>6</v>
      </c>
      <c r="F2985" t="str">
        <f t="shared" si="184"/>
        <v>Standard</v>
      </c>
      <c r="G2985" s="3" cm="1">
        <f t="array" ref="G2985">_xlfn.XLOOKUP(C2985 &amp; F2985,
         [1]unilever_price_limits!A:A &amp; [1]unilever_price_limits!B:B,
         [1]unilever_price_limits!C:C)</f>
        <v>30</v>
      </c>
      <c r="H2985" s="8">
        <f t="shared" si="185"/>
        <v>19.344000000000001</v>
      </c>
      <c r="I2985" s="6">
        <f t="shared" si="186"/>
        <v>30.000000000000004</v>
      </c>
      <c r="J2985" t="str">
        <f t="shared" si="187"/>
        <v>OK</v>
      </c>
    </row>
    <row r="2986" spans="1:10" x14ac:dyDescent="0.2">
      <c r="A2986">
        <v>12985</v>
      </c>
      <c r="B2986" t="s">
        <v>7</v>
      </c>
      <c r="C2986" t="s">
        <v>11</v>
      </c>
      <c r="D2986" s="8">
        <v>10.46</v>
      </c>
      <c r="E2986">
        <v>6</v>
      </c>
      <c r="F2986" t="str">
        <f t="shared" si="184"/>
        <v>Standard</v>
      </c>
      <c r="G2986" s="3" cm="1">
        <f t="array" ref="G2986">_xlfn.XLOOKUP(C2986 &amp; F2986,
         [1]unilever_price_limits!A:A &amp; [1]unilever_price_limits!B:B,
         [1]unilever_price_limits!C:C)</f>
        <v>25</v>
      </c>
      <c r="H2986" s="8">
        <f t="shared" si="185"/>
        <v>13.075000000000001</v>
      </c>
      <c r="I2986" s="6">
        <f t="shared" si="186"/>
        <v>25</v>
      </c>
      <c r="J2986" t="str">
        <f t="shared" si="187"/>
        <v>OK</v>
      </c>
    </row>
    <row r="2987" spans="1:10" x14ac:dyDescent="0.2">
      <c r="A2987">
        <v>12986</v>
      </c>
      <c r="B2987" t="s">
        <v>10</v>
      </c>
      <c r="C2987" t="s">
        <v>9</v>
      </c>
      <c r="D2987" s="8">
        <v>12.7</v>
      </c>
      <c r="E2987">
        <v>1</v>
      </c>
      <c r="F2987" t="str">
        <f t="shared" si="184"/>
        <v>Value</v>
      </c>
      <c r="G2987" s="3" cm="1">
        <f t="array" ref="G2987">_xlfn.XLOOKUP(C2987 &amp; F2987,
         [1]unilever_price_limits!A:A &amp; [1]unilever_price_limits!B:B,
         [1]unilever_price_limits!C:C)</f>
        <v>15</v>
      </c>
      <c r="H2987" s="8">
        <f t="shared" si="185"/>
        <v>14.604999999999999</v>
      </c>
      <c r="I2987" s="6">
        <f t="shared" si="186"/>
        <v>14.999999999999991</v>
      </c>
      <c r="J2987" t="str">
        <f t="shared" si="187"/>
        <v>OK</v>
      </c>
    </row>
    <row r="2988" spans="1:10" x14ac:dyDescent="0.2">
      <c r="A2988">
        <v>12987</v>
      </c>
      <c r="B2988" t="s">
        <v>10</v>
      </c>
      <c r="C2988" t="s">
        <v>9</v>
      </c>
      <c r="D2988" s="8">
        <v>6.52</v>
      </c>
      <c r="E2988">
        <v>3</v>
      </c>
      <c r="F2988" t="str">
        <f t="shared" si="184"/>
        <v>Value</v>
      </c>
      <c r="G2988" s="3" cm="1">
        <f t="array" ref="G2988">_xlfn.XLOOKUP(C2988 &amp; F2988,
         [1]unilever_price_limits!A:A &amp; [1]unilever_price_limits!B:B,
         [1]unilever_price_limits!C:C)</f>
        <v>15</v>
      </c>
      <c r="H2988" s="8">
        <f t="shared" si="185"/>
        <v>7.4979999999999993</v>
      </c>
      <c r="I2988" s="6">
        <f t="shared" si="186"/>
        <v>14.999999999999991</v>
      </c>
      <c r="J2988" t="str">
        <f t="shared" si="187"/>
        <v>OK</v>
      </c>
    </row>
    <row r="2989" spans="1:10" x14ac:dyDescent="0.2">
      <c r="A2989">
        <v>12988</v>
      </c>
      <c r="B2989" t="s">
        <v>5</v>
      </c>
      <c r="C2989" t="s">
        <v>9</v>
      </c>
      <c r="D2989" s="8">
        <v>11.63</v>
      </c>
      <c r="E2989">
        <v>6</v>
      </c>
      <c r="F2989" t="str">
        <f t="shared" si="184"/>
        <v>Standard</v>
      </c>
      <c r="G2989" s="3" cm="1">
        <f t="array" ref="G2989">_xlfn.XLOOKUP(C2989 &amp; F2989,
         [1]unilever_price_limits!A:A &amp; [1]unilever_price_limits!B:B,
         [1]unilever_price_limits!C:C)</f>
        <v>30</v>
      </c>
      <c r="H2989" s="8">
        <f t="shared" si="185"/>
        <v>15.119000000000002</v>
      </c>
      <c r="I2989" s="6">
        <f t="shared" si="186"/>
        <v>30.000000000000004</v>
      </c>
      <c r="J2989" t="str">
        <f t="shared" si="187"/>
        <v>OK</v>
      </c>
    </row>
    <row r="2990" spans="1:10" x14ac:dyDescent="0.2">
      <c r="A2990">
        <v>12989</v>
      </c>
      <c r="B2990" t="s">
        <v>5</v>
      </c>
      <c r="C2990" t="s">
        <v>6</v>
      </c>
      <c r="D2990" s="8">
        <v>1.0900000000000001</v>
      </c>
      <c r="E2990">
        <v>9</v>
      </c>
      <c r="F2990" t="str">
        <f t="shared" si="184"/>
        <v>Premium</v>
      </c>
      <c r="G2990" s="3" cm="1">
        <f t="array" ref="G2990">_xlfn.XLOOKUP(C2990 &amp; F2990,
         [1]unilever_price_limits!A:A &amp; [1]unilever_price_limits!B:B,
         [1]unilever_price_limits!C:C)</f>
        <v>55</v>
      </c>
      <c r="H2990" s="8">
        <f t="shared" si="185"/>
        <v>1.6895000000000002</v>
      </c>
      <c r="I2990" s="6">
        <f t="shared" si="186"/>
        <v>55.000000000000007</v>
      </c>
      <c r="J2990" t="str">
        <f t="shared" si="187"/>
        <v>OK</v>
      </c>
    </row>
    <row r="2991" spans="1:10" x14ac:dyDescent="0.2">
      <c r="A2991">
        <v>12990</v>
      </c>
      <c r="B2991" t="s">
        <v>7</v>
      </c>
      <c r="C2991" t="s">
        <v>9</v>
      </c>
      <c r="D2991" s="8">
        <v>2.2799999999999998</v>
      </c>
      <c r="E2991">
        <v>6</v>
      </c>
      <c r="F2991" t="str">
        <f t="shared" si="184"/>
        <v>Standard</v>
      </c>
      <c r="G2991" s="3" cm="1">
        <f t="array" ref="G2991">_xlfn.XLOOKUP(C2991 &amp; F2991,
         [1]unilever_price_limits!A:A &amp; [1]unilever_price_limits!B:B,
         [1]unilever_price_limits!C:C)</f>
        <v>30</v>
      </c>
      <c r="H2991" s="8">
        <f t="shared" si="185"/>
        <v>2.964</v>
      </c>
      <c r="I2991" s="6">
        <f t="shared" si="186"/>
        <v>30.000000000000004</v>
      </c>
      <c r="J2991" t="str">
        <f t="shared" si="187"/>
        <v>OK</v>
      </c>
    </row>
    <row r="2992" spans="1:10" x14ac:dyDescent="0.2">
      <c r="A2992">
        <v>12991</v>
      </c>
      <c r="B2992" t="s">
        <v>10</v>
      </c>
      <c r="C2992" t="s">
        <v>11</v>
      </c>
      <c r="D2992" s="8">
        <v>3.44</v>
      </c>
      <c r="E2992">
        <v>6</v>
      </c>
      <c r="F2992" t="str">
        <f t="shared" si="184"/>
        <v>Standard</v>
      </c>
      <c r="G2992" s="3" cm="1">
        <f t="array" ref="G2992">_xlfn.XLOOKUP(C2992 &amp; F2992,
         [1]unilever_price_limits!A:A &amp; [1]unilever_price_limits!B:B,
         [1]unilever_price_limits!C:C)</f>
        <v>25</v>
      </c>
      <c r="H2992" s="8">
        <f t="shared" si="185"/>
        <v>4.3</v>
      </c>
      <c r="I2992" s="6">
        <f t="shared" si="186"/>
        <v>25</v>
      </c>
      <c r="J2992" t="str">
        <f t="shared" si="187"/>
        <v>OK</v>
      </c>
    </row>
    <row r="2993" spans="1:10" x14ac:dyDescent="0.2">
      <c r="A2993">
        <v>12992</v>
      </c>
      <c r="B2993" t="s">
        <v>10</v>
      </c>
      <c r="C2993" t="s">
        <v>9</v>
      </c>
      <c r="D2993" s="8">
        <v>6.33</v>
      </c>
      <c r="E2993">
        <v>1</v>
      </c>
      <c r="F2993" t="str">
        <f t="shared" si="184"/>
        <v>Value</v>
      </c>
      <c r="G2993" s="3" cm="1">
        <f t="array" ref="G2993">_xlfn.XLOOKUP(C2993 &amp; F2993,
         [1]unilever_price_limits!A:A &amp; [1]unilever_price_limits!B:B,
         [1]unilever_price_limits!C:C)</f>
        <v>15</v>
      </c>
      <c r="H2993" s="8">
        <f t="shared" si="185"/>
        <v>7.2794999999999996</v>
      </c>
      <c r="I2993" s="6">
        <f t="shared" si="186"/>
        <v>14.999999999999991</v>
      </c>
      <c r="J2993" t="str">
        <f t="shared" si="187"/>
        <v>OK</v>
      </c>
    </row>
    <row r="2994" spans="1:10" x14ac:dyDescent="0.2">
      <c r="A2994">
        <v>12993</v>
      </c>
      <c r="B2994" t="s">
        <v>10</v>
      </c>
      <c r="C2994" t="s">
        <v>9</v>
      </c>
      <c r="D2994" s="8">
        <v>12.76</v>
      </c>
      <c r="E2994">
        <v>9</v>
      </c>
      <c r="F2994" t="str">
        <f t="shared" si="184"/>
        <v>Premium</v>
      </c>
      <c r="G2994" s="3" cm="1">
        <f t="array" ref="G2994">_xlfn.XLOOKUP(C2994 &amp; F2994,
         [1]unilever_price_limits!A:A &amp; [1]unilever_price_limits!B:B,
         [1]unilever_price_limits!C:C)</f>
        <v>60</v>
      </c>
      <c r="H2994" s="8">
        <f t="shared" si="185"/>
        <v>20.416</v>
      </c>
      <c r="I2994" s="6">
        <f t="shared" si="186"/>
        <v>60.000000000000007</v>
      </c>
      <c r="J2994" t="str">
        <f t="shared" si="187"/>
        <v>OK</v>
      </c>
    </row>
    <row r="2995" spans="1:10" x14ac:dyDescent="0.2">
      <c r="A2995">
        <v>12994</v>
      </c>
      <c r="B2995" t="s">
        <v>10</v>
      </c>
      <c r="C2995" t="s">
        <v>9</v>
      </c>
      <c r="D2995" s="8">
        <v>5.52</v>
      </c>
      <c r="E2995">
        <v>4</v>
      </c>
      <c r="F2995" t="str">
        <f t="shared" si="184"/>
        <v>Standard</v>
      </c>
      <c r="G2995" s="3" cm="1">
        <f t="array" ref="G2995">_xlfn.XLOOKUP(C2995 &amp; F2995,
         [1]unilever_price_limits!A:A &amp; [1]unilever_price_limits!B:B,
         [1]unilever_price_limits!C:C)</f>
        <v>30</v>
      </c>
      <c r="H2995" s="8">
        <f t="shared" si="185"/>
        <v>7.1759999999999993</v>
      </c>
      <c r="I2995" s="6">
        <f t="shared" si="186"/>
        <v>30.000000000000004</v>
      </c>
      <c r="J2995" t="str">
        <f t="shared" si="187"/>
        <v>OK</v>
      </c>
    </row>
    <row r="2996" spans="1:10" x14ac:dyDescent="0.2">
      <c r="A2996">
        <v>12995</v>
      </c>
      <c r="B2996" t="s">
        <v>10</v>
      </c>
      <c r="C2996" t="s">
        <v>11</v>
      </c>
      <c r="D2996" s="8">
        <v>9.99</v>
      </c>
      <c r="E2996">
        <v>2</v>
      </c>
      <c r="F2996" t="str">
        <f t="shared" si="184"/>
        <v>Value</v>
      </c>
      <c r="G2996" s="3" cm="1">
        <f t="array" ref="G2996">_xlfn.XLOOKUP(C2996 &amp; F2996,
         [1]unilever_price_limits!A:A &amp; [1]unilever_price_limits!B:B,
         [1]unilever_price_limits!C:C)</f>
        <v>10</v>
      </c>
      <c r="H2996" s="8">
        <f t="shared" si="185"/>
        <v>10.989000000000001</v>
      </c>
      <c r="I2996" s="6">
        <f t="shared" si="186"/>
        <v>10.000000000000009</v>
      </c>
      <c r="J2996" t="str">
        <f t="shared" si="187"/>
        <v>OK</v>
      </c>
    </row>
    <row r="2997" spans="1:10" x14ac:dyDescent="0.2">
      <c r="A2997">
        <v>12996</v>
      </c>
      <c r="B2997" t="s">
        <v>8</v>
      </c>
      <c r="C2997" t="s">
        <v>9</v>
      </c>
      <c r="D2997" s="8">
        <v>10.79</v>
      </c>
      <c r="E2997">
        <v>1</v>
      </c>
      <c r="F2997" t="str">
        <f t="shared" si="184"/>
        <v>Value</v>
      </c>
      <c r="G2997" s="3" cm="1">
        <f t="array" ref="G2997">_xlfn.XLOOKUP(C2997 &amp; F2997,
         [1]unilever_price_limits!A:A &amp; [1]unilever_price_limits!B:B,
         [1]unilever_price_limits!C:C)</f>
        <v>15</v>
      </c>
      <c r="H2997" s="8">
        <f t="shared" si="185"/>
        <v>12.408499999999998</v>
      </c>
      <c r="I2997" s="6">
        <f t="shared" si="186"/>
        <v>14.999999999999991</v>
      </c>
      <c r="J2997" t="str">
        <f t="shared" si="187"/>
        <v>OK</v>
      </c>
    </row>
    <row r="2998" spans="1:10" x14ac:dyDescent="0.2">
      <c r="A2998">
        <v>12997</v>
      </c>
      <c r="B2998" t="s">
        <v>5</v>
      </c>
      <c r="C2998" t="s">
        <v>11</v>
      </c>
      <c r="D2998" s="8">
        <v>9</v>
      </c>
      <c r="E2998">
        <v>3</v>
      </c>
      <c r="F2998" t="str">
        <f t="shared" si="184"/>
        <v>Value</v>
      </c>
      <c r="G2998" s="3" cm="1">
        <f t="array" ref="G2998">_xlfn.XLOOKUP(C2998 &amp; F2998,
         [1]unilever_price_limits!A:A &amp; [1]unilever_price_limits!B:B,
         [1]unilever_price_limits!C:C)</f>
        <v>10</v>
      </c>
      <c r="H2998" s="8">
        <f t="shared" si="185"/>
        <v>9.9</v>
      </c>
      <c r="I2998" s="6">
        <f t="shared" si="186"/>
        <v>10.000000000000009</v>
      </c>
      <c r="J2998" t="str">
        <f t="shared" si="187"/>
        <v>OK</v>
      </c>
    </row>
    <row r="2999" spans="1:10" x14ac:dyDescent="0.2">
      <c r="A2999">
        <v>12998</v>
      </c>
      <c r="B2999" t="s">
        <v>8</v>
      </c>
      <c r="C2999" t="s">
        <v>11</v>
      </c>
      <c r="D2999" s="8">
        <v>5.68</v>
      </c>
      <c r="E2999">
        <v>3</v>
      </c>
      <c r="F2999" t="str">
        <f t="shared" si="184"/>
        <v>Value</v>
      </c>
      <c r="G2999" s="3" cm="1">
        <f t="array" ref="G2999">_xlfn.XLOOKUP(C2999 &amp; F2999,
         [1]unilever_price_limits!A:A &amp; [1]unilever_price_limits!B:B,
         [1]unilever_price_limits!C:C)</f>
        <v>10</v>
      </c>
      <c r="H2999" s="8">
        <f t="shared" si="185"/>
        <v>6.2480000000000002</v>
      </c>
      <c r="I2999" s="6">
        <f t="shared" si="186"/>
        <v>10.000000000000009</v>
      </c>
      <c r="J2999" t="str">
        <f t="shared" si="187"/>
        <v>OK</v>
      </c>
    </row>
    <row r="3000" spans="1:10" x14ac:dyDescent="0.2">
      <c r="A3000">
        <v>12999</v>
      </c>
      <c r="B3000" t="s">
        <v>10</v>
      </c>
      <c r="C3000" t="s">
        <v>9</v>
      </c>
      <c r="D3000" s="8">
        <v>8.8699999999999992</v>
      </c>
      <c r="E3000">
        <v>5</v>
      </c>
      <c r="F3000" t="str">
        <f t="shared" si="184"/>
        <v>Standard</v>
      </c>
      <c r="G3000" s="3" cm="1">
        <f t="array" ref="G3000">_xlfn.XLOOKUP(C3000 &amp; F3000,
         [1]unilever_price_limits!A:A &amp; [1]unilever_price_limits!B:B,
         [1]unilever_price_limits!C:C)</f>
        <v>30</v>
      </c>
      <c r="H3000" s="8">
        <f t="shared" si="185"/>
        <v>11.530999999999999</v>
      </c>
      <c r="I3000" s="6">
        <f t="shared" si="186"/>
        <v>30.000000000000004</v>
      </c>
      <c r="J3000" t="str">
        <f t="shared" si="187"/>
        <v>OK</v>
      </c>
    </row>
    <row r="3001" spans="1:10" x14ac:dyDescent="0.2">
      <c r="A3001">
        <v>13000</v>
      </c>
      <c r="B3001" t="s">
        <v>7</v>
      </c>
      <c r="C3001" t="s">
        <v>11</v>
      </c>
      <c r="D3001" s="8">
        <v>5.46</v>
      </c>
      <c r="E3001">
        <v>1</v>
      </c>
      <c r="F3001" t="str">
        <f t="shared" si="184"/>
        <v>Value</v>
      </c>
      <c r="G3001" s="3" cm="1">
        <f t="array" ref="G3001">_xlfn.XLOOKUP(C3001 &amp; F3001,
         [1]unilever_price_limits!A:A &amp; [1]unilever_price_limits!B:B,
         [1]unilever_price_limits!C:C)</f>
        <v>10</v>
      </c>
      <c r="H3001" s="8">
        <f t="shared" si="185"/>
        <v>6.0060000000000002</v>
      </c>
      <c r="I3001" s="6">
        <f t="shared" si="186"/>
        <v>10.000000000000009</v>
      </c>
      <c r="J3001" t="str">
        <f t="shared" si="187"/>
        <v>OK</v>
      </c>
    </row>
    <row r="3002" spans="1:10" x14ac:dyDescent="0.2">
      <c r="A3002">
        <v>13001</v>
      </c>
      <c r="B3002" t="s">
        <v>7</v>
      </c>
      <c r="C3002" t="s">
        <v>6</v>
      </c>
      <c r="D3002" s="8">
        <v>1.72</v>
      </c>
      <c r="E3002">
        <v>7</v>
      </c>
      <c r="F3002" t="str">
        <f t="shared" si="184"/>
        <v>Standard</v>
      </c>
      <c r="G3002" s="3" cm="1">
        <f t="array" ref="G3002">_xlfn.XLOOKUP(C3002 &amp; F3002,
         [1]unilever_price_limits!A:A &amp; [1]unilever_price_limits!B:B,
         [1]unilever_price_limits!C:C)</f>
        <v>28</v>
      </c>
      <c r="H3002" s="8">
        <f t="shared" si="185"/>
        <v>2.2016</v>
      </c>
      <c r="I3002" s="6">
        <f t="shared" si="186"/>
        <v>28.000000000000004</v>
      </c>
      <c r="J3002" t="str">
        <f t="shared" si="187"/>
        <v>OK</v>
      </c>
    </row>
    <row r="3003" spans="1:10" x14ac:dyDescent="0.2">
      <c r="A3003">
        <v>13002</v>
      </c>
      <c r="B3003" t="s">
        <v>10</v>
      </c>
      <c r="C3003" t="s">
        <v>9</v>
      </c>
      <c r="D3003" s="8">
        <v>14.9</v>
      </c>
      <c r="E3003">
        <v>1</v>
      </c>
      <c r="F3003" t="str">
        <f t="shared" si="184"/>
        <v>Value</v>
      </c>
      <c r="G3003" s="3" cm="1">
        <f t="array" ref="G3003">_xlfn.XLOOKUP(C3003 &amp; F3003,
         [1]unilever_price_limits!A:A &amp; [1]unilever_price_limits!B:B,
         [1]unilever_price_limits!C:C)</f>
        <v>15</v>
      </c>
      <c r="H3003" s="8">
        <f t="shared" si="185"/>
        <v>17.134999999999998</v>
      </c>
      <c r="I3003" s="6">
        <f t="shared" si="186"/>
        <v>14.999999999999991</v>
      </c>
      <c r="J3003" t="str">
        <f t="shared" si="187"/>
        <v>OK</v>
      </c>
    </row>
    <row r="3004" spans="1:10" x14ac:dyDescent="0.2">
      <c r="A3004">
        <v>13003</v>
      </c>
      <c r="B3004" t="s">
        <v>10</v>
      </c>
      <c r="C3004" t="s">
        <v>9</v>
      </c>
      <c r="D3004" s="8">
        <v>2.34</v>
      </c>
      <c r="E3004">
        <v>4</v>
      </c>
      <c r="F3004" t="str">
        <f t="shared" si="184"/>
        <v>Standard</v>
      </c>
      <c r="G3004" s="3" cm="1">
        <f t="array" ref="G3004">_xlfn.XLOOKUP(C3004 &amp; F3004,
         [1]unilever_price_limits!A:A &amp; [1]unilever_price_limits!B:B,
         [1]unilever_price_limits!C:C)</f>
        <v>30</v>
      </c>
      <c r="H3004" s="8">
        <f t="shared" si="185"/>
        <v>3.0419999999999998</v>
      </c>
      <c r="I3004" s="6">
        <f t="shared" si="186"/>
        <v>30.000000000000004</v>
      </c>
      <c r="J3004" t="str">
        <f t="shared" si="187"/>
        <v>OK</v>
      </c>
    </row>
    <row r="3005" spans="1:10" x14ac:dyDescent="0.2">
      <c r="A3005">
        <v>13004</v>
      </c>
      <c r="B3005" t="s">
        <v>7</v>
      </c>
      <c r="C3005" t="s">
        <v>11</v>
      </c>
      <c r="D3005" s="8">
        <v>1.55</v>
      </c>
      <c r="E3005">
        <v>6</v>
      </c>
      <c r="F3005" t="str">
        <f t="shared" si="184"/>
        <v>Standard</v>
      </c>
      <c r="G3005" s="3" cm="1">
        <f t="array" ref="G3005">_xlfn.XLOOKUP(C3005 &amp; F3005,
         [1]unilever_price_limits!A:A &amp; [1]unilever_price_limits!B:B,
         [1]unilever_price_limits!C:C)</f>
        <v>25</v>
      </c>
      <c r="H3005" s="8">
        <f t="shared" si="185"/>
        <v>1.9375</v>
      </c>
      <c r="I3005" s="6">
        <f t="shared" si="186"/>
        <v>25</v>
      </c>
      <c r="J3005" t="str">
        <f t="shared" si="187"/>
        <v>OK</v>
      </c>
    </row>
    <row r="3006" spans="1:10" x14ac:dyDescent="0.2">
      <c r="A3006">
        <v>13005</v>
      </c>
      <c r="B3006" t="s">
        <v>8</v>
      </c>
      <c r="C3006" t="s">
        <v>11</v>
      </c>
      <c r="D3006" s="8">
        <v>13.24</v>
      </c>
      <c r="E3006">
        <v>1</v>
      </c>
      <c r="F3006" t="str">
        <f t="shared" si="184"/>
        <v>Value</v>
      </c>
      <c r="G3006" s="3" cm="1">
        <f t="array" ref="G3006">_xlfn.XLOOKUP(C3006 &amp; F3006,
         [1]unilever_price_limits!A:A &amp; [1]unilever_price_limits!B:B,
         [1]unilever_price_limits!C:C)</f>
        <v>10</v>
      </c>
      <c r="H3006" s="8">
        <f t="shared" si="185"/>
        <v>14.564000000000002</v>
      </c>
      <c r="I3006" s="6">
        <f t="shared" si="186"/>
        <v>10.000000000000009</v>
      </c>
      <c r="J3006" t="str">
        <f t="shared" si="187"/>
        <v>OK</v>
      </c>
    </row>
    <row r="3007" spans="1:10" x14ac:dyDescent="0.2">
      <c r="A3007">
        <v>13006</v>
      </c>
      <c r="B3007" t="s">
        <v>8</v>
      </c>
      <c r="C3007" t="s">
        <v>9</v>
      </c>
      <c r="D3007" s="8">
        <v>4.88</v>
      </c>
      <c r="E3007">
        <v>7</v>
      </c>
      <c r="F3007" t="str">
        <f t="shared" si="184"/>
        <v>Standard</v>
      </c>
      <c r="G3007" s="3" cm="1">
        <f t="array" ref="G3007">_xlfn.XLOOKUP(C3007 &amp; F3007,
         [1]unilever_price_limits!A:A &amp; [1]unilever_price_limits!B:B,
         [1]unilever_price_limits!C:C)</f>
        <v>30</v>
      </c>
      <c r="H3007" s="8">
        <f t="shared" si="185"/>
        <v>6.3440000000000003</v>
      </c>
      <c r="I3007" s="6">
        <f t="shared" si="186"/>
        <v>30.000000000000004</v>
      </c>
      <c r="J3007" t="str">
        <f t="shared" si="187"/>
        <v>OK</v>
      </c>
    </row>
    <row r="3008" spans="1:10" x14ac:dyDescent="0.2">
      <c r="A3008">
        <v>13007</v>
      </c>
      <c r="B3008" t="s">
        <v>10</v>
      </c>
      <c r="C3008" t="s">
        <v>6</v>
      </c>
      <c r="D3008" s="8">
        <v>9.93</v>
      </c>
      <c r="E3008">
        <v>10</v>
      </c>
      <c r="F3008" t="str">
        <f t="shared" si="184"/>
        <v>Premium</v>
      </c>
      <c r="G3008" s="3" cm="1">
        <f t="array" ref="G3008">_xlfn.XLOOKUP(C3008 &amp; F3008,
         [1]unilever_price_limits!A:A &amp; [1]unilever_price_limits!B:B,
         [1]unilever_price_limits!C:C)</f>
        <v>55</v>
      </c>
      <c r="H3008" s="8">
        <f t="shared" si="185"/>
        <v>15.391500000000001</v>
      </c>
      <c r="I3008" s="6">
        <f t="shared" si="186"/>
        <v>55.000000000000007</v>
      </c>
      <c r="J3008" t="str">
        <f t="shared" si="187"/>
        <v>OK</v>
      </c>
    </row>
    <row r="3009" spans="1:10" x14ac:dyDescent="0.2">
      <c r="A3009">
        <v>13008</v>
      </c>
      <c r="B3009" t="s">
        <v>8</v>
      </c>
      <c r="C3009" t="s">
        <v>11</v>
      </c>
      <c r="D3009" s="8">
        <v>5.27</v>
      </c>
      <c r="E3009">
        <v>7</v>
      </c>
      <c r="F3009" t="str">
        <f t="shared" si="184"/>
        <v>Standard</v>
      </c>
      <c r="G3009" s="3" cm="1">
        <f t="array" ref="G3009">_xlfn.XLOOKUP(C3009 &amp; F3009,
         [1]unilever_price_limits!A:A &amp; [1]unilever_price_limits!B:B,
         [1]unilever_price_limits!C:C)</f>
        <v>25</v>
      </c>
      <c r="H3009" s="8">
        <f t="shared" si="185"/>
        <v>6.5874999999999995</v>
      </c>
      <c r="I3009" s="6">
        <f t="shared" si="186"/>
        <v>25</v>
      </c>
      <c r="J3009" t="str">
        <f t="shared" si="187"/>
        <v>OK</v>
      </c>
    </row>
    <row r="3010" spans="1:10" x14ac:dyDescent="0.2">
      <c r="A3010">
        <v>13009</v>
      </c>
      <c r="B3010" t="s">
        <v>7</v>
      </c>
      <c r="C3010" t="s">
        <v>11</v>
      </c>
      <c r="D3010" s="8">
        <v>6.18</v>
      </c>
      <c r="E3010">
        <v>3</v>
      </c>
      <c r="F3010" t="str">
        <f t="shared" si="184"/>
        <v>Value</v>
      </c>
      <c r="G3010" s="3" cm="1">
        <f t="array" ref="G3010">_xlfn.XLOOKUP(C3010 &amp; F3010,
         [1]unilever_price_limits!A:A &amp; [1]unilever_price_limits!B:B,
         [1]unilever_price_limits!C:C)</f>
        <v>10</v>
      </c>
      <c r="H3010" s="8">
        <f t="shared" si="185"/>
        <v>6.798</v>
      </c>
      <c r="I3010" s="6">
        <f t="shared" si="186"/>
        <v>10.000000000000009</v>
      </c>
      <c r="J3010" t="str">
        <f t="shared" si="187"/>
        <v>OK</v>
      </c>
    </row>
    <row r="3011" spans="1:10" x14ac:dyDescent="0.2">
      <c r="A3011">
        <v>13010</v>
      </c>
      <c r="B3011" t="s">
        <v>8</v>
      </c>
      <c r="C3011" t="s">
        <v>6</v>
      </c>
      <c r="D3011" s="8">
        <v>4.3</v>
      </c>
      <c r="E3011">
        <v>4</v>
      </c>
      <c r="F3011" t="str">
        <f t="shared" ref="F3011:F3074" si="188">IF(E3011&lt;=3,"Value",
 IF(E3011&lt;=7,"Standard","Premium"))</f>
        <v>Standard</v>
      </c>
      <c r="G3011" s="3" cm="1">
        <f t="array" ref="G3011">_xlfn.XLOOKUP(C3011 &amp; F3011,
         [1]unilever_price_limits!A:A &amp; [1]unilever_price_limits!B:B,
         [1]unilever_price_limits!C:C)</f>
        <v>28</v>
      </c>
      <c r="H3011" s="8">
        <f t="shared" ref="H3011:H3074" si="189">D3011 * (1 + G3011/100)</f>
        <v>5.5039999999999996</v>
      </c>
      <c r="I3011" s="6">
        <f t="shared" ref="I3011:I3074" si="190">(H3011 / D3011 - 1) * 100</f>
        <v>28.000000000000004</v>
      </c>
      <c r="J3011" t="str">
        <f t="shared" ref="J3011:J3074" si="191">IF(I3010&gt; G3010, "⚠ Exceeds Limit", "OK")</f>
        <v>OK</v>
      </c>
    </row>
    <row r="3012" spans="1:10" x14ac:dyDescent="0.2">
      <c r="A3012">
        <v>13011</v>
      </c>
      <c r="B3012" t="s">
        <v>10</v>
      </c>
      <c r="C3012" t="s">
        <v>6</v>
      </c>
      <c r="D3012" s="8">
        <v>5.47</v>
      </c>
      <c r="E3012">
        <v>6</v>
      </c>
      <c r="F3012" t="str">
        <f t="shared" si="188"/>
        <v>Standard</v>
      </c>
      <c r="G3012" s="3" cm="1">
        <f t="array" ref="G3012">_xlfn.XLOOKUP(C3012 &amp; F3012,
         [1]unilever_price_limits!A:A &amp; [1]unilever_price_limits!B:B,
         [1]unilever_price_limits!C:C)</f>
        <v>28</v>
      </c>
      <c r="H3012" s="8">
        <f t="shared" si="189"/>
        <v>7.0015999999999998</v>
      </c>
      <c r="I3012" s="6">
        <f t="shared" si="190"/>
        <v>28.000000000000004</v>
      </c>
      <c r="J3012" t="str">
        <f t="shared" si="191"/>
        <v>OK</v>
      </c>
    </row>
    <row r="3013" spans="1:10" x14ac:dyDescent="0.2">
      <c r="A3013">
        <v>13012</v>
      </c>
      <c r="B3013" t="s">
        <v>7</v>
      </c>
      <c r="C3013" t="s">
        <v>9</v>
      </c>
      <c r="D3013" s="8">
        <v>6.46</v>
      </c>
      <c r="E3013">
        <v>7</v>
      </c>
      <c r="F3013" t="str">
        <f t="shared" si="188"/>
        <v>Standard</v>
      </c>
      <c r="G3013" s="3" cm="1">
        <f t="array" ref="G3013">_xlfn.XLOOKUP(C3013 &amp; F3013,
         [1]unilever_price_limits!A:A &amp; [1]unilever_price_limits!B:B,
         [1]unilever_price_limits!C:C)</f>
        <v>30</v>
      </c>
      <c r="H3013" s="8">
        <f t="shared" si="189"/>
        <v>8.3979999999999997</v>
      </c>
      <c r="I3013" s="6">
        <f t="shared" si="190"/>
        <v>30.000000000000004</v>
      </c>
      <c r="J3013" t="str">
        <f t="shared" si="191"/>
        <v>OK</v>
      </c>
    </row>
    <row r="3014" spans="1:10" x14ac:dyDescent="0.2">
      <c r="A3014">
        <v>13013</v>
      </c>
      <c r="B3014" t="s">
        <v>8</v>
      </c>
      <c r="C3014" t="s">
        <v>6</v>
      </c>
      <c r="D3014" s="8">
        <v>10.95</v>
      </c>
      <c r="E3014">
        <v>4</v>
      </c>
      <c r="F3014" t="str">
        <f t="shared" si="188"/>
        <v>Standard</v>
      </c>
      <c r="G3014" s="3" cm="1">
        <f t="array" ref="G3014">_xlfn.XLOOKUP(C3014 &amp; F3014,
         [1]unilever_price_limits!A:A &amp; [1]unilever_price_limits!B:B,
         [1]unilever_price_limits!C:C)</f>
        <v>28</v>
      </c>
      <c r="H3014" s="8">
        <f t="shared" si="189"/>
        <v>14.016</v>
      </c>
      <c r="I3014" s="6">
        <f t="shared" si="190"/>
        <v>28.000000000000004</v>
      </c>
      <c r="J3014" t="str">
        <f t="shared" si="191"/>
        <v>OK</v>
      </c>
    </row>
    <row r="3015" spans="1:10" x14ac:dyDescent="0.2">
      <c r="A3015">
        <v>13014</v>
      </c>
      <c r="B3015" t="s">
        <v>5</v>
      </c>
      <c r="C3015" t="s">
        <v>9</v>
      </c>
      <c r="D3015" s="8">
        <v>7.92</v>
      </c>
      <c r="E3015">
        <v>10</v>
      </c>
      <c r="F3015" t="str">
        <f t="shared" si="188"/>
        <v>Premium</v>
      </c>
      <c r="G3015" s="3" cm="1">
        <f t="array" ref="G3015">_xlfn.XLOOKUP(C3015 &amp; F3015,
         [1]unilever_price_limits!A:A &amp; [1]unilever_price_limits!B:B,
         [1]unilever_price_limits!C:C)</f>
        <v>60</v>
      </c>
      <c r="H3015" s="8">
        <f t="shared" si="189"/>
        <v>12.672000000000001</v>
      </c>
      <c r="I3015" s="6">
        <f t="shared" si="190"/>
        <v>60.000000000000007</v>
      </c>
      <c r="J3015" t="str">
        <f t="shared" si="191"/>
        <v>OK</v>
      </c>
    </row>
    <row r="3016" spans="1:10" x14ac:dyDescent="0.2">
      <c r="A3016">
        <v>13015</v>
      </c>
      <c r="B3016" t="s">
        <v>7</v>
      </c>
      <c r="C3016" t="s">
        <v>6</v>
      </c>
      <c r="D3016" s="8">
        <v>14.18</v>
      </c>
      <c r="E3016">
        <v>9</v>
      </c>
      <c r="F3016" t="str">
        <f t="shared" si="188"/>
        <v>Premium</v>
      </c>
      <c r="G3016" s="3" cm="1">
        <f t="array" ref="G3016">_xlfn.XLOOKUP(C3016 &amp; F3016,
         [1]unilever_price_limits!A:A &amp; [1]unilever_price_limits!B:B,
         [1]unilever_price_limits!C:C)</f>
        <v>55</v>
      </c>
      <c r="H3016" s="8">
        <f t="shared" si="189"/>
        <v>21.978999999999999</v>
      </c>
      <c r="I3016" s="6">
        <f t="shared" si="190"/>
        <v>55.000000000000007</v>
      </c>
      <c r="J3016" t="str">
        <f t="shared" si="191"/>
        <v>OK</v>
      </c>
    </row>
    <row r="3017" spans="1:10" x14ac:dyDescent="0.2">
      <c r="A3017">
        <v>13016</v>
      </c>
      <c r="B3017" t="s">
        <v>7</v>
      </c>
      <c r="C3017" t="s">
        <v>11</v>
      </c>
      <c r="D3017" s="8">
        <v>1.1100000000000001</v>
      </c>
      <c r="E3017">
        <v>9</v>
      </c>
      <c r="F3017" t="str">
        <f t="shared" si="188"/>
        <v>Premium</v>
      </c>
      <c r="G3017" s="3" cm="1">
        <f t="array" ref="G3017">_xlfn.XLOOKUP(C3017 &amp; F3017,
         [1]unilever_price_limits!A:A &amp; [1]unilever_price_limits!B:B,
         [1]unilever_price_limits!C:C)</f>
        <v>50</v>
      </c>
      <c r="H3017" s="8">
        <f t="shared" si="189"/>
        <v>1.665</v>
      </c>
      <c r="I3017" s="6">
        <f t="shared" si="190"/>
        <v>50</v>
      </c>
      <c r="J3017" t="str">
        <f t="shared" si="191"/>
        <v>OK</v>
      </c>
    </row>
    <row r="3018" spans="1:10" x14ac:dyDescent="0.2">
      <c r="A3018">
        <v>13017</v>
      </c>
      <c r="B3018" t="s">
        <v>5</v>
      </c>
      <c r="C3018" t="s">
        <v>9</v>
      </c>
      <c r="D3018" s="8">
        <v>7.79</v>
      </c>
      <c r="E3018">
        <v>9</v>
      </c>
      <c r="F3018" t="str">
        <f t="shared" si="188"/>
        <v>Premium</v>
      </c>
      <c r="G3018" s="3" cm="1">
        <f t="array" ref="G3018">_xlfn.XLOOKUP(C3018 &amp; F3018,
         [1]unilever_price_limits!A:A &amp; [1]unilever_price_limits!B:B,
         [1]unilever_price_limits!C:C)</f>
        <v>60</v>
      </c>
      <c r="H3018" s="8">
        <f t="shared" si="189"/>
        <v>12.464</v>
      </c>
      <c r="I3018" s="6">
        <f t="shared" si="190"/>
        <v>60.000000000000007</v>
      </c>
      <c r="J3018" t="str">
        <f t="shared" si="191"/>
        <v>OK</v>
      </c>
    </row>
    <row r="3019" spans="1:10" x14ac:dyDescent="0.2">
      <c r="A3019">
        <v>13018</v>
      </c>
      <c r="B3019" t="s">
        <v>5</v>
      </c>
      <c r="C3019" t="s">
        <v>9</v>
      </c>
      <c r="D3019" s="8">
        <v>8.9700000000000006</v>
      </c>
      <c r="E3019">
        <v>10</v>
      </c>
      <c r="F3019" t="str">
        <f t="shared" si="188"/>
        <v>Premium</v>
      </c>
      <c r="G3019" s="3" cm="1">
        <f t="array" ref="G3019">_xlfn.XLOOKUP(C3019 &amp; F3019,
         [1]unilever_price_limits!A:A &amp; [1]unilever_price_limits!B:B,
         [1]unilever_price_limits!C:C)</f>
        <v>60</v>
      </c>
      <c r="H3019" s="8">
        <f t="shared" si="189"/>
        <v>14.352000000000002</v>
      </c>
      <c r="I3019" s="6">
        <f t="shared" si="190"/>
        <v>60.000000000000007</v>
      </c>
      <c r="J3019" t="str">
        <f t="shared" si="191"/>
        <v>OK</v>
      </c>
    </row>
    <row r="3020" spans="1:10" x14ac:dyDescent="0.2">
      <c r="A3020">
        <v>13019</v>
      </c>
      <c r="B3020" t="s">
        <v>7</v>
      </c>
      <c r="C3020" t="s">
        <v>9</v>
      </c>
      <c r="D3020" s="8">
        <v>13.84</v>
      </c>
      <c r="E3020">
        <v>6</v>
      </c>
      <c r="F3020" t="str">
        <f t="shared" si="188"/>
        <v>Standard</v>
      </c>
      <c r="G3020" s="3" cm="1">
        <f t="array" ref="G3020">_xlfn.XLOOKUP(C3020 &amp; F3020,
         [1]unilever_price_limits!A:A &amp; [1]unilever_price_limits!B:B,
         [1]unilever_price_limits!C:C)</f>
        <v>30</v>
      </c>
      <c r="H3020" s="8">
        <f t="shared" si="189"/>
        <v>17.992000000000001</v>
      </c>
      <c r="I3020" s="6">
        <f t="shared" si="190"/>
        <v>30.000000000000004</v>
      </c>
      <c r="J3020" t="str">
        <f t="shared" si="191"/>
        <v>OK</v>
      </c>
    </row>
    <row r="3021" spans="1:10" x14ac:dyDescent="0.2">
      <c r="A3021">
        <v>13020</v>
      </c>
      <c r="B3021" t="s">
        <v>5</v>
      </c>
      <c r="C3021" t="s">
        <v>6</v>
      </c>
      <c r="D3021" s="8">
        <v>1.21</v>
      </c>
      <c r="E3021">
        <v>2</v>
      </c>
      <c r="F3021" t="str">
        <f t="shared" si="188"/>
        <v>Value</v>
      </c>
      <c r="G3021" s="3" cm="1">
        <f t="array" ref="G3021">_xlfn.XLOOKUP(C3021 &amp; F3021,
         [1]unilever_price_limits!A:A &amp; [1]unilever_price_limits!B:B,
         [1]unilever_price_limits!C:C)</f>
        <v>12</v>
      </c>
      <c r="H3021" s="8">
        <f t="shared" si="189"/>
        <v>1.3552000000000002</v>
      </c>
      <c r="I3021" s="6">
        <f t="shared" si="190"/>
        <v>12.000000000000011</v>
      </c>
      <c r="J3021" t="str">
        <f t="shared" si="191"/>
        <v>OK</v>
      </c>
    </row>
    <row r="3022" spans="1:10" x14ac:dyDescent="0.2">
      <c r="A3022">
        <v>13021</v>
      </c>
      <c r="B3022" t="s">
        <v>10</v>
      </c>
      <c r="C3022" t="s">
        <v>11</v>
      </c>
      <c r="D3022" s="8">
        <v>8.82</v>
      </c>
      <c r="E3022">
        <v>2</v>
      </c>
      <c r="F3022" t="str">
        <f t="shared" si="188"/>
        <v>Value</v>
      </c>
      <c r="G3022" s="3" cm="1">
        <f t="array" ref="G3022">_xlfn.XLOOKUP(C3022 &amp; F3022,
         [1]unilever_price_limits!A:A &amp; [1]unilever_price_limits!B:B,
         [1]unilever_price_limits!C:C)</f>
        <v>10</v>
      </c>
      <c r="H3022" s="8">
        <f t="shared" si="189"/>
        <v>9.7020000000000017</v>
      </c>
      <c r="I3022" s="6">
        <f t="shared" si="190"/>
        <v>10.000000000000009</v>
      </c>
      <c r="J3022" t="str">
        <f t="shared" si="191"/>
        <v>OK</v>
      </c>
    </row>
    <row r="3023" spans="1:10" x14ac:dyDescent="0.2">
      <c r="A3023">
        <v>13022</v>
      </c>
      <c r="B3023" t="s">
        <v>10</v>
      </c>
      <c r="C3023" t="s">
        <v>9</v>
      </c>
      <c r="D3023" s="8">
        <v>12.88</v>
      </c>
      <c r="E3023">
        <v>4</v>
      </c>
      <c r="F3023" t="str">
        <f t="shared" si="188"/>
        <v>Standard</v>
      </c>
      <c r="G3023" s="3" cm="1">
        <f t="array" ref="G3023">_xlfn.XLOOKUP(C3023 &amp; F3023,
         [1]unilever_price_limits!A:A &amp; [1]unilever_price_limits!B:B,
         [1]unilever_price_limits!C:C)</f>
        <v>30</v>
      </c>
      <c r="H3023" s="8">
        <f t="shared" si="189"/>
        <v>16.744000000000003</v>
      </c>
      <c r="I3023" s="6">
        <f t="shared" si="190"/>
        <v>30.000000000000028</v>
      </c>
      <c r="J3023" t="str">
        <f t="shared" si="191"/>
        <v>OK</v>
      </c>
    </row>
    <row r="3024" spans="1:10" x14ac:dyDescent="0.2">
      <c r="A3024">
        <v>13023</v>
      </c>
      <c r="B3024" t="s">
        <v>10</v>
      </c>
      <c r="C3024" t="s">
        <v>9</v>
      </c>
      <c r="D3024" s="8">
        <v>4.01</v>
      </c>
      <c r="E3024">
        <v>9</v>
      </c>
      <c r="F3024" t="str">
        <f t="shared" si="188"/>
        <v>Premium</v>
      </c>
      <c r="G3024" s="3" cm="1">
        <f t="array" ref="G3024">_xlfn.XLOOKUP(C3024 &amp; F3024,
         [1]unilever_price_limits!A:A &amp; [1]unilever_price_limits!B:B,
         [1]unilever_price_limits!C:C)</f>
        <v>60</v>
      </c>
      <c r="H3024" s="8">
        <f t="shared" si="189"/>
        <v>6.4160000000000004</v>
      </c>
      <c r="I3024" s="6">
        <f t="shared" si="190"/>
        <v>60.000000000000007</v>
      </c>
      <c r="J3024" t="str">
        <f t="shared" si="191"/>
        <v>OK</v>
      </c>
    </row>
    <row r="3025" spans="1:10" x14ac:dyDescent="0.2">
      <c r="A3025">
        <v>13024</v>
      </c>
      <c r="B3025" t="s">
        <v>7</v>
      </c>
      <c r="C3025" t="s">
        <v>9</v>
      </c>
      <c r="D3025" s="8">
        <v>13.21</v>
      </c>
      <c r="E3025">
        <v>3</v>
      </c>
      <c r="F3025" t="str">
        <f t="shared" si="188"/>
        <v>Value</v>
      </c>
      <c r="G3025" s="3" cm="1">
        <f t="array" ref="G3025">_xlfn.XLOOKUP(C3025 &amp; F3025,
         [1]unilever_price_limits!A:A &amp; [1]unilever_price_limits!B:B,
         [1]unilever_price_limits!C:C)</f>
        <v>15</v>
      </c>
      <c r="H3025" s="8">
        <f t="shared" si="189"/>
        <v>15.1915</v>
      </c>
      <c r="I3025" s="6">
        <f t="shared" si="190"/>
        <v>14.999999999999991</v>
      </c>
      <c r="J3025" t="str">
        <f t="shared" si="191"/>
        <v>OK</v>
      </c>
    </row>
    <row r="3026" spans="1:10" x14ac:dyDescent="0.2">
      <c r="A3026">
        <v>13025</v>
      </c>
      <c r="B3026" t="s">
        <v>5</v>
      </c>
      <c r="C3026" t="s">
        <v>9</v>
      </c>
      <c r="D3026" s="8">
        <v>0.78</v>
      </c>
      <c r="E3026">
        <v>6</v>
      </c>
      <c r="F3026" t="str">
        <f t="shared" si="188"/>
        <v>Standard</v>
      </c>
      <c r="G3026" s="3" cm="1">
        <f t="array" ref="G3026">_xlfn.XLOOKUP(C3026 &amp; F3026,
         [1]unilever_price_limits!A:A &amp; [1]unilever_price_limits!B:B,
         [1]unilever_price_limits!C:C)</f>
        <v>30</v>
      </c>
      <c r="H3026" s="8">
        <f t="shared" si="189"/>
        <v>1.014</v>
      </c>
      <c r="I3026" s="6">
        <f t="shared" si="190"/>
        <v>30.000000000000004</v>
      </c>
      <c r="J3026" t="str">
        <f t="shared" si="191"/>
        <v>OK</v>
      </c>
    </row>
    <row r="3027" spans="1:10" x14ac:dyDescent="0.2">
      <c r="A3027">
        <v>13026</v>
      </c>
      <c r="B3027" t="s">
        <v>5</v>
      </c>
      <c r="C3027" t="s">
        <v>11</v>
      </c>
      <c r="D3027" s="8">
        <v>11.12</v>
      </c>
      <c r="E3027">
        <v>2</v>
      </c>
      <c r="F3027" t="str">
        <f t="shared" si="188"/>
        <v>Value</v>
      </c>
      <c r="G3027" s="3" cm="1">
        <f t="array" ref="G3027">_xlfn.XLOOKUP(C3027 &amp; F3027,
         [1]unilever_price_limits!A:A &amp; [1]unilever_price_limits!B:B,
         [1]unilever_price_limits!C:C)</f>
        <v>10</v>
      </c>
      <c r="H3027" s="8">
        <f t="shared" si="189"/>
        <v>12.231999999999999</v>
      </c>
      <c r="I3027" s="6">
        <f t="shared" si="190"/>
        <v>10.000000000000009</v>
      </c>
      <c r="J3027" t="str">
        <f t="shared" si="191"/>
        <v>OK</v>
      </c>
    </row>
    <row r="3028" spans="1:10" x14ac:dyDescent="0.2">
      <c r="A3028">
        <v>13027</v>
      </c>
      <c r="B3028" t="s">
        <v>8</v>
      </c>
      <c r="C3028" t="s">
        <v>6</v>
      </c>
      <c r="D3028" s="8">
        <v>14.03</v>
      </c>
      <c r="E3028">
        <v>1</v>
      </c>
      <c r="F3028" t="str">
        <f t="shared" si="188"/>
        <v>Value</v>
      </c>
      <c r="G3028" s="3" cm="1">
        <f t="array" ref="G3028">_xlfn.XLOOKUP(C3028 &amp; F3028,
         [1]unilever_price_limits!A:A &amp; [1]unilever_price_limits!B:B,
         [1]unilever_price_limits!C:C)</f>
        <v>12</v>
      </c>
      <c r="H3028" s="8">
        <f t="shared" si="189"/>
        <v>15.713600000000001</v>
      </c>
      <c r="I3028" s="6">
        <f t="shared" si="190"/>
        <v>12.000000000000011</v>
      </c>
      <c r="J3028" t="str">
        <f t="shared" si="191"/>
        <v>OK</v>
      </c>
    </row>
    <row r="3029" spans="1:10" x14ac:dyDescent="0.2">
      <c r="A3029">
        <v>13028</v>
      </c>
      <c r="B3029" t="s">
        <v>8</v>
      </c>
      <c r="C3029" t="s">
        <v>11</v>
      </c>
      <c r="D3029" s="8">
        <v>10.029999999999999</v>
      </c>
      <c r="E3029">
        <v>5</v>
      </c>
      <c r="F3029" t="str">
        <f t="shared" si="188"/>
        <v>Standard</v>
      </c>
      <c r="G3029" s="3" cm="1">
        <f t="array" ref="G3029">_xlfn.XLOOKUP(C3029 &amp; F3029,
         [1]unilever_price_limits!A:A &amp; [1]unilever_price_limits!B:B,
         [1]unilever_price_limits!C:C)</f>
        <v>25</v>
      </c>
      <c r="H3029" s="8">
        <f t="shared" si="189"/>
        <v>12.5375</v>
      </c>
      <c r="I3029" s="6">
        <f t="shared" si="190"/>
        <v>25</v>
      </c>
      <c r="J3029" t="str">
        <f t="shared" si="191"/>
        <v>OK</v>
      </c>
    </row>
    <row r="3030" spans="1:10" x14ac:dyDescent="0.2">
      <c r="A3030">
        <v>13029</v>
      </c>
      <c r="B3030" t="s">
        <v>5</v>
      </c>
      <c r="C3030" t="s">
        <v>9</v>
      </c>
      <c r="D3030" s="8">
        <v>6.87</v>
      </c>
      <c r="E3030">
        <v>8</v>
      </c>
      <c r="F3030" t="str">
        <f t="shared" si="188"/>
        <v>Premium</v>
      </c>
      <c r="G3030" s="3" cm="1">
        <f t="array" ref="G3030">_xlfn.XLOOKUP(C3030 &amp; F3030,
         [1]unilever_price_limits!A:A &amp; [1]unilever_price_limits!B:B,
         [1]unilever_price_limits!C:C)</f>
        <v>60</v>
      </c>
      <c r="H3030" s="8">
        <f t="shared" si="189"/>
        <v>10.992000000000001</v>
      </c>
      <c r="I3030" s="6">
        <f t="shared" si="190"/>
        <v>60.000000000000007</v>
      </c>
      <c r="J3030" t="str">
        <f t="shared" si="191"/>
        <v>OK</v>
      </c>
    </row>
    <row r="3031" spans="1:10" x14ac:dyDescent="0.2">
      <c r="A3031">
        <v>13030</v>
      </c>
      <c r="B3031" t="s">
        <v>5</v>
      </c>
      <c r="C3031" t="s">
        <v>11</v>
      </c>
      <c r="D3031" s="8">
        <v>1.1499999999999999</v>
      </c>
      <c r="E3031">
        <v>10</v>
      </c>
      <c r="F3031" t="str">
        <f t="shared" si="188"/>
        <v>Premium</v>
      </c>
      <c r="G3031" s="3" cm="1">
        <f t="array" ref="G3031">_xlfn.XLOOKUP(C3031 &amp; F3031,
         [1]unilever_price_limits!A:A &amp; [1]unilever_price_limits!B:B,
         [1]unilever_price_limits!C:C)</f>
        <v>50</v>
      </c>
      <c r="H3031" s="8">
        <f t="shared" si="189"/>
        <v>1.7249999999999999</v>
      </c>
      <c r="I3031" s="6">
        <f t="shared" si="190"/>
        <v>50</v>
      </c>
      <c r="J3031" t="str">
        <f t="shared" si="191"/>
        <v>OK</v>
      </c>
    </row>
    <row r="3032" spans="1:10" x14ac:dyDescent="0.2">
      <c r="A3032">
        <v>13031</v>
      </c>
      <c r="B3032" t="s">
        <v>5</v>
      </c>
      <c r="C3032" t="s">
        <v>9</v>
      </c>
      <c r="D3032" s="8">
        <v>13.84</v>
      </c>
      <c r="E3032">
        <v>10</v>
      </c>
      <c r="F3032" t="str">
        <f t="shared" si="188"/>
        <v>Premium</v>
      </c>
      <c r="G3032" s="3" cm="1">
        <f t="array" ref="G3032">_xlfn.XLOOKUP(C3032 &amp; F3032,
         [1]unilever_price_limits!A:A &amp; [1]unilever_price_limits!B:B,
         [1]unilever_price_limits!C:C)</f>
        <v>60</v>
      </c>
      <c r="H3032" s="8">
        <f t="shared" si="189"/>
        <v>22.144000000000002</v>
      </c>
      <c r="I3032" s="6">
        <f t="shared" si="190"/>
        <v>60.000000000000007</v>
      </c>
      <c r="J3032" t="str">
        <f t="shared" si="191"/>
        <v>OK</v>
      </c>
    </row>
    <row r="3033" spans="1:10" x14ac:dyDescent="0.2">
      <c r="A3033">
        <v>13032</v>
      </c>
      <c r="B3033" t="s">
        <v>7</v>
      </c>
      <c r="C3033" t="s">
        <v>6</v>
      </c>
      <c r="D3033" s="8">
        <v>7.32</v>
      </c>
      <c r="E3033">
        <v>2</v>
      </c>
      <c r="F3033" t="str">
        <f t="shared" si="188"/>
        <v>Value</v>
      </c>
      <c r="G3033" s="3" cm="1">
        <f t="array" ref="G3033">_xlfn.XLOOKUP(C3033 &amp; F3033,
         [1]unilever_price_limits!A:A &amp; [1]unilever_price_limits!B:B,
         [1]unilever_price_limits!C:C)</f>
        <v>12</v>
      </c>
      <c r="H3033" s="8">
        <f t="shared" si="189"/>
        <v>8.1984000000000012</v>
      </c>
      <c r="I3033" s="6">
        <f t="shared" si="190"/>
        <v>12.000000000000011</v>
      </c>
      <c r="J3033" t="str">
        <f t="shared" si="191"/>
        <v>OK</v>
      </c>
    </row>
    <row r="3034" spans="1:10" x14ac:dyDescent="0.2">
      <c r="A3034">
        <v>13033</v>
      </c>
      <c r="B3034" t="s">
        <v>5</v>
      </c>
      <c r="C3034" t="s">
        <v>6</v>
      </c>
      <c r="D3034" s="8">
        <v>0.92</v>
      </c>
      <c r="E3034">
        <v>10</v>
      </c>
      <c r="F3034" t="str">
        <f t="shared" si="188"/>
        <v>Premium</v>
      </c>
      <c r="G3034" s="3" cm="1">
        <f t="array" ref="G3034">_xlfn.XLOOKUP(C3034 &amp; F3034,
         [1]unilever_price_limits!A:A &amp; [1]unilever_price_limits!B:B,
         [1]unilever_price_limits!C:C)</f>
        <v>55</v>
      </c>
      <c r="H3034" s="8">
        <f t="shared" si="189"/>
        <v>1.4260000000000002</v>
      </c>
      <c r="I3034" s="6">
        <f t="shared" si="190"/>
        <v>55.000000000000007</v>
      </c>
      <c r="J3034" t="str">
        <f t="shared" si="191"/>
        <v>OK</v>
      </c>
    </row>
    <row r="3035" spans="1:10" x14ac:dyDescent="0.2">
      <c r="A3035">
        <v>13034</v>
      </c>
      <c r="B3035" t="s">
        <v>8</v>
      </c>
      <c r="C3035" t="s">
        <v>6</v>
      </c>
      <c r="D3035" s="8">
        <v>10.5</v>
      </c>
      <c r="E3035">
        <v>9</v>
      </c>
      <c r="F3035" t="str">
        <f t="shared" si="188"/>
        <v>Premium</v>
      </c>
      <c r="G3035" s="3" cm="1">
        <f t="array" ref="G3035">_xlfn.XLOOKUP(C3035 &amp; F3035,
         [1]unilever_price_limits!A:A &amp; [1]unilever_price_limits!B:B,
         [1]unilever_price_limits!C:C)</f>
        <v>55</v>
      </c>
      <c r="H3035" s="8">
        <f t="shared" si="189"/>
        <v>16.275000000000002</v>
      </c>
      <c r="I3035" s="6">
        <f t="shared" si="190"/>
        <v>55.000000000000028</v>
      </c>
      <c r="J3035" t="str">
        <f t="shared" si="191"/>
        <v>OK</v>
      </c>
    </row>
    <row r="3036" spans="1:10" x14ac:dyDescent="0.2">
      <c r="A3036">
        <v>13035</v>
      </c>
      <c r="B3036" t="s">
        <v>7</v>
      </c>
      <c r="C3036" t="s">
        <v>9</v>
      </c>
      <c r="D3036" s="8">
        <v>7.49</v>
      </c>
      <c r="E3036">
        <v>8</v>
      </c>
      <c r="F3036" t="str">
        <f t="shared" si="188"/>
        <v>Premium</v>
      </c>
      <c r="G3036" s="3" cm="1">
        <f t="array" ref="G3036">_xlfn.XLOOKUP(C3036 &amp; F3036,
         [1]unilever_price_limits!A:A &amp; [1]unilever_price_limits!B:B,
         [1]unilever_price_limits!C:C)</f>
        <v>60</v>
      </c>
      <c r="H3036" s="8">
        <f t="shared" si="189"/>
        <v>11.984000000000002</v>
      </c>
      <c r="I3036" s="6">
        <f t="shared" si="190"/>
        <v>60.000000000000007</v>
      </c>
      <c r="J3036" t="str">
        <f t="shared" si="191"/>
        <v>OK</v>
      </c>
    </row>
    <row r="3037" spans="1:10" x14ac:dyDescent="0.2">
      <c r="A3037">
        <v>13036</v>
      </c>
      <c r="B3037" t="s">
        <v>5</v>
      </c>
      <c r="C3037" t="s">
        <v>11</v>
      </c>
      <c r="D3037" s="8">
        <v>2.2999999999999998</v>
      </c>
      <c r="E3037">
        <v>3</v>
      </c>
      <c r="F3037" t="str">
        <f t="shared" si="188"/>
        <v>Value</v>
      </c>
      <c r="G3037" s="3" cm="1">
        <f t="array" ref="G3037">_xlfn.XLOOKUP(C3037 &amp; F3037,
         [1]unilever_price_limits!A:A &amp; [1]unilever_price_limits!B:B,
         [1]unilever_price_limits!C:C)</f>
        <v>10</v>
      </c>
      <c r="H3037" s="8">
        <f t="shared" si="189"/>
        <v>2.5299999999999998</v>
      </c>
      <c r="I3037" s="6">
        <f t="shared" si="190"/>
        <v>10.000000000000009</v>
      </c>
      <c r="J3037" t="str">
        <f t="shared" si="191"/>
        <v>OK</v>
      </c>
    </row>
    <row r="3038" spans="1:10" x14ac:dyDescent="0.2">
      <c r="A3038">
        <v>13037</v>
      </c>
      <c r="B3038" t="s">
        <v>8</v>
      </c>
      <c r="C3038" t="s">
        <v>6</v>
      </c>
      <c r="D3038" s="8">
        <v>3.61</v>
      </c>
      <c r="E3038">
        <v>1</v>
      </c>
      <c r="F3038" t="str">
        <f t="shared" si="188"/>
        <v>Value</v>
      </c>
      <c r="G3038" s="3" cm="1">
        <f t="array" ref="G3038">_xlfn.XLOOKUP(C3038 &amp; F3038,
         [1]unilever_price_limits!A:A &amp; [1]unilever_price_limits!B:B,
         [1]unilever_price_limits!C:C)</f>
        <v>12</v>
      </c>
      <c r="H3038" s="8">
        <f t="shared" si="189"/>
        <v>4.0432000000000006</v>
      </c>
      <c r="I3038" s="6">
        <f t="shared" si="190"/>
        <v>12.000000000000011</v>
      </c>
      <c r="J3038" t="str">
        <f t="shared" si="191"/>
        <v>OK</v>
      </c>
    </row>
    <row r="3039" spans="1:10" x14ac:dyDescent="0.2">
      <c r="A3039">
        <v>13038</v>
      </c>
      <c r="B3039" t="s">
        <v>7</v>
      </c>
      <c r="C3039" t="s">
        <v>9</v>
      </c>
      <c r="D3039" s="8">
        <v>1.44</v>
      </c>
      <c r="E3039">
        <v>4</v>
      </c>
      <c r="F3039" t="str">
        <f t="shared" si="188"/>
        <v>Standard</v>
      </c>
      <c r="G3039" s="3" cm="1">
        <f t="array" ref="G3039">_xlfn.XLOOKUP(C3039 &amp; F3039,
         [1]unilever_price_limits!A:A &amp; [1]unilever_price_limits!B:B,
         [1]unilever_price_limits!C:C)</f>
        <v>30</v>
      </c>
      <c r="H3039" s="8">
        <f t="shared" si="189"/>
        <v>1.8719999999999999</v>
      </c>
      <c r="I3039" s="6">
        <f t="shared" si="190"/>
        <v>30.000000000000004</v>
      </c>
      <c r="J3039" t="str">
        <f t="shared" si="191"/>
        <v>OK</v>
      </c>
    </row>
    <row r="3040" spans="1:10" x14ac:dyDescent="0.2">
      <c r="A3040">
        <v>13039</v>
      </c>
      <c r="B3040" t="s">
        <v>5</v>
      </c>
      <c r="C3040" t="s">
        <v>9</v>
      </c>
      <c r="D3040" s="8">
        <v>8.83</v>
      </c>
      <c r="E3040">
        <v>8</v>
      </c>
      <c r="F3040" t="str">
        <f t="shared" si="188"/>
        <v>Premium</v>
      </c>
      <c r="G3040" s="3" cm="1">
        <f t="array" ref="G3040">_xlfn.XLOOKUP(C3040 &amp; F3040,
         [1]unilever_price_limits!A:A &amp; [1]unilever_price_limits!B:B,
         [1]unilever_price_limits!C:C)</f>
        <v>60</v>
      </c>
      <c r="H3040" s="8">
        <f t="shared" si="189"/>
        <v>14.128</v>
      </c>
      <c r="I3040" s="6">
        <f t="shared" si="190"/>
        <v>60.000000000000007</v>
      </c>
      <c r="J3040" t="str">
        <f t="shared" si="191"/>
        <v>OK</v>
      </c>
    </row>
    <row r="3041" spans="1:10" x14ac:dyDescent="0.2">
      <c r="A3041">
        <v>13040</v>
      </c>
      <c r="B3041" t="s">
        <v>5</v>
      </c>
      <c r="C3041" t="s">
        <v>11</v>
      </c>
      <c r="D3041" s="8">
        <v>9.52</v>
      </c>
      <c r="E3041">
        <v>3</v>
      </c>
      <c r="F3041" t="str">
        <f t="shared" si="188"/>
        <v>Value</v>
      </c>
      <c r="G3041" s="3" cm="1">
        <f t="array" ref="G3041">_xlfn.XLOOKUP(C3041 &amp; F3041,
         [1]unilever_price_limits!A:A &amp; [1]unilever_price_limits!B:B,
         [1]unilever_price_limits!C:C)</f>
        <v>10</v>
      </c>
      <c r="H3041" s="8">
        <f t="shared" si="189"/>
        <v>10.472</v>
      </c>
      <c r="I3041" s="6">
        <f t="shared" si="190"/>
        <v>10.000000000000009</v>
      </c>
      <c r="J3041" t="str">
        <f t="shared" si="191"/>
        <v>OK</v>
      </c>
    </row>
    <row r="3042" spans="1:10" x14ac:dyDescent="0.2">
      <c r="A3042">
        <v>13041</v>
      </c>
      <c r="B3042" t="s">
        <v>5</v>
      </c>
      <c r="C3042" t="s">
        <v>6</v>
      </c>
      <c r="D3042" s="8">
        <v>7.83</v>
      </c>
      <c r="E3042">
        <v>10</v>
      </c>
      <c r="F3042" t="str">
        <f t="shared" si="188"/>
        <v>Premium</v>
      </c>
      <c r="G3042" s="3" cm="1">
        <f t="array" ref="G3042">_xlfn.XLOOKUP(C3042 &amp; F3042,
         [1]unilever_price_limits!A:A &amp; [1]unilever_price_limits!B:B,
         [1]unilever_price_limits!C:C)</f>
        <v>55</v>
      </c>
      <c r="H3042" s="8">
        <f t="shared" si="189"/>
        <v>12.1365</v>
      </c>
      <c r="I3042" s="6">
        <f t="shared" si="190"/>
        <v>55.000000000000007</v>
      </c>
      <c r="J3042" t="str">
        <f t="shared" si="191"/>
        <v>OK</v>
      </c>
    </row>
    <row r="3043" spans="1:10" x14ac:dyDescent="0.2">
      <c r="A3043">
        <v>13042</v>
      </c>
      <c r="B3043" t="s">
        <v>7</v>
      </c>
      <c r="C3043" t="s">
        <v>9</v>
      </c>
      <c r="D3043" s="8">
        <v>12.35</v>
      </c>
      <c r="E3043">
        <v>2</v>
      </c>
      <c r="F3043" t="str">
        <f t="shared" si="188"/>
        <v>Value</v>
      </c>
      <c r="G3043" s="3" cm="1">
        <f t="array" ref="G3043">_xlfn.XLOOKUP(C3043 &amp; F3043,
         [1]unilever_price_limits!A:A &amp; [1]unilever_price_limits!B:B,
         [1]unilever_price_limits!C:C)</f>
        <v>15</v>
      </c>
      <c r="H3043" s="8">
        <f t="shared" si="189"/>
        <v>14.202499999999999</v>
      </c>
      <c r="I3043" s="6">
        <f t="shared" si="190"/>
        <v>14.999999999999991</v>
      </c>
      <c r="J3043" t="str">
        <f t="shared" si="191"/>
        <v>OK</v>
      </c>
    </row>
    <row r="3044" spans="1:10" x14ac:dyDescent="0.2">
      <c r="A3044">
        <v>13043</v>
      </c>
      <c r="B3044" t="s">
        <v>8</v>
      </c>
      <c r="C3044" t="s">
        <v>11</v>
      </c>
      <c r="D3044" s="8">
        <v>12.98</v>
      </c>
      <c r="E3044">
        <v>7</v>
      </c>
      <c r="F3044" t="str">
        <f t="shared" si="188"/>
        <v>Standard</v>
      </c>
      <c r="G3044" s="3" cm="1">
        <f t="array" ref="G3044">_xlfn.XLOOKUP(C3044 &amp; F3044,
         [1]unilever_price_limits!A:A &amp; [1]unilever_price_limits!B:B,
         [1]unilever_price_limits!C:C)</f>
        <v>25</v>
      </c>
      <c r="H3044" s="8">
        <f t="shared" si="189"/>
        <v>16.225000000000001</v>
      </c>
      <c r="I3044" s="6">
        <f t="shared" si="190"/>
        <v>25</v>
      </c>
      <c r="J3044" t="str">
        <f t="shared" si="191"/>
        <v>OK</v>
      </c>
    </row>
    <row r="3045" spans="1:10" x14ac:dyDescent="0.2">
      <c r="A3045">
        <v>13044</v>
      </c>
      <c r="B3045" t="s">
        <v>8</v>
      </c>
      <c r="C3045" t="s">
        <v>6</v>
      </c>
      <c r="D3045" s="8">
        <v>9.43</v>
      </c>
      <c r="E3045">
        <v>4</v>
      </c>
      <c r="F3045" t="str">
        <f t="shared" si="188"/>
        <v>Standard</v>
      </c>
      <c r="G3045" s="3" cm="1">
        <f t="array" ref="G3045">_xlfn.XLOOKUP(C3045 &amp; F3045,
         [1]unilever_price_limits!A:A &amp; [1]unilever_price_limits!B:B,
         [1]unilever_price_limits!C:C)</f>
        <v>28</v>
      </c>
      <c r="H3045" s="8">
        <f t="shared" si="189"/>
        <v>12.070399999999999</v>
      </c>
      <c r="I3045" s="6">
        <f t="shared" si="190"/>
        <v>28.000000000000004</v>
      </c>
      <c r="J3045" t="str">
        <f t="shared" si="191"/>
        <v>OK</v>
      </c>
    </row>
    <row r="3046" spans="1:10" x14ac:dyDescent="0.2">
      <c r="A3046">
        <v>13045</v>
      </c>
      <c r="B3046" t="s">
        <v>10</v>
      </c>
      <c r="C3046" t="s">
        <v>11</v>
      </c>
      <c r="D3046" s="8">
        <v>0.68</v>
      </c>
      <c r="E3046">
        <v>6</v>
      </c>
      <c r="F3046" t="str">
        <f t="shared" si="188"/>
        <v>Standard</v>
      </c>
      <c r="G3046" s="3" cm="1">
        <f t="array" ref="G3046">_xlfn.XLOOKUP(C3046 &amp; F3046,
         [1]unilever_price_limits!A:A &amp; [1]unilever_price_limits!B:B,
         [1]unilever_price_limits!C:C)</f>
        <v>25</v>
      </c>
      <c r="H3046" s="8">
        <f t="shared" si="189"/>
        <v>0.85000000000000009</v>
      </c>
      <c r="I3046" s="6">
        <f t="shared" si="190"/>
        <v>25</v>
      </c>
      <c r="J3046" t="str">
        <f t="shared" si="191"/>
        <v>OK</v>
      </c>
    </row>
    <row r="3047" spans="1:10" x14ac:dyDescent="0.2">
      <c r="A3047">
        <v>13046</v>
      </c>
      <c r="B3047" t="s">
        <v>5</v>
      </c>
      <c r="C3047" t="s">
        <v>11</v>
      </c>
      <c r="D3047" s="8">
        <v>10.58</v>
      </c>
      <c r="E3047">
        <v>5</v>
      </c>
      <c r="F3047" t="str">
        <f t="shared" si="188"/>
        <v>Standard</v>
      </c>
      <c r="G3047" s="3" cm="1">
        <f t="array" ref="G3047">_xlfn.XLOOKUP(C3047 &amp; F3047,
         [1]unilever_price_limits!A:A &amp; [1]unilever_price_limits!B:B,
         [1]unilever_price_limits!C:C)</f>
        <v>25</v>
      </c>
      <c r="H3047" s="8">
        <f t="shared" si="189"/>
        <v>13.225</v>
      </c>
      <c r="I3047" s="6">
        <f t="shared" si="190"/>
        <v>25</v>
      </c>
      <c r="J3047" t="str">
        <f t="shared" si="191"/>
        <v>OK</v>
      </c>
    </row>
    <row r="3048" spans="1:10" x14ac:dyDescent="0.2">
      <c r="A3048">
        <v>13047</v>
      </c>
      <c r="B3048" t="s">
        <v>10</v>
      </c>
      <c r="C3048" t="s">
        <v>9</v>
      </c>
      <c r="D3048" s="8">
        <v>6.56</v>
      </c>
      <c r="E3048">
        <v>2</v>
      </c>
      <c r="F3048" t="str">
        <f t="shared" si="188"/>
        <v>Value</v>
      </c>
      <c r="G3048" s="3" cm="1">
        <f t="array" ref="G3048">_xlfn.XLOOKUP(C3048 &amp; F3048,
         [1]unilever_price_limits!A:A &amp; [1]unilever_price_limits!B:B,
         [1]unilever_price_limits!C:C)</f>
        <v>15</v>
      </c>
      <c r="H3048" s="8">
        <f t="shared" si="189"/>
        <v>7.5439999999999987</v>
      </c>
      <c r="I3048" s="6">
        <f t="shared" si="190"/>
        <v>14.999999999999991</v>
      </c>
      <c r="J3048" t="str">
        <f t="shared" si="191"/>
        <v>OK</v>
      </c>
    </row>
    <row r="3049" spans="1:10" x14ac:dyDescent="0.2">
      <c r="A3049">
        <v>13048</v>
      </c>
      <c r="B3049" t="s">
        <v>10</v>
      </c>
      <c r="C3049" t="s">
        <v>9</v>
      </c>
      <c r="D3049" s="8">
        <v>8.6999999999999993</v>
      </c>
      <c r="E3049">
        <v>10</v>
      </c>
      <c r="F3049" t="str">
        <f t="shared" si="188"/>
        <v>Premium</v>
      </c>
      <c r="G3049" s="3" cm="1">
        <f t="array" ref="G3049">_xlfn.XLOOKUP(C3049 &amp; F3049,
         [1]unilever_price_limits!A:A &amp; [1]unilever_price_limits!B:B,
         [1]unilever_price_limits!C:C)</f>
        <v>60</v>
      </c>
      <c r="H3049" s="8">
        <f t="shared" si="189"/>
        <v>13.92</v>
      </c>
      <c r="I3049" s="6">
        <f t="shared" si="190"/>
        <v>60.000000000000007</v>
      </c>
      <c r="J3049" t="str">
        <f t="shared" si="191"/>
        <v>OK</v>
      </c>
    </row>
    <row r="3050" spans="1:10" x14ac:dyDescent="0.2">
      <c r="A3050">
        <v>13049</v>
      </c>
      <c r="B3050" t="s">
        <v>8</v>
      </c>
      <c r="C3050" t="s">
        <v>9</v>
      </c>
      <c r="D3050" s="8">
        <v>9.91</v>
      </c>
      <c r="E3050">
        <v>2</v>
      </c>
      <c r="F3050" t="str">
        <f t="shared" si="188"/>
        <v>Value</v>
      </c>
      <c r="G3050" s="3" cm="1">
        <f t="array" ref="G3050">_xlfn.XLOOKUP(C3050 &amp; F3050,
         [1]unilever_price_limits!A:A &amp; [1]unilever_price_limits!B:B,
         [1]unilever_price_limits!C:C)</f>
        <v>15</v>
      </c>
      <c r="H3050" s="8">
        <f t="shared" si="189"/>
        <v>11.3965</v>
      </c>
      <c r="I3050" s="6">
        <f t="shared" si="190"/>
        <v>14.999999999999991</v>
      </c>
      <c r="J3050" t="str">
        <f t="shared" si="191"/>
        <v>OK</v>
      </c>
    </row>
    <row r="3051" spans="1:10" x14ac:dyDescent="0.2">
      <c r="A3051">
        <v>13050</v>
      </c>
      <c r="B3051" t="s">
        <v>7</v>
      </c>
      <c r="C3051" t="s">
        <v>11</v>
      </c>
      <c r="D3051" s="8">
        <v>5.58</v>
      </c>
      <c r="E3051">
        <v>9</v>
      </c>
      <c r="F3051" t="str">
        <f t="shared" si="188"/>
        <v>Premium</v>
      </c>
      <c r="G3051" s="3" cm="1">
        <f t="array" ref="G3051">_xlfn.XLOOKUP(C3051 &amp; F3051,
         [1]unilever_price_limits!A:A &amp; [1]unilever_price_limits!B:B,
         [1]unilever_price_limits!C:C)</f>
        <v>50</v>
      </c>
      <c r="H3051" s="8">
        <f t="shared" si="189"/>
        <v>8.370000000000001</v>
      </c>
      <c r="I3051" s="6">
        <f t="shared" si="190"/>
        <v>50.000000000000021</v>
      </c>
      <c r="J3051" t="str">
        <f t="shared" si="191"/>
        <v>OK</v>
      </c>
    </row>
    <row r="3052" spans="1:10" x14ac:dyDescent="0.2">
      <c r="A3052">
        <v>13051</v>
      </c>
      <c r="B3052" t="s">
        <v>7</v>
      </c>
      <c r="C3052" t="s">
        <v>9</v>
      </c>
      <c r="D3052" s="8">
        <v>13.8</v>
      </c>
      <c r="E3052">
        <v>10</v>
      </c>
      <c r="F3052" t="str">
        <f t="shared" si="188"/>
        <v>Premium</v>
      </c>
      <c r="G3052" s="3" cm="1">
        <f t="array" ref="G3052">_xlfn.XLOOKUP(C3052 &amp; F3052,
         [1]unilever_price_limits!A:A &amp; [1]unilever_price_limits!B:B,
         [1]unilever_price_limits!C:C)</f>
        <v>60</v>
      </c>
      <c r="H3052" s="8">
        <f t="shared" si="189"/>
        <v>22.080000000000002</v>
      </c>
      <c r="I3052" s="6">
        <f t="shared" si="190"/>
        <v>60.000000000000007</v>
      </c>
      <c r="J3052" t="str">
        <f t="shared" si="191"/>
        <v>OK</v>
      </c>
    </row>
    <row r="3053" spans="1:10" x14ac:dyDescent="0.2">
      <c r="A3053">
        <v>13052</v>
      </c>
      <c r="B3053" t="s">
        <v>8</v>
      </c>
      <c r="C3053" t="s">
        <v>11</v>
      </c>
      <c r="D3053" s="8">
        <v>2.44</v>
      </c>
      <c r="E3053">
        <v>2</v>
      </c>
      <c r="F3053" t="str">
        <f t="shared" si="188"/>
        <v>Value</v>
      </c>
      <c r="G3053" s="3" cm="1">
        <f t="array" ref="G3053">_xlfn.XLOOKUP(C3053 &amp; F3053,
         [1]unilever_price_limits!A:A &amp; [1]unilever_price_limits!B:B,
         [1]unilever_price_limits!C:C)</f>
        <v>10</v>
      </c>
      <c r="H3053" s="8">
        <f t="shared" si="189"/>
        <v>2.6840000000000002</v>
      </c>
      <c r="I3053" s="6">
        <f t="shared" si="190"/>
        <v>10.000000000000009</v>
      </c>
      <c r="J3053" t="str">
        <f t="shared" si="191"/>
        <v>OK</v>
      </c>
    </row>
    <row r="3054" spans="1:10" x14ac:dyDescent="0.2">
      <c r="A3054">
        <v>13053</v>
      </c>
      <c r="B3054" t="s">
        <v>7</v>
      </c>
      <c r="C3054" t="s">
        <v>11</v>
      </c>
      <c r="D3054" s="8">
        <v>10.24</v>
      </c>
      <c r="E3054">
        <v>8</v>
      </c>
      <c r="F3054" t="str">
        <f t="shared" si="188"/>
        <v>Premium</v>
      </c>
      <c r="G3054" s="3" cm="1">
        <f t="array" ref="G3054">_xlfn.XLOOKUP(C3054 &amp; F3054,
         [1]unilever_price_limits!A:A &amp; [1]unilever_price_limits!B:B,
         [1]unilever_price_limits!C:C)</f>
        <v>50</v>
      </c>
      <c r="H3054" s="8">
        <f t="shared" si="189"/>
        <v>15.36</v>
      </c>
      <c r="I3054" s="6">
        <f t="shared" si="190"/>
        <v>50</v>
      </c>
      <c r="J3054" t="str">
        <f t="shared" si="191"/>
        <v>OK</v>
      </c>
    </row>
    <row r="3055" spans="1:10" x14ac:dyDescent="0.2">
      <c r="A3055">
        <v>13054</v>
      </c>
      <c r="B3055" t="s">
        <v>10</v>
      </c>
      <c r="C3055" t="s">
        <v>9</v>
      </c>
      <c r="D3055" s="8">
        <v>0.56000000000000005</v>
      </c>
      <c r="E3055">
        <v>8</v>
      </c>
      <c r="F3055" t="str">
        <f t="shared" si="188"/>
        <v>Premium</v>
      </c>
      <c r="G3055" s="3" cm="1">
        <f t="array" ref="G3055">_xlfn.XLOOKUP(C3055 &amp; F3055,
         [1]unilever_price_limits!A:A &amp; [1]unilever_price_limits!B:B,
         [1]unilever_price_limits!C:C)</f>
        <v>60</v>
      </c>
      <c r="H3055" s="8">
        <f t="shared" si="189"/>
        <v>0.89600000000000013</v>
      </c>
      <c r="I3055" s="6">
        <f t="shared" si="190"/>
        <v>60.000000000000007</v>
      </c>
      <c r="J3055" t="str">
        <f t="shared" si="191"/>
        <v>OK</v>
      </c>
    </row>
    <row r="3056" spans="1:10" x14ac:dyDescent="0.2">
      <c r="A3056">
        <v>13055</v>
      </c>
      <c r="B3056" t="s">
        <v>5</v>
      </c>
      <c r="C3056" t="s">
        <v>6</v>
      </c>
      <c r="D3056" s="8">
        <v>13.91</v>
      </c>
      <c r="E3056">
        <v>1</v>
      </c>
      <c r="F3056" t="str">
        <f t="shared" si="188"/>
        <v>Value</v>
      </c>
      <c r="G3056" s="3" cm="1">
        <f t="array" ref="G3056">_xlfn.XLOOKUP(C3056 &amp; F3056,
         [1]unilever_price_limits!A:A &amp; [1]unilever_price_limits!B:B,
         [1]unilever_price_limits!C:C)</f>
        <v>12</v>
      </c>
      <c r="H3056" s="8">
        <f t="shared" si="189"/>
        <v>15.579200000000002</v>
      </c>
      <c r="I3056" s="6">
        <f t="shared" si="190"/>
        <v>12.000000000000011</v>
      </c>
      <c r="J3056" t="str">
        <f t="shared" si="191"/>
        <v>OK</v>
      </c>
    </row>
    <row r="3057" spans="1:10" x14ac:dyDescent="0.2">
      <c r="A3057">
        <v>13056</v>
      </c>
      <c r="B3057" t="s">
        <v>8</v>
      </c>
      <c r="C3057" t="s">
        <v>6</v>
      </c>
      <c r="D3057" s="8">
        <v>2.13</v>
      </c>
      <c r="E3057">
        <v>1</v>
      </c>
      <c r="F3057" t="str">
        <f t="shared" si="188"/>
        <v>Value</v>
      </c>
      <c r="G3057" s="3" cm="1">
        <f t="array" ref="G3057">_xlfn.XLOOKUP(C3057 &amp; F3057,
         [1]unilever_price_limits!A:A &amp; [1]unilever_price_limits!B:B,
         [1]unilever_price_limits!C:C)</f>
        <v>12</v>
      </c>
      <c r="H3057" s="8">
        <f t="shared" si="189"/>
        <v>2.3856000000000002</v>
      </c>
      <c r="I3057" s="6">
        <f t="shared" si="190"/>
        <v>12.000000000000011</v>
      </c>
      <c r="J3057" t="str">
        <f t="shared" si="191"/>
        <v>OK</v>
      </c>
    </row>
    <row r="3058" spans="1:10" x14ac:dyDescent="0.2">
      <c r="A3058">
        <v>13057</v>
      </c>
      <c r="B3058" t="s">
        <v>5</v>
      </c>
      <c r="C3058" t="s">
        <v>6</v>
      </c>
      <c r="D3058" s="8">
        <v>1.88</v>
      </c>
      <c r="E3058">
        <v>4</v>
      </c>
      <c r="F3058" t="str">
        <f t="shared" si="188"/>
        <v>Standard</v>
      </c>
      <c r="G3058" s="3" cm="1">
        <f t="array" ref="G3058">_xlfn.XLOOKUP(C3058 &amp; F3058,
         [1]unilever_price_limits!A:A &amp; [1]unilever_price_limits!B:B,
         [1]unilever_price_limits!C:C)</f>
        <v>28</v>
      </c>
      <c r="H3058" s="8">
        <f t="shared" si="189"/>
        <v>2.4064000000000001</v>
      </c>
      <c r="I3058" s="6">
        <f t="shared" si="190"/>
        <v>28.000000000000004</v>
      </c>
      <c r="J3058" t="str">
        <f t="shared" si="191"/>
        <v>OK</v>
      </c>
    </row>
    <row r="3059" spans="1:10" x14ac:dyDescent="0.2">
      <c r="A3059">
        <v>13058</v>
      </c>
      <c r="B3059" t="s">
        <v>7</v>
      </c>
      <c r="C3059" t="s">
        <v>11</v>
      </c>
      <c r="D3059" s="8">
        <v>5.33</v>
      </c>
      <c r="E3059">
        <v>2</v>
      </c>
      <c r="F3059" t="str">
        <f t="shared" si="188"/>
        <v>Value</v>
      </c>
      <c r="G3059" s="3" cm="1">
        <f t="array" ref="G3059">_xlfn.XLOOKUP(C3059 &amp; F3059,
         [1]unilever_price_limits!A:A &amp; [1]unilever_price_limits!B:B,
         [1]unilever_price_limits!C:C)</f>
        <v>10</v>
      </c>
      <c r="H3059" s="8">
        <f t="shared" si="189"/>
        <v>5.8630000000000004</v>
      </c>
      <c r="I3059" s="6">
        <f t="shared" si="190"/>
        <v>10.000000000000009</v>
      </c>
      <c r="J3059" t="str">
        <f t="shared" si="191"/>
        <v>OK</v>
      </c>
    </row>
    <row r="3060" spans="1:10" x14ac:dyDescent="0.2">
      <c r="A3060">
        <v>13059</v>
      </c>
      <c r="B3060" t="s">
        <v>5</v>
      </c>
      <c r="C3060" t="s">
        <v>11</v>
      </c>
      <c r="D3060" s="8">
        <v>5.92</v>
      </c>
      <c r="E3060">
        <v>1</v>
      </c>
      <c r="F3060" t="str">
        <f t="shared" si="188"/>
        <v>Value</v>
      </c>
      <c r="G3060" s="3" cm="1">
        <f t="array" ref="G3060">_xlfn.XLOOKUP(C3060 &amp; F3060,
         [1]unilever_price_limits!A:A &amp; [1]unilever_price_limits!B:B,
         [1]unilever_price_limits!C:C)</f>
        <v>10</v>
      </c>
      <c r="H3060" s="8">
        <f t="shared" si="189"/>
        <v>6.5120000000000005</v>
      </c>
      <c r="I3060" s="6">
        <f t="shared" si="190"/>
        <v>10.000000000000009</v>
      </c>
      <c r="J3060" t="str">
        <f t="shared" si="191"/>
        <v>OK</v>
      </c>
    </row>
    <row r="3061" spans="1:10" x14ac:dyDescent="0.2">
      <c r="A3061">
        <v>13060</v>
      </c>
      <c r="B3061" t="s">
        <v>7</v>
      </c>
      <c r="C3061" t="s">
        <v>11</v>
      </c>
      <c r="D3061" s="8">
        <v>3.61</v>
      </c>
      <c r="E3061">
        <v>9</v>
      </c>
      <c r="F3061" t="str">
        <f t="shared" si="188"/>
        <v>Premium</v>
      </c>
      <c r="G3061" s="3" cm="1">
        <f t="array" ref="G3061">_xlfn.XLOOKUP(C3061 &amp; F3061,
         [1]unilever_price_limits!A:A &amp; [1]unilever_price_limits!B:B,
         [1]unilever_price_limits!C:C)</f>
        <v>50</v>
      </c>
      <c r="H3061" s="8">
        <f t="shared" si="189"/>
        <v>5.415</v>
      </c>
      <c r="I3061" s="6">
        <f t="shared" si="190"/>
        <v>50</v>
      </c>
      <c r="J3061" t="str">
        <f t="shared" si="191"/>
        <v>OK</v>
      </c>
    </row>
    <row r="3062" spans="1:10" x14ac:dyDescent="0.2">
      <c r="A3062">
        <v>13061</v>
      </c>
      <c r="B3062" t="s">
        <v>7</v>
      </c>
      <c r="C3062" t="s">
        <v>9</v>
      </c>
      <c r="D3062" s="8">
        <v>8.98</v>
      </c>
      <c r="E3062">
        <v>3</v>
      </c>
      <c r="F3062" t="str">
        <f t="shared" si="188"/>
        <v>Value</v>
      </c>
      <c r="G3062" s="3" cm="1">
        <f t="array" ref="G3062">_xlfn.XLOOKUP(C3062 &amp; F3062,
         [1]unilever_price_limits!A:A &amp; [1]unilever_price_limits!B:B,
         [1]unilever_price_limits!C:C)</f>
        <v>15</v>
      </c>
      <c r="H3062" s="8">
        <f t="shared" si="189"/>
        <v>10.327</v>
      </c>
      <c r="I3062" s="6">
        <f t="shared" si="190"/>
        <v>14.999999999999991</v>
      </c>
      <c r="J3062" t="str">
        <f t="shared" si="191"/>
        <v>OK</v>
      </c>
    </row>
    <row r="3063" spans="1:10" x14ac:dyDescent="0.2">
      <c r="A3063">
        <v>13062</v>
      </c>
      <c r="B3063" t="s">
        <v>10</v>
      </c>
      <c r="C3063" t="s">
        <v>11</v>
      </c>
      <c r="D3063" s="8">
        <v>6.92</v>
      </c>
      <c r="E3063">
        <v>1</v>
      </c>
      <c r="F3063" t="str">
        <f t="shared" si="188"/>
        <v>Value</v>
      </c>
      <c r="G3063" s="3" cm="1">
        <f t="array" ref="G3063">_xlfn.XLOOKUP(C3063 &amp; F3063,
         [1]unilever_price_limits!A:A &amp; [1]unilever_price_limits!B:B,
         [1]unilever_price_limits!C:C)</f>
        <v>10</v>
      </c>
      <c r="H3063" s="8">
        <f t="shared" si="189"/>
        <v>7.6120000000000001</v>
      </c>
      <c r="I3063" s="6">
        <f t="shared" si="190"/>
        <v>10.000000000000009</v>
      </c>
      <c r="J3063" t="str">
        <f t="shared" si="191"/>
        <v>OK</v>
      </c>
    </row>
    <row r="3064" spans="1:10" x14ac:dyDescent="0.2">
      <c r="A3064">
        <v>13063</v>
      </c>
      <c r="B3064" t="s">
        <v>7</v>
      </c>
      <c r="C3064" t="s">
        <v>9</v>
      </c>
      <c r="D3064" s="8">
        <v>1</v>
      </c>
      <c r="E3064">
        <v>2</v>
      </c>
      <c r="F3064" t="str">
        <f t="shared" si="188"/>
        <v>Value</v>
      </c>
      <c r="G3064" s="3" cm="1">
        <f t="array" ref="G3064">_xlfn.XLOOKUP(C3064 &amp; F3064,
         [1]unilever_price_limits!A:A &amp; [1]unilever_price_limits!B:B,
         [1]unilever_price_limits!C:C)</f>
        <v>15</v>
      </c>
      <c r="H3064" s="8">
        <f t="shared" si="189"/>
        <v>1.1499999999999999</v>
      </c>
      <c r="I3064" s="6">
        <f t="shared" si="190"/>
        <v>14.999999999999991</v>
      </c>
      <c r="J3064" t="str">
        <f t="shared" si="191"/>
        <v>OK</v>
      </c>
    </row>
    <row r="3065" spans="1:10" x14ac:dyDescent="0.2">
      <c r="A3065">
        <v>13064</v>
      </c>
      <c r="B3065" t="s">
        <v>10</v>
      </c>
      <c r="C3065" t="s">
        <v>9</v>
      </c>
      <c r="D3065" s="8">
        <v>5.13</v>
      </c>
      <c r="E3065">
        <v>8</v>
      </c>
      <c r="F3065" t="str">
        <f t="shared" si="188"/>
        <v>Premium</v>
      </c>
      <c r="G3065" s="3" cm="1">
        <f t="array" ref="G3065">_xlfn.XLOOKUP(C3065 &amp; F3065,
         [1]unilever_price_limits!A:A &amp; [1]unilever_price_limits!B:B,
         [1]unilever_price_limits!C:C)</f>
        <v>60</v>
      </c>
      <c r="H3065" s="8">
        <f t="shared" si="189"/>
        <v>8.2080000000000002</v>
      </c>
      <c r="I3065" s="6">
        <f t="shared" si="190"/>
        <v>60.000000000000007</v>
      </c>
      <c r="J3065" t="str">
        <f t="shared" si="191"/>
        <v>OK</v>
      </c>
    </row>
    <row r="3066" spans="1:10" x14ac:dyDescent="0.2">
      <c r="A3066">
        <v>13065</v>
      </c>
      <c r="B3066" t="s">
        <v>10</v>
      </c>
      <c r="C3066" t="s">
        <v>6</v>
      </c>
      <c r="D3066" s="8">
        <v>12.25</v>
      </c>
      <c r="E3066">
        <v>5</v>
      </c>
      <c r="F3066" t="str">
        <f t="shared" si="188"/>
        <v>Standard</v>
      </c>
      <c r="G3066" s="3" cm="1">
        <f t="array" ref="G3066">_xlfn.XLOOKUP(C3066 &amp; F3066,
         [1]unilever_price_limits!A:A &amp; [1]unilever_price_limits!B:B,
         [1]unilever_price_limits!C:C)</f>
        <v>28</v>
      </c>
      <c r="H3066" s="8">
        <f t="shared" si="189"/>
        <v>15.68</v>
      </c>
      <c r="I3066" s="6">
        <f t="shared" si="190"/>
        <v>28.000000000000004</v>
      </c>
      <c r="J3066" t="str">
        <f t="shared" si="191"/>
        <v>OK</v>
      </c>
    </row>
    <row r="3067" spans="1:10" x14ac:dyDescent="0.2">
      <c r="A3067">
        <v>13066</v>
      </c>
      <c r="B3067" t="s">
        <v>10</v>
      </c>
      <c r="C3067" t="s">
        <v>6</v>
      </c>
      <c r="D3067" s="8">
        <v>10.5</v>
      </c>
      <c r="E3067">
        <v>7</v>
      </c>
      <c r="F3067" t="str">
        <f t="shared" si="188"/>
        <v>Standard</v>
      </c>
      <c r="G3067" s="3" cm="1">
        <f t="array" ref="G3067">_xlfn.XLOOKUP(C3067 &amp; F3067,
         [1]unilever_price_limits!A:A &amp; [1]unilever_price_limits!B:B,
         [1]unilever_price_limits!C:C)</f>
        <v>28</v>
      </c>
      <c r="H3067" s="8">
        <f t="shared" si="189"/>
        <v>13.44</v>
      </c>
      <c r="I3067" s="6">
        <f t="shared" si="190"/>
        <v>28.000000000000004</v>
      </c>
      <c r="J3067" t="str">
        <f t="shared" si="191"/>
        <v>OK</v>
      </c>
    </row>
    <row r="3068" spans="1:10" x14ac:dyDescent="0.2">
      <c r="A3068">
        <v>13067</v>
      </c>
      <c r="B3068" t="s">
        <v>8</v>
      </c>
      <c r="C3068" t="s">
        <v>6</v>
      </c>
      <c r="D3068" s="8">
        <v>11.01</v>
      </c>
      <c r="E3068">
        <v>6</v>
      </c>
      <c r="F3068" t="str">
        <f t="shared" si="188"/>
        <v>Standard</v>
      </c>
      <c r="G3068" s="3" cm="1">
        <f t="array" ref="G3068">_xlfn.XLOOKUP(C3068 &amp; F3068,
         [1]unilever_price_limits!A:A &amp; [1]unilever_price_limits!B:B,
         [1]unilever_price_limits!C:C)</f>
        <v>28</v>
      </c>
      <c r="H3068" s="8">
        <f t="shared" si="189"/>
        <v>14.0928</v>
      </c>
      <c r="I3068" s="6">
        <f t="shared" si="190"/>
        <v>28.000000000000004</v>
      </c>
      <c r="J3068" t="str">
        <f t="shared" si="191"/>
        <v>OK</v>
      </c>
    </row>
    <row r="3069" spans="1:10" x14ac:dyDescent="0.2">
      <c r="A3069">
        <v>13068</v>
      </c>
      <c r="B3069" t="s">
        <v>8</v>
      </c>
      <c r="C3069" t="s">
        <v>9</v>
      </c>
      <c r="D3069" s="8">
        <v>10.62</v>
      </c>
      <c r="E3069">
        <v>1</v>
      </c>
      <c r="F3069" t="str">
        <f t="shared" si="188"/>
        <v>Value</v>
      </c>
      <c r="G3069" s="3" cm="1">
        <f t="array" ref="G3069">_xlfn.XLOOKUP(C3069 &amp; F3069,
         [1]unilever_price_limits!A:A &amp; [1]unilever_price_limits!B:B,
         [1]unilever_price_limits!C:C)</f>
        <v>15</v>
      </c>
      <c r="H3069" s="8">
        <f t="shared" si="189"/>
        <v>12.212999999999997</v>
      </c>
      <c r="I3069" s="6">
        <f t="shared" si="190"/>
        <v>14.999999999999991</v>
      </c>
      <c r="J3069" t="str">
        <f t="shared" si="191"/>
        <v>OK</v>
      </c>
    </row>
    <row r="3070" spans="1:10" x14ac:dyDescent="0.2">
      <c r="A3070">
        <v>13069</v>
      </c>
      <c r="B3070" t="s">
        <v>7</v>
      </c>
      <c r="C3070" t="s">
        <v>9</v>
      </c>
      <c r="D3070" s="8">
        <v>5.01</v>
      </c>
      <c r="E3070">
        <v>6</v>
      </c>
      <c r="F3070" t="str">
        <f t="shared" si="188"/>
        <v>Standard</v>
      </c>
      <c r="G3070" s="3" cm="1">
        <f t="array" ref="G3070">_xlfn.XLOOKUP(C3070 &amp; F3070,
         [1]unilever_price_limits!A:A &amp; [1]unilever_price_limits!B:B,
         [1]unilever_price_limits!C:C)</f>
        <v>30</v>
      </c>
      <c r="H3070" s="8">
        <f t="shared" si="189"/>
        <v>6.5129999999999999</v>
      </c>
      <c r="I3070" s="6">
        <f t="shared" si="190"/>
        <v>30.000000000000004</v>
      </c>
      <c r="J3070" t="str">
        <f t="shared" si="191"/>
        <v>OK</v>
      </c>
    </row>
    <row r="3071" spans="1:10" x14ac:dyDescent="0.2">
      <c r="A3071">
        <v>13070</v>
      </c>
      <c r="B3071" t="s">
        <v>10</v>
      </c>
      <c r="C3071" t="s">
        <v>9</v>
      </c>
      <c r="D3071" s="8">
        <v>1.95</v>
      </c>
      <c r="E3071">
        <v>7</v>
      </c>
      <c r="F3071" t="str">
        <f t="shared" si="188"/>
        <v>Standard</v>
      </c>
      <c r="G3071" s="3" cm="1">
        <f t="array" ref="G3071">_xlfn.XLOOKUP(C3071 &amp; F3071,
         [1]unilever_price_limits!A:A &amp; [1]unilever_price_limits!B:B,
         [1]unilever_price_limits!C:C)</f>
        <v>30</v>
      </c>
      <c r="H3071" s="8">
        <f t="shared" si="189"/>
        <v>2.5350000000000001</v>
      </c>
      <c r="I3071" s="6">
        <f t="shared" si="190"/>
        <v>30.000000000000004</v>
      </c>
      <c r="J3071" t="str">
        <f t="shared" si="191"/>
        <v>OK</v>
      </c>
    </row>
    <row r="3072" spans="1:10" x14ac:dyDescent="0.2">
      <c r="A3072">
        <v>13071</v>
      </c>
      <c r="B3072" t="s">
        <v>8</v>
      </c>
      <c r="C3072" t="s">
        <v>11</v>
      </c>
      <c r="D3072" s="8">
        <v>4.45</v>
      </c>
      <c r="E3072">
        <v>4</v>
      </c>
      <c r="F3072" t="str">
        <f t="shared" si="188"/>
        <v>Standard</v>
      </c>
      <c r="G3072" s="3" cm="1">
        <f t="array" ref="G3072">_xlfn.XLOOKUP(C3072 &amp; F3072,
         [1]unilever_price_limits!A:A &amp; [1]unilever_price_limits!B:B,
         [1]unilever_price_limits!C:C)</f>
        <v>25</v>
      </c>
      <c r="H3072" s="8">
        <f t="shared" si="189"/>
        <v>5.5625</v>
      </c>
      <c r="I3072" s="6">
        <f t="shared" si="190"/>
        <v>25</v>
      </c>
      <c r="J3072" t="str">
        <f t="shared" si="191"/>
        <v>OK</v>
      </c>
    </row>
    <row r="3073" spans="1:10" x14ac:dyDescent="0.2">
      <c r="A3073">
        <v>13072</v>
      </c>
      <c r="B3073" t="s">
        <v>10</v>
      </c>
      <c r="C3073" t="s">
        <v>9</v>
      </c>
      <c r="D3073" s="8">
        <v>12.56</v>
      </c>
      <c r="E3073">
        <v>8</v>
      </c>
      <c r="F3073" t="str">
        <f t="shared" si="188"/>
        <v>Premium</v>
      </c>
      <c r="G3073" s="3" cm="1">
        <f t="array" ref="G3073">_xlfn.XLOOKUP(C3073 &amp; F3073,
         [1]unilever_price_limits!A:A &amp; [1]unilever_price_limits!B:B,
         [1]unilever_price_limits!C:C)</f>
        <v>60</v>
      </c>
      <c r="H3073" s="8">
        <f t="shared" si="189"/>
        <v>20.096000000000004</v>
      </c>
      <c r="I3073" s="6">
        <f t="shared" si="190"/>
        <v>60.000000000000028</v>
      </c>
      <c r="J3073" t="str">
        <f t="shared" si="191"/>
        <v>OK</v>
      </c>
    </row>
    <row r="3074" spans="1:10" x14ac:dyDescent="0.2">
      <c r="A3074">
        <v>13073</v>
      </c>
      <c r="B3074" t="s">
        <v>5</v>
      </c>
      <c r="C3074" t="s">
        <v>6</v>
      </c>
      <c r="D3074" s="8">
        <v>14.72</v>
      </c>
      <c r="E3074">
        <v>8</v>
      </c>
      <c r="F3074" t="str">
        <f t="shared" si="188"/>
        <v>Premium</v>
      </c>
      <c r="G3074" s="3" cm="1">
        <f t="array" ref="G3074">_xlfn.XLOOKUP(C3074 &amp; F3074,
         [1]unilever_price_limits!A:A &amp; [1]unilever_price_limits!B:B,
         [1]unilever_price_limits!C:C)</f>
        <v>55</v>
      </c>
      <c r="H3074" s="8">
        <f t="shared" si="189"/>
        <v>22.816000000000003</v>
      </c>
      <c r="I3074" s="6">
        <f t="shared" si="190"/>
        <v>55.000000000000007</v>
      </c>
      <c r="J3074" t="str">
        <f t="shared" si="191"/>
        <v>OK</v>
      </c>
    </row>
    <row r="3075" spans="1:10" x14ac:dyDescent="0.2">
      <c r="A3075">
        <v>13074</v>
      </c>
      <c r="B3075" t="s">
        <v>5</v>
      </c>
      <c r="C3075" t="s">
        <v>6</v>
      </c>
      <c r="D3075" s="8">
        <v>7.66</v>
      </c>
      <c r="E3075">
        <v>7</v>
      </c>
      <c r="F3075" t="str">
        <f t="shared" ref="F3075:F3138" si="192">IF(E3075&lt;=3,"Value",
 IF(E3075&lt;=7,"Standard","Premium"))</f>
        <v>Standard</v>
      </c>
      <c r="G3075" s="3" cm="1">
        <f t="array" ref="G3075">_xlfn.XLOOKUP(C3075 &amp; F3075,
         [1]unilever_price_limits!A:A &amp; [1]unilever_price_limits!B:B,
         [1]unilever_price_limits!C:C)</f>
        <v>28</v>
      </c>
      <c r="H3075" s="8">
        <f t="shared" ref="H3075:H3138" si="193">D3075 * (1 + G3075/100)</f>
        <v>9.8048000000000002</v>
      </c>
      <c r="I3075" s="6">
        <f t="shared" ref="I3075:I3138" si="194">(H3075 / D3075 - 1) * 100</f>
        <v>28.000000000000004</v>
      </c>
      <c r="J3075" t="str">
        <f t="shared" ref="J3075:J3138" si="195">IF(I3074&gt; G3074, "⚠ Exceeds Limit", "OK")</f>
        <v>OK</v>
      </c>
    </row>
    <row r="3076" spans="1:10" x14ac:dyDescent="0.2">
      <c r="A3076">
        <v>13075</v>
      </c>
      <c r="B3076" t="s">
        <v>5</v>
      </c>
      <c r="C3076" t="s">
        <v>9</v>
      </c>
      <c r="D3076" s="8">
        <v>0.64</v>
      </c>
      <c r="E3076">
        <v>2</v>
      </c>
      <c r="F3076" t="str">
        <f t="shared" si="192"/>
        <v>Value</v>
      </c>
      <c r="G3076" s="3" cm="1">
        <f t="array" ref="G3076">_xlfn.XLOOKUP(C3076 &amp; F3076,
         [1]unilever_price_limits!A:A &amp; [1]unilever_price_limits!B:B,
         [1]unilever_price_limits!C:C)</f>
        <v>15</v>
      </c>
      <c r="H3076" s="8">
        <f t="shared" si="193"/>
        <v>0.73599999999999999</v>
      </c>
      <c r="I3076" s="6">
        <f t="shared" si="194"/>
        <v>14.999999999999991</v>
      </c>
      <c r="J3076" t="str">
        <f t="shared" si="195"/>
        <v>OK</v>
      </c>
    </row>
    <row r="3077" spans="1:10" x14ac:dyDescent="0.2">
      <c r="A3077">
        <v>13076</v>
      </c>
      <c r="B3077" t="s">
        <v>7</v>
      </c>
      <c r="C3077" t="s">
        <v>9</v>
      </c>
      <c r="D3077" s="8">
        <v>2.5299999999999998</v>
      </c>
      <c r="E3077">
        <v>6</v>
      </c>
      <c r="F3077" t="str">
        <f t="shared" si="192"/>
        <v>Standard</v>
      </c>
      <c r="G3077" s="3" cm="1">
        <f t="array" ref="G3077">_xlfn.XLOOKUP(C3077 &amp; F3077,
         [1]unilever_price_limits!A:A &amp; [1]unilever_price_limits!B:B,
         [1]unilever_price_limits!C:C)</f>
        <v>30</v>
      </c>
      <c r="H3077" s="8">
        <f t="shared" si="193"/>
        <v>3.2889999999999997</v>
      </c>
      <c r="I3077" s="6">
        <f t="shared" si="194"/>
        <v>30.000000000000004</v>
      </c>
      <c r="J3077" t="str">
        <f t="shared" si="195"/>
        <v>OK</v>
      </c>
    </row>
    <row r="3078" spans="1:10" x14ac:dyDescent="0.2">
      <c r="A3078">
        <v>13077</v>
      </c>
      <c r="B3078" t="s">
        <v>10</v>
      </c>
      <c r="C3078" t="s">
        <v>6</v>
      </c>
      <c r="D3078" s="8">
        <v>5.17</v>
      </c>
      <c r="E3078">
        <v>6</v>
      </c>
      <c r="F3078" t="str">
        <f t="shared" si="192"/>
        <v>Standard</v>
      </c>
      <c r="G3078" s="3" cm="1">
        <f t="array" ref="G3078">_xlfn.XLOOKUP(C3078 &amp; F3078,
         [1]unilever_price_limits!A:A &amp; [1]unilever_price_limits!B:B,
         [1]unilever_price_limits!C:C)</f>
        <v>28</v>
      </c>
      <c r="H3078" s="8">
        <f t="shared" si="193"/>
        <v>6.6176000000000004</v>
      </c>
      <c r="I3078" s="6">
        <f t="shared" si="194"/>
        <v>28.000000000000004</v>
      </c>
      <c r="J3078" t="str">
        <f t="shared" si="195"/>
        <v>OK</v>
      </c>
    </row>
    <row r="3079" spans="1:10" x14ac:dyDescent="0.2">
      <c r="A3079">
        <v>13078</v>
      </c>
      <c r="B3079" t="s">
        <v>5</v>
      </c>
      <c r="C3079" t="s">
        <v>9</v>
      </c>
      <c r="D3079" s="8">
        <v>8.89</v>
      </c>
      <c r="E3079">
        <v>7</v>
      </c>
      <c r="F3079" t="str">
        <f t="shared" si="192"/>
        <v>Standard</v>
      </c>
      <c r="G3079" s="3" cm="1">
        <f t="array" ref="G3079">_xlfn.XLOOKUP(C3079 &amp; F3079,
         [1]unilever_price_limits!A:A &amp; [1]unilever_price_limits!B:B,
         [1]unilever_price_limits!C:C)</f>
        <v>30</v>
      </c>
      <c r="H3079" s="8">
        <f t="shared" si="193"/>
        <v>11.557</v>
      </c>
      <c r="I3079" s="6">
        <f t="shared" si="194"/>
        <v>30.000000000000004</v>
      </c>
      <c r="J3079" t="str">
        <f t="shared" si="195"/>
        <v>OK</v>
      </c>
    </row>
    <row r="3080" spans="1:10" x14ac:dyDescent="0.2">
      <c r="A3080">
        <v>13079</v>
      </c>
      <c r="B3080" t="s">
        <v>8</v>
      </c>
      <c r="C3080" t="s">
        <v>6</v>
      </c>
      <c r="D3080" s="8">
        <v>1.59</v>
      </c>
      <c r="E3080">
        <v>6</v>
      </c>
      <c r="F3080" t="str">
        <f t="shared" si="192"/>
        <v>Standard</v>
      </c>
      <c r="G3080" s="3" cm="1">
        <f t="array" ref="G3080">_xlfn.XLOOKUP(C3080 &amp; F3080,
         [1]unilever_price_limits!A:A &amp; [1]unilever_price_limits!B:B,
         [1]unilever_price_limits!C:C)</f>
        <v>28</v>
      </c>
      <c r="H3080" s="8">
        <f t="shared" si="193"/>
        <v>2.0352000000000001</v>
      </c>
      <c r="I3080" s="6">
        <f t="shared" si="194"/>
        <v>28.000000000000004</v>
      </c>
      <c r="J3080" t="str">
        <f t="shared" si="195"/>
        <v>OK</v>
      </c>
    </row>
    <row r="3081" spans="1:10" x14ac:dyDescent="0.2">
      <c r="A3081">
        <v>13080</v>
      </c>
      <c r="B3081" t="s">
        <v>5</v>
      </c>
      <c r="C3081" t="s">
        <v>11</v>
      </c>
      <c r="D3081" s="8">
        <v>14.18</v>
      </c>
      <c r="E3081">
        <v>2</v>
      </c>
      <c r="F3081" t="str">
        <f t="shared" si="192"/>
        <v>Value</v>
      </c>
      <c r="G3081" s="3" cm="1">
        <f t="array" ref="G3081">_xlfn.XLOOKUP(C3081 &amp; F3081,
         [1]unilever_price_limits!A:A &amp; [1]unilever_price_limits!B:B,
         [1]unilever_price_limits!C:C)</f>
        <v>10</v>
      </c>
      <c r="H3081" s="8">
        <f t="shared" si="193"/>
        <v>15.598000000000001</v>
      </c>
      <c r="I3081" s="6">
        <f t="shared" si="194"/>
        <v>10.000000000000009</v>
      </c>
      <c r="J3081" t="str">
        <f t="shared" si="195"/>
        <v>OK</v>
      </c>
    </row>
    <row r="3082" spans="1:10" x14ac:dyDescent="0.2">
      <c r="A3082">
        <v>13081</v>
      </c>
      <c r="B3082" t="s">
        <v>5</v>
      </c>
      <c r="C3082" t="s">
        <v>6</v>
      </c>
      <c r="D3082" s="8">
        <v>5.79</v>
      </c>
      <c r="E3082">
        <v>8</v>
      </c>
      <c r="F3082" t="str">
        <f t="shared" si="192"/>
        <v>Premium</v>
      </c>
      <c r="G3082" s="3" cm="1">
        <f t="array" ref="G3082">_xlfn.XLOOKUP(C3082 &amp; F3082,
         [1]unilever_price_limits!A:A &amp; [1]unilever_price_limits!B:B,
         [1]unilever_price_limits!C:C)</f>
        <v>55</v>
      </c>
      <c r="H3082" s="8">
        <f t="shared" si="193"/>
        <v>8.9745000000000008</v>
      </c>
      <c r="I3082" s="6">
        <f t="shared" si="194"/>
        <v>55.000000000000007</v>
      </c>
      <c r="J3082" t="str">
        <f t="shared" si="195"/>
        <v>OK</v>
      </c>
    </row>
    <row r="3083" spans="1:10" x14ac:dyDescent="0.2">
      <c r="A3083">
        <v>13082</v>
      </c>
      <c r="B3083" t="s">
        <v>5</v>
      </c>
      <c r="C3083" t="s">
        <v>11</v>
      </c>
      <c r="D3083" s="8">
        <v>13.73</v>
      </c>
      <c r="E3083">
        <v>4</v>
      </c>
      <c r="F3083" t="str">
        <f t="shared" si="192"/>
        <v>Standard</v>
      </c>
      <c r="G3083" s="3" cm="1">
        <f t="array" ref="G3083">_xlfn.XLOOKUP(C3083 &amp; F3083,
         [1]unilever_price_limits!A:A &amp; [1]unilever_price_limits!B:B,
         [1]unilever_price_limits!C:C)</f>
        <v>25</v>
      </c>
      <c r="H3083" s="8">
        <f t="shared" si="193"/>
        <v>17.162500000000001</v>
      </c>
      <c r="I3083" s="6">
        <f t="shared" si="194"/>
        <v>25</v>
      </c>
      <c r="J3083" t="str">
        <f t="shared" si="195"/>
        <v>OK</v>
      </c>
    </row>
    <row r="3084" spans="1:10" x14ac:dyDescent="0.2">
      <c r="A3084">
        <v>13083</v>
      </c>
      <c r="B3084" t="s">
        <v>7</v>
      </c>
      <c r="C3084" t="s">
        <v>9</v>
      </c>
      <c r="D3084" s="8">
        <v>11.82</v>
      </c>
      <c r="E3084">
        <v>9</v>
      </c>
      <c r="F3084" t="str">
        <f t="shared" si="192"/>
        <v>Premium</v>
      </c>
      <c r="G3084" s="3" cm="1">
        <f t="array" ref="G3084">_xlfn.XLOOKUP(C3084 &amp; F3084,
         [1]unilever_price_limits!A:A &amp; [1]unilever_price_limits!B:B,
         [1]unilever_price_limits!C:C)</f>
        <v>60</v>
      </c>
      <c r="H3084" s="8">
        <f t="shared" si="193"/>
        <v>18.912000000000003</v>
      </c>
      <c r="I3084" s="6">
        <f t="shared" si="194"/>
        <v>60.000000000000007</v>
      </c>
      <c r="J3084" t="str">
        <f t="shared" si="195"/>
        <v>OK</v>
      </c>
    </row>
    <row r="3085" spans="1:10" x14ac:dyDescent="0.2">
      <c r="A3085">
        <v>13084</v>
      </c>
      <c r="B3085" t="s">
        <v>8</v>
      </c>
      <c r="C3085" t="s">
        <v>9</v>
      </c>
      <c r="D3085" s="8">
        <v>11.45</v>
      </c>
      <c r="E3085">
        <v>8</v>
      </c>
      <c r="F3085" t="str">
        <f t="shared" si="192"/>
        <v>Premium</v>
      </c>
      <c r="G3085" s="3" cm="1">
        <f t="array" ref="G3085">_xlfn.XLOOKUP(C3085 &amp; F3085,
         [1]unilever_price_limits!A:A &amp; [1]unilever_price_limits!B:B,
         [1]unilever_price_limits!C:C)</f>
        <v>60</v>
      </c>
      <c r="H3085" s="8">
        <f t="shared" si="193"/>
        <v>18.32</v>
      </c>
      <c r="I3085" s="6">
        <f t="shared" si="194"/>
        <v>60.000000000000007</v>
      </c>
      <c r="J3085" t="str">
        <f t="shared" si="195"/>
        <v>OK</v>
      </c>
    </row>
    <row r="3086" spans="1:10" x14ac:dyDescent="0.2">
      <c r="A3086">
        <v>13085</v>
      </c>
      <c r="B3086" t="s">
        <v>10</v>
      </c>
      <c r="C3086" t="s">
        <v>11</v>
      </c>
      <c r="D3086" s="8">
        <v>9.3000000000000007</v>
      </c>
      <c r="E3086">
        <v>3</v>
      </c>
      <c r="F3086" t="str">
        <f t="shared" si="192"/>
        <v>Value</v>
      </c>
      <c r="G3086" s="3" cm="1">
        <f t="array" ref="G3086">_xlfn.XLOOKUP(C3086 &amp; F3086,
         [1]unilever_price_limits!A:A &amp; [1]unilever_price_limits!B:B,
         [1]unilever_price_limits!C:C)</f>
        <v>10</v>
      </c>
      <c r="H3086" s="8">
        <f t="shared" si="193"/>
        <v>10.230000000000002</v>
      </c>
      <c r="I3086" s="6">
        <f t="shared" si="194"/>
        <v>10.000000000000009</v>
      </c>
      <c r="J3086" t="str">
        <f t="shared" si="195"/>
        <v>OK</v>
      </c>
    </row>
    <row r="3087" spans="1:10" x14ac:dyDescent="0.2">
      <c r="A3087">
        <v>13086</v>
      </c>
      <c r="B3087" t="s">
        <v>8</v>
      </c>
      <c r="C3087" t="s">
        <v>9</v>
      </c>
      <c r="D3087" s="8">
        <v>9.59</v>
      </c>
      <c r="E3087">
        <v>3</v>
      </c>
      <c r="F3087" t="str">
        <f t="shared" si="192"/>
        <v>Value</v>
      </c>
      <c r="G3087" s="3" cm="1">
        <f t="array" ref="G3087">_xlfn.XLOOKUP(C3087 &amp; F3087,
         [1]unilever_price_limits!A:A &amp; [1]unilever_price_limits!B:B,
         [1]unilever_price_limits!C:C)</f>
        <v>15</v>
      </c>
      <c r="H3087" s="8">
        <f t="shared" si="193"/>
        <v>11.028499999999999</v>
      </c>
      <c r="I3087" s="6">
        <f t="shared" si="194"/>
        <v>14.999999999999991</v>
      </c>
      <c r="J3087" t="str">
        <f t="shared" si="195"/>
        <v>OK</v>
      </c>
    </row>
    <row r="3088" spans="1:10" x14ac:dyDescent="0.2">
      <c r="A3088">
        <v>13087</v>
      </c>
      <c r="B3088" t="s">
        <v>10</v>
      </c>
      <c r="C3088" t="s">
        <v>11</v>
      </c>
      <c r="D3088" s="8">
        <v>9.75</v>
      </c>
      <c r="E3088">
        <v>8</v>
      </c>
      <c r="F3088" t="str">
        <f t="shared" si="192"/>
        <v>Premium</v>
      </c>
      <c r="G3088" s="3" cm="1">
        <f t="array" ref="G3088">_xlfn.XLOOKUP(C3088 &amp; F3088,
         [1]unilever_price_limits!A:A &amp; [1]unilever_price_limits!B:B,
         [1]unilever_price_limits!C:C)</f>
        <v>50</v>
      </c>
      <c r="H3088" s="8">
        <f t="shared" si="193"/>
        <v>14.625</v>
      </c>
      <c r="I3088" s="6">
        <f t="shared" si="194"/>
        <v>50</v>
      </c>
      <c r="J3088" t="str">
        <f t="shared" si="195"/>
        <v>OK</v>
      </c>
    </row>
    <row r="3089" spans="1:10" x14ac:dyDescent="0.2">
      <c r="A3089">
        <v>13088</v>
      </c>
      <c r="B3089" t="s">
        <v>7</v>
      </c>
      <c r="C3089" t="s">
        <v>9</v>
      </c>
      <c r="D3089" s="8">
        <v>9.6199999999999992</v>
      </c>
      <c r="E3089">
        <v>2</v>
      </c>
      <c r="F3089" t="str">
        <f t="shared" si="192"/>
        <v>Value</v>
      </c>
      <c r="G3089" s="3" cm="1">
        <f t="array" ref="G3089">_xlfn.XLOOKUP(C3089 &amp; F3089,
         [1]unilever_price_limits!A:A &amp; [1]unilever_price_limits!B:B,
         [1]unilever_price_limits!C:C)</f>
        <v>15</v>
      </c>
      <c r="H3089" s="8">
        <f t="shared" si="193"/>
        <v>11.062999999999999</v>
      </c>
      <c r="I3089" s="6">
        <f t="shared" si="194"/>
        <v>14.999999999999991</v>
      </c>
      <c r="J3089" t="str">
        <f t="shared" si="195"/>
        <v>OK</v>
      </c>
    </row>
    <row r="3090" spans="1:10" x14ac:dyDescent="0.2">
      <c r="A3090">
        <v>13089</v>
      </c>
      <c r="B3090" t="s">
        <v>7</v>
      </c>
      <c r="C3090" t="s">
        <v>6</v>
      </c>
      <c r="D3090" s="8">
        <v>8.5299999999999994</v>
      </c>
      <c r="E3090">
        <v>9</v>
      </c>
      <c r="F3090" t="str">
        <f t="shared" si="192"/>
        <v>Premium</v>
      </c>
      <c r="G3090" s="3" cm="1">
        <f t="array" ref="G3090">_xlfn.XLOOKUP(C3090 &amp; F3090,
         [1]unilever_price_limits!A:A &amp; [1]unilever_price_limits!B:B,
         [1]unilever_price_limits!C:C)</f>
        <v>55</v>
      </c>
      <c r="H3090" s="8">
        <f t="shared" si="193"/>
        <v>13.221499999999999</v>
      </c>
      <c r="I3090" s="6">
        <f t="shared" si="194"/>
        <v>55.000000000000007</v>
      </c>
      <c r="J3090" t="str">
        <f t="shared" si="195"/>
        <v>OK</v>
      </c>
    </row>
    <row r="3091" spans="1:10" x14ac:dyDescent="0.2">
      <c r="A3091">
        <v>13090</v>
      </c>
      <c r="B3091" t="s">
        <v>7</v>
      </c>
      <c r="C3091" t="s">
        <v>9</v>
      </c>
      <c r="D3091" s="8">
        <v>14.8</v>
      </c>
      <c r="E3091">
        <v>4</v>
      </c>
      <c r="F3091" t="str">
        <f t="shared" si="192"/>
        <v>Standard</v>
      </c>
      <c r="G3091" s="3" cm="1">
        <f t="array" ref="G3091">_xlfn.XLOOKUP(C3091 &amp; F3091,
         [1]unilever_price_limits!A:A &amp; [1]unilever_price_limits!B:B,
         [1]unilever_price_limits!C:C)</f>
        <v>30</v>
      </c>
      <c r="H3091" s="8">
        <f t="shared" si="193"/>
        <v>19.240000000000002</v>
      </c>
      <c r="I3091" s="6">
        <f t="shared" si="194"/>
        <v>30.000000000000004</v>
      </c>
      <c r="J3091" t="str">
        <f t="shared" si="195"/>
        <v>OK</v>
      </c>
    </row>
    <row r="3092" spans="1:10" x14ac:dyDescent="0.2">
      <c r="A3092">
        <v>13091</v>
      </c>
      <c r="B3092" t="s">
        <v>7</v>
      </c>
      <c r="C3092" t="s">
        <v>6</v>
      </c>
      <c r="D3092" s="8">
        <v>11.12</v>
      </c>
      <c r="E3092">
        <v>6</v>
      </c>
      <c r="F3092" t="str">
        <f t="shared" si="192"/>
        <v>Standard</v>
      </c>
      <c r="G3092" s="3" cm="1">
        <f t="array" ref="G3092">_xlfn.XLOOKUP(C3092 &amp; F3092,
         [1]unilever_price_limits!A:A &amp; [1]unilever_price_limits!B:B,
         [1]unilever_price_limits!C:C)</f>
        <v>28</v>
      </c>
      <c r="H3092" s="8">
        <f t="shared" si="193"/>
        <v>14.233599999999999</v>
      </c>
      <c r="I3092" s="6">
        <f t="shared" si="194"/>
        <v>28.000000000000004</v>
      </c>
      <c r="J3092" t="str">
        <f t="shared" si="195"/>
        <v>OK</v>
      </c>
    </row>
    <row r="3093" spans="1:10" x14ac:dyDescent="0.2">
      <c r="A3093">
        <v>13092</v>
      </c>
      <c r="B3093" t="s">
        <v>10</v>
      </c>
      <c r="C3093" t="s">
        <v>6</v>
      </c>
      <c r="D3093" s="8">
        <v>11.77</v>
      </c>
      <c r="E3093">
        <v>3</v>
      </c>
      <c r="F3093" t="str">
        <f t="shared" si="192"/>
        <v>Value</v>
      </c>
      <c r="G3093" s="3" cm="1">
        <f t="array" ref="G3093">_xlfn.XLOOKUP(C3093 &amp; F3093,
         [1]unilever_price_limits!A:A &amp; [1]unilever_price_limits!B:B,
         [1]unilever_price_limits!C:C)</f>
        <v>12</v>
      </c>
      <c r="H3093" s="8">
        <f t="shared" si="193"/>
        <v>13.182400000000001</v>
      </c>
      <c r="I3093" s="6">
        <f t="shared" si="194"/>
        <v>12.000000000000011</v>
      </c>
      <c r="J3093" t="str">
        <f t="shared" si="195"/>
        <v>OK</v>
      </c>
    </row>
    <row r="3094" spans="1:10" x14ac:dyDescent="0.2">
      <c r="A3094">
        <v>13093</v>
      </c>
      <c r="B3094" t="s">
        <v>5</v>
      </c>
      <c r="C3094" t="s">
        <v>11</v>
      </c>
      <c r="D3094" s="8">
        <v>13.15</v>
      </c>
      <c r="E3094">
        <v>3</v>
      </c>
      <c r="F3094" t="str">
        <f t="shared" si="192"/>
        <v>Value</v>
      </c>
      <c r="G3094" s="3" cm="1">
        <f t="array" ref="G3094">_xlfn.XLOOKUP(C3094 &amp; F3094,
         [1]unilever_price_limits!A:A &amp; [1]unilever_price_limits!B:B,
         [1]unilever_price_limits!C:C)</f>
        <v>10</v>
      </c>
      <c r="H3094" s="8">
        <f t="shared" si="193"/>
        <v>14.465000000000002</v>
      </c>
      <c r="I3094" s="6">
        <f t="shared" si="194"/>
        <v>10.000000000000009</v>
      </c>
      <c r="J3094" t="str">
        <f t="shared" si="195"/>
        <v>OK</v>
      </c>
    </row>
    <row r="3095" spans="1:10" x14ac:dyDescent="0.2">
      <c r="A3095">
        <v>13094</v>
      </c>
      <c r="B3095" t="s">
        <v>10</v>
      </c>
      <c r="C3095" t="s">
        <v>9</v>
      </c>
      <c r="D3095" s="8">
        <v>3.63</v>
      </c>
      <c r="E3095">
        <v>3</v>
      </c>
      <c r="F3095" t="str">
        <f t="shared" si="192"/>
        <v>Value</v>
      </c>
      <c r="G3095" s="3" cm="1">
        <f t="array" ref="G3095">_xlfn.XLOOKUP(C3095 &amp; F3095,
         [1]unilever_price_limits!A:A &amp; [1]unilever_price_limits!B:B,
         [1]unilever_price_limits!C:C)</f>
        <v>15</v>
      </c>
      <c r="H3095" s="8">
        <f t="shared" si="193"/>
        <v>4.1744999999999992</v>
      </c>
      <c r="I3095" s="6">
        <f t="shared" si="194"/>
        <v>14.999999999999991</v>
      </c>
      <c r="J3095" t="str">
        <f t="shared" si="195"/>
        <v>OK</v>
      </c>
    </row>
    <row r="3096" spans="1:10" x14ac:dyDescent="0.2">
      <c r="A3096">
        <v>13095</v>
      </c>
      <c r="B3096" t="s">
        <v>8</v>
      </c>
      <c r="C3096" t="s">
        <v>11</v>
      </c>
      <c r="D3096" s="8">
        <v>1.72</v>
      </c>
      <c r="E3096">
        <v>10</v>
      </c>
      <c r="F3096" t="str">
        <f t="shared" si="192"/>
        <v>Premium</v>
      </c>
      <c r="G3096" s="3" cm="1">
        <f t="array" ref="G3096">_xlfn.XLOOKUP(C3096 &amp; F3096,
         [1]unilever_price_limits!A:A &amp; [1]unilever_price_limits!B:B,
         [1]unilever_price_limits!C:C)</f>
        <v>50</v>
      </c>
      <c r="H3096" s="8">
        <f t="shared" si="193"/>
        <v>2.58</v>
      </c>
      <c r="I3096" s="6">
        <f t="shared" si="194"/>
        <v>50</v>
      </c>
      <c r="J3096" t="str">
        <f t="shared" si="195"/>
        <v>OK</v>
      </c>
    </row>
    <row r="3097" spans="1:10" x14ac:dyDescent="0.2">
      <c r="A3097">
        <v>13096</v>
      </c>
      <c r="B3097" t="s">
        <v>7</v>
      </c>
      <c r="C3097" t="s">
        <v>9</v>
      </c>
      <c r="D3097" s="8">
        <v>7.5</v>
      </c>
      <c r="E3097">
        <v>2</v>
      </c>
      <c r="F3097" t="str">
        <f t="shared" si="192"/>
        <v>Value</v>
      </c>
      <c r="G3097" s="3" cm="1">
        <f t="array" ref="G3097">_xlfn.XLOOKUP(C3097 &amp; F3097,
         [1]unilever_price_limits!A:A &amp; [1]unilever_price_limits!B:B,
         [1]unilever_price_limits!C:C)</f>
        <v>15</v>
      </c>
      <c r="H3097" s="8">
        <f t="shared" si="193"/>
        <v>8.625</v>
      </c>
      <c r="I3097" s="6">
        <f t="shared" si="194"/>
        <v>14.999999999999991</v>
      </c>
      <c r="J3097" t="str">
        <f t="shared" si="195"/>
        <v>OK</v>
      </c>
    </row>
    <row r="3098" spans="1:10" x14ac:dyDescent="0.2">
      <c r="A3098">
        <v>13097</v>
      </c>
      <c r="B3098" t="s">
        <v>7</v>
      </c>
      <c r="C3098" t="s">
        <v>6</v>
      </c>
      <c r="D3098" s="8">
        <v>7.95</v>
      </c>
      <c r="E3098">
        <v>8</v>
      </c>
      <c r="F3098" t="str">
        <f t="shared" si="192"/>
        <v>Premium</v>
      </c>
      <c r="G3098" s="3" cm="1">
        <f t="array" ref="G3098">_xlfn.XLOOKUP(C3098 &amp; F3098,
         [1]unilever_price_limits!A:A &amp; [1]unilever_price_limits!B:B,
         [1]unilever_price_limits!C:C)</f>
        <v>55</v>
      </c>
      <c r="H3098" s="8">
        <f t="shared" si="193"/>
        <v>12.3225</v>
      </c>
      <c r="I3098" s="6">
        <f t="shared" si="194"/>
        <v>55.000000000000007</v>
      </c>
      <c r="J3098" t="str">
        <f t="shared" si="195"/>
        <v>OK</v>
      </c>
    </row>
    <row r="3099" spans="1:10" x14ac:dyDescent="0.2">
      <c r="A3099">
        <v>13098</v>
      </c>
      <c r="B3099" t="s">
        <v>8</v>
      </c>
      <c r="C3099" t="s">
        <v>6</v>
      </c>
      <c r="D3099" s="8">
        <v>12.52</v>
      </c>
      <c r="E3099">
        <v>9</v>
      </c>
      <c r="F3099" t="str">
        <f t="shared" si="192"/>
        <v>Premium</v>
      </c>
      <c r="G3099" s="3" cm="1">
        <f t="array" ref="G3099">_xlfn.XLOOKUP(C3099 &amp; F3099,
         [1]unilever_price_limits!A:A &amp; [1]unilever_price_limits!B:B,
         [1]unilever_price_limits!C:C)</f>
        <v>55</v>
      </c>
      <c r="H3099" s="8">
        <f t="shared" si="193"/>
        <v>19.405999999999999</v>
      </c>
      <c r="I3099" s="6">
        <f t="shared" si="194"/>
        <v>55.000000000000007</v>
      </c>
      <c r="J3099" t="str">
        <f t="shared" si="195"/>
        <v>OK</v>
      </c>
    </row>
    <row r="3100" spans="1:10" x14ac:dyDescent="0.2">
      <c r="A3100">
        <v>13099</v>
      </c>
      <c r="B3100" t="s">
        <v>10</v>
      </c>
      <c r="C3100" t="s">
        <v>9</v>
      </c>
      <c r="D3100" s="8">
        <v>6.93</v>
      </c>
      <c r="E3100">
        <v>8</v>
      </c>
      <c r="F3100" t="str">
        <f t="shared" si="192"/>
        <v>Premium</v>
      </c>
      <c r="G3100" s="3" cm="1">
        <f t="array" ref="G3100">_xlfn.XLOOKUP(C3100 &amp; F3100,
         [1]unilever_price_limits!A:A &amp; [1]unilever_price_limits!B:B,
         [1]unilever_price_limits!C:C)</f>
        <v>60</v>
      </c>
      <c r="H3100" s="8">
        <f t="shared" si="193"/>
        <v>11.088000000000001</v>
      </c>
      <c r="I3100" s="6">
        <f t="shared" si="194"/>
        <v>60.000000000000028</v>
      </c>
      <c r="J3100" t="str">
        <f t="shared" si="195"/>
        <v>OK</v>
      </c>
    </row>
    <row r="3101" spans="1:10" x14ac:dyDescent="0.2">
      <c r="A3101">
        <v>13100</v>
      </c>
      <c r="B3101" t="s">
        <v>5</v>
      </c>
      <c r="C3101" t="s">
        <v>9</v>
      </c>
      <c r="D3101" s="8">
        <v>8.7799999999999994</v>
      </c>
      <c r="E3101">
        <v>10</v>
      </c>
      <c r="F3101" t="str">
        <f t="shared" si="192"/>
        <v>Premium</v>
      </c>
      <c r="G3101" s="3" cm="1">
        <f t="array" ref="G3101">_xlfn.XLOOKUP(C3101 &amp; F3101,
         [1]unilever_price_limits!A:A &amp; [1]unilever_price_limits!B:B,
         [1]unilever_price_limits!C:C)</f>
        <v>60</v>
      </c>
      <c r="H3101" s="8">
        <f t="shared" si="193"/>
        <v>14.048</v>
      </c>
      <c r="I3101" s="6">
        <f t="shared" si="194"/>
        <v>60.000000000000007</v>
      </c>
      <c r="J3101" t="str">
        <f t="shared" si="195"/>
        <v>OK</v>
      </c>
    </row>
    <row r="3102" spans="1:10" x14ac:dyDescent="0.2">
      <c r="A3102">
        <v>13101</v>
      </c>
      <c r="B3102" t="s">
        <v>5</v>
      </c>
      <c r="C3102" t="s">
        <v>11</v>
      </c>
      <c r="D3102" s="8">
        <v>8.14</v>
      </c>
      <c r="E3102">
        <v>3</v>
      </c>
      <c r="F3102" t="str">
        <f t="shared" si="192"/>
        <v>Value</v>
      </c>
      <c r="G3102" s="3" cm="1">
        <f t="array" ref="G3102">_xlfn.XLOOKUP(C3102 &amp; F3102,
         [1]unilever_price_limits!A:A &amp; [1]unilever_price_limits!B:B,
         [1]unilever_price_limits!C:C)</f>
        <v>10</v>
      </c>
      <c r="H3102" s="8">
        <f t="shared" si="193"/>
        <v>8.9540000000000006</v>
      </c>
      <c r="I3102" s="6">
        <f t="shared" si="194"/>
        <v>10.000000000000009</v>
      </c>
      <c r="J3102" t="str">
        <f t="shared" si="195"/>
        <v>OK</v>
      </c>
    </row>
    <row r="3103" spans="1:10" x14ac:dyDescent="0.2">
      <c r="A3103">
        <v>13102</v>
      </c>
      <c r="B3103" t="s">
        <v>8</v>
      </c>
      <c r="C3103" t="s">
        <v>9</v>
      </c>
      <c r="D3103" s="8">
        <v>1.05</v>
      </c>
      <c r="E3103">
        <v>7</v>
      </c>
      <c r="F3103" t="str">
        <f t="shared" si="192"/>
        <v>Standard</v>
      </c>
      <c r="G3103" s="3" cm="1">
        <f t="array" ref="G3103">_xlfn.XLOOKUP(C3103 &amp; F3103,
         [1]unilever_price_limits!A:A &amp; [1]unilever_price_limits!B:B,
         [1]unilever_price_limits!C:C)</f>
        <v>30</v>
      </c>
      <c r="H3103" s="8">
        <f t="shared" si="193"/>
        <v>1.3650000000000002</v>
      </c>
      <c r="I3103" s="6">
        <f t="shared" si="194"/>
        <v>30.000000000000004</v>
      </c>
      <c r="J3103" t="str">
        <f t="shared" si="195"/>
        <v>OK</v>
      </c>
    </row>
    <row r="3104" spans="1:10" x14ac:dyDescent="0.2">
      <c r="A3104">
        <v>13103</v>
      </c>
      <c r="B3104" t="s">
        <v>5</v>
      </c>
      <c r="C3104" t="s">
        <v>9</v>
      </c>
      <c r="D3104" s="8">
        <v>9.42</v>
      </c>
      <c r="E3104">
        <v>10</v>
      </c>
      <c r="F3104" t="str">
        <f t="shared" si="192"/>
        <v>Premium</v>
      </c>
      <c r="G3104" s="3" cm="1">
        <f t="array" ref="G3104">_xlfn.XLOOKUP(C3104 &amp; F3104,
         [1]unilever_price_limits!A:A &amp; [1]unilever_price_limits!B:B,
         [1]unilever_price_limits!C:C)</f>
        <v>60</v>
      </c>
      <c r="H3104" s="8">
        <f t="shared" si="193"/>
        <v>15.072000000000001</v>
      </c>
      <c r="I3104" s="6">
        <f t="shared" si="194"/>
        <v>60.000000000000007</v>
      </c>
      <c r="J3104" t="str">
        <f t="shared" si="195"/>
        <v>OK</v>
      </c>
    </row>
    <row r="3105" spans="1:10" x14ac:dyDescent="0.2">
      <c r="A3105">
        <v>13104</v>
      </c>
      <c r="B3105" t="s">
        <v>10</v>
      </c>
      <c r="C3105" t="s">
        <v>9</v>
      </c>
      <c r="D3105" s="8">
        <v>12.51</v>
      </c>
      <c r="E3105">
        <v>2</v>
      </c>
      <c r="F3105" t="str">
        <f t="shared" si="192"/>
        <v>Value</v>
      </c>
      <c r="G3105" s="3" cm="1">
        <f t="array" ref="G3105">_xlfn.XLOOKUP(C3105 &amp; F3105,
         [1]unilever_price_limits!A:A &amp; [1]unilever_price_limits!B:B,
         [1]unilever_price_limits!C:C)</f>
        <v>15</v>
      </c>
      <c r="H3105" s="8">
        <f t="shared" si="193"/>
        <v>14.386499999999998</v>
      </c>
      <c r="I3105" s="6">
        <f t="shared" si="194"/>
        <v>14.999999999999991</v>
      </c>
      <c r="J3105" t="str">
        <f t="shared" si="195"/>
        <v>OK</v>
      </c>
    </row>
    <row r="3106" spans="1:10" x14ac:dyDescent="0.2">
      <c r="A3106">
        <v>13105</v>
      </c>
      <c r="B3106" t="s">
        <v>10</v>
      </c>
      <c r="C3106" t="s">
        <v>11</v>
      </c>
      <c r="D3106" s="8">
        <v>2.78</v>
      </c>
      <c r="E3106">
        <v>4</v>
      </c>
      <c r="F3106" t="str">
        <f t="shared" si="192"/>
        <v>Standard</v>
      </c>
      <c r="G3106" s="3" cm="1">
        <f t="array" ref="G3106">_xlfn.XLOOKUP(C3106 &amp; F3106,
         [1]unilever_price_limits!A:A &amp; [1]unilever_price_limits!B:B,
         [1]unilever_price_limits!C:C)</f>
        <v>25</v>
      </c>
      <c r="H3106" s="8">
        <f t="shared" si="193"/>
        <v>3.4749999999999996</v>
      </c>
      <c r="I3106" s="6">
        <f t="shared" si="194"/>
        <v>25</v>
      </c>
      <c r="J3106" t="str">
        <f t="shared" si="195"/>
        <v>OK</v>
      </c>
    </row>
    <row r="3107" spans="1:10" x14ac:dyDescent="0.2">
      <c r="A3107">
        <v>13106</v>
      </c>
      <c r="B3107" t="s">
        <v>8</v>
      </c>
      <c r="C3107" t="s">
        <v>9</v>
      </c>
      <c r="D3107" s="8">
        <v>9.1199999999999992</v>
      </c>
      <c r="E3107">
        <v>6</v>
      </c>
      <c r="F3107" t="str">
        <f t="shared" si="192"/>
        <v>Standard</v>
      </c>
      <c r="G3107" s="3" cm="1">
        <f t="array" ref="G3107">_xlfn.XLOOKUP(C3107 &amp; F3107,
         [1]unilever_price_limits!A:A &amp; [1]unilever_price_limits!B:B,
         [1]unilever_price_limits!C:C)</f>
        <v>30</v>
      </c>
      <c r="H3107" s="8">
        <f t="shared" si="193"/>
        <v>11.856</v>
      </c>
      <c r="I3107" s="6">
        <f t="shared" si="194"/>
        <v>30.000000000000004</v>
      </c>
      <c r="J3107" t="str">
        <f t="shared" si="195"/>
        <v>OK</v>
      </c>
    </row>
    <row r="3108" spans="1:10" x14ac:dyDescent="0.2">
      <c r="A3108">
        <v>13107</v>
      </c>
      <c r="B3108" t="s">
        <v>10</v>
      </c>
      <c r="C3108" t="s">
        <v>6</v>
      </c>
      <c r="D3108" s="8">
        <v>9.11</v>
      </c>
      <c r="E3108">
        <v>5</v>
      </c>
      <c r="F3108" t="str">
        <f t="shared" si="192"/>
        <v>Standard</v>
      </c>
      <c r="G3108" s="3" cm="1">
        <f t="array" ref="G3108">_xlfn.XLOOKUP(C3108 &amp; F3108,
         [1]unilever_price_limits!A:A &amp; [1]unilever_price_limits!B:B,
         [1]unilever_price_limits!C:C)</f>
        <v>28</v>
      </c>
      <c r="H3108" s="8">
        <f t="shared" si="193"/>
        <v>11.6608</v>
      </c>
      <c r="I3108" s="6">
        <f t="shared" si="194"/>
        <v>28.000000000000004</v>
      </c>
      <c r="J3108" t="str">
        <f t="shared" si="195"/>
        <v>OK</v>
      </c>
    </row>
    <row r="3109" spans="1:10" x14ac:dyDescent="0.2">
      <c r="A3109">
        <v>13108</v>
      </c>
      <c r="B3109" t="s">
        <v>7</v>
      </c>
      <c r="C3109" t="s">
        <v>11</v>
      </c>
      <c r="D3109" s="8">
        <v>2.88</v>
      </c>
      <c r="E3109">
        <v>9</v>
      </c>
      <c r="F3109" t="str">
        <f t="shared" si="192"/>
        <v>Premium</v>
      </c>
      <c r="G3109" s="3" cm="1">
        <f t="array" ref="G3109">_xlfn.XLOOKUP(C3109 &amp; F3109,
         [1]unilever_price_limits!A:A &amp; [1]unilever_price_limits!B:B,
         [1]unilever_price_limits!C:C)</f>
        <v>50</v>
      </c>
      <c r="H3109" s="8">
        <f t="shared" si="193"/>
        <v>4.32</v>
      </c>
      <c r="I3109" s="6">
        <f t="shared" si="194"/>
        <v>50.000000000000021</v>
      </c>
      <c r="J3109" t="str">
        <f t="shared" si="195"/>
        <v>OK</v>
      </c>
    </row>
    <row r="3110" spans="1:10" x14ac:dyDescent="0.2">
      <c r="A3110">
        <v>13109</v>
      </c>
      <c r="B3110" t="s">
        <v>8</v>
      </c>
      <c r="C3110" t="s">
        <v>11</v>
      </c>
      <c r="D3110" s="8">
        <v>2.29</v>
      </c>
      <c r="E3110">
        <v>10</v>
      </c>
      <c r="F3110" t="str">
        <f t="shared" si="192"/>
        <v>Premium</v>
      </c>
      <c r="G3110" s="3" cm="1">
        <f t="array" ref="G3110">_xlfn.XLOOKUP(C3110 &amp; F3110,
         [1]unilever_price_limits!A:A &amp; [1]unilever_price_limits!B:B,
         [1]unilever_price_limits!C:C)</f>
        <v>50</v>
      </c>
      <c r="H3110" s="8">
        <f t="shared" si="193"/>
        <v>3.4350000000000001</v>
      </c>
      <c r="I3110" s="6">
        <f t="shared" si="194"/>
        <v>50</v>
      </c>
      <c r="J3110" t="str">
        <f t="shared" si="195"/>
        <v>OK</v>
      </c>
    </row>
    <row r="3111" spans="1:10" x14ac:dyDescent="0.2">
      <c r="A3111">
        <v>13110</v>
      </c>
      <c r="B3111" t="s">
        <v>10</v>
      </c>
      <c r="C3111" t="s">
        <v>6</v>
      </c>
      <c r="D3111" s="8">
        <v>14.71</v>
      </c>
      <c r="E3111">
        <v>4</v>
      </c>
      <c r="F3111" t="str">
        <f t="shared" si="192"/>
        <v>Standard</v>
      </c>
      <c r="G3111" s="3" cm="1">
        <f t="array" ref="G3111">_xlfn.XLOOKUP(C3111 &amp; F3111,
         [1]unilever_price_limits!A:A &amp; [1]unilever_price_limits!B:B,
         [1]unilever_price_limits!C:C)</f>
        <v>28</v>
      </c>
      <c r="H3111" s="8">
        <f t="shared" si="193"/>
        <v>18.828800000000001</v>
      </c>
      <c r="I3111" s="6">
        <f t="shared" si="194"/>
        <v>28.000000000000004</v>
      </c>
      <c r="J3111" t="str">
        <f t="shared" si="195"/>
        <v>OK</v>
      </c>
    </row>
    <row r="3112" spans="1:10" x14ac:dyDescent="0.2">
      <c r="A3112">
        <v>13111</v>
      </c>
      <c r="B3112" t="s">
        <v>8</v>
      </c>
      <c r="C3112" t="s">
        <v>6</v>
      </c>
      <c r="D3112" s="8">
        <v>6.21</v>
      </c>
      <c r="E3112">
        <v>5</v>
      </c>
      <c r="F3112" t="str">
        <f t="shared" si="192"/>
        <v>Standard</v>
      </c>
      <c r="G3112" s="3" cm="1">
        <f t="array" ref="G3112">_xlfn.XLOOKUP(C3112 &amp; F3112,
         [1]unilever_price_limits!A:A &amp; [1]unilever_price_limits!B:B,
         [1]unilever_price_limits!C:C)</f>
        <v>28</v>
      </c>
      <c r="H3112" s="8">
        <f t="shared" si="193"/>
        <v>7.9488000000000003</v>
      </c>
      <c r="I3112" s="6">
        <f t="shared" si="194"/>
        <v>28.000000000000004</v>
      </c>
      <c r="J3112" t="str">
        <f t="shared" si="195"/>
        <v>OK</v>
      </c>
    </row>
    <row r="3113" spans="1:10" x14ac:dyDescent="0.2">
      <c r="A3113">
        <v>13112</v>
      </c>
      <c r="B3113" t="s">
        <v>5</v>
      </c>
      <c r="C3113" t="s">
        <v>6</v>
      </c>
      <c r="D3113" s="8">
        <v>3.8</v>
      </c>
      <c r="E3113">
        <v>4</v>
      </c>
      <c r="F3113" t="str">
        <f t="shared" si="192"/>
        <v>Standard</v>
      </c>
      <c r="G3113" s="3" cm="1">
        <f t="array" ref="G3113">_xlfn.XLOOKUP(C3113 &amp; F3113,
         [1]unilever_price_limits!A:A &amp; [1]unilever_price_limits!B:B,
         [1]unilever_price_limits!C:C)</f>
        <v>28</v>
      </c>
      <c r="H3113" s="8">
        <f t="shared" si="193"/>
        <v>4.8639999999999999</v>
      </c>
      <c r="I3113" s="6">
        <f t="shared" si="194"/>
        <v>28.000000000000004</v>
      </c>
      <c r="J3113" t="str">
        <f t="shared" si="195"/>
        <v>OK</v>
      </c>
    </row>
    <row r="3114" spans="1:10" x14ac:dyDescent="0.2">
      <c r="A3114">
        <v>13113</v>
      </c>
      <c r="B3114" t="s">
        <v>10</v>
      </c>
      <c r="C3114" t="s">
        <v>9</v>
      </c>
      <c r="D3114" s="8">
        <v>2.98</v>
      </c>
      <c r="E3114">
        <v>8</v>
      </c>
      <c r="F3114" t="str">
        <f t="shared" si="192"/>
        <v>Premium</v>
      </c>
      <c r="G3114" s="3" cm="1">
        <f t="array" ref="G3114">_xlfn.XLOOKUP(C3114 &amp; F3114,
         [1]unilever_price_limits!A:A &amp; [1]unilever_price_limits!B:B,
         [1]unilever_price_limits!C:C)</f>
        <v>60</v>
      </c>
      <c r="H3114" s="8">
        <f t="shared" si="193"/>
        <v>4.7679999999999998</v>
      </c>
      <c r="I3114" s="6">
        <f t="shared" si="194"/>
        <v>59.999999999999986</v>
      </c>
      <c r="J3114" t="str">
        <f t="shared" si="195"/>
        <v>OK</v>
      </c>
    </row>
    <row r="3115" spans="1:10" x14ac:dyDescent="0.2">
      <c r="A3115">
        <v>13114</v>
      </c>
      <c r="B3115" t="s">
        <v>7</v>
      </c>
      <c r="C3115" t="s">
        <v>6</v>
      </c>
      <c r="D3115" s="8">
        <v>10.18</v>
      </c>
      <c r="E3115">
        <v>8</v>
      </c>
      <c r="F3115" t="str">
        <f t="shared" si="192"/>
        <v>Premium</v>
      </c>
      <c r="G3115" s="3" cm="1">
        <f t="array" ref="G3115">_xlfn.XLOOKUP(C3115 &amp; F3115,
         [1]unilever_price_limits!A:A &amp; [1]unilever_price_limits!B:B,
         [1]unilever_price_limits!C:C)</f>
        <v>55</v>
      </c>
      <c r="H3115" s="8">
        <f t="shared" si="193"/>
        <v>15.779</v>
      </c>
      <c r="I3115" s="6">
        <f t="shared" si="194"/>
        <v>55.000000000000007</v>
      </c>
      <c r="J3115" t="str">
        <f t="shared" si="195"/>
        <v>OK</v>
      </c>
    </row>
    <row r="3116" spans="1:10" x14ac:dyDescent="0.2">
      <c r="A3116">
        <v>13115</v>
      </c>
      <c r="B3116" t="s">
        <v>10</v>
      </c>
      <c r="C3116" t="s">
        <v>9</v>
      </c>
      <c r="D3116" s="8">
        <v>9.34</v>
      </c>
      <c r="E3116">
        <v>3</v>
      </c>
      <c r="F3116" t="str">
        <f t="shared" si="192"/>
        <v>Value</v>
      </c>
      <c r="G3116" s="3" cm="1">
        <f t="array" ref="G3116">_xlfn.XLOOKUP(C3116 &amp; F3116,
         [1]unilever_price_limits!A:A &amp; [1]unilever_price_limits!B:B,
         [1]unilever_price_limits!C:C)</f>
        <v>15</v>
      </c>
      <c r="H3116" s="8">
        <f t="shared" si="193"/>
        <v>10.741</v>
      </c>
      <c r="I3116" s="6">
        <f t="shared" si="194"/>
        <v>14.999999999999991</v>
      </c>
      <c r="J3116" t="str">
        <f t="shared" si="195"/>
        <v>OK</v>
      </c>
    </row>
    <row r="3117" spans="1:10" x14ac:dyDescent="0.2">
      <c r="A3117">
        <v>13116</v>
      </c>
      <c r="B3117" t="s">
        <v>8</v>
      </c>
      <c r="C3117" t="s">
        <v>11</v>
      </c>
      <c r="D3117" s="8">
        <v>9.83</v>
      </c>
      <c r="E3117">
        <v>1</v>
      </c>
      <c r="F3117" t="str">
        <f t="shared" si="192"/>
        <v>Value</v>
      </c>
      <c r="G3117" s="3" cm="1">
        <f t="array" ref="G3117">_xlfn.XLOOKUP(C3117 &amp; F3117,
         [1]unilever_price_limits!A:A &amp; [1]unilever_price_limits!B:B,
         [1]unilever_price_limits!C:C)</f>
        <v>10</v>
      </c>
      <c r="H3117" s="8">
        <f t="shared" si="193"/>
        <v>10.813000000000001</v>
      </c>
      <c r="I3117" s="6">
        <f t="shared" si="194"/>
        <v>10.000000000000009</v>
      </c>
      <c r="J3117" t="str">
        <f t="shared" si="195"/>
        <v>OK</v>
      </c>
    </row>
    <row r="3118" spans="1:10" x14ac:dyDescent="0.2">
      <c r="A3118">
        <v>13117</v>
      </c>
      <c r="B3118" t="s">
        <v>8</v>
      </c>
      <c r="C3118" t="s">
        <v>11</v>
      </c>
      <c r="D3118" s="8">
        <v>1.78</v>
      </c>
      <c r="E3118">
        <v>6</v>
      </c>
      <c r="F3118" t="str">
        <f t="shared" si="192"/>
        <v>Standard</v>
      </c>
      <c r="G3118" s="3" cm="1">
        <f t="array" ref="G3118">_xlfn.XLOOKUP(C3118 &amp; F3118,
         [1]unilever_price_limits!A:A &amp; [1]unilever_price_limits!B:B,
         [1]unilever_price_limits!C:C)</f>
        <v>25</v>
      </c>
      <c r="H3118" s="8">
        <f t="shared" si="193"/>
        <v>2.2250000000000001</v>
      </c>
      <c r="I3118" s="6">
        <f t="shared" si="194"/>
        <v>25</v>
      </c>
      <c r="J3118" t="str">
        <f t="shared" si="195"/>
        <v>OK</v>
      </c>
    </row>
    <row r="3119" spans="1:10" x14ac:dyDescent="0.2">
      <c r="A3119">
        <v>13118</v>
      </c>
      <c r="B3119" t="s">
        <v>10</v>
      </c>
      <c r="C3119" t="s">
        <v>6</v>
      </c>
      <c r="D3119" s="8">
        <v>13.46</v>
      </c>
      <c r="E3119">
        <v>2</v>
      </c>
      <c r="F3119" t="str">
        <f t="shared" si="192"/>
        <v>Value</v>
      </c>
      <c r="G3119" s="3" cm="1">
        <f t="array" ref="G3119">_xlfn.XLOOKUP(C3119 &amp; F3119,
         [1]unilever_price_limits!A:A &amp; [1]unilever_price_limits!B:B,
         [1]unilever_price_limits!C:C)</f>
        <v>12</v>
      </c>
      <c r="H3119" s="8">
        <f t="shared" si="193"/>
        <v>15.075200000000002</v>
      </c>
      <c r="I3119" s="6">
        <f t="shared" si="194"/>
        <v>12.000000000000011</v>
      </c>
      <c r="J3119" t="str">
        <f t="shared" si="195"/>
        <v>OK</v>
      </c>
    </row>
    <row r="3120" spans="1:10" x14ac:dyDescent="0.2">
      <c r="A3120">
        <v>13119</v>
      </c>
      <c r="B3120" t="s">
        <v>7</v>
      </c>
      <c r="C3120" t="s">
        <v>9</v>
      </c>
      <c r="D3120" s="8">
        <v>6.14</v>
      </c>
      <c r="E3120">
        <v>2</v>
      </c>
      <c r="F3120" t="str">
        <f t="shared" si="192"/>
        <v>Value</v>
      </c>
      <c r="G3120" s="3" cm="1">
        <f t="array" ref="G3120">_xlfn.XLOOKUP(C3120 &amp; F3120,
         [1]unilever_price_limits!A:A &amp; [1]unilever_price_limits!B:B,
         [1]unilever_price_limits!C:C)</f>
        <v>15</v>
      </c>
      <c r="H3120" s="8">
        <f t="shared" si="193"/>
        <v>7.0609999999999991</v>
      </c>
      <c r="I3120" s="6">
        <f t="shared" si="194"/>
        <v>14.999999999999991</v>
      </c>
      <c r="J3120" t="str">
        <f t="shared" si="195"/>
        <v>OK</v>
      </c>
    </row>
    <row r="3121" spans="1:10" x14ac:dyDescent="0.2">
      <c r="A3121">
        <v>13120</v>
      </c>
      <c r="B3121" t="s">
        <v>7</v>
      </c>
      <c r="C3121" t="s">
        <v>6</v>
      </c>
      <c r="D3121" s="8">
        <v>5.04</v>
      </c>
      <c r="E3121">
        <v>3</v>
      </c>
      <c r="F3121" t="str">
        <f t="shared" si="192"/>
        <v>Value</v>
      </c>
      <c r="G3121" s="3" cm="1">
        <f t="array" ref="G3121">_xlfn.XLOOKUP(C3121 &amp; F3121,
         [1]unilever_price_limits!A:A &amp; [1]unilever_price_limits!B:B,
         [1]unilever_price_limits!C:C)</f>
        <v>12</v>
      </c>
      <c r="H3121" s="8">
        <f t="shared" si="193"/>
        <v>5.6448000000000009</v>
      </c>
      <c r="I3121" s="6">
        <f t="shared" si="194"/>
        <v>12.000000000000011</v>
      </c>
      <c r="J3121" t="str">
        <f t="shared" si="195"/>
        <v>OK</v>
      </c>
    </row>
    <row r="3122" spans="1:10" x14ac:dyDescent="0.2">
      <c r="A3122">
        <v>13121</v>
      </c>
      <c r="B3122" t="s">
        <v>7</v>
      </c>
      <c r="C3122" t="s">
        <v>6</v>
      </c>
      <c r="D3122" s="8">
        <v>7.2</v>
      </c>
      <c r="E3122">
        <v>8</v>
      </c>
      <c r="F3122" t="str">
        <f t="shared" si="192"/>
        <v>Premium</v>
      </c>
      <c r="G3122" s="3" cm="1">
        <f t="array" ref="G3122">_xlfn.XLOOKUP(C3122 &amp; F3122,
         [1]unilever_price_limits!A:A &amp; [1]unilever_price_limits!B:B,
         [1]unilever_price_limits!C:C)</f>
        <v>55</v>
      </c>
      <c r="H3122" s="8">
        <f t="shared" si="193"/>
        <v>11.16</v>
      </c>
      <c r="I3122" s="6">
        <f t="shared" si="194"/>
        <v>55.000000000000007</v>
      </c>
      <c r="J3122" t="str">
        <f t="shared" si="195"/>
        <v>OK</v>
      </c>
    </row>
    <row r="3123" spans="1:10" x14ac:dyDescent="0.2">
      <c r="A3123">
        <v>13122</v>
      </c>
      <c r="B3123" t="s">
        <v>8</v>
      </c>
      <c r="C3123" t="s">
        <v>9</v>
      </c>
      <c r="D3123" s="8">
        <v>6.16</v>
      </c>
      <c r="E3123">
        <v>3</v>
      </c>
      <c r="F3123" t="str">
        <f t="shared" si="192"/>
        <v>Value</v>
      </c>
      <c r="G3123" s="3" cm="1">
        <f t="array" ref="G3123">_xlfn.XLOOKUP(C3123 &amp; F3123,
         [1]unilever_price_limits!A:A &amp; [1]unilever_price_limits!B:B,
         [1]unilever_price_limits!C:C)</f>
        <v>15</v>
      </c>
      <c r="H3123" s="8">
        <f t="shared" si="193"/>
        <v>7.0839999999999996</v>
      </c>
      <c r="I3123" s="6">
        <f t="shared" si="194"/>
        <v>14.999999999999991</v>
      </c>
      <c r="J3123" t="str">
        <f t="shared" si="195"/>
        <v>OK</v>
      </c>
    </row>
    <row r="3124" spans="1:10" x14ac:dyDescent="0.2">
      <c r="A3124">
        <v>13123</v>
      </c>
      <c r="B3124" t="s">
        <v>10</v>
      </c>
      <c r="C3124" t="s">
        <v>6</v>
      </c>
      <c r="D3124" s="8">
        <v>13.02</v>
      </c>
      <c r="E3124">
        <v>7</v>
      </c>
      <c r="F3124" t="str">
        <f t="shared" si="192"/>
        <v>Standard</v>
      </c>
      <c r="G3124" s="3" cm="1">
        <f t="array" ref="G3124">_xlfn.XLOOKUP(C3124 &amp; F3124,
         [1]unilever_price_limits!A:A &amp; [1]unilever_price_limits!B:B,
         [1]unilever_price_limits!C:C)</f>
        <v>28</v>
      </c>
      <c r="H3124" s="8">
        <f t="shared" si="193"/>
        <v>16.665600000000001</v>
      </c>
      <c r="I3124" s="6">
        <f t="shared" si="194"/>
        <v>28.000000000000025</v>
      </c>
      <c r="J3124" t="str">
        <f t="shared" si="195"/>
        <v>OK</v>
      </c>
    </row>
    <row r="3125" spans="1:10" x14ac:dyDescent="0.2">
      <c r="A3125">
        <v>13124</v>
      </c>
      <c r="B3125" t="s">
        <v>5</v>
      </c>
      <c r="C3125" t="s">
        <v>11</v>
      </c>
      <c r="D3125" s="8">
        <v>13.97</v>
      </c>
      <c r="E3125">
        <v>10</v>
      </c>
      <c r="F3125" t="str">
        <f t="shared" si="192"/>
        <v>Premium</v>
      </c>
      <c r="G3125" s="3" cm="1">
        <f t="array" ref="G3125">_xlfn.XLOOKUP(C3125 &amp; F3125,
         [1]unilever_price_limits!A:A &amp; [1]unilever_price_limits!B:B,
         [1]unilever_price_limits!C:C)</f>
        <v>50</v>
      </c>
      <c r="H3125" s="8">
        <f t="shared" si="193"/>
        <v>20.955000000000002</v>
      </c>
      <c r="I3125" s="6">
        <f t="shared" si="194"/>
        <v>50</v>
      </c>
      <c r="J3125" t="str">
        <f t="shared" si="195"/>
        <v>OK</v>
      </c>
    </row>
    <row r="3126" spans="1:10" x14ac:dyDescent="0.2">
      <c r="A3126">
        <v>13125</v>
      </c>
      <c r="B3126" t="s">
        <v>8</v>
      </c>
      <c r="C3126" t="s">
        <v>6</v>
      </c>
      <c r="D3126" s="8">
        <v>4.9000000000000004</v>
      </c>
      <c r="E3126">
        <v>10</v>
      </c>
      <c r="F3126" t="str">
        <f t="shared" si="192"/>
        <v>Premium</v>
      </c>
      <c r="G3126" s="3" cm="1">
        <f t="array" ref="G3126">_xlfn.XLOOKUP(C3126 &amp; F3126,
         [1]unilever_price_limits!A:A &amp; [1]unilever_price_limits!B:B,
         [1]unilever_price_limits!C:C)</f>
        <v>55</v>
      </c>
      <c r="H3126" s="8">
        <f t="shared" si="193"/>
        <v>7.5950000000000006</v>
      </c>
      <c r="I3126" s="6">
        <f t="shared" si="194"/>
        <v>55.000000000000007</v>
      </c>
      <c r="J3126" t="str">
        <f t="shared" si="195"/>
        <v>OK</v>
      </c>
    </row>
    <row r="3127" spans="1:10" x14ac:dyDescent="0.2">
      <c r="A3127">
        <v>13126</v>
      </c>
      <c r="B3127" t="s">
        <v>7</v>
      </c>
      <c r="C3127" t="s">
        <v>9</v>
      </c>
      <c r="D3127" s="8">
        <v>13.03</v>
      </c>
      <c r="E3127">
        <v>9</v>
      </c>
      <c r="F3127" t="str">
        <f t="shared" si="192"/>
        <v>Premium</v>
      </c>
      <c r="G3127" s="3" cm="1">
        <f t="array" ref="G3127">_xlfn.XLOOKUP(C3127 &amp; F3127,
         [1]unilever_price_limits!A:A &amp; [1]unilever_price_limits!B:B,
         [1]unilever_price_limits!C:C)</f>
        <v>60</v>
      </c>
      <c r="H3127" s="8">
        <f t="shared" si="193"/>
        <v>20.847999999999999</v>
      </c>
      <c r="I3127" s="6">
        <f t="shared" si="194"/>
        <v>60.000000000000007</v>
      </c>
      <c r="J3127" t="str">
        <f t="shared" si="195"/>
        <v>OK</v>
      </c>
    </row>
    <row r="3128" spans="1:10" x14ac:dyDescent="0.2">
      <c r="A3128">
        <v>13127</v>
      </c>
      <c r="B3128" t="s">
        <v>10</v>
      </c>
      <c r="C3128" t="s">
        <v>9</v>
      </c>
      <c r="D3128" s="8">
        <v>11.83</v>
      </c>
      <c r="E3128">
        <v>8</v>
      </c>
      <c r="F3128" t="str">
        <f t="shared" si="192"/>
        <v>Premium</v>
      </c>
      <c r="G3128" s="3" cm="1">
        <f t="array" ref="G3128">_xlfn.XLOOKUP(C3128 &amp; F3128,
         [1]unilever_price_limits!A:A &amp; [1]unilever_price_limits!B:B,
         [1]unilever_price_limits!C:C)</f>
        <v>60</v>
      </c>
      <c r="H3128" s="8">
        <f t="shared" si="193"/>
        <v>18.928000000000001</v>
      </c>
      <c r="I3128" s="6">
        <f t="shared" si="194"/>
        <v>60.000000000000007</v>
      </c>
      <c r="J3128" t="str">
        <f t="shared" si="195"/>
        <v>OK</v>
      </c>
    </row>
    <row r="3129" spans="1:10" x14ac:dyDescent="0.2">
      <c r="A3129">
        <v>13128</v>
      </c>
      <c r="B3129" t="s">
        <v>7</v>
      </c>
      <c r="C3129" t="s">
        <v>11</v>
      </c>
      <c r="D3129" s="8">
        <v>14</v>
      </c>
      <c r="E3129">
        <v>1</v>
      </c>
      <c r="F3129" t="str">
        <f t="shared" si="192"/>
        <v>Value</v>
      </c>
      <c r="G3129" s="3" cm="1">
        <f t="array" ref="G3129">_xlfn.XLOOKUP(C3129 &amp; F3129,
         [1]unilever_price_limits!A:A &amp; [1]unilever_price_limits!B:B,
         [1]unilever_price_limits!C:C)</f>
        <v>10</v>
      </c>
      <c r="H3129" s="8">
        <f t="shared" si="193"/>
        <v>15.400000000000002</v>
      </c>
      <c r="I3129" s="6">
        <f t="shared" si="194"/>
        <v>10.000000000000009</v>
      </c>
      <c r="J3129" t="str">
        <f t="shared" si="195"/>
        <v>OK</v>
      </c>
    </row>
    <row r="3130" spans="1:10" x14ac:dyDescent="0.2">
      <c r="A3130">
        <v>13129</v>
      </c>
      <c r="B3130" t="s">
        <v>5</v>
      </c>
      <c r="C3130" t="s">
        <v>9</v>
      </c>
      <c r="D3130" s="8">
        <v>4.0599999999999996</v>
      </c>
      <c r="E3130">
        <v>7</v>
      </c>
      <c r="F3130" t="str">
        <f t="shared" si="192"/>
        <v>Standard</v>
      </c>
      <c r="G3130" s="3" cm="1">
        <f t="array" ref="G3130">_xlfn.XLOOKUP(C3130 &amp; F3130,
         [1]unilever_price_limits!A:A &amp; [1]unilever_price_limits!B:B,
         [1]unilever_price_limits!C:C)</f>
        <v>30</v>
      </c>
      <c r="H3130" s="8">
        <f t="shared" si="193"/>
        <v>5.2779999999999996</v>
      </c>
      <c r="I3130" s="6">
        <f t="shared" si="194"/>
        <v>30.000000000000004</v>
      </c>
      <c r="J3130" t="str">
        <f t="shared" si="195"/>
        <v>OK</v>
      </c>
    </row>
    <row r="3131" spans="1:10" x14ac:dyDescent="0.2">
      <c r="A3131">
        <v>13130</v>
      </c>
      <c r="B3131" t="s">
        <v>7</v>
      </c>
      <c r="C3131" t="s">
        <v>9</v>
      </c>
      <c r="D3131" s="8">
        <v>8.8699999999999992</v>
      </c>
      <c r="E3131">
        <v>7</v>
      </c>
      <c r="F3131" t="str">
        <f t="shared" si="192"/>
        <v>Standard</v>
      </c>
      <c r="G3131" s="3" cm="1">
        <f t="array" ref="G3131">_xlfn.XLOOKUP(C3131 &amp; F3131,
         [1]unilever_price_limits!A:A &amp; [1]unilever_price_limits!B:B,
         [1]unilever_price_limits!C:C)</f>
        <v>30</v>
      </c>
      <c r="H3131" s="8">
        <f t="shared" si="193"/>
        <v>11.530999999999999</v>
      </c>
      <c r="I3131" s="6">
        <f t="shared" si="194"/>
        <v>30.000000000000004</v>
      </c>
      <c r="J3131" t="str">
        <f t="shared" si="195"/>
        <v>OK</v>
      </c>
    </row>
    <row r="3132" spans="1:10" x14ac:dyDescent="0.2">
      <c r="A3132">
        <v>13131</v>
      </c>
      <c r="B3132" t="s">
        <v>7</v>
      </c>
      <c r="C3132" t="s">
        <v>11</v>
      </c>
      <c r="D3132" s="8">
        <v>4.4800000000000004</v>
      </c>
      <c r="E3132">
        <v>8</v>
      </c>
      <c r="F3132" t="str">
        <f t="shared" si="192"/>
        <v>Premium</v>
      </c>
      <c r="G3132" s="3" cm="1">
        <f t="array" ref="G3132">_xlfn.XLOOKUP(C3132 &amp; F3132,
         [1]unilever_price_limits!A:A &amp; [1]unilever_price_limits!B:B,
         [1]unilever_price_limits!C:C)</f>
        <v>50</v>
      </c>
      <c r="H3132" s="8">
        <f t="shared" si="193"/>
        <v>6.7200000000000006</v>
      </c>
      <c r="I3132" s="6">
        <f t="shared" si="194"/>
        <v>50</v>
      </c>
      <c r="J3132" t="str">
        <f t="shared" si="195"/>
        <v>OK</v>
      </c>
    </row>
    <row r="3133" spans="1:10" x14ac:dyDescent="0.2">
      <c r="A3133">
        <v>13132</v>
      </c>
      <c r="B3133" t="s">
        <v>5</v>
      </c>
      <c r="C3133" t="s">
        <v>6</v>
      </c>
      <c r="D3133" s="8">
        <v>12.45</v>
      </c>
      <c r="E3133">
        <v>10</v>
      </c>
      <c r="F3133" t="str">
        <f t="shared" si="192"/>
        <v>Premium</v>
      </c>
      <c r="G3133" s="3" cm="1">
        <f t="array" ref="G3133">_xlfn.XLOOKUP(C3133 &amp; F3133,
         [1]unilever_price_limits!A:A &amp; [1]unilever_price_limits!B:B,
         [1]unilever_price_limits!C:C)</f>
        <v>55</v>
      </c>
      <c r="H3133" s="8">
        <f t="shared" si="193"/>
        <v>19.297499999999999</v>
      </c>
      <c r="I3133" s="6">
        <f t="shared" si="194"/>
        <v>55.000000000000007</v>
      </c>
      <c r="J3133" t="str">
        <f t="shared" si="195"/>
        <v>OK</v>
      </c>
    </row>
    <row r="3134" spans="1:10" x14ac:dyDescent="0.2">
      <c r="A3134">
        <v>13133</v>
      </c>
      <c r="B3134" t="s">
        <v>10</v>
      </c>
      <c r="C3134" t="s">
        <v>11</v>
      </c>
      <c r="D3134" s="8">
        <v>0.57999999999999996</v>
      </c>
      <c r="E3134">
        <v>5</v>
      </c>
      <c r="F3134" t="str">
        <f t="shared" si="192"/>
        <v>Standard</v>
      </c>
      <c r="G3134" s="3" cm="1">
        <f t="array" ref="G3134">_xlfn.XLOOKUP(C3134 &amp; F3134,
         [1]unilever_price_limits!A:A &amp; [1]unilever_price_limits!B:B,
         [1]unilever_price_limits!C:C)</f>
        <v>25</v>
      </c>
      <c r="H3134" s="8">
        <f t="shared" si="193"/>
        <v>0.72499999999999998</v>
      </c>
      <c r="I3134" s="6">
        <f t="shared" si="194"/>
        <v>25</v>
      </c>
      <c r="J3134" t="str">
        <f t="shared" si="195"/>
        <v>OK</v>
      </c>
    </row>
    <row r="3135" spans="1:10" x14ac:dyDescent="0.2">
      <c r="A3135">
        <v>13134</v>
      </c>
      <c r="B3135" t="s">
        <v>8</v>
      </c>
      <c r="C3135" t="s">
        <v>6</v>
      </c>
      <c r="D3135" s="8">
        <v>8.69</v>
      </c>
      <c r="E3135">
        <v>10</v>
      </c>
      <c r="F3135" t="str">
        <f t="shared" si="192"/>
        <v>Premium</v>
      </c>
      <c r="G3135" s="3" cm="1">
        <f t="array" ref="G3135">_xlfn.XLOOKUP(C3135 &amp; F3135,
         [1]unilever_price_limits!A:A &amp; [1]unilever_price_limits!B:B,
         [1]unilever_price_limits!C:C)</f>
        <v>55</v>
      </c>
      <c r="H3135" s="8">
        <f t="shared" si="193"/>
        <v>13.4695</v>
      </c>
      <c r="I3135" s="6">
        <f t="shared" si="194"/>
        <v>55.000000000000007</v>
      </c>
      <c r="J3135" t="str">
        <f t="shared" si="195"/>
        <v>OK</v>
      </c>
    </row>
    <row r="3136" spans="1:10" x14ac:dyDescent="0.2">
      <c r="A3136">
        <v>13135</v>
      </c>
      <c r="B3136" t="s">
        <v>10</v>
      </c>
      <c r="C3136" t="s">
        <v>11</v>
      </c>
      <c r="D3136" s="8">
        <v>5.42</v>
      </c>
      <c r="E3136">
        <v>9</v>
      </c>
      <c r="F3136" t="str">
        <f t="shared" si="192"/>
        <v>Premium</v>
      </c>
      <c r="G3136" s="3" cm="1">
        <f t="array" ref="G3136">_xlfn.XLOOKUP(C3136 &amp; F3136,
         [1]unilever_price_limits!A:A &amp; [1]unilever_price_limits!B:B,
         [1]unilever_price_limits!C:C)</f>
        <v>50</v>
      </c>
      <c r="H3136" s="8">
        <f t="shared" si="193"/>
        <v>8.129999999999999</v>
      </c>
      <c r="I3136" s="6">
        <f t="shared" si="194"/>
        <v>49.999999999999979</v>
      </c>
      <c r="J3136" t="str">
        <f t="shared" si="195"/>
        <v>OK</v>
      </c>
    </row>
    <row r="3137" spans="1:10" x14ac:dyDescent="0.2">
      <c r="A3137">
        <v>13136</v>
      </c>
      <c r="B3137" t="s">
        <v>5</v>
      </c>
      <c r="C3137" t="s">
        <v>6</v>
      </c>
      <c r="D3137" s="8">
        <v>5.18</v>
      </c>
      <c r="E3137">
        <v>9</v>
      </c>
      <c r="F3137" t="str">
        <f t="shared" si="192"/>
        <v>Premium</v>
      </c>
      <c r="G3137" s="3" cm="1">
        <f t="array" ref="G3137">_xlfn.XLOOKUP(C3137 &amp; F3137,
         [1]unilever_price_limits!A:A &amp; [1]unilever_price_limits!B:B,
         [1]unilever_price_limits!C:C)</f>
        <v>55</v>
      </c>
      <c r="H3137" s="8">
        <f t="shared" si="193"/>
        <v>8.0289999999999999</v>
      </c>
      <c r="I3137" s="6">
        <f t="shared" si="194"/>
        <v>55.000000000000007</v>
      </c>
      <c r="J3137" t="str">
        <f t="shared" si="195"/>
        <v>OK</v>
      </c>
    </row>
    <row r="3138" spans="1:10" x14ac:dyDescent="0.2">
      <c r="A3138">
        <v>13137</v>
      </c>
      <c r="B3138" t="s">
        <v>7</v>
      </c>
      <c r="C3138" t="s">
        <v>11</v>
      </c>
      <c r="D3138" s="8">
        <v>9.85</v>
      </c>
      <c r="E3138">
        <v>8</v>
      </c>
      <c r="F3138" t="str">
        <f t="shared" si="192"/>
        <v>Premium</v>
      </c>
      <c r="G3138" s="3" cm="1">
        <f t="array" ref="G3138">_xlfn.XLOOKUP(C3138 &amp; F3138,
         [1]unilever_price_limits!A:A &amp; [1]unilever_price_limits!B:B,
         [1]unilever_price_limits!C:C)</f>
        <v>50</v>
      </c>
      <c r="H3138" s="8">
        <f t="shared" si="193"/>
        <v>14.774999999999999</v>
      </c>
      <c r="I3138" s="6">
        <f t="shared" si="194"/>
        <v>50</v>
      </c>
      <c r="J3138" t="str">
        <f t="shared" si="195"/>
        <v>OK</v>
      </c>
    </row>
    <row r="3139" spans="1:10" x14ac:dyDescent="0.2">
      <c r="A3139">
        <v>13138</v>
      </c>
      <c r="B3139" t="s">
        <v>10</v>
      </c>
      <c r="C3139" t="s">
        <v>6</v>
      </c>
      <c r="D3139" s="8">
        <v>12.85</v>
      </c>
      <c r="E3139">
        <v>6</v>
      </c>
      <c r="F3139" t="str">
        <f t="shared" ref="F3139:F3202" si="196">IF(E3139&lt;=3,"Value",
 IF(E3139&lt;=7,"Standard","Premium"))</f>
        <v>Standard</v>
      </c>
      <c r="G3139" s="3" cm="1">
        <f t="array" ref="G3139">_xlfn.XLOOKUP(C3139 &amp; F3139,
         [1]unilever_price_limits!A:A &amp; [1]unilever_price_limits!B:B,
         [1]unilever_price_limits!C:C)</f>
        <v>28</v>
      </c>
      <c r="H3139" s="8">
        <f t="shared" ref="H3139:H3202" si="197">D3139 * (1 + G3139/100)</f>
        <v>16.448</v>
      </c>
      <c r="I3139" s="6">
        <f t="shared" ref="I3139:I3202" si="198">(H3139 / D3139 - 1) * 100</f>
        <v>28.000000000000004</v>
      </c>
      <c r="J3139" t="str">
        <f t="shared" ref="J3139:J3202" si="199">IF(I3138&gt; G3138, "⚠ Exceeds Limit", "OK")</f>
        <v>OK</v>
      </c>
    </row>
    <row r="3140" spans="1:10" x14ac:dyDescent="0.2">
      <c r="A3140">
        <v>13139</v>
      </c>
      <c r="B3140" t="s">
        <v>8</v>
      </c>
      <c r="C3140" t="s">
        <v>11</v>
      </c>
      <c r="D3140" s="8">
        <v>9.33</v>
      </c>
      <c r="E3140">
        <v>6</v>
      </c>
      <c r="F3140" t="str">
        <f t="shared" si="196"/>
        <v>Standard</v>
      </c>
      <c r="G3140" s="3" cm="1">
        <f t="array" ref="G3140">_xlfn.XLOOKUP(C3140 &amp; F3140,
         [1]unilever_price_limits!A:A &amp; [1]unilever_price_limits!B:B,
         [1]unilever_price_limits!C:C)</f>
        <v>25</v>
      </c>
      <c r="H3140" s="8">
        <f t="shared" si="197"/>
        <v>11.6625</v>
      </c>
      <c r="I3140" s="6">
        <f t="shared" si="198"/>
        <v>25</v>
      </c>
      <c r="J3140" t="str">
        <f t="shared" si="199"/>
        <v>OK</v>
      </c>
    </row>
    <row r="3141" spans="1:10" x14ac:dyDescent="0.2">
      <c r="A3141">
        <v>13140</v>
      </c>
      <c r="B3141" t="s">
        <v>5</v>
      </c>
      <c r="C3141" t="s">
        <v>6</v>
      </c>
      <c r="D3141" s="8">
        <v>12.87</v>
      </c>
      <c r="E3141">
        <v>1</v>
      </c>
      <c r="F3141" t="str">
        <f t="shared" si="196"/>
        <v>Value</v>
      </c>
      <c r="G3141" s="3" cm="1">
        <f t="array" ref="G3141">_xlfn.XLOOKUP(C3141 &amp; F3141,
         [1]unilever_price_limits!A:A &amp; [1]unilever_price_limits!B:B,
         [1]unilever_price_limits!C:C)</f>
        <v>12</v>
      </c>
      <c r="H3141" s="8">
        <f t="shared" si="197"/>
        <v>14.414400000000001</v>
      </c>
      <c r="I3141" s="6">
        <f t="shared" si="198"/>
        <v>12.000000000000011</v>
      </c>
      <c r="J3141" t="str">
        <f t="shared" si="199"/>
        <v>OK</v>
      </c>
    </row>
    <row r="3142" spans="1:10" x14ac:dyDescent="0.2">
      <c r="A3142">
        <v>13141</v>
      </c>
      <c r="B3142" t="s">
        <v>10</v>
      </c>
      <c r="C3142" t="s">
        <v>11</v>
      </c>
      <c r="D3142" s="8">
        <v>4.34</v>
      </c>
      <c r="E3142">
        <v>6</v>
      </c>
      <c r="F3142" t="str">
        <f t="shared" si="196"/>
        <v>Standard</v>
      </c>
      <c r="G3142" s="3" cm="1">
        <f t="array" ref="G3142">_xlfn.XLOOKUP(C3142 &amp; F3142,
         [1]unilever_price_limits!A:A &amp; [1]unilever_price_limits!B:B,
         [1]unilever_price_limits!C:C)</f>
        <v>25</v>
      </c>
      <c r="H3142" s="8">
        <f t="shared" si="197"/>
        <v>5.4249999999999998</v>
      </c>
      <c r="I3142" s="6">
        <f t="shared" si="198"/>
        <v>25</v>
      </c>
      <c r="J3142" t="str">
        <f t="shared" si="199"/>
        <v>OK</v>
      </c>
    </row>
    <row r="3143" spans="1:10" x14ac:dyDescent="0.2">
      <c r="A3143">
        <v>13142</v>
      </c>
      <c r="B3143" t="s">
        <v>8</v>
      </c>
      <c r="C3143" t="s">
        <v>9</v>
      </c>
      <c r="D3143" s="8">
        <v>8.0299999999999994</v>
      </c>
      <c r="E3143">
        <v>4</v>
      </c>
      <c r="F3143" t="str">
        <f t="shared" si="196"/>
        <v>Standard</v>
      </c>
      <c r="G3143" s="3" cm="1">
        <f t="array" ref="G3143">_xlfn.XLOOKUP(C3143 &amp; F3143,
         [1]unilever_price_limits!A:A &amp; [1]unilever_price_limits!B:B,
         [1]unilever_price_limits!C:C)</f>
        <v>30</v>
      </c>
      <c r="H3143" s="8">
        <f t="shared" si="197"/>
        <v>10.439</v>
      </c>
      <c r="I3143" s="6">
        <f t="shared" si="198"/>
        <v>30.000000000000004</v>
      </c>
      <c r="J3143" t="str">
        <f t="shared" si="199"/>
        <v>OK</v>
      </c>
    </row>
    <row r="3144" spans="1:10" x14ac:dyDescent="0.2">
      <c r="A3144">
        <v>13143</v>
      </c>
      <c r="B3144" t="s">
        <v>5</v>
      </c>
      <c r="C3144" t="s">
        <v>6</v>
      </c>
      <c r="D3144" s="8">
        <v>7.03</v>
      </c>
      <c r="E3144">
        <v>4</v>
      </c>
      <c r="F3144" t="str">
        <f t="shared" si="196"/>
        <v>Standard</v>
      </c>
      <c r="G3144" s="3" cm="1">
        <f t="array" ref="G3144">_xlfn.XLOOKUP(C3144 &amp; F3144,
         [1]unilever_price_limits!A:A &amp; [1]unilever_price_limits!B:B,
         [1]unilever_price_limits!C:C)</f>
        <v>28</v>
      </c>
      <c r="H3144" s="8">
        <f t="shared" si="197"/>
        <v>8.9984000000000002</v>
      </c>
      <c r="I3144" s="6">
        <f t="shared" si="198"/>
        <v>28.000000000000004</v>
      </c>
      <c r="J3144" t="str">
        <f t="shared" si="199"/>
        <v>OK</v>
      </c>
    </row>
    <row r="3145" spans="1:10" x14ac:dyDescent="0.2">
      <c r="A3145">
        <v>13144</v>
      </c>
      <c r="B3145" t="s">
        <v>8</v>
      </c>
      <c r="C3145" t="s">
        <v>11</v>
      </c>
      <c r="D3145" s="8">
        <v>0.67</v>
      </c>
      <c r="E3145">
        <v>2</v>
      </c>
      <c r="F3145" t="str">
        <f t="shared" si="196"/>
        <v>Value</v>
      </c>
      <c r="G3145" s="3" cm="1">
        <f t="array" ref="G3145">_xlfn.XLOOKUP(C3145 &amp; F3145,
         [1]unilever_price_limits!A:A &amp; [1]unilever_price_limits!B:B,
         [1]unilever_price_limits!C:C)</f>
        <v>10</v>
      </c>
      <c r="H3145" s="8">
        <f t="shared" si="197"/>
        <v>0.7370000000000001</v>
      </c>
      <c r="I3145" s="6">
        <f t="shared" si="198"/>
        <v>10.000000000000009</v>
      </c>
      <c r="J3145" t="str">
        <f t="shared" si="199"/>
        <v>OK</v>
      </c>
    </row>
    <row r="3146" spans="1:10" x14ac:dyDescent="0.2">
      <c r="A3146">
        <v>13145</v>
      </c>
      <c r="B3146" t="s">
        <v>5</v>
      </c>
      <c r="C3146" t="s">
        <v>6</v>
      </c>
      <c r="D3146" s="8">
        <v>8.57</v>
      </c>
      <c r="E3146">
        <v>4</v>
      </c>
      <c r="F3146" t="str">
        <f t="shared" si="196"/>
        <v>Standard</v>
      </c>
      <c r="G3146" s="3" cm="1">
        <f t="array" ref="G3146">_xlfn.XLOOKUP(C3146 &amp; F3146,
         [1]unilever_price_limits!A:A &amp; [1]unilever_price_limits!B:B,
         [1]unilever_price_limits!C:C)</f>
        <v>28</v>
      </c>
      <c r="H3146" s="8">
        <f t="shared" si="197"/>
        <v>10.9696</v>
      </c>
      <c r="I3146" s="6">
        <f t="shared" si="198"/>
        <v>28.000000000000004</v>
      </c>
      <c r="J3146" t="str">
        <f t="shared" si="199"/>
        <v>OK</v>
      </c>
    </row>
    <row r="3147" spans="1:10" x14ac:dyDescent="0.2">
      <c r="A3147">
        <v>13146</v>
      </c>
      <c r="B3147" t="s">
        <v>7</v>
      </c>
      <c r="C3147" t="s">
        <v>6</v>
      </c>
      <c r="D3147" s="8">
        <v>10.09</v>
      </c>
      <c r="E3147">
        <v>5</v>
      </c>
      <c r="F3147" t="str">
        <f t="shared" si="196"/>
        <v>Standard</v>
      </c>
      <c r="G3147" s="3" cm="1">
        <f t="array" ref="G3147">_xlfn.XLOOKUP(C3147 &amp; F3147,
         [1]unilever_price_limits!A:A &amp; [1]unilever_price_limits!B:B,
         [1]unilever_price_limits!C:C)</f>
        <v>28</v>
      </c>
      <c r="H3147" s="8">
        <f t="shared" si="197"/>
        <v>12.9152</v>
      </c>
      <c r="I3147" s="6">
        <f t="shared" si="198"/>
        <v>28.000000000000004</v>
      </c>
      <c r="J3147" t="str">
        <f t="shared" si="199"/>
        <v>OK</v>
      </c>
    </row>
    <row r="3148" spans="1:10" x14ac:dyDescent="0.2">
      <c r="A3148">
        <v>13147</v>
      </c>
      <c r="B3148" t="s">
        <v>10</v>
      </c>
      <c r="C3148" t="s">
        <v>11</v>
      </c>
      <c r="D3148" s="8">
        <v>9.08</v>
      </c>
      <c r="E3148">
        <v>5</v>
      </c>
      <c r="F3148" t="str">
        <f t="shared" si="196"/>
        <v>Standard</v>
      </c>
      <c r="G3148" s="3" cm="1">
        <f t="array" ref="G3148">_xlfn.XLOOKUP(C3148 &amp; F3148,
         [1]unilever_price_limits!A:A &amp; [1]unilever_price_limits!B:B,
         [1]unilever_price_limits!C:C)</f>
        <v>25</v>
      </c>
      <c r="H3148" s="8">
        <f t="shared" si="197"/>
        <v>11.35</v>
      </c>
      <c r="I3148" s="6">
        <f t="shared" si="198"/>
        <v>25</v>
      </c>
      <c r="J3148" t="str">
        <f t="shared" si="199"/>
        <v>OK</v>
      </c>
    </row>
    <row r="3149" spans="1:10" x14ac:dyDescent="0.2">
      <c r="A3149">
        <v>13148</v>
      </c>
      <c r="B3149" t="s">
        <v>8</v>
      </c>
      <c r="C3149" t="s">
        <v>6</v>
      </c>
      <c r="D3149" s="8">
        <v>11.18</v>
      </c>
      <c r="E3149">
        <v>5</v>
      </c>
      <c r="F3149" t="str">
        <f t="shared" si="196"/>
        <v>Standard</v>
      </c>
      <c r="G3149" s="3" cm="1">
        <f t="array" ref="G3149">_xlfn.XLOOKUP(C3149 &amp; F3149,
         [1]unilever_price_limits!A:A &amp; [1]unilever_price_limits!B:B,
         [1]unilever_price_limits!C:C)</f>
        <v>28</v>
      </c>
      <c r="H3149" s="8">
        <f t="shared" si="197"/>
        <v>14.3104</v>
      </c>
      <c r="I3149" s="6">
        <f t="shared" si="198"/>
        <v>28.000000000000004</v>
      </c>
      <c r="J3149" t="str">
        <f t="shared" si="199"/>
        <v>OK</v>
      </c>
    </row>
    <row r="3150" spans="1:10" x14ac:dyDescent="0.2">
      <c r="A3150">
        <v>13149</v>
      </c>
      <c r="B3150" t="s">
        <v>5</v>
      </c>
      <c r="C3150" t="s">
        <v>11</v>
      </c>
      <c r="D3150" s="8">
        <v>8.7799999999999994</v>
      </c>
      <c r="E3150">
        <v>4</v>
      </c>
      <c r="F3150" t="str">
        <f t="shared" si="196"/>
        <v>Standard</v>
      </c>
      <c r="G3150" s="3" cm="1">
        <f t="array" ref="G3150">_xlfn.XLOOKUP(C3150 &amp; F3150,
         [1]unilever_price_limits!A:A &amp; [1]unilever_price_limits!B:B,
         [1]unilever_price_limits!C:C)</f>
        <v>25</v>
      </c>
      <c r="H3150" s="8">
        <f t="shared" si="197"/>
        <v>10.975</v>
      </c>
      <c r="I3150" s="6">
        <f t="shared" si="198"/>
        <v>25</v>
      </c>
      <c r="J3150" t="str">
        <f t="shared" si="199"/>
        <v>OK</v>
      </c>
    </row>
    <row r="3151" spans="1:10" x14ac:dyDescent="0.2">
      <c r="A3151">
        <v>13150</v>
      </c>
      <c r="B3151" t="s">
        <v>8</v>
      </c>
      <c r="C3151" t="s">
        <v>9</v>
      </c>
      <c r="D3151" s="8">
        <v>1.47</v>
      </c>
      <c r="E3151">
        <v>1</v>
      </c>
      <c r="F3151" t="str">
        <f t="shared" si="196"/>
        <v>Value</v>
      </c>
      <c r="G3151" s="3" cm="1">
        <f t="array" ref="G3151">_xlfn.XLOOKUP(C3151 &amp; F3151,
         [1]unilever_price_limits!A:A &amp; [1]unilever_price_limits!B:B,
         [1]unilever_price_limits!C:C)</f>
        <v>15</v>
      </c>
      <c r="H3151" s="8">
        <f t="shared" si="197"/>
        <v>1.6904999999999999</v>
      </c>
      <c r="I3151" s="6">
        <f t="shared" si="198"/>
        <v>14.999999999999991</v>
      </c>
      <c r="J3151" t="str">
        <f t="shared" si="199"/>
        <v>OK</v>
      </c>
    </row>
    <row r="3152" spans="1:10" x14ac:dyDescent="0.2">
      <c r="A3152">
        <v>13151</v>
      </c>
      <c r="B3152" t="s">
        <v>8</v>
      </c>
      <c r="C3152" t="s">
        <v>6</v>
      </c>
      <c r="D3152" s="8">
        <v>2.19</v>
      </c>
      <c r="E3152">
        <v>10</v>
      </c>
      <c r="F3152" t="str">
        <f t="shared" si="196"/>
        <v>Premium</v>
      </c>
      <c r="G3152" s="3" cm="1">
        <f t="array" ref="G3152">_xlfn.XLOOKUP(C3152 &amp; F3152,
         [1]unilever_price_limits!A:A &amp; [1]unilever_price_limits!B:B,
         [1]unilever_price_limits!C:C)</f>
        <v>55</v>
      </c>
      <c r="H3152" s="8">
        <f t="shared" si="197"/>
        <v>3.3944999999999999</v>
      </c>
      <c r="I3152" s="6">
        <f t="shared" si="198"/>
        <v>55.000000000000007</v>
      </c>
      <c r="J3152" t="str">
        <f t="shared" si="199"/>
        <v>OK</v>
      </c>
    </row>
    <row r="3153" spans="1:10" x14ac:dyDescent="0.2">
      <c r="A3153">
        <v>13152</v>
      </c>
      <c r="B3153" t="s">
        <v>10</v>
      </c>
      <c r="C3153" t="s">
        <v>9</v>
      </c>
      <c r="D3153" s="8">
        <v>9.15</v>
      </c>
      <c r="E3153">
        <v>8</v>
      </c>
      <c r="F3153" t="str">
        <f t="shared" si="196"/>
        <v>Premium</v>
      </c>
      <c r="G3153" s="3" cm="1">
        <f t="array" ref="G3153">_xlfn.XLOOKUP(C3153 &amp; F3153,
         [1]unilever_price_limits!A:A &amp; [1]unilever_price_limits!B:B,
         [1]unilever_price_limits!C:C)</f>
        <v>60</v>
      </c>
      <c r="H3153" s="8">
        <f t="shared" si="197"/>
        <v>14.64</v>
      </c>
      <c r="I3153" s="6">
        <f t="shared" si="198"/>
        <v>60.000000000000007</v>
      </c>
      <c r="J3153" t="str">
        <f t="shared" si="199"/>
        <v>OK</v>
      </c>
    </row>
    <row r="3154" spans="1:10" x14ac:dyDescent="0.2">
      <c r="A3154">
        <v>13153</v>
      </c>
      <c r="B3154" t="s">
        <v>7</v>
      </c>
      <c r="C3154" t="s">
        <v>6</v>
      </c>
      <c r="D3154" s="8">
        <v>4.49</v>
      </c>
      <c r="E3154">
        <v>3</v>
      </c>
      <c r="F3154" t="str">
        <f t="shared" si="196"/>
        <v>Value</v>
      </c>
      <c r="G3154" s="3" cm="1">
        <f t="array" ref="G3154">_xlfn.XLOOKUP(C3154 &amp; F3154,
         [1]unilever_price_limits!A:A &amp; [1]unilever_price_limits!B:B,
         [1]unilever_price_limits!C:C)</f>
        <v>12</v>
      </c>
      <c r="H3154" s="8">
        <f t="shared" si="197"/>
        <v>5.0288000000000004</v>
      </c>
      <c r="I3154" s="6">
        <f t="shared" si="198"/>
        <v>12.000000000000011</v>
      </c>
      <c r="J3154" t="str">
        <f t="shared" si="199"/>
        <v>OK</v>
      </c>
    </row>
    <row r="3155" spans="1:10" x14ac:dyDescent="0.2">
      <c r="A3155">
        <v>13154</v>
      </c>
      <c r="B3155" t="s">
        <v>8</v>
      </c>
      <c r="C3155" t="s">
        <v>6</v>
      </c>
      <c r="D3155" s="8">
        <v>1.65</v>
      </c>
      <c r="E3155">
        <v>2</v>
      </c>
      <c r="F3155" t="str">
        <f t="shared" si="196"/>
        <v>Value</v>
      </c>
      <c r="G3155" s="3" cm="1">
        <f t="array" ref="G3155">_xlfn.XLOOKUP(C3155 &amp; F3155,
         [1]unilever_price_limits!A:A &amp; [1]unilever_price_limits!B:B,
         [1]unilever_price_limits!C:C)</f>
        <v>12</v>
      </c>
      <c r="H3155" s="8">
        <f t="shared" si="197"/>
        <v>1.8480000000000001</v>
      </c>
      <c r="I3155" s="6">
        <f t="shared" si="198"/>
        <v>12.000000000000011</v>
      </c>
      <c r="J3155" t="str">
        <f t="shared" si="199"/>
        <v>OK</v>
      </c>
    </row>
    <row r="3156" spans="1:10" x14ac:dyDescent="0.2">
      <c r="A3156">
        <v>13155</v>
      </c>
      <c r="B3156" t="s">
        <v>5</v>
      </c>
      <c r="C3156" t="s">
        <v>6</v>
      </c>
      <c r="D3156" s="8">
        <v>6.73</v>
      </c>
      <c r="E3156">
        <v>9</v>
      </c>
      <c r="F3156" t="str">
        <f t="shared" si="196"/>
        <v>Premium</v>
      </c>
      <c r="G3156" s="3" cm="1">
        <f t="array" ref="G3156">_xlfn.XLOOKUP(C3156 &amp; F3156,
         [1]unilever_price_limits!A:A &amp; [1]unilever_price_limits!B:B,
         [1]unilever_price_limits!C:C)</f>
        <v>55</v>
      </c>
      <c r="H3156" s="8">
        <f t="shared" si="197"/>
        <v>10.431500000000002</v>
      </c>
      <c r="I3156" s="6">
        <f t="shared" si="198"/>
        <v>55.000000000000007</v>
      </c>
      <c r="J3156" t="str">
        <f t="shared" si="199"/>
        <v>OK</v>
      </c>
    </row>
    <row r="3157" spans="1:10" x14ac:dyDescent="0.2">
      <c r="A3157">
        <v>13156</v>
      </c>
      <c r="B3157" t="s">
        <v>5</v>
      </c>
      <c r="C3157" t="s">
        <v>11</v>
      </c>
      <c r="D3157" s="8">
        <v>8.5399999999999991</v>
      </c>
      <c r="E3157">
        <v>7</v>
      </c>
      <c r="F3157" t="str">
        <f t="shared" si="196"/>
        <v>Standard</v>
      </c>
      <c r="G3157" s="3" cm="1">
        <f t="array" ref="G3157">_xlfn.XLOOKUP(C3157 &amp; F3157,
         [1]unilever_price_limits!A:A &amp; [1]unilever_price_limits!B:B,
         [1]unilever_price_limits!C:C)</f>
        <v>25</v>
      </c>
      <c r="H3157" s="8">
        <f t="shared" si="197"/>
        <v>10.674999999999999</v>
      </c>
      <c r="I3157" s="6">
        <f t="shared" si="198"/>
        <v>25</v>
      </c>
      <c r="J3157" t="str">
        <f t="shared" si="199"/>
        <v>OK</v>
      </c>
    </row>
    <row r="3158" spans="1:10" x14ac:dyDescent="0.2">
      <c r="A3158">
        <v>13157</v>
      </c>
      <c r="B3158" t="s">
        <v>7</v>
      </c>
      <c r="C3158" t="s">
        <v>9</v>
      </c>
      <c r="D3158" s="8">
        <v>5.27</v>
      </c>
      <c r="E3158">
        <v>9</v>
      </c>
      <c r="F3158" t="str">
        <f t="shared" si="196"/>
        <v>Premium</v>
      </c>
      <c r="G3158" s="3" cm="1">
        <f t="array" ref="G3158">_xlfn.XLOOKUP(C3158 &amp; F3158,
         [1]unilever_price_limits!A:A &amp; [1]unilever_price_limits!B:B,
         [1]unilever_price_limits!C:C)</f>
        <v>60</v>
      </c>
      <c r="H3158" s="8">
        <f t="shared" si="197"/>
        <v>8.4320000000000004</v>
      </c>
      <c r="I3158" s="6">
        <f t="shared" si="198"/>
        <v>60.000000000000028</v>
      </c>
      <c r="J3158" t="str">
        <f t="shared" si="199"/>
        <v>OK</v>
      </c>
    </row>
    <row r="3159" spans="1:10" x14ac:dyDescent="0.2">
      <c r="A3159">
        <v>13158</v>
      </c>
      <c r="B3159" t="s">
        <v>5</v>
      </c>
      <c r="C3159" t="s">
        <v>6</v>
      </c>
      <c r="D3159" s="8">
        <v>10.95</v>
      </c>
      <c r="E3159">
        <v>2</v>
      </c>
      <c r="F3159" t="str">
        <f t="shared" si="196"/>
        <v>Value</v>
      </c>
      <c r="G3159" s="3" cm="1">
        <f t="array" ref="G3159">_xlfn.XLOOKUP(C3159 &amp; F3159,
         [1]unilever_price_limits!A:A &amp; [1]unilever_price_limits!B:B,
         [1]unilever_price_limits!C:C)</f>
        <v>12</v>
      </c>
      <c r="H3159" s="8">
        <f t="shared" si="197"/>
        <v>12.264000000000001</v>
      </c>
      <c r="I3159" s="6">
        <f t="shared" si="198"/>
        <v>12.000000000000011</v>
      </c>
      <c r="J3159" t="str">
        <f t="shared" si="199"/>
        <v>OK</v>
      </c>
    </row>
    <row r="3160" spans="1:10" x14ac:dyDescent="0.2">
      <c r="A3160">
        <v>13159</v>
      </c>
      <c r="B3160" t="s">
        <v>7</v>
      </c>
      <c r="C3160" t="s">
        <v>11</v>
      </c>
      <c r="D3160" s="8">
        <v>9.83</v>
      </c>
      <c r="E3160">
        <v>9</v>
      </c>
      <c r="F3160" t="str">
        <f t="shared" si="196"/>
        <v>Premium</v>
      </c>
      <c r="G3160" s="3" cm="1">
        <f t="array" ref="G3160">_xlfn.XLOOKUP(C3160 &amp; F3160,
         [1]unilever_price_limits!A:A &amp; [1]unilever_price_limits!B:B,
         [1]unilever_price_limits!C:C)</f>
        <v>50</v>
      </c>
      <c r="H3160" s="8">
        <f t="shared" si="197"/>
        <v>14.745000000000001</v>
      </c>
      <c r="I3160" s="6">
        <f t="shared" si="198"/>
        <v>50</v>
      </c>
      <c r="J3160" t="str">
        <f t="shared" si="199"/>
        <v>OK</v>
      </c>
    </row>
    <row r="3161" spans="1:10" x14ac:dyDescent="0.2">
      <c r="A3161">
        <v>13160</v>
      </c>
      <c r="B3161" t="s">
        <v>5</v>
      </c>
      <c r="C3161" t="s">
        <v>6</v>
      </c>
      <c r="D3161" s="8">
        <v>5.33</v>
      </c>
      <c r="E3161">
        <v>10</v>
      </c>
      <c r="F3161" t="str">
        <f t="shared" si="196"/>
        <v>Premium</v>
      </c>
      <c r="G3161" s="3" cm="1">
        <f t="array" ref="G3161">_xlfn.XLOOKUP(C3161 &amp; F3161,
         [1]unilever_price_limits!A:A &amp; [1]unilever_price_limits!B:B,
         [1]unilever_price_limits!C:C)</f>
        <v>55</v>
      </c>
      <c r="H3161" s="8">
        <f t="shared" si="197"/>
        <v>8.2614999999999998</v>
      </c>
      <c r="I3161" s="6">
        <f t="shared" si="198"/>
        <v>55.000000000000007</v>
      </c>
      <c r="J3161" t="str">
        <f t="shared" si="199"/>
        <v>OK</v>
      </c>
    </row>
    <row r="3162" spans="1:10" x14ac:dyDescent="0.2">
      <c r="A3162">
        <v>13161</v>
      </c>
      <c r="B3162" t="s">
        <v>10</v>
      </c>
      <c r="C3162" t="s">
        <v>11</v>
      </c>
      <c r="D3162" s="8">
        <v>11.45</v>
      </c>
      <c r="E3162">
        <v>9</v>
      </c>
      <c r="F3162" t="str">
        <f t="shared" si="196"/>
        <v>Premium</v>
      </c>
      <c r="G3162" s="3" cm="1">
        <f t="array" ref="G3162">_xlfn.XLOOKUP(C3162 &amp; F3162,
         [1]unilever_price_limits!A:A &amp; [1]unilever_price_limits!B:B,
         [1]unilever_price_limits!C:C)</f>
        <v>50</v>
      </c>
      <c r="H3162" s="8">
        <f t="shared" si="197"/>
        <v>17.174999999999997</v>
      </c>
      <c r="I3162" s="6">
        <f t="shared" si="198"/>
        <v>49.999999999999979</v>
      </c>
      <c r="J3162" t="str">
        <f t="shared" si="199"/>
        <v>OK</v>
      </c>
    </row>
    <row r="3163" spans="1:10" x14ac:dyDescent="0.2">
      <c r="A3163">
        <v>13162</v>
      </c>
      <c r="B3163" t="s">
        <v>8</v>
      </c>
      <c r="C3163" t="s">
        <v>6</v>
      </c>
      <c r="D3163" s="8">
        <v>9.91</v>
      </c>
      <c r="E3163">
        <v>9</v>
      </c>
      <c r="F3163" t="str">
        <f t="shared" si="196"/>
        <v>Premium</v>
      </c>
      <c r="G3163" s="3" cm="1">
        <f t="array" ref="G3163">_xlfn.XLOOKUP(C3163 &amp; F3163,
         [1]unilever_price_limits!A:A &amp; [1]unilever_price_limits!B:B,
         [1]unilever_price_limits!C:C)</f>
        <v>55</v>
      </c>
      <c r="H3163" s="8">
        <f t="shared" si="197"/>
        <v>15.3605</v>
      </c>
      <c r="I3163" s="6">
        <f t="shared" si="198"/>
        <v>55.000000000000007</v>
      </c>
      <c r="J3163" t="str">
        <f t="shared" si="199"/>
        <v>OK</v>
      </c>
    </row>
    <row r="3164" spans="1:10" x14ac:dyDescent="0.2">
      <c r="A3164">
        <v>13163</v>
      </c>
      <c r="B3164" t="s">
        <v>10</v>
      </c>
      <c r="C3164" t="s">
        <v>9</v>
      </c>
      <c r="D3164" s="8">
        <v>9.74</v>
      </c>
      <c r="E3164">
        <v>10</v>
      </c>
      <c r="F3164" t="str">
        <f t="shared" si="196"/>
        <v>Premium</v>
      </c>
      <c r="G3164" s="3" cm="1">
        <f t="array" ref="G3164">_xlfn.XLOOKUP(C3164 &amp; F3164,
         [1]unilever_price_limits!A:A &amp; [1]unilever_price_limits!B:B,
         [1]unilever_price_limits!C:C)</f>
        <v>60</v>
      </c>
      <c r="H3164" s="8">
        <f t="shared" si="197"/>
        <v>15.584000000000001</v>
      </c>
      <c r="I3164" s="6">
        <f t="shared" si="198"/>
        <v>60.000000000000007</v>
      </c>
      <c r="J3164" t="str">
        <f t="shared" si="199"/>
        <v>OK</v>
      </c>
    </row>
    <row r="3165" spans="1:10" x14ac:dyDescent="0.2">
      <c r="A3165">
        <v>13164</v>
      </c>
      <c r="B3165" t="s">
        <v>8</v>
      </c>
      <c r="C3165" t="s">
        <v>9</v>
      </c>
      <c r="D3165" s="8">
        <v>8.52</v>
      </c>
      <c r="E3165">
        <v>10</v>
      </c>
      <c r="F3165" t="str">
        <f t="shared" si="196"/>
        <v>Premium</v>
      </c>
      <c r="G3165" s="3" cm="1">
        <f t="array" ref="G3165">_xlfn.XLOOKUP(C3165 &amp; F3165,
         [1]unilever_price_limits!A:A &amp; [1]unilever_price_limits!B:B,
         [1]unilever_price_limits!C:C)</f>
        <v>60</v>
      </c>
      <c r="H3165" s="8">
        <f t="shared" si="197"/>
        <v>13.632</v>
      </c>
      <c r="I3165" s="6">
        <f t="shared" si="198"/>
        <v>60.000000000000007</v>
      </c>
      <c r="J3165" t="str">
        <f t="shared" si="199"/>
        <v>OK</v>
      </c>
    </row>
    <row r="3166" spans="1:10" x14ac:dyDescent="0.2">
      <c r="A3166">
        <v>13165</v>
      </c>
      <c r="B3166" t="s">
        <v>8</v>
      </c>
      <c r="C3166" t="s">
        <v>6</v>
      </c>
      <c r="D3166" s="8">
        <v>0.67</v>
      </c>
      <c r="E3166">
        <v>4</v>
      </c>
      <c r="F3166" t="str">
        <f t="shared" si="196"/>
        <v>Standard</v>
      </c>
      <c r="G3166" s="3" cm="1">
        <f t="array" ref="G3166">_xlfn.XLOOKUP(C3166 &amp; F3166,
         [1]unilever_price_limits!A:A &amp; [1]unilever_price_limits!B:B,
         [1]unilever_price_limits!C:C)</f>
        <v>28</v>
      </c>
      <c r="H3166" s="8">
        <f t="shared" si="197"/>
        <v>0.85760000000000003</v>
      </c>
      <c r="I3166" s="6">
        <f t="shared" si="198"/>
        <v>28.000000000000004</v>
      </c>
      <c r="J3166" t="str">
        <f t="shared" si="199"/>
        <v>OK</v>
      </c>
    </row>
    <row r="3167" spans="1:10" x14ac:dyDescent="0.2">
      <c r="A3167">
        <v>13166</v>
      </c>
      <c r="B3167" t="s">
        <v>8</v>
      </c>
      <c r="C3167" t="s">
        <v>11</v>
      </c>
      <c r="D3167" s="8">
        <v>10.6</v>
      </c>
      <c r="E3167">
        <v>10</v>
      </c>
      <c r="F3167" t="str">
        <f t="shared" si="196"/>
        <v>Premium</v>
      </c>
      <c r="G3167" s="3" cm="1">
        <f t="array" ref="G3167">_xlfn.XLOOKUP(C3167 &amp; F3167,
         [1]unilever_price_limits!A:A &amp; [1]unilever_price_limits!B:B,
         [1]unilever_price_limits!C:C)</f>
        <v>50</v>
      </c>
      <c r="H3167" s="8">
        <f t="shared" si="197"/>
        <v>15.899999999999999</v>
      </c>
      <c r="I3167" s="6">
        <f t="shared" si="198"/>
        <v>50</v>
      </c>
      <c r="J3167" t="str">
        <f t="shared" si="199"/>
        <v>OK</v>
      </c>
    </row>
    <row r="3168" spans="1:10" x14ac:dyDescent="0.2">
      <c r="A3168">
        <v>13167</v>
      </c>
      <c r="B3168" t="s">
        <v>10</v>
      </c>
      <c r="C3168" t="s">
        <v>6</v>
      </c>
      <c r="D3168" s="8">
        <v>5.95</v>
      </c>
      <c r="E3168">
        <v>3</v>
      </c>
      <c r="F3168" t="str">
        <f t="shared" si="196"/>
        <v>Value</v>
      </c>
      <c r="G3168" s="3" cm="1">
        <f t="array" ref="G3168">_xlfn.XLOOKUP(C3168 &amp; F3168,
         [1]unilever_price_limits!A:A &amp; [1]unilever_price_limits!B:B,
         [1]unilever_price_limits!C:C)</f>
        <v>12</v>
      </c>
      <c r="H3168" s="8">
        <f t="shared" si="197"/>
        <v>6.6640000000000006</v>
      </c>
      <c r="I3168" s="6">
        <f t="shared" si="198"/>
        <v>12.000000000000011</v>
      </c>
      <c r="J3168" t="str">
        <f t="shared" si="199"/>
        <v>OK</v>
      </c>
    </row>
    <row r="3169" spans="1:10" x14ac:dyDescent="0.2">
      <c r="A3169">
        <v>13168</v>
      </c>
      <c r="B3169" t="s">
        <v>8</v>
      </c>
      <c r="C3169" t="s">
        <v>11</v>
      </c>
      <c r="D3169" s="8">
        <v>14.17</v>
      </c>
      <c r="E3169">
        <v>6</v>
      </c>
      <c r="F3169" t="str">
        <f t="shared" si="196"/>
        <v>Standard</v>
      </c>
      <c r="G3169" s="3" cm="1">
        <f t="array" ref="G3169">_xlfn.XLOOKUP(C3169 &amp; F3169,
         [1]unilever_price_limits!A:A &amp; [1]unilever_price_limits!B:B,
         [1]unilever_price_limits!C:C)</f>
        <v>25</v>
      </c>
      <c r="H3169" s="8">
        <f t="shared" si="197"/>
        <v>17.712499999999999</v>
      </c>
      <c r="I3169" s="6">
        <f t="shared" si="198"/>
        <v>25</v>
      </c>
      <c r="J3169" t="str">
        <f t="shared" si="199"/>
        <v>OK</v>
      </c>
    </row>
    <row r="3170" spans="1:10" x14ac:dyDescent="0.2">
      <c r="A3170">
        <v>13169</v>
      </c>
      <c r="B3170" t="s">
        <v>10</v>
      </c>
      <c r="C3170" t="s">
        <v>6</v>
      </c>
      <c r="D3170" s="8">
        <v>12.36</v>
      </c>
      <c r="E3170">
        <v>3</v>
      </c>
      <c r="F3170" t="str">
        <f t="shared" si="196"/>
        <v>Value</v>
      </c>
      <c r="G3170" s="3" cm="1">
        <f t="array" ref="G3170">_xlfn.XLOOKUP(C3170 &amp; F3170,
         [1]unilever_price_limits!A:A &amp; [1]unilever_price_limits!B:B,
         [1]unilever_price_limits!C:C)</f>
        <v>12</v>
      </c>
      <c r="H3170" s="8">
        <f t="shared" si="197"/>
        <v>13.843200000000001</v>
      </c>
      <c r="I3170" s="6">
        <f t="shared" si="198"/>
        <v>12.000000000000011</v>
      </c>
      <c r="J3170" t="str">
        <f t="shared" si="199"/>
        <v>OK</v>
      </c>
    </row>
    <row r="3171" spans="1:10" x14ac:dyDescent="0.2">
      <c r="A3171">
        <v>13170</v>
      </c>
      <c r="B3171" t="s">
        <v>7</v>
      </c>
      <c r="C3171" t="s">
        <v>11</v>
      </c>
      <c r="D3171" s="8">
        <v>9.02</v>
      </c>
      <c r="E3171">
        <v>9</v>
      </c>
      <c r="F3171" t="str">
        <f t="shared" si="196"/>
        <v>Premium</v>
      </c>
      <c r="G3171" s="3" cm="1">
        <f t="array" ref="G3171">_xlfn.XLOOKUP(C3171 &amp; F3171,
         [1]unilever_price_limits!A:A &amp; [1]unilever_price_limits!B:B,
         [1]unilever_price_limits!C:C)</f>
        <v>50</v>
      </c>
      <c r="H3171" s="8">
        <f t="shared" si="197"/>
        <v>13.53</v>
      </c>
      <c r="I3171" s="6">
        <f t="shared" si="198"/>
        <v>50</v>
      </c>
      <c r="J3171" t="str">
        <f t="shared" si="199"/>
        <v>OK</v>
      </c>
    </row>
    <row r="3172" spans="1:10" x14ac:dyDescent="0.2">
      <c r="A3172">
        <v>13171</v>
      </c>
      <c r="B3172" t="s">
        <v>5</v>
      </c>
      <c r="C3172" t="s">
        <v>9</v>
      </c>
      <c r="D3172" s="8">
        <v>4.16</v>
      </c>
      <c r="E3172">
        <v>3</v>
      </c>
      <c r="F3172" t="str">
        <f t="shared" si="196"/>
        <v>Value</v>
      </c>
      <c r="G3172" s="3" cm="1">
        <f t="array" ref="G3172">_xlfn.XLOOKUP(C3172 &amp; F3172,
         [1]unilever_price_limits!A:A &amp; [1]unilever_price_limits!B:B,
         [1]unilever_price_limits!C:C)</f>
        <v>15</v>
      </c>
      <c r="H3172" s="8">
        <f t="shared" si="197"/>
        <v>4.7839999999999998</v>
      </c>
      <c r="I3172" s="6">
        <f t="shared" si="198"/>
        <v>14.999999999999991</v>
      </c>
      <c r="J3172" t="str">
        <f t="shared" si="199"/>
        <v>OK</v>
      </c>
    </row>
    <row r="3173" spans="1:10" x14ac:dyDescent="0.2">
      <c r="A3173">
        <v>13172</v>
      </c>
      <c r="B3173" t="s">
        <v>5</v>
      </c>
      <c r="C3173" t="s">
        <v>6</v>
      </c>
      <c r="D3173" s="8">
        <v>3.45</v>
      </c>
      <c r="E3173">
        <v>2</v>
      </c>
      <c r="F3173" t="str">
        <f t="shared" si="196"/>
        <v>Value</v>
      </c>
      <c r="G3173" s="3" cm="1">
        <f t="array" ref="G3173">_xlfn.XLOOKUP(C3173 &amp; F3173,
         [1]unilever_price_limits!A:A &amp; [1]unilever_price_limits!B:B,
         [1]unilever_price_limits!C:C)</f>
        <v>12</v>
      </c>
      <c r="H3173" s="8">
        <f t="shared" si="197"/>
        <v>3.8640000000000008</v>
      </c>
      <c r="I3173" s="6">
        <f t="shared" si="198"/>
        <v>12.000000000000011</v>
      </c>
      <c r="J3173" t="str">
        <f t="shared" si="199"/>
        <v>OK</v>
      </c>
    </row>
    <row r="3174" spans="1:10" x14ac:dyDescent="0.2">
      <c r="A3174">
        <v>13173</v>
      </c>
      <c r="B3174" t="s">
        <v>8</v>
      </c>
      <c r="C3174" t="s">
        <v>9</v>
      </c>
      <c r="D3174" s="8">
        <v>5.44</v>
      </c>
      <c r="E3174">
        <v>8</v>
      </c>
      <c r="F3174" t="str">
        <f t="shared" si="196"/>
        <v>Premium</v>
      </c>
      <c r="G3174" s="3" cm="1">
        <f t="array" ref="G3174">_xlfn.XLOOKUP(C3174 &amp; F3174,
         [1]unilever_price_limits!A:A &amp; [1]unilever_price_limits!B:B,
         [1]unilever_price_limits!C:C)</f>
        <v>60</v>
      </c>
      <c r="H3174" s="8">
        <f t="shared" si="197"/>
        <v>8.7040000000000006</v>
      </c>
      <c r="I3174" s="6">
        <f t="shared" si="198"/>
        <v>60.000000000000007</v>
      </c>
      <c r="J3174" t="str">
        <f t="shared" si="199"/>
        <v>OK</v>
      </c>
    </row>
    <row r="3175" spans="1:10" x14ac:dyDescent="0.2">
      <c r="A3175">
        <v>13174</v>
      </c>
      <c r="B3175" t="s">
        <v>10</v>
      </c>
      <c r="C3175" t="s">
        <v>9</v>
      </c>
      <c r="D3175" s="8">
        <v>7.41</v>
      </c>
      <c r="E3175">
        <v>6</v>
      </c>
      <c r="F3175" t="str">
        <f t="shared" si="196"/>
        <v>Standard</v>
      </c>
      <c r="G3175" s="3" cm="1">
        <f t="array" ref="G3175">_xlfn.XLOOKUP(C3175 &amp; F3175,
         [1]unilever_price_limits!A:A &amp; [1]unilever_price_limits!B:B,
         [1]unilever_price_limits!C:C)</f>
        <v>30</v>
      </c>
      <c r="H3175" s="8">
        <f t="shared" si="197"/>
        <v>9.6330000000000009</v>
      </c>
      <c r="I3175" s="6">
        <f t="shared" si="198"/>
        <v>30.000000000000004</v>
      </c>
      <c r="J3175" t="str">
        <f t="shared" si="199"/>
        <v>OK</v>
      </c>
    </row>
    <row r="3176" spans="1:10" x14ac:dyDescent="0.2">
      <c r="A3176">
        <v>13175</v>
      </c>
      <c r="B3176" t="s">
        <v>5</v>
      </c>
      <c r="C3176" t="s">
        <v>6</v>
      </c>
      <c r="D3176" s="8">
        <v>4.79</v>
      </c>
      <c r="E3176">
        <v>8</v>
      </c>
      <c r="F3176" t="str">
        <f t="shared" si="196"/>
        <v>Premium</v>
      </c>
      <c r="G3176" s="3" cm="1">
        <f t="array" ref="G3176">_xlfn.XLOOKUP(C3176 &amp; F3176,
         [1]unilever_price_limits!A:A &amp; [1]unilever_price_limits!B:B,
         [1]unilever_price_limits!C:C)</f>
        <v>55</v>
      </c>
      <c r="H3176" s="8">
        <f t="shared" si="197"/>
        <v>7.4245000000000001</v>
      </c>
      <c r="I3176" s="6">
        <f t="shared" si="198"/>
        <v>55.000000000000007</v>
      </c>
      <c r="J3176" t="str">
        <f t="shared" si="199"/>
        <v>OK</v>
      </c>
    </row>
    <row r="3177" spans="1:10" x14ac:dyDescent="0.2">
      <c r="A3177">
        <v>13176</v>
      </c>
      <c r="B3177" t="s">
        <v>10</v>
      </c>
      <c r="C3177" t="s">
        <v>6</v>
      </c>
      <c r="D3177" s="8">
        <v>7.97</v>
      </c>
      <c r="E3177">
        <v>7</v>
      </c>
      <c r="F3177" t="str">
        <f t="shared" si="196"/>
        <v>Standard</v>
      </c>
      <c r="G3177" s="3" cm="1">
        <f t="array" ref="G3177">_xlfn.XLOOKUP(C3177 &amp; F3177,
         [1]unilever_price_limits!A:A &amp; [1]unilever_price_limits!B:B,
         [1]unilever_price_limits!C:C)</f>
        <v>28</v>
      </c>
      <c r="H3177" s="8">
        <f t="shared" si="197"/>
        <v>10.201599999999999</v>
      </c>
      <c r="I3177" s="6">
        <f t="shared" si="198"/>
        <v>28.000000000000004</v>
      </c>
      <c r="J3177" t="str">
        <f t="shared" si="199"/>
        <v>OK</v>
      </c>
    </row>
    <row r="3178" spans="1:10" x14ac:dyDescent="0.2">
      <c r="A3178">
        <v>13177</v>
      </c>
      <c r="B3178" t="s">
        <v>10</v>
      </c>
      <c r="C3178" t="s">
        <v>11</v>
      </c>
      <c r="D3178" s="8">
        <v>2.9</v>
      </c>
      <c r="E3178">
        <v>3</v>
      </c>
      <c r="F3178" t="str">
        <f t="shared" si="196"/>
        <v>Value</v>
      </c>
      <c r="G3178" s="3" cm="1">
        <f t="array" ref="G3178">_xlfn.XLOOKUP(C3178 &amp; F3178,
         [1]unilever_price_limits!A:A &amp; [1]unilever_price_limits!B:B,
         [1]unilever_price_limits!C:C)</f>
        <v>10</v>
      </c>
      <c r="H3178" s="8">
        <f t="shared" si="197"/>
        <v>3.19</v>
      </c>
      <c r="I3178" s="6">
        <f t="shared" si="198"/>
        <v>10.000000000000009</v>
      </c>
      <c r="J3178" t="str">
        <f t="shared" si="199"/>
        <v>OK</v>
      </c>
    </row>
    <row r="3179" spans="1:10" x14ac:dyDescent="0.2">
      <c r="A3179">
        <v>13178</v>
      </c>
      <c r="B3179" t="s">
        <v>8</v>
      </c>
      <c r="C3179" t="s">
        <v>11</v>
      </c>
      <c r="D3179" s="8">
        <v>14.68</v>
      </c>
      <c r="E3179">
        <v>8</v>
      </c>
      <c r="F3179" t="str">
        <f t="shared" si="196"/>
        <v>Premium</v>
      </c>
      <c r="G3179" s="3" cm="1">
        <f t="array" ref="G3179">_xlfn.XLOOKUP(C3179 &amp; F3179,
         [1]unilever_price_limits!A:A &amp; [1]unilever_price_limits!B:B,
         [1]unilever_price_limits!C:C)</f>
        <v>50</v>
      </c>
      <c r="H3179" s="8">
        <f t="shared" si="197"/>
        <v>22.02</v>
      </c>
      <c r="I3179" s="6">
        <f t="shared" si="198"/>
        <v>50</v>
      </c>
      <c r="J3179" t="str">
        <f t="shared" si="199"/>
        <v>OK</v>
      </c>
    </row>
    <row r="3180" spans="1:10" x14ac:dyDescent="0.2">
      <c r="A3180">
        <v>13179</v>
      </c>
      <c r="B3180" t="s">
        <v>5</v>
      </c>
      <c r="C3180" t="s">
        <v>9</v>
      </c>
      <c r="D3180" s="8">
        <v>2.06</v>
      </c>
      <c r="E3180">
        <v>10</v>
      </c>
      <c r="F3180" t="str">
        <f t="shared" si="196"/>
        <v>Premium</v>
      </c>
      <c r="G3180" s="3" cm="1">
        <f t="array" ref="G3180">_xlfn.XLOOKUP(C3180 &amp; F3180,
         [1]unilever_price_limits!A:A &amp; [1]unilever_price_limits!B:B,
         [1]unilever_price_limits!C:C)</f>
        <v>60</v>
      </c>
      <c r="H3180" s="8">
        <f t="shared" si="197"/>
        <v>3.2960000000000003</v>
      </c>
      <c r="I3180" s="6">
        <f t="shared" si="198"/>
        <v>60.000000000000007</v>
      </c>
      <c r="J3180" t="str">
        <f t="shared" si="199"/>
        <v>OK</v>
      </c>
    </row>
    <row r="3181" spans="1:10" x14ac:dyDescent="0.2">
      <c r="A3181">
        <v>13180</v>
      </c>
      <c r="B3181" t="s">
        <v>8</v>
      </c>
      <c r="C3181" t="s">
        <v>11</v>
      </c>
      <c r="D3181" s="8">
        <v>14.01</v>
      </c>
      <c r="E3181">
        <v>1</v>
      </c>
      <c r="F3181" t="str">
        <f t="shared" si="196"/>
        <v>Value</v>
      </c>
      <c r="G3181" s="3" cm="1">
        <f t="array" ref="G3181">_xlfn.XLOOKUP(C3181 &amp; F3181,
         [1]unilever_price_limits!A:A &amp; [1]unilever_price_limits!B:B,
         [1]unilever_price_limits!C:C)</f>
        <v>10</v>
      </c>
      <c r="H3181" s="8">
        <f t="shared" si="197"/>
        <v>15.411000000000001</v>
      </c>
      <c r="I3181" s="6">
        <f t="shared" si="198"/>
        <v>10.000000000000009</v>
      </c>
      <c r="J3181" t="str">
        <f t="shared" si="199"/>
        <v>OK</v>
      </c>
    </row>
    <row r="3182" spans="1:10" x14ac:dyDescent="0.2">
      <c r="A3182">
        <v>13181</v>
      </c>
      <c r="B3182" t="s">
        <v>8</v>
      </c>
      <c r="C3182" t="s">
        <v>11</v>
      </c>
      <c r="D3182" s="8">
        <v>13.75</v>
      </c>
      <c r="E3182">
        <v>1</v>
      </c>
      <c r="F3182" t="str">
        <f t="shared" si="196"/>
        <v>Value</v>
      </c>
      <c r="G3182" s="3" cm="1">
        <f t="array" ref="G3182">_xlfn.XLOOKUP(C3182 &amp; F3182,
         [1]unilever_price_limits!A:A &amp; [1]unilever_price_limits!B:B,
         [1]unilever_price_limits!C:C)</f>
        <v>10</v>
      </c>
      <c r="H3182" s="8">
        <f t="shared" si="197"/>
        <v>15.125000000000002</v>
      </c>
      <c r="I3182" s="6">
        <f t="shared" si="198"/>
        <v>10.000000000000009</v>
      </c>
      <c r="J3182" t="str">
        <f t="shared" si="199"/>
        <v>OK</v>
      </c>
    </row>
    <row r="3183" spans="1:10" x14ac:dyDescent="0.2">
      <c r="A3183">
        <v>13182</v>
      </c>
      <c r="B3183" t="s">
        <v>5</v>
      </c>
      <c r="C3183" t="s">
        <v>6</v>
      </c>
      <c r="D3183" s="8">
        <v>8.1199999999999992</v>
      </c>
      <c r="E3183">
        <v>10</v>
      </c>
      <c r="F3183" t="str">
        <f t="shared" si="196"/>
        <v>Premium</v>
      </c>
      <c r="G3183" s="3" cm="1">
        <f t="array" ref="G3183">_xlfn.XLOOKUP(C3183 &amp; F3183,
         [1]unilever_price_limits!A:A &amp; [1]unilever_price_limits!B:B,
         [1]unilever_price_limits!C:C)</f>
        <v>55</v>
      </c>
      <c r="H3183" s="8">
        <f t="shared" si="197"/>
        <v>12.585999999999999</v>
      </c>
      <c r="I3183" s="6">
        <f t="shared" si="198"/>
        <v>55.000000000000007</v>
      </c>
      <c r="J3183" t="str">
        <f t="shared" si="199"/>
        <v>OK</v>
      </c>
    </row>
    <row r="3184" spans="1:10" x14ac:dyDescent="0.2">
      <c r="A3184">
        <v>13183</v>
      </c>
      <c r="B3184" t="s">
        <v>5</v>
      </c>
      <c r="C3184" t="s">
        <v>11</v>
      </c>
      <c r="D3184" s="8">
        <v>11.01</v>
      </c>
      <c r="E3184">
        <v>8</v>
      </c>
      <c r="F3184" t="str">
        <f t="shared" si="196"/>
        <v>Premium</v>
      </c>
      <c r="G3184" s="3" cm="1">
        <f t="array" ref="G3184">_xlfn.XLOOKUP(C3184 &amp; F3184,
         [1]unilever_price_limits!A:A &amp; [1]unilever_price_limits!B:B,
         [1]unilever_price_limits!C:C)</f>
        <v>50</v>
      </c>
      <c r="H3184" s="8">
        <f t="shared" si="197"/>
        <v>16.515000000000001</v>
      </c>
      <c r="I3184" s="6">
        <f t="shared" si="198"/>
        <v>50</v>
      </c>
      <c r="J3184" t="str">
        <f t="shared" si="199"/>
        <v>OK</v>
      </c>
    </row>
    <row r="3185" spans="1:10" x14ac:dyDescent="0.2">
      <c r="A3185">
        <v>13184</v>
      </c>
      <c r="B3185" t="s">
        <v>7</v>
      </c>
      <c r="C3185" t="s">
        <v>9</v>
      </c>
      <c r="D3185" s="8">
        <v>6.82</v>
      </c>
      <c r="E3185">
        <v>9</v>
      </c>
      <c r="F3185" t="str">
        <f t="shared" si="196"/>
        <v>Premium</v>
      </c>
      <c r="G3185" s="3" cm="1">
        <f t="array" ref="G3185">_xlfn.XLOOKUP(C3185 &amp; F3185,
         [1]unilever_price_limits!A:A &amp; [1]unilever_price_limits!B:B,
         [1]unilever_price_limits!C:C)</f>
        <v>60</v>
      </c>
      <c r="H3185" s="8">
        <f t="shared" si="197"/>
        <v>10.912000000000001</v>
      </c>
      <c r="I3185" s="6">
        <f t="shared" si="198"/>
        <v>60.000000000000007</v>
      </c>
      <c r="J3185" t="str">
        <f t="shared" si="199"/>
        <v>OK</v>
      </c>
    </row>
    <row r="3186" spans="1:10" x14ac:dyDescent="0.2">
      <c r="A3186">
        <v>13185</v>
      </c>
      <c r="B3186" t="s">
        <v>7</v>
      </c>
      <c r="C3186" t="s">
        <v>11</v>
      </c>
      <c r="D3186" s="8">
        <v>9.64</v>
      </c>
      <c r="E3186">
        <v>10</v>
      </c>
      <c r="F3186" t="str">
        <f t="shared" si="196"/>
        <v>Premium</v>
      </c>
      <c r="G3186" s="3" cm="1">
        <f t="array" ref="G3186">_xlfn.XLOOKUP(C3186 &amp; F3186,
         [1]unilever_price_limits!A:A &amp; [1]unilever_price_limits!B:B,
         [1]unilever_price_limits!C:C)</f>
        <v>50</v>
      </c>
      <c r="H3186" s="8">
        <f t="shared" si="197"/>
        <v>14.46</v>
      </c>
      <c r="I3186" s="6">
        <f t="shared" si="198"/>
        <v>50</v>
      </c>
      <c r="J3186" t="str">
        <f t="shared" si="199"/>
        <v>OK</v>
      </c>
    </row>
    <row r="3187" spans="1:10" x14ac:dyDescent="0.2">
      <c r="A3187">
        <v>13186</v>
      </c>
      <c r="B3187" t="s">
        <v>10</v>
      </c>
      <c r="C3187" t="s">
        <v>9</v>
      </c>
      <c r="D3187" s="8">
        <v>5.44</v>
      </c>
      <c r="E3187">
        <v>6</v>
      </c>
      <c r="F3187" t="str">
        <f t="shared" si="196"/>
        <v>Standard</v>
      </c>
      <c r="G3187" s="3" cm="1">
        <f t="array" ref="G3187">_xlfn.XLOOKUP(C3187 &amp; F3187,
         [1]unilever_price_limits!A:A &amp; [1]unilever_price_limits!B:B,
         [1]unilever_price_limits!C:C)</f>
        <v>30</v>
      </c>
      <c r="H3187" s="8">
        <f t="shared" si="197"/>
        <v>7.072000000000001</v>
      </c>
      <c r="I3187" s="6">
        <f t="shared" si="198"/>
        <v>30.000000000000004</v>
      </c>
      <c r="J3187" t="str">
        <f t="shared" si="199"/>
        <v>OK</v>
      </c>
    </row>
    <row r="3188" spans="1:10" x14ac:dyDescent="0.2">
      <c r="A3188">
        <v>13187</v>
      </c>
      <c r="B3188" t="s">
        <v>5</v>
      </c>
      <c r="C3188" t="s">
        <v>6</v>
      </c>
      <c r="D3188" s="8">
        <v>4.87</v>
      </c>
      <c r="E3188">
        <v>5</v>
      </c>
      <c r="F3188" t="str">
        <f t="shared" si="196"/>
        <v>Standard</v>
      </c>
      <c r="G3188" s="3" cm="1">
        <f t="array" ref="G3188">_xlfn.XLOOKUP(C3188 &amp; F3188,
         [1]unilever_price_limits!A:A &amp; [1]unilever_price_limits!B:B,
         [1]unilever_price_limits!C:C)</f>
        <v>28</v>
      </c>
      <c r="H3188" s="8">
        <f t="shared" si="197"/>
        <v>6.2336</v>
      </c>
      <c r="I3188" s="6">
        <f t="shared" si="198"/>
        <v>28.000000000000004</v>
      </c>
      <c r="J3188" t="str">
        <f t="shared" si="199"/>
        <v>OK</v>
      </c>
    </row>
    <row r="3189" spans="1:10" x14ac:dyDescent="0.2">
      <c r="A3189">
        <v>13188</v>
      </c>
      <c r="B3189" t="s">
        <v>7</v>
      </c>
      <c r="C3189" t="s">
        <v>9</v>
      </c>
      <c r="D3189" s="8">
        <v>8.8800000000000008</v>
      </c>
      <c r="E3189">
        <v>2</v>
      </c>
      <c r="F3189" t="str">
        <f t="shared" si="196"/>
        <v>Value</v>
      </c>
      <c r="G3189" s="3" cm="1">
        <f t="array" ref="G3189">_xlfn.XLOOKUP(C3189 &amp; F3189,
         [1]unilever_price_limits!A:A &amp; [1]unilever_price_limits!B:B,
         [1]unilever_price_limits!C:C)</f>
        <v>15</v>
      </c>
      <c r="H3189" s="8">
        <f t="shared" si="197"/>
        <v>10.212</v>
      </c>
      <c r="I3189" s="6">
        <f t="shared" si="198"/>
        <v>14.999999999999991</v>
      </c>
      <c r="J3189" t="str">
        <f t="shared" si="199"/>
        <v>OK</v>
      </c>
    </row>
    <row r="3190" spans="1:10" x14ac:dyDescent="0.2">
      <c r="A3190">
        <v>13189</v>
      </c>
      <c r="B3190" t="s">
        <v>10</v>
      </c>
      <c r="C3190" t="s">
        <v>11</v>
      </c>
      <c r="D3190" s="8">
        <v>7.72</v>
      </c>
      <c r="E3190">
        <v>9</v>
      </c>
      <c r="F3190" t="str">
        <f t="shared" si="196"/>
        <v>Premium</v>
      </c>
      <c r="G3190" s="3" cm="1">
        <f t="array" ref="G3190">_xlfn.XLOOKUP(C3190 &amp; F3190,
         [1]unilever_price_limits!A:A &amp; [1]unilever_price_limits!B:B,
         [1]unilever_price_limits!C:C)</f>
        <v>50</v>
      </c>
      <c r="H3190" s="8">
        <f t="shared" si="197"/>
        <v>11.58</v>
      </c>
      <c r="I3190" s="6">
        <f t="shared" si="198"/>
        <v>50</v>
      </c>
      <c r="J3190" t="str">
        <f t="shared" si="199"/>
        <v>OK</v>
      </c>
    </row>
    <row r="3191" spans="1:10" x14ac:dyDescent="0.2">
      <c r="A3191">
        <v>13190</v>
      </c>
      <c r="B3191" t="s">
        <v>10</v>
      </c>
      <c r="C3191" t="s">
        <v>6</v>
      </c>
      <c r="D3191" s="8">
        <v>8.9</v>
      </c>
      <c r="E3191">
        <v>6</v>
      </c>
      <c r="F3191" t="str">
        <f t="shared" si="196"/>
        <v>Standard</v>
      </c>
      <c r="G3191" s="3" cm="1">
        <f t="array" ref="G3191">_xlfn.XLOOKUP(C3191 &amp; F3191,
         [1]unilever_price_limits!A:A &amp; [1]unilever_price_limits!B:B,
         [1]unilever_price_limits!C:C)</f>
        <v>28</v>
      </c>
      <c r="H3191" s="8">
        <f t="shared" si="197"/>
        <v>11.392000000000001</v>
      </c>
      <c r="I3191" s="6">
        <f t="shared" si="198"/>
        <v>28.000000000000004</v>
      </c>
      <c r="J3191" t="str">
        <f t="shared" si="199"/>
        <v>OK</v>
      </c>
    </row>
    <row r="3192" spans="1:10" x14ac:dyDescent="0.2">
      <c r="A3192">
        <v>13191</v>
      </c>
      <c r="B3192" t="s">
        <v>10</v>
      </c>
      <c r="C3192" t="s">
        <v>11</v>
      </c>
      <c r="D3192" s="8">
        <v>4.66</v>
      </c>
      <c r="E3192">
        <v>8</v>
      </c>
      <c r="F3192" t="str">
        <f t="shared" si="196"/>
        <v>Premium</v>
      </c>
      <c r="G3192" s="3" cm="1">
        <f t="array" ref="G3192">_xlfn.XLOOKUP(C3192 &amp; F3192,
         [1]unilever_price_limits!A:A &amp; [1]unilever_price_limits!B:B,
         [1]unilever_price_limits!C:C)</f>
        <v>50</v>
      </c>
      <c r="H3192" s="8">
        <f t="shared" si="197"/>
        <v>6.99</v>
      </c>
      <c r="I3192" s="6">
        <f t="shared" si="198"/>
        <v>50</v>
      </c>
      <c r="J3192" t="str">
        <f t="shared" si="199"/>
        <v>OK</v>
      </c>
    </row>
    <row r="3193" spans="1:10" x14ac:dyDescent="0.2">
      <c r="A3193">
        <v>13192</v>
      </c>
      <c r="B3193" t="s">
        <v>7</v>
      </c>
      <c r="C3193" t="s">
        <v>6</v>
      </c>
      <c r="D3193" s="8">
        <v>5.82</v>
      </c>
      <c r="E3193">
        <v>9</v>
      </c>
      <c r="F3193" t="str">
        <f t="shared" si="196"/>
        <v>Premium</v>
      </c>
      <c r="G3193" s="3" cm="1">
        <f t="array" ref="G3193">_xlfn.XLOOKUP(C3193 &amp; F3193,
         [1]unilever_price_limits!A:A &amp; [1]unilever_price_limits!B:B,
         [1]unilever_price_limits!C:C)</f>
        <v>55</v>
      </c>
      <c r="H3193" s="8">
        <f t="shared" si="197"/>
        <v>9.0210000000000008</v>
      </c>
      <c r="I3193" s="6">
        <f t="shared" si="198"/>
        <v>55.000000000000007</v>
      </c>
      <c r="J3193" t="str">
        <f t="shared" si="199"/>
        <v>OK</v>
      </c>
    </row>
    <row r="3194" spans="1:10" x14ac:dyDescent="0.2">
      <c r="A3194">
        <v>13193</v>
      </c>
      <c r="B3194" t="s">
        <v>5</v>
      </c>
      <c r="C3194" t="s">
        <v>6</v>
      </c>
      <c r="D3194" s="8">
        <v>1.72</v>
      </c>
      <c r="E3194">
        <v>9</v>
      </c>
      <c r="F3194" t="str">
        <f t="shared" si="196"/>
        <v>Premium</v>
      </c>
      <c r="G3194" s="3" cm="1">
        <f t="array" ref="G3194">_xlfn.XLOOKUP(C3194 &amp; F3194,
         [1]unilever_price_limits!A:A &amp; [1]unilever_price_limits!B:B,
         [1]unilever_price_limits!C:C)</f>
        <v>55</v>
      </c>
      <c r="H3194" s="8">
        <f t="shared" si="197"/>
        <v>2.6659999999999999</v>
      </c>
      <c r="I3194" s="6">
        <f t="shared" si="198"/>
        <v>55.000000000000007</v>
      </c>
      <c r="J3194" t="str">
        <f t="shared" si="199"/>
        <v>OK</v>
      </c>
    </row>
    <row r="3195" spans="1:10" x14ac:dyDescent="0.2">
      <c r="A3195">
        <v>13194</v>
      </c>
      <c r="B3195" t="s">
        <v>8</v>
      </c>
      <c r="C3195" t="s">
        <v>11</v>
      </c>
      <c r="D3195" s="8">
        <v>1.26</v>
      </c>
      <c r="E3195">
        <v>8</v>
      </c>
      <c r="F3195" t="str">
        <f t="shared" si="196"/>
        <v>Premium</v>
      </c>
      <c r="G3195" s="3" cm="1">
        <f t="array" ref="G3195">_xlfn.XLOOKUP(C3195 &amp; F3195,
         [1]unilever_price_limits!A:A &amp; [1]unilever_price_limits!B:B,
         [1]unilever_price_limits!C:C)</f>
        <v>50</v>
      </c>
      <c r="H3195" s="8">
        <f t="shared" si="197"/>
        <v>1.8900000000000001</v>
      </c>
      <c r="I3195" s="6">
        <f t="shared" si="198"/>
        <v>50</v>
      </c>
      <c r="J3195" t="str">
        <f t="shared" si="199"/>
        <v>OK</v>
      </c>
    </row>
    <row r="3196" spans="1:10" x14ac:dyDescent="0.2">
      <c r="A3196">
        <v>13195</v>
      </c>
      <c r="B3196" t="s">
        <v>10</v>
      </c>
      <c r="C3196" t="s">
        <v>11</v>
      </c>
      <c r="D3196" s="8">
        <v>4.18</v>
      </c>
      <c r="E3196">
        <v>10</v>
      </c>
      <c r="F3196" t="str">
        <f t="shared" si="196"/>
        <v>Premium</v>
      </c>
      <c r="G3196" s="3" cm="1">
        <f t="array" ref="G3196">_xlfn.XLOOKUP(C3196 &amp; F3196,
         [1]unilever_price_limits!A:A &amp; [1]unilever_price_limits!B:B,
         [1]unilever_price_limits!C:C)</f>
        <v>50</v>
      </c>
      <c r="H3196" s="8">
        <f t="shared" si="197"/>
        <v>6.27</v>
      </c>
      <c r="I3196" s="6">
        <f t="shared" si="198"/>
        <v>50</v>
      </c>
      <c r="J3196" t="str">
        <f t="shared" si="199"/>
        <v>OK</v>
      </c>
    </row>
    <row r="3197" spans="1:10" x14ac:dyDescent="0.2">
      <c r="A3197">
        <v>13196</v>
      </c>
      <c r="B3197" t="s">
        <v>7</v>
      </c>
      <c r="C3197" t="s">
        <v>6</v>
      </c>
      <c r="D3197" s="8">
        <v>1.58</v>
      </c>
      <c r="E3197">
        <v>8</v>
      </c>
      <c r="F3197" t="str">
        <f t="shared" si="196"/>
        <v>Premium</v>
      </c>
      <c r="G3197" s="3" cm="1">
        <f t="array" ref="G3197">_xlfn.XLOOKUP(C3197 &amp; F3197,
         [1]unilever_price_limits!A:A &amp; [1]unilever_price_limits!B:B,
         [1]unilever_price_limits!C:C)</f>
        <v>55</v>
      </c>
      <c r="H3197" s="8">
        <f t="shared" si="197"/>
        <v>2.4490000000000003</v>
      </c>
      <c r="I3197" s="6">
        <f t="shared" si="198"/>
        <v>55.000000000000007</v>
      </c>
      <c r="J3197" t="str">
        <f t="shared" si="199"/>
        <v>OK</v>
      </c>
    </row>
    <row r="3198" spans="1:10" x14ac:dyDescent="0.2">
      <c r="A3198">
        <v>13197</v>
      </c>
      <c r="B3198" t="s">
        <v>7</v>
      </c>
      <c r="C3198" t="s">
        <v>6</v>
      </c>
      <c r="D3198" s="8">
        <v>2</v>
      </c>
      <c r="E3198">
        <v>3</v>
      </c>
      <c r="F3198" t="str">
        <f t="shared" si="196"/>
        <v>Value</v>
      </c>
      <c r="G3198" s="3" cm="1">
        <f t="array" ref="G3198">_xlfn.XLOOKUP(C3198 &amp; F3198,
         [1]unilever_price_limits!A:A &amp; [1]unilever_price_limits!B:B,
         [1]unilever_price_limits!C:C)</f>
        <v>12</v>
      </c>
      <c r="H3198" s="8">
        <f t="shared" si="197"/>
        <v>2.2400000000000002</v>
      </c>
      <c r="I3198" s="6">
        <f t="shared" si="198"/>
        <v>12.000000000000011</v>
      </c>
      <c r="J3198" t="str">
        <f t="shared" si="199"/>
        <v>OK</v>
      </c>
    </row>
    <row r="3199" spans="1:10" x14ac:dyDescent="0.2">
      <c r="A3199">
        <v>13198</v>
      </c>
      <c r="B3199" t="s">
        <v>8</v>
      </c>
      <c r="C3199" t="s">
        <v>11</v>
      </c>
      <c r="D3199" s="8">
        <v>12.29</v>
      </c>
      <c r="E3199">
        <v>3</v>
      </c>
      <c r="F3199" t="str">
        <f t="shared" si="196"/>
        <v>Value</v>
      </c>
      <c r="G3199" s="3" cm="1">
        <f t="array" ref="G3199">_xlfn.XLOOKUP(C3199 &amp; F3199,
         [1]unilever_price_limits!A:A &amp; [1]unilever_price_limits!B:B,
         [1]unilever_price_limits!C:C)</f>
        <v>10</v>
      </c>
      <c r="H3199" s="8">
        <f t="shared" si="197"/>
        <v>13.519</v>
      </c>
      <c r="I3199" s="6">
        <f t="shared" si="198"/>
        <v>10.000000000000009</v>
      </c>
      <c r="J3199" t="str">
        <f t="shared" si="199"/>
        <v>OK</v>
      </c>
    </row>
    <row r="3200" spans="1:10" x14ac:dyDescent="0.2">
      <c r="A3200">
        <v>13199</v>
      </c>
      <c r="B3200" t="s">
        <v>8</v>
      </c>
      <c r="C3200" t="s">
        <v>9</v>
      </c>
      <c r="D3200" s="8">
        <v>1.06</v>
      </c>
      <c r="E3200">
        <v>2</v>
      </c>
      <c r="F3200" t="str">
        <f t="shared" si="196"/>
        <v>Value</v>
      </c>
      <c r="G3200" s="3" cm="1">
        <f t="array" ref="G3200">_xlfn.XLOOKUP(C3200 &amp; F3200,
         [1]unilever_price_limits!A:A &amp; [1]unilever_price_limits!B:B,
         [1]unilever_price_limits!C:C)</f>
        <v>15</v>
      </c>
      <c r="H3200" s="8">
        <f t="shared" si="197"/>
        <v>1.2189999999999999</v>
      </c>
      <c r="I3200" s="6">
        <f t="shared" si="198"/>
        <v>14.999999999999991</v>
      </c>
      <c r="J3200" t="str">
        <f t="shared" si="199"/>
        <v>OK</v>
      </c>
    </row>
    <row r="3201" spans="1:10" x14ac:dyDescent="0.2">
      <c r="A3201">
        <v>13200</v>
      </c>
      <c r="B3201" t="s">
        <v>7</v>
      </c>
      <c r="C3201" t="s">
        <v>11</v>
      </c>
      <c r="D3201" s="8">
        <v>10.050000000000001</v>
      </c>
      <c r="E3201">
        <v>1</v>
      </c>
      <c r="F3201" t="str">
        <f t="shared" si="196"/>
        <v>Value</v>
      </c>
      <c r="G3201" s="3" cm="1">
        <f t="array" ref="G3201">_xlfn.XLOOKUP(C3201 &amp; F3201,
         [1]unilever_price_limits!A:A &amp; [1]unilever_price_limits!B:B,
         [1]unilever_price_limits!C:C)</f>
        <v>10</v>
      </c>
      <c r="H3201" s="8">
        <f t="shared" si="197"/>
        <v>11.055000000000001</v>
      </c>
      <c r="I3201" s="6">
        <f t="shared" si="198"/>
        <v>10.000000000000009</v>
      </c>
      <c r="J3201" t="str">
        <f t="shared" si="199"/>
        <v>OK</v>
      </c>
    </row>
    <row r="3202" spans="1:10" x14ac:dyDescent="0.2">
      <c r="A3202">
        <v>13201</v>
      </c>
      <c r="B3202" t="s">
        <v>5</v>
      </c>
      <c r="C3202" t="s">
        <v>6</v>
      </c>
      <c r="D3202" s="8">
        <v>4.45</v>
      </c>
      <c r="E3202">
        <v>4</v>
      </c>
      <c r="F3202" t="str">
        <f t="shared" si="196"/>
        <v>Standard</v>
      </c>
      <c r="G3202" s="3" cm="1">
        <f t="array" ref="G3202">_xlfn.XLOOKUP(C3202 &amp; F3202,
         [1]unilever_price_limits!A:A &amp; [1]unilever_price_limits!B:B,
         [1]unilever_price_limits!C:C)</f>
        <v>28</v>
      </c>
      <c r="H3202" s="8">
        <f t="shared" si="197"/>
        <v>5.6960000000000006</v>
      </c>
      <c r="I3202" s="6">
        <f t="shared" si="198"/>
        <v>28.000000000000004</v>
      </c>
      <c r="J3202" t="str">
        <f t="shared" si="199"/>
        <v>OK</v>
      </c>
    </row>
    <row r="3203" spans="1:10" x14ac:dyDescent="0.2">
      <c r="A3203">
        <v>13202</v>
      </c>
      <c r="B3203" t="s">
        <v>8</v>
      </c>
      <c r="C3203" t="s">
        <v>11</v>
      </c>
      <c r="D3203" s="8">
        <v>13.14</v>
      </c>
      <c r="E3203">
        <v>2</v>
      </c>
      <c r="F3203" t="str">
        <f t="shared" ref="F3203:F3266" si="200">IF(E3203&lt;=3,"Value",
 IF(E3203&lt;=7,"Standard","Premium"))</f>
        <v>Value</v>
      </c>
      <c r="G3203" s="3" cm="1">
        <f t="array" ref="G3203">_xlfn.XLOOKUP(C3203 &amp; F3203,
         [1]unilever_price_limits!A:A &amp; [1]unilever_price_limits!B:B,
         [1]unilever_price_limits!C:C)</f>
        <v>10</v>
      </c>
      <c r="H3203" s="8">
        <f t="shared" ref="H3203:H3266" si="201">D3203 * (1 + G3203/100)</f>
        <v>14.454000000000002</v>
      </c>
      <c r="I3203" s="6">
        <f t="shared" ref="I3203:I3266" si="202">(H3203 / D3203 - 1) * 100</f>
        <v>10.000000000000009</v>
      </c>
      <c r="J3203" t="str">
        <f t="shared" ref="J3203:J3266" si="203">IF(I3202&gt; G3202, "⚠ Exceeds Limit", "OK")</f>
        <v>OK</v>
      </c>
    </row>
    <row r="3204" spans="1:10" x14ac:dyDescent="0.2">
      <c r="A3204">
        <v>13203</v>
      </c>
      <c r="B3204" t="s">
        <v>7</v>
      </c>
      <c r="C3204" t="s">
        <v>9</v>
      </c>
      <c r="D3204" s="8">
        <v>7.53</v>
      </c>
      <c r="E3204">
        <v>2</v>
      </c>
      <c r="F3204" t="str">
        <f t="shared" si="200"/>
        <v>Value</v>
      </c>
      <c r="G3204" s="3" cm="1">
        <f t="array" ref="G3204">_xlfn.XLOOKUP(C3204 &amp; F3204,
         [1]unilever_price_limits!A:A &amp; [1]unilever_price_limits!B:B,
         [1]unilever_price_limits!C:C)</f>
        <v>15</v>
      </c>
      <c r="H3204" s="8">
        <f t="shared" si="201"/>
        <v>8.6594999999999995</v>
      </c>
      <c r="I3204" s="6">
        <f t="shared" si="202"/>
        <v>14.999999999999991</v>
      </c>
      <c r="J3204" t="str">
        <f t="shared" si="203"/>
        <v>OK</v>
      </c>
    </row>
    <row r="3205" spans="1:10" x14ac:dyDescent="0.2">
      <c r="A3205">
        <v>13204</v>
      </c>
      <c r="B3205" t="s">
        <v>8</v>
      </c>
      <c r="C3205" t="s">
        <v>11</v>
      </c>
      <c r="D3205" s="8">
        <v>4.93</v>
      </c>
      <c r="E3205">
        <v>5</v>
      </c>
      <c r="F3205" t="str">
        <f t="shared" si="200"/>
        <v>Standard</v>
      </c>
      <c r="G3205" s="3" cm="1">
        <f t="array" ref="G3205">_xlfn.XLOOKUP(C3205 &amp; F3205,
         [1]unilever_price_limits!A:A &amp; [1]unilever_price_limits!B:B,
         [1]unilever_price_limits!C:C)</f>
        <v>25</v>
      </c>
      <c r="H3205" s="8">
        <f t="shared" si="201"/>
        <v>6.1624999999999996</v>
      </c>
      <c r="I3205" s="6">
        <f t="shared" si="202"/>
        <v>25</v>
      </c>
      <c r="J3205" t="str">
        <f t="shared" si="203"/>
        <v>OK</v>
      </c>
    </row>
    <row r="3206" spans="1:10" x14ac:dyDescent="0.2">
      <c r="A3206">
        <v>13205</v>
      </c>
      <c r="B3206" t="s">
        <v>5</v>
      </c>
      <c r="C3206" t="s">
        <v>6</v>
      </c>
      <c r="D3206" s="8">
        <v>8.01</v>
      </c>
      <c r="E3206">
        <v>4</v>
      </c>
      <c r="F3206" t="str">
        <f t="shared" si="200"/>
        <v>Standard</v>
      </c>
      <c r="G3206" s="3" cm="1">
        <f t="array" ref="G3206">_xlfn.XLOOKUP(C3206 &amp; F3206,
         [1]unilever_price_limits!A:A &amp; [1]unilever_price_limits!B:B,
         [1]unilever_price_limits!C:C)</f>
        <v>28</v>
      </c>
      <c r="H3206" s="8">
        <f t="shared" si="201"/>
        <v>10.252800000000001</v>
      </c>
      <c r="I3206" s="6">
        <f t="shared" si="202"/>
        <v>28.000000000000004</v>
      </c>
      <c r="J3206" t="str">
        <f t="shared" si="203"/>
        <v>OK</v>
      </c>
    </row>
    <row r="3207" spans="1:10" x14ac:dyDescent="0.2">
      <c r="A3207">
        <v>13206</v>
      </c>
      <c r="B3207" t="s">
        <v>10</v>
      </c>
      <c r="C3207" t="s">
        <v>11</v>
      </c>
      <c r="D3207" s="8">
        <v>6.04</v>
      </c>
      <c r="E3207">
        <v>1</v>
      </c>
      <c r="F3207" t="str">
        <f t="shared" si="200"/>
        <v>Value</v>
      </c>
      <c r="G3207" s="3" cm="1">
        <f t="array" ref="G3207">_xlfn.XLOOKUP(C3207 &amp; F3207,
         [1]unilever_price_limits!A:A &amp; [1]unilever_price_limits!B:B,
         [1]unilever_price_limits!C:C)</f>
        <v>10</v>
      </c>
      <c r="H3207" s="8">
        <f t="shared" si="201"/>
        <v>6.644000000000001</v>
      </c>
      <c r="I3207" s="6">
        <f t="shared" si="202"/>
        <v>10.000000000000009</v>
      </c>
      <c r="J3207" t="str">
        <f t="shared" si="203"/>
        <v>OK</v>
      </c>
    </row>
    <row r="3208" spans="1:10" x14ac:dyDescent="0.2">
      <c r="A3208">
        <v>13207</v>
      </c>
      <c r="B3208" t="s">
        <v>8</v>
      </c>
      <c r="C3208" t="s">
        <v>6</v>
      </c>
      <c r="D3208" s="8">
        <v>8.68</v>
      </c>
      <c r="E3208">
        <v>9</v>
      </c>
      <c r="F3208" t="str">
        <f t="shared" si="200"/>
        <v>Premium</v>
      </c>
      <c r="G3208" s="3" cm="1">
        <f t="array" ref="G3208">_xlfn.XLOOKUP(C3208 &amp; F3208,
         [1]unilever_price_limits!A:A &amp; [1]unilever_price_limits!B:B,
         [1]unilever_price_limits!C:C)</f>
        <v>55</v>
      </c>
      <c r="H3208" s="8">
        <f t="shared" si="201"/>
        <v>13.454000000000001</v>
      </c>
      <c r="I3208" s="6">
        <f t="shared" si="202"/>
        <v>55.000000000000007</v>
      </c>
      <c r="J3208" t="str">
        <f t="shared" si="203"/>
        <v>OK</v>
      </c>
    </row>
    <row r="3209" spans="1:10" x14ac:dyDescent="0.2">
      <c r="A3209">
        <v>13208</v>
      </c>
      <c r="B3209" t="s">
        <v>5</v>
      </c>
      <c r="C3209" t="s">
        <v>6</v>
      </c>
      <c r="D3209" s="8">
        <v>2.16</v>
      </c>
      <c r="E3209">
        <v>4</v>
      </c>
      <c r="F3209" t="str">
        <f t="shared" si="200"/>
        <v>Standard</v>
      </c>
      <c r="G3209" s="3" cm="1">
        <f t="array" ref="G3209">_xlfn.XLOOKUP(C3209 &amp; F3209,
         [1]unilever_price_limits!A:A &amp; [1]unilever_price_limits!B:B,
         [1]unilever_price_limits!C:C)</f>
        <v>28</v>
      </c>
      <c r="H3209" s="8">
        <f t="shared" si="201"/>
        <v>2.7648000000000001</v>
      </c>
      <c r="I3209" s="6">
        <f t="shared" si="202"/>
        <v>28.000000000000004</v>
      </c>
      <c r="J3209" t="str">
        <f t="shared" si="203"/>
        <v>OK</v>
      </c>
    </row>
    <row r="3210" spans="1:10" x14ac:dyDescent="0.2">
      <c r="A3210">
        <v>13209</v>
      </c>
      <c r="B3210" t="s">
        <v>7</v>
      </c>
      <c r="C3210" t="s">
        <v>11</v>
      </c>
      <c r="D3210" s="8">
        <v>14.96</v>
      </c>
      <c r="E3210">
        <v>5</v>
      </c>
      <c r="F3210" t="str">
        <f t="shared" si="200"/>
        <v>Standard</v>
      </c>
      <c r="G3210" s="3" cm="1">
        <f t="array" ref="G3210">_xlfn.XLOOKUP(C3210 &amp; F3210,
         [1]unilever_price_limits!A:A &amp; [1]unilever_price_limits!B:B,
         [1]unilever_price_limits!C:C)</f>
        <v>25</v>
      </c>
      <c r="H3210" s="8">
        <f t="shared" si="201"/>
        <v>18.700000000000003</v>
      </c>
      <c r="I3210" s="6">
        <f t="shared" si="202"/>
        <v>25.000000000000021</v>
      </c>
      <c r="J3210" t="str">
        <f t="shared" si="203"/>
        <v>OK</v>
      </c>
    </row>
    <row r="3211" spans="1:10" x14ac:dyDescent="0.2">
      <c r="A3211">
        <v>13210</v>
      </c>
      <c r="B3211" t="s">
        <v>8</v>
      </c>
      <c r="C3211" t="s">
        <v>6</v>
      </c>
      <c r="D3211" s="8">
        <v>6.67</v>
      </c>
      <c r="E3211">
        <v>7</v>
      </c>
      <c r="F3211" t="str">
        <f t="shared" si="200"/>
        <v>Standard</v>
      </c>
      <c r="G3211" s="3" cm="1">
        <f t="array" ref="G3211">_xlfn.XLOOKUP(C3211 &amp; F3211,
         [1]unilever_price_limits!A:A &amp; [1]unilever_price_limits!B:B,
         [1]unilever_price_limits!C:C)</f>
        <v>28</v>
      </c>
      <c r="H3211" s="8">
        <f t="shared" si="201"/>
        <v>8.5375999999999994</v>
      </c>
      <c r="I3211" s="6">
        <f t="shared" si="202"/>
        <v>28.000000000000004</v>
      </c>
      <c r="J3211" t="str">
        <f t="shared" si="203"/>
        <v>OK</v>
      </c>
    </row>
    <row r="3212" spans="1:10" x14ac:dyDescent="0.2">
      <c r="A3212">
        <v>13211</v>
      </c>
      <c r="B3212" t="s">
        <v>8</v>
      </c>
      <c r="C3212" t="s">
        <v>6</v>
      </c>
      <c r="D3212" s="8">
        <v>5.55</v>
      </c>
      <c r="E3212">
        <v>2</v>
      </c>
      <c r="F3212" t="str">
        <f t="shared" si="200"/>
        <v>Value</v>
      </c>
      <c r="G3212" s="3" cm="1">
        <f t="array" ref="G3212">_xlfn.XLOOKUP(C3212 &amp; F3212,
         [1]unilever_price_limits!A:A &amp; [1]unilever_price_limits!B:B,
         [1]unilever_price_limits!C:C)</f>
        <v>12</v>
      </c>
      <c r="H3212" s="8">
        <f t="shared" si="201"/>
        <v>6.2160000000000002</v>
      </c>
      <c r="I3212" s="6">
        <f t="shared" si="202"/>
        <v>12.000000000000011</v>
      </c>
      <c r="J3212" t="str">
        <f t="shared" si="203"/>
        <v>OK</v>
      </c>
    </row>
    <row r="3213" spans="1:10" x14ac:dyDescent="0.2">
      <c r="A3213">
        <v>13212</v>
      </c>
      <c r="B3213" t="s">
        <v>7</v>
      </c>
      <c r="C3213" t="s">
        <v>9</v>
      </c>
      <c r="D3213" s="8">
        <v>10.8</v>
      </c>
      <c r="E3213">
        <v>8</v>
      </c>
      <c r="F3213" t="str">
        <f t="shared" si="200"/>
        <v>Premium</v>
      </c>
      <c r="G3213" s="3" cm="1">
        <f t="array" ref="G3213">_xlfn.XLOOKUP(C3213 &amp; F3213,
         [1]unilever_price_limits!A:A &amp; [1]unilever_price_limits!B:B,
         [1]unilever_price_limits!C:C)</f>
        <v>60</v>
      </c>
      <c r="H3213" s="8">
        <f t="shared" si="201"/>
        <v>17.28</v>
      </c>
      <c r="I3213" s="6">
        <f t="shared" si="202"/>
        <v>60.000000000000007</v>
      </c>
      <c r="J3213" t="str">
        <f t="shared" si="203"/>
        <v>OK</v>
      </c>
    </row>
    <row r="3214" spans="1:10" x14ac:dyDescent="0.2">
      <c r="A3214">
        <v>13213</v>
      </c>
      <c r="B3214" t="s">
        <v>10</v>
      </c>
      <c r="C3214" t="s">
        <v>9</v>
      </c>
      <c r="D3214" s="8">
        <v>5.78</v>
      </c>
      <c r="E3214">
        <v>2</v>
      </c>
      <c r="F3214" t="str">
        <f t="shared" si="200"/>
        <v>Value</v>
      </c>
      <c r="G3214" s="3" cm="1">
        <f t="array" ref="G3214">_xlfn.XLOOKUP(C3214 &amp; F3214,
         [1]unilever_price_limits!A:A &amp; [1]unilever_price_limits!B:B,
         [1]unilever_price_limits!C:C)</f>
        <v>15</v>
      </c>
      <c r="H3214" s="8">
        <f t="shared" si="201"/>
        <v>6.6469999999999994</v>
      </c>
      <c r="I3214" s="6">
        <f t="shared" si="202"/>
        <v>14.999999999999991</v>
      </c>
      <c r="J3214" t="str">
        <f t="shared" si="203"/>
        <v>OK</v>
      </c>
    </row>
    <row r="3215" spans="1:10" x14ac:dyDescent="0.2">
      <c r="A3215">
        <v>13214</v>
      </c>
      <c r="B3215" t="s">
        <v>7</v>
      </c>
      <c r="C3215" t="s">
        <v>9</v>
      </c>
      <c r="D3215" s="8">
        <v>12.58</v>
      </c>
      <c r="E3215">
        <v>10</v>
      </c>
      <c r="F3215" t="str">
        <f t="shared" si="200"/>
        <v>Premium</v>
      </c>
      <c r="G3215" s="3" cm="1">
        <f t="array" ref="G3215">_xlfn.XLOOKUP(C3215 &amp; F3215,
         [1]unilever_price_limits!A:A &amp; [1]unilever_price_limits!B:B,
         [1]unilever_price_limits!C:C)</f>
        <v>60</v>
      </c>
      <c r="H3215" s="8">
        <f t="shared" si="201"/>
        <v>20.128</v>
      </c>
      <c r="I3215" s="6">
        <f t="shared" si="202"/>
        <v>60.000000000000007</v>
      </c>
      <c r="J3215" t="str">
        <f t="shared" si="203"/>
        <v>OK</v>
      </c>
    </row>
    <row r="3216" spans="1:10" x14ac:dyDescent="0.2">
      <c r="A3216">
        <v>13215</v>
      </c>
      <c r="B3216" t="s">
        <v>8</v>
      </c>
      <c r="C3216" t="s">
        <v>9</v>
      </c>
      <c r="D3216" s="8">
        <v>7.09</v>
      </c>
      <c r="E3216">
        <v>5</v>
      </c>
      <c r="F3216" t="str">
        <f t="shared" si="200"/>
        <v>Standard</v>
      </c>
      <c r="G3216" s="3" cm="1">
        <f t="array" ref="G3216">_xlfn.XLOOKUP(C3216 &amp; F3216,
         [1]unilever_price_limits!A:A &amp; [1]unilever_price_limits!B:B,
         [1]unilever_price_limits!C:C)</f>
        <v>30</v>
      </c>
      <c r="H3216" s="8">
        <f t="shared" si="201"/>
        <v>9.2170000000000005</v>
      </c>
      <c r="I3216" s="6">
        <f t="shared" si="202"/>
        <v>30.000000000000004</v>
      </c>
      <c r="J3216" t="str">
        <f t="shared" si="203"/>
        <v>OK</v>
      </c>
    </row>
    <row r="3217" spans="1:10" x14ac:dyDescent="0.2">
      <c r="A3217">
        <v>13216</v>
      </c>
      <c r="B3217" t="s">
        <v>7</v>
      </c>
      <c r="C3217" t="s">
        <v>6</v>
      </c>
      <c r="D3217" s="8">
        <v>10.93</v>
      </c>
      <c r="E3217">
        <v>2</v>
      </c>
      <c r="F3217" t="str">
        <f t="shared" si="200"/>
        <v>Value</v>
      </c>
      <c r="G3217" s="3" cm="1">
        <f t="array" ref="G3217">_xlfn.XLOOKUP(C3217 &amp; F3217,
         [1]unilever_price_limits!A:A &amp; [1]unilever_price_limits!B:B,
         [1]unilever_price_limits!C:C)</f>
        <v>12</v>
      </c>
      <c r="H3217" s="8">
        <f t="shared" si="201"/>
        <v>12.2416</v>
      </c>
      <c r="I3217" s="6">
        <f t="shared" si="202"/>
        <v>12.000000000000011</v>
      </c>
      <c r="J3217" t="str">
        <f t="shared" si="203"/>
        <v>OK</v>
      </c>
    </row>
    <row r="3218" spans="1:10" x14ac:dyDescent="0.2">
      <c r="A3218">
        <v>13217</v>
      </c>
      <c r="B3218" t="s">
        <v>5</v>
      </c>
      <c r="C3218" t="s">
        <v>11</v>
      </c>
      <c r="D3218" s="8">
        <v>2.06</v>
      </c>
      <c r="E3218">
        <v>2</v>
      </c>
      <c r="F3218" t="str">
        <f t="shared" si="200"/>
        <v>Value</v>
      </c>
      <c r="G3218" s="3" cm="1">
        <f t="array" ref="G3218">_xlfn.XLOOKUP(C3218 &amp; F3218,
         [1]unilever_price_limits!A:A &amp; [1]unilever_price_limits!B:B,
         [1]unilever_price_limits!C:C)</f>
        <v>10</v>
      </c>
      <c r="H3218" s="8">
        <f t="shared" si="201"/>
        <v>2.2660000000000005</v>
      </c>
      <c r="I3218" s="6">
        <f t="shared" si="202"/>
        <v>10.000000000000009</v>
      </c>
      <c r="J3218" t="str">
        <f t="shared" si="203"/>
        <v>OK</v>
      </c>
    </row>
    <row r="3219" spans="1:10" x14ac:dyDescent="0.2">
      <c r="A3219">
        <v>13218</v>
      </c>
      <c r="B3219" t="s">
        <v>7</v>
      </c>
      <c r="C3219" t="s">
        <v>6</v>
      </c>
      <c r="D3219" s="8">
        <v>12.77</v>
      </c>
      <c r="E3219">
        <v>4</v>
      </c>
      <c r="F3219" t="str">
        <f t="shared" si="200"/>
        <v>Standard</v>
      </c>
      <c r="G3219" s="3" cm="1">
        <f t="array" ref="G3219">_xlfn.XLOOKUP(C3219 &amp; F3219,
         [1]unilever_price_limits!A:A &amp; [1]unilever_price_limits!B:B,
         [1]unilever_price_limits!C:C)</f>
        <v>28</v>
      </c>
      <c r="H3219" s="8">
        <f t="shared" si="201"/>
        <v>16.345600000000001</v>
      </c>
      <c r="I3219" s="6">
        <f t="shared" si="202"/>
        <v>28.000000000000004</v>
      </c>
      <c r="J3219" t="str">
        <f t="shared" si="203"/>
        <v>OK</v>
      </c>
    </row>
    <row r="3220" spans="1:10" x14ac:dyDescent="0.2">
      <c r="A3220">
        <v>13219</v>
      </c>
      <c r="B3220" t="s">
        <v>8</v>
      </c>
      <c r="C3220" t="s">
        <v>6</v>
      </c>
      <c r="D3220" s="8">
        <v>11.17</v>
      </c>
      <c r="E3220">
        <v>4</v>
      </c>
      <c r="F3220" t="str">
        <f t="shared" si="200"/>
        <v>Standard</v>
      </c>
      <c r="G3220" s="3" cm="1">
        <f t="array" ref="G3220">_xlfn.XLOOKUP(C3220 &amp; F3220,
         [1]unilever_price_limits!A:A &amp; [1]unilever_price_limits!B:B,
         [1]unilever_price_limits!C:C)</f>
        <v>28</v>
      </c>
      <c r="H3220" s="8">
        <f t="shared" si="201"/>
        <v>14.297600000000001</v>
      </c>
      <c r="I3220" s="6">
        <f t="shared" si="202"/>
        <v>28.000000000000004</v>
      </c>
      <c r="J3220" t="str">
        <f t="shared" si="203"/>
        <v>OK</v>
      </c>
    </row>
    <row r="3221" spans="1:10" x14ac:dyDescent="0.2">
      <c r="A3221">
        <v>13220</v>
      </c>
      <c r="B3221" t="s">
        <v>7</v>
      </c>
      <c r="C3221" t="s">
        <v>6</v>
      </c>
      <c r="D3221" s="8">
        <v>3.57</v>
      </c>
      <c r="E3221">
        <v>8</v>
      </c>
      <c r="F3221" t="str">
        <f t="shared" si="200"/>
        <v>Premium</v>
      </c>
      <c r="G3221" s="3" cm="1">
        <f t="array" ref="G3221">_xlfn.XLOOKUP(C3221 &amp; F3221,
         [1]unilever_price_limits!A:A &amp; [1]unilever_price_limits!B:B,
         [1]unilever_price_limits!C:C)</f>
        <v>55</v>
      </c>
      <c r="H3221" s="8">
        <f t="shared" si="201"/>
        <v>5.5335000000000001</v>
      </c>
      <c r="I3221" s="6">
        <f t="shared" si="202"/>
        <v>55.000000000000007</v>
      </c>
      <c r="J3221" t="str">
        <f t="shared" si="203"/>
        <v>OK</v>
      </c>
    </row>
    <row r="3222" spans="1:10" x14ac:dyDescent="0.2">
      <c r="A3222">
        <v>13221</v>
      </c>
      <c r="B3222" t="s">
        <v>10</v>
      </c>
      <c r="C3222" t="s">
        <v>11</v>
      </c>
      <c r="D3222" s="8">
        <v>2.61</v>
      </c>
      <c r="E3222">
        <v>6</v>
      </c>
      <c r="F3222" t="str">
        <f t="shared" si="200"/>
        <v>Standard</v>
      </c>
      <c r="G3222" s="3" cm="1">
        <f t="array" ref="G3222">_xlfn.XLOOKUP(C3222 &amp; F3222,
         [1]unilever_price_limits!A:A &amp; [1]unilever_price_limits!B:B,
         [1]unilever_price_limits!C:C)</f>
        <v>25</v>
      </c>
      <c r="H3222" s="8">
        <f t="shared" si="201"/>
        <v>3.2624999999999997</v>
      </c>
      <c r="I3222" s="6">
        <f t="shared" si="202"/>
        <v>25</v>
      </c>
      <c r="J3222" t="str">
        <f t="shared" si="203"/>
        <v>OK</v>
      </c>
    </row>
    <row r="3223" spans="1:10" x14ac:dyDescent="0.2">
      <c r="A3223">
        <v>13222</v>
      </c>
      <c r="B3223" t="s">
        <v>7</v>
      </c>
      <c r="C3223" t="s">
        <v>9</v>
      </c>
      <c r="D3223" s="8">
        <v>5.09</v>
      </c>
      <c r="E3223">
        <v>10</v>
      </c>
      <c r="F3223" t="str">
        <f t="shared" si="200"/>
        <v>Premium</v>
      </c>
      <c r="G3223" s="3" cm="1">
        <f t="array" ref="G3223">_xlfn.XLOOKUP(C3223 &amp; F3223,
         [1]unilever_price_limits!A:A &amp; [1]unilever_price_limits!B:B,
         [1]unilever_price_limits!C:C)</f>
        <v>60</v>
      </c>
      <c r="H3223" s="8">
        <f t="shared" si="201"/>
        <v>8.1440000000000001</v>
      </c>
      <c r="I3223" s="6">
        <f t="shared" si="202"/>
        <v>60.000000000000007</v>
      </c>
      <c r="J3223" t="str">
        <f t="shared" si="203"/>
        <v>OK</v>
      </c>
    </row>
    <row r="3224" spans="1:10" x14ac:dyDescent="0.2">
      <c r="A3224">
        <v>13223</v>
      </c>
      <c r="B3224" t="s">
        <v>10</v>
      </c>
      <c r="C3224" t="s">
        <v>6</v>
      </c>
      <c r="D3224" s="8">
        <v>14.65</v>
      </c>
      <c r="E3224">
        <v>8</v>
      </c>
      <c r="F3224" t="str">
        <f t="shared" si="200"/>
        <v>Premium</v>
      </c>
      <c r="G3224" s="3" cm="1">
        <f t="array" ref="G3224">_xlfn.XLOOKUP(C3224 &amp; F3224,
         [1]unilever_price_limits!A:A &amp; [1]unilever_price_limits!B:B,
         [1]unilever_price_limits!C:C)</f>
        <v>55</v>
      </c>
      <c r="H3224" s="8">
        <f t="shared" si="201"/>
        <v>22.7075</v>
      </c>
      <c r="I3224" s="6">
        <f t="shared" si="202"/>
        <v>54.999999999999986</v>
      </c>
      <c r="J3224" t="str">
        <f t="shared" si="203"/>
        <v>OK</v>
      </c>
    </row>
    <row r="3225" spans="1:10" x14ac:dyDescent="0.2">
      <c r="A3225">
        <v>13224</v>
      </c>
      <c r="B3225" t="s">
        <v>5</v>
      </c>
      <c r="C3225" t="s">
        <v>6</v>
      </c>
      <c r="D3225" s="8">
        <v>4.22</v>
      </c>
      <c r="E3225">
        <v>7</v>
      </c>
      <c r="F3225" t="str">
        <f t="shared" si="200"/>
        <v>Standard</v>
      </c>
      <c r="G3225" s="3" cm="1">
        <f t="array" ref="G3225">_xlfn.XLOOKUP(C3225 &amp; F3225,
         [1]unilever_price_limits!A:A &amp; [1]unilever_price_limits!B:B,
         [1]unilever_price_limits!C:C)</f>
        <v>28</v>
      </c>
      <c r="H3225" s="8">
        <f t="shared" si="201"/>
        <v>5.4016000000000002</v>
      </c>
      <c r="I3225" s="6">
        <f t="shared" si="202"/>
        <v>28.000000000000004</v>
      </c>
      <c r="J3225" t="str">
        <f t="shared" si="203"/>
        <v>OK</v>
      </c>
    </row>
    <row r="3226" spans="1:10" x14ac:dyDescent="0.2">
      <c r="A3226">
        <v>13225</v>
      </c>
      <c r="B3226" t="s">
        <v>10</v>
      </c>
      <c r="C3226" t="s">
        <v>9</v>
      </c>
      <c r="D3226" s="8">
        <v>7.11</v>
      </c>
      <c r="E3226">
        <v>10</v>
      </c>
      <c r="F3226" t="str">
        <f t="shared" si="200"/>
        <v>Premium</v>
      </c>
      <c r="G3226" s="3" cm="1">
        <f t="array" ref="G3226">_xlfn.XLOOKUP(C3226 &amp; F3226,
         [1]unilever_price_limits!A:A &amp; [1]unilever_price_limits!B:B,
         [1]unilever_price_limits!C:C)</f>
        <v>60</v>
      </c>
      <c r="H3226" s="8">
        <f t="shared" si="201"/>
        <v>11.376000000000001</v>
      </c>
      <c r="I3226" s="6">
        <f t="shared" si="202"/>
        <v>60.000000000000007</v>
      </c>
      <c r="J3226" t="str">
        <f t="shared" si="203"/>
        <v>OK</v>
      </c>
    </row>
    <row r="3227" spans="1:10" x14ac:dyDescent="0.2">
      <c r="A3227">
        <v>13226</v>
      </c>
      <c r="B3227" t="s">
        <v>7</v>
      </c>
      <c r="C3227" t="s">
        <v>6</v>
      </c>
      <c r="D3227" s="8">
        <v>0.94</v>
      </c>
      <c r="E3227">
        <v>4</v>
      </c>
      <c r="F3227" t="str">
        <f t="shared" si="200"/>
        <v>Standard</v>
      </c>
      <c r="G3227" s="3" cm="1">
        <f t="array" ref="G3227">_xlfn.XLOOKUP(C3227 &amp; F3227,
         [1]unilever_price_limits!A:A &amp; [1]unilever_price_limits!B:B,
         [1]unilever_price_limits!C:C)</f>
        <v>28</v>
      </c>
      <c r="H3227" s="8">
        <f t="shared" si="201"/>
        <v>1.2032</v>
      </c>
      <c r="I3227" s="6">
        <f t="shared" si="202"/>
        <v>28.000000000000004</v>
      </c>
      <c r="J3227" t="str">
        <f t="shared" si="203"/>
        <v>OK</v>
      </c>
    </row>
    <row r="3228" spans="1:10" x14ac:dyDescent="0.2">
      <c r="A3228">
        <v>13227</v>
      </c>
      <c r="B3228" t="s">
        <v>8</v>
      </c>
      <c r="C3228" t="s">
        <v>11</v>
      </c>
      <c r="D3228" s="8">
        <v>6.26</v>
      </c>
      <c r="E3228">
        <v>2</v>
      </c>
      <c r="F3228" t="str">
        <f t="shared" si="200"/>
        <v>Value</v>
      </c>
      <c r="G3228" s="3" cm="1">
        <f t="array" ref="G3228">_xlfn.XLOOKUP(C3228 &amp; F3228,
         [1]unilever_price_limits!A:A &amp; [1]unilever_price_limits!B:B,
         [1]unilever_price_limits!C:C)</f>
        <v>10</v>
      </c>
      <c r="H3228" s="8">
        <f t="shared" si="201"/>
        <v>6.8860000000000001</v>
      </c>
      <c r="I3228" s="6">
        <f t="shared" si="202"/>
        <v>10.000000000000009</v>
      </c>
      <c r="J3228" t="str">
        <f t="shared" si="203"/>
        <v>OK</v>
      </c>
    </row>
    <row r="3229" spans="1:10" x14ac:dyDescent="0.2">
      <c r="A3229">
        <v>13228</v>
      </c>
      <c r="B3229" t="s">
        <v>10</v>
      </c>
      <c r="C3229" t="s">
        <v>6</v>
      </c>
      <c r="D3229" s="8">
        <v>8.7799999999999994</v>
      </c>
      <c r="E3229">
        <v>9</v>
      </c>
      <c r="F3229" t="str">
        <f t="shared" si="200"/>
        <v>Premium</v>
      </c>
      <c r="G3229" s="3" cm="1">
        <f t="array" ref="G3229">_xlfn.XLOOKUP(C3229 &amp; F3229,
         [1]unilever_price_limits!A:A &amp; [1]unilever_price_limits!B:B,
         [1]unilever_price_limits!C:C)</f>
        <v>55</v>
      </c>
      <c r="H3229" s="8">
        <f t="shared" si="201"/>
        <v>13.609</v>
      </c>
      <c r="I3229" s="6">
        <f t="shared" si="202"/>
        <v>55.000000000000007</v>
      </c>
      <c r="J3229" t="str">
        <f t="shared" si="203"/>
        <v>OK</v>
      </c>
    </row>
    <row r="3230" spans="1:10" x14ac:dyDescent="0.2">
      <c r="A3230">
        <v>13229</v>
      </c>
      <c r="B3230" t="s">
        <v>5</v>
      </c>
      <c r="C3230" t="s">
        <v>6</v>
      </c>
      <c r="D3230" s="8">
        <v>14.32</v>
      </c>
      <c r="E3230">
        <v>2</v>
      </c>
      <c r="F3230" t="str">
        <f t="shared" si="200"/>
        <v>Value</v>
      </c>
      <c r="G3230" s="3" cm="1">
        <f t="array" ref="G3230">_xlfn.XLOOKUP(C3230 &amp; F3230,
         [1]unilever_price_limits!A:A &amp; [1]unilever_price_limits!B:B,
         [1]unilever_price_limits!C:C)</f>
        <v>12</v>
      </c>
      <c r="H3230" s="8">
        <f t="shared" si="201"/>
        <v>16.038400000000003</v>
      </c>
      <c r="I3230" s="6">
        <f t="shared" si="202"/>
        <v>12.000000000000011</v>
      </c>
      <c r="J3230" t="str">
        <f t="shared" si="203"/>
        <v>OK</v>
      </c>
    </row>
    <row r="3231" spans="1:10" x14ac:dyDescent="0.2">
      <c r="A3231">
        <v>13230</v>
      </c>
      <c r="B3231" t="s">
        <v>10</v>
      </c>
      <c r="C3231" t="s">
        <v>9</v>
      </c>
      <c r="D3231" s="8">
        <v>7.99</v>
      </c>
      <c r="E3231">
        <v>1</v>
      </c>
      <c r="F3231" t="str">
        <f t="shared" si="200"/>
        <v>Value</v>
      </c>
      <c r="G3231" s="3" cm="1">
        <f t="array" ref="G3231">_xlfn.XLOOKUP(C3231 &amp; F3231,
         [1]unilever_price_limits!A:A &amp; [1]unilever_price_limits!B:B,
         [1]unilever_price_limits!C:C)</f>
        <v>15</v>
      </c>
      <c r="H3231" s="8">
        <f t="shared" si="201"/>
        <v>9.1884999999999994</v>
      </c>
      <c r="I3231" s="6">
        <f t="shared" si="202"/>
        <v>14.999999999999991</v>
      </c>
      <c r="J3231" t="str">
        <f t="shared" si="203"/>
        <v>OK</v>
      </c>
    </row>
    <row r="3232" spans="1:10" x14ac:dyDescent="0.2">
      <c r="A3232">
        <v>13231</v>
      </c>
      <c r="B3232" t="s">
        <v>10</v>
      </c>
      <c r="C3232" t="s">
        <v>6</v>
      </c>
      <c r="D3232" s="8">
        <v>12.38</v>
      </c>
      <c r="E3232">
        <v>8</v>
      </c>
      <c r="F3232" t="str">
        <f t="shared" si="200"/>
        <v>Premium</v>
      </c>
      <c r="G3232" s="3" cm="1">
        <f t="array" ref="G3232">_xlfn.XLOOKUP(C3232 &amp; F3232,
         [1]unilever_price_limits!A:A &amp; [1]unilever_price_limits!B:B,
         [1]unilever_price_limits!C:C)</f>
        <v>55</v>
      </c>
      <c r="H3232" s="8">
        <f t="shared" si="201"/>
        <v>19.189</v>
      </c>
      <c r="I3232" s="6">
        <f t="shared" si="202"/>
        <v>54.999999999999986</v>
      </c>
      <c r="J3232" t="str">
        <f t="shared" si="203"/>
        <v>OK</v>
      </c>
    </row>
    <row r="3233" spans="1:10" x14ac:dyDescent="0.2">
      <c r="A3233">
        <v>13232</v>
      </c>
      <c r="B3233" t="s">
        <v>10</v>
      </c>
      <c r="C3233" t="s">
        <v>6</v>
      </c>
      <c r="D3233" s="8">
        <v>8.43</v>
      </c>
      <c r="E3233">
        <v>10</v>
      </c>
      <c r="F3233" t="str">
        <f t="shared" si="200"/>
        <v>Premium</v>
      </c>
      <c r="G3233" s="3" cm="1">
        <f t="array" ref="G3233">_xlfn.XLOOKUP(C3233 &amp; F3233,
         [1]unilever_price_limits!A:A &amp; [1]unilever_price_limits!B:B,
         [1]unilever_price_limits!C:C)</f>
        <v>55</v>
      </c>
      <c r="H3233" s="8">
        <f t="shared" si="201"/>
        <v>13.0665</v>
      </c>
      <c r="I3233" s="6">
        <f t="shared" si="202"/>
        <v>55.000000000000007</v>
      </c>
      <c r="J3233" t="str">
        <f t="shared" si="203"/>
        <v>OK</v>
      </c>
    </row>
    <row r="3234" spans="1:10" x14ac:dyDescent="0.2">
      <c r="A3234">
        <v>13233</v>
      </c>
      <c r="B3234" t="s">
        <v>5</v>
      </c>
      <c r="C3234" t="s">
        <v>11</v>
      </c>
      <c r="D3234" s="8">
        <v>1.0900000000000001</v>
      </c>
      <c r="E3234">
        <v>9</v>
      </c>
      <c r="F3234" t="str">
        <f t="shared" si="200"/>
        <v>Premium</v>
      </c>
      <c r="G3234" s="3" cm="1">
        <f t="array" ref="G3234">_xlfn.XLOOKUP(C3234 &amp; F3234,
         [1]unilever_price_limits!A:A &amp; [1]unilever_price_limits!B:B,
         [1]unilever_price_limits!C:C)</f>
        <v>50</v>
      </c>
      <c r="H3234" s="8">
        <f t="shared" si="201"/>
        <v>1.6350000000000002</v>
      </c>
      <c r="I3234" s="6">
        <f t="shared" si="202"/>
        <v>50</v>
      </c>
      <c r="J3234" t="str">
        <f t="shared" si="203"/>
        <v>OK</v>
      </c>
    </row>
    <row r="3235" spans="1:10" x14ac:dyDescent="0.2">
      <c r="A3235">
        <v>13234</v>
      </c>
      <c r="B3235" t="s">
        <v>7</v>
      </c>
      <c r="C3235" t="s">
        <v>9</v>
      </c>
      <c r="D3235" s="8">
        <v>5.07</v>
      </c>
      <c r="E3235">
        <v>1</v>
      </c>
      <c r="F3235" t="str">
        <f t="shared" si="200"/>
        <v>Value</v>
      </c>
      <c r="G3235" s="3" cm="1">
        <f t="array" ref="G3235">_xlfn.XLOOKUP(C3235 &amp; F3235,
         [1]unilever_price_limits!A:A &amp; [1]unilever_price_limits!B:B,
         [1]unilever_price_limits!C:C)</f>
        <v>15</v>
      </c>
      <c r="H3235" s="8">
        <f t="shared" si="201"/>
        <v>5.8304999999999998</v>
      </c>
      <c r="I3235" s="6">
        <f t="shared" si="202"/>
        <v>14.999999999999991</v>
      </c>
      <c r="J3235" t="str">
        <f t="shared" si="203"/>
        <v>OK</v>
      </c>
    </row>
    <row r="3236" spans="1:10" x14ac:dyDescent="0.2">
      <c r="A3236">
        <v>13235</v>
      </c>
      <c r="B3236" t="s">
        <v>10</v>
      </c>
      <c r="C3236" t="s">
        <v>9</v>
      </c>
      <c r="D3236" s="8">
        <v>8.85</v>
      </c>
      <c r="E3236">
        <v>7</v>
      </c>
      <c r="F3236" t="str">
        <f t="shared" si="200"/>
        <v>Standard</v>
      </c>
      <c r="G3236" s="3" cm="1">
        <f t="array" ref="G3236">_xlfn.XLOOKUP(C3236 &amp; F3236,
         [1]unilever_price_limits!A:A &amp; [1]unilever_price_limits!B:B,
         [1]unilever_price_limits!C:C)</f>
        <v>30</v>
      </c>
      <c r="H3236" s="8">
        <f t="shared" si="201"/>
        <v>11.505000000000001</v>
      </c>
      <c r="I3236" s="6">
        <f t="shared" si="202"/>
        <v>30.000000000000004</v>
      </c>
      <c r="J3236" t="str">
        <f t="shared" si="203"/>
        <v>OK</v>
      </c>
    </row>
    <row r="3237" spans="1:10" x14ac:dyDescent="0.2">
      <c r="A3237">
        <v>13236</v>
      </c>
      <c r="B3237" t="s">
        <v>10</v>
      </c>
      <c r="C3237" t="s">
        <v>11</v>
      </c>
      <c r="D3237" s="8">
        <v>14.28</v>
      </c>
      <c r="E3237">
        <v>2</v>
      </c>
      <c r="F3237" t="str">
        <f t="shared" si="200"/>
        <v>Value</v>
      </c>
      <c r="G3237" s="3" cm="1">
        <f t="array" ref="G3237">_xlfn.XLOOKUP(C3237 &amp; F3237,
         [1]unilever_price_limits!A:A &amp; [1]unilever_price_limits!B:B,
         [1]unilever_price_limits!C:C)</f>
        <v>10</v>
      </c>
      <c r="H3237" s="8">
        <f t="shared" si="201"/>
        <v>15.708</v>
      </c>
      <c r="I3237" s="6">
        <f t="shared" si="202"/>
        <v>10.000000000000009</v>
      </c>
      <c r="J3237" t="str">
        <f t="shared" si="203"/>
        <v>OK</v>
      </c>
    </row>
    <row r="3238" spans="1:10" x14ac:dyDescent="0.2">
      <c r="A3238">
        <v>13237</v>
      </c>
      <c r="B3238" t="s">
        <v>8</v>
      </c>
      <c r="C3238" t="s">
        <v>6</v>
      </c>
      <c r="D3238" s="8">
        <v>12.96</v>
      </c>
      <c r="E3238">
        <v>6</v>
      </c>
      <c r="F3238" t="str">
        <f t="shared" si="200"/>
        <v>Standard</v>
      </c>
      <c r="G3238" s="3" cm="1">
        <f t="array" ref="G3238">_xlfn.XLOOKUP(C3238 &amp; F3238,
         [1]unilever_price_limits!A:A &amp; [1]unilever_price_limits!B:B,
         [1]unilever_price_limits!C:C)</f>
        <v>28</v>
      </c>
      <c r="H3238" s="8">
        <f t="shared" si="201"/>
        <v>16.588800000000003</v>
      </c>
      <c r="I3238" s="6">
        <f t="shared" si="202"/>
        <v>28.000000000000004</v>
      </c>
      <c r="J3238" t="str">
        <f t="shared" si="203"/>
        <v>OK</v>
      </c>
    </row>
    <row r="3239" spans="1:10" x14ac:dyDescent="0.2">
      <c r="A3239">
        <v>13238</v>
      </c>
      <c r="B3239" t="s">
        <v>5</v>
      </c>
      <c r="C3239" t="s">
        <v>9</v>
      </c>
      <c r="D3239" s="8">
        <v>3.81</v>
      </c>
      <c r="E3239">
        <v>5</v>
      </c>
      <c r="F3239" t="str">
        <f t="shared" si="200"/>
        <v>Standard</v>
      </c>
      <c r="G3239" s="3" cm="1">
        <f t="array" ref="G3239">_xlfn.XLOOKUP(C3239 &amp; F3239,
         [1]unilever_price_limits!A:A &amp; [1]unilever_price_limits!B:B,
         [1]unilever_price_limits!C:C)</f>
        <v>30</v>
      </c>
      <c r="H3239" s="8">
        <f t="shared" si="201"/>
        <v>4.9530000000000003</v>
      </c>
      <c r="I3239" s="6">
        <f t="shared" si="202"/>
        <v>30.000000000000004</v>
      </c>
      <c r="J3239" t="str">
        <f t="shared" si="203"/>
        <v>OK</v>
      </c>
    </row>
    <row r="3240" spans="1:10" x14ac:dyDescent="0.2">
      <c r="A3240">
        <v>13239</v>
      </c>
      <c r="B3240" t="s">
        <v>10</v>
      </c>
      <c r="C3240" t="s">
        <v>9</v>
      </c>
      <c r="D3240" s="8">
        <v>3.69</v>
      </c>
      <c r="E3240">
        <v>1</v>
      </c>
      <c r="F3240" t="str">
        <f t="shared" si="200"/>
        <v>Value</v>
      </c>
      <c r="G3240" s="3" cm="1">
        <f t="array" ref="G3240">_xlfn.XLOOKUP(C3240 &amp; F3240,
         [1]unilever_price_limits!A:A &amp; [1]unilever_price_limits!B:B,
         [1]unilever_price_limits!C:C)</f>
        <v>15</v>
      </c>
      <c r="H3240" s="8">
        <f t="shared" si="201"/>
        <v>4.2435</v>
      </c>
      <c r="I3240" s="6">
        <f t="shared" si="202"/>
        <v>15.000000000000014</v>
      </c>
      <c r="J3240" t="str">
        <f t="shared" si="203"/>
        <v>OK</v>
      </c>
    </row>
    <row r="3241" spans="1:10" x14ac:dyDescent="0.2">
      <c r="A3241">
        <v>13240</v>
      </c>
      <c r="B3241" t="s">
        <v>5</v>
      </c>
      <c r="C3241" t="s">
        <v>6</v>
      </c>
      <c r="D3241" s="8">
        <v>3.42</v>
      </c>
      <c r="E3241">
        <v>2</v>
      </c>
      <c r="F3241" t="str">
        <f t="shared" si="200"/>
        <v>Value</v>
      </c>
      <c r="G3241" s="3" cm="1">
        <f t="array" ref="G3241">_xlfn.XLOOKUP(C3241 &amp; F3241,
         [1]unilever_price_limits!A:A &amp; [1]unilever_price_limits!B:B,
         [1]unilever_price_limits!C:C)</f>
        <v>12</v>
      </c>
      <c r="H3241" s="8">
        <f t="shared" si="201"/>
        <v>3.8304000000000005</v>
      </c>
      <c r="I3241" s="6">
        <f t="shared" si="202"/>
        <v>12.000000000000011</v>
      </c>
      <c r="J3241" t="str">
        <f t="shared" si="203"/>
        <v>OK</v>
      </c>
    </row>
    <row r="3242" spans="1:10" x14ac:dyDescent="0.2">
      <c r="A3242">
        <v>13241</v>
      </c>
      <c r="B3242" t="s">
        <v>10</v>
      </c>
      <c r="C3242" t="s">
        <v>6</v>
      </c>
      <c r="D3242" s="8">
        <v>13.88</v>
      </c>
      <c r="E3242">
        <v>2</v>
      </c>
      <c r="F3242" t="str">
        <f t="shared" si="200"/>
        <v>Value</v>
      </c>
      <c r="G3242" s="3" cm="1">
        <f t="array" ref="G3242">_xlfn.XLOOKUP(C3242 &amp; F3242,
         [1]unilever_price_limits!A:A &amp; [1]unilever_price_limits!B:B,
         [1]unilever_price_limits!C:C)</f>
        <v>12</v>
      </c>
      <c r="H3242" s="8">
        <f t="shared" si="201"/>
        <v>15.545600000000002</v>
      </c>
      <c r="I3242" s="6">
        <f t="shared" si="202"/>
        <v>12.000000000000011</v>
      </c>
      <c r="J3242" t="str">
        <f t="shared" si="203"/>
        <v>OK</v>
      </c>
    </row>
    <row r="3243" spans="1:10" x14ac:dyDescent="0.2">
      <c r="A3243">
        <v>13242</v>
      </c>
      <c r="B3243" t="s">
        <v>7</v>
      </c>
      <c r="C3243" t="s">
        <v>9</v>
      </c>
      <c r="D3243" s="8">
        <v>12.86</v>
      </c>
      <c r="E3243">
        <v>10</v>
      </c>
      <c r="F3243" t="str">
        <f t="shared" si="200"/>
        <v>Premium</v>
      </c>
      <c r="G3243" s="3" cm="1">
        <f t="array" ref="G3243">_xlfn.XLOOKUP(C3243 &amp; F3243,
         [1]unilever_price_limits!A:A &amp; [1]unilever_price_limits!B:B,
         [1]unilever_price_limits!C:C)</f>
        <v>60</v>
      </c>
      <c r="H3243" s="8">
        <f t="shared" si="201"/>
        <v>20.576000000000001</v>
      </c>
      <c r="I3243" s="6">
        <f t="shared" si="202"/>
        <v>60.000000000000007</v>
      </c>
      <c r="J3243" t="str">
        <f t="shared" si="203"/>
        <v>OK</v>
      </c>
    </row>
    <row r="3244" spans="1:10" x14ac:dyDescent="0.2">
      <c r="A3244">
        <v>13243</v>
      </c>
      <c r="B3244" t="s">
        <v>7</v>
      </c>
      <c r="C3244" t="s">
        <v>6</v>
      </c>
      <c r="D3244" s="8">
        <v>11.74</v>
      </c>
      <c r="E3244">
        <v>10</v>
      </c>
      <c r="F3244" t="str">
        <f t="shared" si="200"/>
        <v>Premium</v>
      </c>
      <c r="G3244" s="3" cm="1">
        <f t="array" ref="G3244">_xlfn.XLOOKUP(C3244 &amp; F3244,
         [1]unilever_price_limits!A:A &amp; [1]unilever_price_limits!B:B,
         [1]unilever_price_limits!C:C)</f>
        <v>55</v>
      </c>
      <c r="H3244" s="8">
        <f t="shared" si="201"/>
        <v>18.196999999999999</v>
      </c>
      <c r="I3244" s="6">
        <f t="shared" si="202"/>
        <v>54.999999999999986</v>
      </c>
      <c r="J3244" t="str">
        <f t="shared" si="203"/>
        <v>OK</v>
      </c>
    </row>
    <row r="3245" spans="1:10" x14ac:dyDescent="0.2">
      <c r="A3245">
        <v>13244</v>
      </c>
      <c r="B3245" t="s">
        <v>10</v>
      </c>
      <c r="C3245" t="s">
        <v>9</v>
      </c>
      <c r="D3245" s="8">
        <v>6.19</v>
      </c>
      <c r="E3245">
        <v>6</v>
      </c>
      <c r="F3245" t="str">
        <f t="shared" si="200"/>
        <v>Standard</v>
      </c>
      <c r="G3245" s="3" cm="1">
        <f t="array" ref="G3245">_xlfn.XLOOKUP(C3245 &amp; F3245,
         [1]unilever_price_limits!A:A &amp; [1]unilever_price_limits!B:B,
         [1]unilever_price_limits!C:C)</f>
        <v>30</v>
      </c>
      <c r="H3245" s="8">
        <f t="shared" si="201"/>
        <v>8.0470000000000006</v>
      </c>
      <c r="I3245" s="6">
        <f t="shared" si="202"/>
        <v>30.000000000000004</v>
      </c>
      <c r="J3245" t="str">
        <f t="shared" si="203"/>
        <v>OK</v>
      </c>
    </row>
    <row r="3246" spans="1:10" x14ac:dyDescent="0.2">
      <c r="A3246">
        <v>13245</v>
      </c>
      <c r="B3246" t="s">
        <v>7</v>
      </c>
      <c r="C3246" t="s">
        <v>6</v>
      </c>
      <c r="D3246" s="8">
        <v>7.81</v>
      </c>
      <c r="E3246">
        <v>1</v>
      </c>
      <c r="F3246" t="str">
        <f t="shared" si="200"/>
        <v>Value</v>
      </c>
      <c r="G3246" s="3" cm="1">
        <f t="array" ref="G3246">_xlfn.XLOOKUP(C3246 &amp; F3246,
         [1]unilever_price_limits!A:A &amp; [1]unilever_price_limits!B:B,
         [1]unilever_price_limits!C:C)</f>
        <v>12</v>
      </c>
      <c r="H3246" s="8">
        <f t="shared" si="201"/>
        <v>8.7472000000000012</v>
      </c>
      <c r="I3246" s="6">
        <f t="shared" si="202"/>
        <v>12.000000000000011</v>
      </c>
      <c r="J3246" t="str">
        <f t="shared" si="203"/>
        <v>OK</v>
      </c>
    </row>
    <row r="3247" spans="1:10" x14ac:dyDescent="0.2">
      <c r="A3247">
        <v>13246</v>
      </c>
      <c r="B3247" t="s">
        <v>10</v>
      </c>
      <c r="C3247" t="s">
        <v>6</v>
      </c>
      <c r="D3247" s="8">
        <v>7.23</v>
      </c>
      <c r="E3247">
        <v>4</v>
      </c>
      <c r="F3247" t="str">
        <f t="shared" si="200"/>
        <v>Standard</v>
      </c>
      <c r="G3247" s="3" cm="1">
        <f t="array" ref="G3247">_xlfn.XLOOKUP(C3247 &amp; F3247,
         [1]unilever_price_limits!A:A &amp; [1]unilever_price_limits!B:B,
         [1]unilever_price_limits!C:C)</f>
        <v>28</v>
      </c>
      <c r="H3247" s="8">
        <f t="shared" si="201"/>
        <v>9.2544000000000004</v>
      </c>
      <c r="I3247" s="6">
        <f t="shared" si="202"/>
        <v>28.000000000000004</v>
      </c>
      <c r="J3247" t="str">
        <f t="shared" si="203"/>
        <v>OK</v>
      </c>
    </row>
    <row r="3248" spans="1:10" x14ac:dyDescent="0.2">
      <c r="A3248">
        <v>13247</v>
      </c>
      <c r="B3248" t="s">
        <v>7</v>
      </c>
      <c r="C3248" t="s">
        <v>11</v>
      </c>
      <c r="D3248" s="8">
        <v>4.17</v>
      </c>
      <c r="E3248">
        <v>10</v>
      </c>
      <c r="F3248" t="str">
        <f t="shared" si="200"/>
        <v>Premium</v>
      </c>
      <c r="G3248" s="3" cm="1">
        <f t="array" ref="G3248">_xlfn.XLOOKUP(C3248 &amp; F3248,
         [1]unilever_price_limits!A:A &amp; [1]unilever_price_limits!B:B,
         [1]unilever_price_limits!C:C)</f>
        <v>50</v>
      </c>
      <c r="H3248" s="8">
        <f t="shared" si="201"/>
        <v>6.2549999999999999</v>
      </c>
      <c r="I3248" s="6">
        <f t="shared" si="202"/>
        <v>50</v>
      </c>
      <c r="J3248" t="str">
        <f t="shared" si="203"/>
        <v>OK</v>
      </c>
    </row>
    <row r="3249" spans="1:10" x14ac:dyDescent="0.2">
      <c r="A3249">
        <v>13248</v>
      </c>
      <c r="B3249" t="s">
        <v>8</v>
      </c>
      <c r="C3249" t="s">
        <v>6</v>
      </c>
      <c r="D3249" s="8">
        <v>7.82</v>
      </c>
      <c r="E3249">
        <v>5</v>
      </c>
      <c r="F3249" t="str">
        <f t="shared" si="200"/>
        <v>Standard</v>
      </c>
      <c r="G3249" s="3" cm="1">
        <f t="array" ref="G3249">_xlfn.XLOOKUP(C3249 &amp; F3249,
         [1]unilever_price_limits!A:A &amp; [1]unilever_price_limits!B:B,
         [1]unilever_price_limits!C:C)</f>
        <v>28</v>
      </c>
      <c r="H3249" s="8">
        <f t="shared" si="201"/>
        <v>10.009600000000001</v>
      </c>
      <c r="I3249" s="6">
        <f t="shared" si="202"/>
        <v>28.000000000000004</v>
      </c>
      <c r="J3249" t="str">
        <f t="shared" si="203"/>
        <v>OK</v>
      </c>
    </row>
    <row r="3250" spans="1:10" x14ac:dyDescent="0.2">
      <c r="A3250">
        <v>13249</v>
      </c>
      <c r="B3250" t="s">
        <v>8</v>
      </c>
      <c r="C3250" t="s">
        <v>11</v>
      </c>
      <c r="D3250" s="8">
        <v>0.94</v>
      </c>
      <c r="E3250">
        <v>2</v>
      </c>
      <c r="F3250" t="str">
        <f t="shared" si="200"/>
        <v>Value</v>
      </c>
      <c r="G3250" s="3" cm="1">
        <f t="array" ref="G3250">_xlfn.XLOOKUP(C3250 &amp; F3250,
         [1]unilever_price_limits!A:A &amp; [1]unilever_price_limits!B:B,
         [1]unilever_price_limits!C:C)</f>
        <v>10</v>
      </c>
      <c r="H3250" s="8">
        <f t="shared" si="201"/>
        <v>1.034</v>
      </c>
      <c r="I3250" s="6">
        <f t="shared" si="202"/>
        <v>10.000000000000009</v>
      </c>
      <c r="J3250" t="str">
        <f t="shared" si="203"/>
        <v>OK</v>
      </c>
    </row>
    <row r="3251" spans="1:10" x14ac:dyDescent="0.2">
      <c r="A3251">
        <v>13250</v>
      </c>
      <c r="B3251" t="s">
        <v>8</v>
      </c>
      <c r="C3251" t="s">
        <v>6</v>
      </c>
      <c r="D3251" s="8">
        <v>2.41</v>
      </c>
      <c r="E3251">
        <v>2</v>
      </c>
      <c r="F3251" t="str">
        <f t="shared" si="200"/>
        <v>Value</v>
      </c>
      <c r="G3251" s="3" cm="1">
        <f t="array" ref="G3251">_xlfn.XLOOKUP(C3251 &amp; F3251,
         [1]unilever_price_limits!A:A &amp; [1]unilever_price_limits!B:B,
         [1]unilever_price_limits!C:C)</f>
        <v>12</v>
      </c>
      <c r="H3251" s="8">
        <f t="shared" si="201"/>
        <v>2.6992000000000003</v>
      </c>
      <c r="I3251" s="6">
        <f t="shared" si="202"/>
        <v>12.000000000000011</v>
      </c>
      <c r="J3251" t="str">
        <f t="shared" si="203"/>
        <v>OK</v>
      </c>
    </row>
    <row r="3252" spans="1:10" x14ac:dyDescent="0.2">
      <c r="A3252">
        <v>13251</v>
      </c>
      <c r="B3252" t="s">
        <v>5</v>
      </c>
      <c r="C3252" t="s">
        <v>9</v>
      </c>
      <c r="D3252" s="8">
        <v>13.36</v>
      </c>
      <c r="E3252">
        <v>7</v>
      </c>
      <c r="F3252" t="str">
        <f t="shared" si="200"/>
        <v>Standard</v>
      </c>
      <c r="G3252" s="3" cm="1">
        <f t="array" ref="G3252">_xlfn.XLOOKUP(C3252 &amp; F3252,
         [1]unilever_price_limits!A:A &amp; [1]unilever_price_limits!B:B,
         [1]unilever_price_limits!C:C)</f>
        <v>30</v>
      </c>
      <c r="H3252" s="8">
        <f t="shared" si="201"/>
        <v>17.367999999999999</v>
      </c>
      <c r="I3252" s="6">
        <f t="shared" si="202"/>
        <v>30.000000000000004</v>
      </c>
      <c r="J3252" t="str">
        <f t="shared" si="203"/>
        <v>OK</v>
      </c>
    </row>
    <row r="3253" spans="1:10" x14ac:dyDescent="0.2">
      <c r="A3253">
        <v>13252</v>
      </c>
      <c r="B3253" t="s">
        <v>5</v>
      </c>
      <c r="C3253" t="s">
        <v>9</v>
      </c>
      <c r="D3253" s="8">
        <v>11.4</v>
      </c>
      <c r="E3253">
        <v>7</v>
      </c>
      <c r="F3253" t="str">
        <f t="shared" si="200"/>
        <v>Standard</v>
      </c>
      <c r="G3253" s="3" cm="1">
        <f t="array" ref="G3253">_xlfn.XLOOKUP(C3253 &amp; F3253,
         [1]unilever_price_limits!A:A &amp; [1]unilever_price_limits!B:B,
         [1]unilever_price_limits!C:C)</f>
        <v>30</v>
      </c>
      <c r="H3253" s="8">
        <f t="shared" si="201"/>
        <v>14.82</v>
      </c>
      <c r="I3253" s="6">
        <f t="shared" si="202"/>
        <v>30.000000000000004</v>
      </c>
      <c r="J3253" t="str">
        <f t="shared" si="203"/>
        <v>OK</v>
      </c>
    </row>
    <row r="3254" spans="1:10" x14ac:dyDescent="0.2">
      <c r="A3254">
        <v>13253</v>
      </c>
      <c r="B3254" t="s">
        <v>8</v>
      </c>
      <c r="C3254" t="s">
        <v>6</v>
      </c>
      <c r="D3254" s="8">
        <v>6.63</v>
      </c>
      <c r="E3254">
        <v>6</v>
      </c>
      <c r="F3254" t="str">
        <f t="shared" si="200"/>
        <v>Standard</v>
      </c>
      <c r="G3254" s="3" cm="1">
        <f t="array" ref="G3254">_xlfn.XLOOKUP(C3254 &amp; F3254,
         [1]unilever_price_limits!A:A &amp; [1]unilever_price_limits!B:B,
         [1]unilever_price_limits!C:C)</f>
        <v>28</v>
      </c>
      <c r="H3254" s="8">
        <f t="shared" si="201"/>
        <v>8.4863999999999997</v>
      </c>
      <c r="I3254" s="6">
        <f t="shared" si="202"/>
        <v>28.000000000000004</v>
      </c>
      <c r="J3254" t="str">
        <f t="shared" si="203"/>
        <v>OK</v>
      </c>
    </row>
    <row r="3255" spans="1:10" x14ac:dyDescent="0.2">
      <c r="A3255">
        <v>13254</v>
      </c>
      <c r="B3255" t="s">
        <v>5</v>
      </c>
      <c r="C3255" t="s">
        <v>6</v>
      </c>
      <c r="D3255" s="8">
        <v>8</v>
      </c>
      <c r="E3255">
        <v>1</v>
      </c>
      <c r="F3255" t="str">
        <f t="shared" si="200"/>
        <v>Value</v>
      </c>
      <c r="G3255" s="3" cm="1">
        <f t="array" ref="G3255">_xlfn.XLOOKUP(C3255 &amp; F3255,
         [1]unilever_price_limits!A:A &amp; [1]unilever_price_limits!B:B,
         [1]unilever_price_limits!C:C)</f>
        <v>12</v>
      </c>
      <c r="H3255" s="8">
        <f t="shared" si="201"/>
        <v>8.9600000000000009</v>
      </c>
      <c r="I3255" s="6">
        <f t="shared" si="202"/>
        <v>12.000000000000011</v>
      </c>
      <c r="J3255" t="str">
        <f t="shared" si="203"/>
        <v>OK</v>
      </c>
    </row>
    <row r="3256" spans="1:10" x14ac:dyDescent="0.2">
      <c r="A3256">
        <v>13255</v>
      </c>
      <c r="B3256" t="s">
        <v>7</v>
      </c>
      <c r="C3256" t="s">
        <v>9</v>
      </c>
      <c r="D3256" s="8">
        <v>5.86</v>
      </c>
      <c r="E3256">
        <v>3</v>
      </c>
      <c r="F3256" t="str">
        <f t="shared" si="200"/>
        <v>Value</v>
      </c>
      <c r="G3256" s="3" cm="1">
        <f t="array" ref="G3256">_xlfn.XLOOKUP(C3256 &amp; F3256,
         [1]unilever_price_limits!A:A &amp; [1]unilever_price_limits!B:B,
         [1]unilever_price_limits!C:C)</f>
        <v>15</v>
      </c>
      <c r="H3256" s="8">
        <f t="shared" si="201"/>
        <v>6.7389999999999999</v>
      </c>
      <c r="I3256" s="6">
        <f t="shared" si="202"/>
        <v>14.999999999999991</v>
      </c>
      <c r="J3256" t="str">
        <f t="shared" si="203"/>
        <v>OK</v>
      </c>
    </row>
    <row r="3257" spans="1:10" x14ac:dyDescent="0.2">
      <c r="A3257">
        <v>13256</v>
      </c>
      <c r="B3257" t="s">
        <v>10</v>
      </c>
      <c r="C3257" t="s">
        <v>6</v>
      </c>
      <c r="D3257" s="8">
        <v>11.24</v>
      </c>
      <c r="E3257">
        <v>9</v>
      </c>
      <c r="F3257" t="str">
        <f t="shared" si="200"/>
        <v>Premium</v>
      </c>
      <c r="G3257" s="3" cm="1">
        <f t="array" ref="G3257">_xlfn.XLOOKUP(C3257 &amp; F3257,
         [1]unilever_price_limits!A:A &amp; [1]unilever_price_limits!B:B,
         [1]unilever_price_limits!C:C)</f>
        <v>55</v>
      </c>
      <c r="H3257" s="8">
        <f t="shared" si="201"/>
        <v>17.422000000000001</v>
      </c>
      <c r="I3257" s="6">
        <f t="shared" si="202"/>
        <v>55.000000000000007</v>
      </c>
      <c r="J3257" t="str">
        <f t="shared" si="203"/>
        <v>OK</v>
      </c>
    </row>
    <row r="3258" spans="1:10" x14ac:dyDescent="0.2">
      <c r="A3258">
        <v>13257</v>
      </c>
      <c r="B3258" t="s">
        <v>10</v>
      </c>
      <c r="C3258" t="s">
        <v>11</v>
      </c>
      <c r="D3258" s="8">
        <v>11.87</v>
      </c>
      <c r="E3258">
        <v>10</v>
      </c>
      <c r="F3258" t="str">
        <f t="shared" si="200"/>
        <v>Premium</v>
      </c>
      <c r="G3258" s="3" cm="1">
        <f t="array" ref="G3258">_xlfn.XLOOKUP(C3258 &amp; F3258,
         [1]unilever_price_limits!A:A &amp; [1]unilever_price_limits!B:B,
         [1]unilever_price_limits!C:C)</f>
        <v>50</v>
      </c>
      <c r="H3258" s="8">
        <f t="shared" si="201"/>
        <v>17.805</v>
      </c>
      <c r="I3258" s="6">
        <f t="shared" si="202"/>
        <v>50</v>
      </c>
      <c r="J3258" t="str">
        <f t="shared" si="203"/>
        <v>OK</v>
      </c>
    </row>
    <row r="3259" spans="1:10" x14ac:dyDescent="0.2">
      <c r="A3259">
        <v>13258</v>
      </c>
      <c r="B3259" t="s">
        <v>10</v>
      </c>
      <c r="C3259" t="s">
        <v>11</v>
      </c>
      <c r="D3259" s="8">
        <v>11.57</v>
      </c>
      <c r="E3259">
        <v>1</v>
      </c>
      <c r="F3259" t="str">
        <f t="shared" si="200"/>
        <v>Value</v>
      </c>
      <c r="G3259" s="3" cm="1">
        <f t="array" ref="G3259">_xlfn.XLOOKUP(C3259 &amp; F3259,
         [1]unilever_price_limits!A:A &amp; [1]unilever_price_limits!B:B,
         [1]unilever_price_limits!C:C)</f>
        <v>10</v>
      </c>
      <c r="H3259" s="8">
        <f t="shared" si="201"/>
        <v>12.727000000000002</v>
      </c>
      <c r="I3259" s="6">
        <f t="shared" si="202"/>
        <v>10.000000000000009</v>
      </c>
      <c r="J3259" t="str">
        <f t="shared" si="203"/>
        <v>OK</v>
      </c>
    </row>
    <row r="3260" spans="1:10" x14ac:dyDescent="0.2">
      <c r="A3260">
        <v>13259</v>
      </c>
      <c r="B3260" t="s">
        <v>8</v>
      </c>
      <c r="C3260" t="s">
        <v>11</v>
      </c>
      <c r="D3260" s="8">
        <v>10.98</v>
      </c>
      <c r="E3260">
        <v>2</v>
      </c>
      <c r="F3260" t="str">
        <f t="shared" si="200"/>
        <v>Value</v>
      </c>
      <c r="G3260" s="3" cm="1">
        <f t="array" ref="G3260">_xlfn.XLOOKUP(C3260 &amp; F3260,
         [1]unilever_price_limits!A:A &amp; [1]unilever_price_limits!B:B,
         [1]unilever_price_limits!C:C)</f>
        <v>10</v>
      </c>
      <c r="H3260" s="8">
        <f t="shared" si="201"/>
        <v>12.078000000000001</v>
      </c>
      <c r="I3260" s="6">
        <f t="shared" si="202"/>
        <v>10.000000000000009</v>
      </c>
      <c r="J3260" t="str">
        <f t="shared" si="203"/>
        <v>OK</v>
      </c>
    </row>
    <row r="3261" spans="1:10" x14ac:dyDescent="0.2">
      <c r="A3261">
        <v>13260</v>
      </c>
      <c r="B3261" t="s">
        <v>5</v>
      </c>
      <c r="C3261" t="s">
        <v>11</v>
      </c>
      <c r="D3261" s="8">
        <v>3.47</v>
      </c>
      <c r="E3261">
        <v>8</v>
      </c>
      <c r="F3261" t="str">
        <f t="shared" si="200"/>
        <v>Premium</v>
      </c>
      <c r="G3261" s="3" cm="1">
        <f t="array" ref="G3261">_xlfn.XLOOKUP(C3261 &amp; F3261,
         [1]unilever_price_limits!A:A &amp; [1]unilever_price_limits!B:B,
         [1]unilever_price_limits!C:C)</f>
        <v>50</v>
      </c>
      <c r="H3261" s="8">
        <f t="shared" si="201"/>
        <v>5.2050000000000001</v>
      </c>
      <c r="I3261" s="6">
        <f t="shared" si="202"/>
        <v>50</v>
      </c>
      <c r="J3261" t="str">
        <f t="shared" si="203"/>
        <v>OK</v>
      </c>
    </row>
    <row r="3262" spans="1:10" x14ac:dyDescent="0.2">
      <c r="A3262">
        <v>13261</v>
      </c>
      <c r="B3262" t="s">
        <v>7</v>
      </c>
      <c r="C3262" t="s">
        <v>11</v>
      </c>
      <c r="D3262" s="8">
        <v>5.4</v>
      </c>
      <c r="E3262">
        <v>7</v>
      </c>
      <c r="F3262" t="str">
        <f t="shared" si="200"/>
        <v>Standard</v>
      </c>
      <c r="G3262" s="3" cm="1">
        <f t="array" ref="G3262">_xlfn.XLOOKUP(C3262 &amp; F3262,
         [1]unilever_price_limits!A:A &amp; [1]unilever_price_limits!B:B,
         [1]unilever_price_limits!C:C)</f>
        <v>25</v>
      </c>
      <c r="H3262" s="8">
        <f t="shared" si="201"/>
        <v>6.75</v>
      </c>
      <c r="I3262" s="6">
        <f t="shared" si="202"/>
        <v>25</v>
      </c>
      <c r="J3262" t="str">
        <f t="shared" si="203"/>
        <v>OK</v>
      </c>
    </row>
    <row r="3263" spans="1:10" x14ac:dyDescent="0.2">
      <c r="A3263">
        <v>13262</v>
      </c>
      <c r="B3263" t="s">
        <v>7</v>
      </c>
      <c r="C3263" t="s">
        <v>6</v>
      </c>
      <c r="D3263" s="8">
        <v>7.31</v>
      </c>
      <c r="E3263">
        <v>9</v>
      </c>
      <c r="F3263" t="str">
        <f t="shared" si="200"/>
        <v>Premium</v>
      </c>
      <c r="G3263" s="3" cm="1">
        <f t="array" ref="G3263">_xlfn.XLOOKUP(C3263 &amp; F3263,
         [1]unilever_price_limits!A:A &amp; [1]unilever_price_limits!B:B,
         [1]unilever_price_limits!C:C)</f>
        <v>55</v>
      </c>
      <c r="H3263" s="8">
        <f t="shared" si="201"/>
        <v>11.330499999999999</v>
      </c>
      <c r="I3263" s="6">
        <f t="shared" si="202"/>
        <v>54.999999999999986</v>
      </c>
      <c r="J3263" t="str">
        <f t="shared" si="203"/>
        <v>OK</v>
      </c>
    </row>
    <row r="3264" spans="1:10" x14ac:dyDescent="0.2">
      <c r="A3264">
        <v>13263</v>
      </c>
      <c r="B3264" t="s">
        <v>8</v>
      </c>
      <c r="C3264" t="s">
        <v>6</v>
      </c>
      <c r="D3264" s="8">
        <v>5.3</v>
      </c>
      <c r="E3264">
        <v>10</v>
      </c>
      <c r="F3264" t="str">
        <f t="shared" si="200"/>
        <v>Premium</v>
      </c>
      <c r="G3264" s="3" cm="1">
        <f t="array" ref="G3264">_xlfn.XLOOKUP(C3264 &amp; F3264,
         [1]unilever_price_limits!A:A &amp; [1]unilever_price_limits!B:B,
         [1]unilever_price_limits!C:C)</f>
        <v>55</v>
      </c>
      <c r="H3264" s="8">
        <f t="shared" si="201"/>
        <v>8.2149999999999999</v>
      </c>
      <c r="I3264" s="6">
        <f t="shared" si="202"/>
        <v>55.000000000000007</v>
      </c>
      <c r="J3264" t="str">
        <f t="shared" si="203"/>
        <v>OK</v>
      </c>
    </row>
    <row r="3265" spans="1:10" x14ac:dyDescent="0.2">
      <c r="A3265">
        <v>13264</v>
      </c>
      <c r="B3265" t="s">
        <v>7</v>
      </c>
      <c r="C3265" t="s">
        <v>11</v>
      </c>
      <c r="D3265" s="8">
        <v>11.45</v>
      </c>
      <c r="E3265">
        <v>4</v>
      </c>
      <c r="F3265" t="str">
        <f t="shared" si="200"/>
        <v>Standard</v>
      </c>
      <c r="G3265" s="3" cm="1">
        <f t="array" ref="G3265">_xlfn.XLOOKUP(C3265 &amp; F3265,
         [1]unilever_price_limits!A:A &amp; [1]unilever_price_limits!B:B,
         [1]unilever_price_limits!C:C)</f>
        <v>25</v>
      </c>
      <c r="H3265" s="8">
        <f t="shared" si="201"/>
        <v>14.3125</v>
      </c>
      <c r="I3265" s="6">
        <f t="shared" si="202"/>
        <v>25</v>
      </c>
      <c r="J3265" t="str">
        <f t="shared" si="203"/>
        <v>OK</v>
      </c>
    </row>
    <row r="3266" spans="1:10" x14ac:dyDescent="0.2">
      <c r="A3266">
        <v>13265</v>
      </c>
      <c r="B3266" t="s">
        <v>7</v>
      </c>
      <c r="C3266" t="s">
        <v>6</v>
      </c>
      <c r="D3266" s="8">
        <v>5.28</v>
      </c>
      <c r="E3266">
        <v>4</v>
      </c>
      <c r="F3266" t="str">
        <f t="shared" si="200"/>
        <v>Standard</v>
      </c>
      <c r="G3266" s="3" cm="1">
        <f t="array" ref="G3266">_xlfn.XLOOKUP(C3266 &amp; F3266,
         [1]unilever_price_limits!A:A &amp; [1]unilever_price_limits!B:B,
         [1]unilever_price_limits!C:C)</f>
        <v>28</v>
      </c>
      <c r="H3266" s="8">
        <f t="shared" si="201"/>
        <v>6.7584000000000009</v>
      </c>
      <c r="I3266" s="6">
        <f t="shared" si="202"/>
        <v>28.000000000000004</v>
      </c>
      <c r="J3266" t="str">
        <f t="shared" si="203"/>
        <v>OK</v>
      </c>
    </row>
    <row r="3267" spans="1:10" x14ac:dyDescent="0.2">
      <c r="A3267">
        <v>13266</v>
      </c>
      <c r="B3267" t="s">
        <v>7</v>
      </c>
      <c r="C3267" t="s">
        <v>6</v>
      </c>
      <c r="D3267" s="8">
        <v>2.5</v>
      </c>
      <c r="E3267">
        <v>7</v>
      </c>
      <c r="F3267" t="str">
        <f t="shared" ref="F3267:F3330" si="204">IF(E3267&lt;=3,"Value",
 IF(E3267&lt;=7,"Standard","Premium"))</f>
        <v>Standard</v>
      </c>
      <c r="G3267" s="3" cm="1">
        <f t="array" ref="G3267">_xlfn.XLOOKUP(C3267 &amp; F3267,
         [1]unilever_price_limits!A:A &amp; [1]unilever_price_limits!B:B,
         [1]unilever_price_limits!C:C)</f>
        <v>28</v>
      </c>
      <c r="H3267" s="8">
        <f t="shared" ref="H3267:H3330" si="205">D3267 * (1 + G3267/100)</f>
        <v>3.2</v>
      </c>
      <c r="I3267" s="6">
        <f t="shared" ref="I3267:I3330" si="206">(H3267 / D3267 - 1) * 100</f>
        <v>28.000000000000004</v>
      </c>
      <c r="J3267" t="str">
        <f t="shared" ref="J3267:J3330" si="207">IF(I3266&gt; G3266, "⚠ Exceeds Limit", "OK")</f>
        <v>OK</v>
      </c>
    </row>
    <row r="3268" spans="1:10" x14ac:dyDescent="0.2">
      <c r="A3268">
        <v>13267</v>
      </c>
      <c r="B3268" t="s">
        <v>7</v>
      </c>
      <c r="C3268" t="s">
        <v>11</v>
      </c>
      <c r="D3268" s="8">
        <v>6.29</v>
      </c>
      <c r="E3268">
        <v>1</v>
      </c>
      <c r="F3268" t="str">
        <f t="shared" si="204"/>
        <v>Value</v>
      </c>
      <c r="G3268" s="3" cm="1">
        <f t="array" ref="G3268">_xlfn.XLOOKUP(C3268 &amp; F3268,
         [1]unilever_price_limits!A:A &amp; [1]unilever_price_limits!B:B,
         [1]unilever_price_limits!C:C)</f>
        <v>10</v>
      </c>
      <c r="H3268" s="8">
        <f t="shared" si="205"/>
        <v>6.9190000000000005</v>
      </c>
      <c r="I3268" s="6">
        <f t="shared" si="206"/>
        <v>10.000000000000009</v>
      </c>
      <c r="J3268" t="str">
        <f t="shared" si="207"/>
        <v>OK</v>
      </c>
    </row>
    <row r="3269" spans="1:10" x14ac:dyDescent="0.2">
      <c r="A3269">
        <v>13268</v>
      </c>
      <c r="B3269" t="s">
        <v>5</v>
      </c>
      <c r="C3269" t="s">
        <v>6</v>
      </c>
      <c r="D3269" s="8">
        <v>14.71</v>
      </c>
      <c r="E3269">
        <v>10</v>
      </c>
      <c r="F3269" t="str">
        <f t="shared" si="204"/>
        <v>Premium</v>
      </c>
      <c r="G3269" s="3" cm="1">
        <f t="array" ref="G3269">_xlfn.XLOOKUP(C3269 &amp; F3269,
         [1]unilever_price_limits!A:A &amp; [1]unilever_price_limits!B:B,
         [1]unilever_price_limits!C:C)</f>
        <v>55</v>
      </c>
      <c r="H3269" s="8">
        <f t="shared" si="205"/>
        <v>22.800500000000003</v>
      </c>
      <c r="I3269" s="6">
        <f t="shared" si="206"/>
        <v>55.000000000000007</v>
      </c>
      <c r="J3269" t="str">
        <f t="shared" si="207"/>
        <v>OK</v>
      </c>
    </row>
    <row r="3270" spans="1:10" x14ac:dyDescent="0.2">
      <c r="A3270">
        <v>13269</v>
      </c>
      <c r="B3270" t="s">
        <v>7</v>
      </c>
      <c r="C3270" t="s">
        <v>6</v>
      </c>
      <c r="D3270" s="8">
        <v>3.78</v>
      </c>
      <c r="E3270">
        <v>9</v>
      </c>
      <c r="F3270" t="str">
        <f t="shared" si="204"/>
        <v>Premium</v>
      </c>
      <c r="G3270" s="3" cm="1">
        <f t="array" ref="G3270">_xlfn.XLOOKUP(C3270 &amp; F3270,
         [1]unilever_price_limits!A:A &amp; [1]unilever_price_limits!B:B,
         [1]unilever_price_limits!C:C)</f>
        <v>55</v>
      </c>
      <c r="H3270" s="8">
        <f t="shared" si="205"/>
        <v>5.859</v>
      </c>
      <c r="I3270" s="6">
        <f t="shared" si="206"/>
        <v>55.000000000000007</v>
      </c>
      <c r="J3270" t="str">
        <f t="shared" si="207"/>
        <v>OK</v>
      </c>
    </row>
    <row r="3271" spans="1:10" x14ac:dyDescent="0.2">
      <c r="A3271">
        <v>13270</v>
      </c>
      <c r="B3271" t="s">
        <v>10</v>
      </c>
      <c r="C3271" t="s">
        <v>6</v>
      </c>
      <c r="D3271" s="8">
        <v>9.3800000000000008</v>
      </c>
      <c r="E3271">
        <v>2</v>
      </c>
      <c r="F3271" t="str">
        <f t="shared" si="204"/>
        <v>Value</v>
      </c>
      <c r="G3271" s="3" cm="1">
        <f t="array" ref="G3271">_xlfn.XLOOKUP(C3271 &amp; F3271,
         [1]unilever_price_limits!A:A &amp; [1]unilever_price_limits!B:B,
         [1]unilever_price_limits!C:C)</f>
        <v>12</v>
      </c>
      <c r="H3271" s="8">
        <f t="shared" si="205"/>
        <v>10.505600000000001</v>
      </c>
      <c r="I3271" s="6">
        <f t="shared" si="206"/>
        <v>12.000000000000011</v>
      </c>
      <c r="J3271" t="str">
        <f t="shared" si="207"/>
        <v>OK</v>
      </c>
    </row>
    <row r="3272" spans="1:10" x14ac:dyDescent="0.2">
      <c r="A3272">
        <v>13271</v>
      </c>
      <c r="B3272" t="s">
        <v>8</v>
      </c>
      <c r="C3272" t="s">
        <v>11</v>
      </c>
      <c r="D3272" s="8">
        <v>6.78</v>
      </c>
      <c r="E3272">
        <v>1</v>
      </c>
      <c r="F3272" t="str">
        <f t="shared" si="204"/>
        <v>Value</v>
      </c>
      <c r="G3272" s="3" cm="1">
        <f t="array" ref="G3272">_xlfn.XLOOKUP(C3272 &amp; F3272,
         [1]unilever_price_limits!A:A &amp; [1]unilever_price_limits!B:B,
         [1]unilever_price_limits!C:C)</f>
        <v>10</v>
      </c>
      <c r="H3272" s="8">
        <f t="shared" si="205"/>
        <v>7.4580000000000011</v>
      </c>
      <c r="I3272" s="6">
        <f t="shared" si="206"/>
        <v>10.000000000000009</v>
      </c>
      <c r="J3272" t="str">
        <f t="shared" si="207"/>
        <v>OK</v>
      </c>
    </row>
    <row r="3273" spans="1:10" x14ac:dyDescent="0.2">
      <c r="A3273">
        <v>13272</v>
      </c>
      <c r="B3273" t="s">
        <v>5</v>
      </c>
      <c r="C3273" t="s">
        <v>6</v>
      </c>
      <c r="D3273" s="8">
        <v>1.53</v>
      </c>
      <c r="E3273">
        <v>7</v>
      </c>
      <c r="F3273" t="str">
        <f t="shared" si="204"/>
        <v>Standard</v>
      </c>
      <c r="G3273" s="3" cm="1">
        <f t="array" ref="G3273">_xlfn.XLOOKUP(C3273 &amp; F3273,
         [1]unilever_price_limits!A:A &amp; [1]unilever_price_limits!B:B,
         [1]unilever_price_limits!C:C)</f>
        <v>28</v>
      </c>
      <c r="H3273" s="8">
        <f t="shared" si="205"/>
        <v>1.9584000000000001</v>
      </c>
      <c r="I3273" s="6">
        <f t="shared" si="206"/>
        <v>28.000000000000004</v>
      </c>
      <c r="J3273" t="str">
        <f t="shared" si="207"/>
        <v>OK</v>
      </c>
    </row>
    <row r="3274" spans="1:10" x14ac:dyDescent="0.2">
      <c r="A3274">
        <v>13273</v>
      </c>
      <c r="B3274" t="s">
        <v>7</v>
      </c>
      <c r="C3274" t="s">
        <v>9</v>
      </c>
      <c r="D3274" s="8">
        <v>7.57</v>
      </c>
      <c r="E3274">
        <v>6</v>
      </c>
      <c r="F3274" t="str">
        <f t="shared" si="204"/>
        <v>Standard</v>
      </c>
      <c r="G3274" s="3" cm="1">
        <f t="array" ref="G3274">_xlfn.XLOOKUP(C3274 &amp; F3274,
         [1]unilever_price_limits!A:A &amp; [1]unilever_price_limits!B:B,
         [1]unilever_price_limits!C:C)</f>
        <v>30</v>
      </c>
      <c r="H3274" s="8">
        <f t="shared" si="205"/>
        <v>9.8410000000000011</v>
      </c>
      <c r="I3274" s="6">
        <f t="shared" si="206"/>
        <v>30.000000000000004</v>
      </c>
      <c r="J3274" t="str">
        <f t="shared" si="207"/>
        <v>OK</v>
      </c>
    </row>
    <row r="3275" spans="1:10" x14ac:dyDescent="0.2">
      <c r="A3275">
        <v>13274</v>
      </c>
      <c r="B3275" t="s">
        <v>5</v>
      </c>
      <c r="C3275" t="s">
        <v>9</v>
      </c>
      <c r="D3275" s="8">
        <v>10.68</v>
      </c>
      <c r="E3275">
        <v>3</v>
      </c>
      <c r="F3275" t="str">
        <f t="shared" si="204"/>
        <v>Value</v>
      </c>
      <c r="G3275" s="3" cm="1">
        <f t="array" ref="G3275">_xlfn.XLOOKUP(C3275 &amp; F3275,
         [1]unilever_price_limits!A:A &amp; [1]unilever_price_limits!B:B,
         [1]unilever_price_limits!C:C)</f>
        <v>15</v>
      </c>
      <c r="H3275" s="8">
        <f t="shared" si="205"/>
        <v>12.281999999999998</v>
      </c>
      <c r="I3275" s="6">
        <f t="shared" si="206"/>
        <v>14.999999999999991</v>
      </c>
      <c r="J3275" t="str">
        <f t="shared" si="207"/>
        <v>OK</v>
      </c>
    </row>
    <row r="3276" spans="1:10" x14ac:dyDescent="0.2">
      <c r="A3276">
        <v>13275</v>
      </c>
      <c r="B3276" t="s">
        <v>7</v>
      </c>
      <c r="C3276" t="s">
        <v>11</v>
      </c>
      <c r="D3276" s="8">
        <v>7.94</v>
      </c>
      <c r="E3276">
        <v>1</v>
      </c>
      <c r="F3276" t="str">
        <f t="shared" si="204"/>
        <v>Value</v>
      </c>
      <c r="G3276" s="3" cm="1">
        <f t="array" ref="G3276">_xlfn.XLOOKUP(C3276 &amp; F3276,
         [1]unilever_price_limits!A:A &amp; [1]unilever_price_limits!B:B,
         [1]unilever_price_limits!C:C)</f>
        <v>10</v>
      </c>
      <c r="H3276" s="8">
        <f t="shared" si="205"/>
        <v>8.7340000000000018</v>
      </c>
      <c r="I3276" s="6">
        <f t="shared" si="206"/>
        <v>10.000000000000009</v>
      </c>
      <c r="J3276" t="str">
        <f t="shared" si="207"/>
        <v>OK</v>
      </c>
    </row>
    <row r="3277" spans="1:10" x14ac:dyDescent="0.2">
      <c r="A3277">
        <v>13276</v>
      </c>
      <c r="B3277" t="s">
        <v>10</v>
      </c>
      <c r="C3277" t="s">
        <v>9</v>
      </c>
      <c r="D3277" s="8">
        <v>13.15</v>
      </c>
      <c r="E3277">
        <v>5</v>
      </c>
      <c r="F3277" t="str">
        <f t="shared" si="204"/>
        <v>Standard</v>
      </c>
      <c r="G3277" s="3" cm="1">
        <f t="array" ref="G3277">_xlfn.XLOOKUP(C3277 &amp; F3277,
         [1]unilever_price_limits!A:A &amp; [1]unilever_price_limits!B:B,
         [1]unilever_price_limits!C:C)</f>
        <v>30</v>
      </c>
      <c r="H3277" s="8">
        <f t="shared" si="205"/>
        <v>17.095000000000002</v>
      </c>
      <c r="I3277" s="6">
        <f t="shared" si="206"/>
        <v>30.000000000000004</v>
      </c>
      <c r="J3277" t="str">
        <f t="shared" si="207"/>
        <v>OK</v>
      </c>
    </row>
    <row r="3278" spans="1:10" x14ac:dyDescent="0.2">
      <c r="A3278">
        <v>13277</v>
      </c>
      <c r="B3278" t="s">
        <v>8</v>
      </c>
      <c r="C3278" t="s">
        <v>11</v>
      </c>
      <c r="D3278" s="8">
        <v>4.6900000000000004</v>
      </c>
      <c r="E3278">
        <v>10</v>
      </c>
      <c r="F3278" t="str">
        <f t="shared" si="204"/>
        <v>Premium</v>
      </c>
      <c r="G3278" s="3" cm="1">
        <f t="array" ref="G3278">_xlfn.XLOOKUP(C3278 &amp; F3278,
         [1]unilever_price_limits!A:A &amp; [1]unilever_price_limits!B:B,
         [1]unilever_price_limits!C:C)</f>
        <v>50</v>
      </c>
      <c r="H3278" s="8">
        <f t="shared" si="205"/>
        <v>7.0350000000000001</v>
      </c>
      <c r="I3278" s="6">
        <f t="shared" si="206"/>
        <v>50</v>
      </c>
      <c r="J3278" t="str">
        <f t="shared" si="207"/>
        <v>OK</v>
      </c>
    </row>
    <row r="3279" spans="1:10" x14ac:dyDescent="0.2">
      <c r="A3279">
        <v>13278</v>
      </c>
      <c r="B3279" t="s">
        <v>7</v>
      </c>
      <c r="C3279" t="s">
        <v>9</v>
      </c>
      <c r="D3279" s="8">
        <v>1.75</v>
      </c>
      <c r="E3279">
        <v>4</v>
      </c>
      <c r="F3279" t="str">
        <f t="shared" si="204"/>
        <v>Standard</v>
      </c>
      <c r="G3279" s="3" cm="1">
        <f t="array" ref="G3279">_xlfn.XLOOKUP(C3279 &amp; F3279,
         [1]unilever_price_limits!A:A &amp; [1]unilever_price_limits!B:B,
         [1]unilever_price_limits!C:C)</f>
        <v>30</v>
      </c>
      <c r="H3279" s="8">
        <f t="shared" si="205"/>
        <v>2.2749999999999999</v>
      </c>
      <c r="I3279" s="6">
        <f t="shared" si="206"/>
        <v>30.000000000000004</v>
      </c>
      <c r="J3279" t="str">
        <f t="shared" si="207"/>
        <v>OK</v>
      </c>
    </row>
    <row r="3280" spans="1:10" x14ac:dyDescent="0.2">
      <c r="A3280">
        <v>13279</v>
      </c>
      <c r="B3280" t="s">
        <v>7</v>
      </c>
      <c r="C3280" t="s">
        <v>9</v>
      </c>
      <c r="D3280" s="8">
        <v>14.08</v>
      </c>
      <c r="E3280">
        <v>5</v>
      </c>
      <c r="F3280" t="str">
        <f t="shared" si="204"/>
        <v>Standard</v>
      </c>
      <c r="G3280" s="3" cm="1">
        <f t="array" ref="G3280">_xlfn.XLOOKUP(C3280 &amp; F3280,
         [1]unilever_price_limits!A:A &amp; [1]unilever_price_limits!B:B,
         [1]unilever_price_limits!C:C)</f>
        <v>30</v>
      </c>
      <c r="H3280" s="8">
        <f t="shared" si="205"/>
        <v>18.304000000000002</v>
      </c>
      <c r="I3280" s="6">
        <f t="shared" si="206"/>
        <v>30.000000000000004</v>
      </c>
      <c r="J3280" t="str">
        <f t="shared" si="207"/>
        <v>OK</v>
      </c>
    </row>
    <row r="3281" spans="1:10" x14ac:dyDescent="0.2">
      <c r="A3281">
        <v>13280</v>
      </c>
      <c r="B3281" t="s">
        <v>7</v>
      </c>
      <c r="C3281" t="s">
        <v>9</v>
      </c>
      <c r="D3281" s="8">
        <v>5.98</v>
      </c>
      <c r="E3281">
        <v>1</v>
      </c>
      <c r="F3281" t="str">
        <f t="shared" si="204"/>
        <v>Value</v>
      </c>
      <c r="G3281" s="3" cm="1">
        <f t="array" ref="G3281">_xlfn.XLOOKUP(C3281 &amp; F3281,
         [1]unilever_price_limits!A:A &amp; [1]unilever_price_limits!B:B,
         [1]unilever_price_limits!C:C)</f>
        <v>15</v>
      </c>
      <c r="H3281" s="8">
        <f t="shared" si="205"/>
        <v>6.8769999999999998</v>
      </c>
      <c r="I3281" s="6">
        <f t="shared" si="206"/>
        <v>14.999999999999991</v>
      </c>
      <c r="J3281" t="str">
        <f t="shared" si="207"/>
        <v>OK</v>
      </c>
    </row>
    <row r="3282" spans="1:10" x14ac:dyDescent="0.2">
      <c r="A3282">
        <v>13281</v>
      </c>
      <c r="B3282" t="s">
        <v>7</v>
      </c>
      <c r="C3282" t="s">
        <v>11</v>
      </c>
      <c r="D3282" s="8">
        <v>8.86</v>
      </c>
      <c r="E3282">
        <v>1</v>
      </c>
      <c r="F3282" t="str">
        <f t="shared" si="204"/>
        <v>Value</v>
      </c>
      <c r="G3282" s="3" cm="1">
        <f t="array" ref="G3282">_xlfn.XLOOKUP(C3282 &amp; F3282,
         [1]unilever_price_limits!A:A &amp; [1]unilever_price_limits!B:B,
         [1]unilever_price_limits!C:C)</f>
        <v>10</v>
      </c>
      <c r="H3282" s="8">
        <f t="shared" si="205"/>
        <v>9.7460000000000004</v>
      </c>
      <c r="I3282" s="6">
        <f t="shared" si="206"/>
        <v>10.000000000000009</v>
      </c>
      <c r="J3282" t="str">
        <f t="shared" si="207"/>
        <v>OK</v>
      </c>
    </row>
    <row r="3283" spans="1:10" x14ac:dyDescent="0.2">
      <c r="A3283">
        <v>13282</v>
      </c>
      <c r="B3283" t="s">
        <v>8</v>
      </c>
      <c r="C3283" t="s">
        <v>11</v>
      </c>
      <c r="D3283" s="8">
        <v>11.98</v>
      </c>
      <c r="E3283">
        <v>5</v>
      </c>
      <c r="F3283" t="str">
        <f t="shared" si="204"/>
        <v>Standard</v>
      </c>
      <c r="G3283" s="3" cm="1">
        <f t="array" ref="G3283">_xlfn.XLOOKUP(C3283 &amp; F3283,
         [1]unilever_price_limits!A:A &amp; [1]unilever_price_limits!B:B,
         [1]unilever_price_limits!C:C)</f>
        <v>25</v>
      </c>
      <c r="H3283" s="8">
        <f t="shared" si="205"/>
        <v>14.975000000000001</v>
      </c>
      <c r="I3283" s="6">
        <f t="shared" si="206"/>
        <v>25</v>
      </c>
      <c r="J3283" t="str">
        <f t="shared" si="207"/>
        <v>OK</v>
      </c>
    </row>
    <row r="3284" spans="1:10" x14ac:dyDescent="0.2">
      <c r="A3284">
        <v>13283</v>
      </c>
      <c r="B3284" t="s">
        <v>8</v>
      </c>
      <c r="C3284" t="s">
        <v>6</v>
      </c>
      <c r="D3284" s="8">
        <v>5.2</v>
      </c>
      <c r="E3284">
        <v>6</v>
      </c>
      <c r="F3284" t="str">
        <f t="shared" si="204"/>
        <v>Standard</v>
      </c>
      <c r="G3284" s="3" cm="1">
        <f t="array" ref="G3284">_xlfn.XLOOKUP(C3284 &amp; F3284,
         [1]unilever_price_limits!A:A &amp; [1]unilever_price_limits!B:B,
         [1]unilever_price_limits!C:C)</f>
        <v>28</v>
      </c>
      <c r="H3284" s="8">
        <f t="shared" si="205"/>
        <v>6.6560000000000006</v>
      </c>
      <c r="I3284" s="6">
        <f t="shared" si="206"/>
        <v>28.000000000000004</v>
      </c>
      <c r="J3284" t="str">
        <f t="shared" si="207"/>
        <v>OK</v>
      </c>
    </row>
    <row r="3285" spans="1:10" x14ac:dyDescent="0.2">
      <c r="A3285">
        <v>13284</v>
      </c>
      <c r="B3285" t="s">
        <v>10</v>
      </c>
      <c r="C3285" t="s">
        <v>11</v>
      </c>
      <c r="D3285" s="8">
        <v>10.88</v>
      </c>
      <c r="E3285">
        <v>5</v>
      </c>
      <c r="F3285" t="str">
        <f t="shared" si="204"/>
        <v>Standard</v>
      </c>
      <c r="G3285" s="3" cm="1">
        <f t="array" ref="G3285">_xlfn.XLOOKUP(C3285 &amp; F3285,
         [1]unilever_price_limits!A:A &amp; [1]unilever_price_limits!B:B,
         [1]unilever_price_limits!C:C)</f>
        <v>25</v>
      </c>
      <c r="H3285" s="8">
        <f t="shared" si="205"/>
        <v>13.600000000000001</v>
      </c>
      <c r="I3285" s="6">
        <f t="shared" si="206"/>
        <v>25</v>
      </c>
      <c r="J3285" t="str">
        <f t="shared" si="207"/>
        <v>OK</v>
      </c>
    </row>
    <row r="3286" spans="1:10" x14ac:dyDescent="0.2">
      <c r="A3286">
        <v>13285</v>
      </c>
      <c r="B3286" t="s">
        <v>8</v>
      </c>
      <c r="C3286" t="s">
        <v>9</v>
      </c>
      <c r="D3286" s="8">
        <v>2.46</v>
      </c>
      <c r="E3286">
        <v>2</v>
      </c>
      <c r="F3286" t="str">
        <f t="shared" si="204"/>
        <v>Value</v>
      </c>
      <c r="G3286" s="3" cm="1">
        <f t="array" ref="G3286">_xlfn.XLOOKUP(C3286 &amp; F3286,
         [1]unilever_price_limits!A:A &amp; [1]unilever_price_limits!B:B,
         [1]unilever_price_limits!C:C)</f>
        <v>15</v>
      </c>
      <c r="H3286" s="8">
        <f t="shared" si="205"/>
        <v>2.8289999999999997</v>
      </c>
      <c r="I3286" s="6">
        <f t="shared" si="206"/>
        <v>14.999999999999991</v>
      </c>
      <c r="J3286" t="str">
        <f t="shared" si="207"/>
        <v>OK</v>
      </c>
    </row>
    <row r="3287" spans="1:10" x14ac:dyDescent="0.2">
      <c r="A3287">
        <v>13286</v>
      </c>
      <c r="B3287" t="s">
        <v>7</v>
      </c>
      <c r="C3287" t="s">
        <v>9</v>
      </c>
      <c r="D3287" s="8">
        <v>4.72</v>
      </c>
      <c r="E3287">
        <v>9</v>
      </c>
      <c r="F3287" t="str">
        <f t="shared" si="204"/>
        <v>Premium</v>
      </c>
      <c r="G3287" s="3" cm="1">
        <f t="array" ref="G3287">_xlfn.XLOOKUP(C3287 &amp; F3287,
         [1]unilever_price_limits!A:A &amp; [1]unilever_price_limits!B:B,
         [1]unilever_price_limits!C:C)</f>
        <v>60</v>
      </c>
      <c r="H3287" s="8">
        <f t="shared" si="205"/>
        <v>7.5519999999999996</v>
      </c>
      <c r="I3287" s="6">
        <f t="shared" si="206"/>
        <v>60.000000000000007</v>
      </c>
      <c r="J3287" t="str">
        <f t="shared" si="207"/>
        <v>OK</v>
      </c>
    </row>
    <row r="3288" spans="1:10" x14ac:dyDescent="0.2">
      <c r="A3288">
        <v>13287</v>
      </c>
      <c r="B3288" t="s">
        <v>10</v>
      </c>
      <c r="C3288" t="s">
        <v>11</v>
      </c>
      <c r="D3288" s="8">
        <v>2.6</v>
      </c>
      <c r="E3288">
        <v>5</v>
      </c>
      <c r="F3288" t="str">
        <f t="shared" si="204"/>
        <v>Standard</v>
      </c>
      <c r="G3288" s="3" cm="1">
        <f t="array" ref="G3288">_xlfn.XLOOKUP(C3288 &amp; F3288,
         [1]unilever_price_limits!A:A &amp; [1]unilever_price_limits!B:B,
         [1]unilever_price_limits!C:C)</f>
        <v>25</v>
      </c>
      <c r="H3288" s="8">
        <f t="shared" si="205"/>
        <v>3.25</v>
      </c>
      <c r="I3288" s="6">
        <f t="shared" si="206"/>
        <v>25</v>
      </c>
      <c r="J3288" t="str">
        <f t="shared" si="207"/>
        <v>OK</v>
      </c>
    </row>
    <row r="3289" spans="1:10" x14ac:dyDescent="0.2">
      <c r="A3289">
        <v>13288</v>
      </c>
      <c r="B3289" t="s">
        <v>10</v>
      </c>
      <c r="C3289" t="s">
        <v>11</v>
      </c>
      <c r="D3289" s="8">
        <v>12.26</v>
      </c>
      <c r="E3289">
        <v>5</v>
      </c>
      <c r="F3289" t="str">
        <f t="shared" si="204"/>
        <v>Standard</v>
      </c>
      <c r="G3289" s="3" cm="1">
        <f t="array" ref="G3289">_xlfn.XLOOKUP(C3289 &amp; F3289,
         [1]unilever_price_limits!A:A &amp; [1]unilever_price_limits!B:B,
         [1]unilever_price_limits!C:C)</f>
        <v>25</v>
      </c>
      <c r="H3289" s="8">
        <f t="shared" si="205"/>
        <v>15.324999999999999</v>
      </c>
      <c r="I3289" s="6">
        <f t="shared" si="206"/>
        <v>25</v>
      </c>
      <c r="J3289" t="str">
        <f t="shared" si="207"/>
        <v>OK</v>
      </c>
    </row>
    <row r="3290" spans="1:10" x14ac:dyDescent="0.2">
      <c r="A3290">
        <v>13289</v>
      </c>
      <c r="B3290" t="s">
        <v>10</v>
      </c>
      <c r="C3290" t="s">
        <v>11</v>
      </c>
      <c r="D3290" s="8">
        <v>3.73</v>
      </c>
      <c r="E3290">
        <v>10</v>
      </c>
      <c r="F3290" t="str">
        <f t="shared" si="204"/>
        <v>Premium</v>
      </c>
      <c r="G3290" s="3" cm="1">
        <f t="array" ref="G3290">_xlfn.XLOOKUP(C3290 &amp; F3290,
         [1]unilever_price_limits!A:A &amp; [1]unilever_price_limits!B:B,
         [1]unilever_price_limits!C:C)</f>
        <v>50</v>
      </c>
      <c r="H3290" s="8">
        <f t="shared" si="205"/>
        <v>5.5949999999999998</v>
      </c>
      <c r="I3290" s="6">
        <f t="shared" si="206"/>
        <v>50</v>
      </c>
      <c r="J3290" t="str">
        <f t="shared" si="207"/>
        <v>OK</v>
      </c>
    </row>
    <row r="3291" spans="1:10" x14ac:dyDescent="0.2">
      <c r="A3291">
        <v>13290</v>
      </c>
      <c r="B3291" t="s">
        <v>7</v>
      </c>
      <c r="C3291" t="s">
        <v>6</v>
      </c>
      <c r="D3291" s="8">
        <v>10.9</v>
      </c>
      <c r="E3291">
        <v>9</v>
      </c>
      <c r="F3291" t="str">
        <f t="shared" si="204"/>
        <v>Premium</v>
      </c>
      <c r="G3291" s="3" cm="1">
        <f t="array" ref="G3291">_xlfn.XLOOKUP(C3291 &amp; F3291,
         [1]unilever_price_limits!A:A &amp; [1]unilever_price_limits!B:B,
         [1]unilever_price_limits!C:C)</f>
        <v>55</v>
      </c>
      <c r="H3291" s="8">
        <f t="shared" si="205"/>
        <v>16.895</v>
      </c>
      <c r="I3291" s="6">
        <f t="shared" si="206"/>
        <v>54.999999999999986</v>
      </c>
      <c r="J3291" t="str">
        <f t="shared" si="207"/>
        <v>OK</v>
      </c>
    </row>
    <row r="3292" spans="1:10" x14ac:dyDescent="0.2">
      <c r="A3292">
        <v>13291</v>
      </c>
      <c r="B3292" t="s">
        <v>5</v>
      </c>
      <c r="C3292" t="s">
        <v>9</v>
      </c>
      <c r="D3292" s="8">
        <v>14.18</v>
      </c>
      <c r="E3292">
        <v>3</v>
      </c>
      <c r="F3292" t="str">
        <f t="shared" si="204"/>
        <v>Value</v>
      </c>
      <c r="G3292" s="3" cm="1">
        <f t="array" ref="G3292">_xlfn.XLOOKUP(C3292 &amp; F3292,
         [1]unilever_price_limits!A:A &amp; [1]unilever_price_limits!B:B,
         [1]unilever_price_limits!C:C)</f>
        <v>15</v>
      </c>
      <c r="H3292" s="8">
        <f t="shared" si="205"/>
        <v>16.306999999999999</v>
      </c>
      <c r="I3292" s="6">
        <f t="shared" si="206"/>
        <v>14.999999999999991</v>
      </c>
      <c r="J3292" t="str">
        <f t="shared" si="207"/>
        <v>OK</v>
      </c>
    </row>
    <row r="3293" spans="1:10" x14ac:dyDescent="0.2">
      <c r="A3293">
        <v>13292</v>
      </c>
      <c r="B3293" t="s">
        <v>7</v>
      </c>
      <c r="C3293" t="s">
        <v>6</v>
      </c>
      <c r="D3293" s="8">
        <v>8.15</v>
      </c>
      <c r="E3293">
        <v>5</v>
      </c>
      <c r="F3293" t="str">
        <f t="shared" si="204"/>
        <v>Standard</v>
      </c>
      <c r="G3293" s="3" cm="1">
        <f t="array" ref="G3293">_xlfn.XLOOKUP(C3293 &amp; F3293,
         [1]unilever_price_limits!A:A &amp; [1]unilever_price_limits!B:B,
         [1]unilever_price_limits!C:C)</f>
        <v>28</v>
      </c>
      <c r="H3293" s="8">
        <f t="shared" si="205"/>
        <v>10.432</v>
      </c>
      <c r="I3293" s="6">
        <f t="shared" si="206"/>
        <v>28.000000000000004</v>
      </c>
      <c r="J3293" t="str">
        <f t="shared" si="207"/>
        <v>OK</v>
      </c>
    </row>
    <row r="3294" spans="1:10" x14ac:dyDescent="0.2">
      <c r="A3294">
        <v>13293</v>
      </c>
      <c r="B3294" t="s">
        <v>8</v>
      </c>
      <c r="C3294" t="s">
        <v>6</v>
      </c>
      <c r="D3294" s="8">
        <v>8.33</v>
      </c>
      <c r="E3294">
        <v>5</v>
      </c>
      <c r="F3294" t="str">
        <f t="shared" si="204"/>
        <v>Standard</v>
      </c>
      <c r="G3294" s="3" cm="1">
        <f t="array" ref="G3294">_xlfn.XLOOKUP(C3294 &amp; F3294,
         [1]unilever_price_limits!A:A &amp; [1]unilever_price_limits!B:B,
         [1]unilever_price_limits!C:C)</f>
        <v>28</v>
      </c>
      <c r="H3294" s="8">
        <f t="shared" si="205"/>
        <v>10.6624</v>
      </c>
      <c r="I3294" s="6">
        <f t="shared" si="206"/>
        <v>28.000000000000004</v>
      </c>
      <c r="J3294" t="str">
        <f t="shared" si="207"/>
        <v>OK</v>
      </c>
    </row>
    <row r="3295" spans="1:10" x14ac:dyDescent="0.2">
      <c r="A3295">
        <v>13294</v>
      </c>
      <c r="B3295" t="s">
        <v>8</v>
      </c>
      <c r="C3295" t="s">
        <v>9</v>
      </c>
      <c r="D3295" s="8">
        <v>7.18</v>
      </c>
      <c r="E3295">
        <v>2</v>
      </c>
      <c r="F3295" t="str">
        <f t="shared" si="204"/>
        <v>Value</v>
      </c>
      <c r="G3295" s="3" cm="1">
        <f t="array" ref="G3295">_xlfn.XLOOKUP(C3295 &amp; F3295,
         [1]unilever_price_limits!A:A &amp; [1]unilever_price_limits!B:B,
         [1]unilever_price_limits!C:C)</f>
        <v>15</v>
      </c>
      <c r="H3295" s="8">
        <f t="shared" si="205"/>
        <v>8.2569999999999997</v>
      </c>
      <c r="I3295" s="6">
        <f t="shared" si="206"/>
        <v>14.999999999999991</v>
      </c>
      <c r="J3295" t="str">
        <f t="shared" si="207"/>
        <v>OK</v>
      </c>
    </row>
    <row r="3296" spans="1:10" x14ac:dyDescent="0.2">
      <c r="A3296">
        <v>13295</v>
      </c>
      <c r="B3296" t="s">
        <v>7</v>
      </c>
      <c r="C3296" t="s">
        <v>9</v>
      </c>
      <c r="D3296" s="8">
        <v>5.23</v>
      </c>
      <c r="E3296">
        <v>4</v>
      </c>
      <c r="F3296" t="str">
        <f t="shared" si="204"/>
        <v>Standard</v>
      </c>
      <c r="G3296" s="3" cm="1">
        <f t="array" ref="G3296">_xlfn.XLOOKUP(C3296 &amp; F3296,
         [1]unilever_price_limits!A:A &amp; [1]unilever_price_limits!B:B,
         [1]unilever_price_limits!C:C)</f>
        <v>30</v>
      </c>
      <c r="H3296" s="8">
        <f t="shared" si="205"/>
        <v>6.7990000000000004</v>
      </c>
      <c r="I3296" s="6">
        <f t="shared" si="206"/>
        <v>30.000000000000004</v>
      </c>
      <c r="J3296" t="str">
        <f t="shared" si="207"/>
        <v>OK</v>
      </c>
    </row>
    <row r="3297" spans="1:10" x14ac:dyDescent="0.2">
      <c r="A3297">
        <v>13296</v>
      </c>
      <c r="B3297" t="s">
        <v>7</v>
      </c>
      <c r="C3297" t="s">
        <v>11</v>
      </c>
      <c r="D3297" s="8">
        <v>7.4</v>
      </c>
      <c r="E3297">
        <v>2</v>
      </c>
      <c r="F3297" t="str">
        <f t="shared" si="204"/>
        <v>Value</v>
      </c>
      <c r="G3297" s="3" cm="1">
        <f t="array" ref="G3297">_xlfn.XLOOKUP(C3297 &amp; F3297,
         [1]unilever_price_limits!A:A &amp; [1]unilever_price_limits!B:B,
         [1]unilever_price_limits!C:C)</f>
        <v>10</v>
      </c>
      <c r="H3297" s="8">
        <f t="shared" si="205"/>
        <v>8.14</v>
      </c>
      <c r="I3297" s="6">
        <f t="shared" si="206"/>
        <v>10.000000000000009</v>
      </c>
      <c r="J3297" t="str">
        <f t="shared" si="207"/>
        <v>OK</v>
      </c>
    </row>
    <row r="3298" spans="1:10" x14ac:dyDescent="0.2">
      <c r="A3298">
        <v>13297</v>
      </c>
      <c r="B3298" t="s">
        <v>10</v>
      </c>
      <c r="C3298" t="s">
        <v>11</v>
      </c>
      <c r="D3298" s="8">
        <v>9.24</v>
      </c>
      <c r="E3298">
        <v>5</v>
      </c>
      <c r="F3298" t="str">
        <f t="shared" si="204"/>
        <v>Standard</v>
      </c>
      <c r="G3298" s="3" cm="1">
        <f t="array" ref="G3298">_xlfn.XLOOKUP(C3298 &amp; F3298,
         [1]unilever_price_limits!A:A &amp; [1]unilever_price_limits!B:B,
         [1]unilever_price_limits!C:C)</f>
        <v>25</v>
      </c>
      <c r="H3298" s="8">
        <f t="shared" si="205"/>
        <v>11.55</v>
      </c>
      <c r="I3298" s="6">
        <f t="shared" si="206"/>
        <v>25</v>
      </c>
      <c r="J3298" t="str">
        <f t="shared" si="207"/>
        <v>OK</v>
      </c>
    </row>
    <row r="3299" spans="1:10" x14ac:dyDescent="0.2">
      <c r="A3299">
        <v>13298</v>
      </c>
      <c r="B3299" t="s">
        <v>7</v>
      </c>
      <c r="C3299" t="s">
        <v>6</v>
      </c>
      <c r="D3299" s="8">
        <v>14.8</v>
      </c>
      <c r="E3299">
        <v>10</v>
      </c>
      <c r="F3299" t="str">
        <f t="shared" si="204"/>
        <v>Premium</v>
      </c>
      <c r="G3299" s="3" cm="1">
        <f t="array" ref="G3299">_xlfn.XLOOKUP(C3299 &amp; F3299,
         [1]unilever_price_limits!A:A &amp; [1]unilever_price_limits!B:B,
         [1]unilever_price_limits!C:C)</f>
        <v>55</v>
      </c>
      <c r="H3299" s="8">
        <f t="shared" si="205"/>
        <v>22.94</v>
      </c>
      <c r="I3299" s="6">
        <f t="shared" si="206"/>
        <v>55.000000000000007</v>
      </c>
      <c r="J3299" t="str">
        <f t="shared" si="207"/>
        <v>OK</v>
      </c>
    </row>
    <row r="3300" spans="1:10" x14ac:dyDescent="0.2">
      <c r="A3300">
        <v>13299</v>
      </c>
      <c r="B3300" t="s">
        <v>10</v>
      </c>
      <c r="C3300" t="s">
        <v>11</v>
      </c>
      <c r="D3300" s="8">
        <v>14.1</v>
      </c>
      <c r="E3300">
        <v>2</v>
      </c>
      <c r="F3300" t="str">
        <f t="shared" si="204"/>
        <v>Value</v>
      </c>
      <c r="G3300" s="3" cm="1">
        <f t="array" ref="G3300">_xlfn.XLOOKUP(C3300 &amp; F3300,
         [1]unilever_price_limits!A:A &amp; [1]unilever_price_limits!B:B,
         [1]unilever_price_limits!C:C)</f>
        <v>10</v>
      </c>
      <c r="H3300" s="8">
        <f t="shared" si="205"/>
        <v>15.510000000000002</v>
      </c>
      <c r="I3300" s="6">
        <f t="shared" si="206"/>
        <v>10.000000000000009</v>
      </c>
      <c r="J3300" t="str">
        <f t="shared" si="207"/>
        <v>OK</v>
      </c>
    </row>
    <row r="3301" spans="1:10" x14ac:dyDescent="0.2">
      <c r="A3301">
        <v>13300</v>
      </c>
      <c r="B3301" t="s">
        <v>8</v>
      </c>
      <c r="C3301" t="s">
        <v>11</v>
      </c>
      <c r="D3301" s="8">
        <v>13</v>
      </c>
      <c r="E3301">
        <v>10</v>
      </c>
      <c r="F3301" t="str">
        <f t="shared" si="204"/>
        <v>Premium</v>
      </c>
      <c r="G3301" s="3" cm="1">
        <f t="array" ref="G3301">_xlfn.XLOOKUP(C3301 &amp; F3301,
         [1]unilever_price_limits!A:A &amp; [1]unilever_price_limits!B:B,
         [1]unilever_price_limits!C:C)</f>
        <v>50</v>
      </c>
      <c r="H3301" s="8">
        <f t="shared" si="205"/>
        <v>19.5</v>
      </c>
      <c r="I3301" s="6">
        <f t="shared" si="206"/>
        <v>50</v>
      </c>
      <c r="J3301" t="str">
        <f t="shared" si="207"/>
        <v>OK</v>
      </c>
    </row>
    <row r="3302" spans="1:10" x14ac:dyDescent="0.2">
      <c r="A3302">
        <v>13301</v>
      </c>
      <c r="B3302" t="s">
        <v>10</v>
      </c>
      <c r="C3302" t="s">
        <v>9</v>
      </c>
      <c r="D3302" s="8">
        <v>13.39</v>
      </c>
      <c r="E3302">
        <v>9</v>
      </c>
      <c r="F3302" t="str">
        <f t="shared" si="204"/>
        <v>Premium</v>
      </c>
      <c r="G3302" s="3" cm="1">
        <f t="array" ref="G3302">_xlfn.XLOOKUP(C3302 &amp; F3302,
         [1]unilever_price_limits!A:A &amp; [1]unilever_price_limits!B:B,
         [1]unilever_price_limits!C:C)</f>
        <v>60</v>
      </c>
      <c r="H3302" s="8">
        <f t="shared" si="205"/>
        <v>21.424000000000003</v>
      </c>
      <c r="I3302" s="6">
        <f t="shared" si="206"/>
        <v>60.000000000000007</v>
      </c>
      <c r="J3302" t="str">
        <f t="shared" si="207"/>
        <v>OK</v>
      </c>
    </row>
    <row r="3303" spans="1:10" x14ac:dyDescent="0.2">
      <c r="A3303">
        <v>13302</v>
      </c>
      <c r="B3303" t="s">
        <v>7</v>
      </c>
      <c r="C3303" t="s">
        <v>9</v>
      </c>
      <c r="D3303" s="8">
        <v>7.28</v>
      </c>
      <c r="E3303">
        <v>10</v>
      </c>
      <c r="F3303" t="str">
        <f t="shared" si="204"/>
        <v>Premium</v>
      </c>
      <c r="G3303" s="3" cm="1">
        <f t="array" ref="G3303">_xlfn.XLOOKUP(C3303 &amp; F3303,
         [1]unilever_price_limits!A:A &amp; [1]unilever_price_limits!B:B,
         [1]unilever_price_limits!C:C)</f>
        <v>60</v>
      </c>
      <c r="H3303" s="8">
        <f t="shared" si="205"/>
        <v>11.648000000000001</v>
      </c>
      <c r="I3303" s="6">
        <f t="shared" si="206"/>
        <v>60.000000000000007</v>
      </c>
      <c r="J3303" t="str">
        <f t="shared" si="207"/>
        <v>OK</v>
      </c>
    </row>
    <row r="3304" spans="1:10" x14ac:dyDescent="0.2">
      <c r="A3304">
        <v>13303</v>
      </c>
      <c r="B3304" t="s">
        <v>8</v>
      </c>
      <c r="C3304" t="s">
        <v>11</v>
      </c>
      <c r="D3304" s="8">
        <v>10.029999999999999</v>
      </c>
      <c r="E3304">
        <v>6</v>
      </c>
      <c r="F3304" t="str">
        <f t="shared" si="204"/>
        <v>Standard</v>
      </c>
      <c r="G3304" s="3" cm="1">
        <f t="array" ref="G3304">_xlfn.XLOOKUP(C3304 &amp; F3304,
         [1]unilever_price_limits!A:A &amp; [1]unilever_price_limits!B:B,
         [1]unilever_price_limits!C:C)</f>
        <v>25</v>
      </c>
      <c r="H3304" s="8">
        <f t="shared" si="205"/>
        <v>12.5375</v>
      </c>
      <c r="I3304" s="6">
        <f t="shared" si="206"/>
        <v>25</v>
      </c>
      <c r="J3304" t="str">
        <f t="shared" si="207"/>
        <v>OK</v>
      </c>
    </row>
    <row r="3305" spans="1:10" x14ac:dyDescent="0.2">
      <c r="A3305">
        <v>13304</v>
      </c>
      <c r="B3305" t="s">
        <v>5</v>
      </c>
      <c r="C3305" t="s">
        <v>9</v>
      </c>
      <c r="D3305" s="8">
        <v>13.48</v>
      </c>
      <c r="E3305">
        <v>8</v>
      </c>
      <c r="F3305" t="str">
        <f t="shared" si="204"/>
        <v>Premium</v>
      </c>
      <c r="G3305" s="3" cm="1">
        <f t="array" ref="G3305">_xlfn.XLOOKUP(C3305 &amp; F3305,
         [1]unilever_price_limits!A:A &amp; [1]unilever_price_limits!B:B,
         [1]unilever_price_limits!C:C)</f>
        <v>60</v>
      </c>
      <c r="H3305" s="8">
        <f t="shared" si="205"/>
        <v>21.568000000000001</v>
      </c>
      <c r="I3305" s="6">
        <f t="shared" si="206"/>
        <v>60.000000000000007</v>
      </c>
      <c r="J3305" t="str">
        <f t="shared" si="207"/>
        <v>OK</v>
      </c>
    </row>
    <row r="3306" spans="1:10" x14ac:dyDescent="0.2">
      <c r="A3306">
        <v>13305</v>
      </c>
      <c r="B3306" t="s">
        <v>10</v>
      </c>
      <c r="C3306" t="s">
        <v>11</v>
      </c>
      <c r="D3306" s="8">
        <v>6.2</v>
      </c>
      <c r="E3306">
        <v>9</v>
      </c>
      <c r="F3306" t="str">
        <f t="shared" si="204"/>
        <v>Premium</v>
      </c>
      <c r="G3306" s="3" cm="1">
        <f t="array" ref="G3306">_xlfn.XLOOKUP(C3306 &amp; F3306,
         [1]unilever_price_limits!A:A &amp; [1]unilever_price_limits!B:B,
         [1]unilever_price_limits!C:C)</f>
        <v>50</v>
      </c>
      <c r="H3306" s="8">
        <f t="shared" si="205"/>
        <v>9.3000000000000007</v>
      </c>
      <c r="I3306" s="6">
        <f t="shared" si="206"/>
        <v>50</v>
      </c>
      <c r="J3306" t="str">
        <f t="shared" si="207"/>
        <v>OK</v>
      </c>
    </row>
    <row r="3307" spans="1:10" x14ac:dyDescent="0.2">
      <c r="A3307">
        <v>13306</v>
      </c>
      <c r="B3307" t="s">
        <v>8</v>
      </c>
      <c r="C3307" t="s">
        <v>9</v>
      </c>
      <c r="D3307" s="8">
        <v>14.45</v>
      </c>
      <c r="E3307">
        <v>8</v>
      </c>
      <c r="F3307" t="str">
        <f t="shared" si="204"/>
        <v>Premium</v>
      </c>
      <c r="G3307" s="3" cm="1">
        <f t="array" ref="G3307">_xlfn.XLOOKUP(C3307 &amp; F3307,
         [1]unilever_price_limits!A:A &amp; [1]unilever_price_limits!B:B,
         [1]unilever_price_limits!C:C)</f>
        <v>60</v>
      </c>
      <c r="H3307" s="8">
        <f t="shared" si="205"/>
        <v>23.12</v>
      </c>
      <c r="I3307" s="6">
        <f t="shared" si="206"/>
        <v>60.000000000000007</v>
      </c>
      <c r="J3307" t="str">
        <f t="shared" si="207"/>
        <v>OK</v>
      </c>
    </row>
    <row r="3308" spans="1:10" x14ac:dyDescent="0.2">
      <c r="A3308">
        <v>13307</v>
      </c>
      <c r="B3308" t="s">
        <v>10</v>
      </c>
      <c r="C3308" t="s">
        <v>9</v>
      </c>
      <c r="D3308" s="8">
        <v>6.53</v>
      </c>
      <c r="E3308">
        <v>5</v>
      </c>
      <c r="F3308" t="str">
        <f t="shared" si="204"/>
        <v>Standard</v>
      </c>
      <c r="G3308" s="3" cm="1">
        <f t="array" ref="G3308">_xlfn.XLOOKUP(C3308 &amp; F3308,
         [1]unilever_price_limits!A:A &amp; [1]unilever_price_limits!B:B,
         [1]unilever_price_limits!C:C)</f>
        <v>30</v>
      </c>
      <c r="H3308" s="8">
        <f t="shared" si="205"/>
        <v>8.4890000000000008</v>
      </c>
      <c r="I3308" s="6">
        <f t="shared" si="206"/>
        <v>30.000000000000004</v>
      </c>
      <c r="J3308" t="str">
        <f t="shared" si="207"/>
        <v>OK</v>
      </c>
    </row>
    <row r="3309" spans="1:10" x14ac:dyDescent="0.2">
      <c r="A3309">
        <v>13308</v>
      </c>
      <c r="B3309" t="s">
        <v>8</v>
      </c>
      <c r="C3309" t="s">
        <v>9</v>
      </c>
      <c r="D3309" s="8">
        <v>9.2200000000000006</v>
      </c>
      <c r="E3309">
        <v>5</v>
      </c>
      <c r="F3309" t="str">
        <f t="shared" si="204"/>
        <v>Standard</v>
      </c>
      <c r="G3309" s="3" cm="1">
        <f t="array" ref="G3309">_xlfn.XLOOKUP(C3309 &amp; F3309,
         [1]unilever_price_limits!A:A &amp; [1]unilever_price_limits!B:B,
         [1]unilever_price_limits!C:C)</f>
        <v>30</v>
      </c>
      <c r="H3309" s="8">
        <f t="shared" si="205"/>
        <v>11.986000000000001</v>
      </c>
      <c r="I3309" s="6">
        <f t="shared" si="206"/>
        <v>30.000000000000004</v>
      </c>
      <c r="J3309" t="str">
        <f t="shared" si="207"/>
        <v>OK</v>
      </c>
    </row>
    <row r="3310" spans="1:10" x14ac:dyDescent="0.2">
      <c r="A3310">
        <v>13309</v>
      </c>
      <c r="B3310" t="s">
        <v>8</v>
      </c>
      <c r="C3310" t="s">
        <v>9</v>
      </c>
      <c r="D3310" s="8">
        <v>10.79</v>
      </c>
      <c r="E3310">
        <v>6</v>
      </c>
      <c r="F3310" t="str">
        <f t="shared" si="204"/>
        <v>Standard</v>
      </c>
      <c r="G3310" s="3" cm="1">
        <f t="array" ref="G3310">_xlfn.XLOOKUP(C3310 &amp; F3310,
         [1]unilever_price_limits!A:A &amp; [1]unilever_price_limits!B:B,
         [1]unilever_price_limits!C:C)</f>
        <v>30</v>
      </c>
      <c r="H3310" s="8">
        <f t="shared" si="205"/>
        <v>14.026999999999999</v>
      </c>
      <c r="I3310" s="6">
        <f t="shared" si="206"/>
        <v>30.000000000000004</v>
      </c>
      <c r="J3310" t="str">
        <f t="shared" si="207"/>
        <v>OK</v>
      </c>
    </row>
    <row r="3311" spans="1:10" x14ac:dyDescent="0.2">
      <c r="A3311">
        <v>13310</v>
      </c>
      <c r="B3311" t="s">
        <v>10</v>
      </c>
      <c r="C3311" t="s">
        <v>11</v>
      </c>
      <c r="D3311" s="8">
        <v>14.28</v>
      </c>
      <c r="E3311">
        <v>1</v>
      </c>
      <c r="F3311" t="str">
        <f t="shared" si="204"/>
        <v>Value</v>
      </c>
      <c r="G3311" s="3" cm="1">
        <f t="array" ref="G3311">_xlfn.XLOOKUP(C3311 &amp; F3311,
         [1]unilever_price_limits!A:A &amp; [1]unilever_price_limits!B:B,
         [1]unilever_price_limits!C:C)</f>
        <v>10</v>
      </c>
      <c r="H3311" s="8">
        <f t="shared" si="205"/>
        <v>15.708</v>
      </c>
      <c r="I3311" s="6">
        <f t="shared" si="206"/>
        <v>10.000000000000009</v>
      </c>
      <c r="J3311" t="str">
        <f t="shared" si="207"/>
        <v>OK</v>
      </c>
    </row>
    <row r="3312" spans="1:10" x14ac:dyDescent="0.2">
      <c r="A3312">
        <v>13311</v>
      </c>
      <c r="B3312" t="s">
        <v>5</v>
      </c>
      <c r="C3312" t="s">
        <v>6</v>
      </c>
      <c r="D3312" s="8">
        <v>4.05</v>
      </c>
      <c r="E3312">
        <v>8</v>
      </c>
      <c r="F3312" t="str">
        <f t="shared" si="204"/>
        <v>Premium</v>
      </c>
      <c r="G3312" s="3" cm="1">
        <f t="array" ref="G3312">_xlfn.XLOOKUP(C3312 &amp; F3312,
         [1]unilever_price_limits!A:A &amp; [1]unilever_price_limits!B:B,
         [1]unilever_price_limits!C:C)</f>
        <v>55</v>
      </c>
      <c r="H3312" s="8">
        <f t="shared" si="205"/>
        <v>6.2774999999999999</v>
      </c>
      <c r="I3312" s="6">
        <f t="shared" si="206"/>
        <v>55.000000000000007</v>
      </c>
      <c r="J3312" t="str">
        <f t="shared" si="207"/>
        <v>OK</v>
      </c>
    </row>
    <row r="3313" spans="1:10" x14ac:dyDescent="0.2">
      <c r="A3313">
        <v>13312</v>
      </c>
      <c r="B3313" t="s">
        <v>8</v>
      </c>
      <c r="C3313" t="s">
        <v>9</v>
      </c>
      <c r="D3313" s="8">
        <v>11.32</v>
      </c>
      <c r="E3313">
        <v>2</v>
      </c>
      <c r="F3313" t="str">
        <f t="shared" si="204"/>
        <v>Value</v>
      </c>
      <c r="G3313" s="3" cm="1">
        <f t="array" ref="G3313">_xlfn.XLOOKUP(C3313 &amp; F3313,
         [1]unilever_price_limits!A:A &amp; [1]unilever_price_limits!B:B,
         [1]unilever_price_limits!C:C)</f>
        <v>15</v>
      </c>
      <c r="H3313" s="8">
        <f t="shared" si="205"/>
        <v>13.017999999999999</v>
      </c>
      <c r="I3313" s="6">
        <f t="shared" si="206"/>
        <v>14.999999999999991</v>
      </c>
      <c r="J3313" t="str">
        <f t="shared" si="207"/>
        <v>OK</v>
      </c>
    </row>
    <row r="3314" spans="1:10" x14ac:dyDescent="0.2">
      <c r="A3314">
        <v>13313</v>
      </c>
      <c r="B3314" t="s">
        <v>8</v>
      </c>
      <c r="C3314" t="s">
        <v>11</v>
      </c>
      <c r="D3314" s="8">
        <v>8.0500000000000007</v>
      </c>
      <c r="E3314">
        <v>6</v>
      </c>
      <c r="F3314" t="str">
        <f t="shared" si="204"/>
        <v>Standard</v>
      </c>
      <c r="G3314" s="3" cm="1">
        <f t="array" ref="G3314">_xlfn.XLOOKUP(C3314 &amp; F3314,
         [1]unilever_price_limits!A:A &amp; [1]unilever_price_limits!B:B,
         [1]unilever_price_limits!C:C)</f>
        <v>25</v>
      </c>
      <c r="H3314" s="8">
        <f t="shared" si="205"/>
        <v>10.0625</v>
      </c>
      <c r="I3314" s="6">
        <f t="shared" si="206"/>
        <v>25</v>
      </c>
      <c r="J3314" t="str">
        <f t="shared" si="207"/>
        <v>OK</v>
      </c>
    </row>
    <row r="3315" spans="1:10" x14ac:dyDescent="0.2">
      <c r="A3315">
        <v>13314</v>
      </c>
      <c r="B3315" t="s">
        <v>8</v>
      </c>
      <c r="C3315" t="s">
        <v>11</v>
      </c>
      <c r="D3315" s="8">
        <v>4.3899999999999997</v>
      </c>
      <c r="E3315">
        <v>9</v>
      </c>
      <c r="F3315" t="str">
        <f t="shared" si="204"/>
        <v>Premium</v>
      </c>
      <c r="G3315" s="3" cm="1">
        <f t="array" ref="G3315">_xlfn.XLOOKUP(C3315 &amp; F3315,
         [1]unilever_price_limits!A:A &amp; [1]unilever_price_limits!B:B,
         [1]unilever_price_limits!C:C)</f>
        <v>50</v>
      </c>
      <c r="H3315" s="8">
        <f t="shared" si="205"/>
        <v>6.5849999999999991</v>
      </c>
      <c r="I3315" s="6">
        <f t="shared" si="206"/>
        <v>50</v>
      </c>
      <c r="J3315" t="str">
        <f t="shared" si="207"/>
        <v>OK</v>
      </c>
    </row>
    <row r="3316" spans="1:10" x14ac:dyDescent="0.2">
      <c r="A3316">
        <v>13315</v>
      </c>
      <c r="B3316" t="s">
        <v>5</v>
      </c>
      <c r="C3316" t="s">
        <v>9</v>
      </c>
      <c r="D3316" s="8">
        <v>11.76</v>
      </c>
      <c r="E3316">
        <v>3</v>
      </c>
      <c r="F3316" t="str">
        <f t="shared" si="204"/>
        <v>Value</v>
      </c>
      <c r="G3316" s="3" cm="1">
        <f t="array" ref="G3316">_xlfn.XLOOKUP(C3316 &amp; F3316,
         [1]unilever_price_limits!A:A &amp; [1]unilever_price_limits!B:B,
         [1]unilever_price_limits!C:C)</f>
        <v>15</v>
      </c>
      <c r="H3316" s="8">
        <f t="shared" si="205"/>
        <v>13.523999999999999</v>
      </c>
      <c r="I3316" s="6">
        <f t="shared" si="206"/>
        <v>14.999999999999991</v>
      </c>
      <c r="J3316" t="str">
        <f t="shared" si="207"/>
        <v>OK</v>
      </c>
    </row>
    <row r="3317" spans="1:10" x14ac:dyDescent="0.2">
      <c r="A3317">
        <v>13316</v>
      </c>
      <c r="B3317" t="s">
        <v>5</v>
      </c>
      <c r="C3317" t="s">
        <v>6</v>
      </c>
      <c r="D3317" s="8">
        <v>8.51</v>
      </c>
      <c r="E3317">
        <v>2</v>
      </c>
      <c r="F3317" t="str">
        <f t="shared" si="204"/>
        <v>Value</v>
      </c>
      <c r="G3317" s="3" cm="1">
        <f t="array" ref="G3317">_xlfn.XLOOKUP(C3317 &amp; F3317,
         [1]unilever_price_limits!A:A &amp; [1]unilever_price_limits!B:B,
         [1]unilever_price_limits!C:C)</f>
        <v>12</v>
      </c>
      <c r="H3317" s="8">
        <f t="shared" si="205"/>
        <v>9.5312000000000001</v>
      </c>
      <c r="I3317" s="6">
        <f t="shared" si="206"/>
        <v>12.000000000000011</v>
      </c>
      <c r="J3317" t="str">
        <f t="shared" si="207"/>
        <v>OK</v>
      </c>
    </row>
    <row r="3318" spans="1:10" x14ac:dyDescent="0.2">
      <c r="A3318">
        <v>13317</v>
      </c>
      <c r="B3318" t="s">
        <v>7</v>
      </c>
      <c r="C3318" t="s">
        <v>9</v>
      </c>
      <c r="D3318" s="8">
        <v>10.08</v>
      </c>
      <c r="E3318">
        <v>10</v>
      </c>
      <c r="F3318" t="str">
        <f t="shared" si="204"/>
        <v>Premium</v>
      </c>
      <c r="G3318" s="3" cm="1">
        <f t="array" ref="G3318">_xlfn.XLOOKUP(C3318 &amp; F3318,
         [1]unilever_price_limits!A:A &amp; [1]unilever_price_limits!B:B,
         [1]unilever_price_limits!C:C)</f>
        <v>60</v>
      </c>
      <c r="H3318" s="8">
        <f t="shared" si="205"/>
        <v>16.128</v>
      </c>
      <c r="I3318" s="6">
        <f t="shared" si="206"/>
        <v>60.000000000000007</v>
      </c>
      <c r="J3318" t="str">
        <f t="shared" si="207"/>
        <v>OK</v>
      </c>
    </row>
    <row r="3319" spans="1:10" x14ac:dyDescent="0.2">
      <c r="A3319">
        <v>13318</v>
      </c>
      <c r="B3319" t="s">
        <v>10</v>
      </c>
      <c r="C3319" t="s">
        <v>11</v>
      </c>
      <c r="D3319" s="8">
        <v>5.18</v>
      </c>
      <c r="E3319">
        <v>5</v>
      </c>
      <c r="F3319" t="str">
        <f t="shared" si="204"/>
        <v>Standard</v>
      </c>
      <c r="G3319" s="3" cm="1">
        <f t="array" ref="G3319">_xlfn.XLOOKUP(C3319 &amp; F3319,
         [1]unilever_price_limits!A:A &amp; [1]unilever_price_limits!B:B,
         [1]unilever_price_limits!C:C)</f>
        <v>25</v>
      </c>
      <c r="H3319" s="8">
        <f t="shared" si="205"/>
        <v>6.4749999999999996</v>
      </c>
      <c r="I3319" s="6">
        <f t="shared" si="206"/>
        <v>25</v>
      </c>
      <c r="J3319" t="str">
        <f t="shared" si="207"/>
        <v>OK</v>
      </c>
    </row>
    <row r="3320" spans="1:10" x14ac:dyDescent="0.2">
      <c r="A3320">
        <v>13319</v>
      </c>
      <c r="B3320" t="s">
        <v>5</v>
      </c>
      <c r="C3320" t="s">
        <v>6</v>
      </c>
      <c r="D3320" s="8">
        <v>7.48</v>
      </c>
      <c r="E3320">
        <v>9</v>
      </c>
      <c r="F3320" t="str">
        <f t="shared" si="204"/>
        <v>Premium</v>
      </c>
      <c r="G3320" s="3" cm="1">
        <f t="array" ref="G3320">_xlfn.XLOOKUP(C3320 &amp; F3320,
         [1]unilever_price_limits!A:A &amp; [1]unilever_price_limits!B:B,
         [1]unilever_price_limits!C:C)</f>
        <v>55</v>
      </c>
      <c r="H3320" s="8">
        <f t="shared" si="205"/>
        <v>11.594000000000001</v>
      </c>
      <c r="I3320" s="6">
        <f t="shared" si="206"/>
        <v>55.000000000000007</v>
      </c>
      <c r="J3320" t="str">
        <f t="shared" si="207"/>
        <v>OK</v>
      </c>
    </row>
    <row r="3321" spans="1:10" x14ac:dyDescent="0.2">
      <c r="A3321">
        <v>13320</v>
      </c>
      <c r="B3321" t="s">
        <v>10</v>
      </c>
      <c r="C3321" t="s">
        <v>11</v>
      </c>
      <c r="D3321" s="8">
        <v>9.4499999999999993</v>
      </c>
      <c r="E3321">
        <v>6</v>
      </c>
      <c r="F3321" t="str">
        <f t="shared" si="204"/>
        <v>Standard</v>
      </c>
      <c r="G3321" s="3" cm="1">
        <f t="array" ref="G3321">_xlfn.XLOOKUP(C3321 &amp; F3321,
         [1]unilever_price_limits!A:A &amp; [1]unilever_price_limits!B:B,
         [1]unilever_price_limits!C:C)</f>
        <v>25</v>
      </c>
      <c r="H3321" s="8">
        <f t="shared" si="205"/>
        <v>11.8125</v>
      </c>
      <c r="I3321" s="6">
        <f t="shared" si="206"/>
        <v>25</v>
      </c>
      <c r="J3321" t="str">
        <f t="shared" si="207"/>
        <v>OK</v>
      </c>
    </row>
    <row r="3322" spans="1:10" x14ac:dyDescent="0.2">
      <c r="A3322">
        <v>13321</v>
      </c>
      <c r="B3322" t="s">
        <v>7</v>
      </c>
      <c r="C3322" t="s">
        <v>9</v>
      </c>
      <c r="D3322" s="8">
        <v>6.37</v>
      </c>
      <c r="E3322">
        <v>8</v>
      </c>
      <c r="F3322" t="str">
        <f t="shared" si="204"/>
        <v>Premium</v>
      </c>
      <c r="G3322" s="3" cm="1">
        <f t="array" ref="G3322">_xlfn.XLOOKUP(C3322 &amp; F3322,
         [1]unilever_price_limits!A:A &amp; [1]unilever_price_limits!B:B,
         [1]unilever_price_limits!C:C)</f>
        <v>60</v>
      </c>
      <c r="H3322" s="8">
        <f t="shared" si="205"/>
        <v>10.192</v>
      </c>
      <c r="I3322" s="6">
        <f t="shared" si="206"/>
        <v>60.000000000000007</v>
      </c>
      <c r="J3322" t="str">
        <f t="shared" si="207"/>
        <v>OK</v>
      </c>
    </row>
    <row r="3323" spans="1:10" x14ac:dyDescent="0.2">
      <c r="A3323">
        <v>13322</v>
      </c>
      <c r="B3323" t="s">
        <v>10</v>
      </c>
      <c r="C3323" t="s">
        <v>6</v>
      </c>
      <c r="D3323" s="8">
        <v>3.38</v>
      </c>
      <c r="E3323">
        <v>8</v>
      </c>
      <c r="F3323" t="str">
        <f t="shared" si="204"/>
        <v>Premium</v>
      </c>
      <c r="G3323" s="3" cm="1">
        <f t="array" ref="G3323">_xlfn.XLOOKUP(C3323 &amp; F3323,
         [1]unilever_price_limits!A:A &amp; [1]unilever_price_limits!B:B,
         [1]unilever_price_limits!C:C)</f>
        <v>55</v>
      </c>
      <c r="H3323" s="8">
        <f t="shared" si="205"/>
        <v>5.2389999999999999</v>
      </c>
      <c r="I3323" s="6">
        <f t="shared" si="206"/>
        <v>55.000000000000007</v>
      </c>
      <c r="J3323" t="str">
        <f t="shared" si="207"/>
        <v>OK</v>
      </c>
    </row>
    <row r="3324" spans="1:10" x14ac:dyDescent="0.2">
      <c r="A3324">
        <v>13323</v>
      </c>
      <c r="B3324" t="s">
        <v>5</v>
      </c>
      <c r="C3324" t="s">
        <v>11</v>
      </c>
      <c r="D3324" s="8">
        <v>14.44</v>
      </c>
      <c r="E3324">
        <v>7</v>
      </c>
      <c r="F3324" t="str">
        <f t="shared" si="204"/>
        <v>Standard</v>
      </c>
      <c r="G3324" s="3" cm="1">
        <f t="array" ref="G3324">_xlfn.XLOOKUP(C3324 &amp; F3324,
         [1]unilever_price_limits!A:A &amp; [1]unilever_price_limits!B:B,
         [1]unilever_price_limits!C:C)</f>
        <v>25</v>
      </c>
      <c r="H3324" s="8">
        <f t="shared" si="205"/>
        <v>18.05</v>
      </c>
      <c r="I3324" s="6">
        <f t="shared" si="206"/>
        <v>25</v>
      </c>
      <c r="J3324" t="str">
        <f t="shared" si="207"/>
        <v>OK</v>
      </c>
    </row>
    <row r="3325" spans="1:10" x14ac:dyDescent="0.2">
      <c r="A3325">
        <v>13324</v>
      </c>
      <c r="B3325" t="s">
        <v>10</v>
      </c>
      <c r="C3325" t="s">
        <v>11</v>
      </c>
      <c r="D3325" s="8">
        <v>7.92</v>
      </c>
      <c r="E3325">
        <v>5</v>
      </c>
      <c r="F3325" t="str">
        <f t="shared" si="204"/>
        <v>Standard</v>
      </c>
      <c r="G3325" s="3" cm="1">
        <f t="array" ref="G3325">_xlfn.XLOOKUP(C3325 &amp; F3325,
         [1]unilever_price_limits!A:A &amp; [1]unilever_price_limits!B:B,
         [1]unilever_price_limits!C:C)</f>
        <v>25</v>
      </c>
      <c r="H3325" s="8">
        <f t="shared" si="205"/>
        <v>9.9</v>
      </c>
      <c r="I3325" s="6">
        <f t="shared" si="206"/>
        <v>25</v>
      </c>
      <c r="J3325" t="str">
        <f t="shared" si="207"/>
        <v>OK</v>
      </c>
    </row>
    <row r="3326" spans="1:10" x14ac:dyDescent="0.2">
      <c r="A3326">
        <v>13325</v>
      </c>
      <c r="B3326" t="s">
        <v>5</v>
      </c>
      <c r="C3326" t="s">
        <v>11</v>
      </c>
      <c r="D3326" s="8">
        <v>11.14</v>
      </c>
      <c r="E3326">
        <v>2</v>
      </c>
      <c r="F3326" t="str">
        <f t="shared" si="204"/>
        <v>Value</v>
      </c>
      <c r="G3326" s="3" cm="1">
        <f t="array" ref="G3326">_xlfn.XLOOKUP(C3326 &amp; F3326,
         [1]unilever_price_limits!A:A &amp; [1]unilever_price_limits!B:B,
         [1]unilever_price_limits!C:C)</f>
        <v>10</v>
      </c>
      <c r="H3326" s="8">
        <f t="shared" si="205"/>
        <v>12.254000000000001</v>
      </c>
      <c r="I3326" s="6">
        <f t="shared" si="206"/>
        <v>10.000000000000009</v>
      </c>
      <c r="J3326" t="str">
        <f t="shared" si="207"/>
        <v>OK</v>
      </c>
    </row>
    <row r="3327" spans="1:10" x14ac:dyDescent="0.2">
      <c r="A3327">
        <v>13326</v>
      </c>
      <c r="B3327" t="s">
        <v>10</v>
      </c>
      <c r="C3327" t="s">
        <v>9</v>
      </c>
      <c r="D3327" s="8">
        <v>6.46</v>
      </c>
      <c r="E3327">
        <v>10</v>
      </c>
      <c r="F3327" t="str">
        <f t="shared" si="204"/>
        <v>Premium</v>
      </c>
      <c r="G3327" s="3" cm="1">
        <f t="array" ref="G3327">_xlfn.XLOOKUP(C3327 &amp; F3327,
         [1]unilever_price_limits!A:A &amp; [1]unilever_price_limits!B:B,
         [1]unilever_price_limits!C:C)</f>
        <v>60</v>
      </c>
      <c r="H3327" s="8">
        <f t="shared" si="205"/>
        <v>10.336</v>
      </c>
      <c r="I3327" s="6">
        <f t="shared" si="206"/>
        <v>60.000000000000007</v>
      </c>
      <c r="J3327" t="str">
        <f t="shared" si="207"/>
        <v>OK</v>
      </c>
    </row>
    <row r="3328" spans="1:10" x14ac:dyDescent="0.2">
      <c r="A3328">
        <v>13327</v>
      </c>
      <c r="B3328" t="s">
        <v>5</v>
      </c>
      <c r="C3328" t="s">
        <v>6</v>
      </c>
      <c r="D3328" s="8">
        <v>5.65</v>
      </c>
      <c r="E3328">
        <v>10</v>
      </c>
      <c r="F3328" t="str">
        <f t="shared" si="204"/>
        <v>Premium</v>
      </c>
      <c r="G3328" s="3" cm="1">
        <f t="array" ref="G3328">_xlfn.XLOOKUP(C3328 &amp; F3328,
         [1]unilever_price_limits!A:A &amp; [1]unilever_price_limits!B:B,
         [1]unilever_price_limits!C:C)</f>
        <v>55</v>
      </c>
      <c r="H3328" s="8">
        <f t="shared" si="205"/>
        <v>8.7575000000000003</v>
      </c>
      <c r="I3328" s="6">
        <f t="shared" si="206"/>
        <v>55.000000000000007</v>
      </c>
      <c r="J3328" t="str">
        <f t="shared" si="207"/>
        <v>OK</v>
      </c>
    </row>
    <row r="3329" spans="1:10" x14ac:dyDescent="0.2">
      <c r="A3329">
        <v>13328</v>
      </c>
      <c r="B3329" t="s">
        <v>5</v>
      </c>
      <c r="C3329" t="s">
        <v>9</v>
      </c>
      <c r="D3329" s="8">
        <v>6.4</v>
      </c>
      <c r="E3329">
        <v>5</v>
      </c>
      <c r="F3329" t="str">
        <f t="shared" si="204"/>
        <v>Standard</v>
      </c>
      <c r="G3329" s="3" cm="1">
        <f t="array" ref="G3329">_xlfn.XLOOKUP(C3329 &amp; F3329,
         [1]unilever_price_limits!A:A &amp; [1]unilever_price_limits!B:B,
         [1]unilever_price_limits!C:C)</f>
        <v>30</v>
      </c>
      <c r="H3329" s="8">
        <f t="shared" si="205"/>
        <v>8.32</v>
      </c>
      <c r="I3329" s="6">
        <f t="shared" si="206"/>
        <v>30.000000000000004</v>
      </c>
      <c r="J3329" t="str">
        <f t="shared" si="207"/>
        <v>OK</v>
      </c>
    </row>
    <row r="3330" spans="1:10" x14ac:dyDescent="0.2">
      <c r="A3330">
        <v>13329</v>
      </c>
      <c r="B3330" t="s">
        <v>10</v>
      </c>
      <c r="C3330" t="s">
        <v>9</v>
      </c>
      <c r="D3330" s="8">
        <v>6.43</v>
      </c>
      <c r="E3330">
        <v>7</v>
      </c>
      <c r="F3330" t="str">
        <f t="shared" si="204"/>
        <v>Standard</v>
      </c>
      <c r="G3330" s="3" cm="1">
        <f t="array" ref="G3330">_xlfn.XLOOKUP(C3330 &amp; F3330,
         [1]unilever_price_limits!A:A &amp; [1]unilever_price_limits!B:B,
         [1]unilever_price_limits!C:C)</f>
        <v>30</v>
      </c>
      <c r="H3330" s="8">
        <f t="shared" si="205"/>
        <v>8.359</v>
      </c>
      <c r="I3330" s="6">
        <f t="shared" si="206"/>
        <v>30.000000000000004</v>
      </c>
      <c r="J3330" t="str">
        <f t="shared" si="207"/>
        <v>OK</v>
      </c>
    </row>
    <row r="3331" spans="1:10" x14ac:dyDescent="0.2">
      <c r="A3331">
        <v>13330</v>
      </c>
      <c r="B3331" t="s">
        <v>7</v>
      </c>
      <c r="C3331" t="s">
        <v>9</v>
      </c>
      <c r="D3331" s="8">
        <v>8.39</v>
      </c>
      <c r="E3331">
        <v>7</v>
      </c>
      <c r="F3331" t="str">
        <f t="shared" ref="F3331:F3394" si="208">IF(E3331&lt;=3,"Value",
 IF(E3331&lt;=7,"Standard","Premium"))</f>
        <v>Standard</v>
      </c>
      <c r="G3331" s="3" cm="1">
        <f t="array" ref="G3331">_xlfn.XLOOKUP(C3331 &amp; F3331,
         [1]unilever_price_limits!A:A &amp; [1]unilever_price_limits!B:B,
         [1]unilever_price_limits!C:C)</f>
        <v>30</v>
      </c>
      <c r="H3331" s="8">
        <f t="shared" ref="H3331:H3394" si="209">D3331 * (1 + G3331/100)</f>
        <v>10.907000000000002</v>
      </c>
      <c r="I3331" s="6">
        <f t="shared" ref="I3331:I3394" si="210">(H3331 / D3331 - 1) * 100</f>
        <v>30.000000000000004</v>
      </c>
      <c r="J3331" t="str">
        <f t="shared" ref="J3331:J3394" si="211">IF(I3330&gt; G3330, "⚠ Exceeds Limit", "OK")</f>
        <v>OK</v>
      </c>
    </row>
    <row r="3332" spans="1:10" x14ac:dyDescent="0.2">
      <c r="A3332">
        <v>13331</v>
      </c>
      <c r="B3332" t="s">
        <v>8</v>
      </c>
      <c r="C3332" t="s">
        <v>6</v>
      </c>
      <c r="D3332" s="8">
        <v>8.3800000000000008</v>
      </c>
      <c r="E3332">
        <v>2</v>
      </c>
      <c r="F3332" t="str">
        <f t="shared" si="208"/>
        <v>Value</v>
      </c>
      <c r="G3332" s="3" cm="1">
        <f t="array" ref="G3332">_xlfn.XLOOKUP(C3332 &amp; F3332,
         [1]unilever_price_limits!A:A &amp; [1]unilever_price_limits!B:B,
         [1]unilever_price_limits!C:C)</f>
        <v>12</v>
      </c>
      <c r="H3332" s="8">
        <f t="shared" si="209"/>
        <v>9.3856000000000019</v>
      </c>
      <c r="I3332" s="6">
        <f t="shared" si="210"/>
        <v>12.000000000000011</v>
      </c>
      <c r="J3332" t="str">
        <f t="shared" si="211"/>
        <v>OK</v>
      </c>
    </row>
    <row r="3333" spans="1:10" x14ac:dyDescent="0.2">
      <c r="A3333">
        <v>13332</v>
      </c>
      <c r="B3333" t="s">
        <v>7</v>
      </c>
      <c r="C3333" t="s">
        <v>9</v>
      </c>
      <c r="D3333" s="8">
        <v>7.71</v>
      </c>
      <c r="E3333">
        <v>7</v>
      </c>
      <c r="F3333" t="str">
        <f t="shared" si="208"/>
        <v>Standard</v>
      </c>
      <c r="G3333" s="3" cm="1">
        <f t="array" ref="G3333">_xlfn.XLOOKUP(C3333 &amp; F3333,
         [1]unilever_price_limits!A:A &amp; [1]unilever_price_limits!B:B,
         [1]unilever_price_limits!C:C)</f>
        <v>30</v>
      </c>
      <c r="H3333" s="8">
        <f t="shared" si="209"/>
        <v>10.023</v>
      </c>
      <c r="I3333" s="6">
        <f t="shared" si="210"/>
        <v>30.000000000000004</v>
      </c>
      <c r="J3333" t="str">
        <f t="shared" si="211"/>
        <v>OK</v>
      </c>
    </row>
    <row r="3334" spans="1:10" x14ac:dyDescent="0.2">
      <c r="A3334">
        <v>13333</v>
      </c>
      <c r="B3334" t="s">
        <v>10</v>
      </c>
      <c r="C3334" t="s">
        <v>9</v>
      </c>
      <c r="D3334" s="8">
        <v>2.4500000000000002</v>
      </c>
      <c r="E3334">
        <v>6</v>
      </c>
      <c r="F3334" t="str">
        <f t="shared" si="208"/>
        <v>Standard</v>
      </c>
      <c r="G3334" s="3" cm="1">
        <f t="array" ref="G3334">_xlfn.XLOOKUP(C3334 &amp; F3334,
         [1]unilever_price_limits!A:A &amp; [1]unilever_price_limits!B:B,
         [1]unilever_price_limits!C:C)</f>
        <v>30</v>
      </c>
      <c r="H3334" s="8">
        <f t="shared" si="209"/>
        <v>3.1850000000000005</v>
      </c>
      <c r="I3334" s="6">
        <f t="shared" si="210"/>
        <v>30.000000000000004</v>
      </c>
      <c r="J3334" t="str">
        <f t="shared" si="211"/>
        <v>OK</v>
      </c>
    </row>
    <row r="3335" spans="1:10" x14ac:dyDescent="0.2">
      <c r="A3335">
        <v>13334</v>
      </c>
      <c r="B3335" t="s">
        <v>7</v>
      </c>
      <c r="C3335" t="s">
        <v>9</v>
      </c>
      <c r="D3335" s="8">
        <v>7.69</v>
      </c>
      <c r="E3335">
        <v>7</v>
      </c>
      <c r="F3335" t="str">
        <f t="shared" si="208"/>
        <v>Standard</v>
      </c>
      <c r="G3335" s="3" cm="1">
        <f t="array" ref="G3335">_xlfn.XLOOKUP(C3335 &amp; F3335,
         [1]unilever_price_limits!A:A &amp; [1]unilever_price_limits!B:B,
         [1]unilever_price_limits!C:C)</f>
        <v>30</v>
      </c>
      <c r="H3335" s="8">
        <f t="shared" si="209"/>
        <v>9.9970000000000017</v>
      </c>
      <c r="I3335" s="6">
        <f t="shared" si="210"/>
        <v>30.000000000000004</v>
      </c>
      <c r="J3335" t="str">
        <f t="shared" si="211"/>
        <v>OK</v>
      </c>
    </row>
    <row r="3336" spans="1:10" x14ac:dyDescent="0.2">
      <c r="A3336">
        <v>13335</v>
      </c>
      <c r="B3336" t="s">
        <v>5</v>
      </c>
      <c r="C3336" t="s">
        <v>9</v>
      </c>
      <c r="D3336" s="8">
        <v>2.95</v>
      </c>
      <c r="E3336">
        <v>8</v>
      </c>
      <c r="F3336" t="str">
        <f t="shared" si="208"/>
        <v>Premium</v>
      </c>
      <c r="G3336" s="3" cm="1">
        <f t="array" ref="G3336">_xlfn.XLOOKUP(C3336 &amp; F3336,
         [1]unilever_price_limits!A:A &amp; [1]unilever_price_limits!B:B,
         [1]unilever_price_limits!C:C)</f>
        <v>60</v>
      </c>
      <c r="H3336" s="8">
        <f t="shared" si="209"/>
        <v>4.7200000000000006</v>
      </c>
      <c r="I3336" s="6">
        <f t="shared" si="210"/>
        <v>60.000000000000007</v>
      </c>
      <c r="J3336" t="str">
        <f t="shared" si="211"/>
        <v>OK</v>
      </c>
    </row>
    <row r="3337" spans="1:10" x14ac:dyDescent="0.2">
      <c r="A3337">
        <v>13336</v>
      </c>
      <c r="B3337" t="s">
        <v>8</v>
      </c>
      <c r="C3337" t="s">
        <v>11</v>
      </c>
      <c r="D3337" s="8">
        <v>2.33</v>
      </c>
      <c r="E3337">
        <v>4</v>
      </c>
      <c r="F3337" t="str">
        <f t="shared" si="208"/>
        <v>Standard</v>
      </c>
      <c r="G3337" s="3" cm="1">
        <f t="array" ref="G3337">_xlfn.XLOOKUP(C3337 &amp; F3337,
         [1]unilever_price_limits!A:A &amp; [1]unilever_price_limits!B:B,
         [1]unilever_price_limits!C:C)</f>
        <v>25</v>
      </c>
      <c r="H3337" s="8">
        <f t="shared" si="209"/>
        <v>2.9125000000000001</v>
      </c>
      <c r="I3337" s="6">
        <f t="shared" si="210"/>
        <v>25</v>
      </c>
      <c r="J3337" t="str">
        <f t="shared" si="211"/>
        <v>OK</v>
      </c>
    </row>
    <row r="3338" spans="1:10" x14ac:dyDescent="0.2">
      <c r="A3338">
        <v>13337</v>
      </c>
      <c r="B3338" t="s">
        <v>10</v>
      </c>
      <c r="C3338" t="s">
        <v>9</v>
      </c>
      <c r="D3338" s="8">
        <v>14.02</v>
      </c>
      <c r="E3338">
        <v>1</v>
      </c>
      <c r="F3338" t="str">
        <f t="shared" si="208"/>
        <v>Value</v>
      </c>
      <c r="G3338" s="3" cm="1">
        <f t="array" ref="G3338">_xlfn.XLOOKUP(C3338 &amp; F3338,
         [1]unilever_price_limits!A:A &amp; [1]unilever_price_limits!B:B,
         [1]unilever_price_limits!C:C)</f>
        <v>15</v>
      </c>
      <c r="H3338" s="8">
        <f t="shared" si="209"/>
        <v>16.122999999999998</v>
      </c>
      <c r="I3338" s="6">
        <f t="shared" si="210"/>
        <v>14.999999999999991</v>
      </c>
      <c r="J3338" t="str">
        <f t="shared" si="211"/>
        <v>OK</v>
      </c>
    </row>
    <row r="3339" spans="1:10" x14ac:dyDescent="0.2">
      <c r="A3339">
        <v>13338</v>
      </c>
      <c r="B3339" t="s">
        <v>10</v>
      </c>
      <c r="C3339" t="s">
        <v>11</v>
      </c>
      <c r="D3339" s="8">
        <v>9.27</v>
      </c>
      <c r="E3339">
        <v>8</v>
      </c>
      <c r="F3339" t="str">
        <f t="shared" si="208"/>
        <v>Premium</v>
      </c>
      <c r="G3339" s="3" cm="1">
        <f t="array" ref="G3339">_xlfn.XLOOKUP(C3339 &amp; F3339,
         [1]unilever_price_limits!A:A &amp; [1]unilever_price_limits!B:B,
         [1]unilever_price_limits!C:C)</f>
        <v>50</v>
      </c>
      <c r="H3339" s="8">
        <f t="shared" si="209"/>
        <v>13.904999999999999</v>
      </c>
      <c r="I3339" s="6">
        <f t="shared" si="210"/>
        <v>50</v>
      </c>
      <c r="J3339" t="str">
        <f t="shared" si="211"/>
        <v>OK</v>
      </c>
    </row>
    <row r="3340" spans="1:10" x14ac:dyDescent="0.2">
      <c r="A3340">
        <v>13339</v>
      </c>
      <c r="B3340" t="s">
        <v>10</v>
      </c>
      <c r="C3340" t="s">
        <v>9</v>
      </c>
      <c r="D3340" s="8">
        <v>10.06</v>
      </c>
      <c r="E3340">
        <v>8</v>
      </c>
      <c r="F3340" t="str">
        <f t="shared" si="208"/>
        <v>Premium</v>
      </c>
      <c r="G3340" s="3" cm="1">
        <f t="array" ref="G3340">_xlfn.XLOOKUP(C3340 &amp; F3340,
         [1]unilever_price_limits!A:A &amp; [1]unilever_price_limits!B:B,
         [1]unilever_price_limits!C:C)</f>
        <v>60</v>
      </c>
      <c r="H3340" s="8">
        <f t="shared" si="209"/>
        <v>16.096</v>
      </c>
      <c r="I3340" s="6">
        <f t="shared" si="210"/>
        <v>59.999999999999986</v>
      </c>
      <c r="J3340" t="str">
        <f t="shared" si="211"/>
        <v>OK</v>
      </c>
    </row>
    <row r="3341" spans="1:10" x14ac:dyDescent="0.2">
      <c r="A3341">
        <v>13340</v>
      </c>
      <c r="B3341" t="s">
        <v>8</v>
      </c>
      <c r="C3341" t="s">
        <v>6</v>
      </c>
      <c r="D3341" s="8">
        <v>6.33</v>
      </c>
      <c r="E3341">
        <v>3</v>
      </c>
      <c r="F3341" t="str">
        <f t="shared" si="208"/>
        <v>Value</v>
      </c>
      <c r="G3341" s="3" cm="1">
        <f t="array" ref="G3341">_xlfn.XLOOKUP(C3341 &amp; F3341,
         [1]unilever_price_limits!A:A &amp; [1]unilever_price_limits!B:B,
         [1]unilever_price_limits!C:C)</f>
        <v>12</v>
      </c>
      <c r="H3341" s="8">
        <f t="shared" si="209"/>
        <v>7.0896000000000008</v>
      </c>
      <c r="I3341" s="6">
        <f t="shared" si="210"/>
        <v>12.000000000000011</v>
      </c>
      <c r="J3341" t="str">
        <f t="shared" si="211"/>
        <v>OK</v>
      </c>
    </row>
    <row r="3342" spans="1:10" x14ac:dyDescent="0.2">
      <c r="A3342">
        <v>13341</v>
      </c>
      <c r="B3342" t="s">
        <v>5</v>
      </c>
      <c r="C3342" t="s">
        <v>11</v>
      </c>
      <c r="D3342" s="8">
        <v>13.68</v>
      </c>
      <c r="E3342">
        <v>3</v>
      </c>
      <c r="F3342" t="str">
        <f t="shared" si="208"/>
        <v>Value</v>
      </c>
      <c r="G3342" s="3" cm="1">
        <f t="array" ref="G3342">_xlfn.XLOOKUP(C3342 &amp; F3342,
         [1]unilever_price_limits!A:A &amp; [1]unilever_price_limits!B:B,
         [1]unilever_price_limits!C:C)</f>
        <v>10</v>
      </c>
      <c r="H3342" s="8">
        <f t="shared" si="209"/>
        <v>15.048</v>
      </c>
      <c r="I3342" s="6">
        <f t="shared" si="210"/>
        <v>10.000000000000009</v>
      </c>
      <c r="J3342" t="str">
        <f t="shared" si="211"/>
        <v>OK</v>
      </c>
    </row>
    <row r="3343" spans="1:10" x14ac:dyDescent="0.2">
      <c r="A3343">
        <v>13342</v>
      </c>
      <c r="B3343" t="s">
        <v>10</v>
      </c>
      <c r="C3343" t="s">
        <v>11</v>
      </c>
      <c r="D3343" s="8">
        <v>9.75</v>
      </c>
      <c r="E3343">
        <v>5</v>
      </c>
      <c r="F3343" t="str">
        <f t="shared" si="208"/>
        <v>Standard</v>
      </c>
      <c r="G3343" s="3" cm="1">
        <f t="array" ref="G3343">_xlfn.XLOOKUP(C3343 &amp; F3343,
         [1]unilever_price_limits!A:A &amp; [1]unilever_price_limits!B:B,
         [1]unilever_price_limits!C:C)</f>
        <v>25</v>
      </c>
      <c r="H3343" s="8">
        <f t="shared" si="209"/>
        <v>12.1875</v>
      </c>
      <c r="I3343" s="6">
        <f t="shared" si="210"/>
        <v>25</v>
      </c>
      <c r="J3343" t="str">
        <f t="shared" si="211"/>
        <v>OK</v>
      </c>
    </row>
    <row r="3344" spans="1:10" x14ac:dyDescent="0.2">
      <c r="A3344">
        <v>13343</v>
      </c>
      <c r="B3344" t="s">
        <v>7</v>
      </c>
      <c r="C3344" t="s">
        <v>11</v>
      </c>
      <c r="D3344" s="8">
        <v>11.65</v>
      </c>
      <c r="E3344">
        <v>3</v>
      </c>
      <c r="F3344" t="str">
        <f t="shared" si="208"/>
        <v>Value</v>
      </c>
      <c r="G3344" s="3" cm="1">
        <f t="array" ref="G3344">_xlfn.XLOOKUP(C3344 &amp; F3344,
         [1]unilever_price_limits!A:A &amp; [1]unilever_price_limits!B:B,
         [1]unilever_price_limits!C:C)</f>
        <v>10</v>
      </c>
      <c r="H3344" s="8">
        <f t="shared" si="209"/>
        <v>12.815000000000001</v>
      </c>
      <c r="I3344" s="6">
        <f t="shared" si="210"/>
        <v>10.000000000000009</v>
      </c>
      <c r="J3344" t="str">
        <f t="shared" si="211"/>
        <v>OK</v>
      </c>
    </row>
    <row r="3345" spans="1:10" x14ac:dyDescent="0.2">
      <c r="A3345">
        <v>13344</v>
      </c>
      <c r="B3345" t="s">
        <v>10</v>
      </c>
      <c r="C3345" t="s">
        <v>11</v>
      </c>
      <c r="D3345" s="8">
        <v>5.84</v>
      </c>
      <c r="E3345">
        <v>5</v>
      </c>
      <c r="F3345" t="str">
        <f t="shared" si="208"/>
        <v>Standard</v>
      </c>
      <c r="G3345" s="3" cm="1">
        <f t="array" ref="G3345">_xlfn.XLOOKUP(C3345 &amp; F3345,
         [1]unilever_price_limits!A:A &amp; [1]unilever_price_limits!B:B,
         [1]unilever_price_limits!C:C)</f>
        <v>25</v>
      </c>
      <c r="H3345" s="8">
        <f t="shared" si="209"/>
        <v>7.3</v>
      </c>
      <c r="I3345" s="6">
        <f t="shared" si="210"/>
        <v>25</v>
      </c>
      <c r="J3345" t="str">
        <f t="shared" si="211"/>
        <v>OK</v>
      </c>
    </row>
    <row r="3346" spans="1:10" x14ac:dyDescent="0.2">
      <c r="A3346">
        <v>13345</v>
      </c>
      <c r="B3346" t="s">
        <v>10</v>
      </c>
      <c r="C3346" t="s">
        <v>6</v>
      </c>
      <c r="D3346" s="8">
        <v>14.42</v>
      </c>
      <c r="E3346">
        <v>8</v>
      </c>
      <c r="F3346" t="str">
        <f t="shared" si="208"/>
        <v>Premium</v>
      </c>
      <c r="G3346" s="3" cm="1">
        <f t="array" ref="G3346">_xlfn.XLOOKUP(C3346 &amp; F3346,
         [1]unilever_price_limits!A:A &amp; [1]unilever_price_limits!B:B,
         [1]unilever_price_limits!C:C)</f>
        <v>55</v>
      </c>
      <c r="H3346" s="8">
        <f t="shared" si="209"/>
        <v>22.350999999999999</v>
      </c>
      <c r="I3346" s="6">
        <f t="shared" si="210"/>
        <v>55.000000000000007</v>
      </c>
      <c r="J3346" t="str">
        <f t="shared" si="211"/>
        <v>OK</v>
      </c>
    </row>
    <row r="3347" spans="1:10" x14ac:dyDescent="0.2">
      <c r="A3347">
        <v>13346</v>
      </c>
      <c r="B3347" t="s">
        <v>10</v>
      </c>
      <c r="C3347" t="s">
        <v>9</v>
      </c>
      <c r="D3347" s="8">
        <v>12.4</v>
      </c>
      <c r="E3347">
        <v>1</v>
      </c>
      <c r="F3347" t="str">
        <f t="shared" si="208"/>
        <v>Value</v>
      </c>
      <c r="G3347" s="3" cm="1">
        <f t="array" ref="G3347">_xlfn.XLOOKUP(C3347 &amp; F3347,
         [1]unilever_price_limits!A:A &amp; [1]unilever_price_limits!B:B,
         [1]unilever_price_limits!C:C)</f>
        <v>15</v>
      </c>
      <c r="H3347" s="8">
        <f t="shared" si="209"/>
        <v>14.26</v>
      </c>
      <c r="I3347" s="6">
        <f t="shared" si="210"/>
        <v>14.999999999999991</v>
      </c>
      <c r="J3347" t="str">
        <f t="shared" si="211"/>
        <v>OK</v>
      </c>
    </row>
    <row r="3348" spans="1:10" x14ac:dyDescent="0.2">
      <c r="A3348">
        <v>13347</v>
      </c>
      <c r="B3348" t="s">
        <v>10</v>
      </c>
      <c r="C3348" t="s">
        <v>11</v>
      </c>
      <c r="D3348" s="8">
        <v>12.88</v>
      </c>
      <c r="E3348">
        <v>2</v>
      </c>
      <c r="F3348" t="str">
        <f t="shared" si="208"/>
        <v>Value</v>
      </c>
      <c r="G3348" s="3" cm="1">
        <f t="array" ref="G3348">_xlfn.XLOOKUP(C3348 &amp; F3348,
         [1]unilever_price_limits!A:A &amp; [1]unilever_price_limits!B:B,
         [1]unilever_price_limits!C:C)</f>
        <v>10</v>
      </c>
      <c r="H3348" s="8">
        <f t="shared" si="209"/>
        <v>14.168000000000003</v>
      </c>
      <c r="I3348" s="6">
        <f t="shared" si="210"/>
        <v>10.000000000000009</v>
      </c>
      <c r="J3348" t="str">
        <f t="shared" si="211"/>
        <v>OK</v>
      </c>
    </row>
    <row r="3349" spans="1:10" x14ac:dyDescent="0.2">
      <c r="A3349">
        <v>13348</v>
      </c>
      <c r="B3349" t="s">
        <v>5</v>
      </c>
      <c r="C3349" t="s">
        <v>6</v>
      </c>
      <c r="D3349" s="8">
        <v>3</v>
      </c>
      <c r="E3349">
        <v>2</v>
      </c>
      <c r="F3349" t="str">
        <f t="shared" si="208"/>
        <v>Value</v>
      </c>
      <c r="G3349" s="3" cm="1">
        <f t="array" ref="G3349">_xlfn.XLOOKUP(C3349 &amp; F3349,
         [1]unilever_price_limits!A:A &amp; [1]unilever_price_limits!B:B,
         [1]unilever_price_limits!C:C)</f>
        <v>12</v>
      </c>
      <c r="H3349" s="8">
        <f t="shared" si="209"/>
        <v>3.3600000000000003</v>
      </c>
      <c r="I3349" s="6">
        <f t="shared" si="210"/>
        <v>12.000000000000011</v>
      </c>
      <c r="J3349" t="str">
        <f t="shared" si="211"/>
        <v>OK</v>
      </c>
    </row>
    <row r="3350" spans="1:10" x14ac:dyDescent="0.2">
      <c r="A3350">
        <v>13349</v>
      </c>
      <c r="B3350" t="s">
        <v>7</v>
      </c>
      <c r="C3350" t="s">
        <v>11</v>
      </c>
      <c r="D3350" s="8">
        <v>4.43</v>
      </c>
      <c r="E3350">
        <v>4</v>
      </c>
      <c r="F3350" t="str">
        <f t="shared" si="208"/>
        <v>Standard</v>
      </c>
      <c r="G3350" s="3" cm="1">
        <f t="array" ref="G3350">_xlfn.XLOOKUP(C3350 &amp; F3350,
         [1]unilever_price_limits!A:A &amp; [1]unilever_price_limits!B:B,
         [1]unilever_price_limits!C:C)</f>
        <v>25</v>
      </c>
      <c r="H3350" s="8">
        <f t="shared" si="209"/>
        <v>5.5374999999999996</v>
      </c>
      <c r="I3350" s="6">
        <f t="shared" si="210"/>
        <v>25</v>
      </c>
      <c r="J3350" t="str">
        <f t="shared" si="211"/>
        <v>OK</v>
      </c>
    </row>
    <row r="3351" spans="1:10" x14ac:dyDescent="0.2">
      <c r="A3351">
        <v>13350</v>
      </c>
      <c r="B3351" t="s">
        <v>5</v>
      </c>
      <c r="C3351" t="s">
        <v>9</v>
      </c>
      <c r="D3351" s="8">
        <v>4.6399999999999997</v>
      </c>
      <c r="E3351">
        <v>9</v>
      </c>
      <c r="F3351" t="str">
        <f t="shared" si="208"/>
        <v>Premium</v>
      </c>
      <c r="G3351" s="3" cm="1">
        <f t="array" ref="G3351">_xlfn.XLOOKUP(C3351 &amp; F3351,
         [1]unilever_price_limits!A:A &amp; [1]unilever_price_limits!B:B,
         [1]unilever_price_limits!C:C)</f>
        <v>60</v>
      </c>
      <c r="H3351" s="8">
        <f t="shared" si="209"/>
        <v>7.4239999999999995</v>
      </c>
      <c r="I3351" s="6">
        <f t="shared" si="210"/>
        <v>60.000000000000007</v>
      </c>
      <c r="J3351" t="str">
        <f t="shared" si="211"/>
        <v>OK</v>
      </c>
    </row>
    <row r="3352" spans="1:10" x14ac:dyDescent="0.2">
      <c r="A3352">
        <v>13351</v>
      </c>
      <c r="B3352" t="s">
        <v>7</v>
      </c>
      <c r="C3352" t="s">
        <v>11</v>
      </c>
      <c r="D3352" s="8">
        <v>4.43</v>
      </c>
      <c r="E3352">
        <v>2</v>
      </c>
      <c r="F3352" t="str">
        <f t="shared" si="208"/>
        <v>Value</v>
      </c>
      <c r="G3352" s="3" cm="1">
        <f t="array" ref="G3352">_xlfn.XLOOKUP(C3352 &amp; F3352,
         [1]unilever_price_limits!A:A &amp; [1]unilever_price_limits!B:B,
         [1]unilever_price_limits!C:C)</f>
        <v>10</v>
      </c>
      <c r="H3352" s="8">
        <f t="shared" si="209"/>
        <v>4.8730000000000002</v>
      </c>
      <c r="I3352" s="6">
        <f t="shared" si="210"/>
        <v>10.000000000000009</v>
      </c>
      <c r="J3352" t="str">
        <f t="shared" si="211"/>
        <v>OK</v>
      </c>
    </row>
    <row r="3353" spans="1:10" x14ac:dyDescent="0.2">
      <c r="A3353">
        <v>13352</v>
      </c>
      <c r="B3353" t="s">
        <v>10</v>
      </c>
      <c r="C3353" t="s">
        <v>6</v>
      </c>
      <c r="D3353" s="8">
        <v>12.9</v>
      </c>
      <c r="E3353">
        <v>9</v>
      </c>
      <c r="F3353" t="str">
        <f t="shared" si="208"/>
        <v>Premium</v>
      </c>
      <c r="G3353" s="3" cm="1">
        <f t="array" ref="G3353">_xlfn.XLOOKUP(C3353 &amp; F3353,
         [1]unilever_price_limits!A:A &amp; [1]unilever_price_limits!B:B,
         [1]unilever_price_limits!C:C)</f>
        <v>55</v>
      </c>
      <c r="H3353" s="8">
        <f t="shared" si="209"/>
        <v>19.995000000000001</v>
      </c>
      <c r="I3353" s="6">
        <f t="shared" si="210"/>
        <v>55.000000000000007</v>
      </c>
      <c r="J3353" t="str">
        <f t="shared" si="211"/>
        <v>OK</v>
      </c>
    </row>
    <row r="3354" spans="1:10" x14ac:dyDescent="0.2">
      <c r="A3354">
        <v>13353</v>
      </c>
      <c r="B3354" t="s">
        <v>8</v>
      </c>
      <c r="C3354" t="s">
        <v>9</v>
      </c>
      <c r="D3354" s="8">
        <v>0.96</v>
      </c>
      <c r="E3354">
        <v>7</v>
      </c>
      <c r="F3354" t="str">
        <f t="shared" si="208"/>
        <v>Standard</v>
      </c>
      <c r="G3354" s="3" cm="1">
        <f t="array" ref="G3354">_xlfn.XLOOKUP(C3354 &amp; F3354,
         [1]unilever_price_limits!A:A &amp; [1]unilever_price_limits!B:B,
         [1]unilever_price_limits!C:C)</f>
        <v>30</v>
      </c>
      <c r="H3354" s="8">
        <f t="shared" si="209"/>
        <v>1.248</v>
      </c>
      <c r="I3354" s="6">
        <f t="shared" si="210"/>
        <v>30.000000000000004</v>
      </c>
      <c r="J3354" t="str">
        <f t="shared" si="211"/>
        <v>OK</v>
      </c>
    </row>
    <row r="3355" spans="1:10" x14ac:dyDescent="0.2">
      <c r="A3355">
        <v>13354</v>
      </c>
      <c r="B3355" t="s">
        <v>5</v>
      </c>
      <c r="C3355" t="s">
        <v>6</v>
      </c>
      <c r="D3355" s="8">
        <v>1.6</v>
      </c>
      <c r="E3355">
        <v>10</v>
      </c>
      <c r="F3355" t="str">
        <f t="shared" si="208"/>
        <v>Premium</v>
      </c>
      <c r="G3355" s="3" cm="1">
        <f t="array" ref="G3355">_xlfn.XLOOKUP(C3355 &amp; F3355,
         [1]unilever_price_limits!A:A &amp; [1]unilever_price_limits!B:B,
         [1]unilever_price_limits!C:C)</f>
        <v>55</v>
      </c>
      <c r="H3355" s="8">
        <f t="shared" si="209"/>
        <v>2.4800000000000004</v>
      </c>
      <c r="I3355" s="6">
        <f t="shared" si="210"/>
        <v>55.000000000000028</v>
      </c>
      <c r="J3355" t="str">
        <f t="shared" si="211"/>
        <v>OK</v>
      </c>
    </row>
    <row r="3356" spans="1:10" x14ac:dyDescent="0.2">
      <c r="A3356">
        <v>13355</v>
      </c>
      <c r="B3356" t="s">
        <v>8</v>
      </c>
      <c r="C3356" t="s">
        <v>9</v>
      </c>
      <c r="D3356" s="8">
        <v>4.47</v>
      </c>
      <c r="E3356">
        <v>8</v>
      </c>
      <c r="F3356" t="str">
        <f t="shared" si="208"/>
        <v>Premium</v>
      </c>
      <c r="G3356" s="3" cm="1">
        <f t="array" ref="G3356">_xlfn.XLOOKUP(C3356 &amp; F3356,
         [1]unilever_price_limits!A:A &amp; [1]unilever_price_limits!B:B,
         [1]unilever_price_limits!C:C)</f>
        <v>60</v>
      </c>
      <c r="H3356" s="8">
        <f t="shared" si="209"/>
        <v>7.1520000000000001</v>
      </c>
      <c r="I3356" s="6">
        <f t="shared" si="210"/>
        <v>60.000000000000007</v>
      </c>
      <c r="J3356" t="str">
        <f t="shared" si="211"/>
        <v>OK</v>
      </c>
    </row>
    <row r="3357" spans="1:10" x14ac:dyDescent="0.2">
      <c r="A3357">
        <v>13356</v>
      </c>
      <c r="B3357" t="s">
        <v>5</v>
      </c>
      <c r="C3357" t="s">
        <v>9</v>
      </c>
      <c r="D3357" s="8">
        <v>3.4</v>
      </c>
      <c r="E3357">
        <v>1</v>
      </c>
      <c r="F3357" t="str">
        <f t="shared" si="208"/>
        <v>Value</v>
      </c>
      <c r="G3357" s="3" cm="1">
        <f t="array" ref="G3357">_xlfn.XLOOKUP(C3357 &amp; F3357,
         [1]unilever_price_limits!A:A &amp; [1]unilever_price_limits!B:B,
         [1]unilever_price_limits!C:C)</f>
        <v>15</v>
      </c>
      <c r="H3357" s="8">
        <f t="shared" si="209"/>
        <v>3.9099999999999997</v>
      </c>
      <c r="I3357" s="6">
        <f t="shared" si="210"/>
        <v>14.999999999999991</v>
      </c>
      <c r="J3357" t="str">
        <f t="shared" si="211"/>
        <v>OK</v>
      </c>
    </row>
    <row r="3358" spans="1:10" x14ac:dyDescent="0.2">
      <c r="A3358">
        <v>13357</v>
      </c>
      <c r="B3358" t="s">
        <v>10</v>
      </c>
      <c r="C3358" t="s">
        <v>9</v>
      </c>
      <c r="D3358" s="8">
        <v>3.86</v>
      </c>
      <c r="E3358">
        <v>5</v>
      </c>
      <c r="F3358" t="str">
        <f t="shared" si="208"/>
        <v>Standard</v>
      </c>
      <c r="G3358" s="3" cm="1">
        <f t="array" ref="G3358">_xlfn.XLOOKUP(C3358 &amp; F3358,
         [1]unilever_price_limits!A:A &amp; [1]unilever_price_limits!B:B,
         [1]unilever_price_limits!C:C)</f>
        <v>30</v>
      </c>
      <c r="H3358" s="8">
        <f t="shared" si="209"/>
        <v>5.0179999999999998</v>
      </c>
      <c r="I3358" s="6">
        <f t="shared" si="210"/>
        <v>30.000000000000004</v>
      </c>
      <c r="J3358" t="str">
        <f t="shared" si="211"/>
        <v>OK</v>
      </c>
    </row>
    <row r="3359" spans="1:10" x14ac:dyDescent="0.2">
      <c r="A3359">
        <v>13358</v>
      </c>
      <c r="B3359" t="s">
        <v>5</v>
      </c>
      <c r="C3359" t="s">
        <v>11</v>
      </c>
      <c r="D3359" s="8">
        <v>12.07</v>
      </c>
      <c r="E3359">
        <v>9</v>
      </c>
      <c r="F3359" t="str">
        <f t="shared" si="208"/>
        <v>Premium</v>
      </c>
      <c r="G3359" s="3" cm="1">
        <f t="array" ref="G3359">_xlfn.XLOOKUP(C3359 &amp; F3359,
         [1]unilever_price_limits!A:A &amp; [1]unilever_price_limits!B:B,
         [1]unilever_price_limits!C:C)</f>
        <v>50</v>
      </c>
      <c r="H3359" s="8">
        <f t="shared" si="209"/>
        <v>18.105</v>
      </c>
      <c r="I3359" s="6">
        <f t="shared" si="210"/>
        <v>50</v>
      </c>
      <c r="J3359" t="str">
        <f t="shared" si="211"/>
        <v>OK</v>
      </c>
    </row>
    <row r="3360" spans="1:10" x14ac:dyDescent="0.2">
      <c r="A3360">
        <v>13359</v>
      </c>
      <c r="B3360" t="s">
        <v>10</v>
      </c>
      <c r="C3360" t="s">
        <v>6</v>
      </c>
      <c r="D3360" s="8">
        <v>8.67</v>
      </c>
      <c r="E3360">
        <v>4</v>
      </c>
      <c r="F3360" t="str">
        <f t="shared" si="208"/>
        <v>Standard</v>
      </c>
      <c r="G3360" s="3" cm="1">
        <f t="array" ref="G3360">_xlfn.XLOOKUP(C3360 &amp; F3360,
         [1]unilever_price_limits!A:A &amp; [1]unilever_price_limits!B:B,
         [1]unilever_price_limits!C:C)</f>
        <v>28</v>
      </c>
      <c r="H3360" s="8">
        <f t="shared" si="209"/>
        <v>11.0976</v>
      </c>
      <c r="I3360" s="6">
        <f t="shared" si="210"/>
        <v>28.000000000000004</v>
      </c>
      <c r="J3360" t="str">
        <f t="shared" si="211"/>
        <v>OK</v>
      </c>
    </row>
    <row r="3361" spans="1:10" x14ac:dyDescent="0.2">
      <c r="A3361">
        <v>13360</v>
      </c>
      <c r="B3361" t="s">
        <v>5</v>
      </c>
      <c r="C3361" t="s">
        <v>6</v>
      </c>
      <c r="D3361" s="8">
        <v>0.57999999999999996</v>
      </c>
      <c r="E3361">
        <v>2</v>
      </c>
      <c r="F3361" t="str">
        <f t="shared" si="208"/>
        <v>Value</v>
      </c>
      <c r="G3361" s="3" cm="1">
        <f t="array" ref="G3361">_xlfn.XLOOKUP(C3361 &amp; F3361,
         [1]unilever_price_limits!A:A &amp; [1]unilever_price_limits!B:B,
         [1]unilever_price_limits!C:C)</f>
        <v>12</v>
      </c>
      <c r="H3361" s="8">
        <f t="shared" si="209"/>
        <v>0.64960000000000007</v>
      </c>
      <c r="I3361" s="6">
        <f t="shared" si="210"/>
        <v>12.000000000000011</v>
      </c>
      <c r="J3361" t="str">
        <f t="shared" si="211"/>
        <v>OK</v>
      </c>
    </row>
    <row r="3362" spans="1:10" x14ac:dyDescent="0.2">
      <c r="A3362">
        <v>13361</v>
      </c>
      <c r="B3362" t="s">
        <v>10</v>
      </c>
      <c r="C3362" t="s">
        <v>6</v>
      </c>
      <c r="D3362" s="8">
        <v>6.73</v>
      </c>
      <c r="E3362">
        <v>6</v>
      </c>
      <c r="F3362" t="str">
        <f t="shared" si="208"/>
        <v>Standard</v>
      </c>
      <c r="G3362" s="3" cm="1">
        <f t="array" ref="G3362">_xlfn.XLOOKUP(C3362 &amp; F3362,
         [1]unilever_price_limits!A:A &amp; [1]unilever_price_limits!B:B,
         [1]unilever_price_limits!C:C)</f>
        <v>28</v>
      </c>
      <c r="H3362" s="8">
        <f t="shared" si="209"/>
        <v>8.6144000000000016</v>
      </c>
      <c r="I3362" s="6">
        <f t="shared" si="210"/>
        <v>28.000000000000025</v>
      </c>
      <c r="J3362" t="str">
        <f t="shared" si="211"/>
        <v>OK</v>
      </c>
    </row>
    <row r="3363" spans="1:10" x14ac:dyDescent="0.2">
      <c r="A3363">
        <v>13362</v>
      </c>
      <c r="B3363" t="s">
        <v>10</v>
      </c>
      <c r="C3363" t="s">
        <v>9</v>
      </c>
      <c r="D3363" s="8">
        <v>6.41</v>
      </c>
      <c r="E3363">
        <v>2</v>
      </c>
      <c r="F3363" t="str">
        <f t="shared" si="208"/>
        <v>Value</v>
      </c>
      <c r="G3363" s="3" cm="1">
        <f t="array" ref="G3363">_xlfn.XLOOKUP(C3363 &amp; F3363,
         [1]unilever_price_limits!A:A &amp; [1]unilever_price_limits!B:B,
         [1]unilever_price_limits!C:C)</f>
        <v>15</v>
      </c>
      <c r="H3363" s="8">
        <f t="shared" si="209"/>
        <v>7.3714999999999993</v>
      </c>
      <c r="I3363" s="6">
        <f t="shared" si="210"/>
        <v>14.999999999999991</v>
      </c>
      <c r="J3363" t="str">
        <f t="shared" si="211"/>
        <v>OK</v>
      </c>
    </row>
    <row r="3364" spans="1:10" x14ac:dyDescent="0.2">
      <c r="A3364">
        <v>13363</v>
      </c>
      <c r="B3364" t="s">
        <v>7</v>
      </c>
      <c r="C3364" t="s">
        <v>11</v>
      </c>
      <c r="D3364" s="8">
        <v>2.15</v>
      </c>
      <c r="E3364">
        <v>3</v>
      </c>
      <c r="F3364" t="str">
        <f t="shared" si="208"/>
        <v>Value</v>
      </c>
      <c r="G3364" s="3" cm="1">
        <f t="array" ref="G3364">_xlfn.XLOOKUP(C3364 &amp; F3364,
         [1]unilever_price_limits!A:A &amp; [1]unilever_price_limits!B:B,
         [1]unilever_price_limits!C:C)</f>
        <v>10</v>
      </c>
      <c r="H3364" s="8">
        <f t="shared" si="209"/>
        <v>2.3650000000000002</v>
      </c>
      <c r="I3364" s="6">
        <f t="shared" si="210"/>
        <v>10.000000000000009</v>
      </c>
      <c r="J3364" t="str">
        <f t="shared" si="211"/>
        <v>OK</v>
      </c>
    </row>
    <row r="3365" spans="1:10" x14ac:dyDescent="0.2">
      <c r="A3365">
        <v>13364</v>
      </c>
      <c r="B3365" t="s">
        <v>10</v>
      </c>
      <c r="C3365" t="s">
        <v>9</v>
      </c>
      <c r="D3365" s="8">
        <v>10.3</v>
      </c>
      <c r="E3365">
        <v>8</v>
      </c>
      <c r="F3365" t="str">
        <f t="shared" si="208"/>
        <v>Premium</v>
      </c>
      <c r="G3365" s="3" cm="1">
        <f t="array" ref="G3365">_xlfn.XLOOKUP(C3365 &amp; F3365,
         [1]unilever_price_limits!A:A &amp; [1]unilever_price_limits!B:B,
         [1]unilever_price_limits!C:C)</f>
        <v>60</v>
      </c>
      <c r="H3365" s="8">
        <f t="shared" si="209"/>
        <v>16.48</v>
      </c>
      <c r="I3365" s="6">
        <f t="shared" si="210"/>
        <v>59.999999999999986</v>
      </c>
      <c r="J3365" t="str">
        <f t="shared" si="211"/>
        <v>OK</v>
      </c>
    </row>
    <row r="3366" spans="1:10" x14ac:dyDescent="0.2">
      <c r="A3366">
        <v>13365</v>
      </c>
      <c r="B3366" t="s">
        <v>7</v>
      </c>
      <c r="C3366" t="s">
        <v>6</v>
      </c>
      <c r="D3366" s="8">
        <v>10.68</v>
      </c>
      <c r="E3366">
        <v>3</v>
      </c>
      <c r="F3366" t="str">
        <f t="shared" si="208"/>
        <v>Value</v>
      </c>
      <c r="G3366" s="3" cm="1">
        <f t="array" ref="G3366">_xlfn.XLOOKUP(C3366 &amp; F3366,
         [1]unilever_price_limits!A:A &amp; [1]unilever_price_limits!B:B,
         [1]unilever_price_limits!C:C)</f>
        <v>12</v>
      </c>
      <c r="H3366" s="8">
        <f t="shared" si="209"/>
        <v>11.961600000000001</v>
      </c>
      <c r="I3366" s="6">
        <f t="shared" si="210"/>
        <v>12.000000000000011</v>
      </c>
      <c r="J3366" t="str">
        <f t="shared" si="211"/>
        <v>OK</v>
      </c>
    </row>
    <row r="3367" spans="1:10" x14ac:dyDescent="0.2">
      <c r="A3367">
        <v>13366</v>
      </c>
      <c r="B3367" t="s">
        <v>10</v>
      </c>
      <c r="C3367" t="s">
        <v>11</v>
      </c>
      <c r="D3367" s="8">
        <v>10.95</v>
      </c>
      <c r="E3367">
        <v>2</v>
      </c>
      <c r="F3367" t="str">
        <f t="shared" si="208"/>
        <v>Value</v>
      </c>
      <c r="G3367" s="3" cm="1">
        <f t="array" ref="G3367">_xlfn.XLOOKUP(C3367 &amp; F3367,
         [1]unilever_price_limits!A:A &amp; [1]unilever_price_limits!B:B,
         [1]unilever_price_limits!C:C)</f>
        <v>10</v>
      </c>
      <c r="H3367" s="8">
        <f t="shared" si="209"/>
        <v>12.045</v>
      </c>
      <c r="I3367" s="6">
        <f t="shared" si="210"/>
        <v>10.000000000000009</v>
      </c>
      <c r="J3367" t="str">
        <f t="shared" si="211"/>
        <v>OK</v>
      </c>
    </row>
    <row r="3368" spans="1:10" x14ac:dyDescent="0.2">
      <c r="A3368">
        <v>13367</v>
      </c>
      <c r="B3368" t="s">
        <v>8</v>
      </c>
      <c r="C3368" t="s">
        <v>11</v>
      </c>
      <c r="D3368" s="8">
        <v>11.06</v>
      </c>
      <c r="E3368">
        <v>6</v>
      </c>
      <c r="F3368" t="str">
        <f t="shared" si="208"/>
        <v>Standard</v>
      </c>
      <c r="G3368" s="3" cm="1">
        <f t="array" ref="G3368">_xlfn.XLOOKUP(C3368 &amp; F3368,
         [1]unilever_price_limits!A:A &amp; [1]unilever_price_limits!B:B,
         [1]unilever_price_limits!C:C)</f>
        <v>25</v>
      </c>
      <c r="H3368" s="8">
        <f t="shared" si="209"/>
        <v>13.825000000000001</v>
      </c>
      <c r="I3368" s="6">
        <f t="shared" si="210"/>
        <v>25</v>
      </c>
      <c r="J3368" t="str">
        <f t="shared" si="211"/>
        <v>OK</v>
      </c>
    </row>
    <row r="3369" spans="1:10" x14ac:dyDescent="0.2">
      <c r="A3369">
        <v>13368</v>
      </c>
      <c r="B3369" t="s">
        <v>10</v>
      </c>
      <c r="C3369" t="s">
        <v>11</v>
      </c>
      <c r="D3369" s="8">
        <v>0.5</v>
      </c>
      <c r="E3369">
        <v>3</v>
      </c>
      <c r="F3369" t="str">
        <f t="shared" si="208"/>
        <v>Value</v>
      </c>
      <c r="G3369" s="3" cm="1">
        <f t="array" ref="G3369">_xlfn.XLOOKUP(C3369 &amp; F3369,
         [1]unilever_price_limits!A:A &amp; [1]unilever_price_limits!B:B,
         [1]unilever_price_limits!C:C)</f>
        <v>10</v>
      </c>
      <c r="H3369" s="8">
        <f t="shared" si="209"/>
        <v>0.55000000000000004</v>
      </c>
      <c r="I3369" s="6">
        <f t="shared" si="210"/>
        <v>10.000000000000009</v>
      </c>
      <c r="J3369" t="str">
        <f t="shared" si="211"/>
        <v>OK</v>
      </c>
    </row>
    <row r="3370" spans="1:10" x14ac:dyDescent="0.2">
      <c r="A3370">
        <v>13369</v>
      </c>
      <c r="B3370" t="s">
        <v>8</v>
      </c>
      <c r="C3370" t="s">
        <v>6</v>
      </c>
      <c r="D3370" s="8">
        <v>14.33</v>
      </c>
      <c r="E3370">
        <v>1</v>
      </c>
      <c r="F3370" t="str">
        <f t="shared" si="208"/>
        <v>Value</v>
      </c>
      <c r="G3370" s="3" cm="1">
        <f t="array" ref="G3370">_xlfn.XLOOKUP(C3370 &amp; F3370,
         [1]unilever_price_limits!A:A &amp; [1]unilever_price_limits!B:B,
         [1]unilever_price_limits!C:C)</f>
        <v>12</v>
      </c>
      <c r="H3370" s="8">
        <f t="shared" si="209"/>
        <v>16.049600000000002</v>
      </c>
      <c r="I3370" s="6">
        <f t="shared" si="210"/>
        <v>12.000000000000011</v>
      </c>
      <c r="J3370" t="str">
        <f t="shared" si="211"/>
        <v>OK</v>
      </c>
    </row>
    <row r="3371" spans="1:10" x14ac:dyDescent="0.2">
      <c r="A3371">
        <v>13370</v>
      </c>
      <c r="B3371" t="s">
        <v>8</v>
      </c>
      <c r="C3371" t="s">
        <v>11</v>
      </c>
      <c r="D3371" s="8">
        <v>12.31</v>
      </c>
      <c r="E3371">
        <v>3</v>
      </c>
      <c r="F3371" t="str">
        <f t="shared" si="208"/>
        <v>Value</v>
      </c>
      <c r="G3371" s="3" cm="1">
        <f t="array" ref="G3371">_xlfn.XLOOKUP(C3371 &amp; F3371,
         [1]unilever_price_limits!A:A &amp; [1]unilever_price_limits!B:B,
         [1]unilever_price_limits!C:C)</f>
        <v>10</v>
      </c>
      <c r="H3371" s="8">
        <f t="shared" si="209"/>
        <v>13.541000000000002</v>
      </c>
      <c r="I3371" s="6">
        <f t="shared" si="210"/>
        <v>10.000000000000009</v>
      </c>
      <c r="J3371" t="str">
        <f t="shared" si="211"/>
        <v>OK</v>
      </c>
    </row>
    <row r="3372" spans="1:10" x14ac:dyDescent="0.2">
      <c r="A3372">
        <v>13371</v>
      </c>
      <c r="B3372" t="s">
        <v>10</v>
      </c>
      <c r="C3372" t="s">
        <v>11</v>
      </c>
      <c r="D3372" s="8">
        <v>13.61</v>
      </c>
      <c r="E3372">
        <v>6</v>
      </c>
      <c r="F3372" t="str">
        <f t="shared" si="208"/>
        <v>Standard</v>
      </c>
      <c r="G3372" s="3" cm="1">
        <f t="array" ref="G3372">_xlfn.XLOOKUP(C3372 &amp; F3372,
         [1]unilever_price_limits!A:A &amp; [1]unilever_price_limits!B:B,
         [1]unilever_price_limits!C:C)</f>
        <v>25</v>
      </c>
      <c r="H3372" s="8">
        <f t="shared" si="209"/>
        <v>17.012499999999999</v>
      </c>
      <c r="I3372" s="6">
        <f t="shared" si="210"/>
        <v>25</v>
      </c>
      <c r="J3372" t="str">
        <f t="shared" si="211"/>
        <v>OK</v>
      </c>
    </row>
    <row r="3373" spans="1:10" x14ac:dyDescent="0.2">
      <c r="A3373">
        <v>13372</v>
      </c>
      <c r="B3373" t="s">
        <v>8</v>
      </c>
      <c r="C3373" t="s">
        <v>9</v>
      </c>
      <c r="D3373" s="8">
        <v>0.73</v>
      </c>
      <c r="E3373">
        <v>3</v>
      </c>
      <c r="F3373" t="str">
        <f t="shared" si="208"/>
        <v>Value</v>
      </c>
      <c r="G3373" s="3" cm="1">
        <f t="array" ref="G3373">_xlfn.XLOOKUP(C3373 &amp; F3373,
         [1]unilever_price_limits!A:A &amp; [1]unilever_price_limits!B:B,
         [1]unilever_price_limits!C:C)</f>
        <v>15</v>
      </c>
      <c r="H3373" s="8">
        <f t="shared" si="209"/>
        <v>0.83949999999999991</v>
      </c>
      <c r="I3373" s="6">
        <f t="shared" si="210"/>
        <v>14.999999999999991</v>
      </c>
      <c r="J3373" t="str">
        <f t="shared" si="211"/>
        <v>OK</v>
      </c>
    </row>
    <row r="3374" spans="1:10" x14ac:dyDescent="0.2">
      <c r="A3374">
        <v>13373</v>
      </c>
      <c r="B3374" t="s">
        <v>7</v>
      </c>
      <c r="C3374" t="s">
        <v>9</v>
      </c>
      <c r="D3374" s="8">
        <v>14.04</v>
      </c>
      <c r="E3374">
        <v>9</v>
      </c>
      <c r="F3374" t="str">
        <f t="shared" si="208"/>
        <v>Premium</v>
      </c>
      <c r="G3374" s="3" cm="1">
        <f t="array" ref="G3374">_xlfn.XLOOKUP(C3374 &amp; F3374,
         [1]unilever_price_limits!A:A &amp; [1]unilever_price_limits!B:B,
         [1]unilever_price_limits!C:C)</f>
        <v>60</v>
      </c>
      <c r="H3374" s="8">
        <f t="shared" si="209"/>
        <v>22.463999999999999</v>
      </c>
      <c r="I3374" s="6">
        <f t="shared" si="210"/>
        <v>60.000000000000007</v>
      </c>
      <c r="J3374" t="str">
        <f t="shared" si="211"/>
        <v>OK</v>
      </c>
    </row>
    <row r="3375" spans="1:10" x14ac:dyDescent="0.2">
      <c r="A3375">
        <v>13374</v>
      </c>
      <c r="B3375" t="s">
        <v>5</v>
      </c>
      <c r="C3375" t="s">
        <v>11</v>
      </c>
      <c r="D3375" s="8">
        <v>12.24</v>
      </c>
      <c r="E3375">
        <v>7</v>
      </c>
      <c r="F3375" t="str">
        <f t="shared" si="208"/>
        <v>Standard</v>
      </c>
      <c r="G3375" s="3" cm="1">
        <f t="array" ref="G3375">_xlfn.XLOOKUP(C3375 &amp; F3375,
         [1]unilever_price_limits!A:A &amp; [1]unilever_price_limits!B:B,
         [1]unilever_price_limits!C:C)</f>
        <v>25</v>
      </c>
      <c r="H3375" s="8">
        <f t="shared" si="209"/>
        <v>15.3</v>
      </c>
      <c r="I3375" s="6">
        <f t="shared" si="210"/>
        <v>25</v>
      </c>
      <c r="J3375" t="str">
        <f t="shared" si="211"/>
        <v>OK</v>
      </c>
    </row>
    <row r="3376" spans="1:10" x14ac:dyDescent="0.2">
      <c r="A3376">
        <v>13375</v>
      </c>
      <c r="B3376" t="s">
        <v>10</v>
      </c>
      <c r="C3376" t="s">
        <v>11</v>
      </c>
      <c r="D3376" s="8">
        <v>12.64</v>
      </c>
      <c r="E3376">
        <v>5</v>
      </c>
      <c r="F3376" t="str">
        <f t="shared" si="208"/>
        <v>Standard</v>
      </c>
      <c r="G3376" s="3" cm="1">
        <f t="array" ref="G3376">_xlfn.XLOOKUP(C3376 &amp; F3376,
         [1]unilever_price_limits!A:A &amp; [1]unilever_price_limits!B:B,
         [1]unilever_price_limits!C:C)</f>
        <v>25</v>
      </c>
      <c r="H3376" s="8">
        <f t="shared" si="209"/>
        <v>15.8</v>
      </c>
      <c r="I3376" s="6">
        <f t="shared" si="210"/>
        <v>25</v>
      </c>
      <c r="J3376" t="str">
        <f t="shared" si="211"/>
        <v>OK</v>
      </c>
    </row>
    <row r="3377" spans="1:10" x14ac:dyDescent="0.2">
      <c r="A3377">
        <v>13376</v>
      </c>
      <c r="B3377" t="s">
        <v>8</v>
      </c>
      <c r="C3377" t="s">
        <v>9</v>
      </c>
      <c r="D3377" s="8">
        <v>1.85</v>
      </c>
      <c r="E3377">
        <v>2</v>
      </c>
      <c r="F3377" t="str">
        <f t="shared" si="208"/>
        <v>Value</v>
      </c>
      <c r="G3377" s="3" cm="1">
        <f t="array" ref="G3377">_xlfn.XLOOKUP(C3377 &amp; F3377,
         [1]unilever_price_limits!A:A &amp; [1]unilever_price_limits!B:B,
         [1]unilever_price_limits!C:C)</f>
        <v>15</v>
      </c>
      <c r="H3377" s="8">
        <f t="shared" si="209"/>
        <v>2.1274999999999999</v>
      </c>
      <c r="I3377" s="6">
        <f t="shared" si="210"/>
        <v>14.999999999999991</v>
      </c>
      <c r="J3377" t="str">
        <f t="shared" si="211"/>
        <v>OK</v>
      </c>
    </row>
    <row r="3378" spans="1:10" x14ac:dyDescent="0.2">
      <c r="A3378">
        <v>13377</v>
      </c>
      <c r="B3378" t="s">
        <v>10</v>
      </c>
      <c r="C3378" t="s">
        <v>9</v>
      </c>
      <c r="D3378" s="8">
        <v>11.21</v>
      </c>
      <c r="E3378">
        <v>9</v>
      </c>
      <c r="F3378" t="str">
        <f t="shared" si="208"/>
        <v>Premium</v>
      </c>
      <c r="G3378" s="3" cm="1">
        <f t="array" ref="G3378">_xlfn.XLOOKUP(C3378 &amp; F3378,
         [1]unilever_price_limits!A:A &amp; [1]unilever_price_limits!B:B,
         [1]unilever_price_limits!C:C)</f>
        <v>60</v>
      </c>
      <c r="H3378" s="8">
        <f t="shared" si="209"/>
        <v>17.936000000000003</v>
      </c>
      <c r="I3378" s="6">
        <f t="shared" si="210"/>
        <v>60.000000000000007</v>
      </c>
      <c r="J3378" t="str">
        <f t="shared" si="211"/>
        <v>OK</v>
      </c>
    </row>
    <row r="3379" spans="1:10" x14ac:dyDescent="0.2">
      <c r="A3379">
        <v>13378</v>
      </c>
      <c r="B3379" t="s">
        <v>7</v>
      </c>
      <c r="C3379" t="s">
        <v>9</v>
      </c>
      <c r="D3379" s="8">
        <v>14.42</v>
      </c>
      <c r="E3379">
        <v>5</v>
      </c>
      <c r="F3379" t="str">
        <f t="shared" si="208"/>
        <v>Standard</v>
      </c>
      <c r="G3379" s="3" cm="1">
        <f t="array" ref="G3379">_xlfn.XLOOKUP(C3379 &amp; F3379,
         [1]unilever_price_limits!A:A &amp; [1]unilever_price_limits!B:B,
         [1]unilever_price_limits!C:C)</f>
        <v>30</v>
      </c>
      <c r="H3379" s="8">
        <f t="shared" si="209"/>
        <v>18.746000000000002</v>
      </c>
      <c r="I3379" s="6">
        <f t="shared" si="210"/>
        <v>30.000000000000028</v>
      </c>
      <c r="J3379" t="str">
        <f t="shared" si="211"/>
        <v>OK</v>
      </c>
    </row>
    <row r="3380" spans="1:10" x14ac:dyDescent="0.2">
      <c r="A3380">
        <v>13379</v>
      </c>
      <c r="B3380" t="s">
        <v>10</v>
      </c>
      <c r="C3380" t="s">
        <v>6</v>
      </c>
      <c r="D3380" s="8">
        <v>10.34</v>
      </c>
      <c r="E3380">
        <v>7</v>
      </c>
      <c r="F3380" t="str">
        <f t="shared" si="208"/>
        <v>Standard</v>
      </c>
      <c r="G3380" s="3" cm="1">
        <f t="array" ref="G3380">_xlfn.XLOOKUP(C3380 &amp; F3380,
         [1]unilever_price_limits!A:A &amp; [1]unilever_price_limits!B:B,
         [1]unilever_price_limits!C:C)</f>
        <v>28</v>
      </c>
      <c r="H3380" s="8">
        <f t="shared" si="209"/>
        <v>13.235200000000001</v>
      </c>
      <c r="I3380" s="6">
        <f t="shared" si="210"/>
        <v>28.000000000000004</v>
      </c>
      <c r="J3380" t="str">
        <f t="shared" si="211"/>
        <v>OK</v>
      </c>
    </row>
    <row r="3381" spans="1:10" x14ac:dyDescent="0.2">
      <c r="A3381">
        <v>13380</v>
      </c>
      <c r="B3381" t="s">
        <v>10</v>
      </c>
      <c r="C3381" t="s">
        <v>6</v>
      </c>
      <c r="D3381" s="8">
        <v>8.77</v>
      </c>
      <c r="E3381">
        <v>9</v>
      </c>
      <c r="F3381" t="str">
        <f t="shared" si="208"/>
        <v>Premium</v>
      </c>
      <c r="G3381" s="3" cm="1">
        <f t="array" ref="G3381">_xlfn.XLOOKUP(C3381 &amp; F3381,
         [1]unilever_price_limits!A:A &amp; [1]unilever_price_limits!B:B,
         [1]unilever_price_limits!C:C)</f>
        <v>55</v>
      </c>
      <c r="H3381" s="8">
        <f t="shared" si="209"/>
        <v>13.593500000000001</v>
      </c>
      <c r="I3381" s="6">
        <f t="shared" si="210"/>
        <v>55.000000000000007</v>
      </c>
      <c r="J3381" t="str">
        <f t="shared" si="211"/>
        <v>OK</v>
      </c>
    </row>
    <row r="3382" spans="1:10" x14ac:dyDescent="0.2">
      <c r="A3382">
        <v>13381</v>
      </c>
      <c r="B3382" t="s">
        <v>8</v>
      </c>
      <c r="C3382" t="s">
        <v>9</v>
      </c>
      <c r="D3382" s="8">
        <v>14.21</v>
      </c>
      <c r="E3382">
        <v>4</v>
      </c>
      <c r="F3382" t="str">
        <f t="shared" si="208"/>
        <v>Standard</v>
      </c>
      <c r="G3382" s="3" cm="1">
        <f t="array" ref="G3382">_xlfn.XLOOKUP(C3382 &amp; F3382,
         [1]unilever_price_limits!A:A &amp; [1]unilever_price_limits!B:B,
         [1]unilever_price_limits!C:C)</f>
        <v>30</v>
      </c>
      <c r="H3382" s="8">
        <f t="shared" si="209"/>
        <v>18.473000000000003</v>
      </c>
      <c r="I3382" s="6">
        <f t="shared" si="210"/>
        <v>30.000000000000004</v>
      </c>
      <c r="J3382" t="str">
        <f t="shared" si="211"/>
        <v>OK</v>
      </c>
    </row>
    <row r="3383" spans="1:10" x14ac:dyDescent="0.2">
      <c r="A3383">
        <v>13382</v>
      </c>
      <c r="B3383" t="s">
        <v>7</v>
      </c>
      <c r="C3383" t="s">
        <v>11</v>
      </c>
      <c r="D3383" s="8">
        <v>6.92</v>
      </c>
      <c r="E3383">
        <v>9</v>
      </c>
      <c r="F3383" t="str">
        <f t="shared" si="208"/>
        <v>Premium</v>
      </c>
      <c r="G3383" s="3" cm="1">
        <f t="array" ref="G3383">_xlfn.XLOOKUP(C3383 &amp; F3383,
         [1]unilever_price_limits!A:A &amp; [1]unilever_price_limits!B:B,
         [1]unilever_price_limits!C:C)</f>
        <v>50</v>
      </c>
      <c r="H3383" s="8">
        <f t="shared" si="209"/>
        <v>10.379999999999999</v>
      </c>
      <c r="I3383" s="6">
        <f t="shared" si="210"/>
        <v>49.999999999999979</v>
      </c>
      <c r="J3383" t="str">
        <f t="shared" si="211"/>
        <v>OK</v>
      </c>
    </row>
    <row r="3384" spans="1:10" x14ac:dyDescent="0.2">
      <c r="A3384">
        <v>13383</v>
      </c>
      <c r="B3384" t="s">
        <v>5</v>
      </c>
      <c r="C3384" t="s">
        <v>9</v>
      </c>
      <c r="D3384" s="8">
        <v>9.19</v>
      </c>
      <c r="E3384">
        <v>1</v>
      </c>
      <c r="F3384" t="str">
        <f t="shared" si="208"/>
        <v>Value</v>
      </c>
      <c r="G3384" s="3" cm="1">
        <f t="array" ref="G3384">_xlfn.XLOOKUP(C3384 &amp; F3384,
         [1]unilever_price_limits!A:A &amp; [1]unilever_price_limits!B:B,
         [1]unilever_price_limits!C:C)</f>
        <v>15</v>
      </c>
      <c r="H3384" s="8">
        <f t="shared" si="209"/>
        <v>10.568499999999998</v>
      </c>
      <c r="I3384" s="6">
        <f t="shared" si="210"/>
        <v>14.999999999999991</v>
      </c>
      <c r="J3384" t="str">
        <f t="shared" si="211"/>
        <v>OK</v>
      </c>
    </row>
    <row r="3385" spans="1:10" x14ac:dyDescent="0.2">
      <c r="A3385">
        <v>13384</v>
      </c>
      <c r="B3385" t="s">
        <v>5</v>
      </c>
      <c r="C3385" t="s">
        <v>6</v>
      </c>
      <c r="D3385" s="8">
        <v>7.41</v>
      </c>
      <c r="E3385">
        <v>6</v>
      </c>
      <c r="F3385" t="str">
        <f t="shared" si="208"/>
        <v>Standard</v>
      </c>
      <c r="G3385" s="3" cm="1">
        <f t="array" ref="G3385">_xlfn.XLOOKUP(C3385 &amp; F3385,
         [1]unilever_price_limits!A:A &amp; [1]unilever_price_limits!B:B,
         [1]unilever_price_limits!C:C)</f>
        <v>28</v>
      </c>
      <c r="H3385" s="8">
        <f t="shared" si="209"/>
        <v>9.4847999999999999</v>
      </c>
      <c r="I3385" s="6">
        <f t="shared" si="210"/>
        <v>28.000000000000004</v>
      </c>
      <c r="J3385" t="str">
        <f t="shared" si="211"/>
        <v>OK</v>
      </c>
    </row>
    <row r="3386" spans="1:10" x14ac:dyDescent="0.2">
      <c r="A3386">
        <v>13385</v>
      </c>
      <c r="B3386" t="s">
        <v>8</v>
      </c>
      <c r="C3386" t="s">
        <v>11</v>
      </c>
      <c r="D3386" s="8">
        <v>14.03</v>
      </c>
      <c r="E3386">
        <v>2</v>
      </c>
      <c r="F3386" t="str">
        <f t="shared" si="208"/>
        <v>Value</v>
      </c>
      <c r="G3386" s="3" cm="1">
        <f t="array" ref="G3386">_xlfn.XLOOKUP(C3386 &amp; F3386,
         [1]unilever_price_limits!A:A &amp; [1]unilever_price_limits!B:B,
         [1]unilever_price_limits!C:C)</f>
        <v>10</v>
      </c>
      <c r="H3386" s="8">
        <f t="shared" si="209"/>
        <v>15.433</v>
      </c>
      <c r="I3386" s="6">
        <f t="shared" si="210"/>
        <v>10.000000000000009</v>
      </c>
      <c r="J3386" t="str">
        <f t="shared" si="211"/>
        <v>OK</v>
      </c>
    </row>
    <row r="3387" spans="1:10" x14ac:dyDescent="0.2">
      <c r="A3387">
        <v>13386</v>
      </c>
      <c r="B3387" t="s">
        <v>10</v>
      </c>
      <c r="C3387" t="s">
        <v>6</v>
      </c>
      <c r="D3387" s="8">
        <v>1.6</v>
      </c>
      <c r="E3387">
        <v>8</v>
      </c>
      <c r="F3387" t="str">
        <f t="shared" si="208"/>
        <v>Premium</v>
      </c>
      <c r="G3387" s="3" cm="1">
        <f t="array" ref="G3387">_xlfn.XLOOKUP(C3387 &amp; F3387,
         [1]unilever_price_limits!A:A &amp; [1]unilever_price_limits!B:B,
         [1]unilever_price_limits!C:C)</f>
        <v>55</v>
      </c>
      <c r="H3387" s="8">
        <f t="shared" si="209"/>
        <v>2.4800000000000004</v>
      </c>
      <c r="I3387" s="6">
        <f t="shared" si="210"/>
        <v>55.000000000000028</v>
      </c>
      <c r="J3387" t="str">
        <f t="shared" si="211"/>
        <v>OK</v>
      </c>
    </row>
    <row r="3388" spans="1:10" x14ac:dyDescent="0.2">
      <c r="A3388">
        <v>13387</v>
      </c>
      <c r="B3388" t="s">
        <v>8</v>
      </c>
      <c r="C3388" t="s">
        <v>11</v>
      </c>
      <c r="D3388" s="8">
        <v>7.77</v>
      </c>
      <c r="E3388">
        <v>5</v>
      </c>
      <c r="F3388" t="str">
        <f t="shared" si="208"/>
        <v>Standard</v>
      </c>
      <c r="G3388" s="3" cm="1">
        <f t="array" ref="G3388">_xlfn.XLOOKUP(C3388 &amp; F3388,
         [1]unilever_price_limits!A:A &amp; [1]unilever_price_limits!B:B,
         [1]unilever_price_limits!C:C)</f>
        <v>25</v>
      </c>
      <c r="H3388" s="8">
        <f t="shared" si="209"/>
        <v>9.7124999999999986</v>
      </c>
      <c r="I3388" s="6">
        <f t="shared" si="210"/>
        <v>24.999999999999979</v>
      </c>
      <c r="J3388" t="str">
        <f t="shared" si="211"/>
        <v>OK</v>
      </c>
    </row>
    <row r="3389" spans="1:10" x14ac:dyDescent="0.2">
      <c r="A3389">
        <v>13388</v>
      </c>
      <c r="B3389" t="s">
        <v>8</v>
      </c>
      <c r="C3389" t="s">
        <v>6</v>
      </c>
      <c r="D3389" s="8">
        <v>10.46</v>
      </c>
      <c r="E3389">
        <v>3</v>
      </c>
      <c r="F3389" t="str">
        <f t="shared" si="208"/>
        <v>Value</v>
      </c>
      <c r="G3389" s="3" cm="1">
        <f t="array" ref="G3389">_xlfn.XLOOKUP(C3389 &amp; F3389,
         [1]unilever_price_limits!A:A &amp; [1]unilever_price_limits!B:B,
         [1]unilever_price_limits!C:C)</f>
        <v>12</v>
      </c>
      <c r="H3389" s="8">
        <f t="shared" si="209"/>
        <v>11.715200000000003</v>
      </c>
      <c r="I3389" s="6">
        <f t="shared" si="210"/>
        <v>12.000000000000011</v>
      </c>
      <c r="J3389" t="str">
        <f t="shared" si="211"/>
        <v>OK</v>
      </c>
    </row>
    <row r="3390" spans="1:10" x14ac:dyDescent="0.2">
      <c r="A3390">
        <v>13389</v>
      </c>
      <c r="B3390" t="s">
        <v>8</v>
      </c>
      <c r="C3390" t="s">
        <v>11</v>
      </c>
      <c r="D3390" s="8">
        <v>11.98</v>
      </c>
      <c r="E3390">
        <v>2</v>
      </c>
      <c r="F3390" t="str">
        <f t="shared" si="208"/>
        <v>Value</v>
      </c>
      <c r="G3390" s="3" cm="1">
        <f t="array" ref="G3390">_xlfn.XLOOKUP(C3390 &amp; F3390,
         [1]unilever_price_limits!A:A &amp; [1]unilever_price_limits!B:B,
         [1]unilever_price_limits!C:C)</f>
        <v>10</v>
      </c>
      <c r="H3390" s="8">
        <f t="shared" si="209"/>
        <v>13.178000000000001</v>
      </c>
      <c r="I3390" s="6">
        <f t="shared" si="210"/>
        <v>10.000000000000009</v>
      </c>
      <c r="J3390" t="str">
        <f t="shared" si="211"/>
        <v>OK</v>
      </c>
    </row>
    <row r="3391" spans="1:10" x14ac:dyDescent="0.2">
      <c r="A3391">
        <v>13390</v>
      </c>
      <c r="B3391" t="s">
        <v>10</v>
      </c>
      <c r="C3391" t="s">
        <v>11</v>
      </c>
      <c r="D3391" s="8">
        <v>8.9499999999999993</v>
      </c>
      <c r="E3391">
        <v>8</v>
      </c>
      <c r="F3391" t="str">
        <f t="shared" si="208"/>
        <v>Premium</v>
      </c>
      <c r="G3391" s="3" cm="1">
        <f t="array" ref="G3391">_xlfn.XLOOKUP(C3391 &amp; F3391,
         [1]unilever_price_limits!A:A &amp; [1]unilever_price_limits!B:B,
         [1]unilever_price_limits!C:C)</f>
        <v>50</v>
      </c>
      <c r="H3391" s="8">
        <f t="shared" si="209"/>
        <v>13.424999999999999</v>
      </c>
      <c r="I3391" s="6">
        <f t="shared" si="210"/>
        <v>50</v>
      </c>
      <c r="J3391" t="str">
        <f t="shared" si="211"/>
        <v>OK</v>
      </c>
    </row>
    <row r="3392" spans="1:10" x14ac:dyDescent="0.2">
      <c r="A3392">
        <v>13391</v>
      </c>
      <c r="B3392" t="s">
        <v>7</v>
      </c>
      <c r="C3392" t="s">
        <v>11</v>
      </c>
      <c r="D3392" s="8">
        <v>13.68</v>
      </c>
      <c r="E3392">
        <v>7</v>
      </c>
      <c r="F3392" t="str">
        <f t="shared" si="208"/>
        <v>Standard</v>
      </c>
      <c r="G3392" s="3" cm="1">
        <f t="array" ref="G3392">_xlfn.XLOOKUP(C3392 &amp; F3392,
         [1]unilever_price_limits!A:A &amp; [1]unilever_price_limits!B:B,
         [1]unilever_price_limits!C:C)</f>
        <v>25</v>
      </c>
      <c r="H3392" s="8">
        <f t="shared" si="209"/>
        <v>17.100000000000001</v>
      </c>
      <c r="I3392" s="6">
        <f t="shared" si="210"/>
        <v>25.000000000000021</v>
      </c>
      <c r="J3392" t="str">
        <f t="shared" si="211"/>
        <v>OK</v>
      </c>
    </row>
    <row r="3393" spans="1:10" x14ac:dyDescent="0.2">
      <c r="A3393">
        <v>13392</v>
      </c>
      <c r="B3393" t="s">
        <v>8</v>
      </c>
      <c r="C3393" t="s">
        <v>11</v>
      </c>
      <c r="D3393" s="8">
        <v>14.16</v>
      </c>
      <c r="E3393">
        <v>9</v>
      </c>
      <c r="F3393" t="str">
        <f t="shared" si="208"/>
        <v>Premium</v>
      </c>
      <c r="G3393" s="3" cm="1">
        <f t="array" ref="G3393">_xlfn.XLOOKUP(C3393 &amp; F3393,
         [1]unilever_price_limits!A:A &amp; [1]unilever_price_limits!B:B,
         [1]unilever_price_limits!C:C)</f>
        <v>50</v>
      </c>
      <c r="H3393" s="8">
        <f t="shared" si="209"/>
        <v>21.240000000000002</v>
      </c>
      <c r="I3393" s="6">
        <f t="shared" si="210"/>
        <v>50.000000000000021</v>
      </c>
      <c r="J3393" t="str">
        <f t="shared" si="211"/>
        <v>OK</v>
      </c>
    </row>
    <row r="3394" spans="1:10" x14ac:dyDescent="0.2">
      <c r="A3394">
        <v>13393</v>
      </c>
      <c r="B3394" t="s">
        <v>10</v>
      </c>
      <c r="C3394" t="s">
        <v>6</v>
      </c>
      <c r="D3394" s="8">
        <v>1.43</v>
      </c>
      <c r="E3394">
        <v>8</v>
      </c>
      <c r="F3394" t="str">
        <f t="shared" si="208"/>
        <v>Premium</v>
      </c>
      <c r="G3394" s="3" cm="1">
        <f t="array" ref="G3394">_xlfn.XLOOKUP(C3394 &amp; F3394,
         [1]unilever_price_limits!A:A &amp; [1]unilever_price_limits!B:B,
         [1]unilever_price_limits!C:C)</f>
        <v>55</v>
      </c>
      <c r="H3394" s="8">
        <f t="shared" si="209"/>
        <v>2.2164999999999999</v>
      </c>
      <c r="I3394" s="6">
        <f t="shared" si="210"/>
        <v>55.000000000000007</v>
      </c>
      <c r="J3394" t="str">
        <f t="shared" si="211"/>
        <v>OK</v>
      </c>
    </row>
    <row r="3395" spans="1:10" x14ac:dyDescent="0.2">
      <c r="A3395">
        <v>13394</v>
      </c>
      <c r="B3395" t="s">
        <v>7</v>
      </c>
      <c r="C3395" t="s">
        <v>6</v>
      </c>
      <c r="D3395" s="8">
        <v>6.33</v>
      </c>
      <c r="E3395">
        <v>4</v>
      </c>
      <c r="F3395" t="str">
        <f t="shared" ref="F3395:F3458" si="212">IF(E3395&lt;=3,"Value",
 IF(E3395&lt;=7,"Standard","Premium"))</f>
        <v>Standard</v>
      </c>
      <c r="G3395" s="3" cm="1">
        <f t="array" ref="G3395">_xlfn.XLOOKUP(C3395 &amp; F3395,
         [1]unilever_price_limits!A:A &amp; [1]unilever_price_limits!B:B,
         [1]unilever_price_limits!C:C)</f>
        <v>28</v>
      </c>
      <c r="H3395" s="8">
        <f t="shared" ref="H3395:H3458" si="213">D3395 * (1 + G3395/100)</f>
        <v>8.1023999999999994</v>
      </c>
      <c r="I3395" s="6">
        <f t="shared" ref="I3395:I3458" si="214">(H3395 / D3395 - 1) * 100</f>
        <v>27.999999999999979</v>
      </c>
      <c r="J3395" t="str">
        <f t="shared" ref="J3395:J3458" si="215">IF(I3394&gt; G3394, "⚠ Exceeds Limit", "OK")</f>
        <v>OK</v>
      </c>
    </row>
    <row r="3396" spans="1:10" x14ac:dyDescent="0.2">
      <c r="A3396">
        <v>13395</v>
      </c>
      <c r="B3396" t="s">
        <v>8</v>
      </c>
      <c r="C3396" t="s">
        <v>11</v>
      </c>
      <c r="D3396" s="8">
        <v>0.84</v>
      </c>
      <c r="E3396">
        <v>2</v>
      </c>
      <c r="F3396" t="str">
        <f t="shared" si="212"/>
        <v>Value</v>
      </c>
      <c r="G3396" s="3" cm="1">
        <f t="array" ref="G3396">_xlfn.XLOOKUP(C3396 &amp; F3396,
         [1]unilever_price_limits!A:A &amp; [1]unilever_price_limits!B:B,
         [1]unilever_price_limits!C:C)</f>
        <v>10</v>
      </c>
      <c r="H3396" s="8">
        <f t="shared" si="213"/>
        <v>0.92400000000000004</v>
      </c>
      <c r="I3396" s="6">
        <f t="shared" si="214"/>
        <v>10.000000000000009</v>
      </c>
      <c r="J3396" t="str">
        <f t="shared" si="215"/>
        <v>OK</v>
      </c>
    </row>
    <row r="3397" spans="1:10" x14ac:dyDescent="0.2">
      <c r="A3397">
        <v>13396</v>
      </c>
      <c r="B3397" t="s">
        <v>5</v>
      </c>
      <c r="C3397" t="s">
        <v>11</v>
      </c>
      <c r="D3397" s="8">
        <v>5.28</v>
      </c>
      <c r="E3397">
        <v>2</v>
      </c>
      <c r="F3397" t="str">
        <f t="shared" si="212"/>
        <v>Value</v>
      </c>
      <c r="G3397" s="3" cm="1">
        <f t="array" ref="G3397">_xlfn.XLOOKUP(C3397 &amp; F3397,
         [1]unilever_price_limits!A:A &amp; [1]unilever_price_limits!B:B,
         [1]unilever_price_limits!C:C)</f>
        <v>10</v>
      </c>
      <c r="H3397" s="8">
        <f t="shared" si="213"/>
        <v>5.8080000000000007</v>
      </c>
      <c r="I3397" s="6">
        <f t="shared" si="214"/>
        <v>10.000000000000009</v>
      </c>
      <c r="J3397" t="str">
        <f t="shared" si="215"/>
        <v>OK</v>
      </c>
    </row>
    <row r="3398" spans="1:10" x14ac:dyDescent="0.2">
      <c r="A3398">
        <v>13397</v>
      </c>
      <c r="B3398" t="s">
        <v>7</v>
      </c>
      <c r="C3398" t="s">
        <v>6</v>
      </c>
      <c r="D3398" s="8">
        <v>8.2799999999999994</v>
      </c>
      <c r="E3398">
        <v>2</v>
      </c>
      <c r="F3398" t="str">
        <f t="shared" si="212"/>
        <v>Value</v>
      </c>
      <c r="G3398" s="3" cm="1">
        <f t="array" ref="G3398">_xlfn.XLOOKUP(C3398 &amp; F3398,
         [1]unilever_price_limits!A:A &amp; [1]unilever_price_limits!B:B,
         [1]unilever_price_limits!C:C)</f>
        <v>12</v>
      </c>
      <c r="H3398" s="8">
        <f t="shared" si="213"/>
        <v>9.2736000000000001</v>
      </c>
      <c r="I3398" s="6">
        <f t="shared" si="214"/>
        <v>12.000000000000011</v>
      </c>
      <c r="J3398" t="str">
        <f t="shared" si="215"/>
        <v>OK</v>
      </c>
    </row>
    <row r="3399" spans="1:10" x14ac:dyDescent="0.2">
      <c r="A3399">
        <v>13398</v>
      </c>
      <c r="B3399" t="s">
        <v>8</v>
      </c>
      <c r="C3399" t="s">
        <v>11</v>
      </c>
      <c r="D3399" s="8">
        <v>13.71</v>
      </c>
      <c r="E3399">
        <v>6</v>
      </c>
      <c r="F3399" t="str">
        <f t="shared" si="212"/>
        <v>Standard</v>
      </c>
      <c r="G3399" s="3" cm="1">
        <f t="array" ref="G3399">_xlfn.XLOOKUP(C3399 &amp; F3399,
         [1]unilever_price_limits!A:A &amp; [1]unilever_price_limits!B:B,
         [1]unilever_price_limits!C:C)</f>
        <v>25</v>
      </c>
      <c r="H3399" s="8">
        <f t="shared" si="213"/>
        <v>17.137500000000003</v>
      </c>
      <c r="I3399" s="6">
        <f t="shared" si="214"/>
        <v>25.000000000000021</v>
      </c>
      <c r="J3399" t="str">
        <f t="shared" si="215"/>
        <v>OK</v>
      </c>
    </row>
    <row r="3400" spans="1:10" x14ac:dyDescent="0.2">
      <c r="A3400">
        <v>13399</v>
      </c>
      <c r="B3400" t="s">
        <v>7</v>
      </c>
      <c r="C3400" t="s">
        <v>11</v>
      </c>
      <c r="D3400" s="8">
        <v>12.78</v>
      </c>
      <c r="E3400">
        <v>7</v>
      </c>
      <c r="F3400" t="str">
        <f t="shared" si="212"/>
        <v>Standard</v>
      </c>
      <c r="G3400" s="3" cm="1">
        <f t="array" ref="G3400">_xlfn.XLOOKUP(C3400 &amp; F3400,
         [1]unilever_price_limits!A:A &amp; [1]unilever_price_limits!B:B,
         [1]unilever_price_limits!C:C)</f>
        <v>25</v>
      </c>
      <c r="H3400" s="8">
        <f t="shared" si="213"/>
        <v>15.975</v>
      </c>
      <c r="I3400" s="6">
        <f t="shared" si="214"/>
        <v>25</v>
      </c>
      <c r="J3400" t="str">
        <f t="shared" si="215"/>
        <v>OK</v>
      </c>
    </row>
    <row r="3401" spans="1:10" x14ac:dyDescent="0.2">
      <c r="A3401">
        <v>13400</v>
      </c>
      <c r="B3401" t="s">
        <v>7</v>
      </c>
      <c r="C3401" t="s">
        <v>11</v>
      </c>
      <c r="D3401" s="8">
        <v>2.35</v>
      </c>
      <c r="E3401">
        <v>6</v>
      </c>
      <c r="F3401" t="str">
        <f t="shared" si="212"/>
        <v>Standard</v>
      </c>
      <c r="G3401" s="3" cm="1">
        <f t="array" ref="G3401">_xlfn.XLOOKUP(C3401 &amp; F3401,
         [1]unilever_price_limits!A:A &amp; [1]unilever_price_limits!B:B,
         [1]unilever_price_limits!C:C)</f>
        <v>25</v>
      </c>
      <c r="H3401" s="8">
        <f t="shared" si="213"/>
        <v>2.9375</v>
      </c>
      <c r="I3401" s="6">
        <f t="shared" si="214"/>
        <v>25</v>
      </c>
      <c r="J3401" t="str">
        <f t="shared" si="215"/>
        <v>OK</v>
      </c>
    </row>
    <row r="3402" spans="1:10" x14ac:dyDescent="0.2">
      <c r="A3402">
        <v>13401</v>
      </c>
      <c r="B3402" t="s">
        <v>7</v>
      </c>
      <c r="C3402" t="s">
        <v>9</v>
      </c>
      <c r="D3402" s="8">
        <v>1.85</v>
      </c>
      <c r="E3402">
        <v>2</v>
      </c>
      <c r="F3402" t="str">
        <f t="shared" si="212"/>
        <v>Value</v>
      </c>
      <c r="G3402" s="3" cm="1">
        <f t="array" ref="G3402">_xlfn.XLOOKUP(C3402 &amp; F3402,
         [1]unilever_price_limits!A:A &amp; [1]unilever_price_limits!B:B,
         [1]unilever_price_limits!C:C)</f>
        <v>15</v>
      </c>
      <c r="H3402" s="8">
        <f t="shared" si="213"/>
        <v>2.1274999999999999</v>
      </c>
      <c r="I3402" s="6">
        <f t="shared" si="214"/>
        <v>14.999999999999991</v>
      </c>
      <c r="J3402" t="str">
        <f t="shared" si="215"/>
        <v>OK</v>
      </c>
    </row>
    <row r="3403" spans="1:10" x14ac:dyDescent="0.2">
      <c r="A3403">
        <v>13402</v>
      </c>
      <c r="B3403" t="s">
        <v>7</v>
      </c>
      <c r="C3403" t="s">
        <v>11</v>
      </c>
      <c r="D3403" s="8">
        <v>9.0399999999999991</v>
      </c>
      <c r="E3403">
        <v>4</v>
      </c>
      <c r="F3403" t="str">
        <f t="shared" si="212"/>
        <v>Standard</v>
      </c>
      <c r="G3403" s="3" cm="1">
        <f t="array" ref="G3403">_xlfn.XLOOKUP(C3403 &amp; F3403,
         [1]unilever_price_limits!A:A &amp; [1]unilever_price_limits!B:B,
         [1]unilever_price_limits!C:C)</f>
        <v>25</v>
      </c>
      <c r="H3403" s="8">
        <f t="shared" si="213"/>
        <v>11.299999999999999</v>
      </c>
      <c r="I3403" s="6">
        <f t="shared" si="214"/>
        <v>25</v>
      </c>
      <c r="J3403" t="str">
        <f t="shared" si="215"/>
        <v>OK</v>
      </c>
    </row>
    <row r="3404" spans="1:10" x14ac:dyDescent="0.2">
      <c r="A3404">
        <v>13403</v>
      </c>
      <c r="B3404" t="s">
        <v>7</v>
      </c>
      <c r="C3404" t="s">
        <v>9</v>
      </c>
      <c r="D3404" s="8">
        <v>8.2200000000000006</v>
      </c>
      <c r="E3404">
        <v>3</v>
      </c>
      <c r="F3404" t="str">
        <f t="shared" si="212"/>
        <v>Value</v>
      </c>
      <c r="G3404" s="3" cm="1">
        <f t="array" ref="G3404">_xlfn.XLOOKUP(C3404 &amp; F3404,
         [1]unilever_price_limits!A:A &amp; [1]unilever_price_limits!B:B,
         [1]unilever_price_limits!C:C)</f>
        <v>15</v>
      </c>
      <c r="H3404" s="8">
        <f t="shared" si="213"/>
        <v>9.4529999999999994</v>
      </c>
      <c r="I3404" s="6">
        <f t="shared" si="214"/>
        <v>14.999999999999991</v>
      </c>
      <c r="J3404" t="str">
        <f t="shared" si="215"/>
        <v>OK</v>
      </c>
    </row>
    <row r="3405" spans="1:10" x14ac:dyDescent="0.2">
      <c r="A3405">
        <v>13404</v>
      </c>
      <c r="B3405" t="s">
        <v>7</v>
      </c>
      <c r="C3405" t="s">
        <v>11</v>
      </c>
      <c r="D3405" s="8">
        <v>4.3600000000000003</v>
      </c>
      <c r="E3405">
        <v>4</v>
      </c>
      <c r="F3405" t="str">
        <f t="shared" si="212"/>
        <v>Standard</v>
      </c>
      <c r="G3405" s="3" cm="1">
        <f t="array" ref="G3405">_xlfn.XLOOKUP(C3405 &amp; F3405,
         [1]unilever_price_limits!A:A &amp; [1]unilever_price_limits!B:B,
         [1]unilever_price_limits!C:C)</f>
        <v>25</v>
      </c>
      <c r="H3405" s="8">
        <f t="shared" si="213"/>
        <v>5.45</v>
      </c>
      <c r="I3405" s="6">
        <f t="shared" si="214"/>
        <v>25</v>
      </c>
      <c r="J3405" t="str">
        <f t="shared" si="215"/>
        <v>OK</v>
      </c>
    </row>
    <row r="3406" spans="1:10" x14ac:dyDescent="0.2">
      <c r="A3406">
        <v>13405</v>
      </c>
      <c r="B3406" t="s">
        <v>8</v>
      </c>
      <c r="C3406" t="s">
        <v>6</v>
      </c>
      <c r="D3406" s="8">
        <v>13.54</v>
      </c>
      <c r="E3406">
        <v>5</v>
      </c>
      <c r="F3406" t="str">
        <f t="shared" si="212"/>
        <v>Standard</v>
      </c>
      <c r="G3406" s="3" cm="1">
        <f t="array" ref="G3406">_xlfn.XLOOKUP(C3406 &amp; F3406,
         [1]unilever_price_limits!A:A &amp; [1]unilever_price_limits!B:B,
         [1]unilever_price_limits!C:C)</f>
        <v>28</v>
      </c>
      <c r="H3406" s="8">
        <f t="shared" si="213"/>
        <v>17.331199999999999</v>
      </c>
      <c r="I3406" s="6">
        <f t="shared" si="214"/>
        <v>28.000000000000004</v>
      </c>
      <c r="J3406" t="str">
        <f t="shared" si="215"/>
        <v>OK</v>
      </c>
    </row>
    <row r="3407" spans="1:10" x14ac:dyDescent="0.2">
      <c r="A3407">
        <v>13406</v>
      </c>
      <c r="B3407" t="s">
        <v>5</v>
      </c>
      <c r="C3407" t="s">
        <v>9</v>
      </c>
      <c r="D3407" s="8">
        <v>13.95</v>
      </c>
      <c r="E3407">
        <v>7</v>
      </c>
      <c r="F3407" t="str">
        <f t="shared" si="212"/>
        <v>Standard</v>
      </c>
      <c r="G3407" s="3" cm="1">
        <f t="array" ref="G3407">_xlfn.XLOOKUP(C3407 &amp; F3407,
         [1]unilever_price_limits!A:A &amp; [1]unilever_price_limits!B:B,
         [1]unilever_price_limits!C:C)</f>
        <v>30</v>
      </c>
      <c r="H3407" s="8">
        <f t="shared" si="213"/>
        <v>18.134999999999998</v>
      </c>
      <c r="I3407" s="6">
        <f t="shared" si="214"/>
        <v>29.999999999999982</v>
      </c>
      <c r="J3407" t="str">
        <f t="shared" si="215"/>
        <v>OK</v>
      </c>
    </row>
    <row r="3408" spans="1:10" x14ac:dyDescent="0.2">
      <c r="A3408">
        <v>13407</v>
      </c>
      <c r="B3408" t="s">
        <v>10</v>
      </c>
      <c r="C3408" t="s">
        <v>9</v>
      </c>
      <c r="D3408" s="8">
        <v>6.34</v>
      </c>
      <c r="E3408">
        <v>9</v>
      </c>
      <c r="F3408" t="str">
        <f t="shared" si="212"/>
        <v>Premium</v>
      </c>
      <c r="G3408" s="3" cm="1">
        <f t="array" ref="G3408">_xlfn.XLOOKUP(C3408 &amp; F3408,
         [1]unilever_price_limits!A:A &amp; [1]unilever_price_limits!B:B,
         [1]unilever_price_limits!C:C)</f>
        <v>60</v>
      </c>
      <c r="H3408" s="8">
        <f t="shared" si="213"/>
        <v>10.144</v>
      </c>
      <c r="I3408" s="6">
        <f t="shared" si="214"/>
        <v>60.000000000000007</v>
      </c>
      <c r="J3408" t="str">
        <f t="shared" si="215"/>
        <v>OK</v>
      </c>
    </row>
    <row r="3409" spans="1:10" x14ac:dyDescent="0.2">
      <c r="A3409">
        <v>13408</v>
      </c>
      <c r="B3409" t="s">
        <v>7</v>
      </c>
      <c r="C3409" t="s">
        <v>11</v>
      </c>
      <c r="D3409" s="8">
        <v>13.41</v>
      </c>
      <c r="E3409">
        <v>2</v>
      </c>
      <c r="F3409" t="str">
        <f t="shared" si="212"/>
        <v>Value</v>
      </c>
      <c r="G3409" s="3" cm="1">
        <f t="array" ref="G3409">_xlfn.XLOOKUP(C3409 &amp; F3409,
         [1]unilever_price_limits!A:A &amp; [1]unilever_price_limits!B:B,
         [1]unilever_price_limits!C:C)</f>
        <v>10</v>
      </c>
      <c r="H3409" s="8">
        <f t="shared" si="213"/>
        <v>14.751000000000001</v>
      </c>
      <c r="I3409" s="6">
        <f t="shared" si="214"/>
        <v>10.000000000000009</v>
      </c>
      <c r="J3409" t="str">
        <f t="shared" si="215"/>
        <v>OK</v>
      </c>
    </row>
    <row r="3410" spans="1:10" x14ac:dyDescent="0.2">
      <c r="A3410">
        <v>13409</v>
      </c>
      <c r="B3410" t="s">
        <v>10</v>
      </c>
      <c r="C3410" t="s">
        <v>11</v>
      </c>
      <c r="D3410" s="8">
        <v>6.07</v>
      </c>
      <c r="E3410">
        <v>8</v>
      </c>
      <c r="F3410" t="str">
        <f t="shared" si="212"/>
        <v>Premium</v>
      </c>
      <c r="G3410" s="3" cm="1">
        <f t="array" ref="G3410">_xlfn.XLOOKUP(C3410 &amp; F3410,
         [1]unilever_price_limits!A:A &amp; [1]unilever_price_limits!B:B,
         [1]unilever_price_limits!C:C)</f>
        <v>50</v>
      </c>
      <c r="H3410" s="8">
        <f t="shared" si="213"/>
        <v>9.1050000000000004</v>
      </c>
      <c r="I3410" s="6">
        <f t="shared" si="214"/>
        <v>50</v>
      </c>
      <c r="J3410" t="str">
        <f t="shared" si="215"/>
        <v>OK</v>
      </c>
    </row>
    <row r="3411" spans="1:10" x14ac:dyDescent="0.2">
      <c r="A3411">
        <v>13410</v>
      </c>
      <c r="B3411" t="s">
        <v>8</v>
      </c>
      <c r="C3411" t="s">
        <v>9</v>
      </c>
      <c r="D3411" s="8">
        <v>11.18</v>
      </c>
      <c r="E3411">
        <v>3</v>
      </c>
      <c r="F3411" t="str">
        <f t="shared" si="212"/>
        <v>Value</v>
      </c>
      <c r="G3411" s="3" cm="1">
        <f t="array" ref="G3411">_xlfn.XLOOKUP(C3411 &amp; F3411,
         [1]unilever_price_limits!A:A &amp; [1]unilever_price_limits!B:B,
         [1]unilever_price_limits!C:C)</f>
        <v>15</v>
      </c>
      <c r="H3411" s="8">
        <f t="shared" si="213"/>
        <v>12.856999999999999</v>
      </c>
      <c r="I3411" s="6">
        <f t="shared" si="214"/>
        <v>14.999999999999991</v>
      </c>
      <c r="J3411" t="str">
        <f t="shared" si="215"/>
        <v>OK</v>
      </c>
    </row>
    <row r="3412" spans="1:10" x14ac:dyDescent="0.2">
      <c r="A3412">
        <v>13411</v>
      </c>
      <c r="B3412" t="s">
        <v>7</v>
      </c>
      <c r="C3412" t="s">
        <v>6</v>
      </c>
      <c r="D3412" s="8">
        <v>7.4</v>
      </c>
      <c r="E3412">
        <v>9</v>
      </c>
      <c r="F3412" t="str">
        <f t="shared" si="212"/>
        <v>Premium</v>
      </c>
      <c r="G3412" s="3" cm="1">
        <f t="array" ref="G3412">_xlfn.XLOOKUP(C3412 &amp; F3412,
         [1]unilever_price_limits!A:A &amp; [1]unilever_price_limits!B:B,
         [1]unilever_price_limits!C:C)</f>
        <v>55</v>
      </c>
      <c r="H3412" s="8">
        <f t="shared" si="213"/>
        <v>11.47</v>
      </c>
      <c r="I3412" s="6">
        <f t="shared" si="214"/>
        <v>55.000000000000007</v>
      </c>
      <c r="J3412" t="str">
        <f t="shared" si="215"/>
        <v>OK</v>
      </c>
    </row>
    <row r="3413" spans="1:10" x14ac:dyDescent="0.2">
      <c r="A3413">
        <v>13412</v>
      </c>
      <c r="B3413" t="s">
        <v>5</v>
      </c>
      <c r="C3413" t="s">
        <v>6</v>
      </c>
      <c r="D3413" s="8">
        <v>2.2799999999999998</v>
      </c>
      <c r="E3413">
        <v>10</v>
      </c>
      <c r="F3413" t="str">
        <f t="shared" si="212"/>
        <v>Premium</v>
      </c>
      <c r="G3413" s="3" cm="1">
        <f t="array" ref="G3413">_xlfn.XLOOKUP(C3413 &amp; F3413,
         [1]unilever_price_limits!A:A &amp; [1]unilever_price_limits!B:B,
         [1]unilever_price_limits!C:C)</f>
        <v>55</v>
      </c>
      <c r="H3413" s="8">
        <f t="shared" si="213"/>
        <v>3.5339999999999998</v>
      </c>
      <c r="I3413" s="6">
        <f t="shared" si="214"/>
        <v>55.000000000000007</v>
      </c>
      <c r="J3413" t="str">
        <f t="shared" si="215"/>
        <v>OK</v>
      </c>
    </row>
    <row r="3414" spans="1:10" x14ac:dyDescent="0.2">
      <c r="A3414">
        <v>13413</v>
      </c>
      <c r="B3414" t="s">
        <v>10</v>
      </c>
      <c r="C3414" t="s">
        <v>11</v>
      </c>
      <c r="D3414" s="8">
        <v>13.96</v>
      </c>
      <c r="E3414">
        <v>4</v>
      </c>
      <c r="F3414" t="str">
        <f t="shared" si="212"/>
        <v>Standard</v>
      </c>
      <c r="G3414" s="3" cm="1">
        <f t="array" ref="G3414">_xlfn.XLOOKUP(C3414 &amp; F3414,
         [1]unilever_price_limits!A:A &amp; [1]unilever_price_limits!B:B,
         [1]unilever_price_limits!C:C)</f>
        <v>25</v>
      </c>
      <c r="H3414" s="8">
        <f t="shared" si="213"/>
        <v>17.450000000000003</v>
      </c>
      <c r="I3414" s="6">
        <f t="shared" si="214"/>
        <v>25.000000000000021</v>
      </c>
      <c r="J3414" t="str">
        <f t="shared" si="215"/>
        <v>OK</v>
      </c>
    </row>
    <row r="3415" spans="1:10" x14ac:dyDescent="0.2">
      <c r="A3415">
        <v>13414</v>
      </c>
      <c r="B3415" t="s">
        <v>7</v>
      </c>
      <c r="C3415" t="s">
        <v>6</v>
      </c>
      <c r="D3415" s="8">
        <v>7.08</v>
      </c>
      <c r="E3415">
        <v>3</v>
      </c>
      <c r="F3415" t="str">
        <f t="shared" si="212"/>
        <v>Value</v>
      </c>
      <c r="G3415" s="3" cm="1">
        <f t="array" ref="G3415">_xlfn.XLOOKUP(C3415 &amp; F3415,
         [1]unilever_price_limits!A:A &amp; [1]unilever_price_limits!B:B,
         [1]unilever_price_limits!C:C)</f>
        <v>12</v>
      </c>
      <c r="H3415" s="8">
        <f t="shared" si="213"/>
        <v>7.9296000000000006</v>
      </c>
      <c r="I3415" s="6">
        <f t="shared" si="214"/>
        <v>12.000000000000011</v>
      </c>
      <c r="J3415" t="str">
        <f t="shared" si="215"/>
        <v>OK</v>
      </c>
    </row>
    <row r="3416" spans="1:10" x14ac:dyDescent="0.2">
      <c r="A3416">
        <v>13415</v>
      </c>
      <c r="B3416" t="s">
        <v>8</v>
      </c>
      <c r="C3416" t="s">
        <v>6</v>
      </c>
      <c r="D3416" s="8">
        <v>11.15</v>
      </c>
      <c r="E3416">
        <v>10</v>
      </c>
      <c r="F3416" t="str">
        <f t="shared" si="212"/>
        <v>Premium</v>
      </c>
      <c r="G3416" s="3" cm="1">
        <f t="array" ref="G3416">_xlfn.XLOOKUP(C3416 &amp; F3416,
         [1]unilever_price_limits!A:A &amp; [1]unilever_price_limits!B:B,
         [1]unilever_price_limits!C:C)</f>
        <v>55</v>
      </c>
      <c r="H3416" s="8">
        <f t="shared" si="213"/>
        <v>17.282500000000002</v>
      </c>
      <c r="I3416" s="6">
        <f t="shared" si="214"/>
        <v>55.000000000000028</v>
      </c>
      <c r="J3416" t="str">
        <f t="shared" si="215"/>
        <v>OK</v>
      </c>
    </row>
    <row r="3417" spans="1:10" x14ac:dyDescent="0.2">
      <c r="A3417">
        <v>13416</v>
      </c>
      <c r="B3417" t="s">
        <v>5</v>
      </c>
      <c r="C3417" t="s">
        <v>11</v>
      </c>
      <c r="D3417" s="8">
        <v>5.82</v>
      </c>
      <c r="E3417">
        <v>6</v>
      </c>
      <c r="F3417" t="str">
        <f t="shared" si="212"/>
        <v>Standard</v>
      </c>
      <c r="G3417" s="3" cm="1">
        <f t="array" ref="G3417">_xlfn.XLOOKUP(C3417 &amp; F3417,
         [1]unilever_price_limits!A:A &amp; [1]unilever_price_limits!B:B,
         [1]unilever_price_limits!C:C)</f>
        <v>25</v>
      </c>
      <c r="H3417" s="8">
        <f t="shared" si="213"/>
        <v>7.2750000000000004</v>
      </c>
      <c r="I3417" s="6">
        <f t="shared" si="214"/>
        <v>25</v>
      </c>
      <c r="J3417" t="str">
        <f t="shared" si="215"/>
        <v>OK</v>
      </c>
    </row>
    <row r="3418" spans="1:10" x14ac:dyDescent="0.2">
      <c r="A3418">
        <v>13417</v>
      </c>
      <c r="B3418" t="s">
        <v>10</v>
      </c>
      <c r="C3418" t="s">
        <v>6</v>
      </c>
      <c r="D3418" s="8">
        <v>0.77</v>
      </c>
      <c r="E3418">
        <v>10</v>
      </c>
      <c r="F3418" t="str">
        <f t="shared" si="212"/>
        <v>Premium</v>
      </c>
      <c r="G3418" s="3" cm="1">
        <f t="array" ref="G3418">_xlfn.XLOOKUP(C3418 &amp; F3418,
         [1]unilever_price_limits!A:A &amp; [1]unilever_price_limits!B:B,
         [1]unilever_price_limits!C:C)</f>
        <v>55</v>
      </c>
      <c r="H3418" s="8">
        <f t="shared" si="213"/>
        <v>1.1935</v>
      </c>
      <c r="I3418" s="6">
        <f t="shared" si="214"/>
        <v>55.000000000000007</v>
      </c>
      <c r="J3418" t="str">
        <f t="shared" si="215"/>
        <v>OK</v>
      </c>
    </row>
    <row r="3419" spans="1:10" x14ac:dyDescent="0.2">
      <c r="A3419">
        <v>13418</v>
      </c>
      <c r="B3419" t="s">
        <v>10</v>
      </c>
      <c r="C3419" t="s">
        <v>11</v>
      </c>
      <c r="D3419" s="8">
        <v>1.96</v>
      </c>
      <c r="E3419">
        <v>9</v>
      </c>
      <c r="F3419" t="str">
        <f t="shared" si="212"/>
        <v>Premium</v>
      </c>
      <c r="G3419" s="3" cm="1">
        <f t="array" ref="G3419">_xlfn.XLOOKUP(C3419 &amp; F3419,
         [1]unilever_price_limits!A:A &amp; [1]unilever_price_limits!B:B,
         [1]unilever_price_limits!C:C)</f>
        <v>50</v>
      </c>
      <c r="H3419" s="8">
        <f t="shared" si="213"/>
        <v>2.94</v>
      </c>
      <c r="I3419" s="6">
        <f t="shared" si="214"/>
        <v>50</v>
      </c>
      <c r="J3419" t="str">
        <f t="shared" si="215"/>
        <v>OK</v>
      </c>
    </row>
    <row r="3420" spans="1:10" x14ac:dyDescent="0.2">
      <c r="A3420">
        <v>13419</v>
      </c>
      <c r="B3420" t="s">
        <v>7</v>
      </c>
      <c r="C3420" t="s">
        <v>9</v>
      </c>
      <c r="D3420" s="8">
        <v>7.7</v>
      </c>
      <c r="E3420">
        <v>7</v>
      </c>
      <c r="F3420" t="str">
        <f t="shared" si="212"/>
        <v>Standard</v>
      </c>
      <c r="G3420" s="3" cm="1">
        <f t="array" ref="G3420">_xlfn.XLOOKUP(C3420 &amp; F3420,
         [1]unilever_price_limits!A:A &amp; [1]unilever_price_limits!B:B,
         [1]unilever_price_limits!C:C)</f>
        <v>30</v>
      </c>
      <c r="H3420" s="8">
        <f t="shared" si="213"/>
        <v>10.01</v>
      </c>
      <c r="I3420" s="6">
        <f t="shared" si="214"/>
        <v>30.000000000000004</v>
      </c>
      <c r="J3420" t="str">
        <f t="shared" si="215"/>
        <v>OK</v>
      </c>
    </row>
    <row r="3421" spans="1:10" x14ac:dyDescent="0.2">
      <c r="A3421">
        <v>13420</v>
      </c>
      <c r="B3421" t="s">
        <v>5</v>
      </c>
      <c r="C3421" t="s">
        <v>11</v>
      </c>
      <c r="D3421" s="8">
        <v>10.5</v>
      </c>
      <c r="E3421">
        <v>4</v>
      </c>
      <c r="F3421" t="str">
        <f t="shared" si="212"/>
        <v>Standard</v>
      </c>
      <c r="G3421" s="3" cm="1">
        <f t="array" ref="G3421">_xlfn.XLOOKUP(C3421 &amp; F3421,
         [1]unilever_price_limits!A:A &amp; [1]unilever_price_limits!B:B,
         [1]unilever_price_limits!C:C)</f>
        <v>25</v>
      </c>
      <c r="H3421" s="8">
        <f t="shared" si="213"/>
        <v>13.125</v>
      </c>
      <c r="I3421" s="6">
        <f t="shared" si="214"/>
        <v>25</v>
      </c>
      <c r="J3421" t="str">
        <f t="shared" si="215"/>
        <v>OK</v>
      </c>
    </row>
    <row r="3422" spans="1:10" x14ac:dyDescent="0.2">
      <c r="A3422">
        <v>13421</v>
      </c>
      <c r="B3422" t="s">
        <v>5</v>
      </c>
      <c r="C3422" t="s">
        <v>9</v>
      </c>
      <c r="D3422" s="8">
        <v>5.35</v>
      </c>
      <c r="E3422">
        <v>3</v>
      </c>
      <c r="F3422" t="str">
        <f t="shared" si="212"/>
        <v>Value</v>
      </c>
      <c r="G3422" s="3" cm="1">
        <f t="array" ref="G3422">_xlfn.XLOOKUP(C3422 &amp; F3422,
         [1]unilever_price_limits!A:A &amp; [1]unilever_price_limits!B:B,
         [1]unilever_price_limits!C:C)</f>
        <v>15</v>
      </c>
      <c r="H3422" s="8">
        <f t="shared" si="213"/>
        <v>6.152499999999999</v>
      </c>
      <c r="I3422" s="6">
        <f t="shared" si="214"/>
        <v>14.999999999999991</v>
      </c>
      <c r="J3422" t="str">
        <f t="shared" si="215"/>
        <v>OK</v>
      </c>
    </row>
    <row r="3423" spans="1:10" x14ac:dyDescent="0.2">
      <c r="A3423">
        <v>13422</v>
      </c>
      <c r="B3423" t="s">
        <v>5</v>
      </c>
      <c r="C3423" t="s">
        <v>9</v>
      </c>
      <c r="D3423" s="8">
        <v>10.58</v>
      </c>
      <c r="E3423">
        <v>10</v>
      </c>
      <c r="F3423" t="str">
        <f t="shared" si="212"/>
        <v>Premium</v>
      </c>
      <c r="G3423" s="3" cm="1">
        <f t="array" ref="G3423">_xlfn.XLOOKUP(C3423 &amp; F3423,
         [1]unilever_price_limits!A:A &amp; [1]unilever_price_limits!B:B,
         [1]unilever_price_limits!C:C)</f>
        <v>60</v>
      </c>
      <c r="H3423" s="8">
        <f t="shared" si="213"/>
        <v>16.928000000000001</v>
      </c>
      <c r="I3423" s="6">
        <f t="shared" si="214"/>
        <v>60.000000000000007</v>
      </c>
      <c r="J3423" t="str">
        <f t="shared" si="215"/>
        <v>OK</v>
      </c>
    </row>
    <row r="3424" spans="1:10" x14ac:dyDescent="0.2">
      <c r="A3424">
        <v>13423</v>
      </c>
      <c r="B3424" t="s">
        <v>5</v>
      </c>
      <c r="C3424" t="s">
        <v>6</v>
      </c>
      <c r="D3424" s="8">
        <v>10.63</v>
      </c>
      <c r="E3424">
        <v>4</v>
      </c>
      <c r="F3424" t="str">
        <f t="shared" si="212"/>
        <v>Standard</v>
      </c>
      <c r="G3424" s="3" cm="1">
        <f t="array" ref="G3424">_xlfn.XLOOKUP(C3424 &amp; F3424,
         [1]unilever_price_limits!A:A &amp; [1]unilever_price_limits!B:B,
         [1]unilever_price_limits!C:C)</f>
        <v>28</v>
      </c>
      <c r="H3424" s="8">
        <f t="shared" si="213"/>
        <v>13.606400000000001</v>
      </c>
      <c r="I3424" s="6">
        <f t="shared" si="214"/>
        <v>28.000000000000004</v>
      </c>
      <c r="J3424" t="str">
        <f t="shared" si="215"/>
        <v>OK</v>
      </c>
    </row>
    <row r="3425" spans="1:10" x14ac:dyDescent="0.2">
      <c r="A3425">
        <v>13424</v>
      </c>
      <c r="B3425" t="s">
        <v>8</v>
      </c>
      <c r="C3425" t="s">
        <v>6</v>
      </c>
      <c r="D3425" s="8">
        <v>10.71</v>
      </c>
      <c r="E3425">
        <v>3</v>
      </c>
      <c r="F3425" t="str">
        <f t="shared" si="212"/>
        <v>Value</v>
      </c>
      <c r="G3425" s="3" cm="1">
        <f t="array" ref="G3425">_xlfn.XLOOKUP(C3425 &amp; F3425,
         [1]unilever_price_limits!A:A &amp; [1]unilever_price_limits!B:B,
         [1]unilever_price_limits!C:C)</f>
        <v>12</v>
      </c>
      <c r="H3425" s="8">
        <f t="shared" si="213"/>
        <v>11.995200000000002</v>
      </c>
      <c r="I3425" s="6">
        <f t="shared" si="214"/>
        <v>12.000000000000011</v>
      </c>
      <c r="J3425" t="str">
        <f t="shared" si="215"/>
        <v>OK</v>
      </c>
    </row>
    <row r="3426" spans="1:10" x14ac:dyDescent="0.2">
      <c r="A3426">
        <v>13425</v>
      </c>
      <c r="B3426" t="s">
        <v>5</v>
      </c>
      <c r="C3426" t="s">
        <v>6</v>
      </c>
      <c r="D3426" s="8">
        <v>7.64</v>
      </c>
      <c r="E3426">
        <v>3</v>
      </c>
      <c r="F3426" t="str">
        <f t="shared" si="212"/>
        <v>Value</v>
      </c>
      <c r="G3426" s="3" cm="1">
        <f t="array" ref="G3426">_xlfn.XLOOKUP(C3426 &amp; F3426,
         [1]unilever_price_limits!A:A &amp; [1]unilever_price_limits!B:B,
         [1]unilever_price_limits!C:C)</f>
        <v>12</v>
      </c>
      <c r="H3426" s="8">
        <f t="shared" si="213"/>
        <v>8.5568000000000008</v>
      </c>
      <c r="I3426" s="6">
        <f t="shared" si="214"/>
        <v>12.000000000000011</v>
      </c>
      <c r="J3426" t="str">
        <f t="shared" si="215"/>
        <v>OK</v>
      </c>
    </row>
    <row r="3427" spans="1:10" x14ac:dyDescent="0.2">
      <c r="A3427">
        <v>13426</v>
      </c>
      <c r="B3427" t="s">
        <v>10</v>
      </c>
      <c r="C3427" t="s">
        <v>11</v>
      </c>
      <c r="D3427" s="8">
        <v>13.77</v>
      </c>
      <c r="E3427">
        <v>9</v>
      </c>
      <c r="F3427" t="str">
        <f t="shared" si="212"/>
        <v>Premium</v>
      </c>
      <c r="G3427" s="3" cm="1">
        <f t="array" ref="G3427">_xlfn.XLOOKUP(C3427 &amp; F3427,
         [1]unilever_price_limits!A:A &amp; [1]unilever_price_limits!B:B,
         [1]unilever_price_limits!C:C)</f>
        <v>50</v>
      </c>
      <c r="H3427" s="8">
        <f t="shared" si="213"/>
        <v>20.655000000000001</v>
      </c>
      <c r="I3427" s="6">
        <f t="shared" si="214"/>
        <v>50.000000000000021</v>
      </c>
      <c r="J3427" t="str">
        <f t="shared" si="215"/>
        <v>OK</v>
      </c>
    </row>
    <row r="3428" spans="1:10" x14ac:dyDescent="0.2">
      <c r="A3428">
        <v>13427</v>
      </c>
      <c r="B3428" t="s">
        <v>10</v>
      </c>
      <c r="C3428" t="s">
        <v>6</v>
      </c>
      <c r="D3428" s="8">
        <v>7.59</v>
      </c>
      <c r="E3428">
        <v>4</v>
      </c>
      <c r="F3428" t="str">
        <f t="shared" si="212"/>
        <v>Standard</v>
      </c>
      <c r="G3428" s="3" cm="1">
        <f t="array" ref="G3428">_xlfn.XLOOKUP(C3428 &amp; F3428,
         [1]unilever_price_limits!A:A &amp; [1]unilever_price_limits!B:B,
         [1]unilever_price_limits!C:C)</f>
        <v>28</v>
      </c>
      <c r="H3428" s="8">
        <f t="shared" si="213"/>
        <v>9.7151999999999994</v>
      </c>
      <c r="I3428" s="6">
        <f t="shared" si="214"/>
        <v>28.000000000000004</v>
      </c>
      <c r="J3428" t="str">
        <f t="shared" si="215"/>
        <v>OK</v>
      </c>
    </row>
    <row r="3429" spans="1:10" x14ac:dyDescent="0.2">
      <c r="A3429">
        <v>13428</v>
      </c>
      <c r="B3429" t="s">
        <v>8</v>
      </c>
      <c r="C3429" t="s">
        <v>9</v>
      </c>
      <c r="D3429" s="8">
        <v>7.03</v>
      </c>
      <c r="E3429">
        <v>9</v>
      </c>
      <c r="F3429" t="str">
        <f t="shared" si="212"/>
        <v>Premium</v>
      </c>
      <c r="G3429" s="3" cm="1">
        <f t="array" ref="G3429">_xlfn.XLOOKUP(C3429 &amp; F3429,
         [1]unilever_price_limits!A:A &amp; [1]unilever_price_limits!B:B,
         [1]unilever_price_limits!C:C)</f>
        <v>60</v>
      </c>
      <c r="H3429" s="8">
        <f t="shared" si="213"/>
        <v>11.248000000000001</v>
      </c>
      <c r="I3429" s="6">
        <f t="shared" si="214"/>
        <v>60.000000000000007</v>
      </c>
      <c r="J3429" t="str">
        <f t="shared" si="215"/>
        <v>OK</v>
      </c>
    </row>
    <row r="3430" spans="1:10" x14ac:dyDescent="0.2">
      <c r="A3430">
        <v>13429</v>
      </c>
      <c r="B3430" t="s">
        <v>10</v>
      </c>
      <c r="C3430" t="s">
        <v>6</v>
      </c>
      <c r="D3430" s="8">
        <v>3.39</v>
      </c>
      <c r="E3430">
        <v>10</v>
      </c>
      <c r="F3430" t="str">
        <f t="shared" si="212"/>
        <v>Premium</v>
      </c>
      <c r="G3430" s="3" cm="1">
        <f t="array" ref="G3430">_xlfn.XLOOKUP(C3430 &amp; F3430,
         [1]unilever_price_limits!A:A &amp; [1]unilever_price_limits!B:B,
         [1]unilever_price_limits!C:C)</f>
        <v>55</v>
      </c>
      <c r="H3430" s="8">
        <f t="shared" si="213"/>
        <v>5.2545000000000002</v>
      </c>
      <c r="I3430" s="6">
        <f t="shared" si="214"/>
        <v>55.000000000000007</v>
      </c>
      <c r="J3430" t="str">
        <f t="shared" si="215"/>
        <v>OK</v>
      </c>
    </row>
    <row r="3431" spans="1:10" x14ac:dyDescent="0.2">
      <c r="A3431">
        <v>13430</v>
      </c>
      <c r="B3431" t="s">
        <v>10</v>
      </c>
      <c r="C3431" t="s">
        <v>6</v>
      </c>
      <c r="D3431" s="8">
        <v>4.96</v>
      </c>
      <c r="E3431">
        <v>5</v>
      </c>
      <c r="F3431" t="str">
        <f t="shared" si="212"/>
        <v>Standard</v>
      </c>
      <c r="G3431" s="3" cm="1">
        <f t="array" ref="G3431">_xlfn.XLOOKUP(C3431 &amp; F3431,
         [1]unilever_price_limits!A:A &amp; [1]unilever_price_limits!B:B,
         [1]unilever_price_limits!C:C)</f>
        <v>28</v>
      </c>
      <c r="H3431" s="8">
        <f t="shared" si="213"/>
        <v>6.3487999999999998</v>
      </c>
      <c r="I3431" s="6">
        <f t="shared" si="214"/>
        <v>28.000000000000004</v>
      </c>
      <c r="J3431" t="str">
        <f t="shared" si="215"/>
        <v>OK</v>
      </c>
    </row>
    <row r="3432" spans="1:10" x14ac:dyDescent="0.2">
      <c r="A3432">
        <v>13431</v>
      </c>
      <c r="B3432" t="s">
        <v>5</v>
      </c>
      <c r="C3432" t="s">
        <v>11</v>
      </c>
      <c r="D3432" s="8">
        <v>1.1100000000000001</v>
      </c>
      <c r="E3432">
        <v>7</v>
      </c>
      <c r="F3432" t="str">
        <f t="shared" si="212"/>
        <v>Standard</v>
      </c>
      <c r="G3432" s="3" cm="1">
        <f t="array" ref="G3432">_xlfn.XLOOKUP(C3432 &amp; F3432,
         [1]unilever_price_limits!A:A &amp; [1]unilever_price_limits!B:B,
         [1]unilever_price_limits!C:C)</f>
        <v>25</v>
      </c>
      <c r="H3432" s="8">
        <f t="shared" si="213"/>
        <v>1.3875000000000002</v>
      </c>
      <c r="I3432" s="6">
        <f t="shared" si="214"/>
        <v>25</v>
      </c>
      <c r="J3432" t="str">
        <f t="shared" si="215"/>
        <v>OK</v>
      </c>
    </row>
    <row r="3433" spans="1:10" x14ac:dyDescent="0.2">
      <c r="A3433">
        <v>13432</v>
      </c>
      <c r="B3433" t="s">
        <v>10</v>
      </c>
      <c r="C3433" t="s">
        <v>11</v>
      </c>
      <c r="D3433" s="8">
        <v>9.69</v>
      </c>
      <c r="E3433">
        <v>5</v>
      </c>
      <c r="F3433" t="str">
        <f t="shared" si="212"/>
        <v>Standard</v>
      </c>
      <c r="G3433" s="3" cm="1">
        <f t="array" ref="G3433">_xlfn.XLOOKUP(C3433 &amp; F3433,
         [1]unilever_price_limits!A:A &amp; [1]unilever_price_limits!B:B,
         [1]unilever_price_limits!C:C)</f>
        <v>25</v>
      </c>
      <c r="H3433" s="8">
        <f t="shared" si="213"/>
        <v>12.112499999999999</v>
      </c>
      <c r="I3433" s="6">
        <f t="shared" si="214"/>
        <v>25</v>
      </c>
      <c r="J3433" t="str">
        <f t="shared" si="215"/>
        <v>OK</v>
      </c>
    </row>
    <row r="3434" spans="1:10" x14ac:dyDescent="0.2">
      <c r="A3434">
        <v>13433</v>
      </c>
      <c r="B3434" t="s">
        <v>8</v>
      </c>
      <c r="C3434" t="s">
        <v>9</v>
      </c>
      <c r="D3434" s="8">
        <v>4.0999999999999996</v>
      </c>
      <c r="E3434">
        <v>1</v>
      </c>
      <c r="F3434" t="str">
        <f t="shared" si="212"/>
        <v>Value</v>
      </c>
      <c r="G3434" s="3" cm="1">
        <f t="array" ref="G3434">_xlfn.XLOOKUP(C3434 &amp; F3434,
         [1]unilever_price_limits!A:A &amp; [1]unilever_price_limits!B:B,
         [1]unilever_price_limits!C:C)</f>
        <v>15</v>
      </c>
      <c r="H3434" s="8">
        <f t="shared" si="213"/>
        <v>4.714999999999999</v>
      </c>
      <c r="I3434" s="6">
        <f t="shared" si="214"/>
        <v>14.999999999999991</v>
      </c>
      <c r="J3434" t="str">
        <f t="shared" si="215"/>
        <v>OK</v>
      </c>
    </row>
    <row r="3435" spans="1:10" x14ac:dyDescent="0.2">
      <c r="A3435">
        <v>13434</v>
      </c>
      <c r="B3435" t="s">
        <v>5</v>
      </c>
      <c r="C3435" t="s">
        <v>11</v>
      </c>
      <c r="D3435" s="8">
        <v>4.91</v>
      </c>
      <c r="E3435">
        <v>2</v>
      </c>
      <c r="F3435" t="str">
        <f t="shared" si="212"/>
        <v>Value</v>
      </c>
      <c r="G3435" s="3" cm="1">
        <f t="array" ref="G3435">_xlfn.XLOOKUP(C3435 &amp; F3435,
         [1]unilever_price_limits!A:A &amp; [1]unilever_price_limits!B:B,
         [1]unilever_price_limits!C:C)</f>
        <v>10</v>
      </c>
      <c r="H3435" s="8">
        <f t="shared" si="213"/>
        <v>5.4010000000000007</v>
      </c>
      <c r="I3435" s="6">
        <f t="shared" si="214"/>
        <v>10.000000000000009</v>
      </c>
      <c r="J3435" t="str">
        <f t="shared" si="215"/>
        <v>OK</v>
      </c>
    </row>
    <row r="3436" spans="1:10" x14ac:dyDescent="0.2">
      <c r="A3436">
        <v>13435</v>
      </c>
      <c r="B3436" t="s">
        <v>7</v>
      </c>
      <c r="C3436" t="s">
        <v>6</v>
      </c>
      <c r="D3436" s="8">
        <v>11.68</v>
      </c>
      <c r="E3436">
        <v>5</v>
      </c>
      <c r="F3436" t="str">
        <f t="shared" si="212"/>
        <v>Standard</v>
      </c>
      <c r="G3436" s="3" cm="1">
        <f t="array" ref="G3436">_xlfn.XLOOKUP(C3436 &amp; F3436,
         [1]unilever_price_limits!A:A &amp; [1]unilever_price_limits!B:B,
         [1]unilever_price_limits!C:C)</f>
        <v>28</v>
      </c>
      <c r="H3436" s="8">
        <f t="shared" si="213"/>
        <v>14.9504</v>
      </c>
      <c r="I3436" s="6">
        <f t="shared" si="214"/>
        <v>28.000000000000004</v>
      </c>
      <c r="J3436" t="str">
        <f t="shared" si="215"/>
        <v>OK</v>
      </c>
    </row>
    <row r="3437" spans="1:10" x14ac:dyDescent="0.2">
      <c r="A3437">
        <v>13436</v>
      </c>
      <c r="B3437" t="s">
        <v>5</v>
      </c>
      <c r="C3437" t="s">
        <v>11</v>
      </c>
      <c r="D3437" s="8">
        <v>5.24</v>
      </c>
      <c r="E3437">
        <v>6</v>
      </c>
      <c r="F3437" t="str">
        <f t="shared" si="212"/>
        <v>Standard</v>
      </c>
      <c r="G3437" s="3" cm="1">
        <f t="array" ref="G3437">_xlfn.XLOOKUP(C3437 &amp; F3437,
         [1]unilever_price_limits!A:A &amp; [1]unilever_price_limits!B:B,
         [1]unilever_price_limits!C:C)</f>
        <v>25</v>
      </c>
      <c r="H3437" s="8">
        <f t="shared" si="213"/>
        <v>6.5500000000000007</v>
      </c>
      <c r="I3437" s="6">
        <f t="shared" si="214"/>
        <v>25</v>
      </c>
      <c r="J3437" t="str">
        <f t="shared" si="215"/>
        <v>OK</v>
      </c>
    </row>
    <row r="3438" spans="1:10" x14ac:dyDescent="0.2">
      <c r="A3438">
        <v>13437</v>
      </c>
      <c r="B3438" t="s">
        <v>8</v>
      </c>
      <c r="C3438" t="s">
        <v>9</v>
      </c>
      <c r="D3438" s="8">
        <v>4.01</v>
      </c>
      <c r="E3438">
        <v>7</v>
      </c>
      <c r="F3438" t="str">
        <f t="shared" si="212"/>
        <v>Standard</v>
      </c>
      <c r="G3438" s="3" cm="1">
        <f t="array" ref="G3438">_xlfn.XLOOKUP(C3438 &amp; F3438,
         [1]unilever_price_limits!A:A &amp; [1]unilever_price_limits!B:B,
         [1]unilever_price_limits!C:C)</f>
        <v>30</v>
      </c>
      <c r="H3438" s="8">
        <f t="shared" si="213"/>
        <v>5.2130000000000001</v>
      </c>
      <c r="I3438" s="6">
        <f t="shared" si="214"/>
        <v>30.000000000000004</v>
      </c>
      <c r="J3438" t="str">
        <f t="shared" si="215"/>
        <v>OK</v>
      </c>
    </row>
    <row r="3439" spans="1:10" x14ac:dyDescent="0.2">
      <c r="A3439">
        <v>13438</v>
      </c>
      <c r="B3439" t="s">
        <v>5</v>
      </c>
      <c r="C3439" t="s">
        <v>6</v>
      </c>
      <c r="D3439" s="8">
        <v>2.95</v>
      </c>
      <c r="E3439">
        <v>2</v>
      </c>
      <c r="F3439" t="str">
        <f t="shared" si="212"/>
        <v>Value</v>
      </c>
      <c r="G3439" s="3" cm="1">
        <f t="array" ref="G3439">_xlfn.XLOOKUP(C3439 &amp; F3439,
         [1]unilever_price_limits!A:A &amp; [1]unilever_price_limits!B:B,
         [1]unilever_price_limits!C:C)</f>
        <v>12</v>
      </c>
      <c r="H3439" s="8">
        <f t="shared" si="213"/>
        <v>3.3040000000000007</v>
      </c>
      <c r="I3439" s="6">
        <f t="shared" si="214"/>
        <v>12.000000000000011</v>
      </c>
      <c r="J3439" t="str">
        <f t="shared" si="215"/>
        <v>OK</v>
      </c>
    </row>
    <row r="3440" spans="1:10" x14ac:dyDescent="0.2">
      <c r="A3440">
        <v>13439</v>
      </c>
      <c r="B3440" t="s">
        <v>5</v>
      </c>
      <c r="C3440" t="s">
        <v>9</v>
      </c>
      <c r="D3440" s="8">
        <v>11.74</v>
      </c>
      <c r="E3440">
        <v>10</v>
      </c>
      <c r="F3440" t="str">
        <f t="shared" si="212"/>
        <v>Premium</v>
      </c>
      <c r="G3440" s="3" cm="1">
        <f t="array" ref="G3440">_xlfn.XLOOKUP(C3440 &amp; F3440,
         [1]unilever_price_limits!A:A &amp; [1]unilever_price_limits!B:B,
         [1]unilever_price_limits!C:C)</f>
        <v>60</v>
      </c>
      <c r="H3440" s="8">
        <f t="shared" si="213"/>
        <v>18.784000000000002</v>
      </c>
      <c r="I3440" s="6">
        <f t="shared" si="214"/>
        <v>60.000000000000007</v>
      </c>
      <c r="J3440" t="str">
        <f t="shared" si="215"/>
        <v>OK</v>
      </c>
    </row>
    <row r="3441" spans="1:10" x14ac:dyDescent="0.2">
      <c r="A3441">
        <v>13440</v>
      </c>
      <c r="B3441" t="s">
        <v>8</v>
      </c>
      <c r="C3441" t="s">
        <v>11</v>
      </c>
      <c r="D3441" s="8">
        <v>2.38</v>
      </c>
      <c r="E3441">
        <v>9</v>
      </c>
      <c r="F3441" t="str">
        <f t="shared" si="212"/>
        <v>Premium</v>
      </c>
      <c r="G3441" s="3" cm="1">
        <f t="array" ref="G3441">_xlfn.XLOOKUP(C3441 &amp; F3441,
         [1]unilever_price_limits!A:A &amp; [1]unilever_price_limits!B:B,
         [1]unilever_price_limits!C:C)</f>
        <v>50</v>
      </c>
      <c r="H3441" s="8">
        <f t="shared" si="213"/>
        <v>3.57</v>
      </c>
      <c r="I3441" s="6">
        <f t="shared" si="214"/>
        <v>50</v>
      </c>
      <c r="J3441" t="str">
        <f t="shared" si="215"/>
        <v>OK</v>
      </c>
    </row>
    <row r="3442" spans="1:10" x14ac:dyDescent="0.2">
      <c r="A3442">
        <v>13441</v>
      </c>
      <c r="B3442" t="s">
        <v>5</v>
      </c>
      <c r="C3442" t="s">
        <v>11</v>
      </c>
      <c r="D3442" s="8">
        <v>7.08</v>
      </c>
      <c r="E3442">
        <v>6</v>
      </c>
      <c r="F3442" t="str">
        <f t="shared" si="212"/>
        <v>Standard</v>
      </c>
      <c r="G3442" s="3" cm="1">
        <f t="array" ref="G3442">_xlfn.XLOOKUP(C3442 &amp; F3442,
         [1]unilever_price_limits!A:A &amp; [1]unilever_price_limits!B:B,
         [1]unilever_price_limits!C:C)</f>
        <v>25</v>
      </c>
      <c r="H3442" s="8">
        <f t="shared" si="213"/>
        <v>8.85</v>
      </c>
      <c r="I3442" s="6">
        <f t="shared" si="214"/>
        <v>25</v>
      </c>
      <c r="J3442" t="str">
        <f t="shared" si="215"/>
        <v>OK</v>
      </c>
    </row>
    <row r="3443" spans="1:10" x14ac:dyDescent="0.2">
      <c r="A3443">
        <v>13442</v>
      </c>
      <c r="B3443" t="s">
        <v>8</v>
      </c>
      <c r="C3443" t="s">
        <v>9</v>
      </c>
      <c r="D3443" s="8">
        <v>7.85</v>
      </c>
      <c r="E3443">
        <v>2</v>
      </c>
      <c r="F3443" t="str">
        <f t="shared" si="212"/>
        <v>Value</v>
      </c>
      <c r="G3443" s="3" cm="1">
        <f t="array" ref="G3443">_xlfn.XLOOKUP(C3443 &amp; F3443,
         [1]unilever_price_limits!A:A &amp; [1]unilever_price_limits!B:B,
         [1]unilever_price_limits!C:C)</f>
        <v>15</v>
      </c>
      <c r="H3443" s="8">
        <f t="shared" si="213"/>
        <v>9.0274999999999981</v>
      </c>
      <c r="I3443" s="6">
        <f t="shared" si="214"/>
        <v>14.999999999999991</v>
      </c>
      <c r="J3443" t="str">
        <f t="shared" si="215"/>
        <v>OK</v>
      </c>
    </row>
    <row r="3444" spans="1:10" x14ac:dyDescent="0.2">
      <c r="A3444">
        <v>13443</v>
      </c>
      <c r="B3444" t="s">
        <v>8</v>
      </c>
      <c r="C3444" t="s">
        <v>6</v>
      </c>
      <c r="D3444" s="8">
        <v>10.47</v>
      </c>
      <c r="E3444">
        <v>2</v>
      </c>
      <c r="F3444" t="str">
        <f t="shared" si="212"/>
        <v>Value</v>
      </c>
      <c r="G3444" s="3" cm="1">
        <f t="array" ref="G3444">_xlfn.XLOOKUP(C3444 &amp; F3444,
         [1]unilever_price_limits!A:A &amp; [1]unilever_price_limits!B:B,
         [1]unilever_price_limits!C:C)</f>
        <v>12</v>
      </c>
      <c r="H3444" s="8">
        <f t="shared" si="213"/>
        <v>11.726400000000002</v>
      </c>
      <c r="I3444" s="6">
        <f t="shared" si="214"/>
        <v>12.000000000000011</v>
      </c>
      <c r="J3444" t="str">
        <f t="shared" si="215"/>
        <v>OK</v>
      </c>
    </row>
    <row r="3445" spans="1:10" x14ac:dyDescent="0.2">
      <c r="A3445">
        <v>13444</v>
      </c>
      <c r="B3445" t="s">
        <v>7</v>
      </c>
      <c r="C3445" t="s">
        <v>11</v>
      </c>
      <c r="D3445" s="8">
        <v>9.68</v>
      </c>
      <c r="E3445">
        <v>3</v>
      </c>
      <c r="F3445" t="str">
        <f t="shared" si="212"/>
        <v>Value</v>
      </c>
      <c r="G3445" s="3" cm="1">
        <f t="array" ref="G3445">_xlfn.XLOOKUP(C3445 &amp; F3445,
         [1]unilever_price_limits!A:A &amp; [1]unilever_price_limits!B:B,
         [1]unilever_price_limits!C:C)</f>
        <v>10</v>
      </c>
      <c r="H3445" s="8">
        <f t="shared" si="213"/>
        <v>10.648</v>
      </c>
      <c r="I3445" s="6">
        <f t="shared" si="214"/>
        <v>10.000000000000009</v>
      </c>
      <c r="J3445" t="str">
        <f t="shared" si="215"/>
        <v>OK</v>
      </c>
    </row>
    <row r="3446" spans="1:10" x14ac:dyDescent="0.2">
      <c r="A3446">
        <v>13445</v>
      </c>
      <c r="B3446" t="s">
        <v>10</v>
      </c>
      <c r="C3446" t="s">
        <v>11</v>
      </c>
      <c r="D3446" s="8">
        <v>12.26</v>
      </c>
      <c r="E3446">
        <v>1</v>
      </c>
      <c r="F3446" t="str">
        <f t="shared" si="212"/>
        <v>Value</v>
      </c>
      <c r="G3446" s="3" cm="1">
        <f t="array" ref="G3446">_xlfn.XLOOKUP(C3446 &amp; F3446,
         [1]unilever_price_limits!A:A &amp; [1]unilever_price_limits!B:B,
         [1]unilever_price_limits!C:C)</f>
        <v>10</v>
      </c>
      <c r="H3446" s="8">
        <f t="shared" si="213"/>
        <v>13.486000000000001</v>
      </c>
      <c r="I3446" s="6">
        <f t="shared" si="214"/>
        <v>10.000000000000009</v>
      </c>
      <c r="J3446" t="str">
        <f t="shared" si="215"/>
        <v>OK</v>
      </c>
    </row>
    <row r="3447" spans="1:10" x14ac:dyDescent="0.2">
      <c r="A3447">
        <v>13446</v>
      </c>
      <c r="B3447" t="s">
        <v>10</v>
      </c>
      <c r="C3447" t="s">
        <v>6</v>
      </c>
      <c r="D3447" s="8">
        <v>1.1499999999999999</v>
      </c>
      <c r="E3447">
        <v>9</v>
      </c>
      <c r="F3447" t="str">
        <f t="shared" si="212"/>
        <v>Premium</v>
      </c>
      <c r="G3447" s="3" cm="1">
        <f t="array" ref="G3447">_xlfn.XLOOKUP(C3447 &amp; F3447,
         [1]unilever_price_limits!A:A &amp; [1]unilever_price_limits!B:B,
         [1]unilever_price_limits!C:C)</f>
        <v>55</v>
      </c>
      <c r="H3447" s="8">
        <f t="shared" si="213"/>
        <v>1.7825</v>
      </c>
      <c r="I3447" s="6">
        <f t="shared" si="214"/>
        <v>55.000000000000007</v>
      </c>
      <c r="J3447" t="str">
        <f t="shared" si="215"/>
        <v>OK</v>
      </c>
    </row>
    <row r="3448" spans="1:10" x14ac:dyDescent="0.2">
      <c r="A3448">
        <v>13447</v>
      </c>
      <c r="B3448" t="s">
        <v>5</v>
      </c>
      <c r="C3448" t="s">
        <v>11</v>
      </c>
      <c r="D3448" s="8">
        <v>4.8</v>
      </c>
      <c r="E3448">
        <v>10</v>
      </c>
      <c r="F3448" t="str">
        <f t="shared" si="212"/>
        <v>Premium</v>
      </c>
      <c r="G3448" s="3" cm="1">
        <f t="array" ref="G3448">_xlfn.XLOOKUP(C3448 &amp; F3448,
         [1]unilever_price_limits!A:A &amp; [1]unilever_price_limits!B:B,
         [1]unilever_price_limits!C:C)</f>
        <v>50</v>
      </c>
      <c r="H3448" s="8">
        <f t="shared" si="213"/>
        <v>7.1999999999999993</v>
      </c>
      <c r="I3448" s="6">
        <f t="shared" si="214"/>
        <v>50</v>
      </c>
      <c r="J3448" t="str">
        <f t="shared" si="215"/>
        <v>OK</v>
      </c>
    </row>
    <row r="3449" spans="1:10" x14ac:dyDescent="0.2">
      <c r="A3449">
        <v>13448</v>
      </c>
      <c r="B3449" t="s">
        <v>5</v>
      </c>
      <c r="C3449" t="s">
        <v>9</v>
      </c>
      <c r="D3449" s="8">
        <v>4.5599999999999996</v>
      </c>
      <c r="E3449">
        <v>4</v>
      </c>
      <c r="F3449" t="str">
        <f t="shared" si="212"/>
        <v>Standard</v>
      </c>
      <c r="G3449" s="3" cm="1">
        <f t="array" ref="G3449">_xlfn.XLOOKUP(C3449 &amp; F3449,
         [1]unilever_price_limits!A:A &amp; [1]unilever_price_limits!B:B,
         [1]unilever_price_limits!C:C)</f>
        <v>30</v>
      </c>
      <c r="H3449" s="8">
        <f t="shared" si="213"/>
        <v>5.9279999999999999</v>
      </c>
      <c r="I3449" s="6">
        <f t="shared" si="214"/>
        <v>30.000000000000004</v>
      </c>
      <c r="J3449" t="str">
        <f t="shared" si="215"/>
        <v>OK</v>
      </c>
    </row>
    <row r="3450" spans="1:10" x14ac:dyDescent="0.2">
      <c r="A3450">
        <v>13449</v>
      </c>
      <c r="B3450" t="s">
        <v>7</v>
      </c>
      <c r="C3450" t="s">
        <v>11</v>
      </c>
      <c r="D3450" s="8">
        <v>2.62</v>
      </c>
      <c r="E3450">
        <v>5</v>
      </c>
      <c r="F3450" t="str">
        <f t="shared" si="212"/>
        <v>Standard</v>
      </c>
      <c r="G3450" s="3" cm="1">
        <f t="array" ref="G3450">_xlfn.XLOOKUP(C3450 &amp; F3450,
         [1]unilever_price_limits!A:A &amp; [1]unilever_price_limits!B:B,
         [1]unilever_price_limits!C:C)</f>
        <v>25</v>
      </c>
      <c r="H3450" s="8">
        <f t="shared" si="213"/>
        <v>3.2750000000000004</v>
      </c>
      <c r="I3450" s="6">
        <f t="shared" si="214"/>
        <v>25</v>
      </c>
      <c r="J3450" t="str">
        <f t="shared" si="215"/>
        <v>OK</v>
      </c>
    </row>
    <row r="3451" spans="1:10" x14ac:dyDescent="0.2">
      <c r="A3451">
        <v>13450</v>
      </c>
      <c r="B3451" t="s">
        <v>7</v>
      </c>
      <c r="C3451" t="s">
        <v>11</v>
      </c>
      <c r="D3451" s="8">
        <v>4.6900000000000004</v>
      </c>
      <c r="E3451">
        <v>7</v>
      </c>
      <c r="F3451" t="str">
        <f t="shared" si="212"/>
        <v>Standard</v>
      </c>
      <c r="G3451" s="3" cm="1">
        <f t="array" ref="G3451">_xlfn.XLOOKUP(C3451 &amp; F3451,
         [1]unilever_price_limits!A:A &amp; [1]unilever_price_limits!B:B,
         [1]unilever_price_limits!C:C)</f>
        <v>25</v>
      </c>
      <c r="H3451" s="8">
        <f t="shared" si="213"/>
        <v>5.8625000000000007</v>
      </c>
      <c r="I3451" s="6">
        <f t="shared" si="214"/>
        <v>25</v>
      </c>
      <c r="J3451" t="str">
        <f t="shared" si="215"/>
        <v>OK</v>
      </c>
    </row>
    <row r="3452" spans="1:10" x14ac:dyDescent="0.2">
      <c r="A3452">
        <v>13451</v>
      </c>
      <c r="B3452" t="s">
        <v>7</v>
      </c>
      <c r="C3452" t="s">
        <v>6</v>
      </c>
      <c r="D3452" s="8">
        <v>4.99</v>
      </c>
      <c r="E3452">
        <v>1</v>
      </c>
      <c r="F3452" t="str">
        <f t="shared" si="212"/>
        <v>Value</v>
      </c>
      <c r="G3452" s="3" cm="1">
        <f t="array" ref="G3452">_xlfn.XLOOKUP(C3452 &amp; F3452,
         [1]unilever_price_limits!A:A &amp; [1]unilever_price_limits!B:B,
         [1]unilever_price_limits!C:C)</f>
        <v>12</v>
      </c>
      <c r="H3452" s="8">
        <f t="shared" si="213"/>
        <v>5.5888000000000009</v>
      </c>
      <c r="I3452" s="6">
        <f t="shared" si="214"/>
        <v>12.000000000000011</v>
      </c>
      <c r="J3452" t="str">
        <f t="shared" si="215"/>
        <v>OK</v>
      </c>
    </row>
    <row r="3453" spans="1:10" x14ac:dyDescent="0.2">
      <c r="A3453">
        <v>13452</v>
      </c>
      <c r="B3453" t="s">
        <v>8</v>
      </c>
      <c r="C3453" t="s">
        <v>9</v>
      </c>
      <c r="D3453" s="8">
        <v>8.07</v>
      </c>
      <c r="E3453">
        <v>3</v>
      </c>
      <c r="F3453" t="str">
        <f t="shared" si="212"/>
        <v>Value</v>
      </c>
      <c r="G3453" s="3" cm="1">
        <f t="array" ref="G3453">_xlfn.XLOOKUP(C3453 &amp; F3453,
         [1]unilever_price_limits!A:A &amp; [1]unilever_price_limits!B:B,
         [1]unilever_price_limits!C:C)</f>
        <v>15</v>
      </c>
      <c r="H3453" s="8">
        <f t="shared" si="213"/>
        <v>9.2805</v>
      </c>
      <c r="I3453" s="6">
        <f t="shared" si="214"/>
        <v>14.999999999999991</v>
      </c>
      <c r="J3453" t="str">
        <f t="shared" si="215"/>
        <v>OK</v>
      </c>
    </row>
    <row r="3454" spans="1:10" x14ac:dyDescent="0.2">
      <c r="A3454">
        <v>13453</v>
      </c>
      <c r="B3454" t="s">
        <v>7</v>
      </c>
      <c r="C3454" t="s">
        <v>6</v>
      </c>
      <c r="D3454" s="8">
        <v>10.119999999999999</v>
      </c>
      <c r="E3454">
        <v>3</v>
      </c>
      <c r="F3454" t="str">
        <f t="shared" si="212"/>
        <v>Value</v>
      </c>
      <c r="G3454" s="3" cm="1">
        <f t="array" ref="G3454">_xlfn.XLOOKUP(C3454 &amp; F3454,
         [1]unilever_price_limits!A:A &amp; [1]unilever_price_limits!B:B,
         [1]unilever_price_limits!C:C)</f>
        <v>12</v>
      </c>
      <c r="H3454" s="8">
        <f t="shared" si="213"/>
        <v>11.3344</v>
      </c>
      <c r="I3454" s="6">
        <f t="shared" si="214"/>
        <v>12.000000000000011</v>
      </c>
      <c r="J3454" t="str">
        <f t="shared" si="215"/>
        <v>OK</v>
      </c>
    </row>
    <row r="3455" spans="1:10" x14ac:dyDescent="0.2">
      <c r="A3455">
        <v>13454</v>
      </c>
      <c r="B3455" t="s">
        <v>7</v>
      </c>
      <c r="C3455" t="s">
        <v>11</v>
      </c>
      <c r="D3455" s="8">
        <v>6.03</v>
      </c>
      <c r="E3455">
        <v>2</v>
      </c>
      <c r="F3455" t="str">
        <f t="shared" si="212"/>
        <v>Value</v>
      </c>
      <c r="G3455" s="3" cm="1">
        <f t="array" ref="G3455">_xlfn.XLOOKUP(C3455 &amp; F3455,
         [1]unilever_price_limits!A:A &amp; [1]unilever_price_limits!B:B,
         [1]unilever_price_limits!C:C)</f>
        <v>10</v>
      </c>
      <c r="H3455" s="8">
        <f t="shared" si="213"/>
        <v>6.6330000000000009</v>
      </c>
      <c r="I3455" s="6">
        <f t="shared" si="214"/>
        <v>10.000000000000009</v>
      </c>
      <c r="J3455" t="str">
        <f t="shared" si="215"/>
        <v>OK</v>
      </c>
    </row>
    <row r="3456" spans="1:10" x14ac:dyDescent="0.2">
      <c r="A3456">
        <v>13455</v>
      </c>
      <c r="B3456" t="s">
        <v>5</v>
      </c>
      <c r="C3456" t="s">
        <v>11</v>
      </c>
      <c r="D3456" s="8">
        <v>10.93</v>
      </c>
      <c r="E3456">
        <v>8</v>
      </c>
      <c r="F3456" t="str">
        <f t="shared" si="212"/>
        <v>Premium</v>
      </c>
      <c r="G3456" s="3" cm="1">
        <f t="array" ref="G3456">_xlfn.XLOOKUP(C3456 &amp; F3456,
         [1]unilever_price_limits!A:A &amp; [1]unilever_price_limits!B:B,
         [1]unilever_price_limits!C:C)</f>
        <v>50</v>
      </c>
      <c r="H3456" s="8">
        <f t="shared" si="213"/>
        <v>16.395</v>
      </c>
      <c r="I3456" s="6">
        <f t="shared" si="214"/>
        <v>50</v>
      </c>
      <c r="J3456" t="str">
        <f t="shared" si="215"/>
        <v>OK</v>
      </c>
    </row>
    <row r="3457" spans="1:10" x14ac:dyDescent="0.2">
      <c r="A3457">
        <v>13456</v>
      </c>
      <c r="B3457" t="s">
        <v>7</v>
      </c>
      <c r="C3457" t="s">
        <v>6</v>
      </c>
      <c r="D3457" s="8">
        <v>5.37</v>
      </c>
      <c r="E3457">
        <v>5</v>
      </c>
      <c r="F3457" t="str">
        <f t="shared" si="212"/>
        <v>Standard</v>
      </c>
      <c r="G3457" s="3" cm="1">
        <f t="array" ref="G3457">_xlfn.XLOOKUP(C3457 &amp; F3457,
         [1]unilever_price_limits!A:A &amp; [1]unilever_price_limits!B:B,
         [1]unilever_price_limits!C:C)</f>
        <v>28</v>
      </c>
      <c r="H3457" s="8">
        <f t="shared" si="213"/>
        <v>6.8736000000000006</v>
      </c>
      <c r="I3457" s="6">
        <f t="shared" si="214"/>
        <v>28.000000000000004</v>
      </c>
      <c r="J3457" t="str">
        <f t="shared" si="215"/>
        <v>OK</v>
      </c>
    </row>
    <row r="3458" spans="1:10" x14ac:dyDescent="0.2">
      <c r="A3458">
        <v>13457</v>
      </c>
      <c r="B3458" t="s">
        <v>8</v>
      </c>
      <c r="C3458" t="s">
        <v>6</v>
      </c>
      <c r="D3458" s="8">
        <v>4.71</v>
      </c>
      <c r="E3458">
        <v>1</v>
      </c>
      <c r="F3458" t="str">
        <f t="shared" si="212"/>
        <v>Value</v>
      </c>
      <c r="G3458" s="3" cm="1">
        <f t="array" ref="G3458">_xlfn.XLOOKUP(C3458 &amp; F3458,
         [1]unilever_price_limits!A:A &amp; [1]unilever_price_limits!B:B,
         [1]unilever_price_limits!C:C)</f>
        <v>12</v>
      </c>
      <c r="H3458" s="8">
        <f t="shared" si="213"/>
        <v>5.2752000000000008</v>
      </c>
      <c r="I3458" s="6">
        <f t="shared" si="214"/>
        <v>12.000000000000011</v>
      </c>
      <c r="J3458" t="str">
        <f t="shared" si="215"/>
        <v>OK</v>
      </c>
    </row>
    <row r="3459" spans="1:10" x14ac:dyDescent="0.2">
      <c r="A3459">
        <v>13458</v>
      </c>
      <c r="B3459" t="s">
        <v>8</v>
      </c>
      <c r="C3459" t="s">
        <v>6</v>
      </c>
      <c r="D3459" s="8">
        <v>8.35</v>
      </c>
      <c r="E3459">
        <v>2</v>
      </c>
      <c r="F3459" t="str">
        <f t="shared" ref="F3459:F3522" si="216">IF(E3459&lt;=3,"Value",
 IF(E3459&lt;=7,"Standard","Premium"))</f>
        <v>Value</v>
      </c>
      <c r="G3459" s="3" cm="1">
        <f t="array" ref="G3459">_xlfn.XLOOKUP(C3459 &amp; F3459,
         [1]unilever_price_limits!A:A &amp; [1]unilever_price_limits!B:B,
         [1]unilever_price_limits!C:C)</f>
        <v>12</v>
      </c>
      <c r="H3459" s="8">
        <f t="shared" ref="H3459:H3522" si="217">D3459 * (1 + G3459/100)</f>
        <v>9.3520000000000003</v>
      </c>
      <c r="I3459" s="6">
        <f t="shared" ref="I3459:I3522" si="218">(H3459 / D3459 - 1) * 100</f>
        <v>12.000000000000011</v>
      </c>
      <c r="J3459" t="str">
        <f t="shared" ref="J3459:J3522" si="219">IF(I3458&gt; G3458, "⚠ Exceeds Limit", "OK")</f>
        <v>OK</v>
      </c>
    </row>
    <row r="3460" spans="1:10" x14ac:dyDescent="0.2">
      <c r="A3460">
        <v>13459</v>
      </c>
      <c r="B3460" t="s">
        <v>5</v>
      </c>
      <c r="C3460" t="s">
        <v>9</v>
      </c>
      <c r="D3460" s="8">
        <v>0.84</v>
      </c>
      <c r="E3460">
        <v>1</v>
      </c>
      <c r="F3460" t="str">
        <f t="shared" si="216"/>
        <v>Value</v>
      </c>
      <c r="G3460" s="3" cm="1">
        <f t="array" ref="G3460">_xlfn.XLOOKUP(C3460 &amp; F3460,
         [1]unilever_price_limits!A:A &amp; [1]unilever_price_limits!B:B,
         [1]unilever_price_limits!C:C)</f>
        <v>15</v>
      </c>
      <c r="H3460" s="8">
        <f t="shared" si="217"/>
        <v>0.96599999999999986</v>
      </c>
      <c r="I3460" s="6">
        <f t="shared" si="218"/>
        <v>14.999999999999991</v>
      </c>
      <c r="J3460" t="str">
        <f t="shared" si="219"/>
        <v>OK</v>
      </c>
    </row>
    <row r="3461" spans="1:10" x14ac:dyDescent="0.2">
      <c r="A3461">
        <v>13460</v>
      </c>
      <c r="B3461" t="s">
        <v>7</v>
      </c>
      <c r="C3461" t="s">
        <v>11</v>
      </c>
      <c r="D3461" s="8">
        <v>1.66</v>
      </c>
      <c r="E3461">
        <v>6</v>
      </c>
      <c r="F3461" t="str">
        <f t="shared" si="216"/>
        <v>Standard</v>
      </c>
      <c r="G3461" s="3" cm="1">
        <f t="array" ref="G3461">_xlfn.XLOOKUP(C3461 &amp; F3461,
         [1]unilever_price_limits!A:A &amp; [1]unilever_price_limits!B:B,
         [1]unilever_price_limits!C:C)</f>
        <v>25</v>
      </c>
      <c r="H3461" s="8">
        <f t="shared" si="217"/>
        <v>2.0749999999999997</v>
      </c>
      <c r="I3461" s="6">
        <f t="shared" si="218"/>
        <v>25</v>
      </c>
      <c r="J3461" t="str">
        <f t="shared" si="219"/>
        <v>OK</v>
      </c>
    </row>
    <row r="3462" spans="1:10" x14ac:dyDescent="0.2">
      <c r="A3462">
        <v>13461</v>
      </c>
      <c r="B3462" t="s">
        <v>7</v>
      </c>
      <c r="C3462" t="s">
        <v>6</v>
      </c>
      <c r="D3462" s="8">
        <v>6.56</v>
      </c>
      <c r="E3462">
        <v>9</v>
      </c>
      <c r="F3462" t="str">
        <f t="shared" si="216"/>
        <v>Premium</v>
      </c>
      <c r="G3462" s="3" cm="1">
        <f t="array" ref="G3462">_xlfn.XLOOKUP(C3462 &amp; F3462,
         [1]unilever_price_limits!A:A &amp; [1]unilever_price_limits!B:B,
         [1]unilever_price_limits!C:C)</f>
        <v>55</v>
      </c>
      <c r="H3462" s="8">
        <f t="shared" si="217"/>
        <v>10.167999999999999</v>
      </c>
      <c r="I3462" s="6">
        <f t="shared" si="218"/>
        <v>55.000000000000007</v>
      </c>
      <c r="J3462" t="str">
        <f t="shared" si="219"/>
        <v>OK</v>
      </c>
    </row>
    <row r="3463" spans="1:10" x14ac:dyDescent="0.2">
      <c r="A3463">
        <v>13462</v>
      </c>
      <c r="B3463" t="s">
        <v>8</v>
      </c>
      <c r="C3463" t="s">
        <v>11</v>
      </c>
      <c r="D3463" s="8">
        <v>14.17</v>
      </c>
      <c r="E3463">
        <v>7</v>
      </c>
      <c r="F3463" t="str">
        <f t="shared" si="216"/>
        <v>Standard</v>
      </c>
      <c r="G3463" s="3" cm="1">
        <f t="array" ref="G3463">_xlfn.XLOOKUP(C3463 &amp; F3463,
         [1]unilever_price_limits!A:A &amp; [1]unilever_price_limits!B:B,
         [1]unilever_price_limits!C:C)</f>
        <v>25</v>
      </c>
      <c r="H3463" s="8">
        <f t="shared" si="217"/>
        <v>17.712499999999999</v>
      </c>
      <c r="I3463" s="6">
        <f t="shared" si="218"/>
        <v>25</v>
      </c>
      <c r="J3463" t="str">
        <f t="shared" si="219"/>
        <v>OK</v>
      </c>
    </row>
    <row r="3464" spans="1:10" x14ac:dyDescent="0.2">
      <c r="A3464">
        <v>13463</v>
      </c>
      <c r="B3464" t="s">
        <v>7</v>
      </c>
      <c r="C3464" t="s">
        <v>9</v>
      </c>
      <c r="D3464" s="8">
        <v>10.96</v>
      </c>
      <c r="E3464">
        <v>5</v>
      </c>
      <c r="F3464" t="str">
        <f t="shared" si="216"/>
        <v>Standard</v>
      </c>
      <c r="G3464" s="3" cm="1">
        <f t="array" ref="G3464">_xlfn.XLOOKUP(C3464 &amp; F3464,
         [1]unilever_price_limits!A:A &amp; [1]unilever_price_limits!B:B,
         [1]unilever_price_limits!C:C)</f>
        <v>30</v>
      </c>
      <c r="H3464" s="8">
        <f t="shared" si="217"/>
        <v>14.248000000000001</v>
      </c>
      <c r="I3464" s="6">
        <f t="shared" si="218"/>
        <v>30.000000000000004</v>
      </c>
      <c r="J3464" t="str">
        <f t="shared" si="219"/>
        <v>OK</v>
      </c>
    </row>
    <row r="3465" spans="1:10" x14ac:dyDescent="0.2">
      <c r="A3465">
        <v>13464</v>
      </c>
      <c r="B3465" t="s">
        <v>7</v>
      </c>
      <c r="C3465" t="s">
        <v>9</v>
      </c>
      <c r="D3465" s="8">
        <v>1.78</v>
      </c>
      <c r="E3465">
        <v>3</v>
      </c>
      <c r="F3465" t="str">
        <f t="shared" si="216"/>
        <v>Value</v>
      </c>
      <c r="G3465" s="3" cm="1">
        <f t="array" ref="G3465">_xlfn.XLOOKUP(C3465 &amp; F3465,
         [1]unilever_price_limits!A:A &amp; [1]unilever_price_limits!B:B,
         [1]unilever_price_limits!C:C)</f>
        <v>15</v>
      </c>
      <c r="H3465" s="8">
        <f t="shared" si="217"/>
        <v>2.0469999999999997</v>
      </c>
      <c r="I3465" s="6">
        <f t="shared" si="218"/>
        <v>14.999999999999991</v>
      </c>
      <c r="J3465" t="str">
        <f t="shared" si="219"/>
        <v>OK</v>
      </c>
    </row>
    <row r="3466" spans="1:10" x14ac:dyDescent="0.2">
      <c r="A3466">
        <v>13465</v>
      </c>
      <c r="B3466" t="s">
        <v>7</v>
      </c>
      <c r="C3466" t="s">
        <v>9</v>
      </c>
      <c r="D3466" s="8">
        <v>12.77</v>
      </c>
      <c r="E3466">
        <v>8</v>
      </c>
      <c r="F3466" t="str">
        <f t="shared" si="216"/>
        <v>Premium</v>
      </c>
      <c r="G3466" s="3" cm="1">
        <f t="array" ref="G3466">_xlfn.XLOOKUP(C3466 &amp; F3466,
         [1]unilever_price_limits!A:A &amp; [1]unilever_price_limits!B:B,
         [1]unilever_price_limits!C:C)</f>
        <v>60</v>
      </c>
      <c r="H3466" s="8">
        <f t="shared" si="217"/>
        <v>20.432000000000002</v>
      </c>
      <c r="I3466" s="6">
        <f t="shared" si="218"/>
        <v>60.000000000000028</v>
      </c>
      <c r="J3466" t="str">
        <f t="shared" si="219"/>
        <v>OK</v>
      </c>
    </row>
    <row r="3467" spans="1:10" x14ac:dyDescent="0.2">
      <c r="A3467">
        <v>13466</v>
      </c>
      <c r="B3467" t="s">
        <v>10</v>
      </c>
      <c r="C3467" t="s">
        <v>9</v>
      </c>
      <c r="D3467" s="8">
        <v>11.12</v>
      </c>
      <c r="E3467">
        <v>10</v>
      </c>
      <c r="F3467" t="str">
        <f t="shared" si="216"/>
        <v>Premium</v>
      </c>
      <c r="G3467" s="3" cm="1">
        <f t="array" ref="G3467">_xlfn.XLOOKUP(C3467 &amp; F3467,
         [1]unilever_price_limits!A:A &amp; [1]unilever_price_limits!B:B,
         [1]unilever_price_limits!C:C)</f>
        <v>60</v>
      </c>
      <c r="H3467" s="8">
        <f t="shared" si="217"/>
        <v>17.791999999999998</v>
      </c>
      <c r="I3467" s="6">
        <f t="shared" si="218"/>
        <v>59.999999999999986</v>
      </c>
      <c r="J3467" t="str">
        <f t="shared" si="219"/>
        <v>OK</v>
      </c>
    </row>
    <row r="3468" spans="1:10" x14ac:dyDescent="0.2">
      <c r="A3468">
        <v>13467</v>
      </c>
      <c r="B3468" t="s">
        <v>5</v>
      </c>
      <c r="C3468" t="s">
        <v>11</v>
      </c>
      <c r="D3468" s="8">
        <v>9.36</v>
      </c>
      <c r="E3468">
        <v>4</v>
      </c>
      <c r="F3468" t="str">
        <f t="shared" si="216"/>
        <v>Standard</v>
      </c>
      <c r="G3468" s="3" cm="1">
        <f t="array" ref="G3468">_xlfn.XLOOKUP(C3468 &amp; F3468,
         [1]unilever_price_limits!A:A &amp; [1]unilever_price_limits!B:B,
         [1]unilever_price_limits!C:C)</f>
        <v>25</v>
      </c>
      <c r="H3468" s="8">
        <f t="shared" si="217"/>
        <v>11.7</v>
      </c>
      <c r="I3468" s="6">
        <f t="shared" si="218"/>
        <v>25</v>
      </c>
      <c r="J3468" t="str">
        <f t="shared" si="219"/>
        <v>OK</v>
      </c>
    </row>
    <row r="3469" spans="1:10" x14ac:dyDescent="0.2">
      <c r="A3469">
        <v>13468</v>
      </c>
      <c r="B3469" t="s">
        <v>10</v>
      </c>
      <c r="C3469" t="s">
        <v>9</v>
      </c>
      <c r="D3469" s="8">
        <v>12.39</v>
      </c>
      <c r="E3469">
        <v>9</v>
      </c>
      <c r="F3469" t="str">
        <f t="shared" si="216"/>
        <v>Premium</v>
      </c>
      <c r="G3469" s="3" cm="1">
        <f t="array" ref="G3469">_xlfn.XLOOKUP(C3469 &amp; F3469,
         [1]unilever_price_limits!A:A &amp; [1]unilever_price_limits!B:B,
         [1]unilever_price_limits!C:C)</f>
        <v>60</v>
      </c>
      <c r="H3469" s="8">
        <f t="shared" si="217"/>
        <v>19.824000000000002</v>
      </c>
      <c r="I3469" s="6">
        <f t="shared" si="218"/>
        <v>60.000000000000007</v>
      </c>
      <c r="J3469" t="str">
        <f t="shared" si="219"/>
        <v>OK</v>
      </c>
    </row>
    <row r="3470" spans="1:10" x14ac:dyDescent="0.2">
      <c r="A3470">
        <v>13469</v>
      </c>
      <c r="B3470" t="s">
        <v>5</v>
      </c>
      <c r="C3470" t="s">
        <v>9</v>
      </c>
      <c r="D3470" s="8">
        <v>6.36</v>
      </c>
      <c r="E3470">
        <v>5</v>
      </c>
      <c r="F3470" t="str">
        <f t="shared" si="216"/>
        <v>Standard</v>
      </c>
      <c r="G3470" s="3" cm="1">
        <f t="array" ref="G3470">_xlfn.XLOOKUP(C3470 &amp; F3470,
         [1]unilever_price_limits!A:A &amp; [1]unilever_price_limits!B:B,
         [1]unilever_price_limits!C:C)</f>
        <v>30</v>
      </c>
      <c r="H3470" s="8">
        <f t="shared" si="217"/>
        <v>8.2680000000000007</v>
      </c>
      <c r="I3470" s="6">
        <f t="shared" si="218"/>
        <v>30.000000000000004</v>
      </c>
      <c r="J3470" t="str">
        <f t="shared" si="219"/>
        <v>OK</v>
      </c>
    </row>
    <row r="3471" spans="1:10" x14ac:dyDescent="0.2">
      <c r="A3471">
        <v>13470</v>
      </c>
      <c r="B3471" t="s">
        <v>8</v>
      </c>
      <c r="C3471" t="s">
        <v>6</v>
      </c>
      <c r="D3471" s="8">
        <v>3.71</v>
      </c>
      <c r="E3471">
        <v>6</v>
      </c>
      <c r="F3471" t="str">
        <f t="shared" si="216"/>
        <v>Standard</v>
      </c>
      <c r="G3471" s="3" cm="1">
        <f t="array" ref="G3471">_xlfn.XLOOKUP(C3471 &amp; F3471,
         [1]unilever_price_limits!A:A &amp; [1]unilever_price_limits!B:B,
         [1]unilever_price_limits!C:C)</f>
        <v>28</v>
      </c>
      <c r="H3471" s="8">
        <f t="shared" si="217"/>
        <v>4.7488000000000001</v>
      </c>
      <c r="I3471" s="6">
        <f t="shared" si="218"/>
        <v>28.000000000000004</v>
      </c>
      <c r="J3471" t="str">
        <f t="shared" si="219"/>
        <v>OK</v>
      </c>
    </row>
    <row r="3472" spans="1:10" x14ac:dyDescent="0.2">
      <c r="A3472">
        <v>13471</v>
      </c>
      <c r="B3472" t="s">
        <v>7</v>
      </c>
      <c r="C3472" t="s">
        <v>9</v>
      </c>
      <c r="D3472" s="8">
        <v>7.92</v>
      </c>
      <c r="E3472">
        <v>5</v>
      </c>
      <c r="F3472" t="str">
        <f t="shared" si="216"/>
        <v>Standard</v>
      </c>
      <c r="G3472" s="3" cm="1">
        <f t="array" ref="G3472">_xlfn.XLOOKUP(C3472 &amp; F3472,
         [1]unilever_price_limits!A:A &amp; [1]unilever_price_limits!B:B,
         [1]unilever_price_limits!C:C)</f>
        <v>30</v>
      </c>
      <c r="H3472" s="8">
        <f t="shared" si="217"/>
        <v>10.295999999999999</v>
      </c>
      <c r="I3472" s="6">
        <f t="shared" si="218"/>
        <v>29.999999999999982</v>
      </c>
      <c r="J3472" t="str">
        <f t="shared" si="219"/>
        <v>OK</v>
      </c>
    </row>
    <row r="3473" spans="1:10" x14ac:dyDescent="0.2">
      <c r="A3473">
        <v>13472</v>
      </c>
      <c r="B3473" t="s">
        <v>5</v>
      </c>
      <c r="C3473" t="s">
        <v>6</v>
      </c>
      <c r="D3473" s="8">
        <v>8.4600000000000009</v>
      </c>
      <c r="E3473">
        <v>10</v>
      </c>
      <c r="F3473" t="str">
        <f t="shared" si="216"/>
        <v>Premium</v>
      </c>
      <c r="G3473" s="3" cm="1">
        <f t="array" ref="G3473">_xlfn.XLOOKUP(C3473 &amp; F3473,
         [1]unilever_price_limits!A:A &amp; [1]unilever_price_limits!B:B,
         [1]unilever_price_limits!C:C)</f>
        <v>55</v>
      </c>
      <c r="H3473" s="8">
        <f t="shared" si="217"/>
        <v>13.113000000000001</v>
      </c>
      <c r="I3473" s="6">
        <f t="shared" si="218"/>
        <v>55.000000000000007</v>
      </c>
      <c r="J3473" t="str">
        <f t="shared" si="219"/>
        <v>OK</v>
      </c>
    </row>
    <row r="3474" spans="1:10" x14ac:dyDescent="0.2">
      <c r="A3474">
        <v>13473</v>
      </c>
      <c r="B3474" t="s">
        <v>10</v>
      </c>
      <c r="C3474" t="s">
        <v>9</v>
      </c>
      <c r="D3474" s="8">
        <v>8.31</v>
      </c>
      <c r="E3474">
        <v>7</v>
      </c>
      <c r="F3474" t="str">
        <f t="shared" si="216"/>
        <v>Standard</v>
      </c>
      <c r="G3474" s="3" cm="1">
        <f t="array" ref="G3474">_xlfn.XLOOKUP(C3474 &amp; F3474,
         [1]unilever_price_limits!A:A &amp; [1]unilever_price_limits!B:B,
         [1]unilever_price_limits!C:C)</f>
        <v>30</v>
      </c>
      <c r="H3474" s="8">
        <f t="shared" si="217"/>
        <v>10.803000000000001</v>
      </c>
      <c r="I3474" s="6">
        <f t="shared" si="218"/>
        <v>30.000000000000004</v>
      </c>
      <c r="J3474" t="str">
        <f t="shared" si="219"/>
        <v>OK</v>
      </c>
    </row>
    <row r="3475" spans="1:10" x14ac:dyDescent="0.2">
      <c r="A3475">
        <v>13474</v>
      </c>
      <c r="B3475" t="s">
        <v>7</v>
      </c>
      <c r="C3475" t="s">
        <v>9</v>
      </c>
      <c r="D3475" s="8">
        <v>8.69</v>
      </c>
      <c r="E3475">
        <v>7</v>
      </c>
      <c r="F3475" t="str">
        <f t="shared" si="216"/>
        <v>Standard</v>
      </c>
      <c r="G3475" s="3" cm="1">
        <f t="array" ref="G3475">_xlfn.XLOOKUP(C3475 &amp; F3475,
         [1]unilever_price_limits!A:A &amp; [1]unilever_price_limits!B:B,
         [1]unilever_price_limits!C:C)</f>
        <v>30</v>
      </c>
      <c r="H3475" s="8">
        <f t="shared" si="217"/>
        <v>11.297000000000001</v>
      </c>
      <c r="I3475" s="6">
        <f t="shared" si="218"/>
        <v>30.000000000000004</v>
      </c>
      <c r="J3475" t="str">
        <f t="shared" si="219"/>
        <v>OK</v>
      </c>
    </row>
    <row r="3476" spans="1:10" x14ac:dyDescent="0.2">
      <c r="A3476">
        <v>13475</v>
      </c>
      <c r="B3476" t="s">
        <v>8</v>
      </c>
      <c r="C3476" t="s">
        <v>6</v>
      </c>
      <c r="D3476" s="8">
        <v>14.26</v>
      </c>
      <c r="E3476">
        <v>1</v>
      </c>
      <c r="F3476" t="str">
        <f t="shared" si="216"/>
        <v>Value</v>
      </c>
      <c r="G3476" s="3" cm="1">
        <f t="array" ref="G3476">_xlfn.XLOOKUP(C3476 &amp; F3476,
         [1]unilever_price_limits!A:A &amp; [1]unilever_price_limits!B:B,
         [1]unilever_price_limits!C:C)</f>
        <v>12</v>
      </c>
      <c r="H3476" s="8">
        <f t="shared" si="217"/>
        <v>15.971200000000001</v>
      </c>
      <c r="I3476" s="6">
        <f t="shared" si="218"/>
        <v>12.000000000000011</v>
      </c>
      <c r="J3476" t="str">
        <f t="shared" si="219"/>
        <v>OK</v>
      </c>
    </row>
    <row r="3477" spans="1:10" x14ac:dyDescent="0.2">
      <c r="A3477">
        <v>13476</v>
      </c>
      <c r="B3477" t="s">
        <v>5</v>
      </c>
      <c r="C3477" t="s">
        <v>9</v>
      </c>
      <c r="D3477" s="8">
        <v>13.58</v>
      </c>
      <c r="E3477">
        <v>2</v>
      </c>
      <c r="F3477" t="str">
        <f t="shared" si="216"/>
        <v>Value</v>
      </c>
      <c r="G3477" s="3" cm="1">
        <f t="array" ref="G3477">_xlfn.XLOOKUP(C3477 &amp; F3477,
         [1]unilever_price_limits!A:A &amp; [1]unilever_price_limits!B:B,
         [1]unilever_price_limits!C:C)</f>
        <v>15</v>
      </c>
      <c r="H3477" s="8">
        <f t="shared" si="217"/>
        <v>15.616999999999999</v>
      </c>
      <c r="I3477" s="6">
        <f t="shared" si="218"/>
        <v>14.999999999999991</v>
      </c>
      <c r="J3477" t="str">
        <f t="shared" si="219"/>
        <v>OK</v>
      </c>
    </row>
    <row r="3478" spans="1:10" x14ac:dyDescent="0.2">
      <c r="A3478">
        <v>13477</v>
      </c>
      <c r="B3478" t="s">
        <v>5</v>
      </c>
      <c r="C3478" t="s">
        <v>11</v>
      </c>
      <c r="D3478" s="8">
        <v>13.2</v>
      </c>
      <c r="E3478">
        <v>7</v>
      </c>
      <c r="F3478" t="str">
        <f t="shared" si="216"/>
        <v>Standard</v>
      </c>
      <c r="G3478" s="3" cm="1">
        <f t="array" ref="G3478">_xlfn.XLOOKUP(C3478 &amp; F3478,
         [1]unilever_price_limits!A:A &amp; [1]unilever_price_limits!B:B,
         [1]unilever_price_limits!C:C)</f>
        <v>25</v>
      </c>
      <c r="H3478" s="8">
        <f t="shared" si="217"/>
        <v>16.5</v>
      </c>
      <c r="I3478" s="6">
        <f t="shared" si="218"/>
        <v>25</v>
      </c>
      <c r="J3478" t="str">
        <f t="shared" si="219"/>
        <v>OK</v>
      </c>
    </row>
    <row r="3479" spans="1:10" x14ac:dyDescent="0.2">
      <c r="A3479">
        <v>13478</v>
      </c>
      <c r="B3479" t="s">
        <v>5</v>
      </c>
      <c r="C3479" t="s">
        <v>11</v>
      </c>
      <c r="D3479" s="8">
        <v>12.12</v>
      </c>
      <c r="E3479">
        <v>8</v>
      </c>
      <c r="F3479" t="str">
        <f t="shared" si="216"/>
        <v>Premium</v>
      </c>
      <c r="G3479" s="3" cm="1">
        <f t="array" ref="G3479">_xlfn.XLOOKUP(C3479 &amp; F3479,
         [1]unilever_price_limits!A:A &amp; [1]unilever_price_limits!B:B,
         [1]unilever_price_limits!C:C)</f>
        <v>50</v>
      </c>
      <c r="H3479" s="8">
        <f t="shared" si="217"/>
        <v>18.18</v>
      </c>
      <c r="I3479" s="6">
        <f t="shared" si="218"/>
        <v>50</v>
      </c>
      <c r="J3479" t="str">
        <f t="shared" si="219"/>
        <v>OK</v>
      </c>
    </row>
    <row r="3480" spans="1:10" x14ac:dyDescent="0.2">
      <c r="A3480">
        <v>13479</v>
      </c>
      <c r="B3480" t="s">
        <v>7</v>
      </c>
      <c r="C3480" t="s">
        <v>9</v>
      </c>
      <c r="D3480" s="8">
        <v>14.18</v>
      </c>
      <c r="E3480">
        <v>4</v>
      </c>
      <c r="F3480" t="str">
        <f t="shared" si="216"/>
        <v>Standard</v>
      </c>
      <c r="G3480" s="3" cm="1">
        <f t="array" ref="G3480">_xlfn.XLOOKUP(C3480 &amp; F3480,
         [1]unilever_price_limits!A:A &amp; [1]unilever_price_limits!B:B,
         [1]unilever_price_limits!C:C)</f>
        <v>30</v>
      </c>
      <c r="H3480" s="8">
        <f t="shared" si="217"/>
        <v>18.434000000000001</v>
      </c>
      <c r="I3480" s="6">
        <f t="shared" si="218"/>
        <v>30.000000000000004</v>
      </c>
      <c r="J3480" t="str">
        <f t="shared" si="219"/>
        <v>OK</v>
      </c>
    </row>
    <row r="3481" spans="1:10" x14ac:dyDescent="0.2">
      <c r="A3481">
        <v>13480</v>
      </c>
      <c r="B3481" t="s">
        <v>10</v>
      </c>
      <c r="C3481" t="s">
        <v>11</v>
      </c>
      <c r="D3481" s="8">
        <v>1.93</v>
      </c>
      <c r="E3481">
        <v>6</v>
      </c>
      <c r="F3481" t="str">
        <f t="shared" si="216"/>
        <v>Standard</v>
      </c>
      <c r="G3481" s="3" cm="1">
        <f t="array" ref="G3481">_xlfn.XLOOKUP(C3481 &amp; F3481,
         [1]unilever_price_limits!A:A &amp; [1]unilever_price_limits!B:B,
         [1]unilever_price_limits!C:C)</f>
        <v>25</v>
      </c>
      <c r="H3481" s="8">
        <f t="shared" si="217"/>
        <v>2.4125000000000001</v>
      </c>
      <c r="I3481" s="6">
        <f t="shared" si="218"/>
        <v>25</v>
      </c>
      <c r="J3481" t="str">
        <f t="shared" si="219"/>
        <v>OK</v>
      </c>
    </row>
    <row r="3482" spans="1:10" x14ac:dyDescent="0.2">
      <c r="A3482">
        <v>13481</v>
      </c>
      <c r="B3482" t="s">
        <v>10</v>
      </c>
      <c r="C3482" t="s">
        <v>6</v>
      </c>
      <c r="D3482" s="8">
        <v>4.34</v>
      </c>
      <c r="E3482">
        <v>10</v>
      </c>
      <c r="F3482" t="str">
        <f t="shared" si="216"/>
        <v>Premium</v>
      </c>
      <c r="G3482" s="3" cm="1">
        <f t="array" ref="G3482">_xlfn.XLOOKUP(C3482 &amp; F3482,
         [1]unilever_price_limits!A:A &amp; [1]unilever_price_limits!B:B,
         [1]unilever_price_limits!C:C)</f>
        <v>55</v>
      </c>
      <c r="H3482" s="8">
        <f t="shared" si="217"/>
        <v>6.7270000000000003</v>
      </c>
      <c r="I3482" s="6">
        <f t="shared" si="218"/>
        <v>55.000000000000007</v>
      </c>
      <c r="J3482" t="str">
        <f t="shared" si="219"/>
        <v>OK</v>
      </c>
    </row>
    <row r="3483" spans="1:10" x14ac:dyDescent="0.2">
      <c r="A3483">
        <v>13482</v>
      </c>
      <c r="B3483" t="s">
        <v>5</v>
      </c>
      <c r="C3483" t="s">
        <v>9</v>
      </c>
      <c r="D3483" s="8">
        <v>7.68</v>
      </c>
      <c r="E3483">
        <v>3</v>
      </c>
      <c r="F3483" t="str">
        <f t="shared" si="216"/>
        <v>Value</v>
      </c>
      <c r="G3483" s="3" cm="1">
        <f t="array" ref="G3483">_xlfn.XLOOKUP(C3483 &amp; F3483,
         [1]unilever_price_limits!A:A &amp; [1]unilever_price_limits!B:B,
         [1]unilever_price_limits!C:C)</f>
        <v>15</v>
      </c>
      <c r="H3483" s="8">
        <f t="shared" si="217"/>
        <v>8.831999999999999</v>
      </c>
      <c r="I3483" s="6">
        <f t="shared" si="218"/>
        <v>14.999999999999991</v>
      </c>
      <c r="J3483" t="str">
        <f t="shared" si="219"/>
        <v>OK</v>
      </c>
    </row>
    <row r="3484" spans="1:10" x14ac:dyDescent="0.2">
      <c r="A3484">
        <v>13483</v>
      </c>
      <c r="B3484" t="s">
        <v>8</v>
      </c>
      <c r="C3484" t="s">
        <v>9</v>
      </c>
      <c r="D3484" s="8">
        <v>12.77</v>
      </c>
      <c r="E3484">
        <v>7</v>
      </c>
      <c r="F3484" t="str">
        <f t="shared" si="216"/>
        <v>Standard</v>
      </c>
      <c r="G3484" s="3" cm="1">
        <f t="array" ref="G3484">_xlfn.XLOOKUP(C3484 &amp; F3484,
         [1]unilever_price_limits!A:A &amp; [1]unilever_price_limits!B:B,
         [1]unilever_price_limits!C:C)</f>
        <v>30</v>
      </c>
      <c r="H3484" s="8">
        <f t="shared" si="217"/>
        <v>16.600999999999999</v>
      </c>
      <c r="I3484" s="6">
        <f t="shared" si="218"/>
        <v>30.000000000000004</v>
      </c>
      <c r="J3484" t="str">
        <f t="shared" si="219"/>
        <v>OK</v>
      </c>
    </row>
    <row r="3485" spans="1:10" x14ac:dyDescent="0.2">
      <c r="A3485">
        <v>13484</v>
      </c>
      <c r="B3485" t="s">
        <v>8</v>
      </c>
      <c r="C3485" t="s">
        <v>6</v>
      </c>
      <c r="D3485" s="8">
        <v>7.82</v>
      </c>
      <c r="E3485">
        <v>3</v>
      </c>
      <c r="F3485" t="str">
        <f t="shared" si="216"/>
        <v>Value</v>
      </c>
      <c r="G3485" s="3" cm="1">
        <f t="array" ref="G3485">_xlfn.XLOOKUP(C3485 &amp; F3485,
         [1]unilever_price_limits!A:A &amp; [1]unilever_price_limits!B:B,
         [1]unilever_price_limits!C:C)</f>
        <v>12</v>
      </c>
      <c r="H3485" s="8">
        <f t="shared" si="217"/>
        <v>8.7584000000000017</v>
      </c>
      <c r="I3485" s="6">
        <f t="shared" si="218"/>
        <v>12.000000000000011</v>
      </c>
      <c r="J3485" t="str">
        <f t="shared" si="219"/>
        <v>OK</v>
      </c>
    </row>
    <row r="3486" spans="1:10" x14ac:dyDescent="0.2">
      <c r="A3486">
        <v>13485</v>
      </c>
      <c r="B3486" t="s">
        <v>10</v>
      </c>
      <c r="C3486" t="s">
        <v>6</v>
      </c>
      <c r="D3486" s="8">
        <v>11.35</v>
      </c>
      <c r="E3486">
        <v>7</v>
      </c>
      <c r="F3486" t="str">
        <f t="shared" si="216"/>
        <v>Standard</v>
      </c>
      <c r="G3486" s="3" cm="1">
        <f t="array" ref="G3486">_xlfn.XLOOKUP(C3486 &amp; F3486,
         [1]unilever_price_limits!A:A &amp; [1]unilever_price_limits!B:B,
         [1]unilever_price_limits!C:C)</f>
        <v>28</v>
      </c>
      <c r="H3486" s="8">
        <f t="shared" si="217"/>
        <v>14.528</v>
      </c>
      <c r="I3486" s="6">
        <f t="shared" si="218"/>
        <v>28.000000000000004</v>
      </c>
      <c r="J3486" t="str">
        <f t="shared" si="219"/>
        <v>OK</v>
      </c>
    </row>
    <row r="3487" spans="1:10" x14ac:dyDescent="0.2">
      <c r="A3487">
        <v>13486</v>
      </c>
      <c r="B3487" t="s">
        <v>8</v>
      </c>
      <c r="C3487" t="s">
        <v>6</v>
      </c>
      <c r="D3487" s="8">
        <v>2.5099999999999998</v>
      </c>
      <c r="E3487">
        <v>8</v>
      </c>
      <c r="F3487" t="str">
        <f t="shared" si="216"/>
        <v>Premium</v>
      </c>
      <c r="G3487" s="3" cm="1">
        <f t="array" ref="G3487">_xlfn.XLOOKUP(C3487 &amp; F3487,
         [1]unilever_price_limits!A:A &amp; [1]unilever_price_limits!B:B,
         [1]unilever_price_limits!C:C)</f>
        <v>55</v>
      </c>
      <c r="H3487" s="8">
        <f t="shared" si="217"/>
        <v>3.8904999999999998</v>
      </c>
      <c r="I3487" s="6">
        <f t="shared" si="218"/>
        <v>55.000000000000007</v>
      </c>
      <c r="J3487" t="str">
        <f t="shared" si="219"/>
        <v>OK</v>
      </c>
    </row>
    <row r="3488" spans="1:10" x14ac:dyDescent="0.2">
      <c r="A3488">
        <v>13487</v>
      </c>
      <c r="B3488" t="s">
        <v>10</v>
      </c>
      <c r="C3488" t="s">
        <v>9</v>
      </c>
      <c r="D3488" s="8">
        <v>4.16</v>
      </c>
      <c r="E3488">
        <v>3</v>
      </c>
      <c r="F3488" t="str">
        <f t="shared" si="216"/>
        <v>Value</v>
      </c>
      <c r="G3488" s="3" cm="1">
        <f t="array" ref="G3488">_xlfn.XLOOKUP(C3488 &amp; F3488,
         [1]unilever_price_limits!A:A &amp; [1]unilever_price_limits!B:B,
         [1]unilever_price_limits!C:C)</f>
        <v>15</v>
      </c>
      <c r="H3488" s="8">
        <f t="shared" si="217"/>
        <v>4.7839999999999998</v>
      </c>
      <c r="I3488" s="6">
        <f t="shared" si="218"/>
        <v>14.999999999999991</v>
      </c>
      <c r="J3488" t="str">
        <f t="shared" si="219"/>
        <v>OK</v>
      </c>
    </row>
    <row r="3489" spans="1:10" x14ac:dyDescent="0.2">
      <c r="A3489">
        <v>13488</v>
      </c>
      <c r="B3489" t="s">
        <v>5</v>
      </c>
      <c r="C3489" t="s">
        <v>6</v>
      </c>
      <c r="D3489" s="8">
        <v>11.11</v>
      </c>
      <c r="E3489">
        <v>2</v>
      </c>
      <c r="F3489" t="str">
        <f t="shared" si="216"/>
        <v>Value</v>
      </c>
      <c r="G3489" s="3" cm="1">
        <f t="array" ref="G3489">_xlfn.XLOOKUP(C3489 &amp; F3489,
         [1]unilever_price_limits!A:A &amp; [1]unilever_price_limits!B:B,
         [1]unilever_price_limits!C:C)</f>
        <v>12</v>
      </c>
      <c r="H3489" s="8">
        <f t="shared" si="217"/>
        <v>12.443200000000001</v>
      </c>
      <c r="I3489" s="6">
        <f t="shared" si="218"/>
        <v>12.000000000000011</v>
      </c>
      <c r="J3489" t="str">
        <f t="shared" si="219"/>
        <v>OK</v>
      </c>
    </row>
    <row r="3490" spans="1:10" x14ac:dyDescent="0.2">
      <c r="A3490">
        <v>13489</v>
      </c>
      <c r="B3490" t="s">
        <v>10</v>
      </c>
      <c r="C3490" t="s">
        <v>6</v>
      </c>
      <c r="D3490" s="8">
        <v>2.89</v>
      </c>
      <c r="E3490">
        <v>6</v>
      </c>
      <c r="F3490" t="str">
        <f t="shared" si="216"/>
        <v>Standard</v>
      </c>
      <c r="G3490" s="3" cm="1">
        <f t="array" ref="G3490">_xlfn.XLOOKUP(C3490 &amp; F3490,
         [1]unilever_price_limits!A:A &amp; [1]unilever_price_limits!B:B,
         [1]unilever_price_limits!C:C)</f>
        <v>28</v>
      </c>
      <c r="H3490" s="8">
        <f t="shared" si="217"/>
        <v>3.6992000000000003</v>
      </c>
      <c r="I3490" s="6">
        <f t="shared" si="218"/>
        <v>28.000000000000004</v>
      </c>
      <c r="J3490" t="str">
        <f t="shared" si="219"/>
        <v>OK</v>
      </c>
    </row>
    <row r="3491" spans="1:10" x14ac:dyDescent="0.2">
      <c r="A3491">
        <v>13490</v>
      </c>
      <c r="B3491" t="s">
        <v>10</v>
      </c>
      <c r="C3491" t="s">
        <v>11</v>
      </c>
      <c r="D3491" s="8">
        <v>5.59</v>
      </c>
      <c r="E3491">
        <v>4</v>
      </c>
      <c r="F3491" t="str">
        <f t="shared" si="216"/>
        <v>Standard</v>
      </c>
      <c r="G3491" s="3" cm="1">
        <f t="array" ref="G3491">_xlfn.XLOOKUP(C3491 &amp; F3491,
         [1]unilever_price_limits!A:A &amp; [1]unilever_price_limits!B:B,
         [1]unilever_price_limits!C:C)</f>
        <v>25</v>
      </c>
      <c r="H3491" s="8">
        <f t="shared" si="217"/>
        <v>6.9874999999999998</v>
      </c>
      <c r="I3491" s="6">
        <f t="shared" si="218"/>
        <v>25</v>
      </c>
      <c r="J3491" t="str">
        <f t="shared" si="219"/>
        <v>OK</v>
      </c>
    </row>
    <row r="3492" spans="1:10" x14ac:dyDescent="0.2">
      <c r="A3492">
        <v>13491</v>
      </c>
      <c r="B3492" t="s">
        <v>5</v>
      </c>
      <c r="C3492" t="s">
        <v>11</v>
      </c>
      <c r="D3492" s="8">
        <v>4.34</v>
      </c>
      <c r="E3492">
        <v>8</v>
      </c>
      <c r="F3492" t="str">
        <f t="shared" si="216"/>
        <v>Premium</v>
      </c>
      <c r="G3492" s="3" cm="1">
        <f t="array" ref="G3492">_xlfn.XLOOKUP(C3492 &amp; F3492,
         [1]unilever_price_limits!A:A &amp; [1]unilever_price_limits!B:B,
         [1]unilever_price_limits!C:C)</f>
        <v>50</v>
      </c>
      <c r="H3492" s="8">
        <f t="shared" si="217"/>
        <v>6.51</v>
      </c>
      <c r="I3492" s="6">
        <f t="shared" si="218"/>
        <v>50</v>
      </c>
      <c r="J3492" t="str">
        <f t="shared" si="219"/>
        <v>OK</v>
      </c>
    </row>
    <row r="3493" spans="1:10" x14ac:dyDescent="0.2">
      <c r="A3493">
        <v>13492</v>
      </c>
      <c r="B3493" t="s">
        <v>8</v>
      </c>
      <c r="C3493" t="s">
        <v>9</v>
      </c>
      <c r="D3493" s="8">
        <v>5.57</v>
      </c>
      <c r="E3493">
        <v>2</v>
      </c>
      <c r="F3493" t="str">
        <f t="shared" si="216"/>
        <v>Value</v>
      </c>
      <c r="G3493" s="3" cm="1">
        <f t="array" ref="G3493">_xlfn.XLOOKUP(C3493 &amp; F3493,
         [1]unilever_price_limits!A:A &amp; [1]unilever_price_limits!B:B,
         [1]unilever_price_limits!C:C)</f>
        <v>15</v>
      </c>
      <c r="H3493" s="8">
        <f t="shared" si="217"/>
        <v>6.4055</v>
      </c>
      <c r="I3493" s="6">
        <f t="shared" si="218"/>
        <v>14.999999999999991</v>
      </c>
      <c r="J3493" t="str">
        <f t="shared" si="219"/>
        <v>OK</v>
      </c>
    </row>
    <row r="3494" spans="1:10" x14ac:dyDescent="0.2">
      <c r="A3494">
        <v>13493</v>
      </c>
      <c r="B3494" t="s">
        <v>10</v>
      </c>
      <c r="C3494" t="s">
        <v>11</v>
      </c>
      <c r="D3494" s="8">
        <v>10.77</v>
      </c>
      <c r="E3494">
        <v>4</v>
      </c>
      <c r="F3494" t="str">
        <f t="shared" si="216"/>
        <v>Standard</v>
      </c>
      <c r="G3494" s="3" cm="1">
        <f t="array" ref="G3494">_xlfn.XLOOKUP(C3494 &amp; F3494,
         [1]unilever_price_limits!A:A &amp; [1]unilever_price_limits!B:B,
         [1]unilever_price_limits!C:C)</f>
        <v>25</v>
      </c>
      <c r="H3494" s="8">
        <f t="shared" si="217"/>
        <v>13.462499999999999</v>
      </c>
      <c r="I3494" s="6">
        <f t="shared" si="218"/>
        <v>25</v>
      </c>
      <c r="J3494" t="str">
        <f t="shared" si="219"/>
        <v>OK</v>
      </c>
    </row>
    <row r="3495" spans="1:10" x14ac:dyDescent="0.2">
      <c r="A3495">
        <v>13494</v>
      </c>
      <c r="B3495" t="s">
        <v>10</v>
      </c>
      <c r="C3495" t="s">
        <v>11</v>
      </c>
      <c r="D3495" s="8">
        <v>5.83</v>
      </c>
      <c r="E3495">
        <v>2</v>
      </c>
      <c r="F3495" t="str">
        <f t="shared" si="216"/>
        <v>Value</v>
      </c>
      <c r="G3495" s="3" cm="1">
        <f t="array" ref="G3495">_xlfn.XLOOKUP(C3495 &amp; F3495,
         [1]unilever_price_limits!A:A &amp; [1]unilever_price_limits!B:B,
         [1]unilever_price_limits!C:C)</f>
        <v>10</v>
      </c>
      <c r="H3495" s="8">
        <f t="shared" si="217"/>
        <v>6.4130000000000003</v>
      </c>
      <c r="I3495" s="6">
        <f t="shared" si="218"/>
        <v>10.000000000000009</v>
      </c>
      <c r="J3495" t="str">
        <f t="shared" si="219"/>
        <v>OK</v>
      </c>
    </row>
    <row r="3496" spans="1:10" x14ac:dyDescent="0.2">
      <c r="A3496">
        <v>13495</v>
      </c>
      <c r="B3496" t="s">
        <v>5</v>
      </c>
      <c r="C3496" t="s">
        <v>6</v>
      </c>
      <c r="D3496" s="8">
        <v>8.5500000000000007</v>
      </c>
      <c r="E3496">
        <v>2</v>
      </c>
      <c r="F3496" t="str">
        <f t="shared" si="216"/>
        <v>Value</v>
      </c>
      <c r="G3496" s="3" cm="1">
        <f t="array" ref="G3496">_xlfn.XLOOKUP(C3496 &amp; F3496,
         [1]unilever_price_limits!A:A &amp; [1]unilever_price_limits!B:B,
         [1]unilever_price_limits!C:C)</f>
        <v>12</v>
      </c>
      <c r="H3496" s="8">
        <f t="shared" si="217"/>
        <v>9.5760000000000023</v>
      </c>
      <c r="I3496" s="6">
        <f t="shared" si="218"/>
        <v>12.000000000000011</v>
      </c>
      <c r="J3496" t="str">
        <f t="shared" si="219"/>
        <v>OK</v>
      </c>
    </row>
    <row r="3497" spans="1:10" x14ac:dyDescent="0.2">
      <c r="A3497">
        <v>13496</v>
      </c>
      <c r="B3497" t="s">
        <v>8</v>
      </c>
      <c r="C3497" t="s">
        <v>6</v>
      </c>
      <c r="D3497" s="8">
        <v>1.95</v>
      </c>
      <c r="E3497">
        <v>2</v>
      </c>
      <c r="F3497" t="str">
        <f t="shared" si="216"/>
        <v>Value</v>
      </c>
      <c r="G3497" s="3" cm="1">
        <f t="array" ref="G3497">_xlfn.XLOOKUP(C3497 &amp; F3497,
         [1]unilever_price_limits!A:A &amp; [1]unilever_price_limits!B:B,
         [1]unilever_price_limits!C:C)</f>
        <v>12</v>
      </c>
      <c r="H3497" s="8">
        <f t="shared" si="217"/>
        <v>2.1840000000000002</v>
      </c>
      <c r="I3497" s="6">
        <f t="shared" si="218"/>
        <v>12.000000000000011</v>
      </c>
      <c r="J3497" t="str">
        <f t="shared" si="219"/>
        <v>OK</v>
      </c>
    </row>
    <row r="3498" spans="1:10" x14ac:dyDescent="0.2">
      <c r="A3498">
        <v>13497</v>
      </c>
      <c r="B3498" t="s">
        <v>10</v>
      </c>
      <c r="C3498" t="s">
        <v>11</v>
      </c>
      <c r="D3498" s="8">
        <v>12.17</v>
      </c>
      <c r="E3498">
        <v>1</v>
      </c>
      <c r="F3498" t="str">
        <f t="shared" si="216"/>
        <v>Value</v>
      </c>
      <c r="G3498" s="3" cm="1">
        <f t="array" ref="G3498">_xlfn.XLOOKUP(C3498 &amp; F3498,
         [1]unilever_price_limits!A:A &amp; [1]unilever_price_limits!B:B,
         [1]unilever_price_limits!C:C)</f>
        <v>10</v>
      </c>
      <c r="H3498" s="8">
        <f t="shared" si="217"/>
        <v>13.387</v>
      </c>
      <c r="I3498" s="6">
        <f t="shared" si="218"/>
        <v>10.000000000000009</v>
      </c>
      <c r="J3498" t="str">
        <f t="shared" si="219"/>
        <v>OK</v>
      </c>
    </row>
    <row r="3499" spans="1:10" x14ac:dyDescent="0.2">
      <c r="A3499">
        <v>13498</v>
      </c>
      <c r="B3499" t="s">
        <v>5</v>
      </c>
      <c r="C3499" t="s">
        <v>11</v>
      </c>
      <c r="D3499" s="8">
        <v>5.86</v>
      </c>
      <c r="E3499">
        <v>4</v>
      </c>
      <c r="F3499" t="str">
        <f t="shared" si="216"/>
        <v>Standard</v>
      </c>
      <c r="G3499" s="3" cm="1">
        <f t="array" ref="G3499">_xlfn.XLOOKUP(C3499 &amp; F3499,
         [1]unilever_price_limits!A:A &amp; [1]unilever_price_limits!B:B,
         [1]unilever_price_limits!C:C)</f>
        <v>25</v>
      </c>
      <c r="H3499" s="8">
        <f t="shared" si="217"/>
        <v>7.3250000000000002</v>
      </c>
      <c r="I3499" s="6">
        <f t="shared" si="218"/>
        <v>25</v>
      </c>
      <c r="J3499" t="str">
        <f t="shared" si="219"/>
        <v>OK</v>
      </c>
    </row>
    <row r="3500" spans="1:10" x14ac:dyDescent="0.2">
      <c r="A3500">
        <v>13499</v>
      </c>
      <c r="B3500" t="s">
        <v>10</v>
      </c>
      <c r="C3500" t="s">
        <v>11</v>
      </c>
      <c r="D3500" s="8">
        <v>9.9</v>
      </c>
      <c r="E3500">
        <v>2</v>
      </c>
      <c r="F3500" t="str">
        <f t="shared" si="216"/>
        <v>Value</v>
      </c>
      <c r="G3500" s="3" cm="1">
        <f t="array" ref="G3500">_xlfn.XLOOKUP(C3500 &amp; F3500,
         [1]unilever_price_limits!A:A &amp; [1]unilever_price_limits!B:B,
         [1]unilever_price_limits!C:C)</f>
        <v>10</v>
      </c>
      <c r="H3500" s="8">
        <f t="shared" si="217"/>
        <v>10.89</v>
      </c>
      <c r="I3500" s="6">
        <f t="shared" si="218"/>
        <v>10.000000000000009</v>
      </c>
      <c r="J3500" t="str">
        <f t="shared" si="219"/>
        <v>OK</v>
      </c>
    </row>
    <row r="3501" spans="1:10" x14ac:dyDescent="0.2">
      <c r="A3501">
        <v>13500</v>
      </c>
      <c r="B3501" t="s">
        <v>7</v>
      </c>
      <c r="C3501" t="s">
        <v>9</v>
      </c>
      <c r="D3501" s="8">
        <v>11.02</v>
      </c>
      <c r="E3501">
        <v>9</v>
      </c>
      <c r="F3501" t="str">
        <f t="shared" si="216"/>
        <v>Premium</v>
      </c>
      <c r="G3501" s="3" cm="1">
        <f t="array" ref="G3501">_xlfn.XLOOKUP(C3501 &amp; F3501,
         [1]unilever_price_limits!A:A &amp; [1]unilever_price_limits!B:B,
         [1]unilever_price_limits!C:C)</f>
        <v>60</v>
      </c>
      <c r="H3501" s="8">
        <f t="shared" si="217"/>
        <v>17.632000000000001</v>
      </c>
      <c r="I3501" s="6">
        <f t="shared" si="218"/>
        <v>60.000000000000007</v>
      </c>
      <c r="J3501" t="str">
        <f t="shared" si="219"/>
        <v>OK</v>
      </c>
    </row>
    <row r="3502" spans="1:10" x14ac:dyDescent="0.2">
      <c r="A3502">
        <v>13501</v>
      </c>
      <c r="B3502" t="s">
        <v>5</v>
      </c>
      <c r="C3502" t="s">
        <v>9</v>
      </c>
      <c r="D3502" s="8">
        <v>3.54</v>
      </c>
      <c r="E3502">
        <v>9</v>
      </c>
      <c r="F3502" t="str">
        <f t="shared" si="216"/>
        <v>Premium</v>
      </c>
      <c r="G3502" s="3" cm="1">
        <f t="array" ref="G3502">_xlfn.XLOOKUP(C3502 &amp; F3502,
         [1]unilever_price_limits!A:A &amp; [1]unilever_price_limits!B:B,
         [1]unilever_price_limits!C:C)</f>
        <v>60</v>
      </c>
      <c r="H3502" s="8">
        <f t="shared" si="217"/>
        <v>5.6640000000000006</v>
      </c>
      <c r="I3502" s="6">
        <f t="shared" si="218"/>
        <v>60.000000000000007</v>
      </c>
      <c r="J3502" t="str">
        <f t="shared" si="219"/>
        <v>OK</v>
      </c>
    </row>
    <row r="3503" spans="1:10" x14ac:dyDescent="0.2">
      <c r="A3503">
        <v>13502</v>
      </c>
      <c r="B3503" t="s">
        <v>8</v>
      </c>
      <c r="C3503" t="s">
        <v>9</v>
      </c>
      <c r="D3503" s="8">
        <v>13.33</v>
      </c>
      <c r="E3503">
        <v>7</v>
      </c>
      <c r="F3503" t="str">
        <f t="shared" si="216"/>
        <v>Standard</v>
      </c>
      <c r="G3503" s="3" cm="1">
        <f t="array" ref="G3503">_xlfn.XLOOKUP(C3503 &amp; F3503,
         [1]unilever_price_limits!A:A &amp; [1]unilever_price_limits!B:B,
         [1]unilever_price_limits!C:C)</f>
        <v>30</v>
      </c>
      <c r="H3503" s="8">
        <f t="shared" si="217"/>
        <v>17.329000000000001</v>
      </c>
      <c r="I3503" s="6">
        <f t="shared" si="218"/>
        <v>30.000000000000004</v>
      </c>
      <c r="J3503" t="str">
        <f t="shared" si="219"/>
        <v>OK</v>
      </c>
    </row>
    <row r="3504" spans="1:10" x14ac:dyDescent="0.2">
      <c r="A3504">
        <v>13503</v>
      </c>
      <c r="B3504" t="s">
        <v>8</v>
      </c>
      <c r="C3504" t="s">
        <v>11</v>
      </c>
      <c r="D3504" s="8">
        <v>9.44</v>
      </c>
      <c r="E3504">
        <v>6</v>
      </c>
      <c r="F3504" t="str">
        <f t="shared" si="216"/>
        <v>Standard</v>
      </c>
      <c r="G3504" s="3" cm="1">
        <f t="array" ref="G3504">_xlfn.XLOOKUP(C3504 &amp; F3504,
         [1]unilever_price_limits!A:A &amp; [1]unilever_price_limits!B:B,
         [1]unilever_price_limits!C:C)</f>
        <v>25</v>
      </c>
      <c r="H3504" s="8">
        <f t="shared" si="217"/>
        <v>11.799999999999999</v>
      </c>
      <c r="I3504" s="6">
        <f t="shared" si="218"/>
        <v>25</v>
      </c>
      <c r="J3504" t="str">
        <f t="shared" si="219"/>
        <v>OK</v>
      </c>
    </row>
    <row r="3505" spans="1:10" x14ac:dyDescent="0.2">
      <c r="A3505">
        <v>13504</v>
      </c>
      <c r="B3505" t="s">
        <v>8</v>
      </c>
      <c r="C3505" t="s">
        <v>11</v>
      </c>
      <c r="D3505" s="8">
        <v>6.72</v>
      </c>
      <c r="E3505">
        <v>3</v>
      </c>
      <c r="F3505" t="str">
        <f t="shared" si="216"/>
        <v>Value</v>
      </c>
      <c r="G3505" s="3" cm="1">
        <f t="array" ref="G3505">_xlfn.XLOOKUP(C3505 &amp; F3505,
         [1]unilever_price_limits!A:A &amp; [1]unilever_price_limits!B:B,
         [1]unilever_price_limits!C:C)</f>
        <v>10</v>
      </c>
      <c r="H3505" s="8">
        <f t="shared" si="217"/>
        <v>7.3920000000000003</v>
      </c>
      <c r="I3505" s="6">
        <f t="shared" si="218"/>
        <v>10.000000000000009</v>
      </c>
      <c r="J3505" t="str">
        <f t="shared" si="219"/>
        <v>OK</v>
      </c>
    </row>
    <row r="3506" spans="1:10" x14ac:dyDescent="0.2">
      <c r="A3506">
        <v>13505</v>
      </c>
      <c r="B3506" t="s">
        <v>8</v>
      </c>
      <c r="C3506" t="s">
        <v>9</v>
      </c>
      <c r="D3506" s="8">
        <v>3.14</v>
      </c>
      <c r="E3506">
        <v>7</v>
      </c>
      <c r="F3506" t="str">
        <f t="shared" si="216"/>
        <v>Standard</v>
      </c>
      <c r="G3506" s="3" cm="1">
        <f t="array" ref="G3506">_xlfn.XLOOKUP(C3506 &amp; F3506,
         [1]unilever_price_limits!A:A &amp; [1]unilever_price_limits!B:B,
         [1]unilever_price_limits!C:C)</f>
        <v>30</v>
      </c>
      <c r="H3506" s="8">
        <f t="shared" si="217"/>
        <v>4.0820000000000007</v>
      </c>
      <c r="I3506" s="6">
        <f t="shared" si="218"/>
        <v>30.000000000000028</v>
      </c>
      <c r="J3506" t="str">
        <f t="shared" si="219"/>
        <v>OK</v>
      </c>
    </row>
    <row r="3507" spans="1:10" x14ac:dyDescent="0.2">
      <c r="A3507">
        <v>13506</v>
      </c>
      <c r="B3507" t="s">
        <v>10</v>
      </c>
      <c r="C3507" t="s">
        <v>9</v>
      </c>
      <c r="D3507" s="8">
        <v>14.16</v>
      </c>
      <c r="E3507">
        <v>1</v>
      </c>
      <c r="F3507" t="str">
        <f t="shared" si="216"/>
        <v>Value</v>
      </c>
      <c r="G3507" s="3" cm="1">
        <f t="array" ref="G3507">_xlfn.XLOOKUP(C3507 &amp; F3507,
         [1]unilever_price_limits!A:A &amp; [1]unilever_price_limits!B:B,
         [1]unilever_price_limits!C:C)</f>
        <v>15</v>
      </c>
      <c r="H3507" s="8">
        <f t="shared" si="217"/>
        <v>16.283999999999999</v>
      </c>
      <c r="I3507" s="6">
        <f t="shared" si="218"/>
        <v>14.999999999999991</v>
      </c>
      <c r="J3507" t="str">
        <f t="shared" si="219"/>
        <v>OK</v>
      </c>
    </row>
    <row r="3508" spans="1:10" x14ac:dyDescent="0.2">
      <c r="A3508">
        <v>13507</v>
      </c>
      <c r="B3508" t="s">
        <v>10</v>
      </c>
      <c r="C3508" t="s">
        <v>11</v>
      </c>
      <c r="D3508" s="8">
        <v>11.45</v>
      </c>
      <c r="E3508">
        <v>9</v>
      </c>
      <c r="F3508" t="str">
        <f t="shared" si="216"/>
        <v>Premium</v>
      </c>
      <c r="G3508" s="3" cm="1">
        <f t="array" ref="G3508">_xlfn.XLOOKUP(C3508 &amp; F3508,
         [1]unilever_price_limits!A:A &amp; [1]unilever_price_limits!B:B,
         [1]unilever_price_limits!C:C)</f>
        <v>50</v>
      </c>
      <c r="H3508" s="8">
        <f t="shared" si="217"/>
        <v>17.174999999999997</v>
      </c>
      <c r="I3508" s="6">
        <f t="shared" si="218"/>
        <v>49.999999999999979</v>
      </c>
      <c r="J3508" t="str">
        <f t="shared" si="219"/>
        <v>OK</v>
      </c>
    </row>
    <row r="3509" spans="1:10" x14ac:dyDescent="0.2">
      <c r="A3509">
        <v>13508</v>
      </c>
      <c r="B3509" t="s">
        <v>8</v>
      </c>
      <c r="C3509" t="s">
        <v>6</v>
      </c>
      <c r="D3509" s="8">
        <v>3.52</v>
      </c>
      <c r="E3509">
        <v>4</v>
      </c>
      <c r="F3509" t="str">
        <f t="shared" si="216"/>
        <v>Standard</v>
      </c>
      <c r="G3509" s="3" cm="1">
        <f t="array" ref="G3509">_xlfn.XLOOKUP(C3509 &amp; F3509,
         [1]unilever_price_limits!A:A &amp; [1]unilever_price_limits!B:B,
         [1]unilever_price_limits!C:C)</f>
        <v>28</v>
      </c>
      <c r="H3509" s="8">
        <f t="shared" si="217"/>
        <v>4.5056000000000003</v>
      </c>
      <c r="I3509" s="6">
        <f t="shared" si="218"/>
        <v>28.000000000000004</v>
      </c>
      <c r="J3509" t="str">
        <f t="shared" si="219"/>
        <v>OK</v>
      </c>
    </row>
    <row r="3510" spans="1:10" x14ac:dyDescent="0.2">
      <c r="A3510">
        <v>13509</v>
      </c>
      <c r="B3510" t="s">
        <v>8</v>
      </c>
      <c r="C3510" t="s">
        <v>9</v>
      </c>
      <c r="D3510" s="8">
        <v>5.4</v>
      </c>
      <c r="E3510">
        <v>6</v>
      </c>
      <c r="F3510" t="str">
        <f t="shared" si="216"/>
        <v>Standard</v>
      </c>
      <c r="G3510" s="3" cm="1">
        <f t="array" ref="G3510">_xlfn.XLOOKUP(C3510 &amp; F3510,
         [1]unilever_price_limits!A:A &amp; [1]unilever_price_limits!B:B,
         [1]unilever_price_limits!C:C)</f>
        <v>30</v>
      </c>
      <c r="H3510" s="8">
        <f t="shared" si="217"/>
        <v>7.0200000000000005</v>
      </c>
      <c r="I3510" s="6">
        <f t="shared" si="218"/>
        <v>30.000000000000004</v>
      </c>
      <c r="J3510" t="str">
        <f t="shared" si="219"/>
        <v>OK</v>
      </c>
    </row>
    <row r="3511" spans="1:10" x14ac:dyDescent="0.2">
      <c r="A3511">
        <v>13510</v>
      </c>
      <c r="B3511" t="s">
        <v>8</v>
      </c>
      <c r="C3511" t="s">
        <v>11</v>
      </c>
      <c r="D3511" s="8">
        <v>12.24</v>
      </c>
      <c r="E3511">
        <v>6</v>
      </c>
      <c r="F3511" t="str">
        <f t="shared" si="216"/>
        <v>Standard</v>
      </c>
      <c r="G3511" s="3" cm="1">
        <f t="array" ref="G3511">_xlfn.XLOOKUP(C3511 &amp; F3511,
         [1]unilever_price_limits!A:A &amp; [1]unilever_price_limits!B:B,
         [1]unilever_price_limits!C:C)</f>
        <v>25</v>
      </c>
      <c r="H3511" s="8">
        <f t="shared" si="217"/>
        <v>15.3</v>
      </c>
      <c r="I3511" s="6">
        <f t="shared" si="218"/>
        <v>25</v>
      </c>
      <c r="J3511" t="str">
        <f t="shared" si="219"/>
        <v>OK</v>
      </c>
    </row>
    <row r="3512" spans="1:10" x14ac:dyDescent="0.2">
      <c r="A3512">
        <v>13511</v>
      </c>
      <c r="B3512" t="s">
        <v>10</v>
      </c>
      <c r="C3512" t="s">
        <v>11</v>
      </c>
      <c r="D3512" s="8">
        <v>10.59</v>
      </c>
      <c r="E3512">
        <v>3</v>
      </c>
      <c r="F3512" t="str">
        <f t="shared" si="216"/>
        <v>Value</v>
      </c>
      <c r="G3512" s="3" cm="1">
        <f t="array" ref="G3512">_xlfn.XLOOKUP(C3512 &amp; F3512,
         [1]unilever_price_limits!A:A &amp; [1]unilever_price_limits!B:B,
         [1]unilever_price_limits!C:C)</f>
        <v>10</v>
      </c>
      <c r="H3512" s="8">
        <f t="shared" si="217"/>
        <v>11.649000000000001</v>
      </c>
      <c r="I3512" s="6">
        <f t="shared" si="218"/>
        <v>10.000000000000009</v>
      </c>
      <c r="J3512" t="str">
        <f t="shared" si="219"/>
        <v>OK</v>
      </c>
    </row>
    <row r="3513" spans="1:10" x14ac:dyDescent="0.2">
      <c r="A3513">
        <v>13512</v>
      </c>
      <c r="B3513" t="s">
        <v>8</v>
      </c>
      <c r="C3513" t="s">
        <v>6</v>
      </c>
      <c r="D3513" s="8">
        <v>11.6</v>
      </c>
      <c r="E3513">
        <v>4</v>
      </c>
      <c r="F3513" t="str">
        <f t="shared" si="216"/>
        <v>Standard</v>
      </c>
      <c r="G3513" s="3" cm="1">
        <f t="array" ref="G3513">_xlfn.XLOOKUP(C3513 &amp; F3513,
         [1]unilever_price_limits!A:A &amp; [1]unilever_price_limits!B:B,
         [1]unilever_price_limits!C:C)</f>
        <v>28</v>
      </c>
      <c r="H3513" s="8">
        <f t="shared" si="217"/>
        <v>14.847999999999999</v>
      </c>
      <c r="I3513" s="6">
        <f t="shared" si="218"/>
        <v>28.000000000000004</v>
      </c>
      <c r="J3513" t="str">
        <f t="shared" si="219"/>
        <v>OK</v>
      </c>
    </row>
    <row r="3514" spans="1:10" x14ac:dyDescent="0.2">
      <c r="A3514">
        <v>13513</v>
      </c>
      <c r="B3514" t="s">
        <v>8</v>
      </c>
      <c r="C3514" t="s">
        <v>11</v>
      </c>
      <c r="D3514" s="8">
        <v>6.9</v>
      </c>
      <c r="E3514">
        <v>10</v>
      </c>
      <c r="F3514" t="str">
        <f t="shared" si="216"/>
        <v>Premium</v>
      </c>
      <c r="G3514" s="3" cm="1">
        <f t="array" ref="G3514">_xlfn.XLOOKUP(C3514 &amp; F3514,
         [1]unilever_price_limits!A:A &amp; [1]unilever_price_limits!B:B,
         [1]unilever_price_limits!C:C)</f>
        <v>50</v>
      </c>
      <c r="H3514" s="8">
        <f t="shared" si="217"/>
        <v>10.350000000000001</v>
      </c>
      <c r="I3514" s="6">
        <f t="shared" si="218"/>
        <v>50.000000000000021</v>
      </c>
      <c r="J3514" t="str">
        <f t="shared" si="219"/>
        <v>OK</v>
      </c>
    </row>
    <row r="3515" spans="1:10" x14ac:dyDescent="0.2">
      <c r="A3515">
        <v>13514</v>
      </c>
      <c r="B3515" t="s">
        <v>7</v>
      </c>
      <c r="C3515" t="s">
        <v>11</v>
      </c>
      <c r="D3515" s="8">
        <v>10.89</v>
      </c>
      <c r="E3515">
        <v>3</v>
      </c>
      <c r="F3515" t="str">
        <f t="shared" si="216"/>
        <v>Value</v>
      </c>
      <c r="G3515" s="3" cm="1">
        <f t="array" ref="G3515">_xlfn.XLOOKUP(C3515 &amp; F3515,
         [1]unilever_price_limits!A:A &amp; [1]unilever_price_limits!B:B,
         [1]unilever_price_limits!C:C)</f>
        <v>10</v>
      </c>
      <c r="H3515" s="8">
        <f t="shared" si="217"/>
        <v>11.979000000000001</v>
      </c>
      <c r="I3515" s="6">
        <f t="shared" si="218"/>
        <v>10.000000000000009</v>
      </c>
      <c r="J3515" t="str">
        <f t="shared" si="219"/>
        <v>OK</v>
      </c>
    </row>
    <row r="3516" spans="1:10" x14ac:dyDescent="0.2">
      <c r="A3516">
        <v>13515</v>
      </c>
      <c r="B3516" t="s">
        <v>7</v>
      </c>
      <c r="C3516" t="s">
        <v>9</v>
      </c>
      <c r="D3516" s="8">
        <v>6.1</v>
      </c>
      <c r="E3516">
        <v>6</v>
      </c>
      <c r="F3516" t="str">
        <f t="shared" si="216"/>
        <v>Standard</v>
      </c>
      <c r="G3516" s="3" cm="1">
        <f t="array" ref="G3516">_xlfn.XLOOKUP(C3516 &amp; F3516,
         [1]unilever_price_limits!A:A &amp; [1]unilever_price_limits!B:B,
         [1]unilever_price_limits!C:C)</f>
        <v>30</v>
      </c>
      <c r="H3516" s="8">
        <f t="shared" si="217"/>
        <v>7.93</v>
      </c>
      <c r="I3516" s="6">
        <f t="shared" si="218"/>
        <v>30.000000000000004</v>
      </c>
      <c r="J3516" t="str">
        <f t="shared" si="219"/>
        <v>OK</v>
      </c>
    </row>
    <row r="3517" spans="1:10" x14ac:dyDescent="0.2">
      <c r="A3517">
        <v>13516</v>
      </c>
      <c r="B3517" t="s">
        <v>8</v>
      </c>
      <c r="C3517" t="s">
        <v>9</v>
      </c>
      <c r="D3517" s="8">
        <v>3.56</v>
      </c>
      <c r="E3517">
        <v>1</v>
      </c>
      <c r="F3517" t="str">
        <f t="shared" si="216"/>
        <v>Value</v>
      </c>
      <c r="G3517" s="3" cm="1">
        <f t="array" ref="G3517">_xlfn.XLOOKUP(C3517 &amp; F3517,
         [1]unilever_price_limits!A:A &amp; [1]unilever_price_limits!B:B,
         [1]unilever_price_limits!C:C)</f>
        <v>15</v>
      </c>
      <c r="H3517" s="8">
        <f t="shared" si="217"/>
        <v>4.0939999999999994</v>
      </c>
      <c r="I3517" s="6">
        <f t="shared" si="218"/>
        <v>14.999999999999991</v>
      </c>
      <c r="J3517" t="str">
        <f t="shared" si="219"/>
        <v>OK</v>
      </c>
    </row>
    <row r="3518" spans="1:10" x14ac:dyDescent="0.2">
      <c r="A3518">
        <v>13517</v>
      </c>
      <c r="B3518" t="s">
        <v>5</v>
      </c>
      <c r="C3518" t="s">
        <v>6</v>
      </c>
      <c r="D3518" s="8">
        <v>9.67</v>
      </c>
      <c r="E3518">
        <v>8</v>
      </c>
      <c r="F3518" t="str">
        <f t="shared" si="216"/>
        <v>Premium</v>
      </c>
      <c r="G3518" s="3" cm="1">
        <f t="array" ref="G3518">_xlfn.XLOOKUP(C3518 &amp; F3518,
         [1]unilever_price_limits!A:A &amp; [1]unilever_price_limits!B:B,
         [1]unilever_price_limits!C:C)</f>
        <v>55</v>
      </c>
      <c r="H3518" s="8">
        <f t="shared" si="217"/>
        <v>14.9885</v>
      </c>
      <c r="I3518" s="6">
        <f t="shared" si="218"/>
        <v>55.000000000000007</v>
      </c>
      <c r="J3518" t="str">
        <f t="shared" si="219"/>
        <v>OK</v>
      </c>
    </row>
    <row r="3519" spans="1:10" x14ac:dyDescent="0.2">
      <c r="A3519">
        <v>13518</v>
      </c>
      <c r="B3519" t="s">
        <v>8</v>
      </c>
      <c r="C3519" t="s">
        <v>6</v>
      </c>
      <c r="D3519" s="8">
        <v>14.65</v>
      </c>
      <c r="E3519">
        <v>8</v>
      </c>
      <c r="F3519" t="str">
        <f t="shared" si="216"/>
        <v>Premium</v>
      </c>
      <c r="G3519" s="3" cm="1">
        <f t="array" ref="G3519">_xlfn.XLOOKUP(C3519 &amp; F3519,
         [1]unilever_price_limits!A:A &amp; [1]unilever_price_limits!B:B,
         [1]unilever_price_limits!C:C)</f>
        <v>55</v>
      </c>
      <c r="H3519" s="8">
        <f t="shared" si="217"/>
        <v>22.7075</v>
      </c>
      <c r="I3519" s="6">
        <f t="shared" si="218"/>
        <v>54.999999999999986</v>
      </c>
      <c r="J3519" t="str">
        <f t="shared" si="219"/>
        <v>OK</v>
      </c>
    </row>
    <row r="3520" spans="1:10" x14ac:dyDescent="0.2">
      <c r="A3520">
        <v>13519</v>
      </c>
      <c r="B3520" t="s">
        <v>7</v>
      </c>
      <c r="C3520" t="s">
        <v>11</v>
      </c>
      <c r="D3520" s="8">
        <v>5</v>
      </c>
      <c r="E3520">
        <v>9</v>
      </c>
      <c r="F3520" t="str">
        <f t="shared" si="216"/>
        <v>Premium</v>
      </c>
      <c r="G3520" s="3" cm="1">
        <f t="array" ref="G3520">_xlfn.XLOOKUP(C3520 &amp; F3520,
         [1]unilever_price_limits!A:A &amp; [1]unilever_price_limits!B:B,
         [1]unilever_price_limits!C:C)</f>
        <v>50</v>
      </c>
      <c r="H3520" s="8">
        <f t="shared" si="217"/>
        <v>7.5</v>
      </c>
      <c r="I3520" s="6">
        <f t="shared" si="218"/>
        <v>50</v>
      </c>
      <c r="J3520" t="str">
        <f t="shared" si="219"/>
        <v>OK</v>
      </c>
    </row>
    <row r="3521" spans="1:10" x14ac:dyDescent="0.2">
      <c r="A3521">
        <v>13520</v>
      </c>
      <c r="B3521" t="s">
        <v>5</v>
      </c>
      <c r="C3521" t="s">
        <v>9</v>
      </c>
      <c r="D3521" s="8">
        <v>7.18</v>
      </c>
      <c r="E3521">
        <v>6</v>
      </c>
      <c r="F3521" t="str">
        <f t="shared" si="216"/>
        <v>Standard</v>
      </c>
      <c r="G3521" s="3" cm="1">
        <f t="array" ref="G3521">_xlfn.XLOOKUP(C3521 &amp; F3521,
         [1]unilever_price_limits!A:A &amp; [1]unilever_price_limits!B:B,
         [1]unilever_price_limits!C:C)</f>
        <v>30</v>
      </c>
      <c r="H3521" s="8">
        <f t="shared" si="217"/>
        <v>9.3339999999999996</v>
      </c>
      <c r="I3521" s="6">
        <f t="shared" si="218"/>
        <v>30.000000000000004</v>
      </c>
      <c r="J3521" t="str">
        <f t="shared" si="219"/>
        <v>OK</v>
      </c>
    </row>
    <row r="3522" spans="1:10" x14ac:dyDescent="0.2">
      <c r="A3522">
        <v>13521</v>
      </c>
      <c r="B3522" t="s">
        <v>5</v>
      </c>
      <c r="C3522" t="s">
        <v>6</v>
      </c>
      <c r="D3522" s="8">
        <v>10.27</v>
      </c>
      <c r="E3522">
        <v>1</v>
      </c>
      <c r="F3522" t="str">
        <f t="shared" si="216"/>
        <v>Value</v>
      </c>
      <c r="G3522" s="3" cm="1">
        <f t="array" ref="G3522">_xlfn.XLOOKUP(C3522 &amp; F3522,
         [1]unilever_price_limits!A:A &amp; [1]unilever_price_limits!B:B,
         [1]unilever_price_limits!C:C)</f>
        <v>12</v>
      </c>
      <c r="H3522" s="8">
        <f t="shared" si="217"/>
        <v>11.5024</v>
      </c>
      <c r="I3522" s="6">
        <f t="shared" si="218"/>
        <v>12.000000000000011</v>
      </c>
      <c r="J3522" t="str">
        <f t="shared" si="219"/>
        <v>OK</v>
      </c>
    </row>
    <row r="3523" spans="1:10" x14ac:dyDescent="0.2">
      <c r="A3523">
        <v>13522</v>
      </c>
      <c r="B3523" t="s">
        <v>8</v>
      </c>
      <c r="C3523" t="s">
        <v>6</v>
      </c>
      <c r="D3523" s="8">
        <v>8.35</v>
      </c>
      <c r="E3523">
        <v>3</v>
      </c>
      <c r="F3523" t="str">
        <f t="shared" ref="F3523:F3586" si="220">IF(E3523&lt;=3,"Value",
 IF(E3523&lt;=7,"Standard","Premium"))</f>
        <v>Value</v>
      </c>
      <c r="G3523" s="3" cm="1">
        <f t="array" ref="G3523">_xlfn.XLOOKUP(C3523 &amp; F3523,
         [1]unilever_price_limits!A:A &amp; [1]unilever_price_limits!B:B,
         [1]unilever_price_limits!C:C)</f>
        <v>12</v>
      </c>
      <c r="H3523" s="8">
        <f t="shared" ref="H3523:H3586" si="221">D3523 * (1 + G3523/100)</f>
        <v>9.3520000000000003</v>
      </c>
      <c r="I3523" s="6">
        <f t="shared" ref="I3523:I3586" si="222">(H3523 / D3523 - 1) * 100</f>
        <v>12.000000000000011</v>
      </c>
      <c r="J3523" t="str">
        <f t="shared" ref="J3523:J3586" si="223">IF(I3522&gt; G3522, "⚠ Exceeds Limit", "OK")</f>
        <v>OK</v>
      </c>
    </row>
    <row r="3524" spans="1:10" x14ac:dyDescent="0.2">
      <c r="A3524">
        <v>13523</v>
      </c>
      <c r="B3524" t="s">
        <v>7</v>
      </c>
      <c r="C3524" t="s">
        <v>6</v>
      </c>
      <c r="D3524" s="8">
        <v>12.73</v>
      </c>
      <c r="E3524">
        <v>1</v>
      </c>
      <c r="F3524" t="str">
        <f t="shared" si="220"/>
        <v>Value</v>
      </c>
      <c r="G3524" s="3" cm="1">
        <f t="array" ref="G3524">_xlfn.XLOOKUP(C3524 &amp; F3524,
         [1]unilever_price_limits!A:A &amp; [1]unilever_price_limits!B:B,
         [1]unilever_price_limits!C:C)</f>
        <v>12</v>
      </c>
      <c r="H3524" s="8">
        <f t="shared" si="221"/>
        <v>14.257600000000002</v>
      </c>
      <c r="I3524" s="6">
        <f t="shared" si="222"/>
        <v>12.000000000000011</v>
      </c>
      <c r="J3524" t="str">
        <f t="shared" si="223"/>
        <v>OK</v>
      </c>
    </row>
    <row r="3525" spans="1:10" x14ac:dyDescent="0.2">
      <c r="A3525">
        <v>13524</v>
      </c>
      <c r="B3525" t="s">
        <v>7</v>
      </c>
      <c r="C3525" t="s">
        <v>11</v>
      </c>
      <c r="D3525" s="8">
        <v>11.55</v>
      </c>
      <c r="E3525">
        <v>5</v>
      </c>
      <c r="F3525" t="str">
        <f t="shared" si="220"/>
        <v>Standard</v>
      </c>
      <c r="G3525" s="3" cm="1">
        <f t="array" ref="G3525">_xlfn.XLOOKUP(C3525 &amp; F3525,
         [1]unilever_price_limits!A:A &amp; [1]unilever_price_limits!B:B,
         [1]unilever_price_limits!C:C)</f>
        <v>25</v>
      </c>
      <c r="H3525" s="8">
        <f t="shared" si="221"/>
        <v>14.4375</v>
      </c>
      <c r="I3525" s="6">
        <f t="shared" si="222"/>
        <v>25</v>
      </c>
      <c r="J3525" t="str">
        <f t="shared" si="223"/>
        <v>OK</v>
      </c>
    </row>
    <row r="3526" spans="1:10" x14ac:dyDescent="0.2">
      <c r="A3526">
        <v>13525</v>
      </c>
      <c r="B3526" t="s">
        <v>5</v>
      </c>
      <c r="C3526" t="s">
        <v>9</v>
      </c>
      <c r="D3526" s="8">
        <v>1.35</v>
      </c>
      <c r="E3526">
        <v>3</v>
      </c>
      <c r="F3526" t="str">
        <f t="shared" si="220"/>
        <v>Value</v>
      </c>
      <c r="G3526" s="3" cm="1">
        <f t="array" ref="G3526">_xlfn.XLOOKUP(C3526 &amp; F3526,
         [1]unilever_price_limits!A:A &amp; [1]unilever_price_limits!B:B,
         [1]unilever_price_limits!C:C)</f>
        <v>15</v>
      </c>
      <c r="H3526" s="8">
        <f t="shared" si="221"/>
        <v>1.5525</v>
      </c>
      <c r="I3526" s="6">
        <f t="shared" si="222"/>
        <v>14.999999999999991</v>
      </c>
      <c r="J3526" t="str">
        <f t="shared" si="223"/>
        <v>OK</v>
      </c>
    </row>
    <row r="3527" spans="1:10" x14ac:dyDescent="0.2">
      <c r="A3527">
        <v>13526</v>
      </c>
      <c r="B3527" t="s">
        <v>8</v>
      </c>
      <c r="C3527" t="s">
        <v>6</v>
      </c>
      <c r="D3527" s="8">
        <v>14.98</v>
      </c>
      <c r="E3527">
        <v>2</v>
      </c>
      <c r="F3527" t="str">
        <f t="shared" si="220"/>
        <v>Value</v>
      </c>
      <c r="G3527" s="3" cm="1">
        <f t="array" ref="G3527">_xlfn.XLOOKUP(C3527 &amp; F3527,
         [1]unilever_price_limits!A:A &amp; [1]unilever_price_limits!B:B,
         [1]unilever_price_limits!C:C)</f>
        <v>12</v>
      </c>
      <c r="H3527" s="8">
        <f t="shared" si="221"/>
        <v>16.777600000000003</v>
      </c>
      <c r="I3527" s="6">
        <f t="shared" si="222"/>
        <v>12.000000000000011</v>
      </c>
      <c r="J3527" t="str">
        <f t="shared" si="223"/>
        <v>OK</v>
      </c>
    </row>
    <row r="3528" spans="1:10" x14ac:dyDescent="0.2">
      <c r="A3528">
        <v>13527</v>
      </c>
      <c r="B3528" t="s">
        <v>10</v>
      </c>
      <c r="C3528" t="s">
        <v>9</v>
      </c>
      <c r="D3528" s="8">
        <v>11.41</v>
      </c>
      <c r="E3528">
        <v>3</v>
      </c>
      <c r="F3528" t="str">
        <f t="shared" si="220"/>
        <v>Value</v>
      </c>
      <c r="G3528" s="3" cm="1">
        <f t="array" ref="G3528">_xlfn.XLOOKUP(C3528 &amp; F3528,
         [1]unilever_price_limits!A:A &amp; [1]unilever_price_limits!B:B,
         [1]unilever_price_limits!C:C)</f>
        <v>15</v>
      </c>
      <c r="H3528" s="8">
        <f t="shared" si="221"/>
        <v>13.121499999999999</v>
      </c>
      <c r="I3528" s="6">
        <f t="shared" si="222"/>
        <v>14.999999999999991</v>
      </c>
      <c r="J3528" t="str">
        <f t="shared" si="223"/>
        <v>OK</v>
      </c>
    </row>
    <row r="3529" spans="1:10" x14ac:dyDescent="0.2">
      <c r="A3529">
        <v>13528</v>
      </c>
      <c r="B3529" t="s">
        <v>10</v>
      </c>
      <c r="C3529" t="s">
        <v>6</v>
      </c>
      <c r="D3529" s="8">
        <v>13.03</v>
      </c>
      <c r="E3529">
        <v>9</v>
      </c>
      <c r="F3529" t="str">
        <f t="shared" si="220"/>
        <v>Premium</v>
      </c>
      <c r="G3529" s="3" cm="1">
        <f t="array" ref="G3529">_xlfn.XLOOKUP(C3529 &amp; F3529,
         [1]unilever_price_limits!A:A &amp; [1]unilever_price_limits!B:B,
         [1]unilever_price_limits!C:C)</f>
        <v>55</v>
      </c>
      <c r="H3529" s="8">
        <f t="shared" si="221"/>
        <v>20.1965</v>
      </c>
      <c r="I3529" s="6">
        <f t="shared" si="222"/>
        <v>55.000000000000007</v>
      </c>
      <c r="J3529" t="str">
        <f t="shared" si="223"/>
        <v>OK</v>
      </c>
    </row>
    <row r="3530" spans="1:10" x14ac:dyDescent="0.2">
      <c r="A3530">
        <v>13529</v>
      </c>
      <c r="B3530" t="s">
        <v>7</v>
      </c>
      <c r="C3530" t="s">
        <v>6</v>
      </c>
      <c r="D3530" s="8">
        <v>9.94</v>
      </c>
      <c r="E3530">
        <v>8</v>
      </c>
      <c r="F3530" t="str">
        <f t="shared" si="220"/>
        <v>Premium</v>
      </c>
      <c r="G3530" s="3" cm="1">
        <f t="array" ref="G3530">_xlfn.XLOOKUP(C3530 &amp; F3530,
         [1]unilever_price_limits!A:A &amp; [1]unilever_price_limits!B:B,
         [1]unilever_price_limits!C:C)</f>
        <v>55</v>
      </c>
      <c r="H3530" s="8">
        <f t="shared" si="221"/>
        <v>15.407</v>
      </c>
      <c r="I3530" s="6">
        <f t="shared" si="222"/>
        <v>55.000000000000007</v>
      </c>
      <c r="J3530" t="str">
        <f t="shared" si="223"/>
        <v>OK</v>
      </c>
    </row>
    <row r="3531" spans="1:10" x14ac:dyDescent="0.2">
      <c r="A3531">
        <v>13530</v>
      </c>
      <c r="B3531" t="s">
        <v>10</v>
      </c>
      <c r="C3531" t="s">
        <v>9</v>
      </c>
      <c r="D3531" s="8">
        <v>12.92</v>
      </c>
      <c r="E3531">
        <v>3</v>
      </c>
      <c r="F3531" t="str">
        <f t="shared" si="220"/>
        <v>Value</v>
      </c>
      <c r="G3531" s="3" cm="1">
        <f t="array" ref="G3531">_xlfn.XLOOKUP(C3531 &amp; F3531,
         [1]unilever_price_limits!A:A &amp; [1]unilever_price_limits!B:B,
         [1]unilever_price_limits!C:C)</f>
        <v>15</v>
      </c>
      <c r="H3531" s="8">
        <f t="shared" si="221"/>
        <v>14.857999999999999</v>
      </c>
      <c r="I3531" s="6">
        <f t="shared" si="222"/>
        <v>14.999999999999991</v>
      </c>
      <c r="J3531" t="str">
        <f t="shared" si="223"/>
        <v>OK</v>
      </c>
    </row>
    <row r="3532" spans="1:10" x14ac:dyDescent="0.2">
      <c r="A3532">
        <v>13531</v>
      </c>
      <c r="B3532" t="s">
        <v>7</v>
      </c>
      <c r="C3532" t="s">
        <v>9</v>
      </c>
      <c r="D3532" s="8">
        <v>2.13</v>
      </c>
      <c r="E3532">
        <v>2</v>
      </c>
      <c r="F3532" t="str">
        <f t="shared" si="220"/>
        <v>Value</v>
      </c>
      <c r="G3532" s="3" cm="1">
        <f t="array" ref="G3532">_xlfn.XLOOKUP(C3532 &amp; F3532,
         [1]unilever_price_limits!A:A &amp; [1]unilever_price_limits!B:B,
         [1]unilever_price_limits!C:C)</f>
        <v>15</v>
      </c>
      <c r="H3532" s="8">
        <f t="shared" si="221"/>
        <v>2.4494999999999996</v>
      </c>
      <c r="I3532" s="6">
        <f t="shared" si="222"/>
        <v>14.999999999999991</v>
      </c>
      <c r="J3532" t="str">
        <f t="shared" si="223"/>
        <v>OK</v>
      </c>
    </row>
    <row r="3533" spans="1:10" x14ac:dyDescent="0.2">
      <c r="A3533">
        <v>13532</v>
      </c>
      <c r="B3533" t="s">
        <v>7</v>
      </c>
      <c r="C3533" t="s">
        <v>9</v>
      </c>
      <c r="D3533" s="8">
        <v>5.54</v>
      </c>
      <c r="E3533">
        <v>5</v>
      </c>
      <c r="F3533" t="str">
        <f t="shared" si="220"/>
        <v>Standard</v>
      </c>
      <c r="G3533" s="3" cm="1">
        <f t="array" ref="G3533">_xlfn.XLOOKUP(C3533 &amp; F3533,
         [1]unilever_price_limits!A:A &amp; [1]unilever_price_limits!B:B,
         [1]unilever_price_limits!C:C)</f>
        <v>30</v>
      </c>
      <c r="H3533" s="8">
        <f t="shared" si="221"/>
        <v>7.202</v>
      </c>
      <c r="I3533" s="6">
        <f t="shared" si="222"/>
        <v>30.000000000000004</v>
      </c>
      <c r="J3533" t="str">
        <f t="shared" si="223"/>
        <v>OK</v>
      </c>
    </row>
    <row r="3534" spans="1:10" x14ac:dyDescent="0.2">
      <c r="A3534">
        <v>13533</v>
      </c>
      <c r="B3534" t="s">
        <v>7</v>
      </c>
      <c r="C3534" t="s">
        <v>11</v>
      </c>
      <c r="D3534" s="8">
        <v>13.21</v>
      </c>
      <c r="E3534">
        <v>1</v>
      </c>
      <c r="F3534" t="str">
        <f t="shared" si="220"/>
        <v>Value</v>
      </c>
      <c r="G3534" s="3" cm="1">
        <f t="array" ref="G3534">_xlfn.XLOOKUP(C3534 &amp; F3534,
         [1]unilever_price_limits!A:A &amp; [1]unilever_price_limits!B:B,
         [1]unilever_price_limits!C:C)</f>
        <v>10</v>
      </c>
      <c r="H3534" s="8">
        <f t="shared" si="221"/>
        <v>14.531000000000002</v>
      </c>
      <c r="I3534" s="6">
        <f t="shared" si="222"/>
        <v>10.000000000000009</v>
      </c>
      <c r="J3534" t="str">
        <f t="shared" si="223"/>
        <v>OK</v>
      </c>
    </row>
    <row r="3535" spans="1:10" x14ac:dyDescent="0.2">
      <c r="A3535">
        <v>13534</v>
      </c>
      <c r="B3535" t="s">
        <v>10</v>
      </c>
      <c r="C3535" t="s">
        <v>6</v>
      </c>
      <c r="D3535" s="8">
        <v>3.42</v>
      </c>
      <c r="E3535">
        <v>4</v>
      </c>
      <c r="F3535" t="str">
        <f t="shared" si="220"/>
        <v>Standard</v>
      </c>
      <c r="G3535" s="3" cm="1">
        <f t="array" ref="G3535">_xlfn.XLOOKUP(C3535 &amp; F3535,
         [1]unilever_price_limits!A:A &amp; [1]unilever_price_limits!B:B,
         [1]unilever_price_limits!C:C)</f>
        <v>28</v>
      </c>
      <c r="H3535" s="8">
        <f t="shared" si="221"/>
        <v>4.3776000000000002</v>
      </c>
      <c r="I3535" s="6">
        <f t="shared" si="222"/>
        <v>28.000000000000004</v>
      </c>
      <c r="J3535" t="str">
        <f t="shared" si="223"/>
        <v>OK</v>
      </c>
    </row>
    <row r="3536" spans="1:10" x14ac:dyDescent="0.2">
      <c r="A3536">
        <v>13535</v>
      </c>
      <c r="B3536" t="s">
        <v>7</v>
      </c>
      <c r="C3536" t="s">
        <v>11</v>
      </c>
      <c r="D3536" s="8">
        <v>1.63</v>
      </c>
      <c r="E3536">
        <v>8</v>
      </c>
      <c r="F3536" t="str">
        <f t="shared" si="220"/>
        <v>Premium</v>
      </c>
      <c r="G3536" s="3" cm="1">
        <f t="array" ref="G3536">_xlfn.XLOOKUP(C3536 &amp; F3536,
         [1]unilever_price_limits!A:A &amp; [1]unilever_price_limits!B:B,
         [1]unilever_price_limits!C:C)</f>
        <v>50</v>
      </c>
      <c r="H3536" s="8">
        <f t="shared" si="221"/>
        <v>2.4449999999999998</v>
      </c>
      <c r="I3536" s="6">
        <f t="shared" si="222"/>
        <v>50</v>
      </c>
      <c r="J3536" t="str">
        <f t="shared" si="223"/>
        <v>OK</v>
      </c>
    </row>
    <row r="3537" spans="1:10" x14ac:dyDescent="0.2">
      <c r="A3537">
        <v>13536</v>
      </c>
      <c r="B3537" t="s">
        <v>5</v>
      </c>
      <c r="C3537" t="s">
        <v>9</v>
      </c>
      <c r="D3537" s="8">
        <v>11.93</v>
      </c>
      <c r="E3537">
        <v>1</v>
      </c>
      <c r="F3537" t="str">
        <f t="shared" si="220"/>
        <v>Value</v>
      </c>
      <c r="G3537" s="3" cm="1">
        <f t="array" ref="G3537">_xlfn.XLOOKUP(C3537 &amp; F3537,
         [1]unilever_price_limits!A:A &amp; [1]unilever_price_limits!B:B,
         [1]unilever_price_limits!C:C)</f>
        <v>15</v>
      </c>
      <c r="H3537" s="8">
        <f t="shared" si="221"/>
        <v>13.719499999999998</v>
      </c>
      <c r="I3537" s="6">
        <f t="shared" si="222"/>
        <v>14.999999999999991</v>
      </c>
      <c r="J3537" t="str">
        <f t="shared" si="223"/>
        <v>OK</v>
      </c>
    </row>
    <row r="3538" spans="1:10" x14ac:dyDescent="0.2">
      <c r="A3538">
        <v>13537</v>
      </c>
      <c r="B3538" t="s">
        <v>8</v>
      </c>
      <c r="C3538" t="s">
        <v>6</v>
      </c>
      <c r="D3538" s="8">
        <v>12.61</v>
      </c>
      <c r="E3538">
        <v>5</v>
      </c>
      <c r="F3538" t="str">
        <f t="shared" si="220"/>
        <v>Standard</v>
      </c>
      <c r="G3538" s="3" cm="1">
        <f t="array" ref="G3538">_xlfn.XLOOKUP(C3538 &amp; F3538,
         [1]unilever_price_limits!A:A &amp; [1]unilever_price_limits!B:B,
         [1]unilever_price_limits!C:C)</f>
        <v>28</v>
      </c>
      <c r="H3538" s="8">
        <f t="shared" si="221"/>
        <v>16.140799999999999</v>
      </c>
      <c r="I3538" s="6">
        <f t="shared" si="222"/>
        <v>28.000000000000004</v>
      </c>
      <c r="J3538" t="str">
        <f t="shared" si="223"/>
        <v>OK</v>
      </c>
    </row>
    <row r="3539" spans="1:10" x14ac:dyDescent="0.2">
      <c r="A3539">
        <v>13538</v>
      </c>
      <c r="B3539" t="s">
        <v>8</v>
      </c>
      <c r="C3539" t="s">
        <v>11</v>
      </c>
      <c r="D3539" s="8">
        <v>2.86</v>
      </c>
      <c r="E3539">
        <v>4</v>
      </c>
      <c r="F3539" t="str">
        <f t="shared" si="220"/>
        <v>Standard</v>
      </c>
      <c r="G3539" s="3" cm="1">
        <f t="array" ref="G3539">_xlfn.XLOOKUP(C3539 &amp; F3539,
         [1]unilever_price_limits!A:A &amp; [1]unilever_price_limits!B:B,
         [1]unilever_price_limits!C:C)</f>
        <v>25</v>
      </c>
      <c r="H3539" s="8">
        <f t="shared" si="221"/>
        <v>3.5749999999999997</v>
      </c>
      <c r="I3539" s="6">
        <f t="shared" si="222"/>
        <v>25</v>
      </c>
      <c r="J3539" t="str">
        <f t="shared" si="223"/>
        <v>OK</v>
      </c>
    </row>
    <row r="3540" spans="1:10" x14ac:dyDescent="0.2">
      <c r="A3540">
        <v>13539</v>
      </c>
      <c r="B3540" t="s">
        <v>7</v>
      </c>
      <c r="C3540" t="s">
        <v>6</v>
      </c>
      <c r="D3540" s="8">
        <v>12.89</v>
      </c>
      <c r="E3540">
        <v>6</v>
      </c>
      <c r="F3540" t="str">
        <f t="shared" si="220"/>
        <v>Standard</v>
      </c>
      <c r="G3540" s="3" cm="1">
        <f t="array" ref="G3540">_xlfn.XLOOKUP(C3540 &amp; F3540,
         [1]unilever_price_limits!A:A &amp; [1]unilever_price_limits!B:B,
         [1]unilever_price_limits!C:C)</f>
        <v>28</v>
      </c>
      <c r="H3540" s="8">
        <f t="shared" si="221"/>
        <v>16.499200000000002</v>
      </c>
      <c r="I3540" s="6">
        <f t="shared" si="222"/>
        <v>28.000000000000004</v>
      </c>
      <c r="J3540" t="str">
        <f t="shared" si="223"/>
        <v>OK</v>
      </c>
    </row>
    <row r="3541" spans="1:10" x14ac:dyDescent="0.2">
      <c r="A3541">
        <v>13540</v>
      </c>
      <c r="B3541" t="s">
        <v>8</v>
      </c>
      <c r="C3541" t="s">
        <v>11</v>
      </c>
      <c r="D3541" s="8">
        <v>10.46</v>
      </c>
      <c r="E3541">
        <v>7</v>
      </c>
      <c r="F3541" t="str">
        <f t="shared" si="220"/>
        <v>Standard</v>
      </c>
      <c r="G3541" s="3" cm="1">
        <f t="array" ref="G3541">_xlfn.XLOOKUP(C3541 &amp; F3541,
         [1]unilever_price_limits!A:A &amp; [1]unilever_price_limits!B:B,
         [1]unilever_price_limits!C:C)</f>
        <v>25</v>
      </c>
      <c r="H3541" s="8">
        <f t="shared" si="221"/>
        <v>13.075000000000001</v>
      </c>
      <c r="I3541" s="6">
        <f t="shared" si="222"/>
        <v>25</v>
      </c>
      <c r="J3541" t="str">
        <f t="shared" si="223"/>
        <v>OK</v>
      </c>
    </row>
    <row r="3542" spans="1:10" x14ac:dyDescent="0.2">
      <c r="A3542">
        <v>13541</v>
      </c>
      <c r="B3542" t="s">
        <v>10</v>
      </c>
      <c r="C3542" t="s">
        <v>9</v>
      </c>
      <c r="D3542" s="8">
        <v>8.0399999999999991</v>
      </c>
      <c r="E3542">
        <v>9</v>
      </c>
      <c r="F3542" t="str">
        <f t="shared" si="220"/>
        <v>Premium</v>
      </c>
      <c r="G3542" s="3" cm="1">
        <f t="array" ref="G3542">_xlfn.XLOOKUP(C3542 &amp; F3542,
         [1]unilever_price_limits!A:A &amp; [1]unilever_price_limits!B:B,
         [1]unilever_price_limits!C:C)</f>
        <v>60</v>
      </c>
      <c r="H3542" s="8">
        <f t="shared" si="221"/>
        <v>12.863999999999999</v>
      </c>
      <c r="I3542" s="6">
        <f t="shared" si="222"/>
        <v>60.000000000000007</v>
      </c>
      <c r="J3542" t="str">
        <f t="shared" si="223"/>
        <v>OK</v>
      </c>
    </row>
    <row r="3543" spans="1:10" x14ac:dyDescent="0.2">
      <c r="A3543">
        <v>13542</v>
      </c>
      <c r="B3543" t="s">
        <v>10</v>
      </c>
      <c r="C3543" t="s">
        <v>11</v>
      </c>
      <c r="D3543" s="8">
        <v>12.54</v>
      </c>
      <c r="E3543">
        <v>1</v>
      </c>
      <c r="F3543" t="str">
        <f t="shared" si="220"/>
        <v>Value</v>
      </c>
      <c r="G3543" s="3" cm="1">
        <f t="array" ref="G3543">_xlfn.XLOOKUP(C3543 &amp; F3543,
         [1]unilever_price_limits!A:A &amp; [1]unilever_price_limits!B:B,
         [1]unilever_price_limits!C:C)</f>
        <v>10</v>
      </c>
      <c r="H3543" s="8">
        <f t="shared" si="221"/>
        <v>13.794</v>
      </c>
      <c r="I3543" s="6">
        <f t="shared" si="222"/>
        <v>10.000000000000009</v>
      </c>
      <c r="J3543" t="str">
        <f t="shared" si="223"/>
        <v>OK</v>
      </c>
    </row>
    <row r="3544" spans="1:10" x14ac:dyDescent="0.2">
      <c r="A3544">
        <v>13543</v>
      </c>
      <c r="B3544" t="s">
        <v>8</v>
      </c>
      <c r="C3544" t="s">
        <v>6</v>
      </c>
      <c r="D3544" s="8">
        <v>6.58</v>
      </c>
      <c r="E3544">
        <v>10</v>
      </c>
      <c r="F3544" t="str">
        <f t="shared" si="220"/>
        <v>Premium</v>
      </c>
      <c r="G3544" s="3" cm="1">
        <f t="array" ref="G3544">_xlfn.XLOOKUP(C3544 &amp; F3544,
         [1]unilever_price_limits!A:A &amp; [1]unilever_price_limits!B:B,
         [1]unilever_price_limits!C:C)</f>
        <v>55</v>
      </c>
      <c r="H3544" s="8">
        <f t="shared" si="221"/>
        <v>10.199</v>
      </c>
      <c r="I3544" s="6">
        <f t="shared" si="222"/>
        <v>55.000000000000007</v>
      </c>
      <c r="J3544" t="str">
        <f t="shared" si="223"/>
        <v>OK</v>
      </c>
    </row>
    <row r="3545" spans="1:10" x14ac:dyDescent="0.2">
      <c r="A3545">
        <v>13544</v>
      </c>
      <c r="B3545" t="s">
        <v>10</v>
      </c>
      <c r="C3545" t="s">
        <v>6</v>
      </c>
      <c r="D3545" s="8">
        <v>3.31</v>
      </c>
      <c r="E3545">
        <v>4</v>
      </c>
      <c r="F3545" t="str">
        <f t="shared" si="220"/>
        <v>Standard</v>
      </c>
      <c r="G3545" s="3" cm="1">
        <f t="array" ref="G3545">_xlfn.XLOOKUP(C3545 &amp; F3545,
         [1]unilever_price_limits!A:A &amp; [1]unilever_price_limits!B:B,
         [1]unilever_price_limits!C:C)</f>
        <v>28</v>
      </c>
      <c r="H3545" s="8">
        <f t="shared" si="221"/>
        <v>4.2368000000000006</v>
      </c>
      <c r="I3545" s="6">
        <f t="shared" si="222"/>
        <v>28.000000000000025</v>
      </c>
      <c r="J3545" t="str">
        <f t="shared" si="223"/>
        <v>OK</v>
      </c>
    </row>
    <row r="3546" spans="1:10" x14ac:dyDescent="0.2">
      <c r="A3546">
        <v>13545</v>
      </c>
      <c r="B3546" t="s">
        <v>8</v>
      </c>
      <c r="C3546" t="s">
        <v>6</v>
      </c>
      <c r="D3546" s="8">
        <v>4.63</v>
      </c>
      <c r="E3546">
        <v>6</v>
      </c>
      <c r="F3546" t="str">
        <f t="shared" si="220"/>
        <v>Standard</v>
      </c>
      <c r="G3546" s="3" cm="1">
        <f t="array" ref="G3546">_xlfn.XLOOKUP(C3546 &amp; F3546,
         [1]unilever_price_limits!A:A &amp; [1]unilever_price_limits!B:B,
         [1]unilever_price_limits!C:C)</f>
        <v>28</v>
      </c>
      <c r="H3546" s="8">
        <f t="shared" si="221"/>
        <v>5.9264000000000001</v>
      </c>
      <c r="I3546" s="6">
        <f t="shared" si="222"/>
        <v>28.000000000000004</v>
      </c>
      <c r="J3546" t="str">
        <f t="shared" si="223"/>
        <v>OK</v>
      </c>
    </row>
    <row r="3547" spans="1:10" x14ac:dyDescent="0.2">
      <c r="A3547">
        <v>13546</v>
      </c>
      <c r="B3547" t="s">
        <v>8</v>
      </c>
      <c r="C3547" t="s">
        <v>6</v>
      </c>
      <c r="D3547" s="8">
        <v>7.82</v>
      </c>
      <c r="E3547">
        <v>10</v>
      </c>
      <c r="F3547" t="str">
        <f t="shared" si="220"/>
        <v>Premium</v>
      </c>
      <c r="G3547" s="3" cm="1">
        <f t="array" ref="G3547">_xlfn.XLOOKUP(C3547 &amp; F3547,
         [1]unilever_price_limits!A:A &amp; [1]unilever_price_limits!B:B,
         [1]unilever_price_limits!C:C)</f>
        <v>55</v>
      </c>
      <c r="H3547" s="8">
        <f t="shared" si="221"/>
        <v>12.121</v>
      </c>
      <c r="I3547" s="6">
        <f t="shared" si="222"/>
        <v>55.000000000000007</v>
      </c>
      <c r="J3547" t="str">
        <f t="shared" si="223"/>
        <v>OK</v>
      </c>
    </row>
    <row r="3548" spans="1:10" x14ac:dyDescent="0.2">
      <c r="A3548">
        <v>13547</v>
      </c>
      <c r="B3548" t="s">
        <v>8</v>
      </c>
      <c r="C3548" t="s">
        <v>9</v>
      </c>
      <c r="D3548" s="8">
        <v>8.1999999999999993</v>
      </c>
      <c r="E3548">
        <v>7</v>
      </c>
      <c r="F3548" t="str">
        <f t="shared" si="220"/>
        <v>Standard</v>
      </c>
      <c r="G3548" s="3" cm="1">
        <f t="array" ref="G3548">_xlfn.XLOOKUP(C3548 &amp; F3548,
         [1]unilever_price_limits!A:A &amp; [1]unilever_price_limits!B:B,
         [1]unilever_price_limits!C:C)</f>
        <v>30</v>
      </c>
      <c r="H3548" s="8">
        <f t="shared" si="221"/>
        <v>10.66</v>
      </c>
      <c r="I3548" s="6">
        <f t="shared" si="222"/>
        <v>30.000000000000004</v>
      </c>
      <c r="J3548" t="str">
        <f t="shared" si="223"/>
        <v>OK</v>
      </c>
    </row>
    <row r="3549" spans="1:10" x14ac:dyDescent="0.2">
      <c r="A3549">
        <v>13548</v>
      </c>
      <c r="B3549" t="s">
        <v>7</v>
      </c>
      <c r="C3549" t="s">
        <v>11</v>
      </c>
      <c r="D3549" s="8">
        <v>12.18</v>
      </c>
      <c r="E3549">
        <v>7</v>
      </c>
      <c r="F3549" t="str">
        <f t="shared" si="220"/>
        <v>Standard</v>
      </c>
      <c r="G3549" s="3" cm="1">
        <f t="array" ref="G3549">_xlfn.XLOOKUP(C3549 &amp; F3549,
         [1]unilever_price_limits!A:A &amp; [1]unilever_price_limits!B:B,
         [1]unilever_price_limits!C:C)</f>
        <v>25</v>
      </c>
      <c r="H3549" s="8">
        <f t="shared" si="221"/>
        <v>15.225</v>
      </c>
      <c r="I3549" s="6">
        <f t="shared" si="222"/>
        <v>25</v>
      </c>
      <c r="J3549" t="str">
        <f t="shared" si="223"/>
        <v>OK</v>
      </c>
    </row>
    <row r="3550" spans="1:10" x14ac:dyDescent="0.2">
      <c r="A3550">
        <v>13549</v>
      </c>
      <c r="B3550" t="s">
        <v>8</v>
      </c>
      <c r="C3550" t="s">
        <v>9</v>
      </c>
      <c r="D3550" s="8">
        <v>11.97</v>
      </c>
      <c r="E3550">
        <v>8</v>
      </c>
      <c r="F3550" t="str">
        <f t="shared" si="220"/>
        <v>Premium</v>
      </c>
      <c r="G3550" s="3" cm="1">
        <f t="array" ref="G3550">_xlfn.XLOOKUP(C3550 &amp; F3550,
         [1]unilever_price_limits!A:A &amp; [1]unilever_price_limits!B:B,
         [1]unilever_price_limits!C:C)</f>
        <v>60</v>
      </c>
      <c r="H3550" s="8">
        <f t="shared" si="221"/>
        <v>19.152000000000001</v>
      </c>
      <c r="I3550" s="6">
        <f t="shared" si="222"/>
        <v>60.000000000000007</v>
      </c>
      <c r="J3550" t="str">
        <f t="shared" si="223"/>
        <v>OK</v>
      </c>
    </row>
    <row r="3551" spans="1:10" x14ac:dyDescent="0.2">
      <c r="A3551">
        <v>13550</v>
      </c>
      <c r="B3551" t="s">
        <v>7</v>
      </c>
      <c r="C3551" t="s">
        <v>9</v>
      </c>
      <c r="D3551" s="8">
        <v>8.93</v>
      </c>
      <c r="E3551">
        <v>10</v>
      </c>
      <c r="F3551" t="str">
        <f t="shared" si="220"/>
        <v>Premium</v>
      </c>
      <c r="G3551" s="3" cm="1">
        <f t="array" ref="G3551">_xlfn.XLOOKUP(C3551 &amp; F3551,
         [1]unilever_price_limits!A:A &amp; [1]unilever_price_limits!B:B,
         [1]unilever_price_limits!C:C)</f>
        <v>60</v>
      </c>
      <c r="H3551" s="8">
        <f t="shared" si="221"/>
        <v>14.288</v>
      </c>
      <c r="I3551" s="6">
        <f t="shared" si="222"/>
        <v>60.000000000000007</v>
      </c>
      <c r="J3551" t="str">
        <f t="shared" si="223"/>
        <v>OK</v>
      </c>
    </row>
    <row r="3552" spans="1:10" x14ac:dyDescent="0.2">
      <c r="A3552">
        <v>13551</v>
      </c>
      <c r="B3552" t="s">
        <v>8</v>
      </c>
      <c r="C3552" t="s">
        <v>9</v>
      </c>
      <c r="D3552" s="8">
        <v>11.82</v>
      </c>
      <c r="E3552">
        <v>8</v>
      </c>
      <c r="F3552" t="str">
        <f t="shared" si="220"/>
        <v>Premium</v>
      </c>
      <c r="G3552" s="3" cm="1">
        <f t="array" ref="G3552">_xlfn.XLOOKUP(C3552 &amp; F3552,
         [1]unilever_price_limits!A:A &amp; [1]unilever_price_limits!B:B,
         [1]unilever_price_limits!C:C)</f>
        <v>60</v>
      </c>
      <c r="H3552" s="8">
        <f t="shared" si="221"/>
        <v>18.912000000000003</v>
      </c>
      <c r="I3552" s="6">
        <f t="shared" si="222"/>
        <v>60.000000000000007</v>
      </c>
      <c r="J3552" t="str">
        <f t="shared" si="223"/>
        <v>OK</v>
      </c>
    </row>
    <row r="3553" spans="1:10" x14ac:dyDescent="0.2">
      <c r="A3553">
        <v>13552</v>
      </c>
      <c r="B3553" t="s">
        <v>8</v>
      </c>
      <c r="C3553" t="s">
        <v>6</v>
      </c>
      <c r="D3553" s="8">
        <v>3.28</v>
      </c>
      <c r="E3553">
        <v>8</v>
      </c>
      <c r="F3553" t="str">
        <f t="shared" si="220"/>
        <v>Premium</v>
      </c>
      <c r="G3553" s="3" cm="1">
        <f t="array" ref="G3553">_xlfn.XLOOKUP(C3553 &amp; F3553,
         [1]unilever_price_limits!A:A &amp; [1]unilever_price_limits!B:B,
         [1]unilever_price_limits!C:C)</f>
        <v>55</v>
      </c>
      <c r="H3553" s="8">
        <f t="shared" si="221"/>
        <v>5.0839999999999996</v>
      </c>
      <c r="I3553" s="6">
        <f t="shared" si="222"/>
        <v>55.000000000000007</v>
      </c>
      <c r="J3553" t="str">
        <f t="shared" si="223"/>
        <v>OK</v>
      </c>
    </row>
    <row r="3554" spans="1:10" x14ac:dyDescent="0.2">
      <c r="A3554">
        <v>13553</v>
      </c>
      <c r="B3554" t="s">
        <v>8</v>
      </c>
      <c r="C3554" t="s">
        <v>6</v>
      </c>
      <c r="D3554" s="8">
        <v>1.23</v>
      </c>
      <c r="E3554">
        <v>8</v>
      </c>
      <c r="F3554" t="str">
        <f t="shared" si="220"/>
        <v>Premium</v>
      </c>
      <c r="G3554" s="3" cm="1">
        <f t="array" ref="G3554">_xlfn.XLOOKUP(C3554 &amp; F3554,
         [1]unilever_price_limits!A:A &amp; [1]unilever_price_limits!B:B,
         [1]unilever_price_limits!C:C)</f>
        <v>55</v>
      </c>
      <c r="H3554" s="8">
        <f t="shared" si="221"/>
        <v>1.9065000000000001</v>
      </c>
      <c r="I3554" s="6">
        <f t="shared" si="222"/>
        <v>55.000000000000007</v>
      </c>
      <c r="J3554" t="str">
        <f t="shared" si="223"/>
        <v>OK</v>
      </c>
    </row>
    <row r="3555" spans="1:10" x14ac:dyDescent="0.2">
      <c r="A3555">
        <v>13554</v>
      </c>
      <c r="B3555" t="s">
        <v>10</v>
      </c>
      <c r="C3555" t="s">
        <v>6</v>
      </c>
      <c r="D3555" s="8">
        <v>13.17</v>
      </c>
      <c r="E3555">
        <v>8</v>
      </c>
      <c r="F3555" t="str">
        <f t="shared" si="220"/>
        <v>Premium</v>
      </c>
      <c r="G3555" s="3" cm="1">
        <f t="array" ref="G3555">_xlfn.XLOOKUP(C3555 &amp; F3555,
         [1]unilever_price_limits!A:A &amp; [1]unilever_price_limits!B:B,
         [1]unilever_price_limits!C:C)</f>
        <v>55</v>
      </c>
      <c r="H3555" s="8">
        <f t="shared" si="221"/>
        <v>20.413499999999999</v>
      </c>
      <c r="I3555" s="6">
        <f t="shared" si="222"/>
        <v>55.000000000000007</v>
      </c>
      <c r="J3555" t="str">
        <f t="shared" si="223"/>
        <v>OK</v>
      </c>
    </row>
    <row r="3556" spans="1:10" x14ac:dyDescent="0.2">
      <c r="A3556">
        <v>13555</v>
      </c>
      <c r="B3556" t="s">
        <v>7</v>
      </c>
      <c r="C3556" t="s">
        <v>11</v>
      </c>
      <c r="D3556" s="8">
        <v>1.6</v>
      </c>
      <c r="E3556">
        <v>6</v>
      </c>
      <c r="F3556" t="str">
        <f t="shared" si="220"/>
        <v>Standard</v>
      </c>
      <c r="G3556" s="3" cm="1">
        <f t="array" ref="G3556">_xlfn.XLOOKUP(C3556 &amp; F3556,
         [1]unilever_price_limits!A:A &amp; [1]unilever_price_limits!B:B,
         [1]unilever_price_limits!C:C)</f>
        <v>25</v>
      </c>
      <c r="H3556" s="8">
        <f t="shared" si="221"/>
        <v>2</v>
      </c>
      <c r="I3556" s="6">
        <f t="shared" si="222"/>
        <v>25</v>
      </c>
      <c r="J3556" t="str">
        <f t="shared" si="223"/>
        <v>OK</v>
      </c>
    </row>
    <row r="3557" spans="1:10" x14ac:dyDescent="0.2">
      <c r="A3557">
        <v>13556</v>
      </c>
      <c r="B3557" t="s">
        <v>7</v>
      </c>
      <c r="C3557" t="s">
        <v>6</v>
      </c>
      <c r="D3557" s="8">
        <v>4.08</v>
      </c>
      <c r="E3557">
        <v>9</v>
      </c>
      <c r="F3557" t="str">
        <f t="shared" si="220"/>
        <v>Premium</v>
      </c>
      <c r="G3557" s="3" cm="1">
        <f t="array" ref="G3557">_xlfn.XLOOKUP(C3557 &amp; F3557,
         [1]unilever_price_limits!A:A &amp; [1]unilever_price_limits!B:B,
         [1]unilever_price_limits!C:C)</f>
        <v>55</v>
      </c>
      <c r="H3557" s="8">
        <f t="shared" si="221"/>
        <v>6.3240000000000007</v>
      </c>
      <c r="I3557" s="6">
        <f t="shared" si="222"/>
        <v>55.000000000000007</v>
      </c>
      <c r="J3557" t="str">
        <f t="shared" si="223"/>
        <v>OK</v>
      </c>
    </row>
    <row r="3558" spans="1:10" x14ac:dyDescent="0.2">
      <c r="A3558">
        <v>13557</v>
      </c>
      <c r="B3558" t="s">
        <v>8</v>
      </c>
      <c r="C3558" t="s">
        <v>11</v>
      </c>
      <c r="D3558" s="8">
        <v>10.58</v>
      </c>
      <c r="E3558">
        <v>3</v>
      </c>
      <c r="F3558" t="str">
        <f t="shared" si="220"/>
        <v>Value</v>
      </c>
      <c r="G3558" s="3" cm="1">
        <f t="array" ref="G3558">_xlfn.XLOOKUP(C3558 &amp; F3558,
         [1]unilever_price_limits!A:A &amp; [1]unilever_price_limits!B:B,
         [1]unilever_price_limits!C:C)</f>
        <v>10</v>
      </c>
      <c r="H3558" s="8">
        <f t="shared" si="221"/>
        <v>11.638000000000002</v>
      </c>
      <c r="I3558" s="6">
        <f t="shared" si="222"/>
        <v>10.000000000000009</v>
      </c>
      <c r="J3558" t="str">
        <f t="shared" si="223"/>
        <v>OK</v>
      </c>
    </row>
    <row r="3559" spans="1:10" x14ac:dyDescent="0.2">
      <c r="A3559">
        <v>13558</v>
      </c>
      <c r="B3559" t="s">
        <v>8</v>
      </c>
      <c r="C3559" t="s">
        <v>6</v>
      </c>
      <c r="D3559" s="8">
        <v>6.44</v>
      </c>
      <c r="E3559">
        <v>6</v>
      </c>
      <c r="F3559" t="str">
        <f t="shared" si="220"/>
        <v>Standard</v>
      </c>
      <c r="G3559" s="3" cm="1">
        <f t="array" ref="G3559">_xlfn.XLOOKUP(C3559 &amp; F3559,
         [1]unilever_price_limits!A:A &amp; [1]unilever_price_limits!B:B,
         [1]unilever_price_limits!C:C)</f>
        <v>28</v>
      </c>
      <c r="H3559" s="8">
        <f t="shared" si="221"/>
        <v>8.2431999999999999</v>
      </c>
      <c r="I3559" s="6">
        <f t="shared" si="222"/>
        <v>27.999999999999979</v>
      </c>
      <c r="J3559" t="str">
        <f t="shared" si="223"/>
        <v>OK</v>
      </c>
    </row>
    <row r="3560" spans="1:10" x14ac:dyDescent="0.2">
      <c r="A3560">
        <v>13559</v>
      </c>
      <c r="B3560" t="s">
        <v>10</v>
      </c>
      <c r="C3560" t="s">
        <v>6</v>
      </c>
      <c r="D3560" s="8">
        <v>13.21</v>
      </c>
      <c r="E3560">
        <v>5</v>
      </c>
      <c r="F3560" t="str">
        <f t="shared" si="220"/>
        <v>Standard</v>
      </c>
      <c r="G3560" s="3" cm="1">
        <f t="array" ref="G3560">_xlfn.XLOOKUP(C3560 &amp; F3560,
         [1]unilever_price_limits!A:A &amp; [1]unilever_price_limits!B:B,
         [1]unilever_price_limits!C:C)</f>
        <v>28</v>
      </c>
      <c r="H3560" s="8">
        <f t="shared" si="221"/>
        <v>16.908800000000003</v>
      </c>
      <c r="I3560" s="6">
        <f t="shared" si="222"/>
        <v>28.000000000000025</v>
      </c>
      <c r="J3560" t="str">
        <f t="shared" si="223"/>
        <v>OK</v>
      </c>
    </row>
    <row r="3561" spans="1:10" x14ac:dyDescent="0.2">
      <c r="A3561">
        <v>13560</v>
      </c>
      <c r="B3561" t="s">
        <v>10</v>
      </c>
      <c r="C3561" t="s">
        <v>9</v>
      </c>
      <c r="D3561" s="8">
        <v>4.82</v>
      </c>
      <c r="E3561">
        <v>8</v>
      </c>
      <c r="F3561" t="str">
        <f t="shared" si="220"/>
        <v>Premium</v>
      </c>
      <c r="G3561" s="3" cm="1">
        <f t="array" ref="G3561">_xlfn.XLOOKUP(C3561 &amp; F3561,
         [1]unilever_price_limits!A:A &amp; [1]unilever_price_limits!B:B,
         [1]unilever_price_limits!C:C)</f>
        <v>60</v>
      </c>
      <c r="H3561" s="8">
        <f t="shared" si="221"/>
        <v>7.7120000000000006</v>
      </c>
      <c r="I3561" s="6">
        <f t="shared" si="222"/>
        <v>60.000000000000007</v>
      </c>
      <c r="J3561" t="str">
        <f t="shared" si="223"/>
        <v>OK</v>
      </c>
    </row>
    <row r="3562" spans="1:10" x14ac:dyDescent="0.2">
      <c r="A3562">
        <v>13561</v>
      </c>
      <c r="B3562" t="s">
        <v>10</v>
      </c>
      <c r="C3562" t="s">
        <v>9</v>
      </c>
      <c r="D3562" s="8">
        <v>0.67</v>
      </c>
      <c r="E3562">
        <v>4</v>
      </c>
      <c r="F3562" t="str">
        <f t="shared" si="220"/>
        <v>Standard</v>
      </c>
      <c r="G3562" s="3" cm="1">
        <f t="array" ref="G3562">_xlfn.XLOOKUP(C3562 &amp; F3562,
         [1]unilever_price_limits!A:A &amp; [1]unilever_price_limits!B:B,
         [1]unilever_price_limits!C:C)</f>
        <v>30</v>
      </c>
      <c r="H3562" s="8">
        <f t="shared" si="221"/>
        <v>0.87100000000000011</v>
      </c>
      <c r="I3562" s="6">
        <f t="shared" si="222"/>
        <v>30.000000000000004</v>
      </c>
      <c r="J3562" t="str">
        <f t="shared" si="223"/>
        <v>OK</v>
      </c>
    </row>
    <row r="3563" spans="1:10" x14ac:dyDescent="0.2">
      <c r="A3563">
        <v>13562</v>
      </c>
      <c r="B3563" t="s">
        <v>7</v>
      </c>
      <c r="C3563" t="s">
        <v>9</v>
      </c>
      <c r="D3563" s="8">
        <v>4.8600000000000003</v>
      </c>
      <c r="E3563">
        <v>4</v>
      </c>
      <c r="F3563" t="str">
        <f t="shared" si="220"/>
        <v>Standard</v>
      </c>
      <c r="G3563" s="3" cm="1">
        <f t="array" ref="G3563">_xlfn.XLOOKUP(C3563 &amp; F3563,
         [1]unilever_price_limits!A:A &amp; [1]unilever_price_limits!B:B,
         [1]unilever_price_limits!C:C)</f>
        <v>30</v>
      </c>
      <c r="H3563" s="8">
        <f t="shared" si="221"/>
        <v>6.3180000000000005</v>
      </c>
      <c r="I3563" s="6">
        <f t="shared" si="222"/>
        <v>30.000000000000004</v>
      </c>
      <c r="J3563" t="str">
        <f t="shared" si="223"/>
        <v>OK</v>
      </c>
    </row>
    <row r="3564" spans="1:10" x14ac:dyDescent="0.2">
      <c r="A3564">
        <v>13563</v>
      </c>
      <c r="B3564" t="s">
        <v>7</v>
      </c>
      <c r="C3564" t="s">
        <v>11</v>
      </c>
      <c r="D3564" s="8">
        <v>8.8800000000000008</v>
      </c>
      <c r="E3564">
        <v>10</v>
      </c>
      <c r="F3564" t="str">
        <f t="shared" si="220"/>
        <v>Premium</v>
      </c>
      <c r="G3564" s="3" cm="1">
        <f t="array" ref="G3564">_xlfn.XLOOKUP(C3564 &amp; F3564,
         [1]unilever_price_limits!A:A &amp; [1]unilever_price_limits!B:B,
         [1]unilever_price_limits!C:C)</f>
        <v>50</v>
      </c>
      <c r="H3564" s="8">
        <f t="shared" si="221"/>
        <v>13.32</v>
      </c>
      <c r="I3564" s="6">
        <f t="shared" si="222"/>
        <v>50</v>
      </c>
      <c r="J3564" t="str">
        <f t="shared" si="223"/>
        <v>OK</v>
      </c>
    </row>
    <row r="3565" spans="1:10" x14ac:dyDescent="0.2">
      <c r="A3565">
        <v>13564</v>
      </c>
      <c r="B3565" t="s">
        <v>7</v>
      </c>
      <c r="C3565" t="s">
        <v>11</v>
      </c>
      <c r="D3565" s="8">
        <v>5.95</v>
      </c>
      <c r="E3565">
        <v>10</v>
      </c>
      <c r="F3565" t="str">
        <f t="shared" si="220"/>
        <v>Premium</v>
      </c>
      <c r="G3565" s="3" cm="1">
        <f t="array" ref="G3565">_xlfn.XLOOKUP(C3565 &amp; F3565,
         [1]unilever_price_limits!A:A &amp; [1]unilever_price_limits!B:B,
         [1]unilever_price_limits!C:C)</f>
        <v>50</v>
      </c>
      <c r="H3565" s="8">
        <f t="shared" si="221"/>
        <v>8.9250000000000007</v>
      </c>
      <c r="I3565" s="6">
        <f t="shared" si="222"/>
        <v>50</v>
      </c>
      <c r="J3565" t="str">
        <f t="shared" si="223"/>
        <v>OK</v>
      </c>
    </row>
    <row r="3566" spans="1:10" x14ac:dyDescent="0.2">
      <c r="A3566">
        <v>13565</v>
      </c>
      <c r="B3566" t="s">
        <v>8</v>
      </c>
      <c r="C3566" t="s">
        <v>6</v>
      </c>
      <c r="D3566" s="8">
        <v>8.26</v>
      </c>
      <c r="E3566">
        <v>5</v>
      </c>
      <c r="F3566" t="str">
        <f t="shared" si="220"/>
        <v>Standard</v>
      </c>
      <c r="G3566" s="3" cm="1">
        <f t="array" ref="G3566">_xlfn.XLOOKUP(C3566 &amp; F3566,
         [1]unilever_price_limits!A:A &amp; [1]unilever_price_limits!B:B,
         [1]unilever_price_limits!C:C)</f>
        <v>28</v>
      </c>
      <c r="H3566" s="8">
        <f t="shared" si="221"/>
        <v>10.572799999999999</v>
      </c>
      <c r="I3566" s="6">
        <f t="shared" si="222"/>
        <v>28.000000000000004</v>
      </c>
      <c r="J3566" t="str">
        <f t="shared" si="223"/>
        <v>OK</v>
      </c>
    </row>
    <row r="3567" spans="1:10" x14ac:dyDescent="0.2">
      <c r="A3567">
        <v>13566</v>
      </c>
      <c r="B3567" t="s">
        <v>7</v>
      </c>
      <c r="C3567" t="s">
        <v>11</v>
      </c>
      <c r="D3567" s="8">
        <v>13.21</v>
      </c>
      <c r="E3567">
        <v>6</v>
      </c>
      <c r="F3567" t="str">
        <f t="shared" si="220"/>
        <v>Standard</v>
      </c>
      <c r="G3567" s="3" cm="1">
        <f t="array" ref="G3567">_xlfn.XLOOKUP(C3567 &amp; F3567,
         [1]unilever_price_limits!A:A &amp; [1]unilever_price_limits!B:B,
         [1]unilever_price_limits!C:C)</f>
        <v>25</v>
      </c>
      <c r="H3567" s="8">
        <f t="shared" si="221"/>
        <v>16.512500000000003</v>
      </c>
      <c r="I3567" s="6">
        <f t="shared" si="222"/>
        <v>25.000000000000021</v>
      </c>
      <c r="J3567" t="str">
        <f t="shared" si="223"/>
        <v>OK</v>
      </c>
    </row>
    <row r="3568" spans="1:10" x14ac:dyDescent="0.2">
      <c r="A3568">
        <v>13567</v>
      </c>
      <c r="B3568" t="s">
        <v>5</v>
      </c>
      <c r="C3568" t="s">
        <v>6</v>
      </c>
      <c r="D3568" s="8">
        <v>13.73</v>
      </c>
      <c r="E3568">
        <v>4</v>
      </c>
      <c r="F3568" t="str">
        <f t="shared" si="220"/>
        <v>Standard</v>
      </c>
      <c r="G3568" s="3" cm="1">
        <f t="array" ref="G3568">_xlfn.XLOOKUP(C3568 &amp; F3568,
         [1]unilever_price_limits!A:A &amp; [1]unilever_price_limits!B:B,
         [1]unilever_price_limits!C:C)</f>
        <v>28</v>
      </c>
      <c r="H3568" s="8">
        <f t="shared" si="221"/>
        <v>17.574400000000001</v>
      </c>
      <c r="I3568" s="6">
        <f t="shared" si="222"/>
        <v>28.000000000000004</v>
      </c>
      <c r="J3568" t="str">
        <f t="shared" si="223"/>
        <v>OK</v>
      </c>
    </row>
    <row r="3569" spans="1:10" x14ac:dyDescent="0.2">
      <c r="A3569">
        <v>13568</v>
      </c>
      <c r="B3569" t="s">
        <v>5</v>
      </c>
      <c r="C3569" t="s">
        <v>11</v>
      </c>
      <c r="D3569" s="8">
        <v>4.3600000000000003</v>
      </c>
      <c r="E3569">
        <v>2</v>
      </c>
      <c r="F3569" t="str">
        <f t="shared" si="220"/>
        <v>Value</v>
      </c>
      <c r="G3569" s="3" cm="1">
        <f t="array" ref="G3569">_xlfn.XLOOKUP(C3569 &amp; F3569,
         [1]unilever_price_limits!A:A &amp; [1]unilever_price_limits!B:B,
         [1]unilever_price_limits!C:C)</f>
        <v>10</v>
      </c>
      <c r="H3569" s="8">
        <f t="shared" si="221"/>
        <v>4.7960000000000012</v>
      </c>
      <c r="I3569" s="6">
        <f t="shared" si="222"/>
        <v>10.000000000000009</v>
      </c>
      <c r="J3569" t="str">
        <f t="shared" si="223"/>
        <v>OK</v>
      </c>
    </row>
    <row r="3570" spans="1:10" x14ac:dyDescent="0.2">
      <c r="A3570">
        <v>13569</v>
      </c>
      <c r="B3570" t="s">
        <v>10</v>
      </c>
      <c r="C3570" t="s">
        <v>11</v>
      </c>
      <c r="D3570" s="8">
        <v>7.2</v>
      </c>
      <c r="E3570">
        <v>2</v>
      </c>
      <c r="F3570" t="str">
        <f t="shared" si="220"/>
        <v>Value</v>
      </c>
      <c r="G3570" s="3" cm="1">
        <f t="array" ref="G3570">_xlfn.XLOOKUP(C3570 &amp; F3570,
         [1]unilever_price_limits!A:A &amp; [1]unilever_price_limits!B:B,
         [1]unilever_price_limits!C:C)</f>
        <v>10</v>
      </c>
      <c r="H3570" s="8">
        <f t="shared" si="221"/>
        <v>7.9200000000000008</v>
      </c>
      <c r="I3570" s="6">
        <f t="shared" si="222"/>
        <v>10.000000000000009</v>
      </c>
      <c r="J3570" t="str">
        <f t="shared" si="223"/>
        <v>OK</v>
      </c>
    </row>
    <row r="3571" spans="1:10" x14ac:dyDescent="0.2">
      <c r="A3571">
        <v>13570</v>
      </c>
      <c r="B3571" t="s">
        <v>7</v>
      </c>
      <c r="C3571" t="s">
        <v>11</v>
      </c>
      <c r="D3571" s="8">
        <v>8.4600000000000009</v>
      </c>
      <c r="E3571">
        <v>3</v>
      </c>
      <c r="F3571" t="str">
        <f t="shared" si="220"/>
        <v>Value</v>
      </c>
      <c r="G3571" s="3" cm="1">
        <f t="array" ref="G3571">_xlfn.XLOOKUP(C3571 &amp; F3571,
         [1]unilever_price_limits!A:A &amp; [1]unilever_price_limits!B:B,
         [1]unilever_price_limits!C:C)</f>
        <v>10</v>
      </c>
      <c r="H3571" s="8">
        <f t="shared" si="221"/>
        <v>9.3060000000000009</v>
      </c>
      <c r="I3571" s="6">
        <f t="shared" si="222"/>
        <v>10.000000000000009</v>
      </c>
      <c r="J3571" t="str">
        <f t="shared" si="223"/>
        <v>OK</v>
      </c>
    </row>
    <row r="3572" spans="1:10" x14ac:dyDescent="0.2">
      <c r="A3572">
        <v>13571</v>
      </c>
      <c r="B3572" t="s">
        <v>5</v>
      </c>
      <c r="C3572" t="s">
        <v>9</v>
      </c>
      <c r="D3572" s="8">
        <v>14.26</v>
      </c>
      <c r="E3572">
        <v>2</v>
      </c>
      <c r="F3572" t="str">
        <f t="shared" si="220"/>
        <v>Value</v>
      </c>
      <c r="G3572" s="3" cm="1">
        <f t="array" ref="G3572">_xlfn.XLOOKUP(C3572 &amp; F3572,
         [1]unilever_price_limits!A:A &amp; [1]unilever_price_limits!B:B,
         [1]unilever_price_limits!C:C)</f>
        <v>15</v>
      </c>
      <c r="H3572" s="8">
        <f t="shared" si="221"/>
        <v>16.398999999999997</v>
      </c>
      <c r="I3572" s="6">
        <f t="shared" si="222"/>
        <v>14.999999999999991</v>
      </c>
      <c r="J3572" t="str">
        <f t="shared" si="223"/>
        <v>OK</v>
      </c>
    </row>
    <row r="3573" spans="1:10" x14ac:dyDescent="0.2">
      <c r="A3573">
        <v>13572</v>
      </c>
      <c r="B3573" t="s">
        <v>10</v>
      </c>
      <c r="C3573" t="s">
        <v>11</v>
      </c>
      <c r="D3573" s="8">
        <v>14.98</v>
      </c>
      <c r="E3573">
        <v>1</v>
      </c>
      <c r="F3573" t="str">
        <f t="shared" si="220"/>
        <v>Value</v>
      </c>
      <c r="G3573" s="3" cm="1">
        <f t="array" ref="G3573">_xlfn.XLOOKUP(C3573 &amp; F3573,
         [1]unilever_price_limits!A:A &amp; [1]unilever_price_limits!B:B,
         [1]unilever_price_limits!C:C)</f>
        <v>10</v>
      </c>
      <c r="H3573" s="8">
        <f t="shared" si="221"/>
        <v>16.478000000000002</v>
      </c>
      <c r="I3573" s="6">
        <f t="shared" si="222"/>
        <v>10.000000000000009</v>
      </c>
      <c r="J3573" t="str">
        <f t="shared" si="223"/>
        <v>OK</v>
      </c>
    </row>
    <row r="3574" spans="1:10" x14ac:dyDescent="0.2">
      <c r="A3574">
        <v>13573</v>
      </c>
      <c r="B3574" t="s">
        <v>7</v>
      </c>
      <c r="C3574" t="s">
        <v>9</v>
      </c>
      <c r="D3574" s="8">
        <v>3.91</v>
      </c>
      <c r="E3574">
        <v>8</v>
      </c>
      <c r="F3574" t="str">
        <f t="shared" si="220"/>
        <v>Premium</v>
      </c>
      <c r="G3574" s="3" cm="1">
        <f t="array" ref="G3574">_xlfn.XLOOKUP(C3574 &amp; F3574,
         [1]unilever_price_limits!A:A &amp; [1]unilever_price_limits!B:B,
         [1]unilever_price_limits!C:C)</f>
        <v>60</v>
      </c>
      <c r="H3574" s="8">
        <f t="shared" si="221"/>
        <v>6.2560000000000002</v>
      </c>
      <c r="I3574" s="6">
        <f t="shared" si="222"/>
        <v>60.000000000000007</v>
      </c>
      <c r="J3574" t="str">
        <f t="shared" si="223"/>
        <v>OK</v>
      </c>
    </row>
    <row r="3575" spans="1:10" x14ac:dyDescent="0.2">
      <c r="A3575">
        <v>13574</v>
      </c>
      <c r="B3575" t="s">
        <v>8</v>
      </c>
      <c r="C3575" t="s">
        <v>9</v>
      </c>
      <c r="D3575" s="8">
        <v>11.04</v>
      </c>
      <c r="E3575">
        <v>5</v>
      </c>
      <c r="F3575" t="str">
        <f t="shared" si="220"/>
        <v>Standard</v>
      </c>
      <c r="G3575" s="3" cm="1">
        <f t="array" ref="G3575">_xlfn.XLOOKUP(C3575 &amp; F3575,
         [1]unilever_price_limits!A:A &amp; [1]unilever_price_limits!B:B,
         [1]unilever_price_limits!C:C)</f>
        <v>30</v>
      </c>
      <c r="H3575" s="8">
        <f t="shared" si="221"/>
        <v>14.351999999999999</v>
      </c>
      <c r="I3575" s="6">
        <f t="shared" si="222"/>
        <v>30.000000000000004</v>
      </c>
      <c r="J3575" t="str">
        <f t="shared" si="223"/>
        <v>OK</v>
      </c>
    </row>
    <row r="3576" spans="1:10" x14ac:dyDescent="0.2">
      <c r="A3576">
        <v>13575</v>
      </c>
      <c r="B3576" t="s">
        <v>5</v>
      </c>
      <c r="C3576" t="s">
        <v>11</v>
      </c>
      <c r="D3576" s="8">
        <v>5.98</v>
      </c>
      <c r="E3576">
        <v>10</v>
      </c>
      <c r="F3576" t="str">
        <f t="shared" si="220"/>
        <v>Premium</v>
      </c>
      <c r="G3576" s="3" cm="1">
        <f t="array" ref="G3576">_xlfn.XLOOKUP(C3576 &amp; F3576,
         [1]unilever_price_limits!A:A &amp; [1]unilever_price_limits!B:B,
         [1]unilever_price_limits!C:C)</f>
        <v>50</v>
      </c>
      <c r="H3576" s="8">
        <f t="shared" si="221"/>
        <v>8.9700000000000006</v>
      </c>
      <c r="I3576" s="6">
        <f t="shared" si="222"/>
        <v>50</v>
      </c>
      <c r="J3576" t="str">
        <f t="shared" si="223"/>
        <v>OK</v>
      </c>
    </row>
    <row r="3577" spans="1:10" x14ac:dyDescent="0.2">
      <c r="A3577">
        <v>13576</v>
      </c>
      <c r="B3577" t="s">
        <v>8</v>
      </c>
      <c r="C3577" t="s">
        <v>6</v>
      </c>
      <c r="D3577" s="8">
        <v>0.62</v>
      </c>
      <c r="E3577">
        <v>1</v>
      </c>
      <c r="F3577" t="str">
        <f t="shared" si="220"/>
        <v>Value</v>
      </c>
      <c r="G3577" s="3" cm="1">
        <f t="array" ref="G3577">_xlfn.XLOOKUP(C3577 &amp; F3577,
         [1]unilever_price_limits!A:A &amp; [1]unilever_price_limits!B:B,
         [1]unilever_price_limits!C:C)</f>
        <v>12</v>
      </c>
      <c r="H3577" s="8">
        <f t="shared" si="221"/>
        <v>0.69440000000000002</v>
      </c>
      <c r="I3577" s="6">
        <f t="shared" si="222"/>
        <v>12.000000000000011</v>
      </c>
      <c r="J3577" t="str">
        <f t="shared" si="223"/>
        <v>OK</v>
      </c>
    </row>
    <row r="3578" spans="1:10" x14ac:dyDescent="0.2">
      <c r="A3578">
        <v>13577</v>
      </c>
      <c r="B3578" t="s">
        <v>7</v>
      </c>
      <c r="C3578" t="s">
        <v>6</v>
      </c>
      <c r="D3578" s="8">
        <v>0.63</v>
      </c>
      <c r="E3578">
        <v>9</v>
      </c>
      <c r="F3578" t="str">
        <f t="shared" si="220"/>
        <v>Premium</v>
      </c>
      <c r="G3578" s="3" cm="1">
        <f t="array" ref="G3578">_xlfn.XLOOKUP(C3578 &amp; F3578,
         [1]unilever_price_limits!A:A &amp; [1]unilever_price_limits!B:B,
         [1]unilever_price_limits!C:C)</f>
        <v>55</v>
      </c>
      <c r="H3578" s="8">
        <f t="shared" si="221"/>
        <v>0.97650000000000003</v>
      </c>
      <c r="I3578" s="6">
        <f t="shared" si="222"/>
        <v>55.000000000000007</v>
      </c>
      <c r="J3578" t="str">
        <f t="shared" si="223"/>
        <v>OK</v>
      </c>
    </row>
    <row r="3579" spans="1:10" x14ac:dyDescent="0.2">
      <c r="A3579">
        <v>13578</v>
      </c>
      <c r="B3579" t="s">
        <v>5</v>
      </c>
      <c r="C3579" t="s">
        <v>6</v>
      </c>
      <c r="D3579" s="8">
        <v>7.18</v>
      </c>
      <c r="E3579">
        <v>8</v>
      </c>
      <c r="F3579" t="str">
        <f t="shared" si="220"/>
        <v>Premium</v>
      </c>
      <c r="G3579" s="3" cm="1">
        <f t="array" ref="G3579">_xlfn.XLOOKUP(C3579 &amp; F3579,
         [1]unilever_price_limits!A:A &amp; [1]unilever_price_limits!B:B,
         [1]unilever_price_limits!C:C)</f>
        <v>55</v>
      </c>
      <c r="H3579" s="8">
        <f t="shared" si="221"/>
        <v>11.129</v>
      </c>
      <c r="I3579" s="6">
        <f t="shared" si="222"/>
        <v>55.000000000000007</v>
      </c>
      <c r="J3579" t="str">
        <f t="shared" si="223"/>
        <v>OK</v>
      </c>
    </row>
    <row r="3580" spans="1:10" x14ac:dyDescent="0.2">
      <c r="A3580">
        <v>13579</v>
      </c>
      <c r="B3580" t="s">
        <v>7</v>
      </c>
      <c r="C3580" t="s">
        <v>11</v>
      </c>
      <c r="D3580" s="8">
        <v>7.58</v>
      </c>
      <c r="E3580">
        <v>4</v>
      </c>
      <c r="F3580" t="str">
        <f t="shared" si="220"/>
        <v>Standard</v>
      </c>
      <c r="G3580" s="3" cm="1">
        <f t="array" ref="G3580">_xlfn.XLOOKUP(C3580 &amp; F3580,
         [1]unilever_price_limits!A:A &amp; [1]unilever_price_limits!B:B,
         [1]unilever_price_limits!C:C)</f>
        <v>25</v>
      </c>
      <c r="H3580" s="8">
        <f t="shared" si="221"/>
        <v>9.4749999999999996</v>
      </c>
      <c r="I3580" s="6">
        <f t="shared" si="222"/>
        <v>25</v>
      </c>
      <c r="J3580" t="str">
        <f t="shared" si="223"/>
        <v>OK</v>
      </c>
    </row>
    <row r="3581" spans="1:10" x14ac:dyDescent="0.2">
      <c r="A3581">
        <v>13580</v>
      </c>
      <c r="B3581" t="s">
        <v>8</v>
      </c>
      <c r="C3581" t="s">
        <v>6</v>
      </c>
      <c r="D3581" s="8">
        <v>0.83</v>
      </c>
      <c r="E3581">
        <v>8</v>
      </c>
      <c r="F3581" t="str">
        <f t="shared" si="220"/>
        <v>Premium</v>
      </c>
      <c r="G3581" s="3" cm="1">
        <f t="array" ref="G3581">_xlfn.XLOOKUP(C3581 &amp; F3581,
         [1]unilever_price_limits!A:A &amp; [1]unilever_price_limits!B:B,
         [1]unilever_price_limits!C:C)</f>
        <v>55</v>
      </c>
      <c r="H3581" s="8">
        <f t="shared" si="221"/>
        <v>1.2865</v>
      </c>
      <c r="I3581" s="6">
        <f t="shared" si="222"/>
        <v>55.000000000000007</v>
      </c>
      <c r="J3581" t="str">
        <f t="shared" si="223"/>
        <v>OK</v>
      </c>
    </row>
    <row r="3582" spans="1:10" x14ac:dyDescent="0.2">
      <c r="A3582">
        <v>13581</v>
      </c>
      <c r="B3582" t="s">
        <v>5</v>
      </c>
      <c r="C3582" t="s">
        <v>9</v>
      </c>
      <c r="D3582" s="8">
        <v>10.46</v>
      </c>
      <c r="E3582">
        <v>10</v>
      </c>
      <c r="F3582" t="str">
        <f t="shared" si="220"/>
        <v>Premium</v>
      </c>
      <c r="G3582" s="3" cm="1">
        <f t="array" ref="G3582">_xlfn.XLOOKUP(C3582 &amp; F3582,
         [1]unilever_price_limits!A:A &amp; [1]unilever_price_limits!B:B,
         [1]unilever_price_limits!C:C)</f>
        <v>60</v>
      </c>
      <c r="H3582" s="8">
        <f t="shared" si="221"/>
        <v>16.736000000000001</v>
      </c>
      <c r="I3582" s="6">
        <f t="shared" si="222"/>
        <v>59.999999999999986</v>
      </c>
      <c r="J3582" t="str">
        <f t="shared" si="223"/>
        <v>OK</v>
      </c>
    </row>
    <row r="3583" spans="1:10" x14ac:dyDescent="0.2">
      <c r="A3583">
        <v>13582</v>
      </c>
      <c r="B3583" t="s">
        <v>8</v>
      </c>
      <c r="C3583" t="s">
        <v>6</v>
      </c>
      <c r="D3583" s="8">
        <v>4.76</v>
      </c>
      <c r="E3583">
        <v>7</v>
      </c>
      <c r="F3583" t="str">
        <f t="shared" si="220"/>
        <v>Standard</v>
      </c>
      <c r="G3583" s="3" cm="1">
        <f t="array" ref="G3583">_xlfn.XLOOKUP(C3583 &amp; F3583,
         [1]unilever_price_limits!A:A &amp; [1]unilever_price_limits!B:B,
         [1]unilever_price_limits!C:C)</f>
        <v>28</v>
      </c>
      <c r="H3583" s="8">
        <f t="shared" si="221"/>
        <v>6.0927999999999995</v>
      </c>
      <c r="I3583" s="6">
        <f t="shared" si="222"/>
        <v>28.000000000000004</v>
      </c>
      <c r="J3583" t="str">
        <f t="shared" si="223"/>
        <v>OK</v>
      </c>
    </row>
    <row r="3584" spans="1:10" x14ac:dyDescent="0.2">
      <c r="A3584">
        <v>13583</v>
      </c>
      <c r="B3584" t="s">
        <v>7</v>
      </c>
      <c r="C3584" t="s">
        <v>11</v>
      </c>
      <c r="D3584" s="8">
        <v>8.6199999999999992</v>
      </c>
      <c r="E3584">
        <v>7</v>
      </c>
      <c r="F3584" t="str">
        <f t="shared" si="220"/>
        <v>Standard</v>
      </c>
      <c r="G3584" s="3" cm="1">
        <f t="array" ref="G3584">_xlfn.XLOOKUP(C3584 &amp; F3584,
         [1]unilever_price_limits!A:A &amp; [1]unilever_price_limits!B:B,
         [1]unilever_price_limits!C:C)</f>
        <v>25</v>
      </c>
      <c r="H3584" s="8">
        <f t="shared" si="221"/>
        <v>10.774999999999999</v>
      </c>
      <c r="I3584" s="6">
        <f t="shared" si="222"/>
        <v>25</v>
      </c>
      <c r="J3584" t="str">
        <f t="shared" si="223"/>
        <v>OK</v>
      </c>
    </row>
    <row r="3585" spans="1:10" x14ac:dyDescent="0.2">
      <c r="A3585">
        <v>13584</v>
      </c>
      <c r="B3585" t="s">
        <v>7</v>
      </c>
      <c r="C3585" t="s">
        <v>6</v>
      </c>
      <c r="D3585" s="8">
        <v>4.8600000000000003</v>
      </c>
      <c r="E3585">
        <v>1</v>
      </c>
      <c r="F3585" t="str">
        <f t="shared" si="220"/>
        <v>Value</v>
      </c>
      <c r="G3585" s="3" cm="1">
        <f t="array" ref="G3585">_xlfn.XLOOKUP(C3585 &amp; F3585,
         [1]unilever_price_limits!A:A &amp; [1]unilever_price_limits!B:B,
         [1]unilever_price_limits!C:C)</f>
        <v>12</v>
      </c>
      <c r="H3585" s="8">
        <f t="shared" si="221"/>
        <v>5.4432000000000009</v>
      </c>
      <c r="I3585" s="6">
        <f t="shared" si="222"/>
        <v>12.000000000000011</v>
      </c>
      <c r="J3585" t="str">
        <f t="shared" si="223"/>
        <v>OK</v>
      </c>
    </row>
    <row r="3586" spans="1:10" x14ac:dyDescent="0.2">
      <c r="A3586">
        <v>13585</v>
      </c>
      <c r="B3586" t="s">
        <v>8</v>
      </c>
      <c r="C3586" t="s">
        <v>9</v>
      </c>
      <c r="D3586" s="8">
        <v>2.92</v>
      </c>
      <c r="E3586">
        <v>6</v>
      </c>
      <c r="F3586" t="str">
        <f t="shared" si="220"/>
        <v>Standard</v>
      </c>
      <c r="G3586" s="3" cm="1">
        <f t="array" ref="G3586">_xlfn.XLOOKUP(C3586 &amp; F3586,
         [1]unilever_price_limits!A:A &amp; [1]unilever_price_limits!B:B,
         [1]unilever_price_limits!C:C)</f>
        <v>30</v>
      </c>
      <c r="H3586" s="8">
        <f t="shared" si="221"/>
        <v>3.7959999999999998</v>
      </c>
      <c r="I3586" s="6">
        <f t="shared" si="222"/>
        <v>30.000000000000004</v>
      </c>
      <c r="J3586" t="str">
        <f t="shared" si="223"/>
        <v>OK</v>
      </c>
    </row>
    <row r="3587" spans="1:10" x14ac:dyDescent="0.2">
      <c r="A3587">
        <v>13586</v>
      </c>
      <c r="B3587" t="s">
        <v>5</v>
      </c>
      <c r="C3587" t="s">
        <v>11</v>
      </c>
      <c r="D3587" s="8">
        <v>6.4</v>
      </c>
      <c r="E3587">
        <v>4</v>
      </c>
      <c r="F3587" t="str">
        <f t="shared" ref="F3587:F3650" si="224">IF(E3587&lt;=3,"Value",
 IF(E3587&lt;=7,"Standard","Premium"))</f>
        <v>Standard</v>
      </c>
      <c r="G3587" s="3" cm="1">
        <f t="array" ref="G3587">_xlfn.XLOOKUP(C3587 &amp; F3587,
         [1]unilever_price_limits!A:A &amp; [1]unilever_price_limits!B:B,
         [1]unilever_price_limits!C:C)</f>
        <v>25</v>
      </c>
      <c r="H3587" s="8">
        <f t="shared" ref="H3587:H3650" si="225">D3587 * (1 + G3587/100)</f>
        <v>8</v>
      </c>
      <c r="I3587" s="6">
        <f t="shared" ref="I3587:I3650" si="226">(H3587 / D3587 - 1) * 100</f>
        <v>25</v>
      </c>
      <c r="J3587" t="str">
        <f t="shared" ref="J3587:J3650" si="227">IF(I3586&gt; G3586, "⚠ Exceeds Limit", "OK")</f>
        <v>OK</v>
      </c>
    </row>
    <row r="3588" spans="1:10" x14ac:dyDescent="0.2">
      <c r="A3588">
        <v>13587</v>
      </c>
      <c r="B3588" t="s">
        <v>8</v>
      </c>
      <c r="C3588" t="s">
        <v>6</v>
      </c>
      <c r="D3588" s="8">
        <v>3.87</v>
      </c>
      <c r="E3588">
        <v>10</v>
      </c>
      <c r="F3588" t="str">
        <f t="shared" si="224"/>
        <v>Premium</v>
      </c>
      <c r="G3588" s="3" cm="1">
        <f t="array" ref="G3588">_xlfn.XLOOKUP(C3588 &amp; F3588,
         [1]unilever_price_limits!A:A &amp; [1]unilever_price_limits!B:B,
         [1]unilever_price_limits!C:C)</f>
        <v>55</v>
      </c>
      <c r="H3588" s="8">
        <f t="shared" si="225"/>
        <v>5.9984999999999999</v>
      </c>
      <c r="I3588" s="6">
        <f t="shared" si="226"/>
        <v>55.000000000000007</v>
      </c>
      <c r="J3588" t="str">
        <f t="shared" si="227"/>
        <v>OK</v>
      </c>
    </row>
    <row r="3589" spans="1:10" x14ac:dyDescent="0.2">
      <c r="A3589">
        <v>13588</v>
      </c>
      <c r="B3589" t="s">
        <v>7</v>
      </c>
      <c r="C3589" t="s">
        <v>11</v>
      </c>
      <c r="D3589" s="8">
        <v>8.25</v>
      </c>
      <c r="E3589">
        <v>10</v>
      </c>
      <c r="F3589" t="str">
        <f t="shared" si="224"/>
        <v>Premium</v>
      </c>
      <c r="G3589" s="3" cm="1">
        <f t="array" ref="G3589">_xlfn.XLOOKUP(C3589 &amp; F3589,
         [1]unilever_price_limits!A:A &amp; [1]unilever_price_limits!B:B,
         [1]unilever_price_limits!C:C)</f>
        <v>50</v>
      </c>
      <c r="H3589" s="8">
        <f t="shared" si="225"/>
        <v>12.375</v>
      </c>
      <c r="I3589" s="6">
        <f t="shared" si="226"/>
        <v>50</v>
      </c>
      <c r="J3589" t="str">
        <f t="shared" si="227"/>
        <v>OK</v>
      </c>
    </row>
    <row r="3590" spans="1:10" x14ac:dyDescent="0.2">
      <c r="A3590">
        <v>13589</v>
      </c>
      <c r="B3590" t="s">
        <v>8</v>
      </c>
      <c r="C3590" t="s">
        <v>11</v>
      </c>
      <c r="D3590" s="8">
        <v>3.38</v>
      </c>
      <c r="E3590">
        <v>10</v>
      </c>
      <c r="F3590" t="str">
        <f t="shared" si="224"/>
        <v>Premium</v>
      </c>
      <c r="G3590" s="3" cm="1">
        <f t="array" ref="G3590">_xlfn.XLOOKUP(C3590 &amp; F3590,
         [1]unilever_price_limits!A:A &amp; [1]unilever_price_limits!B:B,
         [1]unilever_price_limits!C:C)</f>
        <v>50</v>
      </c>
      <c r="H3590" s="8">
        <f t="shared" si="225"/>
        <v>5.07</v>
      </c>
      <c r="I3590" s="6">
        <f t="shared" si="226"/>
        <v>50.000000000000021</v>
      </c>
      <c r="J3590" t="str">
        <f t="shared" si="227"/>
        <v>OK</v>
      </c>
    </row>
    <row r="3591" spans="1:10" x14ac:dyDescent="0.2">
      <c r="A3591">
        <v>13590</v>
      </c>
      <c r="B3591" t="s">
        <v>7</v>
      </c>
      <c r="C3591" t="s">
        <v>11</v>
      </c>
      <c r="D3591" s="8">
        <v>7.87</v>
      </c>
      <c r="E3591">
        <v>2</v>
      </c>
      <c r="F3591" t="str">
        <f t="shared" si="224"/>
        <v>Value</v>
      </c>
      <c r="G3591" s="3" cm="1">
        <f t="array" ref="G3591">_xlfn.XLOOKUP(C3591 &amp; F3591,
         [1]unilever_price_limits!A:A &amp; [1]unilever_price_limits!B:B,
         [1]unilever_price_limits!C:C)</f>
        <v>10</v>
      </c>
      <c r="H3591" s="8">
        <f t="shared" si="225"/>
        <v>8.657</v>
      </c>
      <c r="I3591" s="6">
        <f t="shared" si="226"/>
        <v>10.000000000000009</v>
      </c>
      <c r="J3591" t="str">
        <f t="shared" si="227"/>
        <v>OK</v>
      </c>
    </row>
    <row r="3592" spans="1:10" x14ac:dyDescent="0.2">
      <c r="A3592">
        <v>13591</v>
      </c>
      <c r="B3592" t="s">
        <v>8</v>
      </c>
      <c r="C3592" t="s">
        <v>6</v>
      </c>
      <c r="D3592" s="8">
        <v>2.78</v>
      </c>
      <c r="E3592">
        <v>10</v>
      </c>
      <c r="F3592" t="str">
        <f t="shared" si="224"/>
        <v>Premium</v>
      </c>
      <c r="G3592" s="3" cm="1">
        <f t="array" ref="G3592">_xlfn.XLOOKUP(C3592 &amp; F3592,
         [1]unilever_price_limits!A:A &amp; [1]unilever_price_limits!B:B,
         [1]unilever_price_limits!C:C)</f>
        <v>55</v>
      </c>
      <c r="H3592" s="8">
        <f t="shared" si="225"/>
        <v>4.3090000000000002</v>
      </c>
      <c r="I3592" s="6">
        <f t="shared" si="226"/>
        <v>55.000000000000028</v>
      </c>
      <c r="J3592" t="str">
        <f t="shared" si="227"/>
        <v>OK</v>
      </c>
    </row>
    <row r="3593" spans="1:10" x14ac:dyDescent="0.2">
      <c r="A3593">
        <v>13592</v>
      </c>
      <c r="B3593" t="s">
        <v>5</v>
      </c>
      <c r="C3593" t="s">
        <v>11</v>
      </c>
      <c r="D3593" s="8">
        <v>10.23</v>
      </c>
      <c r="E3593">
        <v>7</v>
      </c>
      <c r="F3593" t="str">
        <f t="shared" si="224"/>
        <v>Standard</v>
      </c>
      <c r="G3593" s="3" cm="1">
        <f t="array" ref="G3593">_xlfn.XLOOKUP(C3593 &amp; F3593,
         [1]unilever_price_limits!A:A &amp; [1]unilever_price_limits!B:B,
         [1]unilever_price_limits!C:C)</f>
        <v>25</v>
      </c>
      <c r="H3593" s="8">
        <f t="shared" si="225"/>
        <v>12.787500000000001</v>
      </c>
      <c r="I3593" s="6">
        <f t="shared" si="226"/>
        <v>25</v>
      </c>
      <c r="J3593" t="str">
        <f t="shared" si="227"/>
        <v>OK</v>
      </c>
    </row>
    <row r="3594" spans="1:10" x14ac:dyDescent="0.2">
      <c r="A3594">
        <v>13593</v>
      </c>
      <c r="B3594" t="s">
        <v>5</v>
      </c>
      <c r="C3594" t="s">
        <v>6</v>
      </c>
      <c r="D3594" s="8">
        <v>11.43</v>
      </c>
      <c r="E3594">
        <v>9</v>
      </c>
      <c r="F3594" t="str">
        <f t="shared" si="224"/>
        <v>Premium</v>
      </c>
      <c r="G3594" s="3" cm="1">
        <f t="array" ref="G3594">_xlfn.XLOOKUP(C3594 &amp; F3594,
         [1]unilever_price_limits!A:A &amp; [1]unilever_price_limits!B:B,
         [1]unilever_price_limits!C:C)</f>
        <v>55</v>
      </c>
      <c r="H3594" s="8">
        <f t="shared" si="225"/>
        <v>17.7165</v>
      </c>
      <c r="I3594" s="6">
        <f t="shared" si="226"/>
        <v>55.000000000000007</v>
      </c>
      <c r="J3594" t="str">
        <f t="shared" si="227"/>
        <v>OK</v>
      </c>
    </row>
    <row r="3595" spans="1:10" x14ac:dyDescent="0.2">
      <c r="A3595">
        <v>13594</v>
      </c>
      <c r="B3595" t="s">
        <v>8</v>
      </c>
      <c r="C3595" t="s">
        <v>9</v>
      </c>
      <c r="D3595" s="8">
        <v>2.1</v>
      </c>
      <c r="E3595">
        <v>5</v>
      </c>
      <c r="F3595" t="str">
        <f t="shared" si="224"/>
        <v>Standard</v>
      </c>
      <c r="G3595" s="3" cm="1">
        <f t="array" ref="G3595">_xlfn.XLOOKUP(C3595 &amp; F3595,
         [1]unilever_price_limits!A:A &amp; [1]unilever_price_limits!B:B,
         [1]unilever_price_limits!C:C)</f>
        <v>30</v>
      </c>
      <c r="H3595" s="8">
        <f t="shared" si="225"/>
        <v>2.7300000000000004</v>
      </c>
      <c r="I3595" s="6">
        <f t="shared" si="226"/>
        <v>30.000000000000004</v>
      </c>
      <c r="J3595" t="str">
        <f t="shared" si="227"/>
        <v>OK</v>
      </c>
    </row>
    <row r="3596" spans="1:10" x14ac:dyDescent="0.2">
      <c r="A3596">
        <v>13595</v>
      </c>
      <c r="B3596" t="s">
        <v>8</v>
      </c>
      <c r="C3596" t="s">
        <v>6</v>
      </c>
      <c r="D3596" s="8">
        <v>7.28</v>
      </c>
      <c r="E3596">
        <v>8</v>
      </c>
      <c r="F3596" t="str">
        <f t="shared" si="224"/>
        <v>Premium</v>
      </c>
      <c r="G3596" s="3" cm="1">
        <f t="array" ref="G3596">_xlfn.XLOOKUP(C3596 &amp; F3596,
         [1]unilever_price_limits!A:A &amp; [1]unilever_price_limits!B:B,
         [1]unilever_price_limits!C:C)</f>
        <v>55</v>
      </c>
      <c r="H3596" s="8">
        <f t="shared" si="225"/>
        <v>11.284000000000001</v>
      </c>
      <c r="I3596" s="6">
        <f t="shared" si="226"/>
        <v>55.000000000000007</v>
      </c>
      <c r="J3596" t="str">
        <f t="shared" si="227"/>
        <v>OK</v>
      </c>
    </row>
    <row r="3597" spans="1:10" x14ac:dyDescent="0.2">
      <c r="A3597">
        <v>13596</v>
      </c>
      <c r="B3597" t="s">
        <v>5</v>
      </c>
      <c r="C3597" t="s">
        <v>9</v>
      </c>
      <c r="D3597" s="8">
        <v>1.53</v>
      </c>
      <c r="E3597">
        <v>5</v>
      </c>
      <c r="F3597" t="str">
        <f t="shared" si="224"/>
        <v>Standard</v>
      </c>
      <c r="G3597" s="3" cm="1">
        <f t="array" ref="G3597">_xlfn.XLOOKUP(C3597 &amp; F3597,
         [1]unilever_price_limits!A:A &amp; [1]unilever_price_limits!B:B,
         [1]unilever_price_limits!C:C)</f>
        <v>30</v>
      </c>
      <c r="H3597" s="8">
        <f t="shared" si="225"/>
        <v>1.9890000000000001</v>
      </c>
      <c r="I3597" s="6">
        <f t="shared" si="226"/>
        <v>30.000000000000004</v>
      </c>
      <c r="J3597" t="str">
        <f t="shared" si="227"/>
        <v>OK</v>
      </c>
    </row>
    <row r="3598" spans="1:10" x14ac:dyDescent="0.2">
      <c r="A3598">
        <v>13597</v>
      </c>
      <c r="B3598" t="s">
        <v>7</v>
      </c>
      <c r="C3598" t="s">
        <v>6</v>
      </c>
      <c r="D3598" s="8">
        <v>9.17</v>
      </c>
      <c r="E3598">
        <v>7</v>
      </c>
      <c r="F3598" t="str">
        <f t="shared" si="224"/>
        <v>Standard</v>
      </c>
      <c r="G3598" s="3" cm="1">
        <f t="array" ref="G3598">_xlfn.XLOOKUP(C3598 &amp; F3598,
         [1]unilever_price_limits!A:A &amp; [1]unilever_price_limits!B:B,
         [1]unilever_price_limits!C:C)</f>
        <v>28</v>
      </c>
      <c r="H3598" s="8">
        <f t="shared" si="225"/>
        <v>11.7376</v>
      </c>
      <c r="I3598" s="6">
        <f t="shared" si="226"/>
        <v>28.000000000000004</v>
      </c>
      <c r="J3598" t="str">
        <f t="shared" si="227"/>
        <v>OK</v>
      </c>
    </row>
    <row r="3599" spans="1:10" x14ac:dyDescent="0.2">
      <c r="A3599">
        <v>13598</v>
      </c>
      <c r="B3599" t="s">
        <v>5</v>
      </c>
      <c r="C3599" t="s">
        <v>11</v>
      </c>
      <c r="D3599" s="8">
        <v>4.33</v>
      </c>
      <c r="E3599">
        <v>7</v>
      </c>
      <c r="F3599" t="str">
        <f t="shared" si="224"/>
        <v>Standard</v>
      </c>
      <c r="G3599" s="3" cm="1">
        <f t="array" ref="G3599">_xlfn.XLOOKUP(C3599 &amp; F3599,
         [1]unilever_price_limits!A:A &amp; [1]unilever_price_limits!B:B,
         [1]unilever_price_limits!C:C)</f>
        <v>25</v>
      </c>
      <c r="H3599" s="8">
        <f t="shared" si="225"/>
        <v>5.4124999999999996</v>
      </c>
      <c r="I3599" s="6">
        <f t="shared" si="226"/>
        <v>25</v>
      </c>
      <c r="J3599" t="str">
        <f t="shared" si="227"/>
        <v>OK</v>
      </c>
    </row>
    <row r="3600" spans="1:10" x14ac:dyDescent="0.2">
      <c r="A3600">
        <v>13599</v>
      </c>
      <c r="B3600" t="s">
        <v>7</v>
      </c>
      <c r="C3600" t="s">
        <v>6</v>
      </c>
      <c r="D3600" s="8">
        <v>8.15</v>
      </c>
      <c r="E3600">
        <v>9</v>
      </c>
      <c r="F3600" t="str">
        <f t="shared" si="224"/>
        <v>Premium</v>
      </c>
      <c r="G3600" s="3" cm="1">
        <f t="array" ref="G3600">_xlfn.XLOOKUP(C3600 &amp; F3600,
         [1]unilever_price_limits!A:A &amp; [1]unilever_price_limits!B:B,
         [1]unilever_price_limits!C:C)</f>
        <v>55</v>
      </c>
      <c r="H3600" s="8">
        <f t="shared" si="225"/>
        <v>12.6325</v>
      </c>
      <c r="I3600" s="6">
        <f t="shared" si="226"/>
        <v>55.000000000000007</v>
      </c>
      <c r="J3600" t="str">
        <f t="shared" si="227"/>
        <v>OK</v>
      </c>
    </row>
    <row r="3601" spans="1:10" x14ac:dyDescent="0.2">
      <c r="A3601">
        <v>13600</v>
      </c>
      <c r="B3601" t="s">
        <v>8</v>
      </c>
      <c r="C3601" t="s">
        <v>11</v>
      </c>
      <c r="D3601" s="8">
        <v>8</v>
      </c>
      <c r="E3601">
        <v>3</v>
      </c>
      <c r="F3601" t="str">
        <f t="shared" si="224"/>
        <v>Value</v>
      </c>
      <c r="G3601" s="3" cm="1">
        <f t="array" ref="G3601">_xlfn.XLOOKUP(C3601 &amp; F3601,
         [1]unilever_price_limits!A:A &amp; [1]unilever_price_limits!B:B,
         [1]unilever_price_limits!C:C)</f>
        <v>10</v>
      </c>
      <c r="H3601" s="8">
        <f t="shared" si="225"/>
        <v>8.8000000000000007</v>
      </c>
      <c r="I3601" s="6">
        <f t="shared" si="226"/>
        <v>10.000000000000009</v>
      </c>
      <c r="J3601" t="str">
        <f t="shared" si="227"/>
        <v>OK</v>
      </c>
    </row>
    <row r="3602" spans="1:10" x14ac:dyDescent="0.2">
      <c r="A3602">
        <v>13601</v>
      </c>
      <c r="B3602" t="s">
        <v>8</v>
      </c>
      <c r="C3602" t="s">
        <v>9</v>
      </c>
      <c r="D3602" s="8">
        <v>13.9</v>
      </c>
      <c r="E3602">
        <v>1</v>
      </c>
      <c r="F3602" t="str">
        <f t="shared" si="224"/>
        <v>Value</v>
      </c>
      <c r="G3602" s="3" cm="1">
        <f t="array" ref="G3602">_xlfn.XLOOKUP(C3602 &amp; F3602,
         [1]unilever_price_limits!A:A &amp; [1]unilever_price_limits!B:B,
         [1]unilever_price_limits!C:C)</f>
        <v>15</v>
      </c>
      <c r="H3602" s="8">
        <f t="shared" si="225"/>
        <v>15.984999999999999</v>
      </c>
      <c r="I3602" s="6">
        <f t="shared" si="226"/>
        <v>14.999999999999991</v>
      </c>
      <c r="J3602" t="str">
        <f t="shared" si="227"/>
        <v>OK</v>
      </c>
    </row>
    <row r="3603" spans="1:10" x14ac:dyDescent="0.2">
      <c r="A3603">
        <v>13602</v>
      </c>
      <c r="B3603" t="s">
        <v>7</v>
      </c>
      <c r="C3603" t="s">
        <v>6</v>
      </c>
      <c r="D3603" s="8">
        <v>8.4600000000000009</v>
      </c>
      <c r="E3603">
        <v>2</v>
      </c>
      <c r="F3603" t="str">
        <f t="shared" si="224"/>
        <v>Value</v>
      </c>
      <c r="G3603" s="3" cm="1">
        <f t="array" ref="G3603">_xlfn.XLOOKUP(C3603 &amp; F3603,
         [1]unilever_price_limits!A:A &amp; [1]unilever_price_limits!B:B,
         [1]unilever_price_limits!C:C)</f>
        <v>12</v>
      </c>
      <c r="H3603" s="8">
        <f t="shared" si="225"/>
        <v>9.4752000000000027</v>
      </c>
      <c r="I3603" s="6">
        <f t="shared" si="226"/>
        <v>12.000000000000011</v>
      </c>
      <c r="J3603" t="str">
        <f t="shared" si="227"/>
        <v>OK</v>
      </c>
    </row>
    <row r="3604" spans="1:10" x14ac:dyDescent="0.2">
      <c r="A3604">
        <v>13603</v>
      </c>
      <c r="B3604" t="s">
        <v>8</v>
      </c>
      <c r="C3604" t="s">
        <v>11</v>
      </c>
      <c r="D3604" s="8">
        <v>8.9499999999999993</v>
      </c>
      <c r="E3604">
        <v>6</v>
      </c>
      <c r="F3604" t="str">
        <f t="shared" si="224"/>
        <v>Standard</v>
      </c>
      <c r="G3604" s="3" cm="1">
        <f t="array" ref="G3604">_xlfn.XLOOKUP(C3604 &amp; F3604,
         [1]unilever_price_limits!A:A &amp; [1]unilever_price_limits!B:B,
         [1]unilever_price_limits!C:C)</f>
        <v>25</v>
      </c>
      <c r="H3604" s="8">
        <f t="shared" si="225"/>
        <v>11.1875</v>
      </c>
      <c r="I3604" s="6">
        <f t="shared" si="226"/>
        <v>25</v>
      </c>
      <c r="J3604" t="str">
        <f t="shared" si="227"/>
        <v>OK</v>
      </c>
    </row>
    <row r="3605" spans="1:10" x14ac:dyDescent="0.2">
      <c r="A3605">
        <v>13604</v>
      </c>
      <c r="B3605" t="s">
        <v>7</v>
      </c>
      <c r="C3605" t="s">
        <v>9</v>
      </c>
      <c r="D3605" s="8">
        <v>6.32</v>
      </c>
      <c r="E3605">
        <v>10</v>
      </c>
      <c r="F3605" t="str">
        <f t="shared" si="224"/>
        <v>Premium</v>
      </c>
      <c r="G3605" s="3" cm="1">
        <f t="array" ref="G3605">_xlfn.XLOOKUP(C3605 &amp; F3605,
         [1]unilever_price_limits!A:A &amp; [1]unilever_price_limits!B:B,
         [1]unilever_price_limits!C:C)</f>
        <v>60</v>
      </c>
      <c r="H3605" s="8">
        <f t="shared" si="225"/>
        <v>10.112000000000002</v>
      </c>
      <c r="I3605" s="6">
        <f t="shared" si="226"/>
        <v>60.000000000000028</v>
      </c>
      <c r="J3605" t="str">
        <f t="shared" si="227"/>
        <v>OK</v>
      </c>
    </row>
    <row r="3606" spans="1:10" x14ac:dyDescent="0.2">
      <c r="A3606">
        <v>13605</v>
      </c>
      <c r="B3606" t="s">
        <v>10</v>
      </c>
      <c r="C3606" t="s">
        <v>9</v>
      </c>
      <c r="D3606" s="8">
        <v>14.26</v>
      </c>
      <c r="E3606">
        <v>10</v>
      </c>
      <c r="F3606" t="str">
        <f t="shared" si="224"/>
        <v>Premium</v>
      </c>
      <c r="G3606" s="3" cm="1">
        <f t="array" ref="G3606">_xlfn.XLOOKUP(C3606 &amp; F3606,
         [1]unilever_price_limits!A:A &amp; [1]unilever_price_limits!B:B,
         [1]unilever_price_limits!C:C)</f>
        <v>60</v>
      </c>
      <c r="H3606" s="8">
        <f t="shared" si="225"/>
        <v>22.816000000000003</v>
      </c>
      <c r="I3606" s="6">
        <f t="shared" si="226"/>
        <v>60.000000000000007</v>
      </c>
      <c r="J3606" t="str">
        <f t="shared" si="227"/>
        <v>OK</v>
      </c>
    </row>
    <row r="3607" spans="1:10" x14ac:dyDescent="0.2">
      <c r="A3607">
        <v>13606</v>
      </c>
      <c r="B3607" t="s">
        <v>5</v>
      </c>
      <c r="C3607" t="s">
        <v>6</v>
      </c>
      <c r="D3607" s="8">
        <v>11.77</v>
      </c>
      <c r="E3607">
        <v>9</v>
      </c>
      <c r="F3607" t="str">
        <f t="shared" si="224"/>
        <v>Premium</v>
      </c>
      <c r="G3607" s="3" cm="1">
        <f t="array" ref="G3607">_xlfn.XLOOKUP(C3607 &amp; F3607,
         [1]unilever_price_limits!A:A &amp; [1]unilever_price_limits!B:B,
         [1]unilever_price_limits!C:C)</f>
        <v>55</v>
      </c>
      <c r="H3607" s="8">
        <f t="shared" si="225"/>
        <v>18.243500000000001</v>
      </c>
      <c r="I3607" s="6">
        <f t="shared" si="226"/>
        <v>55.000000000000007</v>
      </c>
      <c r="J3607" t="str">
        <f t="shared" si="227"/>
        <v>OK</v>
      </c>
    </row>
    <row r="3608" spans="1:10" x14ac:dyDescent="0.2">
      <c r="A3608">
        <v>13607</v>
      </c>
      <c r="B3608" t="s">
        <v>10</v>
      </c>
      <c r="C3608" t="s">
        <v>9</v>
      </c>
      <c r="D3608" s="8">
        <v>4.6399999999999997</v>
      </c>
      <c r="E3608">
        <v>3</v>
      </c>
      <c r="F3608" t="str">
        <f t="shared" si="224"/>
        <v>Value</v>
      </c>
      <c r="G3608" s="3" cm="1">
        <f t="array" ref="G3608">_xlfn.XLOOKUP(C3608 &amp; F3608,
         [1]unilever_price_limits!A:A &amp; [1]unilever_price_limits!B:B,
         [1]unilever_price_limits!C:C)</f>
        <v>15</v>
      </c>
      <c r="H3608" s="8">
        <f t="shared" si="225"/>
        <v>5.3359999999999994</v>
      </c>
      <c r="I3608" s="6">
        <f t="shared" si="226"/>
        <v>14.999999999999991</v>
      </c>
      <c r="J3608" t="str">
        <f t="shared" si="227"/>
        <v>OK</v>
      </c>
    </row>
    <row r="3609" spans="1:10" x14ac:dyDescent="0.2">
      <c r="A3609">
        <v>13608</v>
      </c>
      <c r="B3609" t="s">
        <v>7</v>
      </c>
      <c r="C3609" t="s">
        <v>11</v>
      </c>
      <c r="D3609" s="8">
        <v>12.74</v>
      </c>
      <c r="E3609">
        <v>10</v>
      </c>
      <c r="F3609" t="str">
        <f t="shared" si="224"/>
        <v>Premium</v>
      </c>
      <c r="G3609" s="3" cm="1">
        <f t="array" ref="G3609">_xlfn.XLOOKUP(C3609 &amp; F3609,
         [1]unilever_price_limits!A:A &amp; [1]unilever_price_limits!B:B,
         [1]unilever_price_limits!C:C)</f>
        <v>50</v>
      </c>
      <c r="H3609" s="8">
        <f t="shared" si="225"/>
        <v>19.11</v>
      </c>
      <c r="I3609" s="6">
        <f t="shared" si="226"/>
        <v>50</v>
      </c>
      <c r="J3609" t="str">
        <f t="shared" si="227"/>
        <v>OK</v>
      </c>
    </row>
    <row r="3610" spans="1:10" x14ac:dyDescent="0.2">
      <c r="A3610">
        <v>13609</v>
      </c>
      <c r="B3610" t="s">
        <v>5</v>
      </c>
      <c r="C3610" t="s">
        <v>9</v>
      </c>
      <c r="D3610" s="8">
        <v>6.77</v>
      </c>
      <c r="E3610">
        <v>2</v>
      </c>
      <c r="F3610" t="str">
        <f t="shared" si="224"/>
        <v>Value</v>
      </c>
      <c r="G3610" s="3" cm="1">
        <f t="array" ref="G3610">_xlfn.XLOOKUP(C3610 &amp; F3610,
         [1]unilever_price_limits!A:A &amp; [1]unilever_price_limits!B:B,
         [1]unilever_price_limits!C:C)</f>
        <v>15</v>
      </c>
      <c r="H3610" s="8">
        <f t="shared" si="225"/>
        <v>7.785499999999999</v>
      </c>
      <c r="I3610" s="6">
        <f t="shared" si="226"/>
        <v>14.999999999999991</v>
      </c>
      <c r="J3610" t="str">
        <f t="shared" si="227"/>
        <v>OK</v>
      </c>
    </row>
    <row r="3611" spans="1:10" x14ac:dyDescent="0.2">
      <c r="A3611">
        <v>13610</v>
      </c>
      <c r="B3611" t="s">
        <v>7</v>
      </c>
      <c r="C3611" t="s">
        <v>9</v>
      </c>
      <c r="D3611" s="8">
        <v>12.52</v>
      </c>
      <c r="E3611">
        <v>1</v>
      </c>
      <c r="F3611" t="str">
        <f t="shared" si="224"/>
        <v>Value</v>
      </c>
      <c r="G3611" s="3" cm="1">
        <f t="array" ref="G3611">_xlfn.XLOOKUP(C3611 &amp; F3611,
         [1]unilever_price_limits!A:A &amp; [1]unilever_price_limits!B:B,
         [1]unilever_price_limits!C:C)</f>
        <v>15</v>
      </c>
      <c r="H3611" s="8">
        <f t="shared" si="225"/>
        <v>14.397999999999998</v>
      </c>
      <c r="I3611" s="6">
        <f t="shared" si="226"/>
        <v>14.999999999999991</v>
      </c>
      <c r="J3611" t="str">
        <f t="shared" si="227"/>
        <v>OK</v>
      </c>
    </row>
    <row r="3612" spans="1:10" x14ac:dyDescent="0.2">
      <c r="A3612">
        <v>13611</v>
      </c>
      <c r="B3612" t="s">
        <v>5</v>
      </c>
      <c r="C3612" t="s">
        <v>11</v>
      </c>
      <c r="D3612" s="8">
        <v>12.43</v>
      </c>
      <c r="E3612">
        <v>2</v>
      </c>
      <c r="F3612" t="str">
        <f t="shared" si="224"/>
        <v>Value</v>
      </c>
      <c r="G3612" s="3" cm="1">
        <f t="array" ref="G3612">_xlfn.XLOOKUP(C3612 &amp; F3612,
         [1]unilever_price_limits!A:A &amp; [1]unilever_price_limits!B:B,
         [1]unilever_price_limits!C:C)</f>
        <v>10</v>
      </c>
      <c r="H3612" s="8">
        <f t="shared" si="225"/>
        <v>13.673</v>
      </c>
      <c r="I3612" s="6">
        <f t="shared" si="226"/>
        <v>10.000000000000009</v>
      </c>
      <c r="J3612" t="str">
        <f t="shared" si="227"/>
        <v>OK</v>
      </c>
    </row>
    <row r="3613" spans="1:10" x14ac:dyDescent="0.2">
      <c r="A3613">
        <v>13612</v>
      </c>
      <c r="B3613" t="s">
        <v>5</v>
      </c>
      <c r="C3613" t="s">
        <v>9</v>
      </c>
      <c r="D3613" s="8">
        <v>3.24</v>
      </c>
      <c r="E3613">
        <v>3</v>
      </c>
      <c r="F3613" t="str">
        <f t="shared" si="224"/>
        <v>Value</v>
      </c>
      <c r="G3613" s="3" cm="1">
        <f t="array" ref="G3613">_xlfn.XLOOKUP(C3613 &amp; F3613,
         [1]unilever_price_limits!A:A &amp; [1]unilever_price_limits!B:B,
         [1]unilever_price_limits!C:C)</f>
        <v>15</v>
      </c>
      <c r="H3613" s="8">
        <f t="shared" si="225"/>
        <v>3.726</v>
      </c>
      <c r="I3613" s="6">
        <f t="shared" si="226"/>
        <v>14.999999999999991</v>
      </c>
      <c r="J3613" t="str">
        <f t="shared" si="227"/>
        <v>OK</v>
      </c>
    </row>
    <row r="3614" spans="1:10" x14ac:dyDescent="0.2">
      <c r="A3614">
        <v>13613</v>
      </c>
      <c r="B3614" t="s">
        <v>5</v>
      </c>
      <c r="C3614" t="s">
        <v>9</v>
      </c>
      <c r="D3614" s="8">
        <v>10.67</v>
      </c>
      <c r="E3614">
        <v>7</v>
      </c>
      <c r="F3614" t="str">
        <f t="shared" si="224"/>
        <v>Standard</v>
      </c>
      <c r="G3614" s="3" cm="1">
        <f t="array" ref="G3614">_xlfn.XLOOKUP(C3614 &amp; F3614,
         [1]unilever_price_limits!A:A &amp; [1]unilever_price_limits!B:B,
         [1]unilever_price_limits!C:C)</f>
        <v>30</v>
      </c>
      <c r="H3614" s="8">
        <f t="shared" si="225"/>
        <v>13.871</v>
      </c>
      <c r="I3614" s="6">
        <f t="shared" si="226"/>
        <v>30.000000000000004</v>
      </c>
      <c r="J3614" t="str">
        <f t="shared" si="227"/>
        <v>OK</v>
      </c>
    </row>
    <row r="3615" spans="1:10" x14ac:dyDescent="0.2">
      <c r="A3615">
        <v>13614</v>
      </c>
      <c r="B3615" t="s">
        <v>5</v>
      </c>
      <c r="C3615" t="s">
        <v>9</v>
      </c>
      <c r="D3615" s="8">
        <v>4.71</v>
      </c>
      <c r="E3615">
        <v>2</v>
      </c>
      <c r="F3615" t="str">
        <f t="shared" si="224"/>
        <v>Value</v>
      </c>
      <c r="G3615" s="3" cm="1">
        <f t="array" ref="G3615">_xlfn.XLOOKUP(C3615 &amp; F3615,
         [1]unilever_price_limits!A:A &amp; [1]unilever_price_limits!B:B,
         [1]unilever_price_limits!C:C)</f>
        <v>15</v>
      </c>
      <c r="H3615" s="8">
        <f t="shared" si="225"/>
        <v>5.4164999999999992</v>
      </c>
      <c r="I3615" s="6">
        <f t="shared" si="226"/>
        <v>14.999999999999991</v>
      </c>
      <c r="J3615" t="str">
        <f t="shared" si="227"/>
        <v>OK</v>
      </c>
    </row>
    <row r="3616" spans="1:10" x14ac:dyDescent="0.2">
      <c r="A3616">
        <v>13615</v>
      </c>
      <c r="B3616" t="s">
        <v>7</v>
      </c>
      <c r="C3616" t="s">
        <v>9</v>
      </c>
      <c r="D3616" s="8">
        <v>4.8099999999999996</v>
      </c>
      <c r="E3616">
        <v>5</v>
      </c>
      <c r="F3616" t="str">
        <f t="shared" si="224"/>
        <v>Standard</v>
      </c>
      <c r="G3616" s="3" cm="1">
        <f t="array" ref="G3616">_xlfn.XLOOKUP(C3616 &amp; F3616,
         [1]unilever_price_limits!A:A &amp; [1]unilever_price_limits!B:B,
         [1]unilever_price_limits!C:C)</f>
        <v>30</v>
      </c>
      <c r="H3616" s="8">
        <f t="shared" si="225"/>
        <v>6.2530000000000001</v>
      </c>
      <c r="I3616" s="6">
        <f t="shared" si="226"/>
        <v>30.000000000000004</v>
      </c>
      <c r="J3616" t="str">
        <f t="shared" si="227"/>
        <v>OK</v>
      </c>
    </row>
    <row r="3617" spans="1:10" x14ac:dyDescent="0.2">
      <c r="A3617">
        <v>13616</v>
      </c>
      <c r="B3617" t="s">
        <v>5</v>
      </c>
      <c r="C3617" t="s">
        <v>11</v>
      </c>
      <c r="D3617" s="8">
        <v>4.8</v>
      </c>
      <c r="E3617">
        <v>2</v>
      </c>
      <c r="F3617" t="str">
        <f t="shared" si="224"/>
        <v>Value</v>
      </c>
      <c r="G3617" s="3" cm="1">
        <f t="array" ref="G3617">_xlfn.XLOOKUP(C3617 &amp; F3617,
         [1]unilever_price_limits!A:A &amp; [1]unilever_price_limits!B:B,
         [1]unilever_price_limits!C:C)</f>
        <v>10</v>
      </c>
      <c r="H3617" s="8">
        <f t="shared" si="225"/>
        <v>5.28</v>
      </c>
      <c r="I3617" s="6">
        <f t="shared" si="226"/>
        <v>10.000000000000009</v>
      </c>
      <c r="J3617" t="str">
        <f t="shared" si="227"/>
        <v>OK</v>
      </c>
    </row>
    <row r="3618" spans="1:10" x14ac:dyDescent="0.2">
      <c r="A3618">
        <v>13617</v>
      </c>
      <c r="B3618" t="s">
        <v>5</v>
      </c>
      <c r="C3618" t="s">
        <v>9</v>
      </c>
      <c r="D3618" s="8">
        <v>11.02</v>
      </c>
      <c r="E3618">
        <v>7</v>
      </c>
      <c r="F3618" t="str">
        <f t="shared" si="224"/>
        <v>Standard</v>
      </c>
      <c r="G3618" s="3" cm="1">
        <f t="array" ref="G3618">_xlfn.XLOOKUP(C3618 &amp; F3618,
         [1]unilever_price_limits!A:A &amp; [1]unilever_price_limits!B:B,
         [1]unilever_price_limits!C:C)</f>
        <v>30</v>
      </c>
      <c r="H3618" s="8">
        <f t="shared" si="225"/>
        <v>14.326000000000001</v>
      </c>
      <c r="I3618" s="6">
        <f t="shared" si="226"/>
        <v>30.000000000000004</v>
      </c>
      <c r="J3618" t="str">
        <f t="shared" si="227"/>
        <v>OK</v>
      </c>
    </row>
    <row r="3619" spans="1:10" x14ac:dyDescent="0.2">
      <c r="A3619">
        <v>13618</v>
      </c>
      <c r="B3619" t="s">
        <v>10</v>
      </c>
      <c r="C3619" t="s">
        <v>11</v>
      </c>
      <c r="D3619" s="8">
        <v>3.83</v>
      </c>
      <c r="E3619">
        <v>10</v>
      </c>
      <c r="F3619" t="str">
        <f t="shared" si="224"/>
        <v>Premium</v>
      </c>
      <c r="G3619" s="3" cm="1">
        <f t="array" ref="G3619">_xlfn.XLOOKUP(C3619 &amp; F3619,
         [1]unilever_price_limits!A:A &amp; [1]unilever_price_limits!B:B,
         [1]unilever_price_limits!C:C)</f>
        <v>50</v>
      </c>
      <c r="H3619" s="8">
        <f t="shared" si="225"/>
        <v>5.7450000000000001</v>
      </c>
      <c r="I3619" s="6">
        <f t="shared" si="226"/>
        <v>50</v>
      </c>
      <c r="J3619" t="str">
        <f t="shared" si="227"/>
        <v>OK</v>
      </c>
    </row>
    <row r="3620" spans="1:10" x14ac:dyDescent="0.2">
      <c r="A3620">
        <v>13619</v>
      </c>
      <c r="B3620" t="s">
        <v>8</v>
      </c>
      <c r="C3620" t="s">
        <v>9</v>
      </c>
      <c r="D3620" s="8">
        <v>0.51</v>
      </c>
      <c r="E3620">
        <v>8</v>
      </c>
      <c r="F3620" t="str">
        <f t="shared" si="224"/>
        <v>Premium</v>
      </c>
      <c r="G3620" s="3" cm="1">
        <f t="array" ref="G3620">_xlfn.XLOOKUP(C3620 &amp; F3620,
         [1]unilever_price_limits!A:A &amp; [1]unilever_price_limits!B:B,
         [1]unilever_price_limits!C:C)</f>
        <v>60</v>
      </c>
      <c r="H3620" s="8">
        <f t="shared" si="225"/>
        <v>0.81600000000000006</v>
      </c>
      <c r="I3620" s="6">
        <f t="shared" si="226"/>
        <v>60.000000000000007</v>
      </c>
      <c r="J3620" t="str">
        <f t="shared" si="227"/>
        <v>OK</v>
      </c>
    </row>
    <row r="3621" spans="1:10" x14ac:dyDescent="0.2">
      <c r="A3621">
        <v>13620</v>
      </c>
      <c r="B3621" t="s">
        <v>8</v>
      </c>
      <c r="C3621" t="s">
        <v>9</v>
      </c>
      <c r="D3621" s="8">
        <v>10.87</v>
      </c>
      <c r="E3621">
        <v>8</v>
      </c>
      <c r="F3621" t="str">
        <f t="shared" si="224"/>
        <v>Premium</v>
      </c>
      <c r="G3621" s="3" cm="1">
        <f t="array" ref="G3621">_xlfn.XLOOKUP(C3621 &amp; F3621,
         [1]unilever_price_limits!A:A &amp; [1]unilever_price_limits!B:B,
         [1]unilever_price_limits!C:C)</f>
        <v>60</v>
      </c>
      <c r="H3621" s="8">
        <f t="shared" si="225"/>
        <v>17.391999999999999</v>
      </c>
      <c r="I3621" s="6">
        <f t="shared" si="226"/>
        <v>60.000000000000007</v>
      </c>
      <c r="J3621" t="str">
        <f t="shared" si="227"/>
        <v>OK</v>
      </c>
    </row>
    <row r="3622" spans="1:10" x14ac:dyDescent="0.2">
      <c r="A3622">
        <v>13621</v>
      </c>
      <c r="B3622" t="s">
        <v>10</v>
      </c>
      <c r="C3622" t="s">
        <v>9</v>
      </c>
      <c r="D3622" s="8">
        <v>2.98</v>
      </c>
      <c r="E3622">
        <v>8</v>
      </c>
      <c r="F3622" t="str">
        <f t="shared" si="224"/>
        <v>Premium</v>
      </c>
      <c r="G3622" s="3" cm="1">
        <f t="array" ref="G3622">_xlfn.XLOOKUP(C3622 &amp; F3622,
         [1]unilever_price_limits!A:A &amp; [1]unilever_price_limits!B:B,
         [1]unilever_price_limits!C:C)</f>
        <v>60</v>
      </c>
      <c r="H3622" s="8">
        <f t="shared" si="225"/>
        <v>4.7679999999999998</v>
      </c>
      <c r="I3622" s="6">
        <f t="shared" si="226"/>
        <v>59.999999999999986</v>
      </c>
      <c r="J3622" t="str">
        <f t="shared" si="227"/>
        <v>OK</v>
      </c>
    </row>
    <row r="3623" spans="1:10" x14ac:dyDescent="0.2">
      <c r="A3623">
        <v>13622</v>
      </c>
      <c r="B3623" t="s">
        <v>10</v>
      </c>
      <c r="C3623" t="s">
        <v>9</v>
      </c>
      <c r="D3623" s="8">
        <v>2.0099999999999998</v>
      </c>
      <c r="E3623">
        <v>10</v>
      </c>
      <c r="F3623" t="str">
        <f t="shared" si="224"/>
        <v>Premium</v>
      </c>
      <c r="G3623" s="3" cm="1">
        <f t="array" ref="G3623">_xlfn.XLOOKUP(C3623 &amp; F3623,
         [1]unilever_price_limits!A:A &amp; [1]unilever_price_limits!B:B,
         [1]unilever_price_limits!C:C)</f>
        <v>60</v>
      </c>
      <c r="H3623" s="8">
        <f t="shared" si="225"/>
        <v>3.2159999999999997</v>
      </c>
      <c r="I3623" s="6">
        <f t="shared" si="226"/>
        <v>60.000000000000007</v>
      </c>
      <c r="J3623" t="str">
        <f t="shared" si="227"/>
        <v>OK</v>
      </c>
    </row>
    <row r="3624" spans="1:10" x14ac:dyDescent="0.2">
      <c r="A3624">
        <v>13623</v>
      </c>
      <c r="B3624" t="s">
        <v>7</v>
      </c>
      <c r="C3624" t="s">
        <v>11</v>
      </c>
      <c r="D3624" s="8">
        <v>3.94</v>
      </c>
      <c r="E3624">
        <v>9</v>
      </c>
      <c r="F3624" t="str">
        <f t="shared" si="224"/>
        <v>Premium</v>
      </c>
      <c r="G3624" s="3" cm="1">
        <f t="array" ref="G3624">_xlfn.XLOOKUP(C3624 &amp; F3624,
         [1]unilever_price_limits!A:A &amp; [1]unilever_price_limits!B:B,
         [1]unilever_price_limits!C:C)</f>
        <v>50</v>
      </c>
      <c r="H3624" s="8">
        <f t="shared" si="225"/>
        <v>5.91</v>
      </c>
      <c r="I3624" s="6">
        <f t="shared" si="226"/>
        <v>50</v>
      </c>
      <c r="J3624" t="str">
        <f t="shared" si="227"/>
        <v>OK</v>
      </c>
    </row>
    <row r="3625" spans="1:10" x14ac:dyDescent="0.2">
      <c r="A3625">
        <v>13624</v>
      </c>
      <c r="B3625" t="s">
        <v>7</v>
      </c>
      <c r="C3625" t="s">
        <v>11</v>
      </c>
      <c r="D3625" s="8">
        <v>6.01</v>
      </c>
      <c r="E3625">
        <v>1</v>
      </c>
      <c r="F3625" t="str">
        <f t="shared" si="224"/>
        <v>Value</v>
      </c>
      <c r="G3625" s="3" cm="1">
        <f t="array" ref="G3625">_xlfn.XLOOKUP(C3625 &amp; F3625,
         [1]unilever_price_limits!A:A &amp; [1]unilever_price_limits!B:B,
         [1]unilever_price_limits!C:C)</f>
        <v>10</v>
      </c>
      <c r="H3625" s="8">
        <f t="shared" si="225"/>
        <v>6.6110000000000007</v>
      </c>
      <c r="I3625" s="6">
        <f t="shared" si="226"/>
        <v>10.000000000000009</v>
      </c>
      <c r="J3625" t="str">
        <f t="shared" si="227"/>
        <v>OK</v>
      </c>
    </row>
    <row r="3626" spans="1:10" x14ac:dyDescent="0.2">
      <c r="A3626">
        <v>13625</v>
      </c>
      <c r="B3626" t="s">
        <v>7</v>
      </c>
      <c r="C3626" t="s">
        <v>11</v>
      </c>
      <c r="D3626" s="8">
        <v>7.4</v>
      </c>
      <c r="E3626">
        <v>1</v>
      </c>
      <c r="F3626" t="str">
        <f t="shared" si="224"/>
        <v>Value</v>
      </c>
      <c r="G3626" s="3" cm="1">
        <f t="array" ref="G3626">_xlfn.XLOOKUP(C3626 &amp; F3626,
         [1]unilever_price_limits!A:A &amp; [1]unilever_price_limits!B:B,
         [1]unilever_price_limits!C:C)</f>
        <v>10</v>
      </c>
      <c r="H3626" s="8">
        <f t="shared" si="225"/>
        <v>8.14</v>
      </c>
      <c r="I3626" s="6">
        <f t="shared" si="226"/>
        <v>10.000000000000009</v>
      </c>
      <c r="J3626" t="str">
        <f t="shared" si="227"/>
        <v>OK</v>
      </c>
    </row>
    <row r="3627" spans="1:10" x14ac:dyDescent="0.2">
      <c r="A3627">
        <v>13626</v>
      </c>
      <c r="B3627" t="s">
        <v>10</v>
      </c>
      <c r="C3627" t="s">
        <v>6</v>
      </c>
      <c r="D3627" s="8">
        <v>1.1499999999999999</v>
      </c>
      <c r="E3627">
        <v>10</v>
      </c>
      <c r="F3627" t="str">
        <f t="shared" si="224"/>
        <v>Premium</v>
      </c>
      <c r="G3627" s="3" cm="1">
        <f t="array" ref="G3627">_xlfn.XLOOKUP(C3627 &amp; F3627,
         [1]unilever_price_limits!A:A &amp; [1]unilever_price_limits!B:B,
         [1]unilever_price_limits!C:C)</f>
        <v>55</v>
      </c>
      <c r="H3627" s="8">
        <f t="shared" si="225"/>
        <v>1.7825</v>
      </c>
      <c r="I3627" s="6">
        <f t="shared" si="226"/>
        <v>55.000000000000007</v>
      </c>
      <c r="J3627" t="str">
        <f t="shared" si="227"/>
        <v>OK</v>
      </c>
    </row>
    <row r="3628" spans="1:10" x14ac:dyDescent="0.2">
      <c r="A3628">
        <v>13627</v>
      </c>
      <c r="B3628" t="s">
        <v>10</v>
      </c>
      <c r="C3628" t="s">
        <v>9</v>
      </c>
      <c r="D3628" s="8">
        <v>14.57</v>
      </c>
      <c r="E3628">
        <v>2</v>
      </c>
      <c r="F3628" t="str">
        <f t="shared" si="224"/>
        <v>Value</v>
      </c>
      <c r="G3628" s="3" cm="1">
        <f t="array" ref="G3628">_xlfn.XLOOKUP(C3628 &amp; F3628,
         [1]unilever_price_limits!A:A &amp; [1]unilever_price_limits!B:B,
         [1]unilever_price_limits!C:C)</f>
        <v>15</v>
      </c>
      <c r="H3628" s="8">
        <f t="shared" si="225"/>
        <v>16.755499999999998</v>
      </c>
      <c r="I3628" s="6">
        <f t="shared" si="226"/>
        <v>14.999999999999991</v>
      </c>
      <c r="J3628" t="str">
        <f t="shared" si="227"/>
        <v>OK</v>
      </c>
    </row>
    <row r="3629" spans="1:10" x14ac:dyDescent="0.2">
      <c r="A3629">
        <v>13628</v>
      </c>
      <c r="B3629" t="s">
        <v>5</v>
      </c>
      <c r="C3629" t="s">
        <v>9</v>
      </c>
      <c r="D3629" s="8">
        <v>10.88</v>
      </c>
      <c r="E3629">
        <v>6</v>
      </c>
      <c r="F3629" t="str">
        <f t="shared" si="224"/>
        <v>Standard</v>
      </c>
      <c r="G3629" s="3" cm="1">
        <f t="array" ref="G3629">_xlfn.XLOOKUP(C3629 &amp; F3629,
         [1]unilever_price_limits!A:A &amp; [1]unilever_price_limits!B:B,
         [1]unilever_price_limits!C:C)</f>
        <v>30</v>
      </c>
      <c r="H3629" s="8">
        <f t="shared" si="225"/>
        <v>14.144000000000002</v>
      </c>
      <c r="I3629" s="6">
        <f t="shared" si="226"/>
        <v>30.000000000000004</v>
      </c>
      <c r="J3629" t="str">
        <f t="shared" si="227"/>
        <v>OK</v>
      </c>
    </row>
    <row r="3630" spans="1:10" x14ac:dyDescent="0.2">
      <c r="A3630">
        <v>13629</v>
      </c>
      <c r="B3630" t="s">
        <v>7</v>
      </c>
      <c r="C3630" t="s">
        <v>11</v>
      </c>
      <c r="D3630" s="8">
        <v>5.19</v>
      </c>
      <c r="E3630">
        <v>1</v>
      </c>
      <c r="F3630" t="str">
        <f t="shared" si="224"/>
        <v>Value</v>
      </c>
      <c r="G3630" s="3" cm="1">
        <f t="array" ref="G3630">_xlfn.XLOOKUP(C3630 &amp; F3630,
         [1]unilever_price_limits!A:A &amp; [1]unilever_price_limits!B:B,
         [1]unilever_price_limits!C:C)</f>
        <v>10</v>
      </c>
      <c r="H3630" s="8">
        <f t="shared" si="225"/>
        <v>5.7090000000000005</v>
      </c>
      <c r="I3630" s="6">
        <f t="shared" si="226"/>
        <v>10.000000000000009</v>
      </c>
      <c r="J3630" t="str">
        <f t="shared" si="227"/>
        <v>OK</v>
      </c>
    </row>
    <row r="3631" spans="1:10" x14ac:dyDescent="0.2">
      <c r="A3631">
        <v>13630</v>
      </c>
      <c r="B3631" t="s">
        <v>7</v>
      </c>
      <c r="C3631" t="s">
        <v>6</v>
      </c>
      <c r="D3631" s="8">
        <v>5.12</v>
      </c>
      <c r="E3631">
        <v>5</v>
      </c>
      <c r="F3631" t="str">
        <f t="shared" si="224"/>
        <v>Standard</v>
      </c>
      <c r="G3631" s="3" cm="1">
        <f t="array" ref="G3631">_xlfn.XLOOKUP(C3631 &amp; F3631,
         [1]unilever_price_limits!A:A &amp; [1]unilever_price_limits!B:B,
         [1]unilever_price_limits!C:C)</f>
        <v>28</v>
      </c>
      <c r="H3631" s="8">
        <f t="shared" si="225"/>
        <v>6.5536000000000003</v>
      </c>
      <c r="I3631" s="6">
        <f t="shared" si="226"/>
        <v>28.000000000000004</v>
      </c>
      <c r="J3631" t="str">
        <f t="shared" si="227"/>
        <v>OK</v>
      </c>
    </row>
    <row r="3632" spans="1:10" x14ac:dyDescent="0.2">
      <c r="A3632">
        <v>13631</v>
      </c>
      <c r="B3632" t="s">
        <v>7</v>
      </c>
      <c r="C3632" t="s">
        <v>9</v>
      </c>
      <c r="D3632" s="8">
        <v>7</v>
      </c>
      <c r="E3632">
        <v>5</v>
      </c>
      <c r="F3632" t="str">
        <f t="shared" si="224"/>
        <v>Standard</v>
      </c>
      <c r="G3632" s="3" cm="1">
        <f t="array" ref="G3632">_xlfn.XLOOKUP(C3632 &amp; F3632,
         [1]unilever_price_limits!A:A &amp; [1]unilever_price_limits!B:B,
         [1]unilever_price_limits!C:C)</f>
        <v>30</v>
      </c>
      <c r="H3632" s="8">
        <f t="shared" si="225"/>
        <v>9.1</v>
      </c>
      <c r="I3632" s="6">
        <f t="shared" si="226"/>
        <v>30.000000000000004</v>
      </c>
      <c r="J3632" t="str">
        <f t="shared" si="227"/>
        <v>OK</v>
      </c>
    </row>
    <row r="3633" spans="1:10" x14ac:dyDescent="0.2">
      <c r="A3633">
        <v>13632</v>
      </c>
      <c r="B3633" t="s">
        <v>8</v>
      </c>
      <c r="C3633" t="s">
        <v>11</v>
      </c>
      <c r="D3633" s="8">
        <v>9.58</v>
      </c>
      <c r="E3633">
        <v>4</v>
      </c>
      <c r="F3633" t="str">
        <f t="shared" si="224"/>
        <v>Standard</v>
      </c>
      <c r="G3633" s="3" cm="1">
        <f t="array" ref="G3633">_xlfn.XLOOKUP(C3633 &amp; F3633,
         [1]unilever_price_limits!A:A &amp; [1]unilever_price_limits!B:B,
         [1]unilever_price_limits!C:C)</f>
        <v>25</v>
      </c>
      <c r="H3633" s="8">
        <f t="shared" si="225"/>
        <v>11.975</v>
      </c>
      <c r="I3633" s="6">
        <f t="shared" si="226"/>
        <v>25</v>
      </c>
      <c r="J3633" t="str">
        <f t="shared" si="227"/>
        <v>OK</v>
      </c>
    </row>
    <row r="3634" spans="1:10" x14ac:dyDescent="0.2">
      <c r="A3634">
        <v>13633</v>
      </c>
      <c r="B3634" t="s">
        <v>5</v>
      </c>
      <c r="C3634" t="s">
        <v>9</v>
      </c>
      <c r="D3634" s="8">
        <v>2.62</v>
      </c>
      <c r="E3634">
        <v>5</v>
      </c>
      <c r="F3634" t="str">
        <f t="shared" si="224"/>
        <v>Standard</v>
      </c>
      <c r="G3634" s="3" cm="1">
        <f t="array" ref="G3634">_xlfn.XLOOKUP(C3634 &amp; F3634,
         [1]unilever_price_limits!A:A &amp; [1]unilever_price_limits!B:B,
         [1]unilever_price_limits!C:C)</f>
        <v>30</v>
      </c>
      <c r="H3634" s="8">
        <f t="shared" si="225"/>
        <v>3.4060000000000001</v>
      </c>
      <c r="I3634" s="6">
        <f t="shared" si="226"/>
        <v>30.000000000000004</v>
      </c>
      <c r="J3634" t="str">
        <f t="shared" si="227"/>
        <v>OK</v>
      </c>
    </row>
    <row r="3635" spans="1:10" x14ac:dyDescent="0.2">
      <c r="A3635">
        <v>13634</v>
      </c>
      <c r="B3635" t="s">
        <v>7</v>
      </c>
      <c r="C3635" t="s">
        <v>9</v>
      </c>
      <c r="D3635" s="8">
        <v>3.24</v>
      </c>
      <c r="E3635">
        <v>1</v>
      </c>
      <c r="F3635" t="str">
        <f t="shared" si="224"/>
        <v>Value</v>
      </c>
      <c r="G3635" s="3" cm="1">
        <f t="array" ref="G3635">_xlfn.XLOOKUP(C3635 &amp; F3635,
         [1]unilever_price_limits!A:A &amp; [1]unilever_price_limits!B:B,
         [1]unilever_price_limits!C:C)</f>
        <v>15</v>
      </c>
      <c r="H3635" s="8">
        <f t="shared" si="225"/>
        <v>3.726</v>
      </c>
      <c r="I3635" s="6">
        <f t="shared" si="226"/>
        <v>14.999999999999991</v>
      </c>
      <c r="J3635" t="str">
        <f t="shared" si="227"/>
        <v>OK</v>
      </c>
    </row>
    <row r="3636" spans="1:10" x14ac:dyDescent="0.2">
      <c r="A3636">
        <v>13635</v>
      </c>
      <c r="B3636" t="s">
        <v>7</v>
      </c>
      <c r="C3636" t="s">
        <v>11</v>
      </c>
      <c r="D3636" s="8">
        <v>12.96</v>
      </c>
      <c r="E3636">
        <v>6</v>
      </c>
      <c r="F3636" t="str">
        <f t="shared" si="224"/>
        <v>Standard</v>
      </c>
      <c r="G3636" s="3" cm="1">
        <f t="array" ref="G3636">_xlfn.XLOOKUP(C3636 &amp; F3636,
         [1]unilever_price_limits!A:A &amp; [1]unilever_price_limits!B:B,
         [1]unilever_price_limits!C:C)</f>
        <v>25</v>
      </c>
      <c r="H3636" s="8">
        <f t="shared" si="225"/>
        <v>16.200000000000003</v>
      </c>
      <c r="I3636" s="6">
        <f t="shared" si="226"/>
        <v>25.000000000000021</v>
      </c>
      <c r="J3636" t="str">
        <f t="shared" si="227"/>
        <v>OK</v>
      </c>
    </row>
    <row r="3637" spans="1:10" x14ac:dyDescent="0.2">
      <c r="A3637">
        <v>13636</v>
      </c>
      <c r="B3637" t="s">
        <v>7</v>
      </c>
      <c r="C3637" t="s">
        <v>11</v>
      </c>
      <c r="D3637" s="8">
        <v>4.22</v>
      </c>
      <c r="E3637">
        <v>7</v>
      </c>
      <c r="F3637" t="str">
        <f t="shared" si="224"/>
        <v>Standard</v>
      </c>
      <c r="G3637" s="3" cm="1">
        <f t="array" ref="G3637">_xlfn.XLOOKUP(C3637 &amp; F3637,
         [1]unilever_price_limits!A:A &amp; [1]unilever_price_limits!B:B,
         [1]unilever_price_limits!C:C)</f>
        <v>25</v>
      </c>
      <c r="H3637" s="8">
        <f t="shared" si="225"/>
        <v>5.2749999999999995</v>
      </c>
      <c r="I3637" s="6">
        <f t="shared" si="226"/>
        <v>25</v>
      </c>
      <c r="J3637" t="str">
        <f t="shared" si="227"/>
        <v>OK</v>
      </c>
    </row>
    <row r="3638" spans="1:10" x14ac:dyDescent="0.2">
      <c r="A3638">
        <v>13637</v>
      </c>
      <c r="B3638" t="s">
        <v>8</v>
      </c>
      <c r="C3638" t="s">
        <v>9</v>
      </c>
      <c r="D3638" s="8">
        <v>6.01</v>
      </c>
      <c r="E3638">
        <v>8</v>
      </c>
      <c r="F3638" t="str">
        <f t="shared" si="224"/>
        <v>Premium</v>
      </c>
      <c r="G3638" s="3" cm="1">
        <f t="array" ref="G3638">_xlfn.XLOOKUP(C3638 &amp; F3638,
         [1]unilever_price_limits!A:A &amp; [1]unilever_price_limits!B:B,
         [1]unilever_price_limits!C:C)</f>
        <v>60</v>
      </c>
      <c r="H3638" s="8">
        <f t="shared" si="225"/>
        <v>9.6159999999999997</v>
      </c>
      <c r="I3638" s="6">
        <f t="shared" si="226"/>
        <v>60.000000000000007</v>
      </c>
      <c r="J3638" t="str">
        <f t="shared" si="227"/>
        <v>OK</v>
      </c>
    </row>
    <row r="3639" spans="1:10" x14ac:dyDescent="0.2">
      <c r="A3639">
        <v>13638</v>
      </c>
      <c r="B3639" t="s">
        <v>8</v>
      </c>
      <c r="C3639" t="s">
        <v>9</v>
      </c>
      <c r="D3639" s="8">
        <v>13.13</v>
      </c>
      <c r="E3639">
        <v>2</v>
      </c>
      <c r="F3639" t="str">
        <f t="shared" si="224"/>
        <v>Value</v>
      </c>
      <c r="G3639" s="3" cm="1">
        <f t="array" ref="G3639">_xlfn.XLOOKUP(C3639 &amp; F3639,
         [1]unilever_price_limits!A:A &amp; [1]unilever_price_limits!B:B,
         [1]unilever_price_limits!C:C)</f>
        <v>15</v>
      </c>
      <c r="H3639" s="8">
        <f t="shared" si="225"/>
        <v>15.099499999999999</v>
      </c>
      <c r="I3639" s="6">
        <f t="shared" si="226"/>
        <v>14.999999999999991</v>
      </c>
      <c r="J3639" t="str">
        <f t="shared" si="227"/>
        <v>OK</v>
      </c>
    </row>
    <row r="3640" spans="1:10" x14ac:dyDescent="0.2">
      <c r="A3640">
        <v>13639</v>
      </c>
      <c r="B3640" t="s">
        <v>10</v>
      </c>
      <c r="C3640" t="s">
        <v>11</v>
      </c>
      <c r="D3640" s="8">
        <v>10.119999999999999</v>
      </c>
      <c r="E3640">
        <v>7</v>
      </c>
      <c r="F3640" t="str">
        <f t="shared" si="224"/>
        <v>Standard</v>
      </c>
      <c r="G3640" s="3" cm="1">
        <f t="array" ref="G3640">_xlfn.XLOOKUP(C3640 &amp; F3640,
         [1]unilever_price_limits!A:A &amp; [1]unilever_price_limits!B:B,
         [1]unilever_price_limits!C:C)</f>
        <v>25</v>
      </c>
      <c r="H3640" s="8">
        <f t="shared" si="225"/>
        <v>12.649999999999999</v>
      </c>
      <c r="I3640" s="6">
        <f t="shared" si="226"/>
        <v>25</v>
      </c>
      <c r="J3640" t="str">
        <f t="shared" si="227"/>
        <v>OK</v>
      </c>
    </row>
    <row r="3641" spans="1:10" x14ac:dyDescent="0.2">
      <c r="A3641">
        <v>13640</v>
      </c>
      <c r="B3641" t="s">
        <v>5</v>
      </c>
      <c r="C3641" t="s">
        <v>9</v>
      </c>
      <c r="D3641" s="8">
        <v>5.45</v>
      </c>
      <c r="E3641">
        <v>6</v>
      </c>
      <c r="F3641" t="str">
        <f t="shared" si="224"/>
        <v>Standard</v>
      </c>
      <c r="G3641" s="3" cm="1">
        <f t="array" ref="G3641">_xlfn.XLOOKUP(C3641 &amp; F3641,
         [1]unilever_price_limits!A:A &amp; [1]unilever_price_limits!B:B,
         [1]unilever_price_limits!C:C)</f>
        <v>30</v>
      </c>
      <c r="H3641" s="8">
        <f t="shared" si="225"/>
        <v>7.0850000000000009</v>
      </c>
      <c r="I3641" s="6">
        <f t="shared" si="226"/>
        <v>30.000000000000004</v>
      </c>
      <c r="J3641" t="str">
        <f t="shared" si="227"/>
        <v>OK</v>
      </c>
    </row>
    <row r="3642" spans="1:10" x14ac:dyDescent="0.2">
      <c r="A3642">
        <v>13641</v>
      </c>
      <c r="B3642" t="s">
        <v>10</v>
      </c>
      <c r="C3642" t="s">
        <v>9</v>
      </c>
      <c r="D3642" s="8">
        <v>10.41</v>
      </c>
      <c r="E3642">
        <v>9</v>
      </c>
      <c r="F3642" t="str">
        <f t="shared" si="224"/>
        <v>Premium</v>
      </c>
      <c r="G3642" s="3" cm="1">
        <f t="array" ref="G3642">_xlfn.XLOOKUP(C3642 &amp; F3642,
         [1]unilever_price_limits!A:A &amp; [1]unilever_price_limits!B:B,
         [1]unilever_price_limits!C:C)</f>
        <v>60</v>
      </c>
      <c r="H3642" s="8">
        <f t="shared" si="225"/>
        <v>16.656000000000002</v>
      </c>
      <c r="I3642" s="6">
        <f t="shared" si="226"/>
        <v>60.000000000000028</v>
      </c>
      <c r="J3642" t="str">
        <f t="shared" si="227"/>
        <v>OK</v>
      </c>
    </row>
    <row r="3643" spans="1:10" x14ac:dyDescent="0.2">
      <c r="A3643">
        <v>13642</v>
      </c>
      <c r="B3643" t="s">
        <v>5</v>
      </c>
      <c r="C3643" t="s">
        <v>11</v>
      </c>
      <c r="D3643" s="8">
        <v>0.79</v>
      </c>
      <c r="E3643">
        <v>8</v>
      </c>
      <c r="F3643" t="str">
        <f t="shared" si="224"/>
        <v>Premium</v>
      </c>
      <c r="G3643" s="3" cm="1">
        <f t="array" ref="G3643">_xlfn.XLOOKUP(C3643 &amp; F3643,
         [1]unilever_price_limits!A:A &amp; [1]unilever_price_limits!B:B,
         [1]unilever_price_limits!C:C)</f>
        <v>50</v>
      </c>
      <c r="H3643" s="8">
        <f t="shared" si="225"/>
        <v>1.1850000000000001</v>
      </c>
      <c r="I3643" s="6">
        <f t="shared" si="226"/>
        <v>50</v>
      </c>
      <c r="J3643" t="str">
        <f t="shared" si="227"/>
        <v>OK</v>
      </c>
    </row>
    <row r="3644" spans="1:10" x14ac:dyDescent="0.2">
      <c r="A3644">
        <v>13643</v>
      </c>
      <c r="B3644" t="s">
        <v>8</v>
      </c>
      <c r="C3644" t="s">
        <v>9</v>
      </c>
      <c r="D3644" s="8">
        <v>11.17</v>
      </c>
      <c r="E3644">
        <v>4</v>
      </c>
      <c r="F3644" t="str">
        <f t="shared" si="224"/>
        <v>Standard</v>
      </c>
      <c r="G3644" s="3" cm="1">
        <f t="array" ref="G3644">_xlfn.XLOOKUP(C3644 &amp; F3644,
         [1]unilever_price_limits!A:A &amp; [1]unilever_price_limits!B:B,
         [1]unilever_price_limits!C:C)</f>
        <v>30</v>
      </c>
      <c r="H3644" s="8">
        <f t="shared" si="225"/>
        <v>14.521000000000001</v>
      </c>
      <c r="I3644" s="6">
        <f t="shared" si="226"/>
        <v>30.000000000000004</v>
      </c>
      <c r="J3644" t="str">
        <f t="shared" si="227"/>
        <v>OK</v>
      </c>
    </row>
    <row r="3645" spans="1:10" x14ac:dyDescent="0.2">
      <c r="A3645">
        <v>13644</v>
      </c>
      <c r="B3645" t="s">
        <v>7</v>
      </c>
      <c r="C3645" t="s">
        <v>9</v>
      </c>
      <c r="D3645" s="8">
        <v>7.56</v>
      </c>
      <c r="E3645">
        <v>9</v>
      </c>
      <c r="F3645" t="str">
        <f t="shared" si="224"/>
        <v>Premium</v>
      </c>
      <c r="G3645" s="3" cm="1">
        <f t="array" ref="G3645">_xlfn.XLOOKUP(C3645 &amp; F3645,
         [1]unilever_price_limits!A:A &amp; [1]unilever_price_limits!B:B,
         [1]unilever_price_limits!C:C)</f>
        <v>60</v>
      </c>
      <c r="H3645" s="8">
        <f t="shared" si="225"/>
        <v>12.096</v>
      </c>
      <c r="I3645" s="6">
        <f t="shared" si="226"/>
        <v>60.000000000000007</v>
      </c>
      <c r="J3645" t="str">
        <f t="shared" si="227"/>
        <v>OK</v>
      </c>
    </row>
    <row r="3646" spans="1:10" x14ac:dyDescent="0.2">
      <c r="A3646">
        <v>13645</v>
      </c>
      <c r="B3646" t="s">
        <v>10</v>
      </c>
      <c r="C3646" t="s">
        <v>6</v>
      </c>
      <c r="D3646" s="8">
        <v>12.29</v>
      </c>
      <c r="E3646">
        <v>1</v>
      </c>
      <c r="F3646" t="str">
        <f t="shared" si="224"/>
        <v>Value</v>
      </c>
      <c r="G3646" s="3" cm="1">
        <f t="array" ref="G3646">_xlfn.XLOOKUP(C3646 &amp; F3646,
         [1]unilever_price_limits!A:A &amp; [1]unilever_price_limits!B:B,
         [1]unilever_price_limits!C:C)</f>
        <v>12</v>
      </c>
      <c r="H3646" s="8">
        <f t="shared" si="225"/>
        <v>13.764800000000001</v>
      </c>
      <c r="I3646" s="6">
        <f t="shared" si="226"/>
        <v>12.000000000000011</v>
      </c>
      <c r="J3646" t="str">
        <f t="shared" si="227"/>
        <v>OK</v>
      </c>
    </row>
    <row r="3647" spans="1:10" x14ac:dyDescent="0.2">
      <c r="A3647">
        <v>13646</v>
      </c>
      <c r="B3647" t="s">
        <v>7</v>
      </c>
      <c r="C3647" t="s">
        <v>11</v>
      </c>
      <c r="D3647" s="8">
        <v>14.34</v>
      </c>
      <c r="E3647">
        <v>6</v>
      </c>
      <c r="F3647" t="str">
        <f t="shared" si="224"/>
        <v>Standard</v>
      </c>
      <c r="G3647" s="3" cm="1">
        <f t="array" ref="G3647">_xlfn.XLOOKUP(C3647 &amp; F3647,
         [1]unilever_price_limits!A:A &amp; [1]unilever_price_limits!B:B,
         [1]unilever_price_limits!C:C)</f>
        <v>25</v>
      </c>
      <c r="H3647" s="8">
        <f t="shared" si="225"/>
        <v>17.925000000000001</v>
      </c>
      <c r="I3647" s="6">
        <f t="shared" si="226"/>
        <v>25</v>
      </c>
      <c r="J3647" t="str">
        <f t="shared" si="227"/>
        <v>OK</v>
      </c>
    </row>
    <row r="3648" spans="1:10" x14ac:dyDescent="0.2">
      <c r="A3648">
        <v>13647</v>
      </c>
      <c r="B3648" t="s">
        <v>10</v>
      </c>
      <c r="C3648" t="s">
        <v>6</v>
      </c>
      <c r="D3648" s="8">
        <v>13.92</v>
      </c>
      <c r="E3648">
        <v>8</v>
      </c>
      <c r="F3648" t="str">
        <f t="shared" si="224"/>
        <v>Premium</v>
      </c>
      <c r="G3648" s="3" cm="1">
        <f t="array" ref="G3648">_xlfn.XLOOKUP(C3648 &amp; F3648,
         [1]unilever_price_limits!A:A &amp; [1]unilever_price_limits!B:B,
         [1]unilever_price_limits!C:C)</f>
        <v>55</v>
      </c>
      <c r="H3648" s="8">
        <f t="shared" si="225"/>
        <v>21.576000000000001</v>
      </c>
      <c r="I3648" s="6">
        <f t="shared" si="226"/>
        <v>55.000000000000007</v>
      </c>
      <c r="J3648" t="str">
        <f t="shared" si="227"/>
        <v>OK</v>
      </c>
    </row>
    <row r="3649" spans="1:10" x14ac:dyDescent="0.2">
      <c r="A3649">
        <v>13648</v>
      </c>
      <c r="B3649" t="s">
        <v>8</v>
      </c>
      <c r="C3649" t="s">
        <v>6</v>
      </c>
      <c r="D3649" s="8">
        <v>13.68</v>
      </c>
      <c r="E3649">
        <v>4</v>
      </c>
      <c r="F3649" t="str">
        <f t="shared" si="224"/>
        <v>Standard</v>
      </c>
      <c r="G3649" s="3" cm="1">
        <f t="array" ref="G3649">_xlfn.XLOOKUP(C3649 &amp; F3649,
         [1]unilever_price_limits!A:A &amp; [1]unilever_price_limits!B:B,
         [1]unilever_price_limits!C:C)</f>
        <v>28</v>
      </c>
      <c r="H3649" s="8">
        <f t="shared" si="225"/>
        <v>17.510400000000001</v>
      </c>
      <c r="I3649" s="6">
        <f t="shared" si="226"/>
        <v>28.000000000000004</v>
      </c>
      <c r="J3649" t="str">
        <f t="shared" si="227"/>
        <v>OK</v>
      </c>
    </row>
    <row r="3650" spans="1:10" x14ac:dyDescent="0.2">
      <c r="A3650">
        <v>13649</v>
      </c>
      <c r="B3650" t="s">
        <v>8</v>
      </c>
      <c r="C3650" t="s">
        <v>6</v>
      </c>
      <c r="D3650" s="8">
        <v>7.93</v>
      </c>
      <c r="E3650">
        <v>2</v>
      </c>
      <c r="F3650" t="str">
        <f t="shared" si="224"/>
        <v>Value</v>
      </c>
      <c r="G3650" s="3" cm="1">
        <f t="array" ref="G3650">_xlfn.XLOOKUP(C3650 &amp; F3650,
         [1]unilever_price_limits!A:A &amp; [1]unilever_price_limits!B:B,
         [1]unilever_price_limits!C:C)</f>
        <v>12</v>
      </c>
      <c r="H3650" s="8">
        <f t="shared" si="225"/>
        <v>8.8816000000000006</v>
      </c>
      <c r="I3650" s="6">
        <f t="shared" si="226"/>
        <v>12.000000000000011</v>
      </c>
      <c r="J3650" t="str">
        <f t="shared" si="227"/>
        <v>OK</v>
      </c>
    </row>
    <row r="3651" spans="1:10" x14ac:dyDescent="0.2">
      <c r="A3651">
        <v>13650</v>
      </c>
      <c r="B3651" t="s">
        <v>8</v>
      </c>
      <c r="C3651" t="s">
        <v>9</v>
      </c>
      <c r="D3651" s="8">
        <v>5.72</v>
      </c>
      <c r="E3651">
        <v>2</v>
      </c>
      <c r="F3651" t="str">
        <f t="shared" ref="F3651:F3714" si="228">IF(E3651&lt;=3,"Value",
 IF(E3651&lt;=7,"Standard","Premium"))</f>
        <v>Value</v>
      </c>
      <c r="G3651" s="3" cm="1">
        <f t="array" ref="G3651">_xlfn.XLOOKUP(C3651 &amp; F3651,
         [1]unilever_price_limits!A:A &amp; [1]unilever_price_limits!B:B,
         [1]unilever_price_limits!C:C)</f>
        <v>15</v>
      </c>
      <c r="H3651" s="8">
        <f t="shared" ref="H3651:H3714" si="229">D3651 * (1 + G3651/100)</f>
        <v>6.5779999999999994</v>
      </c>
      <c r="I3651" s="6">
        <f t="shared" ref="I3651:I3714" si="230">(H3651 / D3651 - 1) * 100</f>
        <v>14.999999999999991</v>
      </c>
      <c r="J3651" t="str">
        <f t="shared" ref="J3651:J3714" si="231">IF(I3650&gt; G3650, "⚠ Exceeds Limit", "OK")</f>
        <v>OK</v>
      </c>
    </row>
    <row r="3652" spans="1:10" x14ac:dyDescent="0.2">
      <c r="A3652">
        <v>13651</v>
      </c>
      <c r="B3652" t="s">
        <v>10</v>
      </c>
      <c r="C3652" t="s">
        <v>9</v>
      </c>
      <c r="D3652" s="8">
        <v>7.24</v>
      </c>
      <c r="E3652">
        <v>10</v>
      </c>
      <c r="F3652" t="str">
        <f t="shared" si="228"/>
        <v>Premium</v>
      </c>
      <c r="G3652" s="3" cm="1">
        <f t="array" ref="G3652">_xlfn.XLOOKUP(C3652 &amp; F3652,
         [1]unilever_price_limits!A:A &amp; [1]unilever_price_limits!B:B,
         [1]unilever_price_limits!C:C)</f>
        <v>60</v>
      </c>
      <c r="H3652" s="8">
        <f t="shared" si="229"/>
        <v>11.584000000000001</v>
      </c>
      <c r="I3652" s="6">
        <f t="shared" si="230"/>
        <v>60.000000000000007</v>
      </c>
      <c r="J3652" t="str">
        <f t="shared" si="231"/>
        <v>OK</v>
      </c>
    </row>
    <row r="3653" spans="1:10" x14ac:dyDescent="0.2">
      <c r="A3653">
        <v>13652</v>
      </c>
      <c r="B3653" t="s">
        <v>5</v>
      </c>
      <c r="C3653" t="s">
        <v>6</v>
      </c>
      <c r="D3653" s="8">
        <v>10.5</v>
      </c>
      <c r="E3653">
        <v>1</v>
      </c>
      <c r="F3653" t="str">
        <f t="shared" si="228"/>
        <v>Value</v>
      </c>
      <c r="G3653" s="3" cm="1">
        <f t="array" ref="G3653">_xlfn.XLOOKUP(C3653 &amp; F3653,
         [1]unilever_price_limits!A:A &amp; [1]unilever_price_limits!B:B,
         [1]unilever_price_limits!C:C)</f>
        <v>12</v>
      </c>
      <c r="H3653" s="8">
        <f t="shared" si="229"/>
        <v>11.760000000000002</v>
      </c>
      <c r="I3653" s="6">
        <f t="shared" si="230"/>
        <v>12.000000000000011</v>
      </c>
      <c r="J3653" t="str">
        <f t="shared" si="231"/>
        <v>OK</v>
      </c>
    </row>
    <row r="3654" spans="1:10" x14ac:dyDescent="0.2">
      <c r="A3654">
        <v>13653</v>
      </c>
      <c r="B3654" t="s">
        <v>10</v>
      </c>
      <c r="C3654" t="s">
        <v>6</v>
      </c>
      <c r="D3654" s="8">
        <v>13.32</v>
      </c>
      <c r="E3654">
        <v>5</v>
      </c>
      <c r="F3654" t="str">
        <f t="shared" si="228"/>
        <v>Standard</v>
      </c>
      <c r="G3654" s="3" cm="1">
        <f t="array" ref="G3654">_xlfn.XLOOKUP(C3654 &amp; F3654,
         [1]unilever_price_limits!A:A &amp; [1]unilever_price_limits!B:B,
         [1]unilever_price_limits!C:C)</f>
        <v>28</v>
      </c>
      <c r="H3654" s="8">
        <f t="shared" si="229"/>
        <v>17.049600000000002</v>
      </c>
      <c r="I3654" s="6">
        <f t="shared" si="230"/>
        <v>28.000000000000004</v>
      </c>
      <c r="J3654" t="str">
        <f t="shared" si="231"/>
        <v>OK</v>
      </c>
    </row>
    <row r="3655" spans="1:10" x14ac:dyDescent="0.2">
      <c r="A3655">
        <v>13654</v>
      </c>
      <c r="B3655" t="s">
        <v>5</v>
      </c>
      <c r="C3655" t="s">
        <v>6</v>
      </c>
      <c r="D3655" s="8">
        <v>3.5</v>
      </c>
      <c r="E3655">
        <v>6</v>
      </c>
      <c r="F3655" t="str">
        <f t="shared" si="228"/>
        <v>Standard</v>
      </c>
      <c r="G3655" s="3" cm="1">
        <f t="array" ref="G3655">_xlfn.XLOOKUP(C3655 &amp; F3655,
         [1]unilever_price_limits!A:A &amp; [1]unilever_price_limits!B:B,
         [1]unilever_price_limits!C:C)</f>
        <v>28</v>
      </c>
      <c r="H3655" s="8">
        <f t="shared" si="229"/>
        <v>4.4800000000000004</v>
      </c>
      <c r="I3655" s="6">
        <f t="shared" si="230"/>
        <v>28.000000000000004</v>
      </c>
      <c r="J3655" t="str">
        <f t="shared" si="231"/>
        <v>OK</v>
      </c>
    </row>
    <row r="3656" spans="1:10" x14ac:dyDescent="0.2">
      <c r="A3656">
        <v>13655</v>
      </c>
      <c r="B3656" t="s">
        <v>10</v>
      </c>
      <c r="C3656" t="s">
        <v>9</v>
      </c>
      <c r="D3656" s="8">
        <v>13.81</v>
      </c>
      <c r="E3656">
        <v>4</v>
      </c>
      <c r="F3656" t="str">
        <f t="shared" si="228"/>
        <v>Standard</v>
      </c>
      <c r="G3656" s="3" cm="1">
        <f t="array" ref="G3656">_xlfn.XLOOKUP(C3656 &amp; F3656,
         [1]unilever_price_limits!A:A &amp; [1]unilever_price_limits!B:B,
         [1]unilever_price_limits!C:C)</f>
        <v>30</v>
      </c>
      <c r="H3656" s="8">
        <f t="shared" si="229"/>
        <v>17.953000000000003</v>
      </c>
      <c r="I3656" s="6">
        <f t="shared" si="230"/>
        <v>30.000000000000028</v>
      </c>
      <c r="J3656" t="str">
        <f t="shared" si="231"/>
        <v>OK</v>
      </c>
    </row>
    <row r="3657" spans="1:10" x14ac:dyDescent="0.2">
      <c r="A3657">
        <v>13656</v>
      </c>
      <c r="B3657" t="s">
        <v>10</v>
      </c>
      <c r="C3657" t="s">
        <v>6</v>
      </c>
      <c r="D3657" s="8">
        <v>12.32</v>
      </c>
      <c r="E3657">
        <v>4</v>
      </c>
      <c r="F3657" t="str">
        <f t="shared" si="228"/>
        <v>Standard</v>
      </c>
      <c r="G3657" s="3" cm="1">
        <f t="array" ref="G3657">_xlfn.XLOOKUP(C3657 &amp; F3657,
         [1]unilever_price_limits!A:A &amp; [1]unilever_price_limits!B:B,
         [1]unilever_price_limits!C:C)</f>
        <v>28</v>
      </c>
      <c r="H3657" s="8">
        <f t="shared" si="229"/>
        <v>15.769600000000001</v>
      </c>
      <c r="I3657" s="6">
        <f t="shared" si="230"/>
        <v>28.000000000000004</v>
      </c>
      <c r="J3657" t="str">
        <f t="shared" si="231"/>
        <v>OK</v>
      </c>
    </row>
    <row r="3658" spans="1:10" x14ac:dyDescent="0.2">
      <c r="A3658">
        <v>13657</v>
      </c>
      <c r="B3658" t="s">
        <v>8</v>
      </c>
      <c r="C3658" t="s">
        <v>6</v>
      </c>
      <c r="D3658" s="8">
        <v>14.69</v>
      </c>
      <c r="E3658">
        <v>5</v>
      </c>
      <c r="F3658" t="str">
        <f t="shared" si="228"/>
        <v>Standard</v>
      </c>
      <c r="G3658" s="3" cm="1">
        <f t="array" ref="G3658">_xlfn.XLOOKUP(C3658 &amp; F3658,
         [1]unilever_price_limits!A:A &amp; [1]unilever_price_limits!B:B,
         [1]unilever_price_limits!C:C)</f>
        <v>28</v>
      </c>
      <c r="H3658" s="8">
        <f t="shared" si="229"/>
        <v>18.8032</v>
      </c>
      <c r="I3658" s="6">
        <f t="shared" si="230"/>
        <v>28.000000000000004</v>
      </c>
      <c r="J3658" t="str">
        <f t="shared" si="231"/>
        <v>OK</v>
      </c>
    </row>
    <row r="3659" spans="1:10" x14ac:dyDescent="0.2">
      <c r="A3659">
        <v>13658</v>
      </c>
      <c r="B3659" t="s">
        <v>7</v>
      </c>
      <c r="C3659" t="s">
        <v>11</v>
      </c>
      <c r="D3659" s="8">
        <v>13.26</v>
      </c>
      <c r="E3659">
        <v>5</v>
      </c>
      <c r="F3659" t="str">
        <f t="shared" si="228"/>
        <v>Standard</v>
      </c>
      <c r="G3659" s="3" cm="1">
        <f t="array" ref="G3659">_xlfn.XLOOKUP(C3659 &amp; F3659,
         [1]unilever_price_limits!A:A &amp; [1]unilever_price_limits!B:B,
         [1]unilever_price_limits!C:C)</f>
        <v>25</v>
      </c>
      <c r="H3659" s="8">
        <f t="shared" si="229"/>
        <v>16.574999999999999</v>
      </c>
      <c r="I3659" s="6">
        <f t="shared" si="230"/>
        <v>25</v>
      </c>
      <c r="J3659" t="str">
        <f t="shared" si="231"/>
        <v>OK</v>
      </c>
    </row>
    <row r="3660" spans="1:10" x14ac:dyDescent="0.2">
      <c r="A3660">
        <v>13659</v>
      </c>
      <c r="B3660" t="s">
        <v>7</v>
      </c>
      <c r="C3660" t="s">
        <v>11</v>
      </c>
      <c r="D3660" s="8">
        <v>4.5599999999999996</v>
      </c>
      <c r="E3660">
        <v>9</v>
      </c>
      <c r="F3660" t="str">
        <f t="shared" si="228"/>
        <v>Premium</v>
      </c>
      <c r="G3660" s="3" cm="1">
        <f t="array" ref="G3660">_xlfn.XLOOKUP(C3660 &amp; F3660,
         [1]unilever_price_limits!A:A &amp; [1]unilever_price_limits!B:B,
         [1]unilever_price_limits!C:C)</f>
        <v>50</v>
      </c>
      <c r="H3660" s="8">
        <f t="shared" si="229"/>
        <v>6.84</v>
      </c>
      <c r="I3660" s="6">
        <f t="shared" si="230"/>
        <v>50</v>
      </c>
      <c r="J3660" t="str">
        <f t="shared" si="231"/>
        <v>OK</v>
      </c>
    </row>
    <row r="3661" spans="1:10" x14ac:dyDescent="0.2">
      <c r="A3661">
        <v>13660</v>
      </c>
      <c r="B3661" t="s">
        <v>5</v>
      </c>
      <c r="C3661" t="s">
        <v>9</v>
      </c>
      <c r="D3661" s="8">
        <v>2.04</v>
      </c>
      <c r="E3661">
        <v>8</v>
      </c>
      <c r="F3661" t="str">
        <f t="shared" si="228"/>
        <v>Premium</v>
      </c>
      <c r="G3661" s="3" cm="1">
        <f t="array" ref="G3661">_xlfn.XLOOKUP(C3661 &amp; F3661,
         [1]unilever_price_limits!A:A &amp; [1]unilever_price_limits!B:B,
         [1]unilever_price_limits!C:C)</f>
        <v>60</v>
      </c>
      <c r="H3661" s="8">
        <f t="shared" si="229"/>
        <v>3.2640000000000002</v>
      </c>
      <c r="I3661" s="6">
        <f t="shared" si="230"/>
        <v>60.000000000000007</v>
      </c>
      <c r="J3661" t="str">
        <f t="shared" si="231"/>
        <v>OK</v>
      </c>
    </row>
    <row r="3662" spans="1:10" x14ac:dyDescent="0.2">
      <c r="A3662">
        <v>13661</v>
      </c>
      <c r="B3662" t="s">
        <v>7</v>
      </c>
      <c r="C3662" t="s">
        <v>11</v>
      </c>
      <c r="D3662" s="8">
        <v>2.13</v>
      </c>
      <c r="E3662">
        <v>9</v>
      </c>
      <c r="F3662" t="str">
        <f t="shared" si="228"/>
        <v>Premium</v>
      </c>
      <c r="G3662" s="3" cm="1">
        <f t="array" ref="G3662">_xlfn.XLOOKUP(C3662 &amp; F3662,
         [1]unilever_price_limits!A:A &amp; [1]unilever_price_limits!B:B,
         [1]unilever_price_limits!C:C)</f>
        <v>50</v>
      </c>
      <c r="H3662" s="8">
        <f t="shared" si="229"/>
        <v>3.1949999999999998</v>
      </c>
      <c r="I3662" s="6">
        <f t="shared" si="230"/>
        <v>50</v>
      </c>
      <c r="J3662" t="str">
        <f t="shared" si="231"/>
        <v>OK</v>
      </c>
    </row>
    <row r="3663" spans="1:10" x14ac:dyDescent="0.2">
      <c r="A3663">
        <v>13662</v>
      </c>
      <c r="B3663" t="s">
        <v>10</v>
      </c>
      <c r="C3663" t="s">
        <v>11</v>
      </c>
      <c r="D3663" s="8">
        <v>4.72</v>
      </c>
      <c r="E3663">
        <v>3</v>
      </c>
      <c r="F3663" t="str">
        <f t="shared" si="228"/>
        <v>Value</v>
      </c>
      <c r="G3663" s="3" cm="1">
        <f t="array" ref="G3663">_xlfn.XLOOKUP(C3663 &amp; F3663,
         [1]unilever_price_limits!A:A &amp; [1]unilever_price_limits!B:B,
         [1]unilever_price_limits!C:C)</f>
        <v>10</v>
      </c>
      <c r="H3663" s="8">
        <f t="shared" si="229"/>
        <v>5.1920000000000002</v>
      </c>
      <c r="I3663" s="6">
        <f t="shared" si="230"/>
        <v>10.000000000000009</v>
      </c>
      <c r="J3663" t="str">
        <f t="shared" si="231"/>
        <v>OK</v>
      </c>
    </row>
    <row r="3664" spans="1:10" x14ac:dyDescent="0.2">
      <c r="A3664">
        <v>13663</v>
      </c>
      <c r="B3664" t="s">
        <v>10</v>
      </c>
      <c r="C3664" t="s">
        <v>11</v>
      </c>
      <c r="D3664" s="8">
        <v>9.41</v>
      </c>
      <c r="E3664">
        <v>3</v>
      </c>
      <c r="F3664" t="str">
        <f t="shared" si="228"/>
        <v>Value</v>
      </c>
      <c r="G3664" s="3" cm="1">
        <f t="array" ref="G3664">_xlfn.XLOOKUP(C3664 &amp; F3664,
         [1]unilever_price_limits!A:A &amp; [1]unilever_price_limits!B:B,
         [1]unilever_price_limits!C:C)</f>
        <v>10</v>
      </c>
      <c r="H3664" s="8">
        <f t="shared" si="229"/>
        <v>10.351000000000001</v>
      </c>
      <c r="I3664" s="6">
        <f t="shared" si="230"/>
        <v>10.000000000000009</v>
      </c>
      <c r="J3664" t="str">
        <f t="shared" si="231"/>
        <v>OK</v>
      </c>
    </row>
    <row r="3665" spans="1:10" x14ac:dyDescent="0.2">
      <c r="A3665">
        <v>13664</v>
      </c>
      <c r="B3665" t="s">
        <v>8</v>
      </c>
      <c r="C3665" t="s">
        <v>9</v>
      </c>
      <c r="D3665" s="8">
        <v>12.16</v>
      </c>
      <c r="E3665">
        <v>1</v>
      </c>
      <c r="F3665" t="str">
        <f t="shared" si="228"/>
        <v>Value</v>
      </c>
      <c r="G3665" s="3" cm="1">
        <f t="array" ref="G3665">_xlfn.XLOOKUP(C3665 &amp; F3665,
         [1]unilever_price_limits!A:A &amp; [1]unilever_price_limits!B:B,
         [1]unilever_price_limits!C:C)</f>
        <v>15</v>
      </c>
      <c r="H3665" s="8">
        <f t="shared" si="229"/>
        <v>13.983999999999998</v>
      </c>
      <c r="I3665" s="6">
        <f t="shared" si="230"/>
        <v>14.999999999999991</v>
      </c>
      <c r="J3665" t="str">
        <f t="shared" si="231"/>
        <v>OK</v>
      </c>
    </row>
    <row r="3666" spans="1:10" x14ac:dyDescent="0.2">
      <c r="A3666">
        <v>13665</v>
      </c>
      <c r="B3666" t="s">
        <v>8</v>
      </c>
      <c r="C3666" t="s">
        <v>11</v>
      </c>
      <c r="D3666" s="8">
        <v>13.54</v>
      </c>
      <c r="E3666">
        <v>10</v>
      </c>
      <c r="F3666" t="str">
        <f t="shared" si="228"/>
        <v>Premium</v>
      </c>
      <c r="G3666" s="3" cm="1">
        <f t="array" ref="G3666">_xlfn.XLOOKUP(C3666 &amp; F3666,
         [1]unilever_price_limits!A:A &amp; [1]unilever_price_limits!B:B,
         [1]unilever_price_limits!C:C)</f>
        <v>50</v>
      </c>
      <c r="H3666" s="8">
        <f t="shared" si="229"/>
        <v>20.309999999999999</v>
      </c>
      <c r="I3666" s="6">
        <f t="shared" si="230"/>
        <v>50</v>
      </c>
      <c r="J3666" t="str">
        <f t="shared" si="231"/>
        <v>OK</v>
      </c>
    </row>
    <row r="3667" spans="1:10" x14ac:dyDescent="0.2">
      <c r="A3667">
        <v>13666</v>
      </c>
      <c r="B3667" t="s">
        <v>7</v>
      </c>
      <c r="C3667" t="s">
        <v>9</v>
      </c>
      <c r="D3667" s="8">
        <v>9.5399999999999991</v>
      </c>
      <c r="E3667">
        <v>6</v>
      </c>
      <c r="F3667" t="str">
        <f t="shared" si="228"/>
        <v>Standard</v>
      </c>
      <c r="G3667" s="3" cm="1">
        <f t="array" ref="G3667">_xlfn.XLOOKUP(C3667 &amp; F3667,
         [1]unilever_price_limits!A:A &amp; [1]unilever_price_limits!B:B,
         [1]unilever_price_limits!C:C)</f>
        <v>30</v>
      </c>
      <c r="H3667" s="8">
        <f t="shared" si="229"/>
        <v>12.401999999999999</v>
      </c>
      <c r="I3667" s="6">
        <f t="shared" si="230"/>
        <v>30.000000000000004</v>
      </c>
      <c r="J3667" t="str">
        <f t="shared" si="231"/>
        <v>OK</v>
      </c>
    </row>
    <row r="3668" spans="1:10" x14ac:dyDescent="0.2">
      <c r="A3668">
        <v>13667</v>
      </c>
      <c r="B3668" t="s">
        <v>5</v>
      </c>
      <c r="C3668" t="s">
        <v>6</v>
      </c>
      <c r="D3668" s="8">
        <v>0.57999999999999996</v>
      </c>
      <c r="E3668">
        <v>4</v>
      </c>
      <c r="F3668" t="str">
        <f t="shared" si="228"/>
        <v>Standard</v>
      </c>
      <c r="G3668" s="3" cm="1">
        <f t="array" ref="G3668">_xlfn.XLOOKUP(C3668 &amp; F3668,
         [1]unilever_price_limits!A:A &amp; [1]unilever_price_limits!B:B,
         [1]unilever_price_limits!C:C)</f>
        <v>28</v>
      </c>
      <c r="H3668" s="8">
        <f t="shared" si="229"/>
        <v>0.74239999999999995</v>
      </c>
      <c r="I3668" s="6">
        <f t="shared" si="230"/>
        <v>28.000000000000004</v>
      </c>
      <c r="J3668" t="str">
        <f t="shared" si="231"/>
        <v>OK</v>
      </c>
    </row>
    <row r="3669" spans="1:10" x14ac:dyDescent="0.2">
      <c r="A3669">
        <v>13668</v>
      </c>
      <c r="B3669" t="s">
        <v>7</v>
      </c>
      <c r="C3669" t="s">
        <v>11</v>
      </c>
      <c r="D3669" s="8">
        <v>3.2</v>
      </c>
      <c r="E3669">
        <v>8</v>
      </c>
      <c r="F3669" t="str">
        <f t="shared" si="228"/>
        <v>Premium</v>
      </c>
      <c r="G3669" s="3" cm="1">
        <f t="array" ref="G3669">_xlfn.XLOOKUP(C3669 &amp; F3669,
         [1]unilever_price_limits!A:A &amp; [1]unilever_price_limits!B:B,
         [1]unilever_price_limits!C:C)</f>
        <v>50</v>
      </c>
      <c r="H3669" s="8">
        <f t="shared" si="229"/>
        <v>4.8000000000000007</v>
      </c>
      <c r="I3669" s="6">
        <f t="shared" si="230"/>
        <v>50.000000000000021</v>
      </c>
      <c r="J3669" t="str">
        <f t="shared" si="231"/>
        <v>OK</v>
      </c>
    </row>
    <row r="3670" spans="1:10" x14ac:dyDescent="0.2">
      <c r="A3670">
        <v>13669</v>
      </c>
      <c r="B3670" t="s">
        <v>7</v>
      </c>
      <c r="C3670" t="s">
        <v>9</v>
      </c>
      <c r="D3670" s="8">
        <v>1.95</v>
      </c>
      <c r="E3670">
        <v>2</v>
      </c>
      <c r="F3670" t="str">
        <f t="shared" si="228"/>
        <v>Value</v>
      </c>
      <c r="G3670" s="3" cm="1">
        <f t="array" ref="G3670">_xlfn.XLOOKUP(C3670 &amp; F3670,
         [1]unilever_price_limits!A:A &amp; [1]unilever_price_limits!B:B,
         [1]unilever_price_limits!C:C)</f>
        <v>15</v>
      </c>
      <c r="H3670" s="8">
        <f t="shared" si="229"/>
        <v>2.2424999999999997</v>
      </c>
      <c r="I3670" s="6">
        <f t="shared" si="230"/>
        <v>14.999999999999991</v>
      </c>
      <c r="J3670" t="str">
        <f t="shared" si="231"/>
        <v>OK</v>
      </c>
    </row>
    <row r="3671" spans="1:10" x14ac:dyDescent="0.2">
      <c r="A3671">
        <v>13670</v>
      </c>
      <c r="B3671" t="s">
        <v>7</v>
      </c>
      <c r="C3671" t="s">
        <v>11</v>
      </c>
      <c r="D3671" s="8">
        <v>5.77</v>
      </c>
      <c r="E3671">
        <v>2</v>
      </c>
      <c r="F3671" t="str">
        <f t="shared" si="228"/>
        <v>Value</v>
      </c>
      <c r="G3671" s="3" cm="1">
        <f t="array" ref="G3671">_xlfn.XLOOKUP(C3671 &amp; F3671,
         [1]unilever_price_limits!A:A &amp; [1]unilever_price_limits!B:B,
         [1]unilever_price_limits!C:C)</f>
        <v>10</v>
      </c>
      <c r="H3671" s="8">
        <f t="shared" si="229"/>
        <v>6.3470000000000004</v>
      </c>
      <c r="I3671" s="6">
        <f t="shared" si="230"/>
        <v>10.000000000000009</v>
      </c>
      <c r="J3671" t="str">
        <f t="shared" si="231"/>
        <v>OK</v>
      </c>
    </row>
    <row r="3672" spans="1:10" x14ac:dyDescent="0.2">
      <c r="A3672">
        <v>13671</v>
      </c>
      <c r="B3672" t="s">
        <v>7</v>
      </c>
      <c r="C3672" t="s">
        <v>6</v>
      </c>
      <c r="D3672" s="8">
        <v>7.77</v>
      </c>
      <c r="E3672">
        <v>7</v>
      </c>
      <c r="F3672" t="str">
        <f t="shared" si="228"/>
        <v>Standard</v>
      </c>
      <c r="G3672" s="3" cm="1">
        <f t="array" ref="G3672">_xlfn.XLOOKUP(C3672 &amp; F3672,
         [1]unilever_price_limits!A:A &amp; [1]unilever_price_limits!B:B,
         [1]unilever_price_limits!C:C)</f>
        <v>28</v>
      </c>
      <c r="H3672" s="8">
        <f t="shared" si="229"/>
        <v>9.9455999999999989</v>
      </c>
      <c r="I3672" s="6">
        <f t="shared" si="230"/>
        <v>28.000000000000004</v>
      </c>
      <c r="J3672" t="str">
        <f t="shared" si="231"/>
        <v>OK</v>
      </c>
    </row>
    <row r="3673" spans="1:10" x14ac:dyDescent="0.2">
      <c r="A3673">
        <v>13672</v>
      </c>
      <c r="B3673" t="s">
        <v>10</v>
      </c>
      <c r="C3673" t="s">
        <v>9</v>
      </c>
      <c r="D3673" s="8">
        <v>1.1299999999999999</v>
      </c>
      <c r="E3673">
        <v>5</v>
      </c>
      <c r="F3673" t="str">
        <f t="shared" si="228"/>
        <v>Standard</v>
      </c>
      <c r="G3673" s="3" cm="1">
        <f t="array" ref="G3673">_xlfn.XLOOKUP(C3673 &amp; F3673,
         [1]unilever_price_limits!A:A &amp; [1]unilever_price_limits!B:B,
         [1]unilever_price_limits!C:C)</f>
        <v>30</v>
      </c>
      <c r="H3673" s="8">
        <f t="shared" si="229"/>
        <v>1.4689999999999999</v>
      </c>
      <c r="I3673" s="6">
        <f t="shared" si="230"/>
        <v>30.000000000000004</v>
      </c>
      <c r="J3673" t="str">
        <f t="shared" si="231"/>
        <v>OK</v>
      </c>
    </row>
    <row r="3674" spans="1:10" x14ac:dyDescent="0.2">
      <c r="A3674">
        <v>13673</v>
      </c>
      <c r="B3674" t="s">
        <v>5</v>
      </c>
      <c r="C3674" t="s">
        <v>9</v>
      </c>
      <c r="D3674" s="8">
        <v>5.55</v>
      </c>
      <c r="E3674">
        <v>1</v>
      </c>
      <c r="F3674" t="str">
        <f t="shared" si="228"/>
        <v>Value</v>
      </c>
      <c r="G3674" s="3" cm="1">
        <f t="array" ref="G3674">_xlfn.XLOOKUP(C3674 &amp; F3674,
         [1]unilever_price_limits!A:A &amp; [1]unilever_price_limits!B:B,
         [1]unilever_price_limits!C:C)</f>
        <v>15</v>
      </c>
      <c r="H3674" s="8">
        <f t="shared" si="229"/>
        <v>6.3824999999999994</v>
      </c>
      <c r="I3674" s="6">
        <f t="shared" si="230"/>
        <v>14.999999999999991</v>
      </c>
      <c r="J3674" t="str">
        <f t="shared" si="231"/>
        <v>OK</v>
      </c>
    </row>
    <row r="3675" spans="1:10" x14ac:dyDescent="0.2">
      <c r="A3675">
        <v>13674</v>
      </c>
      <c r="B3675" t="s">
        <v>10</v>
      </c>
      <c r="C3675" t="s">
        <v>9</v>
      </c>
      <c r="D3675" s="8">
        <v>3.1</v>
      </c>
      <c r="E3675">
        <v>7</v>
      </c>
      <c r="F3675" t="str">
        <f t="shared" si="228"/>
        <v>Standard</v>
      </c>
      <c r="G3675" s="3" cm="1">
        <f t="array" ref="G3675">_xlfn.XLOOKUP(C3675 &amp; F3675,
         [1]unilever_price_limits!A:A &amp; [1]unilever_price_limits!B:B,
         [1]unilever_price_limits!C:C)</f>
        <v>30</v>
      </c>
      <c r="H3675" s="8">
        <f t="shared" si="229"/>
        <v>4.03</v>
      </c>
      <c r="I3675" s="6">
        <f t="shared" si="230"/>
        <v>30.000000000000004</v>
      </c>
      <c r="J3675" t="str">
        <f t="shared" si="231"/>
        <v>OK</v>
      </c>
    </row>
    <row r="3676" spans="1:10" x14ac:dyDescent="0.2">
      <c r="A3676">
        <v>13675</v>
      </c>
      <c r="B3676" t="s">
        <v>5</v>
      </c>
      <c r="C3676" t="s">
        <v>6</v>
      </c>
      <c r="D3676" s="8">
        <v>9.8800000000000008</v>
      </c>
      <c r="E3676">
        <v>7</v>
      </c>
      <c r="F3676" t="str">
        <f t="shared" si="228"/>
        <v>Standard</v>
      </c>
      <c r="G3676" s="3" cm="1">
        <f t="array" ref="G3676">_xlfn.XLOOKUP(C3676 &amp; F3676,
         [1]unilever_price_limits!A:A &amp; [1]unilever_price_limits!B:B,
         [1]unilever_price_limits!C:C)</f>
        <v>28</v>
      </c>
      <c r="H3676" s="8">
        <f t="shared" si="229"/>
        <v>12.646400000000002</v>
      </c>
      <c r="I3676" s="6">
        <f t="shared" si="230"/>
        <v>28.000000000000004</v>
      </c>
      <c r="J3676" t="str">
        <f t="shared" si="231"/>
        <v>OK</v>
      </c>
    </row>
    <row r="3677" spans="1:10" x14ac:dyDescent="0.2">
      <c r="A3677">
        <v>13676</v>
      </c>
      <c r="B3677" t="s">
        <v>8</v>
      </c>
      <c r="C3677" t="s">
        <v>6</v>
      </c>
      <c r="D3677" s="8">
        <v>7.23</v>
      </c>
      <c r="E3677">
        <v>10</v>
      </c>
      <c r="F3677" t="str">
        <f t="shared" si="228"/>
        <v>Premium</v>
      </c>
      <c r="G3677" s="3" cm="1">
        <f t="array" ref="G3677">_xlfn.XLOOKUP(C3677 &amp; F3677,
         [1]unilever_price_limits!A:A &amp; [1]unilever_price_limits!B:B,
         [1]unilever_price_limits!C:C)</f>
        <v>55</v>
      </c>
      <c r="H3677" s="8">
        <f t="shared" si="229"/>
        <v>11.2065</v>
      </c>
      <c r="I3677" s="6">
        <f t="shared" si="230"/>
        <v>54.999999999999986</v>
      </c>
      <c r="J3677" t="str">
        <f t="shared" si="231"/>
        <v>OK</v>
      </c>
    </row>
    <row r="3678" spans="1:10" x14ac:dyDescent="0.2">
      <c r="A3678">
        <v>13677</v>
      </c>
      <c r="B3678" t="s">
        <v>7</v>
      </c>
      <c r="C3678" t="s">
        <v>6</v>
      </c>
      <c r="D3678" s="8">
        <v>7.68</v>
      </c>
      <c r="E3678">
        <v>6</v>
      </c>
      <c r="F3678" t="str">
        <f t="shared" si="228"/>
        <v>Standard</v>
      </c>
      <c r="G3678" s="3" cm="1">
        <f t="array" ref="G3678">_xlfn.XLOOKUP(C3678 &amp; F3678,
         [1]unilever_price_limits!A:A &amp; [1]unilever_price_limits!B:B,
         [1]unilever_price_limits!C:C)</f>
        <v>28</v>
      </c>
      <c r="H3678" s="8">
        <f t="shared" si="229"/>
        <v>9.8303999999999991</v>
      </c>
      <c r="I3678" s="6">
        <f t="shared" si="230"/>
        <v>28.000000000000004</v>
      </c>
      <c r="J3678" t="str">
        <f t="shared" si="231"/>
        <v>OK</v>
      </c>
    </row>
    <row r="3679" spans="1:10" x14ac:dyDescent="0.2">
      <c r="A3679">
        <v>13678</v>
      </c>
      <c r="B3679" t="s">
        <v>10</v>
      </c>
      <c r="C3679" t="s">
        <v>9</v>
      </c>
      <c r="D3679" s="8">
        <v>6.7</v>
      </c>
      <c r="E3679">
        <v>4</v>
      </c>
      <c r="F3679" t="str">
        <f t="shared" si="228"/>
        <v>Standard</v>
      </c>
      <c r="G3679" s="3" cm="1">
        <f t="array" ref="G3679">_xlfn.XLOOKUP(C3679 &amp; F3679,
         [1]unilever_price_limits!A:A &amp; [1]unilever_price_limits!B:B,
         [1]unilever_price_limits!C:C)</f>
        <v>30</v>
      </c>
      <c r="H3679" s="8">
        <f t="shared" si="229"/>
        <v>8.7100000000000009</v>
      </c>
      <c r="I3679" s="6">
        <f t="shared" si="230"/>
        <v>30.000000000000004</v>
      </c>
      <c r="J3679" t="str">
        <f t="shared" si="231"/>
        <v>OK</v>
      </c>
    </row>
    <row r="3680" spans="1:10" x14ac:dyDescent="0.2">
      <c r="A3680">
        <v>13679</v>
      </c>
      <c r="B3680" t="s">
        <v>5</v>
      </c>
      <c r="C3680" t="s">
        <v>6</v>
      </c>
      <c r="D3680" s="8">
        <v>14.36</v>
      </c>
      <c r="E3680">
        <v>8</v>
      </c>
      <c r="F3680" t="str">
        <f t="shared" si="228"/>
        <v>Premium</v>
      </c>
      <c r="G3680" s="3" cm="1">
        <f t="array" ref="G3680">_xlfn.XLOOKUP(C3680 &amp; F3680,
         [1]unilever_price_limits!A:A &amp; [1]unilever_price_limits!B:B,
         [1]unilever_price_limits!C:C)</f>
        <v>55</v>
      </c>
      <c r="H3680" s="8">
        <f t="shared" si="229"/>
        <v>22.257999999999999</v>
      </c>
      <c r="I3680" s="6">
        <f t="shared" si="230"/>
        <v>55.000000000000007</v>
      </c>
      <c r="J3680" t="str">
        <f t="shared" si="231"/>
        <v>OK</v>
      </c>
    </row>
    <row r="3681" spans="1:10" x14ac:dyDescent="0.2">
      <c r="A3681">
        <v>13680</v>
      </c>
      <c r="B3681" t="s">
        <v>8</v>
      </c>
      <c r="C3681" t="s">
        <v>11</v>
      </c>
      <c r="D3681" s="8">
        <v>3.61</v>
      </c>
      <c r="E3681">
        <v>2</v>
      </c>
      <c r="F3681" t="str">
        <f t="shared" si="228"/>
        <v>Value</v>
      </c>
      <c r="G3681" s="3" cm="1">
        <f t="array" ref="G3681">_xlfn.XLOOKUP(C3681 &amp; F3681,
         [1]unilever_price_limits!A:A &amp; [1]unilever_price_limits!B:B,
         [1]unilever_price_limits!C:C)</f>
        <v>10</v>
      </c>
      <c r="H3681" s="8">
        <f t="shared" si="229"/>
        <v>3.9710000000000001</v>
      </c>
      <c r="I3681" s="6">
        <f t="shared" si="230"/>
        <v>10.000000000000009</v>
      </c>
      <c r="J3681" t="str">
        <f t="shared" si="231"/>
        <v>OK</v>
      </c>
    </row>
    <row r="3682" spans="1:10" x14ac:dyDescent="0.2">
      <c r="A3682">
        <v>13681</v>
      </c>
      <c r="B3682" t="s">
        <v>8</v>
      </c>
      <c r="C3682" t="s">
        <v>6</v>
      </c>
      <c r="D3682" s="8">
        <v>7.99</v>
      </c>
      <c r="E3682">
        <v>2</v>
      </c>
      <c r="F3682" t="str">
        <f t="shared" si="228"/>
        <v>Value</v>
      </c>
      <c r="G3682" s="3" cm="1">
        <f t="array" ref="G3682">_xlfn.XLOOKUP(C3682 &amp; F3682,
         [1]unilever_price_limits!A:A &amp; [1]unilever_price_limits!B:B,
         [1]unilever_price_limits!C:C)</f>
        <v>12</v>
      </c>
      <c r="H3682" s="8">
        <f t="shared" si="229"/>
        <v>8.9488000000000003</v>
      </c>
      <c r="I3682" s="6">
        <f t="shared" si="230"/>
        <v>12.000000000000011</v>
      </c>
      <c r="J3682" t="str">
        <f t="shared" si="231"/>
        <v>OK</v>
      </c>
    </row>
    <row r="3683" spans="1:10" x14ac:dyDescent="0.2">
      <c r="A3683">
        <v>13682</v>
      </c>
      <c r="B3683" t="s">
        <v>7</v>
      </c>
      <c r="C3683" t="s">
        <v>9</v>
      </c>
      <c r="D3683" s="8">
        <v>11.17</v>
      </c>
      <c r="E3683">
        <v>2</v>
      </c>
      <c r="F3683" t="str">
        <f t="shared" si="228"/>
        <v>Value</v>
      </c>
      <c r="G3683" s="3" cm="1">
        <f t="array" ref="G3683">_xlfn.XLOOKUP(C3683 &amp; F3683,
         [1]unilever_price_limits!A:A &amp; [1]unilever_price_limits!B:B,
         [1]unilever_price_limits!C:C)</f>
        <v>15</v>
      </c>
      <c r="H3683" s="8">
        <f t="shared" si="229"/>
        <v>12.845499999999999</v>
      </c>
      <c r="I3683" s="6">
        <f t="shared" si="230"/>
        <v>14.999999999999991</v>
      </c>
      <c r="J3683" t="str">
        <f t="shared" si="231"/>
        <v>OK</v>
      </c>
    </row>
    <row r="3684" spans="1:10" x14ac:dyDescent="0.2">
      <c r="A3684">
        <v>13683</v>
      </c>
      <c r="B3684" t="s">
        <v>5</v>
      </c>
      <c r="C3684" t="s">
        <v>11</v>
      </c>
      <c r="D3684" s="8">
        <v>8.57</v>
      </c>
      <c r="E3684">
        <v>3</v>
      </c>
      <c r="F3684" t="str">
        <f t="shared" si="228"/>
        <v>Value</v>
      </c>
      <c r="G3684" s="3" cm="1">
        <f t="array" ref="G3684">_xlfn.XLOOKUP(C3684 &amp; F3684,
         [1]unilever_price_limits!A:A &amp; [1]unilever_price_limits!B:B,
         [1]unilever_price_limits!C:C)</f>
        <v>10</v>
      </c>
      <c r="H3684" s="8">
        <f t="shared" si="229"/>
        <v>9.4270000000000014</v>
      </c>
      <c r="I3684" s="6">
        <f t="shared" si="230"/>
        <v>10.000000000000009</v>
      </c>
      <c r="J3684" t="str">
        <f t="shared" si="231"/>
        <v>OK</v>
      </c>
    </row>
    <row r="3685" spans="1:10" x14ac:dyDescent="0.2">
      <c r="A3685">
        <v>13684</v>
      </c>
      <c r="B3685" t="s">
        <v>10</v>
      </c>
      <c r="C3685" t="s">
        <v>6</v>
      </c>
      <c r="D3685" s="8">
        <v>13.97</v>
      </c>
      <c r="E3685">
        <v>6</v>
      </c>
      <c r="F3685" t="str">
        <f t="shared" si="228"/>
        <v>Standard</v>
      </c>
      <c r="G3685" s="3" cm="1">
        <f t="array" ref="G3685">_xlfn.XLOOKUP(C3685 &amp; F3685,
         [1]unilever_price_limits!A:A &amp; [1]unilever_price_limits!B:B,
         [1]unilever_price_limits!C:C)</f>
        <v>28</v>
      </c>
      <c r="H3685" s="8">
        <f t="shared" si="229"/>
        <v>17.881600000000002</v>
      </c>
      <c r="I3685" s="6">
        <f t="shared" si="230"/>
        <v>28.000000000000004</v>
      </c>
      <c r="J3685" t="str">
        <f t="shared" si="231"/>
        <v>OK</v>
      </c>
    </row>
    <row r="3686" spans="1:10" x14ac:dyDescent="0.2">
      <c r="A3686">
        <v>13685</v>
      </c>
      <c r="B3686" t="s">
        <v>7</v>
      </c>
      <c r="C3686" t="s">
        <v>11</v>
      </c>
      <c r="D3686" s="8">
        <v>5.98</v>
      </c>
      <c r="E3686">
        <v>1</v>
      </c>
      <c r="F3686" t="str">
        <f t="shared" si="228"/>
        <v>Value</v>
      </c>
      <c r="G3686" s="3" cm="1">
        <f t="array" ref="G3686">_xlfn.XLOOKUP(C3686 &amp; F3686,
         [1]unilever_price_limits!A:A &amp; [1]unilever_price_limits!B:B,
         [1]unilever_price_limits!C:C)</f>
        <v>10</v>
      </c>
      <c r="H3686" s="8">
        <f t="shared" si="229"/>
        <v>6.5780000000000012</v>
      </c>
      <c r="I3686" s="6">
        <f t="shared" si="230"/>
        <v>10.000000000000009</v>
      </c>
      <c r="J3686" t="str">
        <f t="shared" si="231"/>
        <v>OK</v>
      </c>
    </row>
    <row r="3687" spans="1:10" x14ac:dyDescent="0.2">
      <c r="A3687">
        <v>13686</v>
      </c>
      <c r="B3687" t="s">
        <v>10</v>
      </c>
      <c r="C3687" t="s">
        <v>11</v>
      </c>
      <c r="D3687" s="8">
        <v>7.22</v>
      </c>
      <c r="E3687">
        <v>2</v>
      </c>
      <c r="F3687" t="str">
        <f t="shared" si="228"/>
        <v>Value</v>
      </c>
      <c r="G3687" s="3" cm="1">
        <f t="array" ref="G3687">_xlfn.XLOOKUP(C3687 &amp; F3687,
         [1]unilever_price_limits!A:A &amp; [1]unilever_price_limits!B:B,
         [1]unilever_price_limits!C:C)</f>
        <v>10</v>
      </c>
      <c r="H3687" s="8">
        <f t="shared" si="229"/>
        <v>7.9420000000000002</v>
      </c>
      <c r="I3687" s="6">
        <f t="shared" si="230"/>
        <v>10.000000000000009</v>
      </c>
      <c r="J3687" t="str">
        <f t="shared" si="231"/>
        <v>OK</v>
      </c>
    </row>
    <row r="3688" spans="1:10" x14ac:dyDescent="0.2">
      <c r="A3688">
        <v>13687</v>
      </c>
      <c r="B3688" t="s">
        <v>8</v>
      </c>
      <c r="C3688" t="s">
        <v>9</v>
      </c>
      <c r="D3688" s="8">
        <v>1.78</v>
      </c>
      <c r="E3688">
        <v>10</v>
      </c>
      <c r="F3688" t="str">
        <f t="shared" si="228"/>
        <v>Premium</v>
      </c>
      <c r="G3688" s="3" cm="1">
        <f t="array" ref="G3688">_xlfn.XLOOKUP(C3688 &amp; F3688,
         [1]unilever_price_limits!A:A &amp; [1]unilever_price_limits!B:B,
         [1]unilever_price_limits!C:C)</f>
        <v>60</v>
      </c>
      <c r="H3688" s="8">
        <f t="shared" si="229"/>
        <v>2.8480000000000003</v>
      </c>
      <c r="I3688" s="6">
        <f t="shared" si="230"/>
        <v>60.000000000000007</v>
      </c>
      <c r="J3688" t="str">
        <f t="shared" si="231"/>
        <v>OK</v>
      </c>
    </row>
    <row r="3689" spans="1:10" x14ac:dyDescent="0.2">
      <c r="A3689">
        <v>13688</v>
      </c>
      <c r="B3689" t="s">
        <v>10</v>
      </c>
      <c r="C3689" t="s">
        <v>11</v>
      </c>
      <c r="D3689" s="8">
        <v>9.33</v>
      </c>
      <c r="E3689">
        <v>2</v>
      </c>
      <c r="F3689" t="str">
        <f t="shared" si="228"/>
        <v>Value</v>
      </c>
      <c r="G3689" s="3" cm="1">
        <f t="array" ref="G3689">_xlfn.XLOOKUP(C3689 &amp; F3689,
         [1]unilever_price_limits!A:A &amp; [1]unilever_price_limits!B:B,
         [1]unilever_price_limits!C:C)</f>
        <v>10</v>
      </c>
      <c r="H3689" s="8">
        <f t="shared" si="229"/>
        <v>10.263000000000002</v>
      </c>
      <c r="I3689" s="6">
        <f t="shared" si="230"/>
        <v>10.000000000000009</v>
      </c>
      <c r="J3689" t="str">
        <f t="shared" si="231"/>
        <v>OK</v>
      </c>
    </row>
    <row r="3690" spans="1:10" x14ac:dyDescent="0.2">
      <c r="A3690">
        <v>13689</v>
      </c>
      <c r="B3690" t="s">
        <v>10</v>
      </c>
      <c r="C3690" t="s">
        <v>11</v>
      </c>
      <c r="D3690" s="8">
        <v>4.68</v>
      </c>
      <c r="E3690">
        <v>1</v>
      </c>
      <c r="F3690" t="str">
        <f t="shared" si="228"/>
        <v>Value</v>
      </c>
      <c r="G3690" s="3" cm="1">
        <f t="array" ref="G3690">_xlfn.XLOOKUP(C3690 &amp; F3690,
         [1]unilever_price_limits!A:A &amp; [1]unilever_price_limits!B:B,
         [1]unilever_price_limits!C:C)</f>
        <v>10</v>
      </c>
      <c r="H3690" s="8">
        <f t="shared" si="229"/>
        <v>5.1479999999999997</v>
      </c>
      <c r="I3690" s="6">
        <f t="shared" si="230"/>
        <v>10.000000000000009</v>
      </c>
      <c r="J3690" t="str">
        <f t="shared" si="231"/>
        <v>OK</v>
      </c>
    </row>
    <row r="3691" spans="1:10" x14ac:dyDescent="0.2">
      <c r="A3691">
        <v>13690</v>
      </c>
      <c r="B3691" t="s">
        <v>7</v>
      </c>
      <c r="C3691" t="s">
        <v>9</v>
      </c>
      <c r="D3691" s="8">
        <v>2.82</v>
      </c>
      <c r="E3691">
        <v>3</v>
      </c>
      <c r="F3691" t="str">
        <f t="shared" si="228"/>
        <v>Value</v>
      </c>
      <c r="G3691" s="3" cm="1">
        <f t="array" ref="G3691">_xlfn.XLOOKUP(C3691 &amp; F3691,
         [1]unilever_price_limits!A:A &amp; [1]unilever_price_limits!B:B,
         [1]unilever_price_limits!C:C)</f>
        <v>15</v>
      </c>
      <c r="H3691" s="8">
        <f t="shared" si="229"/>
        <v>3.2429999999999994</v>
      </c>
      <c r="I3691" s="6">
        <f t="shared" si="230"/>
        <v>14.999999999999991</v>
      </c>
      <c r="J3691" t="str">
        <f t="shared" si="231"/>
        <v>OK</v>
      </c>
    </row>
    <row r="3692" spans="1:10" x14ac:dyDescent="0.2">
      <c r="A3692">
        <v>13691</v>
      </c>
      <c r="B3692" t="s">
        <v>10</v>
      </c>
      <c r="C3692" t="s">
        <v>9</v>
      </c>
      <c r="D3692" s="8">
        <v>8.4</v>
      </c>
      <c r="E3692">
        <v>10</v>
      </c>
      <c r="F3692" t="str">
        <f t="shared" si="228"/>
        <v>Premium</v>
      </c>
      <c r="G3692" s="3" cm="1">
        <f t="array" ref="G3692">_xlfn.XLOOKUP(C3692 &amp; F3692,
         [1]unilever_price_limits!A:A &amp; [1]unilever_price_limits!B:B,
         [1]unilever_price_limits!C:C)</f>
        <v>60</v>
      </c>
      <c r="H3692" s="8">
        <f t="shared" si="229"/>
        <v>13.440000000000001</v>
      </c>
      <c r="I3692" s="6">
        <f t="shared" si="230"/>
        <v>60.000000000000007</v>
      </c>
      <c r="J3692" t="str">
        <f t="shared" si="231"/>
        <v>OK</v>
      </c>
    </row>
    <row r="3693" spans="1:10" x14ac:dyDescent="0.2">
      <c r="A3693">
        <v>13692</v>
      </c>
      <c r="B3693" t="s">
        <v>7</v>
      </c>
      <c r="C3693" t="s">
        <v>9</v>
      </c>
      <c r="D3693" s="8">
        <v>8.2200000000000006</v>
      </c>
      <c r="E3693">
        <v>7</v>
      </c>
      <c r="F3693" t="str">
        <f t="shared" si="228"/>
        <v>Standard</v>
      </c>
      <c r="G3693" s="3" cm="1">
        <f t="array" ref="G3693">_xlfn.XLOOKUP(C3693 &amp; F3693,
         [1]unilever_price_limits!A:A &amp; [1]unilever_price_limits!B:B,
         [1]unilever_price_limits!C:C)</f>
        <v>30</v>
      </c>
      <c r="H3693" s="8">
        <f t="shared" si="229"/>
        <v>10.686000000000002</v>
      </c>
      <c r="I3693" s="6">
        <f t="shared" si="230"/>
        <v>30.000000000000004</v>
      </c>
      <c r="J3693" t="str">
        <f t="shared" si="231"/>
        <v>OK</v>
      </c>
    </row>
    <row r="3694" spans="1:10" x14ac:dyDescent="0.2">
      <c r="A3694">
        <v>13693</v>
      </c>
      <c r="B3694" t="s">
        <v>8</v>
      </c>
      <c r="C3694" t="s">
        <v>11</v>
      </c>
      <c r="D3694" s="8">
        <v>1.6</v>
      </c>
      <c r="E3694">
        <v>1</v>
      </c>
      <c r="F3694" t="str">
        <f t="shared" si="228"/>
        <v>Value</v>
      </c>
      <c r="G3694" s="3" cm="1">
        <f t="array" ref="G3694">_xlfn.XLOOKUP(C3694 &amp; F3694,
         [1]unilever_price_limits!A:A &amp; [1]unilever_price_limits!B:B,
         [1]unilever_price_limits!C:C)</f>
        <v>10</v>
      </c>
      <c r="H3694" s="8">
        <f t="shared" si="229"/>
        <v>1.7600000000000002</v>
      </c>
      <c r="I3694" s="6">
        <f t="shared" si="230"/>
        <v>10.000000000000009</v>
      </c>
      <c r="J3694" t="str">
        <f t="shared" si="231"/>
        <v>OK</v>
      </c>
    </row>
    <row r="3695" spans="1:10" x14ac:dyDescent="0.2">
      <c r="A3695">
        <v>13694</v>
      </c>
      <c r="B3695" t="s">
        <v>7</v>
      </c>
      <c r="C3695" t="s">
        <v>11</v>
      </c>
      <c r="D3695" s="8">
        <v>10.62</v>
      </c>
      <c r="E3695">
        <v>7</v>
      </c>
      <c r="F3695" t="str">
        <f t="shared" si="228"/>
        <v>Standard</v>
      </c>
      <c r="G3695" s="3" cm="1">
        <f t="array" ref="G3695">_xlfn.XLOOKUP(C3695 &amp; F3695,
         [1]unilever_price_limits!A:A &amp; [1]unilever_price_limits!B:B,
         [1]unilever_price_limits!C:C)</f>
        <v>25</v>
      </c>
      <c r="H3695" s="8">
        <f t="shared" si="229"/>
        <v>13.274999999999999</v>
      </c>
      <c r="I3695" s="6">
        <f t="shared" si="230"/>
        <v>25</v>
      </c>
      <c r="J3695" t="str">
        <f t="shared" si="231"/>
        <v>OK</v>
      </c>
    </row>
    <row r="3696" spans="1:10" x14ac:dyDescent="0.2">
      <c r="A3696">
        <v>13695</v>
      </c>
      <c r="B3696" t="s">
        <v>7</v>
      </c>
      <c r="C3696" t="s">
        <v>11</v>
      </c>
      <c r="D3696" s="8">
        <v>9.5399999999999991</v>
      </c>
      <c r="E3696">
        <v>5</v>
      </c>
      <c r="F3696" t="str">
        <f t="shared" si="228"/>
        <v>Standard</v>
      </c>
      <c r="G3696" s="3" cm="1">
        <f t="array" ref="G3696">_xlfn.XLOOKUP(C3696 &amp; F3696,
         [1]unilever_price_limits!A:A &amp; [1]unilever_price_limits!B:B,
         [1]unilever_price_limits!C:C)</f>
        <v>25</v>
      </c>
      <c r="H3696" s="8">
        <f t="shared" si="229"/>
        <v>11.924999999999999</v>
      </c>
      <c r="I3696" s="6">
        <f t="shared" si="230"/>
        <v>25</v>
      </c>
      <c r="J3696" t="str">
        <f t="shared" si="231"/>
        <v>OK</v>
      </c>
    </row>
    <row r="3697" spans="1:10" x14ac:dyDescent="0.2">
      <c r="A3697">
        <v>13696</v>
      </c>
      <c r="B3697" t="s">
        <v>5</v>
      </c>
      <c r="C3697" t="s">
        <v>9</v>
      </c>
      <c r="D3697" s="8">
        <v>3.24</v>
      </c>
      <c r="E3697">
        <v>9</v>
      </c>
      <c r="F3697" t="str">
        <f t="shared" si="228"/>
        <v>Premium</v>
      </c>
      <c r="G3697" s="3" cm="1">
        <f t="array" ref="G3697">_xlfn.XLOOKUP(C3697 &amp; F3697,
         [1]unilever_price_limits!A:A &amp; [1]unilever_price_limits!B:B,
         [1]unilever_price_limits!C:C)</f>
        <v>60</v>
      </c>
      <c r="H3697" s="8">
        <f t="shared" si="229"/>
        <v>5.1840000000000011</v>
      </c>
      <c r="I3697" s="6">
        <f t="shared" si="230"/>
        <v>60.000000000000028</v>
      </c>
      <c r="J3697" t="str">
        <f t="shared" si="231"/>
        <v>OK</v>
      </c>
    </row>
    <row r="3698" spans="1:10" x14ac:dyDescent="0.2">
      <c r="A3698">
        <v>13697</v>
      </c>
      <c r="B3698" t="s">
        <v>10</v>
      </c>
      <c r="C3698" t="s">
        <v>6</v>
      </c>
      <c r="D3698" s="8">
        <v>7.31</v>
      </c>
      <c r="E3698">
        <v>2</v>
      </c>
      <c r="F3698" t="str">
        <f t="shared" si="228"/>
        <v>Value</v>
      </c>
      <c r="G3698" s="3" cm="1">
        <f t="array" ref="G3698">_xlfn.XLOOKUP(C3698 &amp; F3698,
         [1]unilever_price_limits!A:A &amp; [1]unilever_price_limits!B:B,
         [1]unilever_price_limits!C:C)</f>
        <v>12</v>
      </c>
      <c r="H3698" s="8">
        <f t="shared" si="229"/>
        <v>8.1872000000000007</v>
      </c>
      <c r="I3698" s="6">
        <f t="shared" si="230"/>
        <v>12.000000000000011</v>
      </c>
      <c r="J3698" t="str">
        <f t="shared" si="231"/>
        <v>OK</v>
      </c>
    </row>
    <row r="3699" spans="1:10" x14ac:dyDescent="0.2">
      <c r="A3699">
        <v>13698</v>
      </c>
      <c r="B3699" t="s">
        <v>8</v>
      </c>
      <c r="C3699" t="s">
        <v>11</v>
      </c>
      <c r="D3699" s="8">
        <v>10.94</v>
      </c>
      <c r="E3699">
        <v>1</v>
      </c>
      <c r="F3699" t="str">
        <f t="shared" si="228"/>
        <v>Value</v>
      </c>
      <c r="G3699" s="3" cm="1">
        <f t="array" ref="G3699">_xlfn.XLOOKUP(C3699 &amp; F3699,
         [1]unilever_price_limits!A:A &amp; [1]unilever_price_limits!B:B,
         [1]unilever_price_limits!C:C)</f>
        <v>10</v>
      </c>
      <c r="H3699" s="8">
        <f t="shared" si="229"/>
        <v>12.034000000000001</v>
      </c>
      <c r="I3699" s="6">
        <f t="shared" si="230"/>
        <v>10.000000000000009</v>
      </c>
      <c r="J3699" t="str">
        <f t="shared" si="231"/>
        <v>OK</v>
      </c>
    </row>
    <row r="3700" spans="1:10" x14ac:dyDescent="0.2">
      <c r="A3700">
        <v>13699</v>
      </c>
      <c r="B3700" t="s">
        <v>7</v>
      </c>
      <c r="C3700" t="s">
        <v>6</v>
      </c>
      <c r="D3700" s="8">
        <v>8.18</v>
      </c>
      <c r="E3700">
        <v>9</v>
      </c>
      <c r="F3700" t="str">
        <f t="shared" si="228"/>
        <v>Premium</v>
      </c>
      <c r="G3700" s="3" cm="1">
        <f t="array" ref="G3700">_xlfn.XLOOKUP(C3700 &amp; F3700,
         [1]unilever_price_limits!A:A &amp; [1]unilever_price_limits!B:B,
         [1]unilever_price_limits!C:C)</f>
        <v>55</v>
      </c>
      <c r="H3700" s="8">
        <f t="shared" si="229"/>
        <v>12.679</v>
      </c>
      <c r="I3700" s="6">
        <f t="shared" si="230"/>
        <v>55.000000000000007</v>
      </c>
      <c r="J3700" t="str">
        <f t="shared" si="231"/>
        <v>OK</v>
      </c>
    </row>
    <row r="3701" spans="1:10" x14ac:dyDescent="0.2">
      <c r="A3701">
        <v>13700</v>
      </c>
      <c r="B3701" t="s">
        <v>8</v>
      </c>
      <c r="C3701" t="s">
        <v>9</v>
      </c>
      <c r="D3701" s="8">
        <v>6.23</v>
      </c>
      <c r="E3701">
        <v>8</v>
      </c>
      <c r="F3701" t="str">
        <f t="shared" si="228"/>
        <v>Premium</v>
      </c>
      <c r="G3701" s="3" cm="1">
        <f t="array" ref="G3701">_xlfn.XLOOKUP(C3701 &amp; F3701,
         [1]unilever_price_limits!A:A &amp; [1]unilever_price_limits!B:B,
         [1]unilever_price_limits!C:C)</f>
        <v>60</v>
      </c>
      <c r="H3701" s="8">
        <f t="shared" si="229"/>
        <v>9.9680000000000017</v>
      </c>
      <c r="I3701" s="6">
        <f t="shared" si="230"/>
        <v>60.000000000000007</v>
      </c>
      <c r="J3701" t="str">
        <f t="shared" si="231"/>
        <v>OK</v>
      </c>
    </row>
    <row r="3702" spans="1:10" x14ac:dyDescent="0.2">
      <c r="A3702">
        <v>13701</v>
      </c>
      <c r="B3702" t="s">
        <v>5</v>
      </c>
      <c r="C3702" t="s">
        <v>11</v>
      </c>
      <c r="D3702" s="8">
        <v>5.17</v>
      </c>
      <c r="E3702">
        <v>10</v>
      </c>
      <c r="F3702" t="str">
        <f t="shared" si="228"/>
        <v>Premium</v>
      </c>
      <c r="G3702" s="3" cm="1">
        <f t="array" ref="G3702">_xlfn.XLOOKUP(C3702 &amp; F3702,
         [1]unilever_price_limits!A:A &amp; [1]unilever_price_limits!B:B,
         [1]unilever_price_limits!C:C)</f>
        <v>50</v>
      </c>
      <c r="H3702" s="8">
        <f t="shared" si="229"/>
        <v>7.7549999999999999</v>
      </c>
      <c r="I3702" s="6">
        <f t="shared" si="230"/>
        <v>50</v>
      </c>
      <c r="J3702" t="str">
        <f t="shared" si="231"/>
        <v>OK</v>
      </c>
    </row>
    <row r="3703" spans="1:10" x14ac:dyDescent="0.2">
      <c r="A3703">
        <v>13702</v>
      </c>
      <c r="B3703" t="s">
        <v>10</v>
      </c>
      <c r="C3703" t="s">
        <v>6</v>
      </c>
      <c r="D3703" s="8">
        <v>9.35</v>
      </c>
      <c r="E3703">
        <v>6</v>
      </c>
      <c r="F3703" t="str">
        <f t="shared" si="228"/>
        <v>Standard</v>
      </c>
      <c r="G3703" s="3" cm="1">
        <f t="array" ref="G3703">_xlfn.XLOOKUP(C3703 &amp; F3703,
         [1]unilever_price_limits!A:A &amp; [1]unilever_price_limits!B:B,
         [1]unilever_price_limits!C:C)</f>
        <v>28</v>
      </c>
      <c r="H3703" s="8">
        <f t="shared" si="229"/>
        <v>11.968</v>
      </c>
      <c r="I3703" s="6">
        <f t="shared" si="230"/>
        <v>28.000000000000004</v>
      </c>
      <c r="J3703" t="str">
        <f t="shared" si="231"/>
        <v>OK</v>
      </c>
    </row>
    <row r="3704" spans="1:10" x14ac:dyDescent="0.2">
      <c r="A3704">
        <v>13703</v>
      </c>
      <c r="B3704" t="s">
        <v>7</v>
      </c>
      <c r="C3704" t="s">
        <v>11</v>
      </c>
      <c r="D3704" s="8">
        <v>14.12</v>
      </c>
      <c r="E3704">
        <v>5</v>
      </c>
      <c r="F3704" t="str">
        <f t="shared" si="228"/>
        <v>Standard</v>
      </c>
      <c r="G3704" s="3" cm="1">
        <f t="array" ref="G3704">_xlfn.XLOOKUP(C3704 &amp; F3704,
         [1]unilever_price_limits!A:A &amp; [1]unilever_price_limits!B:B,
         [1]unilever_price_limits!C:C)</f>
        <v>25</v>
      </c>
      <c r="H3704" s="8">
        <f t="shared" si="229"/>
        <v>17.649999999999999</v>
      </c>
      <c r="I3704" s="6">
        <f t="shared" si="230"/>
        <v>25</v>
      </c>
      <c r="J3704" t="str">
        <f t="shared" si="231"/>
        <v>OK</v>
      </c>
    </row>
    <row r="3705" spans="1:10" x14ac:dyDescent="0.2">
      <c r="A3705">
        <v>13704</v>
      </c>
      <c r="B3705" t="s">
        <v>10</v>
      </c>
      <c r="C3705" t="s">
        <v>11</v>
      </c>
      <c r="D3705" s="8">
        <v>10.24</v>
      </c>
      <c r="E3705">
        <v>8</v>
      </c>
      <c r="F3705" t="str">
        <f t="shared" si="228"/>
        <v>Premium</v>
      </c>
      <c r="G3705" s="3" cm="1">
        <f t="array" ref="G3705">_xlfn.XLOOKUP(C3705 &amp; F3705,
         [1]unilever_price_limits!A:A &amp; [1]unilever_price_limits!B:B,
         [1]unilever_price_limits!C:C)</f>
        <v>50</v>
      </c>
      <c r="H3705" s="8">
        <f t="shared" si="229"/>
        <v>15.36</v>
      </c>
      <c r="I3705" s="6">
        <f t="shared" si="230"/>
        <v>50</v>
      </c>
      <c r="J3705" t="str">
        <f t="shared" si="231"/>
        <v>OK</v>
      </c>
    </row>
    <row r="3706" spans="1:10" x14ac:dyDescent="0.2">
      <c r="A3706">
        <v>13705</v>
      </c>
      <c r="B3706" t="s">
        <v>5</v>
      </c>
      <c r="C3706" t="s">
        <v>11</v>
      </c>
      <c r="D3706" s="8">
        <v>1.58</v>
      </c>
      <c r="E3706">
        <v>8</v>
      </c>
      <c r="F3706" t="str">
        <f t="shared" si="228"/>
        <v>Premium</v>
      </c>
      <c r="G3706" s="3" cm="1">
        <f t="array" ref="G3706">_xlfn.XLOOKUP(C3706 &amp; F3706,
         [1]unilever_price_limits!A:A &amp; [1]unilever_price_limits!B:B,
         [1]unilever_price_limits!C:C)</f>
        <v>50</v>
      </c>
      <c r="H3706" s="8">
        <f t="shared" si="229"/>
        <v>2.37</v>
      </c>
      <c r="I3706" s="6">
        <f t="shared" si="230"/>
        <v>50</v>
      </c>
      <c r="J3706" t="str">
        <f t="shared" si="231"/>
        <v>OK</v>
      </c>
    </row>
    <row r="3707" spans="1:10" x14ac:dyDescent="0.2">
      <c r="A3707">
        <v>13706</v>
      </c>
      <c r="B3707" t="s">
        <v>5</v>
      </c>
      <c r="C3707" t="s">
        <v>6</v>
      </c>
      <c r="D3707" s="8">
        <v>7.18</v>
      </c>
      <c r="E3707">
        <v>5</v>
      </c>
      <c r="F3707" t="str">
        <f t="shared" si="228"/>
        <v>Standard</v>
      </c>
      <c r="G3707" s="3" cm="1">
        <f t="array" ref="G3707">_xlfn.XLOOKUP(C3707 &amp; F3707,
         [1]unilever_price_limits!A:A &amp; [1]unilever_price_limits!B:B,
         [1]unilever_price_limits!C:C)</f>
        <v>28</v>
      </c>
      <c r="H3707" s="8">
        <f t="shared" si="229"/>
        <v>9.1904000000000003</v>
      </c>
      <c r="I3707" s="6">
        <f t="shared" si="230"/>
        <v>28.000000000000004</v>
      </c>
      <c r="J3707" t="str">
        <f t="shared" si="231"/>
        <v>OK</v>
      </c>
    </row>
    <row r="3708" spans="1:10" x14ac:dyDescent="0.2">
      <c r="A3708">
        <v>13707</v>
      </c>
      <c r="B3708" t="s">
        <v>8</v>
      </c>
      <c r="C3708" t="s">
        <v>9</v>
      </c>
      <c r="D3708" s="8">
        <v>13.42</v>
      </c>
      <c r="E3708">
        <v>7</v>
      </c>
      <c r="F3708" t="str">
        <f t="shared" si="228"/>
        <v>Standard</v>
      </c>
      <c r="G3708" s="3" cm="1">
        <f t="array" ref="G3708">_xlfn.XLOOKUP(C3708 &amp; F3708,
         [1]unilever_price_limits!A:A &amp; [1]unilever_price_limits!B:B,
         [1]unilever_price_limits!C:C)</f>
        <v>30</v>
      </c>
      <c r="H3708" s="8">
        <f t="shared" si="229"/>
        <v>17.446000000000002</v>
      </c>
      <c r="I3708" s="6">
        <f t="shared" si="230"/>
        <v>30.000000000000004</v>
      </c>
      <c r="J3708" t="str">
        <f t="shared" si="231"/>
        <v>OK</v>
      </c>
    </row>
    <row r="3709" spans="1:10" x14ac:dyDescent="0.2">
      <c r="A3709">
        <v>13708</v>
      </c>
      <c r="B3709" t="s">
        <v>7</v>
      </c>
      <c r="C3709" t="s">
        <v>11</v>
      </c>
      <c r="D3709" s="8">
        <v>1.87</v>
      </c>
      <c r="E3709">
        <v>1</v>
      </c>
      <c r="F3709" t="str">
        <f t="shared" si="228"/>
        <v>Value</v>
      </c>
      <c r="G3709" s="3" cm="1">
        <f t="array" ref="G3709">_xlfn.XLOOKUP(C3709 &amp; F3709,
         [1]unilever_price_limits!A:A &amp; [1]unilever_price_limits!B:B,
         [1]unilever_price_limits!C:C)</f>
        <v>10</v>
      </c>
      <c r="H3709" s="8">
        <f t="shared" si="229"/>
        <v>2.0570000000000004</v>
      </c>
      <c r="I3709" s="6">
        <f t="shared" si="230"/>
        <v>10.000000000000009</v>
      </c>
      <c r="J3709" t="str">
        <f t="shared" si="231"/>
        <v>OK</v>
      </c>
    </row>
    <row r="3710" spans="1:10" x14ac:dyDescent="0.2">
      <c r="A3710">
        <v>13709</v>
      </c>
      <c r="B3710" t="s">
        <v>8</v>
      </c>
      <c r="C3710" t="s">
        <v>9</v>
      </c>
      <c r="D3710" s="8">
        <v>14.84</v>
      </c>
      <c r="E3710">
        <v>4</v>
      </c>
      <c r="F3710" t="str">
        <f t="shared" si="228"/>
        <v>Standard</v>
      </c>
      <c r="G3710" s="3" cm="1">
        <f t="array" ref="G3710">_xlfn.XLOOKUP(C3710 &amp; F3710,
         [1]unilever_price_limits!A:A &amp; [1]unilever_price_limits!B:B,
         [1]unilever_price_limits!C:C)</f>
        <v>30</v>
      </c>
      <c r="H3710" s="8">
        <f t="shared" si="229"/>
        <v>19.292000000000002</v>
      </c>
      <c r="I3710" s="6">
        <f t="shared" si="230"/>
        <v>30.000000000000004</v>
      </c>
      <c r="J3710" t="str">
        <f t="shared" si="231"/>
        <v>OK</v>
      </c>
    </row>
    <row r="3711" spans="1:10" x14ac:dyDescent="0.2">
      <c r="A3711">
        <v>13710</v>
      </c>
      <c r="B3711" t="s">
        <v>5</v>
      </c>
      <c r="C3711" t="s">
        <v>9</v>
      </c>
      <c r="D3711" s="8">
        <v>14.26</v>
      </c>
      <c r="E3711">
        <v>2</v>
      </c>
      <c r="F3711" t="str">
        <f t="shared" si="228"/>
        <v>Value</v>
      </c>
      <c r="G3711" s="3" cm="1">
        <f t="array" ref="G3711">_xlfn.XLOOKUP(C3711 &amp; F3711,
         [1]unilever_price_limits!A:A &amp; [1]unilever_price_limits!B:B,
         [1]unilever_price_limits!C:C)</f>
        <v>15</v>
      </c>
      <c r="H3711" s="8">
        <f t="shared" si="229"/>
        <v>16.398999999999997</v>
      </c>
      <c r="I3711" s="6">
        <f t="shared" si="230"/>
        <v>14.999999999999991</v>
      </c>
      <c r="J3711" t="str">
        <f t="shared" si="231"/>
        <v>OK</v>
      </c>
    </row>
    <row r="3712" spans="1:10" x14ac:dyDescent="0.2">
      <c r="A3712">
        <v>13711</v>
      </c>
      <c r="B3712" t="s">
        <v>10</v>
      </c>
      <c r="C3712" t="s">
        <v>6</v>
      </c>
      <c r="D3712" s="8">
        <v>1.63</v>
      </c>
      <c r="E3712">
        <v>10</v>
      </c>
      <c r="F3712" t="str">
        <f t="shared" si="228"/>
        <v>Premium</v>
      </c>
      <c r="G3712" s="3" cm="1">
        <f t="array" ref="G3712">_xlfn.XLOOKUP(C3712 &amp; F3712,
         [1]unilever_price_limits!A:A &amp; [1]unilever_price_limits!B:B,
         [1]unilever_price_limits!C:C)</f>
        <v>55</v>
      </c>
      <c r="H3712" s="8">
        <f t="shared" si="229"/>
        <v>2.5265</v>
      </c>
      <c r="I3712" s="6">
        <f t="shared" si="230"/>
        <v>55.000000000000007</v>
      </c>
      <c r="J3712" t="str">
        <f t="shared" si="231"/>
        <v>OK</v>
      </c>
    </row>
    <row r="3713" spans="1:10" x14ac:dyDescent="0.2">
      <c r="A3713">
        <v>13712</v>
      </c>
      <c r="B3713" t="s">
        <v>8</v>
      </c>
      <c r="C3713" t="s">
        <v>6</v>
      </c>
      <c r="D3713" s="8">
        <v>14.03</v>
      </c>
      <c r="E3713">
        <v>3</v>
      </c>
      <c r="F3713" t="str">
        <f t="shared" si="228"/>
        <v>Value</v>
      </c>
      <c r="G3713" s="3" cm="1">
        <f t="array" ref="G3713">_xlfn.XLOOKUP(C3713 &amp; F3713,
         [1]unilever_price_limits!A:A &amp; [1]unilever_price_limits!B:B,
         [1]unilever_price_limits!C:C)</f>
        <v>12</v>
      </c>
      <c r="H3713" s="8">
        <f t="shared" si="229"/>
        <v>15.713600000000001</v>
      </c>
      <c r="I3713" s="6">
        <f t="shared" si="230"/>
        <v>12.000000000000011</v>
      </c>
      <c r="J3713" t="str">
        <f t="shared" si="231"/>
        <v>OK</v>
      </c>
    </row>
    <row r="3714" spans="1:10" x14ac:dyDescent="0.2">
      <c r="A3714">
        <v>13713</v>
      </c>
      <c r="B3714" t="s">
        <v>8</v>
      </c>
      <c r="C3714" t="s">
        <v>9</v>
      </c>
      <c r="D3714" s="8">
        <v>5.77</v>
      </c>
      <c r="E3714">
        <v>1</v>
      </c>
      <c r="F3714" t="str">
        <f t="shared" si="228"/>
        <v>Value</v>
      </c>
      <c r="G3714" s="3" cm="1">
        <f t="array" ref="G3714">_xlfn.XLOOKUP(C3714 &amp; F3714,
         [1]unilever_price_limits!A:A &amp; [1]unilever_price_limits!B:B,
         [1]unilever_price_limits!C:C)</f>
        <v>15</v>
      </c>
      <c r="H3714" s="8">
        <f t="shared" si="229"/>
        <v>6.6354999999999986</v>
      </c>
      <c r="I3714" s="6">
        <f t="shared" si="230"/>
        <v>14.999999999999991</v>
      </c>
      <c r="J3714" t="str">
        <f t="shared" si="231"/>
        <v>OK</v>
      </c>
    </row>
    <row r="3715" spans="1:10" x14ac:dyDescent="0.2">
      <c r="A3715">
        <v>13714</v>
      </c>
      <c r="B3715" t="s">
        <v>10</v>
      </c>
      <c r="C3715" t="s">
        <v>11</v>
      </c>
      <c r="D3715" s="8">
        <v>12.75</v>
      </c>
      <c r="E3715">
        <v>2</v>
      </c>
      <c r="F3715" t="str">
        <f t="shared" ref="F3715:F3778" si="232">IF(E3715&lt;=3,"Value",
 IF(E3715&lt;=7,"Standard","Premium"))</f>
        <v>Value</v>
      </c>
      <c r="G3715" s="3" cm="1">
        <f t="array" ref="G3715">_xlfn.XLOOKUP(C3715 &amp; F3715,
         [1]unilever_price_limits!A:A &amp; [1]unilever_price_limits!B:B,
         [1]unilever_price_limits!C:C)</f>
        <v>10</v>
      </c>
      <c r="H3715" s="8">
        <f t="shared" ref="H3715:H3778" si="233">D3715 * (1 + G3715/100)</f>
        <v>14.025</v>
      </c>
      <c r="I3715" s="6">
        <f t="shared" ref="I3715:I3778" si="234">(H3715 / D3715 - 1) * 100</f>
        <v>10.000000000000009</v>
      </c>
      <c r="J3715" t="str">
        <f t="shared" ref="J3715:J3778" si="235">IF(I3714&gt; G3714, "⚠ Exceeds Limit", "OK")</f>
        <v>OK</v>
      </c>
    </row>
    <row r="3716" spans="1:10" x14ac:dyDescent="0.2">
      <c r="A3716">
        <v>13715</v>
      </c>
      <c r="B3716" t="s">
        <v>8</v>
      </c>
      <c r="C3716" t="s">
        <v>6</v>
      </c>
      <c r="D3716" s="8">
        <v>6.57</v>
      </c>
      <c r="E3716">
        <v>1</v>
      </c>
      <c r="F3716" t="str">
        <f t="shared" si="232"/>
        <v>Value</v>
      </c>
      <c r="G3716" s="3" cm="1">
        <f t="array" ref="G3716">_xlfn.XLOOKUP(C3716 &amp; F3716,
         [1]unilever_price_limits!A:A &amp; [1]unilever_price_limits!B:B,
         [1]unilever_price_limits!C:C)</f>
        <v>12</v>
      </c>
      <c r="H3716" s="8">
        <f t="shared" si="233"/>
        <v>7.3584000000000014</v>
      </c>
      <c r="I3716" s="6">
        <f t="shared" si="234"/>
        <v>12.000000000000011</v>
      </c>
      <c r="J3716" t="str">
        <f t="shared" si="235"/>
        <v>OK</v>
      </c>
    </row>
    <row r="3717" spans="1:10" x14ac:dyDescent="0.2">
      <c r="A3717">
        <v>13716</v>
      </c>
      <c r="B3717" t="s">
        <v>10</v>
      </c>
      <c r="C3717" t="s">
        <v>11</v>
      </c>
      <c r="D3717" s="8">
        <v>6.89</v>
      </c>
      <c r="E3717">
        <v>8</v>
      </c>
      <c r="F3717" t="str">
        <f t="shared" si="232"/>
        <v>Premium</v>
      </c>
      <c r="G3717" s="3" cm="1">
        <f t="array" ref="G3717">_xlfn.XLOOKUP(C3717 &amp; F3717,
         [1]unilever_price_limits!A:A &amp; [1]unilever_price_limits!B:B,
         [1]unilever_price_limits!C:C)</f>
        <v>50</v>
      </c>
      <c r="H3717" s="8">
        <f t="shared" si="233"/>
        <v>10.334999999999999</v>
      </c>
      <c r="I3717" s="6">
        <f t="shared" si="234"/>
        <v>50</v>
      </c>
      <c r="J3717" t="str">
        <f t="shared" si="235"/>
        <v>OK</v>
      </c>
    </row>
    <row r="3718" spans="1:10" x14ac:dyDescent="0.2">
      <c r="A3718">
        <v>13717</v>
      </c>
      <c r="B3718" t="s">
        <v>7</v>
      </c>
      <c r="C3718" t="s">
        <v>11</v>
      </c>
      <c r="D3718" s="8">
        <v>9.6999999999999993</v>
      </c>
      <c r="E3718">
        <v>4</v>
      </c>
      <c r="F3718" t="str">
        <f t="shared" si="232"/>
        <v>Standard</v>
      </c>
      <c r="G3718" s="3" cm="1">
        <f t="array" ref="G3718">_xlfn.XLOOKUP(C3718 &amp; F3718,
         [1]unilever_price_limits!A:A &amp; [1]unilever_price_limits!B:B,
         [1]unilever_price_limits!C:C)</f>
        <v>25</v>
      </c>
      <c r="H3718" s="8">
        <f t="shared" si="233"/>
        <v>12.125</v>
      </c>
      <c r="I3718" s="6">
        <f t="shared" si="234"/>
        <v>25</v>
      </c>
      <c r="J3718" t="str">
        <f t="shared" si="235"/>
        <v>OK</v>
      </c>
    </row>
    <row r="3719" spans="1:10" x14ac:dyDescent="0.2">
      <c r="A3719">
        <v>13718</v>
      </c>
      <c r="B3719" t="s">
        <v>10</v>
      </c>
      <c r="C3719" t="s">
        <v>11</v>
      </c>
      <c r="D3719" s="8">
        <v>11.73</v>
      </c>
      <c r="E3719">
        <v>3</v>
      </c>
      <c r="F3719" t="str">
        <f t="shared" si="232"/>
        <v>Value</v>
      </c>
      <c r="G3719" s="3" cm="1">
        <f t="array" ref="G3719">_xlfn.XLOOKUP(C3719 &amp; F3719,
         [1]unilever_price_limits!A:A &amp; [1]unilever_price_limits!B:B,
         [1]unilever_price_limits!C:C)</f>
        <v>10</v>
      </c>
      <c r="H3719" s="8">
        <f t="shared" si="233"/>
        <v>12.903000000000002</v>
      </c>
      <c r="I3719" s="6">
        <f t="shared" si="234"/>
        <v>10.000000000000009</v>
      </c>
      <c r="J3719" t="str">
        <f t="shared" si="235"/>
        <v>OK</v>
      </c>
    </row>
    <row r="3720" spans="1:10" x14ac:dyDescent="0.2">
      <c r="A3720">
        <v>13719</v>
      </c>
      <c r="B3720" t="s">
        <v>7</v>
      </c>
      <c r="C3720" t="s">
        <v>9</v>
      </c>
      <c r="D3720" s="8">
        <v>0.99</v>
      </c>
      <c r="E3720">
        <v>1</v>
      </c>
      <c r="F3720" t="str">
        <f t="shared" si="232"/>
        <v>Value</v>
      </c>
      <c r="G3720" s="3" cm="1">
        <f t="array" ref="G3720">_xlfn.XLOOKUP(C3720 &amp; F3720,
         [1]unilever_price_limits!A:A &amp; [1]unilever_price_limits!B:B,
         [1]unilever_price_limits!C:C)</f>
        <v>15</v>
      </c>
      <c r="H3720" s="8">
        <f t="shared" si="233"/>
        <v>1.1384999999999998</v>
      </c>
      <c r="I3720" s="6">
        <f t="shared" si="234"/>
        <v>14.999999999999991</v>
      </c>
      <c r="J3720" t="str">
        <f t="shared" si="235"/>
        <v>OK</v>
      </c>
    </row>
    <row r="3721" spans="1:10" x14ac:dyDescent="0.2">
      <c r="A3721">
        <v>13720</v>
      </c>
      <c r="B3721" t="s">
        <v>10</v>
      </c>
      <c r="C3721" t="s">
        <v>11</v>
      </c>
      <c r="D3721" s="8">
        <v>9.1</v>
      </c>
      <c r="E3721">
        <v>2</v>
      </c>
      <c r="F3721" t="str">
        <f t="shared" si="232"/>
        <v>Value</v>
      </c>
      <c r="G3721" s="3" cm="1">
        <f t="array" ref="G3721">_xlfn.XLOOKUP(C3721 &amp; F3721,
         [1]unilever_price_limits!A:A &amp; [1]unilever_price_limits!B:B,
         [1]unilever_price_limits!C:C)</f>
        <v>10</v>
      </c>
      <c r="H3721" s="8">
        <f t="shared" si="233"/>
        <v>10.01</v>
      </c>
      <c r="I3721" s="6">
        <f t="shared" si="234"/>
        <v>10.000000000000009</v>
      </c>
      <c r="J3721" t="str">
        <f t="shared" si="235"/>
        <v>OK</v>
      </c>
    </row>
    <row r="3722" spans="1:10" x14ac:dyDescent="0.2">
      <c r="A3722">
        <v>13721</v>
      </c>
      <c r="B3722" t="s">
        <v>5</v>
      </c>
      <c r="C3722" t="s">
        <v>9</v>
      </c>
      <c r="D3722" s="8">
        <v>3.21</v>
      </c>
      <c r="E3722">
        <v>3</v>
      </c>
      <c r="F3722" t="str">
        <f t="shared" si="232"/>
        <v>Value</v>
      </c>
      <c r="G3722" s="3" cm="1">
        <f t="array" ref="G3722">_xlfn.XLOOKUP(C3722 &amp; F3722,
         [1]unilever_price_limits!A:A &amp; [1]unilever_price_limits!B:B,
         [1]unilever_price_limits!C:C)</f>
        <v>15</v>
      </c>
      <c r="H3722" s="8">
        <f t="shared" si="233"/>
        <v>3.6914999999999996</v>
      </c>
      <c r="I3722" s="6">
        <f t="shared" si="234"/>
        <v>14.999999999999991</v>
      </c>
      <c r="J3722" t="str">
        <f t="shared" si="235"/>
        <v>OK</v>
      </c>
    </row>
    <row r="3723" spans="1:10" x14ac:dyDescent="0.2">
      <c r="A3723">
        <v>13722</v>
      </c>
      <c r="B3723" t="s">
        <v>5</v>
      </c>
      <c r="C3723" t="s">
        <v>9</v>
      </c>
      <c r="D3723" s="8">
        <v>5.52</v>
      </c>
      <c r="E3723">
        <v>3</v>
      </c>
      <c r="F3723" t="str">
        <f t="shared" si="232"/>
        <v>Value</v>
      </c>
      <c r="G3723" s="3" cm="1">
        <f t="array" ref="G3723">_xlfn.XLOOKUP(C3723 &amp; F3723,
         [1]unilever_price_limits!A:A &amp; [1]unilever_price_limits!B:B,
         [1]unilever_price_limits!C:C)</f>
        <v>15</v>
      </c>
      <c r="H3723" s="8">
        <f t="shared" si="233"/>
        <v>6.347999999999999</v>
      </c>
      <c r="I3723" s="6">
        <f t="shared" si="234"/>
        <v>14.999999999999991</v>
      </c>
      <c r="J3723" t="str">
        <f t="shared" si="235"/>
        <v>OK</v>
      </c>
    </row>
    <row r="3724" spans="1:10" x14ac:dyDescent="0.2">
      <c r="A3724">
        <v>13723</v>
      </c>
      <c r="B3724" t="s">
        <v>7</v>
      </c>
      <c r="C3724" t="s">
        <v>11</v>
      </c>
      <c r="D3724" s="8">
        <v>5.55</v>
      </c>
      <c r="E3724">
        <v>6</v>
      </c>
      <c r="F3724" t="str">
        <f t="shared" si="232"/>
        <v>Standard</v>
      </c>
      <c r="G3724" s="3" cm="1">
        <f t="array" ref="G3724">_xlfn.XLOOKUP(C3724 &amp; F3724,
         [1]unilever_price_limits!A:A &amp; [1]unilever_price_limits!B:B,
         [1]unilever_price_limits!C:C)</f>
        <v>25</v>
      </c>
      <c r="H3724" s="8">
        <f t="shared" si="233"/>
        <v>6.9375</v>
      </c>
      <c r="I3724" s="6">
        <f t="shared" si="234"/>
        <v>25</v>
      </c>
      <c r="J3724" t="str">
        <f t="shared" si="235"/>
        <v>OK</v>
      </c>
    </row>
    <row r="3725" spans="1:10" x14ac:dyDescent="0.2">
      <c r="A3725">
        <v>13724</v>
      </c>
      <c r="B3725" t="s">
        <v>7</v>
      </c>
      <c r="C3725" t="s">
        <v>11</v>
      </c>
      <c r="D3725" s="8">
        <v>7.3</v>
      </c>
      <c r="E3725">
        <v>10</v>
      </c>
      <c r="F3725" t="str">
        <f t="shared" si="232"/>
        <v>Premium</v>
      </c>
      <c r="G3725" s="3" cm="1">
        <f t="array" ref="G3725">_xlfn.XLOOKUP(C3725 &amp; F3725,
         [1]unilever_price_limits!A:A &amp; [1]unilever_price_limits!B:B,
         [1]unilever_price_limits!C:C)</f>
        <v>50</v>
      </c>
      <c r="H3725" s="8">
        <f t="shared" si="233"/>
        <v>10.95</v>
      </c>
      <c r="I3725" s="6">
        <f t="shared" si="234"/>
        <v>50</v>
      </c>
      <c r="J3725" t="str">
        <f t="shared" si="235"/>
        <v>OK</v>
      </c>
    </row>
    <row r="3726" spans="1:10" x14ac:dyDescent="0.2">
      <c r="A3726">
        <v>13725</v>
      </c>
      <c r="B3726" t="s">
        <v>5</v>
      </c>
      <c r="C3726" t="s">
        <v>11</v>
      </c>
      <c r="D3726" s="8">
        <v>5.34</v>
      </c>
      <c r="E3726">
        <v>8</v>
      </c>
      <c r="F3726" t="str">
        <f t="shared" si="232"/>
        <v>Premium</v>
      </c>
      <c r="G3726" s="3" cm="1">
        <f t="array" ref="G3726">_xlfn.XLOOKUP(C3726 &amp; F3726,
         [1]unilever_price_limits!A:A &amp; [1]unilever_price_limits!B:B,
         [1]unilever_price_limits!C:C)</f>
        <v>50</v>
      </c>
      <c r="H3726" s="8">
        <f t="shared" si="233"/>
        <v>8.01</v>
      </c>
      <c r="I3726" s="6">
        <f t="shared" si="234"/>
        <v>50</v>
      </c>
      <c r="J3726" t="str">
        <f t="shared" si="235"/>
        <v>OK</v>
      </c>
    </row>
    <row r="3727" spans="1:10" x14ac:dyDescent="0.2">
      <c r="A3727">
        <v>13726</v>
      </c>
      <c r="B3727" t="s">
        <v>7</v>
      </c>
      <c r="C3727" t="s">
        <v>11</v>
      </c>
      <c r="D3727" s="8">
        <v>2.06</v>
      </c>
      <c r="E3727">
        <v>6</v>
      </c>
      <c r="F3727" t="str">
        <f t="shared" si="232"/>
        <v>Standard</v>
      </c>
      <c r="G3727" s="3" cm="1">
        <f t="array" ref="G3727">_xlfn.XLOOKUP(C3727 &amp; F3727,
         [1]unilever_price_limits!A:A &amp; [1]unilever_price_limits!B:B,
         [1]unilever_price_limits!C:C)</f>
        <v>25</v>
      </c>
      <c r="H3727" s="8">
        <f t="shared" si="233"/>
        <v>2.5750000000000002</v>
      </c>
      <c r="I3727" s="6">
        <f t="shared" si="234"/>
        <v>25</v>
      </c>
      <c r="J3727" t="str">
        <f t="shared" si="235"/>
        <v>OK</v>
      </c>
    </row>
    <row r="3728" spans="1:10" x14ac:dyDescent="0.2">
      <c r="A3728">
        <v>13727</v>
      </c>
      <c r="B3728" t="s">
        <v>10</v>
      </c>
      <c r="C3728" t="s">
        <v>9</v>
      </c>
      <c r="D3728" s="8">
        <v>2.61</v>
      </c>
      <c r="E3728">
        <v>2</v>
      </c>
      <c r="F3728" t="str">
        <f t="shared" si="232"/>
        <v>Value</v>
      </c>
      <c r="G3728" s="3" cm="1">
        <f t="array" ref="G3728">_xlfn.XLOOKUP(C3728 &amp; F3728,
         [1]unilever_price_limits!A:A &amp; [1]unilever_price_limits!B:B,
         [1]unilever_price_limits!C:C)</f>
        <v>15</v>
      </c>
      <c r="H3728" s="8">
        <f t="shared" si="233"/>
        <v>3.0014999999999996</v>
      </c>
      <c r="I3728" s="6">
        <f t="shared" si="234"/>
        <v>14.999999999999991</v>
      </c>
      <c r="J3728" t="str">
        <f t="shared" si="235"/>
        <v>OK</v>
      </c>
    </row>
    <row r="3729" spans="1:10" x14ac:dyDescent="0.2">
      <c r="A3729">
        <v>13728</v>
      </c>
      <c r="B3729" t="s">
        <v>10</v>
      </c>
      <c r="C3729" t="s">
        <v>11</v>
      </c>
      <c r="D3729" s="8">
        <v>0.98</v>
      </c>
      <c r="E3729">
        <v>2</v>
      </c>
      <c r="F3729" t="str">
        <f t="shared" si="232"/>
        <v>Value</v>
      </c>
      <c r="G3729" s="3" cm="1">
        <f t="array" ref="G3729">_xlfn.XLOOKUP(C3729 &amp; F3729,
         [1]unilever_price_limits!A:A &amp; [1]unilever_price_limits!B:B,
         [1]unilever_price_limits!C:C)</f>
        <v>10</v>
      </c>
      <c r="H3729" s="8">
        <f t="shared" si="233"/>
        <v>1.0780000000000001</v>
      </c>
      <c r="I3729" s="6">
        <f t="shared" si="234"/>
        <v>10.000000000000009</v>
      </c>
      <c r="J3729" t="str">
        <f t="shared" si="235"/>
        <v>OK</v>
      </c>
    </row>
    <row r="3730" spans="1:10" x14ac:dyDescent="0.2">
      <c r="A3730">
        <v>13729</v>
      </c>
      <c r="B3730" t="s">
        <v>5</v>
      </c>
      <c r="C3730" t="s">
        <v>11</v>
      </c>
      <c r="D3730" s="8">
        <v>7.32</v>
      </c>
      <c r="E3730">
        <v>7</v>
      </c>
      <c r="F3730" t="str">
        <f t="shared" si="232"/>
        <v>Standard</v>
      </c>
      <c r="G3730" s="3" cm="1">
        <f t="array" ref="G3730">_xlfn.XLOOKUP(C3730 &amp; F3730,
         [1]unilever_price_limits!A:A &amp; [1]unilever_price_limits!B:B,
         [1]unilever_price_limits!C:C)</f>
        <v>25</v>
      </c>
      <c r="H3730" s="8">
        <f t="shared" si="233"/>
        <v>9.15</v>
      </c>
      <c r="I3730" s="6">
        <f t="shared" si="234"/>
        <v>25</v>
      </c>
      <c r="J3730" t="str">
        <f t="shared" si="235"/>
        <v>OK</v>
      </c>
    </row>
    <row r="3731" spans="1:10" x14ac:dyDescent="0.2">
      <c r="A3731">
        <v>13730</v>
      </c>
      <c r="B3731" t="s">
        <v>8</v>
      </c>
      <c r="C3731" t="s">
        <v>9</v>
      </c>
      <c r="D3731" s="8">
        <v>14.34</v>
      </c>
      <c r="E3731">
        <v>1</v>
      </c>
      <c r="F3731" t="str">
        <f t="shared" si="232"/>
        <v>Value</v>
      </c>
      <c r="G3731" s="3" cm="1">
        <f t="array" ref="G3731">_xlfn.XLOOKUP(C3731 &amp; F3731,
         [1]unilever_price_limits!A:A &amp; [1]unilever_price_limits!B:B,
         [1]unilever_price_limits!C:C)</f>
        <v>15</v>
      </c>
      <c r="H3731" s="8">
        <f t="shared" si="233"/>
        <v>16.491</v>
      </c>
      <c r="I3731" s="6">
        <f t="shared" si="234"/>
        <v>14.999999999999991</v>
      </c>
      <c r="J3731" t="str">
        <f t="shared" si="235"/>
        <v>OK</v>
      </c>
    </row>
    <row r="3732" spans="1:10" x14ac:dyDescent="0.2">
      <c r="A3732">
        <v>13731</v>
      </c>
      <c r="B3732" t="s">
        <v>10</v>
      </c>
      <c r="C3732" t="s">
        <v>6</v>
      </c>
      <c r="D3732" s="8">
        <v>2.1800000000000002</v>
      </c>
      <c r="E3732">
        <v>1</v>
      </c>
      <c r="F3732" t="str">
        <f t="shared" si="232"/>
        <v>Value</v>
      </c>
      <c r="G3732" s="3" cm="1">
        <f t="array" ref="G3732">_xlfn.XLOOKUP(C3732 &amp; F3732,
         [1]unilever_price_limits!A:A &amp; [1]unilever_price_limits!B:B,
         [1]unilever_price_limits!C:C)</f>
        <v>12</v>
      </c>
      <c r="H3732" s="8">
        <f t="shared" si="233"/>
        <v>2.4416000000000002</v>
      </c>
      <c r="I3732" s="6">
        <f t="shared" si="234"/>
        <v>12.000000000000011</v>
      </c>
      <c r="J3732" t="str">
        <f t="shared" si="235"/>
        <v>OK</v>
      </c>
    </row>
    <row r="3733" spans="1:10" x14ac:dyDescent="0.2">
      <c r="A3733">
        <v>13732</v>
      </c>
      <c r="B3733" t="s">
        <v>7</v>
      </c>
      <c r="C3733" t="s">
        <v>6</v>
      </c>
      <c r="D3733" s="8">
        <v>14.22</v>
      </c>
      <c r="E3733">
        <v>7</v>
      </c>
      <c r="F3733" t="str">
        <f t="shared" si="232"/>
        <v>Standard</v>
      </c>
      <c r="G3733" s="3" cm="1">
        <f t="array" ref="G3733">_xlfn.XLOOKUP(C3733 &amp; F3733,
         [1]unilever_price_limits!A:A &amp; [1]unilever_price_limits!B:B,
         [1]unilever_price_limits!C:C)</f>
        <v>28</v>
      </c>
      <c r="H3733" s="8">
        <f t="shared" si="233"/>
        <v>18.201600000000003</v>
      </c>
      <c r="I3733" s="6">
        <f t="shared" si="234"/>
        <v>28.000000000000004</v>
      </c>
      <c r="J3733" t="str">
        <f t="shared" si="235"/>
        <v>OK</v>
      </c>
    </row>
    <row r="3734" spans="1:10" x14ac:dyDescent="0.2">
      <c r="A3734">
        <v>13733</v>
      </c>
      <c r="B3734" t="s">
        <v>8</v>
      </c>
      <c r="C3734" t="s">
        <v>9</v>
      </c>
      <c r="D3734" s="8">
        <v>11.13</v>
      </c>
      <c r="E3734">
        <v>9</v>
      </c>
      <c r="F3734" t="str">
        <f t="shared" si="232"/>
        <v>Premium</v>
      </c>
      <c r="G3734" s="3" cm="1">
        <f t="array" ref="G3734">_xlfn.XLOOKUP(C3734 &amp; F3734,
         [1]unilever_price_limits!A:A &amp; [1]unilever_price_limits!B:B,
         [1]unilever_price_limits!C:C)</f>
        <v>60</v>
      </c>
      <c r="H3734" s="8">
        <f t="shared" si="233"/>
        <v>17.808000000000003</v>
      </c>
      <c r="I3734" s="6">
        <f t="shared" si="234"/>
        <v>60.000000000000007</v>
      </c>
      <c r="J3734" t="str">
        <f t="shared" si="235"/>
        <v>OK</v>
      </c>
    </row>
    <row r="3735" spans="1:10" x14ac:dyDescent="0.2">
      <c r="A3735">
        <v>13734</v>
      </c>
      <c r="B3735" t="s">
        <v>8</v>
      </c>
      <c r="C3735" t="s">
        <v>6</v>
      </c>
      <c r="D3735" s="8">
        <v>9.74</v>
      </c>
      <c r="E3735">
        <v>5</v>
      </c>
      <c r="F3735" t="str">
        <f t="shared" si="232"/>
        <v>Standard</v>
      </c>
      <c r="G3735" s="3" cm="1">
        <f t="array" ref="G3735">_xlfn.XLOOKUP(C3735 &amp; F3735,
         [1]unilever_price_limits!A:A &amp; [1]unilever_price_limits!B:B,
         [1]unilever_price_limits!C:C)</f>
        <v>28</v>
      </c>
      <c r="H3735" s="8">
        <f t="shared" si="233"/>
        <v>12.4672</v>
      </c>
      <c r="I3735" s="6">
        <f t="shared" si="234"/>
        <v>28.000000000000004</v>
      </c>
      <c r="J3735" t="str">
        <f t="shared" si="235"/>
        <v>OK</v>
      </c>
    </row>
    <row r="3736" spans="1:10" x14ac:dyDescent="0.2">
      <c r="A3736">
        <v>13735</v>
      </c>
      <c r="B3736" t="s">
        <v>10</v>
      </c>
      <c r="C3736" t="s">
        <v>9</v>
      </c>
      <c r="D3736" s="8">
        <v>9.86</v>
      </c>
      <c r="E3736">
        <v>1</v>
      </c>
      <c r="F3736" t="str">
        <f t="shared" si="232"/>
        <v>Value</v>
      </c>
      <c r="G3736" s="3" cm="1">
        <f t="array" ref="G3736">_xlfn.XLOOKUP(C3736 &amp; F3736,
         [1]unilever_price_limits!A:A &amp; [1]unilever_price_limits!B:B,
         [1]unilever_price_limits!C:C)</f>
        <v>15</v>
      </c>
      <c r="H3736" s="8">
        <f t="shared" si="233"/>
        <v>11.338999999999999</v>
      </c>
      <c r="I3736" s="6">
        <f t="shared" si="234"/>
        <v>14.999999999999991</v>
      </c>
      <c r="J3736" t="str">
        <f t="shared" si="235"/>
        <v>OK</v>
      </c>
    </row>
    <row r="3737" spans="1:10" x14ac:dyDescent="0.2">
      <c r="A3737">
        <v>13736</v>
      </c>
      <c r="B3737" t="s">
        <v>10</v>
      </c>
      <c r="C3737" t="s">
        <v>11</v>
      </c>
      <c r="D3737" s="8">
        <v>12.49</v>
      </c>
      <c r="E3737">
        <v>5</v>
      </c>
      <c r="F3737" t="str">
        <f t="shared" si="232"/>
        <v>Standard</v>
      </c>
      <c r="G3737" s="3" cm="1">
        <f t="array" ref="G3737">_xlfn.XLOOKUP(C3737 &amp; F3737,
         [1]unilever_price_limits!A:A &amp; [1]unilever_price_limits!B:B,
         [1]unilever_price_limits!C:C)</f>
        <v>25</v>
      </c>
      <c r="H3737" s="8">
        <f t="shared" si="233"/>
        <v>15.612500000000001</v>
      </c>
      <c r="I3737" s="6">
        <f t="shared" si="234"/>
        <v>25</v>
      </c>
      <c r="J3737" t="str">
        <f t="shared" si="235"/>
        <v>OK</v>
      </c>
    </row>
    <row r="3738" spans="1:10" x14ac:dyDescent="0.2">
      <c r="A3738">
        <v>13737</v>
      </c>
      <c r="B3738" t="s">
        <v>8</v>
      </c>
      <c r="C3738" t="s">
        <v>11</v>
      </c>
      <c r="D3738" s="8">
        <v>2.0499999999999998</v>
      </c>
      <c r="E3738">
        <v>1</v>
      </c>
      <c r="F3738" t="str">
        <f t="shared" si="232"/>
        <v>Value</v>
      </c>
      <c r="G3738" s="3" cm="1">
        <f t="array" ref="G3738">_xlfn.XLOOKUP(C3738 &amp; F3738,
         [1]unilever_price_limits!A:A &amp; [1]unilever_price_limits!B:B,
         [1]unilever_price_limits!C:C)</f>
        <v>10</v>
      </c>
      <c r="H3738" s="8">
        <f t="shared" si="233"/>
        <v>2.2549999999999999</v>
      </c>
      <c r="I3738" s="6">
        <f t="shared" si="234"/>
        <v>10.000000000000009</v>
      </c>
      <c r="J3738" t="str">
        <f t="shared" si="235"/>
        <v>OK</v>
      </c>
    </row>
    <row r="3739" spans="1:10" x14ac:dyDescent="0.2">
      <c r="A3739">
        <v>13738</v>
      </c>
      <c r="B3739" t="s">
        <v>8</v>
      </c>
      <c r="C3739" t="s">
        <v>6</v>
      </c>
      <c r="D3739" s="8">
        <v>7.82</v>
      </c>
      <c r="E3739">
        <v>10</v>
      </c>
      <c r="F3739" t="str">
        <f t="shared" si="232"/>
        <v>Premium</v>
      </c>
      <c r="G3739" s="3" cm="1">
        <f t="array" ref="G3739">_xlfn.XLOOKUP(C3739 &amp; F3739,
         [1]unilever_price_limits!A:A &amp; [1]unilever_price_limits!B:B,
         [1]unilever_price_limits!C:C)</f>
        <v>55</v>
      </c>
      <c r="H3739" s="8">
        <f t="shared" si="233"/>
        <v>12.121</v>
      </c>
      <c r="I3739" s="6">
        <f t="shared" si="234"/>
        <v>55.000000000000007</v>
      </c>
      <c r="J3739" t="str">
        <f t="shared" si="235"/>
        <v>OK</v>
      </c>
    </row>
    <row r="3740" spans="1:10" x14ac:dyDescent="0.2">
      <c r="A3740">
        <v>13739</v>
      </c>
      <c r="B3740" t="s">
        <v>5</v>
      </c>
      <c r="C3740" t="s">
        <v>11</v>
      </c>
      <c r="D3740" s="8">
        <v>10.61</v>
      </c>
      <c r="E3740">
        <v>9</v>
      </c>
      <c r="F3740" t="str">
        <f t="shared" si="232"/>
        <v>Premium</v>
      </c>
      <c r="G3740" s="3" cm="1">
        <f t="array" ref="G3740">_xlfn.XLOOKUP(C3740 &amp; F3740,
         [1]unilever_price_limits!A:A &amp; [1]unilever_price_limits!B:B,
         [1]unilever_price_limits!C:C)</f>
        <v>50</v>
      </c>
      <c r="H3740" s="8">
        <f t="shared" si="233"/>
        <v>15.914999999999999</v>
      </c>
      <c r="I3740" s="6">
        <f t="shared" si="234"/>
        <v>50</v>
      </c>
      <c r="J3740" t="str">
        <f t="shared" si="235"/>
        <v>OK</v>
      </c>
    </row>
    <row r="3741" spans="1:10" x14ac:dyDescent="0.2">
      <c r="A3741">
        <v>13740</v>
      </c>
      <c r="B3741" t="s">
        <v>7</v>
      </c>
      <c r="C3741" t="s">
        <v>6</v>
      </c>
      <c r="D3741" s="8">
        <v>9.01</v>
      </c>
      <c r="E3741">
        <v>4</v>
      </c>
      <c r="F3741" t="str">
        <f t="shared" si="232"/>
        <v>Standard</v>
      </c>
      <c r="G3741" s="3" cm="1">
        <f t="array" ref="G3741">_xlfn.XLOOKUP(C3741 &amp; F3741,
         [1]unilever_price_limits!A:A &amp; [1]unilever_price_limits!B:B,
         [1]unilever_price_limits!C:C)</f>
        <v>28</v>
      </c>
      <c r="H3741" s="8">
        <f t="shared" si="233"/>
        <v>11.5328</v>
      </c>
      <c r="I3741" s="6">
        <f t="shared" si="234"/>
        <v>28.000000000000004</v>
      </c>
      <c r="J3741" t="str">
        <f t="shared" si="235"/>
        <v>OK</v>
      </c>
    </row>
    <row r="3742" spans="1:10" x14ac:dyDescent="0.2">
      <c r="A3742">
        <v>13741</v>
      </c>
      <c r="B3742" t="s">
        <v>5</v>
      </c>
      <c r="C3742" t="s">
        <v>6</v>
      </c>
      <c r="D3742" s="8">
        <v>12.58</v>
      </c>
      <c r="E3742">
        <v>9</v>
      </c>
      <c r="F3742" t="str">
        <f t="shared" si="232"/>
        <v>Premium</v>
      </c>
      <c r="G3742" s="3" cm="1">
        <f t="array" ref="G3742">_xlfn.XLOOKUP(C3742 &amp; F3742,
         [1]unilever_price_limits!A:A &amp; [1]unilever_price_limits!B:B,
         [1]unilever_price_limits!C:C)</f>
        <v>55</v>
      </c>
      <c r="H3742" s="8">
        <f t="shared" si="233"/>
        <v>19.499000000000002</v>
      </c>
      <c r="I3742" s="6">
        <f t="shared" si="234"/>
        <v>55.000000000000028</v>
      </c>
      <c r="J3742" t="str">
        <f t="shared" si="235"/>
        <v>OK</v>
      </c>
    </row>
    <row r="3743" spans="1:10" x14ac:dyDescent="0.2">
      <c r="A3743">
        <v>13742</v>
      </c>
      <c r="B3743" t="s">
        <v>10</v>
      </c>
      <c r="C3743" t="s">
        <v>11</v>
      </c>
      <c r="D3743" s="8">
        <v>1.55</v>
      </c>
      <c r="E3743">
        <v>2</v>
      </c>
      <c r="F3743" t="str">
        <f t="shared" si="232"/>
        <v>Value</v>
      </c>
      <c r="G3743" s="3" cm="1">
        <f t="array" ref="G3743">_xlfn.XLOOKUP(C3743 &amp; F3743,
         [1]unilever_price_limits!A:A &amp; [1]unilever_price_limits!B:B,
         [1]unilever_price_limits!C:C)</f>
        <v>10</v>
      </c>
      <c r="H3743" s="8">
        <f t="shared" si="233"/>
        <v>1.7050000000000003</v>
      </c>
      <c r="I3743" s="6">
        <f t="shared" si="234"/>
        <v>10.000000000000009</v>
      </c>
      <c r="J3743" t="str">
        <f t="shared" si="235"/>
        <v>OK</v>
      </c>
    </row>
    <row r="3744" spans="1:10" x14ac:dyDescent="0.2">
      <c r="A3744">
        <v>13743</v>
      </c>
      <c r="B3744" t="s">
        <v>5</v>
      </c>
      <c r="C3744" t="s">
        <v>11</v>
      </c>
      <c r="D3744" s="8">
        <v>10.52</v>
      </c>
      <c r="E3744">
        <v>7</v>
      </c>
      <c r="F3744" t="str">
        <f t="shared" si="232"/>
        <v>Standard</v>
      </c>
      <c r="G3744" s="3" cm="1">
        <f t="array" ref="G3744">_xlfn.XLOOKUP(C3744 &amp; F3744,
         [1]unilever_price_limits!A:A &amp; [1]unilever_price_limits!B:B,
         [1]unilever_price_limits!C:C)</f>
        <v>25</v>
      </c>
      <c r="H3744" s="8">
        <f t="shared" si="233"/>
        <v>13.149999999999999</v>
      </c>
      <c r="I3744" s="6">
        <f t="shared" si="234"/>
        <v>25</v>
      </c>
      <c r="J3744" t="str">
        <f t="shared" si="235"/>
        <v>OK</v>
      </c>
    </row>
    <row r="3745" spans="1:10" x14ac:dyDescent="0.2">
      <c r="A3745">
        <v>13744</v>
      </c>
      <c r="B3745" t="s">
        <v>5</v>
      </c>
      <c r="C3745" t="s">
        <v>6</v>
      </c>
      <c r="D3745" s="8">
        <v>8.24</v>
      </c>
      <c r="E3745">
        <v>2</v>
      </c>
      <c r="F3745" t="str">
        <f t="shared" si="232"/>
        <v>Value</v>
      </c>
      <c r="G3745" s="3" cm="1">
        <f t="array" ref="G3745">_xlfn.XLOOKUP(C3745 &amp; F3745,
         [1]unilever_price_limits!A:A &amp; [1]unilever_price_limits!B:B,
         [1]unilever_price_limits!C:C)</f>
        <v>12</v>
      </c>
      <c r="H3745" s="8">
        <f t="shared" si="233"/>
        <v>9.2288000000000014</v>
      </c>
      <c r="I3745" s="6">
        <f t="shared" si="234"/>
        <v>12.000000000000011</v>
      </c>
      <c r="J3745" t="str">
        <f t="shared" si="235"/>
        <v>OK</v>
      </c>
    </row>
    <row r="3746" spans="1:10" x14ac:dyDescent="0.2">
      <c r="A3746">
        <v>13745</v>
      </c>
      <c r="B3746" t="s">
        <v>5</v>
      </c>
      <c r="C3746" t="s">
        <v>11</v>
      </c>
      <c r="D3746" s="8">
        <v>6</v>
      </c>
      <c r="E3746">
        <v>4</v>
      </c>
      <c r="F3746" t="str">
        <f t="shared" si="232"/>
        <v>Standard</v>
      </c>
      <c r="G3746" s="3" cm="1">
        <f t="array" ref="G3746">_xlfn.XLOOKUP(C3746 &amp; F3746,
         [1]unilever_price_limits!A:A &amp; [1]unilever_price_limits!B:B,
         [1]unilever_price_limits!C:C)</f>
        <v>25</v>
      </c>
      <c r="H3746" s="8">
        <f t="shared" si="233"/>
        <v>7.5</v>
      </c>
      <c r="I3746" s="6">
        <f t="shared" si="234"/>
        <v>25</v>
      </c>
      <c r="J3746" t="str">
        <f t="shared" si="235"/>
        <v>OK</v>
      </c>
    </row>
    <row r="3747" spans="1:10" x14ac:dyDescent="0.2">
      <c r="A3747">
        <v>13746</v>
      </c>
      <c r="B3747" t="s">
        <v>5</v>
      </c>
      <c r="C3747" t="s">
        <v>9</v>
      </c>
      <c r="D3747" s="8">
        <v>5.43</v>
      </c>
      <c r="E3747">
        <v>6</v>
      </c>
      <c r="F3747" t="str">
        <f t="shared" si="232"/>
        <v>Standard</v>
      </c>
      <c r="G3747" s="3" cm="1">
        <f t="array" ref="G3747">_xlfn.XLOOKUP(C3747 &amp; F3747,
         [1]unilever_price_limits!A:A &amp; [1]unilever_price_limits!B:B,
         [1]unilever_price_limits!C:C)</f>
        <v>30</v>
      </c>
      <c r="H3747" s="8">
        <f t="shared" si="233"/>
        <v>7.0590000000000002</v>
      </c>
      <c r="I3747" s="6">
        <f t="shared" si="234"/>
        <v>30.000000000000004</v>
      </c>
      <c r="J3747" t="str">
        <f t="shared" si="235"/>
        <v>OK</v>
      </c>
    </row>
    <row r="3748" spans="1:10" x14ac:dyDescent="0.2">
      <c r="A3748">
        <v>13747</v>
      </c>
      <c r="B3748" t="s">
        <v>7</v>
      </c>
      <c r="C3748" t="s">
        <v>11</v>
      </c>
      <c r="D3748" s="8">
        <v>9.5</v>
      </c>
      <c r="E3748">
        <v>2</v>
      </c>
      <c r="F3748" t="str">
        <f t="shared" si="232"/>
        <v>Value</v>
      </c>
      <c r="G3748" s="3" cm="1">
        <f t="array" ref="G3748">_xlfn.XLOOKUP(C3748 &amp; F3748,
         [1]unilever_price_limits!A:A &amp; [1]unilever_price_limits!B:B,
         [1]unilever_price_limits!C:C)</f>
        <v>10</v>
      </c>
      <c r="H3748" s="8">
        <f t="shared" si="233"/>
        <v>10.450000000000001</v>
      </c>
      <c r="I3748" s="6">
        <f t="shared" si="234"/>
        <v>10.000000000000009</v>
      </c>
      <c r="J3748" t="str">
        <f t="shared" si="235"/>
        <v>OK</v>
      </c>
    </row>
    <row r="3749" spans="1:10" x14ac:dyDescent="0.2">
      <c r="A3749">
        <v>13748</v>
      </c>
      <c r="B3749" t="s">
        <v>7</v>
      </c>
      <c r="C3749" t="s">
        <v>11</v>
      </c>
      <c r="D3749" s="8">
        <v>13.42</v>
      </c>
      <c r="E3749">
        <v>2</v>
      </c>
      <c r="F3749" t="str">
        <f t="shared" si="232"/>
        <v>Value</v>
      </c>
      <c r="G3749" s="3" cm="1">
        <f t="array" ref="G3749">_xlfn.XLOOKUP(C3749 &amp; F3749,
         [1]unilever_price_limits!A:A &amp; [1]unilever_price_limits!B:B,
         [1]unilever_price_limits!C:C)</f>
        <v>10</v>
      </c>
      <c r="H3749" s="8">
        <f t="shared" si="233"/>
        <v>14.762</v>
      </c>
      <c r="I3749" s="6">
        <f t="shared" si="234"/>
        <v>10.000000000000009</v>
      </c>
      <c r="J3749" t="str">
        <f t="shared" si="235"/>
        <v>OK</v>
      </c>
    </row>
    <row r="3750" spans="1:10" x14ac:dyDescent="0.2">
      <c r="A3750">
        <v>13749</v>
      </c>
      <c r="B3750" t="s">
        <v>8</v>
      </c>
      <c r="C3750" t="s">
        <v>9</v>
      </c>
      <c r="D3750" s="8">
        <v>7.69</v>
      </c>
      <c r="E3750">
        <v>2</v>
      </c>
      <c r="F3750" t="str">
        <f t="shared" si="232"/>
        <v>Value</v>
      </c>
      <c r="G3750" s="3" cm="1">
        <f t="array" ref="G3750">_xlfn.XLOOKUP(C3750 &amp; F3750,
         [1]unilever_price_limits!A:A &amp; [1]unilever_price_limits!B:B,
         [1]unilever_price_limits!C:C)</f>
        <v>15</v>
      </c>
      <c r="H3750" s="8">
        <f t="shared" si="233"/>
        <v>8.8435000000000006</v>
      </c>
      <c r="I3750" s="6">
        <f t="shared" si="234"/>
        <v>14.999999999999991</v>
      </c>
      <c r="J3750" t="str">
        <f t="shared" si="235"/>
        <v>OK</v>
      </c>
    </row>
    <row r="3751" spans="1:10" x14ac:dyDescent="0.2">
      <c r="A3751">
        <v>13750</v>
      </c>
      <c r="B3751" t="s">
        <v>10</v>
      </c>
      <c r="C3751" t="s">
        <v>11</v>
      </c>
      <c r="D3751" s="8">
        <v>12.46</v>
      </c>
      <c r="E3751">
        <v>3</v>
      </c>
      <c r="F3751" t="str">
        <f t="shared" si="232"/>
        <v>Value</v>
      </c>
      <c r="G3751" s="3" cm="1">
        <f t="array" ref="G3751">_xlfn.XLOOKUP(C3751 &amp; F3751,
         [1]unilever_price_limits!A:A &amp; [1]unilever_price_limits!B:B,
         [1]unilever_price_limits!C:C)</f>
        <v>10</v>
      </c>
      <c r="H3751" s="8">
        <f t="shared" si="233"/>
        <v>13.706000000000001</v>
      </c>
      <c r="I3751" s="6">
        <f t="shared" si="234"/>
        <v>10.000000000000009</v>
      </c>
      <c r="J3751" t="str">
        <f t="shared" si="235"/>
        <v>OK</v>
      </c>
    </row>
    <row r="3752" spans="1:10" x14ac:dyDescent="0.2">
      <c r="A3752">
        <v>13751</v>
      </c>
      <c r="B3752" t="s">
        <v>5</v>
      </c>
      <c r="C3752" t="s">
        <v>11</v>
      </c>
      <c r="D3752" s="8">
        <v>6.33</v>
      </c>
      <c r="E3752">
        <v>5</v>
      </c>
      <c r="F3752" t="str">
        <f t="shared" si="232"/>
        <v>Standard</v>
      </c>
      <c r="G3752" s="3" cm="1">
        <f t="array" ref="G3752">_xlfn.XLOOKUP(C3752 &amp; F3752,
         [1]unilever_price_limits!A:A &amp; [1]unilever_price_limits!B:B,
         [1]unilever_price_limits!C:C)</f>
        <v>25</v>
      </c>
      <c r="H3752" s="8">
        <f t="shared" si="233"/>
        <v>7.9124999999999996</v>
      </c>
      <c r="I3752" s="6">
        <f t="shared" si="234"/>
        <v>25</v>
      </c>
      <c r="J3752" t="str">
        <f t="shared" si="235"/>
        <v>OK</v>
      </c>
    </row>
    <row r="3753" spans="1:10" x14ac:dyDescent="0.2">
      <c r="A3753">
        <v>13752</v>
      </c>
      <c r="B3753" t="s">
        <v>8</v>
      </c>
      <c r="C3753" t="s">
        <v>6</v>
      </c>
      <c r="D3753" s="8">
        <v>1.98</v>
      </c>
      <c r="E3753">
        <v>9</v>
      </c>
      <c r="F3753" t="str">
        <f t="shared" si="232"/>
        <v>Premium</v>
      </c>
      <c r="G3753" s="3" cm="1">
        <f t="array" ref="G3753">_xlfn.XLOOKUP(C3753 &amp; F3753,
         [1]unilever_price_limits!A:A &amp; [1]unilever_price_limits!B:B,
         [1]unilever_price_limits!C:C)</f>
        <v>55</v>
      </c>
      <c r="H3753" s="8">
        <f t="shared" si="233"/>
        <v>3.069</v>
      </c>
      <c r="I3753" s="6">
        <f t="shared" si="234"/>
        <v>55.000000000000007</v>
      </c>
      <c r="J3753" t="str">
        <f t="shared" si="235"/>
        <v>OK</v>
      </c>
    </row>
    <row r="3754" spans="1:10" x14ac:dyDescent="0.2">
      <c r="A3754">
        <v>13753</v>
      </c>
      <c r="B3754" t="s">
        <v>8</v>
      </c>
      <c r="C3754" t="s">
        <v>11</v>
      </c>
      <c r="D3754" s="8">
        <v>1.39</v>
      </c>
      <c r="E3754">
        <v>6</v>
      </c>
      <c r="F3754" t="str">
        <f t="shared" si="232"/>
        <v>Standard</v>
      </c>
      <c r="G3754" s="3" cm="1">
        <f t="array" ref="G3754">_xlfn.XLOOKUP(C3754 &amp; F3754,
         [1]unilever_price_limits!A:A &amp; [1]unilever_price_limits!B:B,
         [1]unilever_price_limits!C:C)</f>
        <v>25</v>
      </c>
      <c r="H3754" s="8">
        <f t="shared" si="233"/>
        <v>1.7374999999999998</v>
      </c>
      <c r="I3754" s="6">
        <f t="shared" si="234"/>
        <v>25</v>
      </c>
      <c r="J3754" t="str">
        <f t="shared" si="235"/>
        <v>OK</v>
      </c>
    </row>
    <row r="3755" spans="1:10" x14ac:dyDescent="0.2">
      <c r="A3755">
        <v>13754</v>
      </c>
      <c r="B3755" t="s">
        <v>8</v>
      </c>
      <c r="C3755" t="s">
        <v>11</v>
      </c>
      <c r="D3755" s="8">
        <v>1.24</v>
      </c>
      <c r="E3755">
        <v>9</v>
      </c>
      <c r="F3755" t="str">
        <f t="shared" si="232"/>
        <v>Premium</v>
      </c>
      <c r="G3755" s="3" cm="1">
        <f t="array" ref="G3755">_xlfn.XLOOKUP(C3755 &amp; F3755,
         [1]unilever_price_limits!A:A &amp; [1]unilever_price_limits!B:B,
         [1]unilever_price_limits!C:C)</f>
        <v>50</v>
      </c>
      <c r="H3755" s="8">
        <f t="shared" si="233"/>
        <v>1.8599999999999999</v>
      </c>
      <c r="I3755" s="6">
        <f t="shared" si="234"/>
        <v>50</v>
      </c>
      <c r="J3755" t="str">
        <f t="shared" si="235"/>
        <v>OK</v>
      </c>
    </row>
    <row r="3756" spans="1:10" x14ac:dyDescent="0.2">
      <c r="A3756">
        <v>13755</v>
      </c>
      <c r="B3756" t="s">
        <v>7</v>
      </c>
      <c r="C3756" t="s">
        <v>9</v>
      </c>
      <c r="D3756" s="8">
        <v>6.01</v>
      </c>
      <c r="E3756">
        <v>10</v>
      </c>
      <c r="F3756" t="str">
        <f t="shared" si="232"/>
        <v>Premium</v>
      </c>
      <c r="G3756" s="3" cm="1">
        <f t="array" ref="G3756">_xlfn.XLOOKUP(C3756 &amp; F3756,
         [1]unilever_price_limits!A:A &amp; [1]unilever_price_limits!B:B,
         [1]unilever_price_limits!C:C)</f>
        <v>60</v>
      </c>
      <c r="H3756" s="8">
        <f t="shared" si="233"/>
        <v>9.6159999999999997</v>
      </c>
      <c r="I3756" s="6">
        <f t="shared" si="234"/>
        <v>60.000000000000007</v>
      </c>
      <c r="J3756" t="str">
        <f t="shared" si="235"/>
        <v>OK</v>
      </c>
    </row>
    <row r="3757" spans="1:10" x14ac:dyDescent="0.2">
      <c r="A3757">
        <v>13756</v>
      </c>
      <c r="B3757" t="s">
        <v>5</v>
      </c>
      <c r="C3757" t="s">
        <v>6</v>
      </c>
      <c r="D3757" s="8">
        <v>5.39</v>
      </c>
      <c r="E3757">
        <v>5</v>
      </c>
      <c r="F3757" t="str">
        <f t="shared" si="232"/>
        <v>Standard</v>
      </c>
      <c r="G3757" s="3" cm="1">
        <f t="array" ref="G3757">_xlfn.XLOOKUP(C3757 &amp; F3757,
         [1]unilever_price_limits!A:A &amp; [1]unilever_price_limits!B:B,
         [1]unilever_price_limits!C:C)</f>
        <v>28</v>
      </c>
      <c r="H3757" s="8">
        <f t="shared" si="233"/>
        <v>6.8991999999999996</v>
      </c>
      <c r="I3757" s="6">
        <f t="shared" si="234"/>
        <v>28.000000000000004</v>
      </c>
      <c r="J3757" t="str">
        <f t="shared" si="235"/>
        <v>OK</v>
      </c>
    </row>
    <row r="3758" spans="1:10" x14ac:dyDescent="0.2">
      <c r="A3758">
        <v>13757</v>
      </c>
      <c r="B3758" t="s">
        <v>5</v>
      </c>
      <c r="C3758" t="s">
        <v>6</v>
      </c>
      <c r="D3758" s="8">
        <v>10.91</v>
      </c>
      <c r="E3758">
        <v>6</v>
      </c>
      <c r="F3758" t="str">
        <f t="shared" si="232"/>
        <v>Standard</v>
      </c>
      <c r="G3758" s="3" cm="1">
        <f t="array" ref="G3758">_xlfn.XLOOKUP(C3758 &amp; F3758,
         [1]unilever_price_limits!A:A &amp; [1]unilever_price_limits!B:B,
         [1]unilever_price_limits!C:C)</f>
        <v>28</v>
      </c>
      <c r="H3758" s="8">
        <f t="shared" si="233"/>
        <v>13.9648</v>
      </c>
      <c r="I3758" s="6">
        <f t="shared" si="234"/>
        <v>28.000000000000004</v>
      </c>
      <c r="J3758" t="str">
        <f t="shared" si="235"/>
        <v>OK</v>
      </c>
    </row>
    <row r="3759" spans="1:10" x14ac:dyDescent="0.2">
      <c r="A3759">
        <v>13758</v>
      </c>
      <c r="B3759" t="s">
        <v>10</v>
      </c>
      <c r="C3759" t="s">
        <v>6</v>
      </c>
      <c r="D3759" s="8">
        <v>11.27</v>
      </c>
      <c r="E3759">
        <v>10</v>
      </c>
      <c r="F3759" t="str">
        <f t="shared" si="232"/>
        <v>Premium</v>
      </c>
      <c r="G3759" s="3" cm="1">
        <f t="array" ref="G3759">_xlfn.XLOOKUP(C3759 &amp; F3759,
         [1]unilever_price_limits!A:A &amp; [1]unilever_price_limits!B:B,
         [1]unilever_price_limits!C:C)</f>
        <v>55</v>
      </c>
      <c r="H3759" s="8">
        <f t="shared" si="233"/>
        <v>17.468499999999999</v>
      </c>
      <c r="I3759" s="6">
        <f t="shared" si="234"/>
        <v>55.000000000000007</v>
      </c>
      <c r="J3759" t="str">
        <f t="shared" si="235"/>
        <v>OK</v>
      </c>
    </row>
    <row r="3760" spans="1:10" x14ac:dyDescent="0.2">
      <c r="A3760">
        <v>13759</v>
      </c>
      <c r="B3760" t="s">
        <v>5</v>
      </c>
      <c r="C3760" t="s">
        <v>11</v>
      </c>
      <c r="D3760" s="8">
        <v>1.24</v>
      </c>
      <c r="E3760">
        <v>8</v>
      </c>
      <c r="F3760" t="str">
        <f t="shared" si="232"/>
        <v>Premium</v>
      </c>
      <c r="G3760" s="3" cm="1">
        <f t="array" ref="G3760">_xlfn.XLOOKUP(C3760 &amp; F3760,
         [1]unilever_price_limits!A:A &amp; [1]unilever_price_limits!B:B,
         [1]unilever_price_limits!C:C)</f>
        <v>50</v>
      </c>
      <c r="H3760" s="8">
        <f t="shared" si="233"/>
        <v>1.8599999999999999</v>
      </c>
      <c r="I3760" s="6">
        <f t="shared" si="234"/>
        <v>50</v>
      </c>
      <c r="J3760" t="str">
        <f t="shared" si="235"/>
        <v>OK</v>
      </c>
    </row>
    <row r="3761" spans="1:10" x14ac:dyDescent="0.2">
      <c r="A3761">
        <v>13760</v>
      </c>
      <c r="B3761" t="s">
        <v>5</v>
      </c>
      <c r="C3761" t="s">
        <v>6</v>
      </c>
      <c r="D3761" s="8">
        <v>3.71</v>
      </c>
      <c r="E3761">
        <v>3</v>
      </c>
      <c r="F3761" t="str">
        <f t="shared" si="232"/>
        <v>Value</v>
      </c>
      <c r="G3761" s="3" cm="1">
        <f t="array" ref="G3761">_xlfn.XLOOKUP(C3761 &amp; F3761,
         [1]unilever_price_limits!A:A &amp; [1]unilever_price_limits!B:B,
         [1]unilever_price_limits!C:C)</f>
        <v>12</v>
      </c>
      <c r="H3761" s="8">
        <f t="shared" si="233"/>
        <v>4.1552000000000007</v>
      </c>
      <c r="I3761" s="6">
        <f t="shared" si="234"/>
        <v>12.000000000000011</v>
      </c>
      <c r="J3761" t="str">
        <f t="shared" si="235"/>
        <v>OK</v>
      </c>
    </row>
    <row r="3762" spans="1:10" x14ac:dyDescent="0.2">
      <c r="A3762">
        <v>13761</v>
      </c>
      <c r="B3762" t="s">
        <v>8</v>
      </c>
      <c r="C3762" t="s">
        <v>9</v>
      </c>
      <c r="D3762" s="8">
        <v>4.4800000000000004</v>
      </c>
      <c r="E3762">
        <v>2</v>
      </c>
      <c r="F3762" t="str">
        <f t="shared" si="232"/>
        <v>Value</v>
      </c>
      <c r="G3762" s="3" cm="1">
        <f t="array" ref="G3762">_xlfn.XLOOKUP(C3762 &amp; F3762,
         [1]unilever_price_limits!A:A &amp; [1]unilever_price_limits!B:B,
         [1]unilever_price_limits!C:C)</f>
        <v>15</v>
      </c>
      <c r="H3762" s="8">
        <f t="shared" si="233"/>
        <v>5.1520000000000001</v>
      </c>
      <c r="I3762" s="6">
        <f t="shared" si="234"/>
        <v>14.999999999999991</v>
      </c>
      <c r="J3762" t="str">
        <f t="shared" si="235"/>
        <v>OK</v>
      </c>
    </row>
    <row r="3763" spans="1:10" x14ac:dyDescent="0.2">
      <c r="A3763">
        <v>13762</v>
      </c>
      <c r="B3763" t="s">
        <v>10</v>
      </c>
      <c r="C3763" t="s">
        <v>6</v>
      </c>
      <c r="D3763" s="8">
        <v>8.44</v>
      </c>
      <c r="E3763">
        <v>3</v>
      </c>
      <c r="F3763" t="str">
        <f t="shared" si="232"/>
        <v>Value</v>
      </c>
      <c r="G3763" s="3" cm="1">
        <f t="array" ref="G3763">_xlfn.XLOOKUP(C3763 &amp; F3763,
         [1]unilever_price_limits!A:A &amp; [1]unilever_price_limits!B:B,
         [1]unilever_price_limits!C:C)</f>
        <v>12</v>
      </c>
      <c r="H3763" s="8">
        <f t="shared" si="233"/>
        <v>9.4527999999999999</v>
      </c>
      <c r="I3763" s="6">
        <f t="shared" si="234"/>
        <v>12.000000000000011</v>
      </c>
      <c r="J3763" t="str">
        <f t="shared" si="235"/>
        <v>OK</v>
      </c>
    </row>
    <row r="3764" spans="1:10" x14ac:dyDescent="0.2">
      <c r="A3764">
        <v>13763</v>
      </c>
      <c r="B3764" t="s">
        <v>5</v>
      </c>
      <c r="C3764" t="s">
        <v>9</v>
      </c>
      <c r="D3764" s="8">
        <v>2.6</v>
      </c>
      <c r="E3764">
        <v>9</v>
      </c>
      <c r="F3764" t="str">
        <f t="shared" si="232"/>
        <v>Premium</v>
      </c>
      <c r="G3764" s="3" cm="1">
        <f t="array" ref="G3764">_xlfn.XLOOKUP(C3764 &amp; F3764,
         [1]unilever_price_limits!A:A &amp; [1]unilever_price_limits!B:B,
         [1]unilever_price_limits!C:C)</f>
        <v>60</v>
      </c>
      <c r="H3764" s="8">
        <f t="shared" si="233"/>
        <v>4.16</v>
      </c>
      <c r="I3764" s="6">
        <f t="shared" si="234"/>
        <v>60.000000000000007</v>
      </c>
      <c r="J3764" t="str">
        <f t="shared" si="235"/>
        <v>OK</v>
      </c>
    </row>
    <row r="3765" spans="1:10" x14ac:dyDescent="0.2">
      <c r="A3765">
        <v>13764</v>
      </c>
      <c r="B3765" t="s">
        <v>7</v>
      </c>
      <c r="C3765" t="s">
        <v>6</v>
      </c>
      <c r="D3765" s="8">
        <v>2.44</v>
      </c>
      <c r="E3765">
        <v>6</v>
      </c>
      <c r="F3765" t="str">
        <f t="shared" si="232"/>
        <v>Standard</v>
      </c>
      <c r="G3765" s="3" cm="1">
        <f t="array" ref="G3765">_xlfn.XLOOKUP(C3765 &amp; F3765,
         [1]unilever_price_limits!A:A &amp; [1]unilever_price_limits!B:B,
         [1]unilever_price_limits!C:C)</f>
        <v>28</v>
      </c>
      <c r="H3765" s="8">
        <f t="shared" si="233"/>
        <v>3.1232000000000002</v>
      </c>
      <c r="I3765" s="6">
        <f t="shared" si="234"/>
        <v>28.000000000000004</v>
      </c>
      <c r="J3765" t="str">
        <f t="shared" si="235"/>
        <v>OK</v>
      </c>
    </row>
    <row r="3766" spans="1:10" x14ac:dyDescent="0.2">
      <c r="A3766">
        <v>13765</v>
      </c>
      <c r="B3766" t="s">
        <v>5</v>
      </c>
      <c r="C3766" t="s">
        <v>6</v>
      </c>
      <c r="D3766" s="8">
        <v>14.18</v>
      </c>
      <c r="E3766">
        <v>10</v>
      </c>
      <c r="F3766" t="str">
        <f t="shared" si="232"/>
        <v>Premium</v>
      </c>
      <c r="G3766" s="3" cm="1">
        <f t="array" ref="G3766">_xlfn.XLOOKUP(C3766 &amp; F3766,
         [1]unilever_price_limits!A:A &amp; [1]unilever_price_limits!B:B,
         [1]unilever_price_limits!C:C)</f>
        <v>55</v>
      </c>
      <c r="H3766" s="8">
        <f t="shared" si="233"/>
        <v>21.978999999999999</v>
      </c>
      <c r="I3766" s="6">
        <f t="shared" si="234"/>
        <v>55.000000000000007</v>
      </c>
      <c r="J3766" t="str">
        <f t="shared" si="235"/>
        <v>OK</v>
      </c>
    </row>
    <row r="3767" spans="1:10" x14ac:dyDescent="0.2">
      <c r="A3767">
        <v>13766</v>
      </c>
      <c r="B3767" t="s">
        <v>8</v>
      </c>
      <c r="C3767" t="s">
        <v>9</v>
      </c>
      <c r="D3767" s="8">
        <v>12.16</v>
      </c>
      <c r="E3767">
        <v>4</v>
      </c>
      <c r="F3767" t="str">
        <f t="shared" si="232"/>
        <v>Standard</v>
      </c>
      <c r="G3767" s="3" cm="1">
        <f t="array" ref="G3767">_xlfn.XLOOKUP(C3767 &amp; F3767,
         [1]unilever_price_limits!A:A &amp; [1]unilever_price_limits!B:B,
         [1]unilever_price_limits!C:C)</f>
        <v>30</v>
      </c>
      <c r="H3767" s="8">
        <f t="shared" si="233"/>
        <v>15.808000000000002</v>
      </c>
      <c r="I3767" s="6">
        <f t="shared" si="234"/>
        <v>30.000000000000004</v>
      </c>
      <c r="J3767" t="str">
        <f t="shared" si="235"/>
        <v>OK</v>
      </c>
    </row>
    <row r="3768" spans="1:10" x14ac:dyDescent="0.2">
      <c r="A3768">
        <v>13767</v>
      </c>
      <c r="B3768" t="s">
        <v>7</v>
      </c>
      <c r="C3768" t="s">
        <v>6</v>
      </c>
      <c r="D3768" s="8">
        <v>3.12</v>
      </c>
      <c r="E3768">
        <v>10</v>
      </c>
      <c r="F3768" t="str">
        <f t="shared" si="232"/>
        <v>Premium</v>
      </c>
      <c r="G3768" s="3" cm="1">
        <f t="array" ref="G3768">_xlfn.XLOOKUP(C3768 &amp; F3768,
         [1]unilever_price_limits!A:A &amp; [1]unilever_price_limits!B:B,
         [1]unilever_price_limits!C:C)</f>
        <v>55</v>
      </c>
      <c r="H3768" s="8">
        <f t="shared" si="233"/>
        <v>4.8360000000000003</v>
      </c>
      <c r="I3768" s="6">
        <f t="shared" si="234"/>
        <v>55.000000000000007</v>
      </c>
      <c r="J3768" t="str">
        <f t="shared" si="235"/>
        <v>OK</v>
      </c>
    </row>
    <row r="3769" spans="1:10" x14ac:dyDescent="0.2">
      <c r="A3769">
        <v>13768</v>
      </c>
      <c r="B3769" t="s">
        <v>8</v>
      </c>
      <c r="C3769" t="s">
        <v>6</v>
      </c>
      <c r="D3769" s="8">
        <v>6.4</v>
      </c>
      <c r="E3769">
        <v>3</v>
      </c>
      <c r="F3769" t="str">
        <f t="shared" si="232"/>
        <v>Value</v>
      </c>
      <c r="G3769" s="3" cm="1">
        <f t="array" ref="G3769">_xlfn.XLOOKUP(C3769 &amp; F3769,
         [1]unilever_price_limits!A:A &amp; [1]unilever_price_limits!B:B,
         [1]unilever_price_limits!C:C)</f>
        <v>12</v>
      </c>
      <c r="H3769" s="8">
        <f t="shared" si="233"/>
        <v>7.168000000000001</v>
      </c>
      <c r="I3769" s="6">
        <f t="shared" si="234"/>
        <v>12.000000000000011</v>
      </c>
      <c r="J3769" t="str">
        <f t="shared" si="235"/>
        <v>OK</v>
      </c>
    </row>
    <row r="3770" spans="1:10" x14ac:dyDescent="0.2">
      <c r="A3770">
        <v>13769</v>
      </c>
      <c r="B3770" t="s">
        <v>5</v>
      </c>
      <c r="C3770" t="s">
        <v>6</v>
      </c>
      <c r="D3770" s="8">
        <v>5.66</v>
      </c>
      <c r="E3770">
        <v>2</v>
      </c>
      <c r="F3770" t="str">
        <f t="shared" si="232"/>
        <v>Value</v>
      </c>
      <c r="G3770" s="3" cm="1">
        <f t="array" ref="G3770">_xlfn.XLOOKUP(C3770 &amp; F3770,
         [1]unilever_price_limits!A:A &amp; [1]unilever_price_limits!B:B,
         [1]unilever_price_limits!C:C)</f>
        <v>12</v>
      </c>
      <c r="H3770" s="8">
        <f t="shared" si="233"/>
        <v>6.3392000000000008</v>
      </c>
      <c r="I3770" s="6">
        <f t="shared" si="234"/>
        <v>12.000000000000011</v>
      </c>
      <c r="J3770" t="str">
        <f t="shared" si="235"/>
        <v>OK</v>
      </c>
    </row>
    <row r="3771" spans="1:10" x14ac:dyDescent="0.2">
      <c r="A3771">
        <v>13770</v>
      </c>
      <c r="B3771" t="s">
        <v>7</v>
      </c>
      <c r="C3771" t="s">
        <v>11</v>
      </c>
      <c r="D3771" s="8">
        <v>11.97</v>
      </c>
      <c r="E3771">
        <v>4</v>
      </c>
      <c r="F3771" t="str">
        <f t="shared" si="232"/>
        <v>Standard</v>
      </c>
      <c r="G3771" s="3" cm="1">
        <f t="array" ref="G3771">_xlfn.XLOOKUP(C3771 &amp; F3771,
         [1]unilever_price_limits!A:A &amp; [1]unilever_price_limits!B:B,
         [1]unilever_price_limits!C:C)</f>
        <v>25</v>
      </c>
      <c r="H3771" s="8">
        <f t="shared" si="233"/>
        <v>14.9625</v>
      </c>
      <c r="I3771" s="6">
        <f t="shared" si="234"/>
        <v>25</v>
      </c>
      <c r="J3771" t="str">
        <f t="shared" si="235"/>
        <v>OK</v>
      </c>
    </row>
    <row r="3772" spans="1:10" x14ac:dyDescent="0.2">
      <c r="A3772">
        <v>13771</v>
      </c>
      <c r="B3772" t="s">
        <v>10</v>
      </c>
      <c r="C3772" t="s">
        <v>9</v>
      </c>
      <c r="D3772" s="8">
        <v>7.9</v>
      </c>
      <c r="E3772">
        <v>9</v>
      </c>
      <c r="F3772" t="str">
        <f t="shared" si="232"/>
        <v>Premium</v>
      </c>
      <c r="G3772" s="3" cm="1">
        <f t="array" ref="G3772">_xlfn.XLOOKUP(C3772 &amp; F3772,
         [1]unilever_price_limits!A:A &amp; [1]unilever_price_limits!B:B,
         [1]unilever_price_limits!C:C)</f>
        <v>60</v>
      </c>
      <c r="H3772" s="8">
        <f t="shared" si="233"/>
        <v>12.64</v>
      </c>
      <c r="I3772" s="6">
        <f t="shared" si="234"/>
        <v>60.000000000000007</v>
      </c>
      <c r="J3772" t="str">
        <f t="shared" si="235"/>
        <v>OK</v>
      </c>
    </row>
    <row r="3773" spans="1:10" x14ac:dyDescent="0.2">
      <c r="A3773">
        <v>13772</v>
      </c>
      <c r="B3773" t="s">
        <v>10</v>
      </c>
      <c r="C3773" t="s">
        <v>6</v>
      </c>
      <c r="D3773" s="8">
        <v>2.35</v>
      </c>
      <c r="E3773">
        <v>4</v>
      </c>
      <c r="F3773" t="str">
        <f t="shared" si="232"/>
        <v>Standard</v>
      </c>
      <c r="G3773" s="3" cm="1">
        <f t="array" ref="G3773">_xlfn.XLOOKUP(C3773 &amp; F3773,
         [1]unilever_price_limits!A:A &amp; [1]unilever_price_limits!B:B,
         [1]unilever_price_limits!C:C)</f>
        <v>28</v>
      </c>
      <c r="H3773" s="8">
        <f t="shared" si="233"/>
        <v>3.008</v>
      </c>
      <c r="I3773" s="6">
        <f t="shared" si="234"/>
        <v>28.000000000000004</v>
      </c>
      <c r="J3773" t="str">
        <f t="shared" si="235"/>
        <v>OK</v>
      </c>
    </row>
    <row r="3774" spans="1:10" x14ac:dyDescent="0.2">
      <c r="A3774">
        <v>13773</v>
      </c>
      <c r="B3774" t="s">
        <v>7</v>
      </c>
      <c r="C3774" t="s">
        <v>9</v>
      </c>
      <c r="D3774" s="8">
        <v>11.22</v>
      </c>
      <c r="E3774">
        <v>5</v>
      </c>
      <c r="F3774" t="str">
        <f t="shared" si="232"/>
        <v>Standard</v>
      </c>
      <c r="G3774" s="3" cm="1">
        <f t="array" ref="G3774">_xlfn.XLOOKUP(C3774 &amp; F3774,
         [1]unilever_price_limits!A:A &amp; [1]unilever_price_limits!B:B,
         [1]unilever_price_limits!C:C)</f>
        <v>30</v>
      </c>
      <c r="H3774" s="8">
        <f t="shared" si="233"/>
        <v>14.586000000000002</v>
      </c>
      <c r="I3774" s="6">
        <f t="shared" si="234"/>
        <v>30.000000000000004</v>
      </c>
      <c r="J3774" t="str">
        <f t="shared" si="235"/>
        <v>OK</v>
      </c>
    </row>
    <row r="3775" spans="1:10" x14ac:dyDescent="0.2">
      <c r="A3775">
        <v>13774</v>
      </c>
      <c r="B3775" t="s">
        <v>7</v>
      </c>
      <c r="C3775" t="s">
        <v>9</v>
      </c>
      <c r="D3775" s="8">
        <v>6.25</v>
      </c>
      <c r="E3775">
        <v>8</v>
      </c>
      <c r="F3775" t="str">
        <f t="shared" si="232"/>
        <v>Premium</v>
      </c>
      <c r="G3775" s="3" cm="1">
        <f t="array" ref="G3775">_xlfn.XLOOKUP(C3775 &amp; F3775,
         [1]unilever_price_limits!A:A &amp; [1]unilever_price_limits!B:B,
         [1]unilever_price_limits!C:C)</f>
        <v>60</v>
      </c>
      <c r="H3775" s="8">
        <f t="shared" si="233"/>
        <v>10</v>
      </c>
      <c r="I3775" s="6">
        <f t="shared" si="234"/>
        <v>60.000000000000007</v>
      </c>
      <c r="J3775" t="str">
        <f t="shared" si="235"/>
        <v>OK</v>
      </c>
    </row>
    <row r="3776" spans="1:10" x14ac:dyDescent="0.2">
      <c r="A3776">
        <v>13775</v>
      </c>
      <c r="B3776" t="s">
        <v>8</v>
      </c>
      <c r="C3776" t="s">
        <v>9</v>
      </c>
      <c r="D3776" s="8">
        <v>4.3099999999999996</v>
      </c>
      <c r="E3776">
        <v>2</v>
      </c>
      <c r="F3776" t="str">
        <f t="shared" si="232"/>
        <v>Value</v>
      </c>
      <c r="G3776" s="3" cm="1">
        <f t="array" ref="G3776">_xlfn.XLOOKUP(C3776 &amp; F3776,
         [1]unilever_price_limits!A:A &amp; [1]unilever_price_limits!B:B,
         [1]unilever_price_limits!C:C)</f>
        <v>15</v>
      </c>
      <c r="H3776" s="8">
        <f t="shared" si="233"/>
        <v>4.9564999999999992</v>
      </c>
      <c r="I3776" s="6">
        <f t="shared" si="234"/>
        <v>14.999999999999991</v>
      </c>
      <c r="J3776" t="str">
        <f t="shared" si="235"/>
        <v>OK</v>
      </c>
    </row>
    <row r="3777" spans="1:10" x14ac:dyDescent="0.2">
      <c r="A3777">
        <v>13776</v>
      </c>
      <c r="B3777" t="s">
        <v>7</v>
      </c>
      <c r="C3777" t="s">
        <v>6</v>
      </c>
      <c r="D3777" s="8">
        <v>5.94</v>
      </c>
      <c r="E3777">
        <v>3</v>
      </c>
      <c r="F3777" t="str">
        <f t="shared" si="232"/>
        <v>Value</v>
      </c>
      <c r="G3777" s="3" cm="1">
        <f t="array" ref="G3777">_xlfn.XLOOKUP(C3777 &amp; F3777,
         [1]unilever_price_limits!A:A &amp; [1]unilever_price_limits!B:B,
         [1]unilever_price_limits!C:C)</f>
        <v>12</v>
      </c>
      <c r="H3777" s="8">
        <f t="shared" si="233"/>
        <v>6.6528000000000009</v>
      </c>
      <c r="I3777" s="6">
        <f t="shared" si="234"/>
        <v>12.000000000000011</v>
      </c>
      <c r="J3777" t="str">
        <f t="shared" si="235"/>
        <v>OK</v>
      </c>
    </row>
    <row r="3778" spans="1:10" x14ac:dyDescent="0.2">
      <c r="A3778">
        <v>13777</v>
      </c>
      <c r="B3778" t="s">
        <v>8</v>
      </c>
      <c r="C3778" t="s">
        <v>6</v>
      </c>
      <c r="D3778" s="8">
        <v>7.72</v>
      </c>
      <c r="E3778">
        <v>6</v>
      </c>
      <c r="F3778" t="str">
        <f t="shared" si="232"/>
        <v>Standard</v>
      </c>
      <c r="G3778" s="3" cm="1">
        <f t="array" ref="G3778">_xlfn.XLOOKUP(C3778 &amp; F3778,
         [1]unilever_price_limits!A:A &amp; [1]unilever_price_limits!B:B,
         [1]unilever_price_limits!C:C)</f>
        <v>28</v>
      </c>
      <c r="H3778" s="8">
        <f t="shared" si="233"/>
        <v>9.8816000000000006</v>
      </c>
      <c r="I3778" s="6">
        <f t="shared" si="234"/>
        <v>28.000000000000004</v>
      </c>
      <c r="J3778" t="str">
        <f t="shared" si="235"/>
        <v>OK</v>
      </c>
    </row>
    <row r="3779" spans="1:10" x14ac:dyDescent="0.2">
      <c r="A3779">
        <v>13778</v>
      </c>
      <c r="B3779" t="s">
        <v>5</v>
      </c>
      <c r="C3779" t="s">
        <v>9</v>
      </c>
      <c r="D3779" s="8">
        <v>5.48</v>
      </c>
      <c r="E3779">
        <v>7</v>
      </c>
      <c r="F3779" t="str">
        <f t="shared" ref="F3779:F3842" si="236">IF(E3779&lt;=3,"Value",
 IF(E3779&lt;=7,"Standard","Premium"))</f>
        <v>Standard</v>
      </c>
      <c r="G3779" s="3" cm="1">
        <f t="array" ref="G3779">_xlfn.XLOOKUP(C3779 &amp; F3779,
         [1]unilever_price_limits!A:A &amp; [1]unilever_price_limits!B:B,
         [1]unilever_price_limits!C:C)</f>
        <v>30</v>
      </c>
      <c r="H3779" s="8">
        <f t="shared" ref="H3779:H3842" si="237">D3779 * (1 + G3779/100)</f>
        <v>7.1240000000000006</v>
      </c>
      <c r="I3779" s="6">
        <f t="shared" ref="I3779:I3842" si="238">(H3779 / D3779 - 1) * 100</f>
        <v>30.000000000000004</v>
      </c>
      <c r="J3779" t="str">
        <f t="shared" ref="J3779:J3842" si="239">IF(I3778&gt; G3778, "⚠ Exceeds Limit", "OK")</f>
        <v>OK</v>
      </c>
    </row>
    <row r="3780" spans="1:10" x14ac:dyDescent="0.2">
      <c r="A3780">
        <v>13779</v>
      </c>
      <c r="B3780" t="s">
        <v>8</v>
      </c>
      <c r="C3780" t="s">
        <v>11</v>
      </c>
      <c r="D3780" s="8">
        <v>4.01</v>
      </c>
      <c r="E3780">
        <v>4</v>
      </c>
      <c r="F3780" t="str">
        <f t="shared" si="236"/>
        <v>Standard</v>
      </c>
      <c r="G3780" s="3" cm="1">
        <f t="array" ref="G3780">_xlfn.XLOOKUP(C3780 &amp; F3780,
         [1]unilever_price_limits!A:A &amp; [1]unilever_price_limits!B:B,
         [1]unilever_price_limits!C:C)</f>
        <v>25</v>
      </c>
      <c r="H3780" s="8">
        <f t="shared" si="237"/>
        <v>5.0124999999999993</v>
      </c>
      <c r="I3780" s="6">
        <f t="shared" si="238"/>
        <v>25</v>
      </c>
      <c r="J3780" t="str">
        <f t="shared" si="239"/>
        <v>OK</v>
      </c>
    </row>
    <row r="3781" spans="1:10" x14ac:dyDescent="0.2">
      <c r="A3781">
        <v>13780</v>
      </c>
      <c r="B3781" t="s">
        <v>7</v>
      </c>
      <c r="C3781" t="s">
        <v>9</v>
      </c>
      <c r="D3781" s="8">
        <v>6.28</v>
      </c>
      <c r="E3781">
        <v>1</v>
      </c>
      <c r="F3781" t="str">
        <f t="shared" si="236"/>
        <v>Value</v>
      </c>
      <c r="G3781" s="3" cm="1">
        <f t="array" ref="G3781">_xlfn.XLOOKUP(C3781 &amp; F3781,
         [1]unilever_price_limits!A:A &amp; [1]unilever_price_limits!B:B,
         [1]unilever_price_limits!C:C)</f>
        <v>15</v>
      </c>
      <c r="H3781" s="8">
        <f t="shared" si="237"/>
        <v>7.2219999999999995</v>
      </c>
      <c r="I3781" s="6">
        <f t="shared" si="238"/>
        <v>14.999999999999991</v>
      </c>
      <c r="J3781" t="str">
        <f t="shared" si="239"/>
        <v>OK</v>
      </c>
    </row>
    <row r="3782" spans="1:10" x14ac:dyDescent="0.2">
      <c r="A3782">
        <v>13781</v>
      </c>
      <c r="B3782" t="s">
        <v>7</v>
      </c>
      <c r="C3782" t="s">
        <v>11</v>
      </c>
      <c r="D3782" s="8">
        <v>0.78</v>
      </c>
      <c r="E3782">
        <v>7</v>
      </c>
      <c r="F3782" t="str">
        <f t="shared" si="236"/>
        <v>Standard</v>
      </c>
      <c r="G3782" s="3" cm="1">
        <f t="array" ref="G3782">_xlfn.XLOOKUP(C3782 &amp; F3782,
         [1]unilever_price_limits!A:A &amp; [1]unilever_price_limits!B:B,
         [1]unilever_price_limits!C:C)</f>
        <v>25</v>
      </c>
      <c r="H3782" s="8">
        <f t="shared" si="237"/>
        <v>0.97500000000000009</v>
      </c>
      <c r="I3782" s="6">
        <f t="shared" si="238"/>
        <v>25</v>
      </c>
      <c r="J3782" t="str">
        <f t="shared" si="239"/>
        <v>OK</v>
      </c>
    </row>
    <row r="3783" spans="1:10" x14ac:dyDescent="0.2">
      <c r="A3783">
        <v>13782</v>
      </c>
      <c r="B3783" t="s">
        <v>5</v>
      </c>
      <c r="C3783" t="s">
        <v>9</v>
      </c>
      <c r="D3783" s="8">
        <v>11.7</v>
      </c>
      <c r="E3783">
        <v>9</v>
      </c>
      <c r="F3783" t="str">
        <f t="shared" si="236"/>
        <v>Premium</v>
      </c>
      <c r="G3783" s="3" cm="1">
        <f t="array" ref="G3783">_xlfn.XLOOKUP(C3783 &amp; F3783,
         [1]unilever_price_limits!A:A &amp; [1]unilever_price_limits!B:B,
         [1]unilever_price_limits!C:C)</f>
        <v>60</v>
      </c>
      <c r="H3783" s="8">
        <f t="shared" si="237"/>
        <v>18.72</v>
      </c>
      <c r="I3783" s="6">
        <f t="shared" si="238"/>
        <v>60.000000000000007</v>
      </c>
      <c r="J3783" t="str">
        <f t="shared" si="239"/>
        <v>OK</v>
      </c>
    </row>
    <row r="3784" spans="1:10" x14ac:dyDescent="0.2">
      <c r="A3784">
        <v>13783</v>
      </c>
      <c r="B3784" t="s">
        <v>7</v>
      </c>
      <c r="C3784" t="s">
        <v>9</v>
      </c>
      <c r="D3784" s="8">
        <v>2.98</v>
      </c>
      <c r="E3784">
        <v>1</v>
      </c>
      <c r="F3784" t="str">
        <f t="shared" si="236"/>
        <v>Value</v>
      </c>
      <c r="G3784" s="3" cm="1">
        <f t="array" ref="G3784">_xlfn.XLOOKUP(C3784 &amp; F3784,
         [1]unilever_price_limits!A:A &amp; [1]unilever_price_limits!B:B,
         [1]unilever_price_limits!C:C)</f>
        <v>15</v>
      </c>
      <c r="H3784" s="8">
        <f t="shared" si="237"/>
        <v>3.4269999999999996</v>
      </c>
      <c r="I3784" s="6">
        <f t="shared" si="238"/>
        <v>14.999999999999991</v>
      </c>
      <c r="J3784" t="str">
        <f t="shared" si="239"/>
        <v>OK</v>
      </c>
    </row>
    <row r="3785" spans="1:10" x14ac:dyDescent="0.2">
      <c r="A3785">
        <v>13784</v>
      </c>
      <c r="B3785" t="s">
        <v>7</v>
      </c>
      <c r="C3785" t="s">
        <v>9</v>
      </c>
      <c r="D3785" s="8">
        <v>1.1399999999999999</v>
      </c>
      <c r="E3785">
        <v>1</v>
      </c>
      <c r="F3785" t="str">
        <f t="shared" si="236"/>
        <v>Value</v>
      </c>
      <c r="G3785" s="3" cm="1">
        <f t="array" ref="G3785">_xlfn.XLOOKUP(C3785 &amp; F3785,
         [1]unilever_price_limits!A:A &amp; [1]unilever_price_limits!B:B,
         [1]unilever_price_limits!C:C)</f>
        <v>15</v>
      </c>
      <c r="H3785" s="8">
        <f t="shared" si="237"/>
        <v>1.3109999999999997</v>
      </c>
      <c r="I3785" s="6">
        <f t="shared" si="238"/>
        <v>14.999999999999991</v>
      </c>
      <c r="J3785" t="str">
        <f t="shared" si="239"/>
        <v>OK</v>
      </c>
    </row>
    <row r="3786" spans="1:10" x14ac:dyDescent="0.2">
      <c r="A3786">
        <v>13785</v>
      </c>
      <c r="B3786" t="s">
        <v>10</v>
      </c>
      <c r="C3786" t="s">
        <v>6</v>
      </c>
      <c r="D3786" s="8">
        <v>9.98</v>
      </c>
      <c r="E3786">
        <v>1</v>
      </c>
      <c r="F3786" t="str">
        <f t="shared" si="236"/>
        <v>Value</v>
      </c>
      <c r="G3786" s="3" cm="1">
        <f t="array" ref="G3786">_xlfn.XLOOKUP(C3786 &amp; F3786,
         [1]unilever_price_limits!A:A &amp; [1]unilever_price_limits!B:B,
         [1]unilever_price_limits!C:C)</f>
        <v>12</v>
      </c>
      <c r="H3786" s="8">
        <f t="shared" si="237"/>
        <v>11.177600000000002</v>
      </c>
      <c r="I3786" s="6">
        <f t="shared" si="238"/>
        <v>12.000000000000011</v>
      </c>
      <c r="J3786" t="str">
        <f t="shared" si="239"/>
        <v>OK</v>
      </c>
    </row>
    <row r="3787" spans="1:10" x14ac:dyDescent="0.2">
      <c r="A3787">
        <v>13786</v>
      </c>
      <c r="B3787" t="s">
        <v>10</v>
      </c>
      <c r="C3787" t="s">
        <v>11</v>
      </c>
      <c r="D3787" s="8">
        <v>11.72</v>
      </c>
      <c r="E3787">
        <v>10</v>
      </c>
      <c r="F3787" t="str">
        <f t="shared" si="236"/>
        <v>Premium</v>
      </c>
      <c r="G3787" s="3" cm="1">
        <f t="array" ref="G3787">_xlfn.XLOOKUP(C3787 &amp; F3787,
         [1]unilever_price_limits!A:A &amp; [1]unilever_price_limits!B:B,
         [1]unilever_price_limits!C:C)</f>
        <v>50</v>
      </c>
      <c r="H3787" s="8">
        <f t="shared" si="237"/>
        <v>17.580000000000002</v>
      </c>
      <c r="I3787" s="6">
        <f t="shared" si="238"/>
        <v>50</v>
      </c>
      <c r="J3787" t="str">
        <f t="shared" si="239"/>
        <v>OK</v>
      </c>
    </row>
    <row r="3788" spans="1:10" x14ac:dyDescent="0.2">
      <c r="A3788">
        <v>13787</v>
      </c>
      <c r="B3788" t="s">
        <v>5</v>
      </c>
      <c r="C3788" t="s">
        <v>11</v>
      </c>
      <c r="D3788" s="8">
        <v>12.3</v>
      </c>
      <c r="E3788">
        <v>7</v>
      </c>
      <c r="F3788" t="str">
        <f t="shared" si="236"/>
        <v>Standard</v>
      </c>
      <c r="G3788" s="3" cm="1">
        <f t="array" ref="G3788">_xlfn.XLOOKUP(C3788 &amp; F3788,
         [1]unilever_price_limits!A:A &amp; [1]unilever_price_limits!B:B,
         [1]unilever_price_limits!C:C)</f>
        <v>25</v>
      </c>
      <c r="H3788" s="8">
        <f t="shared" si="237"/>
        <v>15.375</v>
      </c>
      <c r="I3788" s="6">
        <f t="shared" si="238"/>
        <v>25</v>
      </c>
      <c r="J3788" t="str">
        <f t="shared" si="239"/>
        <v>OK</v>
      </c>
    </row>
    <row r="3789" spans="1:10" x14ac:dyDescent="0.2">
      <c r="A3789">
        <v>13788</v>
      </c>
      <c r="B3789" t="s">
        <v>8</v>
      </c>
      <c r="C3789" t="s">
        <v>9</v>
      </c>
      <c r="D3789" s="8">
        <v>7.66</v>
      </c>
      <c r="E3789">
        <v>9</v>
      </c>
      <c r="F3789" t="str">
        <f t="shared" si="236"/>
        <v>Premium</v>
      </c>
      <c r="G3789" s="3" cm="1">
        <f t="array" ref="G3789">_xlfn.XLOOKUP(C3789 &amp; F3789,
         [1]unilever_price_limits!A:A &amp; [1]unilever_price_limits!B:B,
         [1]unilever_price_limits!C:C)</f>
        <v>60</v>
      </c>
      <c r="H3789" s="8">
        <f t="shared" si="237"/>
        <v>12.256</v>
      </c>
      <c r="I3789" s="6">
        <f t="shared" si="238"/>
        <v>60.000000000000007</v>
      </c>
      <c r="J3789" t="str">
        <f t="shared" si="239"/>
        <v>OK</v>
      </c>
    </row>
    <row r="3790" spans="1:10" x14ac:dyDescent="0.2">
      <c r="A3790">
        <v>13789</v>
      </c>
      <c r="B3790" t="s">
        <v>10</v>
      </c>
      <c r="C3790" t="s">
        <v>6</v>
      </c>
      <c r="D3790" s="8">
        <v>3.48</v>
      </c>
      <c r="E3790">
        <v>3</v>
      </c>
      <c r="F3790" t="str">
        <f t="shared" si="236"/>
        <v>Value</v>
      </c>
      <c r="G3790" s="3" cm="1">
        <f t="array" ref="G3790">_xlfn.XLOOKUP(C3790 &amp; F3790,
         [1]unilever_price_limits!A:A &amp; [1]unilever_price_limits!B:B,
         [1]unilever_price_limits!C:C)</f>
        <v>12</v>
      </c>
      <c r="H3790" s="8">
        <f t="shared" si="237"/>
        <v>3.8976000000000002</v>
      </c>
      <c r="I3790" s="6">
        <f t="shared" si="238"/>
        <v>12.000000000000011</v>
      </c>
      <c r="J3790" t="str">
        <f t="shared" si="239"/>
        <v>OK</v>
      </c>
    </row>
    <row r="3791" spans="1:10" x14ac:dyDescent="0.2">
      <c r="A3791">
        <v>13790</v>
      </c>
      <c r="B3791" t="s">
        <v>8</v>
      </c>
      <c r="C3791" t="s">
        <v>6</v>
      </c>
      <c r="D3791" s="8">
        <v>11.19</v>
      </c>
      <c r="E3791">
        <v>8</v>
      </c>
      <c r="F3791" t="str">
        <f t="shared" si="236"/>
        <v>Premium</v>
      </c>
      <c r="G3791" s="3" cm="1">
        <f t="array" ref="G3791">_xlfn.XLOOKUP(C3791 &amp; F3791,
         [1]unilever_price_limits!A:A &amp; [1]unilever_price_limits!B:B,
         [1]unilever_price_limits!C:C)</f>
        <v>55</v>
      </c>
      <c r="H3791" s="8">
        <f t="shared" si="237"/>
        <v>17.3445</v>
      </c>
      <c r="I3791" s="6">
        <f t="shared" si="238"/>
        <v>55.000000000000007</v>
      </c>
      <c r="J3791" t="str">
        <f t="shared" si="239"/>
        <v>OK</v>
      </c>
    </row>
    <row r="3792" spans="1:10" x14ac:dyDescent="0.2">
      <c r="A3792">
        <v>13791</v>
      </c>
      <c r="B3792" t="s">
        <v>7</v>
      </c>
      <c r="C3792" t="s">
        <v>11</v>
      </c>
      <c r="D3792" s="8">
        <v>10.65</v>
      </c>
      <c r="E3792">
        <v>9</v>
      </c>
      <c r="F3792" t="str">
        <f t="shared" si="236"/>
        <v>Premium</v>
      </c>
      <c r="G3792" s="3" cm="1">
        <f t="array" ref="G3792">_xlfn.XLOOKUP(C3792 &amp; F3792,
         [1]unilever_price_limits!A:A &amp; [1]unilever_price_limits!B:B,
         [1]unilever_price_limits!C:C)</f>
        <v>50</v>
      </c>
      <c r="H3792" s="8">
        <f t="shared" si="237"/>
        <v>15.975000000000001</v>
      </c>
      <c r="I3792" s="6">
        <f t="shared" si="238"/>
        <v>50</v>
      </c>
      <c r="J3792" t="str">
        <f t="shared" si="239"/>
        <v>OK</v>
      </c>
    </row>
    <row r="3793" spans="1:10" x14ac:dyDescent="0.2">
      <c r="A3793">
        <v>13792</v>
      </c>
      <c r="B3793" t="s">
        <v>10</v>
      </c>
      <c r="C3793" t="s">
        <v>6</v>
      </c>
      <c r="D3793" s="8">
        <v>4.07</v>
      </c>
      <c r="E3793">
        <v>3</v>
      </c>
      <c r="F3793" t="str">
        <f t="shared" si="236"/>
        <v>Value</v>
      </c>
      <c r="G3793" s="3" cm="1">
        <f t="array" ref="G3793">_xlfn.XLOOKUP(C3793 &amp; F3793,
         [1]unilever_price_limits!A:A &amp; [1]unilever_price_limits!B:B,
         [1]unilever_price_limits!C:C)</f>
        <v>12</v>
      </c>
      <c r="H3793" s="8">
        <f t="shared" si="237"/>
        <v>4.5584000000000007</v>
      </c>
      <c r="I3793" s="6">
        <f t="shared" si="238"/>
        <v>12.000000000000011</v>
      </c>
      <c r="J3793" t="str">
        <f t="shared" si="239"/>
        <v>OK</v>
      </c>
    </row>
    <row r="3794" spans="1:10" x14ac:dyDescent="0.2">
      <c r="A3794">
        <v>13793</v>
      </c>
      <c r="B3794" t="s">
        <v>5</v>
      </c>
      <c r="C3794" t="s">
        <v>11</v>
      </c>
      <c r="D3794" s="8">
        <v>13.6</v>
      </c>
      <c r="E3794">
        <v>3</v>
      </c>
      <c r="F3794" t="str">
        <f t="shared" si="236"/>
        <v>Value</v>
      </c>
      <c r="G3794" s="3" cm="1">
        <f t="array" ref="G3794">_xlfn.XLOOKUP(C3794 &amp; F3794,
         [1]unilever_price_limits!A:A &amp; [1]unilever_price_limits!B:B,
         [1]unilever_price_limits!C:C)</f>
        <v>10</v>
      </c>
      <c r="H3794" s="8">
        <f t="shared" si="237"/>
        <v>14.96</v>
      </c>
      <c r="I3794" s="6">
        <f t="shared" si="238"/>
        <v>10.000000000000009</v>
      </c>
      <c r="J3794" t="str">
        <f t="shared" si="239"/>
        <v>OK</v>
      </c>
    </row>
    <row r="3795" spans="1:10" x14ac:dyDescent="0.2">
      <c r="A3795">
        <v>13794</v>
      </c>
      <c r="B3795" t="s">
        <v>5</v>
      </c>
      <c r="C3795" t="s">
        <v>11</v>
      </c>
      <c r="D3795" s="8">
        <v>2.0099999999999998</v>
      </c>
      <c r="E3795">
        <v>1</v>
      </c>
      <c r="F3795" t="str">
        <f t="shared" si="236"/>
        <v>Value</v>
      </c>
      <c r="G3795" s="3" cm="1">
        <f t="array" ref="G3795">_xlfn.XLOOKUP(C3795 &amp; F3795,
         [1]unilever_price_limits!A:A &amp; [1]unilever_price_limits!B:B,
         [1]unilever_price_limits!C:C)</f>
        <v>10</v>
      </c>
      <c r="H3795" s="8">
        <f t="shared" si="237"/>
        <v>2.2109999999999999</v>
      </c>
      <c r="I3795" s="6">
        <f t="shared" si="238"/>
        <v>10.000000000000009</v>
      </c>
      <c r="J3795" t="str">
        <f t="shared" si="239"/>
        <v>OK</v>
      </c>
    </row>
    <row r="3796" spans="1:10" x14ac:dyDescent="0.2">
      <c r="A3796">
        <v>13795</v>
      </c>
      <c r="B3796" t="s">
        <v>5</v>
      </c>
      <c r="C3796" t="s">
        <v>11</v>
      </c>
      <c r="D3796" s="8">
        <v>14.75</v>
      </c>
      <c r="E3796">
        <v>2</v>
      </c>
      <c r="F3796" t="str">
        <f t="shared" si="236"/>
        <v>Value</v>
      </c>
      <c r="G3796" s="3" cm="1">
        <f t="array" ref="G3796">_xlfn.XLOOKUP(C3796 &amp; F3796,
         [1]unilever_price_limits!A:A &amp; [1]unilever_price_limits!B:B,
         [1]unilever_price_limits!C:C)</f>
        <v>10</v>
      </c>
      <c r="H3796" s="8">
        <f t="shared" si="237"/>
        <v>16.225000000000001</v>
      </c>
      <c r="I3796" s="6">
        <f t="shared" si="238"/>
        <v>10.000000000000009</v>
      </c>
      <c r="J3796" t="str">
        <f t="shared" si="239"/>
        <v>OK</v>
      </c>
    </row>
    <row r="3797" spans="1:10" x14ac:dyDescent="0.2">
      <c r="A3797">
        <v>13796</v>
      </c>
      <c r="B3797" t="s">
        <v>10</v>
      </c>
      <c r="C3797" t="s">
        <v>6</v>
      </c>
      <c r="D3797" s="8">
        <v>12.97</v>
      </c>
      <c r="E3797">
        <v>7</v>
      </c>
      <c r="F3797" t="str">
        <f t="shared" si="236"/>
        <v>Standard</v>
      </c>
      <c r="G3797" s="3" cm="1">
        <f t="array" ref="G3797">_xlfn.XLOOKUP(C3797 &amp; F3797,
         [1]unilever_price_limits!A:A &amp; [1]unilever_price_limits!B:B,
         [1]unilever_price_limits!C:C)</f>
        <v>28</v>
      </c>
      <c r="H3797" s="8">
        <f t="shared" si="237"/>
        <v>16.601600000000001</v>
      </c>
      <c r="I3797" s="6">
        <f t="shared" si="238"/>
        <v>28.000000000000004</v>
      </c>
      <c r="J3797" t="str">
        <f t="shared" si="239"/>
        <v>OK</v>
      </c>
    </row>
    <row r="3798" spans="1:10" x14ac:dyDescent="0.2">
      <c r="A3798">
        <v>13797</v>
      </c>
      <c r="B3798" t="s">
        <v>8</v>
      </c>
      <c r="C3798" t="s">
        <v>11</v>
      </c>
      <c r="D3798" s="8">
        <v>10.47</v>
      </c>
      <c r="E3798">
        <v>3</v>
      </c>
      <c r="F3798" t="str">
        <f t="shared" si="236"/>
        <v>Value</v>
      </c>
      <c r="G3798" s="3" cm="1">
        <f t="array" ref="G3798">_xlfn.XLOOKUP(C3798 &amp; F3798,
         [1]unilever_price_limits!A:A &amp; [1]unilever_price_limits!B:B,
         [1]unilever_price_limits!C:C)</f>
        <v>10</v>
      </c>
      <c r="H3798" s="8">
        <f t="shared" si="237"/>
        <v>11.517000000000001</v>
      </c>
      <c r="I3798" s="6">
        <f t="shared" si="238"/>
        <v>10.000000000000009</v>
      </c>
      <c r="J3798" t="str">
        <f t="shared" si="239"/>
        <v>OK</v>
      </c>
    </row>
    <row r="3799" spans="1:10" x14ac:dyDescent="0.2">
      <c r="A3799">
        <v>13798</v>
      </c>
      <c r="B3799" t="s">
        <v>7</v>
      </c>
      <c r="C3799" t="s">
        <v>11</v>
      </c>
      <c r="D3799" s="8">
        <v>14.11</v>
      </c>
      <c r="E3799">
        <v>7</v>
      </c>
      <c r="F3799" t="str">
        <f t="shared" si="236"/>
        <v>Standard</v>
      </c>
      <c r="G3799" s="3" cm="1">
        <f t="array" ref="G3799">_xlfn.XLOOKUP(C3799 &amp; F3799,
         [1]unilever_price_limits!A:A &amp; [1]unilever_price_limits!B:B,
         [1]unilever_price_limits!C:C)</f>
        <v>25</v>
      </c>
      <c r="H3799" s="8">
        <f t="shared" si="237"/>
        <v>17.637499999999999</v>
      </c>
      <c r="I3799" s="6">
        <f t="shared" si="238"/>
        <v>25</v>
      </c>
      <c r="J3799" t="str">
        <f t="shared" si="239"/>
        <v>OK</v>
      </c>
    </row>
    <row r="3800" spans="1:10" x14ac:dyDescent="0.2">
      <c r="A3800">
        <v>13799</v>
      </c>
      <c r="B3800" t="s">
        <v>8</v>
      </c>
      <c r="C3800" t="s">
        <v>9</v>
      </c>
      <c r="D3800" s="8">
        <v>10.97</v>
      </c>
      <c r="E3800">
        <v>5</v>
      </c>
      <c r="F3800" t="str">
        <f t="shared" si="236"/>
        <v>Standard</v>
      </c>
      <c r="G3800" s="3" cm="1">
        <f t="array" ref="G3800">_xlfn.XLOOKUP(C3800 &amp; F3800,
         [1]unilever_price_limits!A:A &amp; [1]unilever_price_limits!B:B,
         [1]unilever_price_limits!C:C)</f>
        <v>30</v>
      </c>
      <c r="H3800" s="8">
        <f t="shared" si="237"/>
        <v>14.261000000000001</v>
      </c>
      <c r="I3800" s="6">
        <f t="shared" si="238"/>
        <v>30.000000000000004</v>
      </c>
      <c r="J3800" t="str">
        <f t="shared" si="239"/>
        <v>OK</v>
      </c>
    </row>
    <row r="3801" spans="1:10" x14ac:dyDescent="0.2">
      <c r="A3801">
        <v>13800</v>
      </c>
      <c r="B3801" t="s">
        <v>8</v>
      </c>
      <c r="C3801" t="s">
        <v>11</v>
      </c>
      <c r="D3801" s="8">
        <v>3.26</v>
      </c>
      <c r="E3801">
        <v>10</v>
      </c>
      <c r="F3801" t="str">
        <f t="shared" si="236"/>
        <v>Premium</v>
      </c>
      <c r="G3801" s="3" cm="1">
        <f t="array" ref="G3801">_xlfn.XLOOKUP(C3801 &amp; F3801,
         [1]unilever_price_limits!A:A &amp; [1]unilever_price_limits!B:B,
         [1]unilever_price_limits!C:C)</f>
        <v>50</v>
      </c>
      <c r="H3801" s="8">
        <f t="shared" si="237"/>
        <v>4.8899999999999997</v>
      </c>
      <c r="I3801" s="6">
        <f t="shared" si="238"/>
        <v>50</v>
      </c>
      <c r="J3801" t="str">
        <f t="shared" si="239"/>
        <v>OK</v>
      </c>
    </row>
    <row r="3802" spans="1:10" x14ac:dyDescent="0.2">
      <c r="A3802">
        <v>13801</v>
      </c>
      <c r="B3802" t="s">
        <v>7</v>
      </c>
      <c r="C3802" t="s">
        <v>11</v>
      </c>
      <c r="D3802" s="8">
        <v>6.91</v>
      </c>
      <c r="E3802">
        <v>8</v>
      </c>
      <c r="F3802" t="str">
        <f t="shared" si="236"/>
        <v>Premium</v>
      </c>
      <c r="G3802" s="3" cm="1">
        <f t="array" ref="G3802">_xlfn.XLOOKUP(C3802 &amp; F3802,
         [1]unilever_price_limits!A:A &amp; [1]unilever_price_limits!B:B,
         [1]unilever_price_limits!C:C)</f>
        <v>50</v>
      </c>
      <c r="H3802" s="8">
        <f t="shared" si="237"/>
        <v>10.365</v>
      </c>
      <c r="I3802" s="6">
        <f t="shared" si="238"/>
        <v>50</v>
      </c>
      <c r="J3802" t="str">
        <f t="shared" si="239"/>
        <v>OK</v>
      </c>
    </row>
    <row r="3803" spans="1:10" x14ac:dyDescent="0.2">
      <c r="A3803">
        <v>13802</v>
      </c>
      <c r="B3803" t="s">
        <v>7</v>
      </c>
      <c r="C3803" t="s">
        <v>9</v>
      </c>
      <c r="D3803" s="8">
        <v>1.54</v>
      </c>
      <c r="E3803">
        <v>5</v>
      </c>
      <c r="F3803" t="str">
        <f t="shared" si="236"/>
        <v>Standard</v>
      </c>
      <c r="G3803" s="3" cm="1">
        <f t="array" ref="G3803">_xlfn.XLOOKUP(C3803 &amp; F3803,
         [1]unilever_price_limits!A:A &amp; [1]unilever_price_limits!B:B,
         [1]unilever_price_limits!C:C)</f>
        <v>30</v>
      </c>
      <c r="H3803" s="8">
        <f t="shared" si="237"/>
        <v>2.0020000000000002</v>
      </c>
      <c r="I3803" s="6">
        <f t="shared" si="238"/>
        <v>30.000000000000004</v>
      </c>
      <c r="J3803" t="str">
        <f t="shared" si="239"/>
        <v>OK</v>
      </c>
    </row>
    <row r="3804" spans="1:10" x14ac:dyDescent="0.2">
      <c r="A3804">
        <v>13803</v>
      </c>
      <c r="B3804" t="s">
        <v>10</v>
      </c>
      <c r="C3804" t="s">
        <v>9</v>
      </c>
      <c r="D3804" s="8">
        <v>6.15</v>
      </c>
      <c r="E3804">
        <v>3</v>
      </c>
      <c r="F3804" t="str">
        <f t="shared" si="236"/>
        <v>Value</v>
      </c>
      <c r="G3804" s="3" cm="1">
        <f t="array" ref="G3804">_xlfn.XLOOKUP(C3804 &amp; F3804,
         [1]unilever_price_limits!A:A &amp; [1]unilever_price_limits!B:B,
         [1]unilever_price_limits!C:C)</f>
        <v>15</v>
      </c>
      <c r="H3804" s="8">
        <f t="shared" si="237"/>
        <v>7.0724999999999998</v>
      </c>
      <c r="I3804" s="6">
        <f t="shared" si="238"/>
        <v>14.999999999999991</v>
      </c>
      <c r="J3804" t="str">
        <f t="shared" si="239"/>
        <v>OK</v>
      </c>
    </row>
    <row r="3805" spans="1:10" x14ac:dyDescent="0.2">
      <c r="A3805">
        <v>13804</v>
      </c>
      <c r="B3805" t="s">
        <v>10</v>
      </c>
      <c r="C3805" t="s">
        <v>6</v>
      </c>
      <c r="D3805" s="8">
        <v>11.25</v>
      </c>
      <c r="E3805">
        <v>9</v>
      </c>
      <c r="F3805" t="str">
        <f t="shared" si="236"/>
        <v>Premium</v>
      </c>
      <c r="G3805" s="3" cm="1">
        <f t="array" ref="G3805">_xlfn.XLOOKUP(C3805 &amp; F3805,
         [1]unilever_price_limits!A:A &amp; [1]unilever_price_limits!B:B,
         [1]unilever_price_limits!C:C)</f>
        <v>55</v>
      </c>
      <c r="H3805" s="8">
        <f t="shared" si="237"/>
        <v>17.4375</v>
      </c>
      <c r="I3805" s="6">
        <f t="shared" si="238"/>
        <v>55.000000000000007</v>
      </c>
      <c r="J3805" t="str">
        <f t="shared" si="239"/>
        <v>OK</v>
      </c>
    </row>
    <row r="3806" spans="1:10" x14ac:dyDescent="0.2">
      <c r="A3806">
        <v>13805</v>
      </c>
      <c r="B3806" t="s">
        <v>10</v>
      </c>
      <c r="C3806" t="s">
        <v>11</v>
      </c>
      <c r="D3806" s="8">
        <v>6.1</v>
      </c>
      <c r="E3806">
        <v>7</v>
      </c>
      <c r="F3806" t="str">
        <f t="shared" si="236"/>
        <v>Standard</v>
      </c>
      <c r="G3806" s="3" cm="1">
        <f t="array" ref="G3806">_xlfn.XLOOKUP(C3806 &amp; F3806,
         [1]unilever_price_limits!A:A &amp; [1]unilever_price_limits!B:B,
         [1]unilever_price_limits!C:C)</f>
        <v>25</v>
      </c>
      <c r="H3806" s="8">
        <f t="shared" si="237"/>
        <v>7.625</v>
      </c>
      <c r="I3806" s="6">
        <f t="shared" si="238"/>
        <v>25</v>
      </c>
      <c r="J3806" t="str">
        <f t="shared" si="239"/>
        <v>OK</v>
      </c>
    </row>
    <row r="3807" spans="1:10" x14ac:dyDescent="0.2">
      <c r="A3807">
        <v>13806</v>
      </c>
      <c r="B3807" t="s">
        <v>10</v>
      </c>
      <c r="C3807" t="s">
        <v>6</v>
      </c>
      <c r="D3807" s="8">
        <v>5.29</v>
      </c>
      <c r="E3807">
        <v>5</v>
      </c>
      <c r="F3807" t="str">
        <f t="shared" si="236"/>
        <v>Standard</v>
      </c>
      <c r="G3807" s="3" cm="1">
        <f t="array" ref="G3807">_xlfn.XLOOKUP(C3807 &amp; F3807,
         [1]unilever_price_limits!A:A &amp; [1]unilever_price_limits!B:B,
         [1]unilever_price_limits!C:C)</f>
        <v>28</v>
      </c>
      <c r="H3807" s="8">
        <f t="shared" si="237"/>
        <v>6.7712000000000003</v>
      </c>
      <c r="I3807" s="6">
        <f t="shared" si="238"/>
        <v>28.000000000000004</v>
      </c>
      <c r="J3807" t="str">
        <f t="shared" si="239"/>
        <v>OK</v>
      </c>
    </row>
    <row r="3808" spans="1:10" x14ac:dyDescent="0.2">
      <c r="A3808">
        <v>13807</v>
      </c>
      <c r="B3808" t="s">
        <v>10</v>
      </c>
      <c r="C3808" t="s">
        <v>6</v>
      </c>
      <c r="D3808" s="8">
        <v>9.1300000000000008</v>
      </c>
      <c r="E3808">
        <v>7</v>
      </c>
      <c r="F3808" t="str">
        <f t="shared" si="236"/>
        <v>Standard</v>
      </c>
      <c r="G3808" s="3" cm="1">
        <f t="array" ref="G3808">_xlfn.XLOOKUP(C3808 &amp; F3808,
         [1]unilever_price_limits!A:A &amp; [1]unilever_price_limits!B:B,
         [1]unilever_price_limits!C:C)</f>
        <v>28</v>
      </c>
      <c r="H3808" s="8">
        <f t="shared" si="237"/>
        <v>11.686400000000001</v>
      </c>
      <c r="I3808" s="6">
        <f t="shared" si="238"/>
        <v>28.000000000000004</v>
      </c>
      <c r="J3808" t="str">
        <f t="shared" si="239"/>
        <v>OK</v>
      </c>
    </row>
    <row r="3809" spans="1:10" x14ac:dyDescent="0.2">
      <c r="A3809">
        <v>13808</v>
      </c>
      <c r="B3809" t="s">
        <v>7</v>
      </c>
      <c r="C3809" t="s">
        <v>9</v>
      </c>
      <c r="D3809" s="8">
        <v>13.15</v>
      </c>
      <c r="E3809">
        <v>10</v>
      </c>
      <c r="F3809" t="str">
        <f t="shared" si="236"/>
        <v>Premium</v>
      </c>
      <c r="G3809" s="3" cm="1">
        <f t="array" ref="G3809">_xlfn.XLOOKUP(C3809 &amp; F3809,
         [1]unilever_price_limits!A:A &amp; [1]unilever_price_limits!B:B,
         [1]unilever_price_limits!C:C)</f>
        <v>60</v>
      </c>
      <c r="H3809" s="8">
        <f t="shared" si="237"/>
        <v>21.040000000000003</v>
      </c>
      <c r="I3809" s="6">
        <f t="shared" si="238"/>
        <v>60.000000000000007</v>
      </c>
      <c r="J3809" t="str">
        <f t="shared" si="239"/>
        <v>OK</v>
      </c>
    </row>
    <row r="3810" spans="1:10" x14ac:dyDescent="0.2">
      <c r="A3810">
        <v>13809</v>
      </c>
      <c r="B3810" t="s">
        <v>8</v>
      </c>
      <c r="C3810" t="s">
        <v>6</v>
      </c>
      <c r="D3810" s="8">
        <v>1.19</v>
      </c>
      <c r="E3810">
        <v>9</v>
      </c>
      <c r="F3810" t="str">
        <f t="shared" si="236"/>
        <v>Premium</v>
      </c>
      <c r="G3810" s="3" cm="1">
        <f t="array" ref="G3810">_xlfn.XLOOKUP(C3810 &amp; F3810,
         [1]unilever_price_limits!A:A &amp; [1]unilever_price_limits!B:B,
         [1]unilever_price_limits!C:C)</f>
        <v>55</v>
      </c>
      <c r="H3810" s="8">
        <f t="shared" si="237"/>
        <v>1.8445</v>
      </c>
      <c r="I3810" s="6">
        <f t="shared" si="238"/>
        <v>55.000000000000007</v>
      </c>
      <c r="J3810" t="str">
        <f t="shared" si="239"/>
        <v>OK</v>
      </c>
    </row>
    <row r="3811" spans="1:10" x14ac:dyDescent="0.2">
      <c r="A3811">
        <v>13810</v>
      </c>
      <c r="B3811" t="s">
        <v>10</v>
      </c>
      <c r="C3811" t="s">
        <v>11</v>
      </c>
      <c r="D3811" s="8">
        <v>6.09</v>
      </c>
      <c r="E3811">
        <v>5</v>
      </c>
      <c r="F3811" t="str">
        <f t="shared" si="236"/>
        <v>Standard</v>
      </c>
      <c r="G3811" s="3" cm="1">
        <f t="array" ref="G3811">_xlfn.XLOOKUP(C3811 &amp; F3811,
         [1]unilever_price_limits!A:A &amp; [1]unilever_price_limits!B:B,
         [1]unilever_price_limits!C:C)</f>
        <v>25</v>
      </c>
      <c r="H3811" s="8">
        <f t="shared" si="237"/>
        <v>7.6124999999999998</v>
      </c>
      <c r="I3811" s="6">
        <f t="shared" si="238"/>
        <v>25</v>
      </c>
      <c r="J3811" t="str">
        <f t="shared" si="239"/>
        <v>OK</v>
      </c>
    </row>
    <row r="3812" spans="1:10" x14ac:dyDescent="0.2">
      <c r="A3812">
        <v>13811</v>
      </c>
      <c r="B3812" t="s">
        <v>10</v>
      </c>
      <c r="C3812" t="s">
        <v>9</v>
      </c>
      <c r="D3812" s="8">
        <v>2.79</v>
      </c>
      <c r="E3812">
        <v>7</v>
      </c>
      <c r="F3812" t="str">
        <f t="shared" si="236"/>
        <v>Standard</v>
      </c>
      <c r="G3812" s="3" cm="1">
        <f t="array" ref="G3812">_xlfn.XLOOKUP(C3812 &amp; F3812,
         [1]unilever_price_limits!A:A &amp; [1]unilever_price_limits!B:B,
         [1]unilever_price_limits!C:C)</f>
        <v>30</v>
      </c>
      <c r="H3812" s="8">
        <f t="shared" si="237"/>
        <v>3.6270000000000002</v>
      </c>
      <c r="I3812" s="6">
        <f t="shared" si="238"/>
        <v>30.000000000000004</v>
      </c>
      <c r="J3812" t="str">
        <f t="shared" si="239"/>
        <v>OK</v>
      </c>
    </row>
    <row r="3813" spans="1:10" x14ac:dyDescent="0.2">
      <c r="A3813">
        <v>13812</v>
      </c>
      <c r="B3813" t="s">
        <v>8</v>
      </c>
      <c r="C3813" t="s">
        <v>11</v>
      </c>
      <c r="D3813" s="8">
        <v>10.58</v>
      </c>
      <c r="E3813">
        <v>9</v>
      </c>
      <c r="F3813" t="str">
        <f t="shared" si="236"/>
        <v>Premium</v>
      </c>
      <c r="G3813" s="3" cm="1">
        <f t="array" ref="G3813">_xlfn.XLOOKUP(C3813 &amp; F3813,
         [1]unilever_price_limits!A:A &amp; [1]unilever_price_limits!B:B,
         [1]unilever_price_limits!C:C)</f>
        <v>50</v>
      </c>
      <c r="H3813" s="8">
        <f t="shared" si="237"/>
        <v>15.870000000000001</v>
      </c>
      <c r="I3813" s="6">
        <f t="shared" si="238"/>
        <v>50</v>
      </c>
      <c r="J3813" t="str">
        <f t="shared" si="239"/>
        <v>OK</v>
      </c>
    </row>
    <row r="3814" spans="1:10" x14ac:dyDescent="0.2">
      <c r="A3814">
        <v>13813</v>
      </c>
      <c r="B3814" t="s">
        <v>10</v>
      </c>
      <c r="C3814" t="s">
        <v>11</v>
      </c>
      <c r="D3814" s="8">
        <v>2.0299999999999998</v>
      </c>
      <c r="E3814">
        <v>1</v>
      </c>
      <c r="F3814" t="str">
        <f t="shared" si="236"/>
        <v>Value</v>
      </c>
      <c r="G3814" s="3" cm="1">
        <f t="array" ref="G3814">_xlfn.XLOOKUP(C3814 &amp; F3814,
         [1]unilever_price_limits!A:A &amp; [1]unilever_price_limits!B:B,
         [1]unilever_price_limits!C:C)</f>
        <v>10</v>
      </c>
      <c r="H3814" s="8">
        <f t="shared" si="237"/>
        <v>2.2330000000000001</v>
      </c>
      <c r="I3814" s="6">
        <f t="shared" si="238"/>
        <v>10.000000000000009</v>
      </c>
      <c r="J3814" t="str">
        <f t="shared" si="239"/>
        <v>OK</v>
      </c>
    </row>
    <row r="3815" spans="1:10" x14ac:dyDescent="0.2">
      <c r="A3815">
        <v>13814</v>
      </c>
      <c r="B3815" t="s">
        <v>8</v>
      </c>
      <c r="C3815" t="s">
        <v>9</v>
      </c>
      <c r="D3815" s="8">
        <v>10.14</v>
      </c>
      <c r="E3815">
        <v>4</v>
      </c>
      <c r="F3815" t="str">
        <f t="shared" si="236"/>
        <v>Standard</v>
      </c>
      <c r="G3815" s="3" cm="1">
        <f t="array" ref="G3815">_xlfn.XLOOKUP(C3815 &amp; F3815,
         [1]unilever_price_limits!A:A &amp; [1]unilever_price_limits!B:B,
         [1]unilever_price_limits!C:C)</f>
        <v>30</v>
      </c>
      <c r="H3815" s="8">
        <f t="shared" si="237"/>
        <v>13.182</v>
      </c>
      <c r="I3815" s="6">
        <f t="shared" si="238"/>
        <v>30.000000000000004</v>
      </c>
      <c r="J3815" t="str">
        <f t="shared" si="239"/>
        <v>OK</v>
      </c>
    </row>
    <row r="3816" spans="1:10" x14ac:dyDescent="0.2">
      <c r="A3816">
        <v>13815</v>
      </c>
      <c r="B3816" t="s">
        <v>8</v>
      </c>
      <c r="C3816" t="s">
        <v>11</v>
      </c>
      <c r="D3816" s="8">
        <v>4.6500000000000004</v>
      </c>
      <c r="E3816">
        <v>1</v>
      </c>
      <c r="F3816" t="str">
        <f t="shared" si="236"/>
        <v>Value</v>
      </c>
      <c r="G3816" s="3" cm="1">
        <f t="array" ref="G3816">_xlfn.XLOOKUP(C3816 &amp; F3816,
         [1]unilever_price_limits!A:A &amp; [1]unilever_price_limits!B:B,
         [1]unilever_price_limits!C:C)</f>
        <v>10</v>
      </c>
      <c r="H3816" s="8">
        <f t="shared" si="237"/>
        <v>5.1150000000000011</v>
      </c>
      <c r="I3816" s="6">
        <f t="shared" si="238"/>
        <v>10.000000000000009</v>
      </c>
      <c r="J3816" t="str">
        <f t="shared" si="239"/>
        <v>OK</v>
      </c>
    </row>
    <row r="3817" spans="1:10" x14ac:dyDescent="0.2">
      <c r="A3817">
        <v>13816</v>
      </c>
      <c r="B3817" t="s">
        <v>7</v>
      </c>
      <c r="C3817" t="s">
        <v>9</v>
      </c>
      <c r="D3817" s="8">
        <v>3.38</v>
      </c>
      <c r="E3817">
        <v>8</v>
      </c>
      <c r="F3817" t="str">
        <f t="shared" si="236"/>
        <v>Premium</v>
      </c>
      <c r="G3817" s="3" cm="1">
        <f t="array" ref="G3817">_xlfn.XLOOKUP(C3817 &amp; F3817,
         [1]unilever_price_limits!A:A &amp; [1]unilever_price_limits!B:B,
         [1]unilever_price_limits!C:C)</f>
        <v>60</v>
      </c>
      <c r="H3817" s="8">
        <f t="shared" si="237"/>
        <v>5.4080000000000004</v>
      </c>
      <c r="I3817" s="6">
        <f t="shared" si="238"/>
        <v>60.000000000000007</v>
      </c>
      <c r="J3817" t="str">
        <f t="shared" si="239"/>
        <v>OK</v>
      </c>
    </row>
    <row r="3818" spans="1:10" x14ac:dyDescent="0.2">
      <c r="A3818">
        <v>13817</v>
      </c>
      <c r="B3818" t="s">
        <v>5</v>
      </c>
      <c r="C3818" t="s">
        <v>11</v>
      </c>
      <c r="D3818" s="8">
        <v>14.08</v>
      </c>
      <c r="E3818">
        <v>3</v>
      </c>
      <c r="F3818" t="str">
        <f t="shared" si="236"/>
        <v>Value</v>
      </c>
      <c r="G3818" s="3" cm="1">
        <f t="array" ref="G3818">_xlfn.XLOOKUP(C3818 &amp; F3818,
         [1]unilever_price_limits!A:A &amp; [1]unilever_price_limits!B:B,
         [1]unilever_price_limits!C:C)</f>
        <v>10</v>
      </c>
      <c r="H3818" s="8">
        <f t="shared" si="237"/>
        <v>15.488000000000001</v>
      </c>
      <c r="I3818" s="6">
        <f t="shared" si="238"/>
        <v>10.000000000000009</v>
      </c>
      <c r="J3818" t="str">
        <f t="shared" si="239"/>
        <v>OK</v>
      </c>
    </row>
    <row r="3819" spans="1:10" x14ac:dyDescent="0.2">
      <c r="A3819">
        <v>13818</v>
      </c>
      <c r="B3819" t="s">
        <v>7</v>
      </c>
      <c r="C3819" t="s">
        <v>9</v>
      </c>
      <c r="D3819" s="8">
        <v>0.77</v>
      </c>
      <c r="E3819">
        <v>2</v>
      </c>
      <c r="F3819" t="str">
        <f t="shared" si="236"/>
        <v>Value</v>
      </c>
      <c r="G3819" s="3" cm="1">
        <f t="array" ref="G3819">_xlfn.XLOOKUP(C3819 &amp; F3819,
         [1]unilever_price_limits!A:A &amp; [1]unilever_price_limits!B:B,
         [1]unilever_price_limits!C:C)</f>
        <v>15</v>
      </c>
      <c r="H3819" s="8">
        <f t="shared" si="237"/>
        <v>0.88549999999999995</v>
      </c>
      <c r="I3819" s="6">
        <f t="shared" si="238"/>
        <v>14.999999999999991</v>
      </c>
      <c r="J3819" t="str">
        <f t="shared" si="239"/>
        <v>OK</v>
      </c>
    </row>
    <row r="3820" spans="1:10" x14ac:dyDescent="0.2">
      <c r="A3820">
        <v>13819</v>
      </c>
      <c r="B3820" t="s">
        <v>5</v>
      </c>
      <c r="C3820" t="s">
        <v>6</v>
      </c>
      <c r="D3820" s="8">
        <v>6.85</v>
      </c>
      <c r="E3820">
        <v>4</v>
      </c>
      <c r="F3820" t="str">
        <f t="shared" si="236"/>
        <v>Standard</v>
      </c>
      <c r="G3820" s="3" cm="1">
        <f t="array" ref="G3820">_xlfn.XLOOKUP(C3820 &amp; F3820,
         [1]unilever_price_limits!A:A &amp; [1]unilever_price_limits!B:B,
         [1]unilever_price_limits!C:C)</f>
        <v>28</v>
      </c>
      <c r="H3820" s="8">
        <f t="shared" si="237"/>
        <v>8.7679999999999989</v>
      </c>
      <c r="I3820" s="6">
        <f t="shared" si="238"/>
        <v>27.999999999999979</v>
      </c>
      <c r="J3820" t="str">
        <f t="shared" si="239"/>
        <v>OK</v>
      </c>
    </row>
    <row r="3821" spans="1:10" x14ac:dyDescent="0.2">
      <c r="A3821">
        <v>13820</v>
      </c>
      <c r="B3821" t="s">
        <v>5</v>
      </c>
      <c r="C3821" t="s">
        <v>11</v>
      </c>
      <c r="D3821" s="8">
        <v>0.81</v>
      </c>
      <c r="E3821">
        <v>3</v>
      </c>
      <c r="F3821" t="str">
        <f t="shared" si="236"/>
        <v>Value</v>
      </c>
      <c r="G3821" s="3" cm="1">
        <f t="array" ref="G3821">_xlfn.XLOOKUP(C3821 &amp; F3821,
         [1]unilever_price_limits!A:A &amp; [1]unilever_price_limits!B:B,
         [1]unilever_price_limits!C:C)</f>
        <v>10</v>
      </c>
      <c r="H3821" s="8">
        <f t="shared" si="237"/>
        <v>0.89100000000000013</v>
      </c>
      <c r="I3821" s="6">
        <f t="shared" si="238"/>
        <v>10.000000000000009</v>
      </c>
      <c r="J3821" t="str">
        <f t="shared" si="239"/>
        <v>OK</v>
      </c>
    </row>
    <row r="3822" spans="1:10" x14ac:dyDescent="0.2">
      <c r="A3822">
        <v>13821</v>
      </c>
      <c r="B3822" t="s">
        <v>5</v>
      </c>
      <c r="C3822" t="s">
        <v>9</v>
      </c>
      <c r="D3822" s="8">
        <v>7.51</v>
      </c>
      <c r="E3822">
        <v>5</v>
      </c>
      <c r="F3822" t="str">
        <f t="shared" si="236"/>
        <v>Standard</v>
      </c>
      <c r="G3822" s="3" cm="1">
        <f t="array" ref="G3822">_xlfn.XLOOKUP(C3822 &amp; F3822,
         [1]unilever_price_limits!A:A &amp; [1]unilever_price_limits!B:B,
         [1]unilever_price_limits!C:C)</f>
        <v>30</v>
      </c>
      <c r="H3822" s="8">
        <f t="shared" si="237"/>
        <v>9.7629999999999999</v>
      </c>
      <c r="I3822" s="6">
        <f t="shared" si="238"/>
        <v>30.000000000000004</v>
      </c>
      <c r="J3822" t="str">
        <f t="shared" si="239"/>
        <v>OK</v>
      </c>
    </row>
    <row r="3823" spans="1:10" x14ac:dyDescent="0.2">
      <c r="A3823">
        <v>13822</v>
      </c>
      <c r="B3823" t="s">
        <v>10</v>
      </c>
      <c r="C3823" t="s">
        <v>11</v>
      </c>
      <c r="D3823" s="8">
        <v>7.77</v>
      </c>
      <c r="E3823">
        <v>8</v>
      </c>
      <c r="F3823" t="str">
        <f t="shared" si="236"/>
        <v>Premium</v>
      </c>
      <c r="G3823" s="3" cm="1">
        <f t="array" ref="G3823">_xlfn.XLOOKUP(C3823 &amp; F3823,
         [1]unilever_price_limits!A:A &amp; [1]unilever_price_limits!B:B,
         [1]unilever_price_limits!C:C)</f>
        <v>50</v>
      </c>
      <c r="H3823" s="8">
        <f t="shared" si="237"/>
        <v>11.654999999999999</v>
      </c>
      <c r="I3823" s="6">
        <f t="shared" si="238"/>
        <v>50</v>
      </c>
      <c r="J3823" t="str">
        <f t="shared" si="239"/>
        <v>OK</v>
      </c>
    </row>
    <row r="3824" spans="1:10" x14ac:dyDescent="0.2">
      <c r="A3824">
        <v>13823</v>
      </c>
      <c r="B3824" t="s">
        <v>7</v>
      </c>
      <c r="C3824" t="s">
        <v>11</v>
      </c>
      <c r="D3824" s="8">
        <v>5.16</v>
      </c>
      <c r="E3824">
        <v>10</v>
      </c>
      <c r="F3824" t="str">
        <f t="shared" si="236"/>
        <v>Premium</v>
      </c>
      <c r="G3824" s="3" cm="1">
        <f t="array" ref="G3824">_xlfn.XLOOKUP(C3824 &amp; F3824,
         [1]unilever_price_limits!A:A &amp; [1]unilever_price_limits!B:B,
         [1]unilever_price_limits!C:C)</f>
        <v>50</v>
      </c>
      <c r="H3824" s="8">
        <f t="shared" si="237"/>
        <v>7.74</v>
      </c>
      <c r="I3824" s="6">
        <f t="shared" si="238"/>
        <v>50</v>
      </c>
      <c r="J3824" t="str">
        <f t="shared" si="239"/>
        <v>OK</v>
      </c>
    </row>
    <row r="3825" spans="1:10" x14ac:dyDescent="0.2">
      <c r="A3825">
        <v>13824</v>
      </c>
      <c r="B3825" t="s">
        <v>5</v>
      </c>
      <c r="C3825" t="s">
        <v>11</v>
      </c>
      <c r="D3825" s="8">
        <v>2.42</v>
      </c>
      <c r="E3825">
        <v>8</v>
      </c>
      <c r="F3825" t="str">
        <f t="shared" si="236"/>
        <v>Premium</v>
      </c>
      <c r="G3825" s="3" cm="1">
        <f t="array" ref="G3825">_xlfn.XLOOKUP(C3825 &amp; F3825,
         [1]unilever_price_limits!A:A &amp; [1]unilever_price_limits!B:B,
         [1]unilever_price_limits!C:C)</f>
        <v>50</v>
      </c>
      <c r="H3825" s="8">
        <f t="shared" si="237"/>
        <v>3.63</v>
      </c>
      <c r="I3825" s="6">
        <f t="shared" si="238"/>
        <v>50</v>
      </c>
      <c r="J3825" t="str">
        <f t="shared" si="239"/>
        <v>OK</v>
      </c>
    </row>
    <row r="3826" spans="1:10" x14ac:dyDescent="0.2">
      <c r="A3826">
        <v>13825</v>
      </c>
      <c r="B3826" t="s">
        <v>8</v>
      </c>
      <c r="C3826" t="s">
        <v>9</v>
      </c>
      <c r="D3826" s="8">
        <v>5.96</v>
      </c>
      <c r="E3826">
        <v>7</v>
      </c>
      <c r="F3826" t="str">
        <f t="shared" si="236"/>
        <v>Standard</v>
      </c>
      <c r="G3826" s="3" cm="1">
        <f t="array" ref="G3826">_xlfn.XLOOKUP(C3826 &amp; F3826,
         [1]unilever_price_limits!A:A &amp; [1]unilever_price_limits!B:B,
         [1]unilever_price_limits!C:C)</f>
        <v>30</v>
      </c>
      <c r="H3826" s="8">
        <f t="shared" si="237"/>
        <v>7.7480000000000002</v>
      </c>
      <c r="I3826" s="6">
        <f t="shared" si="238"/>
        <v>30.000000000000004</v>
      </c>
      <c r="J3826" t="str">
        <f t="shared" si="239"/>
        <v>OK</v>
      </c>
    </row>
    <row r="3827" spans="1:10" x14ac:dyDescent="0.2">
      <c r="A3827">
        <v>13826</v>
      </c>
      <c r="B3827" t="s">
        <v>10</v>
      </c>
      <c r="C3827" t="s">
        <v>6</v>
      </c>
      <c r="D3827" s="8">
        <v>10.25</v>
      </c>
      <c r="E3827">
        <v>8</v>
      </c>
      <c r="F3827" t="str">
        <f t="shared" si="236"/>
        <v>Premium</v>
      </c>
      <c r="G3827" s="3" cm="1">
        <f t="array" ref="G3827">_xlfn.XLOOKUP(C3827 &amp; F3827,
         [1]unilever_price_limits!A:A &amp; [1]unilever_price_limits!B:B,
         [1]unilever_price_limits!C:C)</f>
        <v>55</v>
      </c>
      <c r="H3827" s="8">
        <f t="shared" si="237"/>
        <v>15.887500000000001</v>
      </c>
      <c r="I3827" s="6">
        <f t="shared" si="238"/>
        <v>55.000000000000007</v>
      </c>
      <c r="J3827" t="str">
        <f t="shared" si="239"/>
        <v>OK</v>
      </c>
    </row>
    <row r="3828" spans="1:10" x14ac:dyDescent="0.2">
      <c r="A3828">
        <v>13827</v>
      </c>
      <c r="B3828" t="s">
        <v>7</v>
      </c>
      <c r="C3828" t="s">
        <v>6</v>
      </c>
      <c r="D3828" s="8">
        <v>11.84</v>
      </c>
      <c r="E3828">
        <v>5</v>
      </c>
      <c r="F3828" t="str">
        <f t="shared" si="236"/>
        <v>Standard</v>
      </c>
      <c r="G3828" s="3" cm="1">
        <f t="array" ref="G3828">_xlfn.XLOOKUP(C3828 &amp; F3828,
         [1]unilever_price_limits!A:A &amp; [1]unilever_price_limits!B:B,
         [1]unilever_price_limits!C:C)</f>
        <v>28</v>
      </c>
      <c r="H3828" s="8">
        <f t="shared" si="237"/>
        <v>15.155200000000001</v>
      </c>
      <c r="I3828" s="6">
        <f t="shared" si="238"/>
        <v>28.000000000000004</v>
      </c>
      <c r="J3828" t="str">
        <f t="shared" si="239"/>
        <v>OK</v>
      </c>
    </row>
    <row r="3829" spans="1:10" x14ac:dyDescent="0.2">
      <c r="A3829">
        <v>13828</v>
      </c>
      <c r="B3829" t="s">
        <v>5</v>
      </c>
      <c r="C3829" t="s">
        <v>6</v>
      </c>
      <c r="D3829" s="8">
        <v>8.1999999999999993</v>
      </c>
      <c r="E3829">
        <v>10</v>
      </c>
      <c r="F3829" t="str">
        <f t="shared" si="236"/>
        <v>Premium</v>
      </c>
      <c r="G3829" s="3" cm="1">
        <f t="array" ref="G3829">_xlfn.XLOOKUP(C3829 &amp; F3829,
         [1]unilever_price_limits!A:A &amp; [1]unilever_price_limits!B:B,
         [1]unilever_price_limits!C:C)</f>
        <v>55</v>
      </c>
      <c r="H3829" s="8">
        <f t="shared" si="237"/>
        <v>12.709999999999999</v>
      </c>
      <c r="I3829" s="6">
        <f t="shared" si="238"/>
        <v>55.000000000000007</v>
      </c>
      <c r="J3829" t="str">
        <f t="shared" si="239"/>
        <v>OK</v>
      </c>
    </row>
    <row r="3830" spans="1:10" x14ac:dyDescent="0.2">
      <c r="A3830">
        <v>13829</v>
      </c>
      <c r="B3830" t="s">
        <v>8</v>
      </c>
      <c r="C3830" t="s">
        <v>9</v>
      </c>
      <c r="D3830" s="8">
        <v>9.0500000000000007</v>
      </c>
      <c r="E3830">
        <v>10</v>
      </c>
      <c r="F3830" t="str">
        <f t="shared" si="236"/>
        <v>Premium</v>
      </c>
      <c r="G3830" s="3" cm="1">
        <f t="array" ref="G3830">_xlfn.XLOOKUP(C3830 &amp; F3830,
         [1]unilever_price_limits!A:A &amp; [1]unilever_price_limits!B:B,
         [1]unilever_price_limits!C:C)</f>
        <v>60</v>
      </c>
      <c r="H3830" s="8">
        <f t="shared" si="237"/>
        <v>14.480000000000002</v>
      </c>
      <c r="I3830" s="6">
        <f t="shared" si="238"/>
        <v>60.000000000000007</v>
      </c>
      <c r="J3830" t="str">
        <f t="shared" si="239"/>
        <v>OK</v>
      </c>
    </row>
    <row r="3831" spans="1:10" x14ac:dyDescent="0.2">
      <c r="A3831">
        <v>13830</v>
      </c>
      <c r="B3831" t="s">
        <v>7</v>
      </c>
      <c r="C3831" t="s">
        <v>6</v>
      </c>
      <c r="D3831" s="8">
        <v>3.41</v>
      </c>
      <c r="E3831">
        <v>6</v>
      </c>
      <c r="F3831" t="str">
        <f t="shared" si="236"/>
        <v>Standard</v>
      </c>
      <c r="G3831" s="3" cm="1">
        <f t="array" ref="G3831">_xlfn.XLOOKUP(C3831 &amp; F3831,
         [1]unilever_price_limits!A:A &amp; [1]unilever_price_limits!B:B,
         [1]unilever_price_limits!C:C)</f>
        <v>28</v>
      </c>
      <c r="H3831" s="8">
        <f t="shared" si="237"/>
        <v>4.3648000000000007</v>
      </c>
      <c r="I3831" s="6">
        <f t="shared" si="238"/>
        <v>28.000000000000025</v>
      </c>
      <c r="J3831" t="str">
        <f t="shared" si="239"/>
        <v>OK</v>
      </c>
    </row>
    <row r="3832" spans="1:10" x14ac:dyDescent="0.2">
      <c r="A3832">
        <v>13831</v>
      </c>
      <c r="B3832" t="s">
        <v>7</v>
      </c>
      <c r="C3832" t="s">
        <v>9</v>
      </c>
      <c r="D3832" s="8">
        <v>4.67</v>
      </c>
      <c r="E3832">
        <v>8</v>
      </c>
      <c r="F3832" t="str">
        <f t="shared" si="236"/>
        <v>Premium</v>
      </c>
      <c r="G3832" s="3" cm="1">
        <f t="array" ref="G3832">_xlfn.XLOOKUP(C3832 &amp; F3832,
         [1]unilever_price_limits!A:A &amp; [1]unilever_price_limits!B:B,
         [1]unilever_price_limits!C:C)</f>
        <v>60</v>
      </c>
      <c r="H3832" s="8">
        <f t="shared" si="237"/>
        <v>7.4720000000000004</v>
      </c>
      <c r="I3832" s="6">
        <f t="shared" si="238"/>
        <v>60.000000000000007</v>
      </c>
      <c r="J3832" t="str">
        <f t="shared" si="239"/>
        <v>OK</v>
      </c>
    </row>
    <row r="3833" spans="1:10" x14ac:dyDescent="0.2">
      <c r="A3833">
        <v>13832</v>
      </c>
      <c r="B3833" t="s">
        <v>10</v>
      </c>
      <c r="C3833" t="s">
        <v>11</v>
      </c>
      <c r="D3833" s="8">
        <v>2.85</v>
      </c>
      <c r="E3833">
        <v>1</v>
      </c>
      <c r="F3833" t="str">
        <f t="shared" si="236"/>
        <v>Value</v>
      </c>
      <c r="G3833" s="3" cm="1">
        <f t="array" ref="G3833">_xlfn.XLOOKUP(C3833 &amp; F3833,
         [1]unilever_price_limits!A:A &amp; [1]unilever_price_limits!B:B,
         [1]unilever_price_limits!C:C)</f>
        <v>10</v>
      </c>
      <c r="H3833" s="8">
        <f t="shared" si="237"/>
        <v>3.1350000000000002</v>
      </c>
      <c r="I3833" s="6">
        <f t="shared" si="238"/>
        <v>10.000000000000009</v>
      </c>
      <c r="J3833" t="str">
        <f t="shared" si="239"/>
        <v>OK</v>
      </c>
    </row>
    <row r="3834" spans="1:10" x14ac:dyDescent="0.2">
      <c r="A3834">
        <v>13833</v>
      </c>
      <c r="B3834" t="s">
        <v>7</v>
      </c>
      <c r="C3834" t="s">
        <v>11</v>
      </c>
      <c r="D3834" s="8">
        <v>4.1100000000000003</v>
      </c>
      <c r="E3834">
        <v>6</v>
      </c>
      <c r="F3834" t="str">
        <f t="shared" si="236"/>
        <v>Standard</v>
      </c>
      <c r="G3834" s="3" cm="1">
        <f t="array" ref="G3834">_xlfn.XLOOKUP(C3834 &amp; F3834,
         [1]unilever_price_limits!A:A &amp; [1]unilever_price_limits!B:B,
         [1]unilever_price_limits!C:C)</f>
        <v>25</v>
      </c>
      <c r="H3834" s="8">
        <f t="shared" si="237"/>
        <v>5.1375000000000002</v>
      </c>
      <c r="I3834" s="6">
        <f t="shared" si="238"/>
        <v>25</v>
      </c>
      <c r="J3834" t="str">
        <f t="shared" si="239"/>
        <v>OK</v>
      </c>
    </row>
    <row r="3835" spans="1:10" x14ac:dyDescent="0.2">
      <c r="A3835">
        <v>13834</v>
      </c>
      <c r="B3835" t="s">
        <v>10</v>
      </c>
      <c r="C3835" t="s">
        <v>6</v>
      </c>
      <c r="D3835" s="8">
        <v>3.76</v>
      </c>
      <c r="E3835">
        <v>6</v>
      </c>
      <c r="F3835" t="str">
        <f t="shared" si="236"/>
        <v>Standard</v>
      </c>
      <c r="G3835" s="3" cm="1">
        <f t="array" ref="G3835">_xlfn.XLOOKUP(C3835 &amp; F3835,
         [1]unilever_price_limits!A:A &amp; [1]unilever_price_limits!B:B,
         [1]unilever_price_limits!C:C)</f>
        <v>28</v>
      </c>
      <c r="H3835" s="8">
        <f t="shared" si="237"/>
        <v>4.8128000000000002</v>
      </c>
      <c r="I3835" s="6">
        <f t="shared" si="238"/>
        <v>28.000000000000004</v>
      </c>
      <c r="J3835" t="str">
        <f t="shared" si="239"/>
        <v>OK</v>
      </c>
    </row>
    <row r="3836" spans="1:10" x14ac:dyDescent="0.2">
      <c r="A3836">
        <v>13835</v>
      </c>
      <c r="B3836" t="s">
        <v>5</v>
      </c>
      <c r="C3836" t="s">
        <v>9</v>
      </c>
      <c r="D3836" s="8">
        <v>8.0299999999999994</v>
      </c>
      <c r="E3836">
        <v>5</v>
      </c>
      <c r="F3836" t="str">
        <f t="shared" si="236"/>
        <v>Standard</v>
      </c>
      <c r="G3836" s="3" cm="1">
        <f t="array" ref="G3836">_xlfn.XLOOKUP(C3836 &amp; F3836,
         [1]unilever_price_limits!A:A &amp; [1]unilever_price_limits!B:B,
         [1]unilever_price_limits!C:C)</f>
        <v>30</v>
      </c>
      <c r="H3836" s="8">
        <f t="shared" si="237"/>
        <v>10.439</v>
      </c>
      <c r="I3836" s="6">
        <f t="shared" si="238"/>
        <v>30.000000000000004</v>
      </c>
      <c r="J3836" t="str">
        <f t="shared" si="239"/>
        <v>OK</v>
      </c>
    </row>
    <row r="3837" spans="1:10" x14ac:dyDescent="0.2">
      <c r="A3837">
        <v>13836</v>
      </c>
      <c r="B3837" t="s">
        <v>10</v>
      </c>
      <c r="C3837" t="s">
        <v>11</v>
      </c>
      <c r="D3837" s="8">
        <v>8.66</v>
      </c>
      <c r="E3837">
        <v>4</v>
      </c>
      <c r="F3837" t="str">
        <f t="shared" si="236"/>
        <v>Standard</v>
      </c>
      <c r="G3837" s="3" cm="1">
        <f t="array" ref="G3837">_xlfn.XLOOKUP(C3837 &amp; F3837,
         [1]unilever_price_limits!A:A &amp; [1]unilever_price_limits!B:B,
         [1]unilever_price_limits!C:C)</f>
        <v>25</v>
      </c>
      <c r="H3837" s="8">
        <f t="shared" si="237"/>
        <v>10.824999999999999</v>
      </c>
      <c r="I3837" s="6">
        <f t="shared" si="238"/>
        <v>25</v>
      </c>
      <c r="J3837" t="str">
        <f t="shared" si="239"/>
        <v>OK</v>
      </c>
    </row>
    <row r="3838" spans="1:10" x14ac:dyDescent="0.2">
      <c r="A3838">
        <v>13837</v>
      </c>
      <c r="B3838" t="s">
        <v>8</v>
      </c>
      <c r="C3838" t="s">
        <v>9</v>
      </c>
      <c r="D3838" s="8">
        <v>14.2</v>
      </c>
      <c r="E3838">
        <v>1</v>
      </c>
      <c r="F3838" t="str">
        <f t="shared" si="236"/>
        <v>Value</v>
      </c>
      <c r="G3838" s="3" cm="1">
        <f t="array" ref="G3838">_xlfn.XLOOKUP(C3838 &amp; F3838,
         [1]unilever_price_limits!A:A &amp; [1]unilever_price_limits!B:B,
         [1]unilever_price_limits!C:C)</f>
        <v>15</v>
      </c>
      <c r="H3838" s="8">
        <f t="shared" si="237"/>
        <v>16.329999999999998</v>
      </c>
      <c r="I3838" s="6">
        <f t="shared" si="238"/>
        <v>14.999999999999991</v>
      </c>
      <c r="J3838" t="str">
        <f t="shared" si="239"/>
        <v>OK</v>
      </c>
    </row>
    <row r="3839" spans="1:10" x14ac:dyDescent="0.2">
      <c r="A3839">
        <v>13838</v>
      </c>
      <c r="B3839" t="s">
        <v>10</v>
      </c>
      <c r="C3839" t="s">
        <v>9</v>
      </c>
      <c r="D3839" s="8">
        <v>3.34</v>
      </c>
      <c r="E3839">
        <v>10</v>
      </c>
      <c r="F3839" t="str">
        <f t="shared" si="236"/>
        <v>Premium</v>
      </c>
      <c r="G3839" s="3" cm="1">
        <f t="array" ref="G3839">_xlfn.XLOOKUP(C3839 &amp; F3839,
         [1]unilever_price_limits!A:A &amp; [1]unilever_price_limits!B:B,
         [1]unilever_price_limits!C:C)</f>
        <v>60</v>
      </c>
      <c r="H3839" s="8">
        <f t="shared" si="237"/>
        <v>5.3440000000000003</v>
      </c>
      <c r="I3839" s="6">
        <f t="shared" si="238"/>
        <v>60.000000000000007</v>
      </c>
      <c r="J3839" t="str">
        <f t="shared" si="239"/>
        <v>OK</v>
      </c>
    </row>
    <row r="3840" spans="1:10" x14ac:dyDescent="0.2">
      <c r="A3840">
        <v>13839</v>
      </c>
      <c r="B3840" t="s">
        <v>8</v>
      </c>
      <c r="C3840" t="s">
        <v>11</v>
      </c>
      <c r="D3840" s="8">
        <v>9.8000000000000007</v>
      </c>
      <c r="E3840">
        <v>8</v>
      </c>
      <c r="F3840" t="str">
        <f t="shared" si="236"/>
        <v>Premium</v>
      </c>
      <c r="G3840" s="3" cm="1">
        <f t="array" ref="G3840">_xlfn.XLOOKUP(C3840 &amp; F3840,
         [1]unilever_price_limits!A:A &amp; [1]unilever_price_limits!B:B,
         [1]unilever_price_limits!C:C)</f>
        <v>50</v>
      </c>
      <c r="H3840" s="8">
        <f t="shared" si="237"/>
        <v>14.700000000000001</v>
      </c>
      <c r="I3840" s="6">
        <f t="shared" si="238"/>
        <v>50</v>
      </c>
      <c r="J3840" t="str">
        <f t="shared" si="239"/>
        <v>OK</v>
      </c>
    </row>
    <row r="3841" spans="1:10" x14ac:dyDescent="0.2">
      <c r="A3841">
        <v>13840</v>
      </c>
      <c r="B3841" t="s">
        <v>10</v>
      </c>
      <c r="C3841" t="s">
        <v>9</v>
      </c>
      <c r="D3841" s="8">
        <v>12.35</v>
      </c>
      <c r="E3841">
        <v>6</v>
      </c>
      <c r="F3841" t="str">
        <f t="shared" si="236"/>
        <v>Standard</v>
      </c>
      <c r="G3841" s="3" cm="1">
        <f t="array" ref="G3841">_xlfn.XLOOKUP(C3841 &amp; F3841,
         [1]unilever_price_limits!A:A &amp; [1]unilever_price_limits!B:B,
         [1]unilever_price_limits!C:C)</f>
        <v>30</v>
      </c>
      <c r="H3841" s="8">
        <f t="shared" si="237"/>
        <v>16.055</v>
      </c>
      <c r="I3841" s="6">
        <f t="shared" si="238"/>
        <v>30.000000000000004</v>
      </c>
      <c r="J3841" t="str">
        <f t="shared" si="239"/>
        <v>OK</v>
      </c>
    </row>
    <row r="3842" spans="1:10" x14ac:dyDescent="0.2">
      <c r="A3842">
        <v>13841</v>
      </c>
      <c r="B3842" t="s">
        <v>7</v>
      </c>
      <c r="C3842" t="s">
        <v>11</v>
      </c>
      <c r="D3842" s="8">
        <v>8.6199999999999992</v>
      </c>
      <c r="E3842">
        <v>3</v>
      </c>
      <c r="F3842" t="str">
        <f t="shared" si="236"/>
        <v>Value</v>
      </c>
      <c r="G3842" s="3" cm="1">
        <f t="array" ref="G3842">_xlfn.XLOOKUP(C3842 &amp; F3842,
         [1]unilever_price_limits!A:A &amp; [1]unilever_price_limits!B:B,
         [1]unilever_price_limits!C:C)</f>
        <v>10</v>
      </c>
      <c r="H3842" s="8">
        <f t="shared" si="237"/>
        <v>9.4819999999999993</v>
      </c>
      <c r="I3842" s="6">
        <f t="shared" si="238"/>
        <v>10.000000000000009</v>
      </c>
      <c r="J3842" t="str">
        <f t="shared" si="239"/>
        <v>OK</v>
      </c>
    </row>
    <row r="3843" spans="1:10" x14ac:dyDescent="0.2">
      <c r="A3843">
        <v>13842</v>
      </c>
      <c r="B3843" t="s">
        <v>5</v>
      </c>
      <c r="C3843" t="s">
        <v>11</v>
      </c>
      <c r="D3843" s="8">
        <v>4.2</v>
      </c>
      <c r="E3843">
        <v>3</v>
      </c>
      <c r="F3843" t="str">
        <f t="shared" ref="F3843:F3906" si="240">IF(E3843&lt;=3,"Value",
 IF(E3843&lt;=7,"Standard","Premium"))</f>
        <v>Value</v>
      </c>
      <c r="G3843" s="3" cm="1">
        <f t="array" ref="G3843">_xlfn.XLOOKUP(C3843 &amp; F3843,
         [1]unilever_price_limits!A:A &amp; [1]unilever_price_limits!B:B,
         [1]unilever_price_limits!C:C)</f>
        <v>10</v>
      </c>
      <c r="H3843" s="8">
        <f t="shared" ref="H3843:H3906" si="241">D3843 * (1 + G3843/100)</f>
        <v>4.620000000000001</v>
      </c>
      <c r="I3843" s="6">
        <f t="shared" ref="I3843:I3906" si="242">(H3843 / D3843 - 1) * 100</f>
        <v>10.000000000000009</v>
      </c>
      <c r="J3843" t="str">
        <f t="shared" ref="J3843:J3906" si="243">IF(I3842&gt; G3842, "⚠ Exceeds Limit", "OK")</f>
        <v>OK</v>
      </c>
    </row>
    <row r="3844" spans="1:10" x14ac:dyDescent="0.2">
      <c r="A3844">
        <v>13843</v>
      </c>
      <c r="B3844" t="s">
        <v>8</v>
      </c>
      <c r="C3844" t="s">
        <v>11</v>
      </c>
      <c r="D3844" s="8">
        <v>4.3099999999999996</v>
      </c>
      <c r="E3844">
        <v>6</v>
      </c>
      <c r="F3844" t="str">
        <f t="shared" si="240"/>
        <v>Standard</v>
      </c>
      <c r="G3844" s="3" cm="1">
        <f t="array" ref="G3844">_xlfn.XLOOKUP(C3844 &amp; F3844,
         [1]unilever_price_limits!A:A &amp; [1]unilever_price_limits!B:B,
         [1]unilever_price_limits!C:C)</f>
        <v>25</v>
      </c>
      <c r="H3844" s="8">
        <f t="shared" si="241"/>
        <v>5.3874999999999993</v>
      </c>
      <c r="I3844" s="6">
        <f t="shared" si="242"/>
        <v>25</v>
      </c>
      <c r="J3844" t="str">
        <f t="shared" si="243"/>
        <v>OK</v>
      </c>
    </row>
    <row r="3845" spans="1:10" x14ac:dyDescent="0.2">
      <c r="A3845">
        <v>13844</v>
      </c>
      <c r="B3845" t="s">
        <v>10</v>
      </c>
      <c r="C3845" t="s">
        <v>9</v>
      </c>
      <c r="D3845" s="8">
        <v>1.07</v>
      </c>
      <c r="E3845">
        <v>7</v>
      </c>
      <c r="F3845" t="str">
        <f t="shared" si="240"/>
        <v>Standard</v>
      </c>
      <c r="G3845" s="3" cm="1">
        <f t="array" ref="G3845">_xlfn.XLOOKUP(C3845 &amp; F3845,
         [1]unilever_price_limits!A:A &amp; [1]unilever_price_limits!B:B,
         [1]unilever_price_limits!C:C)</f>
        <v>30</v>
      </c>
      <c r="H3845" s="8">
        <f t="shared" si="241"/>
        <v>1.3910000000000002</v>
      </c>
      <c r="I3845" s="6">
        <f t="shared" si="242"/>
        <v>30.000000000000004</v>
      </c>
      <c r="J3845" t="str">
        <f t="shared" si="243"/>
        <v>OK</v>
      </c>
    </row>
    <row r="3846" spans="1:10" x14ac:dyDescent="0.2">
      <c r="A3846">
        <v>13845</v>
      </c>
      <c r="B3846" t="s">
        <v>10</v>
      </c>
      <c r="C3846" t="s">
        <v>11</v>
      </c>
      <c r="D3846" s="8">
        <v>4.93</v>
      </c>
      <c r="E3846">
        <v>8</v>
      </c>
      <c r="F3846" t="str">
        <f t="shared" si="240"/>
        <v>Premium</v>
      </c>
      <c r="G3846" s="3" cm="1">
        <f t="array" ref="G3846">_xlfn.XLOOKUP(C3846 &amp; F3846,
         [1]unilever_price_limits!A:A &amp; [1]unilever_price_limits!B:B,
         [1]unilever_price_limits!C:C)</f>
        <v>50</v>
      </c>
      <c r="H3846" s="8">
        <f t="shared" si="241"/>
        <v>7.3949999999999996</v>
      </c>
      <c r="I3846" s="6">
        <f t="shared" si="242"/>
        <v>50</v>
      </c>
      <c r="J3846" t="str">
        <f t="shared" si="243"/>
        <v>OK</v>
      </c>
    </row>
    <row r="3847" spans="1:10" x14ac:dyDescent="0.2">
      <c r="A3847">
        <v>13846</v>
      </c>
      <c r="B3847" t="s">
        <v>10</v>
      </c>
      <c r="C3847" t="s">
        <v>9</v>
      </c>
      <c r="D3847" s="8">
        <v>11.3</v>
      </c>
      <c r="E3847">
        <v>5</v>
      </c>
      <c r="F3847" t="str">
        <f t="shared" si="240"/>
        <v>Standard</v>
      </c>
      <c r="G3847" s="3" cm="1">
        <f t="array" ref="G3847">_xlfn.XLOOKUP(C3847 &amp; F3847,
         [1]unilever_price_limits!A:A &amp; [1]unilever_price_limits!B:B,
         [1]unilever_price_limits!C:C)</f>
        <v>30</v>
      </c>
      <c r="H3847" s="8">
        <f t="shared" si="241"/>
        <v>14.690000000000001</v>
      </c>
      <c r="I3847" s="6">
        <f t="shared" si="242"/>
        <v>30.000000000000004</v>
      </c>
      <c r="J3847" t="str">
        <f t="shared" si="243"/>
        <v>OK</v>
      </c>
    </row>
    <row r="3848" spans="1:10" x14ac:dyDescent="0.2">
      <c r="A3848">
        <v>13847</v>
      </c>
      <c r="B3848" t="s">
        <v>7</v>
      </c>
      <c r="C3848" t="s">
        <v>11</v>
      </c>
      <c r="D3848" s="8">
        <v>1.19</v>
      </c>
      <c r="E3848">
        <v>10</v>
      </c>
      <c r="F3848" t="str">
        <f t="shared" si="240"/>
        <v>Premium</v>
      </c>
      <c r="G3848" s="3" cm="1">
        <f t="array" ref="G3848">_xlfn.XLOOKUP(C3848 &amp; F3848,
         [1]unilever_price_limits!A:A &amp; [1]unilever_price_limits!B:B,
         [1]unilever_price_limits!C:C)</f>
        <v>50</v>
      </c>
      <c r="H3848" s="8">
        <f t="shared" si="241"/>
        <v>1.7849999999999999</v>
      </c>
      <c r="I3848" s="6">
        <f t="shared" si="242"/>
        <v>50</v>
      </c>
      <c r="J3848" t="str">
        <f t="shared" si="243"/>
        <v>OK</v>
      </c>
    </row>
    <row r="3849" spans="1:10" x14ac:dyDescent="0.2">
      <c r="A3849">
        <v>13848</v>
      </c>
      <c r="B3849" t="s">
        <v>7</v>
      </c>
      <c r="C3849" t="s">
        <v>11</v>
      </c>
      <c r="D3849" s="8">
        <v>3.68</v>
      </c>
      <c r="E3849">
        <v>6</v>
      </c>
      <c r="F3849" t="str">
        <f t="shared" si="240"/>
        <v>Standard</v>
      </c>
      <c r="G3849" s="3" cm="1">
        <f t="array" ref="G3849">_xlfn.XLOOKUP(C3849 &amp; F3849,
         [1]unilever_price_limits!A:A &amp; [1]unilever_price_limits!B:B,
         [1]unilever_price_limits!C:C)</f>
        <v>25</v>
      </c>
      <c r="H3849" s="8">
        <f t="shared" si="241"/>
        <v>4.6000000000000005</v>
      </c>
      <c r="I3849" s="6">
        <f t="shared" si="242"/>
        <v>25</v>
      </c>
      <c r="J3849" t="str">
        <f t="shared" si="243"/>
        <v>OK</v>
      </c>
    </row>
    <row r="3850" spans="1:10" x14ac:dyDescent="0.2">
      <c r="A3850">
        <v>13849</v>
      </c>
      <c r="B3850" t="s">
        <v>8</v>
      </c>
      <c r="C3850" t="s">
        <v>6</v>
      </c>
      <c r="D3850" s="8">
        <v>10.74</v>
      </c>
      <c r="E3850">
        <v>1</v>
      </c>
      <c r="F3850" t="str">
        <f t="shared" si="240"/>
        <v>Value</v>
      </c>
      <c r="G3850" s="3" cm="1">
        <f t="array" ref="G3850">_xlfn.XLOOKUP(C3850 &amp; F3850,
         [1]unilever_price_limits!A:A &amp; [1]unilever_price_limits!B:B,
         [1]unilever_price_limits!C:C)</f>
        <v>12</v>
      </c>
      <c r="H3850" s="8">
        <f t="shared" si="241"/>
        <v>12.028800000000002</v>
      </c>
      <c r="I3850" s="6">
        <f t="shared" si="242"/>
        <v>12.000000000000011</v>
      </c>
      <c r="J3850" t="str">
        <f t="shared" si="243"/>
        <v>OK</v>
      </c>
    </row>
    <row r="3851" spans="1:10" x14ac:dyDescent="0.2">
      <c r="A3851">
        <v>13850</v>
      </c>
      <c r="B3851" t="s">
        <v>8</v>
      </c>
      <c r="C3851" t="s">
        <v>6</v>
      </c>
      <c r="D3851" s="8">
        <v>11.85</v>
      </c>
      <c r="E3851">
        <v>6</v>
      </c>
      <c r="F3851" t="str">
        <f t="shared" si="240"/>
        <v>Standard</v>
      </c>
      <c r="G3851" s="3" cm="1">
        <f t="array" ref="G3851">_xlfn.XLOOKUP(C3851 &amp; F3851,
         [1]unilever_price_limits!A:A &amp; [1]unilever_price_limits!B:B,
         [1]unilever_price_limits!C:C)</f>
        <v>28</v>
      </c>
      <c r="H3851" s="8">
        <f t="shared" si="241"/>
        <v>15.167999999999999</v>
      </c>
      <c r="I3851" s="6">
        <f t="shared" si="242"/>
        <v>28.000000000000004</v>
      </c>
      <c r="J3851" t="str">
        <f t="shared" si="243"/>
        <v>OK</v>
      </c>
    </row>
    <row r="3852" spans="1:10" x14ac:dyDescent="0.2">
      <c r="A3852">
        <v>13851</v>
      </c>
      <c r="B3852" t="s">
        <v>7</v>
      </c>
      <c r="C3852" t="s">
        <v>6</v>
      </c>
      <c r="D3852" s="8">
        <v>7.1</v>
      </c>
      <c r="E3852">
        <v>9</v>
      </c>
      <c r="F3852" t="str">
        <f t="shared" si="240"/>
        <v>Premium</v>
      </c>
      <c r="G3852" s="3" cm="1">
        <f t="array" ref="G3852">_xlfn.XLOOKUP(C3852 &amp; F3852,
         [1]unilever_price_limits!A:A &amp; [1]unilever_price_limits!B:B,
         [1]unilever_price_limits!C:C)</f>
        <v>55</v>
      </c>
      <c r="H3852" s="8">
        <f t="shared" si="241"/>
        <v>11.004999999999999</v>
      </c>
      <c r="I3852" s="6">
        <f t="shared" si="242"/>
        <v>55.000000000000007</v>
      </c>
      <c r="J3852" t="str">
        <f t="shared" si="243"/>
        <v>OK</v>
      </c>
    </row>
    <row r="3853" spans="1:10" x14ac:dyDescent="0.2">
      <c r="A3853">
        <v>13852</v>
      </c>
      <c r="B3853" t="s">
        <v>8</v>
      </c>
      <c r="C3853" t="s">
        <v>9</v>
      </c>
      <c r="D3853" s="8">
        <v>10.62</v>
      </c>
      <c r="E3853">
        <v>10</v>
      </c>
      <c r="F3853" t="str">
        <f t="shared" si="240"/>
        <v>Premium</v>
      </c>
      <c r="G3853" s="3" cm="1">
        <f t="array" ref="G3853">_xlfn.XLOOKUP(C3853 &amp; F3853,
         [1]unilever_price_limits!A:A &amp; [1]unilever_price_limits!B:B,
         [1]unilever_price_limits!C:C)</f>
        <v>60</v>
      </c>
      <c r="H3853" s="8">
        <f t="shared" si="241"/>
        <v>16.992000000000001</v>
      </c>
      <c r="I3853" s="6">
        <f t="shared" si="242"/>
        <v>60.000000000000028</v>
      </c>
      <c r="J3853" t="str">
        <f t="shared" si="243"/>
        <v>OK</v>
      </c>
    </row>
    <row r="3854" spans="1:10" x14ac:dyDescent="0.2">
      <c r="A3854">
        <v>13853</v>
      </c>
      <c r="B3854" t="s">
        <v>5</v>
      </c>
      <c r="C3854" t="s">
        <v>9</v>
      </c>
      <c r="D3854" s="8">
        <v>6.13</v>
      </c>
      <c r="E3854">
        <v>4</v>
      </c>
      <c r="F3854" t="str">
        <f t="shared" si="240"/>
        <v>Standard</v>
      </c>
      <c r="G3854" s="3" cm="1">
        <f t="array" ref="G3854">_xlfn.XLOOKUP(C3854 &amp; F3854,
         [1]unilever_price_limits!A:A &amp; [1]unilever_price_limits!B:B,
         [1]unilever_price_limits!C:C)</f>
        <v>30</v>
      </c>
      <c r="H3854" s="8">
        <f t="shared" si="241"/>
        <v>7.9690000000000003</v>
      </c>
      <c r="I3854" s="6">
        <f t="shared" si="242"/>
        <v>30.000000000000004</v>
      </c>
      <c r="J3854" t="str">
        <f t="shared" si="243"/>
        <v>OK</v>
      </c>
    </row>
    <row r="3855" spans="1:10" x14ac:dyDescent="0.2">
      <c r="A3855">
        <v>13854</v>
      </c>
      <c r="B3855" t="s">
        <v>5</v>
      </c>
      <c r="C3855" t="s">
        <v>11</v>
      </c>
      <c r="D3855" s="8">
        <v>2.82</v>
      </c>
      <c r="E3855">
        <v>10</v>
      </c>
      <c r="F3855" t="str">
        <f t="shared" si="240"/>
        <v>Premium</v>
      </c>
      <c r="G3855" s="3" cm="1">
        <f t="array" ref="G3855">_xlfn.XLOOKUP(C3855 &amp; F3855,
         [1]unilever_price_limits!A:A &amp; [1]unilever_price_limits!B:B,
         [1]unilever_price_limits!C:C)</f>
        <v>50</v>
      </c>
      <c r="H3855" s="8">
        <f t="shared" si="241"/>
        <v>4.2299999999999995</v>
      </c>
      <c r="I3855" s="6">
        <f t="shared" si="242"/>
        <v>50</v>
      </c>
      <c r="J3855" t="str">
        <f t="shared" si="243"/>
        <v>OK</v>
      </c>
    </row>
    <row r="3856" spans="1:10" x14ac:dyDescent="0.2">
      <c r="A3856">
        <v>13855</v>
      </c>
      <c r="B3856" t="s">
        <v>7</v>
      </c>
      <c r="C3856" t="s">
        <v>11</v>
      </c>
      <c r="D3856" s="8">
        <v>6.27</v>
      </c>
      <c r="E3856">
        <v>1</v>
      </c>
      <c r="F3856" t="str">
        <f t="shared" si="240"/>
        <v>Value</v>
      </c>
      <c r="G3856" s="3" cm="1">
        <f t="array" ref="G3856">_xlfn.XLOOKUP(C3856 &amp; F3856,
         [1]unilever_price_limits!A:A &amp; [1]unilever_price_limits!B:B,
         [1]unilever_price_limits!C:C)</f>
        <v>10</v>
      </c>
      <c r="H3856" s="8">
        <f t="shared" si="241"/>
        <v>6.8970000000000002</v>
      </c>
      <c r="I3856" s="6">
        <f t="shared" si="242"/>
        <v>10.000000000000009</v>
      </c>
      <c r="J3856" t="str">
        <f t="shared" si="243"/>
        <v>OK</v>
      </c>
    </row>
    <row r="3857" spans="1:10" x14ac:dyDescent="0.2">
      <c r="A3857">
        <v>13856</v>
      </c>
      <c r="B3857" t="s">
        <v>8</v>
      </c>
      <c r="C3857" t="s">
        <v>11</v>
      </c>
      <c r="D3857" s="8">
        <v>8.91</v>
      </c>
      <c r="E3857">
        <v>9</v>
      </c>
      <c r="F3857" t="str">
        <f t="shared" si="240"/>
        <v>Premium</v>
      </c>
      <c r="G3857" s="3" cm="1">
        <f t="array" ref="G3857">_xlfn.XLOOKUP(C3857 &amp; F3857,
         [1]unilever_price_limits!A:A &amp; [1]unilever_price_limits!B:B,
         [1]unilever_price_limits!C:C)</f>
        <v>50</v>
      </c>
      <c r="H3857" s="8">
        <f t="shared" si="241"/>
        <v>13.365</v>
      </c>
      <c r="I3857" s="6">
        <f t="shared" si="242"/>
        <v>50</v>
      </c>
      <c r="J3857" t="str">
        <f t="shared" si="243"/>
        <v>OK</v>
      </c>
    </row>
    <row r="3858" spans="1:10" x14ac:dyDescent="0.2">
      <c r="A3858">
        <v>13857</v>
      </c>
      <c r="B3858" t="s">
        <v>10</v>
      </c>
      <c r="C3858" t="s">
        <v>11</v>
      </c>
      <c r="D3858" s="8">
        <v>14.25</v>
      </c>
      <c r="E3858">
        <v>4</v>
      </c>
      <c r="F3858" t="str">
        <f t="shared" si="240"/>
        <v>Standard</v>
      </c>
      <c r="G3858" s="3" cm="1">
        <f t="array" ref="G3858">_xlfn.XLOOKUP(C3858 &amp; F3858,
         [1]unilever_price_limits!A:A &amp; [1]unilever_price_limits!B:B,
         [1]unilever_price_limits!C:C)</f>
        <v>25</v>
      </c>
      <c r="H3858" s="8">
        <f t="shared" si="241"/>
        <v>17.8125</v>
      </c>
      <c r="I3858" s="6">
        <f t="shared" si="242"/>
        <v>25</v>
      </c>
      <c r="J3858" t="str">
        <f t="shared" si="243"/>
        <v>OK</v>
      </c>
    </row>
    <row r="3859" spans="1:10" x14ac:dyDescent="0.2">
      <c r="A3859">
        <v>13858</v>
      </c>
      <c r="B3859" t="s">
        <v>5</v>
      </c>
      <c r="C3859" t="s">
        <v>9</v>
      </c>
      <c r="D3859" s="8">
        <v>1.5</v>
      </c>
      <c r="E3859">
        <v>2</v>
      </c>
      <c r="F3859" t="str">
        <f t="shared" si="240"/>
        <v>Value</v>
      </c>
      <c r="G3859" s="3" cm="1">
        <f t="array" ref="G3859">_xlfn.XLOOKUP(C3859 &amp; F3859,
         [1]unilever_price_limits!A:A &amp; [1]unilever_price_limits!B:B,
         [1]unilever_price_limits!C:C)</f>
        <v>15</v>
      </c>
      <c r="H3859" s="8">
        <f t="shared" si="241"/>
        <v>1.7249999999999999</v>
      </c>
      <c r="I3859" s="6">
        <f t="shared" si="242"/>
        <v>14.999999999999991</v>
      </c>
      <c r="J3859" t="str">
        <f t="shared" si="243"/>
        <v>OK</v>
      </c>
    </row>
    <row r="3860" spans="1:10" x14ac:dyDescent="0.2">
      <c r="A3860">
        <v>13859</v>
      </c>
      <c r="B3860" t="s">
        <v>7</v>
      </c>
      <c r="C3860" t="s">
        <v>11</v>
      </c>
      <c r="D3860" s="8">
        <v>7.86</v>
      </c>
      <c r="E3860">
        <v>1</v>
      </c>
      <c r="F3860" t="str">
        <f t="shared" si="240"/>
        <v>Value</v>
      </c>
      <c r="G3860" s="3" cm="1">
        <f t="array" ref="G3860">_xlfn.XLOOKUP(C3860 &amp; F3860,
         [1]unilever_price_limits!A:A &amp; [1]unilever_price_limits!B:B,
         [1]unilever_price_limits!C:C)</f>
        <v>10</v>
      </c>
      <c r="H3860" s="8">
        <f t="shared" si="241"/>
        <v>8.6460000000000008</v>
      </c>
      <c r="I3860" s="6">
        <f t="shared" si="242"/>
        <v>10.000000000000009</v>
      </c>
      <c r="J3860" t="str">
        <f t="shared" si="243"/>
        <v>OK</v>
      </c>
    </row>
    <row r="3861" spans="1:10" x14ac:dyDescent="0.2">
      <c r="A3861">
        <v>13860</v>
      </c>
      <c r="B3861" t="s">
        <v>8</v>
      </c>
      <c r="C3861" t="s">
        <v>11</v>
      </c>
      <c r="D3861" s="8">
        <v>5.27</v>
      </c>
      <c r="E3861">
        <v>3</v>
      </c>
      <c r="F3861" t="str">
        <f t="shared" si="240"/>
        <v>Value</v>
      </c>
      <c r="G3861" s="3" cm="1">
        <f t="array" ref="G3861">_xlfn.XLOOKUP(C3861 &amp; F3861,
         [1]unilever_price_limits!A:A &amp; [1]unilever_price_limits!B:B,
         [1]unilever_price_limits!C:C)</f>
        <v>10</v>
      </c>
      <c r="H3861" s="8">
        <f t="shared" si="241"/>
        <v>5.7969999999999997</v>
      </c>
      <c r="I3861" s="6">
        <f t="shared" si="242"/>
        <v>10.000000000000009</v>
      </c>
      <c r="J3861" t="str">
        <f t="shared" si="243"/>
        <v>OK</v>
      </c>
    </row>
    <row r="3862" spans="1:10" x14ac:dyDescent="0.2">
      <c r="A3862">
        <v>13861</v>
      </c>
      <c r="B3862" t="s">
        <v>7</v>
      </c>
      <c r="C3862" t="s">
        <v>6</v>
      </c>
      <c r="D3862" s="8">
        <v>7.87</v>
      </c>
      <c r="E3862">
        <v>7</v>
      </c>
      <c r="F3862" t="str">
        <f t="shared" si="240"/>
        <v>Standard</v>
      </c>
      <c r="G3862" s="3" cm="1">
        <f t="array" ref="G3862">_xlfn.XLOOKUP(C3862 &amp; F3862,
         [1]unilever_price_limits!A:A &amp; [1]unilever_price_limits!B:B,
         [1]unilever_price_limits!C:C)</f>
        <v>28</v>
      </c>
      <c r="H3862" s="8">
        <f t="shared" si="241"/>
        <v>10.073600000000001</v>
      </c>
      <c r="I3862" s="6">
        <f t="shared" si="242"/>
        <v>28.000000000000004</v>
      </c>
      <c r="J3862" t="str">
        <f t="shared" si="243"/>
        <v>OK</v>
      </c>
    </row>
    <row r="3863" spans="1:10" x14ac:dyDescent="0.2">
      <c r="A3863">
        <v>13862</v>
      </c>
      <c r="B3863" t="s">
        <v>10</v>
      </c>
      <c r="C3863" t="s">
        <v>11</v>
      </c>
      <c r="D3863" s="8">
        <v>0.85</v>
      </c>
      <c r="E3863">
        <v>10</v>
      </c>
      <c r="F3863" t="str">
        <f t="shared" si="240"/>
        <v>Premium</v>
      </c>
      <c r="G3863" s="3" cm="1">
        <f t="array" ref="G3863">_xlfn.XLOOKUP(C3863 &amp; F3863,
         [1]unilever_price_limits!A:A &amp; [1]unilever_price_limits!B:B,
         [1]unilever_price_limits!C:C)</f>
        <v>50</v>
      </c>
      <c r="H3863" s="8">
        <f t="shared" si="241"/>
        <v>1.2749999999999999</v>
      </c>
      <c r="I3863" s="6">
        <f t="shared" si="242"/>
        <v>50</v>
      </c>
      <c r="J3863" t="str">
        <f t="shared" si="243"/>
        <v>OK</v>
      </c>
    </row>
    <row r="3864" spans="1:10" x14ac:dyDescent="0.2">
      <c r="A3864">
        <v>13863</v>
      </c>
      <c r="B3864" t="s">
        <v>5</v>
      </c>
      <c r="C3864" t="s">
        <v>11</v>
      </c>
      <c r="D3864" s="8">
        <v>5.04</v>
      </c>
      <c r="E3864">
        <v>2</v>
      </c>
      <c r="F3864" t="str">
        <f t="shared" si="240"/>
        <v>Value</v>
      </c>
      <c r="G3864" s="3" cm="1">
        <f t="array" ref="G3864">_xlfn.XLOOKUP(C3864 &amp; F3864,
         [1]unilever_price_limits!A:A &amp; [1]unilever_price_limits!B:B,
         [1]unilever_price_limits!C:C)</f>
        <v>10</v>
      </c>
      <c r="H3864" s="8">
        <f t="shared" si="241"/>
        <v>5.5440000000000005</v>
      </c>
      <c r="I3864" s="6">
        <f t="shared" si="242"/>
        <v>10.000000000000009</v>
      </c>
      <c r="J3864" t="str">
        <f t="shared" si="243"/>
        <v>OK</v>
      </c>
    </row>
    <row r="3865" spans="1:10" x14ac:dyDescent="0.2">
      <c r="A3865">
        <v>13864</v>
      </c>
      <c r="B3865" t="s">
        <v>7</v>
      </c>
      <c r="C3865" t="s">
        <v>11</v>
      </c>
      <c r="D3865" s="8">
        <v>12.39</v>
      </c>
      <c r="E3865">
        <v>9</v>
      </c>
      <c r="F3865" t="str">
        <f t="shared" si="240"/>
        <v>Premium</v>
      </c>
      <c r="G3865" s="3" cm="1">
        <f t="array" ref="G3865">_xlfn.XLOOKUP(C3865 &amp; F3865,
         [1]unilever_price_limits!A:A &amp; [1]unilever_price_limits!B:B,
         [1]unilever_price_limits!C:C)</f>
        <v>50</v>
      </c>
      <c r="H3865" s="8">
        <f t="shared" si="241"/>
        <v>18.585000000000001</v>
      </c>
      <c r="I3865" s="6">
        <f t="shared" si="242"/>
        <v>50</v>
      </c>
      <c r="J3865" t="str">
        <f t="shared" si="243"/>
        <v>OK</v>
      </c>
    </row>
    <row r="3866" spans="1:10" x14ac:dyDescent="0.2">
      <c r="A3866">
        <v>13865</v>
      </c>
      <c r="B3866" t="s">
        <v>7</v>
      </c>
      <c r="C3866" t="s">
        <v>9</v>
      </c>
      <c r="D3866" s="8">
        <v>8.5299999999999994</v>
      </c>
      <c r="E3866">
        <v>2</v>
      </c>
      <c r="F3866" t="str">
        <f t="shared" si="240"/>
        <v>Value</v>
      </c>
      <c r="G3866" s="3" cm="1">
        <f t="array" ref="G3866">_xlfn.XLOOKUP(C3866 &amp; F3866,
         [1]unilever_price_limits!A:A &amp; [1]unilever_price_limits!B:B,
         [1]unilever_price_limits!C:C)</f>
        <v>15</v>
      </c>
      <c r="H3866" s="8">
        <f t="shared" si="241"/>
        <v>9.8094999999999981</v>
      </c>
      <c r="I3866" s="6">
        <f t="shared" si="242"/>
        <v>14.999999999999991</v>
      </c>
      <c r="J3866" t="str">
        <f t="shared" si="243"/>
        <v>OK</v>
      </c>
    </row>
    <row r="3867" spans="1:10" x14ac:dyDescent="0.2">
      <c r="A3867">
        <v>13866</v>
      </c>
      <c r="B3867" t="s">
        <v>7</v>
      </c>
      <c r="C3867" t="s">
        <v>6</v>
      </c>
      <c r="D3867" s="8">
        <v>7.03</v>
      </c>
      <c r="E3867">
        <v>5</v>
      </c>
      <c r="F3867" t="str">
        <f t="shared" si="240"/>
        <v>Standard</v>
      </c>
      <c r="G3867" s="3" cm="1">
        <f t="array" ref="G3867">_xlfn.XLOOKUP(C3867 &amp; F3867,
         [1]unilever_price_limits!A:A &amp; [1]unilever_price_limits!B:B,
         [1]unilever_price_limits!C:C)</f>
        <v>28</v>
      </c>
      <c r="H3867" s="8">
        <f t="shared" si="241"/>
        <v>8.9984000000000002</v>
      </c>
      <c r="I3867" s="6">
        <f t="shared" si="242"/>
        <v>28.000000000000004</v>
      </c>
      <c r="J3867" t="str">
        <f t="shared" si="243"/>
        <v>OK</v>
      </c>
    </row>
    <row r="3868" spans="1:10" x14ac:dyDescent="0.2">
      <c r="A3868">
        <v>13867</v>
      </c>
      <c r="B3868" t="s">
        <v>10</v>
      </c>
      <c r="C3868" t="s">
        <v>11</v>
      </c>
      <c r="D3868" s="8">
        <v>4.6399999999999997</v>
      </c>
      <c r="E3868">
        <v>8</v>
      </c>
      <c r="F3868" t="str">
        <f t="shared" si="240"/>
        <v>Premium</v>
      </c>
      <c r="G3868" s="3" cm="1">
        <f t="array" ref="G3868">_xlfn.XLOOKUP(C3868 &amp; F3868,
         [1]unilever_price_limits!A:A &amp; [1]unilever_price_limits!B:B,
         [1]unilever_price_limits!C:C)</f>
        <v>50</v>
      </c>
      <c r="H3868" s="8">
        <f t="shared" si="241"/>
        <v>6.9599999999999991</v>
      </c>
      <c r="I3868" s="6">
        <f t="shared" si="242"/>
        <v>50</v>
      </c>
      <c r="J3868" t="str">
        <f t="shared" si="243"/>
        <v>OK</v>
      </c>
    </row>
    <row r="3869" spans="1:10" x14ac:dyDescent="0.2">
      <c r="A3869">
        <v>13868</v>
      </c>
      <c r="B3869" t="s">
        <v>7</v>
      </c>
      <c r="C3869" t="s">
        <v>11</v>
      </c>
      <c r="D3869" s="8">
        <v>4.82</v>
      </c>
      <c r="E3869">
        <v>10</v>
      </c>
      <c r="F3869" t="str">
        <f t="shared" si="240"/>
        <v>Premium</v>
      </c>
      <c r="G3869" s="3" cm="1">
        <f t="array" ref="G3869">_xlfn.XLOOKUP(C3869 &amp; F3869,
         [1]unilever_price_limits!A:A &amp; [1]unilever_price_limits!B:B,
         [1]unilever_price_limits!C:C)</f>
        <v>50</v>
      </c>
      <c r="H3869" s="8">
        <f t="shared" si="241"/>
        <v>7.23</v>
      </c>
      <c r="I3869" s="6">
        <f t="shared" si="242"/>
        <v>50</v>
      </c>
      <c r="J3869" t="str">
        <f t="shared" si="243"/>
        <v>OK</v>
      </c>
    </row>
    <row r="3870" spans="1:10" x14ac:dyDescent="0.2">
      <c r="A3870">
        <v>13869</v>
      </c>
      <c r="B3870" t="s">
        <v>10</v>
      </c>
      <c r="C3870" t="s">
        <v>6</v>
      </c>
      <c r="D3870" s="8">
        <v>6.05</v>
      </c>
      <c r="E3870">
        <v>8</v>
      </c>
      <c r="F3870" t="str">
        <f t="shared" si="240"/>
        <v>Premium</v>
      </c>
      <c r="G3870" s="3" cm="1">
        <f t="array" ref="G3870">_xlfn.XLOOKUP(C3870 &amp; F3870,
         [1]unilever_price_limits!A:A &amp; [1]unilever_price_limits!B:B,
         [1]unilever_price_limits!C:C)</f>
        <v>55</v>
      </c>
      <c r="H3870" s="8">
        <f t="shared" si="241"/>
        <v>9.3774999999999995</v>
      </c>
      <c r="I3870" s="6">
        <f t="shared" si="242"/>
        <v>55.000000000000007</v>
      </c>
      <c r="J3870" t="str">
        <f t="shared" si="243"/>
        <v>OK</v>
      </c>
    </row>
    <row r="3871" spans="1:10" x14ac:dyDescent="0.2">
      <c r="A3871">
        <v>13870</v>
      </c>
      <c r="B3871" t="s">
        <v>10</v>
      </c>
      <c r="C3871" t="s">
        <v>11</v>
      </c>
      <c r="D3871" s="8">
        <v>12.62</v>
      </c>
      <c r="E3871">
        <v>3</v>
      </c>
      <c r="F3871" t="str">
        <f t="shared" si="240"/>
        <v>Value</v>
      </c>
      <c r="G3871" s="3" cm="1">
        <f t="array" ref="G3871">_xlfn.XLOOKUP(C3871 &amp; F3871,
         [1]unilever_price_limits!A:A &amp; [1]unilever_price_limits!B:B,
         [1]unilever_price_limits!C:C)</f>
        <v>10</v>
      </c>
      <c r="H3871" s="8">
        <f t="shared" si="241"/>
        <v>13.882</v>
      </c>
      <c r="I3871" s="6">
        <f t="shared" si="242"/>
        <v>10.000000000000009</v>
      </c>
      <c r="J3871" t="str">
        <f t="shared" si="243"/>
        <v>OK</v>
      </c>
    </row>
    <row r="3872" spans="1:10" x14ac:dyDescent="0.2">
      <c r="A3872">
        <v>13871</v>
      </c>
      <c r="B3872" t="s">
        <v>10</v>
      </c>
      <c r="C3872" t="s">
        <v>9</v>
      </c>
      <c r="D3872" s="8">
        <v>14.52</v>
      </c>
      <c r="E3872">
        <v>2</v>
      </c>
      <c r="F3872" t="str">
        <f t="shared" si="240"/>
        <v>Value</v>
      </c>
      <c r="G3872" s="3" cm="1">
        <f t="array" ref="G3872">_xlfn.XLOOKUP(C3872 &amp; F3872,
         [1]unilever_price_limits!A:A &amp; [1]unilever_price_limits!B:B,
         [1]unilever_price_limits!C:C)</f>
        <v>15</v>
      </c>
      <c r="H3872" s="8">
        <f t="shared" si="241"/>
        <v>16.697999999999997</v>
      </c>
      <c r="I3872" s="6">
        <f t="shared" si="242"/>
        <v>14.999999999999991</v>
      </c>
      <c r="J3872" t="str">
        <f t="shared" si="243"/>
        <v>OK</v>
      </c>
    </row>
    <row r="3873" spans="1:10" x14ac:dyDescent="0.2">
      <c r="A3873">
        <v>13872</v>
      </c>
      <c r="B3873" t="s">
        <v>5</v>
      </c>
      <c r="C3873" t="s">
        <v>11</v>
      </c>
      <c r="D3873" s="8">
        <v>6.86</v>
      </c>
      <c r="E3873">
        <v>9</v>
      </c>
      <c r="F3873" t="str">
        <f t="shared" si="240"/>
        <v>Premium</v>
      </c>
      <c r="G3873" s="3" cm="1">
        <f t="array" ref="G3873">_xlfn.XLOOKUP(C3873 &amp; F3873,
         [1]unilever_price_limits!A:A &amp; [1]unilever_price_limits!B:B,
         [1]unilever_price_limits!C:C)</f>
        <v>50</v>
      </c>
      <c r="H3873" s="8">
        <f t="shared" si="241"/>
        <v>10.290000000000001</v>
      </c>
      <c r="I3873" s="6">
        <f t="shared" si="242"/>
        <v>50</v>
      </c>
      <c r="J3873" t="str">
        <f t="shared" si="243"/>
        <v>OK</v>
      </c>
    </row>
    <row r="3874" spans="1:10" x14ac:dyDescent="0.2">
      <c r="A3874">
        <v>13873</v>
      </c>
      <c r="B3874" t="s">
        <v>5</v>
      </c>
      <c r="C3874" t="s">
        <v>9</v>
      </c>
      <c r="D3874" s="8">
        <v>6.2</v>
      </c>
      <c r="E3874">
        <v>3</v>
      </c>
      <c r="F3874" t="str">
        <f t="shared" si="240"/>
        <v>Value</v>
      </c>
      <c r="G3874" s="3" cm="1">
        <f t="array" ref="G3874">_xlfn.XLOOKUP(C3874 &amp; F3874,
         [1]unilever_price_limits!A:A &amp; [1]unilever_price_limits!B:B,
         [1]unilever_price_limits!C:C)</f>
        <v>15</v>
      </c>
      <c r="H3874" s="8">
        <f t="shared" si="241"/>
        <v>7.13</v>
      </c>
      <c r="I3874" s="6">
        <f t="shared" si="242"/>
        <v>14.999999999999991</v>
      </c>
      <c r="J3874" t="str">
        <f t="shared" si="243"/>
        <v>OK</v>
      </c>
    </row>
    <row r="3875" spans="1:10" x14ac:dyDescent="0.2">
      <c r="A3875">
        <v>13874</v>
      </c>
      <c r="B3875" t="s">
        <v>7</v>
      </c>
      <c r="C3875" t="s">
        <v>9</v>
      </c>
      <c r="D3875" s="8">
        <v>12.77</v>
      </c>
      <c r="E3875">
        <v>8</v>
      </c>
      <c r="F3875" t="str">
        <f t="shared" si="240"/>
        <v>Premium</v>
      </c>
      <c r="G3875" s="3" cm="1">
        <f t="array" ref="G3875">_xlfn.XLOOKUP(C3875 &amp; F3875,
         [1]unilever_price_limits!A:A &amp; [1]unilever_price_limits!B:B,
         [1]unilever_price_limits!C:C)</f>
        <v>60</v>
      </c>
      <c r="H3875" s="8">
        <f t="shared" si="241"/>
        <v>20.432000000000002</v>
      </c>
      <c r="I3875" s="6">
        <f t="shared" si="242"/>
        <v>60.000000000000028</v>
      </c>
      <c r="J3875" t="str">
        <f t="shared" si="243"/>
        <v>OK</v>
      </c>
    </row>
    <row r="3876" spans="1:10" x14ac:dyDescent="0.2">
      <c r="A3876">
        <v>13875</v>
      </c>
      <c r="B3876" t="s">
        <v>7</v>
      </c>
      <c r="C3876" t="s">
        <v>11</v>
      </c>
      <c r="D3876" s="8">
        <v>6.69</v>
      </c>
      <c r="E3876">
        <v>2</v>
      </c>
      <c r="F3876" t="str">
        <f t="shared" si="240"/>
        <v>Value</v>
      </c>
      <c r="G3876" s="3" cm="1">
        <f t="array" ref="G3876">_xlfn.XLOOKUP(C3876 &amp; F3876,
         [1]unilever_price_limits!A:A &amp; [1]unilever_price_limits!B:B,
         [1]unilever_price_limits!C:C)</f>
        <v>10</v>
      </c>
      <c r="H3876" s="8">
        <f t="shared" si="241"/>
        <v>7.3590000000000009</v>
      </c>
      <c r="I3876" s="6">
        <f t="shared" si="242"/>
        <v>10.000000000000009</v>
      </c>
      <c r="J3876" t="str">
        <f t="shared" si="243"/>
        <v>OK</v>
      </c>
    </row>
    <row r="3877" spans="1:10" x14ac:dyDescent="0.2">
      <c r="A3877">
        <v>13876</v>
      </c>
      <c r="B3877" t="s">
        <v>5</v>
      </c>
      <c r="C3877" t="s">
        <v>6</v>
      </c>
      <c r="D3877" s="8">
        <v>8.5</v>
      </c>
      <c r="E3877">
        <v>3</v>
      </c>
      <c r="F3877" t="str">
        <f t="shared" si="240"/>
        <v>Value</v>
      </c>
      <c r="G3877" s="3" cm="1">
        <f t="array" ref="G3877">_xlfn.XLOOKUP(C3877 &amp; F3877,
         [1]unilever_price_limits!A:A &amp; [1]unilever_price_limits!B:B,
         [1]unilever_price_limits!C:C)</f>
        <v>12</v>
      </c>
      <c r="H3877" s="8">
        <f t="shared" si="241"/>
        <v>9.5200000000000014</v>
      </c>
      <c r="I3877" s="6">
        <f t="shared" si="242"/>
        <v>12.000000000000011</v>
      </c>
      <c r="J3877" t="str">
        <f t="shared" si="243"/>
        <v>OK</v>
      </c>
    </row>
    <row r="3878" spans="1:10" x14ac:dyDescent="0.2">
      <c r="A3878">
        <v>13877</v>
      </c>
      <c r="B3878" t="s">
        <v>8</v>
      </c>
      <c r="C3878" t="s">
        <v>9</v>
      </c>
      <c r="D3878" s="8">
        <v>3.85</v>
      </c>
      <c r="E3878">
        <v>1</v>
      </c>
      <c r="F3878" t="str">
        <f t="shared" si="240"/>
        <v>Value</v>
      </c>
      <c r="G3878" s="3" cm="1">
        <f t="array" ref="G3878">_xlfn.XLOOKUP(C3878 &amp; F3878,
         [1]unilever_price_limits!A:A &amp; [1]unilever_price_limits!B:B,
         [1]unilever_price_limits!C:C)</f>
        <v>15</v>
      </c>
      <c r="H3878" s="8">
        <f t="shared" si="241"/>
        <v>4.4274999999999993</v>
      </c>
      <c r="I3878" s="6">
        <f t="shared" si="242"/>
        <v>14.999999999999968</v>
      </c>
      <c r="J3878" t="str">
        <f t="shared" si="243"/>
        <v>OK</v>
      </c>
    </row>
    <row r="3879" spans="1:10" x14ac:dyDescent="0.2">
      <c r="A3879">
        <v>13878</v>
      </c>
      <c r="B3879" t="s">
        <v>5</v>
      </c>
      <c r="C3879" t="s">
        <v>6</v>
      </c>
      <c r="D3879" s="8">
        <v>11.28</v>
      </c>
      <c r="E3879">
        <v>6</v>
      </c>
      <c r="F3879" t="str">
        <f t="shared" si="240"/>
        <v>Standard</v>
      </c>
      <c r="G3879" s="3" cm="1">
        <f t="array" ref="G3879">_xlfn.XLOOKUP(C3879 &amp; F3879,
         [1]unilever_price_limits!A:A &amp; [1]unilever_price_limits!B:B,
         [1]unilever_price_limits!C:C)</f>
        <v>28</v>
      </c>
      <c r="H3879" s="8">
        <f t="shared" si="241"/>
        <v>14.4384</v>
      </c>
      <c r="I3879" s="6">
        <f t="shared" si="242"/>
        <v>28.000000000000004</v>
      </c>
      <c r="J3879" t="str">
        <f t="shared" si="243"/>
        <v>OK</v>
      </c>
    </row>
    <row r="3880" spans="1:10" x14ac:dyDescent="0.2">
      <c r="A3880">
        <v>13879</v>
      </c>
      <c r="B3880" t="s">
        <v>10</v>
      </c>
      <c r="C3880" t="s">
        <v>11</v>
      </c>
      <c r="D3880" s="8">
        <v>8.2100000000000009</v>
      </c>
      <c r="E3880">
        <v>7</v>
      </c>
      <c r="F3880" t="str">
        <f t="shared" si="240"/>
        <v>Standard</v>
      </c>
      <c r="G3880" s="3" cm="1">
        <f t="array" ref="G3880">_xlfn.XLOOKUP(C3880 &amp; F3880,
         [1]unilever_price_limits!A:A &amp; [1]unilever_price_limits!B:B,
         [1]unilever_price_limits!C:C)</f>
        <v>25</v>
      </c>
      <c r="H3880" s="8">
        <f t="shared" si="241"/>
        <v>10.262500000000001</v>
      </c>
      <c r="I3880" s="6">
        <f t="shared" si="242"/>
        <v>25</v>
      </c>
      <c r="J3880" t="str">
        <f t="shared" si="243"/>
        <v>OK</v>
      </c>
    </row>
    <row r="3881" spans="1:10" x14ac:dyDescent="0.2">
      <c r="A3881">
        <v>13880</v>
      </c>
      <c r="B3881" t="s">
        <v>5</v>
      </c>
      <c r="C3881" t="s">
        <v>9</v>
      </c>
      <c r="D3881" s="8">
        <v>12.23</v>
      </c>
      <c r="E3881">
        <v>4</v>
      </c>
      <c r="F3881" t="str">
        <f t="shared" si="240"/>
        <v>Standard</v>
      </c>
      <c r="G3881" s="3" cm="1">
        <f t="array" ref="G3881">_xlfn.XLOOKUP(C3881 &amp; F3881,
         [1]unilever_price_limits!A:A &amp; [1]unilever_price_limits!B:B,
         [1]unilever_price_limits!C:C)</f>
        <v>30</v>
      </c>
      <c r="H3881" s="8">
        <f t="shared" si="241"/>
        <v>15.899000000000001</v>
      </c>
      <c r="I3881" s="6">
        <f t="shared" si="242"/>
        <v>30.000000000000004</v>
      </c>
      <c r="J3881" t="str">
        <f t="shared" si="243"/>
        <v>OK</v>
      </c>
    </row>
    <row r="3882" spans="1:10" x14ac:dyDescent="0.2">
      <c r="A3882">
        <v>13881</v>
      </c>
      <c r="B3882" t="s">
        <v>10</v>
      </c>
      <c r="C3882" t="s">
        <v>11</v>
      </c>
      <c r="D3882" s="8">
        <v>11.82</v>
      </c>
      <c r="E3882">
        <v>1</v>
      </c>
      <c r="F3882" t="str">
        <f t="shared" si="240"/>
        <v>Value</v>
      </c>
      <c r="G3882" s="3" cm="1">
        <f t="array" ref="G3882">_xlfn.XLOOKUP(C3882 &amp; F3882,
         [1]unilever_price_limits!A:A &amp; [1]unilever_price_limits!B:B,
         [1]unilever_price_limits!C:C)</f>
        <v>10</v>
      </c>
      <c r="H3882" s="8">
        <f t="shared" si="241"/>
        <v>13.002000000000001</v>
      </c>
      <c r="I3882" s="6">
        <f t="shared" si="242"/>
        <v>10.000000000000009</v>
      </c>
      <c r="J3882" t="str">
        <f t="shared" si="243"/>
        <v>OK</v>
      </c>
    </row>
    <row r="3883" spans="1:10" x14ac:dyDescent="0.2">
      <c r="A3883">
        <v>13882</v>
      </c>
      <c r="B3883" t="s">
        <v>7</v>
      </c>
      <c r="C3883" t="s">
        <v>6</v>
      </c>
      <c r="D3883" s="8">
        <v>3.62</v>
      </c>
      <c r="E3883">
        <v>3</v>
      </c>
      <c r="F3883" t="str">
        <f t="shared" si="240"/>
        <v>Value</v>
      </c>
      <c r="G3883" s="3" cm="1">
        <f t="array" ref="G3883">_xlfn.XLOOKUP(C3883 &amp; F3883,
         [1]unilever_price_limits!A:A &amp; [1]unilever_price_limits!B:B,
         [1]unilever_price_limits!C:C)</f>
        <v>12</v>
      </c>
      <c r="H3883" s="8">
        <f t="shared" si="241"/>
        <v>4.0544000000000002</v>
      </c>
      <c r="I3883" s="6">
        <f t="shared" si="242"/>
        <v>12.000000000000011</v>
      </c>
      <c r="J3883" t="str">
        <f t="shared" si="243"/>
        <v>OK</v>
      </c>
    </row>
    <row r="3884" spans="1:10" x14ac:dyDescent="0.2">
      <c r="A3884">
        <v>13883</v>
      </c>
      <c r="B3884" t="s">
        <v>8</v>
      </c>
      <c r="C3884" t="s">
        <v>11</v>
      </c>
      <c r="D3884" s="8">
        <v>10.88</v>
      </c>
      <c r="E3884">
        <v>9</v>
      </c>
      <c r="F3884" t="str">
        <f t="shared" si="240"/>
        <v>Premium</v>
      </c>
      <c r="G3884" s="3" cm="1">
        <f t="array" ref="G3884">_xlfn.XLOOKUP(C3884 &amp; F3884,
         [1]unilever_price_limits!A:A &amp; [1]unilever_price_limits!B:B,
         [1]unilever_price_limits!C:C)</f>
        <v>50</v>
      </c>
      <c r="H3884" s="8">
        <f t="shared" si="241"/>
        <v>16.32</v>
      </c>
      <c r="I3884" s="6">
        <f t="shared" si="242"/>
        <v>50</v>
      </c>
      <c r="J3884" t="str">
        <f t="shared" si="243"/>
        <v>OK</v>
      </c>
    </row>
    <row r="3885" spans="1:10" x14ac:dyDescent="0.2">
      <c r="A3885">
        <v>13884</v>
      </c>
      <c r="B3885" t="s">
        <v>7</v>
      </c>
      <c r="C3885" t="s">
        <v>11</v>
      </c>
      <c r="D3885" s="8">
        <v>12.1</v>
      </c>
      <c r="E3885">
        <v>5</v>
      </c>
      <c r="F3885" t="str">
        <f t="shared" si="240"/>
        <v>Standard</v>
      </c>
      <c r="G3885" s="3" cm="1">
        <f t="array" ref="G3885">_xlfn.XLOOKUP(C3885 &amp; F3885,
         [1]unilever_price_limits!A:A &amp; [1]unilever_price_limits!B:B,
         [1]unilever_price_limits!C:C)</f>
        <v>25</v>
      </c>
      <c r="H3885" s="8">
        <f t="shared" si="241"/>
        <v>15.125</v>
      </c>
      <c r="I3885" s="6">
        <f t="shared" si="242"/>
        <v>25</v>
      </c>
      <c r="J3885" t="str">
        <f t="shared" si="243"/>
        <v>OK</v>
      </c>
    </row>
    <row r="3886" spans="1:10" x14ac:dyDescent="0.2">
      <c r="A3886">
        <v>13885</v>
      </c>
      <c r="B3886" t="s">
        <v>10</v>
      </c>
      <c r="C3886" t="s">
        <v>9</v>
      </c>
      <c r="D3886" s="8">
        <v>5.52</v>
      </c>
      <c r="E3886">
        <v>6</v>
      </c>
      <c r="F3886" t="str">
        <f t="shared" si="240"/>
        <v>Standard</v>
      </c>
      <c r="G3886" s="3" cm="1">
        <f t="array" ref="G3886">_xlfn.XLOOKUP(C3886 &amp; F3886,
         [1]unilever_price_limits!A:A &amp; [1]unilever_price_limits!B:B,
         [1]unilever_price_limits!C:C)</f>
        <v>30</v>
      </c>
      <c r="H3886" s="8">
        <f t="shared" si="241"/>
        <v>7.1759999999999993</v>
      </c>
      <c r="I3886" s="6">
        <f t="shared" si="242"/>
        <v>30.000000000000004</v>
      </c>
      <c r="J3886" t="str">
        <f t="shared" si="243"/>
        <v>OK</v>
      </c>
    </row>
    <row r="3887" spans="1:10" x14ac:dyDescent="0.2">
      <c r="A3887">
        <v>13886</v>
      </c>
      <c r="B3887" t="s">
        <v>10</v>
      </c>
      <c r="C3887" t="s">
        <v>11</v>
      </c>
      <c r="D3887" s="8">
        <v>3</v>
      </c>
      <c r="E3887">
        <v>4</v>
      </c>
      <c r="F3887" t="str">
        <f t="shared" si="240"/>
        <v>Standard</v>
      </c>
      <c r="G3887" s="3" cm="1">
        <f t="array" ref="G3887">_xlfn.XLOOKUP(C3887 &amp; F3887,
         [1]unilever_price_limits!A:A &amp; [1]unilever_price_limits!B:B,
         [1]unilever_price_limits!C:C)</f>
        <v>25</v>
      </c>
      <c r="H3887" s="8">
        <f t="shared" si="241"/>
        <v>3.75</v>
      </c>
      <c r="I3887" s="6">
        <f t="shared" si="242"/>
        <v>25</v>
      </c>
      <c r="J3887" t="str">
        <f t="shared" si="243"/>
        <v>OK</v>
      </c>
    </row>
    <row r="3888" spans="1:10" x14ac:dyDescent="0.2">
      <c r="A3888">
        <v>13887</v>
      </c>
      <c r="B3888" t="s">
        <v>10</v>
      </c>
      <c r="C3888" t="s">
        <v>11</v>
      </c>
      <c r="D3888" s="8">
        <v>0.54</v>
      </c>
      <c r="E3888">
        <v>1</v>
      </c>
      <c r="F3888" t="str">
        <f t="shared" si="240"/>
        <v>Value</v>
      </c>
      <c r="G3888" s="3" cm="1">
        <f t="array" ref="G3888">_xlfn.XLOOKUP(C3888 &amp; F3888,
         [1]unilever_price_limits!A:A &amp; [1]unilever_price_limits!B:B,
         [1]unilever_price_limits!C:C)</f>
        <v>10</v>
      </c>
      <c r="H3888" s="8">
        <f t="shared" si="241"/>
        <v>0.59400000000000008</v>
      </c>
      <c r="I3888" s="6">
        <f t="shared" si="242"/>
        <v>10.000000000000009</v>
      </c>
      <c r="J3888" t="str">
        <f t="shared" si="243"/>
        <v>OK</v>
      </c>
    </row>
    <row r="3889" spans="1:10" x14ac:dyDescent="0.2">
      <c r="A3889">
        <v>13888</v>
      </c>
      <c r="B3889" t="s">
        <v>8</v>
      </c>
      <c r="C3889" t="s">
        <v>11</v>
      </c>
      <c r="D3889" s="8">
        <v>7.04</v>
      </c>
      <c r="E3889">
        <v>5</v>
      </c>
      <c r="F3889" t="str">
        <f t="shared" si="240"/>
        <v>Standard</v>
      </c>
      <c r="G3889" s="3" cm="1">
        <f t="array" ref="G3889">_xlfn.XLOOKUP(C3889 &amp; F3889,
         [1]unilever_price_limits!A:A &amp; [1]unilever_price_limits!B:B,
         [1]unilever_price_limits!C:C)</f>
        <v>25</v>
      </c>
      <c r="H3889" s="8">
        <f t="shared" si="241"/>
        <v>8.8000000000000007</v>
      </c>
      <c r="I3889" s="6">
        <f t="shared" si="242"/>
        <v>25</v>
      </c>
      <c r="J3889" t="str">
        <f t="shared" si="243"/>
        <v>OK</v>
      </c>
    </row>
    <row r="3890" spans="1:10" x14ac:dyDescent="0.2">
      <c r="A3890">
        <v>13889</v>
      </c>
      <c r="B3890" t="s">
        <v>5</v>
      </c>
      <c r="C3890" t="s">
        <v>9</v>
      </c>
      <c r="D3890" s="8">
        <v>5.61</v>
      </c>
      <c r="E3890">
        <v>5</v>
      </c>
      <c r="F3890" t="str">
        <f t="shared" si="240"/>
        <v>Standard</v>
      </c>
      <c r="G3890" s="3" cm="1">
        <f t="array" ref="G3890">_xlfn.XLOOKUP(C3890 &amp; F3890,
         [1]unilever_price_limits!A:A &amp; [1]unilever_price_limits!B:B,
         [1]unilever_price_limits!C:C)</f>
        <v>30</v>
      </c>
      <c r="H3890" s="8">
        <f t="shared" si="241"/>
        <v>7.293000000000001</v>
      </c>
      <c r="I3890" s="6">
        <f t="shared" si="242"/>
        <v>30.000000000000004</v>
      </c>
      <c r="J3890" t="str">
        <f t="shared" si="243"/>
        <v>OK</v>
      </c>
    </row>
    <row r="3891" spans="1:10" x14ac:dyDescent="0.2">
      <c r="A3891">
        <v>13890</v>
      </c>
      <c r="B3891" t="s">
        <v>7</v>
      </c>
      <c r="C3891" t="s">
        <v>6</v>
      </c>
      <c r="D3891" s="8">
        <v>8.5500000000000007</v>
      </c>
      <c r="E3891">
        <v>5</v>
      </c>
      <c r="F3891" t="str">
        <f t="shared" si="240"/>
        <v>Standard</v>
      </c>
      <c r="G3891" s="3" cm="1">
        <f t="array" ref="G3891">_xlfn.XLOOKUP(C3891 &amp; F3891,
         [1]unilever_price_limits!A:A &amp; [1]unilever_price_limits!B:B,
         [1]unilever_price_limits!C:C)</f>
        <v>28</v>
      </c>
      <c r="H3891" s="8">
        <f t="shared" si="241"/>
        <v>10.944000000000001</v>
      </c>
      <c r="I3891" s="6">
        <f t="shared" si="242"/>
        <v>28.000000000000004</v>
      </c>
      <c r="J3891" t="str">
        <f t="shared" si="243"/>
        <v>OK</v>
      </c>
    </row>
    <row r="3892" spans="1:10" x14ac:dyDescent="0.2">
      <c r="A3892">
        <v>13891</v>
      </c>
      <c r="B3892" t="s">
        <v>7</v>
      </c>
      <c r="C3892" t="s">
        <v>6</v>
      </c>
      <c r="D3892" s="8">
        <v>3.23</v>
      </c>
      <c r="E3892">
        <v>6</v>
      </c>
      <c r="F3892" t="str">
        <f t="shared" si="240"/>
        <v>Standard</v>
      </c>
      <c r="G3892" s="3" cm="1">
        <f t="array" ref="G3892">_xlfn.XLOOKUP(C3892 &amp; F3892,
         [1]unilever_price_limits!A:A &amp; [1]unilever_price_limits!B:B,
         [1]unilever_price_limits!C:C)</f>
        <v>28</v>
      </c>
      <c r="H3892" s="8">
        <f t="shared" si="241"/>
        <v>4.1344000000000003</v>
      </c>
      <c r="I3892" s="6">
        <f t="shared" si="242"/>
        <v>28.000000000000004</v>
      </c>
      <c r="J3892" t="str">
        <f t="shared" si="243"/>
        <v>OK</v>
      </c>
    </row>
    <row r="3893" spans="1:10" x14ac:dyDescent="0.2">
      <c r="A3893">
        <v>13892</v>
      </c>
      <c r="B3893" t="s">
        <v>5</v>
      </c>
      <c r="C3893" t="s">
        <v>11</v>
      </c>
      <c r="D3893" s="8">
        <v>12.97</v>
      </c>
      <c r="E3893">
        <v>2</v>
      </c>
      <c r="F3893" t="str">
        <f t="shared" si="240"/>
        <v>Value</v>
      </c>
      <c r="G3893" s="3" cm="1">
        <f t="array" ref="G3893">_xlfn.XLOOKUP(C3893 &amp; F3893,
         [1]unilever_price_limits!A:A &amp; [1]unilever_price_limits!B:B,
         [1]unilever_price_limits!C:C)</f>
        <v>10</v>
      </c>
      <c r="H3893" s="8">
        <f t="shared" si="241"/>
        <v>14.267000000000001</v>
      </c>
      <c r="I3893" s="6">
        <f t="shared" si="242"/>
        <v>10.000000000000009</v>
      </c>
      <c r="J3893" t="str">
        <f t="shared" si="243"/>
        <v>OK</v>
      </c>
    </row>
    <row r="3894" spans="1:10" x14ac:dyDescent="0.2">
      <c r="A3894">
        <v>13893</v>
      </c>
      <c r="B3894" t="s">
        <v>7</v>
      </c>
      <c r="C3894" t="s">
        <v>9</v>
      </c>
      <c r="D3894" s="8">
        <v>4.24</v>
      </c>
      <c r="E3894">
        <v>1</v>
      </c>
      <c r="F3894" t="str">
        <f t="shared" si="240"/>
        <v>Value</v>
      </c>
      <c r="G3894" s="3" cm="1">
        <f t="array" ref="G3894">_xlfn.XLOOKUP(C3894 &amp; F3894,
         [1]unilever_price_limits!A:A &amp; [1]unilever_price_limits!B:B,
         [1]unilever_price_limits!C:C)</f>
        <v>15</v>
      </c>
      <c r="H3894" s="8">
        <f t="shared" si="241"/>
        <v>4.8759999999999994</v>
      </c>
      <c r="I3894" s="6">
        <f t="shared" si="242"/>
        <v>14.999999999999991</v>
      </c>
      <c r="J3894" t="str">
        <f t="shared" si="243"/>
        <v>OK</v>
      </c>
    </row>
    <row r="3895" spans="1:10" x14ac:dyDescent="0.2">
      <c r="A3895">
        <v>13894</v>
      </c>
      <c r="B3895" t="s">
        <v>8</v>
      </c>
      <c r="C3895" t="s">
        <v>11</v>
      </c>
      <c r="D3895" s="8">
        <v>3.78</v>
      </c>
      <c r="E3895">
        <v>2</v>
      </c>
      <c r="F3895" t="str">
        <f t="shared" si="240"/>
        <v>Value</v>
      </c>
      <c r="G3895" s="3" cm="1">
        <f t="array" ref="G3895">_xlfn.XLOOKUP(C3895 &amp; F3895,
         [1]unilever_price_limits!A:A &amp; [1]unilever_price_limits!B:B,
         [1]unilever_price_limits!C:C)</f>
        <v>10</v>
      </c>
      <c r="H3895" s="8">
        <f t="shared" si="241"/>
        <v>4.1580000000000004</v>
      </c>
      <c r="I3895" s="6">
        <f t="shared" si="242"/>
        <v>10.000000000000009</v>
      </c>
      <c r="J3895" t="str">
        <f t="shared" si="243"/>
        <v>OK</v>
      </c>
    </row>
    <row r="3896" spans="1:10" x14ac:dyDescent="0.2">
      <c r="A3896">
        <v>13895</v>
      </c>
      <c r="B3896" t="s">
        <v>7</v>
      </c>
      <c r="C3896" t="s">
        <v>6</v>
      </c>
      <c r="D3896" s="8">
        <v>7.47</v>
      </c>
      <c r="E3896">
        <v>10</v>
      </c>
      <c r="F3896" t="str">
        <f t="shared" si="240"/>
        <v>Premium</v>
      </c>
      <c r="G3896" s="3" cm="1">
        <f t="array" ref="G3896">_xlfn.XLOOKUP(C3896 &amp; F3896,
         [1]unilever_price_limits!A:A &amp; [1]unilever_price_limits!B:B,
         [1]unilever_price_limits!C:C)</f>
        <v>55</v>
      </c>
      <c r="H3896" s="8">
        <f t="shared" si="241"/>
        <v>11.5785</v>
      </c>
      <c r="I3896" s="6">
        <f t="shared" si="242"/>
        <v>55.000000000000007</v>
      </c>
      <c r="J3896" t="str">
        <f t="shared" si="243"/>
        <v>OK</v>
      </c>
    </row>
    <row r="3897" spans="1:10" x14ac:dyDescent="0.2">
      <c r="A3897">
        <v>13896</v>
      </c>
      <c r="B3897" t="s">
        <v>10</v>
      </c>
      <c r="C3897" t="s">
        <v>9</v>
      </c>
      <c r="D3897" s="8">
        <v>7.73</v>
      </c>
      <c r="E3897">
        <v>6</v>
      </c>
      <c r="F3897" t="str">
        <f t="shared" si="240"/>
        <v>Standard</v>
      </c>
      <c r="G3897" s="3" cm="1">
        <f t="array" ref="G3897">_xlfn.XLOOKUP(C3897 &amp; F3897,
         [1]unilever_price_limits!A:A &amp; [1]unilever_price_limits!B:B,
         [1]unilever_price_limits!C:C)</f>
        <v>30</v>
      </c>
      <c r="H3897" s="8">
        <f t="shared" si="241"/>
        <v>10.049000000000001</v>
      </c>
      <c r="I3897" s="6">
        <f t="shared" si="242"/>
        <v>30.000000000000004</v>
      </c>
      <c r="J3897" t="str">
        <f t="shared" si="243"/>
        <v>OK</v>
      </c>
    </row>
    <row r="3898" spans="1:10" x14ac:dyDescent="0.2">
      <c r="A3898">
        <v>13897</v>
      </c>
      <c r="B3898" t="s">
        <v>5</v>
      </c>
      <c r="C3898" t="s">
        <v>6</v>
      </c>
      <c r="D3898" s="8">
        <v>3.62</v>
      </c>
      <c r="E3898">
        <v>5</v>
      </c>
      <c r="F3898" t="str">
        <f t="shared" si="240"/>
        <v>Standard</v>
      </c>
      <c r="G3898" s="3" cm="1">
        <f t="array" ref="G3898">_xlfn.XLOOKUP(C3898 &amp; F3898,
         [1]unilever_price_limits!A:A &amp; [1]unilever_price_limits!B:B,
         [1]unilever_price_limits!C:C)</f>
        <v>28</v>
      </c>
      <c r="H3898" s="8">
        <f t="shared" si="241"/>
        <v>4.6336000000000004</v>
      </c>
      <c r="I3898" s="6">
        <f t="shared" si="242"/>
        <v>28.000000000000004</v>
      </c>
      <c r="J3898" t="str">
        <f t="shared" si="243"/>
        <v>OK</v>
      </c>
    </row>
    <row r="3899" spans="1:10" x14ac:dyDescent="0.2">
      <c r="A3899">
        <v>13898</v>
      </c>
      <c r="B3899" t="s">
        <v>8</v>
      </c>
      <c r="C3899" t="s">
        <v>6</v>
      </c>
      <c r="D3899" s="8">
        <v>4.4400000000000004</v>
      </c>
      <c r="E3899">
        <v>5</v>
      </c>
      <c r="F3899" t="str">
        <f t="shared" si="240"/>
        <v>Standard</v>
      </c>
      <c r="G3899" s="3" cm="1">
        <f t="array" ref="G3899">_xlfn.XLOOKUP(C3899 &amp; F3899,
         [1]unilever_price_limits!A:A &amp; [1]unilever_price_limits!B:B,
         [1]unilever_price_limits!C:C)</f>
        <v>28</v>
      </c>
      <c r="H3899" s="8">
        <f t="shared" si="241"/>
        <v>5.6832000000000003</v>
      </c>
      <c r="I3899" s="6">
        <f t="shared" si="242"/>
        <v>28.000000000000004</v>
      </c>
      <c r="J3899" t="str">
        <f t="shared" si="243"/>
        <v>OK</v>
      </c>
    </row>
    <row r="3900" spans="1:10" x14ac:dyDescent="0.2">
      <c r="A3900">
        <v>13899</v>
      </c>
      <c r="B3900" t="s">
        <v>5</v>
      </c>
      <c r="C3900" t="s">
        <v>9</v>
      </c>
      <c r="D3900" s="8">
        <v>2.96</v>
      </c>
      <c r="E3900">
        <v>6</v>
      </c>
      <c r="F3900" t="str">
        <f t="shared" si="240"/>
        <v>Standard</v>
      </c>
      <c r="G3900" s="3" cm="1">
        <f t="array" ref="G3900">_xlfn.XLOOKUP(C3900 &amp; F3900,
         [1]unilever_price_limits!A:A &amp; [1]unilever_price_limits!B:B,
         [1]unilever_price_limits!C:C)</f>
        <v>30</v>
      </c>
      <c r="H3900" s="8">
        <f t="shared" si="241"/>
        <v>3.8479999999999999</v>
      </c>
      <c r="I3900" s="6">
        <f t="shared" si="242"/>
        <v>30.000000000000004</v>
      </c>
      <c r="J3900" t="str">
        <f t="shared" si="243"/>
        <v>OK</v>
      </c>
    </row>
    <row r="3901" spans="1:10" x14ac:dyDescent="0.2">
      <c r="A3901">
        <v>13900</v>
      </c>
      <c r="B3901" t="s">
        <v>8</v>
      </c>
      <c r="C3901" t="s">
        <v>9</v>
      </c>
      <c r="D3901" s="8">
        <v>10.92</v>
      </c>
      <c r="E3901">
        <v>10</v>
      </c>
      <c r="F3901" t="str">
        <f t="shared" si="240"/>
        <v>Premium</v>
      </c>
      <c r="G3901" s="3" cm="1">
        <f t="array" ref="G3901">_xlfn.XLOOKUP(C3901 &amp; F3901,
         [1]unilever_price_limits!A:A &amp; [1]unilever_price_limits!B:B,
         [1]unilever_price_limits!C:C)</f>
        <v>60</v>
      </c>
      <c r="H3901" s="8">
        <f t="shared" si="241"/>
        <v>17.472000000000001</v>
      </c>
      <c r="I3901" s="6">
        <f t="shared" si="242"/>
        <v>60.000000000000007</v>
      </c>
      <c r="J3901" t="str">
        <f t="shared" si="243"/>
        <v>OK</v>
      </c>
    </row>
    <row r="3902" spans="1:10" x14ac:dyDescent="0.2">
      <c r="A3902">
        <v>13901</v>
      </c>
      <c r="B3902" t="s">
        <v>10</v>
      </c>
      <c r="C3902" t="s">
        <v>11</v>
      </c>
      <c r="D3902" s="8">
        <v>11.67</v>
      </c>
      <c r="E3902">
        <v>7</v>
      </c>
      <c r="F3902" t="str">
        <f t="shared" si="240"/>
        <v>Standard</v>
      </c>
      <c r="G3902" s="3" cm="1">
        <f t="array" ref="G3902">_xlfn.XLOOKUP(C3902 &amp; F3902,
         [1]unilever_price_limits!A:A &amp; [1]unilever_price_limits!B:B,
         [1]unilever_price_limits!C:C)</f>
        <v>25</v>
      </c>
      <c r="H3902" s="8">
        <f t="shared" si="241"/>
        <v>14.5875</v>
      </c>
      <c r="I3902" s="6">
        <f t="shared" si="242"/>
        <v>25</v>
      </c>
      <c r="J3902" t="str">
        <f t="shared" si="243"/>
        <v>OK</v>
      </c>
    </row>
    <row r="3903" spans="1:10" x14ac:dyDescent="0.2">
      <c r="A3903">
        <v>13902</v>
      </c>
      <c r="B3903" t="s">
        <v>5</v>
      </c>
      <c r="C3903" t="s">
        <v>11</v>
      </c>
      <c r="D3903" s="8">
        <v>7.2</v>
      </c>
      <c r="E3903">
        <v>9</v>
      </c>
      <c r="F3903" t="str">
        <f t="shared" si="240"/>
        <v>Premium</v>
      </c>
      <c r="G3903" s="3" cm="1">
        <f t="array" ref="G3903">_xlfn.XLOOKUP(C3903 &amp; F3903,
         [1]unilever_price_limits!A:A &amp; [1]unilever_price_limits!B:B,
         [1]unilever_price_limits!C:C)</f>
        <v>50</v>
      </c>
      <c r="H3903" s="8">
        <f t="shared" si="241"/>
        <v>10.8</v>
      </c>
      <c r="I3903" s="6">
        <f t="shared" si="242"/>
        <v>50</v>
      </c>
      <c r="J3903" t="str">
        <f t="shared" si="243"/>
        <v>OK</v>
      </c>
    </row>
    <row r="3904" spans="1:10" x14ac:dyDescent="0.2">
      <c r="A3904">
        <v>13903</v>
      </c>
      <c r="B3904" t="s">
        <v>7</v>
      </c>
      <c r="C3904" t="s">
        <v>6</v>
      </c>
      <c r="D3904" s="8">
        <v>10.85</v>
      </c>
      <c r="E3904">
        <v>7</v>
      </c>
      <c r="F3904" t="str">
        <f t="shared" si="240"/>
        <v>Standard</v>
      </c>
      <c r="G3904" s="3" cm="1">
        <f t="array" ref="G3904">_xlfn.XLOOKUP(C3904 &amp; F3904,
         [1]unilever_price_limits!A:A &amp; [1]unilever_price_limits!B:B,
         [1]unilever_price_limits!C:C)</f>
        <v>28</v>
      </c>
      <c r="H3904" s="8">
        <f t="shared" si="241"/>
        <v>13.888</v>
      </c>
      <c r="I3904" s="6">
        <f t="shared" si="242"/>
        <v>28.000000000000004</v>
      </c>
      <c r="J3904" t="str">
        <f t="shared" si="243"/>
        <v>OK</v>
      </c>
    </row>
    <row r="3905" spans="1:10" x14ac:dyDescent="0.2">
      <c r="A3905">
        <v>13904</v>
      </c>
      <c r="B3905" t="s">
        <v>8</v>
      </c>
      <c r="C3905" t="s">
        <v>9</v>
      </c>
      <c r="D3905" s="8">
        <v>11.17</v>
      </c>
      <c r="E3905">
        <v>2</v>
      </c>
      <c r="F3905" t="str">
        <f t="shared" si="240"/>
        <v>Value</v>
      </c>
      <c r="G3905" s="3" cm="1">
        <f t="array" ref="G3905">_xlfn.XLOOKUP(C3905 &amp; F3905,
         [1]unilever_price_limits!A:A &amp; [1]unilever_price_limits!B:B,
         [1]unilever_price_limits!C:C)</f>
        <v>15</v>
      </c>
      <c r="H3905" s="8">
        <f t="shared" si="241"/>
        <v>12.845499999999999</v>
      </c>
      <c r="I3905" s="6">
        <f t="shared" si="242"/>
        <v>14.999999999999991</v>
      </c>
      <c r="J3905" t="str">
        <f t="shared" si="243"/>
        <v>OK</v>
      </c>
    </row>
    <row r="3906" spans="1:10" x14ac:dyDescent="0.2">
      <c r="A3906">
        <v>13905</v>
      </c>
      <c r="B3906" t="s">
        <v>5</v>
      </c>
      <c r="C3906" t="s">
        <v>9</v>
      </c>
      <c r="D3906" s="8">
        <v>2.5</v>
      </c>
      <c r="E3906">
        <v>6</v>
      </c>
      <c r="F3906" t="str">
        <f t="shared" si="240"/>
        <v>Standard</v>
      </c>
      <c r="G3906" s="3" cm="1">
        <f t="array" ref="G3906">_xlfn.XLOOKUP(C3906 &amp; F3906,
         [1]unilever_price_limits!A:A &amp; [1]unilever_price_limits!B:B,
         [1]unilever_price_limits!C:C)</f>
        <v>30</v>
      </c>
      <c r="H3906" s="8">
        <f t="shared" si="241"/>
        <v>3.25</v>
      </c>
      <c r="I3906" s="6">
        <f t="shared" si="242"/>
        <v>30.000000000000004</v>
      </c>
      <c r="J3906" t="str">
        <f t="shared" si="243"/>
        <v>OK</v>
      </c>
    </row>
    <row r="3907" spans="1:10" x14ac:dyDescent="0.2">
      <c r="A3907">
        <v>13906</v>
      </c>
      <c r="B3907" t="s">
        <v>7</v>
      </c>
      <c r="C3907" t="s">
        <v>11</v>
      </c>
      <c r="D3907" s="8">
        <v>14.51</v>
      </c>
      <c r="E3907">
        <v>9</v>
      </c>
      <c r="F3907" t="str">
        <f t="shared" ref="F3907:F3970" si="244">IF(E3907&lt;=3,"Value",
 IF(E3907&lt;=7,"Standard","Premium"))</f>
        <v>Premium</v>
      </c>
      <c r="G3907" s="3" cm="1">
        <f t="array" ref="G3907">_xlfn.XLOOKUP(C3907 &amp; F3907,
         [1]unilever_price_limits!A:A &amp; [1]unilever_price_limits!B:B,
         [1]unilever_price_limits!C:C)</f>
        <v>50</v>
      </c>
      <c r="H3907" s="8">
        <f t="shared" ref="H3907:H3970" si="245">D3907 * (1 + G3907/100)</f>
        <v>21.765000000000001</v>
      </c>
      <c r="I3907" s="6">
        <f t="shared" ref="I3907:I3970" si="246">(H3907 / D3907 - 1) * 100</f>
        <v>50</v>
      </c>
      <c r="J3907" t="str">
        <f t="shared" ref="J3907:J3970" si="247">IF(I3906&gt; G3906, "⚠ Exceeds Limit", "OK")</f>
        <v>OK</v>
      </c>
    </row>
    <row r="3908" spans="1:10" x14ac:dyDescent="0.2">
      <c r="A3908">
        <v>13907</v>
      </c>
      <c r="B3908" t="s">
        <v>5</v>
      </c>
      <c r="C3908" t="s">
        <v>6</v>
      </c>
      <c r="D3908" s="8">
        <v>12.4</v>
      </c>
      <c r="E3908">
        <v>7</v>
      </c>
      <c r="F3908" t="str">
        <f t="shared" si="244"/>
        <v>Standard</v>
      </c>
      <c r="G3908" s="3" cm="1">
        <f t="array" ref="G3908">_xlfn.XLOOKUP(C3908 &amp; F3908,
         [1]unilever_price_limits!A:A &amp; [1]unilever_price_limits!B:B,
         [1]unilever_price_limits!C:C)</f>
        <v>28</v>
      </c>
      <c r="H3908" s="8">
        <f t="shared" si="245"/>
        <v>15.872000000000002</v>
      </c>
      <c r="I3908" s="6">
        <f t="shared" si="246"/>
        <v>28.000000000000004</v>
      </c>
      <c r="J3908" t="str">
        <f t="shared" si="247"/>
        <v>OK</v>
      </c>
    </row>
    <row r="3909" spans="1:10" x14ac:dyDescent="0.2">
      <c r="A3909">
        <v>13908</v>
      </c>
      <c r="B3909" t="s">
        <v>5</v>
      </c>
      <c r="C3909" t="s">
        <v>6</v>
      </c>
      <c r="D3909" s="8">
        <v>3.47</v>
      </c>
      <c r="E3909">
        <v>2</v>
      </c>
      <c r="F3909" t="str">
        <f t="shared" si="244"/>
        <v>Value</v>
      </c>
      <c r="G3909" s="3" cm="1">
        <f t="array" ref="G3909">_xlfn.XLOOKUP(C3909 &amp; F3909,
         [1]unilever_price_limits!A:A &amp; [1]unilever_price_limits!B:B,
         [1]unilever_price_limits!C:C)</f>
        <v>12</v>
      </c>
      <c r="H3909" s="8">
        <f t="shared" si="245"/>
        <v>3.8864000000000005</v>
      </c>
      <c r="I3909" s="6">
        <f t="shared" si="246"/>
        <v>12.000000000000011</v>
      </c>
      <c r="J3909" t="str">
        <f t="shared" si="247"/>
        <v>OK</v>
      </c>
    </row>
    <row r="3910" spans="1:10" x14ac:dyDescent="0.2">
      <c r="A3910">
        <v>13909</v>
      </c>
      <c r="B3910" t="s">
        <v>5</v>
      </c>
      <c r="C3910" t="s">
        <v>11</v>
      </c>
      <c r="D3910" s="8">
        <v>3.2</v>
      </c>
      <c r="E3910">
        <v>3</v>
      </c>
      <c r="F3910" t="str">
        <f t="shared" si="244"/>
        <v>Value</v>
      </c>
      <c r="G3910" s="3" cm="1">
        <f t="array" ref="G3910">_xlfn.XLOOKUP(C3910 &amp; F3910,
         [1]unilever_price_limits!A:A &amp; [1]unilever_price_limits!B:B,
         [1]unilever_price_limits!C:C)</f>
        <v>10</v>
      </c>
      <c r="H3910" s="8">
        <f t="shared" si="245"/>
        <v>3.5200000000000005</v>
      </c>
      <c r="I3910" s="6">
        <f t="shared" si="246"/>
        <v>10.000000000000009</v>
      </c>
      <c r="J3910" t="str">
        <f t="shared" si="247"/>
        <v>OK</v>
      </c>
    </row>
    <row r="3911" spans="1:10" x14ac:dyDescent="0.2">
      <c r="A3911">
        <v>13910</v>
      </c>
      <c r="B3911" t="s">
        <v>8</v>
      </c>
      <c r="C3911" t="s">
        <v>9</v>
      </c>
      <c r="D3911" s="8">
        <v>2.3199999999999998</v>
      </c>
      <c r="E3911">
        <v>8</v>
      </c>
      <c r="F3911" t="str">
        <f t="shared" si="244"/>
        <v>Premium</v>
      </c>
      <c r="G3911" s="3" cm="1">
        <f t="array" ref="G3911">_xlfn.XLOOKUP(C3911 &amp; F3911,
         [1]unilever_price_limits!A:A &amp; [1]unilever_price_limits!B:B,
         [1]unilever_price_limits!C:C)</f>
        <v>60</v>
      </c>
      <c r="H3911" s="8">
        <f t="shared" si="245"/>
        <v>3.7119999999999997</v>
      </c>
      <c r="I3911" s="6">
        <f t="shared" si="246"/>
        <v>60.000000000000007</v>
      </c>
      <c r="J3911" t="str">
        <f t="shared" si="247"/>
        <v>OK</v>
      </c>
    </row>
    <row r="3912" spans="1:10" x14ac:dyDescent="0.2">
      <c r="A3912">
        <v>13911</v>
      </c>
      <c r="B3912" t="s">
        <v>7</v>
      </c>
      <c r="C3912" t="s">
        <v>11</v>
      </c>
      <c r="D3912" s="8">
        <v>2.5099999999999998</v>
      </c>
      <c r="E3912">
        <v>9</v>
      </c>
      <c r="F3912" t="str">
        <f t="shared" si="244"/>
        <v>Premium</v>
      </c>
      <c r="G3912" s="3" cm="1">
        <f t="array" ref="G3912">_xlfn.XLOOKUP(C3912 &amp; F3912,
         [1]unilever_price_limits!A:A &amp; [1]unilever_price_limits!B:B,
         [1]unilever_price_limits!C:C)</f>
        <v>50</v>
      </c>
      <c r="H3912" s="8">
        <f t="shared" si="245"/>
        <v>3.7649999999999997</v>
      </c>
      <c r="I3912" s="6">
        <f t="shared" si="246"/>
        <v>50</v>
      </c>
      <c r="J3912" t="str">
        <f t="shared" si="247"/>
        <v>OK</v>
      </c>
    </row>
    <row r="3913" spans="1:10" x14ac:dyDescent="0.2">
      <c r="A3913">
        <v>13912</v>
      </c>
      <c r="B3913" t="s">
        <v>10</v>
      </c>
      <c r="C3913" t="s">
        <v>11</v>
      </c>
      <c r="D3913" s="8">
        <v>11.35</v>
      </c>
      <c r="E3913">
        <v>4</v>
      </c>
      <c r="F3913" t="str">
        <f t="shared" si="244"/>
        <v>Standard</v>
      </c>
      <c r="G3913" s="3" cm="1">
        <f t="array" ref="G3913">_xlfn.XLOOKUP(C3913 &amp; F3913,
         [1]unilever_price_limits!A:A &amp; [1]unilever_price_limits!B:B,
         [1]unilever_price_limits!C:C)</f>
        <v>25</v>
      </c>
      <c r="H3913" s="8">
        <f t="shared" si="245"/>
        <v>14.1875</v>
      </c>
      <c r="I3913" s="6">
        <f t="shared" si="246"/>
        <v>25</v>
      </c>
      <c r="J3913" t="str">
        <f t="shared" si="247"/>
        <v>OK</v>
      </c>
    </row>
    <row r="3914" spans="1:10" x14ac:dyDescent="0.2">
      <c r="A3914">
        <v>13913</v>
      </c>
      <c r="B3914" t="s">
        <v>8</v>
      </c>
      <c r="C3914" t="s">
        <v>11</v>
      </c>
      <c r="D3914" s="8">
        <v>7.31</v>
      </c>
      <c r="E3914">
        <v>9</v>
      </c>
      <c r="F3914" t="str">
        <f t="shared" si="244"/>
        <v>Premium</v>
      </c>
      <c r="G3914" s="3" cm="1">
        <f t="array" ref="G3914">_xlfn.XLOOKUP(C3914 &amp; F3914,
         [1]unilever_price_limits!A:A &amp; [1]unilever_price_limits!B:B,
         [1]unilever_price_limits!C:C)</f>
        <v>50</v>
      </c>
      <c r="H3914" s="8">
        <f t="shared" si="245"/>
        <v>10.965</v>
      </c>
      <c r="I3914" s="6">
        <f t="shared" si="246"/>
        <v>50</v>
      </c>
      <c r="J3914" t="str">
        <f t="shared" si="247"/>
        <v>OK</v>
      </c>
    </row>
    <row r="3915" spans="1:10" x14ac:dyDescent="0.2">
      <c r="A3915">
        <v>13914</v>
      </c>
      <c r="B3915" t="s">
        <v>8</v>
      </c>
      <c r="C3915" t="s">
        <v>11</v>
      </c>
      <c r="D3915" s="8">
        <v>11.85</v>
      </c>
      <c r="E3915">
        <v>2</v>
      </c>
      <c r="F3915" t="str">
        <f t="shared" si="244"/>
        <v>Value</v>
      </c>
      <c r="G3915" s="3" cm="1">
        <f t="array" ref="G3915">_xlfn.XLOOKUP(C3915 &amp; F3915,
         [1]unilever_price_limits!A:A &amp; [1]unilever_price_limits!B:B,
         [1]unilever_price_limits!C:C)</f>
        <v>10</v>
      </c>
      <c r="H3915" s="8">
        <f t="shared" si="245"/>
        <v>13.035</v>
      </c>
      <c r="I3915" s="6">
        <f t="shared" si="246"/>
        <v>10.000000000000009</v>
      </c>
      <c r="J3915" t="str">
        <f t="shared" si="247"/>
        <v>OK</v>
      </c>
    </row>
    <row r="3916" spans="1:10" x14ac:dyDescent="0.2">
      <c r="A3916">
        <v>13915</v>
      </c>
      <c r="B3916" t="s">
        <v>8</v>
      </c>
      <c r="C3916" t="s">
        <v>9</v>
      </c>
      <c r="D3916" s="8">
        <v>11.32</v>
      </c>
      <c r="E3916">
        <v>5</v>
      </c>
      <c r="F3916" t="str">
        <f t="shared" si="244"/>
        <v>Standard</v>
      </c>
      <c r="G3916" s="3" cm="1">
        <f t="array" ref="G3916">_xlfn.XLOOKUP(C3916 &amp; F3916,
         [1]unilever_price_limits!A:A &amp; [1]unilever_price_limits!B:B,
         [1]unilever_price_limits!C:C)</f>
        <v>30</v>
      </c>
      <c r="H3916" s="8">
        <f t="shared" si="245"/>
        <v>14.716000000000001</v>
      </c>
      <c r="I3916" s="6">
        <f t="shared" si="246"/>
        <v>30.000000000000004</v>
      </c>
      <c r="J3916" t="str">
        <f t="shared" si="247"/>
        <v>OK</v>
      </c>
    </row>
    <row r="3917" spans="1:10" x14ac:dyDescent="0.2">
      <c r="A3917">
        <v>13916</v>
      </c>
      <c r="B3917" t="s">
        <v>10</v>
      </c>
      <c r="C3917" t="s">
        <v>11</v>
      </c>
      <c r="D3917" s="8">
        <v>9.27</v>
      </c>
      <c r="E3917">
        <v>2</v>
      </c>
      <c r="F3917" t="str">
        <f t="shared" si="244"/>
        <v>Value</v>
      </c>
      <c r="G3917" s="3" cm="1">
        <f t="array" ref="G3917">_xlfn.XLOOKUP(C3917 &amp; F3917,
         [1]unilever_price_limits!A:A &amp; [1]unilever_price_limits!B:B,
         [1]unilever_price_limits!C:C)</f>
        <v>10</v>
      </c>
      <c r="H3917" s="8">
        <f t="shared" si="245"/>
        <v>10.197000000000001</v>
      </c>
      <c r="I3917" s="6">
        <f t="shared" si="246"/>
        <v>10.000000000000009</v>
      </c>
      <c r="J3917" t="str">
        <f t="shared" si="247"/>
        <v>OK</v>
      </c>
    </row>
    <row r="3918" spans="1:10" x14ac:dyDescent="0.2">
      <c r="A3918">
        <v>13917</v>
      </c>
      <c r="B3918" t="s">
        <v>7</v>
      </c>
      <c r="C3918" t="s">
        <v>9</v>
      </c>
      <c r="D3918" s="8">
        <v>10.45</v>
      </c>
      <c r="E3918">
        <v>1</v>
      </c>
      <c r="F3918" t="str">
        <f t="shared" si="244"/>
        <v>Value</v>
      </c>
      <c r="G3918" s="3" cm="1">
        <f t="array" ref="G3918">_xlfn.XLOOKUP(C3918 &amp; F3918,
         [1]unilever_price_limits!A:A &amp; [1]unilever_price_limits!B:B,
         [1]unilever_price_limits!C:C)</f>
        <v>15</v>
      </c>
      <c r="H3918" s="8">
        <f t="shared" si="245"/>
        <v>12.017499999999998</v>
      </c>
      <c r="I3918" s="6">
        <f t="shared" si="246"/>
        <v>14.999999999999991</v>
      </c>
      <c r="J3918" t="str">
        <f t="shared" si="247"/>
        <v>OK</v>
      </c>
    </row>
    <row r="3919" spans="1:10" x14ac:dyDescent="0.2">
      <c r="A3919">
        <v>13918</v>
      </c>
      <c r="B3919" t="s">
        <v>7</v>
      </c>
      <c r="C3919" t="s">
        <v>11</v>
      </c>
      <c r="D3919" s="8">
        <v>0.77</v>
      </c>
      <c r="E3919">
        <v>5</v>
      </c>
      <c r="F3919" t="str">
        <f t="shared" si="244"/>
        <v>Standard</v>
      </c>
      <c r="G3919" s="3" cm="1">
        <f t="array" ref="G3919">_xlfn.XLOOKUP(C3919 &amp; F3919,
         [1]unilever_price_limits!A:A &amp; [1]unilever_price_limits!B:B,
         [1]unilever_price_limits!C:C)</f>
        <v>25</v>
      </c>
      <c r="H3919" s="8">
        <f t="shared" si="245"/>
        <v>0.96250000000000002</v>
      </c>
      <c r="I3919" s="6">
        <f t="shared" si="246"/>
        <v>25</v>
      </c>
      <c r="J3919" t="str">
        <f t="shared" si="247"/>
        <v>OK</v>
      </c>
    </row>
    <row r="3920" spans="1:10" x14ac:dyDescent="0.2">
      <c r="A3920">
        <v>13919</v>
      </c>
      <c r="B3920" t="s">
        <v>7</v>
      </c>
      <c r="C3920" t="s">
        <v>6</v>
      </c>
      <c r="D3920" s="8">
        <v>5.0199999999999996</v>
      </c>
      <c r="E3920">
        <v>2</v>
      </c>
      <c r="F3920" t="str">
        <f t="shared" si="244"/>
        <v>Value</v>
      </c>
      <c r="G3920" s="3" cm="1">
        <f t="array" ref="G3920">_xlfn.XLOOKUP(C3920 &amp; F3920,
         [1]unilever_price_limits!A:A &amp; [1]unilever_price_limits!B:B,
         [1]unilever_price_limits!C:C)</f>
        <v>12</v>
      </c>
      <c r="H3920" s="8">
        <f t="shared" si="245"/>
        <v>5.6223999999999998</v>
      </c>
      <c r="I3920" s="6">
        <f t="shared" si="246"/>
        <v>12.000000000000011</v>
      </c>
      <c r="J3920" t="str">
        <f t="shared" si="247"/>
        <v>OK</v>
      </c>
    </row>
    <row r="3921" spans="1:10" x14ac:dyDescent="0.2">
      <c r="A3921">
        <v>13920</v>
      </c>
      <c r="B3921" t="s">
        <v>5</v>
      </c>
      <c r="C3921" t="s">
        <v>9</v>
      </c>
      <c r="D3921" s="8">
        <v>9.75</v>
      </c>
      <c r="E3921">
        <v>7</v>
      </c>
      <c r="F3921" t="str">
        <f t="shared" si="244"/>
        <v>Standard</v>
      </c>
      <c r="G3921" s="3" cm="1">
        <f t="array" ref="G3921">_xlfn.XLOOKUP(C3921 &amp; F3921,
         [1]unilever_price_limits!A:A &amp; [1]unilever_price_limits!B:B,
         [1]unilever_price_limits!C:C)</f>
        <v>30</v>
      </c>
      <c r="H3921" s="8">
        <f t="shared" si="245"/>
        <v>12.675000000000001</v>
      </c>
      <c r="I3921" s="6">
        <f t="shared" si="246"/>
        <v>30.000000000000004</v>
      </c>
      <c r="J3921" t="str">
        <f t="shared" si="247"/>
        <v>OK</v>
      </c>
    </row>
    <row r="3922" spans="1:10" x14ac:dyDescent="0.2">
      <c r="A3922">
        <v>13921</v>
      </c>
      <c r="B3922" t="s">
        <v>5</v>
      </c>
      <c r="C3922" t="s">
        <v>6</v>
      </c>
      <c r="D3922" s="8">
        <v>0.64</v>
      </c>
      <c r="E3922">
        <v>8</v>
      </c>
      <c r="F3922" t="str">
        <f t="shared" si="244"/>
        <v>Premium</v>
      </c>
      <c r="G3922" s="3" cm="1">
        <f t="array" ref="G3922">_xlfn.XLOOKUP(C3922 &amp; F3922,
         [1]unilever_price_limits!A:A &amp; [1]unilever_price_limits!B:B,
         [1]unilever_price_limits!C:C)</f>
        <v>55</v>
      </c>
      <c r="H3922" s="8">
        <f t="shared" si="245"/>
        <v>0.9920000000000001</v>
      </c>
      <c r="I3922" s="6">
        <f t="shared" si="246"/>
        <v>55.000000000000007</v>
      </c>
      <c r="J3922" t="str">
        <f t="shared" si="247"/>
        <v>OK</v>
      </c>
    </row>
    <row r="3923" spans="1:10" x14ac:dyDescent="0.2">
      <c r="A3923">
        <v>13922</v>
      </c>
      <c r="B3923" t="s">
        <v>5</v>
      </c>
      <c r="C3923" t="s">
        <v>11</v>
      </c>
      <c r="D3923" s="8">
        <v>0.98</v>
      </c>
      <c r="E3923">
        <v>2</v>
      </c>
      <c r="F3923" t="str">
        <f t="shared" si="244"/>
        <v>Value</v>
      </c>
      <c r="G3923" s="3" cm="1">
        <f t="array" ref="G3923">_xlfn.XLOOKUP(C3923 &amp; F3923,
         [1]unilever_price_limits!A:A &amp; [1]unilever_price_limits!B:B,
         [1]unilever_price_limits!C:C)</f>
        <v>10</v>
      </c>
      <c r="H3923" s="8">
        <f t="shared" si="245"/>
        <v>1.0780000000000001</v>
      </c>
      <c r="I3923" s="6">
        <f t="shared" si="246"/>
        <v>10.000000000000009</v>
      </c>
      <c r="J3923" t="str">
        <f t="shared" si="247"/>
        <v>OK</v>
      </c>
    </row>
    <row r="3924" spans="1:10" x14ac:dyDescent="0.2">
      <c r="A3924">
        <v>13923</v>
      </c>
      <c r="B3924" t="s">
        <v>10</v>
      </c>
      <c r="C3924" t="s">
        <v>11</v>
      </c>
      <c r="D3924" s="8">
        <v>12.85</v>
      </c>
      <c r="E3924">
        <v>7</v>
      </c>
      <c r="F3924" t="str">
        <f t="shared" si="244"/>
        <v>Standard</v>
      </c>
      <c r="G3924" s="3" cm="1">
        <f t="array" ref="G3924">_xlfn.XLOOKUP(C3924 &amp; F3924,
         [1]unilever_price_limits!A:A &amp; [1]unilever_price_limits!B:B,
         [1]unilever_price_limits!C:C)</f>
        <v>25</v>
      </c>
      <c r="H3924" s="8">
        <f t="shared" si="245"/>
        <v>16.0625</v>
      </c>
      <c r="I3924" s="6">
        <f t="shared" si="246"/>
        <v>25</v>
      </c>
      <c r="J3924" t="str">
        <f t="shared" si="247"/>
        <v>OK</v>
      </c>
    </row>
    <row r="3925" spans="1:10" x14ac:dyDescent="0.2">
      <c r="A3925">
        <v>13924</v>
      </c>
      <c r="B3925" t="s">
        <v>5</v>
      </c>
      <c r="C3925" t="s">
        <v>11</v>
      </c>
      <c r="D3925" s="8">
        <v>10.42</v>
      </c>
      <c r="E3925">
        <v>4</v>
      </c>
      <c r="F3925" t="str">
        <f t="shared" si="244"/>
        <v>Standard</v>
      </c>
      <c r="G3925" s="3" cm="1">
        <f t="array" ref="G3925">_xlfn.XLOOKUP(C3925 &amp; F3925,
         [1]unilever_price_limits!A:A &amp; [1]unilever_price_limits!B:B,
         [1]unilever_price_limits!C:C)</f>
        <v>25</v>
      </c>
      <c r="H3925" s="8">
        <f t="shared" si="245"/>
        <v>13.025</v>
      </c>
      <c r="I3925" s="6">
        <f t="shared" si="246"/>
        <v>25</v>
      </c>
      <c r="J3925" t="str">
        <f t="shared" si="247"/>
        <v>OK</v>
      </c>
    </row>
    <row r="3926" spans="1:10" x14ac:dyDescent="0.2">
      <c r="A3926">
        <v>13925</v>
      </c>
      <c r="B3926" t="s">
        <v>10</v>
      </c>
      <c r="C3926" t="s">
        <v>9</v>
      </c>
      <c r="D3926" s="8">
        <v>4.3499999999999996</v>
      </c>
      <c r="E3926">
        <v>1</v>
      </c>
      <c r="F3926" t="str">
        <f t="shared" si="244"/>
        <v>Value</v>
      </c>
      <c r="G3926" s="3" cm="1">
        <f t="array" ref="G3926">_xlfn.XLOOKUP(C3926 &amp; F3926,
         [1]unilever_price_limits!A:A &amp; [1]unilever_price_limits!B:B,
         [1]unilever_price_limits!C:C)</f>
        <v>15</v>
      </c>
      <c r="H3926" s="8">
        <f t="shared" si="245"/>
        <v>5.0024999999999995</v>
      </c>
      <c r="I3926" s="6">
        <f t="shared" si="246"/>
        <v>14.999999999999991</v>
      </c>
      <c r="J3926" t="str">
        <f t="shared" si="247"/>
        <v>OK</v>
      </c>
    </row>
    <row r="3927" spans="1:10" x14ac:dyDescent="0.2">
      <c r="A3927">
        <v>13926</v>
      </c>
      <c r="B3927" t="s">
        <v>7</v>
      </c>
      <c r="C3927" t="s">
        <v>6</v>
      </c>
      <c r="D3927" s="8">
        <v>10.48</v>
      </c>
      <c r="E3927">
        <v>3</v>
      </c>
      <c r="F3927" t="str">
        <f t="shared" si="244"/>
        <v>Value</v>
      </c>
      <c r="G3927" s="3" cm="1">
        <f t="array" ref="G3927">_xlfn.XLOOKUP(C3927 &amp; F3927,
         [1]unilever_price_limits!A:A &amp; [1]unilever_price_limits!B:B,
         [1]unilever_price_limits!C:C)</f>
        <v>12</v>
      </c>
      <c r="H3927" s="8">
        <f t="shared" si="245"/>
        <v>11.737600000000002</v>
      </c>
      <c r="I3927" s="6">
        <f t="shared" si="246"/>
        <v>12.000000000000011</v>
      </c>
      <c r="J3927" t="str">
        <f t="shared" si="247"/>
        <v>OK</v>
      </c>
    </row>
    <row r="3928" spans="1:10" x14ac:dyDescent="0.2">
      <c r="A3928">
        <v>13927</v>
      </c>
      <c r="B3928" t="s">
        <v>5</v>
      </c>
      <c r="C3928" t="s">
        <v>9</v>
      </c>
      <c r="D3928" s="8">
        <v>11.99</v>
      </c>
      <c r="E3928">
        <v>1</v>
      </c>
      <c r="F3928" t="str">
        <f t="shared" si="244"/>
        <v>Value</v>
      </c>
      <c r="G3928" s="3" cm="1">
        <f t="array" ref="G3928">_xlfn.XLOOKUP(C3928 &amp; F3928,
         [1]unilever_price_limits!A:A &amp; [1]unilever_price_limits!B:B,
         [1]unilever_price_limits!C:C)</f>
        <v>15</v>
      </c>
      <c r="H3928" s="8">
        <f t="shared" si="245"/>
        <v>13.788499999999999</v>
      </c>
      <c r="I3928" s="6">
        <f t="shared" si="246"/>
        <v>14.999999999999991</v>
      </c>
      <c r="J3928" t="str">
        <f t="shared" si="247"/>
        <v>OK</v>
      </c>
    </row>
    <row r="3929" spans="1:10" x14ac:dyDescent="0.2">
      <c r="A3929">
        <v>13928</v>
      </c>
      <c r="B3929" t="s">
        <v>5</v>
      </c>
      <c r="C3929" t="s">
        <v>9</v>
      </c>
      <c r="D3929" s="8">
        <v>4.95</v>
      </c>
      <c r="E3929">
        <v>5</v>
      </c>
      <c r="F3929" t="str">
        <f t="shared" si="244"/>
        <v>Standard</v>
      </c>
      <c r="G3929" s="3" cm="1">
        <f t="array" ref="G3929">_xlfn.XLOOKUP(C3929 &amp; F3929,
         [1]unilever_price_limits!A:A &amp; [1]unilever_price_limits!B:B,
         [1]unilever_price_limits!C:C)</f>
        <v>30</v>
      </c>
      <c r="H3929" s="8">
        <f t="shared" si="245"/>
        <v>6.4350000000000005</v>
      </c>
      <c r="I3929" s="6">
        <f t="shared" si="246"/>
        <v>30.000000000000004</v>
      </c>
      <c r="J3929" t="str">
        <f t="shared" si="247"/>
        <v>OK</v>
      </c>
    </row>
    <row r="3930" spans="1:10" x14ac:dyDescent="0.2">
      <c r="A3930">
        <v>13929</v>
      </c>
      <c r="B3930" t="s">
        <v>8</v>
      </c>
      <c r="C3930" t="s">
        <v>11</v>
      </c>
      <c r="D3930" s="8">
        <v>1.02</v>
      </c>
      <c r="E3930">
        <v>8</v>
      </c>
      <c r="F3930" t="str">
        <f t="shared" si="244"/>
        <v>Premium</v>
      </c>
      <c r="G3930" s="3" cm="1">
        <f t="array" ref="G3930">_xlfn.XLOOKUP(C3930 &amp; F3930,
         [1]unilever_price_limits!A:A &amp; [1]unilever_price_limits!B:B,
         [1]unilever_price_limits!C:C)</f>
        <v>50</v>
      </c>
      <c r="H3930" s="8">
        <f t="shared" si="245"/>
        <v>1.53</v>
      </c>
      <c r="I3930" s="6">
        <f t="shared" si="246"/>
        <v>50</v>
      </c>
      <c r="J3930" t="str">
        <f t="shared" si="247"/>
        <v>OK</v>
      </c>
    </row>
    <row r="3931" spans="1:10" x14ac:dyDescent="0.2">
      <c r="A3931">
        <v>13930</v>
      </c>
      <c r="B3931" t="s">
        <v>10</v>
      </c>
      <c r="C3931" t="s">
        <v>6</v>
      </c>
      <c r="D3931" s="8">
        <v>14.03</v>
      </c>
      <c r="E3931">
        <v>1</v>
      </c>
      <c r="F3931" t="str">
        <f t="shared" si="244"/>
        <v>Value</v>
      </c>
      <c r="G3931" s="3" cm="1">
        <f t="array" ref="G3931">_xlfn.XLOOKUP(C3931 &amp; F3931,
         [1]unilever_price_limits!A:A &amp; [1]unilever_price_limits!B:B,
         [1]unilever_price_limits!C:C)</f>
        <v>12</v>
      </c>
      <c r="H3931" s="8">
        <f t="shared" si="245"/>
        <v>15.713600000000001</v>
      </c>
      <c r="I3931" s="6">
        <f t="shared" si="246"/>
        <v>12.000000000000011</v>
      </c>
      <c r="J3931" t="str">
        <f t="shared" si="247"/>
        <v>OK</v>
      </c>
    </row>
    <row r="3932" spans="1:10" x14ac:dyDescent="0.2">
      <c r="A3932">
        <v>13931</v>
      </c>
      <c r="B3932" t="s">
        <v>7</v>
      </c>
      <c r="C3932" t="s">
        <v>11</v>
      </c>
      <c r="D3932" s="8">
        <v>5.51</v>
      </c>
      <c r="E3932">
        <v>9</v>
      </c>
      <c r="F3932" t="str">
        <f t="shared" si="244"/>
        <v>Premium</v>
      </c>
      <c r="G3932" s="3" cm="1">
        <f t="array" ref="G3932">_xlfn.XLOOKUP(C3932 &amp; F3932,
         [1]unilever_price_limits!A:A &amp; [1]unilever_price_limits!B:B,
         [1]unilever_price_limits!C:C)</f>
        <v>50</v>
      </c>
      <c r="H3932" s="8">
        <f t="shared" si="245"/>
        <v>8.2650000000000006</v>
      </c>
      <c r="I3932" s="6">
        <f t="shared" si="246"/>
        <v>50.000000000000021</v>
      </c>
      <c r="J3932" t="str">
        <f t="shared" si="247"/>
        <v>OK</v>
      </c>
    </row>
    <row r="3933" spans="1:10" x14ac:dyDescent="0.2">
      <c r="A3933">
        <v>13932</v>
      </c>
      <c r="B3933" t="s">
        <v>8</v>
      </c>
      <c r="C3933" t="s">
        <v>9</v>
      </c>
      <c r="D3933" s="8">
        <v>2.04</v>
      </c>
      <c r="E3933">
        <v>3</v>
      </c>
      <c r="F3933" t="str">
        <f t="shared" si="244"/>
        <v>Value</v>
      </c>
      <c r="G3933" s="3" cm="1">
        <f t="array" ref="G3933">_xlfn.XLOOKUP(C3933 &amp; F3933,
         [1]unilever_price_limits!A:A &amp; [1]unilever_price_limits!B:B,
         [1]unilever_price_limits!C:C)</f>
        <v>15</v>
      </c>
      <c r="H3933" s="8">
        <f t="shared" si="245"/>
        <v>2.3459999999999996</v>
      </c>
      <c r="I3933" s="6">
        <f t="shared" si="246"/>
        <v>14.999999999999991</v>
      </c>
      <c r="J3933" t="str">
        <f t="shared" si="247"/>
        <v>OK</v>
      </c>
    </row>
    <row r="3934" spans="1:10" x14ac:dyDescent="0.2">
      <c r="A3934">
        <v>13933</v>
      </c>
      <c r="B3934" t="s">
        <v>8</v>
      </c>
      <c r="C3934" t="s">
        <v>11</v>
      </c>
      <c r="D3934" s="8">
        <v>7.63</v>
      </c>
      <c r="E3934">
        <v>5</v>
      </c>
      <c r="F3934" t="str">
        <f t="shared" si="244"/>
        <v>Standard</v>
      </c>
      <c r="G3934" s="3" cm="1">
        <f t="array" ref="G3934">_xlfn.XLOOKUP(C3934 &amp; F3934,
         [1]unilever_price_limits!A:A &amp; [1]unilever_price_limits!B:B,
         [1]unilever_price_limits!C:C)</f>
        <v>25</v>
      </c>
      <c r="H3934" s="8">
        <f t="shared" si="245"/>
        <v>9.5374999999999996</v>
      </c>
      <c r="I3934" s="6">
        <f t="shared" si="246"/>
        <v>25</v>
      </c>
      <c r="J3934" t="str">
        <f t="shared" si="247"/>
        <v>OK</v>
      </c>
    </row>
    <row r="3935" spans="1:10" x14ac:dyDescent="0.2">
      <c r="A3935">
        <v>13934</v>
      </c>
      <c r="B3935" t="s">
        <v>7</v>
      </c>
      <c r="C3935" t="s">
        <v>6</v>
      </c>
      <c r="D3935" s="8">
        <v>11.64</v>
      </c>
      <c r="E3935">
        <v>9</v>
      </c>
      <c r="F3935" t="str">
        <f t="shared" si="244"/>
        <v>Premium</v>
      </c>
      <c r="G3935" s="3" cm="1">
        <f t="array" ref="G3935">_xlfn.XLOOKUP(C3935 &amp; F3935,
         [1]unilever_price_limits!A:A &amp; [1]unilever_price_limits!B:B,
         [1]unilever_price_limits!C:C)</f>
        <v>55</v>
      </c>
      <c r="H3935" s="8">
        <f t="shared" si="245"/>
        <v>18.042000000000002</v>
      </c>
      <c r="I3935" s="6">
        <f t="shared" si="246"/>
        <v>55.000000000000007</v>
      </c>
      <c r="J3935" t="str">
        <f t="shared" si="247"/>
        <v>OK</v>
      </c>
    </row>
    <row r="3936" spans="1:10" x14ac:dyDescent="0.2">
      <c r="A3936">
        <v>13935</v>
      </c>
      <c r="B3936" t="s">
        <v>8</v>
      </c>
      <c r="C3936" t="s">
        <v>11</v>
      </c>
      <c r="D3936" s="8">
        <v>3.71</v>
      </c>
      <c r="E3936">
        <v>5</v>
      </c>
      <c r="F3936" t="str">
        <f t="shared" si="244"/>
        <v>Standard</v>
      </c>
      <c r="G3936" s="3" cm="1">
        <f t="array" ref="G3936">_xlfn.XLOOKUP(C3936 &amp; F3936,
         [1]unilever_price_limits!A:A &amp; [1]unilever_price_limits!B:B,
         [1]unilever_price_limits!C:C)</f>
        <v>25</v>
      </c>
      <c r="H3936" s="8">
        <f t="shared" si="245"/>
        <v>4.6375000000000002</v>
      </c>
      <c r="I3936" s="6">
        <f t="shared" si="246"/>
        <v>25</v>
      </c>
      <c r="J3936" t="str">
        <f t="shared" si="247"/>
        <v>OK</v>
      </c>
    </row>
    <row r="3937" spans="1:10" x14ac:dyDescent="0.2">
      <c r="A3937">
        <v>13936</v>
      </c>
      <c r="B3937" t="s">
        <v>10</v>
      </c>
      <c r="C3937" t="s">
        <v>6</v>
      </c>
      <c r="D3937" s="8">
        <v>4.41</v>
      </c>
      <c r="E3937">
        <v>9</v>
      </c>
      <c r="F3937" t="str">
        <f t="shared" si="244"/>
        <v>Premium</v>
      </c>
      <c r="G3937" s="3" cm="1">
        <f t="array" ref="G3937">_xlfn.XLOOKUP(C3937 &amp; F3937,
         [1]unilever_price_limits!A:A &amp; [1]unilever_price_limits!B:B,
         [1]unilever_price_limits!C:C)</f>
        <v>55</v>
      </c>
      <c r="H3937" s="8">
        <f t="shared" si="245"/>
        <v>6.8355000000000006</v>
      </c>
      <c r="I3937" s="6">
        <f t="shared" si="246"/>
        <v>55.000000000000007</v>
      </c>
      <c r="J3937" t="str">
        <f t="shared" si="247"/>
        <v>OK</v>
      </c>
    </row>
    <row r="3938" spans="1:10" x14ac:dyDescent="0.2">
      <c r="A3938">
        <v>13937</v>
      </c>
      <c r="B3938" t="s">
        <v>10</v>
      </c>
      <c r="C3938" t="s">
        <v>6</v>
      </c>
      <c r="D3938" s="8">
        <v>4.0199999999999996</v>
      </c>
      <c r="E3938">
        <v>10</v>
      </c>
      <c r="F3938" t="str">
        <f t="shared" si="244"/>
        <v>Premium</v>
      </c>
      <c r="G3938" s="3" cm="1">
        <f t="array" ref="G3938">_xlfn.XLOOKUP(C3938 &amp; F3938,
         [1]unilever_price_limits!A:A &amp; [1]unilever_price_limits!B:B,
         [1]unilever_price_limits!C:C)</f>
        <v>55</v>
      </c>
      <c r="H3938" s="8">
        <f t="shared" si="245"/>
        <v>6.2309999999999999</v>
      </c>
      <c r="I3938" s="6">
        <f t="shared" si="246"/>
        <v>55.000000000000007</v>
      </c>
      <c r="J3938" t="str">
        <f t="shared" si="247"/>
        <v>OK</v>
      </c>
    </row>
    <row r="3939" spans="1:10" x14ac:dyDescent="0.2">
      <c r="A3939">
        <v>13938</v>
      </c>
      <c r="B3939" t="s">
        <v>5</v>
      </c>
      <c r="C3939" t="s">
        <v>11</v>
      </c>
      <c r="D3939" s="8">
        <v>14.88</v>
      </c>
      <c r="E3939">
        <v>8</v>
      </c>
      <c r="F3939" t="str">
        <f t="shared" si="244"/>
        <v>Premium</v>
      </c>
      <c r="G3939" s="3" cm="1">
        <f t="array" ref="G3939">_xlfn.XLOOKUP(C3939 &amp; F3939,
         [1]unilever_price_limits!A:A &amp; [1]unilever_price_limits!B:B,
         [1]unilever_price_limits!C:C)</f>
        <v>50</v>
      </c>
      <c r="H3939" s="8">
        <f t="shared" si="245"/>
        <v>22.32</v>
      </c>
      <c r="I3939" s="6">
        <f t="shared" si="246"/>
        <v>50</v>
      </c>
      <c r="J3939" t="str">
        <f t="shared" si="247"/>
        <v>OK</v>
      </c>
    </row>
    <row r="3940" spans="1:10" x14ac:dyDescent="0.2">
      <c r="A3940">
        <v>13939</v>
      </c>
      <c r="B3940" t="s">
        <v>8</v>
      </c>
      <c r="C3940" t="s">
        <v>9</v>
      </c>
      <c r="D3940" s="8">
        <v>3.36</v>
      </c>
      <c r="E3940">
        <v>7</v>
      </c>
      <c r="F3940" t="str">
        <f t="shared" si="244"/>
        <v>Standard</v>
      </c>
      <c r="G3940" s="3" cm="1">
        <f t="array" ref="G3940">_xlfn.XLOOKUP(C3940 &amp; F3940,
         [1]unilever_price_limits!A:A &amp; [1]unilever_price_limits!B:B,
         [1]unilever_price_limits!C:C)</f>
        <v>30</v>
      </c>
      <c r="H3940" s="8">
        <f t="shared" si="245"/>
        <v>4.3680000000000003</v>
      </c>
      <c r="I3940" s="6">
        <f t="shared" si="246"/>
        <v>30.000000000000004</v>
      </c>
      <c r="J3940" t="str">
        <f t="shared" si="247"/>
        <v>OK</v>
      </c>
    </row>
    <row r="3941" spans="1:10" x14ac:dyDescent="0.2">
      <c r="A3941">
        <v>13940</v>
      </c>
      <c r="B3941" t="s">
        <v>5</v>
      </c>
      <c r="C3941" t="s">
        <v>11</v>
      </c>
      <c r="D3941" s="8">
        <v>8.85</v>
      </c>
      <c r="E3941">
        <v>1</v>
      </c>
      <c r="F3941" t="str">
        <f t="shared" si="244"/>
        <v>Value</v>
      </c>
      <c r="G3941" s="3" cm="1">
        <f t="array" ref="G3941">_xlfn.XLOOKUP(C3941 &amp; F3941,
         [1]unilever_price_limits!A:A &amp; [1]unilever_price_limits!B:B,
         [1]unilever_price_limits!C:C)</f>
        <v>10</v>
      </c>
      <c r="H3941" s="8">
        <f t="shared" si="245"/>
        <v>9.7350000000000012</v>
      </c>
      <c r="I3941" s="6">
        <f t="shared" si="246"/>
        <v>10.000000000000009</v>
      </c>
      <c r="J3941" t="str">
        <f t="shared" si="247"/>
        <v>OK</v>
      </c>
    </row>
    <row r="3942" spans="1:10" x14ac:dyDescent="0.2">
      <c r="A3942">
        <v>13941</v>
      </c>
      <c r="B3942" t="s">
        <v>8</v>
      </c>
      <c r="C3942" t="s">
        <v>9</v>
      </c>
      <c r="D3942" s="8">
        <v>13.92</v>
      </c>
      <c r="E3942">
        <v>4</v>
      </c>
      <c r="F3942" t="str">
        <f t="shared" si="244"/>
        <v>Standard</v>
      </c>
      <c r="G3942" s="3" cm="1">
        <f t="array" ref="G3942">_xlfn.XLOOKUP(C3942 &amp; F3942,
         [1]unilever_price_limits!A:A &amp; [1]unilever_price_limits!B:B,
         [1]unilever_price_limits!C:C)</f>
        <v>30</v>
      </c>
      <c r="H3942" s="8">
        <f t="shared" si="245"/>
        <v>18.096</v>
      </c>
      <c r="I3942" s="6">
        <f t="shared" si="246"/>
        <v>30.000000000000004</v>
      </c>
      <c r="J3942" t="str">
        <f t="shared" si="247"/>
        <v>OK</v>
      </c>
    </row>
    <row r="3943" spans="1:10" x14ac:dyDescent="0.2">
      <c r="A3943">
        <v>13942</v>
      </c>
      <c r="B3943" t="s">
        <v>10</v>
      </c>
      <c r="C3943" t="s">
        <v>9</v>
      </c>
      <c r="D3943" s="8">
        <v>2.63</v>
      </c>
      <c r="E3943">
        <v>9</v>
      </c>
      <c r="F3943" t="str">
        <f t="shared" si="244"/>
        <v>Premium</v>
      </c>
      <c r="G3943" s="3" cm="1">
        <f t="array" ref="G3943">_xlfn.XLOOKUP(C3943 &amp; F3943,
         [1]unilever_price_limits!A:A &amp; [1]unilever_price_limits!B:B,
         [1]unilever_price_limits!C:C)</f>
        <v>60</v>
      </c>
      <c r="H3943" s="8">
        <f t="shared" si="245"/>
        <v>4.2080000000000002</v>
      </c>
      <c r="I3943" s="6">
        <f t="shared" si="246"/>
        <v>60.000000000000007</v>
      </c>
      <c r="J3943" t="str">
        <f t="shared" si="247"/>
        <v>OK</v>
      </c>
    </row>
    <row r="3944" spans="1:10" x14ac:dyDescent="0.2">
      <c r="A3944">
        <v>13943</v>
      </c>
      <c r="B3944" t="s">
        <v>10</v>
      </c>
      <c r="C3944" t="s">
        <v>11</v>
      </c>
      <c r="D3944" s="8">
        <v>14.58</v>
      </c>
      <c r="E3944">
        <v>10</v>
      </c>
      <c r="F3944" t="str">
        <f t="shared" si="244"/>
        <v>Premium</v>
      </c>
      <c r="G3944" s="3" cm="1">
        <f t="array" ref="G3944">_xlfn.XLOOKUP(C3944 &amp; F3944,
         [1]unilever_price_limits!A:A &amp; [1]unilever_price_limits!B:B,
         [1]unilever_price_limits!C:C)</f>
        <v>50</v>
      </c>
      <c r="H3944" s="8">
        <f t="shared" si="245"/>
        <v>21.87</v>
      </c>
      <c r="I3944" s="6">
        <f t="shared" si="246"/>
        <v>50</v>
      </c>
      <c r="J3944" t="str">
        <f t="shared" si="247"/>
        <v>OK</v>
      </c>
    </row>
    <row r="3945" spans="1:10" x14ac:dyDescent="0.2">
      <c r="A3945">
        <v>13944</v>
      </c>
      <c r="B3945" t="s">
        <v>10</v>
      </c>
      <c r="C3945" t="s">
        <v>9</v>
      </c>
      <c r="D3945" s="8">
        <v>14.24</v>
      </c>
      <c r="E3945">
        <v>8</v>
      </c>
      <c r="F3945" t="str">
        <f t="shared" si="244"/>
        <v>Premium</v>
      </c>
      <c r="G3945" s="3" cm="1">
        <f t="array" ref="G3945">_xlfn.XLOOKUP(C3945 &amp; F3945,
         [1]unilever_price_limits!A:A &amp; [1]unilever_price_limits!B:B,
         [1]unilever_price_limits!C:C)</f>
        <v>60</v>
      </c>
      <c r="H3945" s="8">
        <f t="shared" si="245"/>
        <v>22.784000000000002</v>
      </c>
      <c r="I3945" s="6">
        <f t="shared" si="246"/>
        <v>60.000000000000007</v>
      </c>
      <c r="J3945" t="str">
        <f t="shared" si="247"/>
        <v>OK</v>
      </c>
    </row>
    <row r="3946" spans="1:10" x14ac:dyDescent="0.2">
      <c r="A3946">
        <v>13945</v>
      </c>
      <c r="B3946" t="s">
        <v>8</v>
      </c>
      <c r="C3946" t="s">
        <v>9</v>
      </c>
      <c r="D3946" s="8">
        <v>13.33</v>
      </c>
      <c r="E3946">
        <v>4</v>
      </c>
      <c r="F3946" t="str">
        <f t="shared" si="244"/>
        <v>Standard</v>
      </c>
      <c r="G3946" s="3" cm="1">
        <f t="array" ref="G3946">_xlfn.XLOOKUP(C3946 &amp; F3946,
         [1]unilever_price_limits!A:A &amp; [1]unilever_price_limits!B:B,
         [1]unilever_price_limits!C:C)</f>
        <v>30</v>
      </c>
      <c r="H3946" s="8">
        <f t="shared" si="245"/>
        <v>17.329000000000001</v>
      </c>
      <c r="I3946" s="6">
        <f t="shared" si="246"/>
        <v>30.000000000000004</v>
      </c>
      <c r="J3946" t="str">
        <f t="shared" si="247"/>
        <v>OK</v>
      </c>
    </row>
    <row r="3947" spans="1:10" x14ac:dyDescent="0.2">
      <c r="A3947">
        <v>13946</v>
      </c>
      <c r="B3947" t="s">
        <v>10</v>
      </c>
      <c r="C3947" t="s">
        <v>11</v>
      </c>
      <c r="D3947" s="8">
        <v>3.61</v>
      </c>
      <c r="E3947">
        <v>1</v>
      </c>
      <c r="F3947" t="str">
        <f t="shared" si="244"/>
        <v>Value</v>
      </c>
      <c r="G3947" s="3" cm="1">
        <f t="array" ref="G3947">_xlfn.XLOOKUP(C3947 &amp; F3947,
         [1]unilever_price_limits!A:A &amp; [1]unilever_price_limits!B:B,
         [1]unilever_price_limits!C:C)</f>
        <v>10</v>
      </c>
      <c r="H3947" s="8">
        <f t="shared" si="245"/>
        <v>3.9710000000000001</v>
      </c>
      <c r="I3947" s="6">
        <f t="shared" si="246"/>
        <v>10.000000000000009</v>
      </c>
      <c r="J3947" t="str">
        <f t="shared" si="247"/>
        <v>OK</v>
      </c>
    </row>
    <row r="3948" spans="1:10" x14ac:dyDescent="0.2">
      <c r="A3948">
        <v>13947</v>
      </c>
      <c r="B3948" t="s">
        <v>8</v>
      </c>
      <c r="C3948" t="s">
        <v>11</v>
      </c>
      <c r="D3948" s="8">
        <v>9.69</v>
      </c>
      <c r="E3948">
        <v>10</v>
      </c>
      <c r="F3948" t="str">
        <f t="shared" si="244"/>
        <v>Premium</v>
      </c>
      <c r="G3948" s="3" cm="1">
        <f t="array" ref="G3948">_xlfn.XLOOKUP(C3948 &amp; F3948,
         [1]unilever_price_limits!A:A &amp; [1]unilever_price_limits!B:B,
         [1]unilever_price_limits!C:C)</f>
        <v>50</v>
      </c>
      <c r="H3948" s="8">
        <f t="shared" si="245"/>
        <v>14.535</v>
      </c>
      <c r="I3948" s="6">
        <f t="shared" si="246"/>
        <v>50</v>
      </c>
      <c r="J3948" t="str">
        <f t="shared" si="247"/>
        <v>OK</v>
      </c>
    </row>
    <row r="3949" spans="1:10" x14ac:dyDescent="0.2">
      <c r="A3949">
        <v>13948</v>
      </c>
      <c r="B3949" t="s">
        <v>5</v>
      </c>
      <c r="C3949" t="s">
        <v>11</v>
      </c>
      <c r="D3949" s="8">
        <v>11.53</v>
      </c>
      <c r="E3949">
        <v>4</v>
      </c>
      <c r="F3949" t="str">
        <f t="shared" si="244"/>
        <v>Standard</v>
      </c>
      <c r="G3949" s="3" cm="1">
        <f t="array" ref="G3949">_xlfn.XLOOKUP(C3949 &amp; F3949,
         [1]unilever_price_limits!A:A &amp; [1]unilever_price_limits!B:B,
         [1]unilever_price_limits!C:C)</f>
        <v>25</v>
      </c>
      <c r="H3949" s="8">
        <f t="shared" si="245"/>
        <v>14.4125</v>
      </c>
      <c r="I3949" s="6">
        <f t="shared" si="246"/>
        <v>25</v>
      </c>
      <c r="J3949" t="str">
        <f t="shared" si="247"/>
        <v>OK</v>
      </c>
    </row>
    <row r="3950" spans="1:10" x14ac:dyDescent="0.2">
      <c r="A3950">
        <v>13949</v>
      </c>
      <c r="B3950" t="s">
        <v>8</v>
      </c>
      <c r="C3950" t="s">
        <v>9</v>
      </c>
      <c r="D3950" s="8">
        <v>14.8</v>
      </c>
      <c r="E3950">
        <v>3</v>
      </c>
      <c r="F3950" t="str">
        <f t="shared" si="244"/>
        <v>Value</v>
      </c>
      <c r="G3950" s="3" cm="1">
        <f t="array" ref="G3950">_xlfn.XLOOKUP(C3950 &amp; F3950,
         [1]unilever_price_limits!A:A &amp; [1]unilever_price_limits!B:B,
         [1]unilever_price_limits!C:C)</f>
        <v>15</v>
      </c>
      <c r="H3950" s="8">
        <f t="shared" si="245"/>
        <v>17.02</v>
      </c>
      <c r="I3950" s="6">
        <f t="shared" si="246"/>
        <v>14.999999999999991</v>
      </c>
      <c r="J3950" t="str">
        <f t="shared" si="247"/>
        <v>OK</v>
      </c>
    </row>
    <row r="3951" spans="1:10" x14ac:dyDescent="0.2">
      <c r="A3951">
        <v>13950</v>
      </c>
      <c r="B3951" t="s">
        <v>5</v>
      </c>
      <c r="C3951" t="s">
        <v>6</v>
      </c>
      <c r="D3951" s="8">
        <v>3.12</v>
      </c>
      <c r="E3951">
        <v>6</v>
      </c>
      <c r="F3951" t="str">
        <f t="shared" si="244"/>
        <v>Standard</v>
      </c>
      <c r="G3951" s="3" cm="1">
        <f t="array" ref="G3951">_xlfn.XLOOKUP(C3951 &amp; F3951,
         [1]unilever_price_limits!A:A &amp; [1]unilever_price_limits!B:B,
         [1]unilever_price_limits!C:C)</f>
        <v>28</v>
      </c>
      <c r="H3951" s="8">
        <f t="shared" si="245"/>
        <v>3.9936000000000003</v>
      </c>
      <c r="I3951" s="6">
        <f t="shared" si="246"/>
        <v>28.000000000000004</v>
      </c>
      <c r="J3951" t="str">
        <f t="shared" si="247"/>
        <v>OK</v>
      </c>
    </row>
    <row r="3952" spans="1:10" x14ac:dyDescent="0.2">
      <c r="A3952">
        <v>13951</v>
      </c>
      <c r="B3952" t="s">
        <v>8</v>
      </c>
      <c r="C3952" t="s">
        <v>9</v>
      </c>
      <c r="D3952" s="8">
        <v>11.61</v>
      </c>
      <c r="E3952">
        <v>5</v>
      </c>
      <c r="F3952" t="str">
        <f t="shared" si="244"/>
        <v>Standard</v>
      </c>
      <c r="G3952" s="3" cm="1">
        <f t="array" ref="G3952">_xlfn.XLOOKUP(C3952 &amp; F3952,
         [1]unilever_price_limits!A:A &amp; [1]unilever_price_limits!B:B,
         [1]unilever_price_limits!C:C)</f>
        <v>30</v>
      </c>
      <c r="H3952" s="8">
        <f t="shared" si="245"/>
        <v>15.093</v>
      </c>
      <c r="I3952" s="6">
        <f t="shared" si="246"/>
        <v>30.000000000000004</v>
      </c>
      <c r="J3952" t="str">
        <f t="shared" si="247"/>
        <v>OK</v>
      </c>
    </row>
    <row r="3953" spans="1:10" x14ac:dyDescent="0.2">
      <c r="A3953">
        <v>13952</v>
      </c>
      <c r="B3953" t="s">
        <v>5</v>
      </c>
      <c r="C3953" t="s">
        <v>6</v>
      </c>
      <c r="D3953" s="8">
        <v>5.41</v>
      </c>
      <c r="E3953">
        <v>5</v>
      </c>
      <c r="F3953" t="str">
        <f t="shared" si="244"/>
        <v>Standard</v>
      </c>
      <c r="G3953" s="3" cm="1">
        <f t="array" ref="G3953">_xlfn.XLOOKUP(C3953 &amp; F3953,
         [1]unilever_price_limits!A:A &amp; [1]unilever_price_limits!B:B,
         [1]unilever_price_limits!C:C)</f>
        <v>28</v>
      </c>
      <c r="H3953" s="8">
        <f t="shared" si="245"/>
        <v>6.9248000000000003</v>
      </c>
      <c r="I3953" s="6">
        <f t="shared" si="246"/>
        <v>28.000000000000004</v>
      </c>
      <c r="J3953" t="str">
        <f t="shared" si="247"/>
        <v>OK</v>
      </c>
    </row>
    <row r="3954" spans="1:10" x14ac:dyDescent="0.2">
      <c r="A3954">
        <v>13953</v>
      </c>
      <c r="B3954" t="s">
        <v>10</v>
      </c>
      <c r="C3954" t="s">
        <v>11</v>
      </c>
      <c r="D3954" s="8">
        <v>3.05</v>
      </c>
      <c r="E3954">
        <v>2</v>
      </c>
      <c r="F3954" t="str">
        <f t="shared" si="244"/>
        <v>Value</v>
      </c>
      <c r="G3954" s="3" cm="1">
        <f t="array" ref="G3954">_xlfn.XLOOKUP(C3954 &amp; F3954,
         [1]unilever_price_limits!A:A &amp; [1]unilever_price_limits!B:B,
         [1]unilever_price_limits!C:C)</f>
        <v>10</v>
      </c>
      <c r="H3954" s="8">
        <f t="shared" si="245"/>
        <v>3.355</v>
      </c>
      <c r="I3954" s="6">
        <f t="shared" si="246"/>
        <v>10.000000000000009</v>
      </c>
      <c r="J3954" t="str">
        <f t="shared" si="247"/>
        <v>OK</v>
      </c>
    </row>
    <row r="3955" spans="1:10" x14ac:dyDescent="0.2">
      <c r="A3955">
        <v>13954</v>
      </c>
      <c r="B3955" t="s">
        <v>5</v>
      </c>
      <c r="C3955" t="s">
        <v>6</v>
      </c>
      <c r="D3955" s="8">
        <v>6.61</v>
      </c>
      <c r="E3955">
        <v>3</v>
      </c>
      <c r="F3955" t="str">
        <f t="shared" si="244"/>
        <v>Value</v>
      </c>
      <c r="G3955" s="3" cm="1">
        <f t="array" ref="G3955">_xlfn.XLOOKUP(C3955 &amp; F3955,
         [1]unilever_price_limits!A:A &amp; [1]unilever_price_limits!B:B,
         [1]unilever_price_limits!C:C)</f>
        <v>12</v>
      </c>
      <c r="H3955" s="8">
        <f t="shared" si="245"/>
        <v>7.4032000000000009</v>
      </c>
      <c r="I3955" s="6">
        <f t="shared" si="246"/>
        <v>12.000000000000011</v>
      </c>
      <c r="J3955" t="str">
        <f t="shared" si="247"/>
        <v>OK</v>
      </c>
    </row>
    <row r="3956" spans="1:10" x14ac:dyDescent="0.2">
      <c r="A3956">
        <v>13955</v>
      </c>
      <c r="B3956" t="s">
        <v>10</v>
      </c>
      <c r="C3956" t="s">
        <v>11</v>
      </c>
      <c r="D3956" s="8">
        <v>12.01</v>
      </c>
      <c r="E3956">
        <v>6</v>
      </c>
      <c r="F3956" t="str">
        <f t="shared" si="244"/>
        <v>Standard</v>
      </c>
      <c r="G3956" s="3" cm="1">
        <f t="array" ref="G3956">_xlfn.XLOOKUP(C3956 &amp; F3956,
         [1]unilever_price_limits!A:A &amp; [1]unilever_price_limits!B:B,
         [1]unilever_price_limits!C:C)</f>
        <v>25</v>
      </c>
      <c r="H3956" s="8">
        <f t="shared" si="245"/>
        <v>15.012499999999999</v>
      </c>
      <c r="I3956" s="6">
        <f t="shared" si="246"/>
        <v>25</v>
      </c>
      <c r="J3956" t="str">
        <f t="shared" si="247"/>
        <v>OK</v>
      </c>
    </row>
    <row r="3957" spans="1:10" x14ac:dyDescent="0.2">
      <c r="A3957">
        <v>13956</v>
      </c>
      <c r="B3957" t="s">
        <v>10</v>
      </c>
      <c r="C3957" t="s">
        <v>11</v>
      </c>
      <c r="D3957" s="8">
        <v>7.24</v>
      </c>
      <c r="E3957">
        <v>2</v>
      </c>
      <c r="F3957" t="str">
        <f t="shared" si="244"/>
        <v>Value</v>
      </c>
      <c r="G3957" s="3" cm="1">
        <f t="array" ref="G3957">_xlfn.XLOOKUP(C3957 &amp; F3957,
         [1]unilever_price_limits!A:A &amp; [1]unilever_price_limits!B:B,
         [1]unilever_price_limits!C:C)</f>
        <v>10</v>
      </c>
      <c r="H3957" s="8">
        <f t="shared" si="245"/>
        <v>7.9640000000000013</v>
      </c>
      <c r="I3957" s="6">
        <f t="shared" si="246"/>
        <v>10.000000000000009</v>
      </c>
      <c r="J3957" t="str">
        <f t="shared" si="247"/>
        <v>OK</v>
      </c>
    </row>
    <row r="3958" spans="1:10" x14ac:dyDescent="0.2">
      <c r="A3958">
        <v>13957</v>
      </c>
      <c r="B3958" t="s">
        <v>5</v>
      </c>
      <c r="C3958" t="s">
        <v>6</v>
      </c>
      <c r="D3958" s="8">
        <v>8.2899999999999991</v>
      </c>
      <c r="E3958">
        <v>4</v>
      </c>
      <c r="F3958" t="str">
        <f t="shared" si="244"/>
        <v>Standard</v>
      </c>
      <c r="G3958" s="3" cm="1">
        <f t="array" ref="G3958">_xlfn.XLOOKUP(C3958 &amp; F3958,
         [1]unilever_price_limits!A:A &amp; [1]unilever_price_limits!B:B,
         [1]unilever_price_limits!C:C)</f>
        <v>28</v>
      </c>
      <c r="H3958" s="8">
        <f t="shared" si="245"/>
        <v>10.611199999999998</v>
      </c>
      <c r="I3958" s="6">
        <f t="shared" si="246"/>
        <v>28.000000000000004</v>
      </c>
      <c r="J3958" t="str">
        <f t="shared" si="247"/>
        <v>OK</v>
      </c>
    </row>
    <row r="3959" spans="1:10" x14ac:dyDescent="0.2">
      <c r="A3959">
        <v>13958</v>
      </c>
      <c r="B3959" t="s">
        <v>8</v>
      </c>
      <c r="C3959" t="s">
        <v>11</v>
      </c>
      <c r="D3959" s="8">
        <v>14.93</v>
      </c>
      <c r="E3959">
        <v>2</v>
      </c>
      <c r="F3959" t="str">
        <f t="shared" si="244"/>
        <v>Value</v>
      </c>
      <c r="G3959" s="3" cm="1">
        <f t="array" ref="G3959">_xlfn.XLOOKUP(C3959 &amp; F3959,
         [1]unilever_price_limits!A:A &amp; [1]unilever_price_limits!B:B,
         [1]unilever_price_limits!C:C)</f>
        <v>10</v>
      </c>
      <c r="H3959" s="8">
        <f t="shared" si="245"/>
        <v>16.423000000000002</v>
      </c>
      <c r="I3959" s="6">
        <f t="shared" si="246"/>
        <v>10.000000000000009</v>
      </c>
      <c r="J3959" t="str">
        <f t="shared" si="247"/>
        <v>OK</v>
      </c>
    </row>
    <row r="3960" spans="1:10" x14ac:dyDescent="0.2">
      <c r="A3960">
        <v>13959</v>
      </c>
      <c r="B3960" t="s">
        <v>8</v>
      </c>
      <c r="C3960" t="s">
        <v>6</v>
      </c>
      <c r="D3960" s="8">
        <v>6.29</v>
      </c>
      <c r="E3960">
        <v>9</v>
      </c>
      <c r="F3960" t="str">
        <f t="shared" si="244"/>
        <v>Premium</v>
      </c>
      <c r="G3960" s="3" cm="1">
        <f t="array" ref="G3960">_xlfn.XLOOKUP(C3960 &amp; F3960,
         [1]unilever_price_limits!A:A &amp; [1]unilever_price_limits!B:B,
         [1]unilever_price_limits!C:C)</f>
        <v>55</v>
      </c>
      <c r="H3960" s="8">
        <f t="shared" si="245"/>
        <v>9.7495000000000012</v>
      </c>
      <c r="I3960" s="6">
        <f t="shared" si="246"/>
        <v>55.000000000000028</v>
      </c>
      <c r="J3960" t="str">
        <f t="shared" si="247"/>
        <v>OK</v>
      </c>
    </row>
    <row r="3961" spans="1:10" x14ac:dyDescent="0.2">
      <c r="A3961">
        <v>13960</v>
      </c>
      <c r="B3961" t="s">
        <v>7</v>
      </c>
      <c r="C3961" t="s">
        <v>11</v>
      </c>
      <c r="D3961" s="8">
        <v>9.42</v>
      </c>
      <c r="E3961">
        <v>3</v>
      </c>
      <c r="F3961" t="str">
        <f t="shared" si="244"/>
        <v>Value</v>
      </c>
      <c r="G3961" s="3" cm="1">
        <f t="array" ref="G3961">_xlfn.XLOOKUP(C3961 &amp; F3961,
         [1]unilever_price_limits!A:A &amp; [1]unilever_price_limits!B:B,
         [1]unilever_price_limits!C:C)</f>
        <v>10</v>
      </c>
      <c r="H3961" s="8">
        <f t="shared" si="245"/>
        <v>10.362</v>
      </c>
      <c r="I3961" s="6">
        <f t="shared" si="246"/>
        <v>10.000000000000009</v>
      </c>
      <c r="J3961" t="str">
        <f t="shared" si="247"/>
        <v>OK</v>
      </c>
    </row>
    <row r="3962" spans="1:10" x14ac:dyDescent="0.2">
      <c r="A3962">
        <v>13961</v>
      </c>
      <c r="B3962" t="s">
        <v>8</v>
      </c>
      <c r="C3962" t="s">
        <v>9</v>
      </c>
      <c r="D3962" s="8">
        <v>5.8</v>
      </c>
      <c r="E3962">
        <v>10</v>
      </c>
      <c r="F3962" t="str">
        <f t="shared" si="244"/>
        <v>Premium</v>
      </c>
      <c r="G3962" s="3" cm="1">
        <f t="array" ref="G3962">_xlfn.XLOOKUP(C3962 &amp; F3962,
         [1]unilever_price_limits!A:A &amp; [1]unilever_price_limits!B:B,
         [1]unilever_price_limits!C:C)</f>
        <v>60</v>
      </c>
      <c r="H3962" s="8">
        <f t="shared" si="245"/>
        <v>9.2799999999999994</v>
      </c>
      <c r="I3962" s="6">
        <f t="shared" si="246"/>
        <v>59.999999999999986</v>
      </c>
      <c r="J3962" t="str">
        <f t="shared" si="247"/>
        <v>OK</v>
      </c>
    </row>
    <row r="3963" spans="1:10" x14ac:dyDescent="0.2">
      <c r="A3963">
        <v>13962</v>
      </c>
      <c r="B3963" t="s">
        <v>7</v>
      </c>
      <c r="C3963" t="s">
        <v>9</v>
      </c>
      <c r="D3963" s="8">
        <v>6.2</v>
      </c>
      <c r="E3963">
        <v>10</v>
      </c>
      <c r="F3963" t="str">
        <f t="shared" si="244"/>
        <v>Premium</v>
      </c>
      <c r="G3963" s="3" cm="1">
        <f t="array" ref="G3963">_xlfn.XLOOKUP(C3963 &amp; F3963,
         [1]unilever_price_limits!A:A &amp; [1]unilever_price_limits!B:B,
         [1]unilever_price_limits!C:C)</f>
        <v>60</v>
      </c>
      <c r="H3963" s="8">
        <f t="shared" si="245"/>
        <v>9.9200000000000017</v>
      </c>
      <c r="I3963" s="6">
        <f t="shared" si="246"/>
        <v>60.000000000000028</v>
      </c>
      <c r="J3963" t="str">
        <f t="shared" si="247"/>
        <v>OK</v>
      </c>
    </row>
    <row r="3964" spans="1:10" x14ac:dyDescent="0.2">
      <c r="A3964">
        <v>13963</v>
      </c>
      <c r="B3964" t="s">
        <v>8</v>
      </c>
      <c r="C3964" t="s">
        <v>11</v>
      </c>
      <c r="D3964" s="8">
        <v>10.59</v>
      </c>
      <c r="E3964">
        <v>6</v>
      </c>
      <c r="F3964" t="str">
        <f t="shared" si="244"/>
        <v>Standard</v>
      </c>
      <c r="G3964" s="3" cm="1">
        <f t="array" ref="G3964">_xlfn.XLOOKUP(C3964 &amp; F3964,
         [1]unilever_price_limits!A:A &amp; [1]unilever_price_limits!B:B,
         [1]unilever_price_limits!C:C)</f>
        <v>25</v>
      </c>
      <c r="H3964" s="8">
        <f t="shared" si="245"/>
        <v>13.237500000000001</v>
      </c>
      <c r="I3964" s="6">
        <f t="shared" si="246"/>
        <v>25</v>
      </c>
      <c r="J3964" t="str">
        <f t="shared" si="247"/>
        <v>OK</v>
      </c>
    </row>
    <row r="3965" spans="1:10" x14ac:dyDescent="0.2">
      <c r="A3965">
        <v>13964</v>
      </c>
      <c r="B3965" t="s">
        <v>8</v>
      </c>
      <c r="C3965" t="s">
        <v>11</v>
      </c>
      <c r="D3965" s="8">
        <v>14.1</v>
      </c>
      <c r="E3965">
        <v>1</v>
      </c>
      <c r="F3965" t="str">
        <f t="shared" si="244"/>
        <v>Value</v>
      </c>
      <c r="G3965" s="3" cm="1">
        <f t="array" ref="G3965">_xlfn.XLOOKUP(C3965 &amp; F3965,
         [1]unilever_price_limits!A:A &amp; [1]unilever_price_limits!B:B,
         [1]unilever_price_limits!C:C)</f>
        <v>10</v>
      </c>
      <c r="H3965" s="8">
        <f t="shared" si="245"/>
        <v>15.510000000000002</v>
      </c>
      <c r="I3965" s="6">
        <f t="shared" si="246"/>
        <v>10.000000000000009</v>
      </c>
      <c r="J3965" t="str">
        <f t="shared" si="247"/>
        <v>OK</v>
      </c>
    </row>
    <row r="3966" spans="1:10" x14ac:dyDescent="0.2">
      <c r="A3966">
        <v>13965</v>
      </c>
      <c r="B3966" t="s">
        <v>10</v>
      </c>
      <c r="C3966" t="s">
        <v>6</v>
      </c>
      <c r="D3966" s="8">
        <v>8.36</v>
      </c>
      <c r="E3966">
        <v>10</v>
      </c>
      <c r="F3966" t="str">
        <f t="shared" si="244"/>
        <v>Premium</v>
      </c>
      <c r="G3966" s="3" cm="1">
        <f t="array" ref="G3966">_xlfn.XLOOKUP(C3966 &amp; F3966,
         [1]unilever_price_limits!A:A &amp; [1]unilever_price_limits!B:B,
         [1]unilever_price_limits!C:C)</f>
        <v>55</v>
      </c>
      <c r="H3966" s="8">
        <f t="shared" si="245"/>
        <v>12.958</v>
      </c>
      <c r="I3966" s="6">
        <f t="shared" si="246"/>
        <v>55.000000000000007</v>
      </c>
      <c r="J3966" t="str">
        <f t="shared" si="247"/>
        <v>OK</v>
      </c>
    </row>
    <row r="3967" spans="1:10" x14ac:dyDescent="0.2">
      <c r="A3967">
        <v>13966</v>
      </c>
      <c r="B3967" t="s">
        <v>7</v>
      </c>
      <c r="C3967" t="s">
        <v>9</v>
      </c>
      <c r="D3967" s="8">
        <v>11.64</v>
      </c>
      <c r="E3967">
        <v>3</v>
      </c>
      <c r="F3967" t="str">
        <f t="shared" si="244"/>
        <v>Value</v>
      </c>
      <c r="G3967" s="3" cm="1">
        <f t="array" ref="G3967">_xlfn.XLOOKUP(C3967 &amp; F3967,
         [1]unilever_price_limits!A:A &amp; [1]unilever_price_limits!B:B,
         [1]unilever_price_limits!C:C)</f>
        <v>15</v>
      </c>
      <c r="H3967" s="8">
        <f t="shared" si="245"/>
        <v>13.385999999999999</v>
      </c>
      <c r="I3967" s="6">
        <f t="shared" si="246"/>
        <v>14.999999999999991</v>
      </c>
      <c r="J3967" t="str">
        <f t="shared" si="247"/>
        <v>OK</v>
      </c>
    </row>
    <row r="3968" spans="1:10" x14ac:dyDescent="0.2">
      <c r="A3968">
        <v>13967</v>
      </c>
      <c r="B3968" t="s">
        <v>8</v>
      </c>
      <c r="C3968" t="s">
        <v>6</v>
      </c>
      <c r="D3968" s="8">
        <v>1.79</v>
      </c>
      <c r="E3968">
        <v>8</v>
      </c>
      <c r="F3968" t="str">
        <f t="shared" si="244"/>
        <v>Premium</v>
      </c>
      <c r="G3968" s="3" cm="1">
        <f t="array" ref="G3968">_xlfn.XLOOKUP(C3968 &amp; F3968,
         [1]unilever_price_limits!A:A &amp; [1]unilever_price_limits!B:B,
         [1]unilever_price_limits!C:C)</f>
        <v>55</v>
      </c>
      <c r="H3968" s="8">
        <f t="shared" si="245"/>
        <v>2.7745000000000002</v>
      </c>
      <c r="I3968" s="6">
        <f t="shared" si="246"/>
        <v>55.000000000000007</v>
      </c>
      <c r="J3968" t="str">
        <f t="shared" si="247"/>
        <v>OK</v>
      </c>
    </row>
    <row r="3969" spans="1:10" x14ac:dyDescent="0.2">
      <c r="A3969">
        <v>13968</v>
      </c>
      <c r="B3969" t="s">
        <v>7</v>
      </c>
      <c r="C3969" t="s">
        <v>11</v>
      </c>
      <c r="D3969" s="8">
        <v>3.56</v>
      </c>
      <c r="E3969">
        <v>5</v>
      </c>
      <c r="F3969" t="str">
        <f t="shared" si="244"/>
        <v>Standard</v>
      </c>
      <c r="G3969" s="3" cm="1">
        <f t="array" ref="G3969">_xlfn.XLOOKUP(C3969 &amp; F3969,
         [1]unilever_price_limits!A:A &amp; [1]unilever_price_limits!B:B,
         [1]unilever_price_limits!C:C)</f>
        <v>25</v>
      </c>
      <c r="H3969" s="8">
        <f t="shared" si="245"/>
        <v>4.45</v>
      </c>
      <c r="I3969" s="6">
        <f t="shared" si="246"/>
        <v>25</v>
      </c>
      <c r="J3969" t="str">
        <f t="shared" si="247"/>
        <v>OK</v>
      </c>
    </row>
    <row r="3970" spans="1:10" x14ac:dyDescent="0.2">
      <c r="A3970">
        <v>13969</v>
      </c>
      <c r="B3970" t="s">
        <v>10</v>
      </c>
      <c r="C3970" t="s">
        <v>11</v>
      </c>
      <c r="D3970" s="8">
        <v>7.78</v>
      </c>
      <c r="E3970">
        <v>8</v>
      </c>
      <c r="F3970" t="str">
        <f t="shared" si="244"/>
        <v>Premium</v>
      </c>
      <c r="G3970" s="3" cm="1">
        <f t="array" ref="G3970">_xlfn.XLOOKUP(C3970 &amp; F3970,
         [1]unilever_price_limits!A:A &amp; [1]unilever_price_limits!B:B,
         [1]unilever_price_limits!C:C)</f>
        <v>50</v>
      </c>
      <c r="H3970" s="8">
        <f t="shared" si="245"/>
        <v>11.67</v>
      </c>
      <c r="I3970" s="6">
        <f t="shared" si="246"/>
        <v>50</v>
      </c>
      <c r="J3970" t="str">
        <f t="shared" si="247"/>
        <v>OK</v>
      </c>
    </row>
    <row r="3971" spans="1:10" x14ac:dyDescent="0.2">
      <c r="A3971">
        <v>13970</v>
      </c>
      <c r="B3971" t="s">
        <v>10</v>
      </c>
      <c r="C3971" t="s">
        <v>6</v>
      </c>
      <c r="D3971" s="8">
        <v>0.79</v>
      </c>
      <c r="E3971">
        <v>2</v>
      </c>
      <c r="F3971" t="str">
        <f t="shared" ref="F3971:F4034" si="248">IF(E3971&lt;=3,"Value",
 IF(E3971&lt;=7,"Standard","Premium"))</f>
        <v>Value</v>
      </c>
      <c r="G3971" s="3" cm="1">
        <f t="array" ref="G3971">_xlfn.XLOOKUP(C3971 &amp; F3971,
         [1]unilever_price_limits!A:A &amp; [1]unilever_price_limits!B:B,
         [1]unilever_price_limits!C:C)</f>
        <v>12</v>
      </c>
      <c r="H3971" s="8">
        <f t="shared" ref="H3971:H4034" si="249">D3971 * (1 + G3971/100)</f>
        <v>0.88480000000000014</v>
      </c>
      <c r="I3971" s="6">
        <f t="shared" ref="I3971:I4034" si="250">(H3971 / D3971 - 1) * 100</f>
        <v>12.000000000000011</v>
      </c>
      <c r="J3971" t="str">
        <f t="shared" ref="J3971:J4034" si="251">IF(I3970&gt; G3970, "⚠ Exceeds Limit", "OK")</f>
        <v>OK</v>
      </c>
    </row>
    <row r="3972" spans="1:10" x14ac:dyDescent="0.2">
      <c r="A3972">
        <v>13971</v>
      </c>
      <c r="B3972" t="s">
        <v>7</v>
      </c>
      <c r="C3972" t="s">
        <v>11</v>
      </c>
      <c r="D3972" s="8">
        <v>4.17</v>
      </c>
      <c r="E3972">
        <v>7</v>
      </c>
      <c r="F3972" t="str">
        <f t="shared" si="248"/>
        <v>Standard</v>
      </c>
      <c r="G3972" s="3" cm="1">
        <f t="array" ref="G3972">_xlfn.XLOOKUP(C3972 &amp; F3972,
         [1]unilever_price_limits!A:A &amp; [1]unilever_price_limits!B:B,
         [1]unilever_price_limits!C:C)</f>
        <v>25</v>
      </c>
      <c r="H3972" s="8">
        <f t="shared" si="249"/>
        <v>5.2125000000000004</v>
      </c>
      <c r="I3972" s="6">
        <f t="shared" si="250"/>
        <v>25</v>
      </c>
      <c r="J3972" t="str">
        <f t="shared" si="251"/>
        <v>OK</v>
      </c>
    </row>
    <row r="3973" spans="1:10" x14ac:dyDescent="0.2">
      <c r="A3973">
        <v>13972</v>
      </c>
      <c r="B3973" t="s">
        <v>10</v>
      </c>
      <c r="C3973" t="s">
        <v>9</v>
      </c>
      <c r="D3973" s="8">
        <v>8</v>
      </c>
      <c r="E3973">
        <v>9</v>
      </c>
      <c r="F3973" t="str">
        <f t="shared" si="248"/>
        <v>Premium</v>
      </c>
      <c r="G3973" s="3" cm="1">
        <f t="array" ref="G3973">_xlfn.XLOOKUP(C3973 &amp; F3973,
         [1]unilever_price_limits!A:A &amp; [1]unilever_price_limits!B:B,
         [1]unilever_price_limits!C:C)</f>
        <v>60</v>
      </c>
      <c r="H3973" s="8">
        <f t="shared" si="249"/>
        <v>12.8</v>
      </c>
      <c r="I3973" s="6">
        <f t="shared" si="250"/>
        <v>60.000000000000007</v>
      </c>
      <c r="J3973" t="str">
        <f t="shared" si="251"/>
        <v>OK</v>
      </c>
    </row>
    <row r="3974" spans="1:10" x14ac:dyDescent="0.2">
      <c r="A3974">
        <v>13973</v>
      </c>
      <c r="B3974" t="s">
        <v>5</v>
      </c>
      <c r="C3974" t="s">
        <v>6</v>
      </c>
      <c r="D3974" s="8">
        <v>0.72</v>
      </c>
      <c r="E3974">
        <v>7</v>
      </c>
      <c r="F3974" t="str">
        <f t="shared" si="248"/>
        <v>Standard</v>
      </c>
      <c r="G3974" s="3" cm="1">
        <f t="array" ref="G3974">_xlfn.XLOOKUP(C3974 &amp; F3974,
         [1]unilever_price_limits!A:A &amp; [1]unilever_price_limits!B:B,
         [1]unilever_price_limits!C:C)</f>
        <v>28</v>
      </c>
      <c r="H3974" s="8">
        <f t="shared" si="249"/>
        <v>0.92159999999999997</v>
      </c>
      <c r="I3974" s="6">
        <f t="shared" si="250"/>
        <v>28.000000000000004</v>
      </c>
      <c r="J3974" t="str">
        <f t="shared" si="251"/>
        <v>OK</v>
      </c>
    </row>
    <row r="3975" spans="1:10" x14ac:dyDescent="0.2">
      <c r="A3975">
        <v>13974</v>
      </c>
      <c r="B3975" t="s">
        <v>5</v>
      </c>
      <c r="C3975" t="s">
        <v>9</v>
      </c>
      <c r="D3975" s="8">
        <v>4.34</v>
      </c>
      <c r="E3975">
        <v>3</v>
      </c>
      <c r="F3975" t="str">
        <f t="shared" si="248"/>
        <v>Value</v>
      </c>
      <c r="G3975" s="3" cm="1">
        <f t="array" ref="G3975">_xlfn.XLOOKUP(C3975 &amp; F3975,
         [1]unilever_price_limits!A:A &amp; [1]unilever_price_limits!B:B,
         [1]unilever_price_limits!C:C)</f>
        <v>15</v>
      </c>
      <c r="H3975" s="8">
        <f t="shared" si="249"/>
        <v>4.9909999999999997</v>
      </c>
      <c r="I3975" s="6">
        <f t="shared" si="250"/>
        <v>14.999999999999991</v>
      </c>
      <c r="J3975" t="str">
        <f t="shared" si="251"/>
        <v>OK</v>
      </c>
    </row>
    <row r="3976" spans="1:10" x14ac:dyDescent="0.2">
      <c r="A3976">
        <v>13975</v>
      </c>
      <c r="B3976" t="s">
        <v>10</v>
      </c>
      <c r="C3976" t="s">
        <v>9</v>
      </c>
      <c r="D3976" s="8">
        <v>7.95</v>
      </c>
      <c r="E3976">
        <v>7</v>
      </c>
      <c r="F3976" t="str">
        <f t="shared" si="248"/>
        <v>Standard</v>
      </c>
      <c r="G3976" s="3" cm="1">
        <f t="array" ref="G3976">_xlfn.XLOOKUP(C3976 &amp; F3976,
         [1]unilever_price_limits!A:A &amp; [1]unilever_price_limits!B:B,
         [1]unilever_price_limits!C:C)</f>
        <v>30</v>
      </c>
      <c r="H3976" s="8">
        <f t="shared" si="249"/>
        <v>10.335000000000001</v>
      </c>
      <c r="I3976" s="6">
        <f t="shared" si="250"/>
        <v>30.000000000000004</v>
      </c>
      <c r="J3976" t="str">
        <f t="shared" si="251"/>
        <v>OK</v>
      </c>
    </row>
    <row r="3977" spans="1:10" x14ac:dyDescent="0.2">
      <c r="A3977">
        <v>13976</v>
      </c>
      <c r="B3977" t="s">
        <v>5</v>
      </c>
      <c r="C3977" t="s">
        <v>9</v>
      </c>
      <c r="D3977" s="8">
        <v>8.81</v>
      </c>
      <c r="E3977">
        <v>8</v>
      </c>
      <c r="F3977" t="str">
        <f t="shared" si="248"/>
        <v>Premium</v>
      </c>
      <c r="G3977" s="3" cm="1">
        <f t="array" ref="G3977">_xlfn.XLOOKUP(C3977 &amp; F3977,
         [1]unilever_price_limits!A:A &amp; [1]unilever_price_limits!B:B,
         [1]unilever_price_limits!C:C)</f>
        <v>60</v>
      </c>
      <c r="H3977" s="8">
        <f t="shared" si="249"/>
        <v>14.096000000000002</v>
      </c>
      <c r="I3977" s="6">
        <f t="shared" si="250"/>
        <v>60.000000000000007</v>
      </c>
      <c r="J3977" t="str">
        <f t="shared" si="251"/>
        <v>OK</v>
      </c>
    </row>
    <row r="3978" spans="1:10" x14ac:dyDescent="0.2">
      <c r="A3978">
        <v>13977</v>
      </c>
      <c r="B3978" t="s">
        <v>8</v>
      </c>
      <c r="C3978" t="s">
        <v>6</v>
      </c>
      <c r="D3978" s="8">
        <v>13.92</v>
      </c>
      <c r="E3978">
        <v>1</v>
      </c>
      <c r="F3978" t="str">
        <f t="shared" si="248"/>
        <v>Value</v>
      </c>
      <c r="G3978" s="3" cm="1">
        <f t="array" ref="G3978">_xlfn.XLOOKUP(C3978 &amp; F3978,
         [1]unilever_price_limits!A:A &amp; [1]unilever_price_limits!B:B,
         [1]unilever_price_limits!C:C)</f>
        <v>12</v>
      </c>
      <c r="H3978" s="8">
        <f t="shared" si="249"/>
        <v>15.590400000000001</v>
      </c>
      <c r="I3978" s="6">
        <f t="shared" si="250"/>
        <v>12.000000000000011</v>
      </c>
      <c r="J3978" t="str">
        <f t="shared" si="251"/>
        <v>OK</v>
      </c>
    </row>
    <row r="3979" spans="1:10" x14ac:dyDescent="0.2">
      <c r="A3979">
        <v>13978</v>
      </c>
      <c r="B3979" t="s">
        <v>7</v>
      </c>
      <c r="C3979" t="s">
        <v>11</v>
      </c>
      <c r="D3979" s="8">
        <v>9.86</v>
      </c>
      <c r="E3979">
        <v>3</v>
      </c>
      <c r="F3979" t="str">
        <f t="shared" si="248"/>
        <v>Value</v>
      </c>
      <c r="G3979" s="3" cm="1">
        <f t="array" ref="G3979">_xlfn.XLOOKUP(C3979 &amp; F3979,
         [1]unilever_price_limits!A:A &amp; [1]unilever_price_limits!B:B,
         [1]unilever_price_limits!C:C)</f>
        <v>10</v>
      </c>
      <c r="H3979" s="8">
        <f t="shared" si="249"/>
        <v>10.846</v>
      </c>
      <c r="I3979" s="6">
        <f t="shared" si="250"/>
        <v>10.000000000000009</v>
      </c>
      <c r="J3979" t="str">
        <f t="shared" si="251"/>
        <v>OK</v>
      </c>
    </row>
    <row r="3980" spans="1:10" x14ac:dyDescent="0.2">
      <c r="A3980">
        <v>13979</v>
      </c>
      <c r="B3980" t="s">
        <v>8</v>
      </c>
      <c r="C3980" t="s">
        <v>9</v>
      </c>
      <c r="D3980" s="8">
        <v>6.51</v>
      </c>
      <c r="E3980">
        <v>5</v>
      </c>
      <c r="F3980" t="str">
        <f t="shared" si="248"/>
        <v>Standard</v>
      </c>
      <c r="G3980" s="3" cm="1">
        <f t="array" ref="G3980">_xlfn.XLOOKUP(C3980 &amp; F3980,
         [1]unilever_price_limits!A:A &amp; [1]unilever_price_limits!B:B,
         [1]unilever_price_limits!C:C)</f>
        <v>30</v>
      </c>
      <c r="H3980" s="8">
        <f t="shared" si="249"/>
        <v>8.4629999999999992</v>
      </c>
      <c r="I3980" s="6">
        <f t="shared" si="250"/>
        <v>29.999999999999982</v>
      </c>
      <c r="J3980" t="str">
        <f t="shared" si="251"/>
        <v>OK</v>
      </c>
    </row>
    <row r="3981" spans="1:10" x14ac:dyDescent="0.2">
      <c r="A3981">
        <v>13980</v>
      </c>
      <c r="B3981" t="s">
        <v>7</v>
      </c>
      <c r="C3981" t="s">
        <v>9</v>
      </c>
      <c r="D3981" s="8">
        <v>13.99</v>
      </c>
      <c r="E3981">
        <v>6</v>
      </c>
      <c r="F3981" t="str">
        <f t="shared" si="248"/>
        <v>Standard</v>
      </c>
      <c r="G3981" s="3" cm="1">
        <f t="array" ref="G3981">_xlfn.XLOOKUP(C3981 &amp; F3981,
         [1]unilever_price_limits!A:A &amp; [1]unilever_price_limits!B:B,
         [1]unilever_price_limits!C:C)</f>
        <v>30</v>
      </c>
      <c r="H3981" s="8">
        <f t="shared" si="249"/>
        <v>18.187000000000001</v>
      </c>
      <c r="I3981" s="6">
        <f t="shared" si="250"/>
        <v>30.000000000000004</v>
      </c>
      <c r="J3981" t="str">
        <f t="shared" si="251"/>
        <v>OK</v>
      </c>
    </row>
    <row r="3982" spans="1:10" x14ac:dyDescent="0.2">
      <c r="A3982">
        <v>13981</v>
      </c>
      <c r="B3982" t="s">
        <v>10</v>
      </c>
      <c r="C3982" t="s">
        <v>9</v>
      </c>
      <c r="D3982" s="8">
        <v>11.88</v>
      </c>
      <c r="E3982">
        <v>3</v>
      </c>
      <c r="F3982" t="str">
        <f t="shared" si="248"/>
        <v>Value</v>
      </c>
      <c r="G3982" s="3" cm="1">
        <f t="array" ref="G3982">_xlfn.XLOOKUP(C3982 &amp; F3982,
         [1]unilever_price_limits!A:A &amp; [1]unilever_price_limits!B:B,
         [1]unilever_price_limits!C:C)</f>
        <v>15</v>
      </c>
      <c r="H3982" s="8">
        <f t="shared" si="249"/>
        <v>13.661999999999999</v>
      </c>
      <c r="I3982" s="6">
        <f t="shared" si="250"/>
        <v>14.999999999999991</v>
      </c>
      <c r="J3982" t="str">
        <f t="shared" si="251"/>
        <v>OK</v>
      </c>
    </row>
    <row r="3983" spans="1:10" x14ac:dyDescent="0.2">
      <c r="A3983">
        <v>13982</v>
      </c>
      <c r="B3983" t="s">
        <v>8</v>
      </c>
      <c r="C3983" t="s">
        <v>11</v>
      </c>
      <c r="D3983" s="8">
        <v>3.4</v>
      </c>
      <c r="E3983">
        <v>4</v>
      </c>
      <c r="F3983" t="str">
        <f t="shared" si="248"/>
        <v>Standard</v>
      </c>
      <c r="G3983" s="3" cm="1">
        <f t="array" ref="G3983">_xlfn.XLOOKUP(C3983 &amp; F3983,
         [1]unilever_price_limits!A:A &amp; [1]unilever_price_limits!B:B,
         [1]unilever_price_limits!C:C)</f>
        <v>25</v>
      </c>
      <c r="H3983" s="8">
        <f t="shared" si="249"/>
        <v>4.25</v>
      </c>
      <c r="I3983" s="6">
        <f t="shared" si="250"/>
        <v>25</v>
      </c>
      <c r="J3983" t="str">
        <f t="shared" si="251"/>
        <v>OK</v>
      </c>
    </row>
    <row r="3984" spans="1:10" x14ac:dyDescent="0.2">
      <c r="A3984">
        <v>13983</v>
      </c>
      <c r="B3984" t="s">
        <v>10</v>
      </c>
      <c r="C3984" t="s">
        <v>11</v>
      </c>
      <c r="D3984" s="8">
        <v>2.4</v>
      </c>
      <c r="E3984">
        <v>5</v>
      </c>
      <c r="F3984" t="str">
        <f t="shared" si="248"/>
        <v>Standard</v>
      </c>
      <c r="G3984" s="3" cm="1">
        <f t="array" ref="G3984">_xlfn.XLOOKUP(C3984 &amp; F3984,
         [1]unilever_price_limits!A:A &amp; [1]unilever_price_limits!B:B,
         [1]unilever_price_limits!C:C)</f>
        <v>25</v>
      </c>
      <c r="H3984" s="8">
        <f t="shared" si="249"/>
        <v>3</v>
      </c>
      <c r="I3984" s="6">
        <f t="shared" si="250"/>
        <v>25</v>
      </c>
      <c r="J3984" t="str">
        <f t="shared" si="251"/>
        <v>OK</v>
      </c>
    </row>
    <row r="3985" spans="1:10" x14ac:dyDescent="0.2">
      <c r="A3985">
        <v>13984</v>
      </c>
      <c r="B3985" t="s">
        <v>10</v>
      </c>
      <c r="C3985" t="s">
        <v>6</v>
      </c>
      <c r="D3985" s="8">
        <v>10.3</v>
      </c>
      <c r="E3985">
        <v>3</v>
      </c>
      <c r="F3985" t="str">
        <f t="shared" si="248"/>
        <v>Value</v>
      </c>
      <c r="G3985" s="3" cm="1">
        <f t="array" ref="G3985">_xlfn.XLOOKUP(C3985 &amp; F3985,
         [1]unilever_price_limits!A:A &amp; [1]unilever_price_limits!B:B,
         [1]unilever_price_limits!C:C)</f>
        <v>12</v>
      </c>
      <c r="H3985" s="8">
        <f t="shared" si="249"/>
        <v>11.536000000000001</v>
      </c>
      <c r="I3985" s="6">
        <f t="shared" si="250"/>
        <v>12.000000000000011</v>
      </c>
      <c r="J3985" t="str">
        <f t="shared" si="251"/>
        <v>OK</v>
      </c>
    </row>
    <row r="3986" spans="1:10" x14ac:dyDescent="0.2">
      <c r="A3986">
        <v>13985</v>
      </c>
      <c r="B3986" t="s">
        <v>7</v>
      </c>
      <c r="C3986" t="s">
        <v>11</v>
      </c>
      <c r="D3986" s="8">
        <v>8.6199999999999992</v>
      </c>
      <c r="E3986">
        <v>4</v>
      </c>
      <c r="F3986" t="str">
        <f t="shared" si="248"/>
        <v>Standard</v>
      </c>
      <c r="G3986" s="3" cm="1">
        <f t="array" ref="G3986">_xlfn.XLOOKUP(C3986 &amp; F3986,
         [1]unilever_price_limits!A:A &amp; [1]unilever_price_limits!B:B,
         [1]unilever_price_limits!C:C)</f>
        <v>25</v>
      </c>
      <c r="H3986" s="8">
        <f t="shared" si="249"/>
        <v>10.774999999999999</v>
      </c>
      <c r="I3986" s="6">
        <f t="shared" si="250"/>
        <v>25</v>
      </c>
      <c r="J3986" t="str">
        <f t="shared" si="251"/>
        <v>OK</v>
      </c>
    </row>
    <row r="3987" spans="1:10" x14ac:dyDescent="0.2">
      <c r="A3987">
        <v>13986</v>
      </c>
      <c r="B3987" t="s">
        <v>7</v>
      </c>
      <c r="C3987" t="s">
        <v>6</v>
      </c>
      <c r="D3987" s="8">
        <v>11.95</v>
      </c>
      <c r="E3987">
        <v>5</v>
      </c>
      <c r="F3987" t="str">
        <f t="shared" si="248"/>
        <v>Standard</v>
      </c>
      <c r="G3987" s="3" cm="1">
        <f t="array" ref="G3987">_xlfn.XLOOKUP(C3987 &amp; F3987,
         [1]unilever_price_limits!A:A &amp; [1]unilever_price_limits!B:B,
         [1]unilever_price_limits!C:C)</f>
        <v>28</v>
      </c>
      <c r="H3987" s="8">
        <f t="shared" si="249"/>
        <v>15.295999999999999</v>
      </c>
      <c r="I3987" s="6">
        <f t="shared" si="250"/>
        <v>28.000000000000004</v>
      </c>
      <c r="J3987" t="str">
        <f t="shared" si="251"/>
        <v>OK</v>
      </c>
    </row>
    <row r="3988" spans="1:10" x14ac:dyDescent="0.2">
      <c r="A3988">
        <v>13987</v>
      </c>
      <c r="B3988" t="s">
        <v>7</v>
      </c>
      <c r="C3988" t="s">
        <v>6</v>
      </c>
      <c r="D3988" s="8">
        <v>11.21</v>
      </c>
      <c r="E3988">
        <v>2</v>
      </c>
      <c r="F3988" t="str">
        <f t="shared" si="248"/>
        <v>Value</v>
      </c>
      <c r="G3988" s="3" cm="1">
        <f t="array" ref="G3988">_xlfn.XLOOKUP(C3988 &amp; F3988,
         [1]unilever_price_limits!A:A &amp; [1]unilever_price_limits!B:B,
         [1]unilever_price_limits!C:C)</f>
        <v>12</v>
      </c>
      <c r="H3988" s="8">
        <f t="shared" si="249"/>
        <v>12.555200000000003</v>
      </c>
      <c r="I3988" s="6">
        <f t="shared" si="250"/>
        <v>12.000000000000011</v>
      </c>
      <c r="J3988" t="str">
        <f t="shared" si="251"/>
        <v>OK</v>
      </c>
    </row>
    <row r="3989" spans="1:10" x14ac:dyDescent="0.2">
      <c r="A3989">
        <v>13988</v>
      </c>
      <c r="B3989" t="s">
        <v>8</v>
      </c>
      <c r="C3989" t="s">
        <v>6</v>
      </c>
      <c r="D3989" s="8">
        <v>9.57</v>
      </c>
      <c r="E3989">
        <v>10</v>
      </c>
      <c r="F3989" t="str">
        <f t="shared" si="248"/>
        <v>Premium</v>
      </c>
      <c r="G3989" s="3" cm="1">
        <f t="array" ref="G3989">_xlfn.XLOOKUP(C3989 &amp; F3989,
         [1]unilever_price_limits!A:A &amp; [1]unilever_price_limits!B:B,
         [1]unilever_price_limits!C:C)</f>
        <v>55</v>
      </c>
      <c r="H3989" s="8">
        <f t="shared" si="249"/>
        <v>14.833500000000001</v>
      </c>
      <c r="I3989" s="6">
        <f t="shared" si="250"/>
        <v>55.000000000000007</v>
      </c>
      <c r="J3989" t="str">
        <f t="shared" si="251"/>
        <v>OK</v>
      </c>
    </row>
    <row r="3990" spans="1:10" x14ac:dyDescent="0.2">
      <c r="A3990">
        <v>13989</v>
      </c>
      <c r="B3990" t="s">
        <v>5</v>
      </c>
      <c r="C3990" t="s">
        <v>6</v>
      </c>
      <c r="D3990" s="8">
        <v>14.8</v>
      </c>
      <c r="E3990">
        <v>9</v>
      </c>
      <c r="F3990" t="str">
        <f t="shared" si="248"/>
        <v>Premium</v>
      </c>
      <c r="G3990" s="3" cm="1">
        <f t="array" ref="G3990">_xlfn.XLOOKUP(C3990 &amp; F3990,
         [1]unilever_price_limits!A:A &amp; [1]unilever_price_limits!B:B,
         [1]unilever_price_limits!C:C)</f>
        <v>55</v>
      </c>
      <c r="H3990" s="8">
        <f t="shared" si="249"/>
        <v>22.94</v>
      </c>
      <c r="I3990" s="6">
        <f t="shared" si="250"/>
        <v>55.000000000000007</v>
      </c>
      <c r="J3990" t="str">
        <f t="shared" si="251"/>
        <v>OK</v>
      </c>
    </row>
    <row r="3991" spans="1:10" x14ac:dyDescent="0.2">
      <c r="A3991">
        <v>13990</v>
      </c>
      <c r="B3991" t="s">
        <v>7</v>
      </c>
      <c r="C3991" t="s">
        <v>6</v>
      </c>
      <c r="D3991" s="8">
        <v>8.24</v>
      </c>
      <c r="E3991">
        <v>10</v>
      </c>
      <c r="F3991" t="str">
        <f t="shared" si="248"/>
        <v>Premium</v>
      </c>
      <c r="G3991" s="3" cm="1">
        <f t="array" ref="G3991">_xlfn.XLOOKUP(C3991 &amp; F3991,
         [1]unilever_price_limits!A:A &amp; [1]unilever_price_limits!B:B,
         [1]unilever_price_limits!C:C)</f>
        <v>55</v>
      </c>
      <c r="H3991" s="8">
        <f t="shared" si="249"/>
        <v>12.772</v>
      </c>
      <c r="I3991" s="6">
        <f t="shared" si="250"/>
        <v>55.000000000000007</v>
      </c>
      <c r="J3991" t="str">
        <f t="shared" si="251"/>
        <v>OK</v>
      </c>
    </row>
    <row r="3992" spans="1:10" x14ac:dyDescent="0.2">
      <c r="A3992">
        <v>13991</v>
      </c>
      <c r="B3992" t="s">
        <v>7</v>
      </c>
      <c r="C3992" t="s">
        <v>9</v>
      </c>
      <c r="D3992" s="8">
        <v>2.14</v>
      </c>
      <c r="E3992">
        <v>8</v>
      </c>
      <c r="F3992" t="str">
        <f t="shared" si="248"/>
        <v>Premium</v>
      </c>
      <c r="G3992" s="3" cm="1">
        <f t="array" ref="G3992">_xlfn.XLOOKUP(C3992 &amp; F3992,
         [1]unilever_price_limits!A:A &amp; [1]unilever_price_limits!B:B,
         [1]unilever_price_limits!C:C)</f>
        <v>60</v>
      </c>
      <c r="H3992" s="8">
        <f t="shared" si="249"/>
        <v>3.4240000000000004</v>
      </c>
      <c r="I3992" s="6">
        <f t="shared" si="250"/>
        <v>60.000000000000007</v>
      </c>
      <c r="J3992" t="str">
        <f t="shared" si="251"/>
        <v>OK</v>
      </c>
    </row>
    <row r="3993" spans="1:10" x14ac:dyDescent="0.2">
      <c r="A3993">
        <v>13992</v>
      </c>
      <c r="B3993" t="s">
        <v>8</v>
      </c>
      <c r="C3993" t="s">
        <v>11</v>
      </c>
      <c r="D3993" s="8">
        <v>12.51</v>
      </c>
      <c r="E3993">
        <v>6</v>
      </c>
      <c r="F3993" t="str">
        <f t="shared" si="248"/>
        <v>Standard</v>
      </c>
      <c r="G3993" s="3" cm="1">
        <f t="array" ref="G3993">_xlfn.XLOOKUP(C3993 &amp; F3993,
         [1]unilever_price_limits!A:A &amp; [1]unilever_price_limits!B:B,
         [1]unilever_price_limits!C:C)</f>
        <v>25</v>
      </c>
      <c r="H3993" s="8">
        <f t="shared" si="249"/>
        <v>15.637499999999999</v>
      </c>
      <c r="I3993" s="6">
        <f t="shared" si="250"/>
        <v>25</v>
      </c>
      <c r="J3993" t="str">
        <f t="shared" si="251"/>
        <v>OK</v>
      </c>
    </row>
    <row r="3994" spans="1:10" x14ac:dyDescent="0.2">
      <c r="A3994">
        <v>13993</v>
      </c>
      <c r="B3994" t="s">
        <v>7</v>
      </c>
      <c r="C3994" t="s">
        <v>9</v>
      </c>
      <c r="D3994" s="8">
        <v>4.1500000000000004</v>
      </c>
      <c r="E3994">
        <v>10</v>
      </c>
      <c r="F3994" t="str">
        <f t="shared" si="248"/>
        <v>Premium</v>
      </c>
      <c r="G3994" s="3" cm="1">
        <f t="array" ref="G3994">_xlfn.XLOOKUP(C3994 &amp; F3994,
         [1]unilever_price_limits!A:A &amp; [1]unilever_price_limits!B:B,
         [1]unilever_price_limits!C:C)</f>
        <v>60</v>
      </c>
      <c r="H3994" s="8">
        <f t="shared" si="249"/>
        <v>6.6400000000000006</v>
      </c>
      <c r="I3994" s="6">
        <f t="shared" si="250"/>
        <v>60.000000000000007</v>
      </c>
      <c r="J3994" t="str">
        <f t="shared" si="251"/>
        <v>OK</v>
      </c>
    </row>
    <row r="3995" spans="1:10" x14ac:dyDescent="0.2">
      <c r="A3995">
        <v>13994</v>
      </c>
      <c r="B3995" t="s">
        <v>8</v>
      </c>
      <c r="C3995" t="s">
        <v>6</v>
      </c>
      <c r="D3995" s="8">
        <v>11.77</v>
      </c>
      <c r="E3995">
        <v>3</v>
      </c>
      <c r="F3995" t="str">
        <f t="shared" si="248"/>
        <v>Value</v>
      </c>
      <c r="G3995" s="3" cm="1">
        <f t="array" ref="G3995">_xlfn.XLOOKUP(C3995 &amp; F3995,
         [1]unilever_price_limits!A:A &amp; [1]unilever_price_limits!B:B,
         [1]unilever_price_limits!C:C)</f>
        <v>12</v>
      </c>
      <c r="H3995" s="8">
        <f t="shared" si="249"/>
        <v>13.182400000000001</v>
      </c>
      <c r="I3995" s="6">
        <f t="shared" si="250"/>
        <v>12.000000000000011</v>
      </c>
      <c r="J3995" t="str">
        <f t="shared" si="251"/>
        <v>OK</v>
      </c>
    </row>
    <row r="3996" spans="1:10" x14ac:dyDescent="0.2">
      <c r="A3996">
        <v>13995</v>
      </c>
      <c r="B3996" t="s">
        <v>10</v>
      </c>
      <c r="C3996" t="s">
        <v>11</v>
      </c>
      <c r="D3996" s="8">
        <v>14.38</v>
      </c>
      <c r="E3996">
        <v>2</v>
      </c>
      <c r="F3996" t="str">
        <f t="shared" si="248"/>
        <v>Value</v>
      </c>
      <c r="G3996" s="3" cm="1">
        <f t="array" ref="G3996">_xlfn.XLOOKUP(C3996 &amp; F3996,
         [1]unilever_price_limits!A:A &amp; [1]unilever_price_limits!B:B,
         [1]unilever_price_limits!C:C)</f>
        <v>10</v>
      </c>
      <c r="H3996" s="8">
        <f t="shared" si="249"/>
        <v>15.818000000000001</v>
      </c>
      <c r="I3996" s="6">
        <f t="shared" si="250"/>
        <v>10.000000000000009</v>
      </c>
      <c r="J3996" t="str">
        <f t="shared" si="251"/>
        <v>OK</v>
      </c>
    </row>
    <row r="3997" spans="1:10" x14ac:dyDescent="0.2">
      <c r="A3997">
        <v>13996</v>
      </c>
      <c r="B3997" t="s">
        <v>7</v>
      </c>
      <c r="C3997" t="s">
        <v>9</v>
      </c>
      <c r="D3997" s="8">
        <v>10.6</v>
      </c>
      <c r="E3997">
        <v>7</v>
      </c>
      <c r="F3997" t="str">
        <f t="shared" si="248"/>
        <v>Standard</v>
      </c>
      <c r="G3997" s="3" cm="1">
        <f t="array" ref="G3997">_xlfn.XLOOKUP(C3997 &amp; F3997,
         [1]unilever_price_limits!A:A &amp; [1]unilever_price_limits!B:B,
         [1]unilever_price_limits!C:C)</f>
        <v>30</v>
      </c>
      <c r="H3997" s="8">
        <f t="shared" si="249"/>
        <v>13.78</v>
      </c>
      <c r="I3997" s="6">
        <f t="shared" si="250"/>
        <v>30.000000000000004</v>
      </c>
      <c r="J3997" t="str">
        <f t="shared" si="251"/>
        <v>OK</v>
      </c>
    </row>
    <row r="3998" spans="1:10" x14ac:dyDescent="0.2">
      <c r="A3998">
        <v>13997</v>
      </c>
      <c r="B3998" t="s">
        <v>7</v>
      </c>
      <c r="C3998" t="s">
        <v>9</v>
      </c>
      <c r="D3998" s="8">
        <v>9.14</v>
      </c>
      <c r="E3998">
        <v>8</v>
      </c>
      <c r="F3998" t="str">
        <f t="shared" si="248"/>
        <v>Premium</v>
      </c>
      <c r="G3998" s="3" cm="1">
        <f t="array" ref="G3998">_xlfn.XLOOKUP(C3998 &amp; F3998,
         [1]unilever_price_limits!A:A &amp; [1]unilever_price_limits!B:B,
         [1]unilever_price_limits!C:C)</f>
        <v>60</v>
      </c>
      <c r="H3998" s="8">
        <f t="shared" si="249"/>
        <v>14.624000000000002</v>
      </c>
      <c r="I3998" s="6">
        <f t="shared" si="250"/>
        <v>60.000000000000007</v>
      </c>
      <c r="J3998" t="str">
        <f t="shared" si="251"/>
        <v>OK</v>
      </c>
    </row>
    <row r="3999" spans="1:10" x14ac:dyDescent="0.2">
      <c r="A3999">
        <v>13998</v>
      </c>
      <c r="B3999" t="s">
        <v>10</v>
      </c>
      <c r="C3999" t="s">
        <v>6</v>
      </c>
      <c r="D3999" s="8">
        <v>7.18</v>
      </c>
      <c r="E3999">
        <v>10</v>
      </c>
      <c r="F3999" t="str">
        <f t="shared" si="248"/>
        <v>Premium</v>
      </c>
      <c r="G3999" s="3" cm="1">
        <f t="array" ref="G3999">_xlfn.XLOOKUP(C3999 &amp; F3999,
         [1]unilever_price_limits!A:A &amp; [1]unilever_price_limits!B:B,
         [1]unilever_price_limits!C:C)</f>
        <v>55</v>
      </c>
      <c r="H3999" s="8">
        <f t="shared" si="249"/>
        <v>11.129</v>
      </c>
      <c r="I3999" s="6">
        <f t="shared" si="250"/>
        <v>55.000000000000007</v>
      </c>
      <c r="J3999" t="str">
        <f t="shared" si="251"/>
        <v>OK</v>
      </c>
    </row>
    <row r="4000" spans="1:10" x14ac:dyDescent="0.2">
      <c r="A4000">
        <v>13999</v>
      </c>
      <c r="B4000" t="s">
        <v>10</v>
      </c>
      <c r="C4000" t="s">
        <v>9</v>
      </c>
      <c r="D4000" s="8">
        <v>5.78</v>
      </c>
      <c r="E4000">
        <v>1</v>
      </c>
      <c r="F4000" t="str">
        <f t="shared" si="248"/>
        <v>Value</v>
      </c>
      <c r="G4000" s="3" cm="1">
        <f t="array" ref="G4000">_xlfn.XLOOKUP(C4000 &amp; F4000,
         [1]unilever_price_limits!A:A &amp; [1]unilever_price_limits!B:B,
         [1]unilever_price_limits!C:C)</f>
        <v>15</v>
      </c>
      <c r="H4000" s="8">
        <f t="shared" si="249"/>
        <v>6.6469999999999994</v>
      </c>
      <c r="I4000" s="6">
        <f t="shared" si="250"/>
        <v>14.999999999999991</v>
      </c>
      <c r="J4000" t="str">
        <f t="shared" si="251"/>
        <v>OK</v>
      </c>
    </row>
    <row r="4001" spans="1:10" x14ac:dyDescent="0.2">
      <c r="A4001">
        <v>14000</v>
      </c>
      <c r="B4001" t="s">
        <v>10</v>
      </c>
      <c r="C4001" t="s">
        <v>9</v>
      </c>
      <c r="D4001" s="8">
        <v>5.62</v>
      </c>
      <c r="E4001">
        <v>6</v>
      </c>
      <c r="F4001" t="str">
        <f t="shared" si="248"/>
        <v>Standard</v>
      </c>
      <c r="G4001" s="3" cm="1">
        <f t="array" ref="G4001">_xlfn.XLOOKUP(C4001 &amp; F4001,
         [1]unilever_price_limits!A:A &amp; [1]unilever_price_limits!B:B,
         [1]unilever_price_limits!C:C)</f>
        <v>30</v>
      </c>
      <c r="H4001" s="8">
        <f t="shared" si="249"/>
        <v>7.306</v>
      </c>
      <c r="I4001" s="6">
        <f t="shared" si="250"/>
        <v>30.000000000000004</v>
      </c>
      <c r="J4001" t="str">
        <f t="shared" si="251"/>
        <v>OK</v>
      </c>
    </row>
    <row r="4002" spans="1:10" x14ac:dyDescent="0.2">
      <c r="A4002">
        <v>14001</v>
      </c>
      <c r="B4002" t="s">
        <v>7</v>
      </c>
      <c r="C4002" t="s">
        <v>9</v>
      </c>
      <c r="D4002" s="8">
        <v>9.73</v>
      </c>
      <c r="E4002">
        <v>7</v>
      </c>
      <c r="F4002" t="str">
        <f t="shared" si="248"/>
        <v>Standard</v>
      </c>
      <c r="G4002" s="3" cm="1">
        <f t="array" ref="G4002">_xlfn.XLOOKUP(C4002 &amp; F4002,
         [1]unilever_price_limits!A:A &amp; [1]unilever_price_limits!B:B,
         [1]unilever_price_limits!C:C)</f>
        <v>30</v>
      </c>
      <c r="H4002" s="8">
        <f t="shared" si="249"/>
        <v>12.649000000000001</v>
      </c>
      <c r="I4002" s="6">
        <f t="shared" si="250"/>
        <v>30.000000000000004</v>
      </c>
      <c r="J4002" t="str">
        <f t="shared" si="251"/>
        <v>OK</v>
      </c>
    </row>
    <row r="4003" spans="1:10" x14ac:dyDescent="0.2">
      <c r="A4003">
        <v>14002</v>
      </c>
      <c r="B4003" t="s">
        <v>5</v>
      </c>
      <c r="C4003" t="s">
        <v>9</v>
      </c>
      <c r="D4003" s="8">
        <v>11.39</v>
      </c>
      <c r="E4003">
        <v>9</v>
      </c>
      <c r="F4003" t="str">
        <f t="shared" si="248"/>
        <v>Premium</v>
      </c>
      <c r="G4003" s="3" cm="1">
        <f t="array" ref="G4003">_xlfn.XLOOKUP(C4003 &amp; F4003,
         [1]unilever_price_limits!A:A &amp; [1]unilever_price_limits!B:B,
         [1]unilever_price_limits!C:C)</f>
        <v>60</v>
      </c>
      <c r="H4003" s="8">
        <f t="shared" si="249"/>
        <v>18.224</v>
      </c>
      <c r="I4003" s="6">
        <f t="shared" si="250"/>
        <v>59.999999999999986</v>
      </c>
      <c r="J4003" t="str">
        <f t="shared" si="251"/>
        <v>OK</v>
      </c>
    </row>
    <row r="4004" spans="1:10" x14ac:dyDescent="0.2">
      <c r="A4004">
        <v>14003</v>
      </c>
      <c r="B4004" t="s">
        <v>5</v>
      </c>
      <c r="C4004" t="s">
        <v>9</v>
      </c>
      <c r="D4004" s="8">
        <v>10.34</v>
      </c>
      <c r="E4004">
        <v>3</v>
      </c>
      <c r="F4004" t="str">
        <f t="shared" si="248"/>
        <v>Value</v>
      </c>
      <c r="G4004" s="3" cm="1">
        <f t="array" ref="G4004">_xlfn.XLOOKUP(C4004 &amp; F4004,
         [1]unilever_price_limits!A:A &amp; [1]unilever_price_limits!B:B,
         [1]unilever_price_limits!C:C)</f>
        <v>15</v>
      </c>
      <c r="H4004" s="8">
        <f t="shared" si="249"/>
        <v>11.890999999999998</v>
      </c>
      <c r="I4004" s="6">
        <f t="shared" si="250"/>
        <v>14.999999999999991</v>
      </c>
      <c r="J4004" t="str">
        <f t="shared" si="251"/>
        <v>OK</v>
      </c>
    </row>
    <row r="4005" spans="1:10" x14ac:dyDescent="0.2">
      <c r="A4005">
        <v>14004</v>
      </c>
      <c r="B4005" t="s">
        <v>5</v>
      </c>
      <c r="C4005" t="s">
        <v>6</v>
      </c>
      <c r="D4005" s="8">
        <v>3.38</v>
      </c>
      <c r="E4005">
        <v>2</v>
      </c>
      <c r="F4005" t="str">
        <f t="shared" si="248"/>
        <v>Value</v>
      </c>
      <c r="G4005" s="3" cm="1">
        <f t="array" ref="G4005">_xlfn.XLOOKUP(C4005 &amp; F4005,
         [1]unilever_price_limits!A:A &amp; [1]unilever_price_limits!B:B,
         [1]unilever_price_limits!C:C)</f>
        <v>12</v>
      </c>
      <c r="H4005" s="8">
        <f t="shared" si="249"/>
        <v>3.7856000000000001</v>
      </c>
      <c r="I4005" s="6">
        <f t="shared" si="250"/>
        <v>12.000000000000011</v>
      </c>
      <c r="J4005" t="str">
        <f t="shared" si="251"/>
        <v>OK</v>
      </c>
    </row>
    <row r="4006" spans="1:10" x14ac:dyDescent="0.2">
      <c r="A4006">
        <v>14005</v>
      </c>
      <c r="B4006" t="s">
        <v>7</v>
      </c>
      <c r="C4006" t="s">
        <v>6</v>
      </c>
      <c r="D4006" s="8">
        <v>7.66</v>
      </c>
      <c r="E4006">
        <v>5</v>
      </c>
      <c r="F4006" t="str">
        <f t="shared" si="248"/>
        <v>Standard</v>
      </c>
      <c r="G4006" s="3" cm="1">
        <f t="array" ref="G4006">_xlfn.XLOOKUP(C4006 &amp; F4006,
         [1]unilever_price_limits!A:A &amp; [1]unilever_price_limits!B:B,
         [1]unilever_price_limits!C:C)</f>
        <v>28</v>
      </c>
      <c r="H4006" s="8">
        <f t="shared" si="249"/>
        <v>9.8048000000000002</v>
      </c>
      <c r="I4006" s="6">
        <f t="shared" si="250"/>
        <v>28.000000000000004</v>
      </c>
      <c r="J4006" t="str">
        <f t="shared" si="251"/>
        <v>OK</v>
      </c>
    </row>
    <row r="4007" spans="1:10" x14ac:dyDescent="0.2">
      <c r="A4007">
        <v>14006</v>
      </c>
      <c r="B4007" t="s">
        <v>10</v>
      </c>
      <c r="C4007" t="s">
        <v>9</v>
      </c>
      <c r="D4007" s="8">
        <v>11.98</v>
      </c>
      <c r="E4007">
        <v>10</v>
      </c>
      <c r="F4007" t="str">
        <f t="shared" si="248"/>
        <v>Premium</v>
      </c>
      <c r="G4007" s="3" cm="1">
        <f t="array" ref="G4007">_xlfn.XLOOKUP(C4007 &amp; F4007,
         [1]unilever_price_limits!A:A &amp; [1]unilever_price_limits!B:B,
         [1]unilever_price_limits!C:C)</f>
        <v>60</v>
      </c>
      <c r="H4007" s="8">
        <f t="shared" si="249"/>
        <v>19.168000000000003</v>
      </c>
      <c r="I4007" s="6">
        <f t="shared" si="250"/>
        <v>60.000000000000007</v>
      </c>
      <c r="J4007" t="str">
        <f t="shared" si="251"/>
        <v>OK</v>
      </c>
    </row>
    <row r="4008" spans="1:10" x14ac:dyDescent="0.2">
      <c r="A4008">
        <v>14007</v>
      </c>
      <c r="B4008" t="s">
        <v>7</v>
      </c>
      <c r="C4008" t="s">
        <v>6</v>
      </c>
      <c r="D4008" s="8">
        <v>7.4</v>
      </c>
      <c r="E4008">
        <v>1</v>
      </c>
      <c r="F4008" t="str">
        <f t="shared" si="248"/>
        <v>Value</v>
      </c>
      <c r="G4008" s="3" cm="1">
        <f t="array" ref="G4008">_xlfn.XLOOKUP(C4008 &amp; F4008,
         [1]unilever_price_limits!A:A &amp; [1]unilever_price_limits!B:B,
         [1]unilever_price_limits!C:C)</f>
        <v>12</v>
      </c>
      <c r="H4008" s="8">
        <f t="shared" si="249"/>
        <v>8.288000000000002</v>
      </c>
      <c r="I4008" s="6">
        <f t="shared" si="250"/>
        <v>12.000000000000032</v>
      </c>
      <c r="J4008" t="str">
        <f t="shared" si="251"/>
        <v>OK</v>
      </c>
    </row>
    <row r="4009" spans="1:10" x14ac:dyDescent="0.2">
      <c r="A4009">
        <v>14008</v>
      </c>
      <c r="B4009" t="s">
        <v>10</v>
      </c>
      <c r="C4009" t="s">
        <v>6</v>
      </c>
      <c r="D4009" s="8">
        <v>8.2799999999999994</v>
      </c>
      <c r="E4009">
        <v>6</v>
      </c>
      <c r="F4009" t="str">
        <f t="shared" si="248"/>
        <v>Standard</v>
      </c>
      <c r="G4009" s="3" cm="1">
        <f t="array" ref="G4009">_xlfn.XLOOKUP(C4009 &amp; F4009,
         [1]unilever_price_limits!A:A &amp; [1]unilever_price_limits!B:B,
         [1]unilever_price_limits!C:C)</f>
        <v>28</v>
      </c>
      <c r="H4009" s="8">
        <f t="shared" si="249"/>
        <v>10.5984</v>
      </c>
      <c r="I4009" s="6">
        <f t="shared" si="250"/>
        <v>28.000000000000004</v>
      </c>
      <c r="J4009" t="str">
        <f t="shared" si="251"/>
        <v>OK</v>
      </c>
    </row>
    <row r="4010" spans="1:10" x14ac:dyDescent="0.2">
      <c r="A4010">
        <v>14009</v>
      </c>
      <c r="B4010" t="s">
        <v>7</v>
      </c>
      <c r="C4010" t="s">
        <v>11</v>
      </c>
      <c r="D4010" s="8">
        <v>11.68</v>
      </c>
      <c r="E4010">
        <v>9</v>
      </c>
      <c r="F4010" t="str">
        <f t="shared" si="248"/>
        <v>Premium</v>
      </c>
      <c r="G4010" s="3" cm="1">
        <f t="array" ref="G4010">_xlfn.XLOOKUP(C4010 &amp; F4010,
         [1]unilever_price_limits!A:A &amp; [1]unilever_price_limits!B:B,
         [1]unilever_price_limits!C:C)</f>
        <v>50</v>
      </c>
      <c r="H4010" s="8">
        <f t="shared" si="249"/>
        <v>17.52</v>
      </c>
      <c r="I4010" s="6">
        <f t="shared" si="250"/>
        <v>50</v>
      </c>
      <c r="J4010" t="str">
        <f t="shared" si="251"/>
        <v>OK</v>
      </c>
    </row>
    <row r="4011" spans="1:10" x14ac:dyDescent="0.2">
      <c r="A4011">
        <v>14010</v>
      </c>
      <c r="B4011" t="s">
        <v>7</v>
      </c>
      <c r="C4011" t="s">
        <v>9</v>
      </c>
      <c r="D4011" s="8">
        <v>10.09</v>
      </c>
      <c r="E4011">
        <v>10</v>
      </c>
      <c r="F4011" t="str">
        <f t="shared" si="248"/>
        <v>Premium</v>
      </c>
      <c r="G4011" s="3" cm="1">
        <f t="array" ref="G4011">_xlfn.XLOOKUP(C4011 &amp; F4011,
         [1]unilever_price_limits!A:A &amp; [1]unilever_price_limits!B:B,
         [1]unilever_price_limits!C:C)</f>
        <v>60</v>
      </c>
      <c r="H4011" s="8">
        <f t="shared" si="249"/>
        <v>16.144000000000002</v>
      </c>
      <c r="I4011" s="6">
        <f t="shared" si="250"/>
        <v>60.000000000000028</v>
      </c>
      <c r="J4011" t="str">
        <f t="shared" si="251"/>
        <v>OK</v>
      </c>
    </row>
    <row r="4012" spans="1:10" x14ac:dyDescent="0.2">
      <c r="A4012">
        <v>14011</v>
      </c>
      <c r="B4012" t="s">
        <v>10</v>
      </c>
      <c r="C4012" t="s">
        <v>6</v>
      </c>
      <c r="D4012" s="8">
        <v>6.44</v>
      </c>
      <c r="E4012">
        <v>9</v>
      </c>
      <c r="F4012" t="str">
        <f t="shared" si="248"/>
        <v>Premium</v>
      </c>
      <c r="G4012" s="3" cm="1">
        <f t="array" ref="G4012">_xlfn.XLOOKUP(C4012 &amp; F4012,
         [1]unilever_price_limits!A:A &amp; [1]unilever_price_limits!B:B,
         [1]unilever_price_limits!C:C)</f>
        <v>55</v>
      </c>
      <c r="H4012" s="8">
        <f t="shared" si="249"/>
        <v>9.9820000000000011</v>
      </c>
      <c r="I4012" s="6">
        <f t="shared" si="250"/>
        <v>55.000000000000007</v>
      </c>
      <c r="J4012" t="str">
        <f t="shared" si="251"/>
        <v>OK</v>
      </c>
    </row>
    <row r="4013" spans="1:10" x14ac:dyDescent="0.2">
      <c r="A4013">
        <v>14012</v>
      </c>
      <c r="B4013" t="s">
        <v>5</v>
      </c>
      <c r="C4013" t="s">
        <v>6</v>
      </c>
      <c r="D4013" s="8">
        <v>13.48</v>
      </c>
      <c r="E4013">
        <v>7</v>
      </c>
      <c r="F4013" t="str">
        <f t="shared" si="248"/>
        <v>Standard</v>
      </c>
      <c r="G4013" s="3" cm="1">
        <f t="array" ref="G4013">_xlfn.XLOOKUP(C4013 &amp; F4013,
         [1]unilever_price_limits!A:A &amp; [1]unilever_price_limits!B:B,
         [1]unilever_price_limits!C:C)</f>
        <v>28</v>
      </c>
      <c r="H4013" s="8">
        <f t="shared" si="249"/>
        <v>17.2544</v>
      </c>
      <c r="I4013" s="6">
        <f t="shared" si="250"/>
        <v>28.000000000000004</v>
      </c>
      <c r="J4013" t="str">
        <f t="shared" si="251"/>
        <v>OK</v>
      </c>
    </row>
    <row r="4014" spans="1:10" x14ac:dyDescent="0.2">
      <c r="A4014">
        <v>14013</v>
      </c>
      <c r="B4014" t="s">
        <v>10</v>
      </c>
      <c r="C4014" t="s">
        <v>9</v>
      </c>
      <c r="D4014" s="8">
        <v>2.86</v>
      </c>
      <c r="E4014">
        <v>7</v>
      </c>
      <c r="F4014" t="str">
        <f t="shared" si="248"/>
        <v>Standard</v>
      </c>
      <c r="G4014" s="3" cm="1">
        <f t="array" ref="G4014">_xlfn.XLOOKUP(C4014 &amp; F4014,
         [1]unilever_price_limits!A:A &amp; [1]unilever_price_limits!B:B,
         [1]unilever_price_limits!C:C)</f>
        <v>30</v>
      </c>
      <c r="H4014" s="8">
        <f t="shared" si="249"/>
        <v>3.718</v>
      </c>
      <c r="I4014" s="6">
        <f t="shared" si="250"/>
        <v>30.000000000000004</v>
      </c>
      <c r="J4014" t="str">
        <f t="shared" si="251"/>
        <v>OK</v>
      </c>
    </row>
    <row r="4015" spans="1:10" x14ac:dyDescent="0.2">
      <c r="A4015">
        <v>14014</v>
      </c>
      <c r="B4015" t="s">
        <v>8</v>
      </c>
      <c r="C4015" t="s">
        <v>11</v>
      </c>
      <c r="D4015" s="8">
        <v>14.93</v>
      </c>
      <c r="E4015">
        <v>8</v>
      </c>
      <c r="F4015" t="str">
        <f t="shared" si="248"/>
        <v>Premium</v>
      </c>
      <c r="G4015" s="3" cm="1">
        <f t="array" ref="G4015">_xlfn.XLOOKUP(C4015 &amp; F4015,
         [1]unilever_price_limits!A:A &amp; [1]unilever_price_limits!B:B,
         [1]unilever_price_limits!C:C)</f>
        <v>50</v>
      </c>
      <c r="H4015" s="8">
        <f t="shared" si="249"/>
        <v>22.395</v>
      </c>
      <c r="I4015" s="6">
        <f t="shared" si="250"/>
        <v>50</v>
      </c>
      <c r="J4015" t="str">
        <f t="shared" si="251"/>
        <v>OK</v>
      </c>
    </row>
    <row r="4016" spans="1:10" x14ac:dyDescent="0.2">
      <c r="A4016">
        <v>14015</v>
      </c>
      <c r="B4016" t="s">
        <v>8</v>
      </c>
      <c r="C4016" t="s">
        <v>9</v>
      </c>
      <c r="D4016" s="8">
        <v>2.2200000000000002</v>
      </c>
      <c r="E4016">
        <v>10</v>
      </c>
      <c r="F4016" t="str">
        <f t="shared" si="248"/>
        <v>Premium</v>
      </c>
      <c r="G4016" s="3" cm="1">
        <f t="array" ref="G4016">_xlfn.XLOOKUP(C4016 &amp; F4016,
         [1]unilever_price_limits!A:A &amp; [1]unilever_price_limits!B:B,
         [1]unilever_price_limits!C:C)</f>
        <v>60</v>
      </c>
      <c r="H4016" s="8">
        <f t="shared" si="249"/>
        <v>3.5520000000000005</v>
      </c>
      <c r="I4016" s="6">
        <f t="shared" si="250"/>
        <v>60.000000000000007</v>
      </c>
      <c r="J4016" t="str">
        <f t="shared" si="251"/>
        <v>OK</v>
      </c>
    </row>
    <row r="4017" spans="1:10" x14ac:dyDescent="0.2">
      <c r="A4017">
        <v>14016</v>
      </c>
      <c r="B4017" t="s">
        <v>10</v>
      </c>
      <c r="C4017" t="s">
        <v>11</v>
      </c>
      <c r="D4017" s="8">
        <v>0.72</v>
      </c>
      <c r="E4017">
        <v>2</v>
      </c>
      <c r="F4017" t="str">
        <f t="shared" si="248"/>
        <v>Value</v>
      </c>
      <c r="G4017" s="3" cm="1">
        <f t="array" ref="G4017">_xlfn.XLOOKUP(C4017 &amp; F4017,
         [1]unilever_price_limits!A:A &amp; [1]unilever_price_limits!B:B,
         [1]unilever_price_limits!C:C)</f>
        <v>10</v>
      </c>
      <c r="H4017" s="8">
        <f t="shared" si="249"/>
        <v>0.79200000000000004</v>
      </c>
      <c r="I4017" s="6">
        <f t="shared" si="250"/>
        <v>10.000000000000009</v>
      </c>
      <c r="J4017" t="str">
        <f t="shared" si="251"/>
        <v>OK</v>
      </c>
    </row>
    <row r="4018" spans="1:10" x14ac:dyDescent="0.2">
      <c r="A4018">
        <v>14017</v>
      </c>
      <c r="B4018" t="s">
        <v>7</v>
      </c>
      <c r="C4018" t="s">
        <v>9</v>
      </c>
      <c r="D4018" s="8">
        <v>13.41</v>
      </c>
      <c r="E4018">
        <v>6</v>
      </c>
      <c r="F4018" t="str">
        <f t="shared" si="248"/>
        <v>Standard</v>
      </c>
      <c r="G4018" s="3" cm="1">
        <f t="array" ref="G4018">_xlfn.XLOOKUP(C4018 &amp; F4018,
         [1]unilever_price_limits!A:A &amp; [1]unilever_price_limits!B:B,
         [1]unilever_price_limits!C:C)</f>
        <v>30</v>
      </c>
      <c r="H4018" s="8">
        <f t="shared" si="249"/>
        <v>17.433</v>
      </c>
      <c r="I4018" s="6">
        <f t="shared" si="250"/>
        <v>30.000000000000004</v>
      </c>
      <c r="J4018" t="str">
        <f t="shared" si="251"/>
        <v>OK</v>
      </c>
    </row>
    <row r="4019" spans="1:10" x14ac:dyDescent="0.2">
      <c r="A4019">
        <v>14018</v>
      </c>
      <c r="B4019" t="s">
        <v>8</v>
      </c>
      <c r="C4019" t="s">
        <v>9</v>
      </c>
      <c r="D4019" s="8">
        <v>4.05</v>
      </c>
      <c r="E4019">
        <v>5</v>
      </c>
      <c r="F4019" t="str">
        <f t="shared" si="248"/>
        <v>Standard</v>
      </c>
      <c r="G4019" s="3" cm="1">
        <f t="array" ref="G4019">_xlfn.XLOOKUP(C4019 &amp; F4019,
         [1]unilever_price_limits!A:A &amp; [1]unilever_price_limits!B:B,
         [1]unilever_price_limits!C:C)</f>
        <v>30</v>
      </c>
      <c r="H4019" s="8">
        <f t="shared" si="249"/>
        <v>5.2649999999999997</v>
      </c>
      <c r="I4019" s="6">
        <f t="shared" si="250"/>
        <v>30.000000000000004</v>
      </c>
      <c r="J4019" t="str">
        <f t="shared" si="251"/>
        <v>OK</v>
      </c>
    </row>
    <row r="4020" spans="1:10" x14ac:dyDescent="0.2">
      <c r="A4020">
        <v>14019</v>
      </c>
      <c r="B4020" t="s">
        <v>8</v>
      </c>
      <c r="C4020" t="s">
        <v>9</v>
      </c>
      <c r="D4020" s="8">
        <v>11.08</v>
      </c>
      <c r="E4020">
        <v>5</v>
      </c>
      <c r="F4020" t="str">
        <f t="shared" si="248"/>
        <v>Standard</v>
      </c>
      <c r="G4020" s="3" cm="1">
        <f t="array" ref="G4020">_xlfn.XLOOKUP(C4020 &amp; F4020,
         [1]unilever_price_limits!A:A &amp; [1]unilever_price_limits!B:B,
         [1]unilever_price_limits!C:C)</f>
        <v>30</v>
      </c>
      <c r="H4020" s="8">
        <f t="shared" si="249"/>
        <v>14.404</v>
      </c>
      <c r="I4020" s="6">
        <f t="shared" si="250"/>
        <v>30.000000000000004</v>
      </c>
      <c r="J4020" t="str">
        <f t="shared" si="251"/>
        <v>OK</v>
      </c>
    </row>
    <row r="4021" spans="1:10" x14ac:dyDescent="0.2">
      <c r="A4021">
        <v>14020</v>
      </c>
      <c r="B4021" t="s">
        <v>7</v>
      </c>
      <c r="C4021" t="s">
        <v>9</v>
      </c>
      <c r="D4021" s="8">
        <v>12.26</v>
      </c>
      <c r="E4021">
        <v>3</v>
      </c>
      <c r="F4021" t="str">
        <f t="shared" si="248"/>
        <v>Value</v>
      </c>
      <c r="G4021" s="3" cm="1">
        <f t="array" ref="G4021">_xlfn.XLOOKUP(C4021 &amp; F4021,
         [1]unilever_price_limits!A:A &amp; [1]unilever_price_limits!B:B,
         [1]unilever_price_limits!C:C)</f>
        <v>15</v>
      </c>
      <c r="H4021" s="8">
        <f t="shared" si="249"/>
        <v>14.098999999999998</v>
      </c>
      <c r="I4021" s="6">
        <f t="shared" si="250"/>
        <v>14.999999999999991</v>
      </c>
      <c r="J4021" t="str">
        <f t="shared" si="251"/>
        <v>OK</v>
      </c>
    </row>
    <row r="4022" spans="1:10" x14ac:dyDescent="0.2">
      <c r="A4022">
        <v>14021</v>
      </c>
      <c r="B4022" t="s">
        <v>7</v>
      </c>
      <c r="C4022" t="s">
        <v>11</v>
      </c>
      <c r="D4022" s="8">
        <v>12.96</v>
      </c>
      <c r="E4022">
        <v>3</v>
      </c>
      <c r="F4022" t="str">
        <f t="shared" si="248"/>
        <v>Value</v>
      </c>
      <c r="G4022" s="3" cm="1">
        <f t="array" ref="G4022">_xlfn.XLOOKUP(C4022 &amp; F4022,
         [1]unilever_price_limits!A:A &amp; [1]unilever_price_limits!B:B,
         [1]unilever_price_limits!C:C)</f>
        <v>10</v>
      </c>
      <c r="H4022" s="8">
        <f t="shared" si="249"/>
        <v>14.256000000000002</v>
      </c>
      <c r="I4022" s="6">
        <f t="shared" si="250"/>
        <v>10.000000000000009</v>
      </c>
      <c r="J4022" t="str">
        <f t="shared" si="251"/>
        <v>OK</v>
      </c>
    </row>
    <row r="4023" spans="1:10" x14ac:dyDescent="0.2">
      <c r="A4023">
        <v>14022</v>
      </c>
      <c r="B4023" t="s">
        <v>5</v>
      </c>
      <c r="C4023" t="s">
        <v>11</v>
      </c>
      <c r="D4023" s="8">
        <v>14.88</v>
      </c>
      <c r="E4023">
        <v>6</v>
      </c>
      <c r="F4023" t="str">
        <f t="shared" si="248"/>
        <v>Standard</v>
      </c>
      <c r="G4023" s="3" cm="1">
        <f t="array" ref="G4023">_xlfn.XLOOKUP(C4023 &amp; F4023,
         [1]unilever_price_limits!A:A &amp; [1]unilever_price_limits!B:B,
         [1]unilever_price_limits!C:C)</f>
        <v>25</v>
      </c>
      <c r="H4023" s="8">
        <f t="shared" si="249"/>
        <v>18.600000000000001</v>
      </c>
      <c r="I4023" s="6">
        <f t="shared" si="250"/>
        <v>25</v>
      </c>
      <c r="J4023" t="str">
        <f t="shared" si="251"/>
        <v>OK</v>
      </c>
    </row>
    <row r="4024" spans="1:10" x14ac:dyDescent="0.2">
      <c r="A4024">
        <v>14023</v>
      </c>
      <c r="B4024" t="s">
        <v>7</v>
      </c>
      <c r="C4024" t="s">
        <v>6</v>
      </c>
      <c r="D4024" s="8">
        <v>4.76</v>
      </c>
      <c r="E4024">
        <v>10</v>
      </c>
      <c r="F4024" t="str">
        <f t="shared" si="248"/>
        <v>Premium</v>
      </c>
      <c r="G4024" s="3" cm="1">
        <f t="array" ref="G4024">_xlfn.XLOOKUP(C4024 &amp; F4024,
         [1]unilever_price_limits!A:A &amp; [1]unilever_price_limits!B:B,
         [1]unilever_price_limits!C:C)</f>
        <v>55</v>
      </c>
      <c r="H4024" s="8">
        <f t="shared" si="249"/>
        <v>7.3780000000000001</v>
      </c>
      <c r="I4024" s="6">
        <f t="shared" si="250"/>
        <v>55.000000000000007</v>
      </c>
      <c r="J4024" t="str">
        <f t="shared" si="251"/>
        <v>OK</v>
      </c>
    </row>
    <row r="4025" spans="1:10" x14ac:dyDescent="0.2">
      <c r="A4025">
        <v>14024</v>
      </c>
      <c r="B4025" t="s">
        <v>10</v>
      </c>
      <c r="C4025" t="s">
        <v>9</v>
      </c>
      <c r="D4025" s="8">
        <v>10.8</v>
      </c>
      <c r="E4025">
        <v>10</v>
      </c>
      <c r="F4025" t="str">
        <f t="shared" si="248"/>
        <v>Premium</v>
      </c>
      <c r="G4025" s="3" cm="1">
        <f t="array" ref="G4025">_xlfn.XLOOKUP(C4025 &amp; F4025,
         [1]unilever_price_limits!A:A &amp; [1]unilever_price_limits!B:B,
         [1]unilever_price_limits!C:C)</f>
        <v>60</v>
      </c>
      <c r="H4025" s="8">
        <f t="shared" si="249"/>
        <v>17.28</v>
      </c>
      <c r="I4025" s="6">
        <f t="shared" si="250"/>
        <v>60.000000000000007</v>
      </c>
      <c r="J4025" t="str">
        <f t="shared" si="251"/>
        <v>OK</v>
      </c>
    </row>
    <row r="4026" spans="1:10" x14ac:dyDescent="0.2">
      <c r="A4026">
        <v>14025</v>
      </c>
      <c r="B4026" t="s">
        <v>10</v>
      </c>
      <c r="C4026" t="s">
        <v>11</v>
      </c>
      <c r="D4026" s="8">
        <v>2.17</v>
      </c>
      <c r="E4026">
        <v>7</v>
      </c>
      <c r="F4026" t="str">
        <f t="shared" si="248"/>
        <v>Standard</v>
      </c>
      <c r="G4026" s="3" cm="1">
        <f t="array" ref="G4026">_xlfn.XLOOKUP(C4026 &amp; F4026,
         [1]unilever_price_limits!A:A &amp; [1]unilever_price_limits!B:B,
         [1]unilever_price_limits!C:C)</f>
        <v>25</v>
      </c>
      <c r="H4026" s="8">
        <f t="shared" si="249"/>
        <v>2.7124999999999999</v>
      </c>
      <c r="I4026" s="6">
        <f t="shared" si="250"/>
        <v>25</v>
      </c>
      <c r="J4026" t="str">
        <f t="shared" si="251"/>
        <v>OK</v>
      </c>
    </row>
    <row r="4027" spans="1:10" x14ac:dyDescent="0.2">
      <c r="A4027">
        <v>14026</v>
      </c>
      <c r="B4027" t="s">
        <v>5</v>
      </c>
      <c r="C4027" t="s">
        <v>11</v>
      </c>
      <c r="D4027" s="8">
        <v>6.4</v>
      </c>
      <c r="E4027">
        <v>1</v>
      </c>
      <c r="F4027" t="str">
        <f t="shared" si="248"/>
        <v>Value</v>
      </c>
      <c r="G4027" s="3" cm="1">
        <f t="array" ref="G4027">_xlfn.XLOOKUP(C4027 &amp; F4027,
         [1]unilever_price_limits!A:A &amp; [1]unilever_price_limits!B:B,
         [1]unilever_price_limits!C:C)</f>
        <v>10</v>
      </c>
      <c r="H4027" s="8">
        <f t="shared" si="249"/>
        <v>7.0400000000000009</v>
      </c>
      <c r="I4027" s="6">
        <f t="shared" si="250"/>
        <v>10.000000000000009</v>
      </c>
      <c r="J4027" t="str">
        <f t="shared" si="251"/>
        <v>OK</v>
      </c>
    </row>
    <row r="4028" spans="1:10" x14ac:dyDescent="0.2">
      <c r="A4028">
        <v>14027</v>
      </c>
      <c r="B4028" t="s">
        <v>8</v>
      </c>
      <c r="C4028" t="s">
        <v>11</v>
      </c>
      <c r="D4028" s="8">
        <v>12.8</v>
      </c>
      <c r="E4028">
        <v>3</v>
      </c>
      <c r="F4028" t="str">
        <f t="shared" si="248"/>
        <v>Value</v>
      </c>
      <c r="G4028" s="3" cm="1">
        <f t="array" ref="G4028">_xlfn.XLOOKUP(C4028 &amp; F4028,
         [1]unilever_price_limits!A:A &amp; [1]unilever_price_limits!B:B,
         [1]unilever_price_limits!C:C)</f>
        <v>10</v>
      </c>
      <c r="H4028" s="8">
        <f t="shared" si="249"/>
        <v>14.080000000000002</v>
      </c>
      <c r="I4028" s="6">
        <f t="shared" si="250"/>
        <v>10.000000000000009</v>
      </c>
      <c r="J4028" t="str">
        <f t="shared" si="251"/>
        <v>OK</v>
      </c>
    </row>
    <row r="4029" spans="1:10" x14ac:dyDescent="0.2">
      <c r="A4029">
        <v>14028</v>
      </c>
      <c r="B4029" t="s">
        <v>8</v>
      </c>
      <c r="C4029" t="s">
        <v>9</v>
      </c>
      <c r="D4029" s="8">
        <v>5.83</v>
      </c>
      <c r="E4029">
        <v>1</v>
      </c>
      <c r="F4029" t="str">
        <f t="shared" si="248"/>
        <v>Value</v>
      </c>
      <c r="G4029" s="3" cm="1">
        <f t="array" ref="G4029">_xlfn.XLOOKUP(C4029 &amp; F4029,
         [1]unilever_price_limits!A:A &amp; [1]unilever_price_limits!B:B,
         [1]unilever_price_limits!C:C)</f>
        <v>15</v>
      </c>
      <c r="H4029" s="8">
        <f t="shared" si="249"/>
        <v>6.7044999999999995</v>
      </c>
      <c r="I4029" s="6">
        <f t="shared" si="250"/>
        <v>14.999999999999991</v>
      </c>
      <c r="J4029" t="str">
        <f t="shared" si="251"/>
        <v>OK</v>
      </c>
    </row>
    <row r="4030" spans="1:10" x14ac:dyDescent="0.2">
      <c r="A4030">
        <v>14029</v>
      </c>
      <c r="B4030" t="s">
        <v>7</v>
      </c>
      <c r="C4030" t="s">
        <v>6</v>
      </c>
      <c r="D4030" s="8">
        <v>9.07</v>
      </c>
      <c r="E4030">
        <v>10</v>
      </c>
      <c r="F4030" t="str">
        <f t="shared" si="248"/>
        <v>Premium</v>
      </c>
      <c r="G4030" s="3" cm="1">
        <f t="array" ref="G4030">_xlfn.XLOOKUP(C4030 &amp; F4030,
         [1]unilever_price_limits!A:A &amp; [1]unilever_price_limits!B:B,
         [1]unilever_price_limits!C:C)</f>
        <v>55</v>
      </c>
      <c r="H4030" s="8">
        <f t="shared" si="249"/>
        <v>14.0585</v>
      </c>
      <c r="I4030" s="6">
        <f t="shared" si="250"/>
        <v>55.000000000000007</v>
      </c>
      <c r="J4030" t="str">
        <f t="shared" si="251"/>
        <v>OK</v>
      </c>
    </row>
    <row r="4031" spans="1:10" x14ac:dyDescent="0.2">
      <c r="A4031">
        <v>14030</v>
      </c>
      <c r="B4031" t="s">
        <v>10</v>
      </c>
      <c r="C4031" t="s">
        <v>11</v>
      </c>
      <c r="D4031" s="8">
        <v>7.8</v>
      </c>
      <c r="E4031">
        <v>3</v>
      </c>
      <c r="F4031" t="str">
        <f t="shared" si="248"/>
        <v>Value</v>
      </c>
      <c r="G4031" s="3" cm="1">
        <f t="array" ref="G4031">_xlfn.XLOOKUP(C4031 &amp; F4031,
         [1]unilever_price_limits!A:A &amp; [1]unilever_price_limits!B:B,
         [1]unilever_price_limits!C:C)</f>
        <v>10</v>
      </c>
      <c r="H4031" s="8">
        <f t="shared" si="249"/>
        <v>8.58</v>
      </c>
      <c r="I4031" s="6">
        <f t="shared" si="250"/>
        <v>10.000000000000009</v>
      </c>
      <c r="J4031" t="str">
        <f t="shared" si="251"/>
        <v>OK</v>
      </c>
    </row>
    <row r="4032" spans="1:10" x14ac:dyDescent="0.2">
      <c r="A4032">
        <v>14031</v>
      </c>
      <c r="B4032" t="s">
        <v>8</v>
      </c>
      <c r="C4032" t="s">
        <v>9</v>
      </c>
      <c r="D4032" s="8">
        <v>9.8699999999999992</v>
      </c>
      <c r="E4032">
        <v>5</v>
      </c>
      <c r="F4032" t="str">
        <f t="shared" si="248"/>
        <v>Standard</v>
      </c>
      <c r="G4032" s="3" cm="1">
        <f t="array" ref="G4032">_xlfn.XLOOKUP(C4032 &amp; F4032,
         [1]unilever_price_limits!A:A &amp; [1]unilever_price_limits!B:B,
         [1]unilever_price_limits!C:C)</f>
        <v>30</v>
      </c>
      <c r="H4032" s="8">
        <f t="shared" si="249"/>
        <v>12.831</v>
      </c>
      <c r="I4032" s="6">
        <f t="shared" si="250"/>
        <v>30.000000000000004</v>
      </c>
      <c r="J4032" t="str">
        <f t="shared" si="251"/>
        <v>OK</v>
      </c>
    </row>
    <row r="4033" spans="1:10" x14ac:dyDescent="0.2">
      <c r="A4033">
        <v>14032</v>
      </c>
      <c r="B4033" t="s">
        <v>5</v>
      </c>
      <c r="C4033" t="s">
        <v>11</v>
      </c>
      <c r="D4033" s="8">
        <v>14.61</v>
      </c>
      <c r="E4033">
        <v>9</v>
      </c>
      <c r="F4033" t="str">
        <f t="shared" si="248"/>
        <v>Premium</v>
      </c>
      <c r="G4033" s="3" cm="1">
        <f t="array" ref="G4033">_xlfn.XLOOKUP(C4033 &amp; F4033,
         [1]unilever_price_limits!A:A &amp; [1]unilever_price_limits!B:B,
         [1]unilever_price_limits!C:C)</f>
        <v>50</v>
      </c>
      <c r="H4033" s="8">
        <f t="shared" si="249"/>
        <v>21.914999999999999</v>
      </c>
      <c r="I4033" s="6">
        <f t="shared" si="250"/>
        <v>50</v>
      </c>
      <c r="J4033" t="str">
        <f t="shared" si="251"/>
        <v>OK</v>
      </c>
    </row>
    <row r="4034" spans="1:10" x14ac:dyDescent="0.2">
      <c r="A4034">
        <v>14033</v>
      </c>
      <c r="B4034" t="s">
        <v>5</v>
      </c>
      <c r="C4034" t="s">
        <v>11</v>
      </c>
      <c r="D4034" s="8">
        <v>1.31</v>
      </c>
      <c r="E4034">
        <v>3</v>
      </c>
      <c r="F4034" t="str">
        <f t="shared" si="248"/>
        <v>Value</v>
      </c>
      <c r="G4034" s="3" cm="1">
        <f t="array" ref="G4034">_xlfn.XLOOKUP(C4034 &amp; F4034,
         [1]unilever_price_limits!A:A &amp; [1]unilever_price_limits!B:B,
         [1]unilever_price_limits!C:C)</f>
        <v>10</v>
      </c>
      <c r="H4034" s="8">
        <f t="shared" si="249"/>
        <v>1.4410000000000003</v>
      </c>
      <c r="I4034" s="6">
        <f t="shared" si="250"/>
        <v>10.000000000000009</v>
      </c>
      <c r="J4034" t="str">
        <f t="shared" si="251"/>
        <v>OK</v>
      </c>
    </row>
    <row r="4035" spans="1:10" x14ac:dyDescent="0.2">
      <c r="A4035">
        <v>14034</v>
      </c>
      <c r="B4035" t="s">
        <v>10</v>
      </c>
      <c r="C4035" t="s">
        <v>6</v>
      </c>
      <c r="D4035" s="8">
        <v>8.82</v>
      </c>
      <c r="E4035">
        <v>10</v>
      </c>
      <c r="F4035" t="str">
        <f t="shared" ref="F4035:F4098" si="252">IF(E4035&lt;=3,"Value",
 IF(E4035&lt;=7,"Standard","Premium"))</f>
        <v>Premium</v>
      </c>
      <c r="G4035" s="3" cm="1">
        <f t="array" ref="G4035">_xlfn.XLOOKUP(C4035 &amp; F4035,
         [1]unilever_price_limits!A:A &amp; [1]unilever_price_limits!B:B,
         [1]unilever_price_limits!C:C)</f>
        <v>55</v>
      </c>
      <c r="H4035" s="8">
        <f t="shared" ref="H4035:H4098" si="253">D4035 * (1 + G4035/100)</f>
        <v>13.671000000000001</v>
      </c>
      <c r="I4035" s="6">
        <f t="shared" ref="I4035:I4098" si="254">(H4035 / D4035 - 1) * 100</f>
        <v>55.000000000000007</v>
      </c>
      <c r="J4035" t="str">
        <f t="shared" ref="J4035:J4098" si="255">IF(I4034&gt; G4034, "⚠ Exceeds Limit", "OK")</f>
        <v>OK</v>
      </c>
    </row>
    <row r="4036" spans="1:10" x14ac:dyDescent="0.2">
      <c r="A4036">
        <v>14035</v>
      </c>
      <c r="B4036" t="s">
        <v>5</v>
      </c>
      <c r="C4036" t="s">
        <v>11</v>
      </c>
      <c r="D4036" s="8">
        <v>13.01</v>
      </c>
      <c r="E4036">
        <v>10</v>
      </c>
      <c r="F4036" t="str">
        <f t="shared" si="252"/>
        <v>Premium</v>
      </c>
      <c r="G4036" s="3" cm="1">
        <f t="array" ref="G4036">_xlfn.XLOOKUP(C4036 &amp; F4036,
         [1]unilever_price_limits!A:A &amp; [1]unilever_price_limits!B:B,
         [1]unilever_price_limits!C:C)</f>
        <v>50</v>
      </c>
      <c r="H4036" s="8">
        <f t="shared" si="253"/>
        <v>19.515000000000001</v>
      </c>
      <c r="I4036" s="6">
        <f t="shared" si="254"/>
        <v>50</v>
      </c>
      <c r="J4036" t="str">
        <f t="shared" si="255"/>
        <v>OK</v>
      </c>
    </row>
    <row r="4037" spans="1:10" x14ac:dyDescent="0.2">
      <c r="A4037">
        <v>14036</v>
      </c>
      <c r="B4037" t="s">
        <v>5</v>
      </c>
      <c r="C4037" t="s">
        <v>11</v>
      </c>
      <c r="D4037" s="8">
        <v>7.48</v>
      </c>
      <c r="E4037">
        <v>9</v>
      </c>
      <c r="F4037" t="str">
        <f t="shared" si="252"/>
        <v>Premium</v>
      </c>
      <c r="G4037" s="3" cm="1">
        <f t="array" ref="G4037">_xlfn.XLOOKUP(C4037 &amp; F4037,
         [1]unilever_price_limits!A:A &amp; [1]unilever_price_limits!B:B,
         [1]unilever_price_limits!C:C)</f>
        <v>50</v>
      </c>
      <c r="H4037" s="8">
        <f t="shared" si="253"/>
        <v>11.22</v>
      </c>
      <c r="I4037" s="6">
        <f t="shared" si="254"/>
        <v>50</v>
      </c>
      <c r="J4037" t="str">
        <f t="shared" si="255"/>
        <v>OK</v>
      </c>
    </row>
    <row r="4038" spans="1:10" x14ac:dyDescent="0.2">
      <c r="A4038">
        <v>14037</v>
      </c>
      <c r="B4038" t="s">
        <v>10</v>
      </c>
      <c r="C4038" t="s">
        <v>9</v>
      </c>
      <c r="D4038" s="8">
        <v>1.64</v>
      </c>
      <c r="E4038">
        <v>1</v>
      </c>
      <c r="F4038" t="str">
        <f t="shared" si="252"/>
        <v>Value</v>
      </c>
      <c r="G4038" s="3" cm="1">
        <f t="array" ref="G4038">_xlfn.XLOOKUP(C4038 &amp; F4038,
         [1]unilever_price_limits!A:A &amp; [1]unilever_price_limits!B:B,
         [1]unilever_price_limits!C:C)</f>
        <v>15</v>
      </c>
      <c r="H4038" s="8">
        <f t="shared" si="253"/>
        <v>1.8859999999999997</v>
      </c>
      <c r="I4038" s="6">
        <f t="shared" si="254"/>
        <v>14.999999999999991</v>
      </c>
      <c r="J4038" t="str">
        <f t="shared" si="255"/>
        <v>OK</v>
      </c>
    </row>
    <row r="4039" spans="1:10" x14ac:dyDescent="0.2">
      <c r="A4039">
        <v>14038</v>
      </c>
      <c r="B4039" t="s">
        <v>7</v>
      </c>
      <c r="C4039" t="s">
        <v>9</v>
      </c>
      <c r="D4039" s="8">
        <v>8.6300000000000008</v>
      </c>
      <c r="E4039">
        <v>6</v>
      </c>
      <c r="F4039" t="str">
        <f t="shared" si="252"/>
        <v>Standard</v>
      </c>
      <c r="G4039" s="3" cm="1">
        <f t="array" ref="G4039">_xlfn.XLOOKUP(C4039 &amp; F4039,
         [1]unilever_price_limits!A:A &amp; [1]unilever_price_limits!B:B,
         [1]unilever_price_limits!C:C)</f>
        <v>30</v>
      </c>
      <c r="H4039" s="8">
        <f t="shared" si="253"/>
        <v>11.219000000000001</v>
      </c>
      <c r="I4039" s="6">
        <f t="shared" si="254"/>
        <v>30.000000000000004</v>
      </c>
      <c r="J4039" t="str">
        <f t="shared" si="255"/>
        <v>OK</v>
      </c>
    </row>
    <row r="4040" spans="1:10" x14ac:dyDescent="0.2">
      <c r="A4040">
        <v>14039</v>
      </c>
      <c r="B4040" t="s">
        <v>7</v>
      </c>
      <c r="C4040" t="s">
        <v>6</v>
      </c>
      <c r="D4040" s="8">
        <v>5.32</v>
      </c>
      <c r="E4040">
        <v>9</v>
      </c>
      <c r="F4040" t="str">
        <f t="shared" si="252"/>
        <v>Premium</v>
      </c>
      <c r="G4040" s="3" cm="1">
        <f t="array" ref="G4040">_xlfn.XLOOKUP(C4040 &amp; F4040,
         [1]unilever_price_limits!A:A &amp; [1]unilever_price_limits!B:B,
         [1]unilever_price_limits!C:C)</f>
        <v>55</v>
      </c>
      <c r="H4040" s="8">
        <f t="shared" si="253"/>
        <v>8.2460000000000004</v>
      </c>
      <c r="I4040" s="6">
        <f t="shared" si="254"/>
        <v>55.000000000000007</v>
      </c>
      <c r="J4040" t="str">
        <f t="shared" si="255"/>
        <v>OK</v>
      </c>
    </row>
    <row r="4041" spans="1:10" x14ac:dyDescent="0.2">
      <c r="A4041">
        <v>14040</v>
      </c>
      <c r="B4041" t="s">
        <v>5</v>
      </c>
      <c r="C4041" t="s">
        <v>9</v>
      </c>
      <c r="D4041" s="8">
        <v>2.75</v>
      </c>
      <c r="E4041">
        <v>5</v>
      </c>
      <c r="F4041" t="str">
        <f t="shared" si="252"/>
        <v>Standard</v>
      </c>
      <c r="G4041" s="3" cm="1">
        <f t="array" ref="G4041">_xlfn.XLOOKUP(C4041 &amp; F4041,
         [1]unilever_price_limits!A:A &amp; [1]unilever_price_limits!B:B,
         [1]unilever_price_limits!C:C)</f>
        <v>30</v>
      </c>
      <c r="H4041" s="8">
        <f t="shared" si="253"/>
        <v>3.5750000000000002</v>
      </c>
      <c r="I4041" s="6">
        <f t="shared" si="254"/>
        <v>30.000000000000004</v>
      </c>
      <c r="J4041" t="str">
        <f t="shared" si="255"/>
        <v>OK</v>
      </c>
    </row>
    <row r="4042" spans="1:10" x14ac:dyDescent="0.2">
      <c r="A4042">
        <v>14041</v>
      </c>
      <c r="B4042" t="s">
        <v>7</v>
      </c>
      <c r="C4042" t="s">
        <v>9</v>
      </c>
      <c r="D4042" s="8">
        <v>12.81</v>
      </c>
      <c r="E4042">
        <v>10</v>
      </c>
      <c r="F4042" t="str">
        <f t="shared" si="252"/>
        <v>Premium</v>
      </c>
      <c r="G4042" s="3" cm="1">
        <f t="array" ref="G4042">_xlfn.XLOOKUP(C4042 &amp; F4042,
         [1]unilever_price_limits!A:A &amp; [1]unilever_price_limits!B:B,
         [1]unilever_price_limits!C:C)</f>
        <v>60</v>
      </c>
      <c r="H4042" s="8">
        <f t="shared" si="253"/>
        <v>20.496000000000002</v>
      </c>
      <c r="I4042" s="6">
        <f t="shared" si="254"/>
        <v>60.000000000000007</v>
      </c>
      <c r="J4042" t="str">
        <f t="shared" si="255"/>
        <v>OK</v>
      </c>
    </row>
    <row r="4043" spans="1:10" x14ac:dyDescent="0.2">
      <c r="A4043">
        <v>14042</v>
      </c>
      <c r="B4043" t="s">
        <v>7</v>
      </c>
      <c r="C4043" t="s">
        <v>6</v>
      </c>
      <c r="D4043" s="8">
        <v>8.06</v>
      </c>
      <c r="E4043">
        <v>2</v>
      </c>
      <c r="F4043" t="str">
        <f t="shared" si="252"/>
        <v>Value</v>
      </c>
      <c r="G4043" s="3" cm="1">
        <f t="array" ref="G4043">_xlfn.XLOOKUP(C4043 &amp; F4043,
         [1]unilever_price_limits!A:A &amp; [1]unilever_price_limits!B:B,
         [1]unilever_price_limits!C:C)</f>
        <v>12</v>
      </c>
      <c r="H4043" s="8">
        <f t="shared" si="253"/>
        <v>9.0272000000000006</v>
      </c>
      <c r="I4043" s="6">
        <f t="shared" si="254"/>
        <v>12.000000000000011</v>
      </c>
      <c r="J4043" t="str">
        <f t="shared" si="255"/>
        <v>OK</v>
      </c>
    </row>
    <row r="4044" spans="1:10" x14ac:dyDescent="0.2">
      <c r="A4044">
        <v>14043</v>
      </c>
      <c r="B4044" t="s">
        <v>5</v>
      </c>
      <c r="C4044" t="s">
        <v>11</v>
      </c>
      <c r="D4044" s="8">
        <v>14.03</v>
      </c>
      <c r="E4044">
        <v>5</v>
      </c>
      <c r="F4044" t="str">
        <f t="shared" si="252"/>
        <v>Standard</v>
      </c>
      <c r="G4044" s="3" cm="1">
        <f t="array" ref="G4044">_xlfn.XLOOKUP(C4044 &amp; F4044,
         [1]unilever_price_limits!A:A &amp; [1]unilever_price_limits!B:B,
         [1]unilever_price_limits!C:C)</f>
        <v>25</v>
      </c>
      <c r="H4044" s="8">
        <f t="shared" si="253"/>
        <v>17.537499999999998</v>
      </c>
      <c r="I4044" s="6">
        <f t="shared" si="254"/>
        <v>25</v>
      </c>
      <c r="J4044" t="str">
        <f t="shared" si="255"/>
        <v>OK</v>
      </c>
    </row>
    <row r="4045" spans="1:10" x14ac:dyDescent="0.2">
      <c r="A4045">
        <v>14044</v>
      </c>
      <c r="B4045" t="s">
        <v>7</v>
      </c>
      <c r="C4045" t="s">
        <v>6</v>
      </c>
      <c r="D4045" s="8">
        <v>12.19</v>
      </c>
      <c r="E4045">
        <v>1</v>
      </c>
      <c r="F4045" t="str">
        <f t="shared" si="252"/>
        <v>Value</v>
      </c>
      <c r="G4045" s="3" cm="1">
        <f t="array" ref="G4045">_xlfn.XLOOKUP(C4045 &amp; F4045,
         [1]unilever_price_limits!A:A &amp; [1]unilever_price_limits!B:B,
         [1]unilever_price_limits!C:C)</f>
        <v>12</v>
      </c>
      <c r="H4045" s="8">
        <f t="shared" si="253"/>
        <v>13.652800000000001</v>
      </c>
      <c r="I4045" s="6">
        <f t="shared" si="254"/>
        <v>12.000000000000011</v>
      </c>
      <c r="J4045" t="str">
        <f t="shared" si="255"/>
        <v>OK</v>
      </c>
    </row>
    <row r="4046" spans="1:10" x14ac:dyDescent="0.2">
      <c r="A4046">
        <v>14045</v>
      </c>
      <c r="B4046" t="s">
        <v>5</v>
      </c>
      <c r="C4046" t="s">
        <v>9</v>
      </c>
      <c r="D4046" s="8">
        <v>10.55</v>
      </c>
      <c r="E4046">
        <v>9</v>
      </c>
      <c r="F4046" t="str">
        <f t="shared" si="252"/>
        <v>Premium</v>
      </c>
      <c r="G4046" s="3" cm="1">
        <f t="array" ref="G4046">_xlfn.XLOOKUP(C4046 &amp; F4046,
         [1]unilever_price_limits!A:A &amp; [1]unilever_price_limits!B:B,
         [1]unilever_price_limits!C:C)</f>
        <v>60</v>
      </c>
      <c r="H4046" s="8">
        <f t="shared" si="253"/>
        <v>16.880000000000003</v>
      </c>
      <c r="I4046" s="6">
        <f t="shared" si="254"/>
        <v>60.000000000000007</v>
      </c>
      <c r="J4046" t="str">
        <f t="shared" si="255"/>
        <v>OK</v>
      </c>
    </row>
    <row r="4047" spans="1:10" x14ac:dyDescent="0.2">
      <c r="A4047">
        <v>14046</v>
      </c>
      <c r="B4047" t="s">
        <v>8</v>
      </c>
      <c r="C4047" t="s">
        <v>6</v>
      </c>
      <c r="D4047" s="8">
        <v>0.56999999999999995</v>
      </c>
      <c r="E4047">
        <v>10</v>
      </c>
      <c r="F4047" t="str">
        <f t="shared" si="252"/>
        <v>Premium</v>
      </c>
      <c r="G4047" s="3" cm="1">
        <f t="array" ref="G4047">_xlfn.XLOOKUP(C4047 &amp; F4047,
         [1]unilever_price_limits!A:A &amp; [1]unilever_price_limits!B:B,
         [1]unilever_price_limits!C:C)</f>
        <v>55</v>
      </c>
      <c r="H4047" s="8">
        <f t="shared" si="253"/>
        <v>0.88349999999999995</v>
      </c>
      <c r="I4047" s="6">
        <f t="shared" si="254"/>
        <v>55.000000000000007</v>
      </c>
      <c r="J4047" t="str">
        <f t="shared" si="255"/>
        <v>OK</v>
      </c>
    </row>
    <row r="4048" spans="1:10" x14ac:dyDescent="0.2">
      <c r="A4048">
        <v>14047</v>
      </c>
      <c r="B4048" t="s">
        <v>10</v>
      </c>
      <c r="C4048" t="s">
        <v>11</v>
      </c>
      <c r="D4048" s="8">
        <v>6.7</v>
      </c>
      <c r="E4048">
        <v>10</v>
      </c>
      <c r="F4048" t="str">
        <f t="shared" si="252"/>
        <v>Premium</v>
      </c>
      <c r="G4048" s="3" cm="1">
        <f t="array" ref="G4048">_xlfn.XLOOKUP(C4048 &amp; F4048,
         [1]unilever_price_limits!A:A &amp; [1]unilever_price_limits!B:B,
         [1]unilever_price_limits!C:C)</f>
        <v>50</v>
      </c>
      <c r="H4048" s="8">
        <f t="shared" si="253"/>
        <v>10.050000000000001</v>
      </c>
      <c r="I4048" s="6">
        <f t="shared" si="254"/>
        <v>50</v>
      </c>
      <c r="J4048" t="str">
        <f t="shared" si="255"/>
        <v>OK</v>
      </c>
    </row>
    <row r="4049" spans="1:10" x14ac:dyDescent="0.2">
      <c r="A4049">
        <v>14048</v>
      </c>
      <c r="B4049" t="s">
        <v>10</v>
      </c>
      <c r="C4049" t="s">
        <v>6</v>
      </c>
      <c r="D4049" s="8">
        <v>3.36</v>
      </c>
      <c r="E4049">
        <v>9</v>
      </c>
      <c r="F4049" t="str">
        <f t="shared" si="252"/>
        <v>Premium</v>
      </c>
      <c r="G4049" s="3" cm="1">
        <f t="array" ref="G4049">_xlfn.XLOOKUP(C4049 &amp; F4049,
         [1]unilever_price_limits!A:A &amp; [1]unilever_price_limits!B:B,
         [1]unilever_price_limits!C:C)</f>
        <v>55</v>
      </c>
      <c r="H4049" s="8">
        <f t="shared" si="253"/>
        <v>5.2080000000000002</v>
      </c>
      <c r="I4049" s="6">
        <f t="shared" si="254"/>
        <v>55.000000000000007</v>
      </c>
      <c r="J4049" t="str">
        <f t="shared" si="255"/>
        <v>OK</v>
      </c>
    </row>
    <row r="4050" spans="1:10" x14ac:dyDescent="0.2">
      <c r="A4050">
        <v>14049</v>
      </c>
      <c r="B4050" t="s">
        <v>7</v>
      </c>
      <c r="C4050" t="s">
        <v>9</v>
      </c>
      <c r="D4050" s="8">
        <v>13.71</v>
      </c>
      <c r="E4050">
        <v>6</v>
      </c>
      <c r="F4050" t="str">
        <f t="shared" si="252"/>
        <v>Standard</v>
      </c>
      <c r="G4050" s="3" cm="1">
        <f t="array" ref="G4050">_xlfn.XLOOKUP(C4050 &amp; F4050,
         [1]unilever_price_limits!A:A &amp; [1]unilever_price_limits!B:B,
         [1]unilever_price_limits!C:C)</f>
        <v>30</v>
      </c>
      <c r="H4050" s="8">
        <f t="shared" si="253"/>
        <v>17.823</v>
      </c>
      <c r="I4050" s="6">
        <f t="shared" si="254"/>
        <v>30.000000000000004</v>
      </c>
      <c r="J4050" t="str">
        <f t="shared" si="255"/>
        <v>OK</v>
      </c>
    </row>
    <row r="4051" spans="1:10" x14ac:dyDescent="0.2">
      <c r="A4051">
        <v>14050</v>
      </c>
      <c r="B4051" t="s">
        <v>7</v>
      </c>
      <c r="C4051" t="s">
        <v>9</v>
      </c>
      <c r="D4051" s="8">
        <v>3.03</v>
      </c>
      <c r="E4051">
        <v>9</v>
      </c>
      <c r="F4051" t="str">
        <f t="shared" si="252"/>
        <v>Premium</v>
      </c>
      <c r="G4051" s="3" cm="1">
        <f t="array" ref="G4051">_xlfn.XLOOKUP(C4051 &amp; F4051,
         [1]unilever_price_limits!A:A &amp; [1]unilever_price_limits!B:B,
         [1]unilever_price_limits!C:C)</f>
        <v>60</v>
      </c>
      <c r="H4051" s="8">
        <f t="shared" si="253"/>
        <v>4.8479999999999999</v>
      </c>
      <c r="I4051" s="6">
        <f t="shared" si="254"/>
        <v>60.000000000000007</v>
      </c>
      <c r="J4051" t="str">
        <f t="shared" si="255"/>
        <v>OK</v>
      </c>
    </row>
    <row r="4052" spans="1:10" x14ac:dyDescent="0.2">
      <c r="A4052">
        <v>14051</v>
      </c>
      <c r="B4052" t="s">
        <v>7</v>
      </c>
      <c r="C4052" t="s">
        <v>6</v>
      </c>
      <c r="D4052" s="8">
        <v>4.6500000000000004</v>
      </c>
      <c r="E4052">
        <v>3</v>
      </c>
      <c r="F4052" t="str">
        <f t="shared" si="252"/>
        <v>Value</v>
      </c>
      <c r="G4052" s="3" cm="1">
        <f t="array" ref="G4052">_xlfn.XLOOKUP(C4052 &amp; F4052,
         [1]unilever_price_limits!A:A &amp; [1]unilever_price_limits!B:B,
         [1]unilever_price_limits!C:C)</f>
        <v>12</v>
      </c>
      <c r="H4052" s="8">
        <f t="shared" si="253"/>
        <v>5.2080000000000011</v>
      </c>
      <c r="I4052" s="6">
        <f t="shared" si="254"/>
        <v>12.000000000000011</v>
      </c>
      <c r="J4052" t="str">
        <f t="shared" si="255"/>
        <v>OK</v>
      </c>
    </row>
    <row r="4053" spans="1:10" x14ac:dyDescent="0.2">
      <c r="A4053">
        <v>14052</v>
      </c>
      <c r="B4053" t="s">
        <v>10</v>
      </c>
      <c r="C4053" t="s">
        <v>11</v>
      </c>
      <c r="D4053" s="8">
        <v>7.99</v>
      </c>
      <c r="E4053">
        <v>4</v>
      </c>
      <c r="F4053" t="str">
        <f t="shared" si="252"/>
        <v>Standard</v>
      </c>
      <c r="G4053" s="3" cm="1">
        <f t="array" ref="G4053">_xlfn.XLOOKUP(C4053 &amp; F4053,
         [1]unilever_price_limits!A:A &amp; [1]unilever_price_limits!B:B,
         [1]unilever_price_limits!C:C)</f>
        <v>25</v>
      </c>
      <c r="H4053" s="8">
        <f t="shared" si="253"/>
        <v>9.9875000000000007</v>
      </c>
      <c r="I4053" s="6">
        <f t="shared" si="254"/>
        <v>25</v>
      </c>
      <c r="J4053" t="str">
        <f t="shared" si="255"/>
        <v>OK</v>
      </c>
    </row>
    <row r="4054" spans="1:10" x14ac:dyDescent="0.2">
      <c r="A4054">
        <v>14053</v>
      </c>
      <c r="B4054" t="s">
        <v>8</v>
      </c>
      <c r="C4054" t="s">
        <v>6</v>
      </c>
      <c r="D4054" s="8">
        <v>4.32</v>
      </c>
      <c r="E4054">
        <v>6</v>
      </c>
      <c r="F4054" t="str">
        <f t="shared" si="252"/>
        <v>Standard</v>
      </c>
      <c r="G4054" s="3" cm="1">
        <f t="array" ref="G4054">_xlfn.XLOOKUP(C4054 &amp; F4054,
         [1]unilever_price_limits!A:A &amp; [1]unilever_price_limits!B:B,
         [1]unilever_price_limits!C:C)</f>
        <v>28</v>
      </c>
      <c r="H4054" s="8">
        <f t="shared" si="253"/>
        <v>5.5296000000000003</v>
      </c>
      <c r="I4054" s="6">
        <f t="shared" si="254"/>
        <v>28.000000000000004</v>
      </c>
      <c r="J4054" t="str">
        <f t="shared" si="255"/>
        <v>OK</v>
      </c>
    </row>
    <row r="4055" spans="1:10" x14ac:dyDescent="0.2">
      <c r="A4055">
        <v>14054</v>
      </c>
      <c r="B4055" t="s">
        <v>8</v>
      </c>
      <c r="C4055" t="s">
        <v>11</v>
      </c>
      <c r="D4055" s="8">
        <v>3.54</v>
      </c>
      <c r="E4055">
        <v>4</v>
      </c>
      <c r="F4055" t="str">
        <f t="shared" si="252"/>
        <v>Standard</v>
      </c>
      <c r="G4055" s="3" cm="1">
        <f t="array" ref="G4055">_xlfn.XLOOKUP(C4055 &amp; F4055,
         [1]unilever_price_limits!A:A &amp; [1]unilever_price_limits!B:B,
         [1]unilever_price_limits!C:C)</f>
        <v>25</v>
      </c>
      <c r="H4055" s="8">
        <f t="shared" si="253"/>
        <v>4.4249999999999998</v>
      </c>
      <c r="I4055" s="6">
        <f t="shared" si="254"/>
        <v>25</v>
      </c>
      <c r="J4055" t="str">
        <f t="shared" si="255"/>
        <v>OK</v>
      </c>
    </row>
    <row r="4056" spans="1:10" x14ac:dyDescent="0.2">
      <c r="A4056">
        <v>14055</v>
      </c>
      <c r="B4056" t="s">
        <v>10</v>
      </c>
      <c r="C4056" t="s">
        <v>11</v>
      </c>
      <c r="D4056" s="8">
        <v>9.19</v>
      </c>
      <c r="E4056">
        <v>1</v>
      </c>
      <c r="F4056" t="str">
        <f t="shared" si="252"/>
        <v>Value</v>
      </c>
      <c r="G4056" s="3" cm="1">
        <f t="array" ref="G4056">_xlfn.XLOOKUP(C4056 &amp; F4056,
         [1]unilever_price_limits!A:A &amp; [1]unilever_price_limits!B:B,
         [1]unilever_price_limits!C:C)</f>
        <v>10</v>
      </c>
      <c r="H4056" s="8">
        <f t="shared" si="253"/>
        <v>10.109</v>
      </c>
      <c r="I4056" s="6">
        <f t="shared" si="254"/>
        <v>10.000000000000009</v>
      </c>
      <c r="J4056" t="str">
        <f t="shared" si="255"/>
        <v>OK</v>
      </c>
    </row>
    <row r="4057" spans="1:10" x14ac:dyDescent="0.2">
      <c r="A4057">
        <v>14056</v>
      </c>
      <c r="B4057" t="s">
        <v>8</v>
      </c>
      <c r="C4057" t="s">
        <v>6</v>
      </c>
      <c r="D4057" s="8">
        <v>1.79</v>
      </c>
      <c r="E4057">
        <v>7</v>
      </c>
      <c r="F4057" t="str">
        <f t="shared" si="252"/>
        <v>Standard</v>
      </c>
      <c r="G4057" s="3" cm="1">
        <f t="array" ref="G4057">_xlfn.XLOOKUP(C4057 &amp; F4057,
         [1]unilever_price_limits!A:A &amp; [1]unilever_price_limits!B:B,
         [1]unilever_price_limits!C:C)</f>
        <v>28</v>
      </c>
      <c r="H4057" s="8">
        <f t="shared" si="253"/>
        <v>2.2911999999999999</v>
      </c>
      <c r="I4057" s="6">
        <f t="shared" si="254"/>
        <v>28.000000000000004</v>
      </c>
      <c r="J4057" t="str">
        <f t="shared" si="255"/>
        <v>OK</v>
      </c>
    </row>
    <row r="4058" spans="1:10" x14ac:dyDescent="0.2">
      <c r="A4058">
        <v>14057</v>
      </c>
      <c r="B4058" t="s">
        <v>10</v>
      </c>
      <c r="C4058" t="s">
        <v>11</v>
      </c>
      <c r="D4058" s="8">
        <v>1.34</v>
      </c>
      <c r="E4058">
        <v>5</v>
      </c>
      <c r="F4058" t="str">
        <f t="shared" si="252"/>
        <v>Standard</v>
      </c>
      <c r="G4058" s="3" cm="1">
        <f t="array" ref="G4058">_xlfn.XLOOKUP(C4058 &amp; F4058,
         [1]unilever_price_limits!A:A &amp; [1]unilever_price_limits!B:B,
         [1]unilever_price_limits!C:C)</f>
        <v>25</v>
      </c>
      <c r="H4058" s="8">
        <f t="shared" si="253"/>
        <v>1.675</v>
      </c>
      <c r="I4058" s="6">
        <f t="shared" si="254"/>
        <v>25</v>
      </c>
      <c r="J4058" t="str">
        <f t="shared" si="255"/>
        <v>OK</v>
      </c>
    </row>
    <row r="4059" spans="1:10" x14ac:dyDescent="0.2">
      <c r="A4059">
        <v>14058</v>
      </c>
      <c r="B4059" t="s">
        <v>8</v>
      </c>
      <c r="C4059" t="s">
        <v>9</v>
      </c>
      <c r="D4059" s="8">
        <v>5.9</v>
      </c>
      <c r="E4059">
        <v>8</v>
      </c>
      <c r="F4059" t="str">
        <f t="shared" si="252"/>
        <v>Premium</v>
      </c>
      <c r="G4059" s="3" cm="1">
        <f t="array" ref="G4059">_xlfn.XLOOKUP(C4059 &amp; F4059,
         [1]unilever_price_limits!A:A &amp; [1]unilever_price_limits!B:B,
         [1]unilever_price_limits!C:C)</f>
        <v>60</v>
      </c>
      <c r="H4059" s="8">
        <f t="shared" si="253"/>
        <v>9.4400000000000013</v>
      </c>
      <c r="I4059" s="6">
        <f t="shared" si="254"/>
        <v>60.000000000000007</v>
      </c>
      <c r="J4059" t="str">
        <f t="shared" si="255"/>
        <v>OK</v>
      </c>
    </row>
    <row r="4060" spans="1:10" x14ac:dyDescent="0.2">
      <c r="A4060">
        <v>14059</v>
      </c>
      <c r="B4060" t="s">
        <v>5</v>
      </c>
      <c r="C4060" t="s">
        <v>6</v>
      </c>
      <c r="D4060" s="8">
        <v>10.95</v>
      </c>
      <c r="E4060">
        <v>9</v>
      </c>
      <c r="F4060" t="str">
        <f t="shared" si="252"/>
        <v>Premium</v>
      </c>
      <c r="G4060" s="3" cm="1">
        <f t="array" ref="G4060">_xlfn.XLOOKUP(C4060 &amp; F4060,
         [1]unilever_price_limits!A:A &amp; [1]unilever_price_limits!B:B,
         [1]unilever_price_limits!C:C)</f>
        <v>55</v>
      </c>
      <c r="H4060" s="8">
        <f t="shared" si="253"/>
        <v>16.9725</v>
      </c>
      <c r="I4060" s="6">
        <f t="shared" si="254"/>
        <v>55.000000000000007</v>
      </c>
      <c r="J4060" t="str">
        <f t="shared" si="255"/>
        <v>OK</v>
      </c>
    </row>
    <row r="4061" spans="1:10" x14ac:dyDescent="0.2">
      <c r="A4061">
        <v>14060</v>
      </c>
      <c r="B4061" t="s">
        <v>5</v>
      </c>
      <c r="C4061" t="s">
        <v>11</v>
      </c>
      <c r="D4061" s="8">
        <v>8.5399999999999991</v>
      </c>
      <c r="E4061">
        <v>5</v>
      </c>
      <c r="F4061" t="str">
        <f t="shared" si="252"/>
        <v>Standard</v>
      </c>
      <c r="G4061" s="3" cm="1">
        <f t="array" ref="G4061">_xlfn.XLOOKUP(C4061 &amp; F4061,
         [1]unilever_price_limits!A:A &amp; [1]unilever_price_limits!B:B,
         [1]unilever_price_limits!C:C)</f>
        <v>25</v>
      </c>
      <c r="H4061" s="8">
        <f t="shared" si="253"/>
        <v>10.674999999999999</v>
      </c>
      <c r="I4061" s="6">
        <f t="shared" si="254"/>
        <v>25</v>
      </c>
      <c r="J4061" t="str">
        <f t="shared" si="255"/>
        <v>OK</v>
      </c>
    </row>
    <row r="4062" spans="1:10" x14ac:dyDescent="0.2">
      <c r="A4062">
        <v>14061</v>
      </c>
      <c r="B4062" t="s">
        <v>10</v>
      </c>
      <c r="C4062" t="s">
        <v>9</v>
      </c>
      <c r="D4062" s="8">
        <v>6.63</v>
      </c>
      <c r="E4062">
        <v>8</v>
      </c>
      <c r="F4062" t="str">
        <f t="shared" si="252"/>
        <v>Premium</v>
      </c>
      <c r="G4062" s="3" cm="1">
        <f t="array" ref="G4062">_xlfn.XLOOKUP(C4062 &amp; F4062,
         [1]unilever_price_limits!A:A &amp; [1]unilever_price_limits!B:B,
         [1]unilever_price_limits!C:C)</f>
        <v>60</v>
      </c>
      <c r="H4062" s="8">
        <f t="shared" si="253"/>
        <v>10.608000000000001</v>
      </c>
      <c r="I4062" s="6">
        <f t="shared" si="254"/>
        <v>60.000000000000007</v>
      </c>
      <c r="J4062" t="str">
        <f t="shared" si="255"/>
        <v>OK</v>
      </c>
    </row>
    <row r="4063" spans="1:10" x14ac:dyDescent="0.2">
      <c r="A4063">
        <v>14062</v>
      </c>
      <c r="B4063" t="s">
        <v>8</v>
      </c>
      <c r="C4063" t="s">
        <v>6</v>
      </c>
      <c r="D4063" s="8">
        <v>8.6999999999999993</v>
      </c>
      <c r="E4063">
        <v>1</v>
      </c>
      <c r="F4063" t="str">
        <f t="shared" si="252"/>
        <v>Value</v>
      </c>
      <c r="G4063" s="3" cm="1">
        <f t="array" ref="G4063">_xlfn.XLOOKUP(C4063 &amp; F4063,
         [1]unilever_price_limits!A:A &amp; [1]unilever_price_limits!B:B,
         [1]unilever_price_limits!C:C)</f>
        <v>12</v>
      </c>
      <c r="H4063" s="8">
        <f t="shared" si="253"/>
        <v>9.7439999999999998</v>
      </c>
      <c r="I4063" s="6">
        <f t="shared" si="254"/>
        <v>12.000000000000011</v>
      </c>
      <c r="J4063" t="str">
        <f t="shared" si="255"/>
        <v>OK</v>
      </c>
    </row>
    <row r="4064" spans="1:10" x14ac:dyDescent="0.2">
      <c r="A4064">
        <v>14063</v>
      </c>
      <c r="B4064" t="s">
        <v>7</v>
      </c>
      <c r="C4064" t="s">
        <v>9</v>
      </c>
      <c r="D4064" s="8">
        <v>5.8</v>
      </c>
      <c r="E4064">
        <v>1</v>
      </c>
      <c r="F4064" t="str">
        <f t="shared" si="252"/>
        <v>Value</v>
      </c>
      <c r="G4064" s="3" cm="1">
        <f t="array" ref="G4064">_xlfn.XLOOKUP(C4064 &amp; F4064,
         [1]unilever_price_limits!A:A &amp; [1]unilever_price_limits!B:B,
         [1]unilever_price_limits!C:C)</f>
        <v>15</v>
      </c>
      <c r="H4064" s="8">
        <f t="shared" si="253"/>
        <v>6.669999999999999</v>
      </c>
      <c r="I4064" s="6">
        <f t="shared" si="254"/>
        <v>14.999999999999991</v>
      </c>
      <c r="J4064" t="str">
        <f t="shared" si="255"/>
        <v>OK</v>
      </c>
    </row>
    <row r="4065" spans="1:10" x14ac:dyDescent="0.2">
      <c r="A4065">
        <v>14064</v>
      </c>
      <c r="B4065" t="s">
        <v>8</v>
      </c>
      <c r="C4065" t="s">
        <v>9</v>
      </c>
      <c r="D4065" s="8">
        <v>14.07</v>
      </c>
      <c r="E4065">
        <v>7</v>
      </c>
      <c r="F4065" t="str">
        <f t="shared" si="252"/>
        <v>Standard</v>
      </c>
      <c r="G4065" s="3" cm="1">
        <f t="array" ref="G4065">_xlfn.XLOOKUP(C4065 &amp; F4065,
         [1]unilever_price_limits!A:A &amp; [1]unilever_price_limits!B:B,
         [1]unilever_price_limits!C:C)</f>
        <v>30</v>
      </c>
      <c r="H4065" s="8">
        <f t="shared" si="253"/>
        <v>18.291</v>
      </c>
      <c r="I4065" s="6">
        <f t="shared" si="254"/>
        <v>30.000000000000004</v>
      </c>
      <c r="J4065" t="str">
        <f t="shared" si="255"/>
        <v>OK</v>
      </c>
    </row>
    <row r="4066" spans="1:10" x14ac:dyDescent="0.2">
      <c r="A4066">
        <v>14065</v>
      </c>
      <c r="B4066" t="s">
        <v>5</v>
      </c>
      <c r="C4066" t="s">
        <v>9</v>
      </c>
      <c r="D4066" s="8">
        <v>1.3</v>
      </c>
      <c r="E4066">
        <v>6</v>
      </c>
      <c r="F4066" t="str">
        <f t="shared" si="252"/>
        <v>Standard</v>
      </c>
      <c r="G4066" s="3" cm="1">
        <f t="array" ref="G4066">_xlfn.XLOOKUP(C4066 &amp; F4066,
         [1]unilever_price_limits!A:A &amp; [1]unilever_price_limits!B:B,
         [1]unilever_price_limits!C:C)</f>
        <v>30</v>
      </c>
      <c r="H4066" s="8">
        <f t="shared" si="253"/>
        <v>1.6900000000000002</v>
      </c>
      <c r="I4066" s="6">
        <f t="shared" si="254"/>
        <v>30.000000000000004</v>
      </c>
      <c r="J4066" t="str">
        <f t="shared" si="255"/>
        <v>OK</v>
      </c>
    </row>
    <row r="4067" spans="1:10" x14ac:dyDescent="0.2">
      <c r="A4067">
        <v>14066</v>
      </c>
      <c r="B4067" t="s">
        <v>5</v>
      </c>
      <c r="C4067" t="s">
        <v>11</v>
      </c>
      <c r="D4067" s="8">
        <v>10.26</v>
      </c>
      <c r="E4067">
        <v>5</v>
      </c>
      <c r="F4067" t="str">
        <f t="shared" si="252"/>
        <v>Standard</v>
      </c>
      <c r="G4067" s="3" cm="1">
        <f t="array" ref="G4067">_xlfn.XLOOKUP(C4067 &amp; F4067,
         [1]unilever_price_limits!A:A &amp; [1]unilever_price_limits!B:B,
         [1]unilever_price_limits!C:C)</f>
        <v>25</v>
      </c>
      <c r="H4067" s="8">
        <f t="shared" si="253"/>
        <v>12.824999999999999</v>
      </c>
      <c r="I4067" s="6">
        <f t="shared" si="254"/>
        <v>25</v>
      </c>
      <c r="J4067" t="str">
        <f t="shared" si="255"/>
        <v>OK</v>
      </c>
    </row>
    <row r="4068" spans="1:10" x14ac:dyDescent="0.2">
      <c r="A4068">
        <v>14067</v>
      </c>
      <c r="B4068" t="s">
        <v>8</v>
      </c>
      <c r="C4068" t="s">
        <v>6</v>
      </c>
      <c r="D4068" s="8">
        <v>13.42</v>
      </c>
      <c r="E4068">
        <v>5</v>
      </c>
      <c r="F4068" t="str">
        <f t="shared" si="252"/>
        <v>Standard</v>
      </c>
      <c r="G4068" s="3" cm="1">
        <f t="array" ref="G4068">_xlfn.XLOOKUP(C4068 &amp; F4068,
         [1]unilever_price_limits!A:A &amp; [1]unilever_price_limits!B:B,
         [1]unilever_price_limits!C:C)</f>
        <v>28</v>
      </c>
      <c r="H4068" s="8">
        <f t="shared" si="253"/>
        <v>17.177600000000002</v>
      </c>
      <c r="I4068" s="6">
        <f t="shared" si="254"/>
        <v>28.000000000000004</v>
      </c>
      <c r="J4068" t="str">
        <f t="shared" si="255"/>
        <v>OK</v>
      </c>
    </row>
    <row r="4069" spans="1:10" x14ac:dyDescent="0.2">
      <c r="A4069">
        <v>14068</v>
      </c>
      <c r="B4069" t="s">
        <v>8</v>
      </c>
      <c r="C4069" t="s">
        <v>6</v>
      </c>
      <c r="D4069" s="8">
        <v>12.16</v>
      </c>
      <c r="E4069">
        <v>9</v>
      </c>
      <c r="F4069" t="str">
        <f t="shared" si="252"/>
        <v>Premium</v>
      </c>
      <c r="G4069" s="3" cm="1">
        <f t="array" ref="G4069">_xlfn.XLOOKUP(C4069 &amp; F4069,
         [1]unilever_price_limits!A:A &amp; [1]unilever_price_limits!B:B,
         [1]unilever_price_limits!C:C)</f>
        <v>55</v>
      </c>
      <c r="H4069" s="8">
        <f t="shared" si="253"/>
        <v>18.848000000000003</v>
      </c>
      <c r="I4069" s="6">
        <f t="shared" si="254"/>
        <v>55.000000000000028</v>
      </c>
      <c r="J4069" t="str">
        <f t="shared" si="255"/>
        <v>OK</v>
      </c>
    </row>
    <row r="4070" spans="1:10" x14ac:dyDescent="0.2">
      <c r="A4070">
        <v>14069</v>
      </c>
      <c r="B4070" t="s">
        <v>7</v>
      </c>
      <c r="C4070" t="s">
        <v>11</v>
      </c>
      <c r="D4070" s="8">
        <v>3.17</v>
      </c>
      <c r="E4070">
        <v>1</v>
      </c>
      <c r="F4070" t="str">
        <f t="shared" si="252"/>
        <v>Value</v>
      </c>
      <c r="G4070" s="3" cm="1">
        <f t="array" ref="G4070">_xlfn.XLOOKUP(C4070 &amp; F4070,
         [1]unilever_price_limits!A:A &amp; [1]unilever_price_limits!B:B,
         [1]unilever_price_limits!C:C)</f>
        <v>10</v>
      </c>
      <c r="H4070" s="8">
        <f t="shared" si="253"/>
        <v>3.4870000000000001</v>
      </c>
      <c r="I4070" s="6">
        <f t="shared" si="254"/>
        <v>10.000000000000009</v>
      </c>
      <c r="J4070" t="str">
        <f t="shared" si="255"/>
        <v>OK</v>
      </c>
    </row>
    <row r="4071" spans="1:10" x14ac:dyDescent="0.2">
      <c r="A4071">
        <v>14070</v>
      </c>
      <c r="B4071" t="s">
        <v>7</v>
      </c>
      <c r="C4071" t="s">
        <v>6</v>
      </c>
      <c r="D4071" s="8">
        <v>4.79</v>
      </c>
      <c r="E4071">
        <v>8</v>
      </c>
      <c r="F4071" t="str">
        <f t="shared" si="252"/>
        <v>Premium</v>
      </c>
      <c r="G4071" s="3" cm="1">
        <f t="array" ref="G4071">_xlfn.XLOOKUP(C4071 &amp; F4071,
         [1]unilever_price_limits!A:A &amp; [1]unilever_price_limits!B:B,
         [1]unilever_price_limits!C:C)</f>
        <v>55</v>
      </c>
      <c r="H4071" s="8">
        <f t="shared" si="253"/>
        <v>7.4245000000000001</v>
      </c>
      <c r="I4071" s="6">
        <f t="shared" si="254"/>
        <v>55.000000000000007</v>
      </c>
      <c r="J4071" t="str">
        <f t="shared" si="255"/>
        <v>OK</v>
      </c>
    </row>
    <row r="4072" spans="1:10" x14ac:dyDescent="0.2">
      <c r="A4072">
        <v>14071</v>
      </c>
      <c r="B4072" t="s">
        <v>8</v>
      </c>
      <c r="C4072" t="s">
        <v>9</v>
      </c>
      <c r="D4072" s="8">
        <v>10.9</v>
      </c>
      <c r="E4072">
        <v>2</v>
      </c>
      <c r="F4072" t="str">
        <f t="shared" si="252"/>
        <v>Value</v>
      </c>
      <c r="G4072" s="3" cm="1">
        <f t="array" ref="G4072">_xlfn.XLOOKUP(C4072 &amp; F4072,
         [1]unilever_price_limits!A:A &amp; [1]unilever_price_limits!B:B,
         [1]unilever_price_limits!C:C)</f>
        <v>15</v>
      </c>
      <c r="H4072" s="8">
        <f t="shared" si="253"/>
        <v>12.535</v>
      </c>
      <c r="I4072" s="6">
        <f t="shared" si="254"/>
        <v>14.999999999999991</v>
      </c>
      <c r="J4072" t="str">
        <f t="shared" si="255"/>
        <v>OK</v>
      </c>
    </row>
    <row r="4073" spans="1:10" x14ac:dyDescent="0.2">
      <c r="A4073">
        <v>14072</v>
      </c>
      <c r="B4073" t="s">
        <v>8</v>
      </c>
      <c r="C4073" t="s">
        <v>6</v>
      </c>
      <c r="D4073" s="8">
        <v>1.72</v>
      </c>
      <c r="E4073">
        <v>7</v>
      </c>
      <c r="F4073" t="str">
        <f t="shared" si="252"/>
        <v>Standard</v>
      </c>
      <c r="G4073" s="3" cm="1">
        <f t="array" ref="G4073">_xlfn.XLOOKUP(C4073 &amp; F4073,
         [1]unilever_price_limits!A:A &amp; [1]unilever_price_limits!B:B,
         [1]unilever_price_limits!C:C)</f>
        <v>28</v>
      </c>
      <c r="H4073" s="8">
        <f t="shared" si="253"/>
        <v>2.2016</v>
      </c>
      <c r="I4073" s="6">
        <f t="shared" si="254"/>
        <v>28.000000000000004</v>
      </c>
      <c r="J4073" t="str">
        <f t="shared" si="255"/>
        <v>OK</v>
      </c>
    </row>
    <row r="4074" spans="1:10" x14ac:dyDescent="0.2">
      <c r="A4074">
        <v>14073</v>
      </c>
      <c r="B4074" t="s">
        <v>8</v>
      </c>
      <c r="C4074" t="s">
        <v>11</v>
      </c>
      <c r="D4074" s="8">
        <v>12.27</v>
      </c>
      <c r="E4074">
        <v>6</v>
      </c>
      <c r="F4074" t="str">
        <f t="shared" si="252"/>
        <v>Standard</v>
      </c>
      <c r="G4074" s="3" cm="1">
        <f t="array" ref="G4074">_xlfn.XLOOKUP(C4074 &amp; F4074,
         [1]unilever_price_limits!A:A &amp; [1]unilever_price_limits!B:B,
         [1]unilever_price_limits!C:C)</f>
        <v>25</v>
      </c>
      <c r="H4074" s="8">
        <f t="shared" si="253"/>
        <v>15.337499999999999</v>
      </c>
      <c r="I4074" s="6">
        <f t="shared" si="254"/>
        <v>25</v>
      </c>
      <c r="J4074" t="str">
        <f t="shared" si="255"/>
        <v>OK</v>
      </c>
    </row>
    <row r="4075" spans="1:10" x14ac:dyDescent="0.2">
      <c r="A4075">
        <v>14074</v>
      </c>
      <c r="B4075" t="s">
        <v>8</v>
      </c>
      <c r="C4075" t="s">
        <v>9</v>
      </c>
      <c r="D4075" s="8">
        <v>10.92</v>
      </c>
      <c r="E4075">
        <v>10</v>
      </c>
      <c r="F4075" t="str">
        <f t="shared" si="252"/>
        <v>Premium</v>
      </c>
      <c r="G4075" s="3" cm="1">
        <f t="array" ref="G4075">_xlfn.XLOOKUP(C4075 &amp; F4075,
         [1]unilever_price_limits!A:A &amp; [1]unilever_price_limits!B:B,
         [1]unilever_price_limits!C:C)</f>
        <v>60</v>
      </c>
      <c r="H4075" s="8">
        <f t="shared" si="253"/>
        <v>17.472000000000001</v>
      </c>
      <c r="I4075" s="6">
        <f t="shared" si="254"/>
        <v>60.000000000000007</v>
      </c>
      <c r="J4075" t="str">
        <f t="shared" si="255"/>
        <v>OK</v>
      </c>
    </row>
    <row r="4076" spans="1:10" x14ac:dyDescent="0.2">
      <c r="A4076">
        <v>14075</v>
      </c>
      <c r="B4076" t="s">
        <v>10</v>
      </c>
      <c r="C4076" t="s">
        <v>11</v>
      </c>
      <c r="D4076" s="8">
        <v>11.08</v>
      </c>
      <c r="E4076">
        <v>2</v>
      </c>
      <c r="F4076" t="str">
        <f t="shared" si="252"/>
        <v>Value</v>
      </c>
      <c r="G4076" s="3" cm="1">
        <f t="array" ref="G4076">_xlfn.XLOOKUP(C4076 &amp; F4076,
         [1]unilever_price_limits!A:A &amp; [1]unilever_price_limits!B:B,
         [1]unilever_price_limits!C:C)</f>
        <v>10</v>
      </c>
      <c r="H4076" s="8">
        <f t="shared" si="253"/>
        <v>12.188000000000001</v>
      </c>
      <c r="I4076" s="6">
        <f t="shared" si="254"/>
        <v>10.000000000000009</v>
      </c>
      <c r="J4076" t="str">
        <f t="shared" si="255"/>
        <v>OK</v>
      </c>
    </row>
    <row r="4077" spans="1:10" x14ac:dyDescent="0.2">
      <c r="A4077">
        <v>14076</v>
      </c>
      <c r="B4077" t="s">
        <v>8</v>
      </c>
      <c r="C4077" t="s">
        <v>9</v>
      </c>
      <c r="D4077" s="8">
        <v>1.95</v>
      </c>
      <c r="E4077">
        <v>3</v>
      </c>
      <c r="F4077" t="str">
        <f t="shared" si="252"/>
        <v>Value</v>
      </c>
      <c r="G4077" s="3" cm="1">
        <f t="array" ref="G4077">_xlfn.XLOOKUP(C4077 &amp; F4077,
         [1]unilever_price_limits!A:A &amp; [1]unilever_price_limits!B:B,
         [1]unilever_price_limits!C:C)</f>
        <v>15</v>
      </c>
      <c r="H4077" s="8">
        <f t="shared" si="253"/>
        <v>2.2424999999999997</v>
      </c>
      <c r="I4077" s="6">
        <f t="shared" si="254"/>
        <v>14.999999999999991</v>
      </c>
      <c r="J4077" t="str">
        <f t="shared" si="255"/>
        <v>OK</v>
      </c>
    </row>
    <row r="4078" spans="1:10" x14ac:dyDescent="0.2">
      <c r="A4078">
        <v>14077</v>
      </c>
      <c r="B4078" t="s">
        <v>7</v>
      </c>
      <c r="C4078" t="s">
        <v>9</v>
      </c>
      <c r="D4078" s="8">
        <v>10.91</v>
      </c>
      <c r="E4078">
        <v>4</v>
      </c>
      <c r="F4078" t="str">
        <f t="shared" si="252"/>
        <v>Standard</v>
      </c>
      <c r="G4078" s="3" cm="1">
        <f t="array" ref="G4078">_xlfn.XLOOKUP(C4078 &amp; F4078,
         [1]unilever_price_limits!A:A &amp; [1]unilever_price_limits!B:B,
         [1]unilever_price_limits!C:C)</f>
        <v>30</v>
      </c>
      <c r="H4078" s="8">
        <f t="shared" si="253"/>
        <v>14.183</v>
      </c>
      <c r="I4078" s="6">
        <f t="shared" si="254"/>
        <v>30.000000000000004</v>
      </c>
      <c r="J4078" t="str">
        <f t="shared" si="255"/>
        <v>OK</v>
      </c>
    </row>
    <row r="4079" spans="1:10" x14ac:dyDescent="0.2">
      <c r="A4079">
        <v>14078</v>
      </c>
      <c r="B4079" t="s">
        <v>5</v>
      </c>
      <c r="C4079" t="s">
        <v>6</v>
      </c>
      <c r="D4079" s="8">
        <v>10.36</v>
      </c>
      <c r="E4079">
        <v>7</v>
      </c>
      <c r="F4079" t="str">
        <f t="shared" si="252"/>
        <v>Standard</v>
      </c>
      <c r="G4079" s="3" cm="1">
        <f t="array" ref="G4079">_xlfn.XLOOKUP(C4079 &amp; F4079,
         [1]unilever_price_limits!A:A &amp; [1]unilever_price_limits!B:B,
         [1]unilever_price_limits!C:C)</f>
        <v>28</v>
      </c>
      <c r="H4079" s="8">
        <f t="shared" si="253"/>
        <v>13.2608</v>
      </c>
      <c r="I4079" s="6">
        <f t="shared" si="254"/>
        <v>28.000000000000004</v>
      </c>
      <c r="J4079" t="str">
        <f t="shared" si="255"/>
        <v>OK</v>
      </c>
    </row>
    <row r="4080" spans="1:10" x14ac:dyDescent="0.2">
      <c r="A4080">
        <v>14079</v>
      </c>
      <c r="B4080" t="s">
        <v>10</v>
      </c>
      <c r="C4080" t="s">
        <v>9</v>
      </c>
      <c r="D4080" s="8">
        <v>12.55</v>
      </c>
      <c r="E4080">
        <v>8</v>
      </c>
      <c r="F4080" t="str">
        <f t="shared" si="252"/>
        <v>Premium</v>
      </c>
      <c r="G4080" s="3" cm="1">
        <f t="array" ref="G4080">_xlfn.XLOOKUP(C4080 &amp; F4080,
         [1]unilever_price_limits!A:A &amp; [1]unilever_price_limits!B:B,
         [1]unilever_price_limits!C:C)</f>
        <v>60</v>
      </c>
      <c r="H4080" s="8">
        <f t="shared" si="253"/>
        <v>20.080000000000002</v>
      </c>
      <c r="I4080" s="6">
        <f t="shared" si="254"/>
        <v>60.000000000000007</v>
      </c>
      <c r="J4080" t="str">
        <f t="shared" si="255"/>
        <v>OK</v>
      </c>
    </row>
    <row r="4081" spans="1:10" x14ac:dyDescent="0.2">
      <c r="A4081">
        <v>14080</v>
      </c>
      <c r="B4081" t="s">
        <v>8</v>
      </c>
      <c r="C4081" t="s">
        <v>11</v>
      </c>
      <c r="D4081" s="8">
        <v>1.1000000000000001</v>
      </c>
      <c r="E4081">
        <v>2</v>
      </c>
      <c r="F4081" t="str">
        <f t="shared" si="252"/>
        <v>Value</v>
      </c>
      <c r="G4081" s="3" cm="1">
        <f t="array" ref="G4081">_xlfn.XLOOKUP(C4081 &amp; F4081,
         [1]unilever_price_limits!A:A &amp; [1]unilever_price_limits!B:B,
         [1]unilever_price_limits!C:C)</f>
        <v>10</v>
      </c>
      <c r="H4081" s="8">
        <f t="shared" si="253"/>
        <v>1.2100000000000002</v>
      </c>
      <c r="I4081" s="6">
        <f t="shared" si="254"/>
        <v>10.000000000000009</v>
      </c>
      <c r="J4081" t="str">
        <f t="shared" si="255"/>
        <v>OK</v>
      </c>
    </row>
    <row r="4082" spans="1:10" x14ac:dyDescent="0.2">
      <c r="A4082">
        <v>14081</v>
      </c>
      <c r="B4082" t="s">
        <v>5</v>
      </c>
      <c r="C4082" t="s">
        <v>6</v>
      </c>
      <c r="D4082" s="8">
        <v>0.84</v>
      </c>
      <c r="E4082">
        <v>8</v>
      </c>
      <c r="F4082" t="str">
        <f t="shared" si="252"/>
        <v>Premium</v>
      </c>
      <c r="G4082" s="3" cm="1">
        <f t="array" ref="G4082">_xlfn.XLOOKUP(C4082 &amp; F4082,
         [1]unilever_price_limits!A:A &amp; [1]unilever_price_limits!B:B,
         [1]unilever_price_limits!C:C)</f>
        <v>55</v>
      </c>
      <c r="H4082" s="8">
        <f t="shared" si="253"/>
        <v>1.302</v>
      </c>
      <c r="I4082" s="6">
        <f t="shared" si="254"/>
        <v>55.000000000000007</v>
      </c>
      <c r="J4082" t="str">
        <f t="shared" si="255"/>
        <v>OK</v>
      </c>
    </row>
    <row r="4083" spans="1:10" x14ac:dyDescent="0.2">
      <c r="A4083">
        <v>14082</v>
      </c>
      <c r="B4083" t="s">
        <v>10</v>
      </c>
      <c r="C4083" t="s">
        <v>11</v>
      </c>
      <c r="D4083" s="8">
        <v>5.91</v>
      </c>
      <c r="E4083">
        <v>9</v>
      </c>
      <c r="F4083" t="str">
        <f t="shared" si="252"/>
        <v>Premium</v>
      </c>
      <c r="G4083" s="3" cm="1">
        <f t="array" ref="G4083">_xlfn.XLOOKUP(C4083 &amp; F4083,
         [1]unilever_price_limits!A:A &amp; [1]unilever_price_limits!B:B,
         [1]unilever_price_limits!C:C)</f>
        <v>50</v>
      </c>
      <c r="H4083" s="8">
        <f t="shared" si="253"/>
        <v>8.8650000000000002</v>
      </c>
      <c r="I4083" s="6">
        <f t="shared" si="254"/>
        <v>50</v>
      </c>
      <c r="J4083" t="str">
        <f t="shared" si="255"/>
        <v>OK</v>
      </c>
    </row>
    <row r="4084" spans="1:10" x14ac:dyDescent="0.2">
      <c r="A4084">
        <v>14083</v>
      </c>
      <c r="B4084" t="s">
        <v>5</v>
      </c>
      <c r="C4084" t="s">
        <v>9</v>
      </c>
      <c r="D4084" s="8">
        <v>2.66</v>
      </c>
      <c r="E4084">
        <v>7</v>
      </c>
      <c r="F4084" t="str">
        <f t="shared" si="252"/>
        <v>Standard</v>
      </c>
      <c r="G4084" s="3" cm="1">
        <f t="array" ref="G4084">_xlfn.XLOOKUP(C4084 &amp; F4084,
         [1]unilever_price_limits!A:A &amp; [1]unilever_price_limits!B:B,
         [1]unilever_price_limits!C:C)</f>
        <v>30</v>
      </c>
      <c r="H4084" s="8">
        <f t="shared" si="253"/>
        <v>3.4580000000000002</v>
      </c>
      <c r="I4084" s="6">
        <f t="shared" si="254"/>
        <v>30.000000000000004</v>
      </c>
      <c r="J4084" t="str">
        <f t="shared" si="255"/>
        <v>OK</v>
      </c>
    </row>
    <row r="4085" spans="1:10" x14ac:dyDescent="0.2">
      <c r="A4085">
        <v>14084</v>
      </c>
      <c r="B4085" t="s">
        <v>8</v>
      </c>
      <c r="C4085" t="s">
        <v>11</v>
      </c>
      <c r="D4085" s="8">
        <v>8.6</v>
      </c>
      <c r="E4085">
        <v>1</v>
      </c>
      <c r="F4085" t="str">
        <f t="shared" si="252"/>
        <v>Value</v>
      </c>
      <c r="G4085" s="3" cm="1">
        <f t="array" ref="G4085">_xlfn.XLOOKUP(C4085 &amp; F4085,
         [1]unilever_price_limits!A:A &amp; [1]unilever_price_limits!B:B,
         [1]unilever_price_limits!C:C)</f>
        <v>10</v>
      </c>
      <c r="H4085" s="8">
        <f t="shared" si="253"/>
        <v>9.4600000000000009</v>
      </c>
      <c r="I4085" s="6">
        <f t="shared" si="254"/>
        <v>10.000000000000009</v>
      </c>
      <c r="J4085" t="str">
        <f t="shared" si="255"/>
        <v>OK</v>
      </c>
    </row>
    <row r="4086" spans="1:10" x14ac:dyDescent="0.2">
      <c r="A4086">
        <v>14085</v>
      </c>
      <c r="B4086" t="s">
        <v>8</v>
      </c>
      <c r="C4086" t="s">
        <v>11</v>
      </c>
      <c r="D4086" s="8">
        <v>13.8</v>
      </c>
      <c r="E4086">
        <v>6</v>
      </c>
      <c r="F4086" t="str">
        <f t="shared" si="252"/>
        <v>Standard</v>
      </c>
      <c r="G4086" s="3" cm="1">
        <f t="array" ref="G4086">_xlfn.XLOOKUP(C4086 &amp; F4086,
         [1]unilever_price_limits!A:A &amp; [1]unilever_price_limits!B:B,
         [1]unilever_price_limits!C:C)</f>
        <v>25</v>
      </c>
      <c r="H4086" s="8">
        <f t="shared" si="253"/>
        <v>17.25</v>
      </c>
      <c r="I4086" s="6">
        <f t="shared" si="254"/>
        <v>25</v>
      </c>
      <c r="J4086" t="str">
        <f t="shared" si="255"/>
        <v>OK</v>
      </c>
    </row>
    <row r="4087" spans="1:10" x14ac:dyDescent="0.2">
      <c r="A4087">
        <v>14086</v>
      </c>
      <c r="B4087" t="s">
        <v>7</v>
      </c>
      <c r="C4087" t="s">
        <v>9</v>
      </c>
      <c r="D4087" s="8">
        <v>6.18</v>
      </c>
      <c r="E4087">
        <v>8</v>
      </c>
      <c r="F4087" t="str">
        <f t="shared" si="252"/>
        <v>Premium</v>
      </c>
      <c r="G4087" s="3" cm="1">
        <f t="array" ref="G4087">_xlfn.XLOOKUP(C4087 &amp; F4087,
         [1]unilever_price_limits!A:A &amp; [1]unilever_price_limits!B:B,
         [1]unilever_price_limits!C:C)</f>
        <v>60</v>
      </c>
      <c r="H4087" s="8">
        <f t="shared" si="253"/>
        <v>9.8879999999999999</v>
      </c>
      <c r="I4087" s="6">
        <f t="shared" si="254"/>
        <v>60.000000000000007</v>
      </c>
      <c r="J4087" t="str">
        <f t="shared" si="255"/>
        <v>OK</v>
      </c>
    </row>
    <row r="4088" spans="1:10" x14ac:dyDescent="0.2">
      <c r="A4088">
        <v>14087</v>
      </c>
      <c r="B4088" t="s">
        <v>8</v>
      </c>
      <c r="C4088" t="s">
        <v>6</v>
      </c>
      <c r="D4088" s="8">
        <v>12.75</v>
      </c>
      <c r="E4088">
        <v>5</v>
      </c>
      <c r="F4088" t="str">
        <f t="shared" si="252"/>
        <v>Standard</v>
      </c>
      <c r="G4088" s="3" cm="1">
        <f t="array" ref="G4088">_xlfn.XLOOKUP(C4088 &amp; F4088,
         [1]unilever_price_limits!A:A &amp; [1]unilever_price_limits!B:B,
         [1]unilever_price_limits!C:C)</f>
        <v>28</v>
      </c>
      <c r="H4088" s="8">
        <f t="shared" si="253"/>
        <v>16.32</v>
      </c>
      <c r="I4088" s="6">
        <f t="shared" si="254"/>
        <v>28.000000000000004</v>
      </c>
      <c r="J4088" t="str">
        <f t="shared" si="255"/>
        <v>OK</v>
      </c>
    </row>
    <row r="4089" spans="1:10" x14ac:dyDescent="0.2">
      <c r="A4089">
        <v>14088</v>
      </c>
      <c r="B4089" t="s">
        <v>8</v>
      </c>
      <c r="C4089" t="s">
        <v>11</v>
      </c>
      <c r="D4089" s="8">
        <v>0.5</v>
      </c>
      <c r="E4089">
        <v>2</v>
      </c>
      <c r="F4089" t="str">
        <f t="shared" si="252"/>
        <v>Value</v>
      </c>
      <c r="G4089" s="3" cm="1">
        <f t="array" ref="G4089">_xlfn.XLOOKUP(C4089 &amp; F4089,
         [1]unilever_price_limits!A:A &amp; [1]unilever_price_limits!B:B,
         [1]unilever_price_limits!C:C)</f>
        <v>10</v>
      </c>
      <c r="H4089" s="8">
        <f t="shared" si="253"/>
        <v>0.55000000000000004</v>
      </c>
      <c r="I4089" s="6">
        <f t="shared" si="254"/>
        <v>10.000000000000009</v>
      </c>
      <c r="J4089" t="str">
        <f t="shared" si="255"/>
        <v>OK</v>
      </c>
    </row>
    <row r="4090" spans="1:10" x14ac:dyDescent="0.2">
      <c r="A4090">
        <v>14089</v>
      </c>
      <c r="B4090" t="s">
        <v>10</v>
      </c>
      <c r="C4090" t="s">
        <v>9</v>
      </c>
      <c r="D4090" s="8">
        <v>2.94</v>
      </c>
      <c r="E4090">
        <v>5</v>
      </c>
      <c r="F4090" t="str">
        <f t="shared" si="252"/>
        <v>Standard</v>
      </c>
      <c r="G4090" s="3" cm="1">
        <f t="array" ref="G4090">_xlfn.XLOOKUP(C4090 &amp; F4090,
         [1]unilever_price_limits!A:A &amp; [1]unilever_price_limits!B:B,
         [1]unilever_price_limits!C:C)</f>
        <v>30</v>
      </c>
      <c r="H4090" s="8">
        <f t="shared" si="253"/>
        <v>3.8220000000000001</v>
      </c>
      <c r="I4090" s="6">
        <f t="shared" si="254"/>
        <v>30.000000000000004</v>
      </c>
      <c r="J4090" t="str">
        <f t="shared" si="255"/>
        <v>OK</v>
      </c>
    </row>
    <row r="4091" spans="1:10" x14ac:dyDescent="0.2">
      <c r="A4091">
        <v>14090</v>
      </c>
      <c r="B4091" t="s">
        <v>7</v>
      </c>
      <c r="C4091" t="s">
        <v>6</v>
      </c>
      <c r="D4091" s="8">
        <v>0.94</v>
      </c>
      <c r="E4091">
        <v>8</v>
      </c>
      <c r="F4091" t="str">
        <f t="shared" si="252"/>
        <v>Premium</v>
      </c>
      <c r="G4091" s="3" cm="1">
        <f t="array" ref="G4091">_xlfn.XLOOKUP(C4091 &amp; F4091,
         [1]unilever_price_limits!A:A &amp; [1]unilever_price_limits!B:B,
         [1]unilever_price_limits!C:C)</f>
        <v>55</v>
      </c>
      <c r="H4091" s="8">
        <f t="shared" si="253"/>
        <v>1.4569999999999999</v>
      </c>
      <c r="I4091" s="6">
        <f t="shared" si="254"/>
        <v>54.999999999999986</v>
      </c>
      <c r="J4091" t="str">
        <f t="shared" si="255"/>
        <v>OK</v>
      </c>
    </row>
    <row r="4092" spans="1:10" x14ac:dyDescent="0.2">
      <c r="A4092">
        <v>14091</v>
      </c>
      <c r="B4092" t="s">
        <v>10</v>
      </c>
      <c r="C4092" t="s">
        <v>6</v>
      </c>
      <c r="D4092" s="8">
        <v>5.26</v>
      </c>
      <c r="E4092">
        <v>2</v>
      </c>
      <c r="F4092" t="str">
        <f t="shared" si="252"/>
        <v>Value</v>
      </c>
      <c r="G4092" s="3" cm="1">
        <f t="array" ref="G4092">_xlfn.XLOOKUP(C4092 &amp; F4092,
         [1]unilever_price_limits!A:A &amp; [1]unilever_price_limits!B:B,
         [1]unilever_price_limits!C:C)</f>
        <v>12</v>
      </c>
      <c r="H4092" s="8">
        <f t="shared" si="253"/>
        <v>5.8912000000000004</v>
      </c>
      <c r="I4092" s="6">
        <f t="shared" si="254"/>
        <v>12.000000000000011</v>
      </c>
      <c r="J4092" t="str">
        <f t="shared" si="255"/>
        <v>OK</v>
      </c>
    </row>
    <row r="4093" spans="1:10" x14ac:dyDescent="0.2">
      <c r="A4093">
        <v>14092</v>
      </c>
      <c r="B4093" t="s">
        <v>5</v>
      </c>
      <c r="C4093" t="s">
        <v>6</v>
      </c>
      <c r="D4093" s="8">
        <v>13.67</v>
      </c>
      <c r="E4093">
        <v>1</v>
      </c>
      <c r="F4093" t="str">
        <f t="shared" si="252"/>
        <v>Value</v>
      </c>
      <c r="G4093" s="3" cm="1">
        <f t="array" ref="G4093">_xlfn.XLOOKUP(C4093 &amp; F4093,
         [1]unilever_price_limits!A:A &amp; [1]unilever_price_limits!B:B,
         [1]unilever_price_limits!C:C)</f>
        <v>12</v>
      </c>
      <c r="H4093" s="8">
        <f t="shared" si="253"/>
        <v>15.310400000000001</v>
      </c>
      <c r="I4093" s="6">
        <f t="shared" si="254"/>
        <v>12.000000000000011</v>
      </c>
      <c r="J4093" t="str">
        <f t="shared" si="255"/>
        <v>OK</v>
      </c>
    </row>
    <row r="4094" spans="1:10" x14ac:dyDescent="0.2">
      <c r="A4094">
        <v>14093</v>
      </c>
      <c r="B4094" t="s">
        <v>8</v>
      </c>
      <c r="C4094" t="s">
        <v>11</v>
      </c>
      <c r="D4094" s="8">
        <v>1.91</v>
      </c>
      <c r="E4094">
        <v>4</v>
      </c>
      <c r="F4094" t="str">
        <f t="shared" si="252"/>
        <v>Standard</v>
      </c>
      <c r="G4094" s="3" cm="1">
        <f t="array" ref="G4094">_xlfn.XLOOKUP(C4094 &amp; F4094,
         [1]unilever_price_limits!A:A &amp; [1]unilever_price_limits!B:B,
         [1]unilever_price_limits!C:C)</f>
        <v>25</v>
      </c>
      <c r="H4094" s="8">
        <f t="shared" si="253"/>
        <v>2.3874999999999997</v>
      </c>
      <c r="I4094" s="6">
        <f t="shared" si="254"/>
        <v>25</v>
      </c>
      <c r="J4094" t="str">
        <f t="shared" si="255"/>
        <v>OK</v>
      </c>
    </row>
    <row r="4095" spans="1:10" x14ac:dyDescent="0.2">
      <c r="A4095">
        <v>14094</v>
      </c>
      <c r="B4095" t="s">
        <v>5</v>
      </c>
      <c r="C4095" t="s">
        <v>11</v>
      </c>
      <c r="D4095" s="8">
        <v>9.2899999999999991</v>
      </c>
      <c r="E4095">
        <v>4</v>
      </c>
      <c r="F4095" t="str">
        <f t="shared" si="252"/>
        <v>Standard</v>
      </c>
      <c r="G4095" s="3" cm="1">
        <f t="array" ref="G4095">_xlfn.XLOOKUP(C4095 &amp; F4095,
         [1]unilever_price_limits!A:A &amp; [1]unilever_price_limits!B:B,
         [1]unilever_price_limits!C:C)</f>
        <v>25</v>
      </c>
      <c r="H4095" s="8">
        <f t="shared" si="253"/>
        <v>11.612499999999999</v>
      </c>
      <c r="I4095" s="6">
        <f t="shared" si="254"/>
        <v>25</v>
      </c>
      <c r="J4095" t="str">
        <f t="shared" si="255"/>
        <v>OK</v>
      </c>
    </row>
    <row r="4096" spans="1:10" x14ac:dyDescent="0.2">
      <c r="A4096">
        <v>14095</v>
      </c>
      <c r="B4096" t="s">
        <v>10</v>
      </c>
      <c r="C4096" t="s">
        <v>11</v>
      </c>
      <c r="D4096" s="8">
        <v>7.05</v>
      </c>
      <c r="E4096">
        <v>9</v>
      </c>
      <c r="F4096" t="str">
        <f t="shared" si="252"/>
        <v>Premium</v>
      </c>
      <c r="G4096" s="3" cm="1">
        <f t="array" ref="G4096">_xlfn.XLOOKUP(C4096 &amp; F4096,
         [1]unilever_price_limits!A:A &amp; [1]unilever_price_limits!B:B,
         [1]unilever_price_limits!C:C)</f>
        <v>50</v>
      </c>
      <c r="H4096" s="8">
        <f t="shared" si="253"/>
        <v>10.574999999999999</v>
      </c>
      <c r="I4096" s="6">
        <f t="shared" si="254"/>
        <v>50</v>
      </c>
      <c r="J4096" t="str">
        <f t="shared" si="255"/>
        <v>OK</v>
      </c>
    </row>
    <row r="4097" spans="1:10" x14ac:dyDescent="0.2">
      <c r="A4097">
        <v>14096</v>
      </c>
      <c r="B4097" t="s">
        <v>8</v>
      </c>
      <c r="C4097" t="s">
        <v>6</v>
      </c>
      <c r="D4097" s="8">
        <v>14.11</v>
      </c>
      <c r="E4097">
        <v>3</v>
      </c>
      <c r="F4097" t="str">
        <f t="shared" si="252"/>
        <v>Value</v>
      </c>
      <c r="G4097" s="3" cm="1">
        <f t="array" ref="G4097">_xlfn.XLOOKUP(C4097 &amp; F4097,
         [1]unilever_price_limits!A:A &amp; [1]unilever_price_limits!B:B,
         [1]unilever_price_limits!C:C)</f>
        <v>12</v>
      </c>
      <c r="H4097" s="8">
        <f t="shared" si="253"/>
        <v>15.8032</v>
      </c>
      <c r="I4097" s="6">
        <f t="shared" si="254"/>
        <v>12.000000000000011</v>
      </c>
      <c r="J4097" t="str">
        <f t="shared" si="255"/>
        <v>OK</v>
      </c>
    </row>
    <row r="4098" spans="1:10" x14ac:dyDescent="0.2">
      <c r="A4098">
        <v>14097</v>
      </c>
      <c r="B4098" t="s">
        <v>8</v>
      </c>
      <c r="C4098" t="s">
        <v>11</v>
      </c>
      <c r="D4098" s="8">
        <v>2.2799999999999998</v>
      </c>
      <c r="E4098">
        <v>4</v>
      </c>
      <c r="F4098" t="str">
        <f t="shared" si="252"/>
        <v>Standard</v>
      </c>
      <c r="G4098" s="3" cm="1">
        <f t="array" ref="G4098">_xlfn.XLOOKUP(C4098 &amp; F4098,
         [1]unilever_price_limits!A:A &amp; [1]unilever_price_limits!B:B,
         [1]unilever_price_limits!C:C)</f>
        <v>25</v>
      </c>
      <c r="H4098" s="8">
        <f t="shared" si="253"/>
        <v>2.8499999999999996</v>
      </c>
      <c r="I4098" s="6">
        <f t="shared" si="254"/>
        <v>25</v>
      </c>
      <c r="J4098" t="str">
        <f t="shared" si="255"/>
        <v>OK</v>
      </c>
    </row>
    <row r="4099" spans="1:10" x14ac:dyDescent="0.2">
      <c r="A4099">
        <v>14098</v>
      </c>
      <c r="B4099" t="s">
        <v>10</v>
      </c>
      <c r="C4099" t="s">
        <v>9</v>
      </c>
      <c r="D4099" s="8">
        <v>3.57</v>
      </c>
      <c r="E4099">
        <v>3</v>
      </c>
      <c r="F4099" t="str">
        <f t="shared" ref="F4099:F4162" si="256">IF(E4099&lt;=3,"Value",
 IF(E4099&lt;=7,"Standard","Premium"))</f>
        <v>Value</v>
      </c>
      <c r="G4099" s="3" cm="1">
        <f t="array" ref="G4099">_xlfn.XLOOKUP(C4099 &amp; F4099,
         [1]unilever_price_limits!A:A &amp; [1]unilever_price_limits!B:B,
         [1]unilever_price_limits!C:C)</f>
        <v>15</v>
      </c>
      <c r="H4099" s="8">
        <f t="shared" ref="H4099:H4162" si="257">D4099 * (1 + G4099/100)</f>
        <v>4.1054999999999993</v>
      </c>
      <c r="I4099" s="6">
        <f t="shared" ref="I4099:I4162" si="258">(H4099 / D4099 - 1) * 100</f>
        <v>14.999999999999991</v>
      </c>
      <c r="J4099" t="str">
        <f t="shared" ref="J4099:J4162" si="259">IF(I4098&gt; G4098, "⚠ Exceeds Limit", "OK")</f>
        <v>OK</v>
      </c>
    </row>
    <row r="4100" spans="1:10" x14ac:dyDescent="0.2">
      <c r="A4100">
        <v>14099</v>
      </c>
      <c r="B4100" t="s">
        <v>10</v>
      </c>
      <c r="C4100" t="s">
        <v>11</v>
      </c>
      <c r="D4100" s="8">
        <v>0.93</v>
      </c>
      <c r="E4100">
        <v>2</v>
      </c>
      <c r="F4100" t="str">
        <f t="shared" si="256"/>
        <v>Value</v>
      </c>
      <c r="G4100" s="3" cm="1">
        <f t="array" ref="G4100">_xlfn.XLOOKUP(C4100 &amp; F4100,
         [1]unilever_price_limits!A:A &amp; [1]unilever_price_limits!B:B,
         [1]unilever_price_limits!C:C)</f>
        <v>10</v>
      </c>
      <c r="H4100" s="8">
        <f t="shared" si="257"/>
        <v>1.0230000000000001</v>
      </c>
      <c r="I4100" s="6">
        <f t="shared" si="258"/>
        <v>10.000000000000009</v>
      </c>
      <c r="J4100" t="str">
        <f t="shared" si="259"/>
        <v>OK</v>
      </c>
    </row>
    <row r="4101" spans="1:10" x14ac:dyDescent="0.2">
      <c r="A4101">
        <v>14100</v>
      </c>
      <c r="B4101" t="s">
        <v>10</v>
      </c>
      <c r="C4101" t="s">
        <v>11</v>
      </c>
      <c r="D4101" s="8">
        <v>6.79</v>
      </c>
      <c r="E4101">
        <v>4</v>
      </c>
      <c r="F4101" t="str">
        <f t="shared" si="256"/>
        <v>Standard</v>
      </c>
      <c r="G4101" s="3" cm="1">
        <f t="array" ref="G4101">_xlfn.XLOOKUP(C4101 &amp; F4101,
         [1]unilever_price_limits!A:A &amp; [1]unilever_price_limits!B:B,
         [1]unilever_price_limits!C:C)</f>
        <v>25</v>
      </c>
      <c r="H4101" s="8">
        <f t="shared" si="257"/>
        <v>8.4875000000000007</v>
      </c>
      <c r="I4101" s="6">
        <f t="shared" si="258"/>
        <v>25</v>
      </c>
      <c r="J4101" t="str">
        <f t="shared" si="259"/>
        <v>OK</v>
      </c>
    </row>
    <row r="4102" spans="1:10" x14ac:dyDescent="0.2">
      <c r="A4102">
        <v>14101</v>
      </c>
      <c r="B4102" t="s">
        <v>10</v>
      </c>
      <c r="C4102" t="s">
        <v>6</v>
      </c>
      <c r="D4102" s="8">
        <v>4.53</v>
      </c>
      <c r="E4102">
        <v>8</v>
      </c>
      <c r="F4102" t="str">
        <f t="shared" si="256"/>
        <v>Premium</v>
      </c>
      <c r="G4102" s="3" cm="1">
        <f t="array" ref="G4102">_xlfn.XLOOKUP(C4102 &amp; F4102,
         [1]unilever_price_limits!A:A &amp; [1]unilever_price_limits!B:B,
         [1]unilever_price_limits!C:C)</f>
        <v>55</v>
      </c>
      <c r="H4102" s="8">
        <f t="shared" si="257"/>
        <v>7.0215000000000005</v>
      </c>
      <c r="I4102" s="6">
        <f t="shared" si="258"/>
        <v>55.000000000000007</v>
      </c>
      <c r="J4102" t="str">
        <f t="shared" si="259"/>
        <v>OK</v>
      </c>
    </row>
    <row r="4103" spans="1:10" x14ac:dyDescent="0.2">
      <c r="A4103">
        <v>14102</v>
      </c>
      <c r="B4103" t="s">
        <v>10</v>
      </c>
      <c r="C4103" t="s">
        <v>11</v>
      </c>
      <c r="D4103" s="8">
        <v>13.11</v>
      </c>
      <c r="E4103">
        <v>1</v>
      </c>
      <c r="F4103" t="str">
        <f t="shared" si="256"/>
        <v>Value</v>
      </c>
      <c r="G4103" s="3" cm="1">
        <f t="array" ref="G4103">_xlfn.XLOOKUP(C4103 &amp; F4103,
         [1]unilever_price_limits!A:A &amp; [1]unilever_price_limits!B:B,
         [1]unilever_price_limits!C:C)</f>
        <v>10</v>
      </c>
      <c r="H4103" s="8">
        <f t="shared" si="257"/>
        <v>14.421000000000001</v>
      </c>
      <c r="I4103" s="6">
        <f t="shared" si="258"/>
        <v>10.000000000000009</v>
      </c>
      <c r="J4103" t="str">
        <f t="shared" si="259"/>
        <v>OK</v>
      </c>
    </row>
    <row r="4104" spans="1:10" x14ac:dyDescent="0.2">
      <c r="A4104">
        <v>14103</v>
      </c>
      <c r="B4104" t="s">
        <v>8</v>
      </c>
      <c r="C4104" t="s">
        <v>9</v>
      </c>
      <c r="D4104" s="8">
        <v>9.27</v>
      </c>
      <c r="E4104">
        <v>8</v>
      </c>
      <c r="F4104" t="str">
        <f t="shared" si="256"/>
        <v>Premium</v>
      </c>
      <c r="G4104" s="3" cm="1">
        <f t="array" ref="G4104">_xlfn.XLOOKUP(C4104 &amp; F4104,
         [1]unilever_price_limits!A:A &amp; [1]unilever_price_limits!B:B,
         [1]unilever_price_limits!C:C)</f>
        <v>60</v>
      </c>
      <c r="H4104" s="8">
        <f t="shared" si="257"/>
        <v>14.832000000000001</v>
      </c>
      <c r="I4104" s="6">
        <f t="shared" si="258"/>
        <v>60.000000000000007</v>
      </c>
      <c r="J4104" t="str">
        <f t="shared" si="259"/>
        <v>OK</v>
      </c>
    </row>
    <row r="4105" spans="1:10" x14ac:dyDescent="0.2">
      <c r="A4105">
        <v>14104</v>
      </c>
      <c r="B4105" t="s">
        <v>10</v>
      </c>
      <c r="C4105" t="s">
        <v>6</v>
      </c>
      <c r="D4105" s="8">
        <v>9.4</v>
      </c>
      <c r="E4105">
        <v>8</v>
      </c>
      <c r="F4105" t="str">
        <f t="shared" si="256"/>
        <v>Premium</v>
      </c>
      <c r="G4105" s="3" cm="1">
        <f t="array" ref="G4105">_xlfn.XLOOKUP(C4105 &amp; F4105,
         [1]unilever_price_limits!A:A &amp; [1]unilever_price_limits!B:B,
         [1]unilever_price_limits!C:C)</f>
        <v>55</v>
      </c>
      <c r="H4105" s="8">
        <f t="shared" si="257"/>
        <v>14.57</v>
      </c>
      <c r="I4105" s="6">
        <f t="shared" si="258"/>
        <v>55.000000000000007</v>
      </c>
      <c r="J4105" t="str">
        <f t="shared" si="259"/>
        <v>OK</v>
      </c>
    </row>
    <row r="4106" spans="1:10" x14ac:dyDescent="0.2">
      <c r="A4106">
        <v>14105</v>
      </c>
      <c r="B4106" t="s">
        <v>8</v>
      </c>
      <c r="C4106" t="s">
        <v>9</v>
      </c>
      <c r="D4106" s="8">
        <v>8.2100000000000009</v>
      </c>
      <c r="E4106">
        <v>3</v>
      </c>
      <c r="F4106" t="str">
        <f t="shared" si="256"/>
        <v>Value</v>
      </c>
      <c r="G4106" s="3" cm="1">
        <f t="array" ref="G4106">_xlfn.XLOOKUP(C4106 &amp; F4106,
         [1]unilever_price_limits!A:A &amp; [1]unilever_price_limits!B:B,
         [1]unilever_price_limits!C:C)</f>
        <v>15</v>
      </c>
      <c r="H4106" s="8">
        <f t="shared" si="257"/>
        <v>9.4414999999999996</v>
      </c>
      <c r="I4106" s="6">
        <f t="shared" si="258"/>
        <v>14.999999999999991</v>
      </c>
      <c r="J4106" t="str">
        <f t="shared" si="259"/>
        <v>OK</v>
      </c>
    </row>
    <row r="4107" spans="1:10" x14ac:dyDescent="0.2">
      <c r="A4107">
        <v>14106</v>
      </c>
      <c r="B4107" t="s">
        <v>8</v>
      </c>
      <c r="C4107" t="s">
        <v>6</v>
      </c>
      <c r="D4107" s="8">
        <v>1.83</v>
      </c>
      <c r="E4107">
        <v>10</v>
      </c>
      <c r="F4107" t="str">
        <f t="shared" si="256"/>
        <v>Premium</v>
      </c>
      <c r="G4107" s="3" cm="1">
        <f t="array" ref="G4107">_xlfn.XLOOKUP(C4107 &amp; F4107,
         [1]unilever_price_limits!A:A &amp; [1]unilever_price_limits!B:B,
         [1]unilever_price_limits!C:C)</f>
        <v>55</v>
      </c>
      <c r="H4107" s="8">
        <f t="shared" si="257"/>
        <v>2.8365</v>
      </c>
      <c r="I4107" s="6">
        <f t="shared" si="258"/>
        <v>55.000000000000007</v>
      </c>
      <c r="J4107" t="str">
        <f t="shared" si="259"/>
        <v>OK</v>
      </c>
    </row>
    <row r="4108" spans="1:10" x14ac:dyDescent="0.2">
      <c r="A4108">
        <v>14107</v>
      </c>
      <c r="B4108" t="s">
        <v>10</v>
      </c>
      <c r="C4108" t="s">
        <v>6</v>
      </c>
      <c r="D4108" s="8">
        <v>6.95</v>
      </c>
      <c r="E4108">
        <v>10</v>
      </c>
      <c r="F4108" t="str">
        <f t="shared" si="256"/>
        <v>Premium</v>
      </c>
      <c r="G4108" s="3" cm="1">
        <f t="array" ref="G4108">_xlfn.XLOOKUP(C4108 &amp; F4108,
         [1]unilever_price_limits!A:A &amp; [1]unilever_price_limits!B:B,
         [1]unilever_price_limits!C:C)</f>
        <v>55</v>
      </c>
      <c r="H4108" s="8">
        <f t="shared" si="257"/>
        <v>10.772500000000001</v>
      </c>
      <c r="I4108" s="6">
        <f t="shared" si="258"/>
        <v>55.000000000000007</v>
      </c>
      <c r="J4108" t="str">
        <f t="shared" si="259"/>
        <v>OK</v>
      </c>
    </row>
    <row r="4109" spans="1:10" x14ac:dyDescent="0.2">
      <c r="A4109">
        <v>14108</v>
      </c>
      <c r="B4109" t="s">
        <v>10</v>
      </c>
      <c r="C4109" t="s">
        <v>11</v>
      </c>
      <c r="D4109" s="8">
        <v>14.99</v>
      </c>
      <c r="E4109">
        <v>6</v>
      </c>
      <c r="F4109" t="str">
        <f t="shared" si="256"/>
        <v>Standard</v>
      </c>
      <c r="G4109" s="3" cm="1">
        <f t="array" ref="G4109">_xlfn.XLOOKUP(C4109 &amp; F4109,
         [1]unilever_price_limits!A:A &amp; [1]unilever_price_limits!B:B,
         [1]unilever_price_limits!C:C)</f>
        <v>25</v>
      </c>
      <c r="H4109" s="8">
        <f t="shared" si="257"/>
        <v>18.737500000000001</v>
      </c>
      <c r="I4109" s="6">
        <f t="shared" si="258"/>
        <v>25</v>
      </c>
      <c r="J4109" t="str">
        <f t="shared" si="259"/>
        <v>OK</v>
      </c>
    </row>
    <row r="4110" spans="1:10" x14ac:dyDescent="0.2">
      <c r="A4110">
        <v>14109</v>
      </c>
      <c r="B4110" t="s">
        <v>7</v>
      </c>
      <c r="C4110" t="s">
        <v>9</v>
      </c>
      <c r="D4110" s="8">
        <v>12.61</v>
      </c>
      <c r="E4110">
        <v>4</v>
      </c>
      <c r="F4110" t="str">
        <f t="shared" si="256"/>
        <v>Standard</v>
      </c>
      <c r="G4110" s="3" cm="1">
        <f t="array" ref="G4110">_xlfn.XLOOKUP(C4110 &amp; F4110,
         [1]unilever_price_limits!A:A &amp; [1]unilever_price_limits!B:B,
         [1]unilever_price_limits!C:C)</f>
        <v>30</v>
      </c>
      <c r="H4110" s="8">
        <f t="shared" si="257"/>
        <v>16.393000000000001</v>
      </c>
      <c r="I4110" s="6">
        <f t="shared" si="258"/>
        <v>30.000000000000004</v>
      </c>
      <c r="J4110" t="str">
        <f t="shared" si="259"/>
        <v>OK</v>
      </c>
    </row>
    <row r="4111" spans="1:10" x14ac:dyDescent="0.2">
      <c r="A4111">
        <v>14110</v>
      </c>
      <c r="B4111" t="s">
        <v>8</v>
      </c>
      <c r="C4111" t="s">
        <v>6</v>
      </c>
      <c r="D4111" s="8">
        <v>13.46</v>
      </c>
      <c r="E4111">
        <v>1</v>
      </c>
      <c r="F4111" t="str">
        <f t="shared" si="256"/>
        <v>Value</v>
      </c>
      <c r="G4111" s="3" cm="1">
        <f t="array" ref="G4111">_xlfn.XLOOKUP(C4111 &amp; F4111,
         [1]unilever_price_limits!A:A &amp; [1]unilever_price_limits!B:B,
         [1]unilever_price_limits!C:C)</f>
        <v>12</v>
      </c>
      <c r="H4111" s="8">
        <f t="shared" si="257"/>
        <v>15.075200000000002</v>
      </c>
      <c r="I4111" s="6">
        <f t="shared" si="258"/>
        <v>12.000000000000011</v>
      </c>
      <c r="J4111" t="str">
        <f t="shared" si="259"/>
        <v>OK</v>
      </c>
    </row>
    <row r="4112" spans="1:10" x14ac:dyDescent="0.2">
      <c r="A4112">
        <v>14111</v>
      </c>
      <c r="B4112" t="s">
        <v>10</v>
      </c>
      <c r="C4112" t="s">
        <v>11</v>
      </c>
      <c r="D4112" s="8">
        <v>12.44</v>
      </c>
      <c r="E4112">
        <v>1</v>
      </c>
      <c r="F4112" t="str">
        <f t="shared" si="256"/>
        <v>Value</v>
      </c>
      <c r="G4112" s="3" cm="1">
        <f t="array" ref="G4112">_xlfn.XLOOKUP(C4112 &amp; F4112,
         [1]unilever_price_limits!A:A &amp; [1]unilever_price_limits!B:B,
         [1]unilever_price_limits!C:C)</f>
        <v>10</v>
      </c>
      <c r="H4112" s="8">
        <f t="shared" si="257"/>
        <v>13.684000000000001</v>
      </c>
      <c r="I4112" s="6">
        <f t="shared" si="258"/>
        <v>10.000000000000009</v>
      </c>
      <c r="J4112" t="str">
        <f t="shared" si="259"/>
        <v>OK</v>
      </c>
    </row>
    <row r="4113" spans="1:10" x14ac:dyDescent="0.2">
      <c r="A4113">
        <v>14112</v>
      </c>
      <c r="B4113" t="s">
        <v>10</v>
      </c>
      <c r="C4113" t="s">
        <v>6</v>
      </c>
      <c r="D4113" s="8">
        <v>1.99</v>
      </c>
      <c r="E4113">
        <v>5</v>
      </c>
      <c r="F4113" t="str">
        <f t="shared" si="256"/>
        <v>Standard</v>
      </c>
      <c r="G4113" s="3" cm="1">
        <f t="array" ref="G4113">_xlfn.XLOOKUP(C4113 &amp; F4113,
         [1]unilever_price_limits!A:A &amp; [1]unilever_price_limits!B:B,
         [1]unilever_price_limits!C:C)</f>
        <v>28</v>
      </c>
      <c r="H4113" s="8">
        <f t="shared" si="257"/>
        <v>2.5472000000000001</v>
      </c>
      <c r="I4113" s="6">
        <f t="shared" si="258"/>
        <v>28.000000000000004</v>
      </c>
      <c r="J4113" t="str">
        <f t="shared" si="259"/>
        <v>OK</v>
      </c>
    </row>
    <row r="4114" spans="1:10" x14ac:dyDescent="0.2">
      <c r="A4114">
        <v>14113</v>
      </c>
      <c r="B4114" t="s">
        <v>10</v>
      </c>
      <c r="C4114" t="s">
        <v>6</v>
      </c>
      <c r="D4114" s="8">
        <v>3.8</v>
      </c>
      <c r="E4114">
        <v>8</v>
      </c>
      <c r="F4114" t="str">
        <f t="shared" si="256"/>
        <v>Premium</v>
      </c>
      <c r="G4114" s="3" cm="1">
        <f t="array" ref="G4114">_xlfn.XLOOKUP(C4114 &amp; F4114,
         [1]unilever_price_limits!A:A &amp; [1]unilever_price_limits!B:B,
         [1]unilever_price_limits!C:C)</f>
        <v>55</v>
      </c>
      <c r="H4114" s="8">
        <f t="shared" si="257"/>
        <v>5.89</v>
      </c>
      <c r="I4114" s="6">
        <f t="shared" si="258"/>
        <v>55.000000000000007</v>
      </c>
      <c r="J4114" t="str">
        <f t="shared" si="259"/>
        <v>OK</v>
      </c>
    </row>
    <row r="4115" spans="1:10" x14ac:dyDescent="0.2">
      <c r="A4115">
        <v>14114</v>
      </c>
      <c r="B4115" t="s">
        <v>7</v>
      </c>
      <c r="C4115" t="s">
        <v>6</v>
      </c>
      <c r="D4115" s="8">
        <v>0.55000000000000004</v>
      </c>
      <c r="E4115">
        <v>1</v>
      </c>
      <c r="F4115" t="str">
        <f t="shared" si="256"/>
        <v>Value</v>
      </c>
      <c r="G4115" s="3" cm="1">
        <f t="array" ref="G4115">_xlfn.XLOOKUP(C4115 &amp; F4115,
         [1]unilever_price_limits!A:A &amp; [1]unilever_price_limits!B:B,
         [1]unilever_price_limits!C:C)</f>
        <v>12</v>
      </c>
      <c r="H4115" s="8">
        <f t="shared" si="257"/>
        <v>0.6160000000000001</v>
      </c>
      <c r="I4115" s="6">
        <f t="shared" si="258"/>
        <v>12.000000000000011</v>
      </c>
      <c r="J4115" t="str">
        <f t="shared" si="259"/>
        <v>OK</v>
      </c>
    </row>
    <row r="4116" spans="1:10" x14ac:dyDescent="0.2">
      <c r="A4116">
        <v>14115</v>
      </c>
      <c r="B4116" t="s">
        <v>7</v>
      </c>
      <c r="C4116" t="s">
        <v>6</v>
      </c>
      <c r="D4116" s="8">
        <v>4.9000000000000004</v>
      </c>
      <c r="E4116">
        <v>2</v>
      </c>
      <c r="F4116" t="str">
        <f t="shared" si="256"/>
        <v>Value</v>
      </c>
      <c r="G4116" s="3" cm="1">
        <f t="array" ref="G4116">_xlfn.XLOOKUP(C4116 &amp; F4116,
         [1]unilever_price_limits!A:A &amp; [1]unilever_price_limits!B:B,
         [1]unilever_price_limits!C:C)</f>
        <v>12</v>
      </c>
      <c r="H4116" s="8">
        <f t="shared" si="257"/>
        <v>5.4880000000000013</v>
      </c>
      <c r="I4116" s="6">
        <f t="shared" si="258"/>
        <v>12.000000000000011</v>
      </c>
      <c r="J4116" t="str">
        <f t="shared" si="259"/>
        <v>OK</v>
      </c>
    </row>
    <row r="4117" spans="1:10" x14ac:dyDescent="0.2">
      <c r="A4117">
        <v>14116</v>
      </c>
      <c r="B4117" t="s">
        <v>5</v>
      </c>
      <c r="C4117" t="s">
        <v>6</v>
      </c>
      <c r="D4117" s="8">
        <v>2.0699999999999998</v>
      </c>
      <c r="E4117">
        <v>7</v>
      </c>
      <c r="F4117" t="str">
        <f t="shared" si="256"/>
        <v>Standard</v>
      </c>
      <c r="G4117" s="3" cm="1">
        <f t="array" ref="G4117">_xlfn.XLOOKUP(C4117 &amp; F4117,
         [1]unilever_price_limits!A:A &amp; [1]unilever_price_limits!B:B,
         [1]unilever_price_limits!C:C)</f>
        <v>28</v>
      </c>
      <c r="H4117" s="8">
        <f t="shared" si="257"/>
        <v>2.6496</v>
      </c>
      <c r="I4117" s="6">
        <f t="shared" si="258"/>
        <v>28.000000000000004</v>
      </c>
      <c r="J4117" t="str">
        <f t="shared" si="259"/>
        <v>OK</v>
      </c>
    </row>
    <row r="4118" spans="1:10" x14ac:dyDescent="0.2">
      <c r="A4118">
        <v>14117</v>
      </c>
      <c r="B4118" t="s">
        <v>8</v>
      </c>
      <c r="C4118" t="s">
        <v>6</v>
      </c>
      <c r="D4118" s="8">
        <v>7.36</v>
      </c>
      <c r="E4118">
        <v>8</v>
      </c>
      <c r="F4118" t="str">
        <f t="shared" si="256"/>
        <v>Premium</v>
      </c>
      <c r="G4118" s="3" cm="1">
        <f t="array" ref="G4118">_xlfn.XLOOKUP(C4118 &amp; F4118,
         [1]unilever_price_limits!A:A &amp; [1]unilever_price_limits!B:B,
         [1]unilever_price_limits!C:C)</f>
        <v>55</v>
      </c>
      <c r="H4118" s="8">
        <f t="shared" si="257"/>
        <v>11.408000000000001</v>
      </c>
      <c r="I4118" s="6">
        <f t="shared" si="258"/>
        <v>55.000000000000007</v>
      </c>
      <c r="J4118" t="str">
        <f t="shared" si="259"/>
        <v>OK</v>
      </c>
    </row>
    <row r="4119" spans="1:10" x14ac:dyDescent="0.2">
      <c r="A4119">
        <v>14118</v>
      </c>
      <c r="B4119" t="s">
        <v>5</v>
      </c>
      <c r="C4119" t="s">
        <v>11</v>
      </c>
      <c r="D4119" s="8">
        <v>10.32</v>
      </c>
      <c r="E4119">
        <v>3</v>
      </c>
      <c r="F4119" t="str">
        <f t="shared" si="256"/>
        <v>Value</v>
      </c>
      <c r="G4119" s="3" cm="1">
        <f t="array" ref="G4119">_xlfn.XLOOKUP(C4119 &amp; F4119,
         [1]unilever_price_limits!A:A &amp; [1]unilever_price_limits!B:B,
         [1]unilever_price_limits!C:C)</f>
        <v>10</v>
      </c>
      <c r="H4119" s="8">
        <f t="shared" si="257"/>
        <v>11.352000000000002</v>
      </c>
      <c r="I4119" s="6">
        <f t="shared" si="258"/>
        <v>10.000000000000009</v>
      </c>
      <c r="J4119" t="str">
        <f t="shared" si="259"/>
        <v>OK</v>
      </c>
    </row>
    <row r="4120" spans="1:10" x14ac:dyDescent="0.2">
      <c r="A4120">
        <v>14119</v>
      </c>
      <c r="B4120" t="s">
        <v>10</v>
      </c>
      <c r="C4120" t="s">
        <v>6</v>
      </c>
      <c r="D4120" s="8">
        <v>13.18</v>
      </c>
      <c r="E4120">
        <v>8</v>
      </c>
      <c r="F4120" t="str">
        <f t="shared" si="256"/>
        <v>Premium</v>
      </c>
      <c r="G4120" s="3" cm="1">
        <f t="array" ref="G4120">_xlfn.XLOOKUP(C4120 &amp; F4120,
         [1]unilever_price_limits!A:A &amp; [1]unilever_price_limits!B:B,
         [1]unilever_price_limits!C:C)</f>
        <v>55</v>
      </c>
      <c r="H4120" s="8">
        <f t="shared" si="257"/>
        <v>20.428999999999998</v>
      </c>
      <c r="I4120" s="6">
        <f t="shared" si="258"/>
        <v>54.999999999999986</v>
      </c>
      <c r="J4120" t="str">
        <f t="shared" si="259"/>
        <v>OK</v>
      </c>
    </row>
    <row r="4121" spans="1:10" x14ac:dyDescent="0.2">
      <c r="A4121">
        <v>14120</v>
      </c>
      <c r="B4121" t="s">
        <v>7</v>
      </c>
      <c r="C4121" t="s">
        <v>9</v>
      </c>
      <c r="D4121" s="8">
        <v>11.36</v>
      </c>
      <c r="E4121">
        <v>1</v>
      </c>
      <c r="F4121" t="str">
        <f t="shared" si="256"/>
        <v>Value</v>
      </c>
      <c r="G4121" s="3" cm="1">
        <f t="array" ref="G4121">_xlfn.XLOOKUP(C4121 &amp; F4121,
         [1]unilever_price_limits!A:A &amp; [1]unilever_price_limits!B:B,
         [1]unilever_price_limits!C:C)</f>
        <v>15</v>
      </c>
      <c r="H4121" s="8">
        <f t="shared" si="257"/>
        <v>13.063999999999998</v>
      </c>
      <c r="I4121" s="6">
        <f t="shared" si="258"/>
        <v>14.999999999999991</v>
      </c>
      <c r="J4121" t="str">
        <f t="shared" si="259"/>
        <v>OK</v>
      </c>
    </row>
    <row r="4122" spans="1:10" x14ac:dyDescent="0.2">
      <c r="A4122">
        <v>14121</v>
      </c>
      <c r="B4122" t="s">
        <v>7</v>
      </c>
      <c r="C4122" t="s">
        <v>11</v>
      </c>
      <c r="D4122" s="8">
        <v>14.11</v>
      </c>
      <c r="E4122">
        <v>9</v>
      </c>
      <c r="F4122" t="str">
        <f t="shared" si="256"/>
        <v>Premium</v>
      </c>
      <c r="G4122" s="3" cm="1">
        <f t="array" ref="G4122">_xlfn.XLOOKUP(C4122 &amp; F4122,
         [1]unilever_price_limits!A:A &amp; [1]unilever_price_limits!B:B,
         [1]unilever_price_limits!C:C)</f>
        <v>50</v>
      </c>
      <c r="H4122" s="8">
        <f t="shared" si="257"/>
        <v>21.164999999999999</v>
      </c>
      <c r="I4122" s="6">
        <f t="shared" si="258"/>
        <v>50</v>
      </c>
      <c r="J4122" t="str">
        <f t="shared" si="259"/>
        <v>OK</v>
      </c>
    </row>
    <row r="4123" spans="1:10" x14ac:dyDescent="0.2">
      <c r="A4123">
        <v>14122</v>
      </c>
      <c r="B4123" t="s">
        <v>5</v>
      </c>
      <c r="C4123" t="s">
        <v>9</v>
      </c>
      <c r="D4123" s="8">
        <v>1.28</v>
      </c>
      <c r="E4123">
        <v>2</v>
      </c>
      <c r="F4123" t="str">
        <f t="shared" si="256"/>
        <v>Value</v>
      </c>
      <c r="G4123" s="3" cm="1">
        <f t="array" ref="G4123">_xlfn.XLOOKUP(C4123 &amp; F4123,
         [1]unilever_price_limits!A:A &amp; [1]unilever_price_limits!B:B,
         [1]unilever_price_limits!C:C)</f>
        <v>15</v>
      </c>
      <c r="H4123" s="8">
        <f t="shared" si="257"/>
        <v>1.472</v>
      </c>
      <c r="I4123" s="6">
        <f t="shared" si="258"/>
        <v>14.999999999999991</v>
      </c>
      <c r="J4123" t="str">
        <f t="shared" si="259"/>
        <v>OK</v>
      </c>
    </row>
    <row r="4124" spans="1:10" x14ac:dyDescent="0.2">
      <c r="A4124">
        <v>14123</v>
      </c>
      <c r="B4124" t="s">
        <v>7</v>
      </c>
      <c r="C4124" t="s">
        <v>6</v>
      </c>
      <c r="D4124" s="8">
        <v>0.68</v>
      </c>
      <c r="E4124">
        <v>2</v>
      </c>
      <c r="F4124" t="str">
        <f t="shared" si="256"/>
        <v>Value</v>
      </c>
      <c r="G4124" s="3" cm="1">
        <f t="array" ref="G4124">_xlfn.XLOOKUP(C4124 &amp; F4124,
         [1]unilever_price_limits!A:A &amp; [1]unilever_price_limits!B:B,
         [1]unilever_price_limits!C:C)</f>
        <v>12</v>
      </c>
      <c r="H4124" s="8">
        <f t="shared" si="257"/>
        <v>0.76160000000000017</v>
      </c>
      <c r="I4124" s="6">
        <f t="shared" si="258"/>
        <v>12.000000000000011</v>
      </c>
      <c r="J4124" t="str">
        <f t="shared" si="259"/>
        <v>OK</v>
      </c>
    </row>
    <row r="4125" spans="1:10" x14ac:dyDescent="0.2">
      <c r="A4125">
        <v>14124</v>
      </c>
      <c r="B4125" t="s">
        <v>10</v>
      </c>
      <c r="C4125" t="s">
        <v>9</v>
      </c>
      <c r="D4125" s="8">
        <v>10.09</v>
      </c>
      <c r="E4125">
        <v>4</v>
      </c>
      <c r="F4125" t="str">
        <f t="shared" si="256"/>
        <v>Standard</v>
      </c>
      <c r="G4125" s="3" cm="1">
        <f t="array" ref="G4125">_xlfn.XLOOKUP(C4125 &amp; F4125,
         [1]unilever_price_limits!A:A &amp; [1]unilever_price_limits!B:B,
         [1]unilever_price_limits!C:C)</f>
        <v>30</v>
      </c>
      <c r="H4125" s="8">
        <f t="shared" si="257"/>
        <v>13.117000000000001</v>
      </c>
      <c r="I4125" s="6">
        <f t="shared" si="258"/>
        <v>30.000000000000004</v>
      </c>
      <c r="J4125" t="str">
        <f t="shared" si="259"/>
        <v>OK</v>
      </c>
    </row>
    <row r="4126" spans="1:10" x14ac:dyDescent="0.2">
      <c r="A4126">
        <v>14125</v>
      </c>
      <c r="B4126" t="s">
        <v>7</v>
      </c>
      <c r="C4126" t="s">
        <v>6</v>
      </c>
      <c r="D4126" s="8">
        <v>4.7</v>
      </c>
      <c r="E4126">
        <v>10</v>
      </c>
      <c r="F4126" t="str">
        <f t="shared" si="256"/>
        <v>Premium</v>
      </c>
      <c r="G4126" s="3" cm="1">
        <f t="array" ref="G4126">_xlfn.XLOOKUP(C4126 &amp; F4126,
         [1]unilever_price_limits!A:A &amp; [1]unilever_price_limits!B:B,
         [1]unilever_price_limits!C:C)</f>
        <v>55</v>
      </c>
      <c r="H4126" s="8">
        <f t="shared" si="257"/>
        <v>7.2850000000000001</v>
      </c>
      <c r="I4126" s="6">
        <f t="shared" si="258"/>
        <v>55.000000000000007</v>
      </c>
      <c r="J4126" t="str">
        <f t="shared" si="259"/>
        <v>OK</v>
      </c>
    </row>
    <row r="4127" spans="1:10" x14ac:dyDescent="0.2">
      <c r="A4127">
        <v>14126</v>
      </c>
      <c r="B4127" t="s">
        <v>5</v>
      </c>
      <c r="C4127" t="s">
        <v>6</v>
      </c>
      <c r="D4127" s="8">
        <v>4.18</v>
      </c>
      <c r="E4127">
        <v>3</v>
      </c>
      <c r="F4127" t="str">
        <f t="shared" si="256"/>
        <v>Value</v>
      </c>
      <c r="G4127" s="3" cm="1">
        <f t="array" ref="G4127">_xlfn.XLOOKUP(C4127 &amp; F4127,
         [1]unilever_price_limits!A:A &amp; [1]unilever_price_limits!B:B,
         [1]unilever_price_limits!C:C)</f>
        <v>12</v>
      </c>
      <c r="H4127" s="8">
        <f t="shared" si="257"/>
        <v>4.6816000000000004</v>
      </c>
      <c r="I4127" s="6">
        <f t="shared" si="258"/>
        <v>12.000000000000011</v>
      </c>
      <c r="J4127" t="str">
        <f t="shared" si="259"/>
        <v>OK</v>
      </c>
    </row>
    <row r="4128" spans="1:10" x14ac:dyDescent="0.2">
      <c r="A4128">
        <v>14127</v>
      </c>
      <c r="B4128" t="s">
        <v>10</v>
      </c>
      <c r="C4128" t="s">
        <v>11</v>
      </c>
      <c r="D4128" s="8">
        <v>5.3</v>
      </c>
      <c r="E4128">
        <v>4</v>
      </c>
      <c r="F4128" t="str">
        <f t="shared" si="256"/>
        <v>Standard</v>
      </c>
      <c r="G4128" s="3" cm="1">
        <f t="array" ref="G4128">_xlfn.XLOOKUP(C4128 &amp; F4128,
         [1]unilever_price_limits!A:A &amp; [1]unilever_price_limits!B:B,
         [1]unilever_price_limits!C:C)</f>
        <v>25</v>
      </c>
      <c r="H4128" s="8">
        <f t="shared" si="257"/>
        <v>6.625</v>
      </c>
      <c r="I4128" s="6">
        <f t="shared" si="258"/>
        <v>25</v>
      </c>
      <c r="J4128" t="str">
        <f t="shared" si="259"/>
        <v>OK</v>
      </c>
    </row>
    <row r="4129" spans="1:10" x14ac:dyDescent="0.2">
      <c r="A4129">
        <v>14128</v>
      </c>
      <c r="B4129" t="s">
        <v>5</v>
      </c>
      <c r="C4129" t="s">
        <v>11</v>
      </c>
      <c r="D4129" s="8">
        <v>4.41</v>
      </c>
      <c r="E4129">
        <v>6</v>
      </c>
      <c r="F4129" t="str">
        <f t="shared" si="256"/>
        <v>Standard</v>
      </c>
      <c r="G4129" s="3" cm="1">
        <f t="array" ref="G4129">_xlfn.XLOOKUP(C4129 &amp; F4129,
         [1]unilever_price_limits!A:A &amp; [1]unilever_price_limits!B:B,
         [1]unilever_price_limits!C:C)</f>
        <v>25</v>
      </c>
      <c r="H4129" s="8">
        <f t="shared" si="257"/>
        <v>5.5125000000000002</v>
      </c>
      <c r="I4129" s="6">
        <f t="shared" si="258"/>
        <v>25</v>
      </c>
      <c r="J4129" t="str">
        <f t="shared" si="259"/>
        <v>OK</v>
      </c>
    </row>
    <row r="4130" spans="1:10" x14ac:dyDescent="0.2">
      <c r="A4130">
        <v>14129</v>
      </c>
      <c r="B4130" t="s">
        <v>7</v>
      </c>
      <c r="C4130" t="s">
        <v>6</v>
      </c>
      <c r="D4130" s="8">
        <v>7.92</v>
      </c>
      <c r="E4130">
        <v>7</v>
      </c>
      <c r="F4130" t="str">
        <f t="shared" si="256"/>
        <v>Standard</v>
      </c>
      <c r="G4130" s="3" cm="1">
        <f t="array" ref="G4130">_xlfn.XLOOKUP(C4130 &amp; F4130,
         [1]unilever_price_limits!A:A &amp; [1]unilever_price_limits!B:B,
         [1]unilever_price_limits!C:C)</f>
        <v>28</v>
      </c>
      <c r="H4130" s="8">
        <f t="shared" si="257"/>
        <v>10.137600000000001</v>
      </c>
      <c r="I4130" s="6">
        <f t="shared" si="258"/>
        <v>28.000000000000004</v>
      </c>
      <c r="J4130" t="str">
        <f t="shared" si="259"/>
        <v>OK</v>
      </c>
    </row>
    <row r="4131" spans="1:10" x14ac:dyDescent="0.2">
      <c r="A4131">
        <v>14130</v>
      </c>
      <c r="B4131" t="s">
        <v>5</v>
      </c>
      <c r="C4131" t="s">
        <v>11</v>
      </c>
      <c r="D4131" s="8">
        <v>6.88</v>
      </c>
      <c r="E4131">
        <v>5</v>
      </c>
      <c r="F4131" t="str">
        <f t="shared" si="256"/>
        <v>Standard</v>
      </c>
      <c r="G4131" s="3" cm="1">
        <f t="array" ref="G4131">_xlfn.XLOOKUP(C4131 &amp; F4131,
         [1]unilever_price_limits!A:A &amp; [1]unilever_price_limits!B:B,
         [1]unilever_price_limits!C:C)</f>
        <v>25</v>
      </c>
      <c r="H4131" s="8">
        <f t="shared" si="257"/>
        <v>8.6</v>
      </c>
      <c r="I4131" s="6">
        <f t="shared" si="258"/>
        <v>25</v>
      </c>
      <c r="J4131" t="str">
        <f t="shared" si="259"/>
        <v>OK</v>
      </c>
    </row>
    <row r="4132" spans="1:10" x14ac:dyDescent="0.2">
      <c r="A4132">
        <v>14131</v>
      </c>
      <c r="B4132" t="s">
        <v>5</v>
      </c>
      <c r="C4132" t="s">
        <v>9</v>
      </c>
      <c r="D4132" s="8">
        <v>7.93</v>
      </c>
      <c r="E4132">
        <v>2</v>
      </c>
      <c r="F4132" t="str">
        <f t="shared" si="256"/>
        <v>Value</v>
      </c>
      <c r="G4132" s="3" cm="1">
        <f t="array" ref="G4132">_xlfn.XLOOKUP(C4132 &amp; F4132,
         [1]unilever_price_limits!A:A &amp; [1]unilever_price_limits!B:B,
         [1]unilever_price_limits!C:C)</f>
        <v>15</v>
      </c>
      <c r="H4132" s="8">
        <f t="shared" si="257"/>
        <v>9.1194999999999986</v>
      </c>
      <c r="I4132" s="6">
        <f t="shared" si="258"/>
        <v>14.999999999999991</v>
      </c>
      <c r="J4132" t="str">
        <f t="shared" si="259"/>
        <v>OK</v>
      </c>
    </row>
    <row r="4133" spans="1:10" x14ac:dyDescent="0.2">
      <c r="A4133">
        <v>14132</v>
      </c>
      <c r="B4133" t="s">
        <v>8</v>
      </c>
      <c r="C4133" t="s">
        <v>11</v>
      </c>
      <c r="D4133" s="8">
        <v>10.25</v>
      </c>
      <c r="E4133">
        <v>3</v>
      </c>
      <c r="F4133" t="str">
        <f t="shared" si="256"/>
        <v>Value</v>
      </c>
      <c r="G4133" s="3" cm="1">
        <f t="array" ref="G4133">_xlfn.XLOOKUP(C4133 &amp; F4133,
         [1]unilever_price_limits!A:A &amp; [1]unilever_price_limits!B:B,
         [1]unilever_price_limits!C:C)</f>
        <v>10</v>
      </c>
      <c r="H4133" s="8">
        <f t="shared" si="257"/>
        <v>11.275</v>
      </c>
      <c r="I4133" s="6">
        <f t="shared" si="258"/>
        <v>10.000000000000009</v>
      </c>
      <c r="J4133" t="str">
        <f t="shared" si="259"/>
        <v>OK</v>
      </c>
    </row>
    <row r="4134" spans="1:10" x14ac:dyDescent="0.2">
      <c r="A4134">
        <v>14133</v>
      </c>
      <c r="B4134" t="s">
        <v>7</v>
      </c>
      <c r="C4134" t="s">
        <v>11</v>
      </c>
      <c r="D4134" s="8">
        <v>6.11</v>
      </c>
      <c r="E4134">
        <v>10</v>
      </c>
      <c r="F4134" t="str">
        <f t="shared" si="256"/>
        <v>Premium</v>
      </c>
      <c r="G4134" s="3" cm="1">
        <f t="array" ref="G4134">_xlfn.XLOOKUP(C4134 &amp; F4134,
         [1]unilever_price_limits!A:A &amp; [1]unilever_price_limits!B:B,
         [1]unilever_price_limits!C:C)</f>
        <v>50</v>
      </c>
      <c r="H4134" s="8">
        <f t="shared" si="257"/>
        <v>9.1650000000000009</v>
      </c>
      <c r="I4134" s="6">
        <f t="shared" si="258"/>
        <v>50</v>
      </c>
      <c r="J4134" t="str">
        <f t="shared" si="259"/>
        <v>OK</v>
      </c>
    </row>
    <row r="4135" spans="1:10" x14ac:dyDescent="0.2">
      <c r="A4135">
        <v>14134</v>
      </c>
      <c r="B4135" t="s">
        <v>7</v>
      </c>
      <c r="C4135" t="s">
        <v>9</v>
      </c>
      <c r="D4135" s="8">
        <v>4.1399999999999997</v>
      </c>
      <c r="E4135">
        <v>3</v>
      </c>
      <c r="F4135" t="str">
        <f t="shared" si="256"/>
        <v>Value</v>
      </c>
      <c r="G4135" s="3" cm="1">
        <f t="array" ref="G4135">_xlfn.XLOOKUP(C4135 &amp; F4135,
         [1]unilever_price_limits!A:A &amp; [1]unilever_price_limits!B:B,
         [1]unilever_price_limits!C:C)</f>
        <v>15</v>
      </c>
      <c r="H4135" s="8">
        <f t="shared" si="257"/>
        <v>4.7609999999999992</v>
      </c>
      <c r="I4135" s="6">
        <f t="shared" si="258"/>
        <v>14.999999999999991</v>
      </c>
      <c r="J4135" t="str">
        <f t="shared" si="259"/>
        <v>OK</v>
      </c>
    </row>
    <row r="4136" spans="1:10" x14ac:dyDescent="0.2">
      <c r="A4136">
        <v>14135</v>
      </c>
      <c r="B4136" t="s">
        <v>5</v>
      </c>
      <c r="C4136" t="s">
        <v>11</v>
      </c>
      <c r="D4136" s="8">
        <v>2.91</v>
      </c>
      <c r="E4136">
        <v>5</v>
      </c>
      <c r="F4136" t="str">
        <f t="shared" si="256"/>
        <v>Standard</v>
      </c>
      <c r="G4136" s="3" cm="1">
        <f t="array" ref="G4136">_xlfn.XLOOKUP(C4136 &amp; F4136,
         [1]unilever_price_limits!A:A &amp; [1]unilever_price_limits!B:B,
         [1]unilever_price_limits!C:C)</f>
        <v>25</v>
      </c>
      <c r="H4136" s="8">
        <f t="shared" si="257"/>
        <v>3.6375000000000002</v>
      </c>
      <c r="I4136" s="6">
        <f t="shared" si="258"/>
        <v>25</v>
      </c>
      <c r="J4136" t="str">
        <f t="shared" si="259"/>
        <v>OK</v>
      </c>
    </row>
    <row r="4137" spans="1:10" x14ac:dyDescent="0.2">
      <c r="A4137">
        <v>14136</v>
      </c>
      <c r="B4137" t="s">
        <v>8</v>
      </c>
      <c r="C4137" t="s">
        <v>6</v>
      </c>
      <c r="D4137" s="8">
        <v>5.57</v>
      </c>
      <c r="E4137">
        <v>5</v>
      </c>
      <c r="F4137" t="str">
        <f t="shared" si="256"/>
        <v>Standard</v>
      </c>
      <c r="G4137" s="3" cm="1">
        <f t="array" ref="G4137">_xlfn.XLOOKUP(C4137 &amp; F4137,
         [1]unilever_price_limits!A:A &amp; [1]unilever_price_limits!B:B,
         [1]unilever_price_limits!C:C)</f>
        <v>28</v>
      </c>
      <c r="H4137" s="8">
        <f t="shared" si="257"/>
        <v>7.1296000000000008</v>
      </c>
      <c r="I4137" s="6">
        <f t="shared" si="258"/>
        <v>28.000000000000004</v>
      </c>
      <c r="J4137" t="str">
        <f t="shared" si="259"/>
        <v>OK</v>
      </c>
    </row>
    <row r="4138" spans="1:10" x14ac:dyDescent="0.2">
      <c r="A4138">
        <v>14137</v>
      </c>
      <c r="B4138" t="s">
        <v>7</v>
      </c>
      <c r="C4138" t="s">
        <v>9</v>
      </c>
      <c r="D4138" s="8">
        <v>11.26</v>
      </c>
      <c r="E4138">
        <v>4</v>
      </c>
      <c r="F4138" t="str">
        <f t="shared" si="256"/>
        <v>Standard</v>
      </c>
      <c r="G4138" s="3" cm="1">
        <f t="array" ref="G4138">_xlfn.XLOOKUP(C4138 &amp; F4138,
         [1]unilever_price_limits!A:A &amp; [1]unilever_price_limits!B:B,
         [1]unilever_price_limits!C:C)</f>
        <v>30</v>
      </c>
      <c r="H4138" s="8">
        <f t="shared" si="257"/>
        <v>14.638</v>
      </c>
      <c r="I4138" s="6">
        <f t="shared" si="258"/>
        <v>30.000000000000004</v>
      </c>
      <c r="J4138" t="str">
        <f t="shared" si="259"/>
        <v>OK</v>
      </c>
    </row>
    <row r="4139" spans="1:10" x14ac:dyDescent="0.2">
      <c r="A4139">
        <v>14138</v>
      </c>
      <c r="B4139" t="s">
        <v>10</v>
      </c>
      <c r="C4139" t="s">
        <v>6</v>
      </c>
      <c r="D4139" s="8">
        <v>11.47</v>
      </c>
      <c r="E4139">
        <v>8</v>
      </c>
      <c r="F4139" t="str">
        <f t="shared" si="256"/>
        <v>Premium</v>
      </c>
      <c r="G4139" s="3" cm="1">
        <f t="array" ref="G4139">_xlfn.XLOOKUP(C4139 &amp; F4139,
         [1]unilever_price_limits!A:A &amp; [1]unilever_price_limits!B:B,
         [1]unilever_price_limits!C:C)</f>
        <v>55</v>
      </c>
      <c r="H4139" s="8">
        <f t="shared" si="257"/>
        <v>17.778500000000001</v>
      </c>
      <c r="I4139" s="6">
        <f t="shared" si="258"/>
        <v>55.000000000000007</v>
      </c>
      <c r="J4139" t="str">
        <f t="shared" si="259"/>
        <v>OK</v>
      </c>
    </row>
    <row r="4140" spans="1:10" x14ac:dyDescent="0.2">
      <c r="A4140">
        <v>14139</v>
      </c>
      <c r="B4140" t="s">
        <v>5</v>
      </c>
      <c r="C4140" t="s">
        <v>9</v>
      </c>
      <c r="D4140" s="8">
        <v>10.17</v>
      </c>
      <c r="E4140">
        <v>6</v>
      </c>
      <c r="F4140" t="str">
        <f t="shared" si="256"/>
        <v>Standard</v>
      </c>
      <c r="G4140" s="3" cm="1">
        <f t="array" ref="G4140">_xlfn.XLOOKUP(C4140 &amp; F4140,
         [1]unilever_price_limits!A:A &amp; [1]unilever_price_limits!B:B,
         [1]unilever_price_limits!C:C)</f>
        <v>30</v>
      </c>
      <c r="H4140" s="8">
        <f t="shared" si="257"/>
        <v>13.221</v>
      </c>
      <c r="I4140" s="6">
        <f t="shared" si="258"/>
        <v>30.000000000000004</v>
      </c>
      <c r="J4140" t="str">
        <f t="shared" si="259"/>
        <v>OK</v>
      </c>
    </row>
    <row r="4141" spans="1:10" x14ac:dyDescent="0.2">
      <c r="A4141">
        <v>14140</v>
      </c>
      <c r="B4141" t="s">
        <v>7</v>
      </c>
      <c r="C4141" t="s">
        <v>6</v>
      </c>
      <c r="D4141" s="8">
        <v>3.89</v>
      </c>
      <c r="E4141">
        <v>6</v>
      </c>
      <c r="F4141" t="str">
        <f t="shared" si="256"/>
        <v>Standard</v>
      </c>
      <c r="G4141" s="3" cm="1">
        <f t="array" ref="G4141">_xlfn.XLOOKUP(C4141 &amp; F4141,
         [1]unilever_price_limits!A:A &amp; [1]unilever_price_limits!B:B,
         [1]unilever_price_limits!C:C)</f>
        <v>28</v>
      </c>
      <c r="H4141" s="8">
        <f t="shared" si="257"/>
        <v>4.9792000000000005</v>
      </c>
      <c r="I4141" s="6">
        <f t="shared" si="258"/>
        <v>28.000000000000004</v>
      </c>
      <c r="J4141" t="str">
        <f t="shared" si="259"/>
        <v>OK</v>
      </c>
    </row>
    <row r="4142" spans="1:10" x14ac:dyDescent="0.2">
      <c r="A4142">
        <v>14141</v>
      </c>
      <c r="B4142" t="s">
        <v>10</v>
      </c>
      <c r="C4142" t="s">
        <v>6</v>
      </c>
      <c r="D4142" s="8">
        <v>9.0299999999999994</v>
      </c>
      <c r="E4142">
        <v>1</v>
      </c>
      <c r="F4142" t="str">
        <f t="shared" si="256"/>
        <v>Value</v>
      </c>
      <c r="G4142" s="3" cm="1">
        <f t="array" ref="G4142">_xlfn.XLOOKUP(C4142 &amp; F4142,
         [1]unilever_price_limits!A:A &amp; [1]unilever_price_limits!B:B,
         [1]unilever_price_limits!C:C)</f>
        <v>12</v>
      </c>
      <c r="H4142" s="8">
        <f t="shared" si="257"/>
        <v>10.1136</v>
      </c>
      <c r="I4142" s="6">
        <f t="shared" si="258"/>
        <v>12.000000000000011</v>
      </c>
      <c r="J4142" t="str">
        <f t="shared" si="259"/>
        <v>OK</v>
      </c>
    </row>
    <row r="4143" spans="1:10" x14ac:dyDescent="0.2">
      <c r="A4143">
        <v>14142</v>
      </c>
      <c r="B4143" t="s">
        <v>7</v>
      </c>
      <c r="C4143" t="s">
        <v>11</v>
      </c>
      <c r="D4143" s="8">
        <v>8.7799999999999994</v>
      </c>
      <c r="E4143">
        <v>6</v>
      </c>
      <c r="F4143" t="str">
        <f t="shared" si="256"/>
        <v>Standard</v>
      </c>
      <c r="G4143" s="3" cm="1">
        <f t="array" ref="G4143">_xlfn.XLOOKUP(C4143 &amp; F4143,
         [1]unilever_price_limits!A:A &amp; [1]unilever_price_limits!B:B,
         [1]unilever_price_limits!C:C)</f>
        <v>25</v>
      </c>
      <c r="H4143" s="8">
        <f t="shared" si="257"/>
        <v>10.975</v>
      </c>
      <c r="I4143" s="6">
        <f t="shared" si="258"/>
        <v>25</v>
      </c>
      <c r="J4143" t="str">
        <f t="shared" si="259"/>
        <v>OK</v>
      </c>
    </row>
    <row r="4144" spans="1:10" x14ac:dyDescent="0.2">
      <c r="A4144">
        <v>14143</v>
      </c>
      <c r="B4144" t="s">
        <v>10</v>
      </c>
      <c r="C4144" t="s">
        <v>6</v>
      </c>
      <c r="D4144" s="8">
        <v>7.52</v>
      </c>
      <c r="E4144">
        <v>3</v>
      </c>
      <c r="F4144" t="str">
        <f t="shared" si="256"/>
        <v>Value</v>
      </c>
      <c r="G4144" s="3" cm="1">
        <f t="array" ref="G4144">_xlfn.XLOOKUP(C4144 &amp; F4144,
         [1]unilever_price_limits!A:A &amp; [1]unilever_price_limits!B:B,
         [1]unilever_price_limits!C:C)</f>
        <v>12</v>
      </c>
      <c r="H4144" s="8">
        <f t="shared" si="257"/>
        <v>8.4223999999999997</v>
      </c>
      <c r="I4144" s="6">
        <f t="shared" si="258"/>
        <v>12.000000000000011</v>
      </c>
      <c r="J4144" t="str">
        <f t="shared" si="259"/>
        <v>OK</v>
      </c>
    </row>
    <row r="4145" spans="1:10" x14ac:dyDescent="0.2">
      <c r="A4145">
        <v>14144</v>
      </c>
      <c r="B4145" t="s">
        <v>5</v>
      </c>
      <c r="C4145" t="s">
        <v>11</v>
      </c>
      <c r="D4145" s="8">
        <v>8.4700000000000006</v>
      </c>
      <c r="E4145">
        <v>6</v>
      </c>
      <c r="F4145" t="str">
        <f t="shared" si="256"/>
        <v>Standard</v>
      </c>
      <c r="G4145" s="3" cm="1">
        <f t="array" ref="G4145">_xlfn.XLOOKUP(C4145 &amp; F4145,
         [1]unilever_price_limits!A:A &amp; [1]unilever_price_limits!B:B,
         [1]unilever_price_limits!C:C)</f>
        <v>25</v>
      </c>
      <c r="H4145" s="8">
        <f t="shared" si="257"/>
        <v>10.5875</v>
      </c>
      <c r="I4145" s="6">
        <f t="shared" si="258"/>
        <v>25</v>
      </c>
      <c r="J4145" t="str">
        <f t="shared" si="259"/>
        <v>OK</v>
      </c>
    </row>
    <row r="4146" spans="1:10" x14ac:dyDescent="0.2">
      <c r="A4146">
        <v>14145</v>
      </c>
      <c r="B4146" t="s">
        <v>7</v>
      </c>
      <c r="C4146" t="s">
        <v>9</v>
      </c>
      <c r="D4146" s="8">
        <v>7.63</v>
      </c>
      <c r="E4146">
        <v>10</v>
      </c>
      <c r="F4146" t="str">
        <f t="shared" si="256"/>
        <v>Premium</v>
      </c>
      <c r="G4146" s="3" cm="1">
        <f t="array" ref="G4146">_xlfn.XLOOKUP(C4146 &amp; F4146,
         [1]unilever_price_limits!A:A &amp; [1]unilever_price_limits!B:B,
         [1]unilever_price_limits!C:C)</f>
        <v>60</v>
      </c>
      <c r="H4146" s="8">
        <f t="shared" si="257"/>
        <v>12.208</v>
      </c>
      <c r="I4146" s="6">
        <f t="shared" si="258"/>
        <v>60.000000000000007</v>
      </c>
      <c r="J4146" t="str">
        <f t="shared" si="259"/>
        <v>OK</v>
      </c>
    </row>
    <row r="4147" spans="1:10" x14ac:dyDescent="0.2">
      <c r="A4147">
        <v>14146</v>
      </c>
      <c r="B4147" t="s">
        <v>7</v>
      </c>
      <c r="C4147" t="s">
        <v>6</v>
      </c>
      <c r="D4147" s="8">
        <v>8.6999999999999993</v>
      </c>
      <c r="E4147">
        <v>6</v>
      </c>
      <c r="F4147" t="str">
        <f t="shared" si="256"/>
        <v>Standard</v>
      </c>
      <c r="G4147" s="3" cm="1">
        <f t="array" ref="G4147">_xlfn.XLOOKUP(C4147 &amp; F4147,
         [1]unilever_price_limits!A:A &amp; [1]unilever_price_limits!B:B,
         [1]unilever_price_limits!C:C)</f>
        <v>28</v>
      </c>
      <c r="H4147" s="8">
        <f t="shared" si="257"/>
        <v>11.135999999999999</v>
      </c>
      <c r="I4147" s="6">
        <f t="shared" si="258"/>
        <v>28.000000000000004</v>
      </c>
      <c r="J4147" t="str">
        <f t="shared" si="259"/>
        <v>OK</v>
      </c>
    </row>
    <row r="4148" spans="1:10" x14ac:dyDescent="0.2">
      <c r="A4148">
        <v>14147</v>
      </c>
      <c r="B4148" t="s">
        <v>8</v>
      </c>
      <c r="C4148" t="s">
        <v>6</v>
      </c>
      <c r="D4148" s="8">
        <v>10.87</v>
      </c>
      <c r="E4148">
        <v>2</v>
      </c>
      <c r="F4148" t="str">
        <f t="shared" si="256"/>
        <v>Value</v>
      </c>
      <c r="G4148" s="3" cm="1">
        <f t="array" ref="G4148">_xlfn.XLOOKUP(C4148 &amp; F4148,
         [1]unilever_price_limits!A:A &amp; [1]unilever_price_limits!B:B,
         [1]unilever_price_limits!C:C)</f>
        <v>12</v>
      </c>
      <c r="H4148" s="8">
        <f t="shared" si="257"/>
        <v>12.1744</v>
      </c>
      <c r="I4148" s="6">
        <f t="shared" si="258"/>
        <v>12.000000000000011</v>
      </c>
      <c r="J4148" t="str">
        <f t="shared" si="259"/>
        <v>OK</v>
      </c>
    </row>
    <row r="4149" spans="1:10" x14ac:dyDescent="0.2">
      <c r="A4149">
        <v>14148</v>
      </c>
      <c r="B4149" t="s">
        <v>5</v>
      </c>
      <c r="C4149" t="s">
        <v>9</v>
      </c>
      <c r="D4149" s="8">
        <v>2.09</v>
      </c>
      <c r="E4149">
        <v>1</v>
      </c>
      <c r="F4149" t="str">
        <f t="shared" si="256"/>
        <v>Value</v>
      </c>
      <c r="G4149" s="3" cm="1">
        <f t="array" ref="G4149">_xlfn.XLOOKUP(C4149 &amp; F4149,
         [1]unilever_price_limits!A:A &amp; [1]unilever_price_limits!B:B,
         [1]unilever_price_limits!C:C)</f>
        <v>15</v>
      </c>
      <c r="H4149" s="8">
        <f t="shared" si="257"/>
        <v>2.4034999999999997</v>
      </c>
      <c r="I4149" s="6">
        <f t="shared" si="258"/>
        <v>14.999999999999991</v>
      </c>
      <c r="J4149" t="str">
        <f t="shared" si="259"/>
        <v>OK</v>
      </c>
    </row>
    <row r="4150" spans="1:10" x14ac:dyDescent="0.2">
      <c r="A4150">
        <v>14149</v>
      </c>
      <c r="B4150" t="s">
        <v>10</v>
      </c>
      <c r="C4150" t="s">
        <v>9</v>
      </c>
      <c r="D4150" s="8">
        <v>11.37</v>
      </c>
      <c r="E4150">
        <v>3</v>
      </c>
      <c r="F4150" t="str">
        <f t="shared" si="256"/>
        <v>Value</v>
      </c>
      <c r="G4150" s="3" cm="1">
        <f t="array" ref="G4150">_xlfn.XLOOKUP(C4150 &amp; F4150,
         [1]unilever_price_limits!A:A &amp; [1]unilever_price_limits!B:B,
         [1]unilever_price_limits!C:C)</f>
        <v>15</v>
      </c>
      <c r="H4150" s="8">
        <f t="shared" si="257"/>
        <v>13.075499999999998</v>
      </c>
      <c r="I4150" s="6">
        <f t="shared" si="258"/>
        <v>14.999999999999991</v>
      </c>
      <c r="J4150" t="str">
        <f t="shared" si="259"/>
        <v>OK</v>
      </c>
    </row>
    <row r="4151" spans="1:10" x14ac:dyDescent="0.2">
      <c r="A4151">
        <v>14150</v>
      </c>
      <c r="B4151" t="s">
        <v>7</v>
      </c>
      <c r="C4151" t="s">
        <v>6</v>
      </c>
      <c r="D4151" s="8">
        <v>2.4700000000000002</v>
      </c>
      <c r="E4151">
        <v>5</v>
      </c>
      <c r="F4151" t="str">
        <f t="shared" si="256"/>
        <v>Standard</v>
      </c>
      <c r="G4151" s="3" cm="1">
        <f t="array" ref="G4151">_xlfn.XLOOKUP(C4151 &amp; F4151,
         [1]unilever_price_limits!A:A &amp; [1]unilever_price_limits!B:B,
         [1]unilever_price_limits!C:C)</f>
        <v>28</v>
      </c>
      <c r="H4151" s="8">
        <f t="shared" si="257"/>
        <v>3.1616000000000004</v>
      </c>
      <c r="I4151" s="6">
        <f t="shared" si="258"/>
        <v>28.000000000000004</v>
      </c>
      <c r="J4151" t="str">
        <f t="shared" si="259"/>
        <v>OK</v>
      </c>
    </row>
    <row r="4152" spans="1:10" x14ac:dyDescent="0.2">
      <c r="A4152">
        <v>14151</v>
      </c>
      <c r="B4152" t="s">
        <v>7</v>
      </c>
      <c r="C4152" t="s">
        <v>9</v>
      </c>
      <c r="D4152" s="8">
        <v>1.47</v>
      </c>
      <c r="E4152">
        <v>4</v>
      </c>
      <c r="F4152" t="str">
        <f t="shared" si="256"/>
        <v>Standard</v>
      </c>
      <c r="G4152" s="3" cm="1">
        <f t="array" ref="G4152">_xlfn.XLOOKUP(C4152 &amp; F4152,
         [1]unilever_price_limits!A:A &amp; [1]unilever_price_limits!B:B,
         [1]unilever_price_limits!C:C)</f>
        <v>30</v>
      </c>
      <c r="H4152" s="8">
        <f t="shared" si="257"/>
        <v>1.911</v>
      </c>
      <c r="I4152" s="6">
        <f t="shared" si="258"/>
        <v>30.000000000000004</v>
      </c>
      <c r="J4152" t="str">
        <f t="shared" si="259"/>
        <v>OK</v>
      </c>
    </row>
    <row r="4153" spans="1:10" x14ac:dyDescent="0.2">
      <c r="A4153">
        <v>14152</v>
      </c>
      <c r="B4153" t="s">
        <v>10</v>
      </c>
      <c r="C4153" t="s">
        <v>11</v>
      </c>
      <c r="D4153" s="8">
        <v>14.65</v>
      </c>
      <c r="E4153">
        <v>7</v>
      </c>
      <c r="F4153" t="str">
        <f t="shared" si="256"/>
        <v>Standard</v>
      </c>
      <c r="G4153" s="3" cm="1">
        <f t="array" ref="G4153">_xlfn.XLOOKUP(C4153 &amp; F4153,
         [1]unilever_price_limits!A:A &amp; [1]unilever_price_limits!B:B,
         [1]unilever_price_limits!C:C)</f>
        <v>25</v>
      </c>
      <c r="H4153" s="8">
        <f t="shared" si="257"/>
        <v>18.3125</v>
      </c>
      <c r="I4153" s="6">
        <f t="shared" si="258"/>
        <v>25</v>
      </c>
      <c r="J4153" t="str">
        <f t="shared" si="259"/>
        <v>OK</v>
      </c>
    </row>
    <row r="4154" spans="1:10" x14ac:dyDescent="0.2">
      <c r="A4154">
        <v>14153</v>
      </c>
      <c r="B4154" t="s">
        <v>5</v>
      </c>
      <c r="C4154" t="s">
        <v>9</v>
      </c>
      <c r="D4154" s="8">
        <v>14.38</v>
      </c>
      <c r="E4154">
        <v>4</v>
      </c>
      <c r="F4154" t="str">
        <f t="shared" si="256"/>
        <v>Standard</v>
      </c>
      <c r="G4154" s="3" cm="1">
        <f t="array" ref="G4154">_xlfn.XLOOKUP(C4154 &amp; F4154,
         [1]unilever_price_limits!A:A &amp; [1]unilever_price_limits!B:B,
         [1]unilever_price_limits!C:C)</f>
        <v>30</v>
      </c>
      <c r="H4154" s="8">
        <f t="shared" si="257"/>
        <v>18.694000000000003</v>
      </c>
      <c r="I4154" s="6">
        <f t="shared" si="258"/>
        <v>30.000000000000004</v>
      </c>
      <c r="J4154" t="str">
        <f t="shared" si="259"/>
        <v>OK</v>
      </c>
    </row>
    <row r="4155" spans="1:10" x14ac:dyDescent="0.2">
      <c r="A4155">
        <v>14154</v>
      </c>
      <c r="B4155" t="s">
        <v>8</v>
      </c>
      <c r="C4155" t="s">
        <v>9</v>
      </c>
      <c r="D4155" s="8">
        <v>1.38</v>
      </c>
      <c r="E4155">
        <v>8</v>
      </c>
      <c r="F4155" t="str">
        <f t="shared" si="256"/>
        <v>Premium</v>
      </c>
      <c r="G4155" s="3" cm="1">
        <f t="array" ref="G4155">_xlfn.XLOOKUP(C4155 &amp; F4155,
         [1]unilever_price_limits!A:A &amp; [1]unilever_price_limits!B:B,
         [1]unilever_price_limits!C:C)</f>
        <v>60</v>
      </c>
      <c r="H4155" s="8">
        <f t="shared" si="257"/>
        <v>2.2079999999999997</v>
      </c>
      <c r="I4155" s="6">
        <f t="shared" si="258"/>
        <v>59.999999999999986</v>
      </c>
      <c r="J4155" t="str">
        <f t="shared" si="259"/>
        <v>OK</v>
      </c>
    </row>
    <row r="4156" spans="1:10" x14ac:dyDescent="0.2">
      <c r="A4156">
        <v>14155</v>
      </c>
      <c r="B4156" t="s">
        <v>8</v>
      </c>
      <c r="C4156" t="s">
        <v>6</v>
      </c>
      <c r="D4156" s="8">
        <v>6.93</v>
      </c>
      <c r="E4156">
        <v>7</v>
      </c>
      <c r="F4156" t="str">
        <f t="shared" si="256"/>
        <v>Standard</v>
      </c>
      <c r="G4156" s="3" cm="1">
        <f t="array" ref="G4156">_xlfn.XLOOKUP(C4156 &amp; F4156,
         [1]unilever_price_limits!A:A &amp; [1]unilever_price_limits!B:B,
         [1]unilever_price_limits!C:C)</f>
        <v>28</v>
      </c>
      <c r="H4156" s="8">
        <f t="shared" si="257"/>
        <v>8.8704000000000001</v>
      </c>
      <c r="I4156" s="6">
        <f t="shared" si="258"/>
        <v>28.000000000000004</v>
      </c>
      <c r="J4156" t="str">
        <f t="shared" si="259"/>
        <v>OK</v>
      </c>
    </row>
    <row r="4157" spans="1:10" x14ac:dyDescent="0.2">
      <c r="A4157">
        <v>14156</v>
      </c>
      <c r="B4157" t="s">
        <v>7</v>
      </c>
      <c r="C4157" t="s">
        <v>11</v>
      </c>
      <c r="D4157" s="8">
        <v>3.2</v>
      </c>
      <c r="E4157">
        <v>10</v>
      </c>
      <c r="F4157" t="str">
        <f t="shared" si="256"/>
        <v>Premium</v>
      </c>
      <c r="G4157" s="3" cm="1">
        <f t="array" ref="G4157">_xlfn.XLOOKUP(C4157 &amp; F4157,
         [1]unilever_price_limits!A:A &amp; [1]unilever_price_limits!B:B,
         [1]unilever_price_limits!C:C)</f>
        <v>50</v>
      </c>
      <c r="H4157" s="8">
        <f t="shared" si="257"/>
        <v>4.8000000000000007</v>
      </c>
      <c r="I4157" s="6">
        <f t="shared" si="258"/>
        <v>50.000000000000021</v>
      </c>
      <c r="J4157" t="str">
        <f t="shared" si="259"/>
        <v>OK</v>
      </c>
    </row>
    <row r="4158" spans="1:10" x14ac:dyDescent="0.2">
      <c r="A4158">
        <v>14157</v>
      </c>
      <c r="B4158" t="s">
        <v>10</v>
      </c>
      <c r="C4158" t="s">
        <v>9</v>
      </c>
      <c r="D4158" s="8">
        <v>7.54</v>
      </c>
      <c r="E4158">
        <v>9</v>
      </c>
      <c r="F4158" t="str">
        <f t="shared" si="256"/>
        <v>Premium</v>
      </c>
      <c r="G4158" s="3" cm="1">
        <f t="array" ref="G4158">_xlfn.XLOOKUP(C4158 &amp; F4158,
         [1]unilever_price_limits!A:A &amp; [1]unilever_price_limits!B:B,
         [1]unilever_price_limits!C:C)</f>
        <v>60</v>
      </c>
      <c r="H4158" s="8">
        <f t="shared" si="257"/>
        <v>12.064</v>
      </c>
      <c r="I4158" s="6">
        <f t="shared" si="258"/>
        <v>60.000000000000007</v>
      </c>
      <c r="J4158" t="str">
        <f t="shared" si="259"/>
        <v>OK</v>
      </c>
    </row>
    <row r="4159" spans="1:10" x14ac:dyDescent="0.2">
      <c r="A4159">
        <v>14158</v>
      </c>
      <c r="B4159" t="s">
        <v>7</v>
      </c>
      <c r="C4159" t="s">
        <v>11</v>
      </c>
      <c r="D4159" s="8">
        <v>12.54</v>
      </c>
      <c r="E4159">
        <v>1</v>
      </c>
      <c r="F4159" t="str">
        <f t="shared" si="256"/>
        <v>Value</v>
      </c>
      <c r="G4159" s="3" cm="1">
        <f t="array" ref="G4159">_xlfn.XLOOKUP(C4159 &amp; F4159,
         [1]unilever_price_limits!A:A &amp; [1]unilever_price_limits!B:B,
         [1]unilever_price_limits!C:C)</f>
        <v>10</v>
      </c>
      <c r="H4159" s="8">
        <f t="shared" si="257"/>
        <v>13.794</v>
      </c>
      <c r="I4159" s="6">
        <f t="shared" si="258"/>
        <v>10.000000000000009</v>
      </c>
      <c r="J4159" t="str">
        <f t="shared" si="259"/>
        <v>OK</v>
      </c>
    </row>
    <row r="4160" spans="1:10" x14ac:dyDescent="0.2">
      <c r="A4160">
        <v>14159</v>
      </c>
      <c r="B4160" t="s">
        <v>10</v>
      </c>
      <c r="C4160" t="s">
        <v>11</v>
      </c>
      <c r="D4160" s="8">
        <v>14.28</v>
      </c>
      <c r="E4160">
        <v>5</v>
      </c>
      <c r="F4160" t="str">
        <f t="shared" si="256"/>
        <v>Standard</v>
      </c>
      <c r="G4160" s="3" cm="1">
        <f t="array" ref="G4160">_xlfn.XLOOKUP(C4160 &amp; F4160,
         [1]unilever_price_limits!A:A &amp; [1]unilever_price_limits!B:B,
         [1]unilever_price_limits!C:C)</f>
        <v>25</v>
      </c>
      <c r="H4160" s="8">
        <f t="shared" si="257"/>
        <v>17.849999999999998</v>
      </c>
      <c r="I4160" s="6">
        <f t="shared" si="258"/>
        <v>25</v>
      </c>
      <c r="J4160" t="str">
        <f t="shared" si="259"/>
        <v>OK</v>
      </c>
    </row>
    <row r="4161" spans="1:10" x14ac:dyDescent="0.2">
      <c r="A4161">
        <v>14160</v>
      </c>
      <c r="B4161" t="s">
        <v>8</v>
      </c>
      <c r="C4161" t="s">
        <v>11</v>
      </c>
      <c r="D4161" s="8">
        <v>9.6999999999999993</v>
      </c>
      <c r="E4161">
        <v>4</v>
      </c>
      <c r="F4161" t="str">
        <f t="shared" si="256"/>
        <v>Standard</v>
      </c>
      <c r="G4161" s="3" cm="1">
        <f t="array" ref="G4161">_xlfn.XLOOKUP(C4161 &amp; F4161,
         [1]unilever_price_limits!A:A &amp; [1]unilever_price_limits!B:B,
         [1]unilever_price_limits!C:C)</f>
        <v>25</v>
      </c>
      <c r="H4161" s="8">
        <f t="shared" si="257"/>
        <v>12.125</v>
      </c>
      <c r="I4161" s="6">
        <f t="shared" si="258"/>
        <v>25</v>
      </c>
      <c r="J4161" t="str">
        <f t="shared" si="259"/>
        <v>OK</v>
      </c>
    </row>
    <row r="4162" spans="1:10" x14ac:dyDescent="0.2">
      <c r="A4162">
        <v>14161</v>
      </c>
      <c r="B4162" t="s">
        <v>5</v>
      </c>
      <c r="C4162" t="s">
        <v>6</v>
      </c>
      <c r="D4162" s="8">
        <v>5.63</v>
      </c>
      <c r="E4162">
        <v>6</v>
      </c>
      <c r="F4162" t="str">
        <f t="shared" si="256"/>
        <v>Standard</v>
      </c>
      <c r="G4162" s="3" cm="1">
        <f t="array" ref="G4162">_xlfn.XLOOKUP(C4162 &amp; F4162,
         [1]unilever_price_limits!A:A &amp; [1]unilever_price_limits!B:B,
         [1]unilever_price_limits!C:C)</f>
        <v>28</v>
      </c>
      <c r="H4162" s="8">
        <f t="shared" si="257"/>
        <v>7.2064000000000004</v>
      </c>
      <c r="I4162" s="6">
        <f t="shared" si="258"/>
        <v>28.000000000000004</v>
      </c>
      <c r="J4162" t="str">
        <f t="shared" si="259"/>
        <v>OK</v>
      </c>
    </row>
    <row r="4163" spans="1:10" x14ac:dyDescent="0.2">
      <c r="A4163">
        <v>14162</v>
      </c>
      <c r="B4163" t="s">
        <v>10</v>
      </c>
      <c r="C4163" t="s">
        <v>9</v>
      </c>
      <c r="D4163" s="8">
        <v>9.25</v>
      </c>
      <c r="E4163">
        <v>1</v>
      </c>
      <c r="F4163" t="str">
        <f t="shared" ref="F4163:F4226" si="260">IF(E4163&lt;=3,"Value",
 IF(E4163&lt;=7,"Standard","Premium"))</f>
        <v>Value</v>
      </c>
      <c r="G4163" s="3" cm="1">
        <f t="array" ref="G4163">_xlfn.XLOOKUP(C4163 &amp; F4163,
         [1]unilever_price_limits!A:A &amp; [1]unilever_price_limits!B:B,
         [1]unilever_price_limits!C:C)</f>
        <v>15</v>
      </c>
      <c r="H4163" s="8">
        <f t="shared" ref="H4163:H4226" si="261">D4163 * (1 + G4163/100)</f>
        <v>10.637499999999999</v>
      </c>
      <c r="I4163" s="6">
        <f t="shared" ref="I4163:I4226" si="262">(H4163 / D4163 - 1) * 100</f>
        <v>14.999999999999991</v>
      </c>
      <c r="J4163" t="str">
        <f t="shared" ref="J4163:J4226" si="263">IF(I4162&gt; G4162, "⚠ Exceeds Limit", "OK")</f>
        <v>OK</v>
      </c>
    </row>
    <row r="4164" spans="1:10" x14ac:dyDescent="0.2">
      <c r="A4164">
        <v>14163</v>
      </c>
      <c r="B4164" t="s">
        <v>8</v>
      </c>
      <c r="C4164" t="s">
        <v>6</v>
      </c>
      <c r="D4164" s="8">
        <v>5.0199999999999996</v>
      </c>
      <c r="E4164">
        <v>6</v>
      </c>
      <c r="F4164" t="str">
        <f t="shared" si="260"/>
        <v>Standard</v>
      </c>
      <c r="G4164" s="3" cm="1">
        <f t="array" ref="G4164">_xlfn.XLOOKUP(C4164 &amp; F4164,
         [1]unilever_price_limits!A:A &amp; [1]unilever_price_limits!B:B,
         [1]unilever_price_limits!C:C)</f>
        <v>28</v>
      </c>
      <c r="H4164" s="8">
        <f t="shared" si="261"/>
        <v>6.4255999999999993</v>
      </c>
      <c r="I4164" s="6">
        <f t="shared" si="262"/>
        <v>28.000000000000004</v>
      </c>
      <c r="J4164" t="str">
        <f t="shared" si="263"/>
        <v>OK</v>
      </c>
    </row>
    <row r="4165" spans="1:10" x14ac:dyDescent="0.2">
      <c r="A4165">
        <v>14164</v>
      </c>
      <c r="B4165" t="s">
        <v>7</v>
      </c>
      <c r="C4165" t="s">
        <v>9</v>
      </c>
      <c r="D4165" s="8">
        <v>13.69</v>
      </c>
      <c r="E4165">
        <v>1</v>
      </c>
      <c r="F4165" t="str">
        <f t="shared" si="260"/>
        <v>Value</v>
      </c>
      <c r="G4165" s="3" cm="1">
        <f t="array" ref="G4165">_xlfn.XLOOKUP(C4165 &amp; F4165,
         [1]unilever_price_limits!A:A &amp; [1]unilever_price_limits!B:B,
         [1]unilever_price_limits!C:C)</f>
        <v>15</v>
      </c>
      <c r="H4165" s="8">
        <f t="shared" si="261"/>
        <v>15.743499999999997</v>
      </c>
      <c r="I4165" s="6">
        <f t="shared" si="262"/>
        <v>14.999999999999991</v>
      </c>
      <c r="J4165" t="str">
        <f t="shared" si="263"/>
        <v>OK</v>
      </c>
    </row>
    <row r="4166" spans="1:10" x14ac:dyDescent="0.2">
      <c r="A4166">
        <v>14165</v>
      </c>
      <c r="B4166" t="s">
        <v>10</v>
      </c>
      <c r="C4166" t="s">
        <v>9</v>
      </c>
      <c r="D4166" s="8">
        <v>13.12</v>
      </c>
      <c r="E4166">
        <v>1</v>
      </c>
      <c r="F4166" t="str">
        <f t="shared" si="260"/>
        <v>Value</v>
      </c>
      <c r="G4166" s="3" cm="1">
        <f t="array" ref="G4166">_xlfn.XLOOKUP(C4166 &amp; F4166,
         [1]unilever_price_limits!A:A &amp; [1]unilever_price_limits!B:B,
         [1]unilever_price_limits!C:C)</f>
        <v>15</v>
      </c>
      <c r="H4166" s="8">
        <f t="shared" si="261"/>
        <v>15.087999999999997</v>
      </c>
      <c r="I4166" s="6">
        <f t="shared" si="262"/>
        <v>14.999999999999991</v>
      </c>
      <c r="J4166" t="str">
        <f t="shared" si="263"/>
        <v>OK</v>
      </c>
    </row>
    <row r="4167" spans="1:10" x14ac:dyDescent="0.2">
      <c r="A4167">
        <v>14166</v>
      </c>
      <c r="B4167" t="s">
        <v>5</v>
      </c>
      <c r="C4167" t="s">
        <v>6</v>
      </c>
      <c r="D4167" s="8">
        <v>8.59</v>
      </c>
      <c r="E4167">
        <v>8</v>
      </c>
      <c r="F4167" t="str">
        <f t="shared" si="260"/>
        <v>Premium</v>
      </c>
      <c r="G4167" s="3" cm="1">
        <f t="array" ref="G4167">_xlfn.XLOOKUP(C4167 &amp; F4167,
         [1]unilever_price_limits!A:A &amp; [1]unilever_price_limits!B:B,
         [1]unilever_price_limits!C:C)</f>
        <v>55</v>
      </c>
      <c r="H4167" s="8">
        <f t="shared" si="261"/>
        <v>13.314500000000001</v>
      </c>
      <c r="I4167" s="6">
        <f t="shared" si="262"/>
        <v>55.000000000000007</v>
      </c>
      <c r="J4167" t="str">
        <f t="shared" si="263"/>
        <v>OK</v>
      </c>
    </row>
    <row r="4168" spans="1:10" x14ac:dyDescent="0.2">
      <c r="A4168">
        <v>14167</v>
      </c>
      <c r="B4168" t="s">
        <v>7</v>
      </c>
      <c r="C4168" t="s">
        <v>11</v>
      </c>
      <c r="D4168" s="8">
        <v>5.21</v>
      </c>
      <c r="E4168">
        <v>2</v>
      </c>
      <c r="F4168" t="str">
        <f t="shared" si="260"/>
        <v>Value</v>
      </c>
      <c r="G4168" s="3" cm="1">
        <f t="array" ref="G4168">_xlfn.XLOOKUP(C4168 &amp; F4168,
         [1]unilever_price_limits!A:A &amp; [1]unilever_price_limits!B:B,
         [1]unilever_price_limits!C:C)</f>
        <v>10</v>
      </c>
      <c r="H4168" s="8">
        <f t="shared" si="261"/>
        <v>5.7310000000000008</v>
      </c>
      <c r="I4168" s="6">
        <f t="shared" si="262"/>
        <v>10.000000000000009</v>
      </c>
      <c r="J4168" t="str">
        <f t="shared" si="263"/>
        <v>OK</v>
      </c>
    </row>
    <row r="4169" spans="1:10" x14ac:dyDescent="0.2">
      <c r="A4169">
        <v>14168</v>
      </c>
      <c r="B4169" t="s">
        <v>7</v>
      </c>
      <c r="C4169" t="s">
        <v>11</v>
      </c>
      <c r="D4169" s="8">
        <v>4.75</v>
      </c>
      <c r="E4169">
        <v>10</v>
      </c>
      <c r="F4169" t="str">
        <f t="shared" si="260"/>
        <v>Premium</v>
      </c>
      <c r="G4169" s="3" cm="1">
        <f t="array" ref="G4169">_xlfn.XLOOKUP(C4169 &amp; F4169,
         [1]unilever_price_limits!A:A &amp; [1]unilever_price_limits!B:B,
         [1]unilever_price_limits!C:C)</f>
        <v>50</v>
      </c>
      <c r="H4169" s="8">
        <f t="shared" si="261"/>
        <v>7.125</v>
      </c>
      <c r="I4169" s="6">
        <f t="shared" si="262"/>
        <v>50</v>
      </c>
      <c r="J4169" t="str">
        <f t="shared" si="263"/>
        <v>OK</v>
      </c>
    </row>
    <row r="4170" spans="1:10" x14ac:dyDescent="0.2">
      <c r="A4170">
        <v>14169</v>
      </c>
      <c r="B4170" t="s">
        <v>8</v>
      </c>
      <c r="C4170" t="s">
        <v>9</v>
      </c>
      <c r="D4170" s="8">
        <v>0.98</v>
      </c>
      <c r="E4170">
        <v>6</v>
      </c>
      <c r="F4170" t="str">
        <f t="shared" si="260"/>
        <v>Standard</v>
      </c>
      <c r="G4170" s="3" cm="1">
        <f t="array" ref="G4170">_xlfn.XLOOKUP(C4170 &amp; F4170,
         [1]unilever_price_limits!A:A &amp; [1]unilever_price_limits!B:B,
         [1]unilever_price_limits!C:C)</f>
        <v>30</v>
      </c>
      <c r="H4170" s="8">
        <f t="shared" si="261"/>
        <v>1.274</v>
      </c>
      <c r="I4170" s="6">
        <f t="shared" si="262"/>
        <v>30.000000000000004</v>
      </c>
      <c r="J4170" t="str">
        <f t="shared" si="263"/>
        <v>OK</v>
      </c>
    </row>
    <row r="4171" spans="1:10" x14ac:dyDescent="0.2">
      <c r="A4171">
        <v>14170</v>
      </c>
      <c r="B4171" t="s">
        <v>10</v>
      </c>
      <c r="C4171" t="s">
        <v>6</v>
      </c>
      <c r="D4171" s="8">
        <v>12.33</v>
      </c>
      <c r="E4171">
        <v>6</v>
      </c>
      <c r="F4171" t="str">
        <f t="shared" si="260"/>
        <v>Standard</v>
      </c>
      <c r="G4171" s="3" cm="1">
        <f t="array" ref="G4171">_xlfn.XLOOKUP(C4171 &amp; F4171,
         [1]unilever_price_limits!A:A &amp; [1]unilever_price_limits!B:B,
         [1]unilever_price_limits!C:C)</f>
        <v>28</v>
      </c>
      <c r="H4171" s="8">
        <f t="shared" si="261"/>
        <v>15.782400000000001</v>
      </c>
      <c r="I4171" s="6">
        <f t="shared" si="262"/>
        <v>28.000000000000004</v>
      </c>
      <c r="J4171" t="str">
        <f t="shared" si="263"/>
        <v>OK</v>
      </c>
    </row>
    <row r="4172" spans="1:10" x14ac:dyDescent="0.2">
      <c r="A4172">
        <v>14171</v>
      </c>
      <c r="B4172" t="s">
        <v>7</v>
      </c>
      <c r="C4172" t="s">
        <v>11</v>
      </c>
      <c r="D4172" s="8">
        <v>7.03</v>
      </c>
      <c r="E4172">
        <v>6</v>
      </c>
      <c r="F4172" t="str">
        <f t="shared" si="260"/>
        <v>Standard</v>
      </c>
      <c r="G4172" s="3" cm="1">
        <f t="array" ref="G4172">_xlfn.XLOOKUP(C4172 &amp; F4172,
         [1]unilever_price_limits!A:A &amp; [1]unilever_price_limits!B:B,
         [1]unilever_price_limits!C:C)</f>
        <v>25</v>
      </c>
      <c r="H4172" s="8">
        <f t="shared" si="261"/>
        <v>8.7874999999999996</v>
      </c>
      <c r="I4172" s="6">
        <f t="shared" si="262"/>
        <v>25</v>
      </c>
      <c r="J4172" t="str">
        <f t="shared" si="263"/>
        <v>OK</v>
      </c>
    </row>
    <row r="4173" spans="1:10" x14ac:dyDescent="0.2">
      <c r="A4173">
        <v>14172</v>
      </c>
      <c r="B4173" t="s">
        <v>5</v>
      </c>
      <c r="C4173" t="s">
        <v>11</v>
      </c>
      <c r="D4173" s="8">
        <v>5.21</v>
      </c>
      <c r="E4173">
        <v>8</v>
      </c>
      <c r="F4173" t="str">
        <f t="shared" si="260"/>
        <v>Premium</v>
      </c>
      <c r="G4173" s="3" cm="1">
        <f t="array" ref="G4173">_xlfn.XLOOKUP(C4173 &amp; F4173,
         [1]unilever_price_limits!A:A &amp; [1]unilever_price_limits!B:B,
         [1]unilever_price_limits!C:C)</f>
        <v>50</v>
      </c>
      <c r="H4173" s="8">
        <f t="shared" si="261"/>
        <v>7.8149999999999995</v>
      </c>
      <c r="I4173" s="6">
        <f t="shared" si="262"/>
        <v>50</v>
      </c>
      <c r="J4173" t="str">
        <f t="shared" si="263"/>
        <v>OK</v>
      </c>
    </row>
    <row r="4174" spans="1:10" x14ac:dyDescent="0.2">
      <c r="A4174">
        <v>14173</v>
      </c>
      <c r="B4174" t="s">
        <v>10</v>
      </c>
      <c r="C4174" t="s">
        <v>9</v>
      </c>
      <c r="D4174" s="8">
        <v>7.33</v>
      </c>
      <c r="E4174">
        <v>4</v>
      </c>
      <c r="F4174" t="str">
        <f t="shared" si="260"/>
        <v>Standard</v>
      </c>
      <c r="G4174" s="3" cm="1">
        <f t="array" ref="G4174">_xlfn.XLOOKUP(C4174 &amp; F4174,
         [1]unilever_price_limits!A:A &amp; [1]unilever_price_limits!B:B,
         [1]unilever_price_limits!C:C)</f>
        <v>30</v>
      </c>
      <c r="H4174" s="8">
        <f t="shared" si="261"/>
        <v>9.5289999999999999</v>
      </c>
      <c r="I4174" s="6">
        <f t="shared" si="262"/>
        <v>30.000000000000004</v>
      </c>
      <c r="J4174" t="str">
        <f t="shared" si="263"/>
        <v>OK</v>
      </c>
    </row>
    <row r="4175" spans="1:10" x14ac:dyDescent="0.2">
      <c r="A4175">
        <v>14174</v>
      </c>
      <c r="B4175" t="s">
        <v>5</v>
      </c>
      <c r="C4175" t="s">
        <v>9</v>
      </c>
      <c r="D4175" s="8">
        <v>12.37</v>
      </c>
      <c r="E4175">
        <v>3</v>
      </c>
      <c r="F4175" t="str">
        <f t="shared" si="260"/>
        <v>Value</v>
      </c>
      <c r="G4175" s="3" cm="1">
        <f t="array" ref="G4175">_xlfn.XLOOKUP(C4175 &amp; F4175,
         [1]unilever_price_limits!A:A &amp; [1]unilever_price_limits!B:B,
         [1]unilever_price_limits!C:C)</f>
        <v>15</v>
      </c>
      <c r="H4175" s="8">
        <f t="shared" si="261"/>
        <v>14.225499999999998</v>
      </c>
      <c r="I4175" s="6">
        <f t="shared" si="262"/>
        <v>14.999999999999991</v>
      </c>
      <c r="J4175" t="str">
        <f t="shared" si="263"/>
        <v>OK</v>
      </c>
    </row>
    <row r="4176" spans="1:10" x14ac:dyDescent="0.2">
      <c r="A4176">
        <v>14175</v>
      </c>
      <c r="B4176" t="s">
        <v>7</v>
      </c>
      <c r="C4176" t="s">
        <v>6</v>
      </c>
      <c r="D4176" s="8">
        <v>2.31</v>
      </c>
      <c r="E4176">
        <v>6</v>
      </c>
      <c r="F4176" t="str">
        <f t="shared" si="260"/>
        <v>Standard</v>
      </c>
      <c r="G4176" s="3" cm="1">
        <f t="array" ref="G4176">_xlfn.XLOOKUP(C4176 &amp; F4176,
         [1]unilever_price_limits!A:A &amp; [1]unilever_price_limits!B:B,
         [1]unilever_price_limits!C:C)</f>
        <v>28</v>
      </c>
      <c r="H4176" s="8">
        <f t="shared" si="261"/>
        <v>2.9568000000000003</v>
      </c>
      <c r="I4176" s="6">
        <f t="shared" si="262"/>
        <v>28.000000000000004</v>
      </c>
      <c r="J4176" t="str">
        <f t="shared" si="263"/>
        <v>OK</v>
      </c>
    </row>
    <row r="4177" spans="1:10" x14ac:dyDescent="0.2">
      <c r="A4177">
        <v>14176</v>
      </c>
      <c r="B4177" t="s">
        <v>5</v>
      </c>
      <c r="C4177" t="s">
        <v>9</v>
      </c>
      <c r="D4177" s="8">
        <v>12.94</v>
      </c>
      <c r="E4177">
        <v>4</v>
      </c>
      <c r="F4177" t="str">
        <f t="shared" si="260"/>
        <v>Standard</v>
      </c>
      <c r="G4177" s="3" cm="1">
        <f t="array" ref="G4177">_xlfn.XLOOKUP(C4177 &amp; F4177,
         [1]unilever_price_limits!A:A &amp; [1]unilever_price_limits!B:B,
         [1]unilever_price_limits!C:C)</f>
        <v>30</v>
      </c>
      <c r="H4177" s="8">
        <f t="shared" si="261"/>
        <v>16.821999999999999</v>
      </c>
      <c r="I4177" s="6">
        <f t="shared" si="262"/>
        <v>30.000000000000004</v>
      </c>
      <c r="J4177" t="str">
        <f t="shared" si="263"/>
        <v>OK</v>
      </c>
    </row>
    <row r="4178" spans="1:10" x14ac:dyDescent="0.2">
      <c r="A4178">
        <v>14177</v>
      </c>
      <c r="B4178" t="s">
        <v>8</v>
      </c>
      <c r="C4178" t="s">
        <v>11</v>
      </c>
      <c r="D4178" s="8">
        <v>13.51</v>
      </c>
      <c r="E4178">
        <v>2</v>
      </c>
      <c r="F4178" t="str">
        <f t="shared" si="260"/>
        <v>Value</v>
      </c>
      <c r="G4178" s="3" cm="1">
        <f t="array" ref="G4178">_xlfn.XLOOKUP(C4178 &amp; F4178,
         [1]unilever_price_limits!A:A &amp; [1]unilever_price_limits!B:B,
         [1]unilever_price_limits!C:C)</f>
        <v>10</v>
      </c>
      <c r="H4178" s="8">
        <f t="shared" si="261"/>
        <v>14.861000000000001</v>
      </c>
      <c r="I4178" s="6">
        <f t="shared" si="262"/>
        <v>10.000000000000009</v>
      </c>
      <c r="J4178" t="str">
        <f t="shared" si="263"/>
        <v>OK</v>
      </c>
    </row>
    <row r="4179" spans="1:10" x14ac:dyDescent="0.2">
      <c r="A4179">
        <v>14178</v>
      </c>
      <c r="B4179" t="s">
        <v>5</v>
      </c>
      <c r="C4179" t="s">
        <v>11</v>
      </c>
      <c r="D4179" s="8">
        <v>14.23</v>
      </c>
      <c r="E4179">
        <v>6</v>
      </c>
      <c r="F4179" t="str">
        <f t="shared" si="260"/>
        <v>Standard</v>
      </c>
      <c r="G4179" s="3" cm="1">
        <f t="array" ref="G4179">_xlfn.XLOOKUP(C4179 &amp; F4179,
         [1]unilever_price_limits!A:A &amp; [1]unilever_price_limits!B:B,
         [1]unilever_price_limits!C:C)</f>
        <v>25</v>
      </c>
      <c r="H4179" s="8">
        <f t="shared" si="261"/>
        <v>17.787500000000001</v>
      </c>
      <c r="I4179" s="6">
        <f t="shared" si="262"/>
        <v>25</v>
      </c>
      <c r="J4179" t="str">
        <f t="shared" si="263"/>
        <v>OK</v>
      </c>
    </row>
    <row r="4180" spans="1:10" x14ac:dyDescent="0.2">
      <c r="A4180">
        <v>14179</v>
      </c>
      <c r="B4180" t="s">
        <v>10</v>
      </c>
      <c r="C4180" t="s">
        <v>11</v>
      </c>
      <c r="D4180" s="8">
        <v>6.26</v>
      </c>
      <c r="E4180">
        <v>10</v>
      </c>
      <c r="F4180" t="str">
        <f t="shared" si="260"/>
        <v>Premium</v>
      </c>
      <c r="G4180" s="3" cm="1">
        <f t="array" ref="G4180">_xlfn.XLOOKUP(C4180 &amp; F4180,
         [1]unilever_price_limits!A:A &amp; [1]unilever_price_limits!B:B,
         [1]unilever_price_limits!C:C)</f>
        <v>50</v>
      </c>
      <c r="H4180" s="8">
        <f t="shared" si="261"/>
        <v>9.39</v>
      </c>
      <c r="I4180" s="6">
        <f t="shared" si="262"/>
        <v>50.000000000000021</v>
      </c>
      <c r="J4180" t="str">
        <f t="shared" si="263"/>
        <v>OK</v>
      </c>
    </row>
    <row r="4181" spans="1:10" x14ac:dyDescent="0.2">
      <c r="A4181">
        <v>14180</v>
      </c>
      <c r="B4181" t="s">
        <v>5</v>
      </c>
      <c r="C4181" t="s">
        <v>11</v>
      </c>
      <c r="D4181" s="8">
        <v>3.65</v>
      </c>
      <c r="E4181">
        <v>5</v>
      </c>
      <c r="F4181" t="str">
        <f t="shared" si="260"/>
        <v>Standard</v>
      </c>
      <c r="G4181" s="3" cm="1">
        <f t="array" ref="G4181">_xlfn.XLOOKUP(C4181 &amp; F4181,
         [1]unilever_price_limits!A:A &amp; [1]unilever_price_limits!B:B,
         [1]unilever_price_limits!C:C)</f>
        <v>25</v>
      </c>
      <c r="H4181" s="8">
        <f t="shared" si="261"/>
        <v>4.5625</v>
      </c>
      <c r="I4181" s="6">
        <f t="shared" si="262"/>
        <v>25</v>
      </c>
      <c r="J4181" t="str">
        <f t="shared" si="263"/>
        <v>OK</v>
      </c>
    </row>
    <row r="4182" spans="1:10" x14ac:dyDescent="0.2">
      <c r="A4182">
        <v>14181</v>
      </c>
      <c r="B4182" t="s">
        <v>5</v>
      </c>
      <c r="C4182" t="s">
        <v>6</v>
      </c>
      <c r="D4182" s="8">
        <v>5.92</v>
      </c>
      <c r="E4182">
        <v>9</v>
      </c>
      <c r="F4182" t="str">
        <f t="shared" si="260"/>
        <v>Premium</v>
      </c>
      <c r="G4182" s="3" cm="1">
        <f t="array" ref="G4182">_xlfn.XLOOKUP(C4182 &amp; F4182,
         [1]unilever_price_limits!A:A &amp; [1]unilever_price_limits!B:B,
         [1]unilever_price_limits!C:C)</f>
        <v>55</v>
      </c>
      <c r="H4182" s="8">
        <f t="shared" si="261"/>
        <v>9.1760000000000002</v>
      </c>
      <c r="I4182" s="6">
        <f t="shared" si="262"/>
        <v>55.000000000000007</v>
      </c>
      <c r="J4182" t="str">
        <f t="shared" si="263"/>
        <v>OK</v>
      </c>
    </row>
    <row r="4183" spans="1:10" x14ac:dyDescent="0.2">
      <c r="A4183">
        <v>14182</v>
      </c>
      <c r="B4183" t="s">
        <v>8</v>
      </c>
      <c r="C4183" t="s">
        <v>6</v>
      </c>
      <c r="D4183" s="8">
        <v>5.33</v>
      </c>
      <c r="E4183">
        <v>6</v>
      </c>
      <c r="F4183" t="str">
        <f t="shared" si="260"/>
        <v>Standard</v>
      </c>
      <c r="G4183" s="3" cm="1">
        <f t="array" ref="G4183">_xlfn.XLOOKUP(C4183 &amp; F4183,
         [1]unilever_price_limits!A:A &amp; [1]unilever_price_limits!B:B,
         [1]unilever_price_limits!C:C)</f>
        <v>28</v>
      </c>
      <c r="H4183" s="8">
        <f t="shared" si="261"/>
        <v>6.8224</v>
      </c>
      <c r="I4183" s="6">
        <f t="shared" si="262"/>
        <v>28.000000000000004</v>
      </c>
      <c r="J4183" t="str">
        <f t="shared" si="263"/>
        <v>OK</v>
      </c>
    </row>
    <row r="4184" spans="1:10" x14ac:dyDescent="0.2">
      <c r="A4184">
        <v>14183</v>
      </c>
      <c r="B4184" t="s">
        <v>5</v>
      </c>
      <c r="C4184" t="s">
        <v>9</v>
      </c>
      <c r="D4184" s="8">
        <v>3.05</v>
      </c>
      <c r="E4184">
        <v>3</v>
      </c>
      <c r="F4184" t="str">
        <f t="shared" si="260"/>
        <v>Value</v>
      </c>
      <c r="G4184" s="3" cm="1">
        <f t="array" ref="G4184">_xlfn.XLOOKUP(C4184 &amp; F4184,
         [1]unilever_price_limits!A:A &amp; [1]unilever_price_limits!B:B,
         [1]unilever_price_limits!C:C)</f>
        <v>15</v>
      </c>
      <c r="H4184" s="8">
        <f t="shared" si="261"/>
        <v>3.5074999999999994</v>
      </c>
      <c r="I4184" s="6">
        <f t="shared" si="262"/>
        <v>14.999999999999991</v>
      </c>
      <c r="J4184" t="str">
        <f t="shared" si="263"/>
        <v>OK</v>
      </c>
    </row>
    <row r="4185" spans="1:10" x14ac:dyDescent="0.2">
      <c r="A4185">
        <v>14184</v>
      </c>
      <c r="B4185" t="s">
        <v>5</v>
      </c>
      <c r="C4185" t="s">
        <v>9</v>
      </c>
      <c r="D4185" s="8">
        <v>9.31</v>
      </c>
      <c r="E4185">
        <v>5</v>
      </c>
      <c r="F4185" t="str">
        <f t="shared" si="260"/>
        <v>Standard</v>
      </c>
      <c r="G4185" s="3" cm="1">
        <f t="array" ref="G4185">_xlfn.XLOOKUP(C4185 &amp; F4185,
         [1]unilever_price_limits!A:A &amp; [1]unilever_price_limits!B:B,
         [1]unilever_price_limits!C:C)</f>
        <v>30</v>
      </c>
      <c r="H4185" s="8">
        <f t="shared" si="261"/>
        <v>12.103000000000002</v>
      </c>
      <c r="I4185" s="6">
        <f t="shared" si="262"/>
        <v>30.000000000000004</v>
      </c>
      <c r="J4185" t="str">
        <f t="shared" si="263"/>
        <v>OK</v>
      </c>
    </row>
    <row r="4186" spans="1:10" x14ac:dyDescent="0.2">
      <c r="A4186">
        <v>14185</v>
      </c>
      <c r="B4186" t="s">
        <v>7</v>
      </c>
      <c r="C4186" t="s">
        <v>9</v>
      </c>
      <c r="D4186" s="8">
        <v>7.41</v>
      </c>
      <c r="E4186">
        <v>10</v>
      </c>
      <c r="F4186" t="str">
        <f t="shared" si="260"/>
        <v>Premium</v>
      </c>
      <c r="G4186" s="3" cm="1">
        <f t="array" ref="G4186">_xlfn.XLOOKUP(C4186 &amp; F4186,
         [1]unilever_price_limits!A:A &amp; [1]unilever_price_limits!B:B,
         [1]unilever_price_limits!C:C)</f>
        <v>60</v>
      </c>
      <c r="H4186" s="8">
        <f t="shared" si="261"/>
        <v>11.856000000000002</v>
      </c>
      <c r="I4186" s="6">
        <f t="shared" si="262"/>
        <v>60.000000000000007</v>
      </c>
      <c r="J4186" t="str">
        <f t="shared" si="263"/>
        <v>OK</v>
      </c>
    </row>
    <row r="4187" spans="1:10" x14ac:dyDescent="0.2">
      <c r="A4187">
        <v>14186</v>
      </c>
      <c r="B4187" t="s">
        <v>7</v>
      </c>
      <c r="C4187" t="s">
        <v>6</v>
      </c>
      <c r="D4187" s="8">
        <v>13.05</v>
      </c>
      <c r="E4187">
        <v>8</v>
      </c>
      <c r="F4187" t="str">
        <f t="shared" si="260"/>
        <v>Premium</v>
      </c>
      <c r="G4187" s="3" cm="1">
        <f t="array" ref="G4187">_xlfn.XLOOKUP(C4187 &amp; F4187,
         [1]unilever_price_limits!A:A &amp; [1]unilever_price_limits!B:B,
         [1]unilever_price_limits!C:C)</f>
        <v>55</v>
      </c>
      <c r="H4187" s="8">
        <f t="shared" si="261"/>
        <v>20.227500000000003</v>
      </c>
      <c r="I4187" s="6">
        <f t="shared" si="262"/>
        <v>55.000000000000007</v>
      </c>
      <c r="J4187" t="str">
        <f t="shared" si="263"/>
        <v>OK</v>
      </c>
    </row>
    <row r="4188" spans="1:10" x14ac:dyDescent="0.2">
      <c r="A4188">
        <v>14187</v>
      </c>
      <c r="B4188" t="s">
        <v>10</v>
      </c>
      <c r="C4188" t="s">
        <v>11</v>
      </c>
      <c r="D4188" s="8">
        <v>0.97</v>
      </c>
      <c r="E4188">
        <v>9</v>
      </c>
      <c r="F4188" t="str">
        <f t="shared" si="260"/>
        <v>Premium</v>
      </c>
      <c r="G4188" s="3" cm="1">
        <f t="array" ref="G4188">_xlfn.XLOOKUP(C4188 &amp; F4188,
         [1]unilever_price_limits!A:A &amp; [1]unilever_price_limits!B:B,
         [1]unilever_price_limits!C:C)</f>
        <v>50</v>
      </c>
      <c r="H4188" s="8">
        <f t="shared" si="261"/>
        <v>1.4550000000000001</v>
      </c>
      <c r="I4188" s="6">
        <f t="shared" si="262"/>
        <v>50.000000000000021</v>
      </c>
      <c r="J4188" t="str">
        <f t="shared" si="263"/>
        <v>OK</v>
      </c>
    </row>
    <row r="4189" spans="1:10" x14ac:dyDescent="0.2">
      <c r="A4189">
        <v>14188</v>
      </c>
      <c r="B4189" t="s">
        <v>7</v>
      </c>
      <c r="C4189" t="s">
        <v>9</v>
      </c>
      <c r="D4189" s="8">
        <v>9.84</v>
      </c>
      <c r="E4189">
        <v>8</v>
      </c>
      <c r="F4189" t="str">
        <f t="shared" si="260"/>
        <v>Premium</v>
      </c>
      <c r="G4189" s="3" cm="1">
        <f t="array" ref="G4189">_xlfn.XLOOKUP(C4189 &amp; F4189,
         [1]unilever_price_limits!A:A &amp; [1]unilever_price_limits!B:B,
         [1]unilever_price_limits!C:C)</f>
        <v>60</v>
      </c>
      <c r="H4189" s="8">
        <f t="shared" si="261"/>
        <v>15.744</v>
      </c>
      <c r="I4189" s="6">
        <f t="shared" si="262"/>
        <v>60.000000000000007</v>
      </c>
      <c r="J4189" t="str">
        <f t="shared" si="263"/>
        <v>OK</v>
      </c>
    </row>
    <row r="4190" spans="1:10" x14ac:dyDescent="0.2">
      <c r="A4190">
        <v>14189</v>
      </c>
      <c r="B4190" t="s">
        <v>7</v>
      </c>
      <c r="C4190" t="s">
        <v>11</v>
      </c>
      <c r="D4190" s="8">
        <v>11.56</v>
      </c>
      <c r="E4190">
        <v>3</v>
      </c>
      <c r="F4190" t="str">
        <f t="shared" si="260"/>
        <v>Value</v>
      </c>
      <c r="G4190" s="3" cm="1">
        <f t="array" ref="G4190">_xlfn.XLOOKUP(C4190 &amp; F4190,
         [1]unilever_price_limits!A:A &amp; [1]unilever_price_limits!B:B,
         [1]unilever_price_limits!C:C)</f>
        <v>10</v>
      </c>
      <c r="H4190" s="8">
        <f t="shared" si="261"/>
        <v>12.716000000000001</v>
      </c>
      <c r="I4190" s="6">
        <f t="shared" si="262"/>
        <v>10.000000000000009</v>
      </c>
      <c r="J4190" t="str">
        <f t="shared" si="263"/>
        <v>OK</v>
      </c>
    </row>
    <row r="4191" spans="1:10" x14ac:dyDescent="0.2">
      <c r="A4191">
        <v>14190</v>
      </c>
      <c r="B4191" t="s">
        <v>7</v>
      </c>
      <c r="C4191" t="s">
        <v>9</v>
      </c>
      <c r="D4191" s="8">
        <v>11.51</v>
      </c>
      <c r="E4191">
        <v>9</v>
      </c>
      <c r="F4191" t="str">
        <f t="shared" si="260"/>
        <v>Premium</v>
      </c>
      <c r="G4191" s="3" cm="1">
        <f t="array" ref="G4191">_xlfn.XLOOKUP(C4191 &amp; F4191,
         [1]unilever_price_limits!A:A &amp; [1]unilever_price_limits!B:B,
         [1]unilever_price_limits!C:C)</f>
        <v>60</v>
      </c>
      <c r="H4191" s="8">
        <f t="shared" si="261"/>
        <v>18.416</v>
      </c>
      <c r="I4191" s="6">
        <f t="shared" si="262"/>
        <v>60.000000000000007</v>
      </c>
      <c r="J4191" t="str">
        <f t="shared" si="263"/>
        <v>OK</v>
      </c>
    </row>
    <row r="4192" spans="1:10" x14ac:dyDescent="0.2">
      <c r="A4192">
        <v>14191</v>
      </c>
      <c r="B4192" t="s">
        <v>7</v>
      </c>
      <c r="C4192" t="s">
        <v>9</v>
      </c>
      <c r="D4192" s="8">
        <v>13.35</v>
      </c>
      <c r="E4192">
        <v>3</v>
      </c>
      <c r="F4192" t="str">
        <f t="shared" si="260"/>
        <v>Value</v>
      </c>
      <c r="G4192" s="3" cm="1">
        <f t="array" ref="G4192">_xlfn.XLOOKUP(C4192 &amp; F4192,
         [1]unilever_price_limits!A:A &amp; [1]unilever_price_limits!B:B,
         [1]unilever_price_limits!C:C)</f>
        <v>15</v>
      </c>
      <c r="H4192" s="8">
        <f t="shared" si="261"/>
        <v>15.352499999999999</v>
      </c>
      <c r="I4192" s="6">
        <f t="shared" si="262"/>
        <v>14.999999999999991</v>
      </c>
      <c r="J4192" t="str">
        <f t="shared" si="263"/>
        <v>OK</v>
      </c>
    </row>
    <row r="4193" spans="1:10" x14ac:dyDescent="0.2">
      <c r="A4193">
        <v>14192</v>
      </c>
      <c r="B4193" t="s">
        <v>8</v>
      </c>
      <c r="C4193" t="s">
        <v>9</v>
      </c>
      <c r="D4193" s="8">
        <v>11.07</v>
      </c>
      <c r="E4193">
        <v>8</v>
      </c>
      <c r="F4193" t="str">
        <f t="shared" si="260"/>
        <v>Premium</v>
      </c>
      <c r="G4193" s="3" cm="1">
        <f t="array" ref="G4193">_xlfn.XLOOKUP(C4193 &amp; F4193,
         [1]unilever_price_limits!A:A &amp; [1]unilever_price_limits!B:B,
         [1]unilever_price_limits!C:C)</f>
        <v>60</v>
      </c>
      <c r="H4193" s="8">
        <f t="shared" si="261"/>
        <v>17.712</v>
      </c>
      <c r="I4193" s="6">
        <f t="shared" si="262"/>
        <v>59.999999999999986</v>
      </c>
      <c r="J4193" t="str">
        <f t="shared" si="263"/>
        <v>OK</v>
      </c>
    </row>
    <row r="4194" spans="1:10" x14ac:dyDescent="0.2">
      <c r="A4194">
        <v>14193</v>
      </c>
      <c r="B4194" t="s">
        <v>7</v>
      </c>
      <c r="C4194" t="s">
        <v>9</v>
      </c>
      <c r="D4194" s="8">
        <v>13.95</v>
      </c>
      <c r="E4194">
        <v>10</v>
      </c>
      <c r="F4194" t="str">
        <f t="shared" si="260"/>
        <v>Premium</v>
      </c>
      <c r="G4194" s="3" cm="1">
        <f t="array" ref="G4194">_xlfn.XLOOKUP(C4194 &amp; F4194,
         [1]unilever_price_limits!A:A &amp; [1]unilever_price_limits!B:B,
         [1]unilever_price_limits!C:C)</f>
        <v>60</v>
      </c>
      <c r="H4194" s="8">
        <f t="shared" si="261"/>
        <v>22.32</v>
      </c>
      <c r="I4194" s="6">
        <f t="shared" si="262"/>
        <v>60.000000000000007</v>
      </c>
      <c r="J4194" t="str">
        <f t="shared" si="263"/>
        <v>OK</v>
      </c>
    </row>
    <row r="4195" spans="1:10" x14ac:dyDescent="0.2">
      <c r="A4195">
        <v>14194</v>
      </c>
      <c r="B4195" t="s">
        <v>8</v>
      </c>
      <c r="C4195" t="s">
        <v>9</v>
      </c>
      <c r="D4195" s="8">
        <v>5.32</v>
      </c>
      <c r="E4195">
        <v>9</v>
      </c>
      <c r="F4195" t="str">
        <f t="shared" si="260"/>
        <v>Premium</v>
      </c>
      <c r="G4195" s="3" cm="1">
        <f t="array" ref="G4195">_xlfn.XLOOKUP(C4195 &amp; F4195,
         [1]unilever_price_limits!A:A &amp; [1]unilever_price_limits!B:B,
         [1]unilever_price_limits!C:C)</f>
        <v>60</v>
      </c>
      <c r="H4195" s="8">
        <f t="shared" si="261"/>
        <v>8.5120000000000005</v>
      </c>
      <c r="I4195" s="6">
        <f t="shared" si="262"/>
        <v>60.000000000000007</v>
      </c>
      <c r="J4195" t="str">
        <f t="shared" si="263"/>
        <v>OK</v>
      </c>
    </row>
    <row r="4196" spans="1:10" x14ac:dyDescent="0.2">
      <c r="A4196">
        <v>14195</v>
      </c>
      <c r="B4196" t="s">
        <v>8</v>
      </c>
      <c r="C4196" t="s">
        <v>11</v>
      </c>
      <c r="D4196" s="8">
        <v>7.8</v>
      </c>
      <c r="E4196">
        <v>7</v>
      </c>
      <c r="F4196" t="str">
        <f t="shared" si="260"/>
        <v>Standard</v>
      </c>
      <c r="G4196" s="3" cm="1">
        <f t="array" ref="G4196">_xlfn.XLOOKUP(C4196 &amp; F4196,
         [1]unilever_price_limits!A:A &amp; [1]unilever_price_limits!B:B,
         [1]unilever_price_limits!C:C)</f>
        <v>25</v>
      </c>
      <c r="H4196" s="8">
        <f t="shared" si="261"/>
        <v>9.75</v>
      </c>
      <c r="I4196" s="6">
        <f t="shared" si="262"/>
        <v>25</v>
      </c>
      <c r="J4196" t="str">
        <f t="shared" si="263"/>
        <v>OK</v>
      </c>
    </row>
    <row r="4197" spans="1:10" x14ac:dyDescent="0.2">
      <c r="A4197">
        <v>14196</v>
      </c>
      <c r="B4197" t="s">
        <v>7</v>
      </c>
      <c r="C4197" t="s">
        <v>9</v>
      </c>
      <c r="D4197" s="8">
        <v>0.7</v>
      </c>
      <c r="E4197">
        <v>4</v>
      </c>
      <c r="F4197" t="str">
        <f t="shared" si="260"/>
        <v>Standard</v>
      </c>
      <c r="G4197" s="3" cm="1">
        <f t="array" ref="G4197">_xlfn.XLOOKUP(C4197 &amp; F4197,
         [1]unilever_price_limits!A:A &amp; [1]unilever_price_limits!B:B,
         [1]unilever_price_limits!C:C)</f>
        <v>30</v>
      </c>
      <c r="H4197" s="8">
        <f t="shared" si="261"/>
        <v>0.90999999999999992</v>
      </c>
      <c r="I4197" s="6">
        <f t="shared" si="262"/>
        <v>30.000000000000004</v>
      </c>
      <c r="J4197" t="str">
        <f t="shared" si="263"/>
        <v>OK</v>
      </c>
    </row>
    <row r="4198" spans="1:10" x14ac:dyDescent="0.2">
      <c r="A4198">
        <v>14197</v>
      </c>
      <c r="B4198" t="s">
        <v>5</v>
      </c>
      <c r="C4198" t="s">
        <v>11</v>
      </c>
      <c r="D4198" s="8">
        <v>0.6</v>
      </c>
      <c r="E4198">
        <v>10</v>
      </c>
      <c r="F4198" t="str">
        <f t="shared" si="260"/>
        <v>Premium</v>
      </c>
      <c r="G4198" s="3" cm="1">
        <f t="array" ref="G4198">_xlfn.XLOOKUP(C4198 &amp; F4198,
         [1]unilever_price_limits!A:A &amp; [1]unilever_price_limits!B:B,
         [1]unilever_price_limits!C:C)</f>
        <v>50</v>
      </c>
      <c r="H4198" s="8">
        <f t="shared" si="261"/>
        <v>0.89999999999999991</v>
      </c>
      <c r="I4198" s="6">
        <f t="shared" si="262"/>
        <v>50</v>
      </c>
      <c r="J4198" t="str">
        <f t="shared" si="263"/>
        <v>OK</v>
      </c>
    </row>
    <row r="4199" spans="1:10" x14ac:dyDescent="0.2">
      <c r="A4199">
        <v>14198</v>
      </c>
      <c r="B4199" t="s">
        <v>8</v>
      </c>
      <c r="C4199" t="s">
        <v>6</v>
      </c>
      <c r="D4199" s="8">
        <v>3.98</v>
      </c>
      <c r="E4199">
        <v>9</v>
      </c>
      <c r="F4199" t="str">
        <f t="shared" si="260"/>
        <v>Premium</v>
      </c>
      <c r="G4199" s="3" cm="1">
        <f t="array" ref="G4199">_xlfn.XLOOKUP(C4199 &amp; F4199,
         [1]unilever_price_limits!A:A &amp; [1]unilever_price_limits!B:B,
         [1]unilever_price_limits!C:C)</f>
        <v>55</v>
      </c>
      <c r="H4199" s="8">
        <f t="shared" si="261"/>
        <v>6.1690000000000005</v>
      </c>
      <c r="I4199" s="6">
        <f t="shared" si="262"/>
        <v>55.000000000000007</v>
      </c>
      <c r="J4199" t="str">
        <f t="shared" si="263"/>
        <v>OK</v>
      </c>
    </row>
    <row r="4200" spans="1:10" x14ac:dyDescent="0.2">
      <c r="A4200">
        <v>14199</v>
      </c>
      <c r="B4200" t="s">
        <v>5</v>
      </c>
      <c r="C4200" t="s">
        <v>9</v>
      </c>
      <c r="D4200" s="8">
        <v>1.96</v>
      </c>
      <c r="E4200">
        <v>3</v>
      </c>
      <c r="F4200" t="str">
        <f t="shared" si="260"/>
        <v>Value</v>
      </c>
      <c r="G4200" s="3" cm="1">
        <f t="array" ref="G4200">_xlfn.XLOOKUP(C4200 &amp; F4200,
         [1]unilever_price_limits!A:A &amp; [1]unilever_price_limits!B:B,
         [1]unilever_price_limits!C:C)</f>
        <v>15</v>
      </c>
      <c r="H4200" s="8">
        <f t="shared" si="261"/>
        <v>2.254</v>
      </c>
      <c r="I4200" s="6">
        <f t="shared" si="262"/>
        <v>15.000000000000014</v>
      </c>
      <c r="J4200" t="str">
        <f t="shared" si="263"/>
        <v>OK</v>
      </c>
    </row>
    <row r="4201" spans="1:10" x14ac:dyDescent="0.2">
      <c r="A4201">
        <v>14200</v>
      </c>
      <c r="B4201" t="s">
        <v>5</v>
      </c>
      <c r="C4201" t="s">
        <v>11</v>
      </c>
      <c r="D4201" s="8">
        <v>4.2699999999999996</v>
      </c>
      <c r="E4201">
        <v>3</v>
      </c>
      <c r="F4201" t="str">
        <f t="shared" si="260"/>
        <v>Value</v>
      </c>
      <c r="G4201" s="3" cm="1">
        <f t="array" ref="G4201">_xlfn.XLOOKUP(C4201 &amp; F4201,
         [1]unilever_price_limits!A:A &amp; [1]unilever_price_limits!B:B,
         [1]unilever_price_limits!C:C)</f>
        <v>10</v>
      </c>
      <c r="H4201" s="8">
        <f t="shared" si="261"/>
        <v>4.6970000000000001</v>
      </c>
      <c r="I4201" s="6">
        <f t="shared" si="262"/>
        <v>10.000000000000009</v>
      </c>
      <c r="J4201" t="str">
        <f t="shared" si="263"/>
        <v>OK</v>
      </c>
    </row>
    <row r="4202" spans="1:10" x14ac:dyDescent="0.2">
      <c r="A4202">
        <v>14201</v>
      </c>
      <c r="B4202" t="s">
        <v>7</v>
      </c>
      <c r="C4202" t="s">
        <v>6</v>
      </c>
      <c r="D4202" s="8">
        <v>3.07</v>
      </c>
      <c r="E4202">
        <v>2</v>
      </c>
      <c r="F4202" t="str">
        <f t="shared" si="260"/>
        <v>Value</v>
      </c>
      <c r="G4202" s="3" cm="1">
        <f t="array" ref="G4202">_xlfn.XLOOKUP(C4202 &amp; F4202,
         [1]unilever_price_limits!A:A &amp; [1]unilever_price_limits!B:B,
         [1]unilever_price_limits!C:C)</f>
        <v>12</v>
      </c>
      <c r="H4202" s="8">
        <f t="shared" si="261"/>
        <v>3.4384000000000001</v>
      </c>
      <c r="I4202" s="6">
        <f t="shared" si="262"/>
        <v>12.000000000000011</v>
      </c>
      <c r="J4202" t="str">
        <f t="shared" si="263"/>
        <v>OK</v>
      </c>
    </row>
    <row r="4203" spans="1:10" x14ac:dyDescent="0.2">
      <c r="A4203">
        <v>14202</v>
      </c>
      <c r="B4203" t="s">
        <v>10</v>
      </c>
      <c r="C4203" t="s">
        <v>6</v>
      </c>
      <c r="D4203" s="8">
        <v>0.91</v>
      </c>
      <c r="E4203">
        <v>10</v>
      </c>
      <c r="F4203" t="str">
        <f t="shared" si="260"/>
        <v>Premium</v>
      </c>
      <c r="G4203" s="3" cm="1">
        <f t="array" ref="G4203">_xlfn.XLOOKUP(C4203 &amp; F4203,
         [1]unilever_price_limits!A:A &amp; [1]unilever_price_limits!B:B,
         [1]unilever_price_limits!C:C)</f>
        <v>55</v>
      </c>
      <c r="H4203" s="8">
        <f t="shared" si="261"/>
        <v>1.4105000000000001</v>
      </c>
      <c r="I4203" s="6">
        <f t="shared" si="262"/>
        <v>55.000000000000007</v>
      </c>
      <c r="J4203" t="str">
        <f t="shared" si="263"/>
        <v>OK</v>
      </c>
    </row>
    <row r="4204" spans="1:10" x14ac:dyDescent="0.2">
      <c r="A4204">
        <v>14203</v>
      </c>
      <c r="B4204" t="s">
        <v>7</v>
      </c>
      <c r="C4204" t="s">
        <v>6</v>
      </c>
      <c r="D4204" s="8">
        <v>13.68</v>
      </c>
      <c r="E4204">
        <v>3</v>
      </c>
      <c r="F4204" t="str">
        <f t="shared" si="260"/>
        <v>Value</v>
      </c>
      <c r="G4204" s="3" cm="1">
        <f t="array" ref="G4204">_xlfn.XLOOKUP(C4204 &amp; F4204,
         [1]unilever_price_limits!A:A &amp; [1]unilever_price_limits!B:B,
         [1]unilever_price_limits!C:C)</f>
        <v>12</v>
      </c>
      <c r="H4204" s="8">
        <f t="shared" si="261"/>
        <v>15.321600000000002</v>
      </c>
      <c r="I4204" s="6">
        <f t="shared" si="262"/>
        <v>12.000000000000011</v>
      </c>
      <c r="J4204" t="str">
        <f t="shared" si="263"/>
        <v>OK</v>
      </c>
    </row>
    <row r="4205" spans="1:10" x14ac:dyDescent="0.2">
      <c r="A4205">
        <v>14204</v>
      </c>
      <c r="B4205" t="s">
        <v>10</v>
      </c>
      <c r="C4205" t="s">
        <v>11</v>
      </c>
      <c r="D4205" s="8">
        <v>0.62</v>
      </c>
      <c r="E4205">
        <v>1</v>
      </c>
      <c r="F4205" t="str">
        <f t="shared" si="260"/>
        <v>Value</v>
      </c>
      <c r="G4205" s="3" cm="1">
        <f t="array" ref="G4205">_xlfn.XLOOKUP(C4205 &amp; F4205,
         [1]unilever_price_limits!A:A &amp; [1]unilever_price_limits!B:B,
         [1]unilever_price_limits!C:C)</f>
        <v>10</v>
      </c>
      <c r="H4205" s="8">
        <f t="shared" si="261"/>
        <v>0.68200000000000005</v>
      </c>
      <c r="I4205" s="6">
        <f t="shared" si="262"/>
        <v>10.000000000000009</v>
      </c>
      <c r="J4205" t="str">
        <f t="shared" si="263"/>
        <v>OK</v>
      </c>
    </row>
    <row r="4206" spans="1:10" x14ac:dyDescent="0.2">
      <c r="A4206">
        <v>14205</v>
      </c>
      <c r="B4206" t="s">
        <v>10</v>
      </c>
      <c r="C4206" t="s">
        <v>9</v>
      </c>
      <c r="D4206" s="8">
        <v>11.17</v>
      </c>
      <c r="E4206">
        <v>4</v>
      </c>
      <c r="F4206" t="str">
        <f t="shared" si="260"/>
        <v>Standard</v>
      </c>
      <c r="G4206" s="3" cm="1">
        <f t="array" ref="G4206">_xlfn.XLOOKUP(C4206 &amp; F4206,
         [1]unilever_price_limits!A:A &amp; [1]unilever_price_limits!B:B,
         [1]unilever_price_limits!C:C)</f>
        <v>30</v>
      </c>
      <c r="H4206" s="8">
        <f t="shared" si="261"/>
        <v>14.521000000000001</v>
      </c>
      <c r="I4206" s="6">
        <f t="shared" si="262"/>
        <v>30.000000000000004</v>
      </c>
      <c r="J4206" t="str">
        <f t="shared" si="263"/>
        <v>OK</v>
      </c>
    </row>
    <row r="4207" spans="1:10" x14ac:dyDescent="0.2">
      <c r="A4207">
        <v>14206</v>
      </c>
      <c r="B4207" t="s">
        <v>7</v>
      </c>
      <c r="C4207" t="s">
        <v>9</v>
      </c>
      <c r="D4207" s="8">
        <v>2.71</v>
      </c>
      <c r="E4207">
        <v>8</v>
      </c>
      <c r="F4207" t="str">
        <f t="shared" si="260"/>
        <v>Premium</v>
      </c>
      <c r="G4207" s="3" cm="1">
        <f t="array" ref="G4207">_xlfn.XLOOKUP(C4207 &amp; F4207,
         [1]unilever_price_limits!A:A &amp; [1]unilever_price_limits!B:B,
         [1]unilever_price_limits!C:C)</f>
        <v>60</v>
      </c>
      <c r="H4207" s="8">
        <f t="shared" si="261"/>
        <v>4.3360000000000003</v>
      </c>
      <c r="I4207" s="6">
        <f t="shared" si="262"/>
        <v>60.000000000000007</v>
      </c>
      <c r="J4207" t="str">
        <f t="shared" si="263"/>
        <v>OK</v>
      </c>
    </row>
    <row r="4208" spans="1:10" x14ac:dyDescent="0.2">
      <c r="A4208">
        <v>14207</v>
      </c>
      <c r="B4208" t="s">
        <v>7</v>
      </c>
      <c r="C4208" t="s">
        <v>11</v>
      </c>
      <c r="D4208" s="8">
        <v>13.73</v>
      </c>
      <c r="E4208">
        <v>5</v>
      </c>
      <c r="F4208" t="str">
        <f t="shared" si="260"/>
        <v>Standard</v>
      </c>
      <c r="G4208" s="3" cm="1">
        <f t="array" ref="G4208">_xlfn.XLOOKUP(C4208 &amp; F4208,
         [1]unilever_price_limits!A:A &amp; [1]unilever_price_limits!B:B,
         [1]unilever_price_limits!C:C)</f>
        <v>25</v>
      </c>
      <c r="H4208" s="8">
        <f t="shared" si="261"/>
        <v>17.162500000000001</v>
      </c>
      <c r="I4208" s="6">
        <f t="shared" si="262"/>
        <v>25</v>
      </c>
      <c r="J4208" t="str">
        <f t="shared" si="263"/>
        <v>OK</v>
      </c>
    </row>
    <row r="4209" spans="1:10" x14ac:dyDescent="0.2">
      <c r="A4209">
        <v>14208</v>
      </c>
      <c r="B4209" t="s">
        <v>10</v>
      </c>
      <c r="C4209" t="s">
        <v>9</v>
      </c>
      <c r="D4209" s="8">
        <v>13.45</v>
      </c>
      <c r="E4209">
        <v>2</v>
      </c>
      <c r="F4209" t="str">
        <f t="shared" si="260"/>
        <v>Value</v>
      </c>
      <c r="G4209" s="3" cm="1">
        <f t="array" ref="G4209">_xlfn.XLOOKUP(C4209 &amp; F4209,
         [1]unilever_price_limits!A:A &amp; [1]unilever_price_limits!B:B,
         [1]unilever_price_limits!C:C)</f>
        <v>15</v>
      </c>
      <c r="H4209" s="8">
        <f t="shared" si="261"/>
        <v>15.467499999999998</v>
      </c>
      <c r="I4209" s="6">
        <f t="shared" si="262"/>
        <v>14.999999999999991</v>
      </c>
      <c r="J4209" t="str">
        <f t="shared" si="263"/>
        <v>OK</v>
      </c>
    </row>
    <row r="4210" spans="1:10" x14ac:dyDescent="0.2">
      <c r="A4210">
        <v>14209</v>
      </c>
      <c r="B4210" t="s">
        <v>7</v>
      </c>
      <c r="C4210" t="s">
        <v>11</v>
      </c>
      <c r="D4210" s="8">
        <v>9.98</v>
      </c>
      <c r="E4210">
        <v>3</v>
      </c>
      <c r="F4210" t="str">
        <f t="shared" si="260"/>
        <v>Value</v>
      </c>
      <c r="G4210" s="3" cm="1">
        <f t="array" ref="G4210">_xlfn.XLOOKUP(C4210 &amp; F4210,
         [1]unilever_price_limits!A:A &amp; [1]unilever_price_limits!B:B,
         [1]unilever_price_limits!C:C)</f>
        <v>10</v>
      </c>
      <c r="H4210" s="8">
        <f t="shared" si="261"/>
        <v>10.978000000000002</v>
      </c>
      <c r="I4210" s="6">
        <f t="shared" si="262"/>
        <v>10.000000000000009</v>
      </c>
      <c r="J4210" t="str">
        <f t="shared" si="263"/>
        <v>OK</v>
      </c>
    </row>
    <row r="4211" spans="1:10" x14ac:dyDescent="0.2">
      <c r="A4211">
        <v>14210</v>
      </c>
      <c r="B4211" t="s">
        <v>10</v>
      </c>
      <c r="C4211" t="s">
        <v>9</v>
      </c>
      <c r="D4211" s="8">
        <v>10.25</v>
      </c>
      <c r="E4211">
        <v>1</v>
      </c>
      <c r="F4211" t="str">
        <f t="shared" si="260"/>
        <v>Value</v>
      </c>
      <c r="G4211" s="3" cm="1">
        <f t="array" ref="G4211">_xlfn.XLOOKUP(C4211 &amp; F4211,
         [1]unilever_price_limits!A:A &amp; [1]unilever_price_limits!B:B,
         [1]unilever_price_limits!C:C)</f>
        <v>15</v>
      </c>
      <c r="H4211" s="8">
        <f t="shared" si="261"/>
        <v>11.7875</v>
      </c>
      <c r="I4211" s="6">
        <f t="shared" si="262"/>
        <v>14.999999999999991</v>
      </c>
      <c r="J4211" t="str">
        <f t="shared" si="263"/>
        <v>OK</v>
      </c>
    </row>
    <row r="4212" spans="1:10" x14ac:dyDescent="0.2">
      <c r="A4212">
        <v>14211</v>
      </c>
      <c r="B4212" t="s">
        <v>5</v>
      </c>
      <c r="C4212" t="s">
        <v>6</v>
      </c>
      <c r="D4212" s="8">
        <v>0.57999999999999996</v>
      </c>
      <c r="E4212">
        <v>2</v>
      </c>
      <c r="F4212" t="str">
        <f t="shared" si="260"/>
        <v>Value</v>
      </c>
      <c r="G4212" s="3" cm="1">
        <f t="array" ref="G4212">_xlfn.XLOOKUP(C4212 &amp; F4212,
         [1]unilever_price_limits!A:A &amp; [1]unilever_price_limits!B:B,
         [1]unilever_price_limits!C:C)</f>
        <v>12</v>
      </c>
      <c r="H4212" s="8">
        <f t="shared" si="261"/>
        <v>0.64960000000000007</v>
      </c>
      <c r="I4212" s="6">
        <f t="shared" si="262"/>
        <v>12.000000000000011</v>
      </c>
      <c r="J4212" t="str">
        <f t="shared" si="263"/>
        <v>OK</v>
      </c>
    </row>
    <row r="4213" spans="1:10" x14ac:dyDescent="0.2">
      <c r="A4213">
        <v>14212</v>
      </c>
      <c r="B4213" t="s">
        <v>7</v>
      </c>
      <c r="C4213" t="s">
        <v>9</v>
      </c>
      <c r="D4213" s="8">
        <v>14.78</v>
      </c>
      <c r="E4213">
        <v>1</v>
      </c>
      <c r="F4213" t="str">
        <f t="shared" si="260"/>
        <v>Value</v>
      </c>
      <c r="G4213" s="3" cm="1">
        <f t="array" ref="G4213">_xlfn.XLOOKUP(C4213 &amp; F4213,
         [1]unilever_price_limits!A:A &amp; [1]unilever_price_limits!B:B,
         [1]unilever_price_limits!C:C)</f>
        <v>15</v>
      </c>
      <c r="H4213" s="8">
        <f t="shared" si="261"/>
        <v>16.996999999999996</v>
      </c>
      <c r="I4213" s="6">
        <f t="shared" si="262"/>
        <v>14.999999999999991</v>
      </c>
      <c r="J4213" t="str">
        <f t="shared" si="263"/>
        <v>OK</v>
      </c>
    </row>
    <row r="4214" spans="1:10" x14ac:dyDescent="0.2">
      <c r="A4214">
        <v>14213</v>
      </c>
      <c r="B4214" t="s">
        <v>5</v>
      </c>
      <c r="C4214" t="s">
        <v>11</v>
      </c>
      <c r="D4214" s="8">
        <v>13.23</v>
      </c>
      <c r="E4214">
        <v>2</v>
      </c>
      <c r="F4214" t="str">
        <f t="shared" si="260"/>
        <v>Value</v>
      </c>
      <c r="G4214" s="3" cm="1">
        <f t="array" ref="G4214">_xlfn.XLOOKUP(C4214 &amp; F4214,
         [1]unilever_price_limits!A:A &amp; [1]unilever_price_limits!B:B,
         [1]unilever_price_limits!C:C)</f>
        <v>10</v>
      </c>
      <c r="H4214" s="8">
        <f t="shared" si="261"/>
        <v>14.553000000000001</v>
      </c>
      <c r="I4214" s="6">
        <f t="shared" si="262"/>
        <v>10.000000000000009</v>
      </c>
      <c r="J4214" t="str">
        <f t="shared" si="263"/>
        <v>OK</v>
      </c>
    </row>
    <row r="4215" spans="1:10" x14ac:dyDescent="0.2">
      <c r="A4215">
        <v>14214</v>
      </c>
      <c r="B4215" t="s">
        <v>8</v>
      </c>
      <c r="C4215" t="s">
        <v>11</v>
      </c>
      <c r="D4215" s="8">
        <v>13.48</v>
      </c>
      <c r="E4215">
        <v>3</v>
      </c>
      <c r="F4215" t="str">
        <f t="shared" si="260"/>
        <v>Value</v>
      </c>
      <c r="G4215" s="3" cm="1">
        <f t="array" ref="G4215">_xlfn.XLOOKUP(C4215 &amp; F4215,
         [1]unilever_price_limits!A:A &amp; [1]unilever_price_limits!B:B,
         [1]unilever_price_limits!C:C)</f>
        <v>10</v>
      </c>
      <c r="H4215" s="8">
        <f t="shared" si="261"/>
        <v>14.828000000000001</v>
      </c>
      <c r="I4215" s="6">
        <f t="shared" si="262"/>
        <v>10.000000000000009</v>
      </c>
      <c r="J4215" t="str">
        <f t="shared" si="263"/>
        <v>OK</v>
      </c>
    </row>
    <row r="4216" spans="1:10" x14ac:dyDescent="0.2">
      <c r="A4216">
        <v>14215</v>
      </c>
      <c r="B4216" t="s">
        <v>5</v>
      </c>
      <c r="C4216" t="s">
        <v>6</v>
      </c>
      <c r="D4216" s="8">
        <v>10.06</v>
      </c>
      <c r="E4216">
        <v>1</v>
      </c>
      <c r="F4216" t="str">
        <f t="shared" si="260"/>
        <v>Value</v>
      </c>
      <c r="G4216" s="3" cm="1">
        <f t="array" ref="G4216">_xlfn.XLOOKUP(C4216 &amp; F4216,
         [1]unilever_price_limits!A:A &amp; [1]unilever_price_limits!B:B,
         [1]unilever_price_limits!C:C)</f>
        <v>12</v>
      </c>
      <c r="H4216" s="8">
        <f t="shared" si="261"/>
        <v>11.267200000000001</v>
      </c>
      <c r="I4216" s="6">
        <f t="shared" si="262"/>
        <v>12.000000000000011</v>
      </c>
      <c r="J4216" t="str">
        <f t="shared" si="263"/>
        <v>OK</v>
      </c>
    </row>
    <row r="4217" spans="1:10" x14ac:dyDescent="0.2">
      <c r="A4217">
        <v>14216</v>
      </c>
      <c r="B4217" t="s">
        <v>5</v>
      </c>
      <c r="C4217" t="s">
        <v>11</v>
      </c>
      <c r="D4217" s="8">
        <v>5.5</v>
      </c>
      <c r="E4217">
        <v>9</v>
      </c>
      <c r="F4217" t="str">
        <f t="shared" si="260"/>
        <v>Premium</v>
      </c>
      <c r="G4217" s="3" cm="1">
        <f t="array" ref="G4217">_xlfn.XLOOKUP(C4217 &amp; F4217,
         [1]unilever_price_limits!A:A &amp; [1]unilever_price_limits!B:B,
         [1]unilever_price_limits!C:C)</f>
        <v>50</v>
      </c>
      <c r="H4217" s="8">
        <f t="shared" si="261"/>
        <v>8.25</v>
      </c>
      <c r="I4217" s="6">
        <f t="shared" si="262"/>
        <v>50</v>
      </c>
      <c r="J4217" t="str">
        <f t="shared" si="263"/>
        <v>OK</v>
      </c>
    </row>
    <row r="4218" spans="1:10" x14ac:dyDescent="0.2">
      <c r="A4218">
        <v>14217</v>
      </c>
      <c r="B4218" t="s">
        <v>10</v>
      </c>
      <c r="C4218" t="s">
        <v>9</v>
      </c>
      <c r="D4218" s="8">
        <v>13.46</v>
      </c>
      <c r="E4218">
        <v>10</v>
      </c>
      <c r="F4218" t="str">
        <f t="shared" si="260"/>
        <v>Premium</v>
      </c>
      <c r="G4218" s="3" cm="1">
        <f t="array" ref="G4218">_xlfn.XLOOKUP(C4218 &amp; F4218,
         [1]unilever_price_limits!A:A &amp; [1]unilever_price_limits!B:B,
         [1]unilever_price_limits!C:C)</f>
        <v>60</v>
      </c>
      <c r="H4218" s="8">
        <f t="shared" si="261"/>
        <v>21.536000000000001</v>
      </c>
      <c r="I4218" s="6">
        <f t="shared" si="262"/>
        <v>60.000000000000007</v>
      </c>
      <c r="J4218" t="str">
        <f t="shared" si="263"/>
        <v>OK</v>
      </c>
    </row>
    <row r="4219" spans="1:10" x14ac:dyDescent="0.2">
      <c r="A4219">
        <v>14218</v>
      </c>
      <c r="B4219" t="s">
        <v>5</v>
      </c>
      <c r="C4219" t="s">
        <v>9</v>
      </c>
      <c r="D4219" s="8">
        <v>4.7300000000000004</v>
      </c>
      <c r="E4219">
        <v>5</v>
      </c>
      <c r="F4219" t="str">
        <f t="shared" si="260"/>
        <v>Standard</v>
      </c>
      <c r="G4219" s="3" cm="1">
        <f t="array" ref="G4219">_xlfn.XLOOKUP(C4219 &amp; F4219,
         [1]unilever_price_limits!A:A &amp; [1]unilever_price_limits!B:B,
         [1]unilever_price_limits!C:C)</f>
        <v>30</v>
      </c>
      <c r="H4219" s="8">
        <f t="shared" si="261"/>
        <v>6.1490000000000009</v>
      </c>
      <c r="I4219" s="6">
        <f t="shared" si="262"/>
        <v>30.000000000000004</v>
      </c>
      <c r="J4219" t="str">
        <f t="shared" si="263"/>
        <v>OK</v>
      </c>
    </row>
    <row r="4220" spans="1:10" x14ac:dyDescent="0.2">
      <c r="A4220">
        <v>14219</v>
      </c>
      <c r="B4220" t="s">
        <v>7</v>
      </c>
      <c r="C4220" t="s">
        <v>6</v>
      </c>
      <c r="D4220" s="8">
        <v>8.66</v>
      </c>
      <c r="E4220">
        <v>8</v>
      </c>
      <c r="F4220" t="str">
        <f t="shared" si="260"/>
        <v>Premium</v>
      </c>
      <c r="G4220" s="3" cm="1">
        <f t="array" ref="G4220">_xlfn.XLOOKUP(C4220 &amp; F4220,
         [1]unilever_price_limits!A:A &amp; [1]unilever_price_limits!B:B,
         [1]unilever_price_limits!C:C)</f>
        <v>55</v>
      </c>
      <c r="H4220" s="8">
        <f t="shared" si="261"/>
        <v>13.423</v>
      </c>
      <c r="I4220" s="6">
        <f t="shared" si="262"/>
        <v>55.000000000000007</v>
      </c>
      <c r="J4220" t="str">
        <f t="shared" si="263"/>
        <v>OK</v>
      </c>
    </row>
    <row r="4221" spans="1:10" x14ac:dyDescent="0.2">
      <c r="A4221">
        <v>14220</v>
      </c>
      <c r="B4221" t="s">
        <v>10</v>
      </c>
      <c r="C4221" t="s">
        <v>11</v>
      </c>
      <c r="D4221" s="8">
        <v>1.95</v>
      </c>
      <c r="E4221">
        <v>5</v>
      </c>
      <c r="F4221" t="str">
        <f t="shared" si="260"/>
        <v>Standard</v>
      </c>
      <c r="G4221" s="3" cm="1">
        <f t="array" ref="G4221">_xlfn.XLOOKUP(C4221 &amp; F4221,
         [1]unilever_price_limits!A:A &amp; [1]unilever_price_limits!B:B,
         [1]unilever_price_limits!C:C)</f>
        <v>25</v>
      </c>
      <c r="H4221" s="8">
        <f t="shared" si="261"/>
        <v>2.4375</v>
      </c>
      <c r="I4221" s="6">
        <f t="shared" si="262"/>
        <v>25</v>
      </c>
      <c r="J4221" t="str">
        <f t="shared" si="263"/>
        <v>OK</v>
      </c>
    </row>
    <row r="4222" spans="1:10" x14ac:dyDescent="0.2">
      <c r="A4222">
        <v>14221</v>
      </c>
      <c r="B4222" t="s">
        <v>8</v>
      </c>
      <c r="C4222" t="s">
        <v>6</v>
      </c>
      <c r="D4222" s="8">
        <v>13.87</v>
      </c>
      <c r="E4222">
        <v>8</v>
      </c>
      <c r="F4222" t="str">
        <f t="shared" si="260"/>
        <v>Premium</v>
      </c>
      <c r="G4222" s="3" cm="1">
        <f t="array" ref="G4222">_xlfn.XLOOKUP(C4222 &amp; F4222,
         [1]unilever_price_limits!A:A &amp; [1]unilever_price_limits!B:B,
         [1]unilever_price_limits!C:C)</f>
        <v>55</v>
      </c>
      <c r="H4222" s="8">
        <f t="shared" si="261"/>
        <v>21.4985</v>
      </c>
      <c r="I4222" s="6">
        <f t="shared" si="262"/>
        <v>55.000000000000007</v>
      </c>
      <c r="J4222" t="str">
        <f t="shared" si="263"/>
        <v>OK</v>
      </c>
    </row>
    <row r="4223" spans="1:10" x14ac:dyDescent="0.2">
      <c r="A4223">
        <v>14222</v>
      </c>
      <c r="B4223" t="s">
        <v>7</v>
      </c>
      <c r="C4223" t="s">
        <v>9</v>
      </c>
      <c r="D4223" s="8">
        <v>2.54</v>
      </c>
      <c r="E4223">
        <v>7</v>
      </c>
      <c r="F4223" t="str">
        <f t="shared" si="260"/>
        <v>Standard</v>
      </c>
      <c r="G4223" s="3" cm="1">
        <f t="array" ref="G4223">_xlfn.XLOOKUP(C4223 &amp; F4223,
         [1]unilever_price_limits!A:A &amp; [1]unilever_price_limits!B:B,
         [1]unilever_price_limits!C:C)</f>
        <v>30</v>
      </c>
      <c r="H4223" s="8">
        <f t="shared" si="261"/>
        <v>3.302</v>
      </c>
      <c r="I4223" s="6">
        <f t="shared" si="262"/>
        <v>30.000000000000004</v>
      </c>
      <c r="J4223" t="str">
        <f t="shared" si="263"/>
        <v>OK</v>
      </c>
    </row>
    <row r="4224" spans="1:10" x14ac:dyDescent="0.2">
      <c r="A4224">
        <v>14223</v>
      </c>
      <c r="B4224" t="s">
        <v>8</v>
      </c>
      <c r="C4224" t="s">
        <v>6</v>
      </c>
      <c r="D4224" s="8">
        <v>3.76</v>
      </c>
      <c r="E4224">
        <v>4</v>
      </c>
      <c r="F4224" t="str">
        <f t="shared" si="260"/>
        <v>Standard</v>
      </c>
      <c r="G4224" s="3" cm="1">
        <f t="array" ref="G4224">_xlfn.XLOOKUP(C4224 &amp; F4224,
         [1]unilever_price_limits!A:A &amp; [1]unilever_price_limits!B:B,
         [1]unilever_price_limits!C:C)</f>
        <v>28</v>
      </c>
      <c r="H4224" s="8">
        <f t="shared" si="261"/>
        <v>4.8128000000000002</v>
      </c>
      <c r="I4224" s="6">
        <f t="shared" si="262"/>
        <v>28.000000000000004</v>
      </c>
      <c r="J4224" t="str">
        <f t="shared" si="263"/>
        <v>OK</v>
      </c>
    </row>
    <row r="4225" spans="1:10" x14ac:dyDescent="0.2">
      <c r="A4225">
        <v>14224</v>
      </c>
      <c r="B4225" t="s">
        <v>5</v>
      </c>
      <c r="C4225" t="s">
        <v>11</v>
      </c>
      <c r="D4225" s="8">
        <v>8.59</v>
      </c>
      <c r="E4225">
        <v>7</v>
      </c>
      <c r="F4225" t="str">
        <f t="shared" si="260"/>
        <v>Standard</v>
      </c>
      <c r="G4225" s="3" cm="1">
        <f t="array" ref="G4225">_xlfn.XLOOKUP(C4225 &amp; F4225,
         [1]unilever_price_limits!A:A &amp; [1]unilever_price_limits!B:B,
         [1]unilever_price_limits!C:C)</f>
        <v>25</v>
      </c>
      <c r="H4225" s="8">
        <f t="shared" si="261"/>
        <v>10.737500000000001</v>
      </c>
      <c r="I4225" s="6">
        <f t="shared" si="262"/>
        <v>25</v>
      </c>
      <c r="J4225" t="str">
        <f t="shared" si="263"/>
        <v>OK</v>
      </c>
    </row>
    <row r="4226" spans="1:10" x14ac:dyDescent="0.2">
      <c r="A4226">
        <v>14225</v>
      </c>
      <c r="B4226" t="s">
        <v>7</v>
      </c>
      <c r="C4226" t="s">
        <v>6</v>
      </c>
      <c r="D4226" s="8">
        <v>11.58</v>
      </c>
      <c r="E4226">
        <v>6</v>
      </c>
      <c r="F4226" t="str">
        <f t="shared" si="260"/>
        <v>Standard</v>
      </c>
      <c r="G4226" s="3" cm="1">
        <f t="array" ref="G4226">_xlfn.XLOOKUP(C4226 &amp; F4226,
         [1]unilever_price_limits!A:A &amp; [1]unilever_price_limits!B:B,
         [1]unilever_price_limits!C:C)</f>
        <v>28</v>
      </c>
      <c r="H4226" s="8">
        <f t="shared" si="261"/>
        <v>14.8224</v>
      </c>
      <c r="I4226" s="6">
        <f t="shared" si="262"/>
        <v>28.000000000000004</v>
      </c>
      <c r="J4226" t="str">
        <f t="shared" si="263"/>
        <v>OK</v>
      </c>
    </row>
    <row r="4227" spans="1:10" x14ac:dyDescent="0.2">
      <c r="A4227">
        <v>14226</v>
      </c>
      <c r="B4227" t="s">
        <v>7</v>
      </c>
      <c r="C4227" t="s">
        <v>11</v>
      </c>
      <c r="D4227" s="8">
        <v>9.48</v>
      </c>
      <c r="E4227">
        <v>3</v>
      </c>
      <c r="F4227" t="str">
        <f t="shared" ref="F4227:F4290" si="264">IF(E4227&lt;=3,"Value",
 IF(E4227&lt;=7,"Standard","Premium"))</f>
        <v>Value</v>
      </c>
      <c r="G4227" s="3" cm="1">
        <f t="array" ref="G4227">_xlfn.XLOOKUP(C4227 &amp; F4227,
         [1]unilever_price_limits!A:A &amp; [1]unilever_price_limits!B:B,
         [1]unilever_price_limits!C:C)</f>
        <v>10</v>
      </c>
      <c r="H4227" s="8">
        <f t="shared" ref="H4227:H4290" si="265">D4227 * (1 + G4227/100)</f>
        <v>10.428000000000001</v>
      </c>
      <c r="I4227" s="6">
        <f t="shared" ref="I4227:I4290" si="266">(H4227 / D4227 - 1) * 100</f>
        <v>10.000000000000009</v>
      </c>
      <c r="J4227" t="str">
        <f t="shared" ref="J4227:J4290" si="267">IF(I4226&gt; G4226, "⚠ Exceeds Limit", "OK")</f>
        <v>OK</v>
      </c>
    </row>
    <row r="4228" spans="1:10" x14ac:dyDescent="0.2">
      <c r="A4228">
        <v>14227</v>
      </c>
      <c r="B4228" t="s">
        <v>8</v>
      </c>
      <c r="C4228" t="s">
        <v>11</v>
      </c>
      <c r="D4228" s="8">
        <v>3.87</v>
      </c>
      <c r="E4228">
        <v>9</v>
      </c>
      <c r="F4228" t="str">
        <f t="shared" si="264"/>
        <v>Premium</v>
      </c>
      <c r="G4228" s="3" cm="1">
        <f t="array" ref="G4228">_xlfn.XLOOKUP(C4228 &amp; F4228,
         [1]unilever_price_limits!A:A &amp; [1]unilever_price_limits!B:B,
         [1]unilever_price_limits!C:C)</f>
        <v>50</v>
      </c>
      <c r="H4228" s="8">
        <f t="shared" si="265"/>
        <v>5.8049999999999997</v>
      </c>
      <c r="I4228" s="6">
        <f t="shared" si="266"/>
        <v>49.999999999999979</v>
      </c>
      <c r="J4228" t="str">
        <f t="shared" si="267"/>
        <v>OK</v>
      </c>
    </row>
    <row r="4229" spans="1:10" x14ac:dyDescent="0.2">
      <c r="A4229">
        <v>14228</v>
      </c>
      <c r="B4229" t="s">
        <v>7</v>
      </c>
      <c r="C4229" t="s">
        <v>9</v>
      </c>
      <c r="D4229" s="8">
        <v>0.51</v>
      </c>
      <c r="E4229">
        <v>10</v>
      </c>
      <c r="F4229" t="str">
        <f t="shared" si="264"/>
        <v>Premium</v>
      </c>
      <c r="G4229" s="3" cm="1">
        <f t="array" ref="G4229">_xlfn.XLOOKUP(C4229 &amp; F4229,
         [1]unilever_price_limits!A:A &amp; [1]unilever_price_limits!B:B,
         [1]unilever_price_limits!C:C)</f>
        <v>60</v>
      </c>
      <c r="H4229" s="8">
        <f t="shared" si="265"/>
        <v>0.81600000000000006</v>
      </c>
      <c r="I4229" s="6">
        <f t="shared" si="266"/>
        <v>60.000000000000007</v>
      </c>
      <c r="J4229" t="str">
        <f t="shared" si="267"/>
        <v>OK</v>
      </c>
    </row>
    <row r="4230" spans="1:10" x14ac:dyDescent="0.2">
      <c r="A4230">
        <v>14229</v>
      </c>
      <c r="B4230" t="s">
        <v>7</v>
      </c>
      <c r="C4230" t="s">
        <v>9</v>
      </c>
      <c r="D4230" s="8">
        <v>11.48</v>
      </c>
      <c r="E4230">
        <v>9</v>
      </c>
      <c r="F4230" t="str">
        <f t="shared" si="264"/>
        <v>Premium</v>
      </c>
      <c r="G4230" s="3" cm="1">
        <f t="array" ref="G4230">_xlfn.XLOOKUP(C4230 &amp; F4230,
         [1]unilever_price_limits!A:A &amp; [1]unilever_price_limits!B:B,
         [1]unilever_price_limits!C:C)</f>
        <v>60</v>
      </c>
      <c r="H4230" s="8">
        <f t="shared" si="265"/>
        <v>18.368000000000002</v>
      </c>
      <c r="I4230" s="6">
        <f t="shared" si="266"/>
        <v>60.000000000000007</v>
      </c>
      <c r="J4230" t="str">
        <f t="shared" si="267"/>
        <v>OK</v>
      </c>
    </row>
    <row r="4231" spans="1:10" x14ac:dyDescent="0.2">
      <c r="A4231">
        <v>14230</v>
      </c>
      <c r="B4231" t="s">
        <v>7</v>
      </c>
      <c r="C4231" t="s">
        <v>9</v>
      </c>
      <c r="D4231" s="8">
        <v>14.79</v>
      </c>
      <c r="E4231">
        <v>5</v>
      </c>
      <c r="F4231" t="str">
        <f t="shared" si="264"/>
        <v>Standard</v>
      </c>
      <c r="G4231" s="3" cm="1">
        <f t="array" ref="G4231">_xlfn.XLOOKUP(C4231 &amp; F4231,
         [1]unilever_price_limits!A:A &amp; [1]unilever_price_limits!B:B,
         [1]unilever_price_limits!C:C)</f>
        <v>30</v>
      </c>
      <c r="H4231" s="8">
        <f t="shared" si="265"/>
        <v>19.227</v>
      </c>
      <c r="I4231" s="6">
        <f t="shared" si="266"/>
        <v>30.000000000000004</v>
      </c>
      <c r="J4231" t="str">
        <f t="shared" si="267"/>
        <v>OK</v>
      </c>
    </row>
    <row r="4232" spans="1:10" x14ac:dyDescent="0.2">
      <c r="A4232">
        <v>14231</v>
      </c>
      <c r="B4232" t="s">
        <v>5</v>
      </c>
      <c r="C4232" t="s">
        <v>11</v>
      </c>
      <c r="D4232" s="8">
        <v>12.24</v>
      </c>
      <c r="E4232">
        <v>8</v>
      </c>
      <c r="F4232" t="str">
        <f t="shared" si="264"/>
        <v>Premium</v>
      </c>
      <c r="G4232" s="3" cm="1">
        <f t="array" ref="G4232">_xlfn.XLOOKUP(C4232 &amp; F4232,
         [1]unilever_price_limits!A:A &amp; [1]unilever_price_limits!B:B,
         [1]unilever_price_limits!C:C)</f>
        <v>50</v>
      </c>
      <c r="H4232" s="8">
        <f t="shared" si="265"/>
        <v>18.36</v>
      </c>
      <c r="I4232" s="6">
        <f t="shared" si="266"/>
        <v>50</v>
      </c>
      <c r="J4232" t="str">
        <f t="shared" si="267"/>
        <v>OK</v>
      </c>
    </row>
    <row r="4233" spans="1:10" x14ac:dyDescent="0.2">
      <c r="A4233">
        <v>14232</v>
      </c>
      <c r="B4233" t="s">
        <v>8</v>
      </c>
      <c r="C4233" t="s">
        <v>6</v>
      </c>
      <c r="D4233" s="8">
        <v>7.17</v>
      </c>
      <c r="E4233">
        <v>7</v>
      </c>
      <c r="F4233" t="str">
        <f t="shared" si="264"/>
        <v>Standard</v>
      </c>
      <c r="G4233" s="3" cm="1">
        <f t="array" ref="G4233">_xlfn.XLOOKUP(C4233 &amp; F4233,
         [1]unilever_price_limits!A:A &amp; [1]unilever_price_limits!B:B,
         [1]unilever_price_limits!C:C)</f>
        <v>28</v>
      </c>
      <c r="H4233" s="8">
        <f t="shared" si="265"/>
        <v>9.1776</v>
      </c>
      <c r="I4233" s="6">
        <f t="shared" si="266"/>
        <v>28.000000000000004</v>
      </c>
      <c r="J4233" t="str">
        <f t="shared" si="267"/>
        <v>OK</v>
      </c>
    </row>
    <row r="4234" spans="1:10" x14ac:dyDescent="0.2">
      <c r="A4234">
        <v>14233</v>
      </c>
      <c r="B4234" t="s">
        <v>7</v>
      </c>
      <c r="C4234" t="s">
        <v>11</v>
      </c>
      <c r="D4234" s="8">
        <v>13.6</v>
      </c>
      <c r="E4234">
        <v>9</v>
      </c>
      <c r="F4234" t="str">
        <f t="shared" si="264"/>
        <v>Premium</v>
      </c>
      <c r="G4234" s="3" cm="1">
        <f t="array" ref="G4234">_xlfn.XLOOKUP(C4234 &amp; F4234,
         [1]unilever_price_limits!A:A &amp; [1]unilever_price_limits!B:B,
         [1]unilever_price_limits!C:C)</f>
        <v>50</v>
      </c>
      <c r="H4234" s="8">
        <f t="shared" si="265"/>
        <v>20.399999999999999</v>
      </c>
      <c r="I4234" s="6">
        <f t="shared" si="266"/>
        <v>50</v>
      </c>
      <c r="J4234" t="str">
        <f t="shared" si="267"/>
        <v>OK</v>
      </c>
    </row>
    <row r="4235" spans="1:10" x14ac:dyDescent="0.2">
      <c r="A4235">
        <v>14234</v>
      </c>
      <c r="B4235" t="s">
        <v>10</v>
      </c>
      <c r="C4235" t="s">
        <v>9</v>
      </c>
      <c r="D4235" s="8">
        <v>6.44</v>
      </c>
      <c r="E4235">
        <v>7</v>
      </c>
      <c r="F4235" t="str">
        <f t="shared" si="264"/>
        <v>Standard</v>
      </c>
      <c r="G4235" s="3" cm="1">
        <f t="array" ref="G4235">_xlfn.XLOOKUP(C4235 &amp; F4235,
         [1]unilever_price_limits!A:A &amp; [1]unilever_price_limits!B:B,
         [1]unilever_price_limits!C:C)</f>
        <v>30</v>
      </c>
      <c r="H4235" s="8">
        <f t="shared" si="265"/>
        <v>8.3720000000000017</v>
      </c>
      <c r="I4235" s="6">
        <f t="shared" si="266"/>
        <v>30.000000000000028</v>
      </c>
      <c r="J4235" t="str">
        <f t="shared" si="267"/>
        <v>OK</v>
      </c>
    </row>
    <row r="4236" spans="1:10" x14ac:dyDescent="0.2">
      <c r="A4236">
        <v>14235</v>
      </c>
      <c r="B4236" t="s">
        <v>10</v>
      </c>
      <c r="C4236" t="s">
        <v>9</v>
      </c>
      <c r="D4236" s="8">
        <v>8.11</v>
      </c>
      <c r="E4236">
        <v>4</v>
      </c>
      <c r="F4236" t="str">
        <f t="shared" si="264"/>
        <v>Standard</v>
      </c>
      <c r="G4236" s="3" cm="1">
        <f t="array" ref="G4236">_xlfn.XLOOKUP(C4236 &amp; F4236,
         [1]unilever_price_limits!A:A &amp; [1]unilever_price_limits!B:B,
         [1]unilever_price_limits!C:C)</f>
        <v>30</v>
      </c>
      <c r="H4236" s="8">
        <f t="shared" si="265"/>
        <v>10.542999999999999</v>
      </c>
      <c r="I4236" s="6">
        <f t="shared" si="266"/>
        <v>30.000000000000004</v>
      </c>
      <c r="J4236" t="str">
        <f t="shared" si="267"/>
        <v>OK</v>
      </c>
    </row>
    <row r="4237" spans="1:10" x14ac:dyDescent="0.2">
      <c r="A4237">
        <v>14236</v>
      </c>
      <c r="B4237" t="s">
        <v>10</v>
      </c>
      <c r="C4237" t="s">
        <v>6</v>
      </c>
      <c r="D4237" s="8">
        <v>7.42</v>
      </c>
      <c r="E4237">
        <v>4</v>
      </c>
      <c r="F4237" t="str">
        <f t="shared" si="264"/>
        <v>Standard</v>
      </c>
      <c r="G4237" s="3" cm="1">
        <f t="array" ref="G4237">_xlfn.XLOOKUP(C4237 &amp; F4237,
         [1]unilever_price_limits!A:A &amp; [1]unilever_price_limits!B:B,
         [1]unilever_price_limits!C:C)</f>
        <v>28</v>
      </c>
      <c r="H4237" s="8">
        <f t="shared" si="265"/>
        <v>9.4976000000000003</v>
      </c>
      <c r="I4237" s="6">
        <f t="shared" si="266"/>
        <v>28.000000000000004</v>
      </c>
      <c r="J4237" t="str">
        <f t="shared" si="267"/>
        <v>OK</v>
      </c>
    </row>
    <row r="4238" spans="1:10" x14ac:dyDescent="0.2">
      <c r="A4238">
        <v>14237</v>
      </c>
      <c r="B4238" t="s">
        <v>10</v>
      </c>
      <c r="C4238" t="s">
        <v>9</v>
      </c>
      <c r="D4238" s="8">
        <v>6.99</v>
      </c>
      <c r="E4238">
        <v>8</v>
      </c>
      <c r="F4238" t="str">
        <f t="shared" si="264"/>
        <v>Premium</v>
      </c>
      <c r="G4238" s="3" cm="1">
        <f t="array" ref="G4238">_xlfn.XLOOKUP(C4238 &amp; F4238,
         [1]unilever_price_limits!A:A &amp; [1]unilever_price_limits!B:B,
         [1]unilever_price_limits!C:C)</f>
        <v>60</v>
      </c>
      <c r="H4238" s="8">
        <f t="shared" si="265"/>
        <v>11.184000000000001</v>
      </c>
      <c r="I4238" s="6">
        <f t="shared" si="266"/>
        <v>60.000000000000007</v>
      </c>
      <c r="J4238" t="str">
        <f t="shared" si="267"/>
        <v>OK</v>
      </c>
    </row>
    <row r="4239" spans="1:10" x14ac:dyDescent="0.2">
      <c r="A4239">
        <v>14238</v>
      </c>
      <c r="B4239" t="s">
        <v>5</v>
      </c>
      <c r="C4239" t="s">
        <v>9</v>
      </c>
      <c r="D4239" s="8">
        <v>11.74</v>
      </c>
      <c r="E4239">
        <v>6</v>
      </c>
      <c r="F4239" t="str">
        <f t="shared" si="264"/>
        <v>Standard</v>
      </c>
      <c r="G4239" s="3" cm="1">
        <f t="array" ref="G4239">_xlfn.XLOOKUP(C4239 &amp; F4239,
         [1]unilever_price_limits!A:A &amp; [1]unilever_price_limits!B:B,
         [1]unilever_price_limits!C:C)</f>
        <v>30</v>
      </c>
      <c r="H4239" s="8">
        <f t="shared" si="265"/>
        <v>15.262</v>
      </c>
      <c r="I4239" s="6">
        <f t="shared" si="266"/>
        <v>30.000000000000004</v>
      </c>
      <c r="J4239" t="str">
        <f t="shared" si="267"/>
        <v>OK</v>
      </c>
    </row>
    <row r="4240" spans="1:10" x14ac:dyDescent="0.2">
      <c r="A4240">
        <v>14239</v>
      </c>
      <c r="B4240" t="s">
        <v>7</v>
      </c>
      <c r="C4240" t="s">
        <v>9</v>
      </c>
      <c r="D4240" s="8">
        <v>8.14</v>
      </c>
      <c r="E4240">
        <v>9</v>
      </c>
      <c r="F4240" t="str">
        <f t="shared" si="264"/>
        <v>Premium</v>
      </c>
      <c r="G4240" s="3" cm="1">
        <f t="array" ref="G4240">_xlfn.XLOOKUP(C4240 &amp; F4240,
         [1]unilever_price_limits!A:A &amp; [1]unilever_price_limits!B:B,
         [1]unilever_price_limits!C:C)</f>
        <v>60</v>
      </c>
      <c r="H4240" s="8">
        <f t="shared" si="265"/>
        <v>13.024000000000001</v>
      </c>
      <c r="I4240" s="6">
        <f t="shared" si="266"/>
        <v>60.000000000000007</v>
      </c>
      <c r="J4240" t="str">
        <f t="shared" si="267"/>
        <v>OK</v>
      </c>
    </row>
    <row r="4241" spans="1:10" x14ac:dyDescent="0.2">
      <c r="A4241">
        <v>14240</v>
      </c>
      <c r="B4241" t="s">
        <v>8</v>
      </c>
      <c r="C4241" t="s">
        <v>6</v>
      </c>
      <c r="D4241" s="8">
        <v>5.09</v>
      </c>
      <c r="E4241">
        <v>10</v>
      </c>
      <c r="F4241" t="str">
        <f t="shared" si="264"/>
        <v>Premium</v>
      </c>
      <c r="G4241" s="3" cm="1">
        <f t="array" ref="G4241">_xlfn.XLOOKUP(C4241 &amp; F4241,
         [1]unilever_price_limits!A:A &amp; [1]unilever_price_limits!B:B,
         [1]unilever_price_limits!C:C)</f>
        <v>55</v>
      </c>
      <c r="H4241" s="8">
        <f t="shared" si="265"/>
        <v>7.8895</v>
      </c>
      <c r="I4241" s="6">
        <f t="shared" si="266"/>
        <v>55.000000000000007</v>
      </c>
      <c r="J4241" t="str">
        <f t="shared" si="267"/>
        <v>OK</v>
      </c>
    </row>
    <row r="4242" spans="1:10" x14ac:dyDescent="0.2">
      <c r="A4242">
        <v>14241</v>
      </c>
      <c r="B4242" t="s">
        <v>7</v>
      </c>
      <c r="C4242" t="s">
        <v>11</v>
      </c>
      <c r="D4242" s="8">
        <v>4.24</v>
      </c>
      <c r="E4242">
        <v>7</v>
      </c>
      <c r="F4242" t="str">
        <f t="shared" si="264"/>
        <v>Standard</v>
      </c>
      <c r="G4242" s="3" cm="1">
        <f t="array" ref="G4242">_xlfn.XLOOKUP(C4242 &amp; F4242,
         [1]unilever_price_limits!A:A &amp; [1]unilever_price_limits!B:B,
         [1]unilever_price_limits!C:C)</f>
        <v>25</v>
      </c>
      <c r="H4242" s="8">
        <f t="shared" si="265"/>
        <v>5.3000000000000007</v>
      </c>
      <c r="I4242" s="6">
        <f t="shared" si="266"/>
        <v>25</v>
      </c>
      <c r="J4242" t="str">
        <f t="shared" si="267"/>
        <v>OK</v>
      </c>
    </row>
    <row r="4243" spans="1:10" x14ac:dyDescent="0.2">
      <c r="A4243">
        <v>14242</v>
      </c>
      <c r="B4243" t="s">
        <v>5</v>
      </c>
      <c r="C4243" t="s">
        <v>9</v>
      </c>
      <c r="D4243" s="8">
        <v>1.05</v>
      </c>
      <c r="E4243">
        <v>7</v>
      </c>
      <c r="F4243" t="str">
        <f t="shared" si="264"/>
        <v>Standard</v>
      </c>
      <c r="G4243" s="3" cm="1">
        <f t="array" ref="G4243">_xlfn.XLOOKUP(C4243 &amp; F4243,
         [1]unilever_price_limits!A:A &amp; [1]unilever_price_limits!B:B,
         [1]unilever_price_limits!C:C)</f>
        <v>30</v>
      </c>
      <c r="H4243" s="8">
        <f t="shared" si="265"/>
        <v>1.3650000000000002</v>
      </c>
      <c r="I4243" s="6">
        <f t="shared" si="266"/>
        <v>30.000000000000004</v>
      </c>
      <c r="J4243" t="str">
        <f t="shared" si="267"/>
        <v>OK</v>
      </c>
    </row>
    <row r="4244" spans="1:10" x14ac:dyDescent="0.2">
      <c r="A4244">
        <v>14243</v>
      </c>
      <c r="B4244" t="s">
        <v>10</v>
      </c>
      <c r="C4244" t="s">
        <v>6</v>
      </c>
      <c r="D4244" s="8">
        <v>8.9600000000000009</v>
      </c>
      <c r="E4244">
        <v>4</v>
      </c>
      <c r="F4244" t="str">
        <f t="shared" si="264"/>
        <v>Standard</v>
      </c>
      <c r="G4244" s="3" cm="1">
        <f t="array" ref="G4244">_xlfn.XLOOKUP(C4244 &amp; F4244,
         [1]unilever_price_limits!A:A &amp; [1]unilever_price_limits!B:B,
         [1]unilever_price_limits!C:C)</f>
        <v>28</v>
      </c>
      <c r="H4244" s="8">
        <f t="shared" si="265"/>
        <v>11.468800000000002</v>
      </c>
      <c r="I4244" s="6">
        <f t="shared" si="266"/>
        <v>28.000000000000004</v>
      </c>
      <c r="J4244" t="str">
        <f t="shared" si="267"/>
        <v>OK</v>
      </c>
    </row>
    <row r="4245" spans="1:10" x14ac:dyDescent="0.2">
      <c r="A4245">
        <v>14244</v>
      </c>
      <c r="B4245" t="s">
        <v>5</v>
      </c>
      <c r="C4245" t="s">
        <v>9</v>
      </c>
      <c r="D4245" s="8">
        <v>3.83</v>
      </c>
      <c r="E4245">
        <v>3</v>
      </c>
      <c r="F4245" t="str">
        <f t="shared" si="264"/>
        <v>Value</v>
      </c>
      <c r="G4245" s="3" cm="1">
        <f t="array" ref="G4245">_xlfn.XLOOKUP(C4245 &amp; F4245,
         [1]unilever_price_limits!A:A &amp; [1]unilever_price_limits!B:B,
         [1]unilever_price_limits!C:C)</f>
        <v>15</v>
      </c>
      <c r="H4245" s="8">
        <f t="shared" si="265"/>
        <v>4.4044999999999996</v>
      </c>
      <c r="I4245" s="6">
        <f t="shared" si="266"/>
        <v>14.999999999999991</v>
      </c>
      <c r="J4245" t="str">
        <f t="shared" si="267"/>
        <v>OK</v>
      </c>
    </row>
    <row r="4246" spans="1:10" x14ac:dyDescent="0.2">
      <c r="A4246">
        <v>14245</v>
      </c>
      <c r="B4246" t="s">
        <v>7</v>
      </c>
      <c r="C4246" t="s">
        <v>6</v>
      </c>
      <c r="D4246" s="8">
        <v>2.65</v>
      </c>
      <c r="E4246">
        <v>8</v>
      </c>
      <c r="F4246" t="str">
        <f t="shared" si="264"/>
        <v>Premium</v>
      </c>
      <c r="G4246" s="3" cm="1">
        <f t="array" ref="G4246">_xlfn.XLOOKUP(C4246 &amp; F4246,
         [1]unilever_price_limits!A:A &amp; [1]unilever_price_limits!B:B,
         [1]unilever_price_limits!C:C)</f>
        <v>55</v>
      </c>
      <c r="H4246" s="8">
        <f t="shared" si="265"/>
        <v>4.1074999999999999</v>
      </c>
      <c r="I4246" s="6">
        <f t="shared" si="266"/>
        <v>55.000000000000007</v>
      </c>
      <c r="J4246" t="str">
        <f t="shared" si="267"/>
        <v>OK</v>
      </c>
    </row>
    <row r="4247" spans="1:10" x14ac:dyDescent="0.2">
      <c r="A4247">
        <v>14246</v>
      </c>
      <c r="B4247" t="s">
        <v>8</v>
      </c>
      <c r="C4247" t="s">
        <v>9</v>
      </c>
      <c r="D4247" s="8">
        <v>9.98</v>
      </c>
      <c r="E4247">
        <v>7</v>
      </c>
      <c r="F4247" t="str">
        <f t="shared" si="264"/>
        <v>Standard</v>
      </c>
      <c r="G4247" s="3" cm="1">
        <f t="array" ref="G4247">_xlfn.XLOOKUP(C4247 &amp; F4247,
         [1]unilever_price_limits!A:A &amp; [1]unilever_price_limits!B:B,
         [1]unilever_price_limits!C:C)</f>
        <v>30</v>
      </c>
      <c r="H4247" s="8">
        <f t="shared" si="265"/>
        <v>12.974</v>
      </c>
      <c r="I4247" s="6">
        <f t="shared" si="266"/>
        <v>30.000000000000004</v>
      </c>
      <c r="J4247" t="str">
        <f t="shared" si="267"/>
        <v>OK</v>
      </c>
    </row>
    <row r="4248" spans="1:10" x14ac:dyDescent="0.2">
      <c r="A4248">
        <v>14247</v>
      </c>
      <c r="B4248" t="s">
        <v>5</v>
      </c>
      <c r="C4248" t="s">
        <v>6</v>
      </c>
      <c r="D4248" s="8">
        <v>10.38</v>
      </c>
      <c r="E4248">
        <v>4</v>
      </c>
      <c r="F4248" t="str">
        <f t="shared" si="264"/>
        <v>Standard</v>
      </c>
      <c r="G4248" s="3" cm="1">
        <f t="array" ref="G4248">_xlfn.XLOOKUP(C4248 &amp; F4248,
         [1]unilever_price_limits!A:A &amp; [1]unilever_price_limits!B:B,
         [1]unilever_price_limits!C:C)</f>
        <v>28</v>
      </c>
      <c r="H4248" s="8">
        <f t="shared" si="265"/>
        <v>13.2864</v>
      </c>
      <c r="I4248" s="6">
        <f t="shared" si="266"/>
        <v>28.000000000000004</v>
      </c>
      <c r="J4248" t="str">
        <f t="shared" si="267"/>
        <v>OK</v>
      </c>
    </row>
    <row r="4249" spans="1:10" x14ac:dyDescent="0.2">
      <c r="A4249">
        <v>14248</v>
      </c>
      <c r="B4249" t="s">
        <v>8</v>
      </c>
      <c r="C4249" t="s">
        <v>9</v>
      </c>
      <c r="D4249" s="8">
        <v>11.41</v>
      </c>
      <c r="E4249">
        <v>4</v>
      </c>
      <c r="F4249" t="str">
        <f t="shared" si="264"/>
        <v>Standard</v>
      </c>
      <c r="G4249" s="3" cm="1">
        <f t="array" ref="G4249">_xlfn.XLOOKUP(C4249 &amp; F4249,
         [1]unilever_price_limits!A:A &amp; [1]unilever_price_limits!B:B,
         [1]unilever_price_limits!C:C)</f>
        <v>30</v>
      </c>
      <c r="H4249" s="8">
        <f t="shared" si="265"/>
        <v>14.833</v>
      </c>
      <c r="I4249" s="6">
        <f t="shared" si="266"/>
        <v>30.000000000000004</v>
      </c>
      <c r="J4249" t="str">
        <f t="shared" si="267"/>
        <v>OK</v>
      </c>
    </row>
    <row r="4250" spans="1:10" x14ac:dyDescent="0.2">
      <c r="A4250">
        <v>14249</v>
      </c>
      <c r="B4250" t="s">
        <v>5</v>
      </c>
      <c r="C4250" t="s">
        <v>11</v>
      </c>
      <c r="D4250" s="8">
        <v>7.8</v>
      </c>
      <c r="E4250">
        <v>1</v>
      </c>
      <c r="F4250" t="str">
        <f t="shared" si="264"/>
        <v>Value</v>
      </c>
      <c r="G4250" s="3" cm="1">
        <f t="array" ref="G4250">_xlfn.XLOOKUP(C4250 &amp; F4250,
         [1]unilever_price_limits!A:A &amp; [1]unilever_price_limits!B:B,
         [1]unilever_price_limits!C:C)</f>
        <v>10</v>
      </c>
      <c r="H4250" s="8">
        <f t="shared" si="265"/>
        <v>8.58</v>
      </c>
      <c r="I4250" s="6">
        <f t="shared" si="266"/>
        <v>10.000000000000009</v>
      </c>
      <c r="J4250" t="str">
        <f t="shared" si="267"/>
        <v>OK</v>
      </c>
    </row>
    <row r="4251" spans="1:10" x14ac:dyDescent="0.2">
      <c r="A4251">
        <v>14250</v>
      </c>
      <c r="B4251" t="s">
        <v>8</v>
      </c>
      <c r="C4251" t="s">
        <v>9</v>
      </c>
      <c r="D4251" s="8">
        <v>13.46</v>
      </c>
      <c r="E4251">
        <v>7</v>
      </c>
      <c r="F4251" t="str">
        <f t="shared" si="264"/>
        <v>Standard</v>
      </c>
      <c r="G4251" s="3" cm="1">
        <f t="array" ref="G4251">_xlfn.XLOOKUP(C4251 &amp; F4251,
         [1]unilever_price_limits!A:A &amp; [1]unilever_price_limits!B:B,
         [1]unilever_price_limits!C:C)</f>
        <v>30</v>
      </c>
      <c r="H4251" s="8">
        <f t="shared" si="265"/>
        <v>17.498000000000001</v>
      </c>
      <c r="I4251" s="6">
        <f t="shared" si="266"/>
        <v>30.000000000000004</v>
      </c>
      <c r="J4251" t="str">
        <f t="shared" si="267"/>
        <v>OK</v>
      </c>
    </row>
    <row r="4252" spans="1:10" x14ac:dyDescent="0.2">
      <c r="A4252">
        <v>14251</v>
      </c>
      <c r="B4252" t="s">
        <v>8</v>
      </c>
      <c r="C4252" t="s">
        <v>6</v>
      </c>
      <c r="D4252" s="8">
        <v>14.08</v>
      </c>
      <c r="E4252">
        <v>1</v>
      </c>
      <c r="F4252" t="str">
        <f t="shared" si="264"/>
        <v>Value</v>
      </c>
      <c r="G4252" s="3" cm="1">
        <f t="array" ref="G4252">_xlfn.XLOOKUP(C4252 &amp; F4252,
         [1]unilever_price_limits!A:A &amp; [1]unilever_price_limits!B:B,
         [1]unilever_price_limits!C:C)</f>
        <v>12</v>
      </c>
      <c r="H4252" s="8">
        <f t="shared" si="265"/>
        <v>15.769600000000002</v>
      </c>
      <c r="I4252" s="6">
        <f t="shared" si="266"/>
        <v>12.000000000000011</v>
      </c>
      <c r="J4252" t="str">
        <f t="shared" si="267"/>
        <v>OK</v>
      </c>
    </row>
    <row r="4253" spans="1:10" x14ac:dyDescent="0.2">
      <c r="A4253">
        <v>14252</v>
      </c>
      <c r="B4253" t="s">
        <v>10</v>
      </c>
      <c r="C4253" t="s">
        <v>9</v>
      </c>
      <c r="D4253" s="8">
        <v>12.21</v>
      </c>
      <c r="E4253">
        <v>10</v>
      </c>
      <c r="F4253" t="str">
        <f t="shared" si="264"/>
        <v>Premium</v>
      </c>
      <c r="G4253" s="3" cm="1">
        <f t="array" ref="G4253">_xlfn.XLOOKUP(C4253 &amp; F4253,
         [1]unilever_price_limits!A:A &amp; [1]unilever_price_limits!B:B,
         [1]unilever_price_limits!C:C)</f>
        <v>60</v>
      </c>
      <c r="H4253" s="8">
        <f t="shared" si="265"/>
        <v>19.536000000000001</v>
      </c>
      <c r="I4253" s="6">
        <f t="shared" si="266"/>
        <v>60.000000000000007</v>
      </c>
      <c r="J4253" t="str">
        <f t="shared" si="267"/>
        <v>OK</v>
      </c>
    </row>
    <row r="4254" spans="1:10" x14ac:dyDescent="0.2">
      <c r="A4254">
        <v>14253</v>
      </c>
      <c r="B4254" t="s">
        <v>8</v>
      </c>
      <c r="C4254" t="s">
        <v>11</v>
      </c>
      <c r="D4254" s="8">
        <v>9.7200000000000006</v>
      </c>
      <c r="E4254">
        <v>10</v>
      </c>
      <c r="F4254" t="str">
        <f t="shared" si="264"/>
        <v>Premium</v>
      </c>
      <c r="G4254" s="3" cm="1">
        <f t="array" ref="G4254">_xlfn.XLOOKUP(C4254 &amp; F4254,
         [1]unilever_price_limits!A:A &amp; [1]unilever_price_limits!B:B,
         [1]unilever_price_limits!C:C)</f>
        <v>50</v>
      </c>
      <c r="H4254" s="8">
        <f t="shared" si="265"/>
        <v>14.580000000000002</v>
      </c>
      <c r="I4254" s="6">
        <f t="shared" si="266"/>
        <v>50</v>
      </c>
      <c r="J4254" t="str">
        <f t="shared" si="267"/>
        <v>OK</v>
      </c>
    </row>
    <row r="4255" spans="1:10" x14ac:dyDescent="0.2">
      <c r="A4255">
        <v>14254</v>
      </c>
      <c r="B4255" t="s">
        <v>10</v>
      </c>
      <c r="C4255" t="s">
        <v>9</v>
      </c>
      <c r="D4255" s="8">
        <v>4.9000000000000004</v>
      </c>
      <c r="E4255">
        <v>4</v>
      </c>
      <c r="F4255" t="str">
        <f t="shared" si="264"/>
        <v>Standard</v>
      </c>
      <c r="G4255" s="3" cm="1">
        <f t="array" ref="G4255">_xlfn.XLOOKUP(C4255 &amp; F4255,
         [1]unilever_price_limits!A:A &amp; [1]unilever_price_limits!B:B,
         [1]unilever_price_limits!C:C)</f>
        <v>30</v>
      </c>
      <c r="H4255" s="8">
        <f t="shared" si="265"/>
        <v>6.370000000000001</v>
      </c>
      <c r="I4255" s="6">
        <f t="shared" si="266"/>
        <v>30.000000000000004</v>
      </c>
      <c r="J4255" t="str">
        <f t="shared" si="267"/>
        <v>OK</v>
      </c>
    </row>
    <row r="4256" spans="1:10" x14ac:dyDescent="0.2">
      <c r="A4256">
        <v>14255</v>
      </c>
      <c r="B4256" t="s">
        <v>7</v>
      </c>
      <c r="C4256" t="s">
        <v>6</v>
      </c>
      <c r="D4256" s="8">
        <v>14.75</v>
      </c>
      <c r="E4256">
        <v>3</v>
      </c>
      <c r="F4256" t="str">
        <f t="shared" si="264"/>
        <v>Value</v>
      </c>
      <c r="G4256" s="3" cm="1">
        <f t="array" ref="G4256">_xlfn.XLOOKUP(C4256 &amp; F4256,
         [1]unilever_price_limits!A:A &amp; [1]unilever_price_limits!B:B,
         [1]unilever_price_limits!C:C)</f>
        <v>12</v>
      </c>
      <c r="H4256" s="8">
        <f t="shared" si="265"/>
        <v>16.520000000000003</v>
      </c>
      <c r="I4256" s="6">
        <f t="shared" si="266"/>
        <v>12.000000000000011</v>
      </c>
      <c r="J4256" t="str">
        <f t="shared" si="267"/>
        <v>OK</v>
      </c>
    </row>
    <row r="4257" spans="1:10" x14ac:dyDescent="0.2">
      <c r="A4257">
        <v>14256</v>
      </c>
      <c r="B4257" t="s">
        <v>7</v>
      </c>
      <c r="C4257" t="s">
        <v>6</v>
      </c>
      <c r="D4257" s="8">
        <v>4.47</v>
      </c>
      <c r="E4257">
        <v>3</v>
      </c>
      <c r="F4257" t="str">
        <f t="shared" si="264"/>
        <v>Value</v>
      </c>
      <c r="G4257" s="3" cm="1">
        <f t="array" ref="G4257">_xlfn.XLOOKUP(C4257 &amp; F4257,
         [1]unilever_price_limits!A:A &amp; [1]unilever_price_limits!B:B,
         [1]unilever_price_limits!C:C)</f>
        <v>12</v>
      </c>
      <c r="H4257" s="8">
        <f t="shared" si="265"/>
        <v>5.0064000000000002</v>
      </c>
      <c r="I4257" s="6">
        <f t="shared" si="266"/>
        <v>12.000000000000011</v>
      </c>
      <c r="J4257" t="str">
        <f t="shared" si="267"/>
        <v>OK</v>
      </c>
    </row>
    <row r="4258" spans="1:10" x14ac:dyDescent="0.2">
      <c r="A4258">
        <v>14257</v>
      </c>
      <c r="B4258" t="s">
        <v>10</v>
      </c>
      <c r="C4258" t="s">
        <v>11</v>
      </c>
      <c r="D4258" s="8">
        <v>3.44</v>
      </c>
      <c r="E4258">
        <v>1</v>
      </c>
      <c r="F4258" t="str">
        <f t="shared" si="264"/>
        <v>Value</v>
      </c>
      <c r="G4258" s="3" cm="1">
        <f t="array" ref="G4258">_xlfn.XLOOKUP(C4258 &amp; F4258,
         [1]unilever_price_limits!A:A &amp; [1]unilever_price_limits!B:B,
         [1]unilever_price_limits!C:C)</f>
        <v>10</v>
      </c>
      <c r="H4258" s="8">
        <f t="shared" si="265"/>
        <v>3.7840000000000003</v>
      </c>
      <c r="I4258" s="6">
        <f t="shared" si="266"/>
        <v>10.000000000000009</v>
      </c>
      <c r="J4258" t="str">
        <f t="shared" si="267"/>
        <v>OK</v>
      </c>
    </row>
    <row r="4259" spans="1:10" x14ac:dyDescent="0.2">
      <c r="A4259">
        <v>14258</v>
      </c>
      <c r="B4259" t="s">
        <v>10</v>
      </c>
      <c r="C4259" t="s">
        <v>6</v>
      </c>
      <c r="D4259" s="8">
        <v>6.91</v>
      </c>
      <c r="E4259">
        <v>4</v>
      </c>
      <c r="F4259" t="str">
        <f t="shared" si="264"/>
        <v>Standard</v>
      </c>
      <c r="G4259" s="3" cm="1">
        <f t="array" ref="G4259">_xlfn.XLOOKUP(C4259 &amp; F4259,
         [1]unilever_price_limits!A:A &amp; [1]unilever_price_limits!B:B,
         [1]unilever_price_limits!C:C)</f>
        <v>28</v>
      </c>
      <c r="H4259" s="8">
        <f t="shared" si="265"/>
        <v>8.8448000000000011</v>
      </c>
      <c r="I4259" s="6">
        <f t="shared" si="266"/>
        <v>28.000000000000004</v>
      </c>
      <c r="J4259" t="str">
        <f t="shared" si="267"/>
        <v>OK</v>
      </c>
    </row>
    <row r="4260" spans="1:10" x14ac:dyDescent="0.2">
      <c r="A4260">
        <v>14259</v>
      </c>
      <c r="B4260" t="s">
        <v>5</v>
      </c>
      <c r="C4260" t="s">
        <v>9</v>
      </c>
      <c r="D4260" s="8">
        <v>1.32</v>
      </c>
      <c r="E4260">
        <v>1</v>
      </c>
      <c r="F4260" t="str">
        <f t="shared" si="264"/>
        <v>Value</v>
      </c>
      <c r="G4260" s="3" cm="1">
        <f t="array" ref="G4260">_xlfn.XLOOKUP(C4260 &amp; F4260,
         [1]unilever_price_limits!A:A &amp; [1]unilever_price_limits!B:B,
         [1]unilever_price_limits!C:C)</f>
        <v>15</v>
      </c>
      <c r="H4260" s="8">
        <f t="shared" si="265"/>
        <v>1.518</v>
      </c>
      <c r="I4260" s="6">
        <f t="shared" si="266"/>
        <v>14.999999999999991</v>
      </c>
      <c r="J4260" t="str">
        <f t="shared" si="267"/>
        <v>OK</v>
      </c>
    </row>
    <row r="4261" spans="1:10" x14ac:dyDescent="0.2">
      <c r="A4261">
        <v>14260</v>
      </c>
      <c r="B4261" t="s">
        <v>5</v>
      </c>
      <c r="C4261" t="s">
        <v>9</v>
      </c>
      <c r="D4261" s="8">
        <v>14.69</v>
      </c>
      <c r="E4261">
        <v>8</v>
      </c>
      <c r="F4261" t="str">
        <f t="shared" si="264"/>
        <v>Premium</v>
      </c>
      <c r="G4261" s="3" cm="1">
        <f t="array" ref="G4261">_xlfn.XLOOKUP(C4261 &amp; F4261,
         [1]unilever_price_limits!A:A &amp; [1]unilever_price_limits!B:B,
         [1]unilever_price_limits!C:C)</f>
        <v>60</v>
      </c>
      <c r="H4261" s="8">
        <f t="shared" si="265"/>
        <v>23.504000000000001</v>
      </c>
      <c r="I4261" s="6">
        <f t="shared" si="266"/>
        <v>60.000000000000007</v>
      </c>
      <c r="J4261" t="str">
        <f t="shared" si="267"/>
        <v>OK</v>
      </c>
    </row>
    <row r="4262" spans="1:10" x14ac:dyDescent="0.2">
      <c r="A4262">
        <v>14261</v>
      </c>
      <c r="B4262" t="s">
        <v>5</v>
      </c>
      <c r="C4262" t="s">
        <v>9</v>
      </c>
      <c r="D4262" s="8">
        <v>9.0299999999999994</v>
      </c>
      <c r="E4262">
        <v>1</v>
      </c>
      <c r="F4262" t="str">
        <f t="shared" si="264"/>
        <v>Value</v>
      </c>
      <c r="G4262" s="3" cm="1">
        <f t="array" ref="G4262">_xlfn.XLOOKUP(C4262 &amp; F4262,
         [1]unilever_price_limits!A:A &amp; [1]unilever_price_limits!B:B,
         [1]unilever_price_limits!C:C)</f>
        <v>15</v>
      </c>
      <c r="H4262" s="8">
        <f t="shared" si="265"/>
        <v>10.384499999999999</v>
      </c>
      <c r="I4262" s="6">
        <f t="shared" si="266"/>
        <v>14.999999999999991</v>
      </c>
      <c r="J4262" t="str">
        <f t="shared" si="267"/>
        <v>OK</v>
      </c>
    </row>
    <row r="4263" spans="1:10" x14ac:dyDescent="0.2">
      <c r="A4263">
        <v>14262</v>
      </c>
      <c r="B4263" t="s">
        <v>7</v>
      </c>
      <c r="C4263" t="s">
        <v>6</v>
      </c>
      <c r="D4263" s="8">
        <v>8.58</v>
      </c>
      <c r="E4263">
        <v>6</v>
      </c>
      <c r="F4263" t="str">
        <f t="shared" si="264"/>
        <v>Standard</v>
      </c>
      <c r="G4263" s="3" cm="1">
        <f t="array" ref="G4263">_xlfn.XLOOKUP(C4263 &amp; F4263,
         [1]unilever_price_limits!A:A &amp; [1]unilever_price_limits!B:B,
         [1]unilever_price_limits!C:C)</f>
        <v>28</v>
      </c>
      <c r="H4263" s="8">
        <f t="shared" si="265"/>
        <v>10.9824</v>
      </c>
      <c r="I4263" s="6">
        <f t="shared" si="266"/>
        <v>28.000000000000004</v>
      </c>
      <c r="J4263" t="str">
        <f t="shared" si="267"/>
        <v>OK</v>
      </c>
    </row>
    <row r="4264" spans="1:10" x14ac:dyDescent="0.2">
      <c r="A4264">
        <v>14263</v>
      </c>
      <c r="B4264" t="s">
        <v>5</v>
      </c>
      <c r="C4264" t="s">
        <v>9</v>
      </c>
      <c r="D4264" s="8">
        <v>10.01</v>
      </c>
      <c r="E4264">
        <v>7</v>
      </c>
      <c r="F4264" t="str">
        <f t="shared" si="264"/>
        <v>Standard</v>
      </c>
      <c r="G4264" s="3" cm="1">
        <f t="array" ref="G4264">_xlfn.XLOOKUP(C4264 &amp; F4264,
         [1]unilever_price_limits!A:A &amp; [1]unilever_price_limits!B:B,
         [1]unilever_price_limits!C:C)</f>
        <v>30</v>
      </c>
      <c r="H4264" s="8">
        <f t="shared" si="265"/>
        <v>13.013</v>
      </c>
      <c r="I4264" s="6">
        <f t="shared" si="266"/>
        <v>30.000000000000004</v>
      </c>
      <c r="J4264" t="str">
        <f t="shared" si="267"/>
        <v>OK</v>
      </c>
    </row>
    <row r="4265" spans="1:10" x14ac:dyDescent="0.2">
      <c r="A4265">
        <v>14264</v>
      </c>
      <c r="B4265" t="s">
        <v>8</v>
      </c>
      <c r="C4265" t="s">
        <v>9</v>
      </c>
      <c r="D4265" s="8">
        <v>7.71</v>
      </c>
      <c r="E4265">
        <v>10</v>
      </c>
      <c r="F4265" t="str">
        <f t="shared" si="264"/>
        <v>Premium</v>
      </c>
      <c r="G4265" s="3" cm="1">
        <f t="array" ref="G4265">_xlfn.XLOOKUP(C4265 &amp; F4265,
         [1]unilever_price_limits!A:A &amp; [1]unilever_price_limits!B:B,
         [1]unilever_price_limits!C:C)</f>
        <v>60</v>
      </c>
      <c r="H4265" s="8">
        <f t="shared" si="265"/>
        <v>12.336</v>
      </c>
      <c r="I4265" s="6">
        <f t="shared" si="266"/>
        <v>60.000000000000007</v>
      </c>
      <c r="J4265" t="str">
        <f t="shared" si="267"/>
        <v>OK</v>
      </c>
    </row>
    <row r="4266" spans="1:10" x14ac:dyDescent="0.2">
      <c r="A4266">
        <v>14265</v>
      </c>
      <c r="B4266" t="s">
        <v>8</v>
      </c>
      <c r="C4266" t="s">
        <v>9</v>
      </c>
      <c r="D4266" s="8">
        <v>0.96</v>
      </c>
      <c r="E4266">
        <v>2</v>
      </c>
      <c r="F4266" t="str">
        <f t="shared" si="264"/>
        <v>Value</v>
      </c>
      <c r="G4266" s="3" cm="1">
        <f t="array" ref="G4266">_xlfn.XLOOKUP(C4266 &amp; F4266,
         [1]unilever_price_limits!A:A &amp; [1]unilever_price_limits!B:B,
         [1]unilever_price_limits!C:C)</f>
        <v>15</v>
      </c>
      <c r="H4266" s="8">
        <f t="shared" si="265"/>
        <v>1.1039999999999999</v>
      </c>
      <c r="I4266" s="6">
        <f t="shared" si="266"/>
        <v>14.999999999999991</v>
      </c>
      <c r="J4266" t="str">
        <f t="shared" si="267"/>
        <v>OK</v>
      </c>
    </row>
    <row r="4267" spans="1:10" x14ac:dyDescent="0.2">
      <c r="A4267">
        <v>14266</v>
      </c>
      <c r="B4267" t="s">
        <v>5</v>
      </c>
      <c r="C4267" t="s">
        <v>11</v>
      </c>
      <c r="D4267" s="8">
        <v>9.3800000000000008</v>
      </c>
      <c r="E4267">
        <v>4</v>
      </c>
      <c r="F4267" t="str">
        <f t="shared" si="264"/>
        <v>Standard</v>
      </c>
      <c r="G4267" s="3" cm="1">
        <f t="array" ref="G4267">_xlfn.XLOOKUP(C4267 &amp; F4267,
         [1]unilever_price_limits!A:A &amp; [1]unilever_price_limits!B:B,
         [1]unilever_price_limits!C:C)</f>
        <v>25</v>
      </c>
      <c r="H4267" s="8">
        <f t="shared" si="265"/>
        <v>11.725000000000001</v>
      </c>
      <c r="I4267" s="6">
        <f t="shared" si="266"/>
        <v>25</v>
      </c>
      <c r="J4267" t="str">
        <f t="shared" si="267"/>
        <v>OK</v>
      </c>
    </row>
    <row r="4268" spans="1:10" x14ac:dyDescent="0.2">
      <c r="A4268">
        <v>14267</v>
      </c>
      <c r="B4268" t="s">
        <v>8</v>
      </c>
      <c r="C4268" t="s">
        <v>6</v>
      </c>
      <c r="D4268" s="8">
        <v>10.88</v>
      </c>
      <c r="E4268">
        <v>3</v>
      </c>
      <c r="F4268" t="str">
        <f t="shared" si="264"/>
        <v>Value</v>
      </c>
      <c r="G4268" s="3" cm="1">
        <f t="array" ref="G4268">_xlfn.XLOOKUP(C4268 &amp; F4268,
         [1]unilever_price_limits!A:A &amp; [1]unilever_price_limits!B:B,
         [1]unilever_price_limits!C:C)</f>
        <v>12</v>
      </c>
      <c r="H4268" s="8">
        <f t="shared" si="265"/>
        <v>12.185600000000003</v>
      </c>
      <c r="I4268" s="6">
        <f t="shared" si="266"/>
        <v>12.000000000000011</v>
      </c>
      <c r="J4268" t="str">
        <f t="shared" si="267"/>
        <v>OK</v>
      </c>
    </row>
    <row r="4269" spans="1:10" x14ac:dyDescent="0.2">
      <c r="A4269">
        <v>14268</v>
      </c>
      <c r="B4269" t="s">
        <v>7</v>
      </c>
      <c r="C4269" t="s">
        <v>6</v>
      </c>
      <c r="D4269" s="8">
        <v>6.54</v>
      </c>
      <c r="E4269">
        <v>9</v>
      </c>
      <c r="F4269" t="str">
        <f t="shared" si="264"/>
        <v>Premium</v>
      </c>
      <c r="G4269" s="3" cm="1">
        <f t="array" ref="G4269">_xlfn.XLOOKUP(C4269 &amp; F4269,
         [1]unilever_price_limits!A:A &amp; [1]unilever_price_limits!B:B,
         [1]unilever_price_limits!C:C)</f>
        <v>55</v>
      </c>
      <c r="H4269" s="8">
        <f t="shared" si="265"/>
        <v>10.137</v>
      </c>
      <c r="I4269" s="6">
        <f t="shared" si="266"/>
        <v>55.000000000000007</v>
      </c>
      <c r="J4269" t="str">
        <f t="shared" si="267"/>
        <v>OK</v>
      </c>
    </row>
    <row r="4270" spans="1:10" x14ac:dyDescent="0.2">
      <c r="A4270">
        <v>14269</v>
      </c>
      <c r="B4270" t="s">
        <v>8</v>
      </c>
      <c r="C4270" t="s">
        <v>6</v>
      </c>
      <c r="D4270" s="8">
        <v>11.48</v>
      </c>
      <c r="E4270">
        <v>7</v>
      </c>
      <c r="F4270" t="str">
        <f t="shared" si="264"/>
        <v>Standard</v>
      </c>
      <c r="G4270" s="3" cm="1">
        <f t="array" ref="G4270">_xlfn.XLOOKUP(C4270 &amp; F4270,
         [1]unilever_price_limits!A:A &amp; [1]unilever_price_limits!B:B,
         [1]unilever_price_limits!C:C)</f>
        <v>28</v>
      </c>
      <c r="H4270" s="8">
        <f t="shared" si="265"/>
        <v>14.694400000000002</v>
      </c>
      <c r="I4270" s="6">
        <f t="shared" si="266"/>
        <v>28.000000000000004</v>
      </c>
      <c r="J4270" t="str">
        <f t="shared" si="267"/>
        <v>OK</v>
      </c>
    </row>
    <row r="4271" spans="1:10" x14ac:dyDescent="0.2">
      <c r="A4271">
        <v>14270</v>
      </c>
      <c r="B4271" t="s">
        <v>7</v>
      </c>
      <c r="C4271" t="s">
        <v>11</v>
      </c>
      <c r="D4271" s="8">
        <v>3.79</v>
      </c>
      <c r="E4271">
        <v>2</v>
      </c>
      <c r="F4271" t="str">
        <f t="shared" si="264"/>
        <v>Value</v>
      </c>
      <c r="G4271" s="3" cm="1">
        <f t="array" ref="G4271">_xlfn.XLOOKUP(C4271 &amp; F4271,
         [1]unilever_price_limits!A:A &amp; [1]unilever_price_limits!B:B,
         [1]unilever_price_limits!C:C)</f>
        <v>10</v>
      </c>
      <c r="H4271" s="8">
        <f t="shared" si="265"/>
        <v>4.1690000000000005</v>
      </c>
      <c r="I4271" s="6">
        <f t="shared" si="266"/>
        <v>10.000000000000009</v>
      </c>
      <c r="J4271" t="str">
        <f t="shared" si="267"/>
        <v>OK</v>
      </c>
    </row>
    <row r="4272" spans="1:10" x14ac:dyDescent="0.2">
      <c r="A4272">
        <v>14271</v>
      </c>
      <c r="B4272" t="s">
        <v>10</v>
      </c>
      <c r="C4272" t="s">
        <v>6</v>
      </c>
      <c r="D4272" s="8">
        <v>3.71</v>
      </c>
      <c r="E4272">
        <v>6</v>
      </c>
      <c r="F4272" t="str">
        <f t="shared" si="264"/>
        <v>Standard</v>
      </c>
      <c r="G4272" s="3" cm="1">
        <f t="array" ref="G4272">_xlfn.XLOOKUP(C4272 &amp; F4272,
         [1]unilever_price_limits!A:A &amp; [1]unilever_price_limits!B:B,
         [1]unilever_price_limits!C:C)</f>
        <v>28</v>
      </c>
      <c r="H4272" s="8">
        <f t="shared" si="265"/>
        <v>4.7488000000000001</v>
      </c>
      <c r="I4272" s="6">
        <f t="shared" si="266"/>
        <v>28.000000000000004</v>
      </c>
      <c r="J4272" t="str">
        <f t="shared" si="267"/>
        <v>OK</v>
      </c>
    </row>
    <row r="4273" spans="1:10" x14ac:dyDescent="0.2">
      <c r="A4273">
        <v>14272</v>
      </c>
      <c r="B4273" t="s">
        <v>10</v>
      </c>
      <c r="C4273" t="s">
        <v>11</v>
      </c>
      <c r="D4273" s="8">
        <v>2.84</v>
      </c>
      <c r="E4273">
        <v>9</v>
      </c>
      <c r="F4273" t="str">
        <f t="shared" si="264"/>
        <v>Premium</v>
      </c>
      <c r="G4273" s="3" cm="1">
        <f t="array" ref="G4273">_xlfn.XLOOKUP(C4273 &amp; F4273,
         [1]unilever_price_limits!A:A &amp; [1]unilever_price_limits!B:B,
         [1]unilever_price_limits!C:C)</f>
        <v>50</v>
      </c>
      <c r="H4273" s="8">
        <f t="shared" si="265"/>
        <v>4.26</v>
      </c>
      <c r="I4273" s="6">
        <f t="shared" si="266"/>
        <v>50</v>
      </c>
      <c r="J4273" t="str">
        <f t="shared" si="267"/>
        <v>OK</v>
      </c>
    </row>
    <row r="4274" spans="1:10" x14ac:dyDescent="0.2">
      <c r="A4274">
        <v>14273</v>
      </c>
      <c r="B4274" t="s">
        <v>10</v>
      </c>
      <c r="C4274" t="s">
        <v>11</v>
      </c>
      <c r="D4274" s="8">
        <v>5.89</v>
      </c>
      <c r="E4274">
        <v>3</v>
      </c>
      <c r="F4274" t="str">
        <f t="shared" si="264"/>
        <v>Value</v>
      </c>
      <c r="G4274" s="3" cm="1">
        <f t="array" ref="G4274">_xlfn.XLOOKUP(C4274 &amp; F4274,
         [1]unilever_price_limits!A:A &amp; [1]unilever_price_limits!B:B,
         [1]unilever_price_limits!C:C)</f>
        <v>10</v>
      </c>
      <c r="H4274" s="8">
        <f t="shared" si="265"/>
        <v>6.4790000000000001</v>
      </c>
      <c r="I4274" s="6">
        <f t="shared" si="266"/>
        <v>10.000000000000009</v>
      </c>
      <c r="J4274" t="str">
        <f t="shared" si="267"/>
        <v>OK</v>
      </c>
    </row>
    <row r="4275" spans="1:10" x14ac:dyDescent="0.2">
      <c r="A4275">
        <v>14274</v>
      </c>
      <c r="B4275" t="s">
        <v>10</v>
      </c>
      <c r="C4275" t="s">
        <v>6</v>
      </c>
      <c r="D4275" s="8">
        <v>12.78</v>
      </c>
      <c r="E4275">
        <v>6</v>
      </c>
      <c r="F4275" t="str">
        <f t="shared" si="264"/>
        <v>Standard</v>
      </c>
      <c r="G4275" s="3" cm="1">
        <f t="array" ref="G4275">_xlfn.XLOOKUP(C4275 &amp; F4275,
         [1]unilever_price_limits!A:A &amp; [1]unilever_price_limits!B:B,
         [1]unilever_price_limits!C:C)</f>
        <v>28</v>
      </c>
      <c r="H4275" s="8">
        <f t="shared" si="265"/>
        <v>16.3584</v>
      </c>
      <c r="I4275" s="6">
        <f t="shared" si="266"/>
        <v>28.000000000000004</v>
      </c>
      <c r="J4275" t="str">
        <f t="shared" si="267"/>
        <v>OK</v>
      </c>
    </row>
    <row r="4276" spans="1:10" x14ac:dyDescent="0.2">
      <c r="A4276">
        <v>14275</v>
      </c>
      <c r="B4276" t="s">
        <v>8</v>
      </c>
      <c r="C4276" t="s">
        <v>9</v>
      </c>
      <c r="D4276" s="8">
        <v>12.5</v>
      </c>
      <c r="E4276">
        <v>3</v>
      </c>
      <c r="F4276" t="str">
        <f t="shared" si="264"/>
        <v>Value</v>
      </c>
      <c r="G4276" s="3" cm="1">
        <f t="array" ref="G4276">_xlfn.XLOOKUP(C4276 &amp; F4276,
         [1]unilever_price_limits!A:A &amp; [1]unilever_price_limits!B:B,
         [1]unilever_price_limits!C:C)</f>
        <v>15</v>
      </c>
      <c r="H4276" s="8">
        <f t="shared" si="265"/>
        <v>14.374999999999998</v>
      </c>
      <c r="I4276" s="6">
        <f t="shared" si="266"/>
        <v>14.999999999999991</v>
      </c>
      <c r="J4276" t="str">
        <f t="shared" si="267"/>
        <v>OK</v>
      </c>
    </row>
    <row r="4277" spans="1:10" x14ac:dyDescent="0.2">
      <c r="A4277">
        <v>14276</v>
      </c>
      <c r="B4277" t="s">
        <v>5</v>
      </c>
      <c r="C4277" t="s">
        <v>9</v>
      </c>
      <c r="D4277" s="8">
        <v>6.05</v>
      </c>
      <c r="E4277">
        <v>3</v>
      </c>
      <c r="F4277" t="str">
        <f t="shared" si="264"/>
        <v>Value</v>
      </c>
      <c r="G4277" s="3" cm="1">
        <f t="array" ref="G4277">_xlfn.XLOOKUP(C4277 &amp; F4277,
         [1]unilever_price_limits!A:A &amp; [1]unilever_price_limits!B:B,
         [1]unilever_price_limits!C:C)</f>
        <v>15</v>
      </c>
      <c r="H4277" s="8">
        <f t="shared" si="265"/>
        <v>6.9574999999999996</v>
      </c>
      <c r="I4277" s="6">
        <f t="shared" si="266"/>
        <v>14.999999999999991</v>
      </c>
      <c r="J4277" t="str">
        <f t="shared" si="267"/>
        <v>OK</v>
      </c>
    </row>
    <row r="4278" spans="1:10" x14ac:dyDescent="0.2">
      <c r="A4278">
        <v>14277</v>
      </c>
      <c r="B4278" t="s">
        <v>8</v>
      </c>
      <c r="C4278" t="s">
        <v>6</v>
      </c>
      <c r="D4278" s="8">
        <v>9.0399999999999991</v>
      </c>
      <c r="E4278">
        <v>4</v>
      </c>
      <c r="F4278" t="str">
        <f t="shared" si="264"/>
        <v>Standard</v>
      </c>
      <c r="G4278" s="3" cm="1">
        <f t="array" ref="G4278">_xlfn.XLOOKUP(C4278 &amp; F4278,
         [1]unilever_price_limits!A:A &amp; [1]unilever_price_limits!B:B,
         [1]unilever_price_limits!C:C)</f>
        <v>28</v>
      </c>
      <c r="H4278" s="8">
        <f t="shared" si="265"/>
        <v>11.571199999999999</v>
      </c>
      <c r="I4278" s="6">
        <f t="shared" si="266"/>
        <v>28.000000000000004</v>
      </c>
      <c r="J4278" t="str">
        <f t="shared" si="267"/>
        <v>OK</v>
      </c>
    </row>
    <row r="4279" spans="1:10" x14ac:dyDescent="0.2">
      <c r="A4279">
        <v>14278</v>
      </c>
      <c r="B4279" t="s">
        <v>7</v>
      </c>
      <c r="C4279" t="s">
        <v>6</v>
      </c>
      <c r="D4279" s="8">
        <v>10.95</v>
      </c>
      <c r="E4279">
        <v>9</v>
      </c>
      <c r="F4279" t="str">
        <f t="shared" si="264"/>
        <v>Premium</v>
      </c>
      <c r="G4279" s="3" cm="1">
        <f t="array" ref="G4279">_xlfn.XLOOKUP(C4279 &amp; F4279,
         [1]unilever_price_limits!A:A &amp; [1]unilever_price_limits!B:B,
         [1]unilever_price_limits!C:C)</f>
        <v>55</v>
      </c>
      <c r="H4279" s="8">
        <f t="shared" si="265"/>
        <v>16.9725</v>
      </c>
      <c r="I4279" s="6">
        <f t="shared" si="266"/>
        <v>55.000000000000007</v>
      </c>
      <c r="J4279" t="str">
        <f t="shared" si="267"/>
        <v>OK</v>
      </c>
    </row>
    <row r="4280" spans="1:10" x14ac:dyDescent="0.2">
      <c r="A4280">
        <v>14279</v>
      </c>
      <c r="B4280" t="s">
        <v>8</v>
      </c>
      <c r="C4280" t="s">
        <v>11</v>
      </c>
      <c r="D4280" s="8">
        <v>4</v>
      </c>
      <c r="E4280">
        <v>8</v>
      </c>
      <c r="F4280" t="str">
        <f t="shared" si="264"/>
        <v>Premium</v>
      </c>
      <c r="G4280" s="3" cm="1">
        <f t="array" ref="G4280">_xlfn.XLOOKUP(C4280 &amp; F4280,
         [1]unilever_price_limits!A:A &amp; [1]unilever_price_limits!B:B,
         [1]unilever_price_limits!C:C)</f>
        <v>50</v>
      </c>
      <c r="H4280" s="8">
        <f t="shared" si="265"/>
        <v>6</v>
      </c>
      <c r="I4280" s="6">
        <f t="shared" si="266"/>
        <v>50</v>
      </c>
      <c r="J4280" t="str">
        <f t="shared" si="267"/>
        <v>OK</v>
      </c>
    </row>
    <row r="4281" spans="1:10" x14ac:dyDescent="0.2">
      <c r="A4281">
        <v>14280</v>
      </c>
      <c r="B4281" t="s">
        <v>8</v>
      </c>
      <c r="C4281" t="s">
        <v>6</v>
      </c>
      <c r="D4281" s="8">
        <v>2.94</v>
      </c>
      <c r="E4281">
        <v>1</v>
      </c>
      <c r="F4281" t="str">
        <f t="shared" si="264"/>
        <v>Value</v>
      </c>
      <c r="G4281" s="3" cm="1">
        <f t="array" ref="G4281">_xlfn.XLOOKUP(C4281 &amp; F4281,
         [1]unilever_price_limits!A:A &amp; [1]unilever_price_limits!B:B,
         [1]unilever_price_limits!C:C)</f>
        <v>12</v>
      </c>
      <c r="H4281" s="8">
        <f t="shared" si="265"/>
        <v>3.2928000000000002</v>
      </c>
      <c r="I4281" s="6">
        <f t="shared" si="266"/>
        <v>12.000000000000011</v>
      </c>
      <c r="J4281" t="str">
        <f t="shared" si="267"/>
        <v>OK</v>
      </c>
    </row>
    <row r="4282" spans="1:10" x14ac:dyDescent="0.2">
      <c r="A4282">
        <v>14281</v>
      </c>
      <c r="B4282" t="s">
        <v>7</v>
      </c>
      <c r="C4282" t="s">
        <v>11</v>
      </c>
      <c r="D4282" s="8">
        <v>14.6</v>
      </c>
      <c r="E4282">
        <v>1</v>
      </c>
      <c r="F4282" t="str">
        <f t="shared" si="264"/>
        <v>Value</v>
      </c>
      <c r="G4282" s="3" cm="1">
        <f t="array" ref="G4282">_xlfn.XLOOKUP(C4282 &amp; F4282,
         [1]unilever_price_limits!A:A &amp; [1]unilever_price_limits!B:B,
         [1]unilever_price_limits!C:C)</f>
        <v>10</v>
      </c>
      <c r="H4282" s="8">
        <f t="shared" si="265"/>
        <v>16.060000000000002</v>
      </c>
      <c r="I4282" s="6">
        <f t="shared" si="266"/>
        <v>10.000000000000009</v>
      </c>
      <c r="J4282" t="str">
        <f t="shared" si="267"/>
        <v>OK</v>
      </c>
    </row>
    <row r="4283" spans="1:10" x14ac:dyDescent="0.2">
      <c r="A4283">
        <v>14282</v>
      </c>
      <c r="B4283" t="s">
        <v>10</v>
      </c>
      <c r="C4283" t="s">
        <v>6</v>
      </c>
      <c r="D4283" s="8">
        <v>9.4499999999999993</v>
      </c>
      <c r="E4283">
        <v>7</v>
      </c>
      <c r="F4283" t="str">
        <f t="shared" si="264"/>
        <v>Standard</v>
      </c>
      <c r="G4283" s="3" cm="1">
        <f t="array" ref="G4283">_xlfn.XLOOKUP(C4283 &amp; F4283,
         [1]unilever_price_limits!A:A &amp; [1]unilever_price_limits!B:B,
         [1]unilever_price_limits!C:C)</f>
        <v>28</v>
      </c>
      <c r="H4283" s="8">
        <f t="shared" si="265"/>
        <v>12.096</v>
      </c>
      <c r="I4283" s="6">
        <f t="shared" si="266"/>
        <v>28.000000000000004</v>
      </c>
      <c r="J4283" t="str">
        <f t="shared" si="267"/>
        <v>OK</v>
      </c>
    </row>
    <row r="4284" spans="1:10" x14ac:dyDescent="0.2">
      <c r="A4284">
        <v>14283</v>
      </c>
      <c r="B4284" t="s">
        <v>10</v>
      </c>
      <c r="C4284" t="s">
        <v>9</v>
      </c>
      <c r="D4284" s="8">
        <v>14.73</v>
      </c>
      <c r="E4284">
        <v>3</v>
      </c>
      <c r="F4284" t="str">
        <f t="shared" si="264"/>
        <v>Value</v>
      </c>
      <c r="G4284" s="3" cm="1">
        <f t="array" ref="G4284">_xlfn.XLOOKUP(C4284 &amp; F4284,
         [1]unilever_price_limits!A:A &amp; [1]unilever_price_limits!B:B,
         [1]unilever_price_limits!C:C)</f>
        <v>15</v>
      </c>
      <c r="H4284" s="8">
        <f t="shared" si="265"/>
        <v>16.939499999999999</v>
      </c>
      <c r="I4284" s="6">
        <f t="shared" si="266"/>
        <v>14.999999999999991</v>
      </c>
      <c r="J4284" t="str">
        <f t="shared" si="267"/>
        <v>OK</v>
      </c>
    </row>
    <row r="4285" spans="1:10" x14ac:dyDescent="0.2">
      <c r="A4285">
        <v>14284</v>
      </c>
      <c r="B4285" t="s">
        <v>10</v>
      </c>
      <c r="C4285" t="s">
        <v>9</v>
      </c>
      <c r="D4285" s="8">
        <v>5.4</v>
      </c>
      <c r="E4285">
        <v>7</v>
      </c>
      <c r="F4285" t="str">
        <f t="shared" si="264"/>
        <v>Standard</v>
      </c>
      <c r="G4285" s="3" cm="1">
        <f t="array" ref="G4285">_xlfn.XLOOKUP(C4285 &amp; F4285,
         [1]unilever_price_limits!A:A &amp; [1]unilever_price_limits!B:B,
         [1]unilever_price_limits!C:C)</f>
        <v>30</v>
      </c>
      <c r="H4285" s="8">
        <f t="shared" si="265"/>
        <v>7.0200000000000005</v>
      </c>
      <c r="I4285" s="6">
        <f t="shared" si="266"/>
        <v>30.000000000000004</v>
      </c>
      <c r="J4285" t="str">
        <f t="shared" si="267"/>
        <v>OK</v>
      </c>
    </row>
    <row r="4286" spans="1:10" x14ac:dyDescent="0.2">
      <c r="A4286">
        <v>14285</v>
      </c>
      <c r="B4286" t="s">
        <v>5</v>
      </c>
      <c r="C4286" t="s">
        <v>6</v>
      </c>
      <c r="D4286" s="8">
        <v>10.69</v>
      </c>
      <c r="E4286">
        <v>9</v>
      </c>
      <c r="F4286" t="str">
        <f t="shared" si="264"/>
        <v>Premium</v>
      </c>
      <c r="G4286" s="3" cm="1">
        <f t="array" ref="G4286">_xlfn.XLOOKUP(C4286 &amp; F4286,
         [1]unilever_price_limits!A:A &amp; [1]unilever_price_limits!B:B,
         [1]unilever_price_limits!C:C)</f>
        <v>55</v>
      </c>
      <c r="H4286" s="8">
        <f t="shared" si="265"/>
        <v>16.569500000000001</v>
      </c>
      <c r="I4286" s="6">
        <f t="shared" si="266"/>
        <v>55.000000000000028</v>
      </c>
      <c r="J4286" t="str">
        <f t="shared" si="267"/>
        <v>OK</v>
      </c>
    </row>
    <row r="4287" spans="1:10" x14ac:dyDescent="0.2">
      <c r="A4287">
        <v>14286</v>
      </c>
      <c r="B4287" t="s">
        <v>7</v>
      </c>
      <c r="C4287" t="s">
        <v>11</v>
      </c>
      <c r="D4287" s="8">
        <v>3.73</v>
      </c>
      <c r="E4287">
        <v>3</v>
      </c>
      <c r="F4287" t="str">
        <f t="shared" si="264"/>
        <v>Value</v>
      </c>
      <c r="G4287" s="3" cm="1">
        <f t="array" ref="G4287">_xlfn.XLOOKUP(C4287 &amp; F4287,
         [1]unilever_price_limits!A:A &amp; [1]unilever_price_limits!B:B,
         [1]unilever_price_limits!C:C)</f>
        <v>10</v>
      </c>
      <c r="H4287" s="8">
        <f t="shared" si="265"/>
        <v>4.1030000000000006</v>
      </c>
      <c r="I4287" s="6">
        <f t="shared" si="266"/>
        <v>10.000000000000009</v>
      </c>
      <c r="J4287" t="str">
        <f t="shared" si="267"/>
        <v>OK</v>
      </c>
    </row>
    <row r="4288" spans="1:10" x14ac:dyDescent="0.2">
      <c r="A4288">
        <v>14287</v>
      </c>
      <c r="B4288" t="s">
        <v>7</v>
      </c>
      <c r="C4288" t="s">
        <v>9</v>
      </c>
      <c r="D4288" s="8">
        <v>4.29</v>
      </c>
      <c r="E4288">
        <v>3</v>
      </c>
      <c r="F4288" t="str">
        <f t="shared" si="264"/>
        <v>Value</v>
      </c>
      <c r="G4288" s="3" cm="1">
        <f t="array" ref="G4288">_xlfn.XLOOKUP(C4288 &amp; F4288,
         [1]unilever_price_limits!A:A &amp; [1]unilever_price_limits!B:B,
         [1]unilever_price_limits!C:C)</f>
        <v>15</v>
      </c>
      <c r="H4288" s="8">
        <f t="shared" si="265"/>
        <v>4.9334999999999996</v>
      </c>
      <c r="I4288" s="6">
        <f t="shared" si="266"/>
        <v>14.999999999999991</v>
      </c>
      <c r="J4288" t="str">
        <f t="shared" si="267"/>
        <v>OK</v>
      </c>
    </row>
    <row r="4289" spans="1:10" x14ac:dyDescent="0.2">
      <c r="A4289">
        <v>14288</v>
      </c>
      <c r="B4289" t="s">
        <v>8</v>
      </c>
      <c r="C4289" t="s">
        <v>11</v>
      </c>
      <c r="D4289" s="8">
        <v>7.92</v>
      </c>
      <c r="E4289">
        <v>2</v>
      </c>
      <c r="F4289" t="str">
        <f t="shared" si="264"/>
        <v>Value</v>
      </c>
      <c r="G4289" s="3" cm="1">
        <f t="array" ref="G4289">_xlfn.XLOOKUP(C4289 &amp; F4289,
         [1]unilever_price_limits!A:A &amp; [1]unilever_price_limits!B:B,
         [1]unilever_price_limits!C:C)</f>
        <v>10</v>
      </c>
      <c r="H4289" s="8">
        <f t="shared" si="265"/>
        <v>8.7119999999999997</v>
      </c>
      <c r="I4289" s="6">
        <f t="shared" si="266"/>
        <v>9.9999999999999858</v>
      </c>
      <c r="J4289" t="str">
        <f t="shared" si="267"/>
        <v>OK</v>
      </c>
    </row>
    <row r="4290" spans="1:10" x14ac:dyDescent="0.2">
      <c r="A4290">
        <v>14289</v>
      </c>
      <c r="B4290" t="s">
        <v>5</v>
      </c>
      <c r="C4290" t="s">
        <v>6</v>
      </c>
      <c r="D4290" s="8">
        <v>5.13</v>
      </c>
      <c r="E4290">
        <v>10</v>
      </c>
      <c r="F4290" t="str">
        <f t="shared" si="264"/>
        <v>Premium</v>
      </c>
      <c r="G4290" s="3" cm="1">
        <f t="array" ref="G4290">_xlfn.XLOOKUP(C4290 &amp; F4290,
         [1]unilever_price_limits!A:A &amp; [1]unilever_price_limits!B:B,
         [1]unilever_price_limits!C:C)</f>
        <v>55</v>
      </c>
      <c r="H4290" s="8">
        <f t="shared" si="265"/>
        <v>7.9515000000000002</v>
      </c>
      <c r="I4290" s="6">
        <f t="shared" si="266"/>
        <v>55.000000000000007</v>
      </c>
      <c r="J4290" t="str">
        <f t="shared" si="267"/>
        <v>OK</v>
      </c>
    </row>
    <row r="4291" spans="1:10" x14ac:dyDescent="0.2">
      <c r="A4291">
        <v>14290</v>
      </c>
      <c r="B4291" t="s">
        <v>10</v>
      </c>
      <c r="C4291" t="s">
        <v>6</v>
      </c>
      <c r="D4291" s="8">
        <v>2.93</v>
      </c>
      <c r="E4291">
        <v>1</v>
      </c>
      <c r="F4291" t="str">
        <f t="shared" ref="F4291:F4354" si="268">IF(E4291&lt;=3,"Value",
 IF(E4291&lt;=7,"Standard","Premium"))</f>
        <v>Value</v>
      </c>
      <c r="G4291" s="3" cm="1">
        <f t="array" ref="G4291">_xlfn.XLOOKUP(C4291 &amp; F4291,
         [1]unilever_price_limits!A:A &amp; [1]unilever_price_limits!B:B,
         [1]unilever_price_limits!C:C)</f>
        <v>12</v>
      </c>
      <c r="H4291" s="8">
        <f t="shared" ref="H4291:H4354" si="269">D4291 * (1 + G4291/100)</f>
        <v>3.2816000000000005</v>
      </c>
      <c r="I4291" s="6">
        <f t="shared" ref="I4291:I4354" si="270">(H4291 / D4291 - 1) * 100</f>
        <v>12.000000000000011</v>
      </c>
      <c r="J4291" t="str">
        <f t="shared" ref="J4291:J4354" si="271">IF(I4290&gt; G4290, "⚠ Exceeds Limit", "OK")</f>
        <v>OK</v>
      </c>
    </row>
    <row r="4292" spans="1:10" x14ac:dyDescent="0.2">
      <c r="A4292">
        <v>14291</v>
      </c>
      <c r="B4292" t="s">
        <v>5</v>
      </c>
      <c r="C4292" t="s">
        <v>9</v>
      </c>
      <c r="D4292" s="8">
        <v>4.3099999999999996</v>
      </c>
      <c r="E4292">
        <v>9</v>
      </c>
      <c r="F4292" t="str">
        <f t="shared" si="268"/>
        <v>Premium</v>
      </c>
      <c r="G4292" s="3" cm="1">
        <f t="array" ref="G4292">_xlfn.XLOOKUP(C4292 &amp; F4292,
         [1]unilever_price_limits!A:A &amp; [1]unilever_price_limits!B:B,
         [1]unilever_price_limits!C:C)</f>
        <v>60</v>
      </c>
      <c r="H4292" s="8">
        <f t="shared" si="269"/>
        <v>6.8959999999999999</v>
      </c>
      <c r="I4292" s="6">
        <f t="shared" si="270"/>
        <v>60.000000000000007</v>
      </c>
      <c r="J4292" t="str">
        <f t="shared" si="271"/>
        <v>OK</v>
      </c>
    </row>
    <row r="4293" spans="1:10" x14ac:dyDescent="0.2">
      <c r="A4293">
        <v>14292</v>
      </c>
      <c r="B4293" t="s">
        <v>7</v>
      </c>
      <c r="C4293" t="s">
        <v>6</v>
      </c>
      <c r="D4293" s="8">
        <v>1.02</v>
      </c>
      <c r="E4293">
        <v>6</v>
      </c>
      <c r="F4293" t="str">
        <f t="shared" si="268"/>
        <v>Standard</v>
      </c>
      <c r="G4293" s="3" cm="1">
        <f t="array" ref="G4293">_xlfn.XLOOKUP(C4293 &amp; F4293,
         [1]unilever_price_limits!A:A &amp; [1]unilever_price_limits!B:B,
         [1]unilever_price_limits!C:C)</f>
        <v>28</v>
      </c>
      <c r="H4293" s="8">
        <f t="shared" si="269"/>
        <v>1.3056000000000001</v>
      </c>
      <c r="I4293" s="6">
        <f t="shared" si="270"/>
        <v>28.000000000000004</v>
      </c>
      <c r="J4293" t="str">
        <f t="shared" si="271"/>
        <v>OK</v>
      </c>
    </row>
    <row r="4294" spans="1:10" x14ac:dyDescent="0.2">
      <c r="A4294">
        <v>14293</v>
      </c>
      <c r="B4294" t="s">
        <v>7</v>
      </c>
      <c r="C4294" t="s">
        <v>9</v>
      </c>
      <c r="D4294" s="8">
        <v>10.71</v>
      </c>
      <c r="E4294">
        <v>6</v>
      </c>
      <c r="F4294" t="str">
        <f t="shared" si="268"/>
        <v>Standard</v>
      </c>
      <c r="G4294" s="3" cm="1">
        <f t="array" ref="G4294">_xlfn.XLOOKUP(C4294 &amp; F4294,
         [1]unilever_price_limits!A:A &amp; [1]unilever_price_limits!B:B,
         [1]unilever_price_limits!C:C)</f>
        <v>30</v>
      </c>
      <c r="H4294" s="8">
        <f t="shared" si="269"/>
        <v>13.923000000000002</v>
      </c>
      <c r="I4294" s="6">
        <f t="shared" si="270"/>
        <v>30.000000000000004</v>
      </c>
      <c r="J4294" t="str">
        <f t="shared" si="271"/>
        <v>OK</v>
      </c>
    </row>
    <row r="4295" spans="1:10" x14ac:dyDescent="0.2">
      <c r="A4295">
        <v>14294</v>
      </c>
      <c r="B4295" t="s">
        <v>8</v>
      </c>
      <c r="C4295" t="s">
        <v>11</v>
      </c>
      <c r="D4295" s="8">
        <v>7.64</v>
      </c>
      <c r="E4295">
        <v>8</v>
      </c>
      <c r="F4295" t="str">
        <f t="shared" si="268"/>
        <v>Premium</v>
      </c>
      <c r="G4295" s="3" cm="1">
        <f t="array" ref="G4295">_xlfn.XLOOKUP(C4295 &amp; F4295,
         [1]unilever_price_limits!A:A &amp; [1]unilever_price_limits!B:B,
         [1]unilever_price_limits!C:C)</f>
        <v>50</v>
      </c>
      <c r="H4295" s="8">
        <f t="shared" si="269"/>
        <v>11.459999999999999</v>
      </c>
      <c r="I4295" s="6">
        <f t="shared" si="270"/>
        <v>50</v>
      </c>
      <c r="J4295" t="str">
        <f t="shared" si="271"/>
        <v>OK</v>
      </c>
    </row>
    <row r="4296" spans="1:10" x14ac:dyDescent="0.2">
      <c r="A4296">
        <v>14295</v>
      </c>
      <c r="B4296" t="s">
        <v>8</v>
      </c>
      <c r="C4296" t="s">
        <v>9</v>
      </c>
      <c r="D4296" s="8">
        <v>1.87</v>
      </c>
      <c r="E4296">
        <v>5</v>
      </c>
      <c r="F4296" t="str">
        <f t="shared" si="268"/>
        <v>Standard</v>
      </c>
      <c r="G4296" s="3" cm="1">
        <f t="array" ref="G4296">_xlfn.XLOOKUP(C4296 &amp; F4296,
         [1]unilever_price_limits!A:A &amp; [1]unilever_price_limits!B:B,
         [1]unilever_price_limits!C:C)</f>
        <v>30</v>
      </c>
      <c r="H4296" s="8">
        <f t="shared" si="269"/>
        <v>2.431</v>
      </c>
      <c r="I4296" s="6">
        <f t="shared" si="270"/>
        <v>30.000000000000004</v>
      </c>
      <c r="J4296" t="str">
        <f t="shared" si="271"/>
        <v>OK</v>
      </c>
    </row>
    <row r="4297" spans="1:10" x14ac:dyDescent="0.2">
      <c r="A4297">
        <v>14296</v>
      </c>
      <c r="B4297" t="s">
        <v>7</v>
      </c>
      <c r="C4297" t="s">
        <v>9</v>
      </c>
      <c r="D4297" s="8">
        <v>2.99</v>
      </c>
      <c r="E4297">
        <v>9</v>
      </c>
      <c r="F4297" t="str">
        <f t="shared" si="268"/>
        <v>Premium</v>
      </c>
      <c r="G4297" s="3" cm="1">
        <f t="array" ref="G4297">_xlfn.XLOOKUP(C4297 &amp; F4297,
         [1]unilever_price_limits!A:A &amp; [1]unilever_price_limits!B:B,
         [1]unilever_price_limits!C:C)</f>
        <v>60</v>
      </c>
      <c r="H4297" s="8">
        <f t="shared" si="269"/>
        <v>4.7840000000000007</v>
      </c>
      <c r="I4297" s="6">
        <f t="shared" si="270"/>
        <v>60.000000000000007</v>
      </c>
      <c r="J4297" t="str">
        <f t="shared" si="271"/>
        <v>OK</v>
      </c>
    </row>
    <row r="4298" spans="1:10" x14ac:dyDescent="0.2">
      <c r="A4298">
        <v>14297</v>
      </c>
      <c r="B4298" t="s">
        <v>10</v>
      </c>
      <c r="C4298" t="s">
        <v>11</v>
      </c>
      <c r="D4298" s="8">
        <v>1.99</v>
      </c>
      <c r="E4298">
        <v>5</v>
      </c>
      <c r="F4298" t="str">
        <f t="shared" si="268"/>
        <v>Standard</v>
      </c>
      <c r="G4298" s="3" cm="1">
        <f t="array" ref="G4298">_xlfn.XLOOKUP(C4298 &amp; F4298,
         [1]unilever_price_limits!A:A &amp; [1]unilever_price_limits!B:B,
         [1]unilever_price_limits!C:C)</f>
        <v>25</v>
      </c>
      <c r="H4298" s="8">
        <f t="shared" si="269"/>
        <v>2.4874999999999998</v>
      </c>
      <c r="I4298" s="6">
        <f t="shared" si="270"/>
        <v>25</v>
      </c>
      <c r="J4298" t="str">
        <f t="shared" si="271"/>
        <v>OK</v>
      </c>
    </row>
    <row r="4299" spans="1:10" x14ac:dyDescent="0.2">
      <c r="A4299">
        <v>14298</v>
      </c>
      <c r="B4299" t="s">
        <v>10</v>
      </c>
      <c r="C4299" t="s">
        <v>9</v>
      </c>
      <c r="D4299" s="8">
        <v>9.3800000000000008</v>
      </c>
      <c r="E4299">
        <v>2</v>
      </c>
      <c r="F4299" t="str">
        <f t="shared" si="268"/>
        <v>Value</v>
      </c>
      <c r="G4299" s="3" cm="1">
        <f t="array" ref="G4299">_xlfn.XLOOKUP(C4299 &amp; F4299,
         [1]unilever_price_limits!A:A &amp; [1]unilever_price_limits!B:B,
         [1]unilever_price_limits!C:C)</f>
        <v>15</v>
      </c>
      <c r="H4299" s="8">
        <f t="shared" si="269"/>
        <v>10.787000000000001</v>
      </c>
      <c r="I4299" s="6">
        <f t="shared" si="270"/>
        <v>14.999999999999991</v>
      </c>
      <c r="J4299" t="str">
        <f t="shared" si="271"/>
        <v>OK</v>
      </c>
    </row>
    <row r="4300" spans="1:10" x14ac:dyDescent="0.2">
      <c r="A4300">
        <v>14299</v>
      </c>
      <c r="B4300" t="s">
        <v>5</v>
      </c>
      <c r="C4300" t="s">
        <v>9</v>
      </c>
      <c r="D4300" s="8">
        <v>1.87</v>
      </c>
      <c r="E4300">
        <v>6</v>
      </c>
      <c r="F4300" t="str">
        <f t="shared" si="268"/>
        <v>Standard</v>
      </c>
      <c r="G4300" s="3" cm="1">
        <f t="array" ref="G4300">_xlfn.XLOOKUP(C4300 &amp; F4300,
         [1]unilever_price_limits!A:A &amp; [1]unilever_price_limits!B:B,
         [1]unilever_price_limits!C:C)</f>
        <v>30</v>
      </c>
      <c r="H4300" s="8">
        <f t="shared" si="269"/>
        <v>2.431</v>
      </c>
      <c r="I4300" s="6">
        <f t="shared" si="270"/>
        <v>30.000000000000004</v>
      </c>
      <c r="J4300" t="str">
        <f t="shared" si="271"/>
        <v>OK</v>
      </c>
    </row>
    <row r="4301" spans="1:10" x14ac:dyDescent="0.2">
      <c r="A4301">
        <v>14300</v>
      </c>
      <c r="B4301" t="s">
        <v>7</v>
      </c>
      <c r="C4301" t="s">
        <v>6</v>
      </c>
      <c r="D4301" s="8">
        <v>11.44</v>
      </c>
      <c r="E4301">
        <v>9</v>
      </c>
      <c r="F4301" t="str">
        <f t="shared" si="268"/>
        <v>Premium</v>
      </c>
      <c r="G4301" s="3" cm="1">
        <f t="array" ref="G4301">_xlfn.XLOOKUP(C4301 &amp; F4301,
         [1]unilever_price_limits!A:A &amp; [1]unilever_price_limits!B:B,
         [1]unilever_price_limits!C:C)</f>
        <v>55</v>
      </c>
      <c r="H4301" s="8">
        <f t="shared" si="269"/>
        <v>17.731999999999999</v>
      </c>
      <c r="I4301" s="6">
        <f t="shared" si="270"/>
        <v>55.000000000000007</v>
      </c>
      <c r="J4301" t="str">
        <f t="shared" si="271"/>
        <v>OK</v>
      </c>
    </row>
    <row r="4302" spans="1:10" x14ac:dyDescent="0.2">
      <c r="A4302">
        <v>14301</v>
      </c>
      <c r="B4302" t="s">
        <v>7</v>
      </c>
      <c r="C4302" t="s">
        <v>11</v>
      </c>
      <c r="D4302" s="8">
        <v>0.8</v>
      </c>
      <c r="E4302">
        <v>3</v>
      </c>
      <c r="F4302" t="str">
        <f t="shared" si="268"/>
        <v>Value</v>
      </c>
      <c r="G4302" s="3" cm="1">
        <f t="array" ref="G4302">_xlfn.XLOOKUP(C4302 &amp; F4302,
         [1]unilever_price_limits!A:A &amp; [1]unilever_price_limits!B:B,
         [1]unilever_price_limits!C:C)</f>
        <v>10</v>
      </c>
      <c r="H4302" s="8">
        <f t="shared" si="269"/>
        <v>0.88000000000000012</v>
      </c>
      <c r="I4302" s="6">
        <f t="shared" si="270"/>
        <v>10.000000000000009</v>
      </c>
      <c r="J4302" t="str">
        <f t="shared" si="271"/>
        <v>OK</v>
      </c>
    </row>
    <row r="4303" spans="1:10" x14ac:dyDescent="0.2">
      <c r="A4303">
        <v>14302</v>
      </c>
      <c r="B4303" t="s">
        <v>10</v>
      </c>
      <c r="C4303" t="s">
        <v>9</v>
      </c>
      <c r="D4303" s="8">
        <v>4.12</v>
      </c>
      <c r="E4303">
        <v>10</v>
      </c>
      <c r="F4303" t="str">
        <f t="shared" si="268"/>
        <v>Premium</v>
      </c>
      <c r="G4303" s="3" cm="1">
        <f t="array" ref="G4303">_xlfn.XLOOKUP(C4303 &amp; F4303,
         [1]unilever_price_limits!A:A &amp; [1]unilever_price_limits!B:B,
         [1]unilever_price_limits!C:C)</f>
        <v>60</v>
      </c>
      <c r="H4303" s="8">
        <f t="shared" si="269"/>
        <v>6.5920000000000005</v>
      </c>
      <c r="I4303" s="6">
        <f t="shared" si="270"/>
        <v>60.000000000000007</v>
      </c>
      <c r="J4303" t="str">
        <f t="shared" si="271"/>
        <v>OK</v>
      </c>
    </row>
    <row r="4304" spans="1:10" x14ac:dyDescent="0.2">
      <c r="A4304">
        <v>14303</v>
      </c>
      <c r="B4304" t="s">
        <v>10</v>
      </c>
      <c r="C4304" t="s">
        <v>11</v>
      </c>
      <c r="D4304" s="8">
        <v>13.41</v>
      </c>
      <c r="E4304">
        <v>4</v>
      </c>
      <c r="F4304" t="str">
        <f t="shared" si="268"/>
        <v>Standard</v>
      </c>
      <c r="G4304" s="3" cm="1">
        <f t="array" ref="G4304">_xlfn.XLOOKUP(C4304 &amp; F4304,
         [1]unilever_price_limits!A:A &amp; [1]unilever_price_limits!B:B,
         [1]unilever_price_limits!C:C)</f>
        <v>25</v>
      </c>
      <c r="H4304" s="8">
        <f t="shared" si="269"/>
        <v>16.762499999999999</v>
      </c>
      <c r="I4304" s="6">
        <f t="shared" si="270"/>
        <v>25</v>
      </c>
      <c r="J4304" t="str">
        <f t="shared" si="271"/>
        <v>OK</v>
      </c>
    </row>
    <row r="4305" spans="1:10" x14ac:dyDescent="0.2">
      <c r="A4305">
        <v>14304</v>
      </c>
      <c r="B4305" t="s">
        <v>7</v>
      </c>
      <c r="C4305" t="s">
        <v>11</v>
      </c>
      <c r="D4305" s="8">
        <v>10.92</v>
      </c>
      <c r="E4305">
        <v>10</v>
      </c>
      <c r="F4305" t="str">
        <f t="shared" si="268"/>
        <v>Premium</v>
      </c>
      <c r="G4305" s="3" cm="1">
        <f t="array" ref="G4305">_xlfn.XLOOKUP(C4305 &amp; F4305,
         [1]unilever_price_limits!A:A &amp; [1]unilever_price_limits!B:B,
         [1]unilever_price_limits!C:C)</f>
        <v>50</v>
      </c>
      <c r="H4305" s="8">
        <f t="shared" si="269"/>
        <v>16.38</v>
      </c>
      <c r="I4305" s="6">
        <f t="shared" si="270"/>
        <v>50</v>
      </c>
      <c r="J4305" t="str">
        <f t="shared" si="271"/>
        <v>OK</v>
      </c>
    </row>
    <row r="4306" spans="1:10" x14ac:dyDescent="0.2">
      <c r="A4306">
        <v>14305</v>
      </c>
      <c r="B4306" t="s">
        <v>8</v>
      </c>
      <c r="C4306" t="s">
        <v>9</v>
      </c>
      <c r="D4306" s="8">
        <v>1.56</v>
      </c>
      <c r="E4306">
        <v>8</v>
      </c>
      <c r="F4306" t="str">
        <f t="shared" si="268"/>
        <v>Premium</v>
      </c>
      <c r="G4306" s="3" cm="1">
        <f t="array" ref="G4306">_xlfn.XLOOKUP(C4306 &amp; F4306,
         [1]unilever_price_limits!A:A &amp; [1]unilever_price_limits!B:B,
         [1]unilever_price_limits!C:C)</f>
        <v>60</v>
      </c>
      <c r="H4306" s="8">
        <f t="shared" si="269"/>
        <v>2.4960000000000004</v>
      </c>
      <c r="I4306" s="6">
        <f t="shared" si="270"/>
        <v>60.000000000000028</v>
      </c>
      <c r="J4306" t="str">
        <f t="shared" si="271"/>
        <v>OK</v>
      </c>
    </row>
    <row r="4307" spans="1:10" x14ac:dyDescent="0.2">
      <c r="A4307">
        <v>14306</v>
      </c>
      <c r="B4307" t="s">
        <v>7</v>
      </c>
      <c r="C4307" t="s">
        <v>6</v>
      </c>
      <c r="D4307" s="8">
        <v>12.41</v>
      </c>
      <c r="E4307">
        <v>6</v>
      </c>
      <c r="F4307" t="str">
        <f t="shared" si="268"/>
        <v>Standard</v>
      </c>
      <c r="G4307" s="3" cm="1">
        <f t="array" ref="G4307">_xlfn.XLOOKUP(C4307 &amp; F4307,
         [1]unilever_price_limits!A:A &amp; [1]unilever_price_limits!B:B,
         [1]unilever_price_limits!C:C)</f>
        <v>28</v>
      </c>
      <c r="H4307" s="8">
        <f t="shared" si="269"/>
        <v>15.8848</v>
      </c>
      <c r="I4307" s="6">
        <f t="shared" si="270"/>
        <v>28.000000000000004</v>
      </c>
      <c r="J4307" t="str">
        <f t="shared" si="271"/>
        <v>OK</v>
      </c>
    </row>
    <row r="4308" spans="1:10" x14ac:dyDescent="0.2">
      <c r="A4308">
        <v>14307</v>
      </c>
      <c r="B4308" t="s">
        <v>7</v>
      </c>
      <c r="C4308" t="s">
        <v>11</v>
      </c>
      <c r="D4308" s="8">
        <v>7.65</v>
      </c>
      <c r="E4308">
        <v>7</v>
      </c>
      <c r="F4308" t="str">
        <f t="shared" si="268"/>
        <v>Standard</v>
      </c>
      <c r="G4308" s="3" cm="1">
        <f t="array" ref="G4308">_xlfn.XLOOKUP(C4308 &amp; F4308,
         [1]unilever_price_limits!A:A &amp; [1]unilever_price_limits!B:B,
         [1]unilever_price_limits!C:C)</f>
        <v>25</v>
      </c>
      <c r="H4308" s="8">
        <f t="shared" si="269"/>
        <v>9.5625</v>
      </c>
      <c r="I4308" s="6">
        <f t="shared" si="270"/>
        <v>25</v>
      </c>
      <c r="J4308" t="str">
        <f t="shared" si="271"/>
        <v>OK</v>
      </c>
    </row>
    <row r="4309" spans="1:10" x14ac:dyDescent="0.2">
      <c r="A4309">
        <v>14308</v>
      </c>
      <c r="B4309" t="s">
        <v>10</v>
      </c>
      <c r="C4309" t="s">
        <v>9</v>
      </c>
      <c r="D4309" s="8">
        <v>12.78</v>
      </c>
      <c r="E4309">
        <v>7</v>
      </c>
      <c r="F4309" t="str">
        <f t="shared" si="268"/>
        <v>Standard</v>
      </c>
      <c r="G4309" s="3" cm="1">
        <f t="array" ref="G4309">_xlfn.XLOOKUP(C4309 &amp; F4309,
         [1]unilever_price_limits!A:A &amp; [1]unilever_price_limits!B:B,
         [1]unilever_price_limits!C:C)</f>
        <v>30</v>
      </c>
      <c r="H4309" s="8">
        <f t="shared" si="269"/>
        <v>16.614000000000001</v>
      </c>
      <c r="I4309" s="6">
        <f t="shared" si="270"/>
        <v>30.000000000000004</v>
      </c>
      <c r="J4309" t="str">
        <f t="shared" si="271"/>
        <v>OK</v>
      </c>
    </row>
    <row r="4310" spans="1:10" x14ac:dyDescent="0.2">
      <c r="A4310">
        <v>14309</v>
      </c>
      <c r="B4310" t="s">
        <v>10</v>
      </c>
      <c r="C4310" t="s">
        <v>11</v>
      </c>
      <c r="D4310" s="8">
        <v>9.2100000000000009</v>
      </c>
      <c r="E4310">
        <v>4</v>
      </c>
      <c r="F4310" t="str">
        <f t="shared" si="268"/>
        <v>Standard</v>
      </c>
      <c r="G4310" s="3" cm="1">
        <f t="array" ref="G4310">_xlfn.XLOOKUP(C4310 &amp; F4310,
         [1]unilever_price_limits!A:A &amp; [1]unilever_price_limits!B:B,
         [1]unilever_price_limits!C:C)</f>
        <v>25</v>
      </c>
      <c r="H4310" s="8">
        <f t="shared" si="269"/>
        <v>11.512500000000001</v>
      </c>
      <c r="I4310" s="6">
        <f t="shared" si="270"/>
        <v>25</v>
      </c>
      <c r="J4310" t="str">
        <f t="shared" si="271"/>
        <v>OK</v>
      </c>
    </row>
    <row r="4311" spans="1:10" x14ac:dyDescent="0.2">
      <c r="A4311">
        <v>14310</v>
      </c>
      <c r="B4311" t="s">
        <v>8</v>
      </c>
      <c r="C4311" t="s">
        <v>6</v>
      </c>
      <c r="D4311" s="8">
        <v>10.39</v>
      </c>
      <c r="E4311">
        <v>6</v>
      </c>
      <c r="F4311" t="str">
        <f t="shared" si="268"/>
        <v>Standard</v>
      </c>
      <c r="G4311" s="3" cm="1">
        <f t="array" ref="G4311">_xlfn.XLOOKUP(C4311 &amp; F4311,
         [1]unilever_price_limits!A:A &amp; [1]unilever_price_limits!B:B,
         [1]unilever_price_limits!C:C)</f>
        <v>28</v>
      </c>
      <c r="H4311" s="8">
        <f t="shared" si="269"/>
        <v>13.299200000000001</v>
      </c>
      <c r="I4311" s="6">
        <f t="shared" si="270"/>
        <v>28.000000000000004</v>
      </c>
      <c r="J4311" t="str">
        <f t="shared" si="271"/>
        <v>OK</v>
      </c>
    </row>
    <row r="4312" spans="1:10" x14ac:dyDescent="0.2">
      <c r="A4312">
        <v>14311</v>
      </c>
      <c r="B4312" t="s">
        <v>8</v>
      </c>
      <c r="C4312" t="s">
        <v>6</v>
      </c>
      <c r="D4312" s="8">
        <v>14.91</v>
      </c>
      <c r="E4312">
        <v>9</v>
      </c>
      <c r="F4312" t="str">
        <f t="shared" si="268"/>
        <v>Premium</v>
      </c>
      <c r="G4312" s="3" cm="1">
        <f t="array" ref="G4312">_xlfn.XLOOKUP(C4312 &amp; F4312,
         [1]unilever_price_limits!A:A &amp; [1]unilever_price_limits!B:B,
         [1]unilever_price_limits!C:C)</f>
        <v>55</v>
      </c>
      <c r="H4312" s="8">
        <f t="shared" si="269"/>
        <v>23.110500000000002</v>
      </c>
      <c r="I4312" s="6">
        <f t="shared" si="270"/>
        <v>55.000000000000007</v>
      </c>
      <c r="J4312" t="str">
        <f t="shared" si="271"/>
        <v>OK</v>
      </c>
    </row>
    <row r="4313" spans="1:10" x14ac:dyDescent="0.2">
      <c r="A4313">
        <v>14312</v>
      </c>
      <c r="B4313" t="s">
        <v>5</v>
      </c>
      <c r="C4313" t="s">
        <v>6</v>
      </c>
      <c r="D4313" s="8">
        <v>3.87</v>
      </c>
      <c r="E4313">
        <v>3</v>
      </c>
      <c r="F4313" t="str">
        <f t="shared" si="268"/>
        <v>Value</v>
      </c>
      <c r="G4313" s="3" cm="1">
        <f t="array" ref="G4313">_xlfn.XLOOKUP(C4313 &amp; F4313,
         [1]unilever_price_limits!A:A &amp; [1]unilever_price_limits!B:B,
         [1]unilever_price_limits!C:C)</f>
        <v>12</v>
      </c>
      <c r="H4313" s="8">
        <f t="shared" si="269"/>
        <v>4.3344000000000005</v>
      </c>
      <c r="I4313" s="6">
        <f t="shared" si="270"/>
        <v>12.000000000000011</v>
      </c>
      <c r="J4313" t="str">
        <f t="shared" si="271"/>
        <v>OK</v>
      </c>
    </row>
    <row r="4314" spans="1:10" x14ac:dyDescent="0.2">
      <c r="A4314">
        <v>14313</v>
      </c>
      <c r="B4314" t="s">
        <v>7</v>
      </c>
      <c r="C4314" t="s">
        <v>9</v>
      </c>
      <c r="D4314" s="8">
        <v>9.5500000000000007</v>
      </c>
      <c r="E4314">
        <v>8</v>
      </c>
      <c r="F4314" t="str">
        <f t="shared" si="268"/>
        <v>Premium</v>
      </c>
      <c r="G4314" s="3" cm="1">
        <f t="array" ref="G4314">_xlfn.XLOOKUP(C4314 &amp; F4314,
         [1]unilever_price_limits!A:A &amp; [1]unilever_price_limits!B:B,
         [1]unilever_price_limits!C:C)</f>
        <v>60</v>
      </c>
      <c r="H4314" s="8">
        <f t="shared" si="269"/>
        <v>15.280000000000001</v>
      </c>
      <c r="I4314" s="6">
        <f t="shared" si="270"/>
        <v>60.000000000000007</v>
      </c>
      <c r="J4314" t="str">
        <f t="shared" si="271"/>
        <v>OK</v>
      </c>
    </row>
    <row r="4315" spans="1:10" x14ac:dyDescent="0.2">
      <c r="A4315">
        <v>14314</v>
      </c>
      <c r="B4315" t="s">
        <v>10</v>
      </c>
      <c r="C4315" t="s">
        <v>9</v>
      </c>
      <c r="D4315" s="8">
        <v>7.17</v>
      </c>
      <c r="E4315">
        <v>7</v>
      </c>
      <c r="F4315" t="str">
        <f t="shared" si="268"/>
        <v>Standard</v>
      </c>
      <c r="G4315" s="3" cm="1">
        <f t="array" ref="G4315">_xlfn.XLOOKUP(C4315 &amp; F4315,
         [1]unilever_price_limits!A:A &amp; [1]unilever_price_limits!B:B,
         [1]unilever_price_limits!C:C)</f>
        <v>30</v>
      </c>
      <c r="H4315" s="8">
        <f t="shared" si="269"/>
        <v>9.3209999999999997</v>
      </c>
      <c r="I4315" s="6">
        <f t="shared" si="270"/>
        <v>30.000000000000004</v>
      </c>
      <c r="J4315" t="str">
        <f t="shared" si="271"/>
        <v>OK</v>
      </c>
    </row>
    <row r="4316" spans="1:10" x14ac:dyDescent="0.2">
      <c r="A4316">
        <v>14315</v>
      </c>
      <c r="B4316" t="s">
        <v>8</v>
      </c>
      <c r="C4316" t="s">
        <v>6</v>
      </c>
      <c r="D4316" s="8">
        <v>1.07</v>
      </c>
      <c r="E4316">
        <v>4</v>
      </c>
      <c r="F4316" t="str">
        <f t="shared" si="268"/>
        <v>Standard</v>
      </c>
      <c r="G4316" s="3" cm="1">
        <f t="array" ref="G4316">_xlfn.XLOOKUP(C4316 &amp; F4316,
         [1]unilever_price_limits!A:A &amp; [1]unilever_price_limits!B:B,
         [1]unilever_price_limits!C:C)</f>
        <v>28</v>
      </c>
      <c r="H4316" s="8">
        <f t="shared" si="269"/>
        <v>1.3696000000000002</v>
      </c>
      <c r="I4316" s="6">
        <f t="shared" si="270"/>
        <v>28.000000000000004</v>
      </c>
      <c r="J4316" t="str">
        <f t="shared" si="271"/>
        <v>OK</v>
      </c>
    </row>
    <row r="4317" spans="1:10" x14ac:dyDescent="0.2">
      <c r="A4317">
        <v>14316</v>
      </c>
      <c r="B4317" t="s">
        <v>5</v>
      </c>
      <c r="C4317" t="s">
        <v>9</v>
      </c>
      <c r="D4317" s="8">
        <v>0.71</v>
      </c>
      <c r="E4317">
        <v>10</v>
      </c>
      <c r="F4317" t="str">
        <f t="shared" si="268"/>
        <v>Premium</v>
      </c>
      <c r="G4317" s="3" cm="1">
        <f t="array" ref="G4317">_xlfn.XLOOKUP(C4317 &amp; F4317,
         [1]unilever_price_limits!A:A &amp; [1]unilever_price_limits!B:B,
         [1]unilever_price_limits!C:C)</f>
        <v>60</v>
      </c>
      <c r="H4317" s="8">
        <f t="shared" si="269"/>
        <v>1.1359999999999999</v>
      </c>
      <c r="I4317" s="6">
        <f t="shared" si="270"/>
        <v>59.999999999999986</v>
      </c>
      <c r="J4317" t="str">
        <f t="shared" si="271"/>
        <v>OK</v>
      </c>
    </row>
    <row r="4318" spans="1:10" x14ac:dyDescent="0.2">
      <c r="A4318">
        <v>14317</v>
      </c>
      <c r="B4318" t="s">
        <v>5</v>
      </c>
      <c r="C4318" t="s">
        <v>6</v>
      </c>
      <c r="D4318" s="8">
        <v>2.23</v>
      </c>
      <c r="E4318">
        <v>3</v>
      </c>
      <c r="F4318" t="str">
        <f t="shared" si="268"/>
        <v>Value</v>
      </c>
      <c r="G4318" s="3" cm="1">
        <f t="array" ref="G4318">_xlfn.XLOOKUP(C4318 &amp; F4318,
         [1]unilever_price_limits!A:A &amp; [1]unilever_price_limits!B:B,
         [1]unilever_price_limits!C:C)</f>
        <v>12</v>
      </c>
      <c r="H4318" s="8">
        <f t="shared" si="269"/>
        <v>2.4976000000000003</v>
      </c>
      <c r="I4318" s="6">
        <f t="shared" si="270"/>
        <v>12.000000000000011</v>
      </c>
      <c r="J4318" t="str">
        <f t="shared" si="271"/>
        <v>OK</v>
      </c>
    </row>
    <row r="4319" spans="1:10" x14ac:dyDescent="0.2">
      <c r="A4319">
        <v>14318</v>
      </c>
      <c r="B4319" t="s">
        <v>10</v>
      </c>
      <c r="C4319" t="s">
        <v>9</v>
      </c>
      <c r="D4319" s="8">
        <v>9.91</v>
      </c>
      <c r="E4319">
        <v>7</v>
      </c>
      <c r="F4319" t="str">
        <f t="shared" si="268"/>
        <v>Standard</v>
      </c>
      <c r="G4319" s="3" cm="1">
        <f t="array" ref="G4319">_xlfn.XLOOKUP(C4319 &amp; F4319,
         [1]unilever_price_limits!A:A &amp; [1]unilever_price_limits!B:B,
         [1]unilever_price_limits!C:C)</f>
        <v>30</v>
      </c>
      <c r="H4319" s="8">
        <f t="shared" si="269"/>
        <v>12.883000000000001</v>
      </c>
      <c r="I4319" s="6">
        <f t="shared" si="270"/>
        <v>30.000000000000004</v>
      </c>
      <c r="J4319" t="str">
        <f t="shared" si="271"/>
        <v>OK</v>
      </c>
    </row>
    <row r="4320" spans="1:10" x14ac:dyDescent="0.2">
      <c r="A4320">
        <v>14319</v>
      </c>
      <c r="B4320" t="s">
        <v>10</v>
      </c>
      <c r="C4320" t="s">
        <v>6</v>
      </c>
      <c r="D4320" s="8">
        <v>8.7200000000000006</v>
      </c>
      <c r="E4320">
        <v>10</v>
      </c>
      <c r="F4320" t="str">
        <f t="shared" si="268"/>
        <v>Premium</v>
      </c>
      <c r="G4320" s="3" cm="1">
        <f t="array" ref="G4320">_xlfn.XLOOKUP(C4320 &amp; F4320,
         [1]unilever_price_limits!A:A &amp; [1]unilever_price_limits!B:B,
         [1]unilever_price_limits!C:C)</f>
        <v>55</v>
      </c>
      <c r="H4320" s="8">
        <f t="shared" si="269"/>
        <v>13.516000000000002</v>
      </c>
      <c r="I4320" s="6">
        <f t="shared" si="270"/>
        <v>55.000000000000007</v>
      </c>
      <c r="J4320" t="str">
        <f t="shared" si="271"/>
        <v>OK</v>
      </c>
    </row>
    <row r="4321" spans="1:10" x14ac:dyDescent="0.2">
      <c r="A4321">
        <v>14320</v>
      </c>
      <c r="B4321" t="s">
        <v>5</v>
      </c>
      <c r="C4321" t="s">
        <v>11</v>
      </c>
      <c r="D4321" s="8">
        <v>8.52</v>
      </c>
      <c r="E4321">
        <v>9</v>
      </c>
      <c r="F4321" t="str">
        <f t="shared" si="268"/>
        <v>Premium</v>
      </c>
      <c r="G4321" s="3" cm="1">
        <f t="array" ref="G4321">_xlfn.XLOOKUP(C4321 &amp; F4321,
         [1]unilever_price_limits!A:A &amp; [1]unilever_price_limits!B:B,
         [1]unilever_price_limits!C:C)</f>
        <v>50</v>
      </c>
      <c r="H4321" s="8">
        <f t="shared" si="269"/>
        <v>12.78</v>
      </c>
      <c r="I4321" s="6">
        <f t="shared" si="270"/>
        <v>50</v>
      </c>
      <c r="J4321" t="str">
        <f t="shared" si="271"/>
        <v>OK</v>
      </c>
    </row>
    <row r="4322" spans="1:10" x14ac:dyDescent="0.2">
      <c r="A4322">
        <v>14321</v>
      </c>
      <c r="B4322" t="s">
        <v>8</v>
      </c>
      <c r="C4322" t="s">
        <v>6</v>
      </c>
      <c r="D4322" s="8">
        <v>0.96</v>
      </c>
      <c r="E4322">
        <v>10</v>
      </c>
      <c r="F4322" t="str">
        <f t="shared" si="268"/>
        <v>Premium</v>
      </c>
      <c r="G4322" s="3" cm="1">
        <f t="array" ref="G4322">_xlfn.XLOOKUP(C4322 &amp; F4322,
         [1]unilever_price_limits!A:A &amp; [1]unilever_price_limits!B:B,
         [1]unilever_price_limits!C:C)</f>
        <v>55</v>
      </c>
      <c r="H4322" s="8">
        <f t="shared" si="269"/>
        <v>1.488</v>
      </c>
      <c r="I4322" s="6">
        <f t="shared" si="270"/>
        <v>55.000000000000007</v>
      </c>
      <c r="J4322" t="str">
        <f t="shared" si="271"/>
        <v>OK</v>
      </c>
    </row>
    <row r="4323" spans="1:10" x14ac:dyDescent="0.2">
      <c r="A4323">
        <v>14322</v>
      </c>
      <c r="B4323" t="s">
        <v>5</v>
      </c>
      <c r="C4323" t="s">
        <v>6</v>
      </c>
      <c r="D4323" s="8">
        <v>7.3</v>
      </c>
      <c r="E4323">
        <v>3</v>
      </c>
      <c r="F4323" t="str">
        <f t="shared" si="268"/>
        <v>Value</v>
      </c>
      <c r="G4323" s="3" cm="1">
        <f t="array" ref="G4323">_xlfn.XLOOKUP(C4323 &amp; F4323,
         [1]unilever_price_limits!A:A &amp; [1]unilever_price_limits!B:B,
         [1]unilever_price_limits!C:C)</f>
        <v>12</v>
      </c>
      <c r="H4323" s="8">
        <f t="shared" si="269"/>
        <v>8.1760000000000002</v>
      </c>
      <c r="I4323" s="6">
        <f t="shared" si="270"/>
        <v>12.000000000000011</v>
      </c>
      <c r="J4323" t="str">
        <f t="shared" si="271"/>
        <v>OK</v>
      </c>
    </row>
    <row r="4324" spans="1:10" x14ac:dyDescent="0.2">
      <c r="A4324">
        <v>14323</v>
      </c>
      <c r="B4324" t="s">
        <v>7</v>
      </c>
      <c r="C4324" t="s">
        <v>9</v>
      </c>
      <c r="D4324" s="8">
        <v>13.91</v>
      </c>
      <c r="E4324">
        <v>10</v>
      </c>
      <c r="F4324" t="str">
        <f t="shared" si="268"/>
        <v>Premium</v>
      </c>
      <c r="G4324" s="3" cm="1">
        <f t="array" ref="G4324">_xlfn.XLOOKUP(C4324 &amp; F4324,
         [1]unilever_price_limits!A:A &amp; [1]unilever_price_limits!B:B,
         [1]unilever_price_limits!C:C)</f>
        <v>60</v>
      </c>
      <c r="H4324" s="8">
        <f t="shared" si="269"/>
        <v>22.256</v>
      </c>
      <c r="I4324" s="6">
        <f t="shared" si="270"/>
        <v>60.000000000000007</v>
      </c>
      <c r="J4324" t="str">
        <f t="shared" si="271"/>
        <v>OK</v>
      </c>
    </row>
    <row r="4325" spans="1:10" x14ac:dyDescent="0.2">
      <c r="A4325">
        <v>14324</v>
      </c>
      <c r="B4325" t="s">
        <v>7</v>
      </c>
      <c r="C4325" t="s">
        <v>9</v>
      </c>
      <c r="D4325" s="8">
        <v>6.27</v>
      </c>
      <c r="E4325">
        <v>9</v>
      </c>
      <c r="F4325" t="str">
        <f t="shared" si="268"/>
        <v>Premium</v>
      </c>
      <c r="G4325" s="3" cm="1">
        <f t="array" ref="G4325">_xlfn.XLOOKUP(C4325 &amp; F4325,
         [1]unilever_price_limits!A:A &amp; [1]unilever_price_limits!B:B,
         [1]unilever_price_limits!C:C)</f>
        <v>60</v>
      </c>
      <c r="H4325" s="8">
        <f t="shared" si="269"/>
        <v>10.032</v>
      </c>
      <c r="I4325" s="6">
        <f t="shared" si="270"/>
        <v>60.000000000000007</v>
      </c>
      <c r="J4325" t="str">
        <f t="shared" si="271"/>
        <v>OK</v>
      </c>
    </row>
    <row r="4326" spans="1:10" x14ac:dyDescent="0.2">
      <c r="A4326">
        <v>14325</v>
      </c>
      <c r="B4326" t="s">
        <v>10</v>
      </c>
      <c r="C4326" t="s">
        <v>9</v>
      </c>
      <c r="D4326" s="8">
        <v>9.56</v>
      </c>
      <c r="E4326">
        <v>8</v>
      </c>
      <c r="F4326" t="str">
        <f t="shared" si="268"/>
        <v>Premium</v>
      </c>
      <c r="G4326" s="3" cm="1">
        <f t="array" ref="G4326">_xlfn.XLOOKUP(C4326 &amp; F4326,
         [1]unilever_price_limits!A:A &amp; [1]unilever_price_limits!B:B,
         [1]unilever_price_limits!C:C)</f>
        <v>60</v>
      </c>
      <c r="H4326" s="8">
        <f t="shared" si="269"/>
        <v>15.296000000000001</v>
      </c>
      <c r="I4326" s="6">
        <f t="shared" si="270"/>
        <v>60.000000000000007</v>
      </c>
      <c r="J4326" t="str">
        <f t="shared" si="271"/>
        <v>OK</v>
      </c>
    </row>
    <row r="4327" spans="1:10" x14ac:dyDescent="0.2">
      <c r="A4327">
        <v>14326</v>
      </c>
      <c r="B4327" t="s">
        <v>8</v>
      </c>
      <c r="C4327" t="s">
        <v>9</v>
      </c>
      <c r="D4327" s="8">
        <v>11.81</v>
      </c>
      <c r="E4327">
        <v>3</v>
      </c>
      <c r="F4327" t="str">
        <f t="shared" si="268"/>
        <v>Value</v>
      </c>
      <c r="G4327" s="3" cm="1">
        <f t="array" ref="G4327">_xlfn.XLOOKUP(C4327 &amp; F4327,
         [1]unilever_price_limits!A:A &amp; [1]unilever_price_limits!B:B,
         [1]unilever_price_limits!C:C)</f>
        <v>15</v>
      </c>
      <c r="H4327" s="8">
        <f t="shared" si="269"/>
        <v>13.5815</v>
      </c>
      <c r="I4327" s="6">
        <f t="shared" si="270"/>
        <v>14.999999999999991</v>
      </c>
      <c r="J4327" t="str">
        <f t="shared" si="271"/>
        <v>OK</v>
      </c>
    </row>
    <row r="4328" spans="1:10" x14ac:dyDescent="0.2">
      <c r="A4328">
        <v>14327</v>
      </c>
      <c r="B4328" t="s">
        <v>8</v>
      </c>
      <c r="C4328" t="s">
        <v>9</v>
      </c>
      <c r="D4328" s="8">
        <v>11.87</v>
      </c>
      <c r="E4328">
        <v>8</v>
      </c>
      <c r="F4328" t="str">
        <f t="shared" si="268"/>
        <v>Premium</v>
      </c>
      <c r="G4328" s="3" cm="1">
        <f t="array" ref="G4328">_xlfn.XLOOKUP(C4328 &amp; F4328,
         [1]unilever_price_limits!A:A &amp; [1]unilever_price_limits!B:B,
         [1]unilever_price_limits!C:C)</f>
        <v>60</v>
      </c>
      <c r="H4328" s="8">
        <f t="shared" si="269"/>
        <v>18.992000000000001</v>
      </c>
      <c r="I4328" s="6">
        <f t="shared" si="270"/>
        <v>60.000000000000007</v>
      </c>
      <c r="J4328" t="str">
        <f t="shared" si="271"/>
        <v>OK</v>
      </c>
    </row>
    <row r="4329" spans="1:10" x14ac:dyDescent="0.2">
      <c r="A4329">
        <v>14328</v>
      </c>
      <c r="B4329" t="s">
        <v>7</v>
      </c>
      <c r="C4329" t="s">
        <v>9</v>
      </c>
      <c r="D4329" s="8">
        <v>8.0299999999999994</v>
      </c>
      <c r="E4329">
        <v>4</v>
      </c>
      <c r="F4329" t="str">
        <f t="shared" si="268"/>
        <v>Standard</v>
      </c>
      <c r="G4329" s="3" cm="1">
        <f t="array" ref="G4329">_xlfn.XLOOKUP(C4329 &amp; F4329,
         [1]unilever_price_limits!A:A &amp; [1]unilever_price_limits!B:B,
         [1]unilever_price_limits!C:C)</f>
        <v>30</v>
      </c>
      <c r="H4329" s="8">
        <f t="shared" si="269"/>
        <v>10.439</v>
      </c>
      <c r="I4329" s="6">
        <f t="shared" si="270"/>
        <v>30.000000000000004</v>
      </c>
      <c r="J4329" t="str">
        <f t="shared" si="271"/>
        <v>OK</v>
      </c>
    </row>
    <row r="4330" spans="1:10" x14ac:dyDescent="0.2">
      <c r="A4330">
        <v>14329</v>
      </c>
      <c r="B4330" t="s">
        <v>5</v>
      </c>
      <c r="C4330" t="s">
        <v>11</v>
      </c>
      <c r="D4330" s="8">
        <v>12.94</v>
      </c>
      <c r="E4330">
        <v>6</v>
      </c>
      <c r="F4330" t="str">
        <f t="shared" si="268"/>
        <v>Standard</v>
      </c>
      <c r="G4330" s="3" cm="1">
        <f t="array" ref="G4330">_xlfn.XLOOKUP(C4330 &amp; F4330,
         [1]unilever_price_limits!A:A &amp; [1]unilever_price_limits!B:B,
         [1]unilever_price_limits!C:C)</f>
        <v>25</v>
      </c>
      <c r="H4330" s="8">
        <f t="shared" si="269"/>
        <v>16.175000000000001</v>
      </c>
      <c r="I4330" s="6">
        <f t="shared" si="270"/>
        <v>25</v>
      </c>
      <c r="J4330" t="str">
        <f t="shared" si="271"/>
        <v>OK</v>
      </c>
    </row>
    <row r="4331" spans="1:10" x14ac:dyDescent="0.2">
      <c r="A4331">
        <v>14330</v>
      </c>
      <c r="B4331" t="s">
        <v>10</v>
      </c>
      <c r="C4331" t="s">
        <v>6</v>
      </c>
      <c r="D4331" s="8">
        <v>6.17</v>
      </c>
      <c r="E4331">
        <v>10</v>
      </c>
      <c r="F4331" t="str">
        <f t="shared" si="268"/>
        <v>Premium</v>
      </c>
      <c r="G4331" s="3" cm="1">
        <f t="array" ref="G4331">_xlfn.XLOOKUP(C4331 &amp; F4331,
         [1]unilever_price_limits!A:A &amp; [1]unilever_price_limits!B:B,
         [1]unilever_price_limits!C:C)</f>
        <v>55</v>
      </c>
      <c r="H4331" s="8">
        <f t="shared" si="269"/>
        <v>9.5634999999999994</v>
      </c>
      <c r="I4331" s="6">
        <f t="shared" si="270"/>
        <v>54.999999999999986</v>
      </c>
      <c r="J4331" t="str">
        <f t="shared" si="271"/>
        <v>OK</v>
      </c>
    </row>
    <row r="4332" spans="1:10" x14ac:dyDescent="0.2">
      <c r="A4332">
        <v>14331</v>
      </c>
      <c r="B4332" t="s">
        <v>5</v>
      </c>
      <c r="C4332" t="s">
        <v>6</v>
      </c>
      <c r="D4332" s="8">
        <v>13.39</v>
      </c>
      <c r="E4332">
        <v>2</v>
      </c>
      <c r="F4332" t="str">
        <f t="shared" si="268"/>
        <v>Value</v>
      </c>
      <c r="G4332" s="3" cm="1">
        <f t="array" ref="G4332">_xlfn.XLOOKUP(C4332 &amp; F4332,
         [1]unilever_price_limits!A:A &amp; [1]unilever_price_limits!B:B,
         [1]unilever_price_limits!C:C)</f>
        <v>12</v>
      </c>
      <c r="H4332" s="8">
        <f t="shared" si="269"/>
        <v>14.996800000000002</v>
      </c>
      <c r="I4332" s="6">
        <f t="shared" si="270"/>
        <v>12.000000000000011</v>
      </c>
      <c r="J4332" t="str">
        <f t="shared" si="271"/>
        <v>OK</v>
      </c>
    </row>
    <row r="4333" spans="1:10" x14ac:dyDescent="0.2">
      <c r="A4333">
        <v>14332</v>
      </c>
      <c r="B4333" t="s">
        <v>5</v>
      </c>
      <c r="C4333" t="s">
        <v>6</v>
      </c>
      <c r="D4333" s="8">
        <v>3.98</v>
      </c>
      <c r="E4333">
        <v>8</v>
      </c>
      <c r="F4333" t="str">
        <f t="shared" si="268"/>
        <v>Premium</v>
      </c>
      <c r="G4333" s="3" cm="1">
        <f t="array" ref="G4333">_xlfn.XLOOKUP(C4333 &amp; F4333,
         [1]unilever_price_limits!A:A &amp; [1]unilever_price_limits!B:B,
         [1]unilever_price_limits!C:C)</f>
        <v>55</v>
      </c>
      <c r="H4333" s="8">
        <f t="shared" si="269"/>
        <v>6.1690000000000005</v>
      </c>
      <c r="I4333" s="6">
        <f t="shared" si="270"/>
        <v>55.000000000000007</v>
      </c>
      <c r="J4333" t="str">
        <f t="shared" si="271"/>
        <v>OK</v>
      </c>
    </row>
    <row r="4334" spans="1:10" x14ac:dyDescent="0.2">
      <c r="A4334">
        <v>14333</v>
      </c>
      <c r="B4334" t="s">
        <v>5</v>
      </c>
      <c r="C4334" t="s">
        <v>11</v>
      </c>
      <c r="D4334" s="8">
        <v>4.5599999999999996</v>
      </c>
      <c r="E4334">
        <v>9</v>
      </c>
      <c r="F4334" t="str">
        <f t="shared" si="268"/>
        <v>Premium</v>
      </c>
      <c r="G4334" s="3" cm="1">
        <f t="array" ref="G4334">_xlfn.XLOOKUP(C4334 &amp; F4334,
         [1]unilever_price_limits!A:A &amp; [1]unilever_price_limits!B:B,
         [1]unilever_price_limits!C:C)</f>
        <v>50</v>
      </c>
      <c r="H4334" s="8">
        <f t="shared" si="269"/>
        <v>6.84</v>
      </c>
      <c r="I4334" s="6">
        <f t="shared" si="270"/>
        <v>50</v>
      </c>
      <c r="J4334" t="str">
        <f t="shared" si="271"/>
        <v>OK</v>
      </c>
    </row>
    <row r="4335" spans="1:10" x14ac:dyDescent="0.2">
      <c r="A4335">
        <v>14334</v>
      </c>
      <c r="B4335" t="s">
        <v>8</v>
      </c>
      <c r="C4335" t="s">
        <v>6</v>
      </c>
      <c r="D4335" s="8">
        <v>1.27</v>
      </c>
      <c r="E4335">
        <v>7</v>
      </c>
      <c r="F4335" t="str">
        <f t="shared" si="268"/>
        <v>Standard</v>
      </c>
      <c r="G4335" s="3" cm="1">
        <f t="array" ref="G4335">_xlfn.XLOOKUP(C4335 &amp; F4335,
         [1]unilever_price_limits!A:A &amp; [1]unilever_price_limits!B:B,
         [1]unilever_price_limits!C:C)</f>
        <v>28</v>
      </c>
      <c r="H4335" s="8">
        <f t="shared" si="269"/>
        <v>1.6256000000000002</v>
      </c>
      <c r="I4335" s="6">
        <f t="shared" si="270"/>
        <v>28.000000000000004</v>
      </c>
      <c r="J4335" t="str">
        <f t="shared" si="271"/>
        <v>OK</v>
      </c>
    </row>
    <row r="4336" spans="1:10" x14ac:dyDescent="0.2">
      <c r="A4336">
        <v>14335</v>
      </c>
      <c r="B4336" t="s">
        <v>7</v>
      </c>
      <c r="C4336" t="s">
        <v>11</v>
      </c>
      <c r="D4336" s="8">
        <v>12.04</v>
      </c>
      <c r="E4336">
        <v>8</v>
      </c>
      <c r="F4336" t="str">
        <f t="shared" si="268"/>
        <v>Premium</v>
      </c>
      <c r="G4336" s="3" cm="1">
        <f t="array" ref="G4336">_xlfn.XLOOKUP(C4336 &amp; F4336,
         [1]unilever_price_limits!A:A &amp; [1]unilever_price_limits!B:B,
         [1]unilever_price_limits!C:C)</f>
        <v>50</v>
      </c>
      <c r="H4336" s="8">
        <f t="shared" si="269"/>
        <v>18.059999999999999</v>
      </c>
      <c r="I4336" s="6">
        <f t="shared" si="270"/>
        <v>50</v>
      </c>
      <c r="J4336" t="str">
        <f t="shared" si="271"/>
        <v>OK</v>
      </c>
    </row>
    <row r="4337" spans="1:10" x14ac:dyDescent="0.2">
      <c r="A4337">
        <v>14336</v>
      </c>
      <c r="B4337" t="s">
        <v>8</v>
      </c>
      <c r="C4337" t="s">
        <v>11</v>
      </c>
      <c r="D4337" s="8">
        <v>6.55</v>
      </c>
      <c r="E4337">
        <v>7</v>
      </c>
      <c r="F4337" t="str">
        <f t="shared" si="268"/>
        <v>Standard</v>
      </c>
      <c r="G4337" s="3" cm="1">
        <f t="array" ref="G4337">_xlfn.XLOOKUP(C4337 &amp; F4337,
         [1]unilever_price_limits!A:A &amp; [1]unilever_price_limits!B:B,
         [1]unilever_price_limits!C:C)</f>
        <v>25</v>
      </c>
      <c r="H4337" s="8">
        <f t="shared" si="269"/>
        <v>8.1875</v>
      </c>
      <c r="I4337" s="6">
        <f t="shared" si="270"/>
        <v>25</v>
      </c>
      <c r="J4337" t="str">
        <f t="shared" si="271"/>
        <v>OK</v>
      </c>
    </row>
    <row r="4338" spans="1:10" x14ac:dyDescent="0.2">
      <c r="A4338">
        <v>14337</v>
      </c>
      <c r="B4338" t="s">
        <v>7</v>
      </c>
      <c r="C4338" t="s">
        <v>11</v>
      </c>
      <c r="D4338" s="8">
        <v>3.82</v>
      </c>
      <c r="E4338">
        <v>10</v>
      </c>
      <c r="F4338" t="str">
        <f t="shared" si="268"/>
        <v>Premium</v>
      </c>
      <c r="G4338" s="3" cm="1">
        <f t="array" ref="G4338">_xlfn.XLOOKUP(C4338 &amp; F4338,
         [1]unilever_price_limits!A:A &amp; [1]unilever_price_limits!B:B,
         [1]unilever_price_limits!C:C)</f>
        <v>50</v>
      </c>
      <c r="H4338" s="8">
        <f t="shared" si="269"/>
        <v>5.7299999999999995</v>
      </c>
      <c r="I4338" s="6">
        <f t="shared" si="270"/>
        <v>50</v>
      </c>
      <c r="J4338" t="str">
        <f t="shared" si="271"/>
        <v>OK</v>
      </c>
    </row>
    <row r="4339" spans="1:10" x14ac:dyDescent="0.2">
      <c r="A4339">
        <v>14338</v>
      </c>
      <c r="B4339" t="s">
        <v>10</v>
      </c>
      <c r="C4339" t="s">
        <v>6</v>
      </c>
      <c r="D4339" s="8">
        <v>3.86</v>
      </c>
      <c r="E4339">
        <v>4</v>
      </c>
      <c r="F4339" t="str">
        <f t="shared" si="268"/>
        <v>Standard</v>
      </c>
      <c r="G4339" s="3" cm="1">
        <f t="array" ref="G4339">_xlfn.XLOOKUP(C4339 &amp; F4339,
         [1]unilever_price_limits!A:A &amp; [1]unilever_price_limits!B:B,
         [1]unilever_price_limits!C:C)</f>
        <v>28</v>
      </c>
      <c r="H4339" s="8">
        <f t="shared" si="269"/>
        <v>4.9408000000000003</v>
      </c>
      <c r="I4339" s="6">
        <f t="shared" si="270"/>
        <v>28.000000000000004</v>
      </c>
      <c r="J4339" t="str">
        <f t="shared" si="271"/>
        <v>OK</v>
      </c>
    </row>
    <row r="4340" spans="1:10" x14ac:dyDescent="0.2">
      <c r="A4340">
        <v>14339</v>
      </c>
      <c r="B4340" t="s">
        <v>10</v>
      </c>
      <c r="C4340" t="s">
        <v>11</v>
      </c>
      <c r="D4340" s="8">
        <v>13.57</v>
      </c>
      <c r="E4340">
        <v>1</v>
      </c>
      <c r="F4340" t="str">
        <f t="shared" si="268"/>
        <v>Value</v>
      </c>
      <c r="G4340" s="3" cm="1">
        <f t="array" ref="G4340">_xlfn.XLOOKUP(C4340 &amp; F4340,
         [1]unilever_price_limits!A:A &amp; [1]unilever_price_limits!B:B,
         [1]unilever_price_limits!C:C)</f>
        <v>10</v>
      </c>
      <c r="H4340" s="8">
        <f t="shared" si="269"/>
        <v>14.927000000000001</v>
      </c>
      <c r="I4340" s="6">
        <f t="shared" si="270"/>
        <v>10.000000000000009</v>
      </c>
      <c r="J4340" t="str">
        <f t="shared" si="271"/>
        <v>OK</v>
      </c>
    </row>
    <row r="4341" spans="1:10" x14ac:dyDescent="0.2">
      <c r="A4341">
        <v>14340</v>
      </c>
      <c r="B4341" t="s">
        <v>5</v>
      </c>
      <c r="C4341" t="s">
        <v>6</v>
      </c>
      <c r="D4341" s="8">
        <v>12.59</v>
      </c>
      <c r="E4341">
        <v>3</v>
      </c>
      <c r="F4341" t="str">
        <f t="shared" si="268"/>
        <v>Value</v>
      </c>
      <c r="G4341" s="3" cm="1">
        <f t="array" ref="G4341">_xlfn.XLOOKUP(C4341 &amp; F4341,
         [1]unilever_price_limits!A:A &amp; [1]unilever_price_limits!B:B,
         [1]unilever_price_limits!C:C)</f>
        <v>12</v>
      </c>
      <c r="H4341" s="8">
        <f t="shared" si="269"/>
        <v>14.100800000000001</v>
      </c>
      <c r="I4341" s="6">
        <f t="shared" si="270"/>
        <v>12.000000000000011</v>
      </c>
      <c r="J4341" t="str">
        <f t="shared" si="271"/>
        <v>OK</v>
      </c>
    </row>
    <row r="4342" spans="1:10" x14ac:dyDescent="0.2">
      <c r="A4342">
        <v>14341</v>
      </c>
      <c r="B4342" t="s">
        <v>7</v>
      </c>
      <c r="C4342" t="s">
        <v>6</v>
      </c>
      <c r="D4342" s="8">
        <v>8.5299999999999994</v>
      </c>
      <c r="E4342">
        <v>7</v>
      </c>
      <c r="F4342" t="str">
        <f t="shared" si="268"/>
        <v>Standard</v>
      </c>
      <c r="G4342" s="3" cm="1">
        <f t="array" ref="G4342">_xlfn.XLOOKUP(C4342 &amp; F4342,
         [1]unilever_price_limits!A:A &amp; [1]unilever_price_limits!B:B,
         [1]unilever_price_limits!C:C)</f>
        <v>28</v>
      </c>
      <c r="H4342" s="8">
        <f t="shared" si="269"/>
        <v>10.9184</v>
      </c>
      <c r="I4342" s="6">
        <f t="shared" si="270"/>
        <v>28.000000000000004</v>
      </c>
      <c r="J4342" t="str">
        <f t="shared" si="271"/>
        <v>OK</v>
      </c>
    </row>
    <row r="4343" spans="1:10" x14ac:dyDescent="0.2">
      <c r="A4343">
        <v>14342</v>
      </c>
      <c r="B4343" t="s">
        <v>7</v>
      </c>
      <c r="C4343" t="s">
        <v>9</v>
      </c>
      <c r="D4343" s="8">
        <v>9.43</v>
      </c>
      <c r="E4343">
        <v>7</v>
      </c>
      <c r="F4343" t="str">
        <f t="shared" si="268"/>
        <v>Standard</v>
      </c>
      <c r="G4343" s="3" cm="1">
        <f t="array" ref="G4343">_xlfn.XLOOKUP(C4343 &amp; F4343,
         [1]unilever_price_limits!A:A &amp; [1]unilever_price_limits!B:B,
         [1]unilever_price_limits!C:C)</f>
        <v>30</v>
      </c>
      <c r="H4343" s="8">
        <f t="shared" si="269"/>
        <v>12.259</v>
      </c>
      <c r="I4343" s="6">
        <f t="shared" si="270"/>
        <v>30.000000000000004</v>
      </c>
      <c r="J4343" t="str">
        <f t="shared" si="271"/>
        <v>OK</v>
      </c>
    </row>
    <row r="4344" spans="1:10" x14ac:dyDescent="0.2">
      <c r="A4344">
        <v>14343</v>
      </c>
      <c r="B4344" t="s">
        <v>7</v>
      </c>
      <c r="C4344" t="s">
        <v>9</v>
      </c>
      <c r="D4344" s="8">
        <v>7.38</v>
      </c>
      <c r="E4344">
        <v>3</v>
      </c>
      <c r="F4344" t="str">
        <f t="shared" si="268"/>
        <v>Value</v>
      </c>
      <c r="G4344" s="3" cm="1">
        <f t="array" ref="G4344">_xlfn.XLOOKUP(C4344 &amp; F4344,
         [1]unilever_price_limits!A:A &amp; [1]unilever_price_limits!B:B,
         [1]unilever_price_limits!C:C)</f>
        <v>15</v>
      </c>
      <c r="H4344" s="8">
        <f t="shared" si="269"/>
        <v>8.4870000000000001</v>
      </c>
      <c r="I4344" s="6">
        <f t="shared" si="270"/>
        <v>15.000000000000014</v>
      </c>
      <c r="J4344" t="str">
        <f t="shared" si="271"/>
        <v>OK</v>
      </c>
    </row>
    <row r="4345" spans="1:10" x14ac:dyDescent="0.2">
      <c r="A4345">
        <v>14344</v>
      </c>
      <c r="B4345" t="s">
        <v>5</v>
      </c>
      <c r="C4345" t="s">
        <v>11</v>
      </c>
      <c r="D4345" s="8">
        <v>6.18</v>
      </c>
      <c r="E4345">
        <v>1</v>
      </c>
      <c r="F4345" t="str">
        <f t="shared" si="268"/>
        <v>Value</v>
      </c>
      <c r="G4345" s="3" cm="1">
        <f t="array" ref="G4345">_xlfn.XLOOKUP(C4345 &amp; F4345,
         [1]unilever_price_limits!A:A &amp; [1]unilever_price_limits!B:B,
         [1]unilever_price_limits!C:C)</f>
        <v>10</v>
      </c>
      <c r="H4345" s="8">
        <f t="shared" si="269"/>
        <v>6.798</v>
      </c>
      <c r="I4345" s="6">
        <f t="shared" si="270"/>
        <v>10.000000000000009</v>
      </c>
      <c r="J4345" t="str">
        <f t="shared" si="271"/>
        <v>OK</v>
      </c>
    </row>
    <row r="4346" spans="1:10" x14ac:dyDescent="0.2">
      <c r="A4346">
        <v>14345</v>
      </c>
      <c r="B4346" t="s">
        <v>5</v>
      </c>
      <c r="C4346" t="s">
        <v>11</v>
      </c>
      <c r="D4346" s="8">
        <v>13.77</v>
      </c>
      <c r="E4346">
        <v>10</v>
      </c>
      <c r="F4346" t="str">
        <f t="shared" si="268"/>
        <v>Premium</v>
      </c>
      <c r="G4346" s="3" cm="1">
        <f t="array" ref="G4346">_xlfn.XLOOKUP(C4346 &amp; F4346,
         [1]unilever_price_limits!A:A &amp; [1]unilever_price_limits!B:B,
         [1]unilever_price_limits!C:C)</f>
        <v>50</v>
      </c>
      <c r="H4346" s="8">
        <f t="shared" si="269"/>
        <v>20.655000000000001</v>
      </c>
      <c r="I4346" s="6">
        <f t="shared" si="270"/>
        <v>50.000000000000021</v>
      </c>
      <c r="J4346" t="str">
        <f t="shared" si="271"/>
        <v>OK</v>
      </c>
    </row>
    <row r="4347" spans="1:10" x14ac:dyDescent="0.2">
      <c r="A4347">
        <v>14346</v>
      </c>
      <c r="B4347" t="s">
        <v>10</v>
      </c>
      <c r="C4347" t="s">
        <v>6</v>
      </c>
      <c r="D4347" s="8">
        <v>2.3199999999999998</v>
      </c>
      <c r="E4347">
        <v>9</v>
      </c>
      <c r="F4347" t="str">
        <f t="shared" si="268"/>
        <v>Premium</v>
      </c>
      <c r="G4347" s="3" cm="1">
        <f t="array" ref="G4347">_xlfn.XLOOKUP(C4347 &amp; F4347,
         [1]unilever_price_limits!A:A &amp; [1]unilever_price_limits!B:B,
         [1]unilever_price_limits!C:C)</f>
        <v>55</v>
      </c>
      <c r="H4347" s="8">
        <f t="shared" si="269"/>
        <v>3.5959999999999996</v>
      </c>
      <c r="I4347" s="6">
        <f t="shared" si="270"/>
        <v>55.000000000000007</v>
      </c>
      <c r="J4347" t="str">
        <f t="shared" si="271"/>
        <v>OK</v>
      </c>
    </row>
    <row r="4348" spans="1:10" x14ac:dyDescent="0.2">
      <c r="A4348">
        <v>14347</v>
      </c>
      <c r="B4348" t="s">
        <v>8</v>
      </c>
      <c r="C4348" t="s">
        <v>11</v>
      </c>
      <c r="D4348" s="8">
        <v>6.57</v>
      </c>
      <c r="E4348">
        <v>6</v>
      </c>
      <c r="F4348" t="str">
        <f t="shared" si="268"/>
        <v>Standard</v>
      </c>
      <c r="G4348" s="3" cm="1">
        <f t="array" ref="G4348">_xlfn.XLOOKUP(C4348 &amp; F4348,
         [1]unilever_price_limits!A:A &amp; [1]unilever_price_limits!B:B,
         [1]unilever_price_limits!C:C)</f>
        <v>25</v>
      </c>
      <c r="H4348" s="8">
        <f t="shared" si="269"/>
        <v>8.2125000000000004</v>
      </c>
      <c r="I4348" s="6">
        <f t="shared" si="270"/>
        <v>25</v>
      </c>
      <c r="J4348" t="str">
        <f t="shared" si="271"/>
        <v>OK</v>
      </c>
    </row>
    <row r="4349" spans="1:10" x14ac:dyDescent="0.2">
      <c r="A4349">
        <v>14348</v>
      </c>
      <c r="B4349" t="s">
        <v>7</v>
      </c>
      <c r="C4349" t="s">
        <v>11</v>
      </c>
      <c r="D4349" s="8">
        <v>5.5</v>
      </c>
      <c r="E4349">
        <v>7</v>
      </c>
      <c r="F4349" t="str">
        <f t="shared" si="268"/>
        <v>Standard</v>
      </c>
      <c r="G4349" s="3" cm="1">
        <f t="array" ref="G4349">_xlfn.XLOOKUP(C4349 &amp; F4349,
         [1]unilever_price_limits!A:A &amp; [1]unilever_price_limits!B:B,
         [1]unilever_price_limits!C:C)</f>
        <v>25</v>
      </c>
      <c r="H4349" s="8">
        <f t="shared" si="269"/>
        <v>6.875</v>
      </c>
      <c r="I4349" s="6">
        <f t="shared" si="270"/>
        <v>25</v>
      </c>
      <c r="J4349" t="str">
        <f t="shared" si="271"/>
        <v>OK</v>
      </c>
    </row>
    <row r="4350" spans="1:10" x14ac:dyDescent="0.2">
      <c r="A4350">
        <v>14349</v>
      </c>
      <c r="B4350" t="s">
        <v>7</v>
      </c>
      <c r="C4350" t="s">
        <v>6</v>
      </c>
      <c r="D4350" s="8">
        <v>7.72</v>
      </c>
      <c r="E4350">
        <v>1</v>
      </c>
      <c r="F4350" t="str">
        <f t="shared" si="268"/>
        <v>Value</v>
      </c>
      <c r="G4350" s="3" cm="1">
        <f t="array" ref="G4350">_xlfn.XLOOKUP(C4350 &amp; F4350,
         [1]unilever_price_limits!A:A &amp; [1]unilever_price_limits!B:B,
         [1]unilever_price_limits!C:C)</f>
        <v>12</v>
      </c>
      <c r="H4350" s="8">
        <f t="shared" si="269"/>
        <v>8.6463999999999999</v>
      </c>
      <c r="I4350" s="6">
        <f t="shared" si="270"/>
        <v>12.000000000000011</v>
      </c>
      <c r="J4350" t="str">
        <f t="shared" si="271"/>
        <v>OK</v>
      </c>
    </row>
    <row r="4351" spans="1:10" x14ac:dyDescent="0.2">
      <c r="A4351">
        <v>14350</v>
      </c>
      <c r="B4351" t="s">
        <v>8</v>
      </c>
      <c r="C4351" t="s">
        <v>11</v>
      </c>
      <c r="D4351" s="8">
        <v>7.14</v>
      </c>
      <c r="E4351">
        <v>1</v>
      </c>
      <c r="F4351" t="str">
        <f t="shared" si="268"/>
        <v>Value</v>
      </c>
      <c r="G4351" s="3" cm="1">
        <f t="array" ref="G4351">_xlfn.XLOOKUP(C4351 &amp; F4351,
         [1]unilever_price_limits!A:A &amp; [1]unilever_price_limits!B:B,
         [1]unilever_price_limits!C:C)</f>
        <v>10</v>
      </c>
      <c r="H4351" s="8">
        <f t="shared" si="269"/>
        <v>7.8540000000000001</v>
      </c>
      <c r="I4351" s="6">
        <f t="shared" si="270"/>
        <v>10.000000000000009</v>
      </c>
      <c r="J4351" t="str">
        <f t="shared" si="271"/>
        <v>OK</v>
      </c>
    </row>
    <row r="4352" spans="1:10" x14ac:dyDescent="0.2">
      <c r="A4352">
        <v>14351</v>
      </c>
      <c r="B4352" t="s">
        <v>7</v>
      </c>
      <c r="C4352" t="s">
        <v>11</v>
      </c>
      <c r="D4352" s="8">
        <v>8.02</v>
      </c>
      <c r="E4352">
        <v>4</v>
      </c>
      <c r="F4352" t="str">
        <f t="shared" si="268"/>
        <v>Standard</v>
      </c>
      <c r="G4352" s="3" cm="1">
        <f t="array" ref="G4352">_xlfn.XLOOKUP(C4352 &amp; F4352,
         [1]unilever_price_limits!A:A &amp; [1]unilever_price_limits!B:B,
         [1]unilever_price_limits!C:C)</f>
        <v>25</v>
      </c>
      <c r="H4352" s="8">
        <f t="shared" si="269"/>
        <v>10.024999999999999</v>
      </c>
      <c r="I4352" s="6">
        <f t="shared" si="270"/>
        <v>25</v>
      </c>
      <c r="J4352" t="str">
        <f t="shared" si="271"/>
        <v>OK</v>
      </c>
    </row>
    <row r="4353" spans="1:10" x14ac:dyDescent="0.2">
      <c r="A4353">
        <v>14352</v>
      </c>
      <c r="B4353" t="s">
        <v>5</v>
      </c>
      <c r="C4353" t="s">
        <v>6</v>
      </c>
      <c r="D4353" s="8">
        <v>2.5299999999999998</v>
      </c>
      <c r="E4353">
        <v>7</v>
      </c>
      <c r="F4353" t="str">
        <f t="shared" si="268"/>
        <v>Standard</v>
      </c>
      <c r="G4353" s="3" cm="1">
        <f t="array" ref="G4353">_xlfn.XLOOKUP(C4353 &amp; F4353,
         [1]unilever_price_limits!A:A &amp; [1]unilever_price_limits!B:B,
         [1]unilever_price_limits!C:C)</f>
        <v>28</v>
      </c>
      <c r="H4353" s="8">
        <f t="shared" si="269"/>
        <v>3.2383999999999999</v>
      </c>
      <c r="I4353" s="6">
        <f t="shared" si="270"/>
        <v>28.000000000000004</v>
      </c>
      <c r="J4353" t="str">
        <f t="shared" si="271"/>
        <v>OK</v>
      </c>
    </row>
    <row r="4354" spans="1:10" x14ac:dyDescent="0.2">
      <c r="A4354">
        <v>14353</v>
      </c>
      <c r="B4354" t="s">
        <v>5</v>
      </c>
      <c r="C4354" t="s">
        <v>6</v>
      </c>
      <c r="D4354" s="8">
        <v>7.94</v>
      </c>
      <c r="E4354">
        <v>8</v>
      </c>
      <c r="F4354" t="str">
        <f t="shared" si="268"/>
        <v>Premium</v>
      </c>
      <c r="G4354" s="3" cm="1">
        <f t="array" ref="G4354">_xlfn.XLOOKUP(C4354 &amp; F4354,
         [1]unilever_price_limits!A:A &amp; [1]unilever_price_limits!B:B,
         [1]unilever_price_limits!C:C)</f>
        <v>55</v>
      </c>
      <c r="H4354" s="8">
        <f t="shared" si="269"/>
        <v>12.307</v>
      </c>
      <c r="I4354" s="6">
        <f t="shared" si="270"/>
        <v>55.000000000000007</v>
      </c>
      <c r="J4354" t="str">
        <f t="shared" si="271"/>
        <v>OK</v>
      </c>
    </row>
    <row r="4355" spans="1:10" x14ac:dyDescent="0.2">
      <c r="A4355">
        <v>14354</v>
      </c>
      <c r="B4355" t="s">
        <v>7</v>
      </c>
      <c r="C4355" t="s">
        <v>9</v>
      </c>
      <c r="D4355" s="8">
        <v>4.0199999999999996</v>
      </c>
      <c r="E4355">
        <v>10</v>
      </c>
      <c r="F4355" t="str">
        <f t="shared" ref="F4355:F4418" si="272">IF(E4355&lt;=3,"Value",
 IF(E4355&lt;=7,"Standard","Premium"))</f>
        <v>Premium</v>
      </c>
      <c r="G4355" s="3" cm="1">
        <f t="array" ref="G4355">_xlfn.XLOOKUP(C4355 &amp; F4355,
         [1]unilever_price_limits!A:A &amp; [1]unilever_price_limits!B:B,
         [1]unilever_price_limits!C:C)</f>
        <v>60</v>
      </c>
      <c r="H4355" s="8">
        <f t="shared" ref="H4355:H4418" si="273">D4355 * (1 + G4355/100)</f>
        <v>6.4319999999999995</v>
      </c>
      <c r="I4355" s="6">
        <f t="shared" ref="I4355:I4418" si="274">(H4355 / D4355 - 1) * 100</f>
        <v>60.000000000000007</v>
      </c>
      <c r="J4355" t="str">
        <f t="shared" ref="J4355:J4418" si="275">IF(I4354&gt; G4354, "⚠ Exceeds Limit", "OK")</f>
        <v>OK</v>
      </c>
    </row>
    <row r="4356" spans="1:10" x14ac:dyDescent="0.2">
      <c r="A4356">
        <v>14355</v>
      </c>
      <c r="B4356" t="s">
        <v>5</v>
      </c>
      <c r="C4356" t="s">
        <v>6</v>
      </c>
      <c r="D4356" s="8">
        <v>3.17</v>
      </c>
      <c r="E4356">
        <v>9</v>
      </c>
      <c r="F4356" t="str">
        <f t="shared" si="272"/>
        <v>Premium</v>
      </c>
      <c r="G4356" s="3" cm="1">
        <f t="array" ref="G4356">_xlfn.XLOOKUP(C4356 &amp; F4356,
         [1]unilever_price_limits!A:A &amp; [1]unilever_price_limits!B:B,
         [1]unilever_price_limits!C:C)</f>
        <v>55</v>
      </c>
      <c r="H4356" s="8">
        <f t="shared" si="273"/>
        <v>4.9135</v>
      </c>
      <c r="I4356" s="6">
        <f t="shared" si="274"/>
        <v>55.000000000000007</v>
      </c>
      <c r="J4356" t="str">
        <f t="shared" si="275"/>
        <v>OK</v>
      </c>
    </row>
    <row r="4357" spans="1:10" x14ac:dyDescent="0.2">
      <c r="A4357">
        <v>14356</v>
      </c>
      <c r="B4357" t="s">
        <v>5</v>
      </c>
      <c r="C4357" t="s">
        <v>9</v>
      </c>
      <c r="D4357" s="8">
        <v>1.44</v>
      </c>
      <c r="E4357">
        <v>1</v>
      </c>
      <c r="F4357" t="str">
        <f t="shared" si="272"/>
        <v>Value</v>
      </c>
      <c r="G4357" s="3" cm="1">
        <f t="array" ref="G4357">_xlfn.XLOOKUP(C4357 &amp; F4357,
         [1]unilever_price_limits!A:A &amp; [1]unilever_price_limits!B:B,
         [1]unilever_price_limits!C:C)</f>
        <v>15</v>
      </c>
      <c r="H4357" s="8">
        <f t="shared" si="273"/>
        <v>1.6559999999999999</v>
      </c>
      <c r="I4357" s="6">
        <f t="shared" si="274"/>
        <v>14.999999999999991</v>
      </c>
      <c r="J4357" t="str">
        <f t="shared" si="275"/>
        <v>OK</v>
      </c>
    </row>
    <row r="4358" spans="1:10" x14ac:dyDescent="0.2">
      <c r="A4358">
        <v>14357</v>
      </c>
      <c r="B4358" t="s">
        <v>7</v>
      </c>
      <c r="C4358" t="s">
        <v>11</v>
      </c>
      <c r="D4358" s="8">
        <v>11.56</v>
      </c>
      <c r="E4358">
        <v>4</v>
      </c>
      <c r="F4358" t="str">
        <f t="shared" si="272"/>
        <v>Standard</v>
      </c>
      <c r="G4358" s="3" cm="1">
        <f t="array" ref="G4358">_xlfn.XLOOKUP(C4358 &amp; F4358,
         [1]unilever_price_limits!A:A &amp; [1]unilever_price_limits!B:B,
         [1]unilever_price_limits!C:C)</f>
        <v>25</v>
      </c>
      <c r="H4358" s="8">
        <f t="shared" si="273"/>
        <v>14.450000000000001</v>
      </c>
      <c r="I4358" s="6">
        <f t="shared" si="274"/>
        <v>25</v>
      </c>
      <c r="J4358" t="str">
        <f t="shared" si="275"/>
        <v>OK</v>
      </c>
    </row>
    <row r="4359" spans="1:10" x14ac:dyDescent="0.2">
      <c r="A4359">
        <v>14358</v>
      </c>
      <c r="B4359" t="s">
        <v>10</v>
      </c>
      <c r="C4359" t="s">
        <v>6</v>
      </c>
      <c r="D4359" s="8">
        <v>6.7</v>
      </c>
      <c r="E4359">
        <v>4</v>
      </c>
      <c r="F4359" t="str">
        <f t="shared" si="272"/>
        <v>Standard</v>
      </c>
      <c r="G4359" s="3" cm="1">
        <f t="array" ref="G4359">_xlfn.XLOOKUP(C4359 &amp; F4359,
         [1]unilever_price_limits!A:A &amp; [1]unilever_price_limits!B:B,
         [1]unilever_price_limits!C:C)</f>
        <v>28</v>
      </c>
      <c r="H4359" s="8">
        <f t="shared" si="273"/>
        <v>8.5760000000000005</v>
      </c>
      <c r="I4359" s="6">
        <f t="shared" si="274"/>
        <v>28.000000000000004</v>
      </c>
      <c r="J4359" t="str">
        <f t="shared" si="275"/>
        <v>OK</v>
      </c>
    </row>
    <row r="4360" spans="1:10" x14ac:dyDescent="0.2">
      <c r="A4360">
        <v>14359</v>
      </c>
      <c r="B4360" t="s">
        <v>8</v>
      </c>
      <c r="C4360" t="s">
        <v>6</v>
      </c>
      <c r="D4360" s="8">
        <v>9.59</v>
      </c>
      <c r="E4360">
        <v>3</v>
      </c>
      <c r="F4360" t="str">
        <f t="shared" si="272"/>
        <v>Value</v>
      </c>
      <c r="G4360" s="3" cm="1">
        <f t="array" ref="G4360">_xlfn.XLOOKUP(C4360 &amp; F4360,
         [1]unilever_price_limits!A:A &amp; [1]unilever_price_limits!B:B,
         [1]unilever_price_limits!C:C)</f>
        <v>12</v>
      </c>
      <c r="H4360" s="8">
        <f t="shared" si="273"/>
        <v>10.7408</v>
      </c>
      <c r="I4360" s="6">
        <f t="shared" si="274"/>
        <v>12.000000000000011</v>
      </c>
      <c r="J4360" t="str">
        <f t="shared" si="275"/>
        <v>OK</v>
      </c>
    </row>
    <row r="4361" spans="1:10" x14ac:dyDescent="0.2">
      <c r="A4361">
        <v>14360</v>
      </c>
      <c r="B4361" t="s">
        <v>5</v>
      </c>
      <c r="C4361" t="s">
        <v>6</v>
      </c>
      <c r="D4361" s="8">
        <v>11.05</v>
      </c>
      <c r="E4361">
        <v>7</v>
      </c>
      <c r="F4361" t="str">
        <f t="shared" si="272"/>
        <v>Standard</v>
      </c>
      <c r="G4361" s="3" cm="1">
        <f t="array" ref="G4361">_xlfn.XLOOKUP(C4361 &amp; F4361,
         [1]unilever_price_limits!A:A &amp; [1]unilever_price_limits!B:B,
         [1]unilever_price_limits!C:C)</f>
        <v>28</v>
      </c>
      <c r="H4361" s="8">
        <f t="shared" si="273"/>
        <v>14.144000000000002</v>
      </c>
      <c r="I4361" s="6">
        <f t="shared" si="274"/>
        <v>28.000000000000004</v>
      </c>
      <c r="J4361" t="str">
        <f t="shared" si="275"/>
        <v>OK</v>
      </c>
    </row>
    <row r="4362" spans="1:10" x14ac:dyDescent="0.2">
      <c r="A4362">
        <v>14361</v>
      </c>
      <c r="B4362" t="s">
        <v>10</v>
      </c>
      <c r="C4362" t="s">
        <v>11</v>
      </c>
      <c r="D4362" s="8">
        <v>10.35</v>
      </c>
      <c r="E4362">
        <v>1</v>
      </c>
      <c r="F4362" t="str">
        <f t="shared" si="272"/>
        <v>Value</v>
      </c>
      <c r="G4362" s="3" cm="1">
        <f t="array" ref="G4362">_xlfn.XLOOKUP(C4362 &amp; F4362,
         [1]unilever_price_limits!A:A &amp; [1]unilever_price_limits!B:B,
         [1]unilever_price_limits!C:C)</f>
        <v>10</v>
      </c>
      <c r="H4362" s="8">
        <f t="shared" si="273"/>
        <v>11.385</v>
      </c>
      <c r="I4362" s="6">
        <f t="shared" si="274"/>
        <v>10.000000000000009</v>
      </c>
      <c r="J4362" t="str">
        <f t="shared" si="275"/>
        <v>OK</v>
      </c>
    </row>
    <row r="4363" spans="1:10" x14ac:dyDescent="0.2">
      <c r="A4363">
        <v>14362</v>
      </c>
      <c r="B4363" t="s">
        <v>5</v>
      </c>
      <c r="C4363" t="s">
        <v>9</v>
      </c>
      <c r="D4363" s="8">
        <v>7.32</v>
      </c>
      <c r="E4363">
        <v>9</v>
      </c>
      <c r="F4363" t="str">
        <f t="shared" si="272"/>
        <v>Premium</v>
      </c>
      <c r="G4363" s="3" cm="1">
        <f t="array" ref="G4363">_xlfn.XLOOKUP(C4363 &amp; F4363,
         [1]unilever_price_limits!A:A &amp; [1]unilever_price_limits!B:B,
         [1]unilever_price_limits!C:C)</f>
        <v>60</v>
      </c>
      <c r="H4363" s="8">
        <f t="shared" si="273"/>
        <v>11.712000000000002</v>
      </c>
      <c r="I4363" s="6">
        <f t="shared" si="274"/>
        <v>60.000000000000007</v>
      </c>
      <c r="J4363" t="str">
        <f t="shared" si="275"/>
        <v>OK</v>
      </c>
    </row>
    <row r="4364" spans="1:10" x14ac:dyDescent="0.2">
      <c r="A4364">
        <v>14363</v>
      </c>
      <c r="B4364" t="s">
        <v>5</v>
      </c>
      <c r="C4364" t="s">
        <v>11</v>
      </c>
      <c r="D4364" s="8">
        <v>6.12</v>
      </c>
      <c r="E4364">
        <v>8</v>
      </c>
      <c r="F4364" t="str">
        <f t="shared" si="272"/>
        <v>Premium</v>
      </c>
      <c r="G4364" s="3" cm="1">
        <f t="array" ref="G4364">_xlfn.XLOOKUP(C4364 &amp; F4364,
         [1]unilever_price_limits!A:A &amp; [1]unilever_price_limits!B:B,
         [1]unilever_price_limits!C:C)</f>
        <v>50</v>
      </c>
      <c r="H4364" s="8">
        <f t="shared" si="273"/>
        <v>9.18</v>
      </c>
      <c r="I4364" s="6">
        <f t="shared" si="274"/>
        <v>50</v>
      </c>
      <c r="J4364" t="str">
        <f t="shared" si="275"/>
        <v>OK</v>
      </c>
    </row>
    <row r="4365" spans="1:10" x14ac:dyDescent="0.2">
      <c r="A4365">
        <v>14364</v>
      </c>
      <c r="B4365" t="s">
        <v>8</v>
      </c>
      <c r="C4365" t="s">
        <v>11</v>
      </c>
      <c r="D4365" s="8">
        <v>5.95</v>
      </c>
      <c r="E4365">
        <v>2</v>
      </c>
      <c r="F4365" t="str">
        <f t="shared" si="272"/>
        <v>Value</v>
      </c>
      <c r="G4365" s="3" cm="1">
        <f t="array" ref="G4365">_xlfn.XLOOKUP(C4365 &amp; F4365,
         [1]unilever_price_limits!A:A &amp; [1]unilever_price_limits!B:B,
         [1]unilever_price_limits!C:C)</f>
        <v>10</v>
      </c>
      <c r="H4365" s="8">
        <f t="shared" si="273"/>
        <v>6.5450000000000008</v>
      </c>
      <c r="I4365" s="6">
        <f t="shared" si="274"/>
        <v>10.000000000000009</v>
      </c>
      <c r="J4365" t="str">
        <f t="shared" si="275"/>
        <v>OK</v>
      </c>
    </row>
    <row r="4366" spans="1:10" x14ac:dyDescent="0.2">
      <c r="A4366">
        <v>14365</v>
      </c>
      <c r="B4366" t="s">
        <v>5</v>
      </c>
      <c r="C4366" t="s">
        <v>6</v>
      </c>
      <c r="D4366" s="8">
        <v>9.7799999999999994</v>
      </c>
      <c r="E4366">
        <v>2</v>
      </c>
      <c r="F4366" t="str">
        <f t="shared" si="272"/>
        <v>Value</v>
      </c>
      <c r="G4366" s="3" cm="1">
        <f t="array" ref="G4366">_xlfn.XLOOKUP(C4366 &amp; F4366,
         [1]unilever_price_limits!A:A &amp; [1]unilever_price_limits!B:B,
         [1]unilever_price_limits!C:C)</f>
        <v>12</v>
      </c>
      <c r="H4366" s="8">
        <f t="shared" si="273"/>
        <v>10.9536</v>
      </c>
      <c r="I4366" s="6">
        <f t="shared" si="274"/>
        <v>12.000000000000011</v>
      </c>
      <c r="J4366" t="str">
        <f t="shared" si="275"/>
        <v>OK</v>
      </c>
    </row>
    <row r="4367" spans="1:10" x14ac:dyDescent="0.2">
      <c r="A4367">
        <v>14366</v>
      </c>
      <c r="B4367" t="s">
        <v>8</v>
      </c>
      <c r="C4367" t="s">
        <v>9</v>
      </c>
      <c r="D4367" s="8">
        <v>7.67</v>
      </c>
      <c r="E4367">
        <v>8</v>
      </c>
      <c r="F4367" t="str">
        <f t="shared" si="272"/>
        <v>Premium</v>
      </c>
      <c r="G4367" s="3" cm="1">
        <f t="array" ref="G4367">_xlfn.XLOOKUP(C4367 &amp; F4367,
         [1]unilever_price_limits!A:A &amp; [1]unilever_price_limits!B:B,
         [1]unilever_price_limits!C:C)</f>
        <v>60</v>
      </c>
      <c r="H4367" s="8">
        <f t="shared" si="273"/>
        <v>12.272</v>
      </c>
      <c r="I4367" s="6">
        <f t="shared" si="274"/>
        <v>60.000000000000007</v>
      </c>
      <c r="J4367" t="str">
        <f t="shared" si="275"/>
        <v>OK</v>
      </c>
    </row>
    <row r="4368" spans="1:10" x14ac:dyDescent="0.2">
      <c r="A4368">
        <v>14367</v>
      </c>
      <c r="B4368" t="s">
        <v>8</v>
      </c>
      <c r="C4368" t="s">
        <v>11</v>
      </c>
      <c r="D4368" s="8">
        <v>12.81</v>
      </c>
      <c r="E4368">
        <v>1</v>
      </c>
      <c r="F4368" t="str">
        <f t="shared" si="272"/>
        <v>Value</v>
      </c>
      <c r="G4368" s="3" cm="1">
        <f t="array" ref="G4368">_xlfn.XLOOKUP(C4368 &amp; F4368,
         [1]unilever_price_limits!A:A &amp; [1]unilever_price_limits!B:B,
         [1]unilever_price_limits!C:C)</f>
        <v>10</v>
      </c>
      <c r="H4368" s="8">
        <f t="shared" si="273"/>
        <v>14.091000000000001</v>
      </c>
      <c r="I4368" s="6">
        <f t="shared" si="274"/>
        <v>10.000000000000009</v>
      </c>
      <c r="J4368" t="str">
        <f t="shared" si="275"/>
        <v>OK</v>
      </c>
    </row>
    <row r="4369" spans="1:10" x14ac:dyDescent="0.2">
      <c r="A4369">
        <v>14368</v>
      </c>
      <c r="B4369" t="s">
        <v>8</v>
      </c>
      <c r="C4369" t="s">
        <v>6</v>
      </c>
      <c r="D4369" s="8">
        <v>13.18</v>
      </c>
      <c r="E4369">
        <v>7</v>
      </c>
      <c r="F4369" t="str">
        <f t="shared" si="272"/>
        <v>Standard</v>
      </c>
      <c r="G4369" s="3" cm="1">
        <f t="array" ref="G4369">_xlfn.XLOOKUP(C4369 &amp; F4369,
         [1]unilever_price_limits!A:A &amp; [1]unilever_price_limits!B:B,
         [1]unilever_price_limits!C:C)</f>
        <v>28</v>
      </c>
      <c r="H4369" s="8">
        <f t="shared" si="273"/>
        <v>16.8704</v>
      </c>
      <c r="I4369" s="6">
        <f t="shared" si="274"/>
        <v>28.000000000000004</v>
      </c>
      <c r="J4369" t="str">
        <f t="shared" si="275"/>
        <v>OK</v>
      </c>
    </row>
    <row r="4370" spans="1:10" x14ac:dyDescent="0.2">
      <c r="A4370">
        <v>14369</v>
      </c>
      <c r="B4370" t="s">
        <v>10</v>
      </c>
      <c r="C4370" t="s">
        <v>11</v>
      </c>
      <c r="D4370" s="8">
        <v>2.97</v>
      </c>
      <c r="E4370">
        <v>9</v>
      </c>
      <c r="F4370" t="str">
        <f t="shared" si="272"/>
        <v>Premium</v>
      </c>
      <c r="G4370" s="3" cm="1">
        <f t="array" ref="G4370">_xlfn.XLOOKUP(C4370 &amp; F4370,
         [1]unilever_price_limits!A:A &amp; [1]unilever_price_limits!B:B,
         [1]unilever_price_limits!C:C)</f>
        <v>50</v>
      </c>
      <c r="H4370" s="8">
        <f t="shared" si="273"/>
        <v>4.4550000000000001</v>
      </c>
      <c r="I4370" s="6">
        <f t="shared" si="274"/>
        <v>50</v>
      </c>
      <c r="J4370" t="str">
        <f t="shared" si="275"/>
        <v>OK</v>
      </c>
    </row>
    <row r="4371" spans="1:10" x14ac:dyDescent="0.2">
      <c r="A4371">
        <v>14370</v>
      </c>
      <c r="B4371" t="s">
        <v>7</v>
      </c>
      <c r="C4371" t="s">
        <v>11</v>
      </c>
      <c r="D4371" s="8">
        <v>2.48</v>
      </c>
      <c r="E4371">
        <v>3</v>
      </c>
      <c r="F4371" t="str">
        <f t="shared" si="272"/>
        <v>Value</v>
      </c>
      <c r="G4371" s="3" cm="1">
        <f t="array" ref="G4371">_xlfn.XLOOKUP(C4371 &amp; F4371,
         [1]unilever_price_limits!A:A &amp; [1]unilever_price_limits!B:B,
         [1]unilever_price_limits!C:C)</f>
        <v>10</v>
      </c>
      <c r="H4371" s="8">
        <f t="shared" si="273"/>
        <v>2.7280000000000002</v>
      </c>
      <c r="I4371" s="6">
        <f t="shared" si="274"/>
        <v>10.000000000000009</v>
      </c>
      <c r="J4371" t="str">
        <f t="shared" si="275"/>
        <v>OK</v>
      </c>
    </row>
    <row r="4372" spans="1:10" x14ac:dyDescent="0.2">
      <c r="A4372">
        <v>14371</v>
      </c>
      <c r="B4372" t="s">
        <v>10</v>
      </c>
      <c r="C4372" t="s">
        <v>6</v>
      </c>
      <c r="D4372" s="8">
        <v>9.64</v>
      </c>
      <c r="E4372">
        <v>7</v>
      </c>
      <c r="F4372" t="str">
        <f t="shared" si="272"/>
        <v>Standard</v>
      </c>
      <c r="G4372" s="3" cm="1">
        <f t="array" ref="G4372">_xlfn.XLOOKUP(C4372 &amp; F4372,
         [1]unilever_price_limits!A:A &amp; [1]unilever_price_limits!B:B,
         [1]unilever_price_limits!C:C)</f>
        <v>28</v>
      </c>
      <c r="H4372" s="8">
        <f t="shared" si="273"/>
        <v>12.339200000000002</v>
      </c>
      <c r="I4372" s="6">
        <f t="shared" si="274"/>
        <v>28.000000000000004</v>
      </c>
      <c r="J4372" t="str">
        <f t="shared" si="275"/>
        <v>OK</v>
      </c>
    </row>
    <row r="4373" spans="1:10" x14ac:dyDescent="0.2">
      <c r="A4373">
        <v>14372</v>
      </c>
      <c r="B4373" t="s">
        <v>7</v>
      </c>
      <c r="C4373" t="s">
        <v>6</v>
      </c>
      <c r="D4373" s="8">
        <v>4.87</v>
      </c>
      <c r="E4373">
        <v>6</v>
      </c>
      <c r="F4373" t="str">
        <f t="shared" si="272"/>
        <v>Standard</v>
      </c>
      <c r="G4373" s="3" cm="1">
        <f t="array" ref="G4373">_xlfn.XLOOKUP(C4373 &amp; F4373,
         [1]unilever_price_limits!A:A &amp; [1]unilever_price_limits!B:B,
         [1]unilever_price_limits!C:C)</f>
        <v>28</v>
      </c>
      <c r="H4373" s="8">
        <f t="shared" si="273"/>
        <v>6.2336</v>
      </c>
      <c r="I4373" s="6">
        <f t="shared" si="274"/>
        <v>28.000000000000004</v>
      </c>
      <c r="J4373" t="str">
        <f t="shared" si="275"/>
        <v>OK</v>
      </c>
    </row>
    <row r="4374" spans="1:10" x14ac:dyDescent="0.2">
      <c r="A4374">
        <v>14373</v>
      </c>
      <c r="B4374" t="s">
        <v>7</v>
      </c>
      <c r="C4374" t="s">
        <v>9</v>
      </c>
      <c r="D4374" s="8">
        <v>0.77</v>
      </c>
      <c r="E4374">
        <v>7</v>
      </c>
      <c r="F4374" t="str">
        <f t="shared" si="272"/>
        <v>Standard</v>
      </c>
      <c r="G4374" s="3" cm="1">
        <f t="array" ref="G4374">_xlfn.XLOOKUP(C4374 &amp; F4374,
         [1]unilever_price_limits!A:A &amp; [1]unilever_price_limits!B:B,
         [1]unilever_price_limits!C:C)</f>
        <v>30</v>
      </c>
      <c r="H4374" s="8">
        <f t="shared" si="273"/>
        <v>1.0010000000000001</v>
      </c>
      <c r="I4374" s="6">
        <f t="shared" si="274"/>
        <v>30.000000000000004</v>
      </c>
      <c r="J4374" t="str">
        <f t="shared" si="275"/>
        <v>OK</v>
      </c>
    </row>
    <row r="4375" spans="1:10" x14ac:dyDescent="0.2">
      <c r="A4375">
        <v>14374</v>
      </c>
      <c r="B4375" t="s">
        <v>8</v>
      </c>
      <c r="C4375" t="s">
        <v>11</v>
      </c>
      <c r="D4375" s="8">
        <v>13.39</v>
      </c>
      <c r="E4375">
        <v>7</v>
      </c>
      <c r="F4375" t="str">
        <f t="shared" si="272"/>
        <v>Standard</v>
      </c>
      <c r="G4375" s="3" cm="1">
        <f t="array" ref="G4375">_xlfn.XLOOKUP(C4375 &amp; F4375,
         [1]unilever_price_limits!A:A &amp; [1]unilever_price_limits!B:B,
         [1]unilever_price_limits!C:C)</f>
        <v>25</v>
      </c>
      <c r="H4375" s="8">
        <f t="shared" si="273"/>
        <v>16.737500000000001</v>
      </c>
      <c r="I4375" s="6">
        <f t="shared" si="274"/>
        <v>25</v>
      </c>
      <c r="J4375" t="str">
        <f t="shared" si="275"/>
        <v>OK</v>
      </c>
    </row>
    <row r="4376" spans="1:10" x14ac:dyDescent="0.2">
      <c r="A4376">
        <v>14375</v>
      </c>
      <c r="B4376" t="s">
        <v>5</v>
      </c>
      <c r="C4376" t="s">
        <v>6</v>
      </c>
      <c r="D4376" s="8">
        <v>3.79</v>
      </c>
      <c r="E4376">
        <v>10</v>
      </c>
      <c r="F4376" t="str">
        <f t="shared" si="272"/>
        <v>Premium</v>
      </c>
      <c r="G4376" s="3" cm="1">
        <f t="array" ref="G4376">_xlfn.XLOOKUP(C4376 &amp; F4376,
         [1]unilever_price_limits!A:A &amp; [1]unilever_price_limits!B:B,
         [1]unilever_price_limits!C:C)</f>
        <v>55</v>
      </c>
      <c r="H4376" s="8">
        <f t="shared" si="273"/>
        <v>5.8745000000000003</v>
      </c>
      <c r="I4376" s="6">
        <f t="shared" si="274"/>
        <v>55.000000000000007</v>
      </c>
      <c r="J4376" t="str">
        <f t="shared" si="275"/>
        <v>OK</v>
      </c>
    </row>
    <row r="4377" spans="1:10" x14ac:dyDescent="0.2">
      <c r="A4377">
        <v>14376</v>
      </c>
      <c r="B4377" t="s">
        <v>8</v>
      </c>
      <c r="C4377" t="s">
        <v>6</v>
      </c>
      <c r="D4377" s="8">
        <v>13.97</v>
      </c>
      <c r="E4377">
        <v>1</v>
      </c>
      <c r="F4377" t="str">
        <f t="shared" si="272"/>
        <v>Value</v>
      </c>
      <c r="G4377" s="3" cm="1">
        <f t="array" ref="G4377">_xlfn.XLOOKUP(C4377 &amp; F4377,
         [1]unilever_price_limits!A:A &amp; [1]unilever_price_limits!B:B,
         [1]unilever_price_limits!C:C)</f>
        <v>12</v>
      </c>
      <c r="H4377" s="8">
        <f t="shared" si="273"/>
        <v>15.646400000000002</v>
      </c>
      <c r="I4377" s="6">
        <f t="shared" si="274"/>
        <v>12.000000000000011</v>
      </c>
      <c r="J4377" t="str">
        <f t="shared" si="275"/>
        <v>OK</v>
      </c>
    </row>
    <row r="4378" spans="1:10" x14ac:dyDescent="0.2">
      <c r="A4378">
        <v>14377</v>
      </c>
      <c r="B4378" t="s">
        <v>5</v>
      </c>
      <c r="C4378" t="s">
        <v>9</v>
      </c>
      <c r="D4378" s="8">
        <v>10.9</v>
      </c>
      <c r="E4378">
        <v>3</v>
      </c>
      <c r="F4378" t="str">
        <f t="shared" si="272"/>
        <v>Value</v>
      </c>
      <c r="G4378" s="3" cm="1">
        <f t="array" ref="G4378">_xlfn.XLOOKUP(C4378 &amp; F4378,
         [1]unilever_price_limits!A:A &amp; [1]unilever_price_limits!B:B,
         [1]unilever_price_limits!C:C)</f>
        <v>15</v>
      </c>
      <c r="H4378" s="8">
        <f t="shared" si="273"/>
        <v>12.535</v>
      </c>
      <c r="I4378" s="6">
        <f t="shared" si="274"/>
        <v>14.999999999999991</v>
      </c>
      <c r="J4378" t="str">
        <f t="shared" si="275"/>
        <v>OK</v>
      </c>
    </row>
    <row r="4379" spans="1:10" x14ac:dyDescent="0.2">
      <c r="A4379">
        <v>14378</v>
      </c>
      <c r="B4379" t="s">
        <v>7</v>
      </c>
      <c r="C4379" t="s">
        <v>9</v>
      </c>
      <c r="D4379" s="8">
        <v>11.56</v>
      </c>
      <c r="E4379">
        <v>10</v>
      </c>
      <c r="F4379" t="str">
        <f t="shared" si="272"/>
        <v>Premium</v>
      </c>
      <c r="G4379" s="3" cm="1">
        <f t="array" ref="G4379">_xlfn.XLOOKUP(C4379 &amp; F4379,
         [1]unilever_price_limits!A:A &amp; [1]unilever_price_limits!B:B,
         [1]unilever_price_limits!C:C)</f>
        <v>60</v>
      </c>
      <c r="H4379" s="8">
        <f t="shared" si="273"/>
        <v>18.496000000000002</v>
      </c>
      <c r="I4379" s="6">
        <f t="shared" si="274"/>
        <v>60.000000000000007</v>
      </c>
      <c r="J4379" t="str">
        <f t="shared" si="275"/>
        <v>OK</v>
      </c>
    </row>
    <row r="4380" spans="1:10" x14ac:dyDescent="0.2">
      <c r="A4380">
        <v>14379</v>
      </c>
      <c r="B4380" t="s">
        <v>8</v>
      </c>
      <c r="C4380" t="s">
        <v>6</v>
      </c>
      <c r="D4380" s="8">
        <v>3.42</v>
      </c>
      <c r="E4380">
        <v>1</v>
      </c>
      <c r="F4380" t="str">
        <f t="shared" si="272"/>
        <v>Value</v>
      </c>
      <c r="G4380" s="3" cm="1">
        <f t="array" ref="G4380">_xlfn.XLOOKUP(C4380 &amp; F4380,
         [1]unilever_price_limits!A:A &amp; [1]unilever_price_limits!B:B,
         [1]unilever_price_limits!C:C)</f>
        <v>12</v>
      </c>
      <c r="H4380" s="8">
        <f t="shared" si="273"/>
        <v>3.8304000000000005</v>
      </c>
      <c r="I4380" s="6">
        <f t="shared" si="274"/>
        <v>12.000000000000011</v>
      </c>
      <c r="J4380" t="str">
        <f t="shared" si="275"/>
        <v>OK</v>
      </c>
    </row>
    <row r="4381" spans="1:10" x14ac:dyDescent="0.2">
      <c r="A4381">
        <v>14380</v>
      </c>
      <c r="B4381" t="s">
        <v>5</v>
      </c>
      <c r="C4381" t="s">
        <v>9</v>
      </c>
      <c r="D4381" s="8">
        <v>3.9</v>
      </c>
      <c r="E4381">
        <v>5</v>
      </c>
      <c r="F4381" t="str">
        <f t="shared" si="272"/>
        <v>Standard</v>
      </c>
      <c r="G4381" s="3" cm="1">
        <f t="array" ref="G4381">_xlfn.XLOOKUP(C4381 &amp; F4381,
         [1]unilever_price_limits!A:A &amp; [1]unilever_price_limits!B:B,
         [1]unilever_price_limits!C:C)</f>
        <v>30</v>
      </c>
      <c r="H4381" s="8">
        <f t="shared" si="273"/>
        <v>5.07</v>
      </c>
      <c r="I4381" s="6">
        <f t="shared" si="274"/>
        <v>30.000000000000004</v>
      </c>
      <c r="J4381" t="str">
        <f t="shared" si="275"/>
        <v>OK</v>
      </c>
    </row>
    <row r="4382" spans="1:10" x14ac:dyDescent="0.2">
      <c r="A4382">
        <v>14381</v>
      </c>
      <c r="B4382" t="s">
        <v>10</v>
      </c>
      <c r="C4382" t="s">
        <v>6</v>
      </c>
      <c r="D4382" s="8">
        <v>8.06</v>
      </c>
      <c r="E4382">
        <v>3</v>
      </c>
      <c r="F4382" t="str">
        <f t="shared" si="272"/>
        <v>Value</v>
      </c>
      <c r="G4382" s="3" cm="1">
        <f t="array" ref="G4382">_xlfn.XLOOKUP(C4382 &amp; F4382,
         [1]unilever_price_limits!A:A &amp; [1]unilever_price_limits!B:B,
         [1]unilever_price_limits!C:C)</f>
        <v>12</v>
      </c>
      <c r="H4382" s="8">
        <f t="shared" si="273"/>
        <v>9.0272000000000006</v>
      </c>
      <c r="I4382" s="6">
        <f t="shared" si="274"/>
        <v>12.000000000000011</v>
      </c>
      <c r="J4382" t="str">
        <f t="shared" si="275"/>
        <v>OK</v>
      </c>
    </row>
    <row r="4383" spans="1:10" x14ac:dyDescent="0.2">
      <c r="A4383">
        <v>14382</v>
      </c>
      <c r="B4383" t="s">
        <v>5</v>
      </c>
      <c r="C4383" t="s">
        <v>11</v>
      </c>
      <c r="D4383" s="8">
        <v>3</v>
      </c>
      <c r="E4383">
        <v>1</v>
      </c>
      <c r="F4383" t="str">
        <f t="shared" si="272"/>
        <v>Value</v>
      </c>
      <c r="G4383" s="3" cm="1">
        <f t="array" ref="G4383">_xlfn.XLOOKUP(C4383 &amp; F4383,
         [1]unilever_price_limits!A:A &amp; [1]unilever_price_limits!B:B,
         [1]unilever_price_limits!C:C)</f>
        <v>10</v>
      </c>
      <c r="H4383" s="8">
        <f t="shared" si="273"/>
        <v>3.3000000000000003</v>
      </c>
      <c r="I4383" s="6">
        <f t="shared" si="274"/>
        <v>10.000000000000009</v>
      </c>
      <c r="J4383" t="str">
        <f t="shared" si="275"/>
        <v>OK</v>
      </c>
    </row>
    <row r="4384" spans="1:10" x14ac:dyDescent="0.2">
      <c r="A4384">
        <v>14383</v>
      </c>
      <c r="B4384" t="s">
        <v>8</v>
      </c>
      <c r="C4384" t="s">
        <v>9</v>
      </c>
      <c r="D4384" s="8">
        <v>4.93</v>
      </c>
      <c r="E4384">
        <v>2</v>
      </c>
      <c r="F4384" t="str">
        <f t="shared" si="272"/>
        <v>Value</v>
      </c>
      <c r="G4384" s="3" cm="1">
        <f t="array" ref="G4384">_xlfn.XLOOKUP(C4384 &amp; F4384,
         [1]unilever_price_limits!A:A &amp; [1]unilever_price_limits!B:B,
         [1]unilever_price_limits!C:C)</f>
        <v>15</v>
      </c>
      <c r="H4384" s="8">
        <f t="shared" si="273"/>
        <v>5.6694999999999993</v>
      </c>
      <c r="I4384" s="6">
        <f t="shared" si="274"/>
        <v>14.999999999999991</v>
      </c>
      <c r="J4384" t="str">
        <f t="shared" si="275"/>
        <v>OK</v>
      </c>
    </row>
    <row r="4385" spans="1:10" x14ac:dyDescent="0.2">
      <c r="A4385">
        <v>14384</v>
      </c>
      <c r="B4385" t="s">
        <v>10</v>
      </c>
      <c r="C4385" t="s">
        <v>11</v>
      </c>
      <c r="D4385" s="8">
        <v>5.16</v>
      </c>
      <c r="E4385">
        <v>10</v>
      </c>
      <c r="F4385" t="str">
        <f t="shared" si="272"/>
        <v>Premium</v>
      </c>
      <c r="G4385" s="3" cm="1">
        <f t="array" ref="G4385">_xlfn.XLOOKUP(C4385 &amp; F4385,
         [1]unilever_price_limits!A:A &amp; [1]unilever_price_limits!B:B,
         [1]unilever_price_limits!C:C)</f>
        <v>50</v>
      </c>
      <c r="H4385" s="8">
        <f t="shared" si="273"/>
        <v>7.74</v>
      </c>
      <c r="I4385" s="6">
        <f t="shared" si="274"/>
        <v>50</v>
      </c>
      <c r="J4385" t="str">
        <f t="shared" si="275"/>
        <v>OK</v>
      </c>
    </row>
    <row r="4386" spans="1:10" x14ac:dyDescent="0.2">
      <c r="A4386">
        <v>14385</v>
      </c>
      <c r="B4386" t="s">
        <v>5</v>
      </c>
      <c r="C4386" t="s">
        <v>11</v>
      </c>
      <c r="D4386" s="8">
        <v>2.81</v>
      </c>
      <c r="E4386">
        <v>5</v>
      </c>
      <c r="F4386" t="str">
        <f t="shared" si="272"/>
        <v>Standard</v>
      </c>
      <c r="G4386" s="3" cm="1">
        <f t="array" ref="G4386">_xlfn.XLOOKUP(C4386 &amp; F4386,
         [1]unilever_price_limits!A:A &amp; [1]unilever_price_limits!B:B,
         [1]unilever_price_limits!C:C)</f>
        <v>25</v>
      </c>
      <c r="H4386" s="8">
        <f t="shared" si="273"/>
        <v>3.5125000000000002</v>
      </c>
      <c r="I4386" s="6">
        <f t="shared" si="274"/>
        <v>25</v>
      </c>
      <c r="J4386" t="str">
        <f t="shared" si="275"/>
        <v>OK</v>
      </c>
    </row>
    <row r="4387" spans="1:10" x14ac:dyDescent="0.2">
      <c r="A4387">
        <v>14386</v>
      </c>
      <c r="B4387" t="s">
        <v>5</v>
      </c>
      <c r="C4387" t="s">
        <v>11</v>
      </c>
      <c r="D4387" s="8">
        <v>3.48</v>
      </c>
      <c r="E4387">
        <v>3</v>
      </c>
      <c r="F4387" t="str">
        <f t="shared" si="272"/>
        <v>Value</v>
      </c>
      <c r="G4387" s="3" cm="1">
        <f t="array" ref="G4387">_xlfn.XLOOKUP(C4387 &amp; F4387,
         [1]unilever_price_limits!A:A &amp; [1]unilever_price_limits!B:B,
         [1]unilever_price_limits!C:C)</f>
        <v>10</v>
      </c>
      <c r="H4387" s="8">
        <f t="shared" si="273"/>
        <v>3.8280000000000003</v>
      </c>
      <c r="I4387" s="6">
        <f t="shared" si="274"/>
        <v>10.000000000000009</v>
      </c>
      <c r="J4387" t="str">
        <f t="shared" si="275"/>
        <v>OK</v>
      </c>
    </row>
    <row r="4388" spans="1:10" x14ac:dyDescent="0.2">
      <c r="A4388">
        <v>14387</v>
      </c>
      <c r="B4388" t="s">
        <v>5</v>
      </c>
      <c r="C4388" t="s">
        <v>6</v>
      </c>
      <c r="D4388" s="8">
        <v>11.93</v>
      </c>
      <c r="E4388">
        <v>6</v>
      </c>
      <c r="F4388" t="str">
        <f t="shared" si="272"/>
        <v>Standard</v>
      </c>
      <c r="G4388" s="3" cm="1">
        <f t="array" ref="G4388">_xlfn.XLOOKUP(C4388 &amp; F4388,
         [1]unilever_price_limits!A:A &amp; [1]unilever_price_limits!B:B,
         [1]unilever_price_limits!C:C)</f>
        <v>28</v>
      </c>
      <c r="H4388" s="8">
        <f t="shared" si="273"/>
        <v>15.2704</v>
      </c>
      <c r="I4388" s="6">
        <f t="shared" si="274"/>
        <v>28.000000000000004</v>
      </c>
      <c r="J4388" t="str">
        <f t="shared" si="275"/>
        <v>OK</v>
      </c>
    </row>
    <row r="4389" spans="1:10" x14ac:dyDescent="0.2">
      <c r="A4389">
        <v>14388</v>
      </c>
      <c r="B4389" t="s">
        <v>5</v>
      </c>
      <c r="C4389" t="s">
        <v>11</v>
      </c>
      <c r="D4389" s="8">
        <v>2.92</v>
      </c>
      <c r="E4389">
        <v>9</v>
      </c>
      <c r="F4389" t="str">
        <f t="shared" si="272"/>
        <v>Premium</v>
      </c>
      <c r="G4389" s="3" cm="1">
        <f t="array" ref="G4389">_xlfn.XLOOKUP(C4389 &amp; F4389,
         [1]unilever_price_limits!A:A &amp; [1]unilever_price_limits!B:B,
         [1]unilever_price_limits!C:C)</f>
        <v>50</v>
      </c>
      <c r="H4389" s="8">
        <f t="shared" si="273"/>
        <v>4.38</v>
      </c>
      <c r="I4389" s="6">
        <f t="shared" si="274"/>
        <v>50</v>
      </c>
      <c r="J4389" t="str">
        <f t="shared" si="275"/>
        <v>OK</v>
      </c>
    </row>
    <row r="4390" spans="1:10" x14ac:dyDescent="0.2">
      <c r="A4390">
        <v>14389</v>
      </c>
      <c r="B4390" t="s">
        <v>5</v>
      </c>
      <c r="C4390" t="s">
        <v>11</v>
      </c>
      <c r="D4390" s="8">
        <v>0.91</v>
      </c>
      <c r="E4390">
        <v>6</v>
      </c>
      <c r="F4390" t="str">
        <f t="shared" si="272"/>
        <v>Standard</v>
      </c>
      <c r="G4390" s="3" cm="1">
        <f t="array" ref="G4390">_xlfn.XLOOKUP(C4390 &amp; F4390,
         [1]unilever_price_limits!A:A &amp; [1]unilever_price_limits!B:B,
         [1]unilever_price_limits!C:C)</f>
        <v>25</v>
      </c>
      <c r="H4390" s="8">
        <f t="shared" si="273"/>
        <v>1.1375</v>
      </c>
      <c r="I4390" s="6">
        <f t="shared" si="274"/>
        <v>25</v>
      </c>
      <c r="J4390" t="str">
        <f t="shared" si="275"/>
        <v>OK</v>
      </c>
    </row>
    <row r="4391" spans="1:10" x14ac:dyDescent="0.2">
      <c r="A4391">
        <v>14390</v>
      </c>
      <c r="B4391" t="s">
        <v>10</v>
      </c>
      <c r="C4391" t="s">
        <v>11</v>
      </c>
      <c r="D4391" s="8">
        <v>9.6300000000000008</v>
      </c>
      <c r="E4391">
        <v>2</v>
      </c>
      <c r="F4391" t="str">
        <f t="shared" si="272"/>
        <v>Value</v>
      </c>
      <c r="G4391" s="3" cm="1">
        <f t="array" ref="G4391">_xlfn.XLOOKUP(C4391 &amp; F4391,
         [1]unilever_price_limits!A:A &amp; [1]unilever_price_limits!B:B,
         [1]unilever_price_limits!C:C)</f>
        <v>10</v>
      </c>
      <c r="H4391" s="8">
        <f t="shared" si="273"/>
        <v>10.593000000000002</v>
      </c>
      <c r="I4391" s="6">
        <f t="shared" si="274"/>
        <v>10.000000000000009</v>
      </c>
      <c r="J4391" t="str">
        <f t="shared" si="275"/>
        <v>OK</v>
      </c>
    </row>
    <row r="4392" spans="1:10" x14ac:dyDescent="0.2">
      <c r="A4392">
        <v>14391</v>
      </c>
      <c r="B4392" t="s">
        <v>7</v>
      </c>
      <c r="C4392" t="s">
        <v>6</v>
      </c>
      <c r="D4392" s="8">
        <v>14.65</v>
      </c>
      <c r="E4392">
        <v>2</v>
      </c>
      <c r="F4392" t="str">
        <f t="shared" si="272"/>
        <v>Value</v>
      </c>
      <c r="G4392" s="3" cm="1">
        <f t="array" ref="G4392">_xlfn.XLOOKUP(C4392 &amp; F4392,
         [1]unilever_price_limits!A:A &amp; [1]unilever_price_limits!B:B,
         [1]unilever_price_limits!C:C)</f>
        <v>12</v>
      </c>
      <c r="H4392" s="8">
        <f t="shared" si="273"/>
        <v>16.408000000000001</v>
      </c>
      <c r="I4392" s="6">
        <f t="shared" si="274"/>
        <v>12.000000000000011</v>
      </c>
      <c r="J4392" t="str">
        <f t="shared" si="275"/>
        <v>OK</v>
      </c>
    </row>
    <row r="4393" spans="1:10" x14ac:dyDescent="0.2">
      <c r="A4393">
        <v>14392</v>
      </c>
      <c r="B4393" t="s">
        <v>10</v>
      </c>
      <c r="C4393" t="s">
        <v>11</v>
      </c>
      <c r="D4393" s="8">
        <v>5.3</v>
      </c>
      <c r="E4393">
        <v>8</v>
      </c>
      <c r="F4393" t="str">
        <f t="shared" si="272"/>
        <v>Premium</v>
      </c>
      <c r="G4393" s="3" cm="1">
        <f t="array" ref="G4393">_xlfn.XLOOKUP(C4393 &amp; F4393,
         [1]unilever_price_limits!A:A &amp; [1]unilever_price_limits!B:B,
         [1]unilever_price_limits!C:C)</f>
        <v>50</v>
      </c>
      <c r="H4393" s="8">
        <f t="shared" si="273"/>
        <v>7.9499999999999993</v>
      </c>
      <c r="I4393" s="6">
        <f t="shared" si="274"/>
        <v>50</v>
      </c>
      <c r="J4393" t="str">
        <f t="shared" si="275"/>
        <v>OK</v>
      </c>
    </row>
    <row r="4394" spans="1:10" x14ac:dyDescent="0.2">
      <c r="A4394">
        <v>14393</v>
      </c>
      <c r="B4394" t="s">
        <v>10</v>
      </c>
      <c r="C4394" t="s">
        <v>11</v>
      </c>
      <c r="D4394" s="8">
        <v>2.2200000000000002</v>
      </c>
      <c r="E4394">
        <v>8</v>
      </c>
      <c r="F4394" t="str">
        <f t="shared" si="272"/>
        <v>Premium</v>
      </c>
      <c r="G4394" s="3" cm="1">
        <f t="array" ref="G4394">_xlfn.XLOOKUP(C4394 &amp; F4394,
         [1]unilever_price_limits!A:A &amp; [1]unilever_price_limits!B:B,
         [1]unilever_price_limits!C:C)</f>
        <v>50</v>
      </c>
      <c r="H4394" s="8">
        <f t="shared" si="273"/>
        <v>3.33</v>
      </c>
      <c r="I4394" s="6">
        <f t="shared" si="274"/>
        <v>50</v>
      </c>
      <c r="J4394" t="str">
        <f t="shared" si="275"/>
        <v>OK</v>
      </c>
    </row>
    <row r="4395" spans="1:10" x14ac:dyDescent="0.2">
      <c r="A4395">
        <v>14394</v>
      </c>
      <c r="B4395" t="s">
        <v>10</v>
      </c>
      <c r="C4395" t="s">
        <v>9</v>
      </c>
      <c r="D4395" s="8">
        <v>8.77</v>
      </c>
      <c r="E4395">
        <v>6</v>
      </c>
      <c r="F4395" t="str">
        <f t="shared" si="272"/>
        <v>Standard</v>
      </c>
      <c r="G4395" s="3" cm="1">
        <f t="array" ref="G4395">_xlfn.XLOOKUP(C4395 &amp; F4395,
         [1]unilever_price_limits!A:A &amp; [1]unilever_price_limits!B:B,
         [1]unilever_price_limits!C:C)</f>
        <v>30</v>
      </c>
      <c r="H4395" s="8">
        <f t="shared" si="273"/>
        <v>11.401</v>
      </c>
      <c r="I4395" s="6">
        <f t="shared" si="274"/>
        <v>30.000000000000004</v>
      </c>
      <c r="J4395" t="str">
        <f t="shared" si="275"/>
        <v>OK</v>
      </c>
    </row>
    <row r="4396" spans="1:10" x14ac:dyDescent="0.2">
      <c r="A4396">
        <v>14395</v>
      </c>
      <c r="B4396" t="s">
        <v>7</v>
      </c>
      <c r="C4396" t="s">
        <v>6</v>
      </c>
      <c r="D4396" s="8">
        <v>13.64</v>
      </c>
      <c r="E4396">
        <v>10</v>
      </c>
      <c r="F4396" t="str">
        <f t="shared" si="272"/>
        <v>Premium</v>
      </c>
      <c r="G4396" s="3" cm="1">
        <f t="array" ref="G4396">_xlfn.XLOOKUP(C4396 &amp; F4396,
         [1]unilever_price_limits!A:A &amp; [1]unilever_price_limits!B:B,
         [1]unilever_price_limits!C:C)</f>
        <v>55</v>
      </c>
      <c r="H4396" s="8">
        <f t="shared" si="273"/>
        <v>21.142000000000003</v>
      </c>
      <c r="I4396" s="6">
        <f t="shared" si="274"/>
        <v>55.000000000000028</v>
      </c>
      <c r="J4396" t="str">
        <f t="shared" si="275"/>
        <v>OK</v>
      </c>
    </row>
    <row r="4397" spans="1:10" x14ac:dyDescent="0.2">
      <c r="A4397">
        <v>14396</v>
      </c>
      <c r="B4397" t="s">
        <v>8</v>
      </c>
      <c r="C4397" t="s">
        <v>11</v>
      </c>
      <c r="D4397" s="8">
        <v>11.87</v>
      </c>
      <c r="E4397">
        <v>7</v>
      </c>
      <c r="F4397" t="str">
        <f t="shared" si="272"/>
        <v>Standard</v>
      </c>
      <c r="G4397" s="3" cm="1">
        <f t="array" ref="G4397">_xlfn.XLOOKUP(C4397 &amp; F4397,
         [1]unilever_price_limits!A:A &amp; [1]unilever_price_limits!B:B,
         [1]unilever_price_limits!C:C)</f>
        <v>25</v>
      </c>
      <c r="H4397" s="8">
        <f t="shared" si="273"/>
        <v>14.837499999999999</v>
      </c>
      <c r="I4397" s="6">
        <f t="shared" si="274"/>
        <v>25</v>
      </c>
      <c r="J4397" t="str">
        <f t="shared" si="275"/>
        <v>OK</v>
      </c>
    </row>
    <row r="4398" spans="1:10" x14ac:dyDescent="0.2">
      <c r="A4398">
        <v>14397</v>
      </c>
      <c r="B4398" t="s">
        <v>7</v>
      </c>
      <c r="C4398" t="s">
        <v>9</v>
      </c>
      <c r="D4398" s="8">
        <v>9.5299999999999994</v>
      </c>
      <c r="E4398">
        <v>1</v>
      </c>
      <c r="F4398" t="str">
        <f t="shared" si="272"/>
        <v>Value</v>
      </c>
      <c r="G4398" s="3" cm="1">
        <f t="array" ref="G4398">_xlfn.XLOOKUP(C4398 &amp; F4398,
         [1]unilever_price_limits!A:A &amp; [1]unilever_price_limits!B:B,
         [1]unilever_price_limits!C:C)</f>
        <v>15</v>
      </c>
      <c r="H4398" s="8">
        <f t="shared" si="273"/>
        <v>10.959499999999998</v>
      </c>
      <c r="I4398" s="6">
        <f t="shared" si="274"/>
        <v>14.999999999999991</v>
      </c>
      <c r="J4398" t="str">
        <f t="shared" si="275"/>
        <v>OK</v>
      </c>
    </row>
    <row r="4399" spans="1:10" x14ac:dyDescent="0.2">
      <c r="A4399">
        <v>14398</v>
      </c>
      <c r="B4399" t="s">
        <v>10</v>
      </c>
      <c r="C4399" t="s">
        <v>6</v>
      </c>
      <c r="D4399" s="8">
        <v>5.07</v>
      </c>
      <c r="E4399">
        <v>9</v>
      </c>
      <c r="F4399" t="str">
        <f t="shared" si="272"/>
        <v>Premium</v>
      </c>
      <c r="G4399" s="3" cm="1">
        <f t="array" ref="G4399">_xlfn.XLOOKUP(C4399 &amp; F4399,
         [1]unilever_price_limits!A:A &amp; [1]unilever_price_limits!B:B,
         [1]unilever_price_limits!C:C)</f>
        <v>55</v>
      </c>
      <c r="H4399" s="8">
        <f t="shared" si="273"/>
        <v>7.8585000000000003</v>
      </c>
      <c r="I4399" s="6">
        <f t="shared" si="274"/>
        <v>55.000000000000007</v>
      </c>
      <c r="J4399" t="str">
        <f t="shared" si="275"/>
        <v>OK</v>
      </c>
    </row>
    <row r="4400" spans="1:10" x14ac:dyDescent="0.2">
      <c r="A4400">
        <v>14399</v>
      </c>
      <c r="B4400" t="s">
        <v>5</v>
      </c>
      <c r="C4400" t="s">
        <v>6</v>
      </c>
      <c r="D4400" s="8">
        <v>8.36</v>
      </c>
      <c r="E4400">
        <v>5</v>
      </c>
      <c r="F4400" t="str">
        <f t="shared" si="272"/>
        <v>Standard</v>
      </c>
      <c r="G4400" s="3" cm="1">
        <f t="array" ref="G4400">_xlfn.XLOOKUP(C4400 &amp; F4400,
         [1]unilever_price_limits!A:A &amp; [1]unilever_price_limits!B:B,
         [1]unilever_price_limits!C:C)</f>
        <v>28</v>
      </c>
      <c r="H4400" s="8">
        <f t="shared" si="273"/>
        <v>10.700799999999999</v>
      </c>
      <c r="I4400" s="6">
        <f t="shared" si="274"/>
        <v>28.000000000000004</v>
      </c>
      <c r="J4400" t="str">
        <f t="shared" si="275"/>
        <v>OK</v>
      </c>
    </row>
    <row r="4401" spans="1:10" x14ac:dyDescent="0.2">
      <c r="A4401">
        <v>14400</v>
      </c>
      <c r="B4401" t="s">
        <v>5</v>
      </c>
      <c r="C4401" t="s">
        <v>6</v>
      </c>
      <c r="D4401" s="8">
        <v>1.82</v>
      </c>
      <c r="E4401">
        <v>9</v>
      </c>
      <c r="F4401" t="str">
        <f t="shared" si="272"/>
        <v>Premium</v>
      </c>
      <c r="G4401" s="3" cm="1">
        <f t="array" ref="G4401">_xlfn.XLOOKUP(C4401 &amp; F4401,
         [1]unilever_price_limits!A:A &amp; [1]unilever_price_limits!B:B,
         [1]unilever_price_limits!C:C)</f>
        <v>55</v>
      </c>
      <c r="H4401" s="8">
        <f t="shared" si="273"/>
        <v>2.8210000000000002</v>
      </c>
      <c r="I4401" s="6">
        <f t="shared" si="274"/>
        <v>55.000000000000007</v>
      </c>
      <c r="J4401" t="str">
        <f t="shared" si="275"/>
        <v>OK</v>
      </c>
    </row>
    <row r="4402" spans="1:10" x14ac:dyDescent="0.2">
      <c r="A4402">
        <v>14401</v>
      </c>
      <c r="B4402" t="s">
        <v>10</v>
      </c>
      <c r="C4402" t="s">
        <v>6</v>
      </c>
      <c r="D4402" s="8">
        <v>10.34</v>
      </c>
      <c r="E4402">
        <v>2</v>
      </c>
      <c r="F4402" t="str">
        <f t="shared" si="272"/>
        <v>Value</v>
      </c>
      <c r="G4402" s="3" cm="1">
        <f t="array" ref="G4402">_xlfn.XLOOKUP(C4402 &amp; F4402,
         [1]unilever_price_limits!A:A &amp; [1]unilever_price_limits!B:B,
         [1]unilever_price_limits!C:C)</f>
        <v>12</v>
      </c>
      <c r="H4402" s="8">
        <f t="shared" si="273"/>
        <v>11.580800000000002</v>
      </c>
      <c r="I4402" s="6">
        <f t="shared" si="274"/>
        <v>12.000000000000011</v>
      </c>
      <c r="J4402" t="str">
        <f t="shared" si="275"/>
        <v>OK</v>
      </c>
    </row>
    <row r="4403" spans="1:10" x14ac:dyDescent="0.2">
      <c r="A4403">
        <v>14402</v>
      </c>
      <c r="B4403" t="s">
        <v>5</v>
      </c>
      <c r="C4403" t="s">
        <v>6</v>
      </c>
      <c r="D4403" s="8">
        <v>11.01</v>
      </c>
      <c r="E4403">
        <v>8</v>
      </c>
      <c r="F4403" t="str">
        <f t="shared" si="272"/>
        <v>Premium</v>
      </c>
      <c r="G4403" s="3" cm="1">
        <f t="array" ref="G4403">_xlfn.XLOOKUP(C4403 &amp; F4403,
         [1]unilever_price_limits!A:A &amp; [1]unilever_price_limits!B:B,
         [1]unilever_price_limits!C:C)</f>
        <v>55</v>
      </c>
      <c r="H4403" s="8">
        <f t="shared" si="273"/>
        <v>17.0655</v>
      </c>
      <c r="I4403" s="6">
        <f t="shared" si="274"/>
        <v>55.000000000000007</v>
      </c>
      <c r="J4403" t="str">
        <f t="shared" si="275"/>
        <v>OK</v>
      </c>
    </row>
    <row r="4404" spans="1:10" x14ac:dyDescent="0.2">
      <c r="A4404">
        <v>14403</v>
      </c>
      <c r="B4404" t="s">
        <v>10</v>
      </c>
      <c r="C4404" t="s">
        <v>6</v>
      </c>
      <c r="D4404" s="8">
        <v>14.49</v>
      </c>
      <c r="E4404">
        <v>7</v>
      </c>
      <c r="F4404" t="str">
        <f t="shared" si="272"/>
        <v>Standard</v>
      </c>
      <c r="G4404" s="3" cm="1">
        <f t="array" ref="G4404">_xlfn.XLOOKUP(C4404 &amp; F4404,
         [1]unilever_price_limits!A:A &amp; [1]unilever_price_limits!B:B,
         [1]unilever_price_limits!C:C)</f>
        <v>28</v>
      </c>
      <c r="H4404" s="8">
        <f t="shared" si="273"/>
        <v>18.5472</v>
      </c>
      <c r="I4404" s="6">
        <f t="shared" si="274"/>
        <v>28.000000000000004</v>
      </c>
      <c r="J4404" t="str">
        <f t="shared" si="275"/>
        <v>OK</v>
      </c>
    </row>
    <row r="4405" spans="1:10" x14ac:dyDescent="0.2">
      <c r="A4405">
        <v>14404</v>
      </c>
      <c r="B4405" t="s">
        <v>5</v>
      </c>
      <c r="C4405" t="s">
        <v>11</v>
      </c>
      <c r="D4405" s="8">
        <v>4.28</v>
      </c>
      <c r="E4405">
        <v>4</v>
      </c>
      <c r="F4405" t="str">
        <f t="shared" si="272"/>
        <v>Standard</v>
      </c>
      <c r="G4405" s="3" cm="1">
        <f t="array" ref="G4405">_xlfn.XLOOKUP(C4405 &amp; F4405,
         [1]unilever_price_limits!A:A &amp; [1]unilever_price_limits!B:B,
         [1]unilever_price_limits!C:C)</f>
        <v>25</v>
      </c>
      <c r="H4405" s="8">
        <f t="shared" si="273"/>
        <v>5.3500000000000005</v>
      </c>
      <c r="I4405" s="6">
        <f t="shared" si="274"/>
        <v>25</v>
      </c>
      <c r="J4405" t="str">
        <f t="shared" si="275"/>
        <v>OK</v>
      </c>
    </row>
    <row r="4406" spans="1:10" x14ac:dyDescent="0.2">
      <c r="A4406">
        <v>14405</v>
      </c>
      <c r="B4406" t="s">
        <v>7</v>
      </c>
      <c r="C4406" t="s">
        <v>11</v>
      </c>
      <c r="D4406" s="8">
        <v>0.77</v>
      </c>
      <c r="E4406">
        <v>3</v>
      </c>
      <c r="F4406" t="str">
        <f t="shared" si="272"/>
        <v>Value</v>
      </c>
      <c r="G4406" s="3" cm="1">
        <f t="array" ref="G4406">_xlfn.XLOOKUP(C4406 &amp; F4406,
         [1]unilever_price_limits!A:A &amp; [1]unilever_price_limits!B:B,
         [1]unilever_price_limits!C:C)</f>
        <v>10</v>
      </c>
      <c r="H4406" s="8">
        <f t="shared" si="273"/>
        <v>0.84700000000000009</v>
      </c>
      <c r="I4406" s="6">
        <f t="shared" si="274"/>
        <v>10.000000000000009</v>
      </c>
      <c r="J4406" t="str">
        <f t="shared" si="275"/>
        <v>OK</v>
      </c>
    </row>
    <row r="4407" spans="1:10" x14ac:dyDescent="0.2">
      <c r="A4407">
        <v>14406</v>
      </c>
      <c r="B4407" t="s">
        <v>8</v>
      </c>
      <c r="C4407" t="s">
        <v>11</v>
      </c>
      <c r="D4407" s="8">
        <v>8.41</v>
      </c>
      <c r="E4407">
        <v>4</v>
      </c>
      <c r="F4407" t="str">
        <f t="shared" si="272"/>
        <v>Standard</v>
      </c>
      <c r="G4407" s="3" cm="1">
        <f t="array" ref="G4407">_xlfn.XLOOKUP(C4407 &amp; F4407,
         [1]unilever_price_limits!A:A &amp; [1]unilever_price_limits!B:B,
         [1]unilever_price_limits!C:C)</f>
        <v>25</v>
      </c>
      <c r="H4407" s="8">
        <f t="shared" si="273"/>
        <v>10.512499999999999</v>
      </c>
      <c r="I4407" s="6">
        <f t="shared" si="274"/>
        <v>25</v>
      </c>
      <c r="J4407" t="str">
        <f t="shared" si="275"/>
        <v>OK</v>
      </c>
    </row>
    <row r="4408" spans="1:10" x14ac:dyDescent="0.2">
      <c r="A4408">
        <v>14407</v>
      </c>
      <c r="B4408" t="s">
        <v>8</v>
      </c>
      <c r="C4408" t="s">
        <v>11</v>
      </c>
      <c r="D4408" s="8">
        <v>10.75</v>
      </c>
      <c r="E4408">
        <v>4</v>
      </c>
      <c r="F4408" t="str">
        <f t="shared" si="272"/>
        <v>Standard</v>
      </c>
      <c r="G4408" s="3" cm="1">
        <f t="array" ref="G4408">_xlfn.XLOOKUP(C4408 &amp; F4408,
         [1]unilever_price_limits!A:A &amp; [1]unilever_price_limits!B:B,
         [1]unilever_price_limits!C:C)</f>
        <v>25</v>
      </c>
      <c r="H4408" s="8">
        <f t="shared" si="273"/>
        <v>13.4375</v>
      </c>
      <c r="I4408" s="6">
        <f t="shared" si="274"/>
        <v>25</v>
      </c>
      <c r="J4408" t="str">
        <f t="shared" si="275"/>
        <v>OK</v>
      </c>
    </row>
    <row r="4409" spans="1:10" x14ac:dyDescent="0.2">
      <c r="A4409">
        <v>14408</v>
      </c>
      <c r="B4409" t="s">
        <v>7</v>
      </c>
      <c r="C4409" t="s">
        <v>9</v>
      </c>
      <c r="D4409" s="8">
        <v>11.96</v>
      </c>
      <c r="E4409">
        <v>10</v>
      </c>
      <c r="F4409" t="str">
        <f t="shared" si="272"/>
        <v>Premium</v>
      </c>
      <c r="G4409" s="3" cm="1">
        <f t="array" ref="G4409">_xlfn.XLOOKUP(C4409 &amp; F4409,
         [1]unilever_price_limits!A:A &amp; [1]unilever_price_limits!B:B,
         [1]unilever_price_limits!C:C)</f>
        <v>60</v>
      </c>
      <c r="H4409" s="8">
        <f t="shared" si="273"/>
        <v>19.136000000000003</v>
      </c>
      <c r="I4409" s="6">
        <f t="shared" si="274"/>
        <v>60.000000000000007</v>
      </c>
      <c r="J4409" t="str">
        <f t="shared" si="275"/>
        <v>OK</v>
      </c>
    </row>
    <row r="4410" spans="1:10" x14ac:dyDescent="0.2">
      <c r="A4410">
        <v>14409</v>
      </c>
      <c r="B4410" t="s">
        <v>7</v>
      </c>
      <c r="C4410" t="s">
        <v>11</v>
      </c>
      <c r="D4410" s="8">
        <v>3.31</v>
      </c>
      <c r="E4410">
        <v>10</v>
      </c>
      <c r="F4410" t="str">
        <f t="shared" si="272"/>
        <v>Premium</v>
      </c>
      <c r="G4410" s="3" cm="1">
        <f t="array" ref="G4410">_xlfn.XLOOKUP(C4410 &amp; F4410,
         [1]unilever_price_limits!A:A &amp; [1]unilever_price_limits!B:B,
         [1]unilever_price_limits!C:C)</f>
        <v>50</v>
      </c>
      <c r="H4410" s="8">
        <f t="shared" si="273"/>
        <v>4.9649999999999999</v>
      </c>
      <c r="I4410" s="6">
        <f t="shared" si="274"/>
        <v>50</v>
      </c>
      <c r="J4410" t="str">
        <f t="shared" si="275"/>
        <v>OK</v>
      </c>
    </row>
    <row r="4411" spans="1:10" x14ac:dyDescent="0.2">
      <c r="A4411">
        <v>14410</v>
      </c>
      <c r="B4411" t="s">
        <v>10</v>
      </c>
      <c r="C4411" t="s">
        <v>6</v>
      </c>
      <c r="D4411" s="8">
        <v>4.3</v>
      </c>
      <c r="E4411">
        <v>8</v>
      </c>
      <c r="F4411" t="str">
        <f t="shared" si="272"/>
        <v>Premium</v>
      </c>
      <c r="G4411" s="3" cm="1">
        <f t="array" ref="G4411">_xlfn.XLOOKUP(C4411 &amp; F4411,
         [1]unilever_price_limits!A:A &amp; [1]unilever_price_limits!B:B,
         [1]unilever_price_limits!C:C)</f>
        <v>55</v>
      </c>
      <c r="H4411" s="8">
        <f t="shared" si="273"/>
        <v>6.665</v>
      </c>
      <c r="I4411" s="6">
        <f t="shared" si="274"/>
        <v>55.000000000000007</v>
      </c>
      <c r="J4411" t="str">
        <f t="shared" si="275"/>
        <v>OK</v>
      </c>
    </row>
    <row r="4412" spans="1:10" x14ac:dyDescent="0.2">
      <c r="A4412">
        <v>14411</v>
      </c>
      <c r="B4412" t="s">
        <v>10</v>
      </c>
      <c r="C4412" t="s">
        <v>11</v>
      </c>
      <c r="D4412" s="8">
        <v>7.93</v>
      </c>
      <c r="E4412">
        <v>4</v>
      </c>
      <c r="F4412" t="str">
        <f t="shared" si="272"/>
        <v>Standard</v>
      </c>
      <c r="G4412" s="3" cm="1">
        <f t="array" ref="G4412">_xlfn.XLOOKUP(C4412 &amp; F4412,
         [1]unilever_price_limits!A:A &amp; [1]unilever_price_limits!B:B,
         [1]unilever_price_limits!C:C)</f>
        <v>25</v>
      </c>
      <c r="H4412" s="8">
        <f t="shared" si="273"/>
        <v>9.9124999999999996</v>
      </c>
      <c r="I4412" s="6">
        <f t="shared" si="274"/>
        <v>25</v>
      </c>
      <c r="J4412" t="str">
        <f t="shared" si="275"/>
        <v>OK</v>
      </c>
    </row>
    <row r="4413" spans="1:10" x14ac:dyDescent="0.2">
      <c r="A4413">
        <v>14412</v>
      </c>
      <c r="B4413" t="s">
        <v>10</v>
      </c>
      <c r="C4413" t="s">
        <v>11</v>
      </c>
      <c r="D4413" s="8">
        <v>5.29</v>
      </c>
      <c r="E4413">
        <v>5</v>
      </c>
      <c r="F4413" t="str">
        <f t="shared" si="272"/>
        <v>Standard</v>
      </c>
      <c r="G4413" s="3" cm="1">
        <f t="array" ref="G4413">_xlfn.XLOOKUP(C4413 &amp; F4413,
         [1]unilever_price_limits!A:A &amp; [1]unilever_price_limits!B:B,
         [1]unilever_price_limits!C:C)</f>
        <v>25</v>
      </c>
      <c r="H4413" s="8">
        <f t="shared" si="273"/>
        <v>6.6124999999999998</v>
      </c>
      <c r="I4413" s="6">
        <f t="shared" si="274"/>
        <v>25</v>
      </c>
      <c r="J4413" t="str">
        <f t="shared" si="275"/>
        <v>OK</v>
      </c>
    </row>
    <row r="4414" spans="1:10" x14ac:dyDescent="0.2">
      <c r="A4414">
        <v>14413</v>
      </c>
      <c r="B4414" t="s">
        <v>5</v>
      </c>
      <c r="C4414" t="s">
        <v>6</v>
      </c>
      <c r="D4414" s="8">
        <v>12.98</v>
      </c>
      <c r="E4414">
        <v>2</v>
      </c>
      <c r="F4414" t="str">
        <f t="shared" si="272"/>
        <v>Value</v>
      </c>
      <c r="G4414" s="3" cm="1">
        <f t="array" ref="G4414">_xlfn.XLOOKUP(C4414 &amp; F4414,
         [1]unilever_price_limits!A:A &amp; [1]unilever_price_limits!B:B,
         [1]unilever_price_limits!C:C)</f>
        <v>12</v>
      </c>
      <c r="H4414" s="8">
        <f t="shared" si="273"/>
        <v>14.537600000000001</v>
      </c>
      <c r="I4414" s="6">
        <f t="shared" si="274"/>
        <v>12.000000000000011</v>
      </c>
      <c r="J4414" t="str">
        <f t="shared" si="275"/>
        <v>OK</v>
      </c>
    </row>
    <row r="4415" spans="1:10" x14ac:dyDescent="0.2">
      <c r="A4415">
        <v>14414</v>
      </c>
      <c r="B4415" t="s">
        <v>10</v>
      </c>
      <c r="C4415" t="s">
        <v>11</v>
      </c>
      <c r="D4415" s="8">
        <v>7.37</v>
      </c>
      <c r="E4415">
        <v>4</v>
      </c>
      <c r="F4415" t="str">
        <f t="shared" si="272"/>
        <v>Standard</v>
      </c>
      <c r="G4415" s="3" cm="1">
        <f t="array" ref="G4415">_xlfn.XLOOKUP(C4415 &amp; F4415,
         [1]unilever_price_limits!A:A &amp; [1]unilever_price_limits!B:B,
         [1]unilever_price_limits!C:C)</f>
        <v>25</v>
      </c>
      <c r="H4415" s="8">
        <f t="shared" si="273"/>
        <v>9.2125000000000004</v>
      </c>
      <c r="I4415" s="6">
        <f t="shared" si="274"/>
        <v>25</v>
      </c>
      <c r="J4415" t="str">
        <f t="shared" si="275"/>
        <v>OK</v>
      </c>
    </row>
    <row r="4416" spans="1:10" x14ac:dyDescent="0.2">
      <c r="A4416">
        <v>14415</v>
      </c>
      <c r="B4416" t="s">
        <v>7</v>
      </c>
      <c r="C4416" t="s">
        <v>11</v>
      </c>
      <c r="D4416" s="8">
        <v>12.09</v>
      </c>
      <c r="E4416">
        <v>7</v>
      </c>
      <c r="F4416" t="str">
        <f t="shared" si="272"/>
        <v>Standard</v>
      </c>
      <c r="G4416" s="3" cm="1">
        <f t="array" ref="G4416">_xlfn.XLOOKUP(C4416 &amp; F4416,
         [1]unilever_price_limits!A:A &amp; [1]unilever_price_limits!B:B,
         [1]unilever_price_limits!C:C)</f>
        <v>25</v>
      </c>
      <c r="H4416" s="8">
        <f t="shared" si="273"/>
        <v>15.112500000000001</v>
      </c>
      <c r="I4416" s="6">
        <f t="shared" si="274"/>
        <v>25</v>
      </c>
      <c r="J4416" t="str">
        <f t="shared" si="275"/>
        <v>OK</v>
      </c>
    </row>
    <row r="4417" spans="1:10" x14ac:dyDescent="0.2">
      <c r="A4417">
        <v>14416</v>
      </c>
      <c r="B4417" t="s">
        <v>8</v>
      </c>
      <c r="C4417" t="s">
        <v>11</v>
      </c>
      <c r="D4417" s="8">
        <v>8.92</v>
      </c>
      <c r="E4417">
        <v>3</v>
      </c>
      <c r="F4417" t="str">
        <f t="shared" si="272"/>
        <v>Value</v>
      </c>
      <c r="G4417" s="3" cm="1">
        <f t="array" ref="G4417">_xlfn.XLOOKUP(C4417 &amp; F4417,
         [1]unilever_price_limits!A:A &amp; [1]unilever_price_limits!B:B,
         [1]unilever_price_limits!C:C)</f>
        <v>10</v>
      </c>
      <c r="H4417" s="8">
        <f t="shared" si="273"/>
        <v>9.8120000000000012</v>
      </c>
      <c r="I4417" s="6">
        <f t="shared" si="274"/>
        <v>10.000000000000009</v>
      </c>
      <c r="J4417" t="str">
        <f t="shared" si="275"/>
        <v>OK</v>
      </c>
    </row>
    <row r="4418" spans="1:10" x14ac:dyDescent="0.2">
      <c r="A4418">
        <v>14417</v>
      </c>
      <c r="B4418" t="s">
        <v>5</v>
      </c>
      <c r="C4418" t="s">
        <v>9</v>
      </c>
      <c r="D4418" s="8">
        <v>11.71</v>
      </c>
      <c r="E4418">
        <v>1</v>
      </c>
      <c r="F4418" t="str">
        <f t="shared" si="272"/>
        <v>Value</v>
      </c>
      <c r="G4418" s="3" cm="1">
        <f t="array" ref="G4418">_xlfn.XLOOKUP(C4418 &amp; F4418,
         [1]unilever_price_limits!A:A &amp; [1]unilever_price_limits!B:B,
         [1]unilever_price_limits!C:C)</f>
        <v>15</v>
      </c>
      <c r="H4418" s="8">
        <f t="shared" si="273"/>
        <v>13.4665</v>
      </c>
      <c r="I4418" s="6">
        <f t="shared" si="274"/>
        <v>14.999999999999991</v>
      </c>
      <c r="J4418" t="str">
        <f t="shared" si="275"/>
        <v>OK</v>
      </c>
    </row>
    <row r="4419" spans="1:10" x14ac:dyDescent="0.2">
      <c r="A4419">
        <v>14418</v>
      </c>
      <c r="B4419" t="s">
        <v>10</v>
      </c>
      <c r="C4419" t="s">
        <v>11</v>
      </c>
      <c r="D4419" s="8">
        <v>5.32</v>
      </c>
      <c r="E4419">
        <v>8</v>
      </c>
      <c r="F4419" t="str">
        <f t="shared" ref="F4419:F4482" si="276">IF(E4419&lt;=3,"Value",
 IF(E4419&lt;=7,"Standard","Premium"))</f>
        <v>Premium</v>
      </c>
      <c r="G4419" s="3" cm="1">
        <f t="array" ref="G4419">_xlfn.XLOOKUP(C4419 &amp; F4419,
         [1]unilever_price_limits!A:A &amp; [1]unilever_price_limits!B:B,
         [1]unilever_price_limits!C:C)</f>
        <v>50</v>
      </c>
      <c r="H4419" s="8">
        <f t="shared" ref="H4419:H4482" si="277">D4419 * (1 + G4419/100)</f>
        <v>7.98</v>
      </c>
      <c r="I4419" s="6">
        <f t="shared" ref="I4419:I4482" si="278">(H4419 / D4419 - 1) * 100</f>
        <v>50</v>
      </c>
      <c r="J4419" t="str">
        <f t="shared" ref="J4419:J4482" si="279">IF(I4418&gt; G4418, "⚠ Exceeds Limit", "OK")</f>
        <v>OK</v>
      </c>
    </row>
    <row r="4420" spans="1:10" x14ac:dyDescent="0.2">
      <c r="A4420">
        <v>14419</v>
      </c>
      <c r="B4420" t="s">
        <v>5</v>
      </c>
      <c r="C4420" t="s">
        <v>6</v>
      </c>
      <c r="D4420" s="8">
        <v>12.56</v>
      </c>
      <c r="E4420">
        <v>8</v>
      </c>
      <c r="F4420" t="str">
        <f t="shared" si="276"/>
        <v>Premium</v>
      </c>
      <c r="G4420" s="3" cm="1">
        <f t="array" ref="G4420">_xlfn.XLOOKUP(C4420 &amp; F4420,
         [1]unilever_price_limits!A:A &amp; [1]unilever_price_limits!B:B,
         [1]unilever_price_limits!C:C)</f>
        <v>55</v>
      </c>
      <c r="H4420" s="8">
        <f t="shared" si="277"/>
        <v>19.468</v>
      </c>
      <c r="I4420" s="6">
        <f t="shared" si="278"/>
        <v>55.000000000000007</v>
      </c>
      <c r="J4420" t="str">
        <f t="shared" si="279"/>
        <v>OK</v>
      </c>
    </row>
    <row r="4421" spans="1:10" x14ac:dyDescent="0.2">
      <c r="A4421">
        <v>14420</v>
      </c>
      <c r="B4421" t="s">
        <v>5</v>
      </c>
      <c r="C4421" t="s">
        <v>6</v>
      </c>
      <c r="D4421" s="8">
        <v>4.4800000000000004</v>
      </c>
      <c r="E4421">
        <v>6</v>
      </c>
      <c r="F4421" t="str">
        <f t="shared" si="276"/>
        <v>Standard</v>
      </c>
      <c r="G4421" s="3" cm="1">
        <f t="array" ref="G4421">_xlfn.XLOOKUP(C4421 &amp; F4421,
         [1]unilever_price_limits!A:A &amp; [1]unilever_price_limits!B:B,
         [1]unilever_price_limits!C:C)</f>
        <v>28</v>
      </c>
      <c r="H4421" s="8">
        <f t="shared" si="277"/>
        <v>5.7344000000000008</v>
      </c>
      <c r="I4421" s="6">
        <f t="shared" si="278"/>
        <v>28.000000000000004</v>
      </c>
      <c r="J4421" t="str">
        <f t="shared" si="279"/>
        <v>OK</v>
      </c>
    </row>
    <row r="4422" spans="1:10" x14ac:dyDescent="0.2">
      <c r="A4422">
        <v>14421</v>
      </c>
      <c r="B4422" t="s">
        <v>10</v>
      </c>
      <c r="C4422" t="s">
        <v>11</v>
      </c>
      <c r="D4422" s="8">
        <v>8.42</v>
      </c>
      <c r="E4422">
        <v>7</v>
      </c>
      <c r="F4422" t="str">
        <f t="shared" si="276"/>
        <v>Standard</v>
      </c>
      <c r="G4422" s="3" cm="1">
        <f t="array" ref="G4422">_xlfn.XLOOKUP(C4422 &amp; F4422,
         [1]unilever_price_limits!A:A &amp; [1]unilever_price_limits!B:B,
         [1]unilever_price_limits!C:C)</f>
        <v>25</v>
      </c>
      <c r="H4422" s="8">
        <f t="shared" si="277"/>
        <v>10.525</v>
      </c>
      <c r="I4422" s="6">
        <f t="shared" si="278"/>
        <v>25</v>
      </c>
      <c r="J4422" t="str">
        <f t="shared" si="279"/>
        <v>OK</v>
      </c>
    </row>
    <row r="4423" spans="1:10" x14ac:dyDescent="0.2">
      <c r="A4423">
        <v>14422</v>
      </c>
      <c r="B4423" t="s">
        <v>5</v>
      </c>
      <c r="C4423" t="s">
        <v>11</v>
      </c>
      <c r="D4423" s="8">
        <v>3.6</v>
      </c>
      <c r="E4423">
        <v>10</v>
      </c>
      <c r="F4423" t="str">
        <f t="shared" si="276"/>
        <v>Premium</v>
      </c>
      <c r="G4423" s="3" cm="1">
        <f t="array" ref="G4423">_xlfn.XLOOKUP(C4423 &amp; F4423,
         [1]unilever_price_limits!A:A &amp; [1]unilever_price_limits!B:B,
         [1]unilever_price_limits!C:C)</f>
        <v>50</v>
      </c>
      <c r="H4423" s="8">
        <f t="shared" si="277"/>
        <v>5.4</v>
      </c>
      <c r="I4423" s="6">
        <f t="shared" si="278"/>
        <v>50</v>
      </c>
      <c r="J4423" t="str">
        <f t="shared" si="279"/>
        <v>OK</v>
      </c>
    </row>
    <row r="4424" spans="1:10" x14ac:dyDescent="0.2">
      <c r="A4424">
        <v>14423</v>
      </c>
      <c r="B4424" t="s">
        <v>8</v>
      </c>
      <c r="C4424" t="s">
        <v>11</v>
      </c>
      <c r="D4424" s="8">
        <v>7.4</v>
      </c>
      <c r="E4424">
        <v>2</v>
      </c>
      <c r="F4424" t="str">
        <f t="shared" si="276"/>
        <v>Value</v>
      </c>
      <c r="G4424" s="3" cm="1">
        <f t="array" ref="G4424">_xlfn.XLOOKUP(C4424 &amp; F4424,
         [1]unilever_price_limits!A:A &amp; [1]unilever_price_limits!B:B,
         [1]unilever_price_limits!C:C)</f>
        <v>10</v>
      </c>
      <c r="H4424" s="8">
        <f t="shared" si="277"/>
        <v>8.14</v>
      </c>
      <c r="I4424" s="6">
        <f t="shared" si="278"/>
        <v>10.000000000000009</v>
      </c>
      <c r="J4424" t="str">
        <f t="shared" si="279"/>
        <v>OK</v>
      </c>
    </row>
    <row r="4425" spans="1:10" x14ac:dyDescent="0.2">
      <c r="A4425">
        <v>14424</v>
      </c>
      <c r="B4425" t="s">
        <v>7</v>
      </c>
      <c r="C4425" t="s">
        <v>6</v>
      </c>
      <c r="D4425" s="8">
        <v>5.1100000000000003</v>
      </c>
      <c r="E4425">
        <v>5</v>
      </c>
      <c r="F4425" t="str">
        <f t="shared" si="276"/>
        <v>Standard</v>
      </c>
      <c r="G4425" s="3" cm="1">
        <f t="array" ref="G4425">_xlfn.XLOOKUP(C4425 &amp; F4425,
         [1]unilever_price_limits!A:A &amp; [1]unilever_price_limits!B:B,
         [1]unilever_price_limits!C:C)</f>
        <v>28</v>
      </c>
      <c r="H4425" s="8">
        <f t="shared" si="277"/>
        <v>6.5408000000000008</v>
      </c>
      <c r="I4425" s="6">
        <f t="shared" si="278"/>
        <v>28.000000000000004</v>
      </c>
      <c r="J4425" t="str">
        <f t="shared" si="279"/>
        <v>OK</v>
      </c>
    </row>
    <row r="4426" spans="1:10" x14ac:dyDescent="0.2">
      <c r="A4426">
        <v>14425</v>
      </c>
      <c r="B4426" t="s">
        <v>7</v>
      </c>
      <c r="C4426" t="s">
        <v>6</v>
      </c>
      <c r="D4426" s="8">
        <v>4.37</v>
      </c>
      <c r="E4426">
        <v>7</v>
      </c>
      <c r="F4426" t="str">
        <f t="shared" si="276"/>
        <v>Standard</v>
      </c>
      <c r="G4426" s="3" cm="1">
        <f t="array" ref="G4426">_xlfn.XLOOKUP(C4426 &amp; F4426,
         [1]unilever_price_limits!A:A &amp; [1]unilever_price_limits!B:B,
         [1]unilever_price_limits!C:C)</f>
        <v>28</v>
      </c>
      <c r="H4426" s="8">
        <f t="shared" si="277"/>
        <v>5.5936000000000003</v>
      </c>
      <c r="I4426" s="6">
        <f t="shared" si="278"/>
        <v>28.000000000000004</v>
      </c>
      <c r="J4426" t="str">
        <f t="shared" si="279"/>
        <v>OK</v>
      </c>
    </row>
    <row r="4427" spans="1:10" x14ac:dyDescent="0.2">
      <c r="A4427">
        <v>14426</v>
      </c>
      <c r="B4427" t="s">
        <v>8</v>
      </c>
      <c r="C4427" t="s">
        <v>9</v>
      </c>
      <c r="D4427" s="8">
        <v>14.52</v>
      </c>
      <c r="E4427">
        <v>9</v>
      </c>
      <c r="F4427" t="str">
        <f t="shared" si="276"/>
        <v>Premium</v>
      </c>
      <c r="G4427" s="3" cm="1">
        <f t="array" ref="G4427">_xlfn.XLOOKUP(C4427 &amp; F4427,
         [1]unilever_price_limits!A:A &amp; [1]unilever_price_limits!B:B,
         [1]unilever_price_limits!C:C)</f>
        <v>60</v>
      </c>
      <c r="H4427" s="8">
        <f t="shared" si="277"/>
        <v>23.231999999999999</v>
      </c>
      <c r="I4427" s="6">
        <f t="shared" si="278"/>
        <v>60.000000000000007</v>
      </c>
      <c r="J4427" t="str">
        <f t="shared" si="279"/>
        <v>OK</v>
      </c>
    </row>
    <row r="4428" spans="1:10" x14ac:dyDescent="0.2">
      <c r="A4428">
        <v>14427</v>
      </c>
      <c r="B4428" t="s">
        <v>5</v>
      </c>
      <c r="C4428" t="s">
        <v>9</v>
      </c>
      <c r="D4428" s="8">
        <v>2.82</v>
      </c>
      <c r="E4428">
        <v>1</v>
      </c>
      <c r="F4428" t="str">
        <f t="shared" si="276"/>
        <v>Value</v>
      </c>
      <c r="G4428" s="3" cm="1">
        <f t="array" ref="G4428">_xlfn.XLOOKUP(C4428 &amp; F4428,
         [1]unilever_price_limits!A:A &amp; [1]unilever_price_limits!B:B,
         [1]unilever_price_limits!C:C)</f>
        <v>15</v>
      </c>
      <c r="H4428" s="8">
        <f t="shared" si="277"/>
        <v>3.2429999999999994</v>
      </c>
      <c r="I4428" s="6">
        <f t="shared" si="278"/>
        <v>14.999999999999991</v>
      </c>
      <c r="J4428" t="str">
        <f t="shared" si="279"/>
        <v>OK</v>
      </c>
    </row>
    <row r="4429" spans="1:10" x14ac:dyDescent="0.2">
      <c r="A4429">
        <v>14428</v>
      </c>
      <c r="B4429" t="s">
        <v>10</v>
      </c>
      <c r="C4429" t="s">
        <v>9</v>
      </c>
      <c r="D4429" s="8">
        <v>11.92</v>
      </c>
      <c r="E4429">
        <v>3</v>
      </c>
      <c r="F4429" t="str">
        <f t="shared" si="276"/>
        <v>Value</v>
      </c>
      <c r="G4429" s="3" cm="1">
        <f t="array" ref="G4429">_xlfn.XLOOKUP(C4429 &amp; F4429,
         [1]unilever_price_limits!A:A &amp; [1]unilever_price_limits!B:B,
         [1]unilever_price_limits!C:C)</f>
        <v>15</v>
      </c>
      <c r="H4429" s="8">
        <f t="shared" si="277"/>
        <v>13.707999999999998</v>
      </c>
      <c r="I4429" s="6">
        <f t="shared" si="278"/>
        <v>14.999999999999991</v>
      </c>
      <c r="J4429" t="str">
        <f t="shared" si="279"/>
        <v>OK</v>
      </c>
    </row>
    <row r="4430" spans="1:10" x14ac:dyDescent="0.2">
      <c r="A4430">
        <v>14429</v>
      </c>
      <c r="B4430" t="s">
        <v>5</v>
      </c>
      <c r="C4430" t="s">
        <v>6</v>
      </c>
      <c r="D4430" s="8">
        <v>14.77</v>
      </c>
      <c r="E4430">
        <v>6</v>
      </c>
      <c r="F4430" t="str">
        <f t="shared" si="276"/>
        <v>Standard</v>
      </c>
      <c r="G4430" s="3" cm="1">
        <f t="array" ref="G4430">_xlfn.XLOOKUP(C4430 &amp; F4430,
         [1]unilever_price_limits!A:A &amp; [1]unilever_price_limits!B:B,
         [1]unilever_price_limits!C:C)</f>
        <v>28</v>
      </c>
      <c r="H4430" s="8">
        <f t="shared" si="277"/>
        <v>18.9056</v>
      </c>
      <c r="I4430" s="6">
        <f t="shared" si="278"/>
        <v>28.000000000000004</v>
      </c>
      <c r="J4430" t="str">
        <f t="shared" si="279"/>
        <v>OK</v>
      </c>
    </row>
    <row r="4431" spans="1:10" x14ac:dyDescent="0.2">
      <c r="A4431">
        <v>14430</v>
      </c>
      <c r="B4431" t="s">
        <v>8</v>
      </c>
      <c r="C4431" t="s">
        <v>9</v>
      </c>
      <c r="D4431" s="8">
        <v>0.79</v>
      </c>
      <c r="E4431">
        <v>7</v>
      </c>
      <c r="F4431" t="str">
        <f t="shared" si="276"/>
        <v>Standard</v>
      </c>
      <c r="G4431" s="3" cm="1">
        <f t="array" ref="G4431">_xlfn.XLOOKUP(C4431 &amp; F4431,
         [1]unilever_price_limits!A:A &amp; [1]unilever_price_limits!B:B,
         [1]unilever_price_limits!C:C)</f>
        <v>30</v>
      </c>
      <c r="H4431" s="8">
        <f t="shared" si="277"/>
        <v>1.0270000000000001</v>
      </c>
      <c r="I4431" s="6">
        <f t="shared" si="278"/>
        <v>30.000000000000004</v>
      </c>
      <c r="J4431" t="str">
        <f t="shared" si="279"/>
        <v>OK</v>
      </c>
    </row>
    <row r="4432" spans="1:10" x14ac:dyDescent="0.2">
      <c r="A4432">
        <v>14431</v>
      </c>
      <c r="B4432" t="s">
        <v>5</v>
      </c>
      <c r="C4432" t="s">
        <v>11</v>
      </c>
      <c r="D4432" s="8">
        <v>10.64</v>
      </c>
      <c r="E4432">
        <v>6</v>
      </c>
      <c r="F4432" t="str">
        <f t="shared" si="276"/>
        <v>Standard</v>
      </c>
      <c r="G4432" s="3" cm="1">
        <f t="array" ref="G4432">_xlfn.XLOOKUP(C4432 &amp; F4432,
         [1]unilever_price_limits!A:A &amp; [1]unilever_price_limits!B:B,
         [1]unilever_price_limits!C:C)</f>
        <v>25</v>
      </c>
      <c r="H4432" s="8">
        <f t="shared" si="277"/>
        <v>13.3</v>
      </c>
      <c r="I4432" s="6">
        <f t="shared" si="278"/>
        <v>25</v>
      </c>
      <c r="J4432" t="str">
        <f t="shared" si="279"/>
        <v>OK</v>
      </c>
    </row>
    <row r="4433" spans="1:10" x14ac:dyDescent="0.2">
      <c r="A4433">
        <v>14432</v>
      </c>
      <c r="B4433" t="s">
        <v>7</v>
      </c>
      <c r="C4433" t="s">
        <v>11</v>
      </c>
      <c r="D4433" s="8">
        <v>4.17</v>
      </c>
      <c r="E4433">
        <v>1</v>
      </c>
      <c r="F4433" t="str">
        <f t="shared" si="276"/>
        <v>Value</v>
      </c>
      <c r="G4433" s="3" cm="1">
        <f t="array" ref="G4433">_xlfn.XLOOKUP(C4433 &amp; F4433,
         [1]unilever_price_limits!A:A &amp; [1]unilever_price_limits!B:B,
         [1]unilever_price_limits!C:C)</f>
        <v>10</v>
      </c>
      <c r="H4433" s="8">
        <f t="shared" si="277"/>
        <v>4.5870000000000006</v>
      </c>
      <c r="I4433" s="6">
        <f t="shared" si="278"/>
        <v>10.000000000000009</v>
      </c>
      <c r="J4433" t="str">
        <f t="shared" si="279"/>
        <v>OK</v>
      </c>
    </row>
    <row r="4434" spans="1:10" x14ac:dyDescent="0.2">
      <c r="A4434">
        <v>14433</v>
      </c>
      <c r="B4434" t="s">
        <v>5</v>
      </c>
      <c r="C4434" t="s">
        <v>6</v>
      </c>
      <c r="D4434" s="8">
        <v>1.0900000000000001</v>
      </c>
      <c r="E4434">
        <v>4</v>
      </c>
      <c r="F4434" t="str">
        <f t="shared" si="276"/>
        <v>Standard</v>
      </c>
      <c r="G4434" s="3" cm="1">
        <f t="array" ref="G4434">_xlfn.XLOOKUP(C4434 &amp; F4434,
         [1]unilever_price_limits!A:A &amp; [1]unilever_price_limits!B:B,
         [1]unilever_price_limits!C:C)</f>
        <v>28</v>
      </c>
      <c r="H4434" s="8">
        <f t="shared" si="277"/>
        <v>1.3952000000000002</v>
      </c>
      <c r="I4434" s="6">
        <f t="shared" si="278"/>
        <v>28.000000000000004</v>
      </c>
      <c r="J4434" t="str">
        <f t="shared" si="279"/>
        <v>OK</v>
      </c>
    </row>
    <row r="4435" spans="1:10" x14ac:dyDescent="0.2">
      <c r="A4435">
        <v>14434</v>
      </c>
      <c r="B4435" t="s">
        <v>8</v>
      </c>
      <c r="C4435" t="s">
        <v>9</v>
      </c>
      <c r="D4435" s="8">
        <v>6.34</v>
      </c>
      <c r="E4435">
        <v>6</v>
      </c>
      <c r="F4435" t="str">
        <f t="shared" si="276"/>
        <v>Standard</v>
      </c>
      <c r="G4435" s="3" cm="1">
        <f t="array" ref="G4435">_xlfn.XLOOKUP(C4435 &amp; F4435,
         [1]unilever_price_limits!A:A &amp; [1]unilever_price_limits!B:B,
         [1]unilever_price_limits!C:C)</f>
        <v>30</v>
      </c>
      <c r="H4435" s="8">
        <f t="shared" si="277"/>
        <v>8.2420000000000009</v>
      </c>
      <c r="I4435" s="6">
        <f t="shared" si="278"/>
        <v>30.000000000000028</v>
      </c>
      <c r="J4435" t="str">
        <f t="shared" si="279"/>
        <v>OK</v>
      </c>
    </row>
    <row r="4436" spans="1:10" x14ac:dyDescent="0.2">
      <c r="A4436">
        <v>14435</v>
      </c>
      <c r="B4436" t="s">
        <v>7</v>
      </c>
      <c r="C4436" t="s">
        <v>11</v>
      </c>
      <c r="D4436" s="8">
        <v>14.06</v>
      </c>
      <c r="E4436">
        <v>8</v>
      </c>
      <c r="F4436" t="str">
        <f t="shared" si="276"/>
        <v>Premium</v>
      </c>
      <c r="G4436" s="3" cm="1">
        <f t="array" ref="G4436">_xlfn.XLOOKUP(C4436 &amp; F4436,
         [1]unilever_price_limits!A:A &amp; [1]unilever_price_limits!B:B,
         [1]unilever_price_limits!C:C)</f>
        <v>50</v>
      </c>
      <c r="H4436" s="8">
        <f t="shared" si="277"/>
        <v>21.09</v>
      </c>
      <c r="I4436" s="6">
        <f t="shared" si="278"/>
        <v>50</v>
      </c>
      <c r="J4436" t="str">
        <f t="shared" si="279"/>
        <v>OK</v>
      </c>
    </row>
    <row r="4437" spans="1:10" x14ac:dyDescent="0.2">
      <c r="A4437">
        <v>14436</v>
      </c>
      <c r="B4437" t="s">
        <v>5</v>
      </c>
      <c r="C4437" t="s">
        <v>6</v>
      </c>
      <c r="D4437" s="8">
        <v>0.67</v>
      </c>
      <c r="E4437">
        <v>10</v>
      </c>
      <c r="F4437" t="str">
        <f t="shared" si="276"/>
        <v>Premium</v>
      </c>
      <c r="G4437" s="3" cm="1">
        <f t="array" ref="G4437">_xlfn.XLOOKUP(C4437 &amp; F4437,
         [1]unilever_price_limits!A:A &amp; [1]unilever_price_limits!B:B,
         [1]unilever_price_limits!C:C)</f>
        <v>55</v>
      </c>
      <c r="H4437" s="8">
        <f t="shared" si="277"/>
        <v>1.0385000000000002</v>
      </c>
      <c r="I4437" s="6">
        <f t="shared" si="278"/>
        <v>55.000000000000028</v>
      </c>
      <c r="J4437" t="str">
        <f t="shared" si="279"/>
        <v>OK</v>
      </c>
    </row>
    <row r="4438" spans="1:10" x14ac:dyDescent="0.2">
      <c r="A4438">
        <v>14437</v>
      </c>
      <c r="B4438" t="s">
        <v>5</v>
      </c>
      <c r="C4438" t="s">
        <v>9</v>
      </c>
      <c r="D4438" s="8">
        <v>9.02</v>
      </c>
      <c r="E4438">
        <v>4</v>
      </c>
      <c r="F4438" t="str">
        <f t="shared" si="276"/>
        <v>Standard</v>
      </c>
      <c r="G4438" s="3" cm="1">
        <f t="array" ref="G4438">_xlfn.XLOOKUP(C4438 &amp; F4438,
         [1]unilever_price_limits!A:A &amp; [1]unilever_price_limits!B:B,
         [1]unilever_price_limits!C:C)</f>
        <v>30</v>
      </c>
      <c r="H4438" s="8">
        <f t="shared" si="277"/>
        <v>11.725999999999999</v>
      </c>
      <c r="I4438" s="6">
        <f t="shared" si="278"/>
        <v>30.000000000000004</v>
      </c>
      <c r="J4438" t="str">
        <f t="shared" si="279"/>
        <v>OK</v>
      </c>
    </row>
    <row r="4439" spans="1:10" x14ac:dyDescent="0.2">
      <c r="A4439">
        <v>14438</v>
      </c>
      <c r="B4439" t="s">
        <v>7</v>
      </c>
      <c r="C4439" t="s">
        <v>11</v>
      </c>
      <c r="D4439" s="8">
        <v>7.77</v>
      </c>
      <c r="E4439">
        <v>7</v>
      </c>
      <c r="F4439" t="str">
        <f t="shared" si="276"/>
        <v>Standard</v>
      </c>
      <c r="G4439" s="3" cm="1">
        <f t="array" ref="G4439">_xlfn.XLOOKUP(C4439 &amp; F4439,
         [1]unilever_price_limits!A:A &amp; [1]unilever_price_limits!B:B,
         [1]unilever_price_limits!C:C)</f>
        <v>25</v>
      </c>
      <c r="H4439" s="8">
        <f t="shared" si="277"/>
        <v>9.7124999999999986</v>
      </c>
      <c r="I4439" s="6">
        <f t="shared" si="278"/>
        <v>24.999999999999979</v>
      </c>
      <c r="J4439" t="str">
        <f t="shared" si="279"/>
        <v>OK</v>
      </c>
    </row>
    <row r="4440" spans="1:10" x14ac:dyDescent="0.2">
      <c r="A4440">
        <v>14439</v>
      </c>
      <c r="B4440" t="s">
        <v>10</v>
      </c>
      <c r="C4440" t="s">
        <v>9</v>
      </c>
      <c r="D4440" s="8">
        <v>13.16</v>
      </c>
      <c r="E4440">
        <v>3</v>
      </c>
      <c r="F4440" t="str">
        <f t="shared" si="276"/>
        <v>Value</v>
      </c>
      <c r="G4440" s="3" cm="1">
        <f t="array" ref="G4440">_xlfn.XLOOKUP(C4440 &amp; F4440,
         [1]unilever_price_limits!A:A &amp; [1]unilever_price_limits!B:B,
         [1]unilever_price_limits!C:C)</f>
        <v>15</v>
      </c>
      <c r="H4440" s="8">
        <f t="shared" si="277"/>
        <v>15.133999999999999</v>
      </c>
      <c r="I4440" s="6">
        <f t="shared" si="278"/>
        <v>14.999999999999991</v>
      </c>
      <c r="J4440" t="str">
        <f t="shared" si="279"/>
        <v>OK</v>
      </c>
    </row>
    <row r="4441" spans="1:10" x14ac:dyDescent="0.2">
      <c r="A4441">
        <v>14440</v>
      </c>
      <c r="B4441" t="s">
        <v>7</v>
      </c>
      <c r="C4441" t="s">
        <v>6</v>
      </c>
      <c r="D4441" s="8">
        <v>1.72</v>
      </c>
      <c r="E4441">
        <v>8</v>
      </c>
      <c r="F4441" t="str">
        <f t="shared" si="276"/>
        <v>Premium</v>
      </c>
      <c r="G4441" s="3" cm="1">
        <f t="array" ref="G4441">_xlfn.XLOOKUP(C4441 &amp; F4441,
         [1]unilever_price_limits!A:A &amp; [1]unilever_price_limits!B:B,
         [1]unilever_price_limits!C:C)</f>
        <v>55</v>
      </c>
      <c r="H4441" s="8">
        <f t="shared" si="277"/>
        <v>2.6659999999999999</v>
      </c>
      <c r="I4441" s="6">
        <f t="shared" si="278"/>
        <v>55.000000000000007</v>
      </c>
      <c r="J4441" t="str">
        <f t="shared" si="279"/>
        <v>OK</v>
      </c>
    </row>
    <row r="4442" spans="1:10" x14ac:dyDescent="0.2">
      <c r="A4442">
        <v>14441</v>
      </c>
      <c r="B4442" t="s">
        <v>10</v>
      </c>
      <c r="C4442" t="s">
        <v>9</v>
      </c>
      <c r="D4442" s="8">
        <v>10.38</v>
      </c>
      <c r="E4442">
        <v>1</v>
      </c>
      <c r="F4442" t="str">
        <f t="shared" si="276"/>
        <v>Value</v>
      </c>
      <c r="G4442" s="3" cm="1">
        <f t="array" ref="G4442">_xlfn.XLOOKUP(C4442 &amp; F4442,
         [1]unilever_price_limits!A:A &amp; [1]unilever_price_limits!B:B,
         [1]unilever_price_limits!C:C)</f>
        <v>15</v>
      </c>
      <c r="H4442" s="8">
        <f t="shared" si="277"/>
        <v>11.936999999999999</v>
      </c>
      <c r="I4442" s="6">
        <f t="shared" si="278"/>
        <v>14.999999999999991</v>
      </c>
      <c r="J4442" t="str">
        <f t="shared" si="279"/>
        <v>OK</v>
      </c>
    </row>
    <row r="4443" spans="1:10" x14ac:dyDescent="0.2">
      <c r="A4443">
        <v>14442</v>
      </c>
      <c r="B4443" t="s">
        <v>8</v>
      </c>
      <c r="C4443" t="s">
        <v>6</v>
      </c>
      <c r="D4443" s="8">
        <v>10.36</v>
      </c>
      <c r="E4443">
        <v>4</v>
      </c>
      <c r="F4443" t="str">
        <f t="shared" si="276"/>
        <v>Standard</v>
      </c>
      <c r="G4443" s="3" cm="1">
        <f t="array" ref="G4443">_xlfn.XLOOKUP(C4443 &amp; F4443,
         [1]unilever_price_limits!A:A &amp; [1]unilever_price_limits!B:B,
         [1]unilever_price_limits!C:C)</f>
        <v>28</v>
      </c>
      <c r="H4443" s="8">
        <f t="shared" si="277"/>
        <v>13.2608</v>
      </c>
      <c r="I4443" s="6">
        <f t="shared" si="278"/>
        <v>28.000000000000004</v>
      </c>
      <c r="J4443" t="str">
        <f t="shared" si="279"/>
        <v>OK</v>
      </c>
    </row>
    <row r="4444" spans="1:10" x14ac:dyDescent="0.2">
      <c r="A4444">
        <v>14443</v>
      </c>
      <c r="B4444" t="s">
        <v>8</v>
      </c>
      <c r="C4444" t="s">
        <v>9</v>
      </c>
      <c r="D4444" s="8">
        <v>10.199999999999999</v>
      </c>
      <c r="E4444">
        <v>8</v>
      </c>
      <c r="F4444" t="str">
        <f t="shared" si="276"/>
        <v>Premium</v>
      </c>
      <c r="G4444" s="3" cm="1">
        <f t="array" ref="G4444">_xlfn.XLOOKUP(C4444 &amp; F4444,
         [1]unilever_price_limits!A:A &amp; [1]unilever_price_limits!B:B,
         [1]unilever_price_limits!C:C)</f>
        <v>60</v>
      </c>
      <c r="H4444" s="8">
        <f t="shared" si="277"/>
        <v>16.32</v>
      </c>
      <c r="I4444" s="6">
        <f t="shared" si="278"/>
        <v>60.000000000000007</v>
      </c>
      <c r="J4444" t="str">
        <f t="shared" si="279"/>
        <v>OK</v>
      </c>
    </row>
    <row r="4445" spans="1:10" x14ac:dyDescent="0.2">
      <c r="A4445">
        <v>14444</v>
      </c>
      <c r="B4445" t="s">
        <v>7</v>
      </c>
      <c r="C4445" t="s">
        <v>11</v>
      </c>
      <c r="D4445" s="8">
        <v>14.16</v>
      </c>
      <c r="E4445">
        <v>10</v>
      </c>
      <c r="F4445" t="str">
        <f t="shared" si="276"/>
        <v>Premium</v>
      </c>
      <c r="G4445" s="3" cm="1">
        <f t="array" ref="G4445">_xlfn.XLOOKUP(C4445 &amp; F4445,
         [1]unilever_price_limits!A:A &amp; [1]unilever_price_limits!B:B,
         [1]unilever_price_limits!C:C)</f>
        <v>50</v>
      </c>
      <c r="H4445" s="8">
        <f t="shared" si="277"/>
        <v>21.240000000000002</v>
      </c>
      <c r="I4445" s="6">
        <f t="shared" si="278"/>
        <v>50.000000000000021</v>
      </c>
      <c r="J4445" t="str">
        <f t="shared" si="279"/>
        <v>OK</v>
      </c>
    </row>
    <row r="4446" spans="1:10" x14ac:dyDescent="0.2">
      <c r="A4446">
        <v>14445</v>
      </c>
      <c r="B4446" t="s">
        <v>7</v>
      </c>
      <c r="C4446" t="s">
        <v>6</v>
      </c>
      <c r="D4446" s="8">
        <v>12.43</v>
      </c>
      <c r="E4446">
        <v>4</v>
      </c>
      <c r="F4446" t="str">
        <f t="shared" si="276"/>
        <v>Standard</v>
      </c>
      <c r="G4446" s="3" cm="1">
        <f t="array" ref="G4446">_xlfn.XLOOKUP(C4446 &amp; F4446,
         [1]unilever_price_limits!A:A &amp; [1]unilever_price_limits!B:B,
         [1]unilever_price_limits!C:C)</f>
        <v>28</v>
      </c>
      <c r="H4446" s="8">
        <f t="shared" si="277"/>
        <v>15.910399999999999</v>
      </c>
      <c r="I4446" s="6">
        <f t="shared" si="278"/>
        <v>28.000000000000004</v>
      </c>
      <c r="J4446" t="str">
        <f t="shared" si="279"/>
        <v>OK</v>
      </c>
    </row>
    <row r="4447" spans="1:10" x14ac:dyDescent="0.2">
      <c r="A4447">
        <v>14446</v>
      </c>
      <c r="B4447" t="s">
        <v>8</v>
      </c>
      <c r="C4447" t="s">
        <v>6</v>
      </c>
      <c r="D4447" s="8">
        <v>1.1100000000000001</v>
      </c>
      <c r="E4447">
        <v>2</v>
      </c>
      <c r="F4447" t="str">
        <f t="shared" si="276"/>
        <v>Value</v>
      </c>
      <c r="G4447" s="3" cm="1">
        <f t="array" ref="G4447">_xlfn.XLOOKUP(C4447 &amp; F4447,
         [1]unilever_price_limits!A:A &amp; [1]unilever_price_limits!B:B,
         [1]unilever_price_limits!C:C)</f>
        <v>12</v>
      </c>
      <c r="H4447" s="8">
        <f t="shared" si="277"/>
        <v>1.2432000000000003</v>
      </c>
      <c r="I4447" s="6">
        <f t="shared" si="278"/>
        <v>12.000000000000011</v>
      </c>
      <c r="J4447" t="str">
        <f t="shared" si="279"/>
        <v>OK</v>
      </c>
    </row>
    <row r="4448" spans="1:10" x14ac:dyDescent="0.2">
      <c r="A4448">
        <v>14447</v>
      </c>
      <c r="B4448" t="s">
        <v>10</v>
      </c>
      <c r="C4448" t="s">
        <v>6</v>
      </c>
      <c r="D4448" s="8">
        <v>7.33</v>
      </c>
      <c r="E4448">
        <v>2</v>
      </c>
      <c r="F4448" t="str">
        <f t="shared" si="276"/>
        <v>Value</v>
      </c>
      <c r="G4448" s="3" cm="1">
        <f t="array" ref="G4448">_xlfn.XLOOKUP(C4448 &amp; F4448,
         [1]unilever_price_limits!A:A &amp; [1]unilever_price_limits!B:B,
         [1]unilever_price_limits!C:C)</f>
        <v>12</v>
      </c>
      <c r="H4448" s="8">
        <f t="shared" si="277"/>
        <v>8.2096</v>
      </c>
      <c r="I4448" s="6">
        <f t="shared" si="278"/>
        <v>11.999999999999989</v>
      </c>
      <c r="J4448" t="str">
        <f t="shared" si="279"/>
        <v>OK</v>
      </c>
    </row>
    <row r="4449" spans="1:10" x14ac:dyDescent="0.2">
      <c r="A4449">
        <v>14448</v>
      </c>
      <c r="B4449" t="s">
        <v>8</v>
      </c>
      <c r="C4449" t="s">
        <v>9</v>
      </c>
      <c r="D4449" s="8">
        <v>6.27</v>
      </c>
      <c r="E4449">
        <v>4</v>
      </c>
      <c r="F4449" t="str">
        <f t="shared" si="276"/>
        <v>Standard</v>
      </c>
      <c r="G4449" s="3" cm="1">
        <f t="array" ref="G4449">_xlfn.XLOOKUP(C4449 &amp; F4449,
         [1]unilever_price_limits!A:A &amp; [1]unilever_price_limits!B:B,
         [1]unilever_price_limits!C:C)</f>
        <v>30</v>
      </c>
      <c r="H4449" s="8">
        <f t="shared" si="277"/>
        <v>8.1509999999999998</v>
      </c>
      <c r="I4449" s="6">
        <f t="shared" si="278"/>
        <v>30.000000000000004</v>
      </c>
      <c r="J4449" t="str">
        <f t="shared" si="279"/>
        <v>OK</v>
      </c>
    </row>
    <row r="4450" spans="1:10" x14ac:dyDescent="0.2">
      <c r="A4450">
        <v>14449</v>
      </c>
      <c r="B4450" t="s">
        <v>7</v>
      </c>
      <c r="C4450" t="s">
        <v>9</v>
      </c>
      <c r="D4450" s="8">
        <v>5</v>
      </c>
      <c r="E4450">
        <v>4</v>
      </c>
      <c r="F4450" t="str">
        <f t="shared" si="276"/>
        <v>Standard</v>
      </c>
      <c r="G4450" s="3" cm="1">
        <f t="array" ref="G4450">_xlfn.XLOOKUP(C4450 &amp; F4450,
         [1]unilever_price_limits!A:A &amp; [1]unilever_price_limits!B:B,
         [1]unilever_price_limits!C:C)</f>
        <v>30</v>
      </c>
      <c r="H4450" s="8">
        <f t="shared" si="277"/>
        <v>6.5</v>
      </c>
      <c r="I4450" s="6">
        <f t="shared" si="278"/>
        <v>30.000000000000004</v>
      </c>
      <c r="J4450" t="str">
        <f t="shared" si="279"/>
        <v>OK</v>
      </c>
    </row>
    <row r="4451" spans="1:10" x14ac:dyDescent="0.2">
      <c r="A4451">
        <v>14450</v>
      </c>
      <c r="B4451" t="s">
        <v>8</v>
      </c>
      <c r="C4451" t="s">
        <v>11</v>
      </c>
      <c r="D4451" s="8">
        <v>7.04</v>
      </c>
      <c r="E4451">
        <v>2</v>
      </c>
      <c r="F4451" t="str">
        <f t="shared" si="276"/>
        <v>Value</v>
      </c>
      <c r="G4451" s="3" cm="1">
        <f t="array" ref="G4451">_xlfn.XLOOKUP(C4451 &amp; F4451,
         [1]unilever_price_limits!A:A &amp; [1]unilever_price_limits!B:B,
         [1]unilever_price_limits!C:C)</f>
        <v>10</v>
      </c>
      <c r="H4451" s="8">
        <f t="shared" si="277"/>
        <v>7.7440000000000007</v>
      </c>
      <c r="I4451" s="6">
        <f t="shared" si="278"/>
        <v>10.000000000000009</v>
      </c>
      <c r="J4451" t="str">
        <f t="shared" si="279"/>
        <v>OK</v>
      </c>
    </row>
    <row r="4452" spans="1:10" x14ac:dyDescent="0.2">
      <c r="A4452">
        <v>14451</v>
      </c>
      <c r="B4452" t="s">
        <v>7</v>
      </c>
      <c r="C4452" t="s">
        <v>6</v>
      </c>
      <c r="D4452" s="8">
        <v>6.07</v>
      </c>
      <c r="E4452">
        <v>7</v>
      </c>
      <c r="F4452" t="str">
        <f t="shared" si="276"/>
        <v>Standard</v>
      </c>
      <c r="G4452" s="3" cm="1">
        <f t="array" ref="G4452">_xlfn.XLOOKUP(C4452 &amp; F4452,
         [1]unilever_price_limits!A:A &amp; [1]unilever_price_limits!B:B,
         [1]unilever_price_limits!C:C)</f>
        <v>28</v>
      </c>
      <c r="H4452" s="8">
        <f t="shared" si="277"/>
        <v>7.7696000000000005</v>
      </c>
      <c r="I4452" s="6">
        <f t="shared" si="278"/>
        <v>28.000000000000004</v>
      </c>
      <c r="J4452" t="str">
        <f t="shared" si="279"/>
        <v>OK</v>
      </c>
    </row>
    <row r="4453" spans="1:10" x14ac:dyDescent="0.2">
      <c r="A4453">
        <v>14452</v>
      </c>
      <c r="B4453" t="s">
        <v>7</v>
      </c>
      <c r="C4453" t="s">
        <v>6</v>
      </c>
      <c r="D4453" s="8">
        <v>6.77</v>
      </c>
      <c r="E4453">
        <v>6</v>
      </c>
      <c r="F4453" t="str">
        <f t="shared" si="276"/>
        <v>Standard</v>
      </c>
      <c r="G4453" s="3" cm="1">
        <f t="array" ref="G4453">_xlfn.XLOOKUP(C4453 &amp; F4453,
         [1]unilever_price_limits!A:A &amp; [1]unilever_price_limits!B:B,
         [1]unilever_price_limits!C:C)</f>
        <v>28</v>
      </c>
      <c r="H4453" s="8">
        <f t="shared" si="277"/>
        <v>8.6655999999999995</v>
      </c>
      <c r="I4453" s="6">
        <f t="shared" si="278"/>
        <v>28.000000000000004</v>
      </c>
      <c r="J4453" t="str">
        <f t="shared" si="279"/>
        <v>OK</v>
      </c>
    </row>
    <row r="4454" spans="1:10" x14ac:dyDescent="0.2">
      <c r="A4454">
        <v>14453</v>
      </c>
      <c r="B4454" t="s">
        <v>8</v>
      </c>
      <c r="C4454" t="s">
        <v>9</v>
      </c>
      <c r="D4454" s="8">
        <v>14.7</v>
      </c>
      <c r="E4454">
        <v>3</v>
      </c>
      <c r="F4454" t="str">
        <f t="shared" si="276"/>
        <v>Value</v>
      </c>
      <c r="G4454" s="3" cm="1">
        <f t="array" ref="G4454">_xlfn.XLOOKUP(C4454 &amp; F4454,
         [1]unilever_price_limits!A:A &amp; [1]unilever_price_limits!B:B,
         [1]unilever_price_limits!C:C)</f>
        <v>15</v>
      </c>
      <c r="H4454" s="8">
        <f t="shared" si="277"/>
        <v>16.904999999999998</v>
      </c>
      <c r="I4454" s="6">
        <f t="shared" si="278"/>
        <v>14.999999999999991</v>
      </c>
      <c r="J4454" t="str">
        <f t="shared" si="279"/>
        <v>OK</v>
      </c>
    </row>
    <row r="4455" spans="1:10" x14ac:dyDescent="0.2">
      <c r="A4455">
        <v>14454</v>
      </c>
      <c r="B4455" t="s">
        <v>10</v>
      </c>
      <c r="C4455" t="s">
        <v>9</v>
      </c>
      <c r="D4455" s="8">
        <v>1.79</v>
      </c>
      <c r="E4455">
        <v>8</v>
      </c>
      <c r="F4455" t="str">
        <f t="shared" si="276"/>
        <v>Premium</v>
      </c>
      <c r="G4455" s="3" cm="1">
        <f t="array" ref="G4455">_xlfn.XLOOKUP(C4455 &amp; F4455,
         [1]unilever_price_limits!A:A &amp; [1]unilever_price_limits!B:B,
         [1]unilever_price_limits!C:C)</f>
        <v>60</v>
      </c>
      <c r="H4455" s="8">
        <f t="shared" si="277"/>
        <v>2.8640000000000003</v>
      </c>
      <c r="I4455" s="6">
        <f t="shared" si="278"/>
        <v>60.000000000000007</v>
      </c>
      <c r="J4455" t="str">
        <f t="shared" si="279"/>
        <v>OK</v>
      </c>
    </row>
    <row r="4456" spans="1:10" x14ac:dyDescent="0.2">
      <c r="A4456">
        <v>14455</v>
      </c>
      <c r="B4456" t="s">
        <v>5</v>
      </c>
      <c r="C4456" t="s">
        <v>11</v>
      </c>
      <c r="D4456" s="8">
        <v>13.87</v>
      </c>
      <c r="E4456">
        <v>8</v>
      </c>
      <c r="F4456" t="str">
        <f t="shared" si="276"/>
        <v>Premium</v>
      </c>
      <c r="G4456" s="3" cm="1">
        <f t="array" ref="G4456">_xlfn.XLOOKUP(C4456 &amp; F4456,
         [1]unilever_price_limits!A:A &amp; [1]unilever_price_limits!B:B,
         [1]unilever_price_limits!C:C)</f>
        <v>50</v>
      </c>
      <c r="H4456" s="8">
        <f t="shared" si="277"/>
        <v>20.805</v>
      </c>
      <c r="I4456" s="6">
        <f t="shared" si="278"/>
        <v>50</v>
      </c>
      <c r="J4456" t="str">
        <f t="shared" si="279"/>
        <v>OK</v>
      </c>
    </row>
    <row r="4457" spans="1:10" x14ac:dyDescent="0.2">
      <c r="A4457">
        <v>14456</v>
      </c>
      <c r="B4457" t="s">
        <v>8</v>
      </c>
      <c r="C4457" t="s">
        <v>11</v>
      </c>
      <c r="D4457" s="8">
        <v>7.46</v>
      </c>
      <c r="E4457">
        <v>1</v>
      </c>
      <c r="F4457" t="str">
        <f t="shared" si="276"/>
        <v>Value</v>
      </c>
      <c r="G4457" s="3" cm="1">
        <f t="array" ref="G4457">_xlfn.XLOOKUP(C4457 &amp; F4457,
         [1]unilever_price_limits!A:A &amp; [1]unilever_price_limits!B:B,
         [1]unilever_price_limits!C:C)</f>
        <v>10</v>
      </c>
      <c r="H4457" s="8">
        <f t="shared" si="277"/>
        <v>8.2060000000000013</v>
      </c>
      <c r="I4457" s="6">
        <f t="shared" si="278"/>
        <v>10.000000000000009</v>
      </c>
      <c r="J4457" t="str">
        <f t="shared" si="279"/>
        <v>OK</v>
      </c>
    </row>
    <row r="4458" spans="1:10" x14ac:dyDescent="0.2">
      <c r="A4458">
        <v>14457</v>
      </c>
      <c r="B4458" t="s">
        <v>5</v>
      </c>
      <c r="C4458" t="s">
        <v>9</v>
      </c>
      <c r="D4458" s="8">
        <v>9.5399999999999991</v>
      </c>
      <c r="E4458">
        <v>3</v>
      </c>
      <c r="F4458" t="str">
        <f t="shared" si="276"/>
        <v>Value</v>
      </c>
      <c r="G4458" s="3" cm="1">
        <f t="array" ref="G4458">_xlfn.XLOOKUP(C4458 &amp; F4458,
         [1]unilever_price_limits!A:A &amp; [1]unilever_price_limits!B:B,
         [1]unilever_price_limits!C:C)</f>
        <v>15</v>
      </c>
      <c r="H4458" s="8">
        <f t="shared" si="277"/>
        <v>10.970999999999998</v>
      </c>
      <c r="I4458" s="6">
        <f t="shared" si="278"/>
        <v>14.999999999999991</v>
      </c>
      <c r="J4458" t="str">
        <f t="shared" si="279"/>
        <v>OK</v>
      </c>
    </row>
    <row r="4459" spans="1:10" x14ac:dyDescent="0.2">
      <c r="A4459">
        <v>14458</v>
      </c>
      <c r="B4459" t="s">
        <v>8</v>
      </c>
      <c r="C4459" t="s">
        <v>6</v>
      </c>
      <c r="D4459" s="8">
        <v>12.54</v>
      </c>
      <c r="E4459">
        <v>5</v>
      </c>
      <c r="F4459" t="str">
        <f t="shared" si="276"/>
        <v>Standard</v>
      </c>
      <c r="G4459" s="3" cm="1">
        <f t="array" ref="G4459">_xlfn.XLOOKUP(C4459 &amp; F4459,
         [1]unilever_price_limits!A:A &amp; [1]unilever_price_limits!B:B,
         [1]unilever_price_limits!C:C)</f>
        <v>28</v>
      </c>
      <c r="H4459" s="8">
        <f t="shared" si="277"/>
        <v>16.051199999999998</v>
      </c>
      <c r="I4459" s="6">
        <f t="shared" si="278"/>
        <v>28.000000000000004</v>
      </c>
      <c r="J4459" t="str">
        <f t="shared" si="279"/>
        <v>OK</v>
      </c>
    </row>
    <row r="4460" spans="1:10" x14ac:dyDescent="0.2">
      <c r="A4460">
        <v>14459</v>
      </c>
      <c r="B4460" t="s">
        <v>5</v>
      </c>
      <c r="C4460" t="s">
        <v>11</v>
      </c>
      <c r="D4460" s="8">
        <v>5.73</v>
      </c>
      <c r="E4460">
        <v>2</v>
      </c>
      <c r="F4460" t="str">
        <f t="shared" si="276"/>
        <v>Value</v>
      </c>
      <c r="G4460" s="3" cm="1">
        <f t="array" ref="G4460">_xlfn.XLOOKUP(C4460 &amp; F4460,
         [1]unilever_price_limits!A:A &amp; [1]unilever_price_limits!B:B,
         [1]unilever_price_limits!C:C)</f>
        <v>10</v>
      </c>
      <c r="H4460" s="8">
        <f t="shared" si="277"/>
        <v>6.3030000000000008</v>
      </c>
      <c r="I4460" s="6">
        <f t="shared" si="278"/>
        <v>10.000000000000009</v>
      </c>
      <c r="J4460" t="str">
        <f t="shared" si="279"/>
        <v>OK</v>
      </c>
    </row>
    <row r="4461" spans="1:10" x14ac:dyDescent="0.2">
      <c r="A4461">
        <v>14460</v>
      </c>
      <c r="B4461" t="s">
        <v>10</v>
      </c>
      <c r="C4461" t="s">
        <v>9</v>
      </c>
      <c r="D4461" s="8">
        <v>6.74</v>
      </c>
      <c r="E4461">
        <v>5</v>
      </c>
      <c r="F4461" t="str">
        <f t="shared" si="276"/>
        <v>Standard</v>
      </c>
      <c r="G4461" s="3" cm="1">
        <f t="array" ref="G4461">_xlfn.XLOOKUP(C4461 &amp; F4461,
         [1]unilever_price_limits!A:A &amp; [1]unilever_price_limits!B:B,
         [1]unilever_price_limits!C:C)</f>
        <v>30</v>
      </c>
      <c r="H4461" s="8">
        <f t="shared" si="277"/>
        <v>8.7620000000000005</v>
      </c>
      <c r="I4461" s="6">
        <f t="shared" si="278"/>
        <v>30.000000000000004</v>
      </c>
      <c r="J4461" t="str">
        <f t="shared" si="279"/>
        <v>OK</v>
      </c>
    </row>
    <row r="4462" spans="1:10" x14ac:dyDescent="0.2">
      <c r="A4462">
        <v>14461</v>
      </c>
      <c r="B4462" t="s">
        <v>10</v>
      </c>
      <c r="C4462" t="s">
        <v>9</v>
      </c>
      <c r="D4462" s="8">
        <v>6.44</v>
      </c>
      <c r="E4462">
        <v>10</v>
      </c>
      <c r="F4462" t="str">
        <f t="shared" si="276"/>
        <v>Premium</v>
      </c>
      <c r="G4462" s="3" cm="1">
        <f t="array" ref="G4462">_xlfn.XLOOKUP(C4462 &amp; F4462,
         [1]unilever_price_limits!A:A &amp; [1]unilever_price_limits!B:B,
         [1]unilever_price_limits!C:C)</f>
        <v>60</v>
      </c>
      <c r="H4462" s="8">
        <f t="shared" si="277"/>
        <v>10.304000000000002</v>
      </c>
      <c r="I4462" s="6">
        <f t="shared" si="278"/>
        <v>60.000000000000028</v>
      </c>
      <c r="J4462" t="str">
        <f t="shared" si="279"/>
        <v>OK</v>
      </c>
    </row>
    <row r="4463" spans="1:10" x14ac:dyDescent="0.2">
      <c r="A4463">
        <v>14462</v>
      </c>
      <c r="B4463" t="s">
        <v>8</v>
      </c>
      <c r="C4463" t="s">
        <v>6</v>
      </c>
      <c r="D4463" s="8">
        <v>5.93</v>
      </c>
      <c r="E4463">
        <v>3</v>
      </c>
      <c r="F4463" t="str">
        <f t="shared" si="276"/>
        <v>Value</v>
      </c>
      <c r="G4463" s="3" cm="1">
        <f t="array" ref="G4463">_xlfn.XLOOKUP(C4463 &amp; F4463,
         [1]unilever_price_limits!A:A &amp; [1]unilever_price_limits!B:B,
         [1]unilever_price_limits!C:C)</f>
        <v>12</v>
      </c>
      <c r="H4463" s="8">
        <f t="shared" si="277"/>
        <v>6.6416000000000004</v>
      </c>
      <c r="I4463" s="6">
        <f t="shared" si="278"/>
        <v>12.000000000000011</v>
      </c>
      <c r="J4463" t="str">
        <f t="shared" si="279"/>
        <v>OK</v>
      </c>
    </row>
    <row r="4464" spans="1:10" x14ac:dyDescent="0.2">
      <c r="A4464">
        <v>14463</v>
      </c>
      <c r="B4464" t="s">
        <v>7</v>
      </c>
      <c r="C4464" t="s">
        <v>9</v>
      </c>
      <c r="D4464" s="8">
        <v>13.92</v>
      </c>
      <c r="E4464">
        <v>9</v>
      </c>
      <c r="F4464" t="str">
        <f t="shared" si="276"/>
        <v>Premium</v>
      </c>
      <c r="G4464" s="3" cm="1">
        <f t="array" ref="G4464">_xlfn.XLOOKUP(C4464 &amp; F4464,
         [1]unilever_price_limits!A:A &amp; [1]unilever_price_limits!B:B,
         [1]unilever_price_limits!C:C)</f>
        <v>60</v>
      </c>
      <c r="H4464" s="8">
        <f t="shared" si="277"/>
        <v>22.272000000000002</v>
      </c>
      <c r="I4464" s="6">
        <f t="shared" si="278"/>
        <v>60.000000000000007</v>
      </c>
      <c r="J4464" t="str">
        <f t="shared" si="279"/>
        <v>OK</v>
      </c>
    </row>
    <row r="4465" spans="1:10" x14ac:dyDescent="0.2">
      <c r="A4465">
        <v>14464</v>
      </c>
      <c r="B4465" t="s">
        <v>5</v>
      </c>
      <c r="C4465" t="s">
        <v>9</v>
      </c>
      <c r="D4465" s="8">
        <v>12.52</v>
      </c>
      <c r="E4465">
        <v>1</v>
      </c>
      <c r="F4465" t="str">
        <f t="shared" si="276"/>
        <v>Value</v>
      </c>
      <c r="G4465" s="3" cm="1">
        <f t="array" ref="G4465">_xlfn.XLOOKUP(C4465 &amp; F4465,
         [1]unilever_price_limits!A:A &amp; [1]unilever_price_limits!B:B,
         [1]unilever_price_limits!C:C)</f>
        <v>15</v>
      </c>
      <c r="H4465" s="8">
        <f t="shared" si="277"/>
        <v>14.397999999999998</v>
      </c>
      <c r="I4465" s="6">
        <f t="shared" si="278"/>
        <v>14.999999999999991</v>
      </c>
      <c r="J4465" t="str">
        <f t="shared" si="279"/>
        <v>OK</v>
      </c>
    </row>
    <row r="4466" spans="1:10" x14ac:dyDescent="0.2">
      <c r="A4466">
        <v>14465</v>
      </c>
      <c r="B4466" t="s">
        <v>7</v>
      </c>
      <c r="C4466" t="s">
        <v>11</v>
      </c>
      <c r="D4466" s="8">
        <v>2.08</v>
      </c>
      <c r="E4466">
        <v>4</v>
      </c>
      <c r="F4466" t="str">
        <f t="shared" si="276"/>
        <v>Standard</v>
      </c>
      <c r="G4466" s="3" cm="1">
        <f t="array" ref="G4466">_xlfn.XLOOKUP(C4466 &amp; F4466,
         [1]unilever_price_limits!A:A &amp; [1]unilever_price_limits!B:B,
         [1]unilever_price_limits!C:C)</f>
        <v>25</v>
      </c>
      <c r="H4466" s="8">
        <f t="shared" si="277"/>
        <v>2.6</v>
      </c>
      <c r="I4466" s="6">
        <f t="shared" si="278"/>
        <v>25</v>
      </c>
      <c r="J4466" t="str">
        <f t="shared" si="279"/>
        <v>OK</v>
      </c>
    </row>
    <row r="4467" spans="1:10" x14ac:dyDescent="0.2">
      <c r="A4467">
        <v>14466</v>
      </c>
      <c r="B4467" t="s">
        <v>7</v>
      </c>
      <c r="C4467" t="s">
        <v>9</v>
      </c>
      <c r="D4467" s="8">
        <v>2.0699999999999998</v>
      </c>
      <c r="E4467">
        <v>10</v>
      </c>
      <c r="F4467" t="str">
        <f t="shared" si="276"/>
        <v>Premium</v>
      </c>
      <c r="G4467" s="3" cm="1">
        <f t="array" ref="G4467">_xlfn.XLOOKUP(C4467 &amp; F4467,
         [1]unilever_price_limits!A:A &amp; [1]unilever_price_limits!B:B,
         [1]unilever_price_limits!C:C)</f>
        <v>60</v>
      </c>
      <c r="H4467" s="8">
        <f t="shared" si="277"/>
        <v>3.3119999999999998</v>
      </c>
      <c r="I4467" s="6">
        <f t="shared" si="278"/>
        <v>60.000000000000007</v>
      </c>
      <c r="J4467" t="str">
        <f t="shared" si="279"/>
        <v>OK</v>
      </c>
    </row>
    <row r="4468" spans="1:10" x14ac:dyDescent="0.2">
      <c r="A4468">
        <v>14467</v>
      </c>
      <c r="B4468" t="s">
        <v>7</v>
      </c>
      <c r="C4468" t="s">
        <v>9</v>
      </c>
      <c r="D4468" s="8">
        <v>6.7</v>
      </c>
      <c r="E4468">
        <v>6</v>
      </c>
      <c r="F4468" t="str">
        <f t="shared" si="276"/>
        <v>Standard</v>
      </c>
      <c r="G4468" s="3" cm="1">
        <f t="array" ref="G4468">_xlfn.XLOOKUP(C4468 &amp; F4468,
         [1]unilever_price_limits!A:A &amp; [1]unilever_price_limits!B:B,
         [1]unilever_price_limits!C:C)</f>
        <v>30</v>
      </c>
      <c r="H4468" s="8">
        <f t="shared" si="277"/>
        <v>8.7100000000000009</v>
      </c>
      <c r="I4468" s="6">
        <f t="shared" si="278"/>
        <v>30.000000000000004</v>
      </c>
      <c r="J4468" t="str">
        <f t="shared" si="279"/>
        <v>OK</v>
      </c>
    </row>
    <row r="4469" spans="1:10" x14ac:dyDescent="0.2">
      <c r="A4469">
        <v>14468</v>
      </c>
      <c r="B4469" t="s">
        <v>10</v>
      </c>
      <c r="C4469" t="s">
        <v>11</v>
      </c>
      <c r="D4469" s="8">
        <v>1.93</v>
      </c>
      <c r="E4469">
        <v>9</v>
      </c>
      <c r="F4469" t="str">
        <f t="shared" si="276"/>
        <v>Premium</v>
      </c>
      <c r="G4469" s="3" cm="1">
        <f t="array" ref="G4469">_xlfn.XLOOKUP(C4469 &amp; F4469,
         [1]unilever_price_limits!A:A &amp; [1]unilever_price_limits!B:B,
         [1]unilever_price_limits!C:C)</f>
        <v>50</v>
      </c>
      <c r="H4469" s="8">
        <f t="shared" si="277"/>
        <v>2.895</v>
      </c>
      <c r="I4469" s="6">
        <f t="shared" si="278"/>
        <v>50</v>
      </c>
      <c r="J4469" t="str">
        <f t="shared" si="279"/>
        <v>OK</v>
      </c>
    </row>
    <row r="4470" spans="1:10" x14ac:dyDescent="0.2">
      <c r="A4470">
        <v>14469</v>
      </c>
      <c r="B4470" t="s">
        <v>8</v>
      </c>
      <c r="C4470" t="s">
        <v>6</v>
      </c>
      <c r="D4470" s="8">
        <v>9.48</v>
      </c>
      <c r="E4470">
        <v>3</v>
      </c>
      <c r="F4470" t="str">
        <f t="shared" si="276"/>
        <v>Value</v>
      </c>
      <c r="G4470" s="3" cm="1">
        <f t="array" ref="G4470">_xlfn.XLOOKUP(C4470 &amp; F4470,
         [1]unilever_price_limits!A:A &amp; [1]unilever_price_limits!B:B,
         [1]unilever_price_limits!C:C)</f>
        <v>12</v>
      </c>
      <c r="H4470" s="8">
        <f t="shared" si="277"/>
        <v>10.617600000000001</v>
      </c>
      <c r="I4470" s="6">
        <f t="shared" si="278"/>
        <v>12.000000000000011</v>
      </c>
      <c r="J4470" t="str">
        <f t="shared" si="279"/>
        <v>OK</v>
      </c>
    </row>
    <row r="4471" spans="1:10" x14ac:dyDescent="0.2">
      <c r="A4471">
        <v>14470</v>
      </c>
      <c r="B4471" t="s">
        <v>8</v>
      </c>
      <c r="C4471" t="s">
        <v>6</v>
      </c>
      <c r="D4471" s="8">
        <v>2.58</v>
      </c>
      <c r="E4471">
        <v>3</v>
      </c>
      <c r="F4471" t="str">
        <f t="shared" si="276"/>
        <v>Value</v>
      </c>
      <c r="G4471" s="3" cm="1">
        <f t="array" ref="G4471">_xlfn.XLOOKUP(C4471 &amp; F4471,
         [1]unilever_price_limits!A:A &amp; [1]unilever_price_limits!B:B,
         [1]unilever_price_limits!C:C)</f>
        <v>12</v>
      </c>
      <c r="H4471" s="8">
        <f t="shared" si="277"/>
        <v>2.8896000000000002</v>
      </c>
      <c r="I4471" s="6">
        <f t="shared" si="278"/>
        <v>12.000000000000011</v>
      </c>
      <c r="J4471" t="str">
        <f t="shared" si="279"/>
        <v>OK</v>
      </c>
    </row>
    <row r="4472" spans="1:10" x14ac:dyDescent="0.2">
      <c r="A4472">
        <v>14471</v>
      </c>
      <c r="B4472" t="s">
        <v>10</v>
      </c>
      <c r="C4472" t="s">
        <v>11</v>
      </c>
      <c r="D4472" s="8">
        <v>8.07</v>
      </c>
      <c r="E4472">
        <v>5</v>
      </c>
      <c r="F4472" t="str">
        <f t="shared" si="276"/>
        <v>Standard</v>
      </c>
      <c r="G4472" s="3" cm="1">
        <f t="array" ref="G4472">_xlfn.XLOOKUP(C4472 &amp; F4472,
         [1]unilever_price_limits!A:A &amp; [1]unilever_price_limits!B:B,
         [1]unilever_price_limits!C:C)</f>
        <v>25</v>
      </c>
      <c r="H4472" s="8">
        <f t="shared" si="277"/>
        <v>10.0875</v>
      </c>
      <c r="I4472" s="6">
        <f t="shared" si="278"/>
        <v>25</v>
      </c>
      <c r="J4472" t="str">
        <f t="shared" si="279"/>
        <v>OK</v>
      </c>
    </row>
    <row r="4473" spans="1:10" x14ac:dyDescent="0.2">
      <c r="A4473">
        <v>14472</v>
      </c>
      <c r="B4473" t="s">
        <v>10</v>
      </c>
      <c r="C4473" t="s">
        <v>11</v>
      </c>
      <c r="D4473" s="8">
        <v>0.6</v>
      </c>
      <c r="E4473">
        <v>7</v>
      </c>
      <c r="F4473" t="str">
        <f t="shared" si="276"/>
        <v>Standard</v>
      </c>
      <c r="G4473" s="3" cm="1">
        <f t="array" ref="G4473">_xlfn.XLOOKUP(C4473 &amp; F4473,
         [1]unilever_price_limits!A:A &amp; [1]unilever_price_limits!B:B,
         [1]unilever_price_limits!C:C)</f>
        <v>25</v>
      </c>
      <c r="H4473" s="8">
        <f t="shared" si="277"/>
        <v>0.75</v>
      </c>
      <c r="I4473" s="6">
        <f t="shared" si="278"/>
        <v>25</v>
      </c>
      <c r="J4473" t="str">
        <f t="shared" si="279"/>
        <v>OK</v>
      </c>
    </row>
    <row r="4474" spans="1:10" x14ac:dyDescent="0.2">
      <c r="A4474">
        <v>14473</v>
      </c>
      <c r="B4474" t="s">
        <v>8</v>
      </c>
      <c r="C4474" t="s">
        <v>6</v>
      </c>
      <c r="D4474" s="8">
        <v>5.09</v>
      </c>
      <c r="E4474">
        <v>5</v>
      </c>
      <c r="F4474" t="str">
        <f t="shared" si="276"/>
        <v>Standard</v>
      </c>
      <c r="G4474" s="3" cm="1">
        <f t="array" ref="G4474">_xlfn.XLOOKUP(C4474 &amp; F4474,
         [1]unilever_price_limits!A:A &amp; [1]unilever_price_limits!B:B,
         [1]unilever_price_limits!C:C)</f>
        <v>28</v>
      </c>
      <c r="H4474" s="8">
        <f t="shared" si="277"/>
        <v>6.5152000000000001</v>
      </c>
      <c r="I4474" s="6">
        <f t="shared" si="278"/>
        <v>28.000000000000004</v>
      </c>
      <c r="J4474" t="str">
        <f t="shared" si="279"/>
        <v>OK</v>
      </c>
    </row>
    <row r="4475" spans="1:10" x14ac:dyDescent="0.2">
      <c r="A4475">
        <v>14474</v>
      </c>
      <c r="B4475" t="s">
        <v>7</v>
      </c>
      <c r="C4475" t="s">
        <v>6</v>
      </c>
      <c r="D4475" s="8">
        <v>10.32</v>
      </c>
      <c r="E4475">
        <v>8</v>
      </c>
      <c r="F4475" t="str">
        <f t="shared" si="276"/>
        <v>Premium</v>
      </c>
      <c r="G4475" s="3" cm="1">
        <f t="array" ref="G4475">_xlfn.XLOOKUP(C4475 &amp; F4475,
         [1]unilever_price_limits!A:A &amp; [1]unilever_price_limits!B:B,
         [1]unilever_price_limits!C:C)</f>
        <v>55</v>
      </c>
      <c r="H4475" s="8">
        <f t="shared" si="277"/>
        <v>15.996</v>
      </c>
      <c r="I4475" s="6">
        <f t="shared" si="278"/>
        <v>55.000000000000007</v>
      </c>
      <c r="J4475" t="str">
        <f t="shared" si="279"/>
        <v>OK</v>
      </c>
    </row>
    <row r="4476" spans="1:10" x14ac:dyDescent="0.2">
      <c r="A4476">
        <v>14475</v>
      </c>
      <c r="B4476" t="s">
        <v>5</v>
      </c>
      <c r="C4476" t="s">
        <v>6</v>
      </c>
      <c r="D4476" s="8">
        <v>7.52</v>
      </c>
      <c r="E4476">
        <v>5</v>
      </c>
      <c r="F4476" t="str">
        <f t="shared" si="276"/>
        <v>Standard</v>
      </c>
      <c r="G4476" s="3" cm="1">
        <f t="array" ref="G4476">_xlfn.XLOOKUP(C4476 &amp; F4476,
         [1]unilever_price_limits!A:A &amp; [1]unilever_price_limits!B:B,
         [1]unilever_price_limits!C:C)</f>
        <v>28</v>
      </c>
      <c r="H4476" s="8">
        <f t="shared" si="277"/>
        <v>9.6256000000000004</v>
      </c>
      <c r="I4476" s="6">
        <f t="shared" si="278"/>
        <v>28.000000000000004</v>
      </c>
      <c r="J4476" t="str">
        <f t="shared" si="279"/>
        <v>OK</v>
      </c>
    </row>
    <row r="4477" spans="1:10" x14ac:dyDescent="0.2">
      <c r="A4477">
        <v>14476</v>
      </c>
      <c r="B4477" t="s">
        <v>5</v>
      </c>
      <c r="C4477" t="s">
        <v>6</v>
      </c>
      <c r="D4477" s="8">
        <v>14.68</v>
      </c>
      <c r="E4477">
        <v>7</v>
      </c>
      <c r="F4477" t="str">
        <f t="shared" si="276"/>
        <v>Standard</v>
      </c>
      <c r="G4477" s="3" cm="1">
        <f t="array" ref="G4477">_xlfn.XLOOKUP(C4477 &amp; F4477,
         [1]unilever_price_limits!A:A &amp; [1]unilever_price_limits!B:B,
         [1]unilever_price_limits!C:C)</f>
        <v>28</v>
      </c>
      <c r="H4477" s="8">
        <f t="shared" si="277"/>
        <v>18.790400000000002</v>
      </c>
      <c r="I4477" s="6">
        <f t="shared" si="278"/>
        <v>28.000000000000025</v>
      </c>
      <c r="J4477" t="str">
        <f t="shared" si="279"/>
        <v>OK</v>
      </c>
    </row>
    <row r="4478" spans="1:10" x14ac:dyDescent="0.2">
      <c r="A4478">
        <v>14477</v>
      </c>
      <c r="B4478" t="s">
        <v>5</v>
      </c>
      <c r="C4478" t="s">
        <v>6</v>
      </c>
      <c r="D4478" s="8">
        <v>13.17</v>
      </c>
      <c r="E4478">
        <v>6</v>
      </c>
      <c r="F4478" t="str">
        <f t="shared" si="276"/>
        <v>Standard</v>
      </c>
      <c r="G4478" s="3" cm="1">
        <f t="array" ref="G4478">_xlfn.XLOOKUP(C4478 &amp; F4478,
         [1]unilever_price_limits!A:A &amp; [1]unilever_price_limits!B:B,
         [1]unilever_price_limits!C:C)</f>
        <v>28</v>
      </c>
      <c r="H4478" s="8">
        <f t="shared" si="277"/>
        <v>16.857600000000001</v>
      </c>
      <c r="I4478" s="6">
        <f t="shared" si="278"/>
        <v>28.000000000000004</v>
      </c>
      <c r="J4478" t="str">
        <f t="shared" si="279"/>
        <v>OK</v>
      </c>
    </row>
    <row r="4479" spans="1:10" x14ac:dyDescent="0.2">
      <c r="A4479">
        <v>14478</v>
      </c>
      <c r="B4479" t="s">
        <v>7</v>
      </c>
      <c r="C4479" t="s">
        <v>11</v>
      </c>
      <c r="D4479" s="8">
        <v>5.71</v>
      </c>
      <c r="E4479">
        <v>10</v>
      </c>
      <c r="F4479" t="str">
        <f t="shared" si="276"/>
        <v>Premium</v>
      </c>
      <c r="G4479" s="3" cm="1">
        <f t="array" ref="G4479">_xlfn.XLOOKUP(C4479 &amp; F4479,
         [1]unilever_price_limits!A:A &amp; [1]unilever_price_limits!B:B,
         [1]unilever_price_limits!C:C)</f>
        <v>50</v>
      </c>
      <c r="H4479" s="8">
        <f t="shared" si="277"/>
        <v>8.5649999999999995</v>
      </c>
      <c r="I4479" s="6">
        <f t="shared" si="278"/>
        <v>50</v>
      </c>
      <c r="J4479" t="str">
        <f t="shared" si="279"/>
        <v>OK</v>
      </c>
    </row>
    <row r="4480" spans="1:10" x14ac:dyDescent="0.2">
      <c r="A4480">
        <v>14479</v>
      </c>
      <c r="B4480" t="s">
        <v>8</v>
      </c>
      <c r="C4480" t="s">
        <v>9</v>
      </c>
      <c r="D4480" s="8">
        <v>1.1599999999999999</v>
      </c>
      <c r="E4480">
        <v>2</v>
      </c>
      <c r="F4480" t="str">
        <f t="shared" si="276"/>
        <v>Value</v>
      </c>
      <c r="G4480" s="3" cm="1">
        <f t="array" ref="G4480">_xlfn.XLOOKUP(C4480 &amp; F4480,
         [1]unilever_price_limits!A:A &amp; [1]unilever_price_limits!B:B,
         [1]unilever_price_limits!C:C)</f>
        <v>15</v>
      </c>
      <c r="H4480" s="8">
        <f t="shared" si="277"/>
        <v>1.3339999999999999</v>
      </c>
      <c r="I4480" s="6">
        <f t="shared" si="278"/>
        <v>14.999999999999991</v>
      </c>
      <c r="J4480" t="str">
        <f t="shared" si="279"/>
        <v>OK</v>
      </c>
    </row>
    <row r="4481" spans="1:10" x14ac:dyDescent="0.2">
      <c r="A4481">
        <v>14480</v>
      </c>
      <c r="B4481" t="s">
        <v>10</v>
      </c>
      <c r="C4481" t="s">
        <v>6</v>
      </c>
      <c r="D4481" s="8">
        <v>12.76</v>
      </c>
      <c r="E4481">
        <v>3</v>
      </c>
      <c r="F4481" t="str">
        <f t="shared" si="276"/>
        <v>Value</v>
      </c>
      <c r="G4481" s="3" cm="1">
        <f t="array" ref="G4481">_xlfn.XLOOKUP(C4481 &amp; F4481,
         [1]unilever_price_limits!A:A &amp; [1]unilever_price_limits!B:B,
         [1]unilever_price_limits!C:C)</f>
        <v>12</v>
      </c>
      <c r="H4481" s="8">
        <f t="shared" si="277"/>
        <v>14.291200000000002</v>
      </c>
      <c r="I4481" s="6">
        <f t="shared" si="278"/>
        <v>12.000000000000011</v>
      </c>
      <c r="J4481" t="str">
        <f t="shared" si="279"/>
        <v>OK</v>
      </c>
    </row>
    <row r="4482" spans="1:10" x14ac:dyDescent="0.2">
      <c r="A4482">
        <v>14481</v>
      </c>
      <c r="B4482" t="s">
        <v>8</v>
      </c>
      <c r="C4482" t="s">
        <v>6</v>
      </c>
      <c r="D4482" s="8">
        <v>13.71</v>
      </c>
      <c r="E4482">
        <v>4</v>
      </c>
      <c r="F4482" t="str">
        <f t="shared" si="276"/>
        <v>Standard</v>
      </c>
      <c r="G4482" s="3" cm="1">
        <f t="array" ref="G4482">_xlfn.XLOOKUP(C4482 &amp; F4482,
         [1]unilever_price_limits!A:A &amp; [1]unilever_price_limits!B:B,
         [1]unilever_price_limits!C:C)</f>
        <v>28</v>
      </c>
      <c r="H4482" s="8">
        <f t="shared" si="277"/>
        <v>17.5488</v>
      </c>
      <c r="I4482" s="6">
        <f t="shared" si="278"/>
        <v>28.000000000000004</v>
      </c>
      <c r="J4482" t="str">
        <f t="shared" si="279"/>
        <v>OK</v>
      </c>
    </row>
    <row r="4483" spans="1:10" x14ac:dyDescent="0.2">
      <c r="A4483">
        <v>14482</v>
      </c>
      <c r="B4483" t="s">
        <v>7</v>
      </c>
      <c r="C4483" t="s">
        <v>9</v>
      </c>
      <c r="D4483" s="8">
        <v>12.4</v>
      </c>
      <c r="E4483">
        <v>5</v>
      </c>
      <c r="F4483" t="str">
        <f t="shared" ref="F4483:F4546" si="280">IF(E4483&lt;=3,"Value",
 IF(E4483&lt;=7,"Standard","Premium"))</f>
        <v>Standard</v>
      </c>
      <c r="G4483" s="3" cm="1">
        <f t="array" ref="G4483">_xlfn.XLOOKUP(C4483 &amp; F4483,
         [1]unilever_price_limits!A:A &amp; [1]unilever_price_limits!B:B,
         [1]unilever_price_limits!C:C)</f>
        <v>30</v>
      </c>
      <c r="H4483" s="8">
        <f t="shared" ref="H4483:H4546" si="281">D4483 * (1 + G4483/100)</f>
        <v>16.12</v>
      </c>
      <c r="I4483" s="6">
        <f t="shared" ref="I4483:I4546" si="282">(H4483 / D4483 - 1) * 100</f>
        <v>30.000000000000004</v>
      </c>
      <c r="J4483" t="str">
        <f t="shared" ref="J4483:J4546" si="283">IF(I4482&gt; G4482, "⚠ Exceeds Limit", "OK")</f>
        <v>OK</v>
      </c>
    </row>
    <row r="4484" spans="1:10" x14ac:dyDescent="0.2">
      <c r="A4484">
        <v>14483</v>
      </c>
      <c r="B4484" t="s">
        <v>10</v>
      </c>
      <c r="C4484" t="s">
        <v>9</v>
      </c>
      <c r="D4484" s="8">
        <v>2.36</v>
      </c>
      <c r="E4484">
        <v>9</v>
      </c>
      <c r="F4484" t="str">
        <f t="shared" si="280"/>
        <v>Premium</v>
      </c>
      <c r="G4484" s="3" cm="1">
        <f t="array" ref="G4484">_xlfn.XLOOKUP(C4484 &amp; F4484,
         [1]unilever_price_limits!A:A &amp; [1]unilever_price_limits!B:B,
         [1]unilever_price_limits!C:C)</f>
        <v>60</v>
      </c>
      <c r="H4484" s="8">
        <f t="shared" si="281"/>
        <v>3.7759999999999998</v>
      </c>
      <c r="I4484" s="6">
        <f t="shared" si="282"/>
        <v>60.000000000000007</v>
      </c>
      <c r="J4484" t="str">
        <f t="shared" si="283"/>
        <v>OK</v>
      </c>
    </row>
    <row r="4485" spans="1:10" x14ac:dyDescent="0.2">
      <c r="A4485">
        <v>14484</v>
      </c>
      <c r="B4485" t="s">
        <v>7</v>
      </c>
      <c r="C4485" t="s">
        <v>9</v>
      </c>
      <c r="D4485" s="8">
        <v>14.97</v>
      </c>
      <c r="E4485">
        <v>6</v>
      </c>
      <c r="F4485" t="str">
        <f t="shared" si="280"/>
        <v>Standard</v>
      </c>
      <c r="G4485" s="3" cm="1">
        <f t="array" ref="G4485">_xlfn.XLOOKUP(C4485 &amp; F4485,
         [1]unilever_price_limits!A:A &amp; [1]unilever_price_limits!B:B,
         [1]unilever_price_limits!C:C)</f>
        <v>30</v>
      </c>
      <c r="H4485" s="8">
        <f t="shared" si="281"/>
        <v>19.461000000000002</v>
      </c>
      <c r="I4485" s="6">
        <f t="shared" si="282"/>
        <v>30.000000000000004</v>
      </c>
      <c r="J4485" t="str">
        <f t="shared" si="283"/>
        <v>OK</v>
      </c>
    </row>
    <row r="4486" spans="1:10" x14ac:dyDescent="0.2">
      <c r="A4486">
        <v>14485</v>
      </c>
      <c r="B4486" t="s">
        <v>5</v>
      </c>
      <c r="C4486" t="s">
        <v>9</v>
      </c>
      <c r="D4486" s="8">
        <v>4.25</v>
      </c>
      <c r="E4486">
        <v>1</v>
      </c>
      <c r="F4486" t="str">
        <f t="shared" si="280"/>
        <v>Value</v>
      </c>
      <c r="G4486" s="3" cm="1">
        <f t="array" ref="G4486">_xlfn.XLOOKUP(C4486 &amp; F4486,
         [1]unilever_price_limits!A:A &amp; [1]unilever_price_limits!B:B,
         [1]unilever_price_limits!C:C)</f>
        <v>15</v>
      </c>
      <c r="H4486" s="8">
        <f t="shared" si="281"/>
        <v>4.8874999999999993</v>
      </c>
      <c r="I4486" s="6">
        <f t="shared" si="282"/>
        <v>14.999999999999991</v>
      </c>
      <c r="J4486" t="str">
        <f t="shared" si="283"/>
        <v>OK</v>
      </c>
    </row>
    <row r="4487" spans="1:10" x14ac:dyDescent="0.2">
      <c r="A4487">
        <v>14486</v>
      </c>
      <c r="B4487" t="s">
        <v>5</v>
      </c>
      <c r="C4487" t="s">
        <v>9</v>
      </c>
      <c r="D4487" s="8">
        <v>11</v>
      </c>
      <c r="E4487">
        <v>3</v>
      </c>
      <c r="F4487" t="str">
        <f t="shared" si="280"/>
        <v>Value</v>
      </c>
      <c r="G4487" s="3" cm="1">
        <f t="array" ref="G4487">_xlfn.XLOOKUP(C4487 &amp; F4487,
         [1]unilever_price_limits!A:A &amp; [1]unilever_price_limits!B:B,
         [1]unilever_price_limits!C:C)</f>
        <v>15</v>
      </c>
      <c r="H4487" s="8">
        <f t="shared" si="281"/>
        <v>12.649999999999999</v>
      </c>
      <c r="I4487" s="6">
        <f t="shared" si="282"/>
        <v>14.999999999999991</v>
      </c>
      <c r="J4487" t="str">
        <f t="shared" si="283"/>
        <v>OK</v>
      </c>
    </row>
    <row r="4488" spans="1:10" x14ac:dyDescent="0.2">
      <c r="A4488">
        <v>14487</v>
      </c>
      <c r="B4488" t="s">
        <v>7</v>
      </c>
      <c r="C4488" t="s">
        <v>9</v>
      </c>
      <c r="D4488" s="8">
        <v>13.67</v>
      </c>
      <c r="E4488">
        <v>7</v>
      </c>
      <c r="F4488" t="str">
        <f t="shared" si="280"/>
        <v>Standard</v>
      </c>
      <c r="G4488" s="3" cm="1">
        <f t="array" ref="G4488">_xlfn.XLOOKUP(C4488 &amp; F4488,
         [1]unilever_price_limits!A:A &amp; [1]unilever_price_limits!B:B,
         [1]unilever_price_limits!C:C)</f>
        <v>30</v>
      </c>
      <c r="H4488" s="8">
        <f t="shared" si="281"/>
        <v>17.771000000000001</v>
      </c>
      <c r="I4488" s="6">
        <f t="shared" si="282"/>
        <v>30.000000000000004</v>
      </c>
      <c r="J4488" t="str">
        <f t="shared" si="283"/>
        <v>OK</v>
      </c>
    </row>
    <row r="4489" spans="1:10" x14ac:dyDescent="0.2">
      <c r="A4489">
        <v>14488</v>
      </c>
      <c r="B4489" t="s">
        <v>10</v>
      </c>
      <c r="C4489" t="s">
        <v>11</v>
      </c>
      <c r="D4489" s="8">
        <v>3.92</v>
      </c>
      <c r="E4489">
        <v>8</v>
      </c>
      <c r="F4489" t="str">
        <f t="shared" si="280"/>
        <v>Premium</v>
      </c>
      <c r="G4489" s="3" cm="1">
        <f t="array" ref="G4489">_xlfn.XLOOKUP(C4489 &amp; F4489,
         [1]unilever_price_limits!A:A &amp; [1]unilever_price_limits!B:B,
         [1]unilever_price_limits!C:C)</f>
        <v>50</v>
      </c>
      <c r="H4489" s="8">
        <f t="shared" si="281"/>
        <v>5.88</v>
      </c>
      <c r="I4489" s="6">
        <f t="shared" si="282"/>
        <v>50</v>
      </c>
      <c r="J4489" t="str">
        <f t="shared" si="283"/>
        <v>OK</v>
      </c>
    </row>
    <row r="4490" spans="1:10" x14ac:dyDescent="0.2">
      <c r="A4490">
        <v>14489</v>
      </c>
      <c r="B4490" t="s">
        <v>10</v>
      </c>
      <c r="C4490" t="s">
        <v>9</v>
      </c>
      <c r="D4490" s="8">
        <v>13.67</v>
      </c>
      <c r="E4490">
        <v>7</v>
      </c>
      <c r="F4490" t="str">
        <f t="shared" si="280"/>
        <v>Standard</v>
      </c>
      <c r="G4490" s="3" cm="1">
        <f t="array" ref="G4490">_xlfn.XLOOKUP(C4490 &amp; F4490,
         [1]unilever_price_limits!A:A &amp; [1]unilever_price_limits!B:B,
         [1]unilever_price_limits!C:C)</f>
        <v>30</v>
      </c>
      <c r="H4490" s="8">
        <f t="shared" si="281"/>
        <v>17.771000000000001</v>
      </c>
      <c r="I4490" s="6">
        <f t="shared" si="282"/>
        <v>30.000000000000004</v>
      </c>
      <c r="J4490" t="str">
        <f t="shared" si="283"/>
        <v>OK</v>
      </c>
    </row>
    <row r="4491" spans="1:10" x14ac:dyDescent="0.2">
      <c r="A4491">
        <v>14490</v>
      </c>
      <c r="B4491" t="s">
        <v>8</v>
      </c>
      <c r="C4491" t="s">
        <v>9</v>
      </c>
      <c r="D4491" s="8">
        <v>4.99</v>
      </c>
      <c r="E4491">
        <v>5</v>
      </c>
      <c r="F4491" t="str">
        <f t="shared" si="280"/>
        <v>Standard</v>
      </c>
      <c r="G4491" s="3" cm="1">
        <f t="array" ref="G4491">_xlfn.XLOOKUP(C4491 &amp; F4491,
         [1]unilever_price_limits!A:A &amp; [1]unilever_price_limits!B:B,
         [1]unilever_price_limits!C:C)</f>
        <v>30</v>
      </c>
      <c r="H4491" s="8">
        <f t="shared" si="281"/>
        <v>6.4870000000000001</v>
      </c>
      <c r="I4491" s="6">
        <f t="shared" si="282"/>
        <v>30.000000000000004</v>
      </c>
      <c r="J4491" t="str">
        <f t="shared" si="283"/>
        <v>OK</v>
      </c>
    </row>
    <row r="4492" spans="1:10" x14ac:dyDescent="0.2">
      <c r="A4492">
        <v>14491</v>
      </c>
      <c r="B4492" t="s">
        <v>5</v>
      </c>
      <c r="C4492" t="s">
        <v>11</v>
      </c>
      <c r="D4492" s="8">
        <v>14.66</v>
      </c>
      <c r="E4492">
        <v>10</v>
      </c>
      <c r="F4492" t="str">
        <f t="shared" si="280"/>
        <v>Premium</v>
      </c>
      <c r="G4492" s="3" cm="1">
        <f t="array" ref="G4492">_xlfn.XLOOKUP(C4492 &amp; F4492,
         [1]unilever_price_limits!A:A &amp; [1]unilever_price_limits!B:B,
         [1]unilever_price_limits!C:C)</f>
        <v>50</v>
      </c>
      <c r="H4492" s="8">
        <f t="shared" si="281"/>
        <v>21.990000000000002</v>
      </c>
      <c r="I4492" s="6">
        <f t="shared" si="282"/>
        <v>50.000000000000021</v>
      </c>
      <c r="J4492" t="str">
        <f t="shared" si="283"/>
        <v>OK</v>
      </c>
    </row>
    <row r="4493" spans="1:10" x14ac:dyDescent="0.2">
      <c r="A4493">
        <v>14492</v>
      </c>
      <c r="B4493" t="s">
        <v>8</v>
      </c>
      <c r="C4493" t="s">
        <v>9</v>
      </c>
      <c r="D4493" s="8">
        <v>4.58</v>
      </c>
      <c r="E4493">
        <v>8</v>
      </c>
      <c r="F4493" t="str">
        <f t="shared" si="280"/>
        <v>Premium</v>
      </c>
      <c r="G4493" s="3" cm="1">
        <f t="array" ref="G4493">_xlfn.XLOOKUP(C4493 &amp; F4493,
         [1]unilever_price_limits!A:A &amp; [1]unilever_price_limits!B:B,
         [1]unilever_price_limits!C:C)</f>
        <v>60</v>
      </c>
      <c r="H4493" s="8">
        <f t="shared" si="281"/>
        <v>7.3280000000000003</v>
      </c>
      <c r="I4493" s="6">
        <f t="shared" si="282"/>
        <v>60.000000000000007</v>
      </c>
      <c r="J4493" t="str">
        <f t="shared" si="283"/>
        <v>OK</v>
      </c>
    </row>
    <row r="4494" spans="1:10" x14ac:dyDescent="0.2">
      <c r="A4494">
        <v>14493</v>
      </c>
      <c r="B4494" t="s">
        <v>8</v>
      </c>
      <c r="C4494" t="s">
        <v>6</v>
      </c>
      <c r="D4494" s="8">
        <v>14.32</v>
      </c>
      <c r="E4494">
        <v>9</v>
      </c>
      <c r="F4494" t="str">
        <f t="shared" si="280"/>
        <v>Premium</v>
      </c>
      <c r="G4494" s="3" cm="1">
        <f t="array" ref="G4494">_xlfn.XLOOKUP(C4494 &amp; F4494,
         [1]unilever_price_limits!A:A &amp; [1]unilever_price_limits!B:B,
         [1]unilever_price_limits!C:C)</f>
        <v>55</v>
      </c>
      <c r="H4494" s="8">
        <f t="shared" si="281"/>
        <v>22.196000000000002</v>
      </c>
      <c r="I4494" s="6">
        <f t="shared" si="282"/>
        <v>55.000000000000007</v>
      </c>
      <c r="J4494" t="str">
        <f t="shared" si="283"/>
        <v>OK</v>
      </c>
    </row>
    <row r="4495" spans="1:10" x14ac:dyDescent="0.2">
      <c r="A4495">
        <v>14494</v>
      </c>
      <c r="B4495" t="s">
        <v>7</v>
      </c>
      <c r="C4495" t="s">
        <v>6</v>
      </c>
      <c r="D4495" s="8">
        <v>1.28</v>
      </c>
      <c r="E4495">
        <v>7</v>
      </c>
      <c r="F4495" t="str">
        <f t="shared" si="280"/>
        <v>Standard</v>
      </c>
      <c r="G4495" s="3" cm="1">
        <f t="array" ref="G4495">_xlfn.XLOOKUP(C4495 &amp; F4495,
         [1]unilever_price_limits!A:A &amp; [1]unilever_price_limits!B:B,
         [1]unilever_price_limits!C:C)</f>
        <v>28</v>
      </c>
      <c r="H4495" s="8">
        <f t="shared" si="281"/>
        <v>1.6384000000000001</v>
      </c>
      <c r="I4495" s="6">
        <f t="shared" si="282"/>
        <v>28.000000000000004</v>
      </c>
      <c r="J4495" t="str">
        <f t="shared" si="283"/>
        <v>OK</v>
      </c>
    </row>
    <row r="4496" spans="1:10" x14ac:dyDescent="0.2">
      <c r="A4496">
        <v>14495</v>
      </c>
      <c r="B4496" t="s">
        <v>7</v>
      </c>
      <c r="C4496" t="s">
        <v>9</v>
      </c>
      <c r="D4496" s="8">
        <v>10.78</v>
      </c>
      <c r="E4496">
        <v>9</v>
      </c>
      <c r="F4496" t="str">
        <f t="shared" si="280"/>
        <v>Premium</v>
      </c>
      <c r="G4496" s="3" cm="1">
        <f t="array" ref="G4496">_xlfn.XLOOKUP(C4496 &amp; F4496,
         [1]unilever_price_limits!A:A &amp; [1]unilever_price_limits!B:B,
         [1]unilever_price_limits!C:C)</f>
        <v>60</v>
      </c>
      <c r="H4496" s="8">
        <f t="shared" si="281"/>
        <v>17.248000000000001</v>
      </c>
      <c r="I4496" s="6">
        <f t="shared" si="282"/>
        <v>60.000000000000007</v>
      </c>
      <c r="J4496" t="str">
        <f t="shared" si="283"/>
        <v>OK</v>
      </c>
    </row>
    <row r="4497" spans="1:10" x14ac:dyDescent="0.2">
      <c r="A4497">
        <v>14496</v>
      </c>
      <c r="B4497" t="s">
        <v>8</v>
      </c>
      <c r="C4497" t="s">
        <v>11</v>
      </c>
      <c r="D4497" s="8">
        <v>8.2200000000000006</v>
      </c>
      <c r="E4497">
        <v>1</v>
      </c>
      <c r="F4497" t="str">
        <f t="shared" si="280"/>
        <v>Value</v>
      </c>
      <c r="G4497" s="3" cm="1">
        <f t="array" ref="G4497">_xlfn.XLOOKUP(C4497 &amp; F4497,
         [1]unilever_price_limits!A:A &amp; [1]unilever_price_limits!B:B,
         [1]unilever_price_limits!C:C)</f>
        <v>10</v>
      </c>
      <c r="H4497" s="8">
        <f t="shared" si="281"/>
        <v>9.0420000000000016</v>
      </c>
      <c r="I4497" s="6">
        <f t="shared" si="282"/>
        <v>10.000000000000009</v>
      </c>
      <c r="J4497" t="str">
        <f t="shared" si="283"/>
        <v>OK</v>
      </c>
    </row>
    <row r="4498" spans="1:10" x14ac:dyDescent="0.2">
      <c r="A4498">
        <v>14497</v>
      </c>
      <c r="B4498" t="s">
        <v>5</v>
      </c>
      <c r="C4498" t="s">
        <v>6</v>
      </c>
      <c r="D4498" s="8">
        <v>7.43</v>
      </c>
      <c r="E4498">
        <v>9</v>
      </c>
      <c r="F4498" t="str">
        <f t="shared" si="280"/>
        <v>Premium</v>
      </c>
      <c r="G4498" s="3" cm="1">
        <f t="array" ref="G4498">_xlfn.XLOOKUP(C4498 &amp; F4498,
         [1]unilever_price_limits!A:A &amp; [1]unilever_price_limits!B:B,
         [1]unilever_price_limits!C:C)</f>
        <v>55</v>
      </c>
      <c r="H4498" s="8">
        <f t="shared" si="281"/>
        <v>11.516500000000001</v>
      </c>
      <c r="I4498" s="6">
        <f t="shared" si="282"/>
        <v>55.000000000000007</v>
      </c>
      <c r="J4498" t="str">
        <f t="shared" si="283"/>
        <v>OK</v>
      </c>
    </row>
    <row r="4499" spans="1:10" x14ac:dyDescent="0.2">
      <c r="A4499">
        <v>14498</v>
      </c>
      <c r="B4499" t="s">
        <v>7</v>
      </c>
      <c r="C4499" t="s">
        <v>11</v>
      </c>
      <c r="D4499" s="8">
        <v>3.74</v>
      </c>
      <c r="E4499">
        <v>3</v>
      </c>
      <c r="F4499" t="str">
        <f t="shared" si="280"/>
        <v>Value</v>
      </c>
      <c r="G4499" s="3" cm="1">
        <f t="array" ref="G4499">_xlfn.XLOOKUP(C4499 &amp; F4499,
         [1]unilever_price_limits!A:A &amp; [1]unilever_price_limits!B:B,
         [1]unilever_price_limits!C:C)</f>
        <v>10</v>
      </c>
      <c r="H4499" s="8">
        <f t="shared" si="281"/>
        <v>4.1140000000000008</v>
      </c>
      <c r="I4499" s="6">
        <f t="shared" si="282"/>
        <v>10.000000000000009</v>
      </c>
      <c r="J4499" t="str">
        <f t="shared" si="283"/>
        <v>OK</v>
      </c>
    </row>
    <row r="4500" spans="1:10" x14ac:dyDescent="0.2">
      <c r="A4500">
        <v>14499</v>
      </c>
      <c r="B4500" t="s">
        <v>8</v>
      </c>
      <c r="C4500" t="s">
        <v>6</v>
      </c>
      <c r="D4500" s="8">
        <v>10.73</v>
      </c>
      <c r="E4500">
        <v>6</v>
      </c>
      <c r="F4500" t="str">
        <f t="shared" si="280"/>
        <v>Standard</v>
      </c>
      <c r="G4500" s="3" cm="1">
        <f t="array" ref="G4500">_xlfn.XLOOKUP(C4500 &amp; F4500,
         [1]unilever_price_limits!A:A &amp; [1]unilever_price_limits!B:B,
         [1]unilever_price_limits!C:C)</f>
        <v>28</v>
      </c>
      <c r="H4500" s="8">
        <f t="shared" si="281"/>
        <v>13.734400000000001</v>
      </c>
      <c r="I4500" s="6">
        <f t="shared" si="282"/>
        <v>28.000000000000004</v>
      </c>
      <c r="J4500" t="str">
        <f t="shared" si="283"/>
        <v>OK</v>
      </c>
    </row>
    <row r="4501" spans="1:10" x14ac:dyDescent="0.2">
      <c r="A4501">
        <v>14500</v>
      </c>
      <c r="B4501" t="s">
        <v>8</v>
      </c>
      <c r="C4501" t="s">
        <v>9</v>
      </c>
      <c r="D4501" s="8">
        <v>3.27</v>
      </c>
      <c r="E4501">
        <v>8</v>
      </c>
      <c r="F4501" t="str">
        <f t="shared" si="280"/>
        <v>Premium</v>
      </c>
      <c r="G4501" s="3" cm="1">
        <f t="array" ref="G4501">_xlfn.XLOOKUP(C4501 &amp; F4501,
         [1]unilever_price_limits!A:A &amp; [1]unilever_price_limits!B:B,
         [1]unilever_price_limits!C:C)</f>
        <v>60</v>
      </c>
      <c r="H4501" s="8">
        <f t="shared" si="281"/>
        <v>5.2320000000000002</v>
      </c>
      <c r="I4501" s="6">
        <f t="shared" si="282"/>
        <v>60.000000000000007</v>
      </c>
      <c r="J4501" t="str">
        <f t="shared" si="283"/>
        <v>OK</v>
      </c>
    </row>
    <row r="4502" spans="1:10" x14ac:dyDescent="0.2">
      <c r="A4502">
        <v>14501</v>
      </c>
      <c r="B4502" t="s">
        <v>8</v>
      </c>
      <c r="C4502" t="s">
        <v>11</v>
      </c>
      <c r="D4502" s="8">
        <v>8.52</v>
      </c>
      <c r="E4502">
        <v>3</v>
      </c>
      <c r="F4502" t="str">
        <f t="shared" si="280"/>
        <v>Value</v>
      </c>
      <c r="G4502" s="3" cm="1">
        <f t="array" ref="G4502">_xlfn.XLOOKUP(C4502 &amp; F4502,
         [1]unilever_price_limits!A:A &amp; [1]unilever_price_limits!B:B,
         [1]unilever_price_limits!C:C)</f>
        <v>10</v>
      </c>
      <c r="H4502" s="8">
        <f t="shared" si="281"/>
        <v>9.3719999999999999</v>
      </c>
      <c r="I4502" s="6">
        <f t="shared" si="282"/>
        <v>10.000000000000009</v>
      </c>
      <c r="J4502" t="str">
        <f t="shared" si="283"/>
        <v>OK</v>
      </c>
    </row>
    <row r="4503" spans="1:10" x14ac:dyDescent="0.2">
      <c r="A4503">
        <v>14502</v>
      </c>
      <c r="B4503" t="s">
        <v>8</v>
      </c>
      <c r="C4503" t="s">
        <v>11</v>
      </c>
      <c r="D4503" s="8">
        <v>4.17</v>
      </c>
      <c r="E4503">
        <v>4</v>
      </c>
      <c r="F4503" t="str">
        <f t="shared" si="280"/>
        <v>Standard</v>
      </c>
      <c r="G4503" s="3" cm="1">
        <f t="array" ref="G4503">_xlfn.XLOOKUP(C4503 &amp; F4503,
         [1]unilever_price_limits!A:A &amp; [1]unilever_price_limits!B:B,
         [1]unilever_price_limits!C:C)</f>
        <v>25</v>
      </c>
      <c r="H4503" s="8">
        <f t="shared" si="281"/>
        <v>5.2125000000000004</v>
      </c>
      <c r="I4503" s="6">
        <f t="shared" si="282"/>
        <v>25</v>
      </c>
      <c r="J4503" t="str">
        <f t="shared" si="283"/>
        <v>OK</v>
      </c>
    </row>
    <row r="4504" spans="1:10" x14ac:dyDescent="0.2">
      <c r="A4504">
        <v>14503</v>
      </c>
      <c r="B4504" t="s">
        <v>8</v>
      </c>
      <c r="C4504" t="s">
        <v>11</v>
      </c>
      <c r="D4504" s="8">
        <v>14.36</v>
      </c>
      <c r="E4504">
        <v>7</v>
      </c>
      <c r="F4504" t="str">
        <f t="shared" si="280"/>
        <v>Standard</v>
      </c>
      <c r="G4504" s="3" cm="1">
        <f t="array" ref="G4504">_xlfn.XLOOKUP(C4504 &amp; F4504,
         [1]unilever_price_limits!A:A &amp; [1]unilever_price_limits!B:B,
         [1]unilever_price_limits!C:C)</f>
        <v>25</v>
      </c>
      <c r="H4504" s="8">
        <f t="shared" si="281"/>
        <v>17.95</v>
      </c>
      <c r="I4504" s="6">
        <f t="shared" si="282"/>
        <v>25</v>
      </c>
      <c r="J4504" t="str">
        <f t="shared" si="283"/>
        <v>OK</v>
      </c>
    </row>
    <row r="4505" spans="1:10" x14ac:dyDescent="0.2">
      <c r="A4505">
        <v>14504</v>
      </c>
      <c r="B4505" t="s">
        <v>8</v>
      </c>
      <c r="C4505" t="s">
        <v>6</v>
      </c>
      <c r="D4505" s="8">
        <v>0.92</v>
      </c>
      <c r="E4505">
        <v>7</v>
      </c>
      <c r="F4505" t="str">
        <f t="shared" si="280"/>
        <v>Standard</v>
      </c>
      <c r="G4505" s="3" cm="1">
        <f t="array" ref="G4505">_xlfn.XLOOKUP(C4505 &amp; F4505,
         [1]unilever_price_limits!A:A &amp; [1]unilever_price_limits!B:B,
         [1]unilever_price_limits!C:C)</f>
        <v>28</v>
      </c>
      <c r="H4505" s="8">
        <f t="shared" si="281"/>
        <v>1.1776</v>
      </c>
      <c r="I4505" s="6">
        <f t="shared" si="282"/>
        <v>28.000000000000004</v>
      </c>
      <c r="J4505" t="str">
        <f t="shared" si="283"/>
        <v>OK</v>
      </c>
    </row>
    <row r="4506" spans="1:10" x14ac:dyDescent="0.2">
      <c r="A4506">
        <v>14505</v>
      </c>
      <c r="B4506" t="s">
        <v>7</v>
      </c>
      <c r="C4506" t="s">
        <v>6</v>
      </c>
      <c r="D4506" s="8">
        <v>3.4</v>
      </c>
      <c r="E4506">
        <v>4</v>
      </c>
      <c r="F4506" t="str">
        <f t="shared" si="280"/>
        <v>Standard</v>
      </c>
      <c r="G4506" s="3" cm="1">
        <f t="array" ref="G4506">_xlfn.XLOOKUP(C4506 &amp; F4506,
         [1]unilever_price_limits!A:A &amp; [1]unilever_price_limits!B:B,
         [1]unilever_price_limits!C:C)</f>
        <v>28</v>
      </c>
      <c r="H4506" s="8">
        <f t="shared" si="281"/>
        <v>4.3520000000000003</v>
      </c>
      <c r="I4506" s="6">
        <f t="shared" si="282"/>
        <v>28.000000000000004</v>
      </c>
      <c r="J4506" t="str">
        <f t="shared" si="283"/>
        <v>OK</v>
      </c>
    </row>
    <row r="4507" spans="1:10" x14ac:dyDescent="0.2">
      <c r="A4507">
        <v>14506</v>
      </c>
      <c r="B4507" t="s">
        <v>5</v>
      </c>
      <c r="C4507" t="s">
        <v>6</v>
      </c>
      <c r="D4507" s="8">
        <v>4.01</v>
      </c>
      <c r="E4507">
        <v>9</v>
      </c>
      <c r="F4507" t="str">
        <f t="shared" si="280"/>
        <v>Premium</v>
      </c>
      <c r="G4507" s="3" cm="1">
        <f t="array" ref="G4507">_xlfn.XLOOKUP(C4507 &amp; F4507,
         [1]unilever_price_limits!A:A &amp; [1]unilever_price_limits!B:B,
         [1]unilever_price_limits!C:C)</f>
        <v>55</v>
      </c>
      <c r="H4507" s="8">
        <f t="shared" si="281"/>
        <v>6.2154999999999996</v>
      </c>
      <c r="I4507" s="6">
        <f t="shared" si="282"/>
        <v>55.000000000000007</v>
      </c>
      <c r="J4507" t="str">
        <f t="shared" si="283"/>
        <v>OK</v>
      </c>
    </row>
    <row r="4508" spans="1:10" x14ac:dyDescent="0.2">
      <c r="A4508">
        <v>14507</v>
      </c>
      <c r="B4508" t="s">
        <v>8</v>
      </c>
      <c r="C4508" t="s">
        <v>9</v>
      </c>
      <c r="D4508" s="8">
        <v>6.5</v>
      </c>
      <c r="E4508">
        <v>3</v>
      </c>
      <c r="F4508" t="str">
        <f t="shared" si="280"/>
        <v>Value</v>
      </c>
      <c r="G4508" s="3" cm="1">
        <f t="array" ref="G4508">_xlfn.XLOOKUP(C4508 &amp; F4508,
         [1]unilever_price_limits!A:A &amp; [1]unilever_price_limits!B:B,
         [1]unilever_price_limits!C:C)</f>
        <v>15</v>
      </c>
      <c r="H4508" s="8">
        <f t="shared" si="281"/>
        <v>7.4749999999999996</v>
      </c>
      <c r="I4508" s="6">
        <f t="shared" si="282"/>
        <v>14.999999999999991</v>
      </c>
      <c r="J4508" t="str">
        <f t="shared" si="283"/>
        <v>OK</v>
      </c>
    </row>
    <row r="4509" spans="1:10" x14ac:dyDescent="0.2">
      <c r="A4509">
        <v>14508</v>
      </c>
      <c r="B4509" t="s">
        <v>10</v>
      </c>
      <c r="C4509" t="s">
        <v>6</v>
      </c>
      <c r="D4509" s="8">
        <v>3.87</v>
      </c>
      <c r="E4509">
        <v>8</v>
      </c>
      <c r="F4509" t="str">
        <f t="shared" si="280"/>
        <v>Premium</v>
      </c>
      <c r="G4509" s="3" cm="1">
        <f t="array" ref="G4509">_xlfn.XLOOKUP(C4509 &amp; F4509,
         [1]unilever_price_limits!A:A &amp; [1]unilever_price_limits!B:B,
         [1]unilever_price_limits!C:C)</f>
        <v>55</v>
      </c>
      <c r="H4509" s="8">
        <f t="shared" si="281"/>
        <v>5.9984999999999999</v>
      </c>
      <c r="I4509" s="6">
        <f t="shared" si="282"/>
        <v>55.000000000000007</v>
      </c>
      <c r="J4509" t="str">
        <f t="shared" si="283"/>
        <v>OK</v>
      </c>
    </row>
    <row r="4510" spans="1:10" x14ac:dyDescent="0.2">
      <c r="A4510">
        <v>14509</v>
      </c>
      <c r="B4510" t="s">
        <v>7</v>
      </c>
      <c r="C4510" t="s">
        <v>9</v>
      </c>
      <c r="D4510" s="8">
        <v>7.62</v>
      </c>
      <c r="E4510">
        <v>8</v>
      </c>
      <c r="F4510" t="str">
        <f t="shared" si="280"/>
        <v>Premium</v>
      </c>
      <c r="G4510" s="3" cm="1">
        <f t="array" ref="G4510">_xlfn.XLOOKUP(C4510 &amp; F4510,
         [1]unilever_price_limits!A:A &amp; [1]unilever_price_limits!B:B,
         [1]unilever_price_limits!C:C)</f>
        <v>60</v>
      </c>
      <c r="H4510" s="8">
        <f t="shared" si="281"/>
        <v>12.192</v>
      </c>
      <c r="I4510" s="6">
        <f t="shared" si="282"/>
        <v>60.000000000000007</v>
      </c>
      <c r="J4510" t="str">
        <f t="shared" si="283"/>
        <v>OK</v>
      </c>
    </row>
    <row r="4511" spans="1:10" x14ac:dyDescent="0.2">
      <c r="A4511">
        <v>14510</v>
      </c>
      <c r="B4511" t="s">
        <v>7</v>
      </c>
      <c r="C4511" t="s">
        <v>11</v>
      </c>
      <c r="D4511" s="8">
        <v>13.15</v>
      </c>
      <c r="E4511">
        <v>4</v>
      </c>
      <c r="F4511" t="str">
        <f t="shared" si="280"/>
        <v>Standard</v>
      </c>
      <c r="G4511" s="3" cm="1">
        <f t="array" ref="G4511">_xlfn.XLOOKUP(C4511 &amp; F4511,
         [1]unilever_price_limits!A:A &amp; [1]unilever_price_limits!B:B,
         [1]unilever_price_limits!C:C)</f>
        <v>25</v>
      </c>
      <c r="H4511" s="8">
        <f t="shared" si="281"/>
        <v>16.4375</v>
      </c>
      <c r="I4511" s="6">
        <f t="shared" si="282"/>
        <v>25</v>
      </c>
      <c r="J4511" t="str">
        <f t="shared" si="283"/>
        <v>OK</v>
      </c>
    </row>
    <row r="4512" spans="1:10" x14ac:dyDescent="0.2">
      <c r="A4512">
        <v>14511</v>
      </c>
      <c r="B4512" t="s">
        <v>8</v>
      </c>
      <c r="C4512" t="s">
        <v>11</v>
      </c>
      <c r="D4512" s="8">
        <v>10.82</v>
      </c>
      <c r="E4512">
        <v>7</v>
      </c>
      <c r="F4512" t="str">
        <f t="shared" si="280"/>
        <v>Standard</v>
      </c>
      <c r="G4512" s="3" cm="1">
        <f t="array" ref="G4512">_xlfn.XLOOKUP(C4512 &amp; F4512,
         [1]unilever_price_limits!A:A &amp; [1]unilever_price_limits!B:B,
         [1]unilever_price_limits!C:C)</f>
        <v>25</v>
      </c>
      <c r="H4512" s="8">
        <f t="shared" si="281"/>
        <v>13.525</v>
      </c>
      <c r="I4512" s="6">
        <f t="shared" si="282"/>
        <v>25</v>
      </c>
      <c r="J4512" t="str">
        <f t="shared" si="283"/>
        <v>OK</v>
      </c>
    </row>
    <row r="4513" spans="1:10" x14ac:dyDescent="0.2">
      <c r="A4513">
        <v>14512</v>
      </c>
      <c r="B4513" t="s">
        <v>7</v>
      </c>
      <c r="C4513" t="s">
        <v>9</v>
      </c>
      <c r="D4513" s="8">
        <v>8.91</v>
      </c>
      <c r="E4513">
        <v>4</v>
      </c>
      <c r="F4513" t="str">
        <f t="shared" si="280"/>
        <v>Standard</v>
      </c>
      <c r="G4513" s="3" cm="1">
        <f t="array" ref="G4513">_xlfn.XLOOKUP(C4513 &amp; F4513,
         [1]unilever_price_limits!A:A &amp; [1]unilever_price_limits!B:B,
         [1]unilever_price_limits!C:C)</f>
        <v>30</v>
      </c>
      <c r="H4513" s="8">
        <f t="shared" si="281"/>
        <v>11.583</v>
      </c>
      <c r="I4513" s="6">
        <f t="shared" si="282"/>
        <v>30.000000000000004</v>
      </c>
      <c r="J4513" t="str">
        <f t="shared" si="283"/>
        <v>OK</v>
      </c>
    </row>
    <row r="4514" spans="1:10" x14ac:dyDescent="0.2">
      <c r="A4514">
        <v>14513</v>
      </c>
      <c r="B4514" t="s">
        <v>8</v>
      </c>
      <c r="C4514" t="s">
        <v>6</v>
      </c>
      <c r="D4514" s="8">
        <v>1.79</v>
      </c>
      <c r="E4514">
        <v>1</v>
      </c>
      <c r="F4514" t="str">
        <f t="shared" si="280"/>
        <v>Value</v>
      </c>
      <c r="G4514" s="3" cm="1">
        <f t="array" ref="G4514">_xlfn.XLOOKUP(C4514 &amp; F4514,
         [1]unilever_price_limits!A:A &amp; [1]unilever_price_limits!B:B,
         [1]unilever_price_limits!C:C)</f>
        <v>12</v>
      </c>
      <c r="H4514" s="8">
        <f t="shared" si="281"/>
        <v>2.0048000000000004</v>
      </c>
      <c r="I4514" s="6">
        <f t="shared" si="282"/>
        <v>12.000000000000011</v>
      </c>
      <c r="J4514" t="str">
        <f t="shared" si="283"/>
        <v>OK</v>
      </c>
    </row>
    <row r="4515" spans="1:10" x14ac:dyDescent="0.2">
      <c r="A4515">
        <v>14514</v>
      </c>
      <c r="B4515" t="s">
        <v>5</v>
      </c>
      <c r="C4515" t="s">
        <v>9</v>
      </c>
      <c r="D4515" s="8">
        <v>10.56</v>
      </c>
      <c r="E4515">
        <v>1</v>
      </c>
      <c r="F4515" t="str">
        <f t="shared" si="280"/>
        <v>Value</v>
      </c>
      <c r="G4515" s="3" cm="1">
        <f t="array" ref="G4515">_xlfn.XLOOKUP(C4515 &amp; F4515,
         [1]unilever_price_limits!A:A &amp; [1]unilever_price_limits!B:B,
         [1]unilever_price_limits!C:C)</f>
        <v>15</v>
      </c>
      <c r="H4515" s="8">
        <f t="shared" si="281"/>
        <v>12.144</v>
      </c>
      <c r="I4515" s="6">
        <f t="shared" si="282"/>
        <v>14.999999999999991</v>
      </c>
      <c r="J4515" t="str">
        <f t="shared" si="283"/>
        <v>OK</v>
      </c>
    </row>
    <row r="4516" spans="1:10" x14ac:dyDescent="0.2">
      <c r="A4516">
        <v>14515</v>
      </c>
      <c r="B4516" t="s">
        <v>5</v>
      </c>
      <c r="C4516" t="s">
        <v>11</v>
      </c>
      <c r="D4516" s="8">
        <v>2.91</v>
      </c>
      <c r="E4516">
        <v>1</v>
      </c>
      <c r="F4516" t="str">
        <f t="shared" si="280"/>
        <v>Value</v>
      </c>
      <c r="G4516" s="3" cm="1">
        <f t="array" ref="G4516">_xlfn.XLOOKUP(C4516 &amp; F4516,
         [1]unilever_price_limits!A:A &amp; [1]unilever_price_limits!B:B,
         [1]unilever_price_limits!C:C)</f>
        <v>10</v>
      </c>
      <c r="H4516" s="8">
        <f t="shared" si="281"/>
        <v>3.2010000000000005</v>
      </c>
      <c r="I4516" s="6">
        <f t="shared" si="282"/>
        <v>10.000000000000009</v>
      </c>
      <c r="J4516" t="str">
        <f t="shared" si="283"/>
        <v>OK</v>
      </c>
    </row>
    <row r="4517" spans="1:10" x14ac:dyDescent="0.2">
      <c r="A4517">
        <v>14516</v>
      </c>
      <c r="B4517" t="s">
        <v>7</v>
      </c>
      <c r="C4517" t="s">
        <v>11</v>
      </c>
      <c r="D4517" s="8">
        <v>11.9</v>
      </c>
      <c r="E4517">
        <v>2</v>
      </c>
      <c r="F4517" t="str">
        <f t="shared" si="280"/>
        <v>Value</v>
      </c>
      <c r="G4517" s="3" cm="1">
        <f t="array" ref="G4517">_xlfn.XLOOKUP(C4517 &amp; F4517,
         [1]unilever_price_limits!A:A &amp; [1]unilever_price_limits!B:B,
         [1]unilever_price_limits!C:C)</f>
        <v>10</v>
      </c>
      <c r="H4517" s="8">
        <f t="shared" si="281"/>
        <v>13.090000000000002</v>
      </c>
      <c r="I4517" s="6">
        <f t="shared" si="282"/>
        <v>10.000000000000009</v>
      </c>
      <c r="J4517" t="str">
        <f t="shared" si="283"/>
        <v>OK</v>
      </c>
    </row>
    <row r="4518" spans="1:10" x14ac:dyDescent="0.2">
      <c r="A4518">
        <v>14517</v>
      </c>
      <c r="B4518" t="s">
        <v>7</v>
      </c>
      <c r="C4518" t="s">
        <v>9</v>
      </c>
      <c r="D4518" s="8">
        <v>4.13</v>
      </c>
      <c r="E4518">
        <v>6</v>
      </c>
      <c r="F4518" t="str">
        <f t="shared" si="280"/>
        <v>Standard</v>
      </c>
      <c r="G4518" s="3" cm="1">
        <f t="array" ref="G4518">_xlfn.XLOOKUP(C4518 &amp; F4518,
         [1]unilever_price_limits!A:A &amp; [1]unilever_price_limits!B:B,
         [1]unilever_price_limits!C:C)</f>
        <v>30</v>
      </c>
      <c r="H4518" s="8">
        <f t="shared" si="281"/>
        <v>5.3689999999999998</v>
      </c>
      <c r="I4518" s="6">
        <f t="shared" si="282"/>
        <v>30.000000000000004</v>
      </c>
      <c r="J4518" t="str">
        <f t="shared" si="283"/>
        <v>OK</v>
      </c>
    </row>
    <row r="4519" spans="1:10" x14ac:dyDescent="0.2">
      <c r="A4519">
        <v>14518</v>
      </c>
      <c r="B4519" t="s">
        <v>10</v>
      </c>
      <c r="C4519" t="s">
        <v>6</v>
      </c>
      <c r="D4519" s="8">
        <v>6.55</v>
      </c>
      <c r="E4519">
        <v>10</v>
      </c>
      <c r="F4519" t="str">
        <f t="shared" si="280"/>
        <v>Premium</v>
      </c>
      <c r="G4519" s="3" cm="1">
        <f t="array" ref="G4519">_xlfn.XLOOKUP(C4519 &amp; F4519,
         [1]unilever_price_limits!A:A &amp; [1]unilever_price_limits!B:B,
         [1]unilever_price_limits!C:C)</f>
        <v>55</v>
      </c>
      <c r="H4519" s="8">
        <f t="shared" si="281"/>
        <v>10.1525</v>
      </c>
      <c r="I4519" s="6">
        <f t="shared" si="282"/>
        <v>55.000000000000007</v>
      </c>
      <c r="J4519" t="str">
        <f t="shared" si="283"/>
        <v>OK</v>
      </c>
    </row>
    <row r="4520" spans="1:10" x14ac:dyDescent="0.2">
      <c r="A4520">
        <v>14519</v>
      </c>
      <c r="B4520" t="s">
        <v>7</v>
      </c>
      <c r="C4520" t="s">
        <v>6</v>
      </c>
      <c r="D4520" s="8">
        <v>5.58</v>
      </c>
      <c r="E4520">
        <v>5</v>
      </c>
      <c r="F4520" t="str">
        <f t="shared" si="280"/>
        <v>Standard</v>
      </c>
      <c r="G4520" s="3" cm="1">
        <f t="array" ref="G4520">_xlfn.XLOOKUP(C4520 &amp; F4520,
         [1]unilever_price_limits!A:A &amp; [1]unilever_price_limits!B:B,
         [1]unilever_price_limits!C:C)</f>
        <v>28</v>
      </c>
      <c r="H4520" s="8">
        <f t="shared" si="281"/>
        <v>7.1424000000000003</v>
      </c>
      <c r="I4520" s="6">
        <f t="shared" si="282"/>
        <v>28.000000000000004</v>
      </c>
      <c r="J4520" t="str">
        <f t="shared" si="283"/>
        <v>OK</v>
      </c>
    </row>
    <row r="4521" spans="1:10" x14ac:dyDescent="0.2">
      <c r="A4521">
        <v>14520</v>
      </c>
      <c r="B4521" t="s">
        <v>10</v>
      </c>
      <c r="C4521" t="s">
        <v>9</v>
      </c>
      <c r="D4521" s="8">
        <v>12.95</v>
      </c>
      <c r="E4521">
        <v>2</v>
      </c>
      <c r="F4521" t="str">
        <f t="shared" si="280"/>
        <v>Value</v>
      </c>
      <c r="G4521" s="3" cm="1">
        <f t="array" ref="G4521">_xlfn.XLOOKUP(C4521 &amp; F4521,
         [1]unilever_price_limits!A:A &amp; [1]unilever_price_limits!B:B,
         [1]unilever_price_limits!C:C)</f>
        <v>15</v>
      </c>
      <c r="H4521" s="8">
        <f t="shared" si="281"/>
        <v>14.892499999999998</v>
      </c>
      <c r="I4521" s="6">
        <f t="shared" si="282"/>
        <v>14.999999999999991</v>
      </c>
      <c r="J4521" t="str">
        <f t="shared" si="283"/>
        <v>OK</v>
      </c>
    </row>
    <row r="4522" spans="1:10" x14ac:dyDescent="0.2">
      <c r="A4522">
        <v>14521</v>
      </c>
      <c r="B4522" t="s">
        <v>5</v>
      </c>
      <c r="C4522" t="s">
        <v>9</v>
      </c>
      <c r="D4522" s="8">
        <v>2.33</v>
      </c>
      <c r="E4522">
        <v>8</v>
      </c>
      <c r="F4522" t="str">
        <f t="shared" si="280"/>
        <v>Premium</v>
      </c>
      <c r="G4522" s="3" cm="1">
        <f t="array" ref="G4522">_xlfn.XLOOKUP(C4522 &amp; F4522,
         [1]unilever_price_limits!A:A &amp; [1]unilever_price_limits!B:B,
         [1]unilever_price_limits!C:C)</f>
        <v>60</v>
      </c>
      <c r="H4522" s="8">
        <f t="shared" si="281"/>
        <v>3.7280000000000002</v>
      </c>
      <c r="I4522" s="6">
        <f t="shared" si="282"/>
        <v>60.000000000000007</v>
      </c>
      <c r="J4522" t="str">
        <f t="shared" si="283"/>
        <v>OK</v>
      </c>
    </row>
    <row r="4523" spans="1:10" x14ac:dyDescent="0.2">
      <c r="A4523">
        <v>14522</v>
      </c>
      <c r="B4523" t="s">
        <v>5</v>
      </c>
      <c r="C4523" t="s">
        <v>6</v>
      </c>
      <c r="D4523" s="8">
        <v>8.6999999999999993</v>
      </c>
      <c r="E4523">
        <v>9</v>
      </c>
      <c r="F4523" t="str">
        <f t="shared" si="280"/>
        <v>Premium</v>
      </c>
      <c r="G4523" s="3" cm="1">
        <f t="array" ref="G4523">_xlfn.XLOOKUP(C4523 &amp; F4523,
         [1]unilever_price_limits!A:A &amp; [1]unilever_price_limits!B:B,
         [1]unilever_price_limits!C:C)</f>
        <v>55</v>
      </c>
      <c r="H4523" s="8">
        <f t="shared" si="281"/>
        <v>13.484999999999999</v>
      </c>
      <c r="I4523" s="6">
        <f t="shared" si="282"/>
        <v>55.000000000000007</v>
      </c>
      <c r="J4523" t="str">
        <f t="shared" si="283"/>
        <v>OK</v>
      </c>
    </row>
    <row r="4524" spans="1:10" x14ac:dyDescent="0.2">
      <c r="A4524">
        <v>14523</v>
      </c>
      <c r="B4524" t="s">
        <v>8</v>
      </c>
      <c r="C4524" t="s">
        <v>11</v>
      </c>
      <c r="D4524" s="8">
        <v>2.56</v>
      </c>
      <c r="E4524">
        <v>7</v>
      </c>
      <c r="F4524" t="str">
        <f t="shared" si="280"/>
        <v>Standard</v>
      </c>
      <c r="G4524" s="3" cm="1">
        <f t="array" ref="G4524">_xlfn.XLOOKUP(C4524 &amp; F4524,
         [1]unilever_price_limits!A:A &amp; [1]unilever_price_limits!B:B,
         [1]unilever_price_limits!C:C)</f>
        <v>25</v>
      </c>
      <c r="H4524" s="8">
        <f t="shared" si="281"/>
        <v>3.2</v>
      </c>
      <c r="I4524" s="6">
        <f t="shared" si="282"/>
        <v>25</v>
      </c>
      <c r="J4524" t="str">
        <f t="shared" si="283"/>
        <v>OK</v>
      </c>
    </row>
    <row r="4525" spans="1:10" x14ac:dyDescent="0.2">
      <c r="A4525">
        <v>14524</v>
      </c>
      <c r="B4525" t="s">
        <v>5</v>
      </c>
      <c r="C4525" t="s">
        <v>9</v>
      </c>
      <c r="D4525" s="8">
        <v>10.72</v>
      </c>
      <c r="E4525">
        <v>9</v>
      </c>
      <c r="F4525" t="str">
        <f t="shared" si="280"/>
        <v>Premium</v>
      </c>
      <c r="G4525" s="3" cm="1">
        <f t="array" ref="G4525">_xlfn.XLOOKUP(C4525 &amp; F4525,
         [1]unilever_price_limits!A:A &amp; [1]unilever_price_limits!B:B,
         [1]unilever_price_limits!C:C)</f>
        <v>60</v>
      </c>
      <c r="H4525" s="8">
        <f t="shared" si="281"/>
        <v>17.152000000000001</v>
      </c>
      <c r="I4525" s="6">
        <f t="shared" si="282"/>
        <v>60.000000000000007</v>
      </c>
      <c r="J4525" t="str">
        <f t="shared" si="283"/>
        <v>OK</v>
      </c>
    </row>
    <row r="4526" spans="1:10" x14ac:dyDescent="0.2">
      <c r="A4526">
        <v>14525</v>
      </c>
      <c r="B4526" t="s">
        <v>10</v>
      </c>
      <c r="C4526" t="s">
        <v>6</v>
      </c>
      <c r="D4526" s="8">
        <v>13.62</v>
      </c>
      <c r="E4526">
        <v>4</v>
      </c>
      <c r="F4526" t="str">
        <f t="shared" si="280"/>
        <v>Standard</v>
      </c>
      <c r="G4526" s="3" cm="1">
        <f t="array" ref="G4526">_xlfn.XLOOKUP(C4526 &amp; F4526,
         [1]unilever_price_limits!A:A &amp; [1]unilever_price_limits!B:B,
         [1]unilever_price_limits!C:C)</f>
        <v>28</v>
      </c>
      <c r="H4526" s="8">
        <f t="shared" si="281"/>
        <v>17.433599999999998</v>
      </c>
      <c r="I4526" s="6">
        <f t="shared" si="282"/>
        <v>28.000000000000004</v>
      </c>
      <c r="J4526" t="str">
        <f t="shared" si="283"/>
        <v>OK</v>
      </c>
    </row>
    <row r="4527" spans="1:10" x14ac:dyDescent="0.2">
      <c r="A4527">
        <v>14526</v>
      </c>
      <c r="B4527" t="s">
        <v>7</v>
      </c>
      <c r="C4527" t="s">
        <v>6</v>
      </c>
      <c r="D4527" s="8">
        <v>6.8</v>
      </c>
      <c r="E4527">
        <v>7</v>
      </c>
      <c r="F4527" t="str">
        <f t="shared" si="280"/>
        <v>Standard</v>
      </c>
      <c r="G4527" s="3" cm="1">
        <f t="array" ref="G4527">_xlfn.XLOOKUP(C4527 &amp; F4527,
         [1]unilever_price_limits!A:A &amp; [1]unilever_price_limits!B:B,
         [1]unilever_price_limits!C:C)</f>
        <v>28</v>
      </c>
      <c r="H4527" s="8">
        <f t="shared" si="281"/>
        <v>8.7040000000000006</v>
      </c>
      <c r="I4527" s="6">
        <f t="shared" si="282"/>
        <v>28.000000000000004</v>
      </c>
      <c r="J4527" t="str">
        <f t="shared" si="283"/>
        <v>OK</v>
      </c>
    </row>
    <row r="4528" spans="1:10" x14ac:dyDescent="0.2">
      <c r="A4528">
        <v>14527</v>
      </c>
      <c r="B4528" t="s">
        <v>8</v>
      </c>
      <c r="C4528" t="s">
        <v>11</v>
      </c>
      <c r="D4528" s="8">
        <v>7.58</v>
      </c>
      <c r="E4528">
        <v>5</v>
      </c>
      <c r="F4528" t="str">
        <f t="shared" si="280"/>
        <v>Standard</v>
      </c>
      <c r="G4528" s="3" cm="1">
        <f t="array" ref="G4528">_xlfn.XLOOKUP(C4528 &amp; F4528,
         [1]unilever_price_limits!A:A &amp; [1]unilever_price_limits!B:B,
         [1]unilever_price_limits!C:C)</f>
        <v>25</v>
      </c>
      <c r="H4528" s="8">
        <f t="shared" si="281"/>
        <v>9.4749999999999996</v>
      </c>
      <c r="I4528" s="6">
        <f t="shared" si="282"/>
        <v>25</v>
      </c>
      <c r="J4528" t="str">
        <f t="shared" si="283"/>
        <v>OK</v>
      </c>
    </row>
    <row r="4529" spans="1:10" x14ac:dyDescent="0.2">
      <c r="A4529">
        <v>14528</v>
      </c>
      <c r="B4529" t="s">
        <v>10</v>
      </c>
      <c r="C4529" t="s">
        <v>11</v>
      </c>
      <c r="D4529" s="8">
        <v>13.95</v>
      </c>
      <c r="E4529">
        <v>5</v>
      </c>
      <c r="F4529" t="str">
        <f t="shared" si="280"/>
        <v>Standard</v>
      </c>
      <c r="G4529" s="3" cm="1">
        <f t="array" ref="G4529">_xlfn.XLOOKUP(C4529 &amp; F4529,
         [1]unilever_price_limits!A:A &amp; [1]unilever_price_limits!B:B,
         [1]unilever_price_limits!C:C)</f>
        <v>25</v>
      </c>
      <c r="H4529" s="8">
        <f t="shared" si="281"/>
        <v>17.4375</v>
      </c>
      <c r="I4529" s="6">
        <f t="shared" si="282"/>
        <v>25</v>
      </c>
      <c r="J4529" t="str">
        <f t="shared" si="283"/>
        <v>OK</v>
      </c>
    </row>
    <row r="4530" spans="1:10" x14ac:dyDescent="0.2">
      <c r="A4530">
        <v>14529</v>
      </c>
      <c r="B4530" t="s">
        <v>7</v>
      </c>
      <c r="C4530" t="s">
        <v>11</v>
      </c>
      <c r="D4530" s="8">
        <v>8.0500000000000007</v>
      </c>
      <c r="E4530">
        <v>3</v>
      </c>
      <c r="F4530" t="str">
        <f t="shared" si="280"/>
        <v>Value</v>
      </c>
      <c r="G4530" s="3" cm="1">
        <f t="array" ref="G4530">_xlfn.XLOOKUP(C4530 &amp; F4530,
         [1]unilever_price_limits!A:A &amp; [1]unilever_price_limits!B:B,
         [1]unilever_price_limits!C:C)</f>
        <v>10</v>
      </c>
      <c r="H4530" s="8">
        <f t="shared" si="281"/>
        <v>8.8550000000000022</v>
      </c>
      <c r="I4530" s="6">
        <f t="shared" si="282"/>
        <v>10.000000000000009</v>
      </c>
      <c r="J4530" t="str">
        <f t="shared" si="283"/>
        <v>OK</v>
      </c>
    </row>
    <row r="4531" spans="1:10" x14ac:dyDescent="0.2">
      <c r="A4531">
        <v>14530</v>
      </c>
      <c r="B4531" t="s">
        <v>8</v>
      </c>
      <c r="C4531" t="s">
        <v>11</v>
      </c>
      <c r="D4531" s="8">
        <v>7.57</v>
      </c>
      <c r="E4531">
        <v>9</v>
      </c>
      <c r="F4531" t="str">
        <f t="shared" si="280"/>
        <v>Premium</v>
      </c>
      <c r="G4531" s="3" cm="1">
        <f t="array" ref="G4531">_xlfn.XLOOKUP(C4531 &amp; F4531,
         [1]unilever_price_limits!A:A &amp; [1]unilever_price_limits!B:B,
         [1]unilever_price_limits!C:C)</f>
        <v>50</v>
      </c>
      <c r="H4531" s="8">
        <f t="shared" si="281"/>
        <v>11.355</v>
      </c>
      <c r="I4531" s="6">
        <f t="shared" si="282"/>
        <v>50</v>
      </c>
      <c r="J4531" t="str">
        <f t="shared" si="283"/>
        <v>OK</v>
      </c>
    </row>
    <row r="4532" spans="1:10" x14ac:dyDescent="0.2">
      <c r="A4532">
        <v>14531</v>
      </c>
      <c r="B4532" t="s">
        <v>5</v>
      </c>
      <c r="C4532" t="s">
        <v>11</v>
      </c>
      <c r="D4532" s="8">
        <v>8.89</v>
      </c>
      <c r="E4532">
        <v>10</v>
      </c>
      <c r="F4532" t="str">
        <f t="shared" si="280"/>
        <v>Premium</v>
      </c>
      <c r="G4532" s="3" cm="1">
        <f t="array" ref="G4532">_xlfn.XLOOKUP(C4532 &amp; F4532,
         [1]unilever_price_limits!A:A &amp; [1]unilever_price_limits!B:B,
         [1]unilever_price_limits!C:C)</f>
        <v>50</v>
      </c>
      <c r="H4532" s="8">
        <f t="shared" si="281"/>
        <v>13.335000000000001</v>
      </c>
      <c r="I4532" s="6">
        <f t="shared" si="282"/>
        <v>50</v>
      </c>
      <c r="J4532" t="str">
        <f t="shared" si="283"/>
        <v>OK</v>
      </c>
    </row>
    <row r="4533" spans="1:10" x14ac:dyDescent="0.2">
      <c r="A4533">
        <v>14532</v>
      </c>
      <c r="B4533" t="s">
        <v>10</v>
      </c>
      <c r="C4533" t="s">
        <v>9</v>
      </c>
      <c r="D4533" s="8">
        <v>10.49</v>
      </c>
      <c r="E4533">
        <v>5</v>
      </c>
      <c r="F4533" t="str">
        <f t="shared" si="280"/>
        <v>Standard</v>
      </c>
      <c r="G4533" s="3" cm="1">
        <f t="array" ref="G4533">_xlfn.XLOOKUP(C4533 &amp; F4533,
         [1]unilever_price_limits!A:A &amp; [1]unilever_price_limits!B:B,
         [1]unilever_price_limits!C:C)</f>
        <v>30</v>
      </c>
      <c r="H4533" s="8">
        <f t="shared" si="281"/>
        <v>13.637</v>
      </c>
      <c r="I4533" s="6">
        <f t="shared" si="282"/>
        <v>30.000000000000004</v>
      </c>
      <c r="J4533" t="str">
        <f t="shared" si="283"/>
        <v>OK</v>
      </c>
    </row>
    <row r="4534" spans="1:10" x14ac:dyDescent="0.2">
      <c r="A4534">
        <v>14533</v>
      </c>
      <c r="B4534" t="s">
        <v>7</v>
      </c>
      <c r="C4534" t="s">
        <v>6</v>
      </c>
      <c r="D4534" s="8">
        <v>2.0499999999999998</v>
      </c>
      <c r="E4534">
        <v>6</v>
      </c>
      <c r="F4534" t="str">
        <f t="shared" si="280"/>
        <v>Standard</v>
      </c>
      <c r="G4534" s="3" cm="1">
        <f t="array" ref="G4534">_xlfn.XLOOKUP(C4534 &amp; F4534,
         [1]unilever_price_limits!A:A &amp; [1]unilever_price_limits!B:B,
         [1]unilever_price_limits!C:C)</f>
        <v>28</v>
      </c>
      <c r="H4534" s="8">
        <f t="shared" si="281"/>
        <v>2.6239999999999997</v>
      </c>
      <c r="I4534" s="6">
        <f t="shared" si="282"/>
        <v>28.000000000000004</v>
      </c>
      <c r="J4534" t="str">
        <f t="shared" si="283"/>
        <v>OK</v>
      </c>
    </row>
    <row r="4535" spans="1:10" x14ac:dyDescent="0.2">
      <c r="A4535">
        <v>14534</v>
      </c>
      <c r="B4535" t="s">
        <v>8</v>
      </c>
      <c r="C4535" t="s">
        <v>9</v>
      </c>
      <c r="D4535" s="8">
        <v>12.41</v>
      </c>
      <c r="E4535">
        <v>3</v>
      </c>
      <c r="F4535" t="str">
        <f t="shared" si="280"/>
        <v>Value</v>
      </c>
      <c r="G4535" s="3" cm="1">
        <f t="array" ref="G4535">_xlfn.XLOOKUP(C4535 &amp; F4535,
         [1]unilever_price_limits!A:A &amp; [1]unilever_price_limits!B:B,
         [1]unilever_price_limits!C:C)</f>
        <v>15</v>
      </c>
      <c r="H4535" s="8">
        <f t="shared" si="281"/>
        <v>14.2715</v>
      </c>
      <c r="I4535" s="6">
        <f t="shared" si="282"/>
        <v>14.999999999999991</v>
      </c>
      <c r="J4535" t="str">
        <f t="shared" si="283"/>
        <v>OK</v>
      </c>
    </row>
    <row r="4536" spans="1:10" x14ac:dyDescent="0.2">
      <c r="A4536">
        <v>14535</v>
      </c>
      <c r="B4536" t="s">
        <v>8</v>
      </c>
      <c r="C4536" t="s">
        <v>9</v>
      </c>
      <c r="D4536" s="8">
        <v>6.81</v>
      </c>
      <c r="E4536">
        <v>10</v>
      </c>
      <c r="F4536" t="str">
        <f t="shared" si="280"/>
        <v>Premium</v>
      </c>
      <c r="G4536" s="3" cm="1">
        <f t="array" ref="G4536">_xlfn.XLOOKUP(C4536 &amp; F4536,
         [1]unilever_price_limits!A:A &amp; [1]unilever_price_limits!B:B,
         [1]unilever_price_limits!C:C)</f>
        <v>60</v>
      </c>
      <c r="H4536" s="8">
        <f t="shared" si="281"/>
        <v>10.896000000000001</v>
      </c>
      <c r="I4536" s="6">
        <f t="shared" si="282"/>
        <v>60.000000000000028</v>
      </c>
      <c r="J4536" t="str">
        <f t="shared" si="283"/>
        <v>OK</v>
      </c>
    </row>
    <row r="4537" spans="1:10" x14ac:dyDescent="0.2">
      <c r="A4537">
        <v>14536</v>
      </c>
      <c r="B4537" t="s">
        <v>5</v>
      </c>
      <c r="C4537" t="s">
        <v>9</v>
      </c>
      <c r="D4537" s="8">
        <v>1.55</v>
      </c>
      <c r="E4537">
        <v>7</v>
      </c>
      <c r="F4537" t="str">
        <f t="shared" si="280"/>
        <v>Standard</v>
      </c>
      <c r="G4537" s="3" cm="1">
        <f t="array" ref="G4537">_xlfn.XLOOKUP(C4537 &amp; F4537,
         [1]unilever_price_limits!A:A &amp; [1]unilever_price_limits!B:B,
         [1]unilever_price_limits!C:C)</f>
        <v>30</v>
      </c>
      <c r="H4537" s="8">
        <f t="shared" si="281"/>
        <v>2.0150000000000001</v>
      </c>
      <c r="I4537" s="6">
        <f t="shared" si="282"/>
        <v>30.000000000000004</v>
      </c>
      <c r="J4537" t="str">
        <f t="shared" si="283"/>
        <v>OK</v>
      </c>
    </row>
    <row r="4538" spans="1:10" x14ac:dyDescent="0.2">
      <c r="A4538">
        <v>14537</v>
      </c>
      <c r="B4538" t="s">
        <v>7</v>
      </c>
      <c r="C4538" t="s">
        <v>9</v>
      </c>
      <c r="D4538" s="8">
        <v>11.9</v>
      </c>
      <c r="E4538">
        <v>9</v>
      </c>
      <c r="F4538" t="str">
        <f t="shared" si="280"/>
        <v>Premium</v>
      </c>
      <c r="G4538" s="3" cm="1">
        <f t="array" ref="G4538">_xlfn.XLOOKUP(C4538 &amp; F4538,
         [1]unilever_price_limits!A:A &amp; [1]unilever_price_limits!B:B,
         [1]unilever_price_limits!C:C)</f>
        <v>60</v>
      </c>
      <c r="H4538" s="8">
        <f t="shared" si="281"/>
        <v>19.040000000000003</v>
      </c>
      <c r="I4538" s="6">
        <f t="shared" si="282"/>
        <v>60.000000000000007</v>
      </c>
      <c r="J4538" t="str">
        <f t="shared" si="283"/>
        <v>OK</v>
      </c>
    </row>
    <row r="4539" spans="1:10" x14ac:dyDescent="0.2">
      <c r="A4539">
        <v>14538</v>
      </c>
      <c r="B4539" t="s">
        <v>5</v>
      </c>
      <c r="C4539" t="s">
        <v>9</v>
      </c>
      <c r="D4539" s="8">
        <v>5.97</v>
      </c>
      <c r="E4539">
        <v>9</v>
      </c>
      <c r="F4539" t="str">
        <f t="shared" si="280"/>
        <v>Premium</v>
      </c>
      <c r="G4539" s="3" cm="1">
        <f t="array" ref="G4539">_xlfn.XLOOKUP(C4539 &amp; F4539,
         [1]unilever_price_limits!A:A &amp; [1]unilever_price_limits!B:B,
         [1]unilever_price_limits!C:C)</f>
        <v>60</v>
      </c>
      <c r="H4539" s="8">
        <f t="shared" si="281"/>
        <v>9.5519999999999996</v>
      </c>
      <c r="I4539" s="6">
        <f t="shared" si="282"/>
        <v>60.000000000000007</v>
      </c>
      <c r="J4539" t="str">
        <f t="shared" si="283"/>
        <v>OK</v>
      </c>
    </row>
    <row r="4540" spans="1:10" x14ac:dyDescent="0.2">
      <c r="A4540">
        <v>14539</v>
      </c>
      <c r="B4540" t="s">
        <v>5</v>
      </c>
      <c r="C4540" t="s">
        <v>11</v>
      </c>
      <c r="D4540" s="8">
        <v>1.96</v>
      </c>
      <c r="E4540">
        <v>10</v>
      </c>
      <c r="F4540" t="str">
        <f t="shared" si="280"/>
        <v>Premium</v>
      </c>
      <c r="G4540" s="3" cm="1">
        <f t="array" ref="G4540">_xlfn.XLOOKUP(C4540 &amp; F4540,
         [1]unilever_price_limits!A:A &amp; [1]unilever_price_limits!B:B,
         [1]unilever_price_limits!C:C)</f>
        <v>50</v>
      </c>
      <c r="H4540" s="8">
        <f t="shared" si="281"/>
        <v>2.94</v>
      </c>
      <c r="I4540" s="6">
        <f t="shared" si="282"/>
        <v>50</v>
      </c>
      <c r="J4540" t="str">
        <f t="shared" si="283"/>
        <v>OK</v>
      </c>
    </row>
    <row r="4541" spans="1:10" x14ac:dyDescent="0.2">
      <c r="A4541">
        <v>14540</v>
      </c>
      <c r="B4541" t="s">
        <v>7</v>
      </c>
      <c r="C4541" t="s">
        <v>11</v>
      </c>
      <c r="D4541" s="8">
        <v>9.69</v>
      </c>
      <c r="E4541">
        <v>10</v>
      </c>
      <c r="F4541" t="str">
        <f t="shared" si="280"/>
        <v>Premium</v>
      </c>
      <c r="G4541" s="3" cm="1">
        <f t="array" ref="G4541">_xlfn.XLOOKUP(C4541 &amp; F4541,
         [1]unilever_price_limits!A:A &amp; [1]unilever_price_limits!B:B,
         [1]unilever_price_limits!C:C)</f>
        <v>50</v>
      </c>
      <c r="H4541" s="8">
        <f t="shared" si="281"/>
        <v>14.535</v>
      </c>
      <c r="I4541" s="6">
        <f t="shared" si="282"/>
        <v>50</v>
      </c>
      <c r="J4541" t="str">
        <f t="shared" si="283"/>
        <v>OK</v>
      </c>
    </row>
    <row r="4542" spans="1:10" x14ac:dyDescent="0.2">
      <c r="A4542">
        <v>14541</v>
      </c>
      <c r="B4542" t="s">
        <v>7</v>
      </c>
      <c r="C4542" t="s">
        <v>6</v>
      </c>
      <c r="D4542" s="8">
        <v>13.26</v>
      </c>
      <c r="E4542">
        <v>5</v>
      </c>
      <c r="F4542" t="str">
        <f t="shared" si="280"/>
        <v>Standard</v>
      </c>
      <c r="G4542" s="3" cm="1">
        <f t="array" ref="G4542">_xlfn.XLOOKUP(C4542 &amp; F4542,
         [1]unilever_price_limits!A:A &amp; [1]unilever_price_limits!B:B,
         [1]unilever_price_limits!C:C)</f>
        <v>28</v>
      </c>
      <c r="H4542" s="8">
        <f t="shared" si="281"/>
        <v>16.972799999999999</v>
      </c>
      <c r="I4542" s="6">
        <f t="shared" si="282"/>
        <v>28.000000000000004</v>
      </c>
      <c r="J4542" t="str">
        <f t="shared" si="283"/>
        <v>OK</v>
      </c>
    </row>
    <row r="4543" spans="1:10" x14ac:dyDescent="0.2">
      <c r="A4543">
        <v>14542</v>
      </c>
      <c r="B4543" t="s">
        <v>7</v>
      </c>
      <c r="C4543" t="s">
        <v>9</v>
      </c>
      <c r="D4543" s="8">
        <v>13.37</v>
      </c>
      <c r="E4543">
        <v>7</v>
      </c>
      <c r="F4543" t="str">
        <f t="shared" si="280"/>
        <v>Standard</v>
      </c>
      <c r="G4543" s="3" cm="1">
        <f t="array" ref="G4543">_xlfn.XLOOKUP(C4543 &amp; F4543,
         [1]unilever_price_limits!A:A &amp; [1]unilever_price_limits!B:B,
         [1]unilever_price_limits!C:C)</f>
        <v>30</v>
      </c>
      <c r="H4543" s="8">
        <f t="shared" si="281"/>
        <v>17.381</v>
      </c>
      <c r="I4543" s="6">
        <f t="shared" si="282"/>
        <v>30.000000000000004</v>
      </c>
      <c r="J4543" t="str">
        <f t="shared" si="283"/>
        <v>OK</v>
      </c>
    </row>
    <row r="4544" spans="1:10" x14ac:dyDescent="0.2">
      <c r="A4544">
        <v>14543</v>
      </c>
      <c r="B4544" t="s">
        <v>10</v>
      </c>
      <c r="C4544" t="s">
        <v>6</v>
      </c>
      <c r="D4544" s="8">
        <v>14.39</v>
      </c>
      <c r="E4544">
        <v>3</v>
      </c>
      <c r="F4544" t="str">
        <f t="shared" si="280"/>
        <v>Value</v>
      </c>
      <c r="G4544" s="3" cm="1">
        <f t="array" ref="G4544">_xlfn.XLOOKUP(C4544 &amp; F4544,
         [1]unilever_price_limits!A:A &amp; [1]unilever_price_limits!B:B,
         [1]unilever_price_limits!C:C)</f>
        <v>12</v>
      </c>
      <c r="H4544" s="8">
        <f t="shared" si="281"/>
        <v>16.116800000000001</v>
      </c>
      <c r="I4544" s="6">
        <f t="shared" si="282"/>
        <v>12.000000000000011</v>
      </c>
      <c r="J4544" t="str">
        <f t="shared" si="283"/>
        <v>OK</v>
      </c>
    </row>
    <row r="4545" spans="1:10" x14ac:dyDescent="0.2">
      <c r="A4545">
        <v>14544</v>
      </c>
      <c r="B4545" t="s">
        <v>7</v>
      </c>
      <c r="C4545" t="s">
        <v>11</v>
      </c>
      <c r="D4545" s="8">
        <v>13.08</v>
      </c>
      <c r="E4545">
        <v>6</v>
      </c>
      <c r="F4545" t="str">
        <f t="shared" si="280"/>
        <v>Standard</v>
      </c>
      <c r="G4545" s="3" cm="1">
        <f t="array" ref="G4545">_xlfn.XLOOKUP(C4545 &amp; F4545,
         [1]unilever_price_limits!A:A &amp; [1]unilever_price_limits!B:B,
         [1]unilever_price_limits!C:C)</f>
        <v>25</v>
      </c>
      <c r="H4545" s="8">
        <f t="shared" si="281"/>
        <v>16.350000000000001</v>
      </c>
      <c r="I4545" s="6">
        <f t="shared" si="282"/>
        <v>25</v>
      </c>
      <c r="J4545" t="str">
        <f t="shared" si="283"/>
        <v>OK</v>
      </c>
    </row>
    <row r="4546" spans="1:10" x14ac:dyDescent="0.2">
      <c r="A4546">
        <v>14545</v>
      </c>
      <c r="B4546" t="s">
        <v>8</v>
      </c>
      <c r="C4546" t="s">
        <v>11</v>
      </c>
      <c r="D4546" s="8">
        <v>0.53</v>
      </c>
      <c r="E4546">
        <v>8</v>
      </c>
      <c r="F4546" t="str">
        <f t="shared" si="280"/>
        <v>Premium</v>
      </c>
      <c r="G4546" s="3" cm="1">
        <f t="array" ref="G4546">_xlfn.XLOOKUP(C4546 &amp; F4546,
         [1]unilever_price_limits!A:A &amp; [1]unilever_price_limits!B:B,
         [1]unilever_price_limits!C:C)</f>
        <v>50</v>
      </c>
      <c r="H4546" s="8">
        <f t="shared" si="281"/>
        <v>0.79500000000000004</v>
      </c>
      <c r="I4546" s="6">
        <f t="shared" si="282"/>
        <v>50</v>
      </c>
      <c r="J4546" t="str">
        <f t="shared" si="283"/>
        <v>OK</v>
      </c>
    </row>
    <row r="4547" spans="1:10" x14ac:dyDescent="0.2">
      <c r="A4547">
        <v>14546</v>
      </c>
      <c r="B4547" t="s">
        <v>5</v>
      </c>
      <c r="C4547" t="s">
        <v>11</v>
      </c>
      <c r="D4547" s="8">
        <v>6.01</v>
      </c>
      <c r="E4547">
        <v>8</v>
      </c>
      <c r="F4547" t="str">
        <f t="shared" ref="F4547:F4610" si="284">IF(E4547&lt;=3,"Value",
 IF(E4547&lt;=7,"Standard","Premium"))</f>
        <v>Premium</v>
      </c>
      <c r="G4547" s="3" cm="1">
        <f t="array" ref="G4547">_xlfn.XLOOKUP(C4547 &amp; F4547,
         [1]unilever_price_limits!A:A &amp; [1]unilever_price_limits!B:B,
         [1]unilever_price_limits!C:C)</f>
        <v>50</v>
      </c>
      <c r="H4547" s="8">
        <f t="shared" ref="H4547:H4610" si="285">D4547 * (1 + G4547/100)</f>
        <v>9.0150000000000006</v>
      </c>
      <c r="I4547" s="6">
        <f t="shared" ref="I4547:I4610" si="286">(H4547 / D4547 - 1) * 100</f>
        <v>50.000000000000021</v>
      </c>
      <c r="J4547" t="str">
        <f t="shared" ref="J4547:J4610" si="287">IF(I4546&gt; G4546, "⚠ Exceeds Limit", "OK")</f>
        <v>OK</v>
      </c>
    </row>
    <row r="4548" spans="1:10" x14ac:dyDescent="0.2">
      <c r="A4548">
        <v>14547</v>
      </c>
      <c r="B4548" t="s">
        <v>10</v>
      </c>
      <c r="C4548" t="s">
        <v>9</v>
      </c>
      <c r="D4548" s="8">
        <v>12.37</v>
      </c>
      <c r="E4548">
        <v>2</v>
      </c>
      <c r="F4548" t="str">
        <f t="shared" si="284"/>
        <v>Value</v>
      </c>
      <c r="G4548" s="3" cm="1">
        <f t="array" ref="G4548">_xlfn.XLOOKUP(C4548 &amp; F4548,
         [1]unilever_price_limits!A:A &amp; [1]unilever_price_limits!B:B,
         [1]unilever_price_limits!C:C)</f>
        <v>15</v>
      </c>
      <c r="H4548" s="8">
        <f t="shared" si="285"/>
        <v>14.225499999999998</v>
      </c>
      <c r="I4548" s="6">
        <f t="shared" si="286"/>
        <v>14.999999999999991</v>
      </c>
      <c r="J4548" t="str">
        <f t="shared" si="287"/>
        <v>OK</v>
      </c>
    </row>
    <row r="4549" spans="1:10" x14ac:dyDescent="0.2">
      <c r="A4549">
        <v>14548</v>
      </c>
      <c r="B4549" t="s">
        <v>7</v>
      </c>
      <c r="C4549" t="s">
        <v>9</v>
      </c>
      <c r="D4549" s="8">
        <v>5.81</v>
      </c>
      <c r="E4549">
        <v>6</v>
      </c>
      <c r="F4549" t="str">
        <f t="shared" si="284"/>
        <v>Standard</v>
      </c>
      <c r="G4549" s="3" cm="1">
        <f t="array" ref="G4549">_xlfn.XLOOKUP(C4549 &amp; F4549,
         [1]unilever_price_limits!A:A &amp; [1]unilever_price_limits!B:B,
         [1]unilever_price_limits!C:C)</f>
        <v>30</v>
      </c>
      <c r="H4549" s="8">
        <f t="shared" si="285"/>
        <v>7.5529999999999999</v>
      </c>
      <c r="I4549" s="6">
        <f t="shared" si="286"/>
        <v>30.000000000000004</v>
      </c>
      <c r="J4549" t="str">
        <f t="shared" si="287"/>
        <v>OK</v>
      </c>
    </row>
    <row r="4550" spans="1:10" x14ac:dyDescent="0.2">
      <c r="A4550">
        <v>14549</v>
      </c>
      <c r="B4550" t="s">
        <v>10</v>
      </c>
      <c r="C4550" t="s">
        <v>11</v>
      </c>
      <c r="D4550" s="8">
        <v>9.2200000000000006</v>
      </c>
      <c r="E4550">
        <v>7</v>
      </c>
      <c r="F4550" t="str">
        <f t="shared" si="284"/>
        <v>Standard</v>
      </c>
      <c r="G4550" s="3" cm="1">
        <f t="array" ref="G4550">_xlfn.XLOOKUP(C4550 &amp; F4550,
         [1]unilever_price_limits!A:A &amp; [1]unilever_price_limits!B:B,
         [1]unilever_price_limits!C:C)</f>
        <v>25</v>
      </c>
      <c r="H4550" s="8">
        <f t="shared" si="285"/>
        <v>11.525</v>
      </c>
      <c r="I4550" s="6">
        <f t="shared" si="286"/>
        <v>25</v>
      </c>
      <c r="J4550" t="str">
        <f t="shared" si="287"/>
        <v>OK</v>
      </c>
    </row>
    <row r="4551" spans="1:10" x14ac:dyDescent="0.2">
      <c r="A4551">
        <v>14550</v>
      </c>
      <c r="B4551" t="s">
        <v>7</v>
      </c>
      <c r="C4551" t="s">
        <v>6</v>
      </c>
      <c r="D4551" s="8">
        <v>9.2899999999999991</v>
      </c>
      <c r="E4551">
        <v>7</v>
      </c>
      <c r="F4551" t="str">
        <f t="shared" si="284"/>
        <v>Standard</v>
      </c>
      <c r="G4551" s="3" cm="1">
        <f t="array" ref="G4551">_xlfn.XLOOKUP(C4551 &amp; F4551,
         [1]unilever_price_limits!A:A &amp; [1]unilever_price_limits!B:B,
         [1]unilever_price_limits!C:C)</f>
        <v>28</v>
      </c>
      <c r="H4551" s="8">
        <f t="shared" si="285"/>
        <v>11.8912</v>
      </c>
      <c r="I4551" s="6">
        <f t="shared" si="286"/>
        <v>28.000000000000004</v>
      </c>
      <c r="J4551" t="str">
        <f t="shared" si="287"/>
        <v>OK</v>
      </c>
    </row>
    <row r="4552" spans="1:10" x14ac:dyDescent="0.2">
      <c r="A4552">
        <v>14551</v>
      </c>
      <c r="B4552" t="s">
        <v>10</v>
      </c>
      <c r="C4552" t="s">
        <v>6</v>
      </c>
      <c r="D4552" s="8">
        <v>5.79</v>
      </c>
      <c r="E4552">
        <v>3</v>
      </c>
      <c r="F4552" t="str">
        <f t="shared" si="284"/>
        <v>Value</v>
      </c>
      <c r="G4552" s="3" cm="1">
        <f t="array" ref="G4552">_xlfn.XLOOKUP(C4552 &amp; F4552,
         [1]unilever_price_limits!A:A &amp; [1]unilever_price_limits!B:B,
         [1]unilever_price_limits!C:C)</f>
        <v>12</v>
      </c>
      <c r="H4552" s="8">
        <f t="shared" si="285"/>
        <v>6.4848000000000008</v>
      </c>
      <c r="I4552" s="6">
        <f t="shared" si="286"/>
        <v>12.000000000000011</v>
      </c>
      <c r="J4552" t="str">
        <f t="shared" si="287"/>
        <v>OK</v>
      </c>
    </row>
    <row r="4553" spans="1:10" x14ac:dyDescent="0.2">
      <c r="A4553">
        <v>14552</v>
      </c>
      <c r="B4553" t="s">
        <v>5</v>
      </c>
      <c r="C4553" t="s">
        <v>11</v>
      </c>
      <c r="D4553" s="8">
        <v>13.61</v>
      </c>
      <c r="E4553">
        <v>9</v>
      </c>
      <c r="F4553" t="str">
        <f t="shared" si="284"/>
        <v>Premium</v>
      </c>
      <c r="G4553" s="3" cm="1">
        <f t="array" ref="G4553">_xlfn.XLOOKUP(C4553 &amp; F4553,
         [1]unilever_price_limits!A:A &amp; [1]unilever_price_limits!B:B,
         [1]unilever_price_limits!C:C)</f>
        <v>50</v>
      </c>
      <c r="H4553" s="8">
        <f t="shared" si="285"/>
        <v>20.414999999999999</v>
      </c>
      <c r="I4553" s="6">
        <f t="shared" si="286"/>
        <v>50</v>
      </c>
      <c r="J4553" t="str">
        <f t="shared" si="287"/>
        <v>OK</v>
      </c>
    </row>
    <row r="4554" spans="1:10" x14ac:dyDescent="0.2">
      <c r="A4554">
        <v>14553</v>
      </c>
      <c r="B4554" t="s">
        <v>5</v>
      </c>
      <c r="C4554" t="s">
        <v>6</v>
      </c>
      <c r="D4554" s="8">
        <v>7.8</v>
      </c>
      <c r="E4554">
        <v>2</v>
      </c>
      <c r="F4554" t="str">
        <f t="shared" si="284"/>
        <v>Value</v>
      </c>
      <c r="G4554" s="3" cm="1">
        <f t="array" ref="G4554">_xlfn.XLOOKUP(C4554 &amp; F4554,
         [1]unilever_price_limits!A:A &amp; [1]unilever_price_limits!B:B,
         [1]unilever_price_limits!C:C)</f>
        <v>12</v>
      </c>
      <c r="H4554" s="8">
        <f t="shared" si="285"/>
        <v>8.7360000000000007</v>
      </c>
      <c r="I4554" s="6">
        <f t="shared" si="286"/>
        <v>12.000000000000011</v>
      </c>
      <c r="J4554" t="str">
        <f t="shared" si="287"/>
        <v>OK</v>
      </c>
    </row>
    <row r="4555" spans="1:10" x14ac:dyDescent="0.2">
      <c r="A4555">
        <v>14554</v>
      </c>
      <c r="B4555" t="s">
        <v>8</v>
      </c>
      <c r="C4555" t="s">
        <v>11</v>
      </c>
      <c r="D4555" s="8">
        <v>7.24</v>
      </c>
      <c r="E4555">
        <v>3</v>
      </c>
      <c r="F4555" t="str">
        <f t="shared" si="284"/>
        <v>Value</v>
      </c>
      <c r="G4555" s="3" cm="1">
        <f t="array" ref="G4555">_xlfn.XLOOKUP(C4555 &amp; F4555,
         [1]unilever_price_limits!A:A &amp; [1]unilever_price_limits!B:B,
         [1]unilever_price_limits!C:C)</f>
        <v>10</v>
      </c>
      <c r="H4555" s="8">
        <f t="shared" si="285"/>
        <v>7.9640000000000013</v>
      </c>
      <c r="I4555" s="6">
        <f t="shared" si="286"/>
        <v>10.000000000000009</v>
      </c>
      <c r="J4555" t="str">
        <f t="shared" si="287"/>
        <v>OK</v>
      </c>
    </row>
    <row r="4556" spans="1:10" x14ac:dyDescent="0.2">
      <c r="A4556">
        <v>14555</v>
      </c>
      <c r="B4556" t="s">
        <v>8</v>
      </c>
      <c r="C4556" t="s">
        <v>6</v>
      </c>
      <c r="D4556" s="8">
        <v>14.96</v>
      </c>
      <c r="E4556">
        <v>2</v>
      </c>
      <c r="F4556" t="str">
        <f t="shared" si="284"/>
        <v>Value</v>
      </c>
      <c r="G4556" s="3" cm="1">
        <f t="array" ref="G4556">_xlfn.XLOOKUP(C4556 &amp; F4556,
         [1]unilever_price_limits!A:A &amp; [1]unilever_price_limits!B:B,
         [1]unilever_price_limits!C:C)</f>
        <v>12</v>
      </c>
      <c r="H4556" s="8">
        <f t="shared" si="285"/>
        <v>16.755200000000002</v>
      </c>
      <c r="I4556" s="6">
        <f t="shared" si="286"/>
        <v>12.000000000000011</v>
      </c>
      <c r="J4556" t="str">
        <f t="shared" si="287"/>
        <v>OK</v>
      </c>
    </row>
    <row r="4557" spans="1:10" x14ac:dyDescent="0.2">
      <c r="A4557">
        <v>14556</v>
      </c>
      <c r="B4557" t="s">
        <v>7</v>
      </c>
      <c r="C4557" t="s">
        <v>11</v>
      </c>
      <c r="D4557" s="8">
        <v>7.66</v>
      </c>
      <c r="E4557">
        <v>9</v>
      </c>
      <c r="F4557" t="str">
        <f t="shared" si="284"/>
        <v>Premium</v>
      </c>
      <c r="G4557" s="3" cm="1">
        <f t="array" ref="G4557">_xlfn.XLOOKUP(C4557 &amp; F4557,
         [1]unilever_price_limits!A:A &amp; [1]unilever_price_limits!B:B,
         [1]unilever_price_limits!C:C)</f>
        <v>50</v>
      </c>
      <c r="H4557" s="8">
        <f t="shared" si="285"/>
        <v>11.49</v>
      </c>
      <c r="I4557" s="6">
        <f t="shared" si="286"/>
        <v>50</v>
      </c>
      <c r="J4557" t="str">
        <f t="shared" si="287"/>
        <v>OK</v>
      </c>
    </row>
    <row r="4558" spans="1:10" x14ac:dyDescent="0.2">
      <c r="A4558">
        <v>14557</v>
      </c>
      <c r="B4558" t="s">
        <v>5</v>
      </c>
      <c r="C4558" t="s">
        <v>6</v>
      </c>
      <c r="D4558" s="8">
        <v>3.09</v>
      </c>
      <c r="E4558">
        <v>4</v>
      </c>
      <c r="F4558" t="str">
        <f t="shared" si="284"/>
        <v>Standard</v>
      </c>
      <c r="G4558" s="3" cm="1">
        <f t="array" ref="G4558">_xlfn.XLOOKUP(C4558 &amp; F4558,
         [1]unilever_price_limits!A:A &amp; [1]unilever_price_limits!B:B,
         [1]unilever_price_limits!C:C)</f>
        <v>28</v>
      </c>
      <c r="H4558" s="8">
        <f t="shared" si="285"/>
        <v>3.9552</v>
      </c>
      <c r="I4558" s="6">
        <f t="shared" si="286"/>
        <v>28.000000000000004</v>
      </c>
      <c r="J4558" t="str">
        <f t="shared" si="287"/>
        <v>OK</v>
      </c>
    </row>
    <row r="4559" spans="1:10" x14ac:dyDescent="0.2">
      <c r="A4559">
        <v>14558</v>
      </c>
      <c r="B4559" t="s">
        <v>10</v>
      </c>
      <c r="C4559" t="s">
        <v>9</v>
      </c>
      <c r="D4559" s="8">
        <v>7.94</v>
      </c>
      <c r="E4559">
        <v>2</v>
      </c>
      <c r="F4559" t="str">
        <f t="shared" si="284"/>
        <v>Value</v>
      </c>
      <c r="G4559" s="3" cm="1">
        <f t="array" ref="G4559">_xlfn.XLOOKUP(C4559 &amp; F4559,
         [1]unilever_price_limits!A:A &amp; [1]unilever_price_limits!B:B,
         [1]unilever_price_limits!C:C)</f>
        <v>15</v>
      </c>
      <c r="H4559" s="8">
        <f t="shared" si="285"/>
        <v>9.1310000000000002</v>
      </c>
      <c r="I4559" s="6">
        <f t="shared" si="286"/>
        <v>14.999999999999991</v>
      </c>
      <c r="J4559" t="str">
        <f t="shared" si="287"/>
        <v>OK</v>
      </c>
    </row>
    <row r="4560" spans="1:10" x14ac:dyDescent="0.2">
      <c r="A4560">
        <v>14559</v>
      </c>
      <c r="B4560" t="s">
        <v>10</v>
      </c>
      <c r="C4560" t="s">
        <v>11</v>
      </c>
      <c r="D4560" s="8">
        <v>12.3</v>
      </c>
      <c r="E4560">
        <v>3</v>
      </c>
      <c r="F4560" t="str">
        <f t="shared" si="284"/>
        <v>Value</v>
      </c>
      <c r="G4560" s="3" cm="1">
        <f t="array" ref="G4560">_xlfn.XLOOKUP(C4560 &amp; F4560,
         [1]unilever_price_limits!A:A &amp; [1]unilever_price_limits!B:B,
         [1]unilever_price_limits!C:C)</f>
        <v>10</v>
      </c>
      <c r="H4560" s="8">
        <f t="shared" si="285"/>
        <v>13.530000000000001</v>
      </c>
      <c r="I4560" s="6">
        <f t="shared" si="286"/>
        <v>10.000000000000009</v>
      </c>
      <c r="J4560" t="str">
        <f t="shared" si="287"/>
        <v>OK</v>
      </c>
    </row>
    <row r="4561" spans="1:10" x14ac:dyDescent="0.2">
      <c r="A4561">
        <v>14560</v>
      </c>
      <c r="B4561" t="s">
        <v>10</v>
      </c>
      <c r="C4561" t="s">
        <v>11</v>
      </c>
      <c r="D4561" s="8">
        <v>11.76</v>
      </c>
      <c r="E4561">
        <v>4</v>
      </c>
      <c r="F4561" t="str">
        <f t="shared" si="284"/>
        <v>Standard</v>
      </c>
      <c r="G4561" s="3" cm="1">
        <f t="array" ref="G4561">_xlfn.XLOOKUP(C4561 &amp; F4561,
         [1]unilever_price_limits!A:A &amp; [1]unilever_price_limits!B:B,
         [1]unilever_price_limits!C:C)</f>
        <v>25</v>
      </c>
      <c r="H4561" s="8">
        <f t="shared" si="285"/>
        <v>14.7</v>
      </c>
      <c r="I4561" s="6">
        <f t="shared" si="286"/>
        <v>25</v>
      </c>
      <c r="J4561" t="str">
        <f t="shared" si="287"/>
        <v>OK</v>
      </c>
    </row>
    <row r="4562" spans="1:10" x14ac:dyDescent="0.2">
      <c r="A4562">
        <v>14561</v>
      </c>
      <c r="B4562" t="s">
        <v>8</v>
      </c>
      <c r="C4562" t="s">
        <v>6</v>
      </c>
      <c r="D4562" s="8">
        <v>11.93</v>
      </c>
      <c r="E4562">
        <v>10</v>
      </c>
      <c r="F4562" t="str">
        <f t="shared" si="284"/>
        <v>Premium</v>
      </c>
      <c r="G4562" s="3" cm="1">
        <f t="array" ref="G4562">_xlfn.XLOOKUP(C4562 &amp; F4562,
         [1]unilever_price_limits!A:A &amp; [1]unilever_price_limits!B:B,
         [1]unilever_price_limits!C:C)</f>
        <v>55</v>
      </c>
      <c r="H4562" s="8">
        <f t="shared" si="285"/>
        <v>18.491499999999998</v>
      </c>
      <c r="I4562" s="6">
        <f t="shared" si="286"/>
        <v>54.999999999999986</v>
      </c>
      <c r="J4562" t="str">
        <f t="shared" si="287"/>
        <v>OK</v>
      </c>
    </row>
    <row r="4563" spans="1:10" x14ac:dyDescent="0.2">
      <c r="A4563">
        <v>14562</v>
      </c>
      <c r="B4563" t="s">
        <v>10</v>
      </c>
      <c r="C4563" t="s">
        <v>11</v>
      </c>
      <c r="D4563" s="8">
        <v>10.77</v>
      </c>
      <c r="E4563">
        <v>6</v>
      </c>
      <c r="F4563" t="str">
        <f t="shared" si="284"/>
        <v>Standard</v>
      </c>
      <c r="G4563" s="3" cm="1">
        <f t="array" ref="G4563">_xlfn.XLOOKUP(C4563 &amp; F4563,
         [1]unilever_price_limits!A:A &amp; [1]unilever_price_limits!B:B,
         [1]unilever_price_limits!C:C)</f>
        <v>25</v>
      </c>
      <c r="H4563" s="8">
        <f t="shared" si="285"/>
        <v>13.462499999999999</v>
      </c>
      <c r="I4563" s="6">
        <f t="shared" si="286"/>
        <v>25</v>
      </c>
      <c r="J4563" t="str">
        <f t="shared" si="287"/>
        <v>OK</v>
      </c>
    </row>
    <row r="4564" spans="1:10" x14ac:dyDescent="0.2">
      <c r="A4564">
        <v>14563</v>
      </c>
      <c r="B4564" t="s">
        <v>8</v>
      </c>
      <c r="C4564" t="s">
        <v>11</v>
      </c>
      <c r="D4564" s="8">
        <v>4.1900000000000004</v>
      </c>
      <c r="E4564">
        <v>5</v>
      </c>
      <c r="F4564" t="str">
        <f t="shared" si="284"/>
        <v>Standard</v>
      </c>
      <c r="G4564" s="3" cm="1">
        <f t="array" ref="G4564">_xlfn.XLOOKUP(C4564 &amp; F4564,
         [1]unilever_price_limits!A:A &amp; [1]unilever_price_limits!B:B,
         [1]unilever_price_limits!C:C)</f>
        <v>25</v>
      </c>
      <c r="H4564" s="8">
        <f t="shared" si="285"/>
        <v>5.2375000000000007</v>
      </c>
      <c r="I4564" s="6">
        <f t="shared" si="286"/>
        <v>25</v>
      </c>
      <c r="J4564" t="str">
        <f t="shared" si="287"/>
        <v>OK</v>
      </c>
    </row>
    <row r="4565" spans="1:10" x14ac:dyDescent="0.2">
      <c r="A4565">
        <v>14564</v>
      </c>
      <c r="B4565" t="s">
        <v>8</v>
      </c>
      <c r="C4565" t="s">
        <v>11</v>
      </c>
      <c r="D4565" s="8">
        <v>13</v>
      </c>
      <c r="E4565">
        <v>3</v>
      </c>
      <c r="F4565" t="str">
        <f t="shared" si="284"/>
        <v>Value</v>
      </c>
      <c r="G4565" s="3" cm="1">
        <f t="array" ref="G4565">_xlfn.XLOOKUP(C4565 &amp; F4565,
         [1]unilever_price_limits!A:A &amp; [1]unilever_price_limits!B:B,
         [1]unilever_price_limits!C:C)</f>
        <v>10</v>
      </c>
      <c r="H4565" s="8">
        <f t="shared" si="285"/>
        <v>14.3</v>
      </c>
      <c r="I4565" s="6">
        <f t="shared" si="286"/>
        <v>10.000000000000009</v>
      </c>
      <c r="J4565" t="str">
        <f t="shared" si="287"/>
        <v>OK</v>
      </c>
    </row>
    <row r="4566" spans="1:10" x14ac:dyDescent="0.2">
      <c r="A4566">
        <v>14565</v>
      </c>
      <c r="B4566" t="s">
        <v>7</v>
      </c>
      <c r="C4566" t="s">
        <v>9</v>
      </c>
      <c r="D4566" s="8">
        <v>13.45</v>
      </c>
      <c r="E4566">
        <v>10</v>
      </c>
      <c r="F4566" t="str">
        <f t="shared" si="284"/>
        <v>Premium</v>
      </c>
      <c r="G4566" s="3" cm="1">
        <f t="array" ref="G4566">_xlfn.XLOOKUP(C4566 &amp; F4566,
         [1]unilever_price_limits!A:A &amp; [1]unilever_price_limits!B:B,
         [1]unilever_price_limits!C:C)</f>
        <v>60</v>
      </c>
      <c r="H4566" s="8">
        <f t="shared" si="285"/>
        <v>21.52</v>
      </c>
      <c r="I4566" s="6">
        <f t="shared" si="286"/>
        <v>60.000000000000007</v>
      </c>
      <c r="J4566" t="str">
        <f t="shared" si="287"/>
        <v>OK</v>
      </c>
    </row>
    <row r="4567" spans="1:10" x14ac:dyDescent="0.2">
      <c r="A4567">
        <v>14566</v>
      </c>
      <c r="B4567" t="s">
        <v>10</v>
      </c>
      <c r="C4567" t="s">
        <v>9</v>
      </c>
      <c r="D4567" s="8">
        <v>3.32</v>
      </c>
      <c r="E4567">
        <v>8</v>
      </c>
      <c r="F4567" t="str">
        <f t="shared" si="284"/>
        <v>Premium</v>
      </c>
      <c r="G4567" s="3" cm="1">
        <f t="array" ref="G4567">_xlfn.XLOOKUP(C4567 &amp; F4567,
         [1]unilever_price_limits!A:A &amp; [1]unilever_price_limits!B:B,
         [1]unilever_price_limits!C:C)</f>
        <v>60</v>
      </c>
      <c r="H4567" s="8">
        <f t="shared" si="285"/>
        <v>5.3120000000000003</v>
      </c>
      <c r="I4567" s="6">
        <f t="shared" si="286"/>
        <v>60.000000000000007</v>
      </c>
      <c r="J4567" t="str">
        <f t="shared" si="287"/>
        <v>OK</v>
      </c>
    </row>
    <row r="4568" spans="1:10" x14ac:dyDescent="0.2">
      <c r="A4568">
        <v>14567</v>
      </c>
      <c r="B4568" t="s">
        <v>10</v>
      </c>
      <c r="C4568" t="s">
        <v>6</v>
      </c>
      <c r="D4568" s="8">
        <v>2.39</v>
      </c>
      <c r="E4568">
        <v>8</v>
      </c>
      <c r="F4568" t="str">
        <f t="shared" si="284"/>
        <v>Premium</v>
      </c>
      <c r="G4568" s="3" cm="1">
        <f t="array" ref="G4568">_xlfn.XLOOKUP(C4568 &amp; F4568,
         [1]unilever_price_limits!A:A &amp; [1]unilever_price_limits!B:B,
         [1]unilever_price_limits!C:C)</f>
        <v>55</v>
      </c>
      <c r="H4568" s="8">
        <f t="shared" si="285"/>
        <v>3.7045000000000003</v>
      </c>
      <c r="I4568" s="6">
        <f t="shared" si="286"/>
        <v>55.000000000000007</v>
      </c>
      <c r="J4568" t="str">
        <f t="shared" si="287"/>
        <v>OK</v>
      </c>
    </row>
    <row r="4569" spans="1:10" x14ac:dyDescent="0.2">
      <c r="A4569">
        <v>14568</v>
      </c>
      <c r="B4569" t="s">
        <v>5</v>
      </c>
      <c r="C4569" t="s">
        <v>9</v>
      </c>
      <c r="D4569" s="8">
        <v>14.65</v>
      </c>
      <c r="E4569">
        <v>7</v>
      </c>
      <c r="F4569" t="str">
        <f t="shared" si="284"/>
        <v>Standard</v>
      </c>
      <c r="G4569" s="3" cm="1">
        <f t="array" ref="G4569">_xlfn.XLOOKUP(C4569 &amp; F4569,
         [1]unilever_price_limits!A:A &amp; [1]unilever_price_limits!B:B,
         [1]unilever_price_limits!C:C)</f>
        <v>30</v>
      </c>
      <c r="H4569" s="8">
        <f t="shared" si="285"/>
        <v>19.045000000000002</v>
      </c>
      <c r="I4569" s="6">
        <f t="shared" si="286"/>
        <v>30.000000000000004</v>
      </c>
      <c r="J4569" t="str">
        <f t="shared" si="287"/>
        <v>OK</v>
      </c>
    </row>
    <row r="4570" spans="1:10" x14ac:dyDescent="0.2">
      <c r="A4570">
        <v>14569</v>
      </c>
      <c r="B4570" t="s">
        <v>7</v>
      </c>
      <c r="C4570" t="s">
        <v>6</v>
      </c>
      <c r="D4570" s="8">
        <v>13.09</v>
      </c>
      <c r="E4570">
        <v>3</v>
      </c>
      <c r="F4570" t="str">
        <f t="shared" si="284"/>
        <v>Value</v>
      </c>
      <c r="G4570" s="3" cm="1">
        <f t="array" ref="G4570">_xlfn.XLOOKUP(C4570 &amp; F4570,
         [1]unilever_price_limits!A:A &amp; [1]unilever_price_limits!B:B,
         [1]unilever_price_limits!C:C)</f>
        <v>12</v>
      </c>
      <c r="H4570" s="8">
        <f t="shared" si="285"/>
        <v>14.660800000000002</v>
      </c>
      <c r="I4570" s="6">
        <f t="shared" si="286"/>
        <v>12.000000000000011</v>
      </c>
      <c r="J4570" t="str">
        <f t="shared" si="287"/>
        <v>OK</v>
      </c>
    </row>
    <row r="4571" spans="1:10" x14ac:dyDescent="0.2">
      <c r="A4571">
        <v>14570</v>
      </c>
      <c r="B4571" t="s">
        <v>5</v>
      </c>
      <c r="C4571" t="s">
        <v>9</v>
      </c>
      <c r="D4571" s="8">
        <v>13.45</v>
      </c>
      <c r="E4571">
        <v>1</v>
      </c>
      <c r="F4571" t="str">
        <f t="shared" si="284"/>
        <v>Value</v>
      </c>
      <c r="G4571" s="3" cm="1">
        <f t="array" ref="G4571">_xlfn.XLOOKUP(C4571 &amp; F4571,
         [1]unilever_price_limits!A:A &amp; [1]unilever_price_limits!B:B,
         [1]unilever_price_limits!C:C)</f>
        <v>15</v>
      </c>
      <c r="H4571" s="8">
        <f t="shared" si="285"/>
        <v>15.467499999999998</v>
      </c>
      <c r="I4571" s="6">
        <f t="shared" si="286"/>
        <v>14.999999999999991</v>
      </c>
      <c r="J4571" t="str">
        <f t="shared" si="287"/>
        <v>OK</v>
      </c>
    </row>
    <row r="4572" spans="1:10" x14ac:dyDescent="0.2">
      <c r="A4572">
        <v>14571</v>
      </c>
      <c r="B4572" t="s">
        <v>7</v>
      </c>
      <c r="C4572" t="s">
        <v>6</v>
      </c>
      <c r="D4572" s="8">
        <v>13.35</v>
      </c>
      <c r="E4572">
        <v>5</v>
      </c>
      <c r="F4572" t="str">
        <f t="shared" si="284"/>
        <v>Standard</v>
      </c>
      <c r="G4572" s="3" cm="1">
        <f t="array" ref="G4572">_xlfn.XLOOKUP(C4572 &amp; F4572,
         [1]unilever_price_limits!A:A &amp; [1]unilever_price_limits!B:B,
         [1]unilever_price_limits!C:C)</f>
        <v>28</v>
      </c>
      <c r="H4572" s="8">
        <f t="shared" si="285"/>
        <v>17.088000000000001</v>
      </c>
      <c r="I4572" s="6">
        <f t="shared" si="286"/>
        <v>28.000000000000004</v>
      </c>
      <c r="J4572" t="str">
        <f t="shared" si="287"/>
        <v>OK</v>
      </c>
    </row>
    <row r="4573" spans="1:10" x14ac:dyDescent="0.2">
      <c r="A4573">
        <v>14572</v>
      </c>
      <c r="B4573" t="s">
        <v>10</v>
      </c>
      <c r="C4573" t="s">
        <v>9</v>
      </c>
      <c r="D4573" s="8">
        <v>8.35</v>
      </c>
      <c r="E4573">
        <v>1</v>
      </c>
      <c r="F4573" t="str">
        <f t="shared" si="284"/>
        <v>Value</v>
      </c>
      <c r="G4573" s="3" cm="1">
        <f t="array" ref="G4573">_xlfn.XLOOKUP(C4573 &amp; F4573,
         [1]unilever_price_limits!A:A &amp; [1]unilever_price_limits!B:B,
         [1]unilever_price_limits!C:C)</f>
        <v>15</v>
      </c>
      <c r="H4573" s="8">
        <f t="shared" si="285"/>
        <v>9.6024999999999991</v>
      </c>
      <c r="I4573" s="6">
        <f t="shared" si="286"/>
        <v>14.999999999999991</v>
      </c>
      <c r="J4573" t="str">
        <f t="shared" si="287"/>
        <v>OK</v>
      </c>
    </row>
    <row r="4574" spans="1:10" x14ac:dyDescent="0.2">
      <c r="A4574">
        <v>14573</v>
      </c>
      <c r="B4574" t="s">
        <v>8</v>
      </c>
      <c r="C4574" t="s">
        <v>9</v>
      </c>
      <c r="D4574" s="8">
        <v>9.8699999999999992</v>
      </c>
      <c r="E4574">
        <v>6</v>
      </c>
      <c r="F4574" t="str">
        <f t="shared" si="284"/>
        <v>Standard</v>
      </c>
      <c r="G4574" s="3" cm="1">
        <f t="array" ref="G4574">_xlfn.XLOOKUP(C4574 &amp; F4574,
         [1]unilever_price_limits!A:A &amp; [1]unilever_price_limits!B:B,
         [1]unilever_price_limits!C:C)</f>
        <v>30</v>
      </c>
      <c r="H4574" s="8">
        <f t="shared" si="285"/>
        <v>12.831</v>
      </c>
      <c r="I4574" s="6">
        <f t="shared" si="286"/>
        <v>30.000000000000004</v>
      </c>
      <c r="J4574" t="str">
        <f t="shared" si="287"/>
        <v>OK</v>
      </c>
    </row>
    <row r="4575" spans="1:10" x14ac:dyDescent="0.2">
      <c r="A4575">
        <v>14574</v>
      </c>
      <c r="B4575" t="s">
        <v>8</v>
      </c>
      <c r="C4575" t="s">
        <v>6</v>
      </c>
      <c r="D4575" s="8">
        <v>8.41</v>
      </c>
      <c r="E4575">
        <v>7</v>
      </c>
      <c r="F4575" t="str">
        <f t="shared" si="284"/>
        <v>Standard</v>
      </c>
      <c r="G4575" s="3" cm="1">
        <f t="array" ref="G4575">_xlfn.XLOOKUP(C4575 &amp; F4575,
         [1]unilever_price_limits!A:A &amp; [1]unilever_price_limits!B:B,
         [1]unilever_price_limits!C:C)</f>
        <v>28</v>
      </c>
      <c r="H4575" s="8">
        <f t="shared" si="285"/>
        <v>10.764800000000001</v>
      </c>
      <c r="I4575" s="6">
        <f t="shared" si="286"/>
        <v>28.000000000000004</v>
      </c>
      <c r="J4575" t="str">
        <f t="shared" si="287"/>
        <v>OK</v>
      </c>
    </row>
    <row r="4576" spans="1:10" x14ac:dyDescent="0.2">
      <c r="A4576">
        <v>14575</v>
      </c>
      <c r="B4576" t="s">
        <v>8</v>
      </c>
      <c r="C4576" t="s">
        <v>11</v>
      </c>
      <c r="D4576" s="8">
        <v>1.24</v>
      </c>
      <c r="E4576">
        <v>5</v>
      </c>
      <c r="F4576" t="str">
        <f t="shared" si="284"/>
        <v>Standard</v>
      </c>
      <c r="G4576" s="3" cm="1">
        <f t="array" ref="G4576">_xlfn.XLOOKUP(C4576 &amp; F4576,
         [1]unilever_price_limits!A:A &amp; [1]unilever_price_limits!B:B,
         [1]unilever_price_limits!C:C)</f>
        <v>25</v>
      </c>
      <c r="H4576" s="8">
        <f t="shared" si="285"/>
        <v>1.55</v>
      </c>
      <c r="I4576" s="6">
        <f t="shared" si="286"/>
        <v>25</v>
      </c>
      <c r="J4576" t="str">
        <f t="shared" si="287"/>
        <v>OK</v>
      </c>
    </row>
    <row r="4577" spans="1:10" x14ac:dyDescent="0.2">
      <c r="A4577">
        <v>14576</v>
      </c>
      <c r="B4577" t="s">
        <v>8</v>
      </c>
      <c r="C4577" t="s">
        <v>11</v>
      </c>
      <c r="D4577" s="8">
        <v>11.31</v>
      </c>
      <c r="E4577">
        <v>4</v>
      </c>
      <c r="F4577" t="str">
        <f t="shared" si="284"/>
        <v>Standard</v>
      </c>
      <c r="G4577" s="3" cm="1">
        <f t="array" ref="G4577">_xlfn.XLOOKUP(C4577 &amp; F4577,
         [1]unilever_price_limits!A:A &amp; [1]unilever_price_limits!B:B,
         [1]unilever_price_limits!C:C)</f>
        <v>25</v>
      </c>
      <c r="H4577" s="8">
        <f t="shared" si="285"/>
        <v>14.137500000000001</v>
      </c>
      <c r="I4577" s="6">
        <f t="shared" si="286"/>
        <v>25</v>
      </c>
      <c r="J4577" t="str">
        <f t="shared" si="287"/>
        <v>OK</v>
      </c>
    </row>
    <row r="4578" spans="1:10" x14ac:dyDescent="0.2">
      <c r="A4578">
        <v>14577</v>
      </c>
      <c r="B4578" t="s">
        <v>8</v>
      </c>
      <c r="C4578" t="s">
        <v>9</v>
      </c>
      <c r="D4578" s="8">
        <v>7.83</v>
      </c>
      <c r="E4578">
        <v>2</v>
      </c>
      <c r="F4578" t="str">
        <f t="shared" si="284"/>
        <v>Value</v>
      </c>
      <c r="G4578" s="3" cm="1">
        <f t="array" ref="G4578">_xlfn.XLOOKUP(C4578 &amp; F4578,
         [1]unilever_price_limits!A:A &amp; [1]unilever_price_limits!B:B,
         [1]unilever_price_limits!C:C)</f>
        <v>15</v>
      </c>
      <c r="H4578" s="8">
        <f t="shared" si="285"/>
        <v>9.0045000000000002</v>
      </c>
      <c r="I4578" s="6">
        <f t="shared" si="286"/>
        <v>14.999999999999991</v>
      </c>
      <c r="J4578" t="str">
        <f t="shared" si="287"/>
        <v>OK</v>
      </c>
    </row>
    <row r="4579" spans="1:10" x14ac:dyDescent="0.2">
      <c r="A4579">
        <v>14578</v>
      </c>
      <c r="B4579" t="s">
        <v>5</v>
      </c>
      <c r="C4579" t="s">
        <v>6</v>
      </c>
      <c r="D4579" s="8">
        <v>9.89</v>
      </c>
      <c r="E4579">
        <v>5</v>
      </c>
      <c r="F4579" t="str">
        <f t="shared" si="284"/>
        <v>Standard</v>
      </c>
      <c r="G4579" s="3" cm="1">
        <f t="array" ref="G4579">_xlfn.XLOOKUP(C4579 &amp; F4579,
         [1]unilever_price_limits!A:A &amp; [1]unilever_price_limits!B:B,
         [1]unilever_price_limits!C:C)</f>
        <v>28</v>
      </c>
      <c r="H4579" s="8">
        <f t="shared" si="285"/>
        <v>12.6592</v>
      </c>
      <c r="I4579" s="6">
        <f t="shared" si="286"/>
        <v>28.000000000000004</v>
      </c>
      <c r="J4579" t="str">
        <f t="shared" si="287"/>
        <v>OK</v>
      </c>
    </row>
    <row r="4580" spans="1:10" x14ac:dyDescent="0.2">
      <c r="A4580">
        <v>14579</v>
      </c>
      <c r="B4580" t="s">
        <v>7</v>
      </c>
      <c r="C4580" t="s">
        <v>11</v>
      </c>
      <c r="D4580" s="8">
        <v>7.79</v>
      </c>
      <c r="E4580">
        <v>9</v>
      </c>
      <c r="F4580" t="str">
        <f t="shared" si="284"/>
        <v>Premium</v>
      </c>
      <c r="G4580" s="3" cm="1">
        <f t="array" ref="G4580">_xlfn.XLOOKUP(C4580 &amp; F4580,
         [1]unilever_price_limits!A:A &amp; [1]unilever_price_limits!B:B,
         [1]unilever_price_limits!C:C)</f>
        <v>50</v>
      </c>
      <c r="H4580" s="8">
        <f t="shared" si="285"/>
        <v>11.685</v>
      </c>
      <c r="I4580" s="6">
        <f t="shared" si="286"/>
        <v>50</v>
      </c>
      <c r="J4580" t="str">
        <f t="shared" si="287"/>
        <v>OK</v>
      </c>
    </row>
    <row r="4581" spans="1:10" x14ac:dyDescent="0.2">
      <c r="A4581">
        <v>14580</v>
      </c>
      <c r="B4581" t="s">
        <v>10</v>
      </c>
      <c r="C4581" t="s">
        <v>6</v>
      </c>
      <c r="D4581" s="8">
        <v>7.63</v>
      </c>
      <c r="E4581">
        <v>4</v>
      </c>
      <c r="F4581" t="str">
        <f t="shared" si="284"/>
        <v>Standard</v>
      </c>
      <c r="G4581" s="3" cm="1">
        <f t="array" ref="G4581">_xlfn.XLOOKUP(C4581 &amp; F4581,
         [1]unilever_price_limits!A:A &amp; [1]unilever_price_limits!B:B,
         [1]unilever_price_limits!C:C)</f>
        <v>28</v>
      </c>
      <c r="H4581" s="8">
        <f t="shared" si="285"/>
        <v>9.7664000000000009</v>
      </c>
      <c r="I4581" s="6">
        <f t="shared" si="286"/>
        <v>28.000000000000004</v>
      </c>
      <c r="J4581" t="str">
        <f t="shared" si="287"/>
        <v>OK</v>
      </c>
    </row>
    <row r="4582" spans="1:10" x14ac:dyDescent="0.2">
      <c r="A4582">
        <v>14581</v>
      </c>
      <c r="B4582" t="s">
        <v>5</v>
      </c>
      <c r="C4582" t="s">
        <v>11</v>
      </c>
      <c r="D4582" s="8">
        <v>2.99</v>
      </c>
      <c r="E4582">
        <v>2</v>
      </c>
      <c r="F4582" t="str">
        <f t="shared" si="284"/>
        <v>Value</v>
      </c>
      <c r="G4582" s="3" cm="1">
        <f t="array" ref="G4582">_xlfn.XLOOKUP(C4582 &amp; F4582,
         [1]unilever_price_limits!A:A &amp; [1]unilever_price_limits!B:B,
         [1]unilever_price_limits!C:C)</f>
        <v>10</v>
      </c>
      <c r="H4582" s="8">
        <f t="shared" si="285"/>
        <v>3.2890000000000006</v>
      </c>
      <c r="I4582" s="6">
        <f t="shared" si="286"/>
        <v>10.000000000000009</v>
      </c>
      <c r="J4582" t="str">
        <f t="shared" si="287"/>
        <v>OK</v>
      </c>
    </row>
    <row r="4583" spans="1:10" x14ac:dyDescent="0.2">
      <c r="A4583">
        <v>14582</v>
      </c>
      <c r="B4583" t="s">
        <v>7</v>
      </c>
      <c r="C4583" t="s">
        <v>6</v>
      </c>
      <c r="D4583" s="8">
        <v>4.54</v>
      </c>
      <c r="E4583">
        <v>6</v>
      </c>
      <c r="F4583" t="str">
        <f t="shared" si="284"/>
        <v>Standard</v>
      </c>
      <c r="G4583" s="3" cm="1">
        <f t="array" ref="G4583">_xlfn.XLOOKUP(C4583 &amp; F4583,
         [1]unilever_price_limits!A:A &amp; [1]unilever_price_limits!B:B,
         [1]unilever_price_limits!C:C)</f>
        <v>28</v>
      </c>
      <c r="H4583" s="8">
        <f t="shared" si="285"/>
        <v>5.8112000000000004</v>
      </c>
      <c r="I4583" s="6">
        <f t="shared" si="286"/>
        <v>28.000000000000004</v>
      </c>
      <c r="J4583" t="str">
        <f t="shared" si="287"/>
        <v>OK</v>
      </c>
    </row>
    <row r="4584" spans="1:10" x14ac:dyDescent="0.2">
      <c r="A4584">
        <v>14583</v>
      </c>
      <c r="B4584" t="s">
        <v>8</v>
      </c>
      <c r="C4584" t="s">
        <v>9</v>
      </c>
      <c r="D4584" s="8">
        <v>2.8</v>
      </c>
      <c r="E4584">
        <v>8</v>
      </c>
      <c r="F4584" t="str">
        <f t="shared" si="284"/>
        <v>Premium</v>
      </c>
      <c r="G4584" s="3" cm="1">
        <f t="array" ref="G4584">_xlfn.XLOOKUP(C4584 &amp; F4584,
         [1]unilever_price_limits!A:A &amp; [1]unilever_price_limits!B:B,
         [1]unilever_price_limits!C:C)</f>
        <v>60</v>
      </c>
      <c r="H4584" s="8">
        <f t="shared" si="285"/>
        <v>4.4799999999999995</v>
      </c>
      <c r="I4584" s="6">
        <f t="shared" si="286"/>
        <v>59.999999999999986</v>
      </c>
      <c r="J4584" t="str">
        <f t="shared" si="287"/>
        <v>OK</v>
      </c>
    </row>
    <row r="4585" spans="1:10" x14ac:dyDescent="0.2">
      <c r="A4585">
        <v>14584</v>
      </c>
      <c r="B4585" t="s">
        <v>7</v>
      </c>
      <c r="C4585" t="s">
        <v>6</v>
      </c>
      <c r="D4585" s="8">
        <v>3.34</v>
      </c>
      <c r="E4585">
        <v>2</v>
      </c>
      <c r="F4585" t="str">
        <f t="shared" si="284"/>
        <v>Value</v>
      </c>
      <c r="G4585" s="3" cm="1">
        <f t="array" ref="G4585">_xlfn.XLOOKUP(C4585 &amp; F4585,
         [1]unilever_price_limits!A:A &amp; [1]unilever_price_limits!B:B,
         [1]unilever_price_limits!C:C)</f>
        <v>12</v>
      </c>
      <c r="H4585" s="8">
        <f t="shared" si="285"/>
        <v>3.7408000000000001</v>
      </c>
      <c r="I4585" s="6">
        <f t="shared" si="286"/>
        <v>12.000000000000011</v>
      </c>
      <c r="J4585" t="str">
        <f t="shared" si="287"/>
        <v>OK</v>
      </c>
    </row>
    <row r="4586" spans="1:10" x14ac:dyDescent="0.2">
      <c r="A4586">
        <v>14585</v>
      </c>
      <c r="B4586" t="s">
        <v>7</v>
      </c>
      <c r="C4586" t="s">
        <v>11</v>
      </c>
      <c r="D4586" s="8">
        <v>14.61</v>
      </c>
      <c r="E4586">
        <v>9</v>
      </c>
      <c r="F4586" t="str">
        <f t="shared" si="284"/>
        <v>Premium</v>
      </c>
      <c r="G4586" s="3" cm="1">
        <f t="array" ref="G4586">_xlfn.XLOOKUP(C4586 &amp; F4586,
         [1]unilever_price_limits!A:A &amp; [1]unilever_price_limits!B:B,
         [1]unilever_price_limits!C:C)</f>
        <v>50</v>
      </c>
      <c r="H4586" s="8">
        <f t="shared" si="285"/>
        <v>21.914999999999999</v>
      </c>
      <c r="I4586" s="6">
        <f t="shared" si="286"/>
        <v>50</v>
      </c>
      <c r="J4586" t="str">
        <f t="shared" si="287"/>
        <v>OK</v>
      </c>
    </row>
    <row r="4587" spans="1:10" x14ac:dyDescent="0.2">
      <c r="A4587">
        <v>14586</v>
      </c>
      <c r="B4587" t="s">
        <v>8</v>
      </c>
      <c r="C4587" t="s">
        <v>9</v>
      </c>
      <c r="D4587" s="8">
        <v>2.72</v>
      </c>
      <c r="E4587">
        <v>7</v>
      </c>
      <c r="F4587" t="str">
        <f t="shared" si="284"/>
        <v>Standard</v>
      </c>
      <c r="G4587" s="3" cm="1">
        <f t="array" ref="G4587">_xlfn.XLOOKUP(C4587 &amp; F4587,
         [1]unilever_price_limits!A:A &amp; [1]unilever_price_limits!B:B,
         [1]unilever_price_limits!C:C)</f>
        <v>30</v>
      </c>
      <c r="H4587" s="8">
        <f t="shared" si="285"/>
        <v>3.5360000000000005</v>
      </c>
      <c r="I4587" s="6">
        <f t="shared" si="286"/>
        <v>30.000000000000004</v>
      </c>
      <c r="J4587" t="str">
        <f t="shared" si="287"/>
        <v>OK</v>
      </c>
    </row>
    <row r="4588" spans="1:10" x14ac:dyDescent="0.2">
      <c r="A4588">
        <v>14587</v>
      </c>
      <c r="B4588" t="s">
        <v>8</v>
      </c>
      <c r="C4588" t="s">
        <v>6</v>
      </c>
      <c r="D4588" s="8">
        <v>4.4000000000000004</v>
      </c>
      <c r="E4588">
        <v>2</v>
      </c>
      <c r="F4588" t="str">
        <f t="shared" si="284"/>
        <v>Value</v>
      </c>
      <c r="G4588" s="3" cm="1">
        <f t="array" ref="G4588">_xlfn.XLOOKUP(C4588 &amp; F4588,
         [1]unilever_price_limits!A:A &amp; [1]unilever_price_limits!B:B,
         [1]unilever_price_limits!C:C)</f>
        <v>12</v>
      </c>
      <c r="H4588" s="8">
        <f t="shared" si="285"/>
        <v>4.9280000000000008</v>
      </c>
      <c r="I4588" s="6">
        <f t="shared" si="286"/>
        <v>12.000000000000011</v>
      </c>
      <c r="J4588" t="str">
        <f t="shared" si="287"/>
        <v>OK</v>
      </c>
    </row>
    <row r="4589" spans="1:10" x14ac:dyDescent="0.2">
      <c r="A4589">
        <v>14588</v>
      </c>
      <c r="B4589" t="s">
        <v>8</v>
      </c>
      <c r="C4589" t="s">
        <v>11</v>
      </c>
      <c r="D4589" s="8">
        <v>9.06</v>
      </c>
      <c r="E4589">
        <v>5</v>
      </c>
      <c r="F4589" t="str">
        <f t="shared" si="284"/>
        <v>Standard</v>
      </c>
      <c r="G4589" s="3" cm="1">
        <f t="array" ref="G4589">_xlfn.XLOOKUP(C4589 &amp; F4589,
         [1]unilever_price_limits!A:A &amp; [1]unilever_price_limits!B:B,
         [1]unilever_price_limits!C:C)</f>
        <v>25</v>
      </c>
      <c r="H4589" s="8">
        <f t="shared" si="285"/>
        <v>11.325000000000001</v>
      </c>
      <c r="I4589" s="6">
        <f t="shared" si="286"/>
        <v>25</v>
      </c>
      <c r="J4589" t="str">
        <f t="shared" si="287"/>
        <v>OK</v>
      </c>
    </row>
    <row r="4590" spans="1:10" x14ac:dyDescent="0.2">
      <c r="A4590">
        <v>14589</v>
      </c>
      <c r="B4590" t="s">
        <v>10</v>
      </c>
      <c r="C4590" t="s">
        <v>9</v>
      </c>
      <c r="D4590" s="8">
        <v>9.35</v>
      </c>
      <c r="E4590">
        <v>5</v>
      </c>
      <c r="F4590" t="str">
        <f t="shared" si="284"/>
        <v>Standard</v>
      </c>
      <c r="G4590" s="3" cm="1">
        <f t="array" ref="G4590">_xlfn.XLOOKUP(C4590 &amp; F4590,
         [1]unilever_price_limits!A:A &amp; [1]unilever_price_limits!B:B,
         [1]unilever_price_limits!C:C)</f>
        <v>30</v>
      </c>
      <c r="H4590" s="8">
        <f t="shared" si="285"/>
        <v>12.154999999999999</v>
      </c>
      <c r="I4590" s="6">
        <f t="shared" si="286"/>
        <v>30.000000000000004</v>
      </c>
      <c r="J4590" t="str">
        <f t="shared" si="287"/>
        <v>OK</v>
      </c>
    </row>
    <row r="4591" spans="1:10" x14ac:dyDescent="0.2">
      <c r="A4591">
        <v>14590</v>
      </c>
      <c r="B4591" t="s">
        <v>8</v>
      </c>
      <c r="C4591" t="s">
        <v>6</v>
      </c>
      <c r="D4591" s="8">
        <v>2.73</v>
      </c>
      <c r="E4591">
        <v>7</v>
      </c>
      <c r="F4591" t="str">
        <f t="shared" si="284"/>
        <v>Standard</v>
      </c>
      <c r="G4591" s="3" cm="1">
        <f t="array" ref="G4591">_xlfn.XLOOKUP(C4591 &amp; F4591,
         [1]unilever_price_limits!A:A &amp; [1]unilever_price_limits!B:B,
         [1]unilever_price_limits!C:C)</f>
        <v>28</v>
      </c>
      <c r="H4591" s="8">
        <f t="shared" si="285"/>
        <v>3.4944000000000002</v>
      </c>
      <c r="I4591" s="6">
        <f t="shared" si="286"/>
        <v>28.000000000000004</v>
      </c>
      <c r="J4591" t="str">
        <f t="shared" si="287"/>
        <v>OK</v>
      </c>
    </row>
    <row r="4592" spans="1:10" x14ac:dyDescent="0.2">
      <c r="A4592">
        <v>14591</v>
      </c>
      <c r="B4592" t="s">
        <v>10</v>
      </c>
      <c r="C4592" t="s">
        <v>11</v>
      </c>
      <c r="D4592" s="8">
        <v>12.01</v>
      </c>
      <c r="E4592">
        <v>5</v>
      </c>
      <c r="F4592" t="str">
        <f t="shared" si="284"/>
        <v>Standard</v>
      </c>
      <c r="G4592" s="3" cm="1">
        <f t="array" ref="G4592">_xlfn.XLOOKUP(C4592 &amp; F4592,
         [1]unilever_price_limits!A:A &amp; [1]unilever_price_limits!B:B,
         [1]unilever_price_limits!C:C)</f>
        <v>25</v>
      </c>
      <c r="H4592" s="8">
        <f t="shared" si="285"/>
        <v>15.012499999999999</v>
      </c>
      <c r="I4592" s="6">
        <f t="shared" si="286"/>
        <v>25</v>
      </c>
      <c r="J4592" t="str">
        <f t="shared" si="287"/>
        <v>OK</v>
      </c>
    </row>
    <row r="4593" spans="1:10" x14ac:dyDescent="0.2">
      <c r="A4593">
        <v>14592</v>
      </c>
      <c r="B4593" t="s">
        <v>8</v>
      </c>
      <c r="C4593" t="s">
        <v>6</v>
      </c>
      <c r="D4593" s="8">
        <v>11.89</v>
      </c>
      <c r="E4593">
        <v>6</v>
      </c>
      <c r="F4593" t="str">
        <f t="shared" si="284"/>
        <v>Standard</v>
      </c>
      <c r="G4593" s="3" cm="1">
        <f t="array" ref="G4593">_xlfn.XLOOKUP(C4593 &amp; F4593,
         [1]unilever_price_limits!A:A &amp; [1]unilever_price_limits!B:B,
         [1]unilever_price_limits!C:C)</f>
        <v>28</v>
      </c>
      <c r="H4593" s="8">
        <f t="shared" si="285"/>
        <v>15.219200000000001</v>
      </c>
      <c r="I4593" s="6">
        <f t="shared" si="286"/>
        <v>28.000000000000004</v>
      </c>
      <c r="J4593" t="str">
        <f t="shared" si="287"/>
        <v>OK</v>
      </c>
    </row>
    <row r="4594" spans="1:10" x14ac:dyDescent="0.2">
      <c r="A4594">
        <v>14593</v>
      </c>
      <c r="B4594" t="s">
        <v>10</v>
      </c>
      <c r="C4594" t="s">
        <v>6</v>
      </c>
      <c r="D4594" s="8">
        <v>3.94</v>
      </c>
      <c r="E4594">
        <v>9</v>
      </c>
      <c r="F4594" t="str">
        <f t="shared" si="284"/>
        <v>Premium</v>
      </c>
      <c r="G4594" s="3" cm="1">
        <f t="array" ref="G4594">_xlfn.XLOOKUP(C4594 &amp; F4594,
         [1]unilever_price_limits!A:A &amp; [1]unilever_price_limits!B:B,
         [1]unilever_price_limits!C:C)</f>
        <v>55</v>
      </c>
      <c r="H4594" s="8">
        <f t="shared" si="285"/>
        <v>6.1070000000000002</v>
      </c>
      <c r="I4594" s="6">
        <f t="shared" si="286"/>
        <v>55.000000000000007</v>
      </c>
      <c r="J4594" t="str">
        <f t="shared" si="287"/>
        <v>OK</v>
      </c>
    </row>
    <row r="4595" spans="1:10" x14ac:dyDescent="0.2">
      <c r="A4595">
        <v>14594</v>
      </c>
      <c r="B4595" t="s">
        <v>7</v>
      </c>
      <c r="C4595" t="s">
        <v>9</v>
      </c>
      <c r="D4595" s="8">
        <v>4.6900000000000004</v>
      </c>
      <c r="E4595">
        <v>3</v>
      </c>
      <c r="F4595" t="str">
        <f t="shared" si="284"/>
        <v>Value</v>
      </c>
      <c r="G4595" s="3" cm="1">
        <f t="array" ref="G4595">_xlfn.XLOOKUP(C4595 &amp; F4595,
         [1]unilever_price_limits!A:A &amp; [1]unilever_price_limits!B:B,
         [1]unilever_price_limits!C:C)</f>
        <v>15</v>
      </c>
      <c r="H4595" s="8">
        <f t="shared" si="285"/>
        <v>5.3935000000000004</v>
      </c>
      <c r="I4595" s="6">
        <f t="shared" si="286"/>
        <v>14.999999999999991</v>
      </c>
      <c r="J4595" t="str">
        <f t="shared" si="287"/>
        <v>OK</v>
      </c>
    </row>
    <row r="4596" spans="1:10" x14ac:dyDescent="0.2">
      <c r="A4596">
        <v>14595</v>
      </c>
      <c r="B4596" t="s">
        <v>5</v>
      </c>
      <c r="C4596" t="s">
        <v>9</v>
      </c>
      <c r="D4596" s="8">
        <v>14.1</v>
      </c>
      <c r="E4596">
        <v>3</v>
      </c>
      <c r="F4596" t="str">
        <f t="shared" si="284"/>
        <v>Value</v>
      </c>
      <c r="G4596" s="3" cm="1">
        <f t="array" ref="G4596">_xlfn.XLOOKUP(C4596 &amp; F4596,
         [1]unilever_price_limits!A:A &amp; [1]unilever_price_limits!B:B,
         [1]unilever_price_limits!C:C)</f>
        <v>15</v>
      </c>
      <c r="H4596" s="8">
        <f t="shared" si="285"/>
        <v>16.215</v>
      </c>
      <c r="I4596" s="6">
        <f t="shared" si="286"/>
        <v>14.999999999999991</v>
      </c>
      <c r="J4596" t="str">
        <f t="shared" si="287"/>
        <v>OK</v>
      </c>
    </row>
    <row r="4597" spans="1:10" x14ac:dyDescent="0.2">
      <c r="A4597">
        <v>14596</v>
      </c>
      <c r="B4597" t="s">
        <v>7</v>
      </c>
      <c r="C4597" t="s">
        <v>11</v>
      </c>
      <c r="D4597" s="8">
        <v>12.47</v>
      </c>
      <c r="E4597">
        <v>8</v>
      </c>
      <c r="F4597" t="str">
        <f t="shared" si="284"/>
        <v>Premium</v>
      </c>
      <c r="G4597" s="3" cm="1">
        <f t="array" ref="G4597">_xlfn.XLOOKUP(C4597 &amp; F4597,
         [1]unilever_price_limits!A:A &amp; [1]unilever_price_limits!B:B,
         [1]unilever_price_limits!C:C)</f>
        <v>50</v>
      </c>
      <c r="H4597" s="8">
        <f t="shared" si="285"/>
        <v>18.705000000000002</v>
      </c>
      <c r="I4597" s="6">
        <f t="shared" si="286"/>
        <v>50</v>
      </c>
      <c r="J4597" t="str">
        <f t="shared" si="287"/>
        <v>OK</v>
      </c>
    </row>
    <row r="4598" spans="1:10" x14ac:dyDescent="0.2">
      <c r="A4598">
        <v>14597</v>
      </c>
      <c r="B4598" t="s">
        <v>7</v>
      </c>
      <c r="C4598" t="s">
        <v>9</v>
      </c>
      <c r="D4598" s="8">
        <v>10.62</v>
      </c>
      <c r="E4598">
        <v>10</v>
      </c>
      <c r="F4598" t="str">
        <f t="shared" si="284"/>
        <v>Premium</v>
      </c>
      <c r="G4598" s="3" cm="1">
        <f t="array" ref="G4598">_xlfn.XLOOKUP(C4598 &amp; F4598,
         [1]unilever_price_limits!A:A &amp; [1]unilever_price_limits!B:B,
         [1]unilever_price_limits!C:C)</f>
        <v>60</v>
      </c>
      <c r="H4598" s="8">
        <f t="shared" si="285"/>
        <v>16.992000000000001</v>
      </c>
      <c r="I4598" s="6">
        <f t="shared" si="286"/>
        <v>60.000000000000028</v>
      </c>
      <c r="J4598" t="str">
        <f t="shared" si="287"/>
        <v>OK</v>
      </c>
    </row>
    <row r="4599" spans="1:10" x14ac:dyDescent="0.2">
      <c r="A4599">
        <v>14598</v>
      </c>
      <c r="B4599" t="s">
        <v>8</v>
      </c>
      <c r="C4599" t="s">
        <v>11</v>
      </c>
      <c r="D4599" s="8">
        <v>1.69</v>
      </c>
      <c r="E4599">
        <v>6</v>
      </c>
      <c r="F4599" t="str">
        <f t="shared" si="284"/>
        <v>Standard</v>
      </c>
      <c r="G4599" s="3" cm="1">
        <f t="array" ref="G4599">_xlfn.XLOOKUP(C4599 &amp; F4599,
         [1]unilever_price_limits!A:A &amp; [1]unilever_price_limits!B:B,
         [1]unilever_price_limits!C:C)</f>
        <v>25</v>
      </c>
      <c r="H4599" s="8">
        <f t="shared" si="285"/>
        <v>2.1124999999999998</v>
      </c>
      <c r="I4599" s="6">
        <f t="shared" si="286"/>
        <v>25</v>
      </c>
      <c r="J4599" t="str">
        <f t="shared" si="287"/>
        <v>OK</v>
      </c>
    </row>
    <row r="4600" spans="1:10" x14ac:dyDescent="0.2">
      <c r="A4600">
        <v>14599</v>
      </c>
      <c r="B4600" t="s">
        <v>10</v>
      </c>
      <c r="C4600" t="s">
        <v>6</v>
      </c>
      <c r="D4600" s="8">
        <v>6.56</v>
      </c>
      <c r="E4600">
        <v>10</v>
      </c>
      <c r="F4600" t="str">
        <f t="shared" si="284"/>
        <v>Premium</v>
      </c>
      <c r="G4600" s="3" cm="1">
        <f t="array" ref="G4600">_xlfn.XLOOKUP(C4600 &amp; F4600,
         [1]unilever_price_limits!A:A &amp; [1]unilever_price_limits!B:B,
         [1]unilever_price_limits!C:C)</f>
        <v>55</v>
      </c>
      <c r="H4600" s="8">
        <f t="shared" si="285"/>
        <v>10.167999999999999</v>
      </c>
      <c r="I4600" s="6">
        <f t="shared" si="286"/>
        <v>55.000000000000007</v>
      </c>
      <c r="J4600" t="str">
        <f t="shared" si="287"/>
        <v>OK</v>
      </c>
    </row>
    <row r="4601" spans="1:10" x14ac:dyDescent="0.2">
      <c r="A4601">
        <v>14600</v>
      </c>
      <c r="B4601" t="s">
        <v>5</v>
      </c>
      <c r="C4601" t="s">
        <v>6</v>
      </c>
      <c r="D4601" s="8">
        <v>8.61</v>
      </c>
      <c r="E4601">
        <v>3</v>
      </c>
      <c r="F4601" t="str">
        <f t="shared" si="284"/>
        <v>Value</v>
      </c>
      <c r="G4601" s="3" cm="1">
        <f t="array" ref="G4601">_xlfn.XLOOKUP(C4601 &amp; F4601,
         [1]unilever_price_limits!A:A &amp; [1]unilever_price_limits!B:B,
         [1]unilever_price_limits!C:C)</f>
        <v>12</v>
      </c>
      <c r="H4601" s="8">
        <f t="shared" si="285"/>
        <v>9.6432000000000002</v>
      </c>
      <c r="I4601" s="6">
        <f t="shared" si="286"/>
        <v>12.000000000000011</v>
      </c>
      <c r="J4601" t="str">
        <f t="shared" si="287"/>
        <v>OK</v>
      </c>
    </row>
    <row r="4602" spans="1:10" x14ac:dyDescent="0.2">
      <c r="A4602">
        <v>14601</v>
      </c>
      <c r="B4602" t="s">
        <v>8</v>
      </c>
      <c r="C4602" t="s">
        <v>11</v>
      </c>
      <c r="D4602" s="8">
        <v>3.22</v>
      </c>
      <c r="E4602">
        <v>2</v>
      </c>
      <c r="F4602" t="str">
        <f t="shared" si="284"/>
        <v>Value</v>
      </c>
      <c r="G4602" s="3" cm="1">
        <f t="array" ref="G4602">_xlfn.XLOOKUP(C4602 &amp; F4602,
         [1]unilever_price_limits!A:A &amp; [1]unilever_price_limits!B:B,
         [1]unilever_price_limits!C:C)</f>
        <v>10</v>
      </c>
      <c r="H4602" s="8">
        <f t="shared" si="285"/>
        <v>3.5420000000000007</v>
      </c>
      <c r="I4602" s="6">
        <f t="shared" si="286"/>
        <v>10.000000000000009</v>
      </c>
      <c r="J4602" t="str">
        <f t="shared" si="287"/>
        <v>OK</v>
      </c>
    </row>
    <row r="4603" spans="1:10" x14ac:dyDescent="0.2">
      <c r="A4603">
        <v>14602</v>
      </c>
      <c r="B4603" t="s">
        <v>8</v>
      </c>
      <c r="C4603" t="s">
        <v>6</v>
      </c>
      <c r="D4603" s="8">
        <v>7</v>
      </c>
      <c r="E4603">
        <v>2</v>
      </c>
      <c r="F4603" t="str">
        <f t="shared" si="284"/>
        <v>Value</v>
      </c>
      <c r="G4603" s="3" cm="1">
        <f t="array" ref="G4603">_xlfn.XLOOKUP(C4603 &amp; F4603,
         [1]unilever_price_limits!A:A &amp; [1]unilever_price_limits!B:B,
         [1]unilever_price_limits!C:C)</f>
        <v>12</v>
      </c>
      <c r="H4603" s="8">
        <f t="shared" si="285"/>
        <v>7.8400000000000007</v>
      </c>
      <c r="I4603" s="6">
        <f t="shared" si="286"/>
        <v>12.000000000000011</v>
      </c>
      <c r="J4603" t="str">
        <f t="shared" si="287"/>
        <v>OK</v>
      </c>
    </row>
    <row r="4604" spans="1:10" x14ac:dyDescent="0.2">
      <c r="A4604">
        <v>14603</v>
      </c>
      <c r="B4604" t="s">
        <v>8</v>
      </c>
      <c r="C4604" t="s">
        <v>9</v>
      </c>
      <c r="D4604" s="8">
        <v>9.2100000000000009</v>
      </c>
      <c r="E4604">
        <v>2</v>
      </c>
      <c r="F4604" t="str">
        <f t="shared" si="284"/>
        <v>Value</v>
      </c>
      <c r="G4604" s="3" cm="1">
        <f t="array" ref="G4604">_xlfn.XLOOKUP(C4604 &amp; F4604,
         [1]unilever_price_limits!A:A &amp; [1]unilever_price_limits!B:B,
         [1]unilever_price_limits!C:C)</f>
        <v>15</v>
      </c>
      <c r="H4604" s="8">
        <f t="shared" si="285"/>
        <v>10.5915</v>
      </c>
      <c r="I4604" s="6">
        <f t="shared" si="286"/>
        <v>14.999999999999991</v>
      </c>
      <c r="J4604" t="str">
        <f t="shared" si="287"/>
        <v>OK</v>
      </c>
    </row>
    <row r="4605" spans="1:10" x14ac:dyDescent="0.2">
      <c r="A4605">
        <v>14604</v>
      </c>
      <c r="B4605" t="s">
        <v>7</v>
      </c>
      <c r="C4605" t="s">
        <v>6</v>
      </c>
      <c r="D4605" s="8">
        <v>5.25</v>
      </c>
      <c r="E4605">
        <v>5</v>
      </c>
      <c r="F4605" t="str">
        <f t="shared" si="284"/>
        <v>Standard</v>
      </c>
      <c r="G4605" s="3" cm="1">
        <f t="array" ref="G4605">_xlfn.XLOOKUP(C4605 &amp; F4605,
         [1]unilever_price_limits!A:A &amp; [1]unilever_price_limits!B:B,
         [1]unilever_price_limits!C:C)</f>
        <v>28</v>
      </c>
      <c r="H4605" s="8">
        <f t="shared" si="285"/>
        <v>6.72</v>
      </c>
      <c r="I4605" s="6">
        <f t="shared" si="286"/>
        <v>28.000000000000004</v>
      </c>
      <c r="J4605" t="str">
        <f t="shared" si="287"/>
        <v>OK</v>
      </c>
    </row>
    <row r="4606" spans="1:10" x14ac:dyDescent="0.2">
      <c r="A4606">
        <v>14605</v>
      </c>
      <c r="B4606" t="s">
        <v>10</v>
      </c>
      <c r="C4606" t="s">
        <v>9</v>
      </c>
      <c r="D4606" s="8">
        <v>11.82</v>
      </c>
      <c r="E4606">
        <v>5</v>
      </c>
      <c r="F4606" t="str">
        <f t="shared" si="284"/>
        <v>Standard</v>
      </c>
      <c r="G4606" s="3" cm="1">
        <f t="array" ref="G4606">_xlfn.XLOOKUP(C4606 &amp; F4606,
         [1]unilever_price_limits!A:A &amp; [1]unilever_price_limits!B:B,
         [1]unilever_price_limits!C:C)</f>
        <v>30</v>
      </c>
      <c r="H4606" s="8">
        <f t="shared" si="285"/>
        <v>15.366000000000001</v>
      </c>
      <c r="I4606" s="6">
        <f t="shared" si="286"/>
        <v>30.000000000000004</v>
      </c>
      <c r="J4606" t="str">
        <f t="shared" si="287"/>
        <v>OK</v>
      </c>
    </row>
    <row r="4607" spans="1:10" x14ac:dyDescent="0.2">
      <c r="A4607">
        <v>14606</v>
      </c>
      <c r="B4607" t="s">
        <v>10</v>
      </c>
      <c r="C4607" t="s">
        <v>11</v>
      </c>
      <c r="D4607" s="8">
        <v>12.69</v>
      </c>
      <c r="E4607">
        <v>1</v>
      </c>
      <c r="F4607" t="str">
        <f t="shared" si="284"/>
        <v>Value</v>
      </c>
      <c r="G4607" s="3" cm="1">
        <f t="array" ref="G4607">_xlfn.XLOOKUP(C4607 &amp; F4607,
         [1]unilever_price_limits!A:A &amp; [1]unilever_price_limits!B:B,
         [1]unilever_price_limits!C:C)</f>
        <v>10</v>
      </c>
      <c r="H4607" s="8">
        <f t="shared" si="285"/>
        <v>13.959000000000001</v>
      </c>
      <c r="I4607" s="6">
        <f t="shared" si="286"/>
        <v>10.000000000000009</v>
      </c>
      <c r="J4607" t="str">
        <f t="shared" si="287"/>
        <v>OK</v>
      </c>
    </row>
    <row r="4608" spans="1:10" x14ac:dyDescent="0.2">
      <c r="A4608">
        <v>14607</v>
      </c>
      <c r="B4608" t="s">
        <v>5</v>
      </c>
      <c r="C4608" t="s">
        <v>11</v>
      </c>
      <c r="D4608" s="8">
        <v>5.19</v>
      </c>
      <c r="E4608">
        <v>2</v>
      </c>
      <c r="F4608" t="str">
        <f t="shared" si="284"/>
        <v>Value</v>
      </c>
      <c r="G4608" s="3" cm="1">
        <f t="array" ref="G4608">_xlfn.XLOOKUP(C4608 &amp; F4608,
         [1]unilever_price_limits!A:A &amp; [1]unilever_price_limits!B:B,
         [1]unilever_price_limits!C:C)</f>
        <v>10</v>
      </c>
      <c r="H4608" s="8">
        <f t="shared" si="285"/>
        <v>5.7090000000000005</v>
      </c>
      <c r="I4608" s="6">
        <f t="shared" si="286"/>
        <v>10.000000000000009</v>
      </c>
      <c r="J4608" t="str">
        <f t="shared" si="287"/>
        <v>OK</v>
      </c>
    </row>
    <row r="4609" spans="1:10" x14ac:dyDescent="0.2">
      <c r="A4609">
        <v>14608</v>
      </c>
      <c r="B4609" t="s">
        <v>10</v>
      </c>
      <c r="C4609" t="s">
        <v>6</v>
      </c>
      <c r="D4609" s="8">
        <v>12.66</v>
      </c>
      <c r="E4609">
        <v>2</v>
      </c>
      <c r="F4609" t="str">
        <f t="shared" si="284"/>
        <v>Value</v>
      </c>
      <c r="G4609" s="3" cm="1">
        <f t="array" ref="G4609">_xlfn.XLOOKUP(C4609 &amp; F4609,
         [1]unilever_price_limits!A:A &amp; [1]unilever_price_limits!B:B,
         [1]unilever_price_limits!C:C)</f>
        <v>12</v>
      </c>
      <c r="H4609" s="8">
        <f t="shared" si="285"/>
        <v>14.179200000000002</v>
      </c>
      <c r="I4609" s="6">
        <f t="shared" si="286"/>
        <v>12.000000000000011</v>
      </c>
      <c r="J4609" t="str">
        <f t="shared" si="287"/>
        <v>OK</v>
      </c>
    </row>
    <row r="4610" spans="1:10" x14ac:dyDescent="0.2">
      <c r="A4610">
        <v>14609</v>
      </c>
      <c r="B4610" t="s">
        <v>10</v>
      </c>
      <c r="C4610" t="s">
        <v>6</v>
      </c>
      <c r="D4610" s="8">
        <v>2</v>
      </c>
      <c r="E4610">
        <v>4</v>
      </c>
      <c r="F4610" t="str">
        <f t="shared" si="284"/>
        <v>Standard</v>
      </c>
      <c r="G4610" s="3" cm="1">
        <f t="array" ref="G4610">_xlfn.XLOOKUP(C4610 &amp; F4610,
         [1]unilever_price_limits!A:A &amp; [1]unilever_price_limits!B:B,
         [1]unilever_price_limits!C:C)</f>
        <v>28</v>
      </c>
      <c r="H4610" s="8">
        <f t="shared" si="285"/>
        <v>2.56</v>
      </c>
      <c r="I4610" s="6">
        <f t="shared" si="286"/>
        <v>28.000000000000004</v>
      </c>
      <c r="J4610" t="str">
        <f t="shared" si="287"/>
        <v>OK</v>
      </c>
    </row>
    <row r="4611" spans="1:10" x14ac:dyDescent="0.2">
      <c r="A4611">
        <v>14610</v>
      </c>
      <c r="B4611" t="s">
        <v>8</v>
      </c>
      <c r="C4611" t="s">
        <v>9</v>
      </c>
      <c r="D4611" s="8">
        <v>12.65</v>
      </c>
      <c r="E4611">
        <v>7</v>
      </c>
      <c r="F4611" t="str">
        <f t="shared" ref="F4611:F4674" si="288">IF(E4611&lt;=3,"Value",
 IF(E4611&lt;=7,"Standard","Premium"))</f>
        <v>Standard</v>
      </c>
      <c r="G4611" s="3" cm="1">
        <f t="array" ref="G4611">_xlfn.XLOOKUP(C4611 &amp; F4611,
         [1]unilever_price_limits!A:A &amp; [1]unilever_price_limits!B:B,
         [1]unilever_price_limits!C:C)</f>
        <v>30</v>
      </c>
      <c r="H4611" s="8">
        <f t="shared" ref="H4611:H4674" si="289">D4611 * (1 + G4611/100)</f>
        <v>16.445</v>
      </c>
      <c r="I4611" s="6">
        <f t="shared" ref="I4611:I4674" si="290">(H4611 / D4611 - 1) * 100</f>
        <v>30.000000000000004</v>
      </c>
      <c r="J4611" t="str">
        <f t="shared" ref="J4611:J4674" si="291">IF(I4610&gt; G4610, "⚠ Exceeds Limit", "OK")</f>
        <v>OK</v>
      </c>
    </row>
    <row r="4612" spans="1:10" x14ac:dyDescent="0.2">
      <c r="A4612">
        <v>14611</v>
      </c>
      <c r="B4612" t="s">
        <v>8</v>
      </c>
      <c r="C4612" t="s">
        <v>9</v>
      </c>
      <c r="D4612" s="8">
        <v>2.71</v>
      </c>
      <c r="E4612">
        <v>3</v>
      </c>
      <c r="F4612" t="str">
        <f t="shared" si="288"/>
        <v>Value</v>
      </c>
      <c r="G4612" s="3" cm="1">
        <f t="array" ref="G4612">_xlfn.XLOOKUP(C4612 &amp; F4612,
         [1]unilever_price_limits!A:A &amp; [1]unilever_price_limits!B:B,
         [1]unilever_price_limits!C:C)</f>
        <v>15</v>
      </c>
      <c r="H4612" s="8">
        <f t="shared" si="289"/>
        <v>3.1164999999999998</v>
      </c>
      <c r="I4612" s="6">
        <f t="shared" si="290"/>
        <v>14.999999999999991</v>
      </c>
      <c r="J4612" t="str">
        <f t="shared" si="291"/>
        <v>OK</v>
      </c>
    </row>
    <row r="4613" spans="1:10" x14ac:dyDescent="0.2">
      <c r="A4613">
        <v>14612</v>
      </c>
      <c r="B4613" t="s">
        <v>7</v>
      </c>
      <c r="C4613" t="s">
        <v>6</v>
      </c>
      <c r="D4613" s="8">
        <v>1.7</v>
      </c>
      <c r="E4613">
        <v>5</v>
      </c>
      <c r="F4613" t="str">
        <f t="shared" si="288"/>
        <v>Standard</v>
      </c>
      <c r="G4613" s="3" cm="1">
        <f t="array" ref="G4613">_xlfn.XLOOKUP(C4613 &amp; F4613,
         [1]unilever_price_limits!A:A &amp; [1]unilever_price_limits!B:B,
         [1]unilever_price_limits!C:C)</f>
        <v>28</v>
      </c>
      <c r="H4613" s="8">
        <f t="shared" si="289"/>
        <v>2.1760000000000002</v>
      </c>
      <c r="I4613" s="6">
        <f t="shared" si="290"/>
        <v>28.000000000000004</v>
      </c>
      <c r="J4613" t="str">
        <f t="shared" si="291"/>
        <v>OK</v>
      </c>
    </row>
    <row r="4614" spans="1:10" x14ac:dyDescent="0.2">
      <c r="A4614">
        <v>14613</v>
      </c>
      <c r="B4614" t="s">
        <v>8</v>
      </c>
      <c r="C4614" t="s">
        <v>6</v>
      </c>
      <c r="D4614" s="8">
        <v>9.81</v>
      </c>
      <c r="E4614">
        <v>9</v>
      </c>
      <c r="F4614" t="str">
        <f t="shared" si="288"/>
        <v>Premium</v>
      </c>
      <c r="G4614" s="3" cm="1">
        <f t="array" ref="G4614">_xlfn.XLOOKUP(C4614 &amp; F4614,
         [1]unilever_price_limits!A:A &amp; [1]unilever_price_limits!B:B,
         [1]unilever_price_limits!C:C)</f>
        <v>55</v>
      </c>
      <c r="H4614" s="8">
        <f t="shared" si="289"/>
        <v>15.205500000000001</v>
      </c>
      <c r="I4614" s="6">
        <f t="shared" si="290"/>
        <v>55.000000000000007</v>
      </c>
      <c r="J4614" t="str">
        <f t="shared" si="291"/>
        <v>OK</v>
      </c>
    </row>
    <row r="4615" spans="1:10" x14ac:dyDescent="0.2">
      <c r="A4615">
        <v>14614</v>
      </c>
      <c r="B4615" t="s">
        <v>8</v>
      </c>
      <c r="C4615" t="s">
        <v>11</v>
      </c>
      <c r="D4615" s="8">
        <v>7.34</v>
      </c>
      <c r="E4615">
        <v>5</v>
      </c>
      <c r="F4615" t="str">
        <f t="shared" si="288"/>
        <v>Standard</v>
      </c>
      <c r="G4615" s="3" cm="1">
        <f t="array" ref="G4615">_xlfn.XLOOKUP(C4615 &amp; F4615,
         [1]unilever_price_limits!A:A &amp; [1]unilever_price_limits!B:B,
         [1]unilever_price_limits!C:C)</f>
        <v>25</v>
      </c>
      <c r="H4615" s="8">
        <f t="shared" si="289"/>
        <v>9.1750000000000007</v>
      </c>
      <c r="I4615" s="6">
        <f t="shared" si="290"/>
        <v>25.000000000000021</v>
      </c>
      <c r="J4615" t="str">
        <f t="shared" si="291"/>
        <v>OK</v>
      </c>
    </row>
    <row r="4616" spans="1:10" x14ac:dyDescent="0.2">
      <c r="A4616">
        <v>14615</v>
      </c>
      <c r="B4616" t="s">
        <v>8</v>
      </c>
      <c r="C4616" t="s">
        <v>11</v>
      </c>
      <c r="D4616" s="8">
        <v>13.66</v>
      </c>
      <c r="E4616">
        <v>9</v>
      </c>
      <c r="F4616" t="str">
        <f t="shared" si="288"/>
        <v>Premium</v>
      </c>
      <c r="G4616" s="3" cm="1">
        <f t="array" ref="G4616">_xlfn.XLOOKUP(C4616 &amp; F4616,
         [1]unilever_price_limits!A:A &amp; [1]unilever_price_limits!B:B,
         [1]unilever_price_limits!C:C)</f>
        <v>50</v>
      </c>
      <c r="H4616" s="8">
        <f t="shared" si="289"/>
        <v>20.490000000000002</v>
      </c>
      <c r="I4616" s="6">
        <f t="shared" si="290"/>
        <v>50.000000000000021</v>
      </c>
      <c r="J4616" t="str">
        <f t="shared" si="291"/>
        <v>OK</v>
      </c>
    </row>
    <row r="4617" spans="1:10" x14ac:dyDescent="0.2">
      <c r="A4617">
        <v>14616</v>
      </c>
      <c r="B4617" t="s">
        <v>8</v>
      </c>
      <c r="C4617" t="s">
        <v>11</v>
      </c>
      <c r="D4617" s="8">
        <v>5.77</v>
      </c>
      <c r="E4617">
        <v>1</v>
      </c>
      <c r="F4617" t="str">
        <f t="shared" si="288"/>
        <v>Value</v>
      </c>
      <c r="G4617" s="3" cm="1">
        <f t="array" ref="G4617">_xlfn.XLOOKUP(C4617 &amp; F4617,
         [1]unilever_price_limits!A:A &amp; [1]unilever_price_limits!B:B,
         [1]unilever_price_limits!C:C)</f>
        <v>10</v>
      </c>
      <c r="H4617" s="8">
        <f t="shared" si="289"/>
        <v>6.3470000000000004</v>
      </c>
      <c r="I4617" s="6">
        <f t="shared" si="290"/>
        <v>10.000000000000009</v>
      </c>
      <c r="J4617" t="str">
        <f t="shared" si="291"/>
        <v>OK</v>
      </c>
    </row>
    <row r="4618" spans="1:10" x14ac:dyDescent="0.2">
      <c r="A4618">
        <v>14617</v>
      </c>
      <c r="B4618" t="s">
        <v>7</v>
      </c>
      <c r="C4618" t="s">
        <v>6</v>
      </c>
      <c r="D4618" s="8">
        <v>4.66</v>
      </c>
      <c r="E4618">
        <v>9</v>
      </c>
      <c r="F4618" t="str">
        <f t="shared" si="288"/>
        <v>Premium</v>
      </c>
      <c r="G4618" s="3" cm="1">
        <f t="array" ref="G4618">_xlfn.XLOOKUP(C4618 &amp; F4618,
         [1]unilever_price_limits!A:A &amp; [1]unilever_price_limits!B:B,
         [1]unilever_price_limits!C:C)</f>
        <v>55</v>
      </c>
      <c r="H4618" s="8">
        <f t="shared" si="289"/>
        <v>7.2230000000000008</v>
      </c>
      <c r="I4618" s="6">
        <f t="shared" si="290"/>
        <v>55.000000000000007</v>
      </c>
      <c r="J4618" t="str">
        <f t="shared" si="291"/>
        <v>OK</v>
      </c>
    </row>
    <row r="4619" spans="1:10" x14ac:dyDescent="0.2">
      <c r="A4619">
        <v>14618</v>
      </c>
      <c r="B4619" t="s">
        <v>8</v>
      </c>
      <c r="C4619" t="s">
        <v>6</v>
      </c>
      <c r="D4619" s="8">
        <v>7.76</v>
      </c>
      <c r="E4619">
        <v>5</v>
      </c>
      <c r="F4619" t="str">
        <f t="shared" si="288"/>
        <v>Standard</v>
      </c>
      <c r="G4619" s="3" cm="1">
        <f t="array" ref="G4619">_xlfn.XLOOKUP(C4619 &amp; F4619,
         [1]unilever_price_limits!A:A &amp; [1]unilever_price_limits!B:B,
         [1]unilever_price_limits!C:C)</f>
        <v>28</v>
      </c>
      <c r="H4619" s="8">
        <f t="shared" si="289"/>
        <v>9.9328000000000003</v>
      </c>
      <c r="I4619" s="6">
        <f t="shared" si="290"/>
        <v>28.000000000000004</v>
      </c>
      <c r="J4619" t="str">
        <f t="shared" si="291"/>
        <v>OK</v>
      </c>
    </row>
    <row r="4620" spans="1:10" x14ac:dyDescent="0.2">
      <c r="A4620">
        <v>14619</v>
      </c>
      <c r="B4620" t="s">
        <v>5</v>
      </c>
      <c r="C4620" t="s">
        <v>6</v>
      </c>
      <c r="D4620" s="8">
        <v>7.11</v>
      </c>
      <c r="E4620">
        <v>8</v>
      </c>
      <c r="F4620" t="str">
        <f t="shared" si="288"/>
        <v>Premium</v>
      </c>
      <c r="G4620" s="3" cm="1">
        <f t="array" ref="G4620">_xlfn.XLOOKUP(C4620 &amp; F4620,
         [1]unilever_price_limits!A:A &amp; [1]unilever_price_limits!B:B,
         [1]unilever_price_limits!C:C)</f>
        <v>55</v>
      </c>
      <c r="H4620" s="8">
        <f t="shared" si="289"/>
        <v>11.0205</v>
      </c>
      <c r="I4620" s="6">
        <f t="shared" si="290"/>
        <v>55.000000000000007</v>
      </c>
      <c r="J4620" t="str">
        <f t="shared" si="291"/>
        <v>OK</v>
      </c>
    </row>
    <row r="4621" spans="1:10" x14ac:dyDescent="0.2">
      <c r="A4621">
        <v>14620</v>
      </c>
      <c r="B4621" t="s">
        <v>5</v>
      </c>
      <c r="C4621" t="s">
        <v>11</v>
      </c>
      <c r="D4621" s="8">
        <v>5.49</v>
      </c>
      <c r="E4621">
        <v>5</v>
      </c>
      <c r="F4621" t="str">
        <f t="shared" si="288"/>
        <v>Standard</v>
      </c>
      <c r="G4621" s="3" cm="1">
        <f t="array" ref="G4621">_xlfn.XLOOKUP(C4621 &amp; F4621,
         [1]unilever_price_limits!A:A &amp; [1]unilever_price_limits!B:B,
         [1]unilever_price_limits!C:C)</f>
        <v>25</v>
      </c>
      <c r="H4621" s="8">
        <f t="shared" si="289"/>
        <v>6.8625000000000007</v>
      </c>
      <c r="I4621" s="6">
        <f t="shared" si="290"/>
        <v>25</v>
      </c>
      <c r="J4621" t="str">
        <f t="shared" si="291"/>
        <v>OK</v>
      </c>
    </row>
    <row r="4622" spans="1:10" x14ac:dyDescent="0.2">
      <c r="A4622">
        <v>14621</v>
      </c>
      <c r="B4622" t="s">
        <v>5</v>
      </c>
      <c r="C4622" t="s">
        <v>6</v>
      </c>
      <c r="D4622" s="8">
        <v>10.56</v>
      </c>
      <c r="E4622">
        <v>6</v>
      </c>
      <c r="F4622" t="str">
        <f t="shared" si="288"/>
        <v>Standard</v>
      </c>
      <c r="G4622" s="3" cm="1">
        <f t="array" ref="G4622">_xlfn.XLOOKUP(C4622 &amp; F4622,
         [1]unilever_price_limits!A:A &amp; [1]unilever_price_limits!B:B,
         [1]unilever_price_limits!C:C)</f>
        <v>28</v>
      </c>
      <c r="H4622" s="8">
        <f t="shared" si="289"/>
        <v>13.516800000000002</v>
      </c>
      <c r="I4622" s="6">
        <f t="shared" si="290"/>
        <v>28.000000000000004</v>
      </c>
      <c r="J4622" t="str">
        <f t="shared" si="291"/>
        <v>OK</v>
      </c>
    </row>
    <row r="4623" spans="1:10" x14ac:dyDescent="0.2">
      <c r="A4623">
        <v>14622</v>
      </c>
      <c r="B4623" t="s">
        <v>5</v>
      </c>
      <c r="C4623" t="s">
        <v>9</v>
      </c>
      <c r="D4623" s="8">
        <v>11.51</v>
      </c>
      <c r="E4623">
        <v>8</v>
      </c>
      <c r="F4623" t="str">
        <f t="shared" si="288"/>
        <v>Premium</v>
      </c>
      <c r="G4623" s="3" cm="1">
        <f t="array" ref="G4623">_xlfn.XLOOKUP(C4623 &amp; F4623,
         [1]unilever_price_limits!A:A &amp; [1]unilever_price_limits!B:B,
         [1]unilever_price_limits!C:C)</f>
        <v>60</v>
      </c>
      <c r="H4623" s="8">
        <f t="shared" si="289"/>
        <v>18.416</v>
      </c>
      <c r="I4623" s="6">
        <f t="shared" si="290"/>
        <v>60.000000000000007</v>
      </c>
      <c r="J4623" t="str">
        <f t="shared" si="291"/>
        <v>OK</v>
      </c>
    </row>
    <row r="4624" spans="1:10" x14ac:dyDescent="0.2">
      <c r="A4624">
        <v>14623</v>
      </c>
      <c r="B4624" t="s">
        <v>8</v>
      </c>
      <c r="C4624" t="s">
        <v>6</v>
      </c>
      <c r="D4624" s="8">
        <v>12.87</v>
      </c>
      <c r="E4624">
        <v>2</v>
      </c>
      <c r="F4624" t="str">
        <f t="shared" si="288"/>
        <v>Value</v>
      </c>
      <c r="G4624" s="3" cm="1">
        <f t="array" ref="G4624">_xlfn.XLOOKUP(C4624 &amp; F4624,
         [1]unilever_price_limits!A:A &amp; [1]unilever_price_limits!B:B,
         [1]unilever_price_limits!C:C)</f>
        <v>12</v>
      </c>
      <c r="H4624" s="8">
        <f t="shared" si="289"/>
        <v>14.414400000000001</v>
      </c>
      <c r="I4624" s="6">
        <f t="shared" si="290"/>
        <v>12.000000000000011</v>
      </c>
      <c r="J4624" t="str">
        <f t="shared" si="291"/>
        <v>OK</v>
      </c>
    </row>
    <row r="4625" spans="1:10" x14ac:dyDescent="0.2">
      <c r="A4625">
        <v>14624</v>
      </c>
      <c r="B4625" t="s">
        <v>5</v>
      </c>
      <c r="C4625" t="s">
        <v>6</v>
      </c>
      <c r="D4625" s="8">
        <v>14.61</v>
      </c>
      <c r="E4625">
        <v>3</v>
      </c>
      <c r="F4625" t="str">
        <f t="shared" si="288"/>
        <v>Value</v>
      </c>
      <c r="G4625" s="3" cm="1">
        <f t="array" ref="G4625">_xlfn.XLOOKUP(C4625 &amp; F4625,
         [1]unilever_price_limits!A:A &amp; [1]unilever_price_limits!B:B,
         [1]unilever_price_limits!C:C)</f>
        <v>12</v>
      </c>
      <c r="H4625" s="8">
        <f t="shared" si="289"/>
        <v>16.363200000000003</v>
      </c>
      <c r="I4625" s="6">
        <f t="shared" si="290"/>
        <v>12.000000000000032</v>
      </c>
      <c r="J4625" t="str">
        <f t="shared" si="291"/>
        <v>OK</v>
      </c>
    </row>
    <row r="4626" spans="1:10" x14ac:dyDescent="0.2">
      <c r="A4626">
        <v>14625</v>
      </c>
      <c r="B4626" t="s">
        <v>8</v>
      </c>
      <c r="C4626" t="s">
        <v>6</v>
      </c>
      <c r="D4626" s="8">
        <v>4.37</v>
      </c>
      <c r="E4626">
        <v>9</v>
      </c>
      <c r="F4626" t="str">
        <f t="shared" si="288"/>
        <v>Premium</v>
      </c>
      <c r="G4626" s="3" cm="1">
        <f t="array" ref="G4626">_xlfn.XLOOKUP(C4626 &amp; F4626,
         [1]unilever_price_limits!A:A &amp; [1]unilever_price_limits!B:B,
         [1]unilever_price_limits!C:C)</f>
        <v>55</v>
      </c>
      <c r="H4626" s="8">
        <f t="shared" si="289"/>
        <v>6.7735000000000003</v>
      </c>
      <c r="I4626" s="6">
        <f t="shared" si="290"/>
        <v>55.000000000000007</v>
      </c>
      <c r="J4626" t="str">
        <f t="shared" si="291"/>
        <v>OK</v>
      </c>
    </row>
    <row r="4627" spans="1:10" x14ac:dyDescent="0.2">
      <c r="A4627">
        <v>14626</v>
      </c>
      <c r="B4627" t="s">
        <v>7</v>
      </c>
      <c r="C4627" t="s">
        <v>6</v>
      </c>
      <c r="D4627" s="8">
        <v>10.88</v>
      </c>
      <c r="E4627">
        <v>5</v>
      </c>
      <c r="F4627" t="str">
        <f t="shared" si="288"/>
        <v>Standard</v>
      </c>
      <c r="G4627" s="3" cm="1">
        <f t="array" ref="G4627">_xlfn.XLOOKUP(C4627 &amp; F4627,
         [1]unilever_price_limits!A:A &amp; [1]unilever_price_limits!B:B,
         [1]unilever_price_limits!C:C)</f>
        <v>28</v>
      </c>
      <c r="H4627" s="8">
        <f t="shared" si="289"/>
        <v>13.926400000000001</v>
      </c>
      <c r="I4627" s="6">
        <f t="shared" si="290"/>
        <v>28.000000000000004</v>
      </c>
      <c r="J4627" t="str">
        <f t="shared" si="291"/>
        <v>OK</v>
      </c>
    </row>
    <row r="4628" spans="1:10" x14ac:dyDescent="0.2">
      <c r="A4628">
        <v>14627</v>
      </c>
      <c r="B4628" t="s">
        <v>5</v>
      </c>
      <c r="C4628" t="s">
        <v>6</v>
      </c>
      <c r="D4628" s="8">
        <v>6.22</v>
      </c>
      <c r="E4628">
        <v>5</v>
      </c>
      <c r="F4628" t="str">
        <f t="shared" si="288"/>
        <v>Standard</v>
      </c>
      <c r="G4628" s="3" cm="1">
        <f t="array" ref="G4628">_xlfn.XLOOKUP(C4628 &amp; F4628,
         [1]unilever_price_limits!A:A &amp; [1]unilever_price_limits!B:B,
         [1]unilever_price_limits!C:C)</f>
        <v>28</v>
      </c>
      <c r="H4628" s="8">
        <f t="shared" si="289"/>
        <v>7.9615999999999998</v>
      </c>
      <c r="I4628" s="6">
        <f t="shared" si="290"/>
        <v>28.000000000000004</v>
      </c>
      <c r="J4628" t="str">
        <f t="shared" si="291"/>
        <v>OK</v>
      </c>
    </row>
    <row r="4629" spans="1:10" x14ac:dyDescent="0.2">
      <c r="A4629">
        <v>14628</v>
      </c>
      <c r="B4629" t="s">
        <v>10</v>
      </c>
      <c r="C4629" t="s">
        <v>9</v>
      </c>
      <c r="D4629" s="8">
        <v>10.32</v>
      </c>
      <c r="E4629">
        <v>9</v>
      </c>
      <c r="F4629" t="str">
        <f t="shared" si="288"/>
        <v>Premium</v>
      </c>
      <c r="G4629" s="3" cm="1">
        <f t="array" ref="G4629">_xlfn.XLOOKUP(C4629 &amp; F4629,
         [1]unilever_price_limits!A:A &amp; [1]unilever_price_limits!B:B,
         [1]unilever_price_limits!C:C)</f>
        <v>60</v>
      </c>
      <c r="H4629" s="8">
        <f t="shared" si="289"/>
        <v>16.512</v>
      </c>
      <c r="I4629" s="6">
        <f t="shared" si="290"/>
        <v>60.000000000000007</v>
      </c>
      <c r="J4629" t="str">
        <f t="shared" si="291"/>
        <v>OK</v>
      </c>
    </row>
    <row r="4630" spans="1:10" x14ac:dyDescent="0.2">
      <c r="A4630">
        <v>14629</v>
      </c>
      <c r="B4630" t="s">
        <v>5</v>
      </c>
      <c r="C4630" t="s">
        <v>9</v>
      </c>
      <c r="D4630" s="8">
        <v>7.4</v>
      </c>
      <c r="E4630">
        <v>10</v>
      </c>
      <c r="F4630" t="str">
        <f t="shared" si="288"/>
        <v>Premium</v>
      </c>
      <c r="G4630" s="3" cm="1">
        <f t="array" ref="G4630">_xlfn.XLOOKUP(C4630 &amp; F4630,
         [1]unilever_price_limits!A:A &amp; [1]unilever_price_limits!B:B,
         [1]unilever_price_limits!C:C)</f>
        <v>60</v>
      </c>
      <c r="H4630" s="8">
        <f t="shared" si="289"/>
        <v>11.840000000000002</v>
      </c>
      <c r="I4630" s="6">
        <f t="shared" si="290"/>
        <v>60.000000000000007</v>
      </c>
      <c r="J4630" t="str">
        <f t="shared" si="291"/>
        <v>OK</v>
      </c>
    </row>
    <row r="4631" spans="1:10" x14ac:dyDescent="0.2">
      <c r="A4631">
        <v>14630</v>
      </c>
      <c r="B4631" t="s">
        <v>5</v>
      </c>
      <c r="C4631" t="s">
        <v>6</v>
      </c>
      <c r="D4631" s="8">
        <v>14.91</v>
      </c>
      <c r="E4631">
        <v>3</v>
      </c>
      <c r="F4631" t="str">
        <f t="shared" si="288"/>
        <v>Value</v>
      </c>
      <c r="G4631" s="3" cm="1">
        <f t="array" ref="G4631">_xlfn.XLOOKUP(C4631 &amp; F4631,
         [1]unilever_price_limits!A:A &amp; [1]unilever_price_limits!B:B,
         [1]unilever_price_limits!C:C)</f>
        <v>12</v>
      </c>
      <c r="H4631" s="8">
        <f t="shared" si="289"/>
        <v>16.699200000000001</v>
      </c>
      <c r="I4631" s="6">
        <f t="shared" si="290"/>
        <v>12.000000000000011</v>
      </c>
      <c r="J4631" t="str">
        <f t="shared" si="291"/>
        <v>OK</v>
      </c>
    </row>
    <row r="4632" spans="1:10" x14ac:dyDescent="0.2">
      <c r="A4632">
        <v>14631</v>
      </c>
      <c r="B4632" t="s">
        <v>8</v>
      </c>
      <c r="C4632" t="s">
        <v>11</v>
      </c>
      <c r="D4632" s="8">
        <v>11.07</v>
      </c>
      <c r="E4632">
        <v>4</v>
      </c>
      <c r="F4632" t="str">
        <f t="shared" si="288"/>
        <v>Standard</v>
      </c>
      <c r="G4632" s="3" cm="1">
        <f t="array" ref="G4632">_xlfn.XLOOKUP(C4632 &amp; F4632,
         [1]unilever_price_limits!A:A &amp; [1]unilever_price_limits!B:B,
         [1]unilever_price_limits!C:C)</f>
        <v>25</v>
      </c>
      <c r="H4632" s="8">
        <f t="shared" si="289"/>
        <v>13.8375</v>
      </c>
      <c r="I4632" s="6">
        <f t="shared" si="290"/>
        <v>25</v>
      </c>
      <c r="J4632" t="str">
        <f t="shared" si="291"/>
        <v>OK</v>
      </c>
    </row>
    <row r="4633" spans="1:10" x14ac:dyDescent="0.2">
      <c r="A4633">
        <v>14632</v>
      </c>
      <c r="B4633" t="s">
        <v>5</v>
      </c>
      <c r="C4633" t="s">
        <v>6</v>
      </c>
      <c r="D4633" s="8">
        <v>14.31</v>
      </c>
      <c r="E4633">
        <v>7</v>
      </c>
      <c r="F4633" t="str">
        <f t="shared" si="288"/>
        <v>Standard</v>
      </c>
      <c r="G4633" s="3" cm="1">
        <f t="array" ref="G4633">_xlfn.XLOOKUP(C4633 &amp; F4633,
         [1]unilever_price_limits!A:A &amp; [1]unilever_price_limits!B:B,
         [1]unilever_price_limits!C:C)</f>
        <v>28</v>
      </c>
      <c r="H4633" s="8">
        <f t="shared" si="289"/>
        <v>18.316800000000001</v>
      </c>
      <c r="I4633" s="6">
        <f t="shared" si="290"/>
        <v>28.000000000000004</v>
      </c>
      <c r="J4633" t="str">
        <f t="shared" si="291"/>
        <v>OK</v>
      </c>
    </row>
    <row r="4634" spans="1:10" x14ac:dyDescent="0.2">
      <c r="A4634">
        <v>14633</v>
      </c>
      <c r="B4634" t="s">
        <v>10</v>
      </c>
      <c r="C4634" t="s">
        <v>6</v>
      </c>
      <c r="D4634" s="8">
        <v>12.61</v>
      </c>
      <c r="E4634">
        <v>2</v>
      </c>
      <c r="F4634" t="str">
        <f t="shared" si="288"/>
        <v>Value</v>
      </c>
      <c r="G4634" s="3" cm="1">
        <f t="array" ref="G4634">_xlfn.XLOOKUP(C4634 &amp; F4634,
         [1]unilever_price_limits!A:A &amp; [1]unilever_price_limits!B:B,
         [1]unilever_price_limits!C:C)</f>
        <v>12</v>
      </c>
      <c r="H4634" s="8">
        <f t="shared" si="289"/>
        <v>14.123200000000001</v>
      </c>
      <c r="I4634" s="6">
        <f t="shared" si="290"/>
        <v>12.000000000000011</v>
      </c>
      <c r="J4634" t="str">
        <f t="shared" si="291"/>
        <v>OK</v>
      </c>
    </row>
    <row r="4635" spans="1:10" x14ac:dyDescent="0.2">
      <c r="A4635">
        <v>14634</v>
      </c>
      <c r="B4635" t="s">
        <v>8</v>
      </c>
      <c r="C4635" t="s">
        <v>6</v>
      </c>
      <c r="D4635" s="8">
        <v>13.59</v>
      </c>
      <c r="E4635">
        <v>8</v>
      </c>
      <c r="F4635" t="str">
        <f t="shared" si="288"/>
        <v>Premium</v>
      </c>
      <c r="G4635" s="3" cm="1">
        <f t="array" ref="G4635">_xlfn.XLOOKUP(C4635 &amp; F4635,
         [1]unilever_price_limits!A:A &amp; [1]unilever_price_limits!B:B,
         [1]unilever_price_limits!C:C)</f>
        <v>55</v>
      </c>
      <c r="H4635" s="8">
        <f t="shared" si="289"/>
        <v>21.064499999999999</v>
      </c>
      <c r="I4635" s="6">
        <f t="shared" si="290"/>
        <v>55.000000000000007</v>
      </c>
      <c r="J4635" t="str">
        <f t="shared" si="291"/>
        <v>OK</v>
      </c>
    </row>
    <row r="4636" spans="1:10" x14ac:dyDescent="0.2">
      <c r="A4636">
        <v>14635</v>
      </c>
      <c r="B4636" t="s">
        <v>8</v>
      </c>
      <c r="C4636" t="s">
        <v>11</v>
      </c>
      <c r="D4636" s="8">
        <v>12.31</v>
      </c>
      <c r="E4636">
        <v>5</v>
      </c>
      <c r="F4636" t="str">
        <f t="shared" si="288"/>
        <v>Standard</v>
      </c>
      <c r="G4636" s="3" cm="1">
        <f t="array" ref="G4636">_xlfn.XLOOKUP(C4636 &amp; F4636,
         [1]unilever_price_limits!A:A &amp; [1]unilever_price_limits!B:B,
         [1]unilever_price_limits!C:C)</f>
        <v>25</v>
      </c>
      <c r="H4636" s="8">
        <f t="shared" si="289"/>
        <v>15.387500000000001</v>
      </c>
      <c r="I4636" s="6">
        <f t="shared" si="290"/>
        <v>25</v>
      </c>
      <c r="J4636" t="str">
        <f t="shared" si="291"/>
        <v>OK</v>
      </c>
    </row>
    <row r="4637" spans="1:10" x14ac:dyDescent="0.2">
      <c r="A4637">
        <v>14636</v>
      </c>
      <c r="B4637" t="s">
        <v>7</v>
      </c>
      <c r="C4637" t="s">
        <v>11</v>
      </c>
      <c r="D4637" s="8">
        <v>7.16</v>
      </c>
      <c r="E4637">
        <v>1</v>
      </c>
      <c r="F4637" t="str">
        <f t="shared" si="288"/>
        <v>Value</v>
      </c>
      <c r="G4637" s="3" cm="1">
        <f t="array" ref="G4637">_xlfn.XLOOKUP(C4637 &amp; F4637,
         [1]unilever_price_limits!A:A &amp; [1]unilever_price_limits!B:B,
         [1]unilever_price_limits!C:C)</f>
        <v>10</v>
      </c>
      <c r="H4637" s="8">
        <f t="shared" si="289"/>
        <v>7.8760000000000012</v>
      </c>
      <c r="I4637" s="6">
        <f t="shared" si="290"/>
        <v>10.000000000000009</v>
      </c>
      <c r="J4637" t="str">
        <f t="shared" si="291"/>
        <v>OK</v>
      </c>
    </row>
    <row r="4638" spans="1:10" x14ac:dyDescent="0.2">
      <c r="A4638">
        <v>14637</v>
      </c>
      <c r="B4638" t="s">
        <v>7</v>
      </c>
      <c r="C4638" t="s">
        <v>11</v>
      </c>
      <c r="D4638" s="8">
        <v>4.1500000000000004</v>
      </c>
      <c r="E4638">
        <v>3</v>
      </c>
      <c r="F4638" t="str">
        <f t="shared" si="288"/>
        <v>Value</v>
      </c>
      <c r="G4638" s="3" cm="1">
        <f t="array" ref="G4638">_xlfn.XLOOKUP(C4638 &amp; F4638,
         [1]unilever_price_limits!A:A &amp; [1]unilever_price_limits!B:B,
         [1]unilever_price_limits!C:C)</f>
        <v>10</v>
      </c>
      <c r="H4638" s="8">
        <f t="shared" si="289"/>
        <v>4.5650000000000004</v>
      </c>
      <c r="I4638" s="6">
        <f t="shared" si="290"/>
        <v>10.000000000000009</v>
      </c>
      <c r="J4638" t="str">
        <f t="shared" si="291"/>
        <v>OK</v>
      </c>
    </row>
    <row r="4639" spans="1:10" x14ac:dyDescent="0.2">
      <c r="A4639">
        <v>14638</v>
      </c>
      <c r="B4639" t="s">
        <v>5</v>
      </c>
      <c r="C4639" t="s">
        <v>9</v>
      </c>
      <c r="D4639" s="8">
        <v>5.87</v>
      </c>
      <c r="E4639">
        <v>9</v>
      </c>
      <c r="F4639" t="str">
        <f t="shared" si="288"/>
        <v>Premium</v>
      </c>
      <c r="G4639" s="3" cm="1">
        <f t="array" ref="G4639">_xlfn.XLOOKUP(C4639 &amp; F4639,
         [1]unilever_price_limits!A:A &amp; [1]unilever_price_limits!B:B,
         [1]unilever_price_limits!C:C)</f>
        <v>60</v>
      </c>
      <c r="H4639" s="8">
        <f t="shared" si="289"/>
        <v>9.3920000000000012</v>
      </c>
      <c r="I4639" s="6">
        <f t="shared" si="290"/>
        <v>60.000000000000007</v>
      </c>
      <c r="J4639" t="str">
        <f t="shared" si="291"/>
        <v>OK</v>
      </c>
    </row>
    <row r="4640" spans="1:10" x14ac:dyDescent="0.2">
      <c r="A4640">
        <v>14639</v>
      </c>
      <c r="B4640" t="s">
        <v>7</v>
      </c>
      <c r="C4640" t="s">
        <v>11</v>
      </c>
      <c r="D4640" s="8">
        <v>0.79</v>
      </c>
      <c r="E4640">
        <v>5</v>
      </c>
      <c r="F4640" t="str">
        <f t="shared" si="288"/>
        <v>Standard</v>
      </c>
      <c r="G4640" s="3" cm="1">
        <f t="array" ref="G4640">_xlfn.XLOOKUP(C4640 &amp; F4640,
         [1]unilever_price_limits!A:A &amp; [1]unilever_price_limits!B:B,
         [1]unilever_price_limits!C:C)</f>
        <v>25</v>
      </c>
      <c r="H4640" s="8">
        <f t="shared" si="289"/>
        <v>0.98750000000000004</v>
      </c>
      <c r="I4640" s="6">
        <f t="shared" si="290"/>
        <v>25</v>
      </c>
      <c r="J4640" t="str">
        <f t="shared" si="291"/>
        <v>OK</v>
      </c>
    </row>
    <row r="4641" spans="1:10" x14ac:dyDescent="0.2">
      <c r="A4641">
        <v>14640</v>
      </c>
      <c r="B4641" t="s">
        <v>7</v>
      </c>
      <c r="C4641" t="s">
        <v>9</v>
      </c>
      <c r="D4641" s="8">
        <v>8.1</v>
      </c>
      <c r="E4641">
        <v>8</v>
      </c>
      <c r="F4641" t="str">
        <f t="shared" si="288"/>
        <v>Premium</v>
      </c>
      <c r="G4641" s="3" cm="1">
        <f t="array" ref="G4641">_xlfn.XLOOKUP(C4641 &amp; F4641,
         [1]unilever_price_limits!A:A &amp; [1]unilever_price_limits!B:B,
         [1]unilever_price_limits!C:C)</f>
        <v>60</v>
      </c>
      <c r="H4641" s="8">
        <f t="shared" si="289"/>
        <v>12.96</v>
      </c>
      <c r="I4641" s="6">
        <f t="shared" si="290"/>
        <v>60.000000000000007</v>
      </c>
      <c r="J4641" t="str">
        <f t="shared" si="291"/>
        <v>OK</v>
      </c>
    </row>
    <row r="4642" spans="1:10" x14ac:dyDescent="0.2">
      <c r="A4642">
        <v>14641</v>
      </c>
      <c r="B4642" t="s">
        <v>7</v>
      </c>
      <c r="C4642" t="s">
        <v>9</v>
      </c>
      <c r="D4642" s="8">
        <v>7.82</v>
      </c>
      <c r="E4642">
        <v>1</v>
      </c>
      <c r="F4642" t="str">
        <f t="shared" si="288"/>
        <v>Value</v>
      </c>
      <c r="G4642" s="3" cm="1">
        <f t="array" ref="G4642">_xlfn.XLOOKUP(C4642 &amp; F4642,
         [1]unilever_price_limits!A:A &amp; [1]unilever_price_limits!B:B,
         [1]unilever_price_limits!C:C)</f>
        <v>15</v>
      </c>
      <c r="H4642" s="8">
        <f t="shared" si="289"/>
        <v>8.9930000000000003</v>
      </c>
      <c r="I4642" s="6">
        <f t="shared" si="290"/>
        <v>14.999999999999991</v>
      </c>
      <c r="J4642" t="str">
        <f t="shared" si="291"/>
        <v>OK</v>
      </c>
    </row>
    <row r="4643" spans="1:10" x14ac:dyDescent="0.2">
      <c r="A4643">
        <v>14642</v>
      </c>
      <c r="B4643" t="s">
        <v>8</v>
      </c>
      <c r="C4643" t="s">
        <v>11</v>
      </c>
      <c r="D4643" s="8">
        <v>8.1199999999999992</v>
      </c>
      <c r="E4643">
        <v>7</v>
      </c>
      <c r="F4643" t="str">
        <f t="shared" si="288"/>
        <v>Standard</v>
      </c>
      <c r="G4643" s="3" cm="1">
        <f t="array" ref="G4643">_xlfn.XLOOKUP(C4643 &amp; F4643,
         [1]unilever_price_limits!A:A &amp; [1]unilever_price_limits!B:B,
         [1]unilever_price_limits!C:C)</f>
        <v>25</v>
      </c>
      <c r="H4643" s="8">
        <f t="shared" si="289"/>
        <v>10.149999999999999</v>
      </c>
      <c r="I4643" s="6">
        <f t="shared" si="290"/>
        <v>25</v>
      </c>
      <c r="J4643" t="str">
        <f t="shared" si="291"/>
        <v>OK</v>
      </c>
    </row>
    <row r="4644" spans="1:10" x14ac:dyDescent="0.2">
      <c r="A4644">
        <v>14643</v>
      </c>
      <c r="B4644" t="s">
        <v>8</v>
      </c>
      <c r="C4644" t="s">
        <v>11</v>
      </c>
      <c r="D4644" s="8">
        <v>14.62</v>
      </c>
      <c r="E4644">
        <v>7</v>
      </c>
      <c r="F4644" t="str">
        <f t="shared" si="288"/>
        <v>Standard</v>
      </c>
      <c r="G4644" s="3" cm="1">
        <f t="array" ref="G4644">_xlfn.XLOOKUP(C4644 &amp; F4644,
         [1]unilever_price_limits!A:A &amp; [1]unilever_price_limits!B:B,
         [1]unilever_price_limits!C:C)</f>
        <v>25</v>
      </c>
      <c r="H4644" s="8">
        <f t="shared" si="289"/>
        <v>18.274999999999999</v>
      </c>
      <c r="I4644" s="6">
        <f t="shared" si="290"/>
        <v>25</v>
      </c>
      <c r="J4644" t="str">
        <f t="shared" si="291"/>
        <v>OK</v>
      </c>
    </row>
    <row r="4645" spans="1:10" x14ac:dyDescent="0.2">
      <c r="A4645">
        <v>14644</v>
      </c>
      <c r="B4645" t="s">
        <v>8</v>
      </c>
      <c r="C4645" t="s">
        <v>11</v>
      </c>
      <c r="D4645" s="8">
        <v>13.72</v>
      </c>
      <c r="E4645">
        <v>8</v>
      </c>
      <c r="F4645" t="str">
        <f t="shared" si="288"/>
        <v>Premium</v>
      </c>
      <c r="G4645" s="3" cm="1">
        <f t="array" ref="G4645">_xlfn.XLOOKUP(C4645 &amp; F4645,
         [1]unilever_price_limits!A:A &amp; [1]unilever_price_limits!B:B,
         [1]unilever_price_limits!C:C)</f>
        <v>50</v>
      </c>
      <c r="H4645" s="8">
        <f t="shared" si="289"/>
        <v>20.580000000000002</v>
      </c>
      <c r="I4645" s="6">
        <f t="shared" si="290"/>
        <v>50</v>
      </c>
      <c r="J4645" t="str">
        <f t="shared" si="291"/>
        <v>OK</v>
      </c>
    </row>
    <row r="4646" spans="1:10" x14ac:dyDescent="0.2">
      <c r="A4646">
        <v>14645</v>
      </c>
      <c r="B4646" t="s">
        <v>7</v>
      </c>
      <c r="C4646" t="s">
        <v>9</v>
      </c>
      <c r="D4646" s="8">
        <v>2.84</v>
      </c>
      <c r="E4646">
        <v>3</v>
      </c>
      <c r="F4646" t="str">
        <f t="shared" si="288"/>
        <v>Value</v>
      </c>
      <c r="G4646" s="3" cm="1">
        <f t="array" ref="G4646">_xlfn.XLOOKUP(C4646 &amp; F4646,
         [1]unilever_price_limits!A:A &amp; [1]unilever_price_limits!B:B,
         [1]unilever_price_limits!C:C)</f>
        <v>15</v>
      </c>
      <c r="H4646" s="8">
        <f t="shared" si="289"/>
        <v>3.2659999999999996</v>
      </c>
      <c r="I4646" s="6">
        <f t="shared" si="290"/>
        <v>14.999999999999991</v>
      </c>
      <c r="J4646" t="str">
        <f t="shared" si="291"/>
        <v>OK</v>
      </c>
    </row>
    <row r="4647" spans="1:10" x14ac:dyDescent="0.2">
      <c r="A4647">
        <v>14646</v>
      </c>
      <c r="B4647" t="s">
        <v>8</v>
      </c>
      <c r="C4647" t="s">
        <v>6</v>
      </c>
      <c r="D4647" s="8">
        <v>5.85</v>
      </c>
      <c r="E4647">
        <v>1</v>
      </c>
      <c r="F4647" t="str">
        <f t="shared" si="288"/>
        <v>Value</v>
      </c>
      <c r="G4647" s="3" cm="1">
        <f t="array" ref="G4647">_xlfn.XLOOKUP(C4647 &amp; F4647,
         [1]unilever_price_limits!A:A &amp; [1]unilever_price_limits!B:B,
         [1]unilever_price_limits!C:C)</f>
        <v>12</v>
      </c>
      <c r="H4647" s="8">
        <f t="shared" si="289"/>
        <v>6.5520000000000005</v>
      </c>
      <c r="I4647" s="6">
        <f t="shared" si="290"/>
        <v>12.000000000000011</v>
      </c>
      <c r="J4647" t="str">
        <f t="shared" si="291"/>
        <v>OK</v>
      </c>
    </row>
    <row r="4648" spans="1:10" x14ac:dyDescent="0.2">
      <c r="A4648">
        <v>14647</v>
      </c>
      <c r="B4648" t="s">
        <v>7</v>
      </c>
      <c r="C4648" t="s">
        <v>11</v>
      </c>
      <c r="D4648" s="8">
        <v>6.65</v>
      </c>
      <c r="E4648">
        <v>9</v>
      </c>
      <c r="F4648" t="str">
        <f t="shared" si="288"/>
        <v>Premium</v>
      </c>
      <c r="G4648" s="3" cm="1">
        <f t="array" ref="G4648">_xlfn.XLOOKUP(C4648 &amp; F4648,
         [1]unilever_price_limits!A:A &amp; [1]unilever_price_limits!B:B,
         [1]unilever_price_limits!C:C)</f>
        <v>50</v>
      </c>
      <c r="H4648" s="8">
        <f t="shared" si="289"/>
        <v>9.9750000000000014</v>
      </c>
      <c r="I4648" s="6">
        <f t="shared" si="290"/>
        <v>50.000000000000021</v>
      </c>
      <c r="J4648" t="str">
        <f t="shared" si="291"/>
        <v>OK</v>
      </c>
    </row>
    <row r="4649" spans="1:10" x14ac:dyDescent="0.2">
      <c r="A4649">
        <v>14648</v>
      </c>
      <c r="B4649" t="s">
        <v>8</v>
      </c>
      <c r="C4649" t="s">
        <v>11</v>
      </c>
      <c r="D4649" s="8">
        <v>5.73</v>
      </c>
      <c r="E4649">
        <v>1</v>
      </c>
      <c r="F4649" t="str">
        <f t="shared" si="288"/>
        <v>Value</v>
      </c>
      <c r="G4649" s="3" cm="1">
        <f t="array" ref="G4649">_xlfn.XLOOKUP(C4649 &amp; F4649,
         [1]unilever_price_limits!A:A &amp; [1]unilever_price_limits!B:B,
         [1]unilever_price_limits!C:C)</f>
        <v>10</v>
      </c>
      <c r="H4649" s="8">
        <f t="shared" si="289"/>
        <v>6.3030000000000008</v>
      </c>
      <c r="I4649" s="6">
        <f t="shared" si="290"/>
        <v>10.000000000000009</v>
      </c>
      <c r="J4649" t="str">
        <f t="shared" si="291"/>
        <v>OK</v>
      </c>
    </row>
    <row r="4650" spans="1:10" x14ac:dyDescent="0.2">
      <c r="A4650">
        <v>14649</v>
      </c>
      <c r="B4650" t="s">
        <v>8</v>
      </c>
      <c r="C4650" t="s">
        <v>11</v>
      </c>
      <c r="D4650" s="8">
        <v>12.08</v>
      </c>
      <c r="E4650">
        <v>6</v>
      </c>
      <c r="F4650" t="str">
        <f t="shared" si="288"/>
        <v>Standard</v>
      </c>
      <c r="G4650" s="3" cm="1">
        <f t="array" ref="G4650">_xlfn.XLOOKUP(C4650 &amp; F4650,
         [1]unilever_price_limits!A:A &amp; [1]unilever_price_limits!B:B,
         [1]unilever_price_limits!C:C)</f>
        <v>25</v>
      </c>
      <c r="H4650" s="8">
        <f t="shared" si="289"/>
        <v>15.1</v>
      </c>
      <c r="I4650" s="6">
        <f t="shared" si="290"/>
        <v>25</v>
      </c>
      <c r="J4650" t="str">
        <f t="shared" si="291"/>
        <v>OK</v>
      </c>
    </row>
    <row r="4651" spans="1:10" x14ac:dyDescent="0.2">
      <c r="A4651">
        <v>14650</v>
      </c>
      <c r="B4651" t="s">
        <v>10</v>
      </c>
      <c r="C4651" t="s">
        <v>9</v>
      </c>
      <c r="D4651" s="8">
        <v>8.1</v>
      </c>
      <c r="E4651">
        <v>9</v>
      </c>
      <c r="F4651" t="str">
        <f t="shared" si="288"/>
        <v>Premium</v>
      </c>
      <c r="G4651" s="3" cm="1">
        <f t="array" ref="G4651">_xlfn.XLOOKUP(C4651 &amp; F4651,
         [1]unilever_price_limits!A:A &amp; [1]unilever_price_limits!B:B,
         [1]unilever_price_limits!C:C)</f>
        <v>60</v>
      </c>
      <c r="H4651" s="8">
        <f t="shared" si="289"/>
        <v>12.96</v>
      </c>
      <c r="I4651" s="6">
        <f t="shared" si="290"/>
        <v>60.000000000000007</v>
      </c>
      <c r="J4651" t="str">
        <f t="shared" si="291"/>
        <v>OK</v>
      </c>
    </row>
    <row r="4652" spans="1:10" x14ac:dyDescent="0.2">
      <c r="A4652">
        <v>14651</v>
      </c>
      <c r="B4652" t="s">
        <v>5</v>
      </c>
      <c r="C4652" t="s">
        <v>9</v>
      </c>
      <c r="D4652" s="8">
        <v>8.8000000000000007</v>
      </c>
      <c r="E4652">
        <v>2</v>
      </c>
      <c r="F4652" t="str">
        <f t="shared" si="288"/>
        <v>Value</v>
      </c>
      <c r="G4652" s="3" cm="1">
        <f t="array" ref="G4652">_xlfn.XLOOKUP(C4652 &amp; F4652,
         [1]unilever_price_limits!A:A &amp; [1]unilever_price_limits!B:B,
         [1]unilever_price_limits!C:C)</f>
        <v>15</v>
      </c>
      <c r="H4652" s="8">
        <f t="shared" si="289"/>
        <v>10.119999999999999</v>
      </c>
      <c r="I4652" s="6">
        <f t="shared" si="290"/>
        <v>14.999999999999991</v>
      </c>
      <c r="J4652" t="str">
        <f t="shared" si="291"/>
        <v>OK</v>
      </c>
    </row>
    <row r="4653" spans="1:10" x14ac:dyDescent="0.2">
      <c r="A4653">
        <v>14652</v>
      </c>
      <c r="B4653" t="s">
        <v>7</v>
      </c>
      <c r="C4653" t="s">
        <v>6</v>
      </c>
      <c r="D4653" s="8">
        <v>12.87</v>
      </c>
      <c r="E4653">
        <v>4</v>
      </c>
      <c r="F4653" t="str">
        <f t="shared" si="288"/>
        <v>Standard</v>
      </c>
      <c r="G4653" s="3" cm="1">
        <f t="array" ref="G4653">_xlfn.XLOOKUP(C4653 &amp; F4653,
         [1]unilever_price_limits!A:A &amp; [1]unilever_price_limits!B:B,
         [1]unilever_price_limits!C:C)</f>
        <v>28</v>
      </c>
      <c r="H4653" s="8">
        <f t="shared" si="289"/>
        <v>16.473599999999998</v>
      </c>
      <c r="I4653" s="6">
        <f t="shared" si="290"/>
        <v>27.999999999999979</v>
      </c>
      <c r="J4653" t="str">
        <f t="shared" si="291"/>
        <v>OK</v>
      </c>
    </row>
    <row r="4654" spans="1:10" x14ac:dyDescent="0.2">
      <c r="A4654">
        <v>14653</v>
      </c>
      <c r="B4654" t="s">
        <v>10</v>
      </c>
      <c r="C4654" t="s">
        <v>11</v>
      </c>
      <c r="D4654" s="8">
        <v>12.19</v>
      </c>
      <c r="E4654">
        <v>2</v>
      </c>
      <c r="F4654" t="str">
        <f t="shared" si="288"/>
        <v>Value</v>
      </c>
      <c r="G4654" s="3" cm="1">
        <f t="array" ref="G4654">_xlfn.XLOOKUP(C4654 &amp; F4654,
         [1]unilever_price_limits!A:A &amp; [1]unilever_price_limits!B:B,
         [1]unilever_price_limits!C:C)</f>
        <v>10</v>
      </c>
      <c r="H4654" s="8">
        <f t="shared" si="289"/>
        <v>13.409000000000001</v>
      </c>
      <c r="I4654" s="6">
        <f t="shared" si="290"/>
        <v>10.000000000000009</v>
      </c>
      <c r="J4654" t="str">
        <f t="shared" si="291"/>
        <v>OK</v>
      </c>
    </row>
    <row r="4655" spans="1:10" x14ac:dyDescent="0.2">
      <c r="A4655">
        <v>14654</v>
      </c>
      <c r="B4655" t="s">
        <v>8</v>
      </c>
      <c r="C4655" t="s">
        <v>9</v>
      </c>
      <c r="D4655" s="8">
        <v>2.42</v>
      </c>
      <c r="E4655">
        <v>4</v>
      </c>
      <c r="F4655" t="str">
        <f t="shared" si="288"/>
        <v>Standard</v>
      </c>
      <c r="G4655" s="3" cm="1">
        <f t="array" ref="G4655">_xlfn.XLOOKUP(C4655 &amp; F4655,
         [1]unilever_price_limits!A:A &amp; [1]unilever_price_limits!B:B,
         [1]unilever_price_limits!C:C)</f>
        <v>30</v>
      </c>
      <c r="H4655" s="8">
        <f t="shared" si="289"/>
        <v>3.1459999999999999</v>
      </c>
      <c r="I4655" s="6">
        <f t="shared" si="290"/>
        <v>30.000000000000004</v>
      </c>
      <c r="J4655" t="str">
        <f t="shared" si="291"/>
        <v>OK</v>
      </c>
    </row>
    <row r="4656" spans="1:10" x14ac:dyDescent="0.2">
      <c r="A4656">
        <v>14655</v>
      </c>
      <c r="B4656" t="s">
        <v>7</v>
      </c>
      <c r="C4656" t="s">
        <v>6</v>
      </c>
      <c r="D4656" s="8">
        <v>10.85</v>
      </c>
      <c r="E4656">
        <v>2</v>
      </c>
      <c r="F4656" t="str">
        <f t="shared" si="288"/>
        <v>Value</v>
      </c>
      <c r="G4656" s="3" cm="1">
        <f t="array" ref="G4656">_xlfn.XLOOKUP(C4656 &amp; F4656,
         [1]unilever_price_limits!A:A &amp; [1]unilever_price_limits!B:B,
         [1]unilever_price_limits!C:C)</f>
        <v>12</v>
      </c>
      <c r="H4656" s="8">
        <f t="shared" si="289"/>
        <v>12.152000000000001</v>
      </c>
      <c r="I4656" s="6">
        <f t="shared" si="290"/>
        <v>12.000000000000011</v>
      </c>
      <c r="J4656" t="str">
        <f t="shared" si="291"/>
        <v>OK</v>
      </c>
    </row>
    <row r="4657" spans="1:10" x14ac:dyDescent="0.2">
      <c r="A4657">
        <v>14656</v>
      </c>
      <c r="B4657" t="s">
        <v>8</v>
      </c>
      <c r="C4657" t="s">
        <v>11</v>
      </c>
      <c r="D4657" s="8">
        <v>6.81</v>
      </c>
      <c r="E4657">
        <v>1</v>
      </c>
      <c r="F4657" t="str">
        <f t="shared" si="288"/>
        <v>Value</v>
      </c>
      <c r="G4657" s="3" cm="1">
        <f t="array" ref="G4657">_xlfn.XLOOKUP(C4657 &amp; F4657,
         [1]unilever_price_limits!A:A &amp; [1]unilever_price_limits!B:B,
         [1]unilever_price_limits!C:C)</f>
        <v>10</v>
      </c>
      <c r="H4657" s="8">
        <f t="shared" si="289"/>
        <v>7.4910000000000005</v>
      </c>
      <c r="I4657" s="6">
        <f t="shared" si="290"/>
        <v>10.000000000000009</v>
      </c>
      <c r="J4657" t="str">
        <f t="shared" si="291"/>
        <v>OK</v>
      </c>
    </row>
    <row r="4658" spans="1:10" x14ac:dyDescent="0.2">
      <c r="A4658">
        <v>14657</v>
      </c>
      <c r="B4658" t="s">
        <v>5</v>
      </c>
      <c r="C4658" t="s">
        <v>9</v>
      </c>
      <c r="D4658" s="8">
        <v>4.7699999999999996</v>
      </c>
      <c r="E4658">
        <v>3</v>
      </c>
      <c r="F4658" t="str">
        <f t="shared" si="288"/>
        <v>Value</v>
      </c>
      <c r="G4658" s="3" cm="1">
        <f t="array" ref="G4658">_xlfn.XLOOKUP(C4658 &amp; F4658,
         [1]unilever_price_limits!A:A &amp; [1]unilever_price_limits!B:B,
         [1]unilever_price_limits!C:C)</f>
        <v>15</v>
      </c>
      <c r="H4658" s="8">
        <f t="shared" si="289"/>
        <v>5.4854999999999992</v>
      </c>
      <c r="I4658" s="6">
        <f t="shared" si="290"/>
        <v>14.999999999999991</v>
      </c>
      <c r="J4658" t="str">
        <f t="shared" si="291"/>
        <v>OK</v>
      </c>
    </row>
    <row r="4659" spans="1:10" x14ac:dyDescent="0.2">
      <c r="A4659">
        <v>14658</v>
      </c>
      <c r="B4659" t="s">
        <v>10</v>
      </c>
      <c r="C4659" t="s">
        <v>11</v>
      </c>
      <c r="D4659" s="8">
        <v>1.23</v>
      </c>
      <c r="E4659">
        <v>8</v>
      </c>
      <c r="F4659" t="str">
        <f t="shared" si="288"/>
        <v>Premium</v>
      </c>
      <c r="G4659" s="3" cm="1">
        <f t="array" ref="G4659">_xlfn.XLOOKUP(C4659 &amp; F4659,
         [1]unilever_price_limits!A:A &amp; [1]unilever_price_limits!B:B,
         [1]unilever_price_limits!C:C)</f>
        <v>50</v>
      </c>
      <c r="H4659" s="8">
        <f t="shared" si="289"/>
        <v>1.845</v>
      </c>
      <c r="I4659" s="6">
        <f t="shared" si="290"/>
        <v>50</v>
      </c>
      <c r="J4659" t="str">
        <f t="shared" si="291"/>
        <v>OK</v>
      </c>
    </row>
    <row r="4660" spans="1:10" x14ac:dyDescent="0.2">
      <c r="A4660">
        <v>14659</v>
      </c>
      <c r="B4660" t="s">
        <v>5</v>
      </c>
      <c r="C4660" t="s">
        <v>11</v>
      </c>
      <c r="D4660" s="8">
        <v>7.57</v>
      </c>
      <c r="E4660">
        <v>5</v>
      </c>
      <c r="F4660" t="str">
        <f t="shared" si="288"/>
        <v>Standard</v>
      </c>
      <c r="G4660" s="3" cm="1">
        <f t="array" ref="G4660">_xlfn.XLOOKUP(C4660 &amp; F4660,
         [1]unilever_price_limits!A:A &amp; [1]unilever_price_limits!B:B,
         [1]unilever_price_limits!C:C)</f>
        <v>25</v>
      </c>
      <c r="H4660" s="8">
        <f t="shared" si="289"/>
        <v>9.4625000000000004</v>
      </c>
      <c r="I4660" s="6">
        <f t="shared" si="290"/>
        <v>25</v>
      </c>
      <c r="J4660" t="str">
        <f t="shared" si="291"/>
        <v>OK</v>
      </c>
    </row>
    <row r="4661" spans="1:10" x14ac:dyDescent="0.2">
      <c r="A4661">
        <v>14660</v>
      </c>
      <c r="B4661" t="s">
        <v>10</v>
      </c>
      <c r="C4661" t="s">
        <v>9</v>
      </c>
      <c r="D4661" s="8">
        <v>5.65</v>
      </c>
      <c r="E4661">
        <v>4</v>
      </c>
      <c r="F4661" t="str">
        <f t="shared" si="288"/>
        <v>Standard</v>
      </c>
      <c r="G4661" s="3" cm="1">
        <f t="array" ref="G4661">_xlfn.XLOOKUP(C4661 &amp; F4661,
         [1]unilever_price_limits!A:A &amp; [1]unilever_price_limits!B:B,
         [1]unilever_price_limits!C:C)</f>
        <v>30</v>
      </c>
      <c r="H4661" s="8">
        <f t="shared" si="289"/>
        <v>7.3450000000000006</v>
      </c>
      <c r="I4661" s="6">
        <f t="shared" si="290"/>
        <v>30.000000000000004</v>
      </c>
      <c r="J4661" t="str">
        <f t="shared" si="291"/>
        <v>OK</v>
      </c>
    </row>
    <row r="4662" spans="1:10" x14ac:dyDescent="0.2">
      <c r="A4662">
        <v>14661</v>
      </c>
      <c r="B4662" t="s">
        <v>8</v>
      </c>
      <c r="C4662" t="s">
        <v>9</v>
      </c>
      <c r="D4662" s="8">
        <v>4.1500000000000004</v>
      </c>
      <c r="E4662">
        <v>5</v>
      </c>
      <c r="F4662" t="str">
        <f t="shared" si="288"/>
        <v>Standard</v>
      </c>
      <c r="G4662" s="3" cm="1">
        <f t="array" ref="G4662">_xlfn.XLOOKUP(C4662 &amp; F4662,
         [1]unilever_price_limits!A:A &amp; [1]unilever_price_limits!B:B,
         [1]unilever_price_limits!C:C)</f>
        <v>30</v>
      </c>
      <c r="H4662" s="8">
        <f t="shared" si="289"/>
        <v>5.3950000000000005</v>
      </c>
      <c r="I4662" s="6">
        <f t="shared" si="290"/>
        <v>30.000000000000004</v>
      </c>
      <c r="J4662" t="str">
        <f t="shared" si="291"/>
        <v>OK</v>
      </c>
    </row>
    <row r="4663" spans="1:10" x14ac:dyDescent="0.2">
      <c r="A4663">
        <v>14662</v>
      </c>
      <c r="B4663" t="s">
        <v>5</v>
      </c>
      <c r="C4663" t="s">
        <v>9</v>
      </c>
      <c r="D4663" s="8">
        <v>10.57</v>
      </c>
      <c r="E4663">
        <v>6</v>
      </c>
      <c r="F4663" t="str">
        <f t="shared" si="288"/>
        <v>Standard</v>
      </c>
      <c r="G4663" s="3" cm="1">
        <f t="array" ref="G4663">_xlfn.XLOOKUP(C4663 &amp; F4663,
         [1]unilever_price_limits!A:A &amp; [1]unilever_price_limits!B:B,
         [1]unilever_price_limits!C:C)</f>
        <v>30</v>
      </c>
      <c r="H4663" s="8">
        <f t="shared" si="289"/>
        <v>13.741000000000001</v>
      </c>
      <c r="I4663" s="6">
        <f t="shared" si="290"/>
        <v>30.000000000000004</v>
      </c>
      <c r="J4663" t="str">
        <f t="shared" si="291"/>
        <v>OK</v>
      </c>
    </row>
    <row r="4664" spans="1:10" x14ac:dyDescent="0.2">
      <c r="A4664">
        <v>14663</v>
      </c>
      <c r="B4664" t="s">
        <v>5</v>
      </c>
      <c r="C4664" t="s">
        <v>11</v>
      </c>
      <c r="D4664" s="8">
        <v>11.66</v>
      </c>
      <c r="E4664">
        <v>6</v>
      </c>
      <c r="F4664" t="str">
        <f t="shared" si="288"/>
        <v>Standard</v>
      </c>
      <c r="G4664" s="3" cm="1">
        <f t="array" ref="G4664">_xlfn.XLOOKUP(C4664 &amp; F4664,
         [1]unilever_price_limits!A:A &amp; [1]unilever_price_limits!B:B,
         [1]unilever_price_limits!C:C)</f>
        <v>25</v>
      </c>
      <c r="H4664" s="8">
        <f t="shared" si="289"/>
        <v>14.574999999999999</v>
      </c>
      <c r="I4664" s="6">
        <f t="shared" si="290"/>
        <v>25</v>
      </c>
      <c r="J4664" t="str">
        <f t="shared" si="291"/>
        <v>OK</v>
      </c>
    </row>
    <row r="4665" spans="1:10" x14ac:dyDescent="0.2">
      <c r="A4665">
        <v>14664</v>
      </c>
      <c r="B4665" t="s">
        <v>8</v>
      </c>
      <c r="C4665" t="s">
        <v>11</v>
      </c>
      <c r="D4665" s="8">
        <v>4.05</v>
      </c>
      <c r="E4665">
        <v>5</v>
      </c>
      <c r="F4665" t="str">
        <f t="shared" si="288"/>
        <v>Standard</v>
      </c>
      <c r="G4665" s="3" cm="1">
        <f t="array" ref="G4665">_xlfn.XLOOKUP(C4665 &amp; F4665,
         [1]unilever_price_limits!A:A &amp; [1]unilever_price_limits!B:B,
         [1]unilever_price_limits!C:C)</f>
        <v>25</v>
      </c>
      <c r="H4665" s="8">
        <f t="shared" si="289"/>
        <v>5.0625</v>
      </c>
      <c r="I4665" s="6">
        <f t="shared" si="290"/>
        <v>25</v>
      </c>
      <c r="J4665" t="str">
        <f t="shared" si="291"/>
        <v>OK</v>
      </c>
    </row>
    <row r="4666" spans="1:10" x14ac:dyDescent="0.2">
      <c r="A4666">
        <v>14665</v>
      </c>
      <c r="B4666" t="s">
        <v>5</v>
      </c>
      <c r="C4666" t="s">
        <v>6</v>
      </c>
      <c r="D4666" s="8">
        <v>1.22</v>
      </c>
      <c r="E4666">
        <v>6</v>
      </c>
      <c r="F4666" t="str">
        <f t="shared" si="288"/>
        <v>Standard</v>
      </c>
      <c r="G4666" s="3" cm="1">
        <f t="array" ref="G4666">_xlfn.XLOOKUP(C4666 &amp; F4666,
         [1]unilever_price_limits!A:A &amp; [1]unilever_price_limits!B:B,
         [1]unilever_price_limits!C:C)</f>
        <v>28</v>
      </c>
      <c r="H4666" s="8">
        <f t="shared" si="289"/>
        <v>1.5616000000000001</v>
      </c>
      <c r="I4666" s="6">
        <f t="shared" si="290"/>
        <v>28.000000000000004</v>
      </c>
      <c r="J4666" t="str">
        <f t="shared" si="291"/>
        <v>OK</v>
      </c>
    </row>
    <row r="4667" spans="1:10" x14ac:dyDescent="0.2">
      <c r="A4667">
        <v>14666</v>
      </c>
      <c r="B4667" t="s">
        <v>7</v>
      </c>
      <c r="C4667" t="s">
        <v>11</v>
      </c>
      <c r="D4667" s="8">
        <v>12.81</v>
      </c>
      <c r="E4667">
        <v>9</v>
      </c>
      <c r="F4667" t="str">
        <f t="shared" si="288"/>
        <v>Premium</v>
      </c>
      <c r="G4667" s="3" cm="1">
        <f t="array" ref="G4667">_xlfn.XLOOKUP(C4667 &amp; F4667,
         [1]unilever_price_limits!A:A &amp; [1]unilever_price_limits!B:B,
         [1]unilever_price_limits!C:C)</f>
        <v>50</v>
      </c>
      <c r="H4667" s="8">
        <f t="shared" si="289"/>
        <v>19.215</v>
      </c>
      <c r="I4667" s="6">
        <f t="shared" si="290"/>
        <v>50</v>
      </c>
      <c r="J4667" t="str">
        <f t="shared" si="291"/>
        <v>OK</v>
      </c>
    </row>
    <row r="4668" spans="1:10" x14ac:dyDescent="0.2">
      <c r="A4668">
        <v>14667</v>
      </c>
      <c r="B4668" t="s">
        <v>10</v>
      </c>
      <c r="C4668" t="s">
        <v>9</v>
      </c>
      <c r="D4668" s="8">
        <v>0.64</v>
      </c>
      <c r="E4668">
        <v>5</v>
      </c>
      <c r="F4668" t="str">
        <f t="shared" si="288"/>
        <v>Standard</v>
      </c>
      <c r="G4668" s="3" cm="1">
        <f t="array" ref="G4668">_xlfn.XLOOKUP(C4668 &amp; F4668,
         [1]unilever_price_limits!A:A &amp; [1]unilever_price_limits!B:B,
         [1]unilever_price_limits!C:C)</f>
        <v>30</v>
      </c>
      <c r="H4668" s="8">
        <f t="shared" si="289"/>
        <v>0.83200000000000007</v>
      </c>
      <c r="I4668" s="6">
        <f t="shared" si="290"/>
        <v>30.000000000000004</v>
      </c>
      <c r="J4668" t="str">
        <f t="shared" si="291"/>
        <v>OK</v>
      </c>
    </row>
    <row r="4669" spans="1:10" x14ac:dyDescent="0.2">
      <c r="A4669">
        <v>14668</v>
      </c>
      <c r="B4669" t="s">
        <v>10</v>
      </c>
      <c r="C4669" t="s">
        <v>11</v>
      </c>
      <c r="D4669" s="8">
        <v>14.09</v>
      </c>
      <c r="E4669">
        <v>6</v>
      </c>
      <c r="F4669" t="str">
        <f t="shared" si="288"/>
        <v>Standard</v>
      </c>
      <c r="G4669" s="3" cm="1">
        <f t="array" ref="G4669">_xlfn.XLOOKUP(C4669 &amp; F4669,
         [1]unilever_price_limits!A:A &amp; [1]unilever_price_limits!B:B,
         [1]unilever_price_limits!C:C)</f>
        <v>25</v>
      </c>
      <c r="H4669" s="8">
        <f t="shared" si="289"/>
        <v>17.612500000000001</v>
      </c>
      <c r="I4669" s="6">
        <f t="shared" si="290"/>
        <v>25</v>
      </c>
      <c r="J4669" t="str">
        <f t="shared" si="291"/>
        <v>OK</v>
      </c>
    </row>
    <row r="4670" spans="1:10" x14ac:dyDescent="0.2">
      <c r="A4670">
        <v>14669</v>
      </c>
      <c r="B4670" t="s">
        <v>10</v>
      </c>
      <c r="C4670" t="s">
        <v>6</v>
      </c>
      <c r="D4670" s="8">
        <v>9.6</v>
      </c>
      <c r="E4670">
        <v>4</v>
      </c>
      <c r="F4670" t="str">
        <f t="shared" si="288"/>
        <v>Standard</v>
      </c>
      <c r="G4670" s="3" cm="1">
        <f t="array" ref="G4670">_xlfn.XLOOKUP(C4670 &amp; F4670,
         [1]unilever_price_limits!A:A &amp; [1]unilever_price_limits!B:B,
         [1]unilever_price_limits!C:C)</f>
        <v>28</v>
      </c>
      <c r="H4670" s="8">
        <f t="shared" si="289"/>
        <v>12.288</v>
      </c>
      <c r="I4670" s="6">
        <f t="shared" si="290"/>
        <v>28.000000000000004</v>
      </c>
      <c r="J4670" t="str">
        <f t="shared" si="291"/>
        <v>OK</v>
      </c>
    </row>
    <row r="4671" spans="1:10" x14ac:dyDescent="0.2">
      <c r="A4671">
        <v>14670</v>
      </c>
      <c r="B4671" t="s">
        <v>7</v>
      </c>
      <c r="C4671" t="s">
        <v>6</v>
      </c>
      <c r="D4671" s="8">
        <v>5.17</v>
      </c>
      <c r="E4671">
        <v>3</v>
      </c>
      <c r="F4671" t="str">
        <f t="shared" si="288"/>
        <v>Value</v>
      </c>
      <c r="G4671" s="3" cm="1">
        <f t="array" ref="G4671">_xlfn.XLOOKUP(C4671 &amp; F4671,
         [1]unilever_price_limits!A:A &amp; [1]unilever_price_limits!B:B,
         [1]unilever_price_limits!C:C)</f>
        <v>12</v>
      </c>
      <c r="H4671" s="8">
        <f t="shared" si="289"/>
        <v>5.7904000000000009</v>
      </c>
      <c r="I4671" s="6">
        <f t="shared" si="290"/>
        <v>12.000000000000011</v>
      </c>
      <c r="J4671" t="str">
        <f t="shared" si="291"/>
        <v>OK</v>
      </c>
    </row>
    <row r="4672" spans="1:10" x14ac:dyDescent="0.2">
      <c r="A4672">
        <v>14671</v>
      </c>
      <c r="B4672" t="s">
        <v>10</v>
      </c>
      <c r="C4672" t="s">
        <v>9</v>
      </c>
      <c r="D4672" s="8">
        <v>4.07</v>
      </c>
      <c r="E4672">
        <v>6</v>
      </c>
      <c r="F4672" t="str">
        <f t="shared" si="288"/>
        <v>Standard</v>
      </c>
      <c r="G4672" s="3" cm="1">
        <f t="array" ref="G4672">_xlfn.XLOOKUP(C4672 &amp; F4672,
         [1]unilever_price_limits!A:A &amp; [1]unilever_price_limits!B:B,
         [1]unilever_price_limits!C:C)</f>
        <v>30</v>
      </c>
      <c r="H4672" s="8">
        <f t="shared" si="289"/>
        <v>5.2910000000000004</v>
      </c>
      <c r="I4672" s="6">
        <f t="shared" si="290"/>
        <v>30.000000000000004</v>
      </c>
      <c r="J4672" t="str">
        <f t="shared" si="291"/>
        <v>OK</v>
      </c>
    </row>
    <row r="4673" spans="1:10" x14ac:dyDescent="0.2">
      <c r="A4673">
        <v>14672</v>
      </c>
      <c r="B4673" t="s">
        <v>8</v>
      </c>
      <c r="C4673" t="s">
        <v>9</v>
      </c>
      <c r="D4673" s="8">
        <v>0.63</v>
      </c>
      <c r="E4673">
        <v>5</v>
      </c>
      <c r="F4673" t="str">
        <f t="shared" si="288"/>
        <v>Standard</v>
      </c>
      <c r="G4673" s="3" cm="1">
        <f t="array" ref="G4673">_xlfn.XLOOKUP(C4673 &amp; F4673,
         [1]unilever_price_limits!A:A &amp; [1]unilever_price_limits!B:B,
         [1]unilever_price_limits!C:C)</f>
        <v>30</v>
      </c>
      <c r="H4673" s="8">
        <f t="shared" si="289"/>
        <v>0.81900000000000006</v>
      </c>
      <c r="I4673" s="6">
        <f t="shared" si="290"/>
        <v>30.000000000000004</v>
      </c>
      <c r="J4673" t="str">
        <f t="shared" si="291"/>
        <v>OK</v>
      </c>
    </row>
    <row r="4674" spans="1:10" x14ac:dyDescent="0.2">
      <c r="A4674">
        <v>14673</v>
      </c>
      <c r="B4674" t="s">
        <v>5</v>
      </c>
      <c r="C4674" t="s">
        <v>6</v>
      </c>
      <c r="D4674" s="8">
        <v>3.91</v>
      </c>
      <c r="E4674">
        <v>4</v>
      </c>
      <c r="F4674" t="str">
        <f t="shared" si="288"/>
        <v>Standard</v>
      </c>
      <c r="G4674" s="3" cm="1">
        <f t="array" ref="G4674">_xlfn.XLOOKUP(C4674 &amp; F4674,
         [1]unilever_price_limits!A:A &amp; [1]unilever_price_limits!B:B,
         [1]unilever_price_limits!C:C)</f>
        <v>28</v>
      </c>
      <c r="H4674" s="8">
        <f t="shared" si="289"/>
        <v>5.0048000000000004</v>
      </c>
      <c r="I4674" s="6">
        <f t="shared" si="290"/>
        <v>28.000000000000004</v>
      </c>
      <c r="J4674" t="str">
        <f t="shared" si="291"/>
        <v>OK</v>
      </c>
    </row>
    <row r="4675" spans="1:10" x14ac:dyDescent="0.2">
      <c r="A4675">
        <v>14674</v>
      </c>
      <c r="B4675" t="s">
        <v>7</v>
      </c>
      <c r="C4675" t="s">
        <v>6</v>
      </c>
      <c r="D4675" s="8">
        <v>2.5</v>
      </c>
      <c r="E4675">
        <v>5</v>
      </c>
      <c r="F4675" t="str">
        <f t="shared" ref="F4675:F4738" si="292">IF(E4675&lt;=3,"Value",
 IF(E4675&lt;=7,"Standard","Premium"))</f>
        <v>Standard</v>
      </c>
      <c r="G4675" s="3" cm="1">
        <f t="array" ref="G4675">_xlfn.XLOOKUP(C4675 &amp; F4675,
         [1]unilever_price_limits!A:A &amp; [1]unilever_price_limits!B:B,
         [1]unilever_price_limits!C:C)</f>
        <v>28</v>
      </c>
      <c r="H4675" s="8">
        <f t="shared" ref="H4675:H4738" si="293">D4675 * (1 + G4675/100)</f>
        <v>3.2</v>
      </c>
      <c r="I4675" s="6">
        <f t="shared" ref="I4675:I4738" si="294">(H4675 / D4675 - 1) * 100</f>
        <v>28.000000000000004</v>
      </c>
      <c r="J4675" t="str">
        <f t="shared" ref="J4675:J4738" si="295">IF(I4674&gt; G4674, "⚠ Exceeds Limit", "OK")</f>
        <v>OK</v>
      </c>
    </row>
    <row r="4676" spans="1:10" x14ac:dyDescent="0.2">
      <c r="A4676">
        <v>14675</v>
      </c>
      <c r="B4676" t="s">
        <v>10</v>
      </c>
      <c r="C4676" t="s">
        <v>6</v>
      </c>
      <c r="D4676" s="8">
        <v>9.3800000000000008</v>
      </c>
      <c r="E4676">
        <v>7</v>
      </c>
      <c r="F4676" t="str">
        <f t="shared" si="292"/>
        <v>Standard</v>
      </c>
      <c r="G4676" s="3" cm="1">
        <f t="array" ref="G4676">_xlfn.XLOOKUP(C4676 &amp; F4676,
         [1]unilever_price_limits!A:A &amp; [1]unilever_price_limits!B:B,
         [1]unilever_price_limits!C:C)</f>
        <v>28</v>
      </c>
      <c r="H4676" s="8">
        <f t="shared" si="293"/>
        <v>12.006400000000001</v>
      </c>
      <c r="I4676" s="6">
        <f t="shared" si="294"/>
        <v>28.000000000000004</v>
      </c>
      <c r="J4676" t="str">
        <f t="shared" si="295"/>
        <v>OK</v>
      </c>
    </row>
    <row r="4677" spans="1:10" x14ac:dyDescent="0.2">
      <c r="A4677">
        <v>14676</v>
      </c>
      <c r="B4677" t="s">
        <v>8</v>
      </c>
      <c r="C4677" t="s">
        <v>9</v>
      </c>
      <c r="D4677" s="8">
        <v>2.91</v>
      </c>
      <c r="E4677">
        <v>1</v>
      </c>
      <c r="F4677" t="str">
        <f t="shared" si="292"/>
        <v>Value</v>
      </c>
      <c r="G4677" s="3" cm="1">
        <f t="array" ref="G4677">_xlfn.XLOOKUP(C4677 &amp; F4677,
         [1]unilever_price_limits!A:A &amp; [1]unilever_price_limits!B:B,
         [1]unilever_price_limits!C:C)</f>
        <v>15</v>
      </c>
      <c r="H4677" s="8">
        <f t="shared" si="293"/>
        <v>3.3464999999999998</v>
      </c>
      <c r="I4677" s="6">
        <f t="shared" si="294"/>
        <v>14.999999999999991</v>
      </c>
      <c r="J4677" t="str">
        <f t="shared" si="295"/>
        <v>OK</v>
      </c>
    </row>
    <row r="4678" spans="1:10" x14ac:dyDescent="0.2">
      <c r="A4678">
        <v>14677</v>
      </c>
      <c r="B4678" t="s">
        <v>5</v>
      </c>
      <c r="C4678" t="s">
        <v>6</v>
      </c>
      <c r="D4678" s="8">
        <v>8.17</v>
      </c>
      <c r="E4678">
        <v>1</v>
      </c>
      <c r="F4678" t="str">
        <f t="shared" si="292"/>
        <v>Value</v>
      </c>
      <c r="G4678" s="3" cm="1">
        <f t="array" ref="G4678">_xlfn.XLOOKUP(C4678 &amp; F4678,
         [1]unilever_price_limits!A:A &amp; [1]unilever_price_limits!B:B,
         [1]unilever_price_limits!C:C)</f>
        <v>12</v>
      </c>
      <c r="H4678" s="8">
        <f t="shared" si="293"/>
        <v>9.1504000000000012</v>
      </c>
      <c r="I4678" s="6">
        <f t="shared" si="294"/>
        <v>12.000000000000011</v>
      </c>
      <c r="J4678" t="str">
        <f t="shared" si="295"/>
        <v>OK</v>
      </c>
    </row>
    <row r="4679" spans="1:10" x14ac:dyDescent="0.2">
      <c r="A4679">
        <v>14678</v>
      </c>
      <c r="B4679" t="s">
        <v>5</v>
      </c>
      <c r="C4679" t="s">
        <v>6</v>
      </c>
      <c r="D4679" s="8">
        <v>9.06</v>
      </c>
      <c r="E4679">
        <v>1</v>
      </c>
      <c r="F4679" t="str">
        <f t="shared" si="292"/>
        <v>Value</v>
      </c>
      <c r="G4679" s="3" cm="1">
        <f t="array" ref="G4679">_xlfn.XLOOKUP(C4679 &amp; F4679,
         [1]unilever_price_limits!A:A &amp; [1]unilever_price_limits!B:B,
         [1]unilever_price_limits!C:C)</f>
        <v>12</v>
      </c>
      <c r="H4679" s="8">
        <f t="shared" si="293"/>
        <v>10.147200000000002</v>
      </c>
      <c r="I4679" s="6">
        <f t="shared" si="294"/>
        <v>12.000000000000011</v>
      </c>
      <c r="J4679" t="str">
        <f t="shared" si="295"/>
        <v>OK</v>
      </c>
    </row>
    <row r="4680" spans="1:10" x14ac:dyDescent="0.2">
      <c r="A4680">
        <v>14679</v>
      </c>
      <c r="B4680" t="s">
        <v>7</v>
      </c>
      <c r="C4680" t="s">
        <v>9</v>
      </c>
      <c r="D4680" s="8">
        <v>4.82</v>
      </c>
      <c r="E4680">
        <v>2</v>
      </c>
      <c r="F4680" t="str">
        <f t="shared" si="292"/>
        <v>Value</v>
      </c>
      <c r="G4680" s="3" cm="1">
        <f t="array" ref="G4680">_xlfn.XLOOKUP(C4680 &amp; F4680,
         [1]unilever_price_limits!A:A &amp; [1]unilever_price_limits!B:B,
         [1]unilever_price_limits!C:C)</f>
        <v>15</v>
      </c>
      <c r="H4680" s="8">
        <f t="shared" si="293"/>
        <v>5.5430000000000001</v>
      </c>
      <c r="I4680" s="6">
        <f t="shared" si="294"/>
        <v>14.999999999999991</v>
      </c>
      <c r="J4680" t="str">
        <f t="shared" si="295"/>
        <v>OK</v>
      </c>
    </row>
    <row r="4681" spans="1:10" x14ac:dyDescent="0.2">
      <c r="A4681">
        <v>14680</v>
      </c>
      <c r="B4681" t="s">
        <v>7</v>
      </c>
      <c r="C4681" t="s">
        <v>11</v>
      </c>
      <c r="D4681" s="8">
        <v>1.01</v>
      </c>
      <c r="E4681">
        <v>9</v>
      </c>
      <c r="F4681" t="str">
        <f t="shared" si="292"/>
        <v>Premium</v>
      </c>
      <c r="G4681" s="3" cm="1">
        <f t="array" ref="G4681">_xlfn.XLOOKUP(C4681 &amp; F4681,
         [1]unilever_price_limits!A:A &amp; [1]unilever_price_limits!B:B,
         [1]unilever_price_limits!C:C)</f>
        <v>50</v>
      </c>
      <c r="H4681" s="8">
        <f t="shared" si="293"/>
        <v>1.5150000000000001</v>
      </c>
      <c r="I4681" s="6">
        <f t="shared" si="294"/>
        <v>50</v>
      </c>
      <c r="J4681" t="str">
        <f t="shared" si="295"/>
        <v>OK</v>
      </c>
    </row>
    <row r="4682" spans="1:10" x14ac:dyDescent="0.2">
      <c r="A4682">
        <v>14681</v>
      </c>
      <c r="B4682" t="s">
        <v>7</v>
      </c>
      <c r="C4682" t="s">
        <v>11</v>
      </c>
      <c r="D4682" s="8">
        <v>1.04</v>
      </c>
      <c r="E4682">
        <v>5</v>
      </c>
      <c r="F4682" t="str">
        <f t="shared" si="292"/>
        <v>Standard</v>
      </c>
      <c r="G4682" s="3" cm="1">
        <f t="array" ref="G4682">_xlfn.XLOOKUP(C4682 &amp; F4682,
         [1]unilever_price_limits!A:A &amp; [1]unilever_price_limits!B:B,
         [1]unilever_price_limits!C:C)</f>
        <v>25</v>
      </c>
      <c r="H4682" s="8">
        <f t="shared" si="293"/>
        <v>1.3</v>
      </c>
      <c r="I4682" s="6">
        <f t="shared" si="294"/>
        <v>25</v>
      </c>
      <c r="J4682" t="str">
        <f t="shared" si="295"/>
        <v>OK</v>
      </c>
    </row>
    <row r="4683" spans="1:10" x14ac:dyDescent="0.2">
      <c r="A4683">
        <v>14682</v>
      </c>
      <c r="B4683" t="s">
        <v>8</v>
      </c>
      <c r="C4683" t="s">
        <v>6</v>
      </c>
      <c r="D4683" s="8">
        <v>0.88</v>
      </c>
      <c r="E4683">
        <v>9</v>
      </c>
      <c r="F4683" t="str">
        <f t="shared" si="292"/>
        <v>Premium</v>
      </c>
      <c r="G4683" s="3" cm="1">
        <f t="array" ref="G4683">_xlfn.XLOOKUP(C4683 &amp; F4683,
         [1]unilever_price_limits!A:A &amp; [1]unilever_price_limits!B:B,
         [1]unilever_price_limits!C:C)</f>
        <v>55</v>
      </c>
      <c r="H4683" s="8">
        <f t="shared" si="293"/>
        <v>1.3640000000000001</v>
      </c>
      <c r="I4683" s="6">
        <f t="shared" si="294"/>
        <v>55.000000000000007</v>
      </c>
      <c r="J4683" t="str">
        <f t="shared" si="295"/>
        <v>OK</v>
      </c>
    </row>
    <row r="4684" spans="1:10" x14ac:dyDescent="0.2">
      <c r="A4684">
        <v>14683</v>
      </c>
      <c r="B4684" t="s">
        <v>8</v>
      </c>
      <c r="C4684" t="s">
        <v>11</v>
      </c>
      <c r="D4684" s="8">
        <v>11.22</v>
      </c>
      <c r="E4684">
        <v>5</v>
      </c>
      <c r="F4684" t="str">
        <f t="shared" si="292"/>
        <v>Standard</v>
      </c>
      <c r="G4684" s="3" cm="1">
        <f t="array" ref="G4684">_xlfn.XLOOKUP(C4684 &amp; F4684,
         [1]unilever_price_limits!A:A &amp; [1]unilever_price_limits!B:B,
         [1]unilever_price_limits!C:C)</f>
        <v>25</v>
      </c>
      <c r="H4684" s="8">
        <f t="shared" si="293"/>
        <v>14.025</v>
      </c>
      <c r="I4684" s="6">
        <f t="shared" si="294"/>
        <v>25</v>
      </c>
      <c r="J4684" t="str">
        <f t="shared" si="295"/>
        <v>OK</v>
      </c>
    </row>
    <row r="4685" spans="1:10" x14ac:dyDescent="0.2">
      <c r="A4685">
        <v>14684</v>
      </c>
      <c r="B4685" t="s">
        <v>7</v>
      </c>
      <c r="C4685" t="s">
        <v>11</v>
      </c>
      <c r="D4685" s="8">
        <v>5.1100000000000003</v>
      </c>
      <c r="E4685">
        <v>7</v>
      </c>
      <c r="F4685" t="str">
        <f t="shared" si="292"/>
        <v>Standard</v>
      </c>
      <c r="G4685" s="3" cm="1">
        <f t="array" ref="G4685">_xlfn.XLOOKUP(C4685 &amp; F4685,
         [1]unilever_price_limits!A:A &amp; [1]unilever_price_limits!B:B,
         [1]unilever_price_limits!C:C)</f>
        <v>25</v>
      </c>
      <c r="H4685" s="8">
        <f t="shared" si="293"/>
        <v>6.3875000000000002</v>
      </c>
      <c r="I4685" s="6">
        <f t="shared" si="294"/>
        <v>25</v>
      </c>
      <c r="J4685" t="str">
        <f t="shared" si="295"/>
        <v>OK</v>
      </c>
    </row>
    <row r="4686" spans="1:10" x14ac:dyDescent="0.2">
      <c r="A4686">
        <v>14685</v>
      </c>
      <c r="B4686" t="s">
        <v>10</v>
      </c>
      <c r="C4686" t="s">
        <v>11</v>
      </c>
      <c r="D4686" s="8">
        <v>12.05</v>
      </c>
      <c r="E4686">
        <v>6</v>
      </c>
      <c r="F4686" t="str">
        <f t="shared" si="292"/>
        <v>Standard</v>
      </c>
      <c r="G4686" s="3" cm="1">
        <f t="array" ref="G4686">_xlfn.XLOOKUP(C4686 &amp; F4686,
         [1]unilever_price_limits!A:A &amp; [1]unilever_price_limits!B:B,
         [1]unilever_price_limits!C:C)</f>
        <v>25</v>
      </c>
      <c r="H4686" s="8">
        <f t="shared" si="293"/>
        <v>15.0625</v>
      </c>
      <c r="I4686" s="6">
        <f t="shared" si="294"/>
        <v>25</v>
      </c>
      <c r="J4686" t="str">
        <f t="shared" si="295"/>
        <v>OK</v>
      </c>
    </row>
    <row r="4687" spans="1:10" x14ac:dyDescent="0.2">
      <c r="A4687">
        <v>14686</v>
      </c>
      <c r="B4687" t="s">
        <v>5</v>
      </c>
      <c r="C4687" t="s">
        <v>11</v>
      </c>
      <c r="D4687" s="8">
        <v>6.76</v>
      </c>
      <c r="E4687">
        <v>2</v>
      </c>
      <c r="F4687" t="str">
        <f t="shared" si="292"/>
        <v>Value</v>
      </c>
      <c r="G4687" s="3" cm="1">
        <f t="array" ref="G4687">_xlfn.XLOOKUP(C4687 &amp; F4687,
         [1]unilever_price_limits!A:A &amp; [1]unilever_price_limits!B:B,
         [1]unilever_price_limits!C:C)</f>
        <v>10</v>
      </c>
      <c r="H4687" s="8">
        <f t="shared" si="293"/>
        <v>7.4359999999999999</v>
      </c>
      <c r="I4687" s="6">
        <f t="shared" si="294"/>
        <v>10.000000000000009</v>
      </c>
      <c r="J4687" t="str">
        <f t="shared" si="295"/>
        <v>OK</v>
      </c>
    </row>
    <row r="4688" spans="1:10" x14ac:dyDescent="0.2">
      <c r="A4688">
        <v>14687</v>
      </c>
      <c r="B4688" t="s">
        <v>5</v>
      </c>
      <c r="C4688" t="s">
        <v>6</v>
      </c>
      <c r="D4688" s="8">
        <v>7.07</v>
      </c>
      <c r="E4688">
        <v>3</v>
      </c>
      <c r="F4688" t="str">
        <f t="shared" si="292"/>
        <v>Value</v>
      </c>
      <c r="G4688" s="3" cm="1">
        <f t="array" ref="G4688">_xlfn.XLOOKUP(C4688 &amp; F4688,
         [1]unilever_price_limits!A:A &amp; [1]unilever_price_limits!B:B,
         [1]unilever_price_limits!C:C)</f>
        <v>12</v>
      </c>
      <c r="H4688" s="8">
        <f t="shared" si="293"/>
        <v>7.918400000000001</v>
      </c>
      <c r="I4688" s="6">
        <f t="shared" si="294"/>
        <v>12.000000000000011</v>
      </c>
      <c r="J4688" t="str">
        <f t="shared" si="295"/>
        <v>OK</v>
      </c>
    </row>
    <row r="4689" spans="1:10" x14ac:dyDescent="0.2">
      <c r="A4689">
        <v>14688</v>
      </c>
      <c r="B4689" t="s">
        <v>8</v>
      </c>
      <c r="C4689" t="s">
        <v>11</v>
      </c>
      <c r="D4689" s="8">
        <v>7.94</v>
      </c>
      <c r="E4689">
        <v>5</v>
      </c>
      <c r="F4689" t="str">
        <f t="shared" si="292"/>
        <v>Standard</v>
      </c>
      <c r="G4689" s="3" cm="1">
        <f t="array" ref="G4689">_xlfn.XLOOKUP(C4689 &amp; F4689,
         [1]unilever_price_limits!A:A &amp; [1]unilever_price_limits!B:B,
         [1]unilever_price_limits!C:C)</f>
        <v>25</v>
      </c>
      <c r="H4689" s="8">
        <f t="shared" si="293"/>
        <v>9.9250000000000007</v>
      </c>
      <c r="I4689" s="6">
        <f t="shared" si="294"/>
        <v>25</v>
      </c>
      <c r="J4689" t="str">
        <f t="shared" si="295"/>
        <v>OK</v>
      </c>
    </row>
    <row r="4690" spans="1:10" x14ac:dyDescent="0.2">
      <c r="A4690">
        <v>14689</v>
      </c>
      <c r="B4690" t="s">
        <v>5</v>
      </c>
      <c r="C4690" t="s">
        <v>11</v>
      </c>
      <c r="D4690" s="8">
        <v>10.84</v>
      </c>
      <c r="E4690">
        <v>4</v>
      </c>
      <c r="F4690" t="str">
        <f t="shared" si="292"/>
        <v>Standard</v>
      </c>
      <c r="G4690" s="3" cm="1">
        <f t="array" ref="G4690">_xlfn.XLOOKUP(C4690 &amp; F4690,
         [1]unilever_price_limits!A:A &amp; [1]unilever_price_limits!B:B,
         [1]unilever_price_limits!C:C)</f>
        <v>25</v>
      </c>
      <c r="H4690" s="8">
        <f t="shared" si="293"/>
        <v>13.55</v>
      </c>
      <c r="I4690" s="6">
        <f t="shared" si="294"/>
        <v>25</v>
      </c>
      <c r="J4690" t="str">
        <f t="shared" si="295"/>
        <v>OK</v>
      </c>
    </row>
    <row r="4691" spans="1:10" x14ac:dyDescent="0.2">
      <c r="A4691">
        <v>14690</v>
      </c>
      <c r="B4691" t="s">
        <v>10</v>
      </c>
      <c r="C4691" t="s">
        <v>9</v>
      </c>
      <c r="D4691" s="8">
        <v>4.47</v>
      </c>
      <c r="E4691">
        <v>6</v>
      </c>
      <c r="F4691" t="str">
        <f t="shared" si="292"/>
        <v>Standard</v>
      </c>
      <c r="G4691" s="3" cm="1">
        <f t="array" ref="G4691">_xlfn.XLOOKUP(C4691 &amp; F4691,
         [1]unilever_price_limits!A:A &amp; [1]unilever_price_limits!B:B,
         [1]unilever_price_limits!C:C)</f>
        <v>30</v>
      </c>
      <c r="H4691" s="8">
        <f t="shared" si="293"/>
        <v>5.8109999999999999</v>
      </c>
      <c r="I4691" s="6">
        <f t="shared" si="294"/>
        <v>30.000000000000004</v>
      </c>
      <c r="J4691" t="str">
        <f t="shared" si="295"/>
        <v>OK</v>
      </c>
    </row>
    <row r="4692" spans="1:10" x14ac:dyDescent="0.2">
      <c r="A4692">
        <v>14691</v>
      </c>
      <c r="B4692" t="s">
        <v>5</v>
      </c>
      <c r="C4692" t="s">
        <v>6</v>
      </c>
      <c r="D4692" s="8">
        <v>2.2599999999999998</v>
      </c>
      <c r="E4692">
        <v>8</v>
      </c>
      <c r="F4692" t="str">
        <f t="shared" si="292"/>
        <v>Premium</v>
      </c>
      <c r="G4692" s="3" cm="1">
        <f t="array" ref="G4692">_xlfn.XLOOKUP(C4692 &amp; F4692,
         [1]unilever_price_limits!A:A &amp; [1]unilever_price_limits!B:B,
         [1]unilever_price_limits!C:C)</f>
        <v>55</v>
      </c>
      <c r="H4692" s="8">
        <f t="shared" si="293"/>
        <v>3.5029999999999997</v>
      </c>
      <c r="I4692" s="6">
        <f t="shared" si="294"/>
        <v>55.000000000000007</v>
      </c>
      <c r="J4692" t="str">
        <f t="shared" si="295"/>
        <v>OK</v>
      </c>
    </row>
    <row r="4693" spans="1:10" x14ac:dyDescent="0.2">
      <c r="A4693">
        <v>14692</v>
      </c>
      <c r="B4693" t="s">
        <v>8</v>
      </c>
      <c r="C4693" t="s">
        <v>9</v>
      </c>
      <c r="D4693" s="8">
        <v>8.56</v>
      </c>
      <c r="E4693">
        <v>8</v>
      </c>
      <c r="F4693" t="str">
        <f t="shared" si="292"/>
        <v>Premium</v>
      </c>
      <c r="G4693" s="3" cm="1">
        <f t="array" ref="G4693">_xlfn.XLOOKUP(C4693 &amp; F4693,
         [1]unilever_price_limits!A:A &amp; [1]unilever_price_limits!B:B,
         [1]unilever_price_limits!C:C)</f>
        <v>60</v>
      </c>
      <c r="H4693" s="8">
        <f t="shared" si="293"/>
        <v>13.696000000000002</v>
      </c>
      <c r="I4693" s="6">
        <f t="shared" si="294"/>
        <v>60.000000000000007</v>
      </c>
      <c r="J4693" t="str">
        <f t="shared" si="295"/>
        <v>OK</v>
      </c>
    </row>
    <row r="4694" spans="1:10" x14ac:dyDescent="0.2">
      <c r="A4694">
        <v>14693</v>
      </c>
      <c r="B4694" t="s">
        <v>8</v>
      </c>
      <c r="C4694" t="s">
        <v>9</v>
      </c>
      <c r="D4694" s="8">
        <v>5.24</v>
      </c>
      <c r="E4694">
        <v>3</v>
      </c>
      <c r="F4694" t="str">
        <f t="shared" si="292"/>
        <v>Value</v>
      </c>
      <c r="G4694" s="3" cm="1">
        <f t="array" ref="G4694">_xlfn.XLOOKUP(C4694 &amp; F4694,
         [1]unilever_price_limits!A:A &amp; [1]unilever_price_limits!B:B,
         [1]unilever_price_limits!C:C)</f>
        <v>15</v>
      </c>
      <c r="H4694" s="8">
        <f t="shared" si="293"/>
        <v>6.0259999999999998</v>
      </c>
      <c r="I4694" s="6">
        <f t="shared" si="294"/>
        <v>14.999999999999991</v>
      </c>
      <c r="J4694" t="str">
        <f t="shared" si="295"/>
        <v>OK</v>
      </c>
    </row>
    <row r="4695" spans="1:10" x14ac:dyDescent="0.2">
      <c r="A4695">
        <v>14694</v>
      </c>
      <c r="B4695" t="s">
        <v>10</v>
      </c>
      <c r="C4695" t="s">
        <v>6</v>
      </c>
      <c r="D4695" s="8">
        <v>6.92</v>
      </c>
      <c r="E4695">
        <v>4</v>
      </c>
      <c r="F4695" t="str">
        <f t="shared" si="292"/>
        <v>Standard</v>
      </c>
      <c r="G4695" s="3" cm="1">
        <f t="array" ref="G4695">_xlfn.XLOOKUP(C4695 &amp; F4695,
         [1]unilever_price_limits!A:A &amp; [1]unilever_price_limits!B:B,
         [1]unilever_price_limits!C:C)</f>
        <v>28</v>
      </c>
      <c r="H4695" s="8">
        <f t="shared" si="293"/>
        <v>8.8575999999999997</v>
      </c>
      <c r="I4695" s="6">
        <f t="shared" si="294"/>
        <v>28.000000000000004</v>
      </c>
      <c r="J4695" t="str">
        <f t="shared" si="295"/>
        <v>OK</v>
      </c>
    </row>
    <row r="4696" spans="1:10" x14ac:dyDescent="0.2">
      <c r="A4696">
        <v>14695</v>
      </c>
      <c r="B4696" t="s">
        <v>10</v>
      </c>
      <c r="C4696" t="s">
        <v>11</v>
      </c>
      <c r="D4696" s="8">
        <v>9.8800000000000008</v>
      </c>
      <c r="E4696">
        <v>1</v>
      </c>
      <c r="F4696" t="str">
        <f t="shared" si="292"/>
        <v>Value</v>
      </c>
      <c r="G4696" s="3" cm="1">
        <f t="array" ref="G4696">_xlfn.XLOOKUP(C4696 &amp; F4696,
         [1]unilever_price_limits!A:A &amp; [1]unilever_price_limits!B:B,
         [1]unilever_price_limits!C:C)</f>
        <v>10</v>
      </c>
      <c r="H4696" s="8">
        <f t="shared" si="293"/>
        <v>10.868000000000002</v>
      </c>
      <c r="I4696" s="6">
        <f t="shared" si="294"/>
        <v>10.000000000000009</v>
      </c>
      <c r="J4696" t="str">
        <f t="shared" si="295"/>
        <v>OK</v>
      </c>
    </row>
    <row r="4697" spans="1:10" x14ac:dyDescent="0.2">
      <c r="A4697">
        <v>14696</v>
      </c>
      <c r="B4697" t="s">
        <v>5</v>
      </c>
      <c r="C4697" t="s">
        <v>9</v>
      </c>
      <c r="D4697" s="8">
        <v>7.66</v>
      </c>
      <c r="E4697">
        <v>2</v>
      </c>
      <c r="F4697" t="str">
        <f t="shared" si="292"/>
        <v>Value</v>
      </c>
      <c r="G4697" s="3" cm="1">
        <f t="array" ref="G4697">_xlfn.XLOOKUP(C4697 &amp; F4697,
         [1]unilever_price_limits!A:A &amp; [1]unilever_price_limits!B:B,
         [1]unilever_price_limits!C:C)</f>
        <v>15</v>
      </c>
      <c r="H4697" s="8">
        <f t="shared" si="293"/>
        <v>8.8089999999999993</v>
      </c>
      <c r="I4697" s="6">
        <f t="shared" si="294"/>
        <v>14.999999999999991</v>
      </c>
      <c r="J4697" t="str">
        <f t="shared" si="295"/>
        <v>OK</v>
      </c>
    </row>
    <row r="4698" spans="1:10" x14ac:dyDescent="0.2">
      <c r="A4698">
        <v>14697</v>
      </c>
      <c r="B4698" t="s">
        <v>5</v>
      </c>
      <c r="C4698" t="s">
        <v>6</v>
      </c>
      <c r="D4698" s="8">
        <v>9.49</v>
      </c>
      <c r="E4698">
        <v>9</v>
      </c>
      <c r="F4698" t="str">
        <f t="shared" si="292"/>
        <v>Premium</v>
      </c>
      <c r="G4698" s="3" cm="1">
        <f t="array" ref="G4698">_xlfn.XLOOKUP(C4698 &amp; F4698,
         [1]unilever_price_limits!A:A &amp; [1]unilever_price_limits!B:B,
         [1]unilever_price_limits!C:C)</f>
        <v>55</v>
      </c>
      <c r="H4698" s="8">
        <f t="shared" si="293"/>
        <v>14.7095</v>
      </c>
      <c r="I4698" s="6">
        <f t="shared" si="294"/>
        <v>55.000000000000007</v>
      </c>
      <c r="J4698" t="str">
        <f t="shared" si="295"/>
        <v>OK</v>
      </c>
    </row>
    <row r="4699" spans="1:10" x14ac:dyDescent="0.2">
      <c r="A4699">
        <v>14698</v>
      </c>
      <c r="B4699" t="s">
        <v>8</v>
      </c>
      <c r="C4699" t="s">
        <v>11</v>
      </c>
      <c r="D4699" s="8">
        <v>8.39</v>
      </c>
      <c r="E4699">
        <v>10</v>
      </c>
      <c r="F4699" t="str">
        <f t="shared" si="292"/>
        <v>Premium</v>
      </c>
      <c r="G4699" s="3" cm="1">
        <f t="array" ref="G4699">_xlfn.XLOOKUP(C4699 &amp; F4699,
         [1]unilever_price_limits!A:A &amp; [1]unilever_price_limits!B:B,
         [1]unilever_price_limits!C:C)</f>
        <v>50</v>
      </c>
      <c r="H4699" s="8">
        <f t="shared" si="293"/>
        <v>12.585000000000001</v>
      </c>
      <c r="I4699" s="6">
        <f t="shared" si="294"/>
        <v>50</v>
      </c>
      <c r="J4699" t="str">
        <f t="shared" si="295"/>
        <v>OK</v>
      </c>
    </row>
    <row r="4700" spans="1:10" x14ac:dyDescent="0.2">
      <c r="A4700">
        <v>14699</v>
      </c>
      <c r="B4700" t="s">
        <v>10</v>
      </c>
      <c r="C4700" t="s">
        <v>6</v>
      </c>
      <c r="D4700" s="8">
        <v>11.23</v>
      </c>
      <c r="E4700">
        <v>10</v>
      </c>
      <c r="F4700" t="str">
        <f t="shared" si="292"/>
        <v>Premium</v>
      </c>
      <c r="G4700" s="3" cm="1">
        <f t="array" ref="G4700">_xlfn.XLOOKUP(C4700 &amp; F4700,
         [1]unilever_price_limits!A:A &amp; [1]unilever_price_limits!B:B,
         [1]unilever_price_limits!C:C)</f>
        <v>55</v>
      </c>
      <c r="H4700" s="8">
        <f t="shared" si="293"/>
        <v>17.406500000000001</v>
      </c>
      <c r="I4700" s="6">
        <f t="shared" si="294"/>
        <v>55.000000000000007</v>
      </c>
      <c r="J4700" t="str">
        <f t="shared" si="295"/>
        <v>OK</v>
      </c>
    </row>
    <row r="4701" spans="1:10" x14ac:dyDescent="0.2">
      <c r="A4701">
        <v>14700</v>
      </c>
      <c r="B4701" t="s">
        <v>10</v>
      </c>
      <c r="C4701" t="s">
        <v>9</v>
      </c>
      <c r="D4701" s="8">
        <v>10.74</v>
      </c>
      <c r="E4701">
        <v>2</v>
      </c>
      <c r="F4701" t="str">
        <f t="shared" si="292"/>
        <v>Value</v>
      </c>
      <c r="G4701" s="3" cm="1">
        <f t="array" ref="G4701">_xlfn.XLOOKUP(C4701 &amp; F4701,
         [1]unilever_price_limits!A:A &amp; [1]unilever_price_limits!B:B,
         [1]unilever_price_limits!C:C)</f>
        <v>15</v>
      </c>
      <c r="H4701" s="8">
        <f t="shared" si="293"/>
        <v>12.350999999999999</v>
      </c>
      <c r="I4701" s="6">
        <f t="shared" si="294"/>
        <v>14.999999999999991</v>
      </c>
      <c r="J4701" t="str">
        <f t="shared" si="295"/>
        <v>OK</v>
      </c>
    </row>
    <row r="4702" spans="1:10" x14ac:dyDescent="0.2">
      <c r="A4702">
        <v>14701</v>
      </c>
      <c r="B4702" t="s">
        <v>10</v>
      </c>
      <c r="C4702" t="s">
        <v>11</v>
      </c>
      <c r="D4702" s="8">
        <v>8.25</v>
      </c>
      <c r="E4702">
        <v>6</v>
      </c>
      <c r="F4702" t="str">
        <f t="shared" si="292"/>
        <v>Standard</v>
      </c>
      <c r="G4702" s="3" cm="1">
        <f t="array" ref="G4702">_xlfn.XLOOKUP(C4702 &amp; F4702,
         [1]unilever_price_limits!A:A &amp; [1]unilever_price_limits!B:B,
         [1]unilever_price_limits!C:C)</f>
        <v>25</v>
      </c>
      <c r="H4702" s="8">
        <f t="shared" si="293"/>
        <v>10.3125</v>
      </c>
      <c r="I4702" s="6">
        <f t="shared" si="294"/>
        <v>25</v>
      </c>
      <c r="J4702" t="str">
        <f t="shared" si="295"/>
        <v>OK</v>
      </c>
    </row>
    <row r="4703" spans="1:10" x14ac:dyDescent="0.2">
      <c r="A4703">
        <v>14702</v>
      </c>
      <c r="B4703" t="s">
        <v>5</v>
      </c>
      <c r="C4703" t="s">
        <v>11</v>
      </c>
      <c r="D4703" s="8">
        <v>10.34</v>
      </c>
      <c r="E4703">
        <v>7</v>
      </c>
      <c r="F4703" t="str">
        <f t="shared" si="292"/>
        <v>Standard</v>
      </c>
      <c r="G4703" s="3" cm="1">
        <f t="array" ref="G4703">_xlfn.XLOOKUP(C4703 &amp; F4703,
         [1]unilever_price_limits!A:A &amp; [1]unilever_price_limits!B:B,
         [1]unilever_price_limits!C:C)</f>
        <v>25</v>
      </c>
      <c r="H4703" s="8">
        <f t="shared" si="293"/>
        <v>12.925000000000001</v>
      </c>
      <c r="I4703" s="6">
        <f t="shared" si="294"/>
        <v>25</v>
      </c>
      <c r="J4703" t="str">
        <f t="shared" si="295"/>
        <v>OK</v>
      </c>
    </row>
    <row r="4704" spans="1:10" x14ac:dyDescent="0.2">
      <c r="A4704">
        <v>14703</v>
      </c>
      <c r="B4704" t="s">
        <v>10</v>
      </c>
      <c r="C4704" t="s">
        <v>6</v>
      </c>
      <c r="D4704" s="8">
        <v>13.17</v>
      </c>
      <c r="E4704">
        <v>6</v>
      </c>
      <c r="F4704" t="str">
        <f t="shared" si="292"/>
        <v>Standard</v>
      </c>
      <c r="G4704" s="3" cm="1">
        <f t="array" ref="G4704">_xlfn.XLOOKUP(C4704 &amp; F4704,
         [1]unilever_price_limits!A:A &amp; [1]unilever_price_limits!B:B,
         [1]unilever_price_limits!C:C)</f>
        <v>28</v>
      </c>
      <c r="H4704" s="8">
        <f t="shared" si="293"/>
        <v>16.857600000000001</v>
      </c>
      <c r="I4704" s="6">
        <f t="shared" si="294"/>
        <v>28.000000000000004</v>
      </c>
      <c r="J4704" t="str">
        <f t="shared" si="295"/>
        <v>OK</v>
      </c>
    </row>
    <row r="4705" spans="1:10" x14ac:dyDescent="0.2">
      <c r="A4705">
        <v>14704</v>
      </c>
      <c r="B4705" t="s">
        <v>8</v>
      </c>
      <c r="C4705" t="s">
        <v>11</v>
      </c>
      <c r="D4705" s="8">
        <v>6.77</v>
      </c>
      <c r="E4705">
        <v>8</v>
      </c>
      <c r="F4705" t="str">
        <f t="shared" si="292"/>
        <v>Premium</v>
      </c>
      <c r="G4705" s="3" cm="1">
        <f t="array" ref="G4705">_xlfn.XLOOKUP(C4705 &amp; F4705,
         [1]unilever_price_limits!A:A &amp; [1]unilever_price_limits!B:B,
         [1]unilever_price_limits!C:C)</f>
        <v>50</v>
      </c>
      <c r="H4705" s="8">
        <f t="shared" si="293"/>
        <v>10.154999999999999</v>
      </c>
      <c r="I4705" s="6">
        <f t="shared" si="294"/>
        <v>50</v>
      </c>
      <c r="J4705" t="str">
        <f t="shared" si="295"/>
        <v>OK</v>
      </c>
    </row>
    <row r="4706" spans="1:10" x14ac:dyDescent="0.2">
      <c r="A4706">
        <v>14705</v>
      </c>
      <c r="B4706" t="s">
        <v>8</v>
      </c>
      <c r="C4706" t="s">
        <v>9</v>
      </c>
      <c r="D4706" s="8">
        <v>6.49</v>
      </c>
      <c r="E4706">
        <v>9</v>
      </c>
      <c r="F4706" t="str">
        <f t="shared" si="292"/>
        <v>Premium</v>
      </c>
      <c r="G4706" s="3" cm="1">
        <f t="array" ref="G4706">_xlfn.XLOOKUP(C4706 &amp; F4706,
         [1]unilever_price_limits!A:A &amp; [1]unilever_price_limits!B:B,
         [1]unilever_price_limits!C:C)</f>
        <v>60</v>
      </c>
      <c r="H4706" s="8">
        <f t="shared" si="293"/>
        <v>10.384</v>
      </c>
      <c r="I4706" s="6">
        <f t="shared" si="294"/>
        <v>60.000000000000007</v>
      </c>
      <c r="J4706" t="str">
        <f t="shared" si="295"/>
        <v>OK</v>
      </c>
    </row>
    <row r="4707" spans="1:10" x14ac:dyDescent="0.2">
      <c r="A4707">
        <v>14706</v>
      </c>
      <c r="B4707" t="s">
        <v>5</v>
      </c>
      <c r="C4707" t="s">
        <v>9</v>
      </c>
      <c r="D4707" s="8">
        <v>11.58</v>
      </c>
      <c r="E4707">
        <v>8</v>
      </c>
      <c r="F4707" t="str">
        <f t="shared" si="292"/>
        <v>Premium</v>
      </c>
      <c r="G4707" s="3" cm="1">
        <f t="array" ref="G4707">_xlfn.XLOOKUP(C4707 &amp; F4707,
         [1]unilever_price_limits!A:A &amp; [1]unilever_price_limits!B:B,
         [1]unilever_price_limits!C:C)</f>
        <v>60</v>
      </c>
      <c r="H4707" s="8">
        <f t="shared" si="293"/>
        <v>18.528000000000002</v>
      </c>
      <c r="I4707" s="6">
        <f t="shared" si="294"/>
        <v>60.000000000000007</v>
      </c>
      <c r="J4707" t="str">
        <f t="shared" si="295"/>
        <v>OK</v>
      </c>
    </row>
    <row r="4708" spans="1:10" x14ac:dyDescent="0.2">
      <c r="A4708">
        <v>14707</v>
      </c>
      <c r="B4708" t="s">
        <v>7</v>
      </c>
      <c r="C4708" t="s">
        <v>9</v>
      </c>
      <c r="D4708" s="8">
        <v>8.9499999999999993</v>
      </c>
      <c r="E4708">
        <v>5</v>
      </c>
      <c r="F4708" t="str">
        <f t="shared" si="292"/>
        <v>Standard</v>
      </c>
      <c r="G4708" s="3" cm="1">
        <f t="array" ref="G4708">_xlfn.XLOOKUP(C4708 &amp; F4708,
         [1]unilever_price_limits!A:A &amp; [1]unilever_price_limits!B:B,
         [1]unilever_price_limits!C:C)</f>
        <v>30</v>
      </c>
      <c r="H4708" s="8">
        <f t="shared" si="293"/>
        <v>11.635</v>
      </c>
      <c r="I4708" s="6">
        <f t="shared" si="294"/>
        <v>30.000000000000004</v>
      </c>
      <c r="J4708" t="str">
        <f t="shared" si="295"/>
        <v>OK</v>
      </c>
    </row>
    <row r="4709" spans="1:10" x14ac:dyDescent="0.2">
      <c r="A4709">
        <v>14708</v>
      </c>
      <c r="B4709" t="s">
        <v>5</v>
      </c>
      <c r="C4709" t="s">
        <v>6</v>
      </c>
      <c r="D4709" s="8">
        <v>1.53</v>
      </c>
      <c r="E4709">
        <v>8</v>
      </c>
      <c r="F4709" t="str">
        <f t="shared" si="292"/>
        <v>Premium</v>
      </c>
      <c r="G4709" s="3" cm="1">
        <f t="array" ref="G4709">_xlfn.XLOOKUP(C4709 &amp; F4709,
         [1]unilever_price_limits!A:A &amp; [1]unilever_price_limits!B:B,
         [1]unilever_price_limits!C:C)</f>
        <v>55</v>
      </c>
      <c r="H4709" s="8">
        <f t="shared" si="293"/>
        <v>2.3715000000000002</v>
      </c>
      <c r="I4709" s="6">
        <f t="shared" si="294"/>
        <v>55.000000000000007</v>
      </c>
      <c r="J4709" t="str">
        <f t="shared" si="295"/>
        <v>OK</v>
      </c>
    </row>
    <row r="4710" spans="1:10" x14ac:dyDescent="0.2">
      <c r="A4710">
        <v>14709</v>
      </c>
      <c r="B4710" t="s">
        <v>7</v>
      </c>
      <c r="C4710" t="s">
        <v>11</v>
      </c>
      <c r="D4710" s="8">
        <v>13.44</v>
      </c>
      <c r="E4710">
        <v>10</v>
      </c>
      <c r="F4710" t="str">
        <f t="shared" si="292"/>
        <v>Premium</v>
      </c>
      <c r="G4710" s="3" cm="1">
        <f t="array" ref="G4710">_xlfn.XLOOKUP(C4710 &amp; F4710,
         [1]unilever_price_limits!A:A &amp; [1]unilever_price_limits!B:B,
         [1]unilever_price_limits!C:C)</f>
        <v>50</v>
      </c>
      <c r="H4710" s="8">
        <f t="shared" si="293"/>
        <v>20.16</v>
      </c>
      <c r="I4710" s="6">
        <f t="shared" si="294"/>
        <v>50</v>
      </c>
      <c r="J4710" t="str">
        <f t="shared" si="295"/>
        <v>OK</v>
      </c>
    </row>
    <row r="4711" spans="1:10" x14ac:dyDescent="0.2">
      <c r="A4711">
        <v>14710</v>
      </c>
      <c r="B4711" t="s">
        <v>10</v>
      </c>
      <c r="C4711" t="s">
        <v>11</v>
      </c>
      <c r="D4711" s="8">
        <v>0.95</v>
      </c>
      <c r="E4711">
        <v>10</v>
      </c>
      <c r="F4711" t="str">
        <f t="shared" si="292"/>
        <v>Premium</v>
      </c>
      <c r="G4711" s="3" cm="1">
        <f t="array" ref="G4711">_xlfn.XLOOKUP(C4711 &amp; F4711,
         [1]unilever_price_limits!A:A &amp; [1]unilever_price_limits!B:B,
         [1]unilever_price_limits!C:C)</f>
        <v>50</v>
      </c>
      <c r="H4711" s="8">
        <f t="shared" si="293"/>
        <v>1.4249999999999998</v>
      </c>
      <c r="I4711" s="6">
        <f t="shared" si="294"/>
        <v>49.999999999999979</v>
      </c>
      <c r="J4711" t="str">
        <f t="shared" si="295"/>
        <v>OK</v>
      </c>
    </row>
    <row r="4712" spans="1:10" x14ac:dyDescent="0.2">
      <c r="A4712">
        <v>14711</v>
      </c>
      <c r="B4712" t="s">
        <v>5</v>
      </c>
      <c r="C4712" t="s">
        <v>11</v>
      </c>
      <c r="D4712" s="8">
        <v>11.35</v>
      </c>
      <c r="E4712">
        <v>9</v>
      </c>
      <c r="F4712" t="str">
        <f t="shared" si="292"/>
        <v>Premium</v>
      </c>
      <c r="G4712" s="3" cm="1">
        <f t="array" ref="G4712">_xlfn.XLOOKUP(C4712 &amp; F4712,
         [1]unilever_price_limits!A:A &amp; [1]unilever_price_limits!B:B,
         [1]unilever_price_limits!C:C)</f>
        <v>50</v>
      </c>
      <c r="H4712" s="8">
        <f t="shared" si="293"/>
        <v>17.024999999999999</v>
      </c>
      <c r="I4712" s="6">
        <f t="shared" si="294"/>
        <v>50</v>
      </c>
      <c r="J4712" t="str">
        <f t="shared" si="295"/>
        <v>OK</v>
      </c>
    </row>
    <row r="4713" spans="1:10" x14ac:dyDescent="0.2">
      <c r="A4713">
        <v>14712</v>
      </c>
      <c r="B4713" t="s">
        <v>8</v>
      </c>
      <c r="C4713" t="s">
        <v>9</v>
      </c>
      <c r="D4713" s="8">
        <v>11.5</v>
      </c>
      <c r="E4713">
        <v>8</v>
      </c>
      <c r="F4713" t="str">
        <f t="shared" si="292"/>
        <v>Premium</v>
      </c>
      <c r="G4713" s="3" cm="1">
        <f t="array" ref="G4713">_xlfn.XLOOKUP(C4713 &amp; F4713,
         [1]unilever_price_limits!A:A &amp; [1]unilever_price_limits!B:B,
         [1]unilever_price_limits!C:C)</f>
        <v>60</v>
      </c>
      <c r="H4713" s="8">
        <f t="shared" si="293"/>
        <v>18.400000000000002</v>
      </c>
      <c r="I4713" s="6">
        <f t="shared" si="294"/>
        <v>60.000000000000007</v>
      </c>
      <c r="J4713" t="str">
        <f t="shared" si="295"/>
        <v>OK</v>
      </c>
    </row>
    <row r="4714" spans="1:10" x14ac:dyDescent="0.2">
      <c r="A4714">
        <v>14713</v>
      </c>
      <c r="B4714" t="s">
        <v>10</v>
      </c>
      <c r="C4714" t="s">
        <v>11</v>
      </c>
      <c r="D4714" s="8">
        <v>14.32</v>
      </c>
      <c r="E4714">
        <v>2</v>
      </c>
      <c r="F4714" t="str">
        <f t="shared" si="292"/>
        <v>Value</v>
      </c>
      <c r="G4714" s="3" cm="1">
        <f t="array" ref="G4714">_xlfn.XLOOKUP(C4714 &amp; F4714,
         [1]unilever_price_limits!A:A &amp; [1]unilever_price_limits!B:B,
         [1]unilever_price_limits!C:C)</f>
        <v>10</v>
      </c>
      <c r="H4714" s="8">
        <f t="shared" si="293"/>
        <v>15.752000000000002</v>
      </c>
      <c r="I4714" s="6">
        <f t="shared" si="294"/>
        <v>10.000000000000009</v>
      </c>
      <c r="J4714" t="str">
        <f t="shared" si="295"/>
        <v>OK</v>
      </c>
    </row>
    <row r="4715" spans="1:10" x14ac:dyDescent="0.2">
      <c r="A4715">
        <v>14714</v>
      </c>
      <c r="B4715" t="s">
        <v>8</v>
      </c>
      <c r="C4715" t="s">
        <v>9</v>
      </c>
      <c r="D4715" s="8">
        <v>1.28</v>
      </c>
      <c r="E4715">
        <v>2</v>
      </c>
      <c r="F4715" t="str">
        <f t="shared" si="292"/>
        <v>Value</v>
      </c>
      <c r="G4715" s="3" cm="1">
        <f t="array" ref="G4715">_xlfn.XLOOKUP(C4715 &amp; F4715,
         [1]unilever_price_limits!A:A &amp; [1]unilever_price_limits!B:B,
         [1]unilever_price_limits!C:C)</f>
        <v>15</v>
      </c>
      <c r="H4715" s="8">
        <f t="shared" si="293"/>
        <v>1.472</v>
      </c>
      <c r="I4715" s="6">
        <f t="shared" si="294"/>
        <v>14.999999999999991</v>
      </c>
      <c r="J4715" t="str">
        <f t="shared" si="295"/>
        <v>OK</v>
      </c>
    </row>
    <row r="4716" spans="1:10" x14ac:dyDescent="0.2">
      <c r="A4716">
        <v>14715</v>
      </c>
      <c r="B4716" t="s">
        <v>10</v>
      </c>
      <c r="C4716" t="s">
        <v>11</v>
      </c>
      <c r="D4716" s="8">
        <v>9.15</v>
      </c>
      <c r="E4716">
        <v>3</v>
      </c>
      <c r="F4716" t="str">
        <f t="shared" si="292"/>
        <v>Value</v>
      </c>
      <c r="G4716" s="3" cm="1">
        <f t="array" ref="G4716">_xlfn.XLOOKUP(C4716 &amp; F4716,
         [1]unilever_price_limits!A:A &amp; [1]unilever_price_limits!B:B,
         [1]unilever_price_limits!C:C)</f>
        <v>10</v>
      </c>
      <c r="H4716" s="8">
        <f t="shared" si="293"/>
        <v>10.065000000000001</v>
      </c>
      <c r="I4716" s="6">
        <f t="shared" si="294"/>
        <v>10.000000000000009</v>
      </c>
      <c r="J4716" t="str">
        <f t="shared" si="295"/>
        <v>OK</v>
      </c>
    </row>
    <row r="4717" spans="1:10" x14ac:dyDescent="0.2">
      <c r="A4717">
        <v>14716</v>
      </c>
      <c r="B4717" t="s">
        <v>5</v>
      </c>
      <c r="C4717" t="s">
        <v>9</v>
      </c>
      <c r="D4717" s="8">
        <v>6.7</v>
      </c>
      <c r="E4717">
        <v>7</v>
      </c>
      <c r="F4717" t="str">
        <f t="shared" si="292"/>
        <v>Standard</v>
      </c>
      <c r="G4717" s="3" cm="1">
        <f t="array" ref="G4717">_xlfn.XLOOKUP(C4717 &amp; F4717,
         [1]unilever_price_limits!A:A &amp; [1]unilever_price_limits!B:B,
         [1]unilever_price_limits!C:C)</f>
        <v>30</v>
      </c>
      <c r="H4717" s="8">
        <f t="shared" si="293"/>
        <v>8.7100000000000009</v>
      </c>
      <c r="I4717" s="6">
        <f t="shared" si="294"/>
        <v>30.000000000000004</v>
      </c>
      <c r="J4717" t="str">
        <f t="shared" si="295"/>
        <v>OK</v>
      </c>
    </row>
    <row r="4718" spans="1:10" x14ac:dyDescent="0.2">
      <c r="A4718">
        <v>14717</v>
      </c>
      <c r="B4718" t="s">
        <v>7</v>
      </c>
      <c r="C4718" t="s">
        <v>11</v>
      </c>
      <c r="D4718" s="8">
        <v>5.29</v>
      </c>
      <c r="E4718">
        <v>9</v>
      </c>
      <c r="F4718" t="str">
        <f t="shared" si="292"/>
        <v>Premium</v>
      </c>
      <c r="G4718" s="3" cm="1">
        <f t="array" ref="G4718">_xlfn.XLOOKUP(C4718 &amp; F4718,
         [1]unilever_price_limits!A:A &amp; [1]unilever_price_limits!B:B,
         [1]unilever_price_limits!C:C)</f>
        <v>50</v>
      </c>
      <c r="H4718" s="8">
        <f t="shared" si="293"/>
        <v>7.9350000000000005</v>
      </c>
      <c r="I4718" s="6">
        <f t="shared" si="294"/>
        <v>50</v>
      </c>
      <c r="J4718" t="str">
        <f t="shared" si="295"/>
        <v>OK</v>
      </c>
    </row>
    <row r="4719" spans="1:10" x14ac:dyDescent="0.2">
      <c r="A4719">
        <v>14718</v>
      </c>
      <c r="B4719" t="s">
        <v>10</v>
      </c>
      <c r="C4719" t="s">
        <v>6</v>
      </c>
      <c r="D4719" s="8">
        <v>1.81</v>
      </c>
      <c r="E4719">
        <v>8</v>
      </c>
      <c r="F4719" t="str">
        <f t="shared" si="292"/>
        <v>Premium</v>
      </c>
      <c r="G4719" s="3" cm="1">
        <f t="array" ref="G4719">_xlfn.XLOOKUP(C4719 &amp; F4719,
         [1]unilever_price_limits!A:A &amp; [1]unilever_price_limits!B:B,
         [1]unilever_price_limits!C:C)</f>
        <v>55</v>
      </c>
      <c r="H4719" s="8">
        <f t="shared" si="293"/>
        <v>2.8055000000000003</v>
      </c>
      <c r="I4719" s="6">
        <f t="shared" si="294"/>
        <v>55.000000000000007</v>
      </c>
      <c r="J4719" t="str">
        <f t="shared" si="295"/>
        <v>OK</v>
      </c>
    </row>
    <row r="4720" spans="1:10" x14ac:dyDescent="0.2">
      <c r="A4720">
        <v>14719</v>
      </c>
      <c r="B4720" t="s">
        <v>7</v>
      </c>
      <c r="C4720" t="s">
        <v>6</v>
      </c>
      <c r="D4720" s="8">
        <v>8.66</v>
      </c>
      <c r="E4720">
        <v>9</v>
      </c>
      <c r="F4720" t="str">
        <f t="shared" si="292"/>
        <v>Premium</v>
      </c>
      <c r="G4720" s="3" cm="1">
        <f t="array" ref="G4720">_xlfn.XLOOKUP(C4720 &amp; F4720,
         [1]unilever_price_limits!A:A &amp; [1]unilever_price_limits!B:B,
         [1]unilever_price_limits!C:C)</f>
        <v>55</v>
      </c>
      <c r="H4720" s="8">
        <f t="shared" si="293"/>
        <v>13.423</v>
      </c>
      <c r="I4720" s="6">
        <f t="shared" si="294"/>
        <v>55.000000000000007</v>
      </c>
      <c r="J4720" t="str">
        <f t="shared" si="295"/>
        <v>OK</v>
      </c>
    </row>
    <row r="4721" spans="1:10" x14ac:dyDescent="0.2">
      <c r="A4721">
        <v>14720</v>
      </c>
      <c r="B4721" t="s">
        <v>10</v>
      </c>
      <c r="C4721" t="s">
        <v>9</v>
      </c>
      <c r="D4721" s="8">
        <v>7.45</v>
      </c>
      <c r="E4721">
        <v>6</v>
      </c>
      <c r="F4721" t="str">
        <f t="shared" si="292"/>
        <v>Standard</v>
      </c>
      <c r="G4721" s="3" cm="1">
        <f t="array" ref="G4721">_xlfn.XLOOKUP(C4721 &amp; F4721,
         [1]unilever_price_limits!A:A &amp; [1]unilever_price_limits!B:B,
         [1]unilever_price_limits!C:C)</f>
        <v>30</v>
      </c>
      <c r="H4721" s="8">
        <f t="shared" si="293"/>
        <v>9.6850000000000005</v>
      </c>
      <c r="I4721" s="6">
        <f t="shared" si="294"/>
        <v>30.000000000000004</v>
      </c>
      <c r="J4721" t="str">
        <f t="shared" si="295"/>
        <v>OK</v>
      </c>
    </row>
    <row r="4722" spans="1:10" x14ac:dyDescent="0.2">
      <c r="A4722">
        <v>14721</v>
      </c>
      <c r="B4722" t="s">
        <v>8</v>
      </c>
      <c r="C4722" t="s">
        <v>9</v>
      </c>
      <c r="D4722" s="8">
        <v>2.02</v>
      </c>
      <c r="E4722">
        <v>1</v>
      </c>
      <c r="F4722" t="str">
        <f t="shared" si="292"/>
        <v>Value</v>
      </c>
      <c r="G4722" s="3" cm="1">
        <f t="array" ref="G4722">_xlfn.XLOOKUP(C4722 &amp; F4722,
         [1]unilever_price_limits!A:A &amp; [1]unilever_price_limits!B:B,
         [1]unilever_price_limits!C:C)</f>
        <v>15</v>
      </c>
      <c r="H4722" s="8">
        <f t="shared" si="293"/>
        <v>2.323</v>
      </c>
      <c r="I4722" s="6">
        <f t="shared" si="294"/>
        <v>14.999999999999991</v>
      </c>
      <c r="J4722" t="str">
        <f t="shared" si="295"/>
        <v>OK</v>
      </c>
    </row>
    <row r="4723" spans="1:10" x14ac:dyDescent="0.2">
      <c r="A4723">
        <v>14722</v>
      </c>
      <c r="B4723" t="s">
        <v>8</v>
      </c>
      <c r="C4723" t="s">
        <v>11</v>
      </c>
      <c r="D4723" s="8">
        <v>9.3800000000000008</v>
      </c>
      <c r="E4723">
        <v>4</v>
      </c>
      <c r="F4723" t="str">
        <f t="shared" si="292"/>
        <v>Standard</v>
      </c>
      <c r="G4723" s="3" cm="1">
        <f t="array" ref="G4723">_xlfn.XLOOKUP(C4723 &amp; F4723,
         [1]unilever_price_limits!A:A &amp; [1]unilever_price_limits!B:B,
         [1]unilever_price_limits!C:C)</f>
        <v>25</v>
      </c>
      <c r="H4723" s="8">
        <f t="shared" si="293"/>
        <v>11.725000000000001</v>
      </c>
      <c r="I4723" s="6">
        <f t="shared" si="294"/>
        <v>25</v>
      </c>
      <c r="J4723" t="str">
        <f t="shared" si="295"/>
        <v>OK</v>
      </c>
    </row>
    <row r="4724" spans="1:10" x14ac:dyDescent="0.2">
      <c r="A4724">
        <v>14723</v>
      </c>
      <c r="B4724" t="s">
        <v>10</v>
      </c>
      <c r="C4724" t="s">
        <v>11</v>
      </c>
      <c r="D4724" s="8">
        <v>11.2</v>
      </c>
      <c r="E4724">
        <v>6</v>
      </c>
      <c r="F4724" t="str">
        <f t="shared" si="292"/>
        <v>Standard</v>
      </c>
      <c r="G4724" s="3" cm="1">
        <f t="array" ref="G4724">_xlfn.XLOOKUP(C4724 &amp; F4724,
         [1]unilever_price_limits!A:A &amp; [1]unilever_price_limits!B:B,
         [1]unilever_price_limits!C:C)</f>
        <v>25</v>
      </c>
      <c r="H4724" s="8">
        <f t="shared" si="293"/>
        <v>14</v>
      </c>
      <c r="I4724" s="6">
        <f t="shared" si="294"/>
        <v>25</v>
      </c>
      <c r="J4724" t="str">
        <f t="shared" si="295"/>
        <v>OK</v>
      </c>
    </row>
    <row r="4725" spans="1:10" x14ac:dyDescent="0.2">
      <c r="A4725">
        <v>14724</v>
      </c>
      <c r="B4725" t="s">
        <v>7</v>
      </c>
      <c r="C4725" t="s">
        <v>6</v>
      </c>
      <c r="D4725" s="8">
        <v>11.63</v>
      </c>
      <c r="E4725">
        <v>6</v>
      </c>
      <c r="F4725" t="str">
        <f t="shared" si="292"/>
        <v>Standard</v>
      </c>
      <c r="G4725" s="3" cm="1">
        <f t="array" ref="G4725">_xlfn.XLOOKUP(C4725 &amp; F4725,
         [1]unilever_price_limits!A:A &amp; [1]unilever_price_limits!B:B,
         [1]unilever_price_limits!C:C)</f>
        <v>28</v>
      </c>
      <c r="H4725" s="8">
        <f t="shared" si="293"/>
        <v>14.886400000000002</v>
      </c>
      <c r="I4725" s="6">
        <f t="shared" si="294"/>
        <v>28.000000000000004</v>
      </c>
      <c r="J4725" t="str">
        <f t="shared" si="295"/>
        <v>OK</v>
      </c>
    </row>
    <row r="4726" spans="1:10" x14ac:dyDescent="0.2">
      <c r="A4726">
        <v>14725</v>
      </c>
      <c r="B4726" t="s">
        <v>5</v>
      </c>
      <c r="C4726" t="s">
        <v>11</v>
      </c>
      <c r="D4726" s="8">
        <v>13.63</v>
      </c>
      <c r="E4726">
        <v>8</v>
      </c>
      <c r="F4726" t="str">
        <f t="shared" si="292"/>
        <v>Premium</v>
      </c>
      <c r="G4726" s="3" cm="1">
        <f t="array" ref="G4726">_xlfn.XLOOKUP(C4726 &amp; F4726,
         [1]unilever_price_limits!A:A &amp; [1]unilever_price_limits!B:B,
         [1]unilever_price_limits!C:C)</f>
        <v>50</v>
      </c>
      <c r="H4726" s="8">
        <f t="shared" si="293"/>
        <v>20.445</v>
      </c>
      <c r="I4726" s="6">
        <f t="shared" si="294"/>
        <v>50</v>
      </c>
      <c r="J4726" t="str">
        <f t="shared" si="295"/>
        <v>OK</v>
      </c>
    </row>
    <row r="4727" spans="1:10" x14ac:dyDescent="0.2">
      <c r="A4727">
        <v>14726</v>
      </c>
      <c r="B4727" t="s">
        <v>5</v>
      </c>
      <c r="C4727" t="s">
        <v>9</v>
      </c>
      <c r="D4727" s="8">
        <v>6.44</v>
      </c>
      <c r="E4727">
        <v>1</v>
      </c>
      <c r="F4727" t="str">
        <f t="shared" si="292"/>
        <v>Value</v>
      </c>
      <c r="G4727" s="3" cm="1">
        <f t="array" ref="G4727">_xlfn.XLOOKUP(C4727 &amp; F4727,
         [1]unilever_price_limits!A:A &amp; [1]unilever_price_limits!B:B,
         [1]unilever_price_limits!C:C)</f>
        <v>15</v>
      </c>
      <c r="H4727" s="8">
        <f t="shared" si="293"/>
        <v>7.4059999999999997</v>
      </c>
      <c r="I4727" s="6">
        <f t="shared" si="294"/>
        <v>14.999999999999991</v>
      </c>
      <c r="J4727" t="str">
        <f t="shared" si="295"/>
        <v>OK</v>
      </c>
    </row>
    <row r="4728" spans="1:10" x14ac:dyDescent="0.2">
      <c r="A4728">
        <v>14727</v>
      </c>
      <c r="B4728" t="s">
        <v>8</v>
      </c>
      <c r="C4728" t="s">
        <v>9</v>
      </c>
      <c r="D4728" s="8">
        <v>14.32</v>
      </c>
      <c r="E4728">
        <v>2</v>
      </c>
      <c r="F4728" t="str">
        <f t="shared" si="292"/>
        <v>Value</v>
      </c>
      <c r="G4728" s="3" cm="1">
        <f t="array" ref="G4728">_xlfn.XLOOKUP(C4728 &amp; F4728,
         [1]unilever_price_limits!A:A &amp; [1]unilever_price_limits!B:B,
         [1]unilever_price_limits!C:C)</f>
        <v>15</v>
      </c>
      <c r="H4728" s="8">
        <f t="shared" si="293"/>
        <v>16.468</v>
      </c>
      <c r="I4728" s="6">
        <f t="shared" si="294"/>
        <v>14.999999999999991</v>
      </c>
      <c r="J4728" t="str">
        <f t="shared" si="295"/>
        <v>OK</v>
      </c>
    </row>
    <row r="4729" spans="1:10" x14ac:dyDescent="0.2">
      <c r="A4729">
        <v>14728</v>
      </c>
      <c r="B4729" t="s">
        <v>5</v>
      </c>
      <c r="C4729" t="s">
        <v>9</v>
      </c>
      <c r="D4729" s="8">
        <v>13.05</v>
      </c>
      <c r="E4729">
        <v>2</v>
      </c>
      <c r="F4729" t="str">
        <f t="shared" si="292"/>
        <v>Value</v>
      </c>
      <c r="G4729" s="3" cm="1">
        <f t="array" ref="G4729">_xlfn.XLOOKUP(C4729 &amp; F4729,
         [1]unilever_price_limits!A:A &amp; [1]unilever_price_limits!B:B,
         [1]unilever_price_limits!C:C)</f>
        <v>15</v>
      </c>
      <c r="H4729" s="8">
        <f t="shared" si="293"/>
        <v>15.0075</v>
      </c>
      <c r="I4729" s="6">
        <f t="shared" si="294"/>
        <v>14.999999999999991</v>
      </c>
      <c r="J4729" t="str">
        <f t="shared" si="295"/>
        <v>OK</v>
      </c>
    </row>
    <row r="4730" spans="1:10" x14ac:dyDescent="0.2">
      <c r="A4730">
        <v>14729</v>
      </c>
      <c r="B4730" t="s">
        <v>8</v>
      </c>
      <c r="C4730" t="s">
        <v>9</v>
      </c>
      <c r="D4730" s="8">
        <v>4.8</v>
      </c>
      <c r="E4730">
        <v>6</v>
      </c>
      <c r="F4730" t="str">
        <f t="shared" si="292"/>
        <v>Standard</v>
      </c>
      <c r="G4730" s="3" cm="1">
        <f t="array" ref="G4730">_xlfn.XLOOKUP(C4730 &amp; F4730,
         [1]unilever_price_limits!A:A &amp; [1]unilever_price_limits!B:B,
         [1]unilever_price_limits!C:C)</f>
        <v>30</v>
      </c>
      <c r="H4730" s="8">
        <f t="shared" si="293"/>
        <v>6.24</v>
      </c>
      <c r="I4730" s="6">
        <f t="shared" si="294"/>
        <v>30.000000000000004</v>
      </c>
      <c r="J4730" t="str">
        <f t="shared" si="295"/>
        <v>OK</v>
      </c>
    </row>
    <row r="4731" spans="1:10" x14ac:dyDescent="0.2">
      <c r="A4731">
        <v>14730</v>
      </c>
      <c r="B4731" t="s">
        <v>5</v>
      </c>
      <c r="C4731" t="s">
        <v>9</v>
      </c>
      <c r="D4731" s="8">
        <v>2.81</v>
      </c>
      <c r="E4731">
        <v>7</v>
      </c>
      <c r="F4731" t="str">
        <f t="shared" si="292"/>
        <v>Standard</v>
      </c>
      <c r="G4731" s="3" cm="1">
        <f t="array" ref="G4731">_xlfn.XLOOKUP(C4731 &amp; F4731,
         [1]unilever_price_limits!A:A &amp; [1]unilever_price_limits!B:B,
         [1]unilever_price_limits!C:C)</f>
        <v>30</v>
      </c>
      <c r="H4731" s="8">
        <f t="shared" si="293"/>
        <v>3.653</v>
      </c>
      <c r="I4731" s="6">
        <f t="shared" si="294"/>
        <v>30.000000000000004</v>
      </c>
      <c r="J4731" t="str">
        <f t="shared" si="295"/>
        <v>OK</v>
      </c>
    </row>
    <row r="4732" spans="1:10" x14ac:dyDescent="0.2">
      <c r="A4732">
        <v>14731</v>
      </c>
      <c r="B4732" t="s">
        <v>10</v>
      </c>
      <c r="C4732" t="s">
        <v>6</v>
      </c>
      <c r="D4732" s="8">
        <v>6.81</v>
      </c>
      <c r="E4732">
        <v>2</v>
      </c>
      <c r="F4732" t="str">
        <f t="shared" si="292"/>
        <v>Value</v>
      </c>
      <c r="G4732" s="3" cm="1">
        <f t="array" ref="G4732">_xlfn.XLOOKUP(C4732 &amp; F4732,
         [1]unilever_price_limits!A:A &amp; [1]unilever_price_limits!B:B,
         [1]unilever_price_limits!C:C)</f>
        <v>12</v>
      </c>
      <c r="H4732" s="8">
        <f t="shared" si="293"/>
        <v>7.6272000000000002</v>
      </c>
      <c r="I4732" s="6">
        <f t="shared" si="294"/>
        <v>12.000000000000011</v>
      </c>
      <c r="J4732" t="str">
        <f t="shared" si="295"/>
        <v>OK</v>
      </c>
    </row>
    <row r="4733" spans="1:10" x14ac:dyDescent="0.2">
      <c r="A4733">
        <v>14732</v>
      </c>
      <c r="B4733" t="s">
        <v>8</v>
      </c>
      <c r="C4733" t="s">
        <v>6</v>
      </c>
      <c r="D4733" s="8">
        <v>6.33</v>
      </c>
      <c r="E4733">
        <v>5</v>
      </c>
      <c r="F4733" t="str">
        <f t="shared" si="292"/>
        <v>Standard</v>
      </c>
      <c r="G4733" s="3" cm="1">
        <f t="array" ref="G4733">_xlfn.XLOOKUP(C4733 &amp; F4733,
         [1]unilever_price_limits!A:A &amp; [1]unilever_price_limits!B:B,
         [1]unilever_price_limits!C:C)</f>
        <v>28</v>
      </c>
      <c r="H4733" s="8">
        <f t="shared" si="293"/>
        <v>8.1023999999999994</v>
      </c>
      <c r="I4733" s="6">
        <f t="shared" si="294"/>
        <v>27.999999999999979</v>
      </c>
      <c r="J4733" t="str">
        <f t="shared" si="295"/>
        <v>OK</v>
      </c>
    </row>
    <row r="4734" spans="1:10" x14ac:dyDescent="0.2">
      <c r="A4734">
        <v>14733</v>
      </c>
      <c r="B4734" t="s">
        <v>8</v>
      </c>
      <c r="C4734" t="s">
        <v>9</v>
      </c>
      <c r="D4734" s="8">
        <v>8.85</v>
      </c>
      <c r="E4734">
        <v>6</v>
      </c>
      <c r="F4734" t="str">
        <f t="shared" si="292"/>
        <v>Standard</v>
      </c>
      <c r="G4734" s="3" cm="1">
        <f t="array" ref="G4734">_xlfn.XLOOKUP(C4734 &amp; F4734,
         [1]unilever_price_limits!A:A &amp; [1]unilever_price_limits!B:B,
         [1]unilever_price_limits!C:C)</f>
        <v>30</v>
      </c>
      <c r="H4734" s="8">
        <f t="shared" si="293"/>
        <v>11.505000000000001</v>
      </c>
      <c r="I4734" s="6">
        <f t="shared" si="294"/>
        <v>30.000000000000004</v>
      </c>
      <c r="J4734" t="str">
        <f t="shared" si="295"/>
        <v>OK</v>
      </c>
    </row>
    <row r="4735" spans="1:10" x14ac:dyDescent="0.2">
      <c r="A4735">
        <v>14734</v>
      </c>
      <c r="B4735" t="s">
        <v>10</v>
      </c>
      <c r="C4735" t="s">
        <v>11</v>
      </c>
      <c r="D4735" s="8">
        <v>8.9600000000000009</v>
      </c>
      <c r="E4735">
        <v>4</v>
      </c>
      <c r="F4735" t="str">
        <f t="shared" si="292"/>
        <v>Standard</v>
      </c>
      <c r="G4735" s="3" cm="1">
        <f t="array" ref="G4735">_xlfn.XLOOKUP(C4735 &amp; F4735,
         [1]unilever_price_limits!A:A &amp; [1]unilever_price_limits!B:B,
         [1]unilever_price_limits!C:C)</f>
        <v>25</v>
      </c>
      <c r="H4735" s="8">
        <f t="shared" si="293"/>
        <v>11.200000000000001</v>
      </c>
      <c r="I4735" s="6">
        <f t="shared" si="294"/>
        <v>25</v>
      </c>
      <c r="J4735" t="str">
        <f t="shared" si="295"/>
        <v>OK</v>
      </c>
    </row>
    <row r="4736" spans="1:10" x14ac:dyDescent="0.2">
      <c r="A4736">
        <v>14735</v>
      </c>
      <c r="B4736" t="s">
        <v>8</v>
      </c>
      <c r="C4736" t="s">
        <v>9</v>
      </c>
      <c r="D4736" s="8">
        <v>11.37</v>
      </c>
      <c r="E4736">
        <v>1</v>
      </c>
      <c r="F4736" t="str">
        <f t="shared" si="292"/>
        <v>Value</v>
      </c>
      <c r="G4736" s="3" cm="1">
        <f t="array" ref="G4736">_xlfn.XLOOKUP(C4736 &amp; F4736,
         [1]unilever_price_limits!A:A &amp; [1]unilever_price_limits!B:B,
         [1]unilever_price_limits!C:C)</f>
        <v>15</v>
      </c>
      <c r="H4736" s="8">
        <f t="shared" si="293"/>
        <v>13.075499999999998</v>
      </c>
      <c r="I4736" s="6">
        <f t="shared" si="294"/>
        <v>14.999999999999991</v>
      </c>
      <c r="J4736" t="str">
        <f t="shared" si="295"/>
        <v>OK</v>
      </c>
    </row>
    <row r="4737" spans="1:10" x14ac:dyDescent="0.2">
      <c r="A4737">
        <v>14736</v>
      </c>
      <c r="B4737" t="s">
        <v>5</v>
      </c>
      <c r="C4737" t="s">
        <v>6</v>
      </c>
      <c r="D4737" s="8">
        <v>7.89</v>
      </c>
      <c r="E4737">
        <v>3</v>
      </c>
      <c r="F4737" t="str">
        <f t="shared" si="292"/>
        <v>Value</v>
      </c>
      <c r="G4737" s="3" cm="1">
        <f t="array" ref="G4737">_xlfn.XLOOKUP(C4737 &amp; F4737,
         [1]unilever_price_limits!A:A &amp; [1]unilever_price_limits!B:B,
         [1]unilever_price_limits!C:C)</f>
        <v>12</v>
      </c>
      <c r="H4737" s="8">
        <f t="shared" si="293"/>
        <v>8.8368000000000002</v>
      </c>
      <c r="I4737" s="6">
        <f t="shared" si="294"/>
        <v>12.000000000000011</v>
      </c>
      <c r="J4737" t="str">
        <f t="shared" si="295"/>
        <v>OK</v>
      </c>
    </row>
    <row r="4738" spans="1:10" x14ac:dyDescent="0.2">
      <c r="A4738">
        <v>14737</v>
      </c>
      <c r="B4738" t="s">
        <v>5</v>
      </c>
      <c r="C4738" t="s">
        <v>9</v>
      </c>
      <c r="D4738" s="8">
        <v>2.02</v>
      </c>
      <c r="E4738">
        <v>10</v>
      </c>
      <c r="F4738" t="str">
        <f t="shared" si="292"/>
        <v>Premium</v>
      </c>
      <c r="G4738" s="3" cm="1">
        <f t="array" ref="G4738">_xlfn.XLOOKUP(C4738 &amp; F4738,
         [1]unilever_price_limits!A:A &amp; [1]unilever_price_limits!B:B,
         [1]unilever_price_limits!C:C)</f>
        <v>60</v>
      </c>
      <c r="H4738" s="8">
        <f t="shared" si="293"/>
        <v>3.2320000000000002</v>
      </c>
      <c r="I4738" s="6">
        <f t="shared" si="294"/>
        <v>60.000000000000007</v>
      </c>
      <c r="J4738" t="str">
        <f t="shared" si="295"/>
        <v>OK</v>
      </c>
    </row>
    <row r="4739" spans="1:10" x14ac:dyDescent="0.2">
      <c r="A4739">
        <v>14738</v>
      </c>
      <c r="B4739" t="s">
        <v>8</v>
      </c>
      <c r="C4739" t="s">
        <v>6</v>
      </c>
      <c r="D4739" s="8">
        <v>12.95</v>
      </c>
      <c r="E4739">
        <v>9</v>
      </c>
      <c r="F4739" t="str">
        <f t="shared" ref="F4739:F4802" si="296">IF(E4739&lt;=3,"Value",
 IF(E4739&lt;=7,"Standard","Premium"))</f>
        <v>Premium</v>
      </c>
      <c r="G4739" s="3" cm="1">
        <f t="array" ref="G4739">_xlfn.XLOOKUP(C4739 &amp; F4739,
         [1]unilever_price_limits!A:A &amp; [1]unilever_price_limits!B:B,
         [1]unilever_price_limits!C:C)</f>
        <v>55</v>
      </c>
      <c r="H4739" s="8">
        <f t="shared" ref="H4739:H4802" si="297">D4739 * (1 + G4739/100)</f>
        <v>20.072499999999998</v>
      </c>
      <c r="I4739" s="6">
        <f t="shared" ref="I4739:I4802" si="298">(H4739 / D4739 - 1) * 100</f>
        <v>54.999999999999986</v>
      </c>
      <c r="J4739" t="str">
        <f t="shared" ref="J4739:J4802" si="299">IF(I4738&gt; G4738, "⚠ Exceeds Limit", "OK")</f>
        <v>OK</v>
      </c>
    </row>
    <row r="4740" spans="1:10" x14ac:dyDescent="0.2">
      <c r="A4740">
        <v>14739</v>
      </c>
      <c r="B4740" t="s">
        <v>5</v>
      </c>
      <c r="C4740" t="s">
        <v>6</v>
      </c>
      <c r="D4740" s="8">
        <v>4.99</v>
      </c>
      <c r="E4740">
        <v>6</v>
      </c>
      <c r="F4740" t="str">
        <f t="shared" si="296"/>
        <v>Standard</v>
      </c>
      <c r="G4740" s="3" cm="1">
        <f t="array" ref="G4740">_xlfn.XLOOKUP(C4740 &amp; F4740,
         [1]unilever_price_limits!A:A &amp; [1]unilever_price_limits!B:B,
         [1]unilever_price_limits!C:C)</f>
        <v>28</v>
      </c>
      <c r="H4740" s="8">
        <f t="shared" si="297"/>
        <v>6.3872</v>
      </c>
      <c r="I4740" s="6">
        <f t="shared" si="298"/>
        <v>28.000000000000004</v>
      </c>
      <c r="J4740" t="str">
        <f t="shared" si="299"/>
        <v>OK</v>
      </c>
    </row>
    <row r="4741" spans="1:10" x14ac:dyDescent="0.2">
      <c r="A4741">
        <v>14740</v>
      </c>
      <c r="B4741" t="s">
        <v>7</v>
      </c>
      <c r="C4741" t="s">
        <v>9</v>
      </c>
      <c r="D4741" s="8">
        <v>14.58</v>
      </c>
      <c r="E4741">
        <v>2</v>
      </c>
      <c r="F4741" t="str">
        <f t="shared" si="296"/>
        <v>Value</v>
      </c>
      <c r="G4741" s="3" cm="1">
        <f t="array" ref="G4741">_xlfn.XLOOKUP(C4741 &amp; F4741,
         [1]unilever_price_limits!A:A &amp; [1]unilever_price_limits!B:B,
         [1]unilever_price_limits!C:C)</f>
        <v>15</v>
      </c>
      <c r="H4741" s="8">
        <f t="shared" si="297"/>
        <v>16.766999999999999</v>
      </c>
      <c r="I4741" s="6">
        <f t="shared" si="298"/>
        <v>14.999999999999991</v>
      </c>
      <c r="J4741" t="str">
        <f t="shared" si="299"/>
        <v>OK</v>
      </c>
    </row>
    <row r="4742" spans="1:10" x14ac:dyDescent="0.2">
      <c r="A4742">
        <v>14741</v>
      </c>
      <c r="B4742" t="s">
        <v>8</v>
      </c>
      <c r="C4742" t="s">
        <v>9</v>
      </c>
      <c r="D4742" s="8">
        <v>2.21</v>
      </c>
      <c r="E4742">
        <v>9</v>
      </c>
      <c r="F4742" t="str">
        <f t="shared" si="296"/>
        <v>Premium</v>
      </c>
      <c r="G4742" s="3" cm="1">
        <f t="array" ref="G4742">_xlfn.XLOOKUP(C4742 &amp; F4742,
         [1]unilever_price_limits!A:A &amp; [1]unilever_price_limits!B:B,
         [1]unilever_price_limits!C:C)</f>
        <v>60</v>
      </c>
      <c r="H4742" s="8">
        <f t="shared" si="297"/>
        <v>3.536</v>
      </c>
      <c r="I4742" s="6">
        <f t="shared" si="298"/>
        <v>60.000000000000007</v>
      </c>
      <c r="J4742" t="str">
        <f t="shared" si="299"/>
        <v>OK</v>
      </c>
    </row>
    <row r="4743" spans="1:10" x14ac:dyDescent="0.2">
      <c r="A4743">
        <v>14742</v>
      </c>
      <c r="B4743" t="s">
        <v>10</v>
      </c>
      <c r="C4743" t="s">
        <v>11</v>
      </c>
      <c r="D4743" s="8">
        <v>14.39</v>
      </c>
      <c r="E4743">
        <v>4</v>
      </c>
      <c r="F4743" t="str">
        <f t="shared" si="296"/>
        <v>Standard</v>
      </c>
      <c r="G4743" s="3" cm="1">
        <f t="array" ref="G4743">_xlfn.XLOOKUP(C4743 &amp; F4743,
         [1]unilever_price_limits!A:A &amp; [1]unilever_price_limits!B:B,
         [1]unilever_price_limits!C:C)</f>
        <v>25</v>
      </c>
      <c r="H4743" s="8">
        <f t="shared" si="297"/>
        <v>17.987500000000001</v>
      </c>
      <c r="I4743" s="6">
        <f t="shared" si="298"/>
        <v>25</v>
      </c>
      <c r="J4743" t="str">
        <f t="shared" si="299"/>
        <v>OK</v>
      </c>
    </row>
    <row r="4744" spans="1:10" x14ac:dyDescent="0.2">
      <c r="A4744">
        <v>14743</v>
      </c>
      <c r="B4744" t="s">
        <v>7</v>
      </c>
      <c r="C4744" t="s">
        <v>6</v>
      </c>
      <c r="D4744" s="8">
        <v>1.82</v>
      </c>
      <c r="E4744">
        <v>8</v>
      </c>
      <c r="F4744" t="str">
        <f t="shared" si="296"/>
        <v>Premium</v>
      </c>
      <c r="G4744" s="3" cm="1">
        <f t="array" ref="G4744">_xlfn.XLOOKUP(C4744 &amp; F4744,
         [1]unilever_price_limits!A:A &amp; [1]unilever_price_limits!B:B,
         [1]unilever_price_limits!C:C)</f>
        <v>55</v>
      </c>
      <c r="H4744" s="8">
        <f t="shared" si="297"/>
        <v>2.8210000000000002</v>
      </c>
      <c r="I4744" s="6">
        <f t="shared" si="298"/>
        <v>55.000000000000007</v>
      </c>
      <c r="J4744" t="str">
        <f t="shared" si="299"/>
        <v>OK</v>
      </c>
    </row>
    <row r="4745" spans="1:10" x14ac:dyDescent="0.2">
      <c r="A4745">
        <v>14744</v>
      </c>
      <c r="B4745" t="s">
        <v>8</v>
      </c>
      <c r="C4745" t="s">
        <v>11</v>
      </c>
      <c r="D4745" s="8">
        <v>3.85</v>
      </c>
      <c r="E4745">
        <v>10</v>
      </c>
      <c r="F4745" t="str">
        <f t="shared" si="296"/>
        <v>Premium</v>
      </c>
      <c r="G4745" s="3" cm="1">
        <f t="array" ref="G4745">_xlfn.XLOOKUP(C4745 &amp; F4745,
         [1]unilever_price_limits!A:A &amp; [1]unilever_price_limits!B:B,
         [1]unilever_price_limits!C:C)</f>
        <v>50</v>
      </c>
      <c r="H4745" s="8">
        <f t="shared" si="297"/>
        <v>5.7750000000000004</v>
      </c>
      <c r="I4745" s="6">
        <f t="shared" si="298"/>
        <v>50</v>
      </c>
      <c r="J4745" t="str">
        <f t="shared" si="299"/>
        <v>OK</v>
      </c>
    </row>
    <row r="4746" spans="1:10" x14ac:dyDescent="0.2">
      <c r="A4746">
        <v>14745</v>
      </c>
      <c r="B4746" t="s">
        <v>10</v>
      </c>
      <c r="C4746" t="s">
        <v>9</v>
      </c>
      <c r="D4746" s="8">
        <v>1.18</v>
      </c>
      <c r="E4746">
        <v>7</v>
      </c>
      <c r="F4746" t="str">
        <f t="shared" si="296"/>
        <v>Standard</v>
      </c>
      <c r="G4746" s="3" cm="1">
        <f t="array" ref="G4746">_xlfn.XLOOKUP(C4746 &amp; F4746,
         [1]unilever_price_limits!A:A &amp; [1]unilever_price_limits!B:B,
         [1]unilever_price_limits!C:C)</f>
        <v>30</v>
      </c>
      <c r="H4746" s="8">
        <f t="shared" si="297"/>
        <v>1.534</v>
      </c>
      <c r="I4746" s="6">
        <f t="shared" si="298"/>
        <v>30.000000000000004</v>
      </c>
      <c r="J4746" t="str">
        <f t="shared" si="299"/>
        <v>OK</v>
      </c>
    </row>
    <row r="4747" spans="1:10" x14ac:dyDescent="0.2">
      <c r="A4747">
        <v>14746</v>
      </c>
      <c r="B4747" t="s">
        <v>5</v>
      </c>
      <c r="C4747" t="s">
        <v>6</v>
      </c>
      <c r="D4747" s="8">
        <v>10.72</v>
      </c>
      <c r="E4747">
        <v>3</v>
      </c>
      <c r="F4747" t="str">
        <f t="shared" si="296"/>
        <v>Value</v>
      </c>
      <c r="G4747" s="3" cm="1">
        <f t="array" ref="G4747">_xlfn.XLOOKUP(C4747 &amp; F4747,
         [1]unilever_price_limits!A:A &amp; [1]unilever_price_limits!B:B,
         [1]unilever_price_limits!C:C)</f>
        <v>12</v>
      </c>
      <c r="H4747" s="8">
        <f t="shared" si="297"/>
        <v>12.006400000000001</v>
      </c>
      <c r="I4747" s="6">
        <f t="shared" si="298"/>
        <v>12.000000000000011</v>
      </c>
      <c r="J4747" t="str">
        <f t="shared" si="299"/>
        <v>OK</v>
      </c>
    </row>
    <row r="4748" spans="1:10" x14ac:dyDescent="0.2">
      <c r="A4748">
        <v>14747</v>
      </c>
      <c r="B4748" t="s">
        <v>10</v>
      </c>
      <c r="C4748" t="s">
        <v>11</v>
      </c>
      <c r="D4748" s="8">
        <v>12.83</v>
      </c>
      <c r="E4748">
        <v>8</v>
      </c>
      <c r="F4748" t="str">
        <f t="shared" si="296"/>
        <v>Premium</v>
      </c>
      <c r="G4748" s="3" cm="1">
        <f t="array" ref="G4748">_xlfn.XLOOKUP(C4748 &amp; F4748,
         [1]unilever_price_limits!A:A &amp; [1]unilever_price_limits!B:B,
         [1]unilever_price_limits!C:C)</f>
        <v>50</v>
      </c>
      <c r="H4748" s="8">
        <f t="shared" si="297"/>
        <v>19.245000000000001</v>
      </c>
      <c r="I4748" s="6">
        <f t="shared" si="298"/>
        <v>50</v>
      </c>
      <c r="J4748" t="str">
        <f t="shared" si="299"/>
        <v>OK</v>
      </c>
    </row>
    <row r="4749" spans="1:10" x14ac:dyDescent="0.2">
      <c r="A4749">
        <v>14748</v>
      </c>
      <c r="B4749" t="s">
        <v>7</v>
      </c>
      <c r="C4749" t="s">
        <v>11</v>
      </c>
      <c r="D4749" s="8">
        <v>6.79</v>
      </c>
      <c r="E4749">
        <v>4</v>
      </c>
      <c r="F4749" t="str">
        <f t="shared" si="296"/>
        <v>Standard</v>
      </c>
      <c r="G4749" s="3" cm="1">
        <f t="array" ref="G4749">_xlfn.XLOOKUP(C4749 &amp; F4749,
         [1]unilever_price_limits!A:A &amp; [1]unilever_price_limits!B:B,
         [1]unilever_price_limits!C:C)</f>
        <v>25</v>
      </c>
      <c r="H4749" s="8">
        <f t="shared" si="297"/>
        <v>8.4875000000000007</v>
      </c>
      <c r="I4749" s="6">
        <f t="shared" si="298"/>
        <v>25</v>
      </c>
      <c r="J4749" t="str">
        <f t="shared" si="299"/>
        <v>OK</v>
      </c>
    </row>
    <row r="4750" spans="1:10" x14ac:dyDescent="0.2">
      <c r="A4750">
        <v>14749</v>
      </c>
      <c r="B4750" t="s">
        <v>5</v>
      </c>
      <c r="C4750" t="s">
        <v>11</v>
      </c>
      <c r="D4750" s="8">
        <v>13.96</v>
      </c>
      <c r="E4750">
        <v>2</v>
      </c>
      <c r="F4750" t="str">
        <f t="shared" si="296"/>
        <v>Value</v>
      </c>
      <c r="G4750" s="3" cm="1">
        <f t="array" ref="G4750">_xlfn.XLOOKUP(C4750 &amp; F4750,
         [1]unilever_price_limits!A:A &amp; [1]unilever_price_limits!B:B,
         [1]unilever_price_limits!C:C)</f>
        <v>10</v>
      </c>
      <c r="H4750" s="8">
        <f t="shared" si="297"/>
        <v>15.356000000000002</v>
      </c>
      <c r="I4750" s="6">
        <f t="shared" si="298"/>
        <v>10.000000000000009</v>
      </c>
      <c r="J4750" t="str">
        <f t="shared" si="299"/>
        <v>OK</v>
      </c>
    </row>
    <row r="4751" spans="1:10" x14ac:dyDescent="0.2">
      <c r="A4751">
        <v>14750</v>
      </c>
      <c r="B4751" t="s">
        <v>8</v>
      </c>
      <c r="C4751" t="s">
        <v>9</v>
      </c>
      <c r="D4751" s="8">
        <v>9.06</v>
      </c>
      <c r="E4751">
        <v>5</v>
      </c>
      <c r="F4751" t="str">
        <f t="shared" si="296"/>
        <v>Standard</v>
      </c>
      <c r="G4751" s="3" cm="1">
        <f t="array" ref="G4751">_xlfn.XLOOKUP(C4751 &amp; F4751,
         [1]unilever_price_limits!A:A &amp; [1]unilever_price_limits!B:B,
         [1]unilever_price_limits!C:C)</f>
        <v>30</v>
      </c>
      <c r="H4751" s="8">
        <f t="shared" si="297"/>
        <v>11.778</v>
      </c>
      <c r="I4751" s="6">
        <f t="shared" si="298"/>
        <v>30.000000000000004</v>
      </c>
      <c r="J4751" t="str">
        <f t="shared" si="299"/>
        <v>OK</v>
      </c>
    </row>
    <row r="4752" spans="1:10" x14ac:dyDescent="0.2">
      <c r="A4752">
        <v>14751</v>
      </c>
      <c r="B4752" t="s">
        <v>5</v>
      </c>
      <c r="C4752" t="s">
        <v>9</v>
      </c>
      <c r="D4752" s="8">
        <v>9.64</v>
      </c>
      <c r="E4752">
        <v>1</v>
      </c>
      <c r="F4752" t="str">
        <f t="shared" si="296"/>
        <v>Value</v>
      </c>
      <c r="G4752" s="3" cm="1">
        <f t="array" ref="G4752">_xlfn.XLOOKUP(C4752 &amp; F4752,
         [1]unilever_price_limits!A:A &amp; [1]unilever_price_limits!B:B,
         [1]unilever_price_limits!C:C)</f>
        <v>15</v>
      </c>
      <c r="H4752" s="8">
        <f t="shared" si="297"/>
        <v>11.086</v>
      </c>
      <c r="I4752" s="6">
        <f t="shared" si="298"/>
        <v>14.999999999999991</v>
      </c>
      <c r="J4752" t="str">
        <f t="shared" si="299"/>
        <v>OK</v>
      </c>
    </row>
    <row r="4753" spans="1:10" x14ac:dyDescent="0.2">
      <c r="A4753">
        <v>14752</v>
      </c>
      <c r="B4753" t="s">
        <v>8</v>
      </c>
      <c r="C4753" t="s">
        <v>9</v>
      </c>
      <c r="D4753" s="8">
        <v>12.76</v>
      </c>
      <c r="E4753">
        <v>8</v>
      </c>
      <c r="F4753" t="str">
        <f t="shared" si="296"/>
        <v>Premium</v>
      </c>
      <c r="G4753" s="3" cm="1">
        <f t="array" ref="G4753">_xlfn.XLOOKUP(C4753 &amp; F4753,
         [1]unilever_price_limits!A:A &amp; [1]unilever_price_limits!B:B,
         [1]unilever_price_limits!C:C)</f>
        <v>60</v>
      </c>
      <c r="H4753" s="8">
        <f t="shared" si="297"/>
        <v>20.416</v>
      </c>
      <c r="I4753" s="6">
        <f t="shared" si="298"/>
        <v>60.000000000000007</v>
      </c>
      <c r="J4753" t="str">
        <f t="shared" si="299"/>
        <v>OK</v>
      </c>
    </row>
    <row r="4754" spans="1:10" x14ac:dyDescent="0.2">
      <c r="A4754">
        <v>14753</v>
      </c>
      <c r="B4754" t="s">
        <v>8</v>
      </c>
      <c r="C4754" t="s">
        <v>6</v>
      </c>
      <c r="D4754" s="8">
        <v>4.8</v>
      </c>
      <c r="E4754">
        <v>8</v>
      </c>
      <c r="F4754" t="str">
        <f t="shared" si="296"/>
        <v>Premium</v>
      </c>
      <c r="G4754" s="3" cm="1">
        <f t="array" ref="G4754">_xlfn.XLOOKUP(C4754 &amp; F4754,
         [1]unilever_price_limits!A:A &amp; [1]unilever_price_limits!B:B,
         [1]unilever_price_limits!C:C)</f>
        <v>55</v>
      </c>
      <c r="H4754" s="8">
        <f t="shared" si="297"/>
        <v>7.4399999999999995</v>
      </c>
      <c r="I4754" s="6">
        <f t="shared" si="298"/>
        <v>55.000000000000007</v>
      </c>
      <c r="J4754" t="str">
        <f t="shared" si="299"/>
        <v>OK</v>
      </c>
    </row>
    <row r="4755" spans="1:10" x14ac:dyDescent="0.2">
      <c r="A4755">
        <v>14754</v>
      </c>
      <c r="B4755" t="s">
        <v>10</v>
      </c>
      <c r="C4755" t="s">
        <v>9</v>
      </c>
      <c r="D4755" s="8">
        <v>5.64</v>
      </c>
      <c r="E4755">
        <v>3</v>
      </c>
      <c r="F4755" t="str">
        <f t="shared" si="296"/>
        <v>Value</v>
      </c>
      <c r="G4755" s="3" cm="1">
        <f t="array" ref="G4755">_xlfn.XLOOKUP(C4755 &amp; F4755,
         [1]unilever_price_limits!A:A &amp; [1]unilever_price_limits!B:B,
         [1]unilever_price_limits!C:C)</f>
        <v>15</v>
      </c>
      <c r="H4755" s="8">
        <f t="shared" si="297"/>
        <v>6.4859999999999989</v>
      </c>
      <c r="I4755" s="6">
        <f t="shared" si="298"/>
        <v>14.999999999999991</v>
      </c>
      <c r="J4755" t="str">
        <f t="shared" si="299"/>
        <v>OK</v>
      </c>
    </row>
    <row r="4756" spans="1:10" x14ac:dyDescent="0.2">
      <c r="A4756">
        <v>14755</v>
      </c>
      <c r="B4756" t="s">
        <v>10</v>
      </c>
      <c r="C4756" t="s">
        <v>6</v>
      </c>
      <c r="D4756" s="8">
        <v>13.64</v>
      </c>
      <c r="E4756">
        <v>1</v>
      </c>
      <c r="F4756" t="str">
        <f t="shared" si="296"/>
        <v>Value</v>
      </c>
      <c r="G4756" s="3" cm="1">
        <f t="array" ref="G4756">_xlfn.XLOOKUP(C4756 &amp; F4756,
         [1]unilever_price_limits!A:A &amp; [1]unilever_price_limits!B:B,
         [1]unilever_price_limits!C:C)</f>
        <v>12</v>
      </c>
      <c r="H4756" s="8">
        <f t="shared" si="297"/>
        <v>15.276800000000001</v>
      </c>
      <c r="I4756" s="6">
        <f t="shared" si="298"/>
        <v>12.000000000000011</v>
      </c>
      <c r="J4756" t="str">
        <f t="shared" si="299"/>
        <v>OK</v>
      </c>
    </row>
    <row r="4757" spans="1:10" x14ac:dyDescent="0.2">
      <c r="A4757">
        <v>14756</v>
      </c>
      <c r="B4757" t="s">
        <v>10</v>
      </c>
      <c r="C4757" t="s">
        <v>11</v>
      </c>
      <c r="D4757" s="8">
        <v>13.56</v>
      </c>
      <c r="E4757">
        <v>4</v>
      </c>
      <c r="F4757" t="str">
        <f t="shared" si="296"/>
        <v>Standard</v>
      </c>
      <c r="G4757" s="3" cm="1">
        <f t="array" ref="G4757">_xlfn.XLOOKUP(C4757 &amp; F4757,
         [1]unilever_price_limits!A:A &amp; [1]unilever_price_limits!B:B,
         [1]unilever_price_limits!C:C)</f>
        <v>25</v>
      </c>
      <c r="H4757" s="8">
        <f t="shared" si="297"/>
        <v>16.95</v>
      </c>
      <c r="I4757" s="6">
        <f t="shared" si="298"/>
        <v>25</v>
      </c>
      <c r="J4757" t="str">
        <f t="shared" si="299"/>
        <v>OK</v>
      </c>
    </row>
    <row r="4758" spans="1:10" x14ac:dyDescent="0.2">
      <c r="A4758">
        <v>14757</v>
      </c>
      <c r="B4758" t="s">
        <v>7</v>
      </c>
      <c r="C4758" t="s">
        <v>11</v>
      </c>
      <c r="D4758" s="8">
        <v>14.66</v>
      </c>
      <c r="E4758">
        <v>9</v>
      </c>
      <c r="F4758" t="str">
        <f t="shared" si="296"/>
        <v>Premium</v>
      </c>
      <c r="G4758" s="3" cm="1">
        <f t="array" ref="G4758">_xlfn.XLOOKUP(C4758 &amp; F4758,
         [1]unilever_price_limits!A:A &amp; [1]unilever_price_limits!B:B,
         [1]unilever_price_limits!C:C)</f>
        <v>50</v>
      </c>
      <c r="H4758" s="8">
        <f t="shared" si="297"/>
        <v>21.990000000000002</v>
      </c>
      <c r="I4758" s="6">
        <f t="shared" si="298"/>
        <v>50.000000000000021</v>
      </c>
      <c r="J4758" t="str">
        <f t="shared" si="299"/>
        <v>OK</v>
      </c>
    </row>
    <row r="4759" spans="1:10" x14ac:dyDescent="0.2">
      <c r="A4759">
        <v>14758</v>
      </c>
      <c r="B4759" t="s">
        <v>7</v>
      </c>
      <c r="C4759" t="s">
        <v>9</v>
      </c>
      <c r="D4759" s="8">
        <v>13.58</v>
      </c>
      <c r="E4759">
        <v>9</v>
      </c>
      <c r="F4759" t="str">
        <f t="shared" si="296"/>
        <v>Premium</v>
      </c>
      <c r="G4759" s="3" cm="1">
        <f t="array" ref="G4759">_xlfn.XLOOKUP(C4759 &amp; F4759,
         [1]unilever_price_limits!A:A &amp; [1]unilever_price_limits!B:B,
         [1]unilever_price_limits!C:C)</f>
        <v>60</v>
      </c>
      <c r="H4759" s="8">
        <f t="shared" si="297"/>
        <v>21.728000000000002</v>
      </c>
      <c r="I4759" s="6">
        <f t="shared" si="298"/>
        <v>60.000000000000007</v>
      </c>
      <c r="J4759" t="str">
        <f t="shared" si="299"/>
        <v>OK</v>
      </c>
    </row>
    <row r="4760" spans="1:10" x14ac:dyDescent="0.2">
      <c r="A4760">
        <v>14759</v>
      </c>
      <c r="B4760" t="s">
        <v>10</v>
      </c>
      <c r="C4760" t="s">
        <v>11</v>
      </c>
      <c r="D4760" s="8">
        <v>2.35</v>
      </c>
      <c r="E4760">
        <v>1</v>
      </c>
      <c r="F4760" t="str">
        <f t="shared" si="296"/>
        <v>Value</v>
      </c>
      <c r="G4760" s="3" cm="1">
        <f t="array" ref="G4760">_xlfn.XLOOKUP(C4760 &amp; F4760,
         [1]unilever_price_limits!A:A &amp; [1]unilever_price_limits!B:B,
         [1]unilever_price_limits!C:C)</f>
        <v>10</v>
      </c>
      <c r="H4760" s="8">
        <f t="shared" si="297"/>
        <v>2.5850000000000004</v>
      </c>
      <c r="I4760" s="6">
        <f t="shared" si="298"/>
        <v>10.000000000000009</v>
      </c>
      <c r="J4760" t="str">
        <f t="shared" si="299"/>
        <v>OK</v>
      </c>
    </row>
    <row r="4761" spans="1:10" x14ac:dyDescent="0.2">
      <c r="A4761">
        <v>14760</v>
      </c>
      <c r="B4761" t="s">
        <v>7</v>
      </c>
      <c r="C4761" t="s">
        <v>9</v>
      </c>
      <c r="D4761" s="8">
        <v>12.44</v>
      </c>
      <c r="E4761">
        <v>7</v>
      </c>
      <c r="F4761" t="str">
        <f t="shared" si="296"/>
        <v>Standard</v>
      </c>
      <c r="G4761" s="3" cm="1">
        <f t="array" ref="G4761">_xlfn.XLOOKUP(C4761 &amp; F4761,
         [1]unilever_price_limits!A:A &amp; [1]unilever_price_limits!B:B,
         [1]unilever_price_limits!C:C)</f>
        <v>30</v>
      </c>
      <c r="H4761" s="8">
        <f t="shared" si="297"/>
        <v>16.172000000000001</v>
      </c>
      <c r="I4761" s="6">
        <f t="shared" si="298"/>
        <v>30.000000000000004</v>
      </c>
      <c r="J4761" t="str">
        <f t="shared" si="299"/>
        <v>OK</v>
      </c>
    </row>
    <row r="4762" spans="1:10" x14ac:dyDescent="0.2">
      <c r="A4762">
        <v>14761</v>
      </c>
      <c r="B4762" t="s">
        <v>5</v>
      </c>
      <c r="C4762" t="s">
        <v>6</v>
      </c>
      <c r="D4762" s="8">
        <v>6.44</v>
      </c>
      <c r="E4762">
        <v>6</v>
      </c>
      <c r="F4762" t="str">
        <f t="shared" si="296"/>
        <v>Standard</v>
      </c>
      <c r="G4762" s="3" cm="1">
        <f t="array" ref="G4762">_xlfn.XLOOKUP(C4762 &amp; F4762,
         [1]unilever_price_limits!A:A &amp; [1]unilever_price_limits!B:B,
         [1]unilever_price_limits!C:C)</f>
        <v>28</v>
      </c>
      <c r="H4762" s="8">
        <f t="shared" si="297"/>
        <v>8.2431999999999999</v>
      </c>
      <c r="I4762" s="6">
        <f t="shared" si="298"/>
        <v>27.999999999999979</v>
      </c>
      <c r="J4762" t="str">
        <f t="shared" si="299"/>
        <v>OK</v>
      </c>
    </row>
    <row r="4763" spans="1:10" x14ac:dyDescent="0.2">
      <c r="A4763">
        <v>14762</v>
      </c>
      <c r="B4763" t="s">
        <v>5</v>
      </c>
      <c r="C4763" t="s">
        <v>11</v>
      </c>
      <c r="D4763" s="8">
        <v>14.87</v>
      </c>
      <c r="E4763">
        <v>7</v>
      </c>
      <c r="F4763" t="str">
        <f t="shared" si="296"/>
        <v>Standard</v>
      </c>
      <c r="G4763" s="3" cm="1">
        <f t="array" ref="G4763">_xlfn.XLOOKUP(C4763 &amp; F4763,
         [1]unilever_price_limits!A:A &amp; [1]unilever_price_limits!B:B,
         [1]unilever_price_limits!C:C)</f>
        <v>25</v>
      </c>
      <c r="H4763" s="8">
        <f t="shared" si="297"/>
        <v>18.587499999999999</v>
      </c>
      <c r="I4763" s="6">
        <f t="shared" si="298"/>
        <v>25</v>
      </c>
      <c r="J4763" t="str">
        <f t="shared" si="299"/>
        <v>OK</v>
      </c>
    </row>
    <row r="4764" spans="1:10" x14ac:dyDescent="0.2">
      <c r="A4764">
        <v>14763</v>
      </c>
      <c r="B4764" t="s">
        <v>7</v>
      </c>
      <c r="C4764" t="s">
        <v>9</v>
      </c>
      <c r="D4764" s="8">
        <v>7.35</v>
      </c>
      <c r="E4764">
        <v>7</v>
      </c>
      <c r="F4764" t="str">
        <f t="shared" si="296"/>
        <v>Standard</v>
      </c>
      <c r="G4764" s="3" cm="1">
        <f t="array" ref="G4764">_xlfn.XLOOKUP(C4764 &amp; F4764,
         [1]unilever_price_limits!A:A &amp; [1]unilever_price_limits!B:B,
         [1]unilever_price_limits!C:C)</f>
        <v>30</v>
      </c>
      <c r="H4764" s="8">
        <f t="shared" si="297"/>
        <v>9.5549999999999997</v>
      </c>
      <c r="I4764" s="6">
        <f t="shared" si="298"/>
        <v>30.000000000000004</v>
      </c>
      <c r="J4764" t="str">
        <f t="shared" si="299"/>
        <v>OK</v>
      </c>
    </row>
    <row r="4765" spans="1:10" x14ac:dyDescent="0.2">
      <c r="A4765">
        <v>14764</v>
      </c>
      <c r="B4765" t="s">
        <v>7</v>
      </c>
      <c r="C4765" t="s">
        <v>11</v>
      </c>
      <c r="D4765" s="8">
        <v>8.5299999999999994</v>
      </c>
      <c r="E4765">
        <v>8</v>
      </c>
      <c r="F4765" t="str">
        <f t="shared" si="296"/>
        <v>Premium</v>
      </c>
      <c r="G4765" s="3" cm="1">
        <f t="array" ref="G4765">_xlfn.XLOOKUP(C4765 &amp; F4765,
         [1]unilever_price_limits!A:A &amp; [1]unilever_price_limits!B:B,
         [1]unilever_price_limits!C:C)</f>
        <v>50</v>
      </c>
      <c r="H4765" s="8">
        <f t="shared" si="297"/>
        <v>12.794999999999998</v>
      </c>
      <c r="I4765" s="6">
        <f t="shared" si="298"/>
        <v>50</v>
      </c>
      <c r="J4765" t="str">
        <f t="shared" si="299"/>
        <v>OK</v>
      </c>
    </row>
    <row r="4766" spans="1:10" x14ac:dyDescent="0.2">
      <c r="A4766">
        <v>14765</v>
      </c>
      <c r="B4766" t="s">
        <v>5</v>
      </c>
      <c r="C4766" t="s">
        <v>11</v>
      </c>
      <c r="D4766" s="8">
        <v>8.18</v>
      </c>
      <c r="E4766">
        <v>8</v>
      </c>
      <c r="F4766" t="str">
        <f t="shared" si="296"/>
        <v>Premium</v>
      </c>
      <c r="G4766" s="3" cm="1">
        <f t="array" ref="G4766">_xlfn.XLOOKUP(C4766 &amp; F4766,
         [1]unilever_price_limits!A:A &amp; [1]unilever_price_limits!B:B,
         [1]unilever_price_limits!C:C)</f>
        <v>50</v>
      </c>
      <c r="H4766" s="8">
        <f t="shared" si="297"/>
        <v>12.27</v>
      </c>
      <c r="I4766" s="6">
        <f t="shared" si="298"/>
        <v>50</v>
      </c>
      <c r="J4766" t="str">
        <f t="shared" si="299"/>
        <v>OK</v>
      </c>
    </row>
    <row r="4767" spans="1:10" x14ac:dyDescent="0.2">
      <c r="A4767">
        <v>14766</v>
      </c>
      <c r="B4767" t="s">
        <v>8</v>
      </c>
      <c r="C4767" t="s">
        <v>9</v>
      </c>
      <c r="D4767" s="8">
        <v>5.17</v>
      </c>
      <c r="E4767">
        <v>10</v>
      </c>
      <c r="F4767" t="str">
        <f t="shared" si="296"/>
        <v>Premium</v>
      </c>
      <c r="G4767" s="3" cm="1">
        <f t="array" ref="G4767">_xlfn.XLOOKUP(C4767 &amp; F4767,
         [1]unilever_price_limits!A:A &amp; [1]unilever_price_limits!B:B,
         [1]unilever_price_limits!C:C)</f>
        <v>60</v>
      </c>
      <c r="H4767" s="8">
        <f t="shared" si="297"/>
        <v>8.2720000000000002</v>
      </c>
      <c r="I4767" s="6">
        <f t="shared" si="298"/>
        <v>60.000000000000007</v>
      </c>
      <c r="J4767" t="str">
        <f t="shared" si="299"/>
        <v>OK</v>
      </c>
    </row>
    <row r="4768" spans="1:10" x14ac:dyDescent="0.2">
      <c r="A4768">
        <v>14767</v>
      </c>
      <c r="B4768" t="s">
        <v>5</v>
      </c>
      <c r="C4768" t="s">
        <v>11</v>
      </c>
      <c r="D4768" s="8">
        <v>1.59</v>
      </c>
      <c r="E4768">
        <v>2</v>
      </c>
      <c r="F4768" t="str">
        <f t="shared" si="296"/>
        <v>Value</v>
      </c>
      <c r="G4768" s="3" cm="1">
        <f t="array" ref="G4768">_xlfn.XLOOKUP(C4768 &amp; F4768,
         [1]unilever_price_limits!A:A &amp; [1]unilever_price_limits!B:B,
         [1]unilever_price_limits!C:C)</f>
        <v>10</v>
      </c>
      <c r="H4768" s="8">
        <f t="shared" si="297"/>
        <v>1.7490000000000003</v>
      </c>
      <c r="I4768" s="6">
        <f t="shared" si="298"/>
        <v>10.000000000000009</v>
      </c>
      <c r="J4768" t="str">
        <f t="shared" si="299"/>
        <v>OK</v>
      </c>
    </row>
    <row r="4769" spans="1:10" x14ac:dyDescent="0.2">
      <c r="A4769">
        <v>14768</v>
      </c>
      <c r="B4769" t="s">
        <v>5</v>
      </c>
      <c r="C4769" t="s">
        <v>11</v>
      </c>
      <c r="D4769" s="8">
        <v>13.49</v>
      </c>
      <c r="E4769">
        <v>4</v>
      </c>
      <c r="F4769" t="str">
        <f t="shared" si="296"/>
        <v>Standard</v>
      </c>
      <c r="G4769" s="3" cm="1">
        <f t="array" ref="G4769">_xlfn.XLOOKUP(C4769 &amp; F4769,
         [1]unilever_price_limits!A:A &amp; [1]unilever_price_limits!B:B,
         [1]unilever_price_limits!C:C)</f>
        <v>25</v>
      </c>
      <c r="H4769" s="8">
        <f t="shared" si="297"/>
        <v>16.862500000000001</v>
      </c>
      <c r="I4769" s="6">
        <f t="shared" si="298"/>
        <v>25</v>
      </c>
      <c r="J4769" t="str">
        <f t="shared" si="299"/>
        <v>OK</v>
      </c>
    </row>
    <row r="4770" spans="1:10" x14ac:dyDescent="0.2">
      <c r="A4770">
        <v>14769</v>
      </c>
      <c r="B4770" t="s">
        <v>7</v>
      </c>
      <c r="C4770" t="s">
        <v>11</v>
      </c>
      <c r="D4770" s="8">
        <v>12.14</v>
      </c>
      <c r="E4770">
        <v>4</v>
      </c>
      <c r="F4770" t="str">
        <f t="shared" si="296"/>
        <v>Standard</v>
      </c>
      <c r="G4770" s="3" cm="1">
        <f t="array" ref="G4770">_xlfn.XLOOKUP(C4770 &amp; F4770,
         [1]unilever_price_limits!A:A &amp; [1]unilever_price_limits!B:B,
         [1]unilever_price_limits!C:C)</f>
        <v>25</v>
      </c>
      <c r="H4770" s="8">
        <f t="shared" si="297"/>
        <v>15.175000000000001</v>
      </c>
      <c r="I4770" s="6">
        <f t="shared" si="298"/>
        <v>25</v>
      </c>
      <c r="J4770" t="str">
        <f t="shared" si="299"/>
        <v>OK</v>
      </c>
    </row>
    <row r="4771" spans="1:10" x14ac:dyDescent="0.2">
      <c r="A4771">
        <v>14770</v>
      </c>
      <c r="B4771" t="s">
        <v>5</v>
      </c>
      <c r="C4771" t="s">
        <v>11</v>
      </c>
      <c r="D4771" s="8">
        <v>2.52</v>
      </c>
      <c r="E4771">
        <v>10</v>
      </c>
      <c r="F4771" t="str">
        <f t="shared" si="296"/>
        <v>Premium</v>
      </c>
      <c r="G4771" s="3" cm="1">
        <f t="array" ref="G4771">_xlfn.XLOOKUP(C4771 &amp; F4771,
         [1]unilever_price_limits!A:A &amp; [1]unilever_price_limits!B:B,
         [1]unilever_price_limits!C:C)</f>
        <v>50</v>
      </c>
      <c r="H4771" s="8">
        <f t="shared" si="297"/>
        <v>3.7800000000000002</v>
      </c>
      <c r="I4771" s="6">
        <f t="shared" si="298"/>
        <v>50</v>
      </c>
      <c r="J4771" t="str">
        <f t="shared" si="299"/>
        <v>OK</v>
      </c>
    </row>
    <row r="4772" spans="1:10" x14ac:dyDescent="0.2">
      <c r="A4772">
        <v>14771</v>
      </c>
      <c r="B4772" t="s">
        <v>7</v>
      </c>
      <c r="C4772" t="s">
        <v>6</v>
      </c>
      <c r="D4772" s="8">
        <v>11.76</v>
      </c>
      <c r="E4772">
        <v>8</v>
      </c>
      <c r="F4772" t="str">
        <f t="shared" si="296"/>
        <v>Premium</v>
      </c>
      <c r="G4772" s="3" cm="1">
        <f t="array" ref="G4772">_xlfn.XLOOKUP(C4772 &amp; F4772,
         [1]unilever_price_limits!A:A &amp; [1]unilever_price_limits!B:B,
         [1]unilever_price_limits!C:C)</f>
        <v>55</v>
      </c>
      <c r="H4772" s="8">
        <f t="shared" si="297"/>
        <v>18.228000000000002</v>
      </c>
      <c r="I4772" s="6">
        <f t="shared" si="298"/>
        <v>55.000000000000028</v>
      </c>
      <c r="J4772" t="str">
        <f t="shared" si="299"/>
        <v>OK</v>
      </c>
    </row>
    <row r="4773" spans="1:10" x14ac:dyDescent="0.2">
      <c r="A4773">
        <v>14772</v>
      </c>
      <c r="B4773" t="s">
        <v>7</v>
      </c>
      <c r="C4773" t="s">
        <v>11</v>
      </c>
      <c r="D4773" s="8">
        <v>9.57</v>
      </c>
      <c r="E4773">
        <v>3</v>
      </c>
      <c r="F4773" t="str">
        <f t="shared" si="296"/>
        <v>Value</v>
      </c>
      <c r="G4773" s="3" cm="1">
        <f t="array" ref="G4773">_xlfn.XLOOKUP(C4773 &amp; F4773,
         [1]unilever_price_limits!A:A &amp; [1]unilever_price_limits!B:B,
         [1]unilever_price_limits!C:C)</f>
        <v>10</v>
      </c>
      <c r="H4773" s="8">
        <f t="shared" si="297"/>
        <v>10.527000000000001</v>
      </c>
      <c r="I4773" s="6">
        <f t="shared" si="298"/>
        <v>10.000000000000009</v>
      </c>
      <c r="J4773" t="str">
        <f t="shared" si="299"/>
        <v>OK</v>
      </c>
    </row>
    <row r="4774" spans="1:10" x14ac:dyDescent="0.2">
      <c r="A4774">
        <v>14773</v>
      </c>
      <c r="B4774" t="s">
        <v>10</v>
      </c>
      <c r="C4774" t="s">
        <v>11</v>
      </c>
      <c r="D4774" s="8">
        <v>6.43</v>
      </c>
      <c r="E4774">
        <v>3</v>
      </c>
      <c r="F4774" t="str">
        <f t="shared" si="296"/>
        <v>Value</v>
      </c>
      <c r="G4774" s="3" cm="1">
        <f t="array" ref="G4774">_xlfn.XLOOKUP(C4774 &amp; F4774,
         [1]unilever_price_limits!A:A &amp; [1]unilever_price_limits!B:B,
         [1]unilever_price_limits!C:C)</f>
        <v>10</v>
      </c>
      <c r="H4774" s="8">
        <f t="shared" si="297"/>
        <v>7.0730000000000004</v>
      </c>
      <c r="I4774" s="6">
        <f t="shared" si="298"/>
        <v>10.000000000000009</v>
      </c>
      <c r="J4774" t="str">
        <f t="shared" si="299"/>
        <v>OK</v>
      </c>
    </row>
    <row r="4775" spans="1:10" x14ac:dyDescent="0.2">
      <c r="A4775">
        <v>14774</v>
      </c>
      <c r="B4775" t="s">
        <v>5</v>
      </c>
      <c r="C4775" t="s">
        <v>9</v>
      </c>
      <c r="D4775" s="8">
        <v>4.18</v>
      </c>
      <c r="E4775">
        <v>2</v>
      </c>
      <c r="F4775" t="str">
        <f t="shared" si="296"/>
        <v>Value</v>
      </c>
      <c r="G4775" s="3" cm="1">
        <f t="array" ref="G4775">_xlfn.XLOOKUP(C4775 &amp; F4775,
         [1]unilever_price_limits!A:A &amp; [1]unilever_price_limits!B:B,
         [1]unilever_price_limits!C:C)</f>
        <v>15</v>
      </c>
      <c r="H4775" s="8">
        <f t="shared" si="297"/>
        <v>4.8069999999999995</v>
      </c>
      <c r="I4775" s="6">
        <f t="shared" si="298"/>
        <v>14.999999999999991</v>
      </c>
      <c r="J4775" t="str">
        <f t="shared" si="299"/>
        <v>OK</v>
      </c>
    </row>
    <row r="4776" spans="1:10" x14ac:dyDescent="0.2">
      <c r="A4776">
        <v>14775</v>
      </c>
      <c r="B4776" t="s">
        <v>8</v>
      </c>
      <c r="C4776" t="s">
        <v>6</v>
      </c>
      <c r="D4776" s="8">
        <v>12.97</v>
      </c>
      <c r="E4776">
        <v>1</v>
      </c>
      <c r="F4776" t="str">
        <f t="shared" si="296"/>
        <v>Value</v>
      </c>
      <c r="G4776" s="3" cm="1">
        <f t="array" ref="G4776">_xlfn.XLOOKUP(C4776 &amp; F4776,
         [1]unilever_price_limits!A:A &amp; [1]unilever_price_limits!B:B,
         [1]unilever_price_limits!C:C)</f>
        <v>12</v>
      </c>
      <c r="H4776" s="8">
        <f t="shared" si="297"/>
        <v>14.526400000000002</v>
      </c>
      <c r="I4776" s="6">
        <f t="shared" si="298"/>
        <v>12.000000000000011</v>
      </c>
      <c r="J4776" t="str">
        <f t="shared" si="299"/>
        <v>OK</v>
      </c>
    </row>
    <row r="4777" spans="1:10" x14ac:dyDescent="0.2">
      <c r="A4777">
        <v>14776</v>
      </c>
      <c r="B4777" t="s">
        <v>10</v>
      </c>
      <c r="C4777" t="s">
        <v>9</v>
      </c>
      <c r="D4777" s="8">
        <v>10.65</v>
      </c>
      <c r="E4777">
        <v>8</v>
      </c>
      <c r="F4777" t="str">
        <f t="shared" si="296"/>
        <v>Premium</v>
      </c>
      <c r="G4777" s="3" cm="1">
        <f t="array" ref="G4777">_xlfn.XLOOKUP(C4777 &amp; F4777,
         [1]unilever_price_limits!A:A &amp; [1]unilever_price_limits!B:B,
         [1]unilever_price_limits!C:C)</f>
        <v>60</v>
      </c>
      <c r="H4777" s="8">
        <f t="shared" si="297"/>
        <v>17.040000000000003</v>
      </c>
      <c r="I4777" s="6">
        <f t="shared" si="298"/>
        <v>60.000000000000028</v>
      </c>
      <c r="J4777" t="str">
        <f t="shared" si="299"/>
        <v>OK</v>
      </c>
    </row>
    <row r="4778" spans="1:10" x14ac:dyDescent="0.2">
      <c r="A4778">
        <v>14777</v>
      </c>
      <c r="B4778" t="s">
        <v>7</v>
      </c>
      <c r="C4778" t="s">
        <v>9</v>
      </c>
      <c r="D4778" s="8">
        <v>8.44</v>
      </c>
      <c r="E4778">
        <v>9</v>
      </c>
      <c r="F4778" t="str">
        <f t="shared" si="296"/>
        <v>Premium</v>
      </c>
      <c r="G4778" s="3" cm="1">
        <f t="array" ref="G4778">_xlfn.XLOOKUP(C4778 &amp; F4778,
         [1]unilever_price_limits!A:A &amp; [1]unilever_price_limits!B:B,
         [1]unilever_price_limits!C:C)</f>
        <v>60</v>
      </c>
      <c r="H4778" s="8">
        <f t="shared" si="297"/>
        <v>13.504</v>
      </c>
      <c r="I4778" s="6">
        <f t="shared" si="298"/>
        <v>60.000000000000007</v>
      </c>
      <c r="J4778" t="str">
        <f t="shared" si="299"/>
        <v>OK</v>
      </c>
    </row>
    <row r="4779" spans="1:10" x14ac:dyDescent="0.2">
      <c r="A4779">
        <v>14778</v>
      </c>
      <c r="B4779" t="s">
        <v>7</v>
      </c>
      <c r="C4779" t="s">
        <v>9</v>
      </c>
      <c r="D4779" s="8">
        <v>9.34</v>
      </c>
      <c r="E4779">
        <v>9</v>
      </c>
      <c r="F4779" t="str">
        <f t="shared" si="296"/>
        <v>Premium</v>
      </c>
      <c r="G4779" s="3" cm="1">
        <f t="array" ref="G4779">_xlfn.XLOOKUP(C4779 &amp; F4779,
         [1]unilever_price_limits!A:A &amp; [1]unilever_price_limits!B:B,
         [1]unilever_price_limits!C:C)</f>
        <v>60</v>
      </c>
      <c r="H4779" s="8">
        <f t="shared" si="297"/>
        <v>14.944000000000001</v>
      </c>
      <c r="I4779" s="6">
        <f t="shared" si="298"/>
        <v>60.000000000000007</v>
      </c>
      <c r="J4779" t="str">
        <f t="shared" si="299"/>
        <v>OK</v>
      </c>
    </row>
    <row r="4780" spans="1:10" x14ac:dyDescent="0.2">
      <c r="A4780">
        <v>14779</v>
      </c>
      <c r="B4780" t="s">
        <v>8</v>
      </c>
      <c r="C4780" t="s">
        <v>6</v>
      </c>
      <c r="D4780" s="8">
        <v>1.82</v>
      </c>
      <c r="E4780">
        <v>8</v>
      </c>
      <c r="F4780" t="str">
        <f t="shared" si="296"/>
        <v>Premium</v>
      </c>
      <c r="G4780" s="3" cm="1">
        <f t="array" ref="G4780">_xlfn.XLOOKUP(C4780 &amp; F4780,
         [1]unilever_price_limits!A:A &amp; [1]unilever_price_limits!B:B,
         [1]unilever_price_limits!C:C)</f>
        <v>55</v>
      </c>
      <c r="H4780" s="8">
        <f t="shared" si="297"/>
        <v>2.8210000000000002</v>
      </c>
      <c r="I4780" s="6">
        <f t="shared" si="298"/>
        <v>55.000000000000007</v>
      </c>
      <c r="J4780" t="str">
        <f t="shared" si="299"/>
        <v>OK</v>
      </c>
    </row>
    <row r="4781" spans="1:10" x14ac:dyDescent="0.2">
      <c r="A4781">
        <v>14780</v>
      </c>
      <c r="B4781" t="s">
        <v>7</v>
      </c>
      <c r="C4781" t="s">
        <v>9</v>
      </c>
      <c r="D4781" s="8">
        <v>7.37</v>
      </c>
      <c r="E4781">
        <v>5</v>
      </c>
      <c r="F4781" t="str">
        <f t="shared" si="296"/>
        <v>Standard</v>
      </c>
      <c r="G4781" s="3" cm="1">
        <f t="array" ref="G4781">_xlfn.XLOOKUP(C4781 &amp; F4781,
         [1]unilever_price_limits!A:A &amp; [1]unilever_price_limits!B:B,
         [1]unilever_price_limits!C:C)</f>
        <v>30</v>
      </c>
      <c r="H4781" s="8">
        <f t="shared" si="297"/>
        <v>9.5810000000000013</v>
      </c>
      <c r="I4781" s="6">
        <f t="shared" si="298"/>
        <v>30.000000000000028</v>
      </c>
      <c r="J4781" t="str">
        <f t="shared" si="299"/>
        <v>OK</v>
      </c>
    </row>
    <row r="4782" spans="1:10" x14ac:dyDescent="0.2">
      <c r="A4782">
        <v>14781</v>
      </c>
      <c r="B4782" t="s">
        <v>5</v>
      </c>
      <c r="C4782" t="s">
        <v>9</v>
      </c>
      <c r="D4782" s="8">
        <v>3.31</v>
      </c>
      <c r="E4782">
        <v>1</v>
      </c>
      <c r="F4782" t="str">
        <f t="shared" si="296"/>
        <v>Value</v>
      </c>
      <c r="G4782" s="3" cm="1">
        <f t="array" ref="G4782">_xlfn.XLOOKUP(C4782 &amp; F4782,
         [1]unilever_price_limits!A:A &amp; [1]unilever_price_limits!B:B,
         [1]unilever_price_limits!C:C)</f>
        <v>15</v>
      </c>
      <c r="H4782" s="8">
        <f t="shared" si="297"/>
        <v>3.8064999999999998</v>
      </c>
      <c r="I4782" s="6">
        <f t="shared" si="298"/>
        <v>14.999999999999991</v>
      </c>
      <c r="J4782" t="str">
        <f t="shared" si="299"/>
        <v>OK</v>
      </c>
    </row>
    <row r="4783" spans="1:10" x14ac:dyDescent="0.2">
      <c r="A4783">
        <v>14782</v>
      </c>
      <c r="B4783" t="s">
        <v>10</v>
      </c>
      <c r="C4783" t="s">
        <v>9</v>
      </c>
      <c r="D4783" s="8">
        <v>3.52</v>
      </c>
      <c r="E4783">
        <v>9</v>
      </c>
      <c r="F4783" t="str">
        <f t="shared" si="296"/>
        <v>Premium</v>
      </c>
      <c r="G4783" s="3" cm="1">
        <f t="array" ref="G4783">_xlfn.XLOOKUP(C4783 &amp; F4783,
         [1]unilever_price_limits!A:A &amp; [1]unilever_price_limits!B:B,
         [1]unilever_price_limits!C:C)</f>
        <v>60</v>
      </c>
      <c r="H4783" s="8">
        <f t="shared" si="297"/>
        <v>5.6320000000000006</v>
      </c>
      <c r="I4783" s="6">
        <f t="shared" si="298"/>
        <v>60.000000000000007</v>
      </c>
      <c r="J4783" t="str">
        <f t="shared" si="299"/>
        <v>OK</v>
      </c>
    </row>
    <row r="4784" spans="1:10" x14ac:dyDescent="0.2">
      <c r="A4784">
        <v>14783</v>
      </c>
      <c r="B4784" t="s">
        <v>7</v>
      </c>
      <c r="C4784" t="s">
        <v>11</v>
      </c>
      <c r="D4784" s="8">
        <v>10.09</v>
      </c>
      <c r="E4784">
        <v>6</v>
      </c>
      <c r="F4784" t="str">
        <f t="shared" si="296"/>
        <v>Standard</v>
      </c>
      <c r="G4784" s="3" cm="1">
        <f t="array" ref="G4784">_xlfn.XLOOKUP(C4784 &amp; F4784,
         [1]unilever_price_limits!A:A &amp; [1]unilever_price_limits!B:B,
         [1]unilever_price_limits!C:C)</f>
        <v>25</v>
      </c>
      <c r="H4784" s="8">
        <f t="shared" si="297"/>
        <v>12.612500000000001</v>
      </c>
      <c r="I4784" s="6">
        <f t="shared" si="298"/>
        <v>25</v>
      </c>
      <c r="J4784" t="str">
        <f t="shared" si="299"/>
        <v>OK</v>
      </c>
    </row>
    <row r="4785" spans="1:10" x14ac:dyDescent="0.2">
      <c r="A4785">
        <v>14784</v>
      </c>
      <c r="B4785" t="s">
        <v>7</v>
      </c>
      <c r="C4785" t="s">
        <v>9</v>
      </c>
      <c r="D4785" s="8">
        <v>13.71</v>
      </c>
      <c r="E4785">
        <v>7</v>
      </c>
      <c r="F4785" t="str">
        <f t="shared" si="296"/>
        <v>Standard</v>
      </c>
      <c r="G4785" s="3" cm="1">
        <f t="array" ref="G4785">_xlfn.XLOOKUP(C4785 &amp; F4785,
         [1]unilever_price_limits!A:A &amp; [1]unilever_price_limits!B:B,
         [1]unilever_price_limits!C:C)</f>
        <v>30</v>
      </c>
      <c r="H4785" s="8">
        <f t="shared" si="297"/>
        <v>17.823</v>
      </c>
      <c r="I4785" s="6">
        <f t="shared" si="298"/>
        <v>30.000000000000004</v>
      </c>
      <c r="J4785" t="str">
        <f t="shared" si="299"/>
        <v>OK</v>
      </c>
    </row>
    <row r="4786" spans="1:10" x14ac:dyDescent="0.2">
      <c r="A4786">
        <v>14785</v>
      </c>
      <c r="B4786" t="s">
        <v>8</v>
      </c>
      <c r="C4786" t="s">
        <v>6</v>
      </c>
      <c r="D4786" s="8">
        <v>6.35</v>
      </c>
      <c r="E4786">
        <v>8</v>
      </c>
      <c r="F4786" t="str">
        <f t="shared" si="296"/>
        <v>Premium</v>
      </c>
      <c r="G4786" s="3" cm="1">
        <f t="array" ref="G4786">_xlfn.XLOOKUP(C4786 &amp; F4786,
         [1]unilever_price_limits!A:A &amp; [1]unilever_price_limits!B:B,
         [1]unilever_price_limits!C:C)</f>
        <v>55</v>
      </c>
      <c r="H4786" s="8">
        <f t="shared" si="297"/>
        <v>9.8424999999999994</v>
      </c>
      <c r="I4786" s="6">
        <f t="shared" si="298"/>
        <v>55.000000000000007</v>
      </c>
      <c r="J4786" t="str">
        <f t="shared" si="299"/>
        <v>OK</v>
      </c>
    </row>
    <row r="4787" spans="1:10" x14ac:dyDescent="0.2">
      <c r="A4787">
        <v>14786</v>
      </c>
      <c r="B4787" t="s">
        <v>5</v>
      </c>
      <c r="C4787" t="s">
        <v>6</v>
      </c>
      <c r="D4787" s="8">
        <v>3.51</v>
      </c>
      <c r="E4787">
        <v>5</v>
      </c>
      <c r="F4787" t="str">
        <f t="shared" si="296"/>
        <v>Standard</v>
      </c>
      <c r="G4787" s="3" cm="1">
        <f t="array" ref="G4787">_xlfn.XLOOKUP(C4787 &amp; F4787,
         [1]unilever_price_limits!A:A &amp; [1]unilever_price_limits!B:B,
         [1]unilever_price_limits!C:C)</f>
        <v>28</v>
      </c>
      <c r="H4787" s="8">
        <f t="shared" si="297"/>
        <v>4.4927999999999999</v>
      </c>
      <c r="I4787" s="6">
        <f t="shared" si="298"/>
        <v>28.000000000000004</v>
      </c>
      <c r="J4787" t="str">
        <f t="shared" si="299"/>
        <v>OK</v>
      </c>
    </row>
    <row r="4788" spans="1:10" x14ac:dyDescent="0.2">
      <c r="A4788">
        <v>14787</v>
      </c>
      <c r="B4788" t="s">
        <v>7</v>
      </c>
      <c r="C4788" t="s">
        <v>11</v>
      </c>
      <c r="D4788" s="8">
        <v>9.91</v>
      </c>
      <c r="E4788">
        <v>6</v>
      </c>
      <c r="F4788" t="str">
        <f t="shared" si="296"/>
        <v>Standard</v>
      </c>
      <c r="G4788" s="3" cm="1">
        <f t="array" ref="G4788">_xlfn.XLOOKUP(C4788 &amp; F4788,
         [1]unilever_price_limits!A:A &amp; [1]unilever_price_limits!B:B,
         [1]unilever_price_limits!C:C)</f>
        <v>25</v>
      </c>
      <c r="H4788" s="8">
        <f t="shared" si="297"/>
        <v>12.387499999999999</v>
      </c>
      <c r="I4788" s="6">
        <f t="shared" si="298"/>
        <v>25</v>
      </c>
      <c r="J4788" t="str">
        <f t="shared" si="299"/>
        <v>OK</v>
      </c>
    </row>
    <row r="4789" spans="1:10" x14ac:dyDescent="0.2">
      <c r="A4789">
        <v>14788</v>
      </c>
      <c r="B4789" t="s">
        <v>8</v>
      </c>
      <c r="C4789" t="s">
        <v>6</v>
      </c>
      <c r="D4789" s="8">
        <v>13.13</v>
      </c>
      <c r="E4789">
        <v>7</v>
      </c>
      <c r="F4789" t="str">
        <f t="shared" si="296"/>
        <v>Standard</v>
      </c>
      <c r="G4789" s="3" cm="1">
        <f t="array" ref="G4789">_xlfn.XLOOKUP(C4789 &amp; F4789,
         [1]unilever_price_limits!A:A &amp; [1]unilever_price_limits!B:B,
         [1]unilever_price_limits!C:C)</f>
        <v>28</v>
      </c>
      <c r="H4789" s="8">
        <f t="shared" si="297"/>
        <v>16.8064</v>
      </c>
      <c r="I4789" s="6">
        <f t="shared" si="298"/>
        <v>28.000000000000004</v>
      </c>
      <c r="J4789" t="str">
        <f t="shared" si="299"/>
        <v>OK</v>
      </c>
    </row>
    <row r="4790" spans="1:10" x14ac:dyDescent="0.2">
      <c r="A4790">
        <v>14789</v>
      </c>
      <c r="B4790" t="s">
        <v>7</v>
      </c>
      <c r="C4790" t="s">
        <v>6</v>
      </c>
      <c r="D4790" s="8">
        <v>11.35</v>
      </c>
      <c r="E4790">
        <v>7</v>
      </c>
      <c r="F4790" t="str">
        <f t="shared" si="296"/>
        <v>Standard</v>
      </c>
      <c r="G4790" s="3" cm="1">
        <f t="array" ref="G4790">_xlfn.XLOOKUP(C4790 &amp; F4790,
         [1]unilever_price_limits!A:A &amp; [1]unilever_price_limits!B:B,
         [1]unilever_price_limits!C:C)</f>
        <v>28</v>
      </c>
      <c r="H4790" s="8">
        <f t="shared" si="297"/>
        <v>14.528</v>
      </c>
      <c r="I4790" s="6">
        <f t="shared" si="298"/>
        <v>28.000000000000004</v>
      </c>
      <c r="J4790" t="str">
        <f t="shared" si="299"/>
        <v>OK</v>
      </c>
    </row>
    <row r="4791" spans="1:10" x14ac:dyDescent="0.2">
      <c r="A4791">
        <v>14790</v>
      </c>
      <c r="B4791" t="s">
        <v>8</v>
      </c>
      <c r="C4791" t="s">
        <v>11</v>
      </c>
      <c r="D4791" s="8">
        <v>13.1</v>
      </c>
      <c r="E4791">
        <v>2</v>
      </c>
      <c r="F4791" t="str">
        <f t="shared" si="296"/>
        <v>Value</v>
      </c>
      <c r="G4791" s="3" cm="1">
        <f t="array" ref="G4791">_xlfn.XLOOKUP(C4791 &amp; F4791,
         [1]unilever_price_limits!A:A &amp; [1]unilever_price_limits!B:B,
         [1]unilever_price_limits!C:C)</f>
        <v>10</v>
      </c>
      <c r="H4791" s="8">
        <f t="shared" si="297"/>
        <v>14.41</v>
      </c>
      <c r="I4791" s="6">
        <f t="shared" si="298"/>
        <v>10.000000000000009</v>
      </c>
      <c r="J4791" t="str">
        <f t="shared" si="299"/>
        <v>OK</v>
      </c>
    </row>
    <row r="4792" spans="1:10" x14ac:dyDescent="0.2">
      <c r="A4792">
        <v>14791</v>
      </c>
      <c r="B4792" t="s">
        <v>8</v>
      </c>
      <c r="C4792" t="s">
        <v>9</v>
      </c>
      <c r="D4792" s="8">
        <v>8.2799999999999994</v>
      </c>
      <c r="E4792">
        <v>1</v>
      </c>
      <c r="F4792" t="str">
        <f t="shared" si="296"/>
        <v>Value</v>
      </c>
      <c r="G4792" s="3" cm="1">
        <f t="array" ref="G4792">_xlfn.XLOOKUP(C4792 &amp; F4792,
         [1]unilever_price_limits!A:A &amp; [1]unilever_price_limits!B:B,
         [1]unilever_price_limits!C:C)</f>
        <v>15</v>
      </c>
      <c r="H4792" s="8">
        <f t="shared" si="297"/>
        <v>9.5219999999999985</v>
      </c>
      <c r="I4792" s="6">
        <f t="shared" si="298"/>
        <v>14.999999999999991</v>
      </c>
      <c r="J4792" t="str">
        <f t="shared" si="299"/>
        <v>OK</v>
      </c>
    </row>
    <row r="4793" spans="1:10" x14ac:dyDescent="0.2">
      <c r="A4793">
        <v>14792</v>
      </c>
      <c r="B4793" t="s">
        <v>5</v>
      </c>
      <c r="C4793" t="s">
        <v>11</v>
      </c>
      <c r="D4793" s="8">
        <v>11.4</v>
      </c>
      <c r="E4793">
        <v>8</v>
      </c>
      <c r="F4793" t="str">
        <f t="shared" si="296"/>
        <v>Premium</v>
      </c>
      <c r="G4793" s="3" cm="1">
        <f t="array" ref="G4793">_xlfn.XLOOKUP(C4793 &amp; F4793,
         [1]unilever_price_limits!A:A &amp; [1]unilever_price_limits!B:B,
         [1]unilever_price_limits!C:C)</f>
        <v>50</v>
      </c>
      <c r="H4793" s="8">
        <f t="shared" si="297"/>
        <v>17.100000000000001</v>
      </c>
      <c r="I4793" s="6">
        <f t="shared" si="298"/>
        <v>50</v>
      </c>
      <c r="J4793" t="str">
        <f t="shared" si="299"/>
        <v>OK</v>
      </c>
    </row>
    <row r="4794" spans="1:10" x14ac:dyDescent="0.2">
      <c r="A4794">
        <v>14793</v>
      </c>
      <c r="B4794" t="s">
        <v>7</v>
      </c>
      <c r="C4794" t="s">
        <v>9</v>
      </c>
      <c r="D4794" s="8">
        <v>2.5299999999999998</v>
      </c>
      <c r="E4794">
        <v>5</v>
      </c>
      <c r="F4794" t="str">
        <f t="shared" si="296"/>
        <v>Standard</v>
      </c>
      <c r="G4794" s="3" cm="1">
        <f t="array" ref="G4794">_xlfn.XLOOKUP(C4794 &amp; F4794,
         [1]unilever_price_limits!A:A &amp; [1]unilever_price_limits!B:B,
         [1]unilever_price_limits!C:C)</f>
        <v>30</v>
      </c>
      <c r="H4794" s="8">
        <f t="shared" si="297"/>
        <v>3.2889999999999997</v>
      </c>
      <c r="I4794" s="6">
        <f t="shared" si="298"/>
        <v>30.000000000000004</v>
      </c>
      <c r="J4794" t="str">
        <f t="shared" si="299"/>
        <v>OK</v>
      </c>
    </row>
    <row r="4795" spans="1:10" x14ac:dyDescent="0.2">
      <c r="A4795">
        <v>14794</v>
      </c>
      <c r="B4795" t="s">
        <v>5</v>
      </c>
      <c r="C4795" t="s">
        <v>9</v>
      </c>
      <c r="D4795" s="8">
        <v>5.55</v>
      </c>
      <c r="E4795">
        <v>10</v>
      </c>
      <c r="F4795" t="str">
        <f t="shared" si="296"/>
        <v>Premium</v>
      </c>
      <c r="G4795" s="3" cm="1">
        <f t="array" ref="G4795">_xlfn.XLOOKUP(C4795 &amp; F4795,
         [1]unilever_price_limits!A:A &amp; [1]unilever_price_limits!B:B,
         [1]unilever_price_limits!C:C)</f>
        <v>60</v>
      </c>
      <c r="H4795" s="8">
        <f t="shared" si="297"/>
        <v>8.8800000000000008</v>
      </c>
      <c r="I4795" s="6">
        <f t="shared" si="298"/>
        <v>60.000000000000007</v>
      </c>
      <c r="J4795" t="str">
        <f t="shared" si="299"/>
        <v>OK</v>
      </c>
    </row>
    <row r="4796" spans="1:10" x14ac:dyDescent="0.2">
      <c r="A4796">
        <v>14795</v>
      </c>
      <c r="B4796" t="s">
        <v>8</v>
      </c>
      <c r="C4796" t="s">
        <v>6</v>
      </c>
      <c r="D4796" s="8">
        <v>6.15</v>
      </c>
      <c r="E4796">
        <v>2</v>
      </c>
      <c r="F4796" t="str">
        <f t="shared" si="296"/>
        <v>Value</v>
      </c>
      <c r="G4796" s="3" cm="1">
        <f t="array" ref="G4796">_xlfn.XLOOKUP(C4796 &amp; F4796,
         [1]unilever_price_limits!A:A &amp; [1]unilever_price_limits!B:B,
         [1]unilever_price_limits!C:C)</f>
        <v>12</v>
      </c>
      <c r="H4796" s="8">
        <f t="shared" si="297"/>
        <v>6.8880000000000008</v>
      </c>
      <c r="I4796" s="6">
        <f t="shared" si="298"/>
        <v>12.000000000000011</v>
      </c>
      <c r="J4796" t="str">
        <f t="shared" si="299"/>
        <v>OK</v>
      </c>
    </row>
    <row r="4797" spans="1:10" x14ac:dyDescent="0.2">
      <c r="A4797">
        <v>14796</v>
      </c>
      <c r="B4797" t="s">
        <v>10</v>
      </c>
      <c r="C4797" t="s">
        <v>11</v>
      </c>
      <c r="D4797" s="8">
        <v>7.91</v>
      </c>
      <c r="E4797">
        <v>3</v>
      </c>
      <c r="F4797" t="str">
        <f t="shared" si="296"/>
        <v>Value</v>
      </c>
      <c r="G4797" s="3" cm="1">
        <f t="array" ref="G4797">_xlfn.XLOOKUP(C4797 &amp; F4797,
         [1]unilever_price_limits!A:A &amp; [1]unilever_price_limits!B:B,
         [1]unilever_price_limits!C:C)</f>
        <v>10</v>
      </c>
      <c r="H4797" s="8">
        <f t="shared" si="297"/>
        <v>8.7010000000000005</v>
      </c>
      <c r="I4797" s="6">
        <f t="shared" si="298"/>
        <v>10.000000000000009</v>
      </c>
      <c r="J4797" t="str">
        <f t="shared" si="299"/>
        <v>OK</v>
      </c>
    </row>
    <row r="4798" spans="1:10" x14ac:dyDescent="0.2">
      <c r="A4798">
        <v>14797</v>
      </c>
      <c r="B4798" t="s">
        <v>7</v>
      </c>
      <c r="C4798" t="s">
        <v>6</v>
      </c>
      <c r="D4798" s="8">
        <v>13.97</v>
      </c>
      <c r="E4798">
        <v>6</v>
      </c>
      <c r="F4798" t="str">
        <f t="shared" si="296"/>
        <v>Standard</v>
      </c>
      <c r="G4798" s="3" cm="1">
        <f t="array" ref="G4798">_xlfn.XLOOKUP(C4798 &amp; F4798,
         [1]unilever_price_limits!A:A &amp; [1]unilever_price_limits!B:B,
         [1]unilever_price_limits!C:C)</f>
        <v>28</v>
      </c>
      <c r="H4798" s="8">
        <f t="shared" si="297"/>
        <v>17.881600000000002</v>
      </c>
      <c r="I4798" s="6">
        <f t="shared" si="298"/>
        <v>28.000000000000004</v>
      </c>
      <c r="J4798" t="str">
        <f t="shared" si="299"/>
        <v>OK</v>
      </c>
    </row>
    <row r="4799" spans="1:10" x14ac:dyDescent="0.2">
      <c r="A4799">
        <v>14798</v>
      </c>
      <c r="B4799" t="s">
        <v>10</v>
      </c>
      <c r="C4799" t="s">
        <v>6</v>
      </c>
      <c r="D4799" s="8">
        <v>13.18</v>
      </c>
      <c r="E4799">
        <v>10</v>
      </c>
      <c r="F4799" t="str">
        <f t="shared" si="296"/>
        <v>Premium</v>
      </c>
      <c r="G4799" s="3" cm="1">
        <f t="array" ref="G4799">_xlfn.XLOOKUP(C4799 &amp; F4799,
         [1]unilever_price_limits!A:A &amp; [1]unilever_price_limits!B:B,
         [1]unilever_price_limits!C:C)</f>
        <v>55</v>
      </c>
      <c r="H4799" s="8">
        <f t="shared" si="297"/>
        <v>20.428999999999998</v>
      </c>
      <c r="I4799" s="6">
        <f t="shared" si="298"/>
        <v>54.999999999999986</v>
      </c>
      <c r="J4799" t="str">
        <f t="shared" si="299"/>
        <v>OK</v>
      </c>
    </row>
    <row r="4800" spans="1:10" x14ac:dyDescent="0.2">
      <c r="A4800">
        <v>14799</v>
      </c>
      <c r="B4800" t="s">
        <v>7</v>
      </c>
      <c r="C4800" t="s">
        <v>9</v>
      </c>
      <c r="D4800" s="8">
        <v>2.4500000000000002</v>
      </c>
      <c r="E4800">
        <v>6</v>
      </c>
      <c r="F4800" t="str">
        <f t="shared" si="296"/>
        <v>Standard</v>
      </c>
      <c r="G4800" s="3" cm="1">
        <f t="array" ref="G4800">_xlfn.XLOOKUP(C4800 &amp; F4800,
         [1]unilever_price_limits!A:A &amp; [1]unilever_price_limits!B:B,
         [1]unilever_price_limits!C:C)</f>
        <v>30</v>
      </c>
      <c r="H4800" s="8">
        <f t="shared" si="297"/>
        <v>3.1850000000000005</v>
      </c>
      <c r="I4800" s="6">
        <f t="shared" si="298"/>
        <v>30.000000000000004</v>
      </c>
      <c r="J4800" t="str">
        <f t="shared" si="299"/>
        <v>OK</v>
      </c>
    </row>
    <row r="4801" spans="1:10" x14ac:dyDescent="0.2">
      <c r="A4801">
        <v>14800</v>
      </c>
      <c r="B4801" t="s">
        <v>5</v>
      </c>
      <c r="C4801" t="s">
        <v>6</v>
      </c>
      <c r="D4801" s="8">
        <v>3.01</v>
      </c>
      <c r="E4801">
        <v>8</v>
      </c>
      <c r="F4801" t="str">
        <f t="shared" si="296"/>
        <v>Premium</v>
      </c>
      <c r="G4801" s="3" cm="1">
        <f t="array" ref="G4801">_xlfn.XLOOKUP(C4801 &amp; F4801,
         [1]unilever_price_limits!A:A &amp; [1]unilever_price_limits!B:B,
         [1]unilever_price_limits!C:C)</f>
        <v>55</v>
      </c>
      <c r="H4801" s="8">
        <f t="shared" si="297"/>
        <v>4.6654999999999998</v>
      </c>
      <c r="I4801" s="6">
        <f t="shared" si="298"/>
        <v>55.000000000000007</v>
      </c>
      <c r="J4801" t="str">
        <f t="shared" si="299"/>
        <v>OK</v>
      </c>
    </row>
    <row r="4802" spans="1:10" x14ac:dyDescent="0.2">
      <c r="A4802">
        <v>14801</v>
      </c>
      <c r="B4802" t="s">
        <v>5</v>
      </c>
      <c r="C4802" t="s">
        <v>11</v>
      </c>
      <c r="D4802" s="8">
        <v>5.69</v>
      </c>
      <c r="E4802">
        <v>5</v>
      </c>
      <c r="F4802" t="str">
        <f t="shared" si="296"/>
        <v>Standard</v>
      </c>
      <c r="G4802" s="3" cm="1">
        <f t="array" ref="G4802">_xlfn.XLOOKUP(C4802 &amp; F4802,
         [1]unilever_price_limits!A:A &amp; [1]unilever_price_limits!B:B,
         [1]unilever_price_limits!C:C)</f>
        <v>25</v>
      </c>
      <c r="H4802" s="8">
        <f t="shared" si="297"/>
        <v>7.1125000000000007</v>
      </c>
      <c r="I4802" s="6">
        <f t="shared" si="298"/>
        <v>25</v>
      </c>
      <c r="J4802" t="str">
        <f t="shared" si="299"/>
        <v>OK</v>
      </c>
    </row>
    <row r="4803" spans="1:10" x14ac:dyDescent="0.2">
      <c r="A4803">
        <v>14802</v>
      </c>
      <c r="B4803" t="s">
        <v>5</v>
      </c>
      <c r="C4803" t="s">
        <v>6</v>
      </c>
      <c r="D4803" s="8">
        <v>4.72</v>
      </c>
      <c r="E4803">
        <v>5</v>
      </c>
      <c r="F4803" t="str">
        <f t="shared" ref="F4803:F4866" si="300">IF(E4803&lt;=3,"Value",
 IF(E4803&lt;=7,"Standard","Premium"))</f>
        <v>Standard</v>
      </c>
      <c r="G4803" s="3" cm="1">
        <f t="array" ref="G4803">_xlfn.XLOOKUP(C4803 &amp; F4803,
         [1]unilever_price_limits!A:A &amp; [1]unilever_price_limits!B:B,
         [1]unilever_price_limits!C:C)</f>
        <v>28</v>
      </c>
      <c r="H4803" s="8">
        <f t="shared" ref="H4803:H4866" si="301">D4803 * (1 + G4803/100)</f>
        <v>6.0415999999999999</v>
      </c>
      <c r="I4803" s="6">
        <f t="shared" ref="I4803:I4866" si="302">(H4803 / D4803 - 1) * 100</f>
        <v>28.000000000000004</v>
      </c>
      <c r="J4803" t="str">
        <f t="shared" ref="J4803:J4866" si="303">IF(I4802&gt; G4802, "⚠ Exceeds Limit", "OK")</f>
        <v>OK</v>
      </c>
    </row>
    <row r="4804" spans="1:10" x14ac:dyDescent="0.2">
      <c r="A4804">
        <v>14803</v>
      </c>
      <c r="B4804" t="s">
        <v>5</v>
      </c>
      <c r="C4804" t="s">
        <v>6</v>
      </c>
      <c r="D4804" s="8">
        <v>9.41</v>
      </c>
      <c r="E4804">
        <v>7</v>
      </c>
      <c r="F4804" t="str">
        <f t="shared" si="300"/>
        <v>Standard</v>
      </c>
      <c r="G4804" s="3" cm="1">
        <f t="array" ref="G4804">_xlfn.XLOOKUP(C4804 &amp; F4804,
         [1]unilever_price_limits!A:A &amp; [1]unilever_price_limits!B:B,
         [1]unilever_price_limits!C:C)</f>
        <v>28</v>
      </c>
      <c r="H4804" s="8">
        <f t="shared" si="301"/>
        <v>12.0448</v>
      </c>
      <c r="I4804" s="6">
        <f t="shared" si="302"/>
        <v>28.000000000000004</v>
      </c>
      <c r="J4804" t="str">
        <f t="shared" si="303"/>
        <v>OK</v>
      </c>
    </row>
    <row r="4805" spans="1:10" x14ac:dyDescent="0.2">
      <c r="A4805">
        <v>14804</v>
      </c>
      <c r="B4805" t="s">
        <v>5</v>
      </c>
      <c r="C4805" t="s">
        <v>9</v>
      </c>
      <c r="D4805" s="8">
        <v>13.59</v>
      </c>
      <c r="E4805">
        <v>10</v>
      </c>
      <c r="F4805" t="str">
        <f t="shared" si="300"/>
        <v>Premium</v>
      </c>
      <c r="G4805" s="3" cm="1">
        <f t="array" ref="G4805">_xlfn.XLOOKUP(C4805 &amp; F4805,
         [1]unilever_price_limits!A:A &amp; [1]unilever_price_limits!B:B,
         [1]unilever_price_limits!C:C)</f>
        <v>60</v>
      </c>
      <c r="H4805" s="8">
        <f t="shared" si="301"/>
        <v>21.744</v>
      </c>
      <c r="I4805" s="6">
        <f t="shared" si="302"/>
        <v>60.000000000000007</v>
      </c>
      <c r="J4805" t="str">
        <f t="shared" si="303"/>
        <v>OK</v>
      </c>
    </row>
    <row r="4806" spans="1:10" x14ac:dyDescent="0.2">
      <c r="A4806">
        <v>14805</v>
      </c>
      <c r="B4806" t="s">
        <v>10</v>
      </c>
      <c r="C4806" t="s">
        <v>11</v>
      </c>
      <c r="D4806" s="8">
        <v>14.45</v>
      </c>
      <c r="E4806">
        <v>5</v>
      </c>
      <c r="F4806" t="str">
        <f t="shared" si="300"/>
        <v>Standard</v>
      </c>
      <c r="G4806" s="3" cm="1">
        <f t="array" ref="G4806">_xlfn.XLOOKUP(C4806 &amp; F4806,
         [1]unilever_price_limits!A:A &amp; [1]unilever_price_limits!B:B,
         [1]unilever_price_limits!C:C)</f>
        <v>25</v>
      </c>
      <c r="H4806" s="8">
        <f t="shared" si="301"/>
        <v>18.0625</v>
      </c>
      <c r="I4806" s="6">
        <f t="shared" si="302"/>
        <v>25</v>
      </c>
      <c r="J4806" t="str">
        <f t="shared" si="303"/>
        <v>OK</v>
      </c>
    </row>
    <row r="4807" spans="1:10" x14ac:dyDescent="0.2">
      <c r="A4807">
        <v>14806</v>
      </c>
      <c r="B4807" t="s">
        <v>5</v>
      </c>
      <c r="C4807" t="s">
        <v>6</v>
      </c>
      <c r="D4807" s="8">
        <v>9.98</v>
      </c>
      <c r="E4807">
        <v>9</v>
      </c>
      <c r="F4807" t="str">
        <f t="shared" si="300"/>
        <v>Premium</v>
      </c>
      <c r="G4807" s="3" cm="1">
        <f t="array" ref="G4807">_xlfn.XLOOKUP(C4807 &amp; F4807,
         [1]unilever_price_limits!A:A &amp; [1]unilever_price_limits!B:B,
         [1]unilever_price_limits!C:C)</f>
        <v>55</v>
      </c>
      <c r="H4807" s="8">
        <f t="shared" si="301"/>
        <v>15.469000000000001</v>
      </c>
      <c r="I4807" s="6">
        <f t="shared" si="302"/>
        <v>55.000000000000007</v>
      </c>
      <c r="J4807" t="str">
        <f t="shared" si="303"/>
        <v>OK</v>
      </c>
    </row>
    <row r="4808" spans="1:10" x14ac:dyDescent="0.2">
      <c r="A4808">
        <v>14807</v>
      </c>
      <c r="B4808" t="s">
        <v>8</v>
      </c>
      <c r="C4808" t="s">
        <v>9</v>
      </c>
      <c r="D4808" s="8">
        <v>12.65</v>
      </c>
      <c r="E4808">
        <v>6</v>
      </c>
      <c r="F4808" t="str">
        <f t="shared" si="300"/>
        <v>Standard</v>
      </c>
      <c r="G4808" s="3" cm="1">
        <f t="array" ref="G4808">_xlfn.XLOOKUP(C4808 &amp; F4808,
         [1]unilever_price_limits!A:A &amp; [1]unilever_price_limits!B:B,
         [1]unilever_price_limits!C:C)</f>
        <v>30</v>
      </c>
      <c r="H4808" s="8">
        <f t="shared" si="301"/>
        <v>16.445</v>
      </c>
      <c r="I4808" s="6">
        <f t="shared" si="302"/>
        <v>30.000000000000004</v>
      </c>
      <c r="J4808" t="str">
        <f t="shared" si="303"/>
        <v>OK</v>
      </c>
    </row>
    <row r="4809" spans="1:10" x14ac:dyDescent="0.2">
      <c r="A4809">
        <v>14808</v>
      </c>
      <c r="B4809" t="s">
        <v>8</v>
      </c>
      <c r="C4809" t="s">
        <v>6</v>
      </c>
      <c r="D4809" s="8">
        <v>8.1199999999999992</v>
      </c>
      <c r="E4809">
        <v>7</v>
      </c>
      <c r="F4809" t="str">
        <f t="shared" si="300"/>
        <v>Standard</v>
      </c>
      <c r="G4809" s="3" cm="1">
        <f t="array" ref="G4809">_xlfn.XLOOKUP(C4809 &amp; F4809,
         [1]unilever_price_limits!A:A &amp; [1]unilever_price_limits!B:B,
         [1]unilever_price_limits!C:C)</f>
        <v>28</v>
      </c>
      <c r="H4809" s="8">
        <f t="shared" si="301"/>
        <v>10.393599999999999</v>
      </c>
      <c r="I4809" s="6">
        <f t="shared" si="302"/>
        <v>28.000000000000004</v>
      </c>
      <c r="J4809" t="str">
        <f t="shared" si="303"/>
        <v>OK</v>
      </c>
    </row>
    <row r="4810" spans="1:10" x14ac:dyDescent="0.2">
      <c r="A4810">
        <v>14809</v>
      </c>
      <c r="B4810" t="s">
        <v>10</v>
      </c>
      <c r="C4810" t="s">
        <v>11</v>
      </c>
      <c r="D4810" s="8">
        <v>3.52</v>
      </c>
      <c r="E4810">
        <v>8</v>
      </c>
      <c r="F4810" t="str">
        <f t="shared" si="300"/>
        <v>Premium</v>
      </c>
      <c r="G4810" s="3" cm="1">
        <f t="array" ref="G4810">_xlfn.XLOOKUP(C4810 &amp; F4810,
         [1]unilever_price_limits!A:A &amp; [1]unilever_price_limits!B:B,
         [1]unilever_price_limits!C:C)</f>
        <v>50</v>
      </c>
      <c r="H4810" s="8">
        <f t="shared" si="301"/>
        <v>5.28</v>
      </c>
      <c r="I4810" s="6">
        <f t="shared" si="302"/>
        <v>50</v>
      </c>
      <c r="J4810" t="str">
        <f t="shared" si="303"/>
        <v>OK</v>
      </c>
    </row>
    <row r="4811" spans="1:10" x14ac:dyDescent="0.2">
      <c r="A4811">
        <v>14810</v>
      </c>
      <c r="B4811" t="s">
        <v>7</v>
      </c>
      <c r="C4811" t="s">
        <v>6</v>
      </c>
      <c r="D4811" s="8">
        <v>8.11</v>
      </c>
      <c r="E4811">
        <v>5</v>
      </c>
      <c r="F4811" t="str">
        <f t="shared" si="300"/>
        <v>Standard</v>
      </c>
      <c r="G4811" s="3" cm="1">
        <f t="array" ref="G4811">_xlfn.XLOOKUP(C4811 &amp; F4811,
         [1]unilever_price_limits!A:A &amp; [1]unilever_price_limits!B:B,
         [1]unilever_price_limits!C:C)</f>
        <v>28</v>
      </c>
      <c r="H4811" s="8">
        <f t="shared" si="301"/>
        <v>10.380799999999999</v>
      </c>
      <c r="I4811" s="6">
        <f t="shared" si="302"/>
        <v>28.000000000000004</v>
      </c>
      <c r="J4811" t="str">
        <f t="shared" si="303"/>
        <v>OK</v>
      </c>
    </row>
    <row r="4812" spans="1:10" x14ac:dyDescent="0.2">
      <c r="A4812">
        <v>14811</v>
      </c>
      <c r="B4812" t="s">
        <v>8</v>
      </c>
      <c r="C4812" t="s">
        <v>6</v>
      </c>
      <c r="D4812" s="8">
        <v>8.5500000000000007</v>
      </c>
      <c r="E4812">
        <v>4</v>
      </c>
      <c r="F4812" t="str">
        <f t="shared" si="300"/>
        <v>Standard</v>
      </c>
      <c r="G4812" s="3" cm="1">
        <f t="array" ref="G4812">_xlfn.XLOOKUP(C4812 &amp; F4812,
         [1]unilever_price_limits!A:A &amp; [1]unilever_price_limits!B:B,
         [1]unilever_price_limits!C:C)</f>
        <v>28</v>
      </c>
      <c r="H4812" s="8">
        <f t="shared" si="301"/>
        <v>10.944000000000001</v>
      </c>
      <c r="I4812" s="6">
        <f t="shared" si="302"/>
        <v>28.000000000000004</v>
      </c>
      <c r="J4812" t="str">
        <f t="shared" si="303"/>
        <v>OK</v>
      </c>
    </row>
    <row r="4813" spans="1:10" x14ac:dyDescent="0.2">
      <c r="A4813">
        <v>14812</v>
      </c>
      <c r="B4813" t="s">
        <v>7</v>
      </c>
      <c r="C4813" t="s">
        <v>9</v>
      </c>
      <c r="D4813" s="8">
        <v>11.27</v>
      </c>
      <c r="E4813">
        <v>8</v>
      </c>
      <c r="F4813" t="str">
        <f t="shared" si="300"/>
        <v>Premium</v>
      </c>
      <c r="G4813" s="3" cm="1">
        <f t="array" ref="G4813">_xlfn.XLOOKUP(C4813 &amp; F4813,
         [1]unilever_price_limits!A:A &amp; [1]unilever_price_limits!B:B,
         [1]unilever_price_limits!C:C)</f>
        <v>60</v>
      </c>
      <c r="H4813" s="8">
        <f t="shared" si="301"/>
        <v>18.032</v>
      </c>
      <c r="I4813" s="6">
        <f t="shared" si="302"/>
        <v>60.000000000000007</v>
      </c>
      <c r="J4813" t="str">
        <f t="shared" si="303"/>
        <v>OK</v>
      </c>
    </row>
    <row r="4814" spans="1:10" x14ac:dyDescent="0.2">
      <c r="A4814">
        <v>14813</v>
      </c>
      <c r="B4814" t="s">
        <v>10</v>
      </c>
      <c r="C4814" t="s">
        <v>6</v>
      </c>
      <c r="D4814" s="8">
        <v>3.69</v>
      </c>
      <c r="E4814">
        <v>10</v>
      </c>
      <c r="F4814" t="str">
        <f t="shared" si="300"/>
        <v>Premium</v>
      </c>
      <c r="G4814" s="3" cm="1">
        <f t="array" ref="G4814">_xlfn.XLOOKUP(C4814 &amp; F4814,
         [1]unilever_price_limits!A:A &amp; [1]unilever_price_limits!B:B,
         [1]unilever_price_limits!C:C)</f>
        <v>55</v>
      </c>
      <c r="H4814" s="8">
        <f t="shared" si="301"/>
        <v>5.7195</v>
      </c>
      <c r="I4814" s="6">
        <f t="shared" si="302"/>
        <v>55.000000000000007</v>
      </c>
      <c r="J4814" t="str">
        <f t="shared" si="303"/>
        <v>OK</v>
      </c>
    </row>
    <row r="4815" spans="1:10" x14ac:dyDescent="0.2">
      <c r="A4815">
        <v>14814</v>
      </c>
      <c r="B4815" t="s">
        <v>7</v>
      </c>
      <c r="C4815" t="s">
        <v>9</v>
      </c>
      <c r="D4815" s="8">
        <v>5.84</v>
      </c>
      <c r="E4815">
        <v>9</v>
      </c>
      <c r="F4815" t="str">
        <f t="shared" si="300"/>
        <v>Premium</v>
      </c>
      <c r="G4815" s="3" cm="1">
        <f t="array" ref="G4815">_xlfn.XLOOKUP(C4815 &amp; F4815,
         [1]unilever_price_limits!A:A &amp; [1]unilever_price_limits!B:B,
         [1]unilever_price_limits!C:C)</f>
        <v>60</v>
      </c>
      <c r="H4815" s="8">
        <f t="shared" si="301"/>
        <v>9.3439999999999994</v>
      </c>
      <c r="I4815" s="6">
        <f t="shared" si="302"/>
        <v>59.999999999999986</v>
      </c>
      <c r="J4815" t="str">
        <f t="shared" si="303"/>
        <v>OK</v>
      </c>
    </row>
    <row r="4816" spans="1:10" x14ac:dyDescent="0.2">
      <c r="A4816">
        <v>14815</v>
      </c>
      <c r="B4816" t="s">
        <v>7</v>
      </c>
      <c r="C4816" t="s">
        <v>11</v>
      </c>
      <c r="D4816" s="8">
        <v>5.78</v>
      </c>
      <c r="E4816">
        <v>1</v>
      </c>
      <c r="F4816" t="str">
        <f t="shared" si="300"/>
        <v>Value</v>
      </c>
      <c r="G4816" s="3" cm="1">
        <f t="array" ref="G4816">_xlfn.XLOOKUP(C4816 &amp; F4816,
         [1]unilever_price_limits!A:A &amp; [1]unilever_price_limits!B:B,
         [1]unilever_price_limits!C:C)</f>
        <v>10</v>
      </c>
      <c r="H4816" s="8">
        <f t="shared" si="301"/>
        <v>6.3580000000000005</v>
      </c>
      <c r="I4816" s="6">
        <f t="shared" si="302"/>
        <v>10.000000000000009</v>
      </c>
      <c r="J4816" t="str">
        <f t="shared" si="303"/>
        <v>OK</v>
      </c>
    </row>
    <row r="4817" spans="1:10" x14ac:dyDescent="0.2">
      <c r="A4817">
        <v>14816</v>
      </c>
      <c r="B4817" t="s">
        <v>7</v>
      </c>
      <c r="C4817" t="s">
        <v>6</v>
      </c>
      <c r="D4817" s="8">
        <v>14.41</v>
      </c>
      <c r="E4817">
        <v>3</v>
      </c>
      <c r="F4817" t="str">
        <f t="shared" si="300"/>
        <v>Value</v>
      </c>
      <c r="G4817" s="3" cm="1">
        <f t="array" ref="G4817">_xlfn.XLOOKUP(C4817 &amp; F4817,
         [1]unilever_price_limits!A:A &amp; [1]unilever_price_limits!B:B,
         [1]unilever_price_limits!C:C)</f>
        <v>12</v>
      </c>
      <c r="H4817" s="8">
        <f t="shared" si="301"/>
        <v>16.139200000000002</v>
      </c>
      <c r="I4817" s="6">
        <f t="shared" si="302"/>
        <v>12.000000000000011</v>
      </c>
      <c r="J4817" t="str">
        <f t="shared" si="303"/>
        <v>OK</v>
      </c>
    </row>
    <row r="4818" spans="1:10" x14ac:dyDescent="0.2">
      <c r="A4818">
        <v>14817</v>
      </c>
      <c r="B4818" t="s">
        <v>7</v>
      </c>
      <c r="C4818" t="s">
        <v>11</v>
      </c>
      <c r="D4818" s="8">
        <v>6.94</v>
      </c>
      <c r="E4818">
        <v>4</v>
      </c>
      <c r="F4818" t="str">
        <f t="shared" si="300"/>
        <v>Standard</v>
      </c>
      <c r="G4818" s="3" cm="1">
        <f t="array" ref="G4818">_xlfn.XLOOKUP(C4818 &amp; F4818,
         [1]unilever_price_limits!A:A &amp; [1]unilever_price_limits!B:B,
         [1]unilever_price_limits!C:C)</f>
        <v>25</v>
      </c>
      <c r="H4818" s="8">
        <f t="shared" si="301"/>
        <v>8.6750000000000007</v>
      </c>
      <c r="I4818" s="6">
        <f t="shared" si="302"/>
        <v>25</v>
      </c>
      <c r="J4818" t="str">
        <f t="shared" si="303"/>
        <v>OK</v>
      </c>
    </row>
    <row r="4819" spans="1:10" x14ac:dyDescent="0.2">
      <c r="A4819">
        <v>14818</v>
      </c>
      <c r="B4819" t="s">
        <v>10</v>
      </c>
      <c r="C4819" t="s">
        <v>11</v>
      </c>
      <c r="D4819" s="8">
        <v>11.45</v>
      </c>
      <c r="E4819">
        <v>7</v>
      </c>
      <c r="F4819" t="str">
        <f t="shared" si="300"/>
        <v>Standard</v>
      </c>
      <c r="G4819" s="3" cm="1">
        <f t="array" ref="G4819">_xlfn.XLOOKUP(C4819 &amp; F4819,
         [1]unilever_price_limits!A:A &amp; [1]unilever_price_limits!B:B,
         [1]unilever_price_limits!C:C)</f>
        <v>25</v>
      </c>
      <c r="H4819" s="8">
        <f t="shared" si="301"/>
        <v>14.3125</v>
      </c>
      <c r="I4819" s="6">
        <f t="shared" si="302"/>
        <v>25</v>
      </c>
      <c r="J4819" t="str">
        <f t="shared" si="303"/>
        <v>OK</v>
      </c>
    </row>
    <row r="4820" spans="1:10" x14ac:dyDescent="0.2">
      <c r="A4820">
        <v>14819</v>
      </c>
      <c r="B4820" t="s">
        <v>8</v>
      </c>
      <c r="C4820" t="s">
        <v>6</v>
      </c>
      <c r="D4820" s="8">
        <v>11.39</v>
      </c>
      <c r="E4820">
        <v>6</v>
      </c>
      <c r="F4820" t="str">
        <f t="shared" si="300"/>
        <v>Standard</v>
      </c>
      <c r="G4820" s="3" cm="1">
        <f t="array" ref="G4820">_xlfn.XLOOKUP(C4820 &amp; F4820,
         [1]unilever_price_limits!A:A &amp; [1]unilever_price_limits!B:B,
         [1]unilever_price_limits!C:C)</f>
        <v>28</v>
      </c>
      <c r="H4820" s="8">
        <f t="shared" si="301"/>
        <v>14.5792</v>
      </c>
      <c r="I4820" s="6">
        <f t="shared" si="302"/>
        <v>28.000000000000004</v>
      </c>
      <c r="J4820" t="str">
        <f t="shared" si="303"/>
        <v>OK</v>
      </c>
    </row>
    <row r="4821" spans="1:10" x14ac:dyDescent="0.2">
      <c r="A4821">
        <v>14820</v>
      </c>
      <c r="B4821" t="s">
        <v>5</v>
      </c>
      <c r="C4821" t="s">
        <v>9</v>
      </c>
      <c r="D4821" s="8">
        <v>4.3499999999999996</v>
      </c>
      <c r="E4821">
        <v>10</v>
      </c>
      <c r="F4821" t="str">
        <f t="shared" si="300"/>
        <v>Premium</v>
      </c>
      <c r="G4821" s="3" cm="1">
        <f t="array" ref="G4821">_xlfn.XLOOKUP(C4821 &amp; F4821,
         [1]unilever_price_limits!A:A &amp; [1]unilever_price_limits!B:B,
         [1]unilever_price_limits!C:C)</f>
        <v>60</v>
      </c>
      <c r="H4821" s="8">
        <f t="shared" si="301"/>
        <v>6.96</v>
      </c>
      <c r="I4821" s="6">
        <f t="shared" si="302"/>
        <v>60.000000000000007</v>
      </c>
      <c r="J4821" t="str">
        <f t="shared" si="303"/>
        <v>OK</v>
      </c>
    </row>
    <row r="4822" spans="1:10" x14ac:dyDescent="0.2">
      <c r="A4822">
        <v>14821</v>
      </c>
      <c r="B4822" t="s">
        <v>7</v>
      </c>
      <c r="C4822" t="s">
        <v>11</v>
      </c>
      <c r="D4822" s="8">
        <v>8.7899999999999991</v>
      </c>
      <c r="E4822">
        <v>10</v>
      </c>
      <c r="F4822" t="str">
        <f t="shared" si="300"/>
        <v>Premium</v>
      </c>
      <c r="G4822" s="3" cm="1">
        <f t="array" ref="G4822">_xlfn.XLOOKUP(C4822 &amp; F4822,
         [1]unilever_price_limits!A:A &amp; [1]unilever_price_limits!B:B,
         [1]unilever_price_limits!C:C)</f>
        <v>50</v>
      </c>
      <c r="H4822" s="8">
        <f t="shared" si="301"/>
        <v>13.184999999999999</v>
      </c>
      <c r="I4822" s="6">
        <f t="shared" si="302"/>
        <v>50</v>
      </c>
      <c r="J4822" t="str">
        <f t="shared" si="303"/>
        <v>OK</v>
      </c>
    </row>
    <row r="4823" spans="1:10" x14ac:dyDescent="0.2">
      <c r="A4823">
        <v>14822</v>
      </c>
      <c r="B4823" t="s">
        <v>8</v>
      </c>
      <c r="C4823" t="s">
        <v>11</v>
      </c>
      <c r="D4823" s="8">
        <v>13.47</v>
      </c>
      <c r="E4823">
        <v>1</v>
      </c>
      <c r="F4823" t="str">
        <f t="shared" si="300"/>
        <v>Value</v>
      </c>
      <c r="G4823" s="3" cm="1">
        <f t="array" ref="G4823">_xlfn.XLOOKUP(C4823 &amp; F4823,
         [1]unilever_price_limits!A:A &amp; [1]unilever_price_limits!B:B,
         [1]unilever_price_limits!C:C)</f>
        <v>10</v>
      </c>
      <c r="H4823" s="8">
        <f t="shared" si="301"/>
        <v>14.817000000000002</v>
      </c>
      <c r="I4823" s="6">
        <f t="shared" si="302"/>
        <v>10.000000000000009</v>
      </c>
      <c r="J4823" t="str">
        <f t="shared" si="303"/>
        <v>OK</v>
      </c>
    </row>
    <row r="4824" spans="1:10" x14ac:dyDescent="0.2">
      <c r="A4824">
        <v>14823</v>
      </c>
      <c r="B4824" t="s">
        <v>8</v>
      </c>
      <c r="C4824" t="s">
        <v>6</v>
      </c>
      <c r="D4824" s="8">
        <v>7.39</v>
      </c>
      <c r="E4824">
        <v>4</v>
      </c>
      <c r="F4824" t="str">
        <f t="shared" si="300"/>
        <v>Standard</v>
      </c>
      <c r="G4824" s="3" cm="1">
        <f t="array" ref="G4824">_xlfn.XLOOKUP(C4824 &amp; F4824,
         [1]unilever_price_limits!A:A &amp; [1]unilever_price_limits!B:B,
         [1]unilever_price_limits!C:C)</f>
        <v>28</v>
      </c>
      <c r="H4824" s="8">
        <f t="shared" si="301"/>
        <v>9.4591999999999992</v>
      </c>
      <c r="I4824" s="6">
        <f t="shared" si="302"/>
        <v>28.000000000000004</v>
      </c>
      <c r="J4824" t="str">
        <f t="shared" si="303"/>
        <v>OK</v>
      </c>
    </row>
    <row r="4825" spans="1:10" x14ac:dyDescent="0.2">
      <c r="A4825">
        <v>14824</v>
      </c>
      <c r="B4825" t="s">
        <v>10</v>
      </c>
      <c r="C4825" t="s">
        <v>6</v>
      </c>
      <c r="D4825" s="8">
        <v>14.2</v>
      </c>
      <c r="E4825">
        <v>6</v>
      </c>
      <c r="F4825" t="str">
        <f t="shared" si="300"/>
        <v>Standard</v>
      </c>
      <c r="G4825" s="3" cm="1">
        <f t="array" ref="G4825">_xlfn.XLOOKUP(C4825 &amp; F4825,
         [1]unilever_price_limits!A:A &amp; [1]unilever_price_limits!B:B,
         [1]unilever_price_limits!C:C)</f>
        <v>28</v>
      </c>
      <c r="H4825" s="8">
        <f t="shared" si="301"/>
        <v>18.175999999999998</v>
      </c>
      <c r="I4825" s="6">
        <f t="shared" si="302"/>
        <v>28.000000000000004</v>
      </c>
      <c r="J4825" t="str">
        <f t="shared" si="303"/>
        <v>OK</v>
      </c>
    </row>
    <row r="4826" spans="1:10" x14ac:dyDescent="0.2">
      <c r="A4826">
        <v>14825</v>
      </c>
      <c r="B4826" t="s">
        <v>8</v>
      </c>
      <c r="C4826" t="s">
        <v>6</v>
      </c>
      <c r="D4826" s="8">
        <v>3.61</v>
      </c>
      <c r="E4826">
        <v>3</v>
      </c>
      <c r="F4826" t="str">
        <f t="shared" si="300"/>
        <v>Value</v>
      </c>
      <c r="G4826" s="3" cm="1">
        <f t="array" ref="G4826">_xlfn.XLOOKUP(C4826 &amp; F4826,
         [1]unilever_price_limits!A:A &amp; [1]unilever_price_limits!B:B,
         [1]unilever_price_limits!C:C)</f>
        <v>12</v>
      </c>
      <c r="H4826" s="8">
        <f t="shared" si="301"/>
        <v>4.0432000000000006</v>
      </c>
      <c r="I4826" s="6">
        <f t="shared" si="302"/>
        <v>12.000000000000011</v>
      </c>
      <c r="J4826" t="str">
        <f t="shared" si="303"/>
        <v>OK</v>
      </c>
    </row>
    <row r="4827" spans="1:10" x14ac:dyDescent="0.2">
      <c r="A4827">
        <v>14826</v>
      </c>
      <c r="B4827" t="s">
        <v>10</v>
      </c>
      <c r="C4827" t="s">
        <v>6</v>
      </c>
      <c r="D4827" s="8">
        <v>1.58</v>
      </c>
      <c r="E4827">
        <v>2</v>
      </c>
      <c r="F4827" t="str">
        <f t="shared" si="300"/>
        <v>Value</v>
      </c>
      <c r="G4827" s="3" cm="1">
        <f t="array" ref="G4827">_xlfn.XLOOKUP(C4827 &amp; F4827,
         [1]unilever_price_limits!A:A &amp; [1]unilever_price_limits!B:B,
         [1]unilever_price_limits!C:C)</f>
        <v>12</v>
      </c>
      <c r="H4827" s="8">
        <f t="shared" si="301"/>
        <v>1.7696000000000003</v>
      </c>
      <c r="I4827" s="6">
        <f t="shared" si="302"/>
        <v>12.000000000000011</v>
      </c>
      <c r="J4827" t="str">
        <f t="shared" si="303"/>
        <v>OK</v>
      </c>
    </row>
    <row r="4828" spans="1:10" x14ac:dyDescent="0.2">
      <c r="A4828">
        <v>14827</v>
      </c>
      <c r="B4828" t="s">
        <v>7</v>
      </c>
      <c r="C4828" t="s">
        <v>6</v>
      </c>
      <c r="D4828" s="8">
        <v>13.43</v>
      </c>
      <c r="E4828">
        <v>2</v>
      </c>
      <c r="F4828" t="str">
        <f t="shared" si="300"/>
        <v>Value</v>
      </c>
      <c r="G4828" s="3" cm="1">
        <f t="array" ref="G4828">_xlfn.XLOOKUP(C4828 &amp; F4828,
         [1]unilever_price_limits!A:A &amp; [1]unilever_price_limits!B:B,
         [1]unilever_price_limits!C:C)</f>
        <v>12</v>
      </c>
      <c r="H4828" s="8">
        <f t="shared" si="301"/>
        <v>15.041600000000001</v>
      </c>
      <c r="I4828" s="6">
        <f t="shared" si="302"/>
        <v>12.000000000000011</v>
      </c>
      <c r="J4828" t="str">
        <f t="shared" si="303"/>
        <v>OK</v>
      </c>
    </row>
    <row r="4829" spans="1:10" x14ac:dyDescent="0.2">
      <c r="A4829">
        <v>14828</v>
      </c>
      <c r="B4829" t="s">
        <v>7</v>
      </c>
      <c r="C4829" t="s">
        <v>6</v>
      </c>
      <c r="D4829" s="8">
        <v>12.79</v>
      </c>
      <c r="E4829">
        <v>10</v>
      </c>
      <c r="F4829" t="str">
        <f t="shared" si="300"/>
        <v>Premium</v>
      </c>
      <c r="G4829" s="3" cm="1">
        <f t="array" ref="G4829">_xlfn.XLOOKUP(C4829 &amp; F4829,
         [1]unilever_price_limits!A:A &amp; [1]unilever_price_limits!B:B,
         [1]unilever_price_limits!C:C)</f>
        <v>55</v>
      </c>
      <c r="H4829" s="8">
        <f t="shared" si="301"/>
        <v>19.8245</v>
      </c>
      <c r="I4829" s="6">
        <f t="shared" si="302"/>
        <v>55.000000000000007</v>
      </c>
      <c r="J4829" t="str">
        <f t="shared" si="303"/>
        <v>OK</v>
      </c>
    </row>
    <row r="4830" spans="1:10" x14ac:dyDescent="0.2">
      <c r="A4830">
        <v>14829</v>
      </c>
      <c r="B4830" t="s">
        <v>5</v>
      </c>
      <c r="C4830" t="s">
        <v>9</v>
      </c>
      <c r="D4830" s="8">
        <v>14.89</v>
      </c>
      <c r="E4830">
        <v>4</v>
      </c>
      <c r="F4830" t="str">
        <f t="shared" si="300"/>
        <v>Standard</v>
      </c>
      <c r="G4830" s="3" cm="1">
        <f t="array" ref="G4830">_xlfn.XLOOKUP(C4830 &amp; F4830,
         [1]unilever_price_limits!A:A &amp; [1]unilever_price_limits!B:B,
         [1]unilever_price_limits!C:C)</f>
        <v>30</v>
      </c>
      <c r="H4830" s="8">
        <f t="shared" si="301"/>
        <v>19.357000000000003</v>
      </c>
      <c r="I4830" s="6">
        <f t="shared" si="302"/>
        <v>30.000000000000004</v>
      </c>
      <c r="J4830" t="str">
        <f t="shared" si="303"/>
        <v>OK</v>
      </c>
    </row>
    <row r="4831" spans="1:10" x14ac:dyDescent="0.2">
      <c r="A4831">
        <v>14830</v>
      </c>
      <c r="B4831" t="s">
        <v>5</v>
      </c>
      <c r="C4831" t="s">
        <v>11</v>
      </c>
      <c r="D4831" s="8">
        <v>10.35</v>
      </c>
      <c r="E4831">
        <v>1</v>
      </c>
      <c r="F4831" t="str">
        <f t="shared" si="300"/>
        <v>Value</v>
      </c>
      <c r="G4831" s="3" cm="1">
        <f t="array" ref="G4831">_xlfn.XLOOKUP(C4831 &amp; F4831,
         [1]unilever_price_limits!A:A &amp; [1]unilever_price_limits!B:B,
         [1]unilever_price_limits!C:C)</f>
        <v>10</v>
      </c>
      <c r="H4831" s="8">
        <f t="shared" si="301"/>
        <v>11.385</v>
      </c>
      <c r="I4831" s="6">
        <f t="shared" si="302"/>
        <v>10.000000000000009</v>
      </c>
      <c r="J4831" t="str">
        <f t="shared" si="303"/>
        <v>OK</v>
      </c>
    </row>
    <row r="4832" spans="1:10" x14ac:dyDescent="0.2">
      <c r="A4832">
        <v>14831</v>
      </c>
      <c r="B4832" t="s">
        <v>5</v>
      </c>
      <c r="C4832" t="s">
        <v>9</v>
      </c>
      <c r="D4832" s="8">
        <v>14.08</v>
      </c>
      <c r="E4832">
        <v>10</v>
      </c>
      <c r="F4832" t="str">
        <f t="shared" si="300"/>
        <v>Premium</v>
      </c>
      <c r="G4832" s="3" cm="1">
        <f t="array" ref="G4832">_xlfn.XLOOKUP(C4832 &amp; F4832,
         [1]unilever_price_limits!A:A &amp; [1]unilever_price_limits!B:B,
         [1]unilever_price_limits!C:C)</f>
        <v>60</v>
      </c>
      <c r="H4832" s="8">
        <f t="shared" si="301"/>
        <v>22.528000000000002</v>
      </c>
      <c r="I4832" s="6">
        <f t="shared" si="302"/>
        <v>60.000000000000007</v>
      </c>
      <c r="J4832" t="str">
        <f t="shared" si="303"/>
        <v>OK</v>
      </c>
    </row>
    <row r="4833" spans="1:10" x14ac:dyDescent="0.2">
      <c r="A4833">
        <v>14832</v>
      </c>
      <c r="B4833" t="s">
        <v>8</v>
      </c>
      <c r="C4833" t="s">
        <v>9</v>
      </c>
      <c r="D4833" s="8">
        <v>12.49</v>
      </c>
      <c r="E4833">
        <v>2</v>
      </c>
      <c r="F4833" t="str">
        <f t="shared" si="300"/>
        <v>Value</v>
      </c>
      <c r="G4833" s="3" cm="1">
        <f t="array" ref="G4833">_xlfn.XLOOKUP(C4833 &amp; F4833,
         [1]unilever_price_limits!A:A &amp; [1]unilever_price_limits!B:B,
         [1]unilever_price_limits!C:C)</f>
        <v>15</v>
      </c>
      <c r="H4833" s="8">
        <f t="shared" si="301"/>
        <v>14.363499999999998</v>
      </c>
      <c r="I4833" s="6">
        <f t="shared" si="302"/>
        <v>14.999999999999991</v>
      </c>
      <c r="J4833" t="str">
        <f t="shared" si="303"/>
        <v>OK</v>
      </c>
    </row>
    <row r="4834" spans="1:10" x14ac:dyDescent="0.2">
      <c r="A4834">
        <v>14833</v>
      </c>
      <c r="B4834" t="s">
        <v>7</v>
      </c>
      <c r="C4834" t="s">
        <v>6</v>
      </c>
      <c r="D4834" s="8">
        <v>12.74</v>
      </c>
      <c r="E4834">
        <v>10</v>
      </c>
      <c r="F4834" t="str">
        <f t="shared" si="300"/>
        <v>Premium</v>
      </c>
      <c r="G4834" s="3" cm="1">
        <f t="array" ref="G4834">_xlfn.XLOOKUP(C4834 &amp; F4834,
         [1]unilever_price_limits!A:A &amp; [1]unilever_price_limits!B:B,
         [1]unilever_price_limits!C:C)</f>
        <v>55</v>
      </c>
      <c r="H4834" s="8">
        <f t="shared" si="301"/>
        <v>19.747</v>
      </c>
      <c r="I4834" s="6">
        <f t="shared" si="302"/>
        <v>55.000000000000007</v>
      </c>
      <c r="J4834" t="str">
        <f t="shared" si="303"/>
        <v>OK</v>
      </c>
    </row>
    <row r="4835" spans="1:10" x14ac:dyDescent="0.2">
      <c r="A4835">
        <v>14834</v>
      </c>
      <c r="B4835" t="s">
        <v>10</v>
      </c>
      <c r="C4835" t="s">
        <v>11</v>
      </c>
      <c r="D4835" s="8">
        <v>8.75</v>
      </c>
      <c r="E4835">
        <v>2</v>
      </c>
      <c r="F4835" t="str">
        <f t="shared" si="300"/>
        <v>Value</v>
      </c>
      <c r="G4835" s="3" cm="1">
        <f t="array" ref="G4835">_xlfn.XLOOKUP(C4835 &amp; F4835,
         [1]unilever_price_limits!A:A &amp; [1]unilever_price_limits!B:B,
         [1]unilever_price_limits!C:C)</f>
        <v>10</v>
      </c>
      <c r="H4835" s="8">
        <f t="shared" si="301"/>
        <v>9.625</v>
      </c>
      <c r="I4835" s="6">
        <f t="shared" si="302"/>
        <v>10.000000000000009</v>
      </c>
      <c r="J4835" t="str">
        <f t="shared" si="303"/>
        <v>OK</v>
      </c>
    </row>
    <row r="4836" spans="1:10" x14ac:dyDescent="0.2">
      <c r="A4836">
        <v>14835</v>
      </c>
      <c r="B4836" t="s">
        <v>5</v>
      </c>
      <c r="C4836" t="s">
        <v>9</v>
      </c>
      <c r="D4836" s="8">
        <v>6.04</v>
      </c>
      <c r="E4836">
        <v>4</v>
      </c>
      <c r="F4836" t="str">
        <f t="shared" si="300"/>
        <v>Standard</v>
      </c>
      <c r="G4836" s="3" cm="1">
        <f t="array" ref="G4836">_xlfn.XLOOKUP(C4836 &amp; F4836,
         [1]unilever_price_limits!A:A &amp; [1]unilever_price_limits!B:B,
         [1]unilever_price_limits!C:C)</f>
        <v>30</v>
      </c>
      <c r="H4836" s="8">
        <f t="shared" si="301"/>
        <v>7.8520000000000003</v>
      </c>
      <c r="I4836" s="6">
        <f t="shared" si="302"/>
        <v>30.000000000000004</v>
      </c>
      <c r="J4836" t="str">
        <f t="shared" si="303"/>
        <v>OK</v>
      </c>
    </row>
    <row r="4837" spans="1:10" x14ac:dyDescent="0.2">
      <c r="A4837">
        <v>14836</v>
      </c>
      <c r="B4837" t="s">
        <v>10</v>
      </c>
      <c r="C4837" t="s">
        <v>6</v>
      </c>
      <c r="D4837" s="8">
        <v>14.05</v>
      </c>
      <c r="E4837">
        <v>4</v>
      </c>
      <c r="F4837" t="str">
        <f t="shared" si="300"/>
        <v>Standard</v>
      </c>
      <c r="G4837" s="3" cm="1">
        <f t="array" ref="G4837">_xlfn.XLOOKUP(C4837 &amp; F4837,
         [1]unilever_price_limits!A:A &amp; [1]unilever_price_limits!B:B,
         [1]unilever_price_limits!C:C)</f>
        <v>28</v>
      </c>
      <c r="H4837" s="8">
        <f t="shared" si="301"/>
        <v>17.984000000000002</v>
      </c>
      <c r="I4837" s="6">
        <f t="shared" si="302"/>
        <v>28.000000000000004</v>
      </c>
      <c r="J4837" t="str">
        <f t="shared" si="303"/>
        <v>OK</v>
      </c>
    </row>
    <row r="4838" spans="1:10" x14ac:dyDescent="0.2">
      <c r="A4838">
        <v>14837</v>
      </c>
      <c r="B4838" t="s">
        <v>10</v>
      </c>
      <c r="C4838" t="s">
        <v>6</v>
      </c>
      <c r="D4838" s="8">
        <v>6.77</v>
      </c>
      <c r="E4838">
        <v>1</v>
      </c>
      <c r="F4838" t="str">
        <f t="shared" si="300"/>
        <v>Value</v>
      </c>
      <c r="G4838" s="3" cm="1">
        <f t="array" ref="G4838">_xlfn.XLOOKUP(C4838 &amp; F4838,
         [1]unilever_price_limits!A:A &amp; [1]unilever_price_limits!B:B,
         [1]unilever_price_limits!C:C)</f>
        <v>12</v>
      </c>
      <c r="H4838" s="8">
        <f t="shared" si="301"/>
        <v>7.5823999999999998</v>
      </c>
      <c r="I4838" s="6">
        <f t="shared" si="302"/>
        <v>12.000000000000011</v>
      </c>
      <c r="J4838" t="str">
        <f t="shared" si="303"/>
        <v>OK</v>
      </c>
    </row>
    <row r="4839" spans="1:10" x14ac:dyDescent="0.2">
      <c r="A4839">
        <v>14838</v>
      </c>
      <c r="B4839" t="s">
        <v>5</v>
      </c>
      <c r="C4839" t="s">
        <v>11</v>
      </c>
      <c r="D4839" s="8">
        <v>8.31</v>
      </c>
      <c r="E4839">
        <v>7</v>
      </c>
      <c r="F4839" t="str">
        <f t="shared" si="300"/>
        <v>Standard</v>
      </c>
      <c r="G4839" s="3" cm="1">
        <f t="array" ref="G4839">_xlfn.XLOOKUP(C4839 &amp; F4839,
         [1]unilever_price_limits!A:A &amp; [1]unilever_price_limits!B:B,
         [1]unilever_price_limits!C:C)</f>
        <v>25</v>
      </c>
      <c r="H4839" s="8">
        <f t="shared" si="301"/>
        <v>10.387500000000001</v>
      </c>
      <c r="I4839" s="6">
        <f t="shared" si="302"/>
        <v>25</v>
      </c>
      <c r="J4839" t="str">
        <f t="shared" si="303"/>
        <v>OK</v>
      </c>
    </row>
    <row r="4840" spans="1:10" x14ac:dyDescent="0.2">
      <c r="A4840">
        <v>14839</v>
      </c>
      <c r="B4840" t="s">
        <v>7</v>
      </c>
      <c r="C4840" t="s">
        <v>9</v>
      </c>
      <c r="D4840" s="8">
        <v>6.97</v>
      </c>
      <c r="E4840">
        <v>7</v>
      </c>
      <c r="F4840" t="str">
        <f t="shared" si="300"/>
        <v>Standard</v>
      </c>
      <c r="G4840" s="3" cm="1">
        <f t="array" ref="G4840">_xlfn.XLOOKUP(C4840 &amp; F4840,
         [1]unilever_price_limits!A:A &amp; [1]unilever_price_limits!B:B,
         [1]unilever_price_limits!C:C)</f>
        <v>30</v>
      </c>
      <c r="H4840" s="8">
        <f t="shared" si="301"/>
        <v>9.0609999999999999</v>
      </c>
      <c r="I4840" s="6">
        <f t="shared" si="302"/>
        <v>30.000000000000004</v>
      </c>
      <c r="J4840" t="str">
        <f t="shared" si="303"/>
        <v>OK</v>
      </c>
    </row>
    <row r="4841" spans="1:10" x14ac:dyDescent="0.2">
      <c r="A4841">
        <v>14840</v>
      </c>
      <c r="B4841" t="s">
        <v>5</v>
      </c>
      <c r="C4841" t="s">
        <v>9</v>
      </c>
      <c r="D4841" s="8">
        <v>8.69</v>
      </c>
      <c r="E4841">
        <v>10</v>
      </c>
      <c r="F4841" t="str">
        <f t="shared" si="300"/>
        <v>Premium</v>
      </c>
      <c r="G4841" s="3" cm="1">
        <f t="array" ref="G4841">_xlfn.XLOOKUP(C4841 &amp; F4841,
         [1]unilever_price_limits!A:A &amp; [1]unilever_price_limits!B:B,
         [1]unilever_price_limits!C:C)</f>
        <v>60</v>
      </c>
      <c r="H4841" s="8">
        <f t="shared" si="301"/>
        <v>13.904</v>
      </c>
      <c r="I4841" s="6">
        <f t="shared" si="302"/>
        <v>60.000000000000007</v>
      </c>
      <c r="J4841" t="str">
        <f t="shared" si="303"/>
        <v>OK</v>
      </c>
    </row>
    <row r="4842" spans="1:10" x14ac:dyDescent="0.2">
      <c r="A4842">
        <v>14841</v>
      </c>
      <c r="B4842" t="s">
        <v>10</v>
      </c>
      <c r="C4842" t="s">
        <v>9</v>
      </c>
      <c r="D4842" s="8">
        <v>7.32</v>
      </c>
      <c r="E4842">
        <v>10</v>
      </c>
      <c r="F4842" t="str">
        <f t="shared" si="300"/>
        <v>Premium</v>
      </c>
      <c r="G4842" s="3" cm="1">
        <f t="array" ref="G4842">_xlfn.XLOOKUP(C4842 &amp; F4842,
         [1]unilever_price_limits!A:A &amp; [1]unilever_price_limits!B:B,
         [1]unilever_price_limits!C:C)</f>
        <v>60</v>
      </c>
      <c r="H4842" s="8">
        <f t="shared" si="301"/>
        <v>11.712000000000002</v>
      </c>
      <c r="I4842" s="6">
        <f t="shared" si="302"/>
        <v>60.000000000000007</v>
      </c>
      <c r="J4842" t="str">
        <f t="shared" si="303"/>
        <v>OK</v>
      </c>
    </row>
    <row r="4843" spans="1:10" x14ac:dyDescent="0.2">
      <c r="A4843">
        <v>14842</v>
      </c>
      <c r="B4843" t="s">
        <v>5</v>
      </c>
      <c r="C4843" t="s">
        <v>6</v>
      </c>
      <c r="D4843" s="8">
        <v>1.2</v>
      </c>
      <c r="E4843">
        <v>10</v>
      </c>
      <c r="F4843" t="str">
        <f t="shared" si="300"/>
        <v>Premium</v>
      </c>
      <c r="G4843" s="3" cm="1">
        <f t="array" ref="G4843">_xlfn.XLOOKUP(C4843 &amp; F4843,
         [1]unilever_price_limits!A:A &amp; [1]unilever_price_limits!B:B,
         [1]unilever_price_limits!C:C)</f>
        <v>55</v>
      </c>
      <c r="H4843" s="8">
        <f t="shared" si="301"/>
        <v>1.8599999999999999</v>
      </c>
      <c r="I4843" s="6">
        <f t="shared" si="302"/>
        <v>55.000000000000007</v>
      </c>
      <c r="J4843" t="str">
        <f t="shared" si="303"/>
        <v>OK</v>
      </c>
    </row>
    <row r="4844" spans="1:10" x14ac:dyDescent="0.2">
      <c r="A4844">
        <v>14843</v>
      </c>
      <c r="B4844" t="s">
        <v>10</v>
      </c>
      <c r="C4844" t="s">
        <v>11</v>
      </c>
      <c r="D4844" s="8">
        <v>13.29</v>
      </c>
      <c r="E4844">
        <v>1</v>
      </c>
      <c r="F4844" t="str">
        <f t="shared" si="300"/>
        <v>Value</v>
      </c>
      <c r="G4844" s="3" cm="1">
        <f t="array" ref="G4844">_xlfn.XLOOKUP(C4844 &amp; F4844,
         [1]unilever_price_limits!A:A &amp; [1]unilever_price_limits!B:B,
         [1]unilever_price_limits!C:C)</f>
        <v>10</v>
      </c>
      <c r="H4844" s="8">
        <f t="shared" si="301"/>
        <v>14.619</v>
      </c>
      <c r="I4844" s="6">
        <f t="shared" si="302"/>
        <v>10.000000000000009</v>
      </c>
      <c r="J4844" t="str">
        <f t="shared" si="303"/>
        <v>OK</v>
      </c>
    </row>
    <row r="4845" spans="1:10" x14ac:dyDescent="0.2">
      <c r="A4845">
        <v>14844</v>
      </c>
      <c r="B4845" t="s">
        <v>10</v>
      </c>
      <c r="C4845" t="s">
        <v>11</v>
      </c>
      <c r="D4845" s="8">
        <v>6.94</v>
      </c>
      <c r="E4845">
        <v>8</v>
      </c>
      <c r="F4845" t="str">
        <f t="shared" si="300"/>
        <v>Premium</v>
      </c>
      <c r="G4845" s="3" cm="1">
        <f t="array" ref="G4845">_xlfn.XLOOKUP(C4845 &amp; F4845,
         [1]unilever_price_limits!A:A &amp; [1]unilever_price_limits!B:B,
         [1]unilever_price_limits!C:C)</f>
        <v>50</v>
      </c>
      <c r="H4845" s="8">
        <f t="shared" si="301"/>
        <v>10.41</v>
      </c>
      <c r="I4845" s="6">
        <f t="shared" si="302"/>
        <v>50</v>
      </c>
      <c r="J4845" t="str">
        <f t="shared" si="303"/>
        <v>OK</v>
      </c>
    </row>
    <row r="4846" spans="1:10" x14ac:dyDescent="0.2">
      <c r="A4846">
        <v>14845</v>
      </c>
      <c r="B4846" t="s">
        <v>5</v>
      </c>
      <c r="C4846" t="s">
        <v>9</v>
      </c>
      <c r="D4846" s="8">
        <v>9.0399999999999991</v>
      </c>
      <c r="E4846">
        <v>10</v>
      </c>
      <c r="F4846" t="str">
        <f t="shared" si="300"/>
        <v>Premium</v>
      </c>
      <c r="G4846" s="3" cm="1">
        <f t="array" ref="G4846">_xlfn.XLOOKUP(C4846 &amp; F4846,
         [1]unilever_price_limits!A:A &amp; [1]unilever_price_limits!B:B,
         [1]unilever_price_limits!C:C)</f>
        <v>60</v>
      </c>
      <c r="H4846" s="8">
        <f t="shared" si="301"/>
        <v>14.463999999999999</v>
      </c>
      <c r="I4846" s="6">
        <f t="shared" si="302"/>
        <v>60.000000000000007</v>
      </c>
      <c r="J4846" t="str">
        <f t="shared" si="303"/>
        <v>OK</v>
      </c>
    </row>
    <row r="4847" spans="1:10" x14ac:dyDescent="0.2">
      <c r="A4847">
        <v>14846</v>
      </c>
      <c r="B4847" t="s">
        <v>8</v>
      </c>
      <c r="C4847" t="s">
        <v>6</v>
      </c>
      <c r="D4847" s="8">
        <v>2.52</v>
      </c>
      <c r="E4847">
        <v>7</v>
      </c>
      <c r="F4847" t="str">
        <f t="shared" si="300"/>
        <v>Standard</v>
      </c>
      <c r="G4847" s="3" cm="1">
        <f t="array" ref="G4847">_xlfn.XLOOKUP(C4847 &amp; F4847,
         [1]unilever_price_limits!A:A &amp; [1]unilever_price_limits!B:B,
         [1]unilever_price_limits!C:C)</f>
        <v>28</v>
      </c>
      <c r="H4847" s="8">
        <f t="shared" si="301"/>
        <v>3.2256</v>
      </c>
      <c r="I4847" s="6">
        <f t="shared" si="302"/>
        <v>28.000000000000004</v>
      </c>
      <c r="J4847" t="str">
        <f t="shared" si="303"/>
        <v>OK</v>
      </c>
    </row>
    <row r="4848" spans="1:10" x14ac:dyDescent="0.2">
      <c r="A4848">
        <v>14847</v>
      </c>
      <c r="B4848" t="s">
        <v>5</v>
      </c>
      <c r="C4848" t="s">
        <v>9</v>
      </c>
      <c r="D4848" s="8">
        <v>0.55000000000000004</v>
      </c>
      <c r="E4848">
        <v>7</v>
      </c>
      <c r="F4848" t="str">
        <f t="shared" si="300"/>
        <v>Standard</v>
      </c>
      <c r="G4848" s="3" cm="1">
        <f t="array" ref="G4848">_xlfn.XLOOKUP(C4848 &amp; F4848,
         [1]unilever_price_limits!A:A &amp; [1]unilever_price_limits!B:B,
         [1]unilever_price_limits!C:C)</f>
        <v>30</v>
      </c>
      <c r="H4848" s="8">
        <f t="shared" si="301"/>
        <v>0.71500000000000008</v>
      </c>
      <c r="I4848" s="6">
        <f t="shared" si="302"/>
        <v>30.000000000000004</v>
      </c>
      <c r="J4848" t="str">
        <f t="shared" si="303"/>
        <v>OK</v>
      </c>
    </row>
    <row r="4849" spans="1:10" x14ac:dyDescent="0.2">
      <c r="A4849">
        <v>14848</v>
      </c>
      <c r="B4849" t="s">
        <v>8</v>
      </c>
      <c r="C4849" t="s">
        <v>11</v>
      </c>
      <c r="D4849" s="8">
        <v>4.0599999999999996</v>
      </c>
      <c r="E4849">
        <v>6</v>
      </c>
      <c r="F4849" t="str">
        <f t="shared" si="300"/>
        <v>Standard</v>
      </c>
      <c r="G4849" s="3" cm="1">
        <f t="array" ref="G4849">_xlfn.XLOOKUP(C4849 &amp; F4849,
         [1]unilever_price_limits!A:A &amp; [1]unilever_price_limits!B:B,
         [1]unilever_price_limits!C:C)</f>
        <v>25</v>
      </c>
      <c r="H4849" s="8">
        <f t="shared" si="301"/>
        <v>5.0749999999999993</v>
      </c>
      <c r="I4849" s="6">
        <f t="shared" si="302"/>
        <v>25</v>
      </c>
      <c r="J4849" t="str">
        <f t="shared" si="303"/>
        <v>OK</v>
      </c>
    </row>
    <row r="4850" spans="1:10" x14ac:dyDescent="0.2">
      <c r="A4850">
        <v>14849</v>
      </c>
      <c r="B4850" t="s">
        <v>10</v>
      </c>
      <c r="C4850" t="s">
        <v>6</v>
      </c>
      <c r="D4850" s="8">
        <v>10.72</v>
      </c>
      <c r="E4850">
        <v>4</v>
      </c>
      <c r="F4850" t="str">
        <f t="shared" si="300"/>
        <v>Standard</v>
      </c>
      <c r="G4850" s="3" cm="1">
        <f t="array" ref="G4850">_xlfn.XLOOKUP(C4850 &amp; F4850,
         [1]unilever_price_limits!A:A &amp; [1]unilever_price_limits!B:B,
         [1]unilever_price_limits!C:C)</f>
        <v>28</v>
      </c>
      <c r="H4850" s="8">
        <f t="shared" si="301"/>
        <v>13.7216</v>
      </c>
      <c r="I4850" s="6">
        <f t="shared" si="302"/>
        <v>28.000000000000004</v>
      </c>
      <c r="J4850" t="str">
        <f t="shared" si="303"/>
        <v>OK</v>
      </c>
    </row>
    <row r="4851" spans="1:10" x14ac:dyDescent="0.2">
      <c r="A4851">
        <v>14850</v>
      </c>
      <c r="B4851" t="s">
        <v>10</v>
      </c>
      <c r="C4851" t="s">
        <v>9</v>
      </c>
      <c r="D4851" s="8">
        <v>1.94</v>
      </c>
      <c r="E4851">
        <v>8</v>
      </c>
      <c r="F4851" t="str">
        <f t="shared" si="300"/>
        <v>Premium</v>
      </c>
      <c r="G4851" s="3" cm="1">
        <f t="array" ref="G4851">_xlfn.XLOOKUP(C4851 &amp; F4851,
         [1]unilever_price_limits!A:A &amp; [1]unilever_price_limits!B:B,
         [1]unilever_price_limits!C:C)</f>
        <v>60</v>
      </c>
      <c r="H4851" s="8">
        <f t="shared" si="301"/>
        <v>3.1040000000000001</v>
      </c>
      <c r="I4851" s="6">
        <f t="shared" si="302"/>
        <v>60.000000000000007</v>
      </c>
      <c r="J4851" t="str">
        <f t="shared" si="303"/>
        <v>OK</v>
      </c>
    </row>
    <row r="4852" spans="1:10" x14ac:dyDescent="0.2">
      <c r="A4852">
        <v>14851</v>
      </c>
      <c r="B4852" t="s">
        <v>8</v>
      </c>
      <c r="C4852" t="s">
        <v>9</v>
      </c>
      <c r="D4852" s="8">
        <v>13.68</v>
      </c>
      <c r="E4852">
        <v>2</v>
      </c>
      <c r="F4852" t="str">
        <f t="shared" si="300"/>
        <v>Value</v>
      </c>
      <c r="G4852" s="3" cm="1">
        <f t="array" ref="G4852">_xlfn.XLOOKUP(C4852 &amp; F4852,
         [1]unilever_price_limits!A:A &amp; [1]unilever_price_limits!B:B,
         [1]unilever_price_limits!C:C)</f>
        <v>15</v>
      </c>
      <c r="H4852" s="8">
        <f t="shared" si="301"/>
        <v>15.731999999999999</v>
      </c>
      <c r="I4852" s="6">
        <f t="shared" si="302"/>
        <v>14.999999999999991</v>
      </c>
      <c r="J4852" t="str">
        <f t="shared" si="303"/>
        <v>OK</v>
      </c>
    </row>
    <row r="4853" spans="1:10" x14ac:dyDescent="0.2">
      <c r="A4853">
        <v>14852</v>
      </c>
      <c r="B4853" t="s">
        <v>10</v>
      </c>
      <c r="C4853" t="s">
        <v>6</v>
      </c>
      <c r="D4853" s="8">
        <v>3.62</v>
      </c>
      <c r="E4853">
        <v>7</v>
      </c>
      <c r="F4853" t="str">
        <f t="shared" si="300"/>
        <v>Standard</v>
      </c>
      <c r="G4853" s="3" cm="1">
        <f t="array" ref="G4853">_xlfn.XLOOKUP(C4853 &amp; F4853,
         [1]unilever_price_limits!A:A &amp; [1]unilever_price_limits!B:B,
         [1]unilever_price_limits!C:C)</f>
        <v>28</v>
      </c>
      <c r="H4853" s="8">
        <f t="shared" si="301"/>
        <v>4.6336000000000004</v>
      </c>
      <c r="I4853" s="6">
        <f t="shared" si="302"/>
        <v>28.000000000000004</v>
      </c>
      <c r="J4853" t="str">
        <f t="shared" si="303"/>
        <v>OK</v>
      </c>
    </row>
    <row r="4854" spans="1:10" x14ac:dyDescent="0.2">
      <c r="A4854">
        <v>14853</v>
      </c>
      <c r="B4854" t="s">
        <v>8</v>
      </c>
      <c r="C4854" t="s">
        <v>11</v>
      </c>
      <c r="D4854" s="8">
        <v>3.47</v>
      </c>
      <c r="E4854">
        <v>3</v>
      </c>
      <c r="F4854" t="str">
        <f t="shared" si="300"/>
        <v>Value</v>
      </c>
      <c r="G4854" s="3" cm="1">
        <f t="array" ref="G4854">_xlfn.XLOOKUP(C4854 &amp; F4854,
         [1]unilever_price_limits!A:A &amp; [1]unilever_price_limits!B:B,
         [1]unilever_price_limits!C:C)</f>
        <v>10</v>
      </c>
      <c r="H4854" s="8">
        <f t="shared" si="301"/>
        <v>3.8170000000000006</v>
      </c>
      <c r="I4854" s="6">
        <f t="shared" si="302"/>
        <v>10.000000000000009</v>
      </c>
      <c r="J4854" t="str">
        <f t="shared" si="303"/>
        <v>OK</v>
      </c>
    </row>
    <row r="4855" spans="1:10" x14ac:dyDescent="0.2">
      <c r="A4855">
        <v>14854</v>
      </c>
      <c r="B4855" t="s">
        <v>8</v>
      </c>
      <c r="C4855" t="s">
        <v>6</v>
      </c>
      <c r="D4855" s="8">
        <v>3.13</v>
      </c>
      <c r="E4855">
        <v>3</v>
      </c>
      <c r="F4855" t="str">
        <f t="shared" si="300"/>
        <v>Value</v>
      </c>
      <c r="G4855" s="3" cm="1">
        <f t="array" ref="G4855">_xlfn.XLOOKUP(C4855 &amp; F4855,
         [1]unilever_price_limits!A:A &amp; [1]unilever_price_limits!B:B,
         [1]unilever_price_limits!C:C)</f>
        <v>12</v>
      </c>
      <c r="H4855" s="8">
        <f t="shared" si="301"/>
        <v>3.5056000000000003</v>
      </c>
      <c r="I4855" s="6">
        <f t="shared" si="302"/>
        <v>12.000000000000011</v>
      </c>
      <c r="J4855" t="str">
        <f t="shared" si="303"/>
        <v>OK</v>
      </c>
    </row>
    <row r="4856" spans="1:10" x14ac:dyDescent="0.2">
      <c r="A4856">
        <v>14855</v>
      </c>
      <c r="B4856" t="s">
        <v>10</v>
      </c>
      <c r="C4856" t="s">
        <v>9</v>
      </c>
      <c r="D4856" s="8">
        <v>0.7</v>
      </c>
      <c r="E4856">
        <v>7</v>
      </c>
      <c r="F4856" t="str">
        <f t="shared" si="300"/>
        <v>Standard</v>
      </c>
      <c r="G4856" s="3" cm="1">
        <f t="array" ref="G4856">_xlfn.XLOOKUP(C4856 &amp; F4856,
         [1]unilever_price_limits!A:A &amp; [1]unilever_price_limits!B:B,
         [1]unilever_price_limits!C:C)</f>
        <v>30</v>
      </c>
      <c r="H4856" s="8">
        <f t="shared" si="301"/>
        <v>0.90999999999999992</v>
      </c>
      <c r="I4856" s="6">
        <f t="shared" si="302"/>
        <v>30.000000000000004</v>
      </c>
      <c r="J4856" t="str">
        <f t="shared" si="303"/>
        <v>OK</v>
      </c>
    </row>
    <row r="4857" spans="1:10" x14ac:dyDescent="0.2">
      <c r="A4857">
        <v>14856</v>
      </c>
      <c r="B4857" t="s">
        <v>7</v>
      </c>
      <c r="C4857" t="s">
        <v>9</v>
      </c>
      <c r="D4857" s="8">
        <v>11.69</v>
      </c>
      <c r="E4857">
        <v>3</v>
      </c>
      <c r="F4857" t="str">
        <f t="shared" si="300"/>
        <v>Value</v>
      </c>
      <c r="G4857" s="3" cm="1">
        <f t="array" ref="G4857">_xlfn.XLOOKUP(C4857 &amp; F4857,
         [1]unilever_price_limits!A:A &amp; [1]unilever_price_limits!B:B,
         [1]unilever_price_limits!C:C)</f>
        <v>15</v>
      </c>
      <c r="H4857" s="8">
        <f t="shared" si="301"/>
        <v>13.443499999999998</v>
      </c>
      <c r="I4857" s="6">
        <f t="shared" si="302"/>
        <v>14.999999999999991</v>
      </c>
      <c r="J4857" t="str">
        <f t="shared" si="303"/>
        <v>OK</v>
      </c>
    </row>
    <row r="4858" spans="1:10" x14ac:dyDescent="0.2">
      <c r="A4858">
        <v>14857</v>
      </c>
      <c r="B4858" t="s">
        <v>8</v>
      </c>
      <c r="C4858" t="s">
        <v>9</v>
      </c>
      <c r="D4858" s="8">
        <v>13.19</v>
      </c>
      <c r="E4858">
        <v>5</v>
      </c>
      <c r="F4858" t="str">
        <f t="shared" si="300"/>
        <v>Standard</v>
      </c>
      <c r="G4858" s="3" cm="1">
        <f t="array" ref="G4858">_xlfn.XLOOKUP(C4858 &amp; F4858,
         [1]unilever_price_limits!A:A &amp; [1]unilever_price_limits!B:B,
         [1]unilever_price_limits!C:C)</f>
        <v>30</v>
      </c>
      <c r="H4858" s="8">
        <f t="shared" si="301"/>
        <v>17.146999999999998</v>
      </c>
      <c r="I4858" s="6">
        <f t="shared" si="302"/>
        <v>29.999999999999982</v>
      </c>
      <c r="J4858" t="str">
        <f t="shared" si="303"/>
        <v>OK</v>
      </c>
    </row>
    <row r="4859" spans="1:10" x14ac:dyDescent="0.2">
      <c r="A4859">
        <v>14858</v>
      </c>
      <c r="B4859" t="s">
        <v>5</v>
      </c>
      <c r="C4859" t="s">
        <v>9</v>
      </c>
      <c r="D4859" s="8">
        <v>9.41</v>
      </c>
      <c r="E4859">
        <v>8</v>
      </c>
      <c r="F4859" t="str">
        <f t="shared" si="300"/>
        <v>Premium</v>
      </c>
      <c r="G4859" s="3" cm="1">
        <f t="array" ref="G4859">_xlfn.XLOOKUP(C4859 &amp; F4859,
         [1]unilever_price_limits!A:A &amp; [1]unilever_price_limits!B:B,
         [1]unilever_price_limits!C:C)</f>
        <v>60</v>
      </c>
      <c r="H4859" s="8">
        <f t="shared" si="301"/>
        <v>15.056000000000001</v>
      </c>
      <c r="I4859" s="6">
        <f t="shared" si="302"/>
        <v>60.000000000000007</v>
      </c>
      <c r="J4859" t="str">
        <f t="shared" si="303"/>
        <v>OK</v>
      </c>
    </row>
    <row r="4860" spans="1:10" x14ac:dyDescent="0.2">
      <c r="A4860">
        <v>14859</v>
      </c>
      <c r="B4860" t="s">
        <v>5</v>
      </c>
      <c r="C4860" t="s">
        <v>11</v>
      </c>
      <c r="D4860" s="8">
        <v>3.23</v>
      </c>
      <c r="E4860">
        <v>4</v>
      </c>
      <c r="F4860" t="str">
        <f t="shared" si="300"/>
        <v>Standard</v>
      </c>
      <c r="G4860" s="3" cm="1">
        <f t="array" ref="G4860">_xlfn.XLOOKUP(C4860 &amp; F4860,
         [1]unilever_price_limits!A:A &amp; [1]unilever_price_limits!B:B,
         [1]unilever_price_limits!C:C)</f>
        <v>25</v>
      </c>
      <c r="H4860" s="8">
        <f t="shared" si="301"/>
        <v>4.0374999999999996</v>
      </c>
      <c r="I4860" s="6">
        <f t="shared" si="302"/>
        <v>25</v>
      </c>
      <c r="J4860" t="str">
        <f t="shared" si="303"/>
        <v>OK</v>
      </c>
    </row>
    <row r="4861" spans="1:10" x14ac:dyDescent="0.2">
      <c r="A4861">
        <v>14860</v>
      </c>
      <c r="B4861" t="s">
        <v>10</v>
      </c>
      <c r="C4861" t="s">
        <v>11</v>
      </c>
      <c r="D4861" s="8">
        <v>4.6399999999999997</v>
      </c>
      <c r="E4861">
        <v>7</v>
      </c>
      <c r="F4861" t="str">
        <f t="shared" si="300"/>
        <v>Standard</v>
      </c>
      <c r="G4861" s="3" cm="1">
        <f t="array" ref="G4861">_xlfn.XLOOKUP(C4861 &amp; F4861,
         [1]unilever_price_limits!A:A &amp; [1]unilever_price_limits!B:B,
         [1]unilever_price_limits!C:C)</f>
        <v>25</v>
      </c>
      <c r="H4861" s="8">
        <f t="shared" si="301"/>
        <v>5.8</v>
      </c>
      <c r="I4861" s="6">
        <f t="shared" si="302"/>
        <v>25</v>
      </c>
      <c r="J4861" t="str">
        <f t="shared" si="303"/>
        <v>OK</v>
      </c>
    </row>
    <row r="4862" spans="1:10" x14ac:dyDescent="0.2">
      <c r="A4862">
        <v>14861</v>
      </c>
      <c r="B4862" t="s">
        <v>7</v>
      </c>
      <c r="C4862" t="s">
        <v>9</v>
      </c>
      <c r="D4862" s="8">
        <v>7.4</v>
      </c>
      <c r="E4862">
        <v>7</v>
      </c>
      <c r="F4862" t="str">
        <f t="shared" si="300"/>
        <v>Standard</v>
      </c>
      <c r="G4862" s="3" cm="1">
        <f t="array" ref="G4862">_xlfn.XLOOKUP(C4862 &amp; F4862,
         [1]unilever_price_limits!A:A &amp; [1]unilever_price_limits!B:B,
         [1]unilever_price_limits!C:C)</f>
        <v>30</v>
      </c>
      <c r="H4862" s="8">
        <f t="shared" si="301"/>
        <v>9.620000000000001</v>
      </c>
      <c r="I4862" s="6">
        <f t="shared" si="302"/>
        <v>30.000000000000004</v>
      </c>
      <c r="J4862" t="str">
        <f t="shared" si="303"/>
        <v>OK</v>
      </c>
    </row>
    <row r="4863" spans="1:10" x14ac:dyDescent="0.2">
      <c r="A4863">
        <v>14862</v>
      </c>
      <c r="B4863" t="s">
        <v>10</v>
      </c>
      <c r="C4863" t="s">
        <v>11</v>
      </c>
      <c r="D4863" s="8">
        <v>14.34</v>
      </c>
      <c r="E4863">
        <v>2</v>
      </c>
      <c r="F4863" t="str">
        <f t="shared" si="300"/>
        <v>Value</v>
      </c>
      <c r="G4863" s="3" cm="1">
        <f t="array" ref="G4863">_xlfn.XLOOKUP(C4863 &amp; F4863,
         [1]unilever_price_limits!A:A &amp; [1]unilever_price_limits!B:B,
         [1]unilever_price_limits!C:C)</f>
        <v>10</v>
      </c>
      <c r="H4863" s="8">
        <f t="shared" si="301"/>
        <v>15.774000000000001</v>
      </c>
      <c r="I4863" s="6">
        <f t="shared" si="302"/>
        <v>10.000000000000009</v>
      </c>
      <c r="J4863" t="str">
        <f t="shared" si="303"/>
        <v>OK</v>
      </c>
    </row>
    <row r="4864" spans="1:10" x14ac:dyDescent="0.2">
      <c r="A4864">
        <v>14863</v>
      </c>
      <c r="B4864" t="s">
        <v>7</v>
      </c>
      <c r="C4864" t="s">
        <v>11</v>
      </c>
      <c r="D4864" s="8">
        <v>4.09</v>
      </c>
      <c r="E4864">
        <v>8</v>
      </c>
      <c r="F4864" t="str">
        <f t="shared" si="300"/>
        <v>Premium</v>
      </c>
      <c r="G4864" s="3" cm="1">
        <f t="array" ref="G4864">_xlfn.XLOOKUP(C4864 &amp; F4864,
         [1]unilever_price_limits!A:A &amp; [1]unilever_price_limits!B:B,
         [1]unilever_price_limits!C:C)</f>
        <v>50</v>
      </c>
      <c r="H4864" s="8">
        <f t="shared" si="301"/>
        <v>6.1349999999999998</v>
      </c>
      <c r="I4864" s="6">
        <f t="shared" si="302"/>
        <v>50</v>
      </c>
      <c r="J4864" t="str">
        <f t="shared" si="303"/>
        <v>OK</v>
      </c>
    </row>
    <row r="4865" spans="1:10" x14ac:dyDescent="0.2">
      <c r="A4865">
        <v>14864</v>
      </c>
      <c r="B4865" t="s">
        <v>8</v>
      </c>
      <c r="C4865" t="s">
        <v>11</v>
      </c>
      <c r="D4865" s="8">
        <v>11.11</v>
      </c>
      <c r="E4865">
        <v>10</v>
      </c>
      <c r="F4865" t="str">
        <f t="shared" si="300"/>
        <v>Premium</v>
      </c>
      <c r="G4865" s="3" cm="1">
        <f t="array" ref="G4865">_xlfn.XLOOKUP(C4865 &amp; F4865,
         [1]unilever_price_limits!A:A &amp; [1]unilever_price_limits!B:B,
         [1]unilever_price_limits!C:C)</f>
        <v>50</v>
      </c>
      <c r="H4865" s="8">
        <f t="shared" si="301"/>
        <v>16.664999999999999</v>
      </c>
      <c r="I4865" s="6">
        <f t="shared" si="302"/>
        <v>50</v>
      </c>
      <c r="J4865" t="str">
        <f t="shared" si="303"/>
        <v>OK</v>
      </c>
    </row>
    <row r="4866" spans="1:10" x14ac:dyDescent="0.2">
      <c r="A4866">
        <v>14865</v>
      </c>
      <c r="B4866" t="s">
        <v>8</v>
      </c>
      <c r="C4866" t="s">
        <v>9</v>
      </c>
      <c r="D4866" s="8">
        <v>6.87</v>
      </c>
      <c r="E4866">
        <v>10</v>
      </c>
      <c r="F4866" t="str">
        <f t="shared" si="300"/>
        <v>Premium</v>
      </c>
      <c r="G4866" s="3" cm="1">
        <f t="array" ref="G4866">_xlfn.XLOOKUP(C4866 &amp; F4866,
         [1]unilever_price_limits!A:A &amp; [1]unilever_price_limits!B:B,
         [1]unilever_price_limits!C:C)</f>
        <v>60</v>
      </c>
      <c r="H4866" s="8">
        <f t="shared" si="301"/>
        <v>10.992000000000001</v>
      </c>
      <c r="I4866" s="6">
        <f t="shared" si="302"/>
        <v>60.000000000000007</v>
      </c>
      <c r="J4866" t="str">
        <f t="shared" si="303"/>
        <v>OK</v>
      </c>
    </row>
    <row r="4867" spans="1:10" x14ac:dyDescent="0.2">
      <c r="A4867">
        <v>14866</v>
      </c>
      <c r="B4867" t="s">
        <v>8</v>
      </c>
      <c r="C4867" t="s">
        <v>6</v>
      </c>
      <c r="D4867" s="8">
        <v>4.82</v>
      </c>
      <c r="E4867">
        <v>9</v>
      </c>
      <c r="F4867" t="str">
        <f t="shared" ref="F4867:F4930" si="304">IF(E4867&lt;=3,"Value",
 IF(E4867&lt;=7,"Standard","Premium"))</f>
        <v>Premium</v>
      </c>
      <c r="G4867" s="3" cm="1">
        <f t="array" ref="G4867">_xlfn.XLOOKUP(C4867 &amp; F4867,
         [1]unilever_price_limits!A:A &amp; [1]unilever_price_limits!B:B,
         [1]unilever_price_limits!C:C)</f>
        <v>55</v>
      </c>
      <c r="H4867" s="8">
        <f t="shared" ref="H4867:H4930" si="305">D4867 * (1 + G4867/100)</f>
        <v>7.471000000000001</v>
      </c>
      <c r="I4867" s="6">
        <f t="shared" ref="I4867:I4930" si="306">(H4867 / D4867 - 1) * 100</f>
        <v>55.000000000000007</v>
      </c>
      <c r="J4867" t="str">
        <f t="shared" ref="J4867:J4930" si="307">IF(I4866&gt; G4866, "⚠ Exceeds Limit", "OK")</f>
        <v>OK</v>
      </c>
    </row>
    <row r="4868" spans="1:10" x14ac:dyDescent="0.2">
      <c r="A4868">
        <v>14867</v>
      </c>
      <c r="B4868" t="s">
        <v>8</v>
      </c>
      <c r="C4868" t="s">
        <v>6</v>
      </c>
      <c r="D4868" s="8">
        <v>7.11</v>
      </c>
      <c r="E4868">
        <v>6</v>
      </c>
      <c r="F4868" t="str">
        <f t="shared" si="304"/>
        <v>Standard</v>
      </c>
      <c r="G4868" s="3" cm="1">
        <f t="array" ref="G4868">_xlfn.XLOOKUP(C4868 &amp; F4868,
         [1]unilever_price_limits!A:A &amp; [1]unilever_price_limits!B:B,
         [1]unilever_price_limits!C:C)</f>
        <v>28</v>
      </c>
      <c r="H4868" s="8">
        <f t="shared" si="305"/>
        <v>9.1008000000000013</v>
      </c>
      <c r="I4868" s="6">
        <f t="shared" si="306"/>
        <v>28.000000000000004</v>
      </c>
      <c r="J4868" t="str">
        <f t="shared" si="307"/>
        <v>OK</v>
      </c>
    </row>
    <row r="4869" spans="1:10" x14ac:dyDescent="0.2">
      <c r="A4869">
        <v>14868</v>
      </c>
      <c r="B4869" t="s">
        <v>5</v>
      </c>
      <c r="C4869" t="s">
        <v>6</v>
      </c>
      <c r="D4869" s="8">
        <v>1.53</v>
      </c>
      <c r="E4869">
        <v>5</v>
      </c>
      <c r="F4869" t="str">
        <f t="shared" si="304"/>
        <v>Standard</v>
      </c>
      <c r="G4869" s="3" cm="1">
        <f t="array" ref="G4869">_xlfn.XLOOKUP(C4869 &amp; F4869,
         [1]unilever_price_limits!A:A &amp; [1]unilever_price_limits!B:B,
         [1]unilever_price_limits!C:C)</f>
        <v>28</v>
      </c>
      <c r="H4869" s="8">
        <f t="shared" si="305"/>
        <v>1.9584000000000001</v>
      </c>
      <c r="I4869" s="6">
        <f t="shared" si="306"/>
        <v>28.000000000000004</v>
      </c>
      <c r="J4869" t="str">
        <f t="shared" si="307"/>
        <v>OK</v>
      </c>
    </row>
    <row r="4870" spans="1:10" x14ac:dyDescent="0.2">
      <c r="A4870">
        <v>14869</v>
      </c>
      <c r="B4870" t="s">
        <v>5</v>
      </c>
      <c r="C4870" t="s">
        <v>9</v>
      </c>
      <c r="D4870" s="8">
        <v>12.08</v>
      </c>
      <c r="E4870">
        <v>1</v>
      </c>
      <c r="F4870" t="str">
        <f t="shared" si="304"/>
        <v>Value</v>
      </c>
      <c r="G4870" s="3" cm="1">
        <f t="array" ref="G4870">_xlfn.XLOOKUP(C4870 &amp; F4870,
         [1]unilever_price_limits!A:A &amp; [1]unilever_price_limits!B:B,
         [1]unilever_price_limits!C:C)</f>
        <v>15</v>
      </c>
      <c r="H4870" s="8">
        <f t="shared" si="305"/>
        <v>13.891999999999999</v>
      </c>
      <c r="I4870" s="6">
        <f t="shared" si="306"/>
        <v>14.999999999999991</v>
      </c>
      <c r="J4870" t="str">
        <f t="shared" si="307"/>
        <v>OK</v>
      </c>
    </row>
    <row r="4871" spans="1:10" x14ac:dyDescent="0.2">
      <c r="A4871">
        <v>14870</v>
      </c>
      <c r="B4871" t="s">
        <v>10</v>
      </c>
      <c r="C4871" t="s">
        <v>11</v>
      </c>
      <c r="D4871" s="8">
        <v>4.03</v>
      </c>
      <c r="E4871">
        <v>1</v>
      </c>
      <c r="F4871" t="str">
        <f t="shared" si="304"/>
        <v>Value</v>
      </c>
      <c r="G4871" s="3" cm="1">
        <f t="array" ref="G4871">_xlfn.XLOOKUP(C4871 &amp; F4871,
         [1]unilever_price_limits!A:A &amp; [1]unilever_price_limits!B:B,
         [1]unilever_price_limits!C:C)</f>
        <v>10</v>
      </c>
      <c r="H4871" s="8">
        <f t="shared" si="305"/>
        <v>4.4330000000000007</v>
      </c>
      <c r="I4871" s="6">
        <f t="shared" si="306"/>
        <v>10.000000000000009</v>
      </c>
      <c r="J4871" t="str">
        <f t="shared" si="307"/>
        <v>OK</v>
      </c>
    </row>
    <row r="4872" spans="1:10" x14ac:dyDescent="0.2">
      <c r="A4872">
        <v>14871</v>
      </c>
      <c r="B4872" t="s">
        <v>7</v>
      </c>
      <c r="C4872" t="s">
        <v>11</v>
      </c>
      <c r="D4872" s="8">
        <v>11.02</v>
      </c>
      <c r="E4872">
        <v>9</v>
      </c>
      <c r="F4872" t="str">
        <f t="shared" si="304"/>
        <v>Premium</v>
      </c>
      <c r="G4872" s="3" cm="1">
        <f t="array" ref="G4872">_xlfn.XLOOKUP(C4872 &amp; F4872,
         [1]unilever_price_limits!A:A &amp; [1]unilever_price_limits!B:B,
         [1]unilever_price_limits!C:C)</f>
        <v>50</v>
      </c>
      <c r="H4872" s="8">
        <f t="shared" si="305"/>
        <v>16.53</v>
      </c>
      <c r="I4872" s="6">
        <f t="shared" si="306"/>
        <v>50.000000000000021</v>
      </c>
      <c r="J4872" t="str">
        <f t="shared" si="307"/>
        <v>OK</v>
      </c>
    </row>
    <row r="4873" spans="1:10" x14ac:dyDescent="0.2">
      <c r="A4873">
        <v>14872</v>
      </c>
      <c r="B4873" t="s">
        <v>8</v>
      </c>
      <c r="C4873" t="s">
        <v>9</v>
      </c>
      <c r="D4873" s="8">
        <v>1.49</v>
      </c>
      <c r="E4873">
        <v>4</v>
      </c>
      <c r="F4873" t="str">
        <f t="shared" si="304"/>
        <v>Standard</v>
      </c>
      <c r="G4873" s="3" cm="1">
        <f t="array" ref="G4873">_xlfn.XLOOKUP(C4873 &amp; F4873,
         [1]unilever_price_limits!A:A &amp; [1]unilever_price_limits!B:B,
         [1]unilever_price_limits!C:C)</f>
        <v>30</v>
      </c>
      <c r="H4873" s="8">
        <f t="shared" si="305"/>
        <v>1.9370000000000001</v>
      </c>
      <c r="I4873" s="6">
        <f t="shared" si="306"/>
        <v>30.000000000000004</v>
      </c>
      <c r="J4873" t="str">
        <f t="shared" si="307"/>
        <v>OK</v>
      </c>
    </row>
    <row r="4874" spans="1:10" x14ac:dyDescent="0.2">
      <c r="A4874">
        <v>14873</v>
      </c>
      <c r="B4874" t="s">
        <v>8</v>
      </c>
      <c r="C4874" t="s">
        <v>9</v>
      </c>
      <c r="D4874" s="8">
        <v>14.35</v>
      </c>
      <c r="E4874">
        <v>1</v>
      </c>
      <c r="F4874" t="str">
        <f t="shared" si="304"/>
        <v>Value</v>
      </c>
      <c r="G4874" s="3" cm="1">
        <f t="array" ref="G4874">_xlfn.XLOOKUP(C4874 &amp; F4874,
         [1]unilever_price_limits!A:A &amp; [1]unilever_price_limits!B:B,
         [1]unilever_price_limits!C:C)</f>
        <v>15</v>
      </c>
      <c r="H4874" s="8">
        <f t="shared" si="305"/>
        <v>16.502499999999998</v>
      </c>
      <c r="I4874" s="6">
        <f t="shared" si="306"/>
        <v>14.999999999999991</v>
      </c>
      <c r="J4874" t="str">
        <f t="shared" si="307"/>
        <v>OK</v>
      </c>
    </row>
    <row r="4875" spans="1:10" x14ac:dyDescent="0.2">
      <c r="A4875">
        <v>14874</v>
      </c>
      <c r="B4875" t="s">
        <v>7</v>
      </c>
      <c r="C4875" t="s">
        <v>6</v>
      </c>
      <c r="D4875" s="8">
        <v>3.3</v>
      </c>
      <c r="E4875">
        <v>10</v>
      </c>
      <c r="F4875" t="str">
        <f t="shared" si="304"/>
        <v>Premium</v>
      </c>
      <c r="G4875" s="3" cm="1">
        <f t="array" ref="G4875">_xlfn.XLOOKUP(C4875 &amp; F4875,
         [1]unilever_price_limits!A:A &amp; [1]unilever_price_limits!B:B,
         [1]unilever_price_limits!C:C)</f>
        <v>55</v>
      </c>
      <c r="H4875" s="8">
        <f t="shared" si="305"/>
        <v>5.1150000000000002</v>
      </c>
      <c r="I4875" s="6">
        <f t="shared" si="306"/>
        <v>55.000000000000007</v>
      </c>
      <c r="J4875" t="str">
        <f t="shared" si="307"/>
        <v>OK</v>
      </c>
    </row>
    <row r="4876" spans="1:10" x14ac:dyDescent="0.2">
      <c r="A4876">
        <v>14875</v>
      </c>
      <c r="B4876" t="s">
        <v>7</v>
      </c>
      <c r="C4876" t="s">
        <v>6</v>
      </c>
      <c r="D4876" s="8">
        <v>13.3</v>
      </c>
      <c r="E4876">
        <v>3</v>
      </c>
      <c r="F4876" t="str">
        <f t="shared" si="304"/>
        <v>Value</v>
      </c>
      <c r="G4876" s="3" cm="1">
        <f t="array" ref="G4876">_xlfn.XLOOKUP(C4876 &amp; F4876,
         [1]unilever_price_limits!A:A &amp; [1]unilever_price_limits!B:B,
         [1]unilever_price_limits!C:C)</f>
        <v>12</v>
      </c>
      <c r="H4876" s="8">
        <f t="shared" si="305"/>
        <v>14.896000000000003</v>
      </c>
      <c r="I4876" s="6">
        <f t="shared" si="306"/>
        <v>12.000000000000011</v>
      </c>
      <c r="J4876" t="str">
        <f t="shared" si="307"/>
        <v>OK</v>
      </c>
    </row>
    <row r="4877" spans="1:10" x14ac:dyDescent="0.2">
      <c r="A4877">
        <v>14876</v>
      </c>
      <c r="B4877" t="s">
        <v>10</v>
      </c>
      <c r="C4877" t="s">
        <v>9</v>
      </c>
      <c r="D4877" s="8">
        <v>12.24</v>
      </c>
      <c r="E4877">
        <v>6</v>
      </c>
      <c r="F4877" t="str">
        <f t="shared" si="304"/>
        <v>Standard</v>
      </c>
      <c r="G4877" s="3" cm="1">
        <f t="array" ref="G4877">_xlfn.XLOOKUP(C4877 &amp; F4877,
         [1]unilever_price_limits!A:A &amp; [1]unilever_price_limits!B:B,
         [1]unilever_price_limits!C:C)</f>
        <v>30</v>
      </c>
      <c r="H4877" s="8">
        <f t="shared" si="305"/>
        <v>15.912000000000001</v>
      </c>
      <c r="I4877" s="6">
        <f t="shared" si="306"/>
        <v>30.000000000000004</v>
      </c>
      <c r="J4877" t="str">
        <f t="shared" si="307"/>
        <v>OK</v>
      </c>
    </row>
    <row r="4878" spans="1:10" x14ac:dyDescent="0.2">
      <c r="A4878">
        <v>14877</v>
      </c>
      <c r="B4878" t="s">
        <v>7</v>
      </c>
      <c r="C4878" t="s">
        <v>6</v>
      </c>
      <c r="D4878" s="8">
        <v>14.53</v>
      </c>
      <c r="E4878">
        <v>8</v>
      </c>
      <c r="F4878" t="str">
        <f t="shared" si="304"/>
        <v>Premium</v>
      </c>
      <c r="G4878" s="3" cm="1">
        <f t="array" ref="G4878">_xlfn.XLOOKUP(C4878 &amp; F4878,
         [1]unilever_price_limits!A:A &amp; [1]unilever_price_limits!B:B,
         [1]unilever_price_limits!C:C)</f>
        <v>55</v>
      </c>
      <c r="H4878" s="8">
        <f t="shared" si="305"/>
        <v>22.5215</v>
      </c>
      <c r="I4878" s="6">
        <f t="shared" si="306"/>
        <v>55.000000000000007</v>
      </c>
      <c r="J4878" t="str">
        <f t="shared" si="307"/>
        <v>OK</v>
      </c>
    </row>
    <row r="4879" spans="1:10" x14ac:dyDescent="0.2">
      <c r="A4879">
        <v>14878</v>
      </c>
      <c r="B4879" t="s">
        <v>8</v>
      </c>
      <c r="C4879" t="s">
        <v>11</v>
      </c>
      <c r="D4879" s="8">
        <v>7.43</v>
      </c>
      <c r="E4879">
        <v>10</v>
      </c>
      <c r="F4879" t="str">
        <f t="shared" si="304"/>
        <v>Premium</v>
      </c>
      <c r="G4879" s="3" cm="1">
        <f t="array" ref="G4879">_xlfn.XLOOKUP(C4879 &amp; F4879,
         [1]unilever_price_limits!A:A &amp; [1]unilever_price_limits!B:B,
         [1]unilever_price_limits!C:C)</f>
        <v>50</v>
      </c>
      <c r="H4879" s="8">
        <f t="shared" si="305"/>
        <v>11.145</v>
      </c>
      <c r="I4879" s="6">
        <f t="shared" si="306"/>
        <v>50</v>
      </c>
      <c r="J4879" t="str">
        <f t="shared" si="307"/>
        <v>OK</v>
      </c>
    </row>
    <row r="4880" spans="1:10" x14ac:dyDescent="0.2">
      <c r="A4880">
        <v>14879</v>
      </c>
      <c r="B4880" t="s">
        <v>8</v>
      </c>
      <c r="C4880" t="s">
        <v>9</v>
      </c>
      <c r="D4880" s="8">
        <v>11.05</v>
      </c>
      <c r="E4880">
        <v>2</v>
      </c>
      <c r="F4880" t="str">
        <f t="shared" si="304"/>
        <v>Value</v>
      </c>
      <c r="G4880" s="3" cm="1">
        <f t="array" ref="G4880">_xlfn.XLOOKUP(C4880 &amp; F4880,
         [1]unilever_price_limits!A:A &amp; [1]unilever_price_limits!B:B,
         [1]unilever_price_limits!C:C)</f>
        <v>15</v>
      </c>
      <c r="H4880" s="8">
        <f t="shared" si="305"/>
        <v>12.7075</v>
      </c>
      <c r="I4880" s="6">
        <f t="shared" si="306"/>
        <v>14.999999999999991</v>
      </c>
      <c r="J4880" t="str">
        <f t="shared" si="307"/>
        <v>OK</v>
      </c>
    </row>
    <row r="4881" spans="1:10" x14ac:dyDescent="0.2">
      <c r="A4881">
        <v>14880</v>
      </c>
      <c r="B4881" t="s">
        <v>8</v>
      </c>
      <c r="C4881" t="s">
        <v>9</v>
      </c>
      <c r="D4881" s="8">
        <v>5.88</v>
      </c>
      <c r="E4881">
        <v>8</v>
      </c>
      <c r="F4881" t="str">
        <f t="shared" si="304"/>
        <v>Premium</v>
      </c>
      <c r="G4881" s="3" cm="1">
        <f t="array" ref="G4881">_xlfn.XLOOKUP(C4881 &amp; F4881,
         [1]unilever_price_limits!A:A &amp; [1]unilever_price_limits!B:B,
         [1]unilever_price_limits!C:C)</f>
        <v>60</v>
      </c>
      <c r="H4881" s="8">
        <f t="shared" si="305"/>
        <v>9.4079999999999995</v>
      </c>
      <c r="I4881" s="6">
        <f t="shared" si="306"/>
        <v>59.999999999999986</v>
      </c>
      <c r="J4881" t="str">
        <f t="shared" si="307"/>
        <v>OK</v>
      </c>
    </row>
    <row r="4882" spans="1:10" x14ac:dyDescent="0.2">
      <c r="A4882">
        <v>14881</v>
      </c>
      <c r="B4882" t="s">
        <v>8</v>
      </c>
      <c r="C4882" t="s">
        <v>11</v>
      </c>
      <c r="D4882" s="8">
        <v>3.17</v>
      </c>
      <c r="E4882">
        <v>1</v>
      </c>
      <c r="F4882" t="str">
        <f t="shared" si="304"/>
        <v>Value</v>
      </c>
      <c r="G4882" s="3" cm="1">
        <f t="array" ref="G4882">_xlfn.XLOOKUP(C4882 &amp; F4882,
         [1]unilever_price_limits!A:A &amp; [1]unilever_price_limits!B:B,
         [1]unilever_price_limits!C:C)</f>
        <v>10</v>
      </c>
      <c r="H4882" s="8">
        <f t="shared" si="305"/>
        <v>3.4870000000000001</v>
      </c>
      <c r="I4882" s="6">
        <f t="shared" si="306"/>
        <v>10.000000000000009</v>
      </c>
      <c r="J4882" t="str">
        <f t="shared" si="307"/>
        <v>OK</v>
      </c>
    </row>
    <row r="4883" spans="1:10" x14ac:dyDescent="0.2">
      <c r="A4883">
        <v>14882</v>
      </c>
      <c r="B4883" t="s">
        <v>8</v>
      </c>
      <c r="C4883" t="s">
        <v>11</v>
      </c>
      <c r="D4883" s="8">
        <v>6.92</v>
      </c>
      <c r="E4883">
        <v>2</v>
      </c>
      <c r="F4883" t="str">
        <f t="shared" si="304"/>
        <v>Value</v>
      </c>
      <c r="G4883" s="3" cm="1">
        <f t="array" ref="G4883">_xlfn.XLOOKUP(C4883 &amp; F4883,
         [1]unilever_price_limits!A:A &amp; [1]unilever_price_limits!B:B,
         [1]unilever_price_limits!C:C)</f>
        <v>10</v>
      </c>
      <c r="H4883" s="8">
        <f t="shared" si="305"/>
        <v>7.6120000000000001</v>
      </c>
      <c r="I4883" s="6">
        <f t="shared" si="306"/>
        <v>10.000000000000009</v>
      </c>
      <c r="J4883" t="str">
        <f t="shared" si="307"/>
        <v>OK</v>
      </c>
    </row>
    <row r="4884" spans="1:10" x14ac:dyDescent="0.2">
      <c r="A4884">
        <v>14883</v>
      </c>
      <c r="B4884" t="s">
        <v>10</v>
      </c>
      <c r="C4884" t="s">
        <v>11</v>
      </c>
      <c r="D4884" s="8">
        <v>2.9</v>
      </c>
      <c r="E4884">
        <v>8</v>
      </c>
      <c r="F4884" t="str">
        <f t="shared" si="304"/>
        <v>Premium</v>
      </c>
      <c r="G4884" s="3" cm="1">
        <f t="array" ref="G4884">_xlfn.XLOOKUP(C4884 &amp; F4884,
         [1]unilever_price_limits!A:A &amp; [1]unilever_price_limits!B:B,
         [1]unilever_price_limits!C:C)</f>
        <v>50</v>
      </c>
      <c r="H4884" s="8">
        <f t="shared" si="305"/>
        <v>4.3499999999999996</v>
      </c>
      <c r="I4884" s="6">
        <f t="shared" si="306"/>
        <v>50</v>
      </c>
      <c r="J4884" t="str">
        <f t="shared" si="307"/>
        <v>OK</v>
      </c>
    </row>
    <row r="4885" spans="1:10" x14ac:dyDescent="0.2">
      <c r="A4885">
        <v>14884</v>
      </c>
      <c r="B4885" t="s">
        <v>8</v>
      </c>
      <c r="C4885" t="s">
        <v>6</v>
      </c>
      <c r="D4885" s="8">
        <v>14.74</v>
      </c>
      <c r="E4885">
        <v>7</v>
      </c>
      <c r="F4885" t="str">
        <f t="shared" si="304"/>
        <v>Standard</v>
      </c>
      <c r="G4885" s="3" cm="1">
        <f t="array" ref="G4885">_xlfn.XLOOKUP(C4885 &amp; F4885,
         [1]unilever_price_limits!A:A &amp; [1]unilever_price_limits!B:B,
         [1]unilever_price_limits!C:C)</f>
        <v>28</v>
      </c>
      <c r="H4885" s="8">
        <f t="shared" si="305"/>
        <v>18.8672</v>
      </c>
      <c r="I4885" s="6">
        <f t="shared" si="306"/>
        <v>28.000000000000004</v>
      </c>
      <c r="J4885" t="str">
        <f t="shared" si="307"/>
        <v>OK</v>
      </c>
    </row>
    <row r="4886" spans="1:10" x14ac:dyDescent="0.2">
      <c r="A4886">
        <v>14885</v>
      </c>
      <c r="B4886" t="s">
        <v>10</v>
      </c>
      <c r="C4886" t="s">
        <v>9</v>
      </c>
      <c r="D4886" s="8">
        <v>1.9</v>
      </c>
      <c r="E4886">
        <v>5</v>
      </c>
      <c r="F4886" t="str">
        <f t="shared" si="304"/>
        <v>Standard</v>
      </c>
      <c r="G4886" s="3" cm="1">
        <f t="array" ref="G4886">_xlfn.XLOOKUP(C4886 &amp; F4886,
         [1]unilever_price_limits!A:A &amp; [1]unilever_price_limits!B:B,
         [1]unilever_price_limits!C:C)</f>
        <v>30</v>
      </c>
      <c r="H4886" s="8">
        <f t="shared" si="305"/>
        <v>2.4699999999999998</v>
      </c>
      <c r="I4886" s="6">
        <f t="shared" si="306"/>
        <v>29.999999999999982</v>
      </c>
      <c r="J4886" t="str">
        <f t="shared" si="307"/>
        <v>OK</v>
      </c>
    </row>
    <row r="4887" spans="1:10" x14ac:dyDescent="0.2">
      <c r="A4887">
        <v>14886</v>
      </c>
      <c r="B4887" t="s">
        <v>8</v>
      </c>
      <c r="C4887" t="s">
        <v>6</v>
      </c>
      <c r="D4887" s="8">
        <v>9.0399999999999991</v>
      </c>
      <c r="E4887">
        <v>10</v>
      </c>
      <c r="F4887" t="str">
        <f t="shared" si="304"/>
        <v>Premium</v>
      </c>
      <c r="G4887" s="3" cm="1">
        <f t="array" ref="G4887">_xlfn.XLOOKUP(C4887 &amp; F4887,
         [1]unilever_price_limits!A:A &amp; [1]unilever_price_limits!B:B,
         [1]unilever_price_limits!C:C)</f>
        <v>55</v>
      </c>
      <c r="H4887" s="8">
        <f t="shared" si="305"/>
        <v>14.011999999999999</v>
      </c>
      <c r="I4887" s="6">
        <f t="shared" si="306"/>
        <v>55.000000000000007</v>
      </c>
      <c r="J4887" t="str">
        <f t="shared" si="307"/>
        <v>OK</v>
      </c>
    </row>
    <row r="4888" spans="1:10" x14ac:dyDescent="0.2">
      <c r="A4888">
        <v>14887</v>
      </c>
      <c r="B4888" t="s">
        <v>5</v>
      </c>
      <c r="C4888" t="s">
        <v>11</v>
      </c>
      <c r="D4888" s="8">
        <v>9.58</v>
      </c>
      <c r="E4888">
        <v>2</v>
      </c>
      <c r="F4888" t="str">
        <f t="shared" si="304"/>
        <v>Value</v>
      </c>
      <c r="G4888" s="3" cm="1">
        <f t="array" ref="G4888">_xlfn.XLOOKUP(C4888 &amp; F4888,
         [1]unilever_price_limits!A:A &amp; [1]unilever_price_limits!B:B,
         [1]unilever_price_limits!C:C)</f>
        <v>10</v>
      </c>
      <c r="H4888" s="8">
        <f t="shared" si="305"/>
        <v>10.538</v>
      </c>
      <c r="I4888" s="6">
        <f t="shared" si="306"/>
        <v>10.000000000000009</v>
      </c>
      <c r="J4888" t="str">
        <f t="shared" si="307"/>
        <v>OK</v>
      </c>
    </row>
    <row r="4889" spans="1:10" x14ac:dyDescent="0.2">
      <c r="A4889">
        <v>14888</v>
      </c>
      <c r="B4889" t="s">
        <v>5</v>
      </c>
      <c r="C4889" t="s">
        <v>6</v>
      </c>
      <c r="D4889" s="8">
        <v>8.3000000000000007</v>
      </c>
      <c r="E4889">
        <v>9</v>
      </c>
      <c r="F4889" t="str">
        <f t="shared" si="304"/>
        <v>Premium</v>
      </c>
      <c r="G4889" s="3" cm="1">
        <f t="array" ref="G4889">_xlfn.XLOOKUP(C4889 &amp; F4889,
         [1]unilever_price_limits!A:A &amp; [1]unilever_price_limits!B:B,
         [1]unilever_price_limits!C:C)</f>
        <v>55</v>
      </c>
      <c r="H4889" s="8">
        <f t="shared" si="305"/>
        <v>12.865000000000002</v>
      </c>
      <c r="I4889" s="6">
        <f t="shared" si="306"/>
        <v>55.000000000000007</v>
      </c>
      <c r="J4889" t="str">
        <f t="shared" si="307"/>
        <v>OK</v>
      </c>
    </row>
    <row r="4890" spans="1:10" x14ac:dyDescent="0.2">
      <c r="A4890">
        <v>14889</v>
      </c>
      <c r="B4890" t="s">
        <v>5</v>
      </c>
      <c r="C4890" t="s">
        <v>11</v>
      </c>
      <c r="D4890" s="8">
        <v>10.1</v>
      </c>
      <c r="E4890">
        <v>5</v>
      </c>
      <c r="F4890" t="str">
        <f t="shared" si="304"/>
        <v>Standard</v>
      </c>
      <c r="G4890" s="3" cm="1">
        <f t="array" ref="G4890">_xlfn.XLOOKUP(C4890 &amp; F4890,
         [1]unilever_price_limits!A:A &amp; [1]unilever_price_limits!B:B,
         [1]unilever_price_limits!C:C)</f>
        <v>25</v>
      </c>
      <c r="H4890" s="8">
        <f t="shared" si="305"/>
        <v>12.625</v>
      </c>
      <c r="I4890" s="6">
        <f t="shared" si="306"/>
        <v>25</v>
      </c>
      <c r="J4890" t="str">
        <f t="shared" si="307"/>
        <v>OK</v>
      </c>
    </row>
    <row r="4891" spans="1:10" x14ac:dyDescent="0.2">
      <c r="A4891">
        <v>14890</v>
      </c>
      <c r="B4891" t="s">
        <v>5</v>
      </c>
      <c r="C4891" t="s">
        <v>6</v>
      </c>
      <c r="D4891" s="8">
        <v>2.1800000000000002</v>
      </c>
      <c r="E4891">
        <v>8</v>
      </c>
      <c r="F4891" t="str">
        <f t="shared" si="304"/>
        <v>Premium</v>
      </c>
      <c r="G4891" s="3" cm="1">
        <f t="array" ref="G4891">_xlfn.XLOOKUP(C4891 &amp; F4891,
         [1]unilever_price_limits!A:A &amp; [1]unilever_price_limits!B:B,
         [1]unilever_price_limits!C:C)</f>
        <v>55</v>
      </c>
      <c r="H4891" s="8">
        <f t="shared" si="305"/>
        <v>3.3790000000000004</v>
      </c>
      <c r="I4891" s="6">
        <f t="shared" si="306"/>
        <v>55.000000000000007</v>
      </c>
      <c r="J4891" t="str">
        <f t="shared" si="307"/>
        <v>OK</v>
      </c>
    </row>
    <row r="4892" spans="1:10" x14ac:dyDescent="0.2">
      <c r="A4892">
        <v>14891</v>
      </c>
      <c r="B4892" t="s">
        <v>10</v>
      </c>
      <c r="C4892" t="s">
        <v>6</v>
      </c>
      <c r="D4892" s="8">
        <v>8.5500000000000007</v>
      </c>
      <c r="E4892">
        <v>4</v>
      </c>
      <c r="F4892" t="str">
        <f t="shared" si="304"/>
        <v>Standard</v>
      </c>
      <c r="G4892" s="3" cm="1">
        <f t="array" ref="G4892">_xlfn.XLOOKUP(C4892 &amp; F4892,
         [1]unilever_price_limits!A:A &amp; [1]unilever_price_limits!B:B,
         [1]unilever_price_limits!C:C)</f>
        <v>28</v>
      </c>
      <c r="H4892" s="8">
        <f t="shared" si="305"/>
        <v>10.944000000000001</v>
      </c>
      <c r="I4892" s="6">
        <f t="shared" si="306"/>
        <v>28.000000000000004</v>
      </c>
      <c r="J4892" t="str">
        <f t="shared" si="307"/>
        <v>OK</v>
      </c>
    </row>
    <row r="4893" spans="1:10" x14ac:dyDescent="0.2">
      <c r="A4893">
        <v>14892</v>
      </c>
      <c r="B4893" t="s">
        <v>10</v>
      </c>
      <c r="C4893" t="s">
        <v>11</v>
      </c>
      <c r="D4893" s="8">
        <v>4.66</v>
      </c>
      <c r="E4893">
        <v>9</v>
      </c>
      <c r="F4893" t="str">
        <f t="shared" si="304"/>
        <v>Premium</v>
      </c>
      <c r="G4893" s="3" cm="1">
        <f t="array" ref="G4893">_xlfn.XLOOKUP(C4893 &amp; F4893,
         [1]unilever_price_limits!A:A &amp; [1]unilever_price_limits!B:B,
         [1]unilever_price_limits!C:C)</f>
        <v>50</v>
      </c>
      <c r="H4893" s="8">
        <f t="shared" si="305"/>
        <v>6.99</v>
      </c>
      <c r="I4893" s="6">
        <f t="shared" si="306"/>
        <v>50</v>
      </c>
      <c r="J4893" t="str">
        <f t="shared" si="307"/>
        <v>OK</v>
      </c>
    </row>
    <row r="4894" spans="1:10" x14ac:dyDescent="0.2">
      <c r="A4894">
        <v>14893</v>
      </c>
      <c r="B4894" t="s">
        <v>7</v>
      </c>
      <c r="C4894" t="s">
        <v>6</v>
      </c>
      <c r="D4894" s="8">
        <v>14.13</v>
      </c>
      <c r="E4894">
        <v>10</v>
      </c>
      <c r="F4894" t="str">
        <f t="shared" si="304"/>
        <v>Premium</v>
      </c>
      <c r="G4894" s="3" cm="1">
        <f t="array" ref="G4894">_xlfn.XLOOKUP(C4894 &amp; F4894,
         [1]unilever_price_limits!A:A &amp; [1]unilever_price_limits!B:B,
         [1]unilever_price_limits!C:C)</f>
        <v>55</v>
      </c>
      <c r="H4894" s="8">
        <f t="shared" si="305"/>
        <v>21.901500000000002</v>
      </c>
      <c r="I4894" s="6">
        <f t="shared" si="306"/>
        <v>55.000000000000007</v>
      </c>
      <c r="J4894" t="str">
        <f t="shared" si="307"/>
        <v>OK</v>
      </c>
    </row>
    <row r="4895" spans="1:10" x14ac:dyDescent="0.2">
      <c r="A4895">
        <v>14894</v>
      </c>
      <c r="B4895" t="s">
        <v>8</v>
      </c>
      <c r="C4895" t="s">
        <v>9</v>
      </c>
      <c r="D4895" s="8">
        <v>11.55</v>
      </c>
      <c r="E4895">
        <v>7</v>
      </c>
      <c r="F4895" t="str">
        <f t="shared" si="304"/>
        <v>Standard</v>
      </c>
      <c r="G4895" s="3" cm="1">
        <f t="array" ref="G4895">_xlfn.XLOOKUP(C4895 &amp; F4895,
         [1]unilever_price_limits!A:A &amp; [1]unilever_price_limits!B:B,
         [1]unilever_price_limits!C:C)</f>
        <v>30</v>
      </c>
      <c r="H4895" s="8">
        <f t="shared" si="305"/>
        <v>15.015000000000001</v>
      </c>
      <c r="I4895" s="6">
        <f t="shared" si="306"/>
        <v>30.000000000000004</v>
      </c>
      <c r="J4895" t="str">
        <f t="shared" si="307"/>
        <v>OK</v>
      </c>
    </row>
    <row r="4896" spans="1:10" x14ac:dyDescent="0.2">
      <c r="A4896">
        <v>14895</v>
      </c>
      <c r="B4896" t="s">
        <v>5</v>
      </c>
      <c r="C4896" t="s">
        <v>6</v>
      </c>
      <c r="D4896" s="8">
        <v>14.6</v>
      </c>
      <c r="E4896">
        <v>2</v>
      </c>
      <c r="F4896" t="str">
        <f t="shared" si="304"/>
        <v>Value</v>
      </c>
      <c r="G4896" s="3" cm="1">
        <f t="array" ref="G4896">_xlfn.XLOOKUP(C4896 &amp; F4896,
         [1]unilever_price_limits!A:A &amp; [1]unilever_price_limits!B:B,
         [1]unilever_price_limits!C:C)</f>
        <v>12</v>
      </c>
      <c r="H4896" s="8">
        <f t="shared" si="305"/>
        <v>16.352</v>
      </c>
      <c r="I4896" s="6">
        <f t="shared" si="306"/>
        <v>12.000000000000011</v>
      </c>
      <c r="J4896" t="str">
        <f t="shared" si="307"/>
        <v>OK</v>
      </c>
    </row>
    <row r="4897" spans="1:10" x14ac:dyDescent="0.2">
      <c r="A4897">
        <v>14896</v>
      </c>
      <c r="B4897" t="s">
        <v>10</v>
      </c>
      <c r="C4897" t="s">
        <v>6</v>
      </c>
      <c r="D4897" s="8">
        <v>1.04</v>
      </c>
      <c r="E4897">
        <v>3</v>
      </c>
      <c r="F4897" t="str">
        <f t="shared" si="304"/>
        <v>Value</v>
      </c>
      <c r="G4897" s="3" cm="1">
        <f t="array" ref="G4897">_xlfn.XLOOKUP(C4897 &amp; F4897,
         [1]unilever_price_limits!A:A &amp; [1]unilever_price_limits!B:B,
         [1]unilever_price_limits!C:C)</f>
        <v>12</v>
      </c>
      <c r="H4897" s="8">
        <f t="shared" si="305"/>
        <v>1.1648000000000001</v>
      </c>
      <c r="I4897" s="6">
        <f t="shared" si="306"/>
        <v>12.000000000000011</v>
      </c>
      <c r="J4897" t="str">
        <f t="shared" si="307"/>
        <v>OK</v>
      </c>
    </row>
    <row r="4898" spans="1:10" x14ac:dyDescent="0.2">
      <c r="A4898">
        <v>14897</v>
      </c>
      <c r="B4898" t="s">
        <v>8</v>
      </c>
      <c r="C4898" t="s">
        <v>9</v>
      </c>
      <c r="D4898" s="8">
        <v>4.63</v>
      </c>
      <c r="E4898">
        <v>2</v>
      </c>
      <c r="F4898" t="str">
        <f t="shared" si="304"/>
        <v>Value</v>
      </c>
      <c r="G4898" s="3" cm="1">
        <f t="array" ref="G4898">_xlfn.XLOOKUP(C4898 &amp; F4898,
         [1]unilever_price_limits!A:A &amp; [1]unilever_price_limits!B:B,
         [1]unilever_price_limits!C:C)</f>
        <v>15</v>
      </c>
      <c r="H4898" s="8">
        <f t="shared" si="305"/>
        <v>5.3244999999999996</v>
      </c>
      <c r="I4898" s="6">
        <f t="shared" si="306"/>
        <v>14.999999999999991</v>
      </c>
      <c r="J4898" t="str">
        <f t="shared" si="307"/>
        <v>OK</v>
      </c>
    </row>
    <row r="4899" spans="1:10" x14ac:dyDescent="0.2">
      <c r="A4899">
        <v>14898</v>
      </c>
      <c r="B4899" t="s">
        <v>8</v>
      </c>
      <c r="C4899" t="s">
        <v>11</v>
      </c>
      <c r="D4899" s="8">
        <v>3.33</v>
      </c>
      <c r="E4899">
        <v>5</v>
      </c>
      <c r="F4899" t="str">
        <f t="shared" si="304"/>
        <v>Standard</v>
      </c>
      <c r="G4899" s="3" cm="1">
        <f t="array" ref="G4899">_xlfn.XLOOKUP(C4899 &amp; F4899,
         [1]unilever_price_limits!A:A &amp; [1]unilever_price_limits!B:B,
         [1]unilever_price_limits!C:C)</f>
        <v>25</v>
      </c>
      <c r="H4899" s="8">
        <f t="shared" si="305"/>
        <v>4.1624999999999996</v>
      </c>
      <c r="I4899" s="6">
        <f t="shared" si="306"/>
        <v>24.999999999999979</v>
      </c>
      <c r="J4899" t="str">
        <f t="shared" si="307"/>
        <v>OK</v>
      </c>
    </row>
    <row r="4900" spans="1:10" x14ac:dyDescent="0.2">
      <c r="A4900">
        <v>14899</v>
      </c>
      <c r="B4900" t="s">
        <v>10</v>
      </c>
      <c r="C4900" t="s">
        <v>9</v>
      </c>
      <c r="D4900" s="8">
        <v>0.66</v>
      </c>
      <c r="E4900">
        <v>2</v>
      </c>
      <c r="F4900" t="str">
        <f t="shared" si="304"/>
        <v>Value</v>
      </c>
      <c r="G4900" s="3" cm="1">
        <f t="array" ref="G4900">_xlfn.XLOOKUP(C4900 &amp; F4900,
         [1]unilever_price_limits!A:A &amp; [1]unilever_price_limits!B:B,
         [1]unilever_price_limits!C:C)</f>
        <v>15</v>
      </c>
      <c r="H4900" s="8">
        <f t="shared" si="305"/>
        <v>0.75900000000000001</v>
      </c>
      <c r="I4900" s="6">
        <f t="shared" si="306"/>
        <v>14.999999999999991</v>
      </c>
      <c r="J4900" t="str">
        <f t="shared" si="307"/>
        <v>OK</v>
      </c>
    </row>
    <row r="4901" spans="1:10" x14ac:dyDescent="0.2">
      <c r="A4901">
        <v>14900</v>
      </c>
      <c r="B4901" t="s">
        <v>5</v>
      </c>
      <c r="C4901" t="s">
        <v>6</v>
      </c>
      <c r="D4901" s="8">
        <v>4.01</v>
      </c>
      <c r="E4901">
        <v>5</v>
      </c>
      <c r="F4901" t="str">
        <f t="shared" si="304"/>
        <v>Standard</v>
      </c>
      <c r="G4901" s="3" cm="1">
        <f t="array" ref="G4901">_xlfn.XLOOKUP(C4901 &amp; F4901,
         [1]unilever_price_limits!A:A &amp; [1]unilever_price_limits!B:B,
         [1]unilever_price_limits!C:C)</f>
        <v>28</v>
      </c>
      <c r="H4901" s="8">
        <f t="shared" si="305"/>
        <v>5.1327999999999996</v>
      </c>
      <c r="I4901" s="6">
        <f t="shared" si="306"/>
        <v>28.000000000000004</v>
      </c>
      <c r="J4901" t="str">
        <f t="shared" si="307"/>
        <v>OK</v>
      </c>
    </row>
    <row r="4902" spans="1:10" x14ac:dyDescent="0.2">
      <c r="A4902">
        <v>14901</v>
      </c>
      <c r="B4902" t="s">
        <v>7</v>
      </c>
      <c r="C4902" t="s">
        <v>11</v>
      </c>
      <c r="D4902" s="8">
        <v>10.34</v>
      </c>
      <c r="E4902">
        <v>9</v>
      </c>
      <c r="F4902" t="str">
        <f t="shared" si="304"/>
        <v>Premium</v>
      </c>
      <c r="G4902" s="3" cm="1">
        <f t="array" ref="G4902">_xlfn.XLOOKUP(C4902 &amp; F4902,
         [1]unilever_price_limits!A:A &amp; [1]unilever_price_limits!B:B,
         [1]unilever_price_limits!C:C)</f>
        <v>50</v>
      </c>
      <c r="H4902" s="8">
        <f t="shared" si="305"/>
        <v>15.51</v>
      </c>
      <c r="I4902" s="6">
        <f t="shared" si="306"/>
        <v>50</v>
      </c>
      <c r="J4902" t="str">
        <f t="shared" si="307"/>
        <v>OK</v>
      </c>
    </row>
    <row r="4903" spans="1:10" x14ac:dyDescent="0.2">
      <c r="A4903">
        <v>14902</v>
      </c>
      <c r="B4903" t="s">
        <v>8</v>
      </c>
      <c r="C4903" t="s">
        <v>6</v>
      </c>
      <c r="D4903" s="8">
        <v>3.85</v>
      </c>
      <c r="E4903">
        <v>2</v>
      </c>
      <c r="F4903" t="str">
        <f t="shared" si="304"/>
        <v>Value</v>
      </c>
      <c r="G4903" s="3" cm="1">
        <f t="array" ref="G4903">_xlfn.XLOOKUP(C4903 &amp; F4903,
         [1]unilever_price_limits!A:A &amp; [1]unilever_price_limits!B:B,
         [1]unilever_price_limits!C:C)</f>
        <v>12</v>
      </c>
      <c r="H4903" s="8">
        <f t="shared" si="305"/>
        <v>4.3120000000000003</v>
      </c>
      <c r="I4903" s="6">
        <f t="shared" si="306"/>
        <v>12.000000000000011</v>
      </c>
      <c r="J4903" t="str">
        <f t="shared" si="307"/>
        <v>OK</v>
      </c>
    </row>
    <row r="4904" spans="1:10" x14ac:dyDescent="0.2">
      <c r="A4904">
        <v>14903</v>
      </c>
      <c r="B4904" t="s">
        <v>7</v>
      </c>
      <c r="C4904" t="s">
        <v>6</v>
      </c>
      <c r="D4904" s="8">
        <v>7.88</v>
      </c>
      <c r="E4904">
        <v>9</v>
      </c>
      <c r="F4904" t="str">
        <f t="shared" si="304"/>
        <v>Premium</v>
      </c>
      <c r="G4904" s="3" cm="1">
        <f t="array" ref="G4904">_xlfn.XLOOKUP(C4904 &amp; F4904,
         [1]unilever_price_limits!A:A &amp; [1]unilever_price_limits!B:B,
         [1]unilever_price_limits!C:C)</f>
        <v>55</v>
      </c>
      <c r="H4904" s="8">
        <f t="shared" si="305"/>
        <v>12.214</v>
      </c>
      <c r="I4904" s="6">
        <f t="shared" si="306"/>
        <v>55.000000000000007</v>
      </c>
      <c r="J4904" t="str">
        <f t="shared" si="307"/>
        <v>OK</v>
      </c>
    </row>
    <row r="4905" spans="1:10" x14ac:dyDescent="0.2">
      <c r="A4905">
        <v>14904</v>
      </c>
      <c r="B4905" t="s">
        <v>5</v>
      </c>
      <c r="C4905" t="s">
        <v>9</v>
      </c>
      <c r="D4905" s="8">
        <v>13.37</v>
      </c>
      <c r="E4905">
        <v>7</v>
      </c>
      <c r="F4905" t="str">
        <f t="shared" si="304"/>
        <v>Standard</v>
      </c>
      <c r="G4905" s="3" cm="1">
        <f t="array" ref="G4905">_xlfn.XLOOKUP(C4905 &amp; F4905,
         [1]unilever_price_limits!A:A &amp; [1]unilever_price_limits!B:B,
         [1]unilever_price_limits!C:C)</f>
        <v>30</v>
      </c>
      <c r="H4905" s="8">
        <f t="shared" si="305"/>
        <v>17.381</v>
      </c>
      <c r="I4905" s="6">
        <f t="shared" si="306"/>
        <v>30.000000000000004</v>
      </c>
      <c r="J4905" t="str">
        <f t="shared" si="307"/>
        <v>OK</v>
      </c>
    </row>
    <row r="4906" spans="1:10" x14ac:dyDescent="0.2">
      <c r="A4906">
        <v>14905</v>
      </c>
      <c r="B4906" t="s">
        <v>5</v>
      </c>
      <c r="C4906" t="s">
        <v>9</v>
      </c>
      <c r="D4906" s="8">
        <v>10.56</v>
      </c>
      <c r="E4906">
        <v>7</v>
      </c>
      <c r="F4906" t="str">
        <f t="shared" si="304"/>
        <v>Standard</v>
      </c>
      <c r="G4906" s="3" cm="1">
        <f t="array" ref="G4906">_xlfn.XLOOKUP(C4906 &amp; F4906,
         [1]unilever_price_limits!A:A &amp; [1]unilever_price_limits!B:B,
         [1]unilever_price_limits!C:C)</f>
        <v>30</v>
      </c>
      <c r="H4906" s="8">
        <f t="shared" si="305"/>
        <v>13.728000000000002</v>
      </c>
      <c r="I4906" s="6">
        <f t="shared" si="306"/>
        <v>30.000000000000004</v>
      </c>
      <c r="J4906" t="str">
        <f t="shared" si="307"/>
        <v>OK</v>
      </c>
    </row>
    <row r="4907" spans="1:10" x14ac:dyDescent="0.2">
      <c r="A4907">
        <v>14906</v>
      </c>
      <c r="B4907" t="s">
        <v>7</v>
      </c>
      <c r="C4907" t="s">
        <v>11</v>
      </c>
      <c r="D4907" s="8">
        <v>6.22</v>
      </c>
      <c r="E4907">
        <v>5</v>
      </c>
      <c r="F4907" t="str">
        <f t="shared" si="304"/>
        <v>Standard</v>
      </c>
      <c r="G4907" s="3" cm="1">
        <f t="array" ref="G4907">_xlfn.XLOOKUP(C4907 &amp; F4907,
         [1]unilever_price_limits!A:A &amp; [1]unilever_price_limits!B:B,
         [1]unilever_price_limits!C:C)</f>
        <v>25</v>
      </c>
      <c r="H4907" s="8">
        <f t="shared" si="305"/>
        <v>7.7749999999999995</v>
      </c>
      <c r="I4907" s="6">
        <f t="shared" si="306"/>
        <v>25</v>
      </c>
      <c r="J4907" t="str">
        <f t="shared" si="307"/>
        <v>OK</v>
      </c>
    </row>
    <row r="4908" spans="1:10" x14ac:dyDescent="0.2">
      <c r="A4908">
        <v>14907</v>
      </c>
      <c r="B4908" t="s">
        <v>5</v>
      </c>
      <c r="C4908" t="s">
        <v>11</v>
      </c>
      <c r="D4908" s="8">
        <v>5.9</v>
      </c>
      <c r="E4908">
        <v>8</v>
      </c>
      <c r="F4908" t="str">
        <f t="shared" si="304"/>
        <v>Premium</v>
      </c>
      <c r="G4908" s="3" cm="1">
        <f t="array" ref="G4908">_xlfn.XLOOKUP(C4908 &amp; F4908,
         [1]unilever_price_limits!A:A &amp; [1]unilever_price_limits!B:B,
         [1]unilever_price_limits!C:C)</f>
        <v>50</v>
      </c>
      <c r="H4908" s="8">
        <f t="shared" si="305"/>
        <v>8.8500000000000014</v>
      </c>
      <c r="I4908" s="6">
        <f t="shared" si="306"/>
        <v>50.000000000000021</v>
      </c>
      <c r="J4908" t="str">
        <f t="shared" si="307"/>
        <v>OK</v>
      </c>
    </row>
    <row r="4909" spans="1:10" x14ac:dyDescent="0.2">
      <c r="A4909">
        <v>14908</v>
      </c>
      <c r="B4909" t="s">
        <v>8</v>
      </c>
      <c r="C4909" t="s">
        <v>11</v>
      </c>
      <c r="D4909" s="8">
        <v>7.11</v>
      </c>
      <c r="E4909">
        <v>7</v>
      </c>
      <c r="F4909" t="str">
        <f t="shared" si="304"/>
        <v>Standard</v>
      </c>
      <c r="G4909" s="3" cm="1">
        <f t="array" ref="G4909">_xlfn.XLOOKUP(C4909 &amp; F4909,
         [1]unilever_price_limits!A:A &amp; [1]unilever_price_limits!B:B,
         [1]unilever_price_limits!C:C)</f>
        <v>25</v>
      </c>
      <c r="H4909" s="8">
        <f t="shared" si="305"/>
        <v>8.8875000000000011</v>
      </c>
      <c r="I4909" s="6">
        <f t="shared" si="306"/>
        <v>25</v>
      </c>
      <c r="J4909" t="str">
        <f t="shared" si="307"/>
        <v>OK</v>
      </c>
    </row>
    <row r="4910" spans="1:10" x14ac:dyDescent="0.2">
      <c r="A4910">
        <v>14909</v>
      </c>
      <c r="B4910" t="s">
        <v>7</v>
      </c>
      <c r="C4910" t="s">
        <v>6</v>
      </c>
      <c r="D4910" s="8">
        <v>3.07</v>
      </c>
      <c r="E4910">
        <v>6</v>
      </c>
      <c r="F4910" t="str">
        <f t="shared" si="304"/>
        <v>Standard</v>
      </c>
      <c r="G4910" s="3" cm="1">
        <f t="array" ref="G4910">_xlfn.XLOOKUP(C4910 &amp; F4910,
         [1]unilever_price_limits!A:A &amp; [1]unilever_price_limits!B:B,
         [1]unilever_price_limits!C:C)</f>
        <v>28</v>
      </c>
      <c r="H4910" s="8">
        <f t="shared" si="305"/>
        <v>3.9295999999999998</v>
      </c>
      <c r="I4910" s="6">
        <f t="shared" si="306"/>
        <v>28.000000000000004</v>
      </c>
      <c r="J4910" t="str">
        <f t="shared" si="307"/>
        <v>OK</v>
      </c>
    </row>
    <row r="4911" spans="1:10" x14ac:dyDescent="0.2">
      <c r="A4911">
        <v>14910</v>
      </c>
      <c r="B4911" t="s">
        <v>5</v>
      </c>
      <c r="C4911" t="s">
        <v>9</v>
      </c>
      <c r="D4911" s="8">
        <v>9.69</v>
      </c>
      <c r="E4911">
        <v>2</v>
      </c>
      <c r="F4911" t="str">
        <f t="shared" si="304"/>
        <v>Value</v>
      </c>
      <c r="G4911" s="3" cm="1">
        <f t="array" ref="G4911">_xlfn.XLOOKUP(C4911 &amp; F4911,
         [1]unilever_price_limits!A:A &amp; [1]unilever_price_limits!B:B,
         [1]unilever_price_limits!C:C)</f>
        <v>15</v>
      </c>
      <c r="H4911" s="8">
        <f t="shared" si="305"/>
        <v>11.143499999999998</v>
      </c>
      <c r="I4911" s="6">
        <f t="shared" si="306"/>
        <v>14.999999999999991</v>
      </c>
      <c r="J4911" t="str">
        <f t="shared" si="307"/>
        <v>OK</v>
      </c>
    </row>
    <row r="4912" spans="1:10" x14ac:dyDescent="0.2">
      <c r="A4912">
        <v>14911</v>
      </c>
      <c r="B4912" t="s">
        <v>7</v>
      </c>
      <c r="C4912" t="s">
        <v>9</v>
      </c>
      <c r="D4912" s="8">
        <v>5.78</v>
      </c>
      <c r="E4912">
        <v>6</v>
      </c>
      <c r="F4912" t="str">
        <f t="shared" si="304"/>
        <v>Standard</v>
      </c>
      <c r="G4912" s="3" cm="1">
        <f t="array" ref="G4912">_xlfn.XLOOKUP(C4912 &amp; F4912,
         [1]unilever_price_limits!A:A &amp; [1]unilever_price_limits!B:B,
         [1]unilever_price_limits!C:C)</f>
        <v>30</v>
      </c>
      <c r="H4912" s="8">
        <f t="shared" si="305"/>
        <v>7.5140000000000002</v>
      </c>
      <c r="I4912" s="6">
        <f t="shared" si="306"/>
        <v>30.000000000000004</v>
      </c>
      <c r="J4912" t="str">
        <f t="shared" si="307"/>
        <v>OK</v>
      </c>
    </row>
    <row r="4913" spans="1:10" x14ac:dyDescent="0.2">
      <c r="A4913">
        <v>14912</v>
      </c>
      <c r="B4913" t="s">
        <v>8</v>
      </c>
      <c r="C4913" t="s">
        <v>9</v>
      </c>
      <c r="D4913" s="8">
        <v>12.86</v>
      </c>
      <c r="E4913">
        <v>2</v>
      </c>
      <c r="F4913" t="str">
        <f t="shared" si="304"/>
        <v>Value</v>
      </c>
      <c r="G4913" s="3" cm="1">
        <f t="array" ref="G4913">_xlfn.XLOOKUP(C4913 &amp; F4913,
         [1]unilever_price_limits!A:A &amp; [1]unilever_price_limits!B:B,
         [1]unilever_price_limits!C:C)</f>
        <v>15</v>
      </c>
      <c r="H4913" s="8">
        <f t="shared" si="305"/>
        <v>14.788999999999998</v>
      </c>
      <c r="I4913" s="6">
        <f t="shared" si="306"/>
        <v>14.999999999999991</v>
      </c>
      <c r="J4913" t="str">
        <f t="shared" si="307"/>
        <v>OK</v>
      </c>
    </row>
    <row r="4914" spans="1:10" x14ac:dyDescent="0.2">
      <c r="A4914">
        <v>14913</v>
      </c>
      <c r="B4914" t="s">
        <v>5</v>
      </c>
      <c r="C4914" t="s">
        <v>11</v>
      </c>
      <c r="D4914" s="8">
        <v>11.47</v>
      </c>
      <c r="E4914">
        <v>1</v>
      </c>
      <c r="F4914" t="str">
        <f t="shared" si="304"/>
        <v>Value</v>
      </c>
      <c r="G4914" s="3" cm="1">
        <f t="array" ref="G4914">_xlfn.XLOOKUP(C4914 &amp; F4914,
         [1]unilever_price_limits!A:A &amp; [1]unilever_price_limits!B:B,
         [1]unilever_price_limits!C:C)</f>
        <v>10</v>
      </c>
      <c r="H4914" s="8">
        <f t="shared" si="305"/>
        <v>12.617000000000001</v>
      </c>
      <c r="I4914" s="6">
        <f t="shared" si="306"/>
        <v>10.000000000000009</v>
      </c>
      <c r="J4914" t="str">
        <f t="shared" si="307"/>
        <v>OK</v>
      </c>
    </row>
    <row r="4915" spans="1:10" x14ac:dyDescent="0.2">
      <c r="A4915">
        <v>14914</v>
      </c>
      <c r="B4915" t="s">
        <v>8</v>
      </c>
      <c r="C4915" t="s">
        <v>9</v>
      </c>
      <c r="D4915" s="8">
        <v>9.35</v>
      </c>
      <c r="E4915">
        <v>9</v>
      </c>
      <c r="F4915" t="str">
        <f t="shared" si="304"/>
        <v>Premium</v>
      </c>
      <c r="G4915" s="3" cm="1">
        <f t="array" ref="G4915">_xlfn.XLOOKUP(C4915 &amp; F4915,
         [1]unilever_price_limits!A:A &amp; [1]unilever_price_limits!B:B,
         [1]unilever_price_limits!C:C)</f>
        <v>60</v>
      </c>
      <c r="H4915" s="8">
        <f t="shared" si="305"/>
        <v>14.96</v>
      </c>
      <c r="I4915" s="6">
        <f t="shared" si="306"/>
        <v>60.000000000000007</v>
      </c>
      <c r="J4915" t="str">
        <f t="shared" si="307"/>
        <v>OK</v>
      </c>
    </row>
    <row r="4916" spans="1:10" x14ac:dyDescent="0.2">
      <c r="A4916">
        <v>14915</v>
      </c>
      <c r="B4916" t="s">
        <v>5</v>
      </c>
      <c r="C4916" t="s">
        <v>9</v>
      </c>
      <c r="D4916" s="8">
        <v>5.78</v>
      </c>
      <c r="E4916">
        <v>5</v>
      </c>
      <c r="F4916" t="str">
        <f t="shared" si="304"/>
        <v>Standard</v>
      </c>
      <c r="G4916" s="3" cm="1">
        <f t="array" ref="G4916">_xlfn.XLOOKUP(C4916 &amp; F4916,
         [1]unilever_price_limits!A:A &amp; [1]unilever_price_limits!B:B,
         [1]unilever_price_limits!C:C)</f>
        <v>30</v>
      </c>
      <c r="H4916" s="8">
        <f t="shared" si="305"/>
        <v>7.5140000000000002</v>
      </c>
      <c r="I4916" s="6">
        <f t="shared" si="306"/>
        <v>30.000000000000004</v>
      </c>
      <c r="J4916" t="str">
        <f t="shared" si="307"/>
        <v>OK</v>
      </c>
    </row>
    <row r="4917" spans="1:10" x14ac:dyDescent="0.2">
      <c r="A4917">
        <v>14916</v>
      </c>
      <c r="B4917" t="s">
        <v>10</v>
      </c>
      <c r="C4917" t="s">
        <v>9</v>
      </c>
      <c r="D4917" s="8">
        <v>3.54</v>
      </c>
      <c r="E4917">
        <v>10</v>
      </c>
      <c r="F4917" t="str">
        <f t="shared" si="304"/>
        <v>Premium</v>
      </c>
      <c r="G4917" s="3" cm="1">
        <f t="array" ref="G4917">_xlfn.XLOOKUP(C4917 &amp; F4917,
         [1]unilever_price_limits!A:A &amp; [1]unilever_price_limits!B:B,
         [1]unilever_price_limits!C:C)</f>
        <v>60</v>
      </c>
      <c r="H4917" s="8">
        <f t="shared" si="305"/>
        <v>5.6640000000000006</v>
      </c>
      <c r="I4917" s="6">
        <f t="shared" si="306"/>
        <v>60.000000000000007</v>
      </c>
      <c r="J4917" t="str">
        <f t="shared" si="307"/>
        <v>OK</v>
      </c>
    </row>
    <row r="4918" spans="1:10" x14ac:dyDescent="0.2">
      <c r="A4918">
        <v>14917</v>
      </c>
      <c r="B4918" t="s">
        <v>5</v>
      </c>
      <c r="C4918" t="s">
        <v>11</v>
      </c>
      <c r="D4918" s="8">
        <v>11.75</v>
      </c>
      <c r="E4918">
        <v>10</v>
      </c>
      <c r="F4918" t="str">
        <f t="shared" si="304"/>
        <v>Premium</v>
      </c>
      <c r="G4918" s="3" cm="1">
        <f t="array" ref="G4918">_xlfn.XLOOKUP(C4918 &amp; F4918,
         [1]unilever_price_limits!A:A &amp; [1]unilever_price_limits!B:B,
         [1]unilever_price_limits!C:C)</f>
        <v>50</v>
      </c>
      <c r="H4918" s="8">
        <f t="shared" si="305"/>
        <v>17.625</v>
      </c>
      <c r="I4918" s="6">
        <f t="shared" si="306"/>
        <v>50</v>
      </c>
      <c r="J4918" t="str">
        <f t="shared" si="307"/>
        <v>OK</v>
      </c>
    </row>
    <row r="4919" spans="1:10" x14ac:dyDescent="0.2">
      <c r="A4919">
        <v>14918</v>
      </c>
      <c r="B4919" t="s">
        <v>7</v>
      </c>
      <c r="C4919" t="s">
        <v>9</v>
      </c>
      <c r="D4919" s="8">
        <v>7.55</v>
      </c>
      <c r="E4919">
        <v>4</v>
      </c>
      <c r="F4919" t="str">
        <f t="shared" si="304"/>
        <v>Standard</v>
      </c>
      <c r="G4919" s="3" cm="1">
        <f t="array" ref="G4919">_xlfn.XLOOKUP(C4919 &amp; F4919,
         [1]unilever_price_limits!A:A &amp; [1]unilever_price_limits!B:B,
         [1]unilever_price_limits!C:C)</f>
        <v>30</v>
      </c>
      <c r="H4919" s="8">
        <f t="shared" si="305"/>
        <v>9.8149999999999995</v>
      </c>
      <c r="I4919" s="6">
        <f t="shared" si="306"/>
        <v>30.000000000000004</v>
      </c>
      <c r="J4919" t="str">
        <f t="shared" si="307"/>
        <v>OK</v>
      </c>
    </row>
    <row r="4920" spans="1:10" x14ac:dyDescent="0.2">
      <c r="A4920">
        <v>14919</v>
      </c>
      <c r="B4920" t="s">
        <v>5</v>
      </c>
      <c r="C4920" t="s">
        <v>11</v>
      </c>
      <c r="D4920" s="8">
        <v>3.76</v>
      </c>
      <c r="E4920">
        <v>8</v>
      </c>
      <c r="F4920" t="str">
        <f t="shared" si="304"/>
        <v>Premium</v>
      </c>
      <c r="G4920" s="3" cm="1">
        <f t="array" ref="G4920">_xlfn.XLOOKUP(C4920 &amp; F4920,
         [1]unilever_price_limits!A:A &amp; [1]unilever_price_limits!B:B,
         [1]unilever_price_limits!C:C)</f>
        <v>50</v>
      </c>
      <c r="H4920" s="8">
        <f t="shared" si="305"/>
        <v>5.64</v>
      </c>
      <c r="I4920" s="6">
        <f t="shared" si="306"/>
        <v>50</v>
      </c>
      <c r="J4920" t="str">
        <f t="shared" si="307"/>
        <v>OK</v>
      </c>
    </row>
    <row r="4921" spans="1:10" x14ac:dyDescent="0.2">
      <c r="A4921">
        <v>14920</v>
      </c>
      <c r="B4921" t="s">
        <v>8</v>
      </c>
      <c r="C4921" t="s">
        <v>9</v>
      </c>
      <c r="D4921" s="8">
        <v>3.33</v>
      </c>
      <c r="E4921">
        <v>5</v>
      </c>
      <c r="F4921" t="str">
        <f t="shared" si="304"/>
        <v>Standard</v>
      </c>
      <c r="G4921" s="3" cm="1">
        <f t="array" ref="G4921">_xlfn.XLOOKUP(C4921 &amp; F4921,
         [1]unilever_price_limits!A:A &amp; [1]unilever_price_limits!B:B,
         [1]unilever_price_limits!C:C)</f>
        <v>30</v>
      </c>
      <c r="H4921" s="8">
        <f t="shared" si="305"/>
        <v>4.3290000000000006</v>
      </c>
      <c r="I4921" s="6">
        <f t="shared" si="306"/>
        <v>30.000000000000028</v>
      </c>
      <c r="J4921" t="str">
        <f t="shared" si="307"/>
        <v>OK</v>
      </c>
    </row>
    <row r="4922" spans="1:10" x14ac:dyDescent="0.2">
      <c r="A4922">
        <v>14921</v>
      </c>
      <c r="B4922" t="s">
        <v>8</v>
      </c>
      <c r="C4922" t="s">
        <v>9</v>
      </c>
      <c r="D4922" s="8">
        <v>2.9</v>
      </c>
      <c r="E4922">
        <v>7</v>
      </c>
      <c r="F4922" t="str">
        <f t="shared" si="304"/>
        <v>Standard</v>
      </c>
      <c r="G4922" s="3" cm="1">
        <f t="array" ref="G4922">_xlfn.XLOOKUP(C4922 &amp; F4922,
         [1]unilever_price_limits!A:A &amp; [1]unilever_price_limits!B:B,
         [1]unilever_price_limits!C:C)</f>
        <v>30</v>
      </c>
      <c r="H4922" s="8">
        <f t="shared" si="305"/>
        <v>3.77</v>
      </c>
      <c r="I4922" s="6">
        <f t="shared" si="306"/>
        <v>30.000000000000004</v>
      </c>
      <c r="J4922" t="str">
        <f t="shared" si="307"/>
        <v>OK</v>
      </c>
    </row>
    <row r="4923" spans="1:10" x14ac:dyDescent="0.2">
      <c r="A4923">
        <v>14922</v>
      </c>
      <c r="B4923" t="s">
        <v>5</v>
      </c>
      <c r="C4923" t="s">
        <v>9</v>
      </c>
      <c r="D4923" s="8">
        <v>11.77</v>
      </c>
      <c r="E4923">
        <v>3</v>
      </c>
      <c r="F4923" t="str">
        <f t="shared" si="304"/>
        <v>Value</v>
      </c>
      <c r="G4923" s="3" cm="1">
        <f t="array" ref="G4923">_xlfn.XLOOKUP(C4923 &amp; F4923,
         [1]unilever_price_limits!A:A &amp; [1]unilever_price_limits!B:B,
         [1]unilever_price_limits!C:C)</f>
        <v>15</v>
      </c>
      <c r="H4923" s="8">
        <f t="shared" si="305"/>
        <v>13.535499999999999</v>
      </c>
      <c r="I4923" s="6">
        <f t="shared" si="306"/>
        <v>14.999999999999991</v>
      </c>
      <c r="J4923" t="str">
        <f t="shared" si="307"/>
        <v>OK</v>
      </c>
    </row>
    <row r="4924" spans="1:10" x14ac:dyDescent="0.2">
      <c r="A4924">
        <v>14923</v>
      </c>
      <c r="B4924" t="s">
        <v>7</v>
      </c>
      <c r="C4924" t="s">
        <v>11</v>
      </c>
      <c r="D4924" s="8">
        <v>3.82</v>
      </c>
      <c r="E4924">
        <v>8</v>
      </c>
      <c r="F4924" t="str">
        <f t="shared" si="304"/>
        <v>Premium</v>
      </c>
      <c r="G4924" s="3" cm="1">
        <f t="array" ref="G4924">_xlfn.XLOOKUP(C4924 &amp; F4924,
         [1]unilever_price_limits!A:A &amp; [1]unilever_price_limits!B:B,
         [1]unilever_price_limits!C:C)</f>
        <v>50</v>
      </c>
      <c r="H4924" s="8">
        <f t="shared" si="305"/>
        <v>5.7299999999999995</v>
      </c>
      <c r="I4924" s="6">
        <f t="shared" si="306"/>
        <v>50</v>
      </c>
      <c r="J4924" t="str">
        <f t="shared" si="307"/>
        <v>OK</v>
      </c>
    </row>
    <row r="4925" spans="1:10" x14ac:dyDescent="0.2">
      <c r="A4925">
        <v>14924</v>
      </c>
      <c r="B4925" t="s">
        <v>10</v>
      </c>
      <c r="C4925" t="s">
        <v>11</v>
      </c>
      <c r="D4925" s="8">
        <v>8.14</v>
      </c>
      <c r="E4925">
        <v>8</v>
      </c>
      <c r="F4925" t="str">
        <f t="shared" si="304"/>
        <v>Premium</v>
      </c>
      <c r="G4925" s="3" cm="1">
        <f t="array" ref="G4925">_xlfn.XLOOKUP(C4925 &amp; F4925,
         [1]unilever_price_limits!A:A &amp; [1]unilever_price_limits!B:B,
         [1]unilever_price_limits!C:C)</f>
        <v>50</v>
      </c>
      <c r="H4925" s="8">
        <f t="shared" si="305"/>
        <v>12.21</v>
      </c>
      <c r="I4925" s="6">
        <f t="shared" si="306"/>
        <v>50</v>
      </c>
      <c r="J4925" t="str">
        <f t="shared" si="307"/>
        <v>OK</v>
      </c>
    </row>
    <row r="4926" spans="1:10" x14ac:dyDescent="0.2">
      <c r="A4926">
        <v>14925</v>
      </c>
      <c r="B4926" t="s">
        <v>7</v>
      </c>
      <c r="C4926" t="s">
        <v>9</v>
      </c>
      <c r="D4926" s="8">
        <v>7.05</v>
      </c>
      <c r="E4926">
        <v>3</v>
      </c>
      <c r="F4926" t="str">
        <f t="shared" si="304"/>
        <v>Value</v>
      </c>
      <c r="G4926" s="3" cm="1">
        <f t="array" ref="G4926">_xlfn.XLOOKUP(C4926 &amp; F4926,
         [1]unilever_price_limits!A:A &amp; [1]unilever_price_limits!B:B,
         [1]unilever_price_limits!C:C)</f>
        <v>15</v>
      </c>
      <c r="H4926" s="8">
        <f t="shared" si="305"/>
        <v>8.1074999999999999</v>
      </c>
      <c r="I4926" s="6">
        <f t="shared" si="306"/>
        <v>14.999999999999991</v>
      </c>
      <c r="J4926" t="str">
        <f t="shared" si="307"/>
        <v>OK</v>
      </c>
    </row>
    <row r="4927" spans="1:10" x14ac:dyDescent="0.2">
      <c r="A4927">
        <v>14926</v>
      </c>
      <c r="B4927" t="s">
        <v>10</v>
      </c>
      <c r="C4927" t="s">
        <v>6</v>
      </c>
      <c r="D4927" s="8">
        <v>8.9</v>
      </c>
      <c r="E4927">
        <v>9</v>
      </c>
      <c r="F4927" t="str">
        <f t="shared" si="304"/>
        <v>Premium</v>
      </c>
      <c r="G4927" s="3" cm="1">
        <f t="array" ref="G4927">_xlfn.XLOOKUP(C4927 &amp; F4927,
         [1]unilever_price_limits!A:A &amp; [1]unilever_price_limits!B:B,
         [1]unilever_price_limits!C:C)</f>
        <v>55</v>
      </c>
      <c r="H4927" s="8">
        <f t="shared" si="305"/>
        <v>13.795000000000002</v>
      </c>
      <c r="I4927" s="6">
        <f t="shared" si="306"/>
        <v>55.000000000000007</v>
      </c>
      <c r="J4927" t="str">
        <f t="shared" si="307"/>
        <v>OK</v>
      </c>
    </row>
    <row r="4928" spans="1:10" x14ac:dyDescent="0.2">
      <c r="A4928">
        <v>14927</v>
      </c>
      <c r="B4928" t="s">
        <v>8</v>
      </c>
      <c r="C4928" t="s">
        <v>11</v>
      </c>
      <c r="D4928" s="8">
        <v>13.22</v>
      </c>
      <c r="E4928">
        <v>8</v>
      </c>
      <c r="F4928" t="str">
        <f t="shared" si="304"/>
        <v>Premium</v>
      </c>
      <c r="G4928" s="3" cm="1">
        <f t="array" ref="G4928">_xlfn.XLOOKUP(C4928 &amp; F4928,
         [1]unilever_price_limits!A:A &amp; [1]unilever_price_limits!B:B,
         [1]unilever_price_limits!C:C)</f>
        <v>50</v>
      </c>
      <c r="H4928" s="8">
        <f t="shared" si="305"/>
        <v>19.830000000000002</v>
      </c>
      <c r="I4928" s="6">
        <f t="shared" si="306"/>
        <v>50</v>
      </c>
      <c r="J4928" t="str">
        <f t="shared" si="307"/>
        <v>OK</v>
      </c>
    </row>
    <row r="4929" spans="1:10" x14ac:dyDescent="0.2">
      <c r="A4929">
        <v>14928</v>
      </c>
      <c r="B4929" t="s">
        <v>7</v>
      </c>
      <c r="C4929" t="s">
        <v>11</v>
      </c>
      <c r="D4929" s="8">
        <v>13.08</v>
      </c>
      <c r="E4929">
        <v>1</v>
      </c>
      <c r="F4929" t="str">
        <f t="shared" si="304"/>
        <v>Value</v>
      </c>
      <c r="G4929" s="3" cm="1">
        <f t="array" ref="G4929">_xlfn.XLOOKUP(C4929 &amp; F4929,
         [1]unilever_price_limits!A:A &amp; [1]unilever_price_limits!B:B,
         [1]unilever_price_limits!C:C)</f>
        <v>10</v>
      </c>
      <c r="H4929" s="8">
        <f t="shared" si="305"/>
        <v>14.388000000000002</v>
      </c>
      <c r="I4929" s="6">
        <f t="shared" si="306"/>
        <v>10.000000000000009</v>
      </c>
      <c r="J4929" t="str">
        <f t="shared" si="307"/>
        <v>OK</v>
      </c>
    </row>
    <row r="4930" spans="1:10" x14ac:dyDescent="0.2">
      <c r="A4930">
        <v>14929</v>
      </c>
      <c r="B4930" t="s">
        <v>10</v>
      </c>
      <c r="C4930" t="s">
        <v>9</v>
      </c>
      <c r="D4930" s="8">
        <v>7.04</v>
      </c>
      <c r="E4930">
        <v>8</v>
      </c>
      <c r="F4930" t="str">
        <f t="shared" si="304"/>
        <v>Premium</v>
      </c>
      <c r="G4930" s="3" cm="1">
        <f t="array" ref="G4930">_xlfn.XLOOKUP(C4930 &amp; F4930,
         [1]unilever_price_limits!A:A &amp; [1]unilever_price_limits!B:B,
         [1]unilever_price_limits!C:C)</f>
        <v>60</v>
      </c>
      <c r="H4930" s="8">
        <f t="shared" si="305"/>
        <v>11.264000000000001</v>
      </c>
      <c r="I4930" s="6">
        <f t="shared" si="306"/>
        <v>60.000000000000007</v>
      </c>
      <c r="J4930" t="str">
        <f t="shared" si="307"/>
        <v>OK</v>
      </c>
    </row>
    <row r="4931" spans="1:10" x14ac:dyDescent="0.2">
      <c r="A4931">
        <v>14930</v>
      </c>
      <c r="B4931" t="s">
        <v>5</v>
      </c>
      <c r="C4931" t="s">
        <v>6</v>
      </c>
      <c r="D4931" s="8">
        <v>0.72</v>
      </c>
      <c r="E4931">
        <v>4</v>
      </c>
      <c r="F4931" t="str">
        <f t="shared" ref="F4931:F4994" si="308">IF(E4931&lt;=3,"Value",
 IF(E4931&lt;=7,"Standard","Premium"))</f>
        <v>Standard</v>
      </c>
      <c r="G4931" s="3" cm="1">
        <f t="array" ref="G4931">_xlfn.XLOOKUP(C4931 &amp; F4931,
         [1]unilever_price_limits!A:A &amp; [1]unilever_price_limits!B:B,
         [1]unilever_price_limits!C:C)</f>
        <v>28</v>
      </c>
      <c r="H4931" s="8">
        <f t="shared" ref="H4931:H4994" si="309">D4931 * (1 + G4931/100)</f>
        <v>0.92159999999999997</v>
      </c>
      <c r="I4931" s="6">
        <f t="shared" ref="I4931:I4994" si="310">(H4931 / D4931 - 1) * 100</f>
        <v>28.000000000000004</v>
      </c>
      <c r="J4931" t="str">
        <f t="shared" ref="J4931:J4994" si="311">IF(I4930&gt; G4930, "⚠ Exceeds Limit", "OK")</f>
        <v>OK</v>
      </c>
    </row>
    <row r="4932" spans="1:10" x14ac:dyDescent="0.2">
      <c r="A4932">
        <v>14931</v>
      </c>
      <c r="B4932" t="s">
        <v>8</v>
      </c>
      <c r="C4932" t="s">
        <v>9</v>
      </c>
      <c r="D4932" s="8">
        <v>6.68</v>
      </c>
      <c r="E4932">
        <v>6</v>
      </c>
      <c r="F4932" t="str">
        <f t="shared" si="308"/>
        <v>Standard</v>
      </c>
      <c r="G4932" s="3" cm="1">
        <f t="array" ref="G4932">_xlfn.XLOOKUP(C4932 &amp; F4932,
         [1]unilever_price_limits!A:A &amp; [1]unilever_price_limits!B:B,
         [1]unilever_price_limits!C:C)</f>
        <v>30</v>
      </c>
      <c r="H4932" s="8">
        <f t="shared" si="309"/>
        <v>8.6839999999999993</v>
      </c>
      <c r="I4932" s="6">
        <f t="shared" si="310"/>
        <v>30.000000000000004</v>
      </c>
      <c r="J4932" t="str">
        <f t="shared" si="311"/>
        <v>OK</v>
      </c>
    </row>
    <row r="4933" spans="1:10" x14ac:dyDescent="0.2">
      <c r="A4933">
        <v>14932</v>
      </c>
      <c r="B4933" t="s">
        <v>5</v>
      </c>
      <c r="C4933" t="s">
        <v>11</v>
      </c>
      <c r="D4933" s="8">
        <v>9.2899999999999991</v>
      </c>
      <c r="E4933">
        <v>10</v>
      </c>
      <c r="F4933" t="str">
        <f t="shared" si="308"/>
        <v>Premium</v>
      </c>
      <c r="G4933" s="3" cm="1">
        <f t="array" ref="G4933">_xlfn.XLOOKUP(C4933 &amp; F4933,
         [1]unilever_price_limits!A:A &amp; [1]unilever_price_limits!B:B,
         [1]unilever_price_limits!C:C)</f>
        <v>50</v>
      </c>
      <c r="H4933" s="8">
        <f t="shared" si="309"/>
        <v>13.934999999999999</v>
      </c>
      <c r="I4933" s="6">
        <f t="shared" si="310"/>
        <v>50</v>
      </c>
      <c r="J4933" t="str">
        <f t="shared" si="311"/>
        <v>OK</v>
      </c>
    </row>
    <row r="4934" spans="1:10" x14ac:dyDescent="0.2">
      <c r="A4934">
        <v>14933</v>
      </c>
      <c r="B4934" t="s">
        <v>8</v>
      </c>
      <c r="C4934" t="s">
        <v>11</v>
      </c>
      <c r="D4934" s="8">
        <v>8.59</v>
      </c>
      <c r="E4934">
        <v>9</v>
      </c>
      <c r="F4934" t="str">
        <f t="shared" si="308"/>
        <v>Premium</v>
      </c>
      <c r="G4934" s="3" cm="1">
        <f t="array" ref="G4934">_xlfn.XLOOKUP(C4934 &amp; F4934,
         [1]unilever_price_limits!A:A &amp; [1]unilever_price_limits!B:B,
         [1]unilever_price_limits!C:C)</f>
        <v>50</v>
      </c>
      <c r="H4934" s="8">
        <f t="shared" si="309"/>
        <v>12.885</v>
      </c>
      <c r="I4934" s="6">
        <f t="shared" si="310"/>
        <v>50</v>
      </c>
      <c r="J4934" t="str">
        <f t="shared" si="311"/>
        <v>OK</v>
      </c>
    </row>
    <row r="4935" spans="1:10" x14ac:dyDescent="0.2">
      <c r="A4935">
        <v>14934</v>
      </c>
      <c r="B4935" t="s">
        <v>7</v>
      </c>
      <c r="C4935" t="s">
        <v>9</v>
      </c>
      <c r="D4935" s="8">
        <v>9.94</v>
      </c>
      <c r="E4935">
        <v>5</v>
      </c>
      <c r="F4935" t="str">
        <f t="shared" si="308"/>
        <v>Standard</v>
      </c>
      <c r="G4935" s="3" cm="1">
        <f t="array" ref="G4935">_xlfn.XLOOKUP(C4935 &amp; F4935,
         [1]unilever_price_limits!A:A &amp; [1]unilever_price_limits!B:B,
         [1]unilever_price_limits!C:C)</f>
        <v>30</v>
      </c>
      <c r="H4935" s="8">
        <f t="shared" si="309"/>
        <v>12.922000000000001</v>
      </c>
      <c r="I4935" s="6">
        <f t="shared" si="310"/>
        <v>30.000000000000004</v>
      </c>
      <c r="J4935" t="str">
        <f t="shared" si="311"/>
        <v>OK</v>
      </c>
    </row>
    <row r="4936" spans="1:10" x14ac:dyDescent="0.2">
      <c r="A4936">
        <v>14935</v>
      </c>
      <c r="B4936" t="s">
        <v>7</v>
      </c>
      <c r="C4936" t="s">
        <v>9</v>
      </c>
      <c r="D4936" s="8">
        <v>2.73</v>
      </c>
      <c r="E4936">
        <v>7</v>
      </c>
      <c r="F4936" t="str">
        <f t="shared" si="308"/>
        <v>Standard</v>
      </c>
      <c r="G4936" s="3" cm="1">
        <f t="array" ref="G4936">_xlfn.XLOOKUP(C4936 &amp; F4936,
         [1]unilever_price_limits!A:A &amp; [1]unilever_price_limits!B:B,
         [1]unilever_price_limits!C:C)</f>
        <v>30</v>
      </c>
      <c r="H4936" s="8">
        <f t="shared" si="309"/>
        <v>3.5489999999999999</v>
      </c>
      <c r="I4936" s="6">
        <f t="shared" si="310"/>
        <v>30.000000000000004</v>
      </c>
      <c r="J4936" t="str">
        <f t="shared" si="311"/>
        <v>OK</v>
      </c>
    </row>
    <row r="4937" spans="1:10" x14ac:dyDescent="0.2">
      <c r="A4937">
        <v>14936</v>
      </c>
      <c r="B4937" t="s">
        <v>8</v>
      </c>
      <c r="C4937" t="s">
        <v>6</v>
      </c>
      <c r="D4937" s="8">
        <v>9.8699999999999992</v>
      </c>
      <c r="E4937">
        <v>1</v>
      </c>
      <c r="F4937" t="str">
        <f t="shared" si="308"/>
        <v>Value</v>
      </c>
      <c r="G4937" s="3" cm="1">
        <f t="array" ref="G4937">_xlfn.XLOOKUP(C4937 &amp; F4937,
         [1]unilever_price_limits!A:A &amp; [1]unilever_price_limits!B:B,
         [1]unilever_price_limits!C:C)</f>
        <v>12</v>
      </c>
      <c r="H4937" s="8">
        <f t="shared" si="309"/>
        <v>11.054399999999999</v>
      </c>
      <c r="I4937" s="6">
        <f t="shared" si="310"/>
        <v>12.000000000000011</v>
      </c>
      <c r="J4937" t="str">
        <f t="shared" si="311"/>
        <v>OK</v>
      </c>
    </row>
    <row r="4938" spans="1:10" x14ac:dyDescent="0.2">
      <c r="A4938">
        <v>14937</v>
      </c>
      <c r="B4938" t="s">
        <v>8</v>
      </c>
      <c r="C4938" t="s">
        <v>6</v>
      </c>
      <c r="D4938" s="8">
        <v>3.15</v>
      </c>
      <c r="E4938">
        <v>9</v>
      </c>
      <c r="F4938" t="str">
        <f t="shared" si="308"/>
        <v>Premium</v>
      </c>
      <c r="G4938" s="3" cm="1">
        <f t="array" ref="G4938">_xlfn.XLOOKUP(C4938 &amp; F4938,
         [1]unilever_price_limits!A:A &amp; [1]unilever_price_limits!B:B,
         [1]unilever_price_limits!C:C)</f>
        <v>55</v>
      </c>
      <c r="H4938" s="8">
        <f t="shared" si="309"/>
        <v>4.8825000000000003</v>
      </c>
      <c r="I4938" s="6">
        <f t="shared" si="310"/>
        <v>55.000000000000007</v>
      </c>
      <c r="J4938" t="str">
        <f t="shared" si="311"/>
        <v>OK</v>
      </c>
    </row>
    <row r="4939" spans="1:10" x14ac:dyDescent="0.2">
      <c r="A4939">
        <v>14938</v>
      </c>
      <c r="B4939" t="s">
        <v>8</v>
      </c>
      <c r="C4939" t="s">
        <v>11</v>
      </c>
      <c r="D4939" s="8">
        <v>11.38</v>
      </c>
      <c r="E4939">
        <v>6</v>
      </c>
      <c r="F4939" t="str">
        <f t="shared" si="308"/>
        <v>Standard</v>
      </c>
      <c r="G4939" s="3" cm="1">
        <f t="array" ref="G4939">_xlfn.XLOOKUP(C4939 &amp; F4939,
         [1]unilever_price_limits!A:A &amp; [1]unilever_price_limits!B:B,
         [1]unilever_price_limits!C:C)</f>
        <v>25</v>
      </c>
      <c r="H4939" s="8">
        <f t="shared" si="309"/>
        <v>14.225000000000001</v>
      </c>
      <c r="I4939" s="6">
        <f t="shared" si="310"/>
        <v>25</v>
      </c>
      <c r="J4939" t="str">
        <f t="shared" si="311"/>
        <v>OK</v>
      </c>
    </row>
    <row r="4940" spans="1:10" x14ac:dyDescent="0.2">
      <c r="A4940">
        <v>14939</v>
      </c>
      <c r="B4940" t="s">
        <v>7</v>
      </c>
      <c r="C4940" t="s">
        <v>6</v>
      </c>
      <c r="D4940" s="8">
        <v>5.42</v>
      </c>
      <c r="E4940">
        <v>4</v>
      </c>
      <c r="F4940" t="str">
        <f t="shared" si="308"/>
        <v>Standard</v>
      </c>
      <c r="G4940" s="3" cm="1">
        <f t="array" ref="G4940">_xlfn.XLOOKUP(C4940 &amp; F4940,
         [1]unilever_price_limits!A:A &amp; [1]unilever_price_limits!B:B,
         [1]unilever_price_limits!C:C)</f>
        <v>28</v>
      </c>
      <c r="H4940" s="8">
        <f t="shared" si="309"/>
        <v>6.9375999999999998</v>
      </c>
      <c r="I4940" s="6">
        <f t="shared" si="310"/>
        <v>28.000000000000004</v>
      </c>
      <c r="J4940" t="str">
        <f t="shared" si="311"/>
        <v>OK</v>
      </c>
    </row>
    <row r="4941" spans="1:10" x14ac:dyDescent="0.2">
      <c r="A4941">
        <v>14940</v>
      </c>
      <c r="B4941" t="s">
        <v>10</v>
      </c>
      <c r="C4941" t="s">
        <v>6</v>
      </c>
      <c r="D4941" s="8">
        <v>10.79</v>
      </c>
      <c r="E4941">
        <v>6</v>
      </c>
      <c r="F4941" t="str">
        <f t="shared" si="308"/>
        <v>Standard</v>
      </c>
      <c r="G4941" s="3" cm="1">
        <f t="array" ref="G4941">_xlfn.XLOOKUP(C4941 &amp; F4941,
         [1]unilever_price_limits!A:A &amp; [1]unilever_price_limits!B:B,
         [1]unilever_price_limits!C:C)</f>
        <v>28</v>
      </c>
      <c r="H4941" s="8">
        <f t="shared" si="309"/>
        <v>13.811199999999999</v>
      </c>
      <c r="I4941" s="6">
        <f t="shared" si="310"/>
        <v>28.000000000000004</v>
      </c>
      <c r="J4941" t="str">
        <f t="shared" si="311"/>
        <v>OK</v>
      </c>
    </row>
    <row r="4942" spans="1:10" x14ac:dyDescent="0.2">
      <c r="A4942">
        <v>14941</v>
      </c>
      <c r="B4942" t="s">
        <v>5</v>
      </c>
      <c r="C4942" t="s">
        <v>11</v>
      </c>
      <c r="D4942" s="8">
        <v>1.19</v>
      </c>
      <c r="E4942">
        <v>5</v>
      </c>
      <c r="F4942" t="str">
        <f t="shared" si="308"/>
        <v>Standard</v>
      </c>
      <c r="G4942" s="3" cm="1">
        <f t="array" ref="G4942">_xlfn.XLOOKUP(C4942 &amp; F4942,
         [1]unilever_price_limits!A:A &amp; [1]unilever_price_limits!B:B,
         [1]unilever_price_limits!C:C)</f>
        <v>25</v>
      </c>
      <c r="H4942" s="8">
        <f t="shared" si="309"/>
        <v>1.4874999999999998</v>
      </c>
      <c r="I4942" s="6">
        <f t="shared" si="310"/>
        <v>25</v>
      </c>
      <c r="J4942" t="str">
        <f t="shared" si="311"/>
        <v>OK</v>
      </c>
    </row>
    <row r="4943" spans="1:10" x14ac:dyDescent="0.2">
      <c r="A4943">
        <v>14942</v>
      </c>
      <c r="B4943" t="s">
        <v>5</v>
      </c>
      <c r="C4943" t="s">
        <v>11</v>
      </c>
      <c r="D4943" s="8">
        <v>6.41</v>
      </c>
      <c r="E4943">
        <v>3</v>
      </c>
      <c r="F4943" t="str">
        <f t="shared" si="308"/>
        <v>Value</v>
      </c>
      <c r="G4943" s="3" cm="1">
        <f t="array" ref="G4943">_xlfn.XLOOKUP(C4943 &amp; F4943,
         [1]unilever_price_limits!A:A &amp; [1]unilever_price_limits!B:B,
         [1]unilever_price_limits!C:C)</f>
        <v>10</v>
      </c>
      <c r="H4943" s="8">
        <f t="shared" si="309"/>
        <v>7.051000000000001</v>
      </c>
      <c r="I4943" s="6">
        <f t="shared" si="310"/>
        <v>10.000000000000009</v>
      </c>
      <c r="J4943" t="str">
        <f t="shared" si="311"/>
        <v>OK</v>
      </c>
    </row>
    <row r="4944" spans="1:10" x14ac:dyDescent="0.2">
      <c r="A4944">
        <v>14943</v>
      </c>
      <c r="B4944" t="s">
        <v>7</v>
      </c>
      <c r="C4944" t="s">
        <v>11</v>
      </c>
      <c r="D4944" s="8">
        <v>10.72</v>
      </c>
      <c r="E4944">
        <v>7</v>
      </c>
      <c r="F4944" t="str">
        <f t="shared" si="308"/>
        <v>Standard</v>
      </c>
      <c r="G4944" s="3" cm="1">
        <f t="array" ref="G4944">_xlfn.XLOOKUP(C4944 &amp; F4944,
         [1]unilever_price_limits!A:A &amp; [1]unilever_price_limits!B:B,
         [1]unilever_price_limits!C:C)</f>
        <v>25</v>
      </c>
      <c r="H4944" s="8">
        <f t="shared" si="309"/>
        <v>13.4</v>
      </c>
      <c r="I4944" s="6">
        <f t="shared" si="310"/>
        <v>25</v>
      </c>
      <c r="J4944" t="str">
        <f t="shared" si="311"/>
        <v>OK</v>
      </c>
    </row>
    <row r="4945" spans="1:10" x14ac:dyDescent="0.2">
      <c r="A4945">
        <v>14944</v>
      </c>
      <c r="B4945" t="s">
        <v>5</v>
      </c>
      <c r="C4945" t="s">
        <v>11</v>
      </c>
      <c r="D4945" s="8">
        <v>3.79</v>
      </c>
      <c r="E4945">
        <v>3</v>
      </c>
      <c r="F4945" t="str">
        <f t="shared" si="308"/>
        <v>Value</v>
      </c>
      <c r="G4945" s="3" cm="1">
        <f t="array" ref="G4945">_xlfn.XLOOKUP(C4945 &amp; F4945,
         [1]unilever_price_limits!A:A &amp; [1]unilever_price_limits!B:B,
         [1]unilever_price_limits!C:C)</f>
        <v>10</v>
      </c>
      <c r="H4945" s="8">
        <f t="shared" si="309"/>
        <v>4.1690000000000005</v>
      </c>
      <c r="I4945" s="6">
        <f t="shared" si="310"/>
        <v>10.000000000000009</v>
      </c>
      <c r="J4945" t="str">
        <f t="shared" si="311"/>
        <v>OK</v>
      </c>
    </row>
    <row r="4946" spans="1:10" x14ac:dyDescent="0.2">
      <c r="A4946">
        <v>14945</v>
      </c>
      <c r="B4946" t="s">
        <v>8</v>
      </c>
      <c r="C4946" t="s">
        <v>9</v>
      </c>
      <c r="D4946" s="8">
        <v>12.03</v>
      </c>
      <c r="E4946">
        <v>2</v>
      </c>
      <c r="F4946" t="str">
        <f t="shared" si="308"/>
        <v>Value</v>
      </c>
      <c r="G4946" s="3" cm="1">
        <f t="array" ref="G4946">_xlfn.XLOOKUP(C4946 &amp; F4946,
         [1]unilever_price_limits!A:A &amp; [1]unilever_price_limits!B:B,
         [1]unilever_price_limits!C:C)</f>
        <v>15</v>
      </c>
      <c r="H4946" s="8">
        <f t="shared" si="309"/>
        <v>13.834499999999998</v>
      </c>
      <c r="I4946" s="6">
        <f t="shared" si="310"/>
        <v>14.999999999999991</v>
      </c>
      <c r="J4946" t="str">
        <f t="shared" si="311"/>
        <v>OK</v>
      </c>
    </row>
    <row r="4947" spans="1:10" x14ac:dyDescent="0.2">
      <c r="A4947">
        <v>14946</v>
      </c>
      <c r="B4947" t="s">
        <v>10</v>
      </c>
      <c r="C4947" t="s">
        <v>11</v>
      </c>
      <c r="D4947" s="8">
        <v>9.65</v>
      </c>
      <c r="E4947">
        <v>4</v>
      </c>
      <c r="F4947" t="str">
        <f t="shared" si="308"/>
        <v>Standard</v>
      </c>
      <c r="G4947" s="3" cm="1">
        <f t="array" ref="G4947">_xlfn.XLOOKUP(C4947 &amp; F4947,
         [1]unilever_price_limits!A:A &amp; [1]unilever_price_limits!B:B,
         [1]unilever_price_limits!C:C)</f>
        <v>25</v>
      </c>
      <c r="H4947" s="8">
        <f t="shared" si="309"/>
        <v>12.0625</v>
      </c>
      <c r="I4947" s="6">
        <f t="shared" si="310"/>
        <v>25</v>
      </c>
      <c r="J4947" t="str">
        <f t="shared" si="311"/>
        <v>OK</v>
      </c>
    </row>
    <row r="4948" spans="1:10" x14ac:dyDescent="0.2">
      <c r="A4948">
        <v>14947</v>
      </c>
      <c r="B4948" t="s">
        <v>5</v>
      </c>
      <c r="C4948" t="s">
        <v>11</v>
      </c>
      <c r="D4948" s="8">
        <v>9.02</v>
      </c>
      <c r="E4948">
        <v>7</v>
      </c>
      <c r="F4948" t="str">
        <f t="shared" si="308"/>
        <v>Standard</v>
      </c>
      <c r="G4948" s="3" cm="1">
        <f t="array" ref="G4948">_xlfn.XLOOKUP(C4948 &amp; F4948,
         [1]unilever_price_limits!A:A &amp; [1]unilever_price_limits!B:B,
         [1]unilever_price_limits!C:C)</f>
        <v>25</v>
      </c>
      <c r="H4948" s="8">
        <f t="shared" si="309"/>
        <v>11.274999999999999</v>
      </c>
      <c r="I4948" s="6">
        <f t="shared" si="310"/>
        <v>25</v>
      </c>
      <c r="J4948" t="str">
        <f t="shared" si="311"/>
        <v>OK</v>
      </c>
    </row>
    <row r="4949" spans="1:10" x14ac:dyDescent="0.2">
      <c r="A4949">
        <v>14948</v>
      </c>
      <c r="B4949" t="s">
        <v>10</v>
      </c>
      <c r="C4949" t="s">
        <v>11</v>
      </c>
      <c r="D4949" s="8">
        <v>5.63</v>
      </c>
      <c r="E4949">
        <v>5</v>
      </c>
      <c r="F4949" t="str">
        <f t="shared" si="308"/>
        <v>Standard</v>
      </c>
      <c r="G4949" s="3" cm="1">
        <f t="array" ref="G4949">_xlfn.XLOOKUP(C4949 &amp; F4949,
         [1]unilever_price_limits!A:A &amp; [1]unilever_price_limits!B:B,
         [1]unilever_price_limits!C:C)</f>
        <v>25</v>
      </c>
      <c r="H4949" s="8">
        <f t="shared" si="309"/>
        <v>7.0374999999999996</v>
      </c>
      <c r="I4949" s="6">
        <f t="shared" si="310"/>
        <v>25</v>
      </c>
      <c r="J4949" t="str">
        <f t="shared" si="311"/>
        <v>OK</v>
      </c>
    </row>
    <row r="4950" spans="1:10" x14ac:dyDescent="0.2">
      <c r="A4950">
        <v>14949</v>
      </c>
      <c r="B4950" t="s">
        <v>8</v>
      </c>
      <c r="C4950" t="s">
        <v>6</v>
      </c>
      <c r="D4950" s="8">
        <v>7.5</v>
      </c>
      <c r="E4950">
        <v>9</v>
      </c>
      <c r="F4950" t="str">
        <f t="shared" si="308"/>
        <v>Premium</v>
      </c>
      <c r="G4950" s="3" cm="1">
        <f t="array" ref="G4950">_xlfn.XLOOKUP(C4950 &amp; F4950,
         [1]unilever_price_limits!A:A &amp; [1]unilever_price_limits!B:B,
         [1]unilever_price_limits!C:C)</f>
        <v>55</v>
      </c>
      <c r="H4950" s="8">
        <f t="shared" si="309"/>
        <v>11.625</v>
      </c>
      <c r="I4950" s="6">
        <f t="shared" si="310"/>
        <v>55.000000000000007</v>
      </c>
      <c r="J4950" t="str">
        <f t="shared" si="311"/>
        <v>OK</v>
      </c>
    </row>
    <row r="4951" spans="1:10" x14ac:dyDescent="0.2">
      <c r="A4951">
        <v>14950</v>
      </c>
      <c r="B4951" t="s">
        <v>5</v>
      </c>
      <c r="C4951" t="s">
        <v>11</v>
      </c>
      <c r="D4951" s="8">
        <v>9.16</v>
      </c>
      <c r="E4951">
        <v>10</v>
      </c>
      <c r="F4951" t="str">
        <f t="shared" si="308"/>
        <v>Premium</v>
      </c>
      <c r="G4951" s="3" cm="1">
        <f t="array" ref="G4951">_xlfn.XLOOKUP(C4951 &amp; F4951,
         [1]unilever_price_limits!A:A &amp; [1]unilever_price_limits!B:B,
         [1]unilever_price_limits!C:C)</f>
        <v>50</v>
      </c>
      <c r="H4951" s="8">
        <f t="shared" si="309"/>
        <v>13.74</v>
      </c>
      <c r="I4951" s="6">
        <f t="shared" si="310"/>
        <v>50</v>
      </c>
      <c r="J4951" t="str">
        <f t="shared" si="311"/>
        <v>OK</v>
      </c>
    </row>
    <row r="4952" spans="1:10" x14ac:dyDescent="0.2">
      <c r="A4952">
        <v>14951</v>
      </c>
      <c r="B4952" t="s">
        <v>7</v>
      </c>
      <c r="C4952" t="s">
        <v>9</v>
      </c>
      <c r="D4952" s="8">
        <v>7.35</v>
      </c>
      <c r="E4952">
        <v>7</v>
      </c>
      <c r="F4952" t="str">
        <f t="shared" si="308"/>
        <v>Standard</v>
      </c>
      <c r="G4952" s="3" cm="1">
        <f t="array" ref="G4952">_xlfn.XLOOKUP(C4952 &amp; F4952,
         [1]unilever_price_limits!A:A &amp; [1]unilever_price_limits!B:B,
         [1]unilever_price_limits!C:C)</f>
        <v>30</v>
      </c>
      <c r="H4952" s="8">
        <f t="shared" si="309"/>
        <v>9.5549999999999997</v>
      </c>
      <c r="I4952" s="6">
        <f t="shared" si="310"/>
        <v>30.000000000000004</v>
      </c>
      <c r="J4952" t="str">
        <f t="shared" si="311"/>
        <v>OK</v>
      </c>
    </row>
    <row r="4953" spans="1:10" x14ac:dyDescent="0.2">
      <c r="A4953">
        <v>14952</v>
      </c>
      <c r="B4953" t="s">
        <v>10</v>
      </c>
      <c r="C4953" t="s">
        <v>9</v>
      </c>
      <c r="D4953" s="8">
        <v>10.63</v>
      </c>
      <c r="E4953">
        <v>9</v>
      </c>
      <c r="F4953" t="str">
        <f t="shared" si="308"/>
        <v>Premium</v>
      </c>
      <c r="G4953" s="3" cm="1">
        <f t="array" ref="G4953">_xlfn.XLOOKUP(C4953 &amp; F4953,
         [1]unilever_price_limits!A:A &amp; [1]unilever_price_limits!B:B,
         [1]unilever_price_limits!C:C)</f>
        <v>60</v>
      </c>
      <c r="H4953" s="8">
        <f t="shared" si="309"/>
        <v>17.008000000000003</v>
      </c>
      <c r="I4953" s="6">
        <f t="shared" si="310"/>
        <v>60.000000000000007</v>
      </c>
      <c r="J4953" t="str">
        <f t="shared" si="311"/>
        <v>OK</v>
      </c>
    </row>
    <row r="4954" spans="1:10" x14ac:dyDescent="0.2">
      <c r="A4954">
        <v>14953</v>
      </c>
      <c r="B4954" t="s">
        <v>8</v>
      </c>
      <c r="C4954" t="s">
        <v>11</v>
      </c>
      <c r="D4954" s="8">
        <v>6.79</v>
      </c>
      <c r="E4954">
        <v>9</v>
      </c>
      <c r="F4954" t="str">
        <f t="shared" si="308"/>
        <v>Premium</v>
      </c>
      <c r="G4954" s="3" cm="1">
        <f t="array" ref="G4954">_xlfn.XLOOKUP(C4954 &amp; F4954,
         [1]unilever_price_limits!A:A &amp; [1]unilever_price_limits!B:B,
         [1]unilever_price_limits!C:C)</f>
        <v>50</v>
      </c>
      <c r="H4954" s="8">
        <f t="shared" si="309"/>
        <v>10.185</v>
      </c>
      <c r="I4954" s="6">
        <f t="shared" si="310"/>
        <v>50</v>
      </c>
      <c r="J4954" t="str">
        <f t="shared" si="311"/>
        <v>OK</v>
      </c>
    </row>
    <row r="4955" spans="1:10" x14ac:dyDescent="0.2">
      <c r="A4955">
        <v>14954</v>
      </c>
      <c r="B4955" t="s">
        <v>10</v>
      </c>
      <c r="C4955" t="s">
        <v>9</v>
      </c>
      <c r="D4955" s="8">
        <v>3.43</v>
      </c>
      <c r="E4955">
        <v>2</v>
      </c>
      <c r="F4955" t="str">
        <f t="shared" si="308"/>
        <v>Value</v>
      </c>
      <c r="G4955" s="3" cm="1">
        <f t="array" ref="G4955">_xlfn.XLOOKUP(C4955 &amp; F4955,
         [1]unilever_price_limits!A:A &amp; [1]unilever_price_limits!B:B,
         [1]unilever_price_limits!C:C)</f>
        <v>15</v>
      </c>
      <c r="H4955" s="8">
        <f t="shared" si="309"/>
        <v>3.9444999999999997</v>
      </c>
      <c r="I4955" s="6">
        <f t="shared" si="310"/>
        <v>14.999999999999991</v>
      </c>
      <c r="J4955" t="str">
        <f t="shared" si="311"/>
        <v>OK</v>
      </c>
    </row>
    <row r="4956" spans="1:10" x14ac:dyDescent="0.2">
      <c r="A4956">
        <v>14955</v>
      </c>
      <c r="B4956" t="s">
        <v>5</v>
      </c>
      <c r="C4956" t="s">
        <v>6</v>
      </c>
      <c r="D4956" s="8">
        <v>3.6</v>
      </c>
      <c r="E4956">
        <v>1</v>
      </c>
      <c r="F4956" t="str">
        <f t="shared" si="308"/>
        <v>Value</v>
      </c>
      <c r="G4956" s="3" cm="1">
        <f t="array" ref="G4956">_xlfn.XLOOKUP(C4956 &amp; F4956,
         [1]unilever_price_limits!A:A &amp; [1]unilever_price_limits!B:B,
         [1]unilever_price_limits!C:C)</f>
        <v>12</v>
      </c>
      <c r="H4956" s="8">
        <f t="shared" si="309"/>
        <v>4.0320000000000009</v>
      </c>
      <c r="I4956" s="6">
        <f t="shared" si="310"/>
        <v>12.000000000000032</v>
      </c>
      <c r="J4956" t="str">
        <f t="shared" si="311"/>
        <v>OK</v>
      </c>
    </row>
    <row r="4957" spans="1:10" x14ac:dyDescent="0.2">
      <c r="A4957">
        <v>14956</v>
      </c>
      <c r="B4957" t="s">
        <v>5</v>
      </c>
      <c r="C4957" t="s">
        <v>11</v>
      </c>
      <c r="D4957" s="8">
        <v>0.57999999999999996</v>
      </c>
      <c r="E4957">
        <v>4</v>
      </c>
      <c r="F4957" t="str">
        <f t="shared" si="308"/>
        <v>Standard</v>
      </c>
      <c r="G4957" s="3" cm="1">
        <f t="array" ref="G4957">_xlfn.XLOOKUP(C4957 &amp; F4957,
         [1]unilever_price_limits!A:A &amp; [1]unilever_price_limits!B:B,
         [1]unilever_price_limits!C:C)</f>
        <v>25</v>
      </c>
      <c r="H4957" s="8">
        <f t="shared" si="309"/>
        <v>0.72499999999999998</v>
      </c>
      <c r="I4957" s="6">
        <f t="shared" si="310"/>
        <v>25</v>
      </c>
      <c r="J4957" t="str">
        <f t="shared" si="311"/>
        <v>OK</v>
      </c>
    </row>
    <row r="4958" spans="1:10" x14ac:dyDescent="0.2">
      <c r="A4958">
        <v>14957</v>
      </c>
      <c r="B4958" t="s">
        <v>7</v>
      </c>
      <c r="C4958" t="s">
        <v>9</v>
      </c>
      <c r="D4958" s="8">
        <v>4.8600000000000003</v>
      </c>
      <c r="E4958">
        <v>4</v>
      </c>
      <c r="F4958" t="str">
        <f t="shared" si="308"/>
        <v>Standard</v>
      </c>
      <c r="G4958" s="3" cm="1">
        <f t="array" ref="G4958">_xlfn.XLOOKUP(C4958 &amp; F4958,
         [1]unilever_price_limits!A:A &amp; [1]unilever_price_limits!B:B,
         [1]unilever_price_limits!C:C)</f>
        <v>30</v>
      </c>
      <c r="H4958" s="8">
        <f t="shared" si="309"/>
        <v>6.3180000000000005</v>
      </c>
      <c r="I4958" s="6">
        <f t="shared" si="310"/>
        <v>30.000000000000004</v>
      </c>
      <c r="J4958" t="str">
        <f t="shared" si="311"/>
        <v>OK</v>
      </c>
    </row>
    <row r="4959" spans="1:10" x14ac:dyDescent="0.2">
      <c r="A4959">
        <v>14958</v>
      </c>
      <c r="B4959" t="s">
        <v>8</v>
      </c>
      <c r="C4959" t="s">
        <v>9</v>
      </c>
      <c r="D4959" s="8">
        <v>11.36</v>
      </c>
      <c r="E4959">
        <v>2</v>
      </c>
      <c r="F4959" t="str">
        <f t="shared" si="308"/>
        <v>Value</v>
      </c>
      <c r="G4959" s="3" cm="1">
        <f t="array" ref="G4959">_xlfn.XLOOKUP(C4959 &amp; F4959,
         [1]unilever_price_limits!A:A &amp; [1]unilever_price_limits!B:B,
         [1]unilever_price_limits!C:C)</f>
        <v>15</v>
      </c>
      <c r="H4959" s="8">
        <f t="shared" si="309"/>
        <v>13.063999999999998</v>
      </c>
      <c r="I4959" s="6">
        <f t="shared" si="310"/>
        <v>14.999999999999991</v>
      </c>
      <c r="J4959" t="str">
        <f t="shared" si="311"/>
        <v>OK</v>
      </c>
    </row>
    <row r="4960" spans="1:10" x14ac:dyDescent="0.2">
      <c r="A4960">
        <v>14959</v>
      </c>
      <c r="B4960" t="s">
        <v>8</v>
      </c>
      <c r="C4960" t="s">
        <v>11</v>
      </c>
      <c r="D4960" s="8">
        <v>12.02</v>
      </c>
      <c r="E4960">
        <v>3</v>
      </c>
      <c r="F4960" t="str">
        <f t="shared" si="308"/>
        <v>Value</v>
      </c>
      <c r="G4960" s="3" cm="1">
        <f t="array" ref="G4960">_xlfn.XLOOKUP(C4960 &amp; F4960,
         [1]unilever_price_limits!A:A &amp; [1]unilever_price_limits!B:B,
         [1]unilever_price_limits!C:C)</f>
        <v>10</v>
      </c>
      <c r="H4960" s="8">
        <f t="shared" si="309"/>
        <v>13.222000000000001</v>
      </c>
      <c r="I4960" s="6">
        <f t="shared" si="310"/>
        <v>10.000000000000009</v>
      </c>
      <c r="J4960" t="str">
        <f t="shared" si="311"/>
        <v>OK</v>
      </c>
    </row>
    <row r="4961" spans="1:10" x14ac:dyDescent="0.2">
      <c r="A4961">
        <v>14960</v>
      </c>
      <c r="B4961" t="s">
        <v>7</v>
      </c>
      <c r="C4961" t="s">
        <v>9</v>
      </c>
      <c r="D4961" s="8">
        <v>3.44</v>
      </c>
      <c r="E4961">
        <v>3</v>
      </c>
      <c r="F4961" t="str">
        <f t="shared" si="308"/>
        <v>Value</v>
      </c>
      <c r="G4961" s="3" cm="1">
        <f t="array" ref="G4961">_xlfn.XLOOKUP(C4961 &amp; F4961,
         [1]unilever_price_limits!A:A &amp; [1]unilever_price_limits!B:B,
         [1]unilever_price_limits!C:C)</f>
        <v>15</v>
      </c>
      <c r="H4961" s="8">
        <f t="shared" si="309"/>
        <v>3.9559999999999995</v>
      </c>
      <c r="I4961" s="6">
        <f t="shared" si="310"/>
        <v>14.999999999999991</v>
      </c>
      <c r="J4961" t="str">
        <f t="shared" si="311"/>
        <v>OK</v>
      </c>
    </row>
    <row r="4962" spans="1:10" x14ac:dyDescent="0.2">
      <c r="A4962">
        <v>14961</v>
      </c>
      <c r="B4962" t="s">
        <v>7</v>
      </c>
      <c r="C4962" t="s">
        <v>11</v>
      </c>
      <c r="D4962" s="8">
        <v>14.41</v>
      </c>
      <c r="E4962">
        <v>5</v>
      </c>
      <c r="F4962" t="str">
        <f t="shared" si="308"/>
        <v>Standard</v>
      </c>
      <c r="G4962" s="3" cm="1">
        <f t="array" ref="G4962">_xlfn.XLOOKUP(C4962 &amp; F4962,
         [1]unilever_price_limits!A:A &amp; [1]unilever_price_limits!B:B,
         [1]unilever_price_limits!C:C)</f>
        <v>25</v>
      </c>
      <c r="H4962" s="8">
        <f t="shared" si="309"/>
        <v>18.012499999999999</v>
      </c>
      <c r="I4962" s="6">
        <f t="shared" si="310"/>
        <v>25</v>
      </c>
      <c r="J4962" t="str">
        <f t="shared" si="311"/>
        <v>OK</v>
      </c>
    </row>
    <row r="4963" spans="1:10" x14ac:dyDescent="0.2">
      <c r="A4963">
        <v>14962</v>
      </c>
      <c r="B4963" t="s">
        <v>8</v>
      </c>
      <c r="C4963" t="s">
        <v>9</v>
      </c>
      <c r="D4963" s="8">
        <v>7.78</v>
      </c>
      <c r="E4963">
        <v>1</v>
      </c>
      <c r="F4963" t="str">
        <f t="shared" si="308"/>
        <v>Value</v>
      </c>
      <c r="G4963" s="3" cm="1">
        <f t="array" ref="G4963">_xlfn.XLOOKUP(C4963 &amp; F4963,
         [1]unilever_price_limits!A:A &amp; [1]unilever_price_limits!B:B,
         [1]unilever_price_limits!C:C)</f>
        <v>15</v>
      </c>
      <c r="H4963" s="8">
        <f t="shared" si="309"/>
        <v>8.9469999999999992</v>
      </c>
      <c r="I4963" s="6">
        <f t="shared" si="310"/>
        <v>14.999999999999991</v>
      </c>
      <c r="J4963" t="str">
        <f t="shared" si="311"/>
        <v>OK</v>
      </c>
    </row>
    <row r="4964" spans="1:10" x14ac:dyDescent="0.2">
      <c r="A4964">
        <v>14963</v>
      </c>
      <c r="B4964" t="s">
        <v>10</v>
      </c>
      <c r="C4964" t="s">
        <v>6</v>
      </c>
      <c r="D4964" s="8">
        <v>13.8</v>
      </c>
      <c r="E4964">
        <v>9</v>
      </c>
      <c r="F4964" t="str">
        <f t="shared" si="308"/>
        <v>Premium</v>
      </c>
      <c r="G4964" s="3" cm="1">
        <f t="array" ref="G4964">_xlfn.XLOOKUP(C4964 &amp; F4964,
         [1]unilever_price_limits!A:A &amp; [1]unilever_price_limits!B:B,
         [1]unilever_price_limits!C:C)</f>
        <v>55</v>
      </c>
      <c r="H4964" s="8">
        <f t="shared" si="309"/>
        <v>21.39</v>
      </c>
      <c r="I4964" s="6">
        <f t="shared" si="310"/>
        <v>55.000000000000007</v>
      </c>
      <c r="J4964" t="str">
        <f t="shared" si="311"/>
        <v>OK</v>
      </c>
    </row>
    <row r="4965" spans="1:10" x14ac:dyDescent="0.2">
      <c r="A4965">
        <v>14964</v>
      </c>
      <c r="B4965" t="s">
        <v>10</v>
      </c>
      <c r="C4965" t="s">
        <v>9</v>
      </c>
      <c r="D4965" s="8">
        <v>10.75</v>
      </c>
      <c r="E4965">
        <v>8</v>
      </c>
      <c r="F4965" t="str">
        <f t="shared" si="308"/>
        <v>Premium</v>
      </c>
      <c r="G4965" s="3" cm="1">
        <f t="array" ref="G4965">_xlfn.XLOOKUP(C4965 &amp; F4965,
         [1]unilever_price_limits!A:A &amp; [1]unilever_price_limits!B:B,
         [1]unilever_price_limits!C:C)</f>
        <v>60</v>
      </c>
      <c r="H4965" s="8">
        <f t="shared" si="309"/>
        <v>17.2</v>
      </c>
      <c r="I4965" s="6">
        <f t="shared" si="310"/>
        <v>59.999999999999986</v>
      </c>
      <c r="J4965" t="str">
        <f t="shared" si="311"/>
        <v>OK</v>
      </c>
    </row>
    <row r="4966" spans="1:10" x14ac:dyDescent="0.2">
      <c r="A4966">
        <v>14965</v>
      </c>
      <c r="B4966" t="s">
        <v>7</v>
      </c>
      <c r="C4966" t="s">
        <v>9</v>
      </c>
      <c r="D4966" s="8">
        <v>10.98</v>
      </c>
      <c r="E4966">
        <v>8</v>
      </c>
      <c r="F4966" t="str">
        <f t="shared" si="308"/>
        <v>Premium</v>
      </c>
      <c r="G4966" s="3" cm="1">
        <f t="array" ref="G4966">_xlfn.XLOOKUP(C4966 &amp; F4966,
         [1]unilever_price_limits!A:A &amp; [1]unilever_price_limits!B:B,
         [1]unilever_price_limits!C:C)</f>
        <v>60</v>
      </c>
      <c r="H4966" s="8">
        <f t="shared" si="309"/>
        <v>17.568000000000001</v>
      </c>
      <c r="I4966" s="6">
        <f t="shared" si="310"/>
        <v>60.000000000000007</v>
      </c>
      <c r="J4966" t="str">
        <f t="shared" si="311"/>
        <v>OK</v>
      </c>
    </row>
    <row r="4967" spans="1:10" x14ac:dyDescent="0.2">
      <c r="A4967">
        <v>14966</v>
      </c>
      <c r="B4967" t="s">
        <v>10</v>
      </c>
      <c r="C4967" t="s">
        <v>11</v>
      </c>
      <c r="D4967" s="8">
        <v>1.73</v>
      </c>
      <c r="E4967">
        <v>3</v>
      </c>
      <c r="F4967" t="str">
        <f t="shared" si="308"/>
        <v>Value</v>
      </c>
      <c r="G4967" s="3" cm="1">
        <f t="array" ref="G4967">_xlfn.XLOOKUP(C4967 &amp; F4967,
         [1]unilever_price_limits!A:A &amp; [1]unilever_price_limits!B:B,
         [1]unilever_price_limits!C:C)</f>
        <v>10</v>
      </c>
      <c r="H4967" s="8">
        <f t="shared" si="309"/>
        <v>1.903</v>
      </c>
      <c r="I4967" s="6">
        <f t="shared" si="310"/>
        <v>10.000000000000009</v>
      </c>
      <c r="J4967" t="str">
        <f t="shared" si="311"/>
        <v>OK</v>
      </c>
    </row>
    <row r="4968" spans="1:10" x14ac:dyDescent="0.2">
      <c r="A4968">
        <v>14967</v>
      </c>
      <c r="B4968" t="s">
        <v>8</v>
      </c>
      <c r="C4968" t="s">
        <v>9</v>
      </c>
      <c r="D4968" s="8">
        <v>3.69</v>
      </c>
      <c r="E4968">
        <v>2</v>
      </c>
      <c r="F4968" t="str">
        <f t="shared" si="308"/>
        <v>Value</v>
      </c>
      <c r="G4968" s="3" cm="1">
        <f t="array" ref="G4968">_xlfn.XLOOKUP(C4968 &amp; F4968,
         [1]unilever_price_limits!A:A &amp; [1]unilever_price_limits!B:B,
         [1]unilever_price_limits!C:C)</f>
        <v>15</v>
      </c>
      <c r="H4968" s="8">
        <f t="shared" si="309"/>
        <v>4.2435</v>
      </c>
      <c r="I4968" s="6">
        <f t="shared" si="310"/>
        <v>15.000000000000014</v>
      </c>
      <c r="J4968" t="str">
        <f t="shared" si="311"/>
        <v>OK</v>
      </c>
    </row>
    <row r="4969" spans="1:10" x14ac:dyDescent="0.2">
      <c r="A4969">
        <v>14968</v>
      </c>
      <c r="B4969" t="s">
        <v>5</v>
      </c>
      <c r="C4969" t="s">
        <v>11</v>
      </c>
      <c r="D4969" s="8">
        <v>0.63</v>
      </c>
      <c r="E4969">
        <v>1</v>
      </c>
      <c r="F4969" t="str">
        <f t="shared" si="308"/>
        <v>Value</v>
      </c>
      <c r="G4969" s="3" cm="1">
        <f t="array" ref="G4969">_xlfn.XLOOKUP(C4969 &amp; F4969,
         [1]unilever_price_limits!A:A &amp; [1]unilever_price_limits!B:B,
         [1]unilever_price_limits!C:C)</f>
        <v>10</v>
      </c>
      <c r="H4969" s="8">
        <f t="shared" si="309"/>
        <v>0.69300000000000006</v>
      </c>
      <c r="I4969" s="6">
        <f t="shared" si="310"/>
        <v>10.000000000000009</v>
      </c>
      <c r="J4969" t="str">
        <f t="shared" si="311"/>
        <v>OK</v>
      </c>
    </row>
    <row r="4970" spans="1:10" x14ac:dyDescent="0.2">
      <c r="A4970">
        <v>14969</v>
      </c>
      <c r="B4970" t="s">
        <v>5</v>
      </c>
      <c r="C4970" t="s">
        <v>6</v>
      </c>
      <c r="D4970" s="8">
        <v>10.88</v>
      </c>
      <c r="E4970">
        <v>6</v>
      </c>
      <c r="F4970" t="str">
        <f t="shared" si="308"/>
        <v>Standard</v>
      </c>
      <c r="G4970" s="3" cm="1">
        <f t="array" ref="G4970">_xlfn.XLOOKUP(C4970 &amp; F4970,
         [1]unilever_price_limits!A:A &amp; [1]unilever_price_limits!B:B,
         [1]unilever_price_limits!C:C)</f>
        <v>28</v>
      </c>
      <c r="H4970" s="8">
        <f t="shared" si="309"/>
        <v>13.926400000000001</v>
      </c>
      <c r="I4970" s="6">
        <f t="shared" si="310"/>
        <v>28.000000000000004</v>
      </c>
      <c r="J4970" t="str">
        <f t="shared" si="311"/>
        <v>OK</v>
      </c>
    </row>
    <row r="4971" spans="1:10" x14ac:dyDescent="0.2">
      <c r="A4971">
        <v>14970</v>
      </c>
      <c r="B4971" t="s">
        <v>10</v>
      </c>
      <c r="C4971" t="s">
        <v>11</v>
      </c>
      <c r="D4971" s="8">
        <v>5.49</v>
      </c>
      <c r="E4971">
        <v>10</v>
      </c>
      <c r="F4971" t="str">
        <f t="shared" si="308"/>
        <v>Premium</v>
      </c>
      <c r="G4971" s="3" cm="1">
        <f t="array" ref="G4971">_xlfn.XLOOKUP(C4971 &amp; F4971,
         [1]unilever_price_limits!A:A &amp; [1]unilever_price_limits!B:B,
         [1]unilever_price_limits!C:C)</f>
        <v>50</v>
      </c>
      <c r="H4971" s="8">
        <f t="shared" si="309"/>
        <v>8.2349999999999994</v>
      </c>
      <c r="I4971" s="6">
        <f t="shared" si="310"/>
        <v>49.999999999999979</v>
      </c>
      <c r="J4971" t="str">
        <f t="shared" si="311"/>
        <v>OK</v>
      </c>
    </row>
    <row r="4972" spans="1:10" x14ac:dyDescent="0.2">
      <c r="A4972">
        <v>14971</v>
      </c>
      <c r="B4972" t="s">
        <v>7</v>
      </c>
      <c r="C4972" t="s">
        <v>11</v>
      </c>
      <c r="D4972" s="8">
        <v>11.91</v>
      </c>
      <c r="E4972">
        <v>1</v>
      </c>
      <c r="F4972" t="str">
        <f t="shared" si="308"/>
        <v>Value</v>
      </c>
      <c r="G4972" s="3" cm="1">
        <f t="array" ref="G4972">_xlfn.XLOOKUP(C4972 &amp; F4972,
         [1]unilever_price_limits!A:A &amp; [1]unilever_price_limits!B:B,
         [1]unilever_price_limits!C:C)</f>
        <v>10</v>
      </c>
      <c r="H4972" s="8">
        <f t="shared" si="309"/>
        <v>13.101000000000001</v>
      </c>
      <c r="I4972" s="6">
        <f t="shared" si="310"/>
        <v>10.000000000000009</v>
      </c>
      <c r="J4972" t="str">
        <f t="shared" si="311"/>
        <v>OK</v>
      </c>
    </row>
    <row r="4973" spans="1:10" x14ac:dyDescent="0.2">
      <c r="A4973">
        <v>14972</v>
      </c>
      <c r="B4973" t="s">
        <v>7</v>
      </c>
      <c r="C4973" t="s">
        <v>9</v>
      </c>
      <c r="D4973" s="8">
        <v>5.41</v>
      </c>
      <c r="E4973">
        <v>5</v>
      </c>
      <c r="F4973" t="str">
        <f t="shared" si="308"/>
        <v>Standard</v>
      </c>
      <c r="G4973" s="3" cm="1">
        <f t="array" ref="G4973">_xlfn.XLOOKUP(C4973 &amp; F4973,
         [1]unilever_price_limits!A:A &amp; [1]unilever_price_limits!B:B,
         [1]unilever_price_limits!C:C)</f>
        <v>30</v>
      </c>
      <c r="H4973" s="8">
        <f t="shared" si="309"/>
        <v>7.0330000000000004</v>
      </c>
      <c r="I4973" s="6">
        <f t="shared" si="310"/>
        <v>30.000000000000004</v>
      </c>
      <c r="J4973" t="str">
        <f t="shared" si="311"/>
        <v>OK</v>
      </c>
    </row>
    <row r="4974" spans="1:10" x14ac:dyDescent="0.2">
      <c r="A4974">
        <v>14973</v>
      </c>
      <c r="B4974" t="s">
        <v>7</v>
      </c>
      <c r="C4974" t="s">
        <v>6</v>
      </c>
      <c r="D4974" s="8">
        <v>12.38</v>
      </c>
      <c r="E4974">
        <v>9</v>
      </c>
      <c r="F4974" t="str">
        <f t="shared" si="308"/>
        <v>Premium</v>
      </c>
      <c r="G4974" s="3" cm="1">
        <f t="array" ref="G4974">_xlfn.XLOOKUP(C4974 &amp; F4974,
         [1]unilever_price_limits!A:A &amp; [1]unilever_price_limits!B:B,
         [1]unilever_price_limits!C:C)</f>
        <v>55</v>
      </c>
      <c r="H4974" s="8">
        <f t="shared" si="309"/>
        <v>19.189</v>
      </c>
      <c r="I4974" s="6">
        <f t="shared" si="310"/>
        <v>54.999999999999986</v>
      </c>
      <c r="J4974" t="str">
        <f t="shared" si="311"/>
        <v>OK</v>
      </c>
    </row>
    <row r="4975" spans="1:10" x14ac:dyDescent="0.2">
      <c r="A4975">
        <v>14974</v>
      </c>
      <c r="B4975" t="s">
        <v>7</v>
      </c>
      <c r="C4975" t="s">
        <v>11</v>
      </c>
      <c r="D4975" s="8">
        <v>2.4</v>
      </c>
      <c r="E4975">
        <v>9</v>
      </c>
      <c r="F4975" t="str">
        <f t="shared" si="308"/>
        <v>Premium</v>
      </c>
      <c r="G4975" s="3" cm="1">
        <f t="array" ref="G4975">_xlfn.XLOOKUP(C4975 &amp; F4975,
         [1]unilever_price_limits!A:A &amp; [1]unilever_price_limits!B:B,
         [1]unilever_price_limits!C:C)</f>
        <v>50</v>
      </c>
      <c r="H4975" s="8">
        <f t="shared" si="309"/>
        <v>3.5999999999999996</v>
      </c>
      <c r="I4975" s="6">
        <f t="shared" si="310"/>
        <v>50</v>
      </c>
      <c r="J4975" t="str">
        <f t="shared" si="311"/>
        <v>OK</v>
      </c>
    </row>
    <row r="4976" spans="1:10" x14ac:dyDescent="0.2">
      <c r="A4976">
        <v>14975</v>
      </c>
      <c r="B4976" t="s">
        <v>7</v>
      </c>
      <c r="C4976" t="s">
        <v>9</v>
      </c>
      <c r="D4976" s="8">
        <v>3.01</v>
      </c>
      <c r="E4976">
        <v>4</v>
      </c>
      <c r="F4976" t="str">
        <f t="shared" si="308"/>
        <v>Standard</v>
      </c>
      <c r="G4976" s="3" cm="1">
        <f t="array" ref="G4976">_xlfn.XLOOKUP(C4976 &amp; F4976,
         [1]unilever_price_limits!A:A &amp; [1]unilever_price_limits!B:B,
         [1]unilever_price_limits!C:C)</f>
        <v>30</v>
      </c>
      <c r="H4976" s="8">
        <f t="shared" si="309"/>
        <v>3.9129999999999998</v>
      </c>
      <c r="I4976" s="6">
        <f t="shared" si="310"/>
        <v>30.000000000000004</v>
      </c>
      <c r="J4976" t="str">
        <f t="shared" si="311"/>
        <v>OK</v>
      </c>
    </row>
    <row r="4977" spans="1:10" x14ac:dyDescent="0.2">
      <c r="A4977">
        <v>14976</v>
      </c>
      <c r="B4977" t="s">
        <v>10</v>
      </c>
      <c r="C4977" t="s">
        <v>9</v>
      </c>
      <c r="D4977" s="8">
        <v>5.44</v>
      </c>
      <c r="E4977">
        <v>7</v>
      </c>
      <c r="F4977" t="str">
        <f t="shared" si="308"/>
        <v>Standard</v>
      </c>
      <c r="G4977" s="3" cm="1">
        <f t="array" ref="G4977">_xlfn.XLOOKUP(C4977 &amp; F4977,
         [1]unilever_price_limits!A:A &amp; [1]unilever_price_limits!B:B,
         [1]unilever_price_limits!C:C)</f>
        <v>30</v>
      </c>
      <c r="H4977" s="8">
        <f t="shared" si="309"/>
        <v>7.072000000000001</v>
      </c>
      <c r="I4977" s="6">
        <f t="shared" si="310"/>
        <v>30.000000000000004</v>
      </c>
      <c r="J4977" t="str">
        <f t="shared" si="311"/>
        <v>OK</v>
      </c>
    </row>
    <row r="4978" spans="1:10" x14ac:dyDescent="0.2">
      <c r="A4978">
        <v>14977</v>
      </c>
      <c r="B4978" t="s">
        <v>5</v>
      </c>
      <c r="C4978" t="s">
        <v>11</v>
      </c>
      <c r="D4978" s="8">
        <v>6.42</v>
      </c>
      <c r="E4978">
        <v>7</v>
      </c>
      <c r="F4978" t="str">
        <f t="shared" si="308"/>
        <v>Standard</v>
      </c>
      <c r="G4978" s="3" cm="1">
        <f t="array" ref="G4978">_xlfn.XLOOKUP(C4978 &amp; F4978,
         [1]unilever_price_limits!A:A &amp; [1]unilever_price_limits!B:B,
         [1]unilever_price_limits!C:C)</f>
        <v>25</v>
      </c>
      <c r="H4978" s="8">
        <f t="shared" si="309"/>
        <v>8.0250000000000004</v>
      </c>
      <c r="I4978" s="6">
        <f t="shared" si="310"/>
        <v>25</v>
      </c>
      <c r="J4978" t="str">
        <f t="shared" si="311"/>
        <v>OK</v>
      </c>
    </row>
    <row r="4979" spans="1:10" x14ac:dyDescent="0.2">
      <c r="A4979">
        <v>14978</v>
      </c>
      <c r="B4979" t="s">
        <v>5</v>
      </c>
      <c r="C4979" t="s">
        <v>9</v>
      </c>
      <c r="D4979" s="8">
        <v>5.56</v>
      </c>
      <c r="E4979">
        <v>4</v>
      </c>
      <c r="F4979" t="str">
        <f t="shared" si="308"/>
        <v>Standard</v>
      </c>
      <c r="G4979" s="3" cm="1">
        <f t="array" ref="G4979">_xlfn.XLOOKUP(C4979 &amp; F4979,
         [1]unilever_price_limits!A:A &amp; [1]unilever_price_limits!B:B,
         [1]unilever_price_limits!C:C)</f>
        <v>30</v>
      </c>
      <c r="H4979" s="8">
        <f t="shared" si="309"/>
        <v>7.2279999999999998</v>
      </c>
      <c r="I4979" s="6">
        <f t="shared" si="310"/>
        <v>30.000000000000004</v>
      </c>
      <c r="J4979" t="str">
        <f t="shared" si="311"/>
        <v>OK</v>
      </c>
    </row>
    <row r="4980" spans="1:10" x14ac:dyDescent="0.2">
      <c r="A4980">
        <v>14979</v>
      </c>
      <c r="B4980" t="s">
        <v>10</v>
      </c>
      <c r="C4980" t="s">
        <v>11</v>
      </c>
      <c r="D4980" s="8">
        <v>11.57</v>
      </c>
      <c r="E4980">
        <v>5</v>
      </c>
      <c r="F4980" t="str">
        <f t="shared" si="308"/>
        <v>Standard</v>
      </c>
      <c r="G4980" s="3" cm="1">
        <f t="array" ref="G4980">_xlfn.XLOOKUP(C4980 &amp; F4980,
         [1]unilever_price_limits!A:A &amp; [1]unilever_price_limits!B:B,
         [1]unilever_price_limits!C:C)</f>
        <v>25</v>
      </c>
      <c r="H4980" s="8">
        <f t="shared" si="309"/>
        <v>14.4625</v>
      </c>
      <c r="I4980" s="6">
        <f t="shared" si="310"/>
        <v>25</v>
      </c>
      <c r="J4980" t="str">
        <f t="shared" si="311"/>
        <v>OK</v>
      </c>
    </row>
    <row r="4981" spans="1:10" x14ac:dyDescent="0.2">
      <c r="A4981">
        <v>14980</v>
      </c>
      <c r="B4981" t="s">
        <v>7</v>
      </c>
      <c r="C4981" t="s">
        <v>11</v>
      </c>
      <c r="D4981" s="8">
        <v>1.91</v>
      </c>
      <c r="E4981">
        <v>9</v>
      </c>
      <c r="F4981" t="str">
        <f t="shared" si="308"/>
        <v>Premium</v>
      </c>
      <c r="G4981" s="3" cm="1">
        <f t="array" ref="G4981">_xlfn.XLOOKUP(C4981 &amp; F4981,
         [1]unilever_price_limits!A:A &amp; [1]unilever_price_limits!B:B,
         [1]unilever_price_limits!C:C)</f>
        <v>50</v>
      </c>
      <c r="H4981" s="8">
        <f t="shared" si="309"/>
        <v>2.8649999999999998</v>
      </c>
      <c r="I4981" s="6">
        <f t="shared" si="310"/>
        <v>50</v>
      </c>
      <c r="J4981" t="str">
        <f t="shared" si="311"/>
        <v>OK</v>
      </c>
    </row>
    <row r="4982" spans="1:10" x14ac:dyDescent="0.2">
      <c r="A4982">
        <v>14981</v>
      </c>
      <c r="B4982" t="s">
        <v>10</v>
      </c>
      <c r="C4982" t="s">
        <v>11</v>
      </c>
      <c r="D4982" s="8">
        <v>5.59</v>
      </c>
      <c r="E4982">
        <v>7</v>
      </c>
      <c r="F4982" t="str">
        <f t="shared" si="308"/>
        <v>Standard</v>
      </c>
      <c r="G4982" s="3" cm="1">
        <f t="array" ref="G4982">_xlfn.XLOOKUP(C4982 &amp; F4982,
         [1]unilever_price_limits!A:A &amp; [1]unilever_price_limits!B:B,
         [1]unilever_price_limits!C:C)</f>
        <v>25</v>
      </c>
      <c r="H4982" s="8">
        <f t="shared" si="309"/>
        <v>6.9874999999999998</v>
      </c>
      <c r="I4982" s="6">
        <f t="shared" si="310"/>
        <v>25</v>
      </c>
      <c r="J4982" t="str">
        <f t="shared" si="311"/>
        <v>OK</v>
      </c>
    </row>
    <row r="4983" spans="1:10" x14ac:dyDescent="0.2">
      <c r="A4983">
        <v>14982</v>
      </c>
      <c r="B4983" t="s">
        <v>5</v>
      </c>
      <c r="C4983" t="s">
        <v>6</v>
      </c>
      <c r="D4983" s="8">
        <v>12.64</v>
      </c>
      <c r="E4983">
        <v>7</v>
      </c>
      <c r="F4983" t="str">
        <f t="shared" si="308"/>
        <v>Standard</v>
      </c>
      <c r="G4983" s="3" cm="1">
        <f t="array" ref="G4983">_xlfn.XLOOKUP(C4983 &amp; F4983,
         [1]unilever_price_limits!A:A &amp; [1]unilever_price_limits!B:B,
         [1]unilever_price_limits!C:C)</f>
        <v>28</v>
      </c>
      <c r="H4983" s="8">
        <f t="shared" si="309"/>
        <v>16.179200000000002</v>
      </c>
      <c r="I4983" s="6">
        <f t="shared" si="310"/>
        <v>28.000000000000004</v>
      </c>
      <c r="J4983" t="str">
        <f t="shared" si="311"/>
        <v>OK</v>
      </c>
    </row>
    <row r="4984" spans="1:10" x14ac:dyDescent="0.2">
      <c r="A4984">
        <v>14983</v>
      </c>
      <c r="B4984" t="s">
        <v>8</v>
      </c>
      <c r="C4984" t="s">
        <v>11</v>
      </c>
      <c r="D4984" s="8">
        <v>1.47</v>
      </c>
      <c r="E4984">
        <v>10</v>
      </c>
      <c r="F4984" t="str">
        <f t="shared" si="308"/>
        <v>Premium</v>
      </c>
      <c r="G4984" s="3" cm="1">
        <f t="array" ref="G4984">_xlfn.XLOOKUP(C4984 &amp; F4984,
         [1]unilever_price_limits!A:A &amp; [1]unilever_price_limits!B:B,
         [1]unilever_price_limits!C:C)</f>
        <v>50</v>
      </c>
      <c r="H4984" s="8">
        <f t="shared" si="309"/>
        <v>2.2050000000000001</v>
      </c>
      <c r="I4984" s="6">
        <f t="shared" si="310"/>
        <v>50</v>
      </c>
      <c r="J4984" t="str">
        <f t="shared" si="311"/>
        <v>OK</v>
      </c>
    </row>
    <row r="4985" spans="1:10" x14ac:dyDescent="0.2">
      <c r="A4985">
        <v>14984</v>
      </c>
      <c r="B4985" t="s">
        <v>10</v>
      </c>
      <c r="C4985" t="s">
        <v>9</v>
      </c>
      <c r="D4985" s="8">
        <v>14.16</v>
      </c>
      <c r="E4985">
        <v>7</v>
      </c>
      <c r="F4985" t="str">
        <f t="shared" si="308"/>
        <v>Standard</v>
      </c>
      <c r="G4985" s="3" cm="1">
        <f t="array" ref="G4985">_xlfn.XLOOKUP(C4985 &amp; F4985,
         [1]unilever_price_limits!A:A &amp; [1]unilever_price_limits!B:B,
         [1]unilever_price_limits!C:C)</f>
        <v>30</v>
      </c>
      <c r="H4985" s="8">
        <f t="shared" si="309"/>
        <v>18.408000000000001</v>
      </c>
      <c r="I4985" s="6">
        <f t="shared" si="310"/>
        <v>30.000000000000004</v>
      </c>
      <c r="J4985" t="str">
        <f t="shared" si="311"/>
        <v>OK</v>
      </c>
    </row>
    <row r="4986" spans="1:10" x14ac:dyDescent="0.2">
      <c r="A4986">
        <v>14985</v>
      </c>
      <c r="B4986" t="s">
        <v>7</v>
      </c>
      <c r="C4986" t="s">
        <v>6</v>
      </c>
      <c r="D4986" s="8">
        <v>14.8</v>
      </c>
      <c r="E4986">
        <v>9</v>
      </c>
      <c r="F4986" t="str">
        <f t="shared" si="308"/>
        <v>Premium</v>
      </c>
      <c r="G4986" s="3" cm="1">
        <f t="array" ref="G4986">_xlfn.XLOOKUP(C4986 &amp; F4986,
         [1]unilever_price_limits!A:A &amp; [1]unilever_price_limits!B:B,
         [1]unilever_price_limits!C:C)</f>
        <v>55</v>
      </c>
      <c r="H4986" s="8">
        <f t="shared" si="309"/>
        <v>22.94</v>
      </c>
      <c r="I4986" s="6">
        <f t="shared" si="310"/>
        <v>55.000000000000007</v>
      </c>
      <c r="J4986" t="str">
        <f t="shared" si="311"/>
        <v>OK</v>
      </c>
    </row>
    <row r="4987" spans="1:10" x14ac:dyDescent="0.2">
      <c r="A4987">
        <v>14986</v>
      </c>
      <c r="B4987" t="s">
        <v>5</v>
      </c>
      <c r="C4987" t="s">
        <v>9</v>
      </c>
      <c r="D4987" s="8">
        <v>1.78</v>
      </c>
      <c r="E4987">
        <v>5</v>
      </c>
      <c r="F4987" t="str">
        <f t="shared" si="308"/>
        <v>Standard</v>
      </c>
      <c r="G4987" s="3" cm="1">
        <f t="array" ref="G4987">_xlfn.XLOOKUP(C4987 &amp; F4987,
         [1]unilever_price_limits!A:A &amp; [1]unilever_price_limits!B:B,
         [1]unilever_price_limits!C:C)</f>
        <v>30</v>
      </c>
      <c r="H4987" s="8">
        <f t="shared" si="309"/>
        <v>2.3140000000000001</v>
      </c>
      <c r="I4987" s="6">
        <f t="shared" si="310"/>
        <v>30.000000000000004</v>
      </c>
      <c r="J4987" t="str">
        <f t="shared" si="311"/>
        <v>OK</v>
      </c>
    </row>
    <row r="4988" spans="1:10" x14ac:dyDescent="0.2">
      <c r="A4988">
        <v>14987</v>
      </c>
      <c r="B4988" t="s">
        <v>5</v>
      </c>
      <c r="C4988" t="s">
        <v>6</v>
      </c>
      <c r="D4988" s="8">
        <v>4.72</v>
      </c>
      <c r="E4988">
        <v>6</v>
      </c>
      <c r="F4988" t="str">
        <f t="shared" si="308"/>
        <v>Standard</v>
      </c>
      <c r="G4988" s="3" cm="1">
        <f t="array" ref="G4988">_xlfn.XLOOKUP(C4988 &amp; F4988,
         [1]unilever_price_limits!A:A &amp; [1]unilever_price_limits!B:B,
         [1]unilever_price_limits!C:C)</f>
        <v>28</v>
      </c>
      <c r="H4988" s="8">
        <f t="shared" si="309"/>
        <v>6.0415999999999999</v>
      </c>
      <c r="I4988" s="6">
        <f t="shared" si="310"/>
        <v>28.000000000000004</v>
      </c>
      <c r="J4988" t="str">
        <f t="shared" si="311"/>
        <v>OK</v>
      </c>
    </row>
    <row r="4989" spans="1:10" x14ac:dyDescent="0.2">
      <c r="A4989">
        <v>14988</v>
      </c>
      <c r="B4989" t="s">
        <v>5</v>
      </c>
      <c r="C4989" t="s">
        <v>6</v>
      </c>
      <c r="D4989" s="8">
        <v>5.9</v>
      </c>
      <c r="E4989">
        <v>3</v>
      </c>
      <c r="F4989" t="str">
        <f t="shared" si="308"/>
        <v>Value</v>
      </c>
      <c r="G4989" s="3" cm="1">
        <f t="array" ref="G4989">_xlfn.XLOOKUP(C4989 &amp; F4989,
         [1]unilever_price_limits!A:A &amp; [1]unilever_price_limits!B:B,
         [1]unilever_price_limits!C:C)</f>
        <v>12</v>
      </c>
      <c r="H4989" s="8">
        <f t="shared" si="309"/>
        <v>6.6080000000000014</v>
      </c>
      <c r="I4989" s="6">
        <f t="shared" si="310"/>
        <v>12.000000000000011</v>
      </c>
      <c r="J4989" t="str">
        <f t="shared" si="311"/>
        <v>OK</v>
      </c>
    </row>
    <row r="4990" spans="1:10" x14ac:dyDescent="0.2">
      <c r="A4990">
        <v>14989</v>
      </c>
      <c r="B4990" t="s">
        <v>5</v>
      </c>
      <c r="C4990" t="s">
        <v>6</v>
      </c>
      <c r="D4990" s="8">
        <v>11.76</v>
      </c>
      <c r="E4990">
        <v>1</v>
      </c>
      <c r="F4990" t="str">
        <f t="shared" si="308"/>
        <v>Value</v>
      </c>
      <c r="G4990" s="3" cm="1">
        <f t="array" ref="G4990">_xlfn.XLOOKUP(C4990 &amp; F4990,
         [1]unilever_price_limits!A:A &amp; [1]unilever_price_limits!B:B,
         [1]unilever_price_limits!C:C)</f>
        <v>12</v>
      </c>
      <c r="H4990" s="8">
        <f t="shared" si="309"/>
        <v>13.171200000000001</v>
      </c>
      <c r="I4990" s="6">
        <f t="shared" si="310"/>
        <v>12.000000000000011</v>
      </c>
      <c r="J4990" t="str">
        <f t="shared" si="311"/>
        <v>OK</v>
      </c>
    </row>
    <row r="4991" spans="1:10" x14ac:dyDescent="0.2">
      <c r="A4991">
        <v>14990</v>
      </c>
      <c r="B4991" t="s">
        <v>7</v>
      </c>
      <c r="C4991" t="s">
        <v>6</v>
      </c>
      <c r="D4991" s="8">
        <v>9.14</v>
      </c>
      <c r="E4991">
        <v>2</v>
      </c>
      <c r="F4991" t="str">
        <f t="shared" si="308"/>
        <v>Value</v>
      </c>
      <c r="G4991" s="3" cm="1">
        <f t="array" ref="G4991">_xlfn.XLOOKUP(C4991 &amp; F4991,
         [1]unilever_price_limits!A:A &amp; [1]unilever_price_limits!B:B,
         [1]unilever_price_limits!C:C)</f>
        <v>12</v>
      </c>
      <c r="H4991" s="8">
        <f t="shared" si="309"/>
        <v>10.236800000000002</v>
      </c>
      <c r="I4991" s="6">
        <f t="shared" si="310"/>
        <v>12.000000000000011</v>
      </c>
      <c r="J4991" t="str">
        <f t="shared" si="311"/>
        <v>OK</v>
      </c>
    </row>
    <row r="4992" spans="1:10" x14ac:dyDescent="0.2">
      <c r="A4992">
        <v>14991</v>
      </c>
      <c r="B4992" t="s">
        <v>8</v>
      </c>
      <c r="C4992" t="s">
        <v>9</v>
      </c>
      <c r="D4992" s="8">
        <v>9.84</v>
      </c>
      <c r="E4992">
        <v>8</v>
      </c>
      <c r="F4992" t="str">
        <f t="shared" si="308"/>
        <v>Premium</v>
      </c>
      <c r="G4992" s="3" cm="1">
        <f t="array" ref="G4992">_xlfn.XLOOKUP(C4992 &amp; F4992,
         [1]unilever_price_limits!A:A &amp; [1]unilever_price_limits!B:B,
         [1]unilever_price_limits!C:C)</f>
        <v>60</v>
      </c>
      <c r="H4992" s="8">
        <f t="shared" si="309"/>
        <v>15.744</v>
      </c>
      <c r="I4992" s="6">
        <f t="shared" si="310"/>
        <v>60.000000000000007</v>
      </c>
      <c r="J4992" t="str">
        <f t="shared" si="311"/>
        <v>OK</v>
      </c>
    </row>
    <row r="4993" spans="1:10" x14ac:dyDescent="0.2">
      <c r="A4993">
        <v>14992</v>
      </c>
      <c r="B4993" t="s">
        <v>5</v>
      </c>
      <c r="C4993" t="s">
        <v>11</v>
      </c>
      <c r="D4993" s="8">
        <v>11.48</v>
      </c>
      <c r="E4993">
        <v>1</v>
      </c>
      <c r="F4993" t="str">
        <f t="shared" si="308"/>
        <v>Value</v>
      </c>
      <c r="G4993" s="3" cm="1">
        <f t="array" ref="G4993">_xlfn.XLOOKUP(C4993 &amp; F4993,
         [1]unilever_price_limits!A:A &amp; [1]unilever_price_limits!B:B,
         [1]unilever_price_limits!C:C)</f>
        <v>10</v>
      </c>
      <c r="H4993" s="8">
        <f t="shared" si="309"/>
        <v>12.628000000000002</v>
      </c>
      <c r="I4993" s="6">
        <f t="shared" si="310"/>
        <v>10.000000000000009</v>
      </c>
      <c r="J4993" t="str">
        <f t="shared" si="311"/>
        <v>OK</v>
      </c>
    </row>
    <row r="4994" spans="1:10" x14ac:dyDescent="0.2">
      <c r="A4994">
        <v>14993</v>
      </c>
      <c r="B4994" t="s">
        <v>10</v>
      </c>
      <c r="C4994" t="s">
        <v>9</v>
      </c>
      <c r="D4994" s="8">
        <v>2.21</v>
      </c>
      <c r="E4994">
        <v>10</v>
      </c>
      <c r="F4994" t="str">
        <f t="shared" si="308"/>
        <v>Premium</v>
      </c>
      <c r="G4994" s="3" cm="1">
        <f t="array" ref="G4994">_xlfn.XLOOKUP(C4994 &amp; F4994,
         [1]unilever_price_limits!A:A &amp; [1]unilever_price_limits!B:B,
         [1]unilever_price_limits!C:C)</f>
        <v>60</v>
      </c>
      <c r="H4994" s="8">
        <f t="shared" si="309"/>
        <v>3.536</v>
      </c>
      <c r="I4994" s="6">
        <f t="shared" si="310"/>
        <v>60.000000000000007</v>
      </c>
      <c r="J4994" t="str">
        <f t="shared" si="311"/>
        <v>OK</v>
      </c>
    </row>
    <row r="4995" spans="1:10" x14ac:dyDescent="0.2">
      <c r="A4995">
        <v>14994</v>
      </c>
      <c r="B4995" t="s">
        <v>8</v>
      </c>
      <c r="C4995" t="s">
        <v>11</v>
      </c>
      <c r="D4995" s="8">
        <v>12.58</v>
      </c>
      <c r="E4995">
        <v>7</v>
      </c>
      <c r="F4995" t="str">
        <f t="shared" ref="F4995:F5001" si="312">IF(E4995&lt;=3,"Value",
 IF(E4995&lt;=7,"Standard","Premium"))</f>
        <v>Standard</v>
      </c>
      <c r="G4995" s="3" cm="1">
        <f t="array" ref="G4995">_xlfn.XLOOKUP(C4995 &amp; F4995,
         [1]unilever_price_limits!A:A &amp; [1]unilever_price_limits!B:B,
         [1]unilever_price_limits!C:C)</f>
        <v>25</v>
      </c>
      <c r="H4995" s="8">
        <f t="shared" ref="H4995:H5001" si="313">D4995 * (1 + G4995/100)</f>
        <v>15.725</v>
      </c>
      <c r="I4995" s="6">
        <f t="shared" ref="I4995:I5001" si="314">(H4995 / D4995 - 1) * 100</f>
        <v>25</v>
      </c>
      <c r="J4995" t="str">
        <f t="shared" ref="J4995:J5001" si="315">IF(I4994&gt; G4994, "⚠ Exceeds Limit", "OK")</f>
        <v>OK</v>
      </c>
    </row>
    <row r="4996" spans="1:10" x14ac:dyDescent="0.2">
      <c r="A4996">
        <v>14995</v>
      </c>
      <c r="B4996" t="s">
        <v>5</v>
      </c>
      <c r="C4996" t="s">
        <v>9</v>
      </c>
      <c r="D4996" s="8">
        <v>10.73</v>
      </c>
      <c r="E4996">
        <v>5</v>
      </c>
      <c r="F4996" t="str">
        <f t="shared" si="312"/>
        <v>Standard</v>
      </c>
      <c r="G4996" s="3" cm="1">
        <f t="array" ref="G4996">_xlfn.XLOOKUP(C4996 &amp; F4996,
         [1]unilever_price_limits!A:A &amp; [1]unilever_price_limits!B:B,
         [1]unilever_price_limits!C:C)</f>
        <v>30</v>
      </c>
      <c r="H4996" s="8">
        <f t="shared" si="313"/>
        <v>13.949000000000002</v>
      </c>
      <c r="I4996" s="6">
        <f t="shared" si="314"/>
        <v>30.000000000000004</v>
      </c>
      <c r="J4996" t="str">
        <f t="shared" si="315"/>
        <v>OK</v>
      </c>
    </row>
    <row r="4997" spans="1:10" x14ac:dyDescent="0.2">
      <c r="A4997">
        <v>14996</v>
      </c>
      <c r="B4997" t="s">
        <v>8</v>
      </c>
      <c r="C4997" t="s">
        <v>6</v>
      </c>
      <c r="D4997" s="8">
        <v>8.8699999999999992</v>
      </c>
      <c r="E4997">
        <v>6</v>
      </c>
      <c r="F4997" t="str">
        <f t="shared" si="312"/>
        <v>Standard</v>
      </c>
      <c r="G4997" s="3" cm="1">
        <f t="array" ref="G4997">_xlfn.XLOOKUP(C4997 &amp; F4997,
         [1]unilever_price_limits!A:A &amp; [1]unilever_price_limits!B:B,
         [1]unilever_price_limits!C:C)</f>
        <v>28</v>
      </c>
      <c r="H4997" s="8">
        <f t="shared" si="313"/>
        <v>11.353599999999998</v>
      </c>
      <c r="I4997" s="6">
        <f t="shared" si="314"/>
        <v>28.000000000000004</v>
      </c>
      <c r="J4997" t="str">
        <f t="shared" si="315"/>
        <v>OK</v>
      </c>
    </row>
    <row r="4998" spans="1:10" x14ac:dyDescent="0.2">
      <c r="A4998">
        <v>14997</v>
      </c>
      <c r="B4998" t="s">
        <v>10</v>
      </c>
      <c r="C4998" t="s">
        <v>6</v>
      </c>
      <c r="D4998" s="8">
        <v>13.4</v>
      </c>
      <c r="E4998">
        <v>8</v>
      </c>
      <c r="F4998" t="str">
        <f t="shared" si="312"/>
        <v>Premium</v>
      </c>
      <c r="G4998" s="3" cm="1">
        <f t="array" ref="G4998">_xlfn.XLOOKUP(C4998 &amp; F4998,
         [1]unilever_price_limits!A:A &amp; [1]unilever_price_limits!B:B,
         [1]unilever_price_limits!C:C)</f>
        <v>55</v>
      </c>
      <c r="H4998" s="8">
        <f t="shared" si="313"/>
        <v>20.77</v>
      </c>
      <c r="I4998" s="6">
        <f t="shared" si="314"/>
        <v>54.999999999999986</v>
      </c>
      <c r="J4998" t="str">
        <f t="shared" si="315"/>
        <v>OK</v>
      </c>
    </row>
    <row r="4999" spans="1:10" x14ac:dyDescent="0.2">
      <c r="A4999">
        <v>14998</v>
      </c>
      <c r="B4999" t="s">
        <v>5</v>
      </c>
      <c r="C4999" t="s">
        <v>11</v>
      </c>
      <c r="D4999" s="8">
        <v>10.65</v>
      </c>
      <c r="E4999">
        <v>4</v>
      </c>
      <c r="F4999" t="str">
        <f t="shared" si="312"/>
        <v>Standard</v>
      </c>
      <c r="G4999" s="3" cm="1">
        <f t="array" ref="G4999">_xlfn.XLOOKUP(C4999 &amp; F4999,
         [1]unilever_price_limits!A:A &amp; [1]unilever_price_limits!B:B,
         [1]unilever_price_limits!C:C)</f>
        <v>25</v>
      </c>
      <c r="H4999" s="8">
        <f t="shared" si="313"/>
        <v>13.3125</v>
      </c>
      <c r="I4999" s="6">
        <f t="shared" si="314"/>
        <v>25</v>
      </c>
      <c r="J4999" t="str">
        <f t="shared" si="315"/>
        <v>OK</v>
      </c>
    </row>
    <row r="5000" spans="1:10" x14ac:dyDescent="0.2">
      <c r="A5000">
        <v>14999</v>
      </c>
      <c r="B5000" t="s">
        <v>10</v>
      </c>
      <c r="C5000" t="s">
        <v>11</v>
      </c>
      <c r="D5000" s="8">
        <v>3.42</v>
      </c>
      <c r="E5000">
        <v>6</v>
      </c>
      <c r="F5000" t="str">
        <f t="shared" si="312"/>
        <v>Standard</v>
      </c>
      <c r="G5000" s="3" cm="1">
        <f t="array" ref="G5000">_xlfn.XLOOKUP(C5000 &amp; F5000,
         [1]unilever_price_limits!A:A &amp; [1]unilever_price_limits!B:B,
         [1]unilever_price_limits!C:C)</f>
        <v>25</v>
      </c>
      <c r="H5000" s="8">
        <f t="shared" si="313"/>
        <v>4.2750000000000004</v>
      </c>
      <c r="I5000" s="6">
        <f t="shared" si="314"/>
        <v>25.000000000000021</v>
      </c>
      <c r="J5000" t="str">
        <f t="shared" si="315"/>
        <v>OK</v>
      </c>
    </row>
    <row r="5001" spans="1:10" x14ac:dyDescent="0.2">
      <c r="A5001">
        <v>15000</v>
      </c>
      <c r="B5001" t="s">
        <v>7</v>
      </c>
      <c r="C5001" t="s">
        <v>9</v>
      </c>
      <c r="D5001" s="8">
        <v>6.73</v>
      </c>
      <c r="E5001">
        <v>3</v>
      </c>
      <c r="F5001" t="str">
        <f t="shared" si="312"/>
        <v>Value</v>
      </c>
      <c r="G5001" s="3" cm="1">
        <f t="array" ref="G5001">_xlfn.XLOOKUP(C5001 &amp; F5001,
         [1]unilever_price_limits!A:A &amp; [1]unilever_price_limits!B:B,
         [1]unilever_price_limits!C:C)</f>
        <v>15</v>
      </c>
      <c r="H5001" s="8">
        <f t="shared" si="313"/>
        <v>7.7394999999999996</v>
      </c>
      <c r="I5001" s="6">
        <f t="shared" si="314"/>
        <v>14.999999999999991</v>
      </c>
      <c r="J5001" t="str">
        <f t="shared" si="315"/>
        <v>OK</v>
      </c>
    </row>
  </sheetData>
  <hyperlinks>
    <hyperlink ref="G2" r:id="rId1" display="../Finance_targets.xlsx" xr:uid="{19022262-C960-EC47-8B7C-1E1138836BAC}"/>
  </hyperlinks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C99E-8E6B-7841-A807-72E997968CA7}">
  <sheetPr codeName="Sheet4"/>
  <dimension ref="A1:C10"/>
  <sheetViews>
    <sheetView zoomScale="120" zoomScaleNormal="120" workbookViewId="0">
      <selection activeCell="C5" sqref="C5"/>
    </sheetView>
  </sheetViews>
  <sheetFormatPr baseColWidth="10" defaultRowHeight="16" x14ac:dyDescent="0.2"/>
  <cols>
    <col min="1" max="1" width="20.1640625" customWidth="1"/>
    <col min="2" max="2" width="15.1640625" customWidth="1"/>
    <col min="3" max="3" width="21.1640625" customWidth="1"/>
  </cols>
  <sheetData>
    <row r="1" spans="1:3" x14ac:dyDescent="0.2">
      <c r="A1" s="1" t="s">
        <v>2</v>
      </c>
      <c r="B1" s="1" t="s">
        <v>12</v>
      </c>
      <c r="C1" s="1" t="s">
        <v>13</v>
      </c>
    </row>
    <row r="2" spans="1:3" x14ac:dyDescent="0.2">
      <c r="A2" t="s">
        <v>9</v>
      </c>
      <c r="B2" t="s">
        <v>14</v>
      </c>
      <c r="C2">
        <v>15</v>
      </c>
    </row>
    <row r="3" spans="1:3" x14ac:dyDescent="0.2">
      <c r="A3" t="s">
        <v>9</v>
      </c>
      <c r="B3" t="s">
        <v>15</v>
      </c>
      <c r="C3">
        <v>30</v>
      </c>
    </row>
    <row r="4" spans="1:3" x14ac:dyDescent="0.2">
      <c r="A4" t="s">
        <v>9</v>
      </c>
      <c r="B4" t="s">
        <v>16</v>
      </c>
      <c r="C4">
        <v>60</v>
      </c>
    </row>
    <row r="5" spans="1:3" x14ac:dyDescent="0.2">
      <c r="A5" t="s">
        <v>11</v>
      </c>
      <c r="B5" t="s">
        <v>14</v>
      </c>
      <c r="C5">
        <v>10</v>
      </c>
    </row>
    <row r="6" spans="1:3" x14ac:dyDescent="0.2">
      <c r="A6" t="s">
        <v>11</v>
      </c>
      <c r="B6" t="s">
        <v>15</v>
      </c>
      <c r="C6">
        <v>25</v>
      </c>
    </row>
    <row r="7" spans="1:3" x14ac:dyDescent="0.2">
      <c r="A7" t="s">
        <v>11</v>
      </c>
      <c r="B7" t="s">
        <v>16</v>
      </c>
      <c r="C7">
        <v>50</v>
      </c>
    </row>
    <row r="8" spans="1:3" x14ac:dyDescent="0.2">
      <c r="A8" t="s">
        <v>6</v>
      </c>
      <c r="B8" t="s">
        <v>14</v>
      </c>
      <c r="C8">
        <v>12</v>
      </c>
    </row>
    <row r="9" spans="1:3" x14ac:dyDescent="0.2">
      <c r="A9" t="s">
        <v>6</v>
      </c>
      <c r="B9" t="s">
        <v>15</v>
      </c>
      <c r="C9">
        <v>28</v>
      </c>
    </row>
    <row r="10" spans="1:3" x14ac:dyDescent="0.2">
      <c r="A10" t="s">
        <v>6</v>
      </c>
      <c r="B10" t="s">
        <v>16</v>
      </c>
      <c r="C10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611285-9C81-5D4D-BD1C-5D250D18D9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Unilever_products1</vt:lpstr>
      <vt:lpstr>Pivot tables</vt:lpstr>
      <vt:lpstr>Statistics</vt:lpstr>
      <vt:lpstr>Dashboard</vt:lpstr>
      <vt:lpstr>Unilever_products</vt:lpstr>
      <vt:lpstr>Price 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Morara</dc:creator>
  <cp:lastModifiedBy>George Morara</cp:lastModifiedBy>
  <dcterms:created xsi:type="dcterms:W3CDTF">2025-11-07T20:57:59Z</dcterms:created>
  <dcterms:modified xsi:type="dcterms:W3CDTF">2025-12-25T23:18:20Z</dcterms:modified>
</cp:coreProperties>
</file>